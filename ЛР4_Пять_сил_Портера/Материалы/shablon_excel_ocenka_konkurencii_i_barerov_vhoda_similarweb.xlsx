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5a0ba3b5441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Методика" sheetId="1" r:id="Rf26a191cbfdb4734"/>
    <x:sheet xmlns:r="http://schemas.openxmlformats.org/officeDocument/2006/relationships" name="01_Параметры" sheetId="2" r:id="R17c03df35dc841d6"/>
    <x:sheet xmlns:r="http://schemas.openxmlformats.org/officeDocument/2006/relationships" name="02_Конкуренты_SW" sheetId="3" r:id="Rc2f97a5d71d44735"/>
    <x:sheet xmlns:r="http://schemas.openxmlformats.org/officeDocument/2006/relationships" name="03_Каналы_трафика" sheetId="4" r:id="Ra3807c18c8124492"/>
    <x:sheet xmlns:r="http://schemas.openxmlformats.org/officeDocument/2006/relationships" name="04_Поиск_реклама" sheetId="5" r:id="R91b29cae035b4bff"/>
    <x:sheet xmlns:r="http://schemas.openxmlformats.org/officeDocument/2006/relationships" name="05_Отзывы_рейтинги" sheetId="6" r:id="R6050cfd777a2465e"/>
    <x:sheet xmlns:r="http://schemas.openxmlformats.org/officeDocument/2006/relationships" name="06_Технологии_финансы" sheetId="7" r:id="R2d0a088f21ea439b"/>
    <x:sheet xmlns:r="http://schemas.openxmlformats.org/officeDocument/2006/relationships" name="07_Барьеры_входа" sheetId="8" r:id="Rf1f279872dd34892"/>
    <x:sheet xmlns:r="http://schemas.openxmlformats.org/officeDocument/2006/relationships" name="08_Дашборд" sheetId="9" r:id="R103ca1b07704493d"/>
    <x:sheet xmlns:r="http://schemas.openxmlformats.org/officeDocument/2006/relationships" name="09_Источники" sheetId="10" r:id="R8531edd4e4ff41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%"/>
    <x:numFmt numFmtId="202" formatCode="0.0%"/>
    <x:numFmt numFmtId="203" formatCode="0.0"/>
    <x:numFmt numFmtId="204" formatCode="0"/>
    <x:numFmt numFmtId="205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5F"/>
      </x:patternFill>
    </x:fill>
    <x:fill>
      <x:patternFill patternType="solid">
        <x:fgColor rgb="EAF4F6"/>
      </x:patternFill>
    </x:fill>
    <x:fill>
      <x:patternFill patternType="solid">
        <x:fgColor rgb="2F6F7E"/>
      </x:patternFill>
    </x:fill>
    <x:fill>
      <x:patternFill patternType="solid">
        <x:fgColor rgb="FCE4D6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1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201" fontId="0" fillId="7" borderId="0" xfId="0" applyNumberFormat="1" applyFont="1" applyFill="1" applyBorder="1"/>
    <x:xf numFmtId="201" fontId="0" fillId="7" borderId="1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1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2" fontId="0" fillId="7" borderId="0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0" fillId="6" borderId="0" xfId="0" applyNumberFormat="1" applyFont="1" applyFill="1" applyBorder="1"/>
    <x:xf numFmtId="204" fontId="0" fillId="6" borderId="0" xfId="0" applyNumberFormat="1" applyFont="1" applyFill="1" applyBorder="1"/>
    <x:xf numFmtId="202" fontId="0" fillId="6" borderId="1" xfId="0" applyNumberFormat="1" applyFont="1" applyFill="1" applyBorder="1"/>
    <x:xf numFmtId="204" fontId="0" fillId="6" borderId="1" xfId="0" applyNumberFormat="1" applyFont="1" applyFill="1" applyBorder="1"/>
    <x:xf numFmtId="204" fontId="0" fillId="6" borderId="0" xfId="0" applyNumberFormat="1" applyFont="1" applyFill="1" applyBorder="1" applyAlignment="1">
      <x:alignment wrapText="1"/>
    </x:xf>
    <x:xf numFmtId="204" fontId="0" fillId="6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0" fontId="0" fillId="7" borderId="0" xfId="0" applyNumberFormat="1" applyFont="1" applyFill="1" applyBorder="1"/>
    <x:xf numFmtId="205" fontId="0" fillId="7" borderId="0" xfId="0" applyNumberFormat="1" applyFont="1" applyFill="1" applyBorder="1"/>
    <x:xf numFmtId="204" fontId="0" fillId="7" borderId="0" xfId="0" applyNumberFormat="1" applyFont="1" applyFill="1" applyBorder="1"/>
    <x:xf numFmtId="200" fontId="0" fillId="7" borderId="1" xfId="0" applyNumberFormat="1" applyFont="1" applyFill="1" applyBorder="1"/>
    <x:xf numFmtId="205" fontId="0" fillId="7" borderId="1" xfId="0" applyNumberFormat="1" applyFont="1" applyFill="1" applyBorder="1"/>
    <x:xf numFmtId="204" fontId="0" fillId="7" borderId="1" xfId="0" applyNumberFormat="1" applyFont="1" applyFill="1" applyBorder="1"/>
    <x:xf numFmtId="205" fontId="0" fillId="7" borderId="0" xfId="0" applyNumberFormat="1" applyFont="1" applyFill="1" applyBorder="1" applyAlignment="1">
      <x:alignment wrapText="1"/>
    </x:xf>
    <x:xf numFmtId="204" fontId="0" fillId="7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5" fontId="0" fillId="7" borderId="1" xfId="0" applyNumberFormat="1" applyFont="1" applyFill="1" applyBorder="1" applyAlignment="1">
      <x:alignment wrapText="1"/>
    </x:xf>
    <x:xf numFmtId="204" fontId="0" fillId="7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3" fontId="0" fillId="7" borderId="0" xfId="0" applyNumberFormat="1" applyFont="1" applyFill="1" applyBorder="1"/>
    <x:xf numFmtId="203" fontId="0" fillId="7" borderId="1" xfId="0" applyNumberFormat="1" applyFont="1" applyFill="1" applyBorder="1"/>
    <x:xf numFmtId="203" fontId="0" fillId="7" borderId="0" xfId="0" applyNumberFormat="1" applyFont="1" applyFill="1" applyBorder="1" applyAlignment="1">
      <x:alignment wrapText="1"/>
    </x:xf>
    <x:xf numFmtId="203" fontId="0" fillId="7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7" borderId="0" xfId="0" applyNumberFormat="1" applyFont="1" applyFill="1" applyBorder="1"/>
    <x:xf numFmtId="202" fontId="0" fillId="7" borderId="1" xfId="0" applyNumberFormat="1" applyFont="1" applyFill="1" applyBorder="1"/>
    <x:xf numFmtId="205" fontId="0" fillId="6" borderId="0" xfId="0" applyNumberFormat="1" applyFont="1" applyFill="1" applyBorder="1"/>
    <x:xf numFmtId="205" fontId="0" fillId="6" borderId="1" xfId="0" applyNumberFormat="1" applyFont="1" applyFill="1" applyBorder="1"/>
    <x:xf numFmtId="205" fontId="0" fillId="6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6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d5bb56e3342cd" /><Relationship Type="http://schemas.openxmlformats.org/officeDocument/2006/relationships/theme" Target="/xl/theme/theme1.xml" Id="R9c060d2480064413" /><Relationship Type="http://schemas.openxmlformats.org/officeDocument/2006/relationships/sharedStrings" Target="/xl/sharedStrings.xml" Id="R228ab5b709a44a69" /><Relationship Type="http://schemas.openxmlformats.org/officeDocument/2006/relationships/worksheet" Target="/xl/worksheets/sheet1.xml" Id="Rf26a191cbfdb4734" /><Relationship Type="http://schemas.openxmlformats.org/officeDocument/2006/relationships/worksheet" Target="/xl/worksheets/sheet2.xml" Id="R17c03df35dc841d6" /><Relationship Type="http://schemas.openxmlformats.org/officeDocument/2006/relationships/worksheet" Target="/xl/worksheets/sheet3.xml" Id="Rc2f97a5d71d44735" /><Relationship Type="http://schemas.openxmlformats.org/officeDocument/2006/relationships/worksheet" Target="/xl/worksheets/sheet4.xml" Id="Ra3807c18c8124492" /><Relationship Type="http://schemas.openxmlformats.org/officeDocument/2006/relationships/worksheet" Target="/xl/worksheets/sheet5.xml" Id="R91b29cae035b4bff" /><Relationship Type="http://schemas.openxmlformats.org/officeDocument/2006/relationships/worksheet" Target="/xl/worksheets/sheet6.xml" Id="R6050cfd777a2465e" /><Relationship Type="http://schemas.openxmlformats.org/officeDocument/2006/relationships/worksheet" Target="/xl/worksheets/sheet7.xml" Id="R2d0a088f21ea439b" /><Relationship Type="http://schemas.openxmlformats.org/officeDocument/2006/relationships/worksheet" Target="/xl/worksheets/sheet8.xml" Id="Rf1f279872dd34892" /><Relationship Type="http://schemas.openxmlformats.org/officeDocument/2006/relationships/worksheet" Target="/xl/worksheets/sheet9.xml" Id="R103ca1b07704493d" /><Relationship Type="http://schemas.openxmlformats.org/officeDocument/2006/relationships/worksheet" Target="/xl/worksheets/sheet10.xml" Id="R8531edd4e4ff41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e3d336a65243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Баллы по факторам барьеров входа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Балл</c:v>
          </c:tx>
          <c:cat>
            <c:strRef>
              <c:f>'08_Дашборд'!$F$5:$F$13</c:f>
              <c:strCache>
                <c:ptCount val="0"/>
              </c:strCache>
            </c:strRef>
          </c:cat>
          <c:val>
            <c:numRef>
              <c:f>'08_Дашборд'!$G$5:$G$13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e3d336a65243f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CompetitorsSW" displayName="tblCompetitorsSW" ref="A3:Q33" headerRowCount="1">
  <x:tableColumns count="17">
    <x:tableColumn id="1" name="Конкурент / сайт"/>
    <x:tableColumn id="2" name="Тип игрока"/>
    <x:tableColumn id="3" name="Месячные визиты"/>
    <x:tableColumn id="4" name="Доля целевой географии"/>
    <x:tableColumn id="5" name="Релевантный трафик"/>
    <x:tableColumn id="6" name="Доля релевантного трафика"/>
    <x:tableColumn id="7" name="Длительность, сек."/>
    <x:tableColumn id="8" name="Страниц/визит"/>
    <x:tableColumn id="9" name="Отказы"/>
    <x:tableColumn id="10" name="Прямой трафик"/>
    <x:tableColumn id="11" name="Органика"/>
    <x:tableColumn id="12" name="Платный поиск"/>
    <x:tableColumn id="13" name="Соцсети"/>
    <x:tableColumn id="14" name="Рефералы"/>
    <x:tableColumn id="15" name="Медийная реклама"/>
    <x:tableColumn id="16" name="Брендовый поиск"/>
    <x:tableColumn id="17" name="Комментарий"/>
  </x:tableColumns>
  <x:tableStyleInfo name="TableStyleMedium2" showRowStripes="1"/>
</x:table>
</file>

<file path=xl/tables/table2.xml><?xml version="1.0" encoding="utf-8"?>
<x:table xmlns:x="http://schemas.openxmlformats.org/spreadsheetml/2006/main" id="2" name="tblChannels" displayName="tblChannels" ref="A3:I10" headerRowCount="1">
  <x:tableColumns count="9">
    <x:tableColumn id="1" name="Канал"/>
    <x:tableColumn id="2" name="Формула / источник"/>
    <x:tableColumn id="3" name="Взвешенная доля канала"/>
    <x:tableColumn id="4" name="Порог высокого давления"/>
    <x:tableColumn id="5" name="Балльная оценка 1-5"/>
    <x:tableColumn id="6" name="Интерпретация"/>
    <x:tableColumn id="7" name="Риски для нового игрока"/>
    <x:tableColumn id="8" name="Что проверить дополнительно"/>
    <x:tableColumn id="9" name="Источник"/>
  </x:tableColumns>
  <x:tableStyleInfo name="TableStyleMedium2" showRowStripes="1"/>
</x:table>
</file>

<file path=xl/tables/table3.xml><?xml version="1.0" encoding="utf-8"?>
<x:table xmlns:x="http://schemas.openxmlformats.org/spreadsheetml/2006/main" id="3" name="tblSearchAds" displayName="tblSearchAds" ref="A3:M33" headerRowCount="1">
  <x:tableColumns count="13">
    <x:tableColumn id="1" name="Запрос / рекламная тема"/>
    <x:tableColumn id="2" name="Тип намерения"/>
    <x:tableColumn id="3" name="Источник"/>
    <x:tableColumn id="4" name="Частотность / спрос"/>
    <x:tableColumn id="5" name="CPC / цена клика"/>
    <x:tableColumn id="6" name="Конкурентность PPC 0-1"/>
    <x:tableColumn id="7" name="SEO difficulty 0-100"/>
    <x:tableColumn id="8" name="Топ-конкурентов в выдаче"/>
    <x:tableColumn id="9" name="Активных рекламодателей"/>
    <x:tableColumn id="10" name="Рекламные объявления"/>
    <x:tableColumn id="11" name="Индекс давления"/>
    <x:tableColumn id="12" name="Балльная оценка 1-5"/>
    <x:tableColumn id="13" name="Комментарий"/>
  </x:tableColumns>
  <x:tableStyleInfo name="TableStyleMedium2" showRowStripes="1"/>
</x:table>
</file>

<file path=xl/tables/table4.xml><?xml version="1.0" encoding="utf-8"?>
<x:table xmlns:x="http://schemas.openxmlformats.org/spreadsheetml/2006/main" id="4" name="tblReviews" displayName="tblReviews" ref="A3:N33" headerRowCount="1">
  <x:tableColumns count="14">
    <x:tableColumn id="1" name="Конкурент"/>
    <x:tableColumn id="2" name="G2 рейтинг"/>
    <x:tableColumn id="3" name="G2 отзывы"/>
    <x:tableColumn id="4" name="Capterra рейтинг"/>
    <x:tableColumn id="5" name="Capterra отзывы"/>
    <x:tableColumn id="6" name="Trustpilot рейтинг"/>
    <x:tableColumn id="7" name="Trustpilot отзывы"/>
    <x:tableColumn id="8" name="Google рейтинг"/>
    <x:tableColumn id="9" name="Google отзывы"/>
    <x:tableColumn id="10" name="Кейсы на сайте"/>
    <x:tableColumn id="11" name="Возраст бренда, лет"/>
    <x:tableColumn id="12" name="Индекс доверия"/>
    <x:tableColumn id="13" name="Балльная оценка 1-5"/>
    <x:tableColumn id="14" name="Комментарий"/>
  </x:tableColumns>
  <x:tableStyleInfo name="TableStyleMedium2" showRowStripes="1"/>
</x:table>
</file>

<file path=xl/tables/table5.xml><?xml version="1.0" encoding="utf-8"?>
<x:table xmlns:x="http://schemas.openxmlformats.org/spreadsheetml/2006/main" id="5" name="tblTechFinance" displayName="tblTechFinance" ref="A3:M33" headerRowCount="1">
  <x:tableColumns count="13">
    <x:tableColumn id="1" name="Конкурент"/>
    <x:tableColumn id="2" name="Финансирование / инвестиции"/>
    <x:tableColumn id="3" name="Сотрудники LinkedIn"/>
    <x:tableColumn id="4" name="Технологический стек 1-5"/>
    <x:tableColumn id="5" name="CRM/автоматизация 1-5"/>
    <x:tableColumn id="6" name="Мобильное приложение"/>
    <x:tableColumn id="7" name="Личный кабинет"/>
    <x:tableColumn id="8" name="Активных объявлений"/>
    <x:tableColumn id="9" name="Вакансий"/>
    <x:tableColumn id="10" name="Патенты/уникальные активы"/>
    <x:tableColumn id="11" name="Индекс ресурсной силы"/>
    <x:tableColumn id="12" name="Балльная оценка 1-5"/>
    <x:tableColumn id="13" name="Комментарий"/>
  </x:tableColumns>
  <x:tableStyleInfo name="TableStyleMedium2" showRowStripes="1"/>
</x:table>
</file>

<file path=xl/tables/table6.xml><?xml version="1.0" encoding="utf-8"?>
<x:table xmlns:x="http://schemas.openxmlformats.org/spreadsheetml/2006/main" id="6" name="tblEntryBarriers" displayName="tblEntryBarriers" ref="A3:I13" headerRowCount="1">
  <x:tableColumns count="9">
    <x:tableColumn id="1" name="Фактор барьера входа"/>
    <x:tableColumn id="2" name="Ключевой показатель"/>
    <x:tableColumn id="3" name="Значение"/>
    <x:tableColumn id="4" name="Балльная оценка 1-5"/>
    <x:tableColumn id="5" name="Вес"/>
    <x:tableColumn id="6" name="Взвешенный балл"/>
    <x:tableColumn id="7" name="Уровень давления"/>
    <x:tableColumn id="8" name="Что означает"/>
    <x:tableColumn id="9" name="Рекомендуемое действие"/>
  </x:tableColumns>
  <x:tableStyleInfo name="TableStyleMedium2" showRowStripes="1"/>
</x:table>
</file>

<file path=xl/tables/table7.xml><?xml version="1.0" encoding="utf-8"?>
<x:table xmlns:x="http://schemas.openxmlformats.org/spreadsheetml/2006/main" id="7" name="tblSources" displayName="tblSources" ref="A3:G19" headerRowCount="1">
  <x:tableColumns count="7">
    <x:tableColumn id="1" name="Источник"/>
    <x:tableColumn id="2" name="URL"/>
    <x:tableColumn id="3" name="Что брать"/>
    <x:tableColumn id="4" name="Для какой силы/фактора"/>
    <x:tableColumn id="5" name="Формат фиксации"/>
    <x:tableColumn id="6" name="Дата обращения"/>
    <x:tableColumn id="7" name="Ограничени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394a304612342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5b86202e4c84a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45edd0bf4a841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ce8c87389054c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e2425cb5f6040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0430d5e026e4f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ba47edadcea042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b425426815674475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8" hidden="0" customWidth="1"/>
    <x:col min="3" max="3" width="38" hidden="0" customWidth="1"/>
    <x:col min="4" max="4" width="38" hidden="0" customWidth="1"/>
    <x:col min="5" max="5" width="42" hidden="0" customWidth="1"/>
  </x:cols>
  <x:sheetData>
    <x:row r="1" ht="30" customHeight="1">
      <x:c r="A1" s="5" t="str">
        <x:v>Excel-шаблон оценки уровня конкуренции и барьеров входа</x:v>
      </x:c>
      <x:c r="B1" s="5"/>
      <x:c r="C1" s="5"/>
      <x:c r="D1" s="5"/>
      <x:c r="E1" s="5"/>
      <x:c r="F1" s="5"/>
      <x:c r="G1" s="5"/>
      <x:c r="H1" s="5"/>
      <x:c r="I1" s="5"/>
    </x:row>
    <x:row r="2" ht="32" customHeight="1">
      <x:c r="A2" s="13" t="str">
        <x:v>Расчетная модель на основе Similarweb и альтернативных источников цифровых данных</x:v>
      </x:c>
      <x:c r="B2" s="13"/>
      <x:c r="C2" s="13"/>
      <x:c r="D2" s="13"/>
      <x:c r="E2" s="13"/>
      <x:c r="F2" s="13"/>
      <x:c r="G2" s="13"/>
      <x:c r="H2" s="13"/>
      <x:c r="I2" s="13"/>
    </x:row>
    <x:row r="4" ht="34" customHeight="1">
      <x:c r="A4" s="21" t="str">
        <x:v>Блок</x:v>
      </x:c>
      <x:c r="B4" s="21" t="str">
        <x:v>Назначение</x:v>
      </x:c>
      <x:c r="C4" s="21" t="str">
        <x:v>Что заполняет пользователь</x:v>
      </x:c>
      <x:c r="D4" s="21" t="str">
        <x:v>Что рассчитывается</x:v>
      </x:c>
      <x:c r="E4" s="21" t="str">
        <x:v>Как использовать результат</x:v>
      </x:c>
    </x:row>
    <x:row r="5">
      <x:c r="A5" s="28" t="str">
        <x:v>01_Параметры</x:v>
      </x:c>
      <x:c r="B5" s="28" t="str">
        <x:v>Задает границы рынка, пороги и веса факторов.</x:v>
      </x:c>
      <x:c r="C5" s="28" t="str">
        <x:v>Название рынка, география, период, веса факторов.</x:v>
      </x:c>
      <x:c r="D5" s="28" t="str">
        <x:v>Итоговые индексы и шкалы оценки.</x:v>
      </x:c>
      <x:c r="E5" s="28" t="str">
        <x:v>Используется всеми расчетными листами.</x:v>
      </x:c>
    </x:row>
    <x:row r="6">
      <x:c r="A6" s="28" t="str">
        <x:v>02_Конкуренты_SW</x:v>
      </x:c>
      <x:c r="B6" s="28" t="str">
        <x:v>Фиксирует конкурентов и данные Similarweb.</x:v>
      </x:c>
      <x:c r="C6" s="28" t="str">
        <x:v>Сайты, визиты, география, каналы, вовлеченность.</x:v>
      </x:c>
      <x:c r="D6" s="28" t="str">
        <x:v>Релевантный трафик, доля трафика, концентрация.</x:v>
      </x:c>
      <x:c r="E6" s="28" t="str">
        <x:v>Показывает структуру цифровой конкуренции.</x:v>
      </x:c>
    </x:row>
    <x:row r="7">
      <x:c r="A7" s="28" t="str">
        <x:v>03_Каналы_трафика</x:v>
      </x:c>
      <x:c r="B7" s="28" t="str">
        <x:v>Оценивает давление каналов привлечения.</x:v>
      </x:c>
      <x:c r="C7" s="28" t="str">
        <x:v>Проверяются доли каналов по конкурентам.</x:v>
      </x:c>
      <x:c r="D7" s="28" t="str">
        <x:v>Взвешенные доли organic/paid/social/referral/direct.</x:v>
      </x:c>
      <x:c r="E7" s="28" t="str">
        <x:v>Показывает, где вход на рынок дороже.</x:v>
      </x:c>
    </x:row>
    <x:row r="8">
      <x:c r="A8" s="28" t="str">
        <x:v>04_Поиск_реклама</x:v>
      </x:c>
      <x:c r="B8" s="28" t="str">
        <x:v>Оценивает поисковую и рекламную конкуренцию.</x:v>
      </x:c>
      <x:c r="C8" s="28" t="str">
        <x:v>Запросы, частотность, цена клика, сложность, активность рекламы.</x:v>
      </x:c>
      <x:c r="D8" s="28" t="str">
        <x:v>Индекс рекламного и SEO-давления.</x:v>
      </x:c>
      <x:c r="E8" s="28" t="str">
        <x:v>Помогает оценить стоимость входа через поиск и рекламу.</x:v>
      </x:c>
    </x:row>
    <x:row r="9">
      <x:c r="A9" s="28" t="str">
        <x:v>05_Отзывы_рейтинги</x:v>
      </x:c>
      <x:c r="B9" s="28" t="str">
        <x:v>Оценивает репутационные барьеры.</x:v>
      </x:c>
      <x:c r="C9" s="28" t="str">
        <x:v>Отзывы, рейтинги, число кейсов, возраст бренда.</x:v>
      </x:c>
      <x:c r="D9" s="28" t="str">
        <x:v>Индекс доверия действующих игроков.</x:v>
      </x:c>
      <x:c r="E9" s="28" t="str">
        <x:v>Показывает, насколько трудно новому бизнесу получить доверие.</x:v>
      </x:c>
    </x:row>
    <x:row r="10">
      <x:c r="A10" s="28" t="str">
        <x:v>06_Технологии_финансы</x:v>
      </x:c>
      <x:c r="B10" s="28" t="str">
        <x:v>Оценивает технологические и ресурсные барьеры.</x:v>
      </x:c>
      <x:c r="C10" s="28" t="str">
        <x:v>Стек сайта, автоматизация, финансирование, команда, рекламные библиотеки.</x:v>
      </x:c>
      <x:c r="D10" s="28" t="str">
        <x:v>Индекс технологической силы конкурентов.</x:v>
      </x:c>
      <x:c r="E10" s="28" t="str">
        <x:v>Показывает, насколько конкуренты защищены ресурсами и инфраструктурой.</x:v>
      </x:c>
    </x:row>
    <x:row r="11">
      <x:c r="A11" s="28" t="str">
        <x:v>07_Барьеры_входа</x:v>
      </x:c>
      <x:c r="B11" s="28" t="str">
        <x:v>Сводит все факторы в единую оценку.</x:v>
      </x:c>
      <x:c r="C11" s="28" t="str">
        <x:v>При необходимости корректируются баллы и веса.</x:v>
      </x:c>
      <x:c r="D11" s="28" t="str">
        <x:v>Интегральный индекс барьеров входа.</x:v>
      </x:c>
      <x:c r="E11" s="28" t="str">
        <x:v>Дает итоговый вывод: низкие, средние или высокие барьеры.</x:v>
      </x:c>
    </x:row>
    <x:row r="12">
      <x:c r="A12" s="28" t="str">
        <x:v>08_Дашборд</x:v>
      </x:c>
      <x:c r="B12" s="28" t="str">
        <x:v>Показывает итоговые показатели.</x:v>
      </x:c>
      <x:c r="C12" s="28" t="str">
        <x:v>Не заполняется вручную.</x:v>
      </x:c>
      <x:c r="D12" s="28" t="str">
        <x:v>KPI, графики, финальная интерпретация.</x:v>
      </x:c>
      <x:c r="E12" s="28" t="str">
        <x:v>Используется для отчета и презентации.</x:v>
      </x:c>
    </x:row>
    <x:row r="13">
      <x:c r="A13" s="28" t="str">
        <x:v>09_Источники</x:v>
      </x:c>
      <x:c r="B13" s="28" t="str">
        <x:v>Фиксирует источники данных.</x:v>
      </x:c>
      <x:c r="C13" s="28" t="str">
        <x:v>Ссылки, дата обращения, комментарии.</x:v>
      </x:c>
      <x:c r="D13" s="28" t="str">
        <x:v>Журнал доказательной базы.</x:v>
      </x:c>
      <x:c r="E13" s="28" t="str">
        <x:v>Повышает воспроизводимость анализа.</x:v>
      </x:c>
    </x:row>
    <x:row r="16" ht="28" customHeight="1">
      <x:c r="A16" s="34" t="str">
        <x:v>Ключевое правило интерпретации</x:v>
      </x:c>
      <x:c r="B16" s="34"/>
      <x:c r="C16" s="34"/>
      <x:c r="D16" s="34"/>
      <x:c r="E16" s="34"/>
      <x:c r="F16" s="34"/>
      <x:c r="G16" s="34"/>
      <x:c r="H16" s="34"/>
      <x:c r="I16" s="34"/>
    </x:row>
    <x:row r="17">
      <x:c r="A17" s="42" t="str">
        <x:v>Similarweb и аналогичные сервисы дают оценочные цифровые сигналы: посещаемость, каналы трафика, географию, поисковые запросы и конкурентное окружение. Их нельзя механически превращать в точный размер рынка. Для оценки барьеров входа используйте несколько источников: Similarweb, Semrush/Ahrefs, G2/Capterra/Trustpilot, Crunchbase, BuiltWith/Wappalyzer, рекламные библиотеки и данные маркетплейсов.</x:v>
      </x:c>
      <x:c r="B17" s="42"/>
      <x:c r="C17" s="42"/>
      <x:c r="D17" s="42"/>
      <x:c r="E17" s="42"/>
      <x:c r="F17" s="42"/>
      <x:c r="G17" s="42"/>
      <x:c r="H17" s="42"/>
      <x:c r="I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</x:row>
  </x:sheetData>
  <x:mergeCells>
    <x:mergeCell ref="A1:I1"/>
    <x:mergeCell ref="A2:I2"/>
    <x:mergeCell ref="A16:I16"/>
    <x:mergeCell ref="A17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4" hidden="0" customWidth="1"/>
    <x:col min="4" max="4" width="14" hidden="0" customWidth="1"/>
    <x:col min="5" max="5" width="58" hidden="0" customWidth="1"/>
    <x:col min="6" max="6" width="24" hidden="0" customWidth="1"/>
  </x:cols>
  <x:sheetData>
    <x:row r="1" ht="30" customHeight="1">
      <x:c r="A1" s="5" t="str">
        <x:v>Параметры оценки конкуренции и барьеров входа</x:v>
      </x:c>
      <x:c r="B1" s="5"/>
      <x:c r="C1" s="5"/>
      <x:c r="D1" s="5"/>
      <x:c r="E1" s="5"/>
      <x:c r="F1" s="5"/>
    </x:row>
    <x:row r="2" ht="32" customHeight="1">
      <x:c r="A2" s="13" t="str">
        <x:v>Желтые ячейки заполняются пользователем; зеленые рассчитываются формулами</x:v>
      </x:c>
      <x:c r="B2" s="13"/>
      <x:c r="C2" s="13"/>
      <x:c r="D2" s="13"/>
      <x:c r="E2" s="13"/>
      <x:c r="F2" s="13"/>
    </x:row>
    <x:row r="4" ht="34" customHeight="1">
      <x:c r="A4" s="21" t="str">
        <x:v>Параметр</x:v>
      </x:c>
      <x:c r="B4" s="21" t="str">
        <x:v>Значение</x:v>
      </x:c>
      <x:c r="C4" s="21" t="str">
        <x:v>Ед.</x:v>
      </x:c>
      <x:c r="D4" s="21" t="str">
        <x:v>Тип</x:v>
      </x:c>
      <x:c r="E4" s="21" t="str">
        <x:v>Комментарий</x:v>
      </x:c>
      <x:c r="F4" s="21" t="str">
        <x:v>Источник/лист</x:v>
      </x:c>
    </x:row>
    <x:row r="5">
      <x:c r="A5" s="26" t="str">
        <x:v>Название рынка</x:v>
      </x:c>
      <x:c r="B5" s="54" t="str">
        <x:v>Маркетинговые услуги для малого бизнеса</x:v>
      </x:c>
      <x:c r="C5" s="26" t="str"/>
      <x:c r="D5" s="26" t="str">
        <x:v>ввод</x:v>
      </x:c>
      <x:c r="E5" s="26" t="str">
        <x:v>Укажите анализируемый рынок после фиксации его границ.</x:v>
      </x:c>
      <x:c r="F5" s="26" t="str"/>
    </x:row>
    <x:row r="6">
      <x:c r="A6" s="26" t="str">
        <x:v>География</x:v>
      </x:c>
      <x:c r="B6" s="54" t="str">
        <x:v>Республика Беларусь</x:v>
      </x:c>
      <x:c r="C6" s="26" t="str"/>
      <x:c r="D6" s="26" t="str">
        <x:v>ввод</x:v>
      </x:c>
      <x:c r="E6" s="26" t="str">
        <x:v>Страна, регион или город анализа.</x:v>
      </x:c>
      <x:c r="F6" s="26" t="str"/>
    </x:row>
    <x:row r="7">
      <x:c r="A7" s="26" t="str">
        <x:v>Период анализа Similarweb</x:v>
      </x:c>
      <x:c r="B7" s="54" t="str">
        <x:v>последние 3 месяца</x:v>
      </x:c>
      <x:c r="C7" s="26" t="str"/>
      <x:c r="D7" s="26" t="str">
        <x:v>ввод</x:v>
      </x:c>
      <x:c r="E7" s="26" t="str">
        <x:v>Период, по которому фиксируются данные Similarweb.</x:v>
      </x:c>
      <x:c r="F7" s="26" t="str"/>
    </x:row>
    <x:row r="8">
      <x:c r="A8" s="26" t="str">
        <x:v>Дата обновления модели</x:v>
      </x:c>
      <x:c r="B8" s="55" t="n">
        <x:f>COUNTA('02_Конкуренты_SW'!A4:A33)</x:f>
        <x:v>8</x:v>
      </x:c>
      <x:c r="C8" s="26" t="str"/>
      <x:c r="D8" s="26" t="str">
        <x:v>ввод</x:v>
      </x:c>
      <x:c r="E8" s="26" t="str">
        <x:v>Дата заполнения файла.</x:v>
      </x:c>
      <x:c r="F8" s="26" t="str"/>
    </x:row>
    <x:row r="9">
      <x:c r="A9" s="26" t="str">
        <x:v>Число конкурентов в выборке</x:v>
      </x:c>
      <x:c r="B9" s="55" t="n">
        <x:f>SUM('02_Конкуренты_SW'!E4:E33)</x:f>
        <x:v>139990</x:v>
      </x:c>
      <x:c r="C9" s="26" t="str">
        <x:v>сайтов</x:v>
      </x:c>
      <x:c r="D9" s="26" t="str">
        <x:v>формула</x:v>
      </x:c>
      <x:c r="E9" s="26" t="str">
        <x:v>Автоматически считается по листу конкурентов.</x:v>
      </x:c>
      <x:c r="F9" s="26" t="str">
        <x:v>02_Конкуренты_SW</x:v>
      </x:c>
    </x:row>
    <x:row r="10">
      <x:c r="A10" s="26" t="str">
        <x:v>Суммарный релевантный трафик</x:v>
      </x:c>
      <x:c r="B10" s="26" t="str"/>
      <x:c r="C10" s="26" t="str">
        <x:v>визитов/мес.</x:v>
      </x:c>
      <x:c r="D10" s="26" t="str">
        <x:v>формула</x:v>
      </x:c>
      <x:c r="E10" s="26" t="str">
        <x:v>Сумма трафика конкурентов с учетом выбранной географии.</x:v>
      </x:c>
      <x:c r="F10" s="26" t="str">
        <x:v>02_Конкуренты_SW</x:v>
      </x:c>
    </x:row>
    <x:row r="11">
      <x:c r="A11" s="26" t="str">
        <x:v>Порог высокого CR3</x:v>
      </x:c>
      <x:c r="B11" s="56" t="n">
        <x:v>0.6</x:v>
      </x:c>
      <x:c r="C11" s="26" t="str">
        <x:v>%</x:v>
      </x:c>
      <x:c r="D11" s="26" t="str">
        <x:v>ввод</x:v>
      </x:c>
      <x:c r="E11" s="26" t="str">
        <x:v>Если 3 лидера контролируют больше порога, рынок концентрирован.</x:v>
      </x:c>
      <x:c r="F11" s="26" t="str"/>
    </x:row>
    <x:row r="12">
      <x:c r="A12" s="26" t="str">
        <x:v>Порог высокого CR5</x:v>
      </x:c>
      <x:c r="B12" s="56" t="n">
        <x:v>0.75</x:v>
      </x:c>
      <x:c r="C12" s="26" t="str">
        <x:v>%</x:v>
      </x:c>
      <x:c r="D12" s="26" t="str">
        <x:v>ввод</x:v>
      </x:c>
      <x:c r="E12" s="26" t="str">
        <x:v>Если 5 лидеров контролируют больше порога, вход труднее.</x:v>
      </x:c>
      <x:c r="F12" s="26" t="str"/>
    </x:row>
    <x:row r="13">
      <x:c r="A13" s="26" t="str">
        <x:v>Порог высокого HHI</x:v>
      </x:c>
      <x:c r="B13" s="54" t="n">
        <x:v>2500</x:v>
      </x:c>
      <x:c r="C13" s="26" t="str">
        <x:v>индекс</x:v>
      </x:c>
      <x:c r="D13" s="26" t="str">
        <x:v>ввод</x:v>
      </x:c>
      <x:c r="E13" s="26" t="str">
        <x:v>Ориентир высокой концентрации по долям трафика.</x:v>
      </x:c>
      <x:c r="F13" s="26" t="str"/>
    </x:row>
    <x:row r="14">
      <x:c r="A14" s="26" t="str">
        <x:v>Порог высокой доли платного трафика</x:v>
      </x:c>
      <x:c r="B14" s="56" t="n">
        <x:v>0.2</x:v>
      </x:c>
      <x:c r="C14" s="26" t="str">
        <x:v>%</x:v>
      </x:c>
      <x:c r="D14" s="26" t="str">
        <x:v>ввод</x:v>
      </x:c>
      <x:c r="E14" s="26" t="str">
        <x:v>Высокая доля paid traffic означает дорогой вход через рекламу.</x:v>
      </x:c>
      <x:c r="F14" s="26" t="str"/>
    </x:row>
    <x:row r="15">
      <x:c r="A15" s="26" t="str">
        <x:v>Порог высокой доли органики</x:v>
      </x:c>
      <x:c r="B15" s="56" t="n">
        <x:v>0.45</x:v>
      </x:c>
      <x:c r="C15" s="26" t="str">
        <x:v>%</x:v>
      </x:c>
      <x:c r="D15" s="26" t="str">
        <x:v>ввод</x:v>
      </x:c>
      <x:c r="E15" s="26" t="str">
        <x:v>Высокая доля органики означает сильную SEO-позицию конкурентов.</x:v>
      </x:c>
      <x:c r="F15" s="26" t="str"/>
    </x:row>
    <x:row r="16">
      <x:c r="A16" s="26" t="str">
        <x:v>Порог высокой брендовой силы</x:v>
      </x:c>
      <x:c r="B16" s="56" t="n">
        <x:v>0.5</x:v>
      </x:c>
      <x:c r="C16" s="26" t="str">
        <x:v>%</x:v>
      </x:c>
      <x:c r="D16" s="26" t="str">
        <x:v>ввод</x:v>
      </x:c>
      <x:c r="E16" s="26" t="str">
        <x:v>Прямой + брендовый трафик как признак узнаваемости.</x:v>
      </x:c>
      <x:c r="F16" s="26" t="str"/>
    </x:row>
    <x:row r="17">
      <x:c r="A17" s="26" t="str">
        <x:v>Порог отзывов на конкурента</x:v>
      </x:c>
      <x:c r="B17" s="54" t="n">
        <x:v>100</x:v>
      </x:c>
      <x:c r="C17" s="26" t="str">
        <x:v>отзывов</x:v>
      </x:c>
      <x:c r="D17" s="26" t="str">
        <x:v>ввод</x:v>
      </x:c>
      <x:c r="E17" s="26" t="str">
        <x:v>Если у игроков много отзывов, новому бизнесу труднее получить доверие.</x:v>
      </x:c>
      <x:c r="F17" s="26" t="str"/>
    </x:row>
    <x:row r="18">
      <x:c r="A18" s="26" t="str">
        <x:v>Порог рекламной активности</x:v>
      </x:c>
      <x:c r="B18" s="26" t="n">
        <x:v>30</x:v>
      </x:c>
      <x:c r="C18" s="26" t="str">
        <x:v>объявлений</x:v>
      </x:c>
      <x:c r="D18" s="26" t="str">
        <x:v>ввод</x:v>
      </x:c>
      <x:c r="E18" s="26" t="str">
        <x:v>Ориентир высокого рекламного давления по рекламным библиотекам.</x:v>
      </x:c>
      <x:c r="F18" s="26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12" hidden="0" customWidth="1"/>
    <x:col min="12" max="12" width="14" hidden="0" customWidth="1"/>
    <x:col min="13" max="13" width="12" hidden="0" customWidth="1"/>
    <x:col min="14" max="14" width="12" hidden="0" customWidth="1"/>
    <x:col min="15" max="15" width="16" hidden="0" customWidth="1"/>
    <x:col min="16" max="16" width="16" hidden="0" customWidth="1"/>
    <x:col min="17" max="17" width="26" hidden="0" customWidth="1"/>
  </x:cols>
  <x:sheetData>
    <x:row r="1" ht="30" customHeight="1">
      <x:c r="A1" s="5" t="str">
        <x:v>Данные Similarweb по конкурентам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32" customHeight="1">
      <x:c r="A2" s="13" t="str">
        <x:v>Заполните сайты конкурентов и показатели Similarweb. Релевантный трафик и доля рынка считаются автоматически.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3" ht="34" customHeight="1">
      <x:c r="A3" s="21" t="str">
        <x:v>Конкурент / сайт</x:v>
      </x:c>
      <x:c r="B3" s="21" t="str">
        <x:v>Тип игрока</x:v>
      </x:c>
      <x:c r="C3" s="21" t="str">
        <x:v>Месячные визиты</x:v>
      </x:c>
      <x:c r="D3" s="21" t="str">
        <x:v>Доля целевой географии</x:v>
      </x:c>
      <x:c r="E3" s="21" t="str">
        <x:v>Релевантный трафик</x:v>
      </x:c>
      <x:c r="F3" s="21" t="str">
        <x:v>Доля релевантного трафика</x:v>
      </x:c>
      <x:c r="G3" s="21" t="str">
        <x:v>Длительность, сек.</x:v>
      </x:c>
      <x:c r="H3" s="21" t="str">
        <x:v>Страниц/визит</x:v>
      </x:c>
      <x:c r="I3" s="21" t="str">
        <x:v>Отказы</x:v>
      </x:c>
      <x:c r="J3" s="21" t="str">
        <x:v>Прямой трафик</x:v>
      </x:c>
      <x:c r="K3" s="21" t="str">
        <x:v>Органика</x:v>
      </x:c>
      <x:c r="L3" s="21" t="str">
        <x:v>Платный поиск</x:v>
      </x:c>
      <x:c r="M3" s="21" t="str">
        <x:v>Соцсети</x:v>
      </x:c>
      <x:c r="N3" s="21" t="str">
        <x:v>Рефералы</x:v>
      </x:c>
      <x:c r="O3" s="21" t="str">
        <x:v>Медийная реклама</x:v>
      </x:c>
      <x:c r="P3" s="21" t="str">
        <x:v>Брендовый поиск</x:v>
      </x:c>
      <x:c r="Q3" s="21" t="str">
        <x:v>Комментарий</x:v>
      </x:c>
    </x:row>
    <x:row r="4">
      <x:c r="A4" s="54" t="str">
        <x:v>agency-a.by</x:v>
      </x:c>
      <x:c r="B4" s="54" t="str">
        <x:v>агентство</x:v>
      </x:c>
      <x:c r="C4" s="66" t="n">
        <x:v>42000</x:v>
      </x:c>
      <x:c r="D4" s="67" t="n">
        <x:v>0.82</x:v>
      </x:c>
      <x:c r="E4" s="55" t="n">
        <x:f>IFERROR(C4*D4,0)</x:f>
        <x:v>34440</x:v>
      </x:c>
      <x:c r="F4" s="64" t="n">
        <x:f>IFERROR(E4/SUM($E$4:$E$33),0)</x:f>
        <x:v>0.24601757268376312</x:v>
      </x:c>
      <x:c r="G4" s="54" t="n">
        <x:v>145</x:v>
      </x:c>
      <x:c r="H4" s="54" t="n">
        <x:v>3.2</x:v>
      </x:c>
      <x:c r="I4" s="67" t="n">
        <x:v>0.48</x:v>
      </x:c>
      <x:c r="J4" s="67" t="n">
        <x:v>0.25</x:v>
      </x:c>
      <x:c r="K4" s="67" t="n">
        <x:v>0.44</x:v>
      </x:c>
      <x:c r="L4" s="67" t="n">
        <x:v>0.11</x:v>
      </x:c>
      <x:c r="M4" s="67" t="n">
        <x:v>0.09</x:v>
      </x:c>
      <x:c r="N4" s="67" t="n">
        <x:v>0.06</x:v>
      </x:c>
      <x:c r="O4" s="67" t="n">
        <x:v>0.05</x:v>
      </x:c>
      <x:c r="P4" s="67" t="n">
        <x:v>0.2</x:v>
      </x:c>
      <x:c r="Q4" s="54" t="str">
        <x:v>демонстрационная строка</x:v>
      </x:c>
    </x:row>
    <x:row r="5">
      <x:c r="A5" s="54" t="str">
        <x:v>marketing-b.by</x:v>
      </x:c>
      <x:c r="B5" s="54" t="str">
        <x:v>агентство</x:v>
      </x:c>
      <x:c r="C5" s="66" t="n">
        <x:v>28000</x:v>
      </x:c>
      <x:c r="D5" s="67" t="n">
        <x:v>0.76</x:v>
      </x:c>
      <x:c r="E5" s="55" t="n">
        <x:f>IFERROR(C5*D5,0)</x:f>
        <x:v>21280</x:v>
      </x:c>
      <x:c r="F5" s="64" t="n">
        <x:f>IFERROR(E5/SUM($E$4:$E$33),0)</x:f>
        <x:v>0.15201085791842275</x:v>
      </x:c>
      <x:c r="G5" s="54" t="n">
        <x:v>110</x:v>
      </x:c>
      <x:c r="H5" s="54" t="n">
        <x:v>2.7</x:v>
      </x:c>
      <x:c r="I5" s="67" t="n">
        <x:v>0.55</x:v>
      </x:c>
      <x:c r="J5" s="67" t="n">
        <x:v>0.18</x:v>
      </x:c>
      <x:c r="K5" s="67" t="n">
        <x:v>0.52</x:v>
      </x:c>
      <x:c r="L5" s="67" t="n">
        <x:v>0.08</x:v>
      </x:c>
      <x:c r="M5" s="67" t="n">
        <x:v>0.12</x:v>
      </x:c>
      <x:c r="N5" s="67" t="n">
        <x:v>0.04</x:v>
      </x:c>
      <x:c r="O5" s="67" t="n">
        <x:v>0.06</x:v>
      </x:c>
      <x:c r="P5" s="67" t="n">
        <x:v>0.16</x:v>
      </x:c>
      <x:c r="Q5" s="54" t="str">
        <x:v>демонстрационная строка</x:v>
      </x:c>
    </x:row>
    <x:row r="6">
      <x:c r="A6" s="54" t="str">
        <x:v>smm-c.by</x:v>
      </x:c>
      <x:c r="B6" s="54" t="str">
        <x:v>нишевый специалист</x:v>
      </x:c>
      <x:c r="C6" s="66" t="n">
        <x:v>16000</x:v>
      </x:c>
      <x:c r="D6" s="67" t="n">
        <x:v>0.9</x:v>
      </x:c>
      <x:c r="E6" s="55" t="n">
        <x:f>IFERROR(C6*D6,0)</x:f>
        <x:v>14400</x:v>
      </x:c>
      <x:c r="F6" s="64" t="n">
        <x:f>IFERROR(E6/SUM($E$4:$E$33),0)</x:f>
        <x:v>0.10286449032073719</x:v>
      </x:c>
      <x:c r="G6" s="54" t="n">
        <x:v>95</x:v>
      </x:c>
      <x:c r="H6" s="54" t="n">
        <x:v>2.1</x:v>
      </x:c>
      <x:c r="I6" s="67" t="n">
        <x:v>0.62</x:v>
      </x:c>
      <x:c r="J6" s="67" t="n">
        <x:v>0.12</x:v>
      </x:c>
      <x:c r="K6" s="67" t="n">
        <x:v>0.36</x:v>
      </x:c>
      <x:c r="L6" s="67" t="n">
        <x:v>0.22</x:v>
      </x:c>
      <x:c r="M6" s="67" t="n">
        <x:v>0.2</x:v>
      </x:c>
      <x:c r="N6" s="67" t="n">
        <x:v>0.05</x:v>
      </x:c>
      <x:c r="O6" s="67" t="n">
        <x:v>0.05</x:v>
      </x:c>
      <x:c r="P6" s="67" t="n">
        <x:v>0.1</x:v>
      </x:c>
      <x:c r="Q6" s="54" t="str">
        <x:v>демонстрационная строка</x:v>
      </x:c>
    </x:row>
    <x:row r="7">
      <x:c r="A7" s="54" t="str">
        <x:v>ads-d.by</x:v>
      </x:c>
      <x:c r="B7" s="54" t="str">
        <x:v>рекламный подрядчик</x:v>
      </x:c>
      <x:c r="C7" s="66" t="n">
        <x:v>23000</x:v>
      </x:c>
      <x:c r="D7" s="67" t="n">
        <x:v>0.7</x:v>
      </x:c>
      <x:c r="E7" s="55" t="n">
        <x:f>IFERROR(C7*D7,0)</x:f>
        <x:v>16099.999999999998</x:v>
      </x:c>
      <x:c r="F7" s="64" t="n">
        <x:f>IFERROR(E7/SUM($E$4:$E$33),0)</x:f>
        <x:v>0.11500821487249088</x:v>
      </x:c>
      <x:c r="G7" s="54" t="n">
        <x:v>130</x:v>
      </x:c>
      <x:c r="H7" s="54" t="n">
        <x:v>2.9</x:v>
      </x:c>
      <x:c r="I7" s="67" t="n">
        <x:v>0.5</x:v>
      </x:c>
      <x:c r="J7" s="67" t="n">
        <x:v>0.21</x:v>
      </x:c>
      <x:c r="K7" s="67" t="n">
        <x:v>0.31</x:v>
      </x:c>
      <x:c r="L7" s="67" t="n">
        <x:v>0.29</x:v>
      </x:c>
      <x:c r="M7" s="67" t="n">
        <x:v>0.08</x:v>
      </x:c>
      <x:c r="N7" s="67" t="n">
        <x:v>0.05</x:v>
      </x:c>
      <x:c r="O7" s="67" t="n">
        <x:v>0.06</x:v>
      </x:c>
      <x:c r="P7" s="67" t="n">
        <x:v>0.18</x:v>
      </x:c>
      <x:c r="Q7" s="54" t="str">
        <x:v>демонстрационная строка</x:v>
      </x:c>
    </x:row>
    <x:row r="8">
      <x:c r="A8" s="54" t="str">
        <x:v>consult-e.by</x:v>
      </x:c>
      <x:c r="B8" s="54" t="str">
        <x:v>консалтинг</x:v>
      </x:c>
      <x:c r="C8" s="66" t="n">
        <x:v>9000</x:v>
      </x:c>
      <x:c r="D8" s="67" t="n">
        <x:v>0.65</x:v>
      </x:c>
      <x:c r="E8" s="55" t="n">
        <x:f>IFERROR(C8*D8,0)</x:f>
        <x:v>5850</x:v>
      </x:c>
      <x:c r="F8" s="64" t="n">
        <x:f>IFERROR(E8/SUM($E$4:$E$33),0)</x:f>
        <x:v>0.04178869919279948</x:v>
      </x:c>
      <x:c r="G8" s="54" t="n">
        <x:v>160</x:v>
      </x:c>
      <x:c r="H8" s="54" t="n">
        <x:v>3.6</x:v>
      </x:c>
      <x:c r="I8" s="67" t="n">
        <x:v>0.42</x:v>
      </x:c>
      <x:c r="J8" s="67" t="n">
        <x:v>0.34</x:v>
      </x:c>
      <x:c r="K8" s="67" t="n">
        <x:v>0.41</x:v>
      </x:c>
      <x:c r="L8" s="67" t="n">
        <x:v>0.05</x:v>
      </x:c>
      <x:c r="M8" s="67" t="n">
        <x:v>0.07</x:v>
      </x:c>
      <x:c r="N8" s="67" t="n">
        <x:v>0.08</x:v>
      </x:c>
      <x:c r="O8" s="67" t="n">
        <x:v>0.05</x:v>
      </x:c>
      <x:c r="P8" s="67" t="n">
        <x:v>0.27</x:v>
      </x:c>
      <x:c r="Q8" s="54" t="str">
        <x:v>демонстрационная строка</x:v>
      </x:c>
    </x:row>
    <x:row r="9">
      <x:c r="A9" s="54" t="str">
        <x:v>freelance-platform.example</x:v>
      </x:c>
      <x:c r="B9" s="54" t="str">
        <x:v>платформа услуг</x:v>
      </x:c>
      <x:c r="C9" s="66" t="n">
        <x:v>80000</x:v>
      </x:c>
      <x:c r="D9" s="67" t="n">
        <x:v>0.35</x:v>
      </x:c>
      <x:c r="E9" s="55" t="n">
        <x:f>IFERROR(C9*D9,0)</x:f>
        <x:v>28000</x:v>
      </x:c>
      <x:c r="F9" s="64" t="n">
        <x:f>IFERROR(E9/SUM($E$4:$E$33),0)</x:f>
        <x:v>0.20001428673476676</x:v>
      </x:c>
      <x:c r="G9" s="54" t="n">
        <x:v>180</x:v>
      </x:c>
      <x:c r="H9" s="54" t="n">
        <x:v>4.2</x:v>
      </x:c>
      <x:c r="I9" s="67" t="n">
        <x:v>0.39</x:v>
      </x:c>
      <x:c r="J9" s="67" t="n">
        <x:v>0.3</x:v>
      </x:c>
      <x:c r="K9" s="67" t="n">
        <x:v>0.28</x:v>
      </x:c>
      <x:c r="L9" s="67" t="n">
        <x:v>0.18</x:v>
      </x:c>
      <x:c r="M9" s="67" t="n">
        <x:v>0.14</x:v>
      </x:c>
      <x:c r="N9" s="67" t="n">
        <x:v>0.06</x:v>
      </x:c>
      <x:c r="O9" s="67" t="n">
        <x:v>0.04</x:v>
      </x:c>
      <x:c r="P9" s="67" t="n">
        <x:v>0.25</x:v>
      </x:c>
      <x:c r="Q9" s="54" t="str">
        <x:v>частично релевантный игрок</x:v>
      </x:c>
    </x:row>
    <x:row r="10">
      <x:c r="A10" s="54" t="str">
        <x:v>course-f.by</x:v>
      </x:c>
      <x:c r="B10" s="54" t="str">
        <x:v>обучающий заменитель</x:v>
      </x:c>
      <x:c r="C10" s="66" t="n">
        <x:v>12000</x:v>
      </x:c>
      <x:c r="D10" s="67" t="n">
        <x:v>0.88</x:v>
      </x:c>
      <x:c r="E10" s="55" t="n">
        <x:f>IFERROR(C10*D10,0)</x:f>
        <x:v>10560</x:v>
      </x:c>
      <x:c r="F10" s="64" t="n">
        <x:f>IFERROR(E10/SUM($E$4:$E$33),0)</x:f>
        <x:v>0.07543395956854061</x:v>
      </x:c>
      <x:c r="G10" s="54" t="n">
        <x:v>120</x:v>
      </x:c>
      <x:c r="H10" s="54" t="n">
        <x:v>2.4</x:v>
      </x:c>
      <x:c r="I10" s="67" t="n">
        <x:v>0.57</x:v>
      </x:c>
      <x:c r="J10" s="67" t="n">
        <x:v>0.16</x:v>
      </x:c>
      <x:c r="K10" s="67" t="n">
        <x:v>0.48</x:v>
      </x:c>
      <x:c r="L10" s="67" t="n">
        <x:v>0.1</x:v>
      </x:c>
      <x:c r="M10" s="67" t="n">
        <x:v>0.18</x:v>
      </x:c>
      <x:c r="N10" s="67" t="n">
        <x:v>0.04</x:v>
      </x:c>
      <x:c r="O10" s="67" t="n">
        <x:v>0.04</x:v>
      </x:c>
      <x:c r="P10" s="67" t="n">
        <x:v>0.12</x:v>
      </x:c>
      <x:c r="Q10" s="54" t="str">
        <x:v>заменитель</x:v>
      </x:c>
    </x:row>
    <x:row r="11">
      <x:c r="A11" s="54" t="str">
        <x:v>crm-g.by</x:v>
      </x:c>
      <x:c r="B11" s="54" t="str">
        <x:v>цифровой сервис</x:v>
      </x:c>
      <x:c r="C11" s="66" t="n">
        <x:v>18000</x:v>
      </x:c>
      <x:c r="D11" s="67" t="n">
        <x:v>0.52</x:v>
      </x:c>
      <x:c r="E11" s="55" t="n">
        <x:f>IFERROR(C11*D11,0)</x:f>
        <x:v>9360</x:v>
      </x:c>
      <x:c r="F11" s="64" t="n">
        <x:f>IFERROR(E11/SUM($E$4:$E$33),0)</x:f>
        <x:v>0.06686191870847917</x:v>
      </x:c>
      <x:c r="G11" s="54" t="n">
        <x:v>210</x:v>
      </x:c>
      <x:c r="H11" s="54" t="n">
        <x:v>5</x:v>
      </x:c>
      <x:c r="I11" s="67" t="n">
        <x:v>0.35</x:v>
      </x:c>
      <x:c r="J11" s="67" t="n">
        <x:v>0.4</x:v>
      </x:c>
      <x:c r="K11" s="67" t="n">
        <x:v>0.25</x:v>
      </x:c>
      <x:c r="L11" s="67" t="n">
        <x:v>0.15</x:v>
      </x:c>
      <x:c r="M11" s="67" t="n">
        <x:v>0.07</x:v>
      </x:c>
      <x:c r="N11" s="67" t="n">
        <x:v>0.08</x:v>
      </x:c>
      <x:c r="O11" s="67" t="n">
        <x:v>0.05</x:v>
      </x:c>
      <x:c r="P11" s="67" t="n">
        <x:v>0.33</x:v>
      </x:c>
      <x:c r="Q11" s="54" t="str">
        <x:v>заменитель/поставщик</x:v>
      </x:c>
    </x:row>
    <x:row r="12">
      <x:c r="A12" s="54"/>
      <x:c r="B12" s="54"/>
      <x:c r="C12" s="66"/>
      <x:c r="D12" s="67"/>
      <x:c r="E12" s="55" t="n">
        <x:f>IFERROR(C12*D12,0)</x:f>
        <x:v>0</x:v>
      </x:c>
      <x:c r="F12" s="64" t="n">
        <x:f>IFERROR(E12/SUM($E$4:$E$33),0)</x:f>
        <x:v>0</x:v>
      </x:c>
      <x:c r="G12" s="54"/>
      <x:c r="H12" s="54"/>
      <x:c r="I12" s="67"/>
      <x:c r="J12" s="67"/>
      <x:c r="K12" s="67"/>
      <x:c r="L12" s="67"/>
      <x:c r="M12" s="67"/>
      <x:c r="N12" s="67"/>
      <x:c r="O12" s="67"/>
      <x:c r="P12" s="67"/>
      <x:c r="Q12" s="54"/>
    </x:row>
    <x:row r="13">
      <x:c r="A13" s="54"/>
      <x:c r="B13" s="54"/>
      <x:c r="C13" s="66"/>
      <x:c r="D13" s="67"/>
      <x:c r="E13" s="55" t="n">
        <x:f>IFERROR(C13*D13,0)</x:f>
        <x:v>0</x:v>
      </x:c>
      <x:c r="F13" s="64" t="n">
        <x:f>IFERROR(E13/SUM($E$4:$E$33),0)</x:f>
        <x:v>0</x:v>
      </x:c>
      <x:c r="G13" s="54"/>
      <x:c r="H13" s="54"/>
      <x:c r="I13" s="67"/>
      <x:c r="J13" s="67"/>
      <x:c r="K13" s="67"/>
      <x:c r="L13" s="67"/>
      <x:c r="M13" s="67"/>
      <x:c r="N13" s="67"/>
      <x:c r="O13" s="67"/>
      <x:c r="P13" s="67"/>
      <x:c r="Q13" s="54"/>
    </x:row>
    <x:row r="14">
      <x:c r="A14" s="54"/>
      <x:c r="B14" s="54"/>
      <x:c r="C14" s="66"/>
      <x:c r="D14" s="67"/>
      <x:c r="E14" s="55" t="n">
        <x:f>IFERROR(C14*D14,0)</x:f>
        <x:v>0</x:v>
      </x:c>
      <x:c r="F14" s="64" t="n">
        <x:f>IFERROR(E14/SUM($E$4:$E$33),0)</x:f>
        <x:v>0</x:v>
      </x:c>
      <x:c r="G14" s="54"/>
      <x:c r="H14" s="54"/>
      <x:c r="I14" s="67"/>
      <x:c r="J14" s="67"/>
      <x:c r="K14" s="67"/>
      <x:c r="L14" s="67"/>
      <x:c r="M14" s="67"/>
      <x:c r="N14" s="67"/>
      <x:c r="O14" s="67"/>
      <x:c r="P14" s="67"/>
      <x:c r="Q14" s="54"/>
    </x:row>
    <x:row r="15">
      <x:c r="A15" s="54"/>
      <x:c r="B15" s="54"/>
      <x:c r="C15" s="66"/>
      <x:c r="D15" s="67"/>
      <x:c r="E15" s="55" t="n">
        <x:f>IFERROR(C15*D15,0)</x:f>
        <x:v>0</x:v>
      </x:c>
      <x:c r="F15" s="64" t="n">
        <x:f>IFERROR(E15/SUM($E$4:$E$33),0)</x:f>
        <x:v>0</x:v>
      </x:c>
      <x:c r="G15" s="54"/>
      <x:c r="H15" s="54"/>
      <x:c r="I15" s="67"/>
      <x:c r="J15" s="67"/>
      <x:c r="K15" s="67"/>
      <x:c r="L15" s="67"/>
      <x:c r="M15" s="67"/>
      <x:c r="N15" s="67"/>
      <x:c r="O15" s="67"/>
      <x:c r="P15" s="67"/>
      <x:c r="Q15" s="54"/>
    </x:row>
    <x:row r="16">
      <x:c r="A16" s="54"/>
      <x:c r="B16" s="54"/>
      <x:c r="C16" s="66"/>
      <x:c r="D16" s="67"/>
      <x:c r="E16" s="55" t="n">
        <x:f>IFERROR(C16*D16,0)</x:f>
        <x:v>0</x:v>
      </x:c>
      <x:c r="F16" s="64" t="n">
        <x:f>IFERROR(E16/SUM($E$4:$E$33),0)</x:f>
        <x:v>0</x:v>
      </x:c>
      <x:c r="G16" s="54"/>
      <x:c r="H16" s="54"/>
      <x:c r="I16" s="67"/>
      <x:c r="J16" s="67"/>
      <x:c r="K16" s="67"/>
      <x:c r="L16" s="67"/>
      <x:c r="M16" s="67"/>
      <x:c r="N16" s="67"/>
      <x:c r="O16" s="67"/>
      <x:c r="P16" s="67"/>
      <x:c r="Q16" s="54"/>
    </x:row>
    <x:row r="17">
      <x:c r="A17" s="54"/>
      <x:c r="B17" s="54"/>
      <x:c r="C17" s="66"/>
      <x:c r="D17" s="67"/>
      <x:c r="E17" s="55" t="n">
        <x:f>IFERROR(C17*D17,0)</x:f>
        <x:v>0</x:v>
      </x:c>
      <x:c r="F17" s="64" t="n">
        <x:f>IFERROR(E17/SUM($E$4:$E$33),0)</x:f>
        <x:v>0</x:v>
      </x:c>
      <x:c r="G17" s="54"/>
      <x:c r="H17" s="54"/>
      <x:c r="I17" s="67"/>
      <x:c r="J17" s="67"/>
      <x:c r="K17" s="67"/>
      <x:c r="L17" s="67"/>
      <x:c r="M17" s="67"/>
      <x:c r="N17" s="67"/>
      <x:c r="O17" s="67"/>
      <x:c r="P17" s="67"/>
      <x:c r="Q17" s="54"/>
    </x:row>
    <x:row r="18">
      <x:c r="A18" s="54"/>
      <x:c r="B18" s="54"/>
      <x:c r="C18" s="66"/>
      <x:c r="D18" s="67"/>
      <x:c r="E18" s="55" t="n">
        <x:f>IFERROR(C18*D18,0)</x:f>
        <x:v>0</x:v>
      </x:c>
      <x:c r="F18" s="64" t="n">
        <x:f>IFERROR(E18/SUM($E$4:$E$33),0)</x:f>
        <x:v>0</x:v>
      </x:c>
      <x:c r="G18" s="54"/>
      <x:c r="H18" s="54"/>
      <x:c r="I18" s="67"/>
      <x:c r="J18" s="67"/>
      <x:c r="K18" s="67"/>
      <x:c r="L18" s="67"/>
      <x:c r="M18" s="67"/>
      <x:c r="N18" s="67"/>
      <x:c r="O18" s="67"/>
      <x:c r="P18" s="67"/>
      <x:c r="Q18" s="54"/>
    </x:row>
    <x:row r="19">
      <x:c r="A19" s="54"/>
      <x:c r="B19" s="54"/>
      <x:c r="C19" s="66"/>
      <x:c r="D19" s="67"/>
      <x:c r="E19" s="55" t="n">
        <x:f>IFERROR(C19*D19,0)</x:f>
        <x:v>0</x:v>
      </x:c>
      <x:c r="F19" s="64" t="n">
        <x:f>IFERROR(E19/SUM($E$4:$E$33),0)</x:f>
        <x:v>0</x:v>
      </x:c>
      <x:c r="G19" s="54"/>
      <x:c r="H19" s="54"/>
      <x:c r="I19" s="67"/>
      <x:c r="J19" s="67"/>
      <x:c r="K19" s="67"/>
      <x:c r="L19" s="67"/>
      <x:c r="M19" s="67"/>
      <x:c r="N19" s="67"/>
      <x:c r="O19" s="67"/>
      <x:c r="P19" s="67"/>
      <x:c r="Q19" s="54"/>
    </x:row>
    <x:row r="20">
      <x:c r="A20" s="54"/>
      <x:c r="B20" s="54"/>
      <x:c r="C20" s="66"/>
      <x:c r="D20" s="67"/>
      <x:c r="E20" s="55" t="n">
        <x:f>IFERROR(C20*D20,0)</x:f>
        <x:v>0</x:v>
      </x:c>
      <x:c r="F20" s="64" t="n">
        <x:f>IFERROR(E20/SUM($E$4:$E$33),0)</x:f>
        <x:v>0</x:v>
      </x:c>
      <x:c r="G20" s="54"/>
      <x:c r="H20" s="54"/>
      <x:c r="I20" s="67"/>
      <x:c r="J20" s="67"/>
      <x:c r="K20" s="67"/>
      <x:c r="L20" s="67"/>
      <x:c r="M20" s="67"/>
      <x:c r="N20" s="67"/>
      <x:c r="O20" s="67"/>
      <x:c r="P20" s="67"/>
      <x:c r="Q20" s="54"/>
    </x:row>
    <x:row r="21">
      <x:c r="A21" s="54"/>
      <x:c r="B21" s="54"/>
      <x:c r="C21" s="66"/>
      <x:c r="D21" s="67"/>
      <x:c r="E21" s="55" t="n">
        <x:f>IFERROR(C21*D21,0)</x:f>
        <x:v>0</x:v>
      </x:c>
      <x:c r="F21" s="64" t="n">
        <x:f>IFERROR(E21/SUM($E$4:$E$33),0)</x:f>
        <x:v>0</x:v>
      </x:c>
      <x:c r="G21" s="54"/>
      <x:c r="H21" s="54"/>
      <x:c r="I21" s="67"/>
      <x:c r="J21" s="67"/>
      <x:c r="K21" s="67"/>
      <x:c r="L21" s="67"/>
      <x:c r="M21" s="67"/>
      <x:c r="N21" s="67"/>
      <x:c r="O21" s="67"/>
      <x:c r="P21" s="67"/>
      <x:c r="Q21" s="54"/>
    </x:row>
    <x:row r="22">
      <x:c r="A22" s="54"/>
      <x:c r="B22" s="54"/>
      <x:c r="C22" s="66"/>
      <x:c r="D22" s="67"/>
      <x:c r="E22" s="55" t="n">
        <x:f>IFERROR(C22*D22,0)</x:f>
        <x:v>0</x:v>
      </x:c>
      <x:c r="F22" s="64" t="n">
        <x:f>IFERROR(E22/SUM($E$4:$E$33),0)</x:f>
        <x:v>0</x:v>
      </x:c>
      <x:c r="G22" s="54"/>
      <x:c r="H22" s="54"/>
      <x:c r="I22" s="67"/>
      <x:c r="J22" s="67"/>
      <x:c r="K22" s="67"/>
      <x:c r="L22" s="67"/>
      <x:c r="M22" s="67"/>
      <x:c r="N22" s="67"/>
      <x:c r="O22" s="67"/>
      <x:c r="P22" s="67"/>
      <x:c r="Q22" s="54"/>
    </x:row>
    <x:row r="23">
      <x:c r="A23" s="54"/>
      <x:c r="B23" s="54"/>
      <x:c r="C23" s="66"/>
      <x:c r="D23" s="67"/>
      <x:c r="E23" s="55" t="n">
        <x:f>IFERROR(C23*D23,0)</x:f>
        <x:v>0</x:v>
      </x:c>
      <x:c r="F23" s="64" t="n">
        <x:f>IFERROR(E23/SUM($E$4:$E$33),0)</x:f>
        <x:v>0</x:v>
      </x:c>
      <x:c r="G23" s="54"/>
      <x:c r="H23" s="54"/>
      <x:c r="I23" s="67"/>
      <x:c r="J23" s="67"/>
      <x:c r="K23" s="67"/>
      <x:c r="L23" s="67"/>
      <x:c r="M23" s="67"/>
      <x:c r="N23" s="67"/>
      <x:c r="O23" s="67"/>
      <x:c r="P23" s="67"/>
      <x:c r="Q23" s="54"/>
    </x:row>
    <x:row r="24">
      <x:c r="A24" s="54"/>
      <x:c r="B24" s="54"/>
      <x:c r="C24" s="66"/>
      <x:c r="D24" s="67"/>
      <x:c r="E24" s="55" t="n">
        <x:f>IFERROR(C24*D24,0)</x:f>
        <x:v>0</x:v>
      </x:c>
      <x:c r="F24" s="64" t="n">
        <x:f>IFERROR(E24/SUM($E$4:$E$33),0)</x:f>
        <x:v>0</x:v>
      </x:c>
      <x:c r="G24" s="54"/>
      <x:c r="H24" s="54"/>
      <x:c r="I24" s="67"/>
      <x:c r="J24" s="67"/>
      <x:c r="K24" s="67"/>
      <x:c r="L24" s="67"/>
      <x:c r="M24" s="67"/>
      <x:c r="N24" s="67"/>
      <x:c r="O24" s="67"/>
      <x:c r="P24" s="67"/>
      <x:c r="Q24" s="54"/>
    </x:row>
    <x:row r="25">
      <x:c r="A25" s="54"/>
      <x:c r="B25" s="54"/>
      <x:c r="C25" s="66"/>
      <x:c r="D25" s="67"/>
      <x:c r="E25" s="55" t="n">
        <x:f>IFERROR(C25*D25,0)</x:f>
        <x:v>0</x:v>
      </x:c>
      <x:c r="F25" s="64" t="n">
        <x:f>IFERROR(E25/SUM($E$4:$E$33),0)</x:f>
        <x:v>0</x:v>
      </x:c>
      <x:c r="G25" s="54"/>
      <x:c r="H25" s="54"/>
      <x:c r="I25" s="67"/>
      <x:c r="J25" s="67"/>
      <x:c r="K25" s="67"/>
      <x:c r="L25" s="67"/>
      <x:c r="M25" s="67"/>
      <x:c r="N25" s="67"/>
      <x:c r="O25" s="67"/>
      <x:c r="P25" s="67"/>
      <x:c r="Q25" s="54"/>
    </x:row>
    <x:row r="26">
      <x:c r="A26" s="54"/>
      <x:c r="B26" s="54"/>
      <x:c r="C26" s="66"/>
      <x:c r="D26" s="67"/>
      <x:c r="E26" s="55" t="n">
        <x:f>IFERROR(C26*D26,0)</x:f>
        <x:v>0</x:v>
      </x:c>
      <x:c r="F26" s="64" t="n">
        <x:f>IFERROR(E26/SUM($E$4:$E$33),0)</x:f>
        <x:v>0</x:v>
      </x:c>
      <x:c r="G26" s="54"/>
      <x:c r="H26" s="54"/>
      <x:c r="I26" s="67"/>
      <x:c r="J26" s="67"/>
      <x:c r="K26" s="67"/>
      <x:c r="L26" s="67"/>
      <x:c r="M26" s="67"/>
      <x:c r="N26" s="67"/>
      <x:c r="O26" s="67"/>
      <x:c r="P26" s="67"/>
      <x:c r="Q26" s="54"/>
    </x:row>
    <x:row r="27">
      <x:c r="A27" s="54"/>
      <x:c r="B27" s="54"/>
      <x:c r="C27" s="66"/>
      <x:c r="D27" s="67"/>
      <x:c r="E27" s="55" t="n">
        <x:f>IFERROR(C27*D27,0)</x:f>
        <x:v>0</x:v>
      </x:c>
      <x:c r="F27" s="64" t="n">
        <x:f>IFERROR(E27/SUM($E$4:$E$33),0)</x:f>
        <x:v>0</x:v>
      </x:c>
      <x:c r="G27" s="54"/>
      <x:c r="H27" s="54"/>
      <x:c r="I27" s="67"/>
      <x:c r="J27" s="67"/>
      <x:c r="K27" s="67"/>
      <x:c r="L27" s="67"/>
      <x:c r="M27" s="67"/>
      <x:c r="N27" s="67"/>
      <x:c r="O27" s="67"/>
      <x:c r="P27" s="67"/>
      <x:c r="Q27" s="54"/>
    </x:row>
    <x:row r="28">
      <x:c r="A28" s="54"/>
      <x:c r="B28" s="54"/>
      <x:c r="C28" s="66"/>
      <x:c r="D28" s="67"/>
      <x:c r="E28" s="55" t="n">
        <x:f>IFERROR(C28*D28,0)</x:f>
        <x:v>0</x:v>
      </x:c>
      <x:c r="F28" s="64" t="n">
        <x:f>IFERROR(E28/SUM($E$4:$E$33),0)</x:f>
        <x:v>0</x:v>
      </x:c>
      <x:c r="G28" s="54"/>
      <x:c r="H28" s="54"/>
      <x:c r="I28" s="67"/>
      <x:c r="J28" s="67"/>
      <x:c r="K28" s="67"/>
      <x:c r="L28" s="67"/>
      <x:c r="M28" s="67"/>
      <x:c r="N28" s="67"/>
      <x:c r="O28" s="67"/>
      <x:c r="P28" s="67"/>
      <x:c r="Q28" s="54"/>
    </x:row>
    <x:row r="29">
      <x:c r="A29" s="54"/>
      <x:c r="B29" s="54"/>
      <x:c r="C29" s="66"/>
      <x:c r="D29" s="67"/>
      <x:c r="E29" s="55" t="n">
        <x:f>IFERROR(C29*D29,0)</x:f>
        <x:v>0</x:v>
      </x:c>
      <x:c r="F29" s="64" t="n">
        <x:f>IFERROR(E29/SUM($E$4:$E$33),0)</x:f>
        <x:v>0</x:v>
      </x:c>
      <x:c r="G29" s="54"/>
      <x:c r="H29" s="54"/>
      <x:c r="I29" s="67"/>
      <x:c r="J29" s="67"/>
      <x:c r="K29" s="67"/>
      <x:c r="L29" s="67"/>
      <x:c r="M29" s="67"/>
      <x:c r="N29" s="67"/>
      <x:c r="O29" s="67"/>
      <x:c r="P29" s="67"/>
      <x:c r="Q29" s="54"/>
    </x:row>
    <x:row r="30">
      <x:c r="A30" s="54"/>
      <x:c r="B30" s="54"/>
      <x:c r="C30" s="66"/>
      <x:c r="D30" s="67"/>
      <x:c r="E30" s="55" t="n">
        <x:f>IFERROR(C30*D30,0)</x:f>
        <x:v>0</x:v>
      </x:c>
      <x:c r="F30" s="64" t="n">
        <x:f>IFERROR(E30/SUM($E$4:$E$33),0)</x:f>
        <x:v>0</x:v>
      </x:c>
      <x:c r="G30" s="54"/>
      <x:c r="H30" s="54"/>
      <x:c r="I30" s="67"/>
      <x:c r="J30" s="67"/>
      <x:c r="K30" s="67"/>
      <x:c r="L30" s="67"/>
      <x:c r="M30" s="67"/>
      <x:c r="N30" s="67"/>
      <x:c r="O30" s="67"/>
      <x:c r="P30" s="67"/>
      <x:c r="Q30" s="54"/>
    </x:row>
    <x:row r="31">
      <x:c r="A31" s="54"/>
      <x:c r="B31" s="54"/>
      <x:c r="C31" s="66"/>
      <x:c r="D31" s="67"/>
      <x:c r="E31" s="55" t="n">
        <x:f>IFERROR(C31*D31,0)</x:f>
        <x:v>0</x:v>
      </x:c>
      <x:c r="F31" s="64" t="n">
        <x:f>IFERROR(E31/SUM($E$4:$E$33),0)</x:f>
        <x:v>0</x:v>
      </x:c>
      <x:c r="G31" s="54"/>
      <x:c r="H31" s="54"/>
      <x:c r="I31" s="67"/>
      <x:c r="J31" s="67"/>
      <x:c r="K31" s="67"/>
      <x:c r="L31" s="67"/>
      <x:c r="M31" s="67"/>
      <x:c r="N31" s="67"/>
      <x:c r="O31" s="67"/>
      <x:c r="P31" s="67"/>
      <x:c r="Q31" s="54"/>
    </x:row>
    <x:row r="32">
      <x:c r="A32" s="54"/>
      <x:c r="B32" s="54"/>
      <x:c r="C32" s="66"/>
      <x:c r="D32" s="67"/>
      <x:c r="E32" s="55" t="n">
        <x:f>IFERROR(C32*D32,0)</x:f>
        <x:v>0</x:v>
      </x:c>
      <x:c r="F32" s="64" t="n">
        <x:f>IFERROR(E32/SUM($E$4:$E$33),0)</x:f>
        <x:v>0</x:v>
      </x:c>
      <x:c r="G32" s="54"/>
      <x:c r="H32" s="54"/>
      <x:c r="I32" s="67"/>
      <x:c r="J32" s="67"/>
      <x:c r="K32" s="67"/>
      <x:c r="L32" s="67"/>
      <x:c r="M32" s="67"/>
      <x:c r="N32" s="67"/>
      <x:c r="O32" s="67"/>
      <x:c r="P32" s="67"/>
      <x:c r="Q32" s="54"/>
    </x:row>
    <x:row r="33">
      <x:c r="A33" s="54"/>
      <x:c r="B33" s="54"/>
      <x:c r="C33" s="66"/>
      <x:c r="D33" s="67"/>
      <x:c r="E33" s="55" t="n">
        <x:f>IFERROR(C33*D33,0)</x:f>
        <x:v>0</x:v>
      </x:c>
      <x:c r="F33" s="64" t="n">
        <x:f>IFERROR(E33/SUM($E$4:$E$33),0)</x:f>
        <x:v>0</x:v>
      </x:c>
      <x:c r="G33" s="54"/>
      <x:c r="H33" s="54"/>
      <x:c r="I33" s="67"/>
      <x:c r="J33" s="67"/>
      <x:c r="K33" s="67"/>
      <x:c r="L33" s="67"/>
      <x:c r="M33" s="67"/>
      <x:c r="N33" s="67"/>
      <x:c r="O33" s="67"/>
      <x:c r="P33" s="67"/>
      <x:c r="Q33" s="54"/>
    </x:row>
    <x:row r="36" ht="34" customHeight="1">
      <x:c r="A36" s="21" t="str">
        <x:v>Показатель</x:v>
      </x:c>
      <x:c r="B36" s="21" t="str">
        <x:v>Формула / значение</x:v>
      </x:c>
      <x:c r="C36" s="21" t="str">
        <x:v>Интерпретация</x:v>
      </x:c>
    </x:row>
    <x:row r="37">
      <x:c r="A37" s="26" t="str">
        <x:v>Суммарный релевантный трафик</x:v>
      </x:c>
      <x:c r="B37" s="60" t="n">
        <x:f>SUM(E4:E33)</x:f>
        <x:v>139990</x:v>
      </x:c>
      <x:c r="C37" s="26" t="str">
        <x:v>Оценочный цифровой размер выборки конкурентов</x:v>
      </x:c>
    </x:row>
    <x:row r="38">
      <x:c r="A38" s="26" t="str">
        <x:v>CR3 по трафику</x:v>
      </x:c>
      <x:c r="B38" s="62" t="n">
        <x:f>LARGE(F4:F33,1)+LARGE(F4:F33,2)+LARGE(F4:F33,3)</x:f>
        <x:v>0.5980427173369526</x:v>
      </x:c>
      <x:c r="C38" s="26" t="str">
        <x:v>Доля трех крупнейших игроков</x:v>
      </x:c>
    </x:row>
    <x:row r="39">
      <x:c r="A39" s="26" t="str">
        <x:v>CR5 по трафику</x:v>
      </x:c>
      <x:c r="B39" s="62" t="n">
        <x:f>LARGE(F4:F33,1)+LARGE(F4:F33,2)+LARGE(F4:F33,3)+LARGE(F4:F33,4)+LARGE(F4:F33,5)</x:f>
        <x:v>0.8159154225301807</x:v>
      </x:c>
      <x:c r="C39" s="26" t="str">
        <x:v>Доля пяти крупнейших игроков</x:v>
      </x:c>
    </x:row>
    <x:row r="40">
      <x:c r="A40" s="26" t="str">
        <x:v>HHI по трафику</x:v>
      </x:c>
      <x:c r="B40" s="76" t="n">
        <x:f>SUMSQ(F4:F33)*10000</x:f>
        <x:v>1593.5274855921894</x:v>
      </x:c>
      <x:c r="C40" s="26" t="str">
        <x:v>Индекс концентрации на основе долей релевантного трафика</x:v>
      </x:c>
    </x:row>
    <x:row r="41">
      <x:c r="A41" s="26" t="str">
        <x:v>Средняя длительность визита</x:v>
      </x:c>
      <x:c r="B41" s="76" t="n">
        <x:f>IFERROR(SUMPRODUCT(E4:E33,G4:G33)/SUM(E4:E33),0)</x:f>
        <x:v>142.89877848417743</x:v>
      </x:c>
      <x:c r="C41" s="26" t="str">
        <x:v>Косвенный признак вовлеченности</x:v>
      </x:c>
    </x:row>
  </x:sheetData>
  <x:mergeCells>
    <x:mergeCell ref="A1:Q1"/>
    <x:mergeCell ref="A2:Q2"/>
  </x:mergeCells>
  <x:dataValidations count="1">
    <x:dataValidation type="list" sqref="B4:B33">
      <x:formula1>"агентство,нишевый специалист,рекламный подрядчик,консалтинг,платформа услуг,обучающий заменитель,цифровой сервис,маркетплейс,другое"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94a304612342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16" hidden="0" customWidth="1"/>
    <x:col min="6" max="6" width="34" hidden="0" customWidth="1"/>
    <x:col min="7" max="7" width="38" hidden="0" customWidth="1"/>
    <x:col min="8" max="8" width="36" hidden="0" customWidth="1"/>
    <x:col min="9" max="9" width="28" hidden="0" customWidth="1"/>
  </x:cols>
  <x:sheetData>
    <x:row r="1" ht="30" customHeight="1">
      <x:c r="A1" s="5" t="str">
        <x:v>Оценка конкурентного давления по каналам трафика</x:v>
      </x:c>
      <x:c r="B1" s="5"/>
      <x:c r="C1" s="5"/>
      <x:c r="D1" s="5"/>
      <x:c r="E1" s="5"/>
      <x:c r="F1" s="5"/>
      <x:c r="G1" s="5"/>
      <x:c r="H1" s="5"/>
      <x:c r="I1" s="5"/>
    </x:row>
    <x:row r="2" ht="32" customHeight="1">
      <x:c r="A2" s="13" t="str">
        <x:v>Расчет делается как взвешенная доля каналов с учетом релевантного трафика конкурентов</x:v>
      </x:c>
      <x:c r="B2" s="13"/>
      <x:c r="C2" s="13"/>
      <x:c r="D2" s="13"/>
      <x:c r="E2" s="13"/>
      <x:c r="F2" s="13"/>
      <x:c r="G2" s="13"/>
      <x:c r="H2" s="13"/>
      <x:c r="I2" s="13"/>
    </x:row>
    <x:row r="3" ht="34" customHeight="1">
      <x:c r="A3" s="21" t="str">
        <x:v>Канал</x:v>
      </x:c>
      <x:c r="B3" s="21" t="str">
        <x:v>Формула / источник</x:v>
      </x:c>
      <x:c r="C3" s="21" t="str">
        <x:v>Взвешенная доля канала</x:v>
      </x:c>
      <x:c r="D3" s="21" t="str">
        <x:v>Порог высокого давления</x:v>
      </x:c>
      <x:c r="E3" s="21" t="str">
        <x:v>Балльная оценка 1-5</x:v>
      </x:c>
      <x:c r="F3" s="21" t="str">
        <x:v>Интерпретация</x:v>
      </x:c>
      <x:c r="G3" s="21" t="str">
        <x:v>Риски для нового игрока</x:v>
      </x:c>
      <x:c r="H3" s="21" t="str">
        <x:v>Что проверить дополнительно</x:v>
      </x:c>
      <x:c r="I3" s="21" t="str">
        <x:v>Источник</x:v>
      </x:c>
    </x:row>
    <x:row r="4">
      <x:c r="A4" s="26" t="str">
        <x:v>Прямой трафик</x:v>
      </x:c>
      <x:c r="B4" s="26" t="str">
        <x:v>Similarweb: Direct</x:v>
      </x:c>
      <x:c r="C4" s="64" t="n">
        <x:f>IFERROR(SUMPRODUCT('02_Конкуренты_SW'!$E$4:$E$33,'02_Конкуренты_SW'!$J$4:$J$33)/SUM('02_Конкуренты_SW'!$E$4:$E$33),0)</x:f>
        <x:v>0.23838845631830846</x:v>
      </x:c>
      <x:c r="D4" s="64" t="n">
        <x:v>0.3</x:v>
      </x:c>
      <x:c r="E4" s="84" t="n">
        <x:f>IF(C4&gt;=D4,5,IF(C4&gt;=D4*0.65,3,1))</x:f>
        <x:v>3</x:v>
      </x:c>
      <x:c r="F4" s="26" t="str">
        <x:v>Высокая доля означает узнаваемость брендов.</x:v>
      </x:c>
      <x:c r="G4" s="26" t="str">
        <x:v>Новому игроку сложнее быстро получить прямые заходы.</x:v>
      </x:c>
      <x:c r="H4" s="26" t="str">
        <x:v>Брендовые запросы, отзывы, возраст домена.</x:v>
      </x:c>
      <x:c r="I4" s="26" t="str">
        <x:v>Similarweb</x:v>
      </x:c>
    </x:row>
    <x:row r="5">
      <x:c r="A5" s="26" t="str">
        <x:v>Органический поиск</x:v>
      </x:c>
      <x:c r="B5" s="26" t="str">
        <x:v>Similarweb: Organic Search</x:v>
      </x:c>
      <x:c r="C5" s="64" t="n">
        <x:f>IFERROR(SUMPRODUCT('02_Конкуренты_SW'!$E$4:$E$33,'02_Конкуренты_SW'!$K$4:$K$33)/SUM('02_Конкуренты_SW'!$E$4:$E$33),0)</x:f>
        <x:v>0.3860382884491749</x:v>
      </x:c>
      <x:c r="D5" s="64" t="n">
        <x:f>'01_Параметры'!B15</x:f>
        <x:v>0.45</x:v>
      </x:c>
      <x:c r="E5" s="84" t="n">
        <x:f>IF(C5&gt;=D5,5,IF(C5&gt;=D5*0.65,3,1))</x:f>
        <x:v>3</x:v>
      </x:c>
      <x:c r="F5" s="26" t="str">
        <x:v>Высокая доля означает сильные SEO-позиции.</x:v>
      </x:c>
      <x:c r="G5" s="26" t="str">
        <x:v>Потребуются контент, ссылки, время и техническая оптимизация.</x:v>
      </x:c>
      <x:c r="H5" s="26" t="str">
        <x:v>Semrush/Ahrefs, выдача Google/Яндекс.</x:v>
      </x:c>
      <x:c r="I5" s="26" t="str">
        <x:v>Similarweb, Semrush, Ahrefs</x:v>
      </x:c>
    </x:row>
    <x:row r="6">
      <x:c r="A6" s="26" t="str">
        <x:v>Платный поиск</x:v>
      </x:c>
      <x:c r="B6" s="26" t="str">
        <x:v>Similarweb: Paid Search</x:v>
      </x:c>
      <x:c r="C6" s="64" t="n">
        <x:f>IFERROR(SUMPRODUCT('02_Конкуренты_SW'!$E$4:$E$33,'02_Конкуренты_SW'!$L$4:$L$33)/SUM('02_Конкуренты_SW'!$E$4:$E$33),0)</x:f>
        <x:v>0.15087006214729623</x:v>
      </x:c>
      <x:c r="D6" s="64" t="n">
        <x:f>'01_Параметры'!B14</x:f>
        <x:v>0.2</x:v>
      </x:c>
      <x:c r="E6" s="84" t="n">
        <x:f>IF(C6&gt;=D6,5,IF(C6&gt;=D6*0.65,3,1))</x:f>
        <x:v>3</x:v>
      </x:c>
      <x:c r="F6" s="26" t="str">
        <x:v>Высокая доля означает рекламное давление.</x:v>
      </x:c>
      <x:c r="G6" s="26" t="str">
        <x:v>Вход через рекламу может быть дорогим.</x:v>
      </x:c>
      <x:c r="H6" s="26" t="str">
        <x:v>Google Ads, Яндекс Директ, рекламные библиотеки.</x:v>
      </x:c>
      <x:c r="I6" s="26" t="str">
        <x:v>Similarweb, Ads libraries</x:v>
      </x:c>
    </x:row>
    <x:row r="7">
      <x:c r="A7" s="26" t="str">
        <x:v>Социальные сети</x:v>
      </x:c>
      <x:c r="B7" s="26" t="str">
        <x:v>Similarweb: Social</x:v>
      </x:c>
      <x:c r="C7" s="64" t="n">
        <x:f>IFERROR(SUMPRODUCT('02_Конкуренты_SW'!$E$4:$E$33,'02_Конкуренты_SW'!$M$4:$M$33)/SUM('02_Конкуренты_SW'!$E$4:$E$33),0)</x:f>
        <x:v>0.11934209586399029</x:v>
      </x:c>
      <x:c r="D7" s="64" t="n">
        <x:v>0.2</x:v>
      </x:c>
      <x:c r="E7" s="84" t="n">
        <x:f>IF(C7&gt;=D7,5,IF(C7&gt;=D7*0.65,3,1))</x:f>
        <x:v>1</x:v>
      </x:c>
      <x:c r="F7" s="26" t="str">
        <x:v>Высокая доля означает сильные социальные каналы.</x:v>
      </x:c>
      <x:c r="G7" s="26" t="str">
        <x:v>Нужно развивать контент и сообщество.</x:v>
      </x:c>
      <x:c r="H7" s="26" t="str">
        <x:v>Meta/TikTok/YouTube/LinkedIn активность.</x:v>
      </x:c>
      <x:c r="I7" s="26" t="str">
        <x:v>Similarweb, социальные сети</x:v>
      </x:c>
    </x:row>
    <x:row r="8">
      <x:c r="A8" s="26" t="str">
        <x:v>Реферальный трафик</x:v>
      </x:c>
      <x:c r="B8" s="26" t="str">
        <x:v>Similarweb: Referrals</x:v>
      </x:c>
      <x:c r="C8" s="64" t="n">
        <x:f>IFERROR(SUMPRODUCT('02_Конкуренты_SW'!$E$4:$E$33,'02_Конкуренты_SW'!$N$4:$N$33)/SUM('02_Конкуренты_SW'!$E$4:$E$33),0)</x:f>
        <x:v>0.05544538895635403</x:v>
      </x:c>
      <x:c r="D8" s="64" t="n">
        <x:v>0.15</x:v>
      </x:c>
      <x:c r="E8" s="84" t="n">
        <x:f>IF(C8&gt;=D8,5,IF(C8&gt;=D8*0.65,3,1))</x:f>
        <x:v>1</x:v>
      </x:c>
      <x:c r="F8" s="26" t="str">
        <x:v>Высокая доля означает партнерские и медийные связи.</x:v>
      </x:c>
      <x:c r="G8" s="26" t="str">
        <x:v>Потребуются партнерства и присутствие в каталогах.</x:v>
      </x:c>
      <x:c r="H8" s="26" t="str">
        <x:v>Каталоги, медиа, партнерские сайты.</x:v>
      </x:c>
      <x:c r="I8" s="26" t="str">
        <x:v>Similarweb, каталоги</x:v>
      </x:c>
    </x:row>
    <x:row r="9">
      <x:c r="A9" s="26" t="str">
        <x:v>Медийная реклама</x:v>
      </x:c>
      <x:c r="B9" s="26" t="str">
        <x:v>Similarweb: Display</x:v>
      </x:c>
      <x:c r="C9" s="64" t="n">
        <x:f>IFERROR(SUMPRODUCT('02_Конкуренты_SW'!$E$4:$E$33,'02_Конкуренты_SW'!$O$4:$O$33)/SUM('02_Конкуренты_SW'!$E$4:$E$33),0)</x:f>
        <x:v>0.04991570826487606</x:v>
      </x:c>
      <x:c r="D9" s="64" t="n">
        <x:v>0.1</x:v>
      </x:c>
      <x:c r="E9" s="84" t="n">
        <x:f>IF(C9&gt;=D9,5,IF(C9&gt;=D9*0.65,3,1))</x:f>
        <x:v>1</x:v>
      </x:c>
      <x:c r="F9" s="26" t="str">
        <x:v>Высокая доля означает платное медийное давление.</x:v>
      </x:c>
      <x:c r="G9" s="26" t="str">
        <x:v>Нужны бюджеты на охват и ретаргетинг.</x:v>
      </x:c>
      <x:c r="H9" s="26" t="str">
        <x:v>Библиотеки рекламы, креативы, баннеры.</x:v>
      </x:c>
      <x:c r="I9" s="26" t="str">
        <x:v>Similarweb, рекламные библиотеки</x:v>
      </x:c>
    </x:row>
    <x:row r="10">
      <x:c r="A10" s="26" t="str">
        <x:v>Брендовая сила</x:v>
      </x:c>
      <x:c r="B10" s="26" t="str">
        <x:v>Direct + Brand Search</x:v>
      </x:c>
      <x:c r="C10" s="64" t="n">
        <x:f>IFERROR(SUMPRODUCT('02_Конкуренты_SW'!$E$4:$E$33,('02_Конкуренты_SW'!$J$4:$J$33+'02_Конкуренты_SW'!$P$4:$P$33))/SUM('02_Конкуренты_SW'!$E$4:$E$33),0)</x:f>
        <x:v>0.4353046646189014</x:v>
      </x:c>
      <x:c r="D10" s="64" t="n">
        <x:f>'01_Параметры'!B16</x:f>
        <x:v>0.5</x:v>
      </x:c>
      <x:c r="E10" s="84" t="n">
        <x:f>IF(C10&gt;=D10,5,IF(C10&gt;=D10*0.65,3,1))</x:f>
        <x:v>3</x:v>
      </x:c>
      <x:c r="F10" s="26" t="str">
        <x:v>Высокая доля означает устойчивое доверие и узнаваемость.</x:v>
      </x:c>
      <x:c r="G10" s="26" t="str">
        <x:v>Новому игроку сложнее перехватить спрос.</x:v>
      </x:c>
      <x:c r="H10" s="26" t="str">
        <x:v>Google Trends по брендам, брендовые запросы.</x:v>
      </x:c>
      <x:c r="I10" s="26" t="str">
        <x:v>Similarweb, Trends, Wordstat</x:v>
      </x:c>
    </x:row>
  </x:sheetData>
  <x:mergeCells>
    <x:mergeCell ref="A1:I1"/>
    <x:mergeCell ref="A2:I2"/>
  </x:mergeCells>
  <x:conditionalFormatting sqref="E4:E10">
    <x:cfRule type="colorScale" priority="1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5b86202e4c84a3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6" hidden="0" customWidth="1"/>
    <x:col min="4" max="4" width="16" hidden="0" customWidth="1"/>
    <x:col min="5" max="5" width="14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28" hidden="0" customWidth="1"/>
  </x:cols>
  <x:sheetData>
    <x:row r="1" ht="30" customHeight="1">
      <x:c r="A1" s="5" t="str">
        <x:v>Оценка поисковой и рекламной конкуренции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2" customHeight="1">
      <x:c r="A2" s="13" t="str">
        <x:v>Вводятся данные из Google/Яндекс, Semrush/Ahrefs, рекламных библиотек и Similarweb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 ht="34" customHeight="1">
      <x:c r="A3" s="21" t="str">
        <x:v>Запрос / рекламная тема</x:v>
      </x:c>
      <x:c r="B3" s="21" t="str">
        <x:v>Тип намерения</x:v>
      </x:c>
      <x:c r="C3" s="21" t="str">
        <x:v>Источник</x:v>
      </x:c>
      <x:c r="D3" s="21" t="str">
        <x:v>Частотность / спрос</x:v>
      </x:c>
      <x:c r="E3" s="21" t="str">
        <x:v>CPC / цена клика</x:v>
      </x:c>
      <x:c r="F3" s="21" t="str">
        <x:v>Конкурентность PPC 0-1</x:v>
      </x:c>
      <x:c r="G3" s="21" t="str">
        <x:v>SEO difficulty 0-100</x:v>
      </x:c>
      <x:c r="H3" s="21" t="str">
        <x:v>Топ-конкурентов в выдаче</x:v>
      </x:c>
      <x:c r="I3" s="21" t="str">
        <x:v>Активных рекламодателей</x:v>
      </x:c>
      <x:c r="J3" s="21" t="str">
        <x:v>Рекламные объявления</x:v>
      </x:c>
      <x:c r="K3" s="21" t="str">
        <x:v>Индекс давления</x:v>
      </x:c>
      <x:c r="L3" s="21" t="str">
        <x:v>Балльная оценка 1-5</x:v>
      </x:c>
      <x:c r="M3" s="21" t="str">
        <x:v>Комментарий</x:v>
      </x:c>
    </x:row>
    <x:row r="4">
      <x:c r="A4" s="54" t="str">
        <x:v>маркетинговое агентство</x:v>
      </x:c>
      <x:c r="B4" s="54" t="str">
        <x:v>коммерческий</x:v>
      </x:c>
      <x:c r="C4" s="54" t="str">
        <x:v>Wordstat / Ads / Semrush</x:v>
      </x:c>
      <x:c r="D4" s="66" t="n">
        <x:v>1200</x:v>
      </x:c>
      <x:c r="E4" s="94" t="n">
        <x:v>1.6</x:v>
      </x:c>
      <x:c r="F4" s="94" t="n">
        <x:v>0.72</x:v>
      </x:c>
      <x:c r="G4" s="95" t="n">
        <x:v>64</x:v>
      </x:c>
      <x:c r="H4" s="54" t="n">
        <x:v>8</x:v>
      </x:c>
      <x:c r="I4" s="54" t="n">
        <x:v>5</x:v>
      </x:c>
      <x:c r="J4" s="54" t="n">
        <x:v>42</x:v>
      </x:c>
      <x:c r="K4" s="64" t="n">
        <x:f>MIN(1,AVERAGE(MIN(E4/2,1),F4,G4/100,MIN(H4/10,1),MIN(J4/50,1)))</x:f>
        <x:v>0.76</x:v>
      </x:c>
      <x:c r="L4" s="96" t="n">
        <x:f>IF(K4&gt;=0.7,5,IF(K4&gt;=0.4,3,1))</x:f>
        <x:v>5</x:v>
      </x:c>
      <x:c r="M4" s="26" t="str">
        <x:v>демонстрационные данные</x:v>
      </x:c>
    </x:row>
    <x:row r="5">
      <x:c r="A5" s="54" t="str">
        <x:v>услуги маркетолога</x:v>
      </x:c>
      <x:c r="B5" s="54" t="str">
        <x:v>коммерческий</x:v>
      </x:c>
      <x:c r="C5" s="54" t="str">
        <x:v>Wordstat / Ads / Semrush</x:v>
      </x:c>
      <x:c r="D5" s="66" t="n">
        <x:v>850</x:v>
      </x:c>
      <x:c r="E5" s="94" t="n">
        <x:v>1.2</x:v>
      </x:c>
      <x:c r="F5" s="94" t="n">
        <x:v>0.58</x:v>
      </x:c>
      <x:c r="G5" s="95" t="n">
        <x:v>52</x:v>
      </x:c>
      <x:c r="H5" s="54" t="n">
        <x:v>6</x:v>
      </x:c>
      <x:c r="I5" s="54" t="n">
        <x:v>4</x:v>
      </x:c>
      <x:c r="J5" s="54" t="n">
        <x:v>28</x:v>
      </x:c>
      <x:c r="K5" s="64" t="n">
        <x:f>MIN(1,AVERAGE(MIN(E5/2,1),F5,G5/100,MIN(H5/10,1),MIN(J5/50,1)))</x:f>
        <x:v>0.572</x:v>
      </x:c>
      <x:c r="L5" s="96" t="n">
        <x:f>IF(K5&gt;=0.7,5,IF(K5&gt;=0.4,3,1))</x:f>
        <x:v>3</x:v>
      </x:c>
      <x:c r="M5" s="26" t="str">
        <x:v>демонстрационные данные</x:v>
      </x:c>
    </x:row>
    <x:row r="6">
      <x:c r="A6" s="54" t="str">
        <x:v>продвижение бизнеса</x:v>
      </x:c>
      <x:c r="B6" s="54" t="str">
        <x:v>проблемный</x:v>
      </x:c>
      <x:c r="C6" s="54" t="str">
        <x:v>Wordstat / Trends</x:v>
      </x:c>
      <x:c r="D6" s="66" t="n">
        <x:v>2100</x:v>
      </x:c>
      <x:c r="E6" s="94" t="n">
        <x:v>0.95</x:v>
      </x:c>
      <x:c r="F6" s="94" t="n">
        <x:v>0.46</x:v>
      </x:c>
      <x:c r="G6" s="95" t="n">
        <x:v>49</x:v>
      </x:c>
      <x:c r="H6" s="54" t="n">
        <x:v>7</x:v>
      </x:c>
      <x:c r="I6" s="54" t="n">
        <x:v>3</x:v>
      </x:c>
      <x:c r="J6" s="54" t="n">
        <x:v>18</x:v>
      </x:c>
      <x:c r="K6" s="64" t="n">
        <x:f>MIN(1,AVERAGE(MIN(E6/2,1),F6,G6/100,MIN(H6/10,1),MIN(J6/50,1)))</x:f>
        <x:v>0.497</x:v>
      </x:c>
      <x:c r="L6" s="96" t="n">
        <x:f>IF(K6&gt;=0.7,5,IF(K6&gt;=0.4,3,1))</x:f>
        <x:v>3</x:v>
      </x:c>
      <x:c r="M6" s="26" t="str">
        <x:v>демонстрационные данные</x:v>
      </x:c>
    </x:row>
    <x:row r="7">
      <x:c r="A7" s="54" t="str">
        <x:v>контекстная реклама настройка</x:v>
      </x:c>
      <x:c r="B7" s="54" t="str">
        <x:v>инструментальный</x:v>
      </x:c>
      <x:c r="C7" s="54" t="str">
        <x:v>Wordstat / Ads</x:v>
      </x:c>
      <x:c r="D7" s="66" t="n">
        <x:v>1600</x:v>
      </x:c>
      <x:c r="E7" s="94" t="n">
        <x:v>1.85</x:v>
      </x:c>
      <x:c r="F7" s="94" t="n">
        <x:v>0.8</x:v>
      </x:c>
      <x:c r="G7" s="95" t="n">
        <x:v>68</x:v>
      </x:c>
      <x:c r="H7" s="54" t="n">
        <x:v>9</x:v>
      </x:c>
      <x:c r="I7" s="54" t="n">
        <x:v>6</x:v>
      </x:c>
      <x:c r="J7" s="54" t="n">
        <x:v>51</x:v>
      </x:c>
      <x:c r="K7" s="64" t="n">
        <x:f>MIN(1,AVERAGE(MIN(E7/2,1),F7,G7/100,MIN(H7/10,1),MIN(J7/50,1)))</x:f>
        <x:v>0.861</x:v>
      </x:c>
      <x:c r="L7" s="96" t="n">
        <x:f>IF(K7&gt;=0.7,5,IF(K7&gt;=0.4,3,1))</x:f>
        <x:v>5</x:v>
      </x:c>
      <x:c r="M7" s="26" t="str">
        <x:v>демонстрационные данные</x:v>
      </x:c>
    </x:row>
    <x:row r="8">
      <x:c r="A8" s="54" t="str">
        <x:v>smm продвижение</x:v>
      </x:c>
      <x:c r="B8" s="54" t="str">
        <x:v>инструментальный</x:v>
      </x:c>
      <x:c r="C8" s="54" t="str">
        <x:v>Wordstat / Ads</x:v>
      </x:c>
      <x:c r="D8" s="66" t="n">
        <x:v>1900</x:v>
      </x:c>
      <x:c r="E8" s="94" t="n">
        <x:v>1.1</x:v>
      </x:c>
      <x:c r="F8" s="94" t="n">
        <x:v>0.62</x:v>
      </x:c>
      <x:c r="G8" s="95" t="n">
        <x:v>57</x:v>
      </x:c>
      <x:c r="H8" s="54" t="n">
        <x:v>7</x:v>
      </x:c>
      <x:c r="I8" s="54" t="n">
        <x:v>5</x:v>
      </x:c>
      <x:c r="J8" s="54" t="n">
        <x:v>36</x:v>
      </x:c>
      <x:c r="K8" s="64" t="n">
        <x:f>MIN(1,AVERAGE(MIN(E8/2,1),F8,G8/100,MIN(H8/10,1),MIN(J8/50,1)))</x:f>
        <x:v>0.6319999999999999</x:v>
      </x:c>
      <x:c r="L8" s="96" t="n">
        <x:f>IF(K8&gt;=0.7,5,IF(K8&gt;=0.4,3,1))</x:f>
        <x:v>3</x:v>
      </x:c>
      <x:c r="M8" s="26" t="str">
        <x:v>демонстрационные данные</x:v>
      </x:c>
    </x:row>
    <x:row r="9">
      <x:c r="A9" s="54"/>
      <x:c r="B9" s="54"/>
      <x:c r="C9" s="54"/>
      <x:c r="D9" s="66"/>
      <x:c r="E9" s="94"/>
      <x:c r="F9" s="94"/>
      <x:c r="G9" s="95"/>
      <x:c r="H9" s="54"/>
      <x:c r="I9" s="54"/>
      <x:c r="J9" s="54"/>
      <x:c r="K9" s="64"/>
      <x:c r="L9" s="96"/>
      <x:c r="M9" s="26"/>
    </x:row>
    <x:row r="10">
      <x:c r="A10" s="54"/>
      <x:c r="B10" s="54"/>
      <x:c r="C10" s="54"/>
      <x:c r="D10" s="66"/>
      <x:c r="E10" s="94"/>
      <x:c r="F10" s="94"/>
      <x:c r="G10" s="95"/>
      <x:c r="H10" s="54"/>
      <x:c r="I10" s="54"/>
      <x:c r="J10" s="54"/>
      <x:c r="K10" s="64"/>
      <x:c r="L10" s="96"/>
      <x:c r="M10" s="26"/>
    </x:row>
    <x:row r="11">
      <x:c r="A11" s="54"/>
      <x:c r="B11" s="54"/>
      <x:c r="C11" s="54"/>
      <x:c r="D11" s="66"/>
      <x:c r="E11" s="94"/>
      <x:c r="F11" s="94"/>
      <x:c r="G11" s="95"/>
      <x:c r="H11" s="54"/>
      <x:c r="I11" s="54"/>
      <x:c r="J11" s="54"/>
      <x:c r="K11" s="64"/>
      <x:c r="L11" s="96"/>
      <x:c r="M11" s="26"/>
    </x:row>
    <x:row r="12">
      <x:c r="A12" s="54"/>
      <x:c r="B12" s="54"/>
      <x:c r="C12" s="54"/>
      <x:c r="D12" s="66"/>
      <x:c r="E12" s="94"/>
      <x:c r="F12" s="94"/>
      <x:c r="G12" s="95"/>
      <x:c r="H12" s="54"/>
      <x:c r="I12" s="54"/>
      <x:c r="J12" s="54"/>
      <x:c r="K12" s="64"/>
      <x:c r="L12" s="96"/>
      <x:c r="M12" s="26"/>
    </x:row>
    <x:row r="13">
      <x:c r="A13" s="54"/>
      <x:c r="B13" s="54"/>
      <x:c r="C13" s="54"/>
      <x:c r="D13" s="66"/>
      <x:c r="E13" s="94"/>
      <x:c r="F13" s="94"/>
      <x:c r="G13" s="95"/>
      <x:c r="H13" s="54"/>
      <x:c r="I13" s="54"/>
      <x:c r="J13" s="54"/>
      <x:c r="K13" s="64"/>
      <x:c r="L13" s="96"/>
      <x:c r="M13" s="26"/>
    </x:row>
    <x:row r="14">
      <x:c r="A14" s="54"/>
      <x:c r="B14" s="54"/>
      <x:c r="C14" s="54"/>
      <x:c r="D14" s="66"/>
      <x:c r="E14" s="94"/>
      <x:c r="F14" s="94"/>
      <x:c r="G14" s="95"/>
      <x:c r="H14" s="54"/>
      <x:c r="I14" s="54"/>
      <x:c r="J14" s="54"/>
      <x:c r="K14" s="64"/>
      <x:c r="L14" s="96"/>
      <x:c r="M14" s="26"/>
    </x:row>
    <x:row r="15">
      <x:c r="A15" s="54"/>
      <x:c r="B15" s="54"/>
      <x:c r="C15" s="54"/>
      <x:c r="D15" s="66"/>
      <x:c r="E15" s="94"/>
      <x:c r="F15" s="94"/>
      <x:c r="G15" s="95"/>
      <x:c r="H15" s="54"/>
      <x:c r="I15" s="54"/>
      <x:c r="J15" s="54"/>
      <x:c r="K15" s="64"/>
      <x:c r="L15" s="96"/>
      <x:c r="M15" s="26"/>
    </x:row>
    <x:row r="16">
      <x:c r="A16" s="54"/>
      <x:c r="B16" s="54"/>
      <x:c r="C16" s="54"/>
      <x:c r="D16" s="66"/>
      <x:c r="E16" s="94"/>
      <x:c r="F16" s="94"/>
      <x:c r="G16" s="95"/>
      <x:c r="H16" s="54"/>
      <x:c r="I16" s="54"/>
      <x:c r="J16" s="54"/>
      <x:c r="K16" s="64"/>
      <x:c r="L16" s="96"/>
      <x:c r="M16" s="26"/>
    </x:row>
    <x:row r="17">
      <x:c r="A17" s="54"/>
      <x:c r="B17" s="54"/>
      <x:c r="C17" s="54"/>
      <x:c r="D17" s="66"/>
      <x:c r="E17" s="94"/>
      <x:c r="F17" s="94"/>
      <x:c r="G17" s="95"/>
      <x:c r="H17" s="54"/>
      <x:c r="I17" s="54"/>
      <x:c r="J17" s="54"/>
      <x:c r="K17" s="64"/>
      <x:c r="L17" s="96"/>
      <x:c r="M17" s="26"/>
    </x:row>
    <x:row r="18">
      <x:c r="A18" s="54"/>
      <x:c r="B18" s="54"/>
      <x:c r="C18" s="54"/>
      <x:c r="D18" s="66"/>
      <x:c r="E18" s="94"/>
      <x:c r="F18" s="94"/>
      <x:c r="G18" s="95"/>
      <x:c r="H18" s="54"/>
      <x:c r="I18" s="54"/>
      <x:c r="J18" s="54"/>
      <x:c r="K18" s="64"/>
      <x:c r="L18" s="96"/>
      <x:c r="M18" s="26"/>
    </x:row>
    <x:row r="19">
      <x:c r="A19" s="54"/>
      <x:c r="B19" s="54"/>
      <x:c r="C19" s="54"/>
      <x:c r="D19" s="66"/>
      <x:c r="E19" s="94"/>
      <x:c r="F19" s="94"/>
      <x:c r="G19" s="95"/>
      <x:c r="H19" s="54"/>
      <x:c r="I19" s="54"/>
      <x:c r="J19" s="54"/>
      <x:c r="K19" s="64"/>
      <x:c r="L19" s="96"/>
      <x:c r="M19" s="26"/>
    </x:row>
    <x:row r="20">
      <x:c r="A20" s="54"/>
      <x:c r="B20" s="54"/>
      <x:c r="C20" s="54"/>
      <x:c r="D20" s="66"/>
      <x:c r="E20" s="94"/>
      <x:c r="F20" s="94"/>
      <x:c r="G20" s="95"/>
      <x:c r="H20" s="54"/>
      <x:c r="I20" s="54"/>
      <x:c r="J20" s="54"/>
      <x:c r="K20" s="64"/>
      <x:c r="L20" s="96"/>
      <x:c r="M20" s="26"/>
    </x:row>
    <x:row r="21">
      <x:c r="A21" s="54"/>
      <x:c r="B21" s="54"/>
      <x:c r="C21" s="54"/>
      <x:c r="D21" s="66"/>
      <x:c r="E21" s="94"/>
      <x:c r="F21" s="94"/>
      <x:c r="G21" s="95"/>
      <x:c r="H21" s="54"/>
      <x:c r="I21" s="54"/>
      <x:c r="J21" s="54"/>
      <x:c r="K21" s="64"/>
      <x:c r="L21" s="96"/>
      <x:c r="M21" s="26"/>
    </x:row>
    <x:row r="22">
      <x:c r="A22" s="54"/>
      <x:c r="B22" s="54"/>
      <x:c r="C22" s="54"/>
      <x:c r="D22" s="66"/>
      <x:c r="E22" s="94"/>
      <x:c r="F22" s="94"/>
      <x:c r="G22" s="95"/>
      <x:c r="H22" s="54"/>
      <x:c r="I22" s="54"/>
      <x:c r="J22" s="54"/>
      <x:c r="K22" s="64"/>
      <x:c r="L22" s="96"/>
      <x:c r="M22" s="26"/>
    </x:row>
    <x:row r="23">
      <x:c r="A23" s="54"/>
      <x:c r="B23" s="54"/>
      <x:c r="C23" s="54"/>
      <x:c r="D23" s="66"/>
      <x:c r="E23" s="94"/>
      <x:c r="F23" s="94"/>
      <x:c r="G23" s="95"/>
      <x:c r="H23" s="54"/>
      <x:c r="I23" s="54"/>
      <x:c r="J23" s="54"/>
      <x:c r="K23" s="64"/>
      <x:c r="L23" s="96"/>
      <x:c r="M23" s="26"/>
    </x:row>
    <x:row r="24">
      <x:c r="A24" s="54"/>
      <x:c r="B24" s="54"/>
      <x:c r="C24" s="54"/>
      <x:c r="D24" s="66"/>
      <x:c r="E24" s="94"/>
      <x:c r="F24" s="94"/>
      <x:c r="G24" s="95"/>
      <x:c r="H24" s="54"/>
      <x:c r="I24" s="54"/>
      <x:c r="J24" s="54"/>
      <x:c r="K24" s="64"/>
      <x:c r="L24" s="96"/>
      <x:c r="M24" s="26"/>
    </x:row>
    <x:row r="25">
      <x:c r="A25" s="54"/>
      <x:c r="B25" s="54"/>
      <x:c r="C25" s="54"/>
      <x:c r="D25" s="66"/>
      <x:c r="E25" s="94"/>
      <x:c r="F25" s="94"/>
      <x:c r="G25" s="95"/>
      <x:c r="H25" s="54"/>
      <x:c r="I25" s="54"/>
      <x:c r="J25" s="54"/>
      <x:c r="K25" s="64"/>
      <x:c r="L25" s="96"/>
      <x:c r="M25" s="26"/>
    </x:row>
    <x:row r="26">
      <x:c r="A26" s="54"/>
      <x:c r="B26" s="54"/>
      <x:c r="C26" s="54"/>
      <x:c r="D26" s="66"/>
      <x:c r="E26" s="94"/>
      <x:c r="F26" s="94"/>
      <x:c r="G26" s="95"/>
      <x:c r="H26" s="54"/>
      <x:c r="I26" s="54"/>
      <x:c r="J26" s="54"/>
      <x:c r="K26" s="64"/>
      <x:c r="L26" s="96"/>
      <x:c r="M26" s="26"/>
    </x:row>
    <x:row r="27">
      <x:c r="A27" s="54"/>
      <x:c r="B27" s="54"/>
      <x:c r="C27" s="54"/>
      <x:c r="D27" s="66"/>
      <x:c r="E27" s="94"/>
      <x:c r="F27" s="94"/>
      <x:c r="G27" s="95"/>
      <x:c r="H27" s="54"/>
      <x:c r="I27" s="54"/>
      <x:c r="J27" s="54"/>
      <x:c r="K27" s="64"/>
      <x:c r="L27" s="96"/>
      <x:c r="M27" s="26"/>
    </x:row>
    <x:row r="28">
      <x:c r="A28" s="54"/>
      <x:c r="B28" s="54"/>
      <x:c r="C28" s="54"/>
      <x:c r="D28" s="66"/>
      <x:c r="E28" s="94"/>
      <x:c r="F28" s="94"/>
      <x:c r="G28" s="95"/>
      <x:c r="H28" s="54"/>
      <x:c r="I28" s="54"/>
      <x:c r="J28" s="54"/>
      <x:c r="K28" s="64"/>
      <x:c r="L28" s="96"/>
      <x:c r="M28" s="26"/>
    </x:row>
    <x:row r="29">
      <x:c r="A29" s="54"/>
      <x:c r="B29" s="54"/>
      <x:c r="C29" s="54"/>
      <x:c r="D29" s="66"/>
      <x:c r="E29" s="94"/>
      <x:c r="F29" s="94"/>
      <x:c r="G29" s="95"/>
      <x:c r="H29" s="54"/>
      <x:c r="I29" s="54"/>
      <x:c r="J29" s="54"/>
      <x:c r="K29" s="64"/>
      <x:c r="L29" s="96"/>
      <x:c r="M29" s="26"/>
    </x:row>
    <x:row r="30">
      <x:c r="A30" s="54"/>
      <x:c r="B30" s="54"/>
      <x:c r="C30" s="54"/>
      <x:c r="D30" s="66"/>
      <x:c r="E30" s="94"/>
      <x:c r="F30" s="94"/>
      <x:c r="G30" s="95"/>
      <x:c r="H30" s="54"/>
      <x:c r="I30" s="54"/>
      <x:c r="J30" s="54"/>
      <x:c r="K30" s="64"/>
      <x:c r="L30" s="96"/>
      <x:c r="M30" s="26"/>
    </x:row>
    <x:row r="31">
      <x:c r="A31" s="54"/>
      <x:c r="B31" s="54"/>
      <x:c r="C31" s="54"/>
      <x:c r="D31" s="66"/>
      <x:c r="E31" s="94"/>
      <x:c r="F31" s="94"/>
      <x:c r="G31" s="95"/>
      <x:c r="H31" s="54"/>
      <x:c r="I31" s="54"/>
      <x:c r="J31" s="54"/>
      <x:c r="K31" s="64"/>
      <x:c r="L31" s="96"/>
      <x:c r="M31" s="26"/>
    </x:row>
    <x:row r="32">
      <x:c r="A32" s="54"/>
      <x:c r="B32" s="54"/>
      <x:c r="C32" s="54"/>
      <x:c r="D32" s="66"/>
      <x:c r="E32" s="94"/>
      <x:c r="F32" s="94"/>
      <x:c r="G32" s="95"/>
      <x:c r="H32" s="54"/>
      <x:c r="I32" s="54"/>
      <x:c r="J32" s="54"/>
      <x:c r="K32" s="64"/>
      <x:c r="L32" s="96"/>
      <x:c r="M32" s="26"/>
    </x:row>
    <x:row r="33">
      <x:c r="A33" s="54"/>
      <x:c r="B33" s="54"/>
      <x:c r="C33" s="54"/>
      <x:c r="D33" s="66"/>
      <x:c r="E33" s="94"/>
      <x:c r="F33" s="94"/>
      <x:c r="G33" s="95"/>
      <x:c r="H33" s="54"/>
      <x:c r="I33" s="54"/>
      <x:c r="J33" s="54"/>
      <x:c r="K33" s="64"/>
      <x:c r="L33" s="96"/>
      <x:c r="M33" s="26"/>
    </x:row>
    <x:row r="36" ht="34" customHeight="1">
      <x:c r="A36" s="21" t="str">
        <x:v>Сводный показатель</x:v>
      </x:c>
      <x:c r="B36" s="21" t="str">
        <x:v>Значение</x:v>
      </x:c>
      <x:c r="C36" s="21" t="str">
        <x:v>Оценка</x:v>
      </x:c>
      <x:c r="D36" s="21" t="str">
        <x:v>Интерпретация</x:v>
      </x:c>
    </x:row>
    <x:row r="37">
      <x:c r="A37" t="str">
        <x:v>Средний индекс поисково-рекламного давления</x:v>
      </x:c>
      <x:c r="B37" s="72" t="n">
        <x:f>AVERAGE(K4:K33)</x:f>
        <x:v>0.6643999999999999</x:v>
      </x:c>
      <x:c r="C37" t="str">
        <x:f>IF(B37&gt;=0.7,"высокое",IF(B37&gt;=0.4,"среднее","низкое"))</x:f>
        <x:v>среднее</x:v>
      </x:c>
      <x:c r="D37" t="str">
        <x:v>Учитывает CPC, PPC-конкурентность, SEO difficulty, число конкурентов и рекламных объявлений.</x:v>
      </x:c>
    </x:row>
    <x:row r="38">
      <x:c r="A38" t="str">
        <x:v>Доля высококонкурентных запросов</x:v>
      </x:c>
      <x:c r="B38" s="72" t="n">
        <x:f>COUNTIF(L4:L33,5)/COUNT(L4:L33)</x:f>
        <x:v>0.4</x:v>
      </x:c>
      <x:c r="C38" t="str">
        <x:f>IF(B38&gt;=0.5,"высокая доля",IF(B38&gt;=0.25,"средняя доля","низкая доля"))</x:f>
        <x:v>средняя доля</x:v>
      </x:c>
      <x:c r="D38" t="str">
        <x:v>Доля запросов с баллом 5.</x:v>
      </x:c>
    </x:row>
    <x:row r="39">
      <x:c r="A39" t="str">
        <x:v>Вывод</x:v>
      </x:c>
      <x:c r="B39" t="str"/>
      <x:c r="C39" t="str"/>
      <x:c r="D39" t="str">
        <x:v>Если оба показателя высокие, вход через поиск и рекламу требует существенного бюджета.</x:v>
      </x:c>
    </x:row>
  </x:sheetData>
  <x:mergeCells>
    <x:mergeCell ref="A1:M1"/>
    <x:mergeCell ref="A2:M2"/>
  </x:mergeCells>
  <x:conditionalFormatting sqref="L4:L33">
    <x:cfRule type="colorScale" priority="1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dataValidations count="1">
    <x:dataValidation type="list" sqref="B4:B33">
      <x:formula1>"информационный,проблемный,коммерческий,инструментальный,брендовый,региональный"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5edd0bf4a8413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6" hidden="0" customWidth="1"/>
    <x:col min="13" max="13" width="16" hidden="0" customWidth="1"/>
    <x:col min="14" max="14" width="28" hidden="0" customWidth="1"/>
  </x:cols>
  <x:sheetData>
    <x:row r="1" ht="30" customHeight="1">
      <x:c r="A1" s="5" t="str">
        <x:v>Оценка репутационных барьеров: отзывы, рейтинги, кейсы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2" customHeight="1">
      <x:c r="A2" s="13" t="str">
        <x:v>Заполняется по G2, Capterra, Trustpilot, Google Maps, App Store, Google Play, маркетплейсам и сайтам конкурентов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 ht="34" customHeight="1">
      <x:c r="A3" s="21" t="str">
        <x:v>Конкурент</x:v>
      </x:c>
      <x:c r="B3" s="21" t="str">
        <x:v>G2 рейтинг</x:v>
      </x:c>
      <x:c r="C3" s="21" t="str">
        <x:v>G2 отзывы</x:v>
      </x:c>
      <x:c r="D3" s="21" t="str">
        <x:v>Capterra рейтинг</x:v>
      </x:c>
      <x:c r="E3" s="21" t="str">
        <x:v>Capterra отзывы</x:v>
      </x:c>
      <x:c r="F3" s="21" t="str">
        <x:v>Trustpilot рейтинг</x:v>
      </x:c>
      <x:c r="G3" s="21" t="str">
        <x:v>Trustpilot отзывы</x:v>
      </x:c>
      <x:c r="H3" s="21" t="str">
        <x:v>Google рейтинг</x:v>
      </x:c>
      <x:c r="I3" s="21" t="str">
        <x:v>Google отзывы</x:v>
      </x:c>
      <x:c r="J3" s="21" t="str">
        <x:v>Кейсы на сайте</x:v>
      </x:c>
      <x:c r="K3" s="21" t="str">
        <x:v>Возраст бренда, лет</x:v>
      </x:c>
      <x:c r="L3" s="21" t="str">
        <x:v>Индекс доверия</x:v>
      </x:c>
      <x:c r="M3" s="21" t="str">
        <x:v>Балльная оценка 1-5</x:v>
      </x:c>
      <x:c r="N3" s="21" t="str">
        <x:v>Комментарий</x:v>
      </x:c>
    </x:row>
    <x:row r="4">
      <x:c r="A4" s="54" t="str">
        <x:v>agency-a.by</x:v>
      </x:c>
      <x:c r="B4" s="102" t="n">
        <x:v>4.6</x:v>
      </x:c>
      <x:c r="C4" s="66" t="n">
        <x:v>45</x:v>
      </x:c>
      <x:c r="D4" s="54" t="n">
        <x:v>4.5</x:v>
      </x:c>
      <x:c r="E4" s="54" t="n">
        <x:v>20</x:v>
      </x:c>
      <x:c r="F4" s="54" t="n">
        <x:v>4.2</x:v>
      </x:c>
      <x:c r="G4" s="54" t="n">
        <x:v>35</x:v>
      </x:c>
      <x:c r="H4" s="54" t="n">
        <x:v>4.7</x:v>
      </x:c>
      <x:c r="I4" s="54" t="n">
        <x:v>180</x:v>
      </x:c>
      <x:c r="J4" s="54" t="n">
        <x:v>28</x:v>
      </x:c>
      <x:c r="K4" s="54" t="n">
        <x:v>7</x:v>
      </x:c>
      <x:c r="L4" s="64" t="n">
        <x:f>MIN(1,AVERAGE(IFERROR(AVERAGE(B4,D4,F4,H4)/5,0),MIN((C4+E4+G4+I4)/300,1),MIN(J4/30,1),MIN(K4/10,1)))</x:f>
        <x:v>0.8666666666666667</x:v>
      </x:c>
      <x:c r="M4" s="96" t="n">
        <x:f>IF(L4&gt;=0.7,5,IF(L4&gt;=0.4,3,1))</x:f>
        <x:v>5</x:v>
      </x:c>
      <x:c r="N4" s="26" t="str">
        <x:v>пример</x:v>
      </x:c>
    </x:row>
    <x:row r="5">
      <x:c r="A5" s="54" t="str">
        <x:v>marketing-b.by</x:v>
      </x:c>
      <x:c r="B5" s="102" t="n">
        <x:v>4.4</x:v>
      </x:c>
      <x:c r="C5" s="66" t="n">
        <x:v>20</x:v>
      </x:c>
      <x:c r="D5" s="54" t="n">
        <x:v>4.2</x:v>
      </x:c>
      <x:c r="E5" s="54" t="n">
        <x:v>12</x:v>
      </x:c>
      <x:c r="F5" s="54" t="n">
        <x:v>4.1</x:v>
      </x:c>
      <x:c r="G5" s="54" t="n">
        <x:v>15</x:v>
      </x:c>
      <x:c r="H5" s="54" t="n">
        <x:v>4.6</x:v>
      </x:c>
      <x:c r="I5" s="54" t="n">
        <x:v>95</x:v>
      </x:c>
      <x:c r="J5" s="54" t="n">
        <x:v>18</x:v>
      </x:c>
      <x:c r="K5" s="54" t="n">
        <x:v>5</x:v>
      </x:c>
      <x:c r="L5" s="64" t="n">
        <x:f>MIN(1,AVERAGE(IFERROR(AVERAGE(B5,D5,F5,H5)/5,0),MIN((C5+E5+G5+I5)/300,1),MIN(J5/30,1),MIN(K5/10,1)))</x:f>
        <x:v>0.6095833333333334</x:v>
      </x:c>
      <x:c r="M5" s="96" t="n">
        <x:f>IF(L5&gt;=0.7,5,IF(L5&gt;=0.4,3,1))</x:f>
        <x:v>3</x:v>
      </x:c>
      <x:c r="N5" s="26" t="str">
        <x:v>пример</x:v>
      </x:c>
    </x:row>
    <x:row r="6">
      <x:c r="A6" s="54" t="str">
        <x:v>smm-c.by</x:v>
      </x:c>
      <x:c r="B6" s="102" t="n">
        <x:v>4.2</x:v>
      </x:c>
      <x:c r="C6" s="66" t="n">
        <x:v>6</x:v>
      </x:c>
      <x:c r="D6" s="54" t="n">
        <x:v>4.1</x:v>
      </x:c>
      <x:c r="E6" s="54" t="n">
        <x:v>4</x:v>
      </x:c>
      <x:c r="F6" s="54" t="n">
        <x:v>4</x:v>
      </x:c>
      <x:c r="G6" s="54" t="n">
        <x:v>8</x:v>
      </x:c>
      <x:c r="H6" s="54" t="n">
        <x:v>4.5</x:v>
      </x:c>
      <x:c r="I6" s="54" t="n">
        <x:v>60</x:v>
      </x:c>
      <x:c r="J6" s="54" t="n">
        <x:v>10</x:v>
      </x:c>
      <x:c r="K6" s="54" t="n">
        <x:v>3</x:v>
      </x:c>
      <x:c r="L6" s="64" t="n">
        <x:f>MIN(1,AVERAGE(IFERROR(AVERAGE(B6,D6,F6,H6)/5,0),MIN((C6+E6+G6+I6)/300,1),MIN(J6/30,1),MIN(K6/10,1)))</x:f>
        <x:v>0.43333333333333335</x:v>
      </x:c>
      <x:c r="M6" s="96" t="n">
        <x:f>IF(L6&gt;=0.7,5,IF(L6&gt;=0.4,3,1))</x:f>
        <x:v>3</x:v>
      </x:c>
      <x:c r="N6" s="26" t="str">
        <x:v>пример</x:v>
      </x:c>
    </x:row>
    <x:row r="7">
      <x:c r="A7" s="54" t="str">
        <x:v>ads-d.by</x:v>
      </x:c>
      <x:c r="B7" s="102" t="n">
        <x:v>4.5</x:v>
      </x:c>
      <x:c r="C7" s="66" t="n">
        <x:v>32</x:v>
      </x:c>
      <x:c r="D7" s="54" t="n">
        <x:v>4.3</x:v>
      </x:c>
      <x:c r="E7" s="54" t="n">
        <x:v>18</x:v>
      </x:c>
      <x:c r="F7" s="54" t="n">
        <x:v>4.3</x:v>
      </x:c>
      <x:c r="G7" s="54" t="n">
        <x:v>20</x:v>
      </x:c>
      <x:c r="H7" s="54" t="n">
        <x:v>4.6</x:v>
      </x:c>
      <x:c r="I7" s="54" t="n">
        <x:v>140</x:v>
      </x:c>
      <x:c r="J7" s="54" t="n">
        <x:v>24</x:v>
      </x:c>
      <x:c r="K7" s="54" t="n">
        <x:v>6</x:v>
      </x:c>
      <x:c r="L7" s="64" t="n">
        <x:f>MIN(1,AVERAGE(IFERROR(AVERAGE(B7,D7,F7,H7)/5,0),MIN((C7+E7+G7+I7)/300,1),MIN(J7/30,1),MIN(K7/10,1)))</x:f>
        <x:v>0.74625</x:v>
      </x:c>
      <x:c r="M7" s="96" t="n">
        <x:f>IF(L7&gt;=0.7,5,IF(L7&gt;=0.4,3,1))</x:f>
        <x:v>5</x:v>
      </x:c>
      <x:c r="N7" s="26" t="str">
        <x:v>пример</x:v>
      </x:c>
    </x:row>
    <x:row r="8">
      <x:c r="A8" s="54" t="str">
        <x:v>consult-e.by</x:v>
      </x:c>
      <x:c r="B8" s="102" t="n">
        <x:v>4.7</x:v>
      </x:c>
      <x:c r="C8" s="66" t="n">
        <x:v>18</x:v>
      </x:c>
      <x:c r="D8" s="54" t="n">
        <x:v>4.6</x:v>
      </x:c>
      <x:c r="E8" s="54" t="n">
        <x:v>7</x:v>
      </x:c>
      <x:c r="F8" s="54" t="n">
        <x:v>4.4</x:v>
      </x:c>
      <x:c r="G8" s="54" t="n">
        <x:v>10</x:v>
      </x:c>
      <x:c r="H8" s="54" t="n">
        <x:v>4.8</x:v>
      </x:c>
      <x:c r="I8" s="54" t="n">
        <x:v>70</x:v>
      </x:c>
      <x:c r="J8" s="54" t="n">
        <x:v>14</x:v>
      </x:c>
      <x:c r="K8" s="54" t="n">
        <x:v>9</x:v>
      </x:c>
      <x:c r="L8" s="64" t="n">
        <x:f>MIN(1,AVERAGE(IFERROR(AVERAGE(B8,D8,F8,H8)/5,0),MIN((C8+E8+G8+I8)/300,1),MIN(J8/30,1),MIN(K8/10,1)))</x:f>
        <x:v>0.6604166666666667</x:v>
      </x:c>
      <x:c r="M8" s="96" t="n">
        <x:f>IF(L8&gt;=0.7,5,IF(L8&gt;=0.4,3,1))</x:f>
        <x:v>3</x:v>
      </x:c>
      <x:c r="N8" s="26" t="str">
        <x:v>пример</x:v>
      </x:c>
    </x:row>
    <x:row r="9">
      <x:c r="A9" s="54"/>
      <x:c r="B9" s="102"/>
      <x:c r="C9" s="66"/>
      <x:c r="D9" s="54"/>
      <x:c r="E9" s="54"/>
      <x:c r="F9" s="54"/>
      <x:c r="G9" s="54"/>
      <x:c r="H9" s="54"/>
      <x:c r="I9" s="54"/>
      <x:c r="J9" s="54"/>
      <x:c r="K9" s="54"/>
      <x:c r="L9" s="64"/>
      <x:c r="M9" s="96"/>
      <x:c r="N9" s="26"/>
    </x:row>
    <x:row r="10">
      <x:c r="A10" s="54"/>
      <x:c r="B10" s="102"/>
      <x:c r="C10" s="66"/>
      <x:c r="D10" s="54"/>
      <x:c r="E10" s="54"/>
      <x:c r="F10" s="54"/>
      <x:c r="G10" s="54"/>
      <x:c r="H10" s="54"/>
      <x:c r="I10" s="54"/>
      <x:c r="J10" s="54"/>
      <x:c r="K10" s="54"/>
      <x:c r="L10" s="64"/>
      <x:c r="M10" s="96"/>
      <x:c r="N10" s="26"/>
    </x:row>
    <x:row r="11">
      <x:c r="A11" s="54"/>
      <x:c r="B11" s="102"/>
      <x:c r="C11" s="66"/>
      <x:c r="D11" s="54"/>
      <x:c r="E11" s="54"/>
      <x:c r="F11" s="54"/>
      <x:c r="G11" s="54"/>
      <x:c r="H11" s="54"/>
      <x:c r="I11" s="54"/>
      <x:c r="J11" s="54"/>
      <x:c r="K11" s="54"/>
      <x:c r="L11" s="64"/>
      <x:c r="M11" s="96"/>
      <x:c r="N11" s="26"/>
    </x:row>
    <x:row r="12">
      <x:c r="A12" s="54"/>
      <x:c r="B12" s="102"/>
      <x:c r="C12" s="66"/>
      <x:c r="D12" s="54"/>
      <x:c r="E12" s="54"/>
      <x:c r="F12" s="54"/>
      <x:c r="G12" s="54"/>
      <x:c r="H12" s="54"/>
      <x:c r="I12" s="54"/>
      <x:c r="J12" s="54"/>
      <x:c r="K12" s="54"/>
      <x:c r="L12" s="64"/>
      <x:c r="M12" s="96"/>
      <x:c r="N12" s="26"/>
    </x:row>
    <x:row r="13">
      <x:c r="A13" s="54"/>
      <x:c r="B13" s="102"/>
      <x:c r="C13" s="66"/>
      <x:c r="D13" s="54"/>
      <x:c r="E13" s="54"/>
      <x:c r="F13" s="54"/>
      <x:c r="G13" s="54"/>
      <x:c r="H13" s="54"/>
      <x:c r="I13" s="54"/>
      <x:c r="J13" s="54"/>
      <x:c r="K13" s="54"/>
      <x:c r="L13" s="64"/>
      <x:c r="M13" s="96"/>
      <x:c r="N13" s="26"/>
    </x:row>
    <x:row r="14">
      <x:c r="A14" s="54"/>
      <x:c r="B14" s="102"/>
      <x:c r="C14" s="66"/>
      <x:c r="D14" s="54"/>
      <x:c r="E14" s="54"/>
      <x:c r="F14" s="54"/>
      <x:c r="G14" s="54"/>
      <x:c r="H14" s="54"/>
      <x:c r="I14" s="54"/>
      <x:c r="J14" s="54"/>
      <x:c r="K14" s="54"/>
      <x:c r="L14" s="64"/>
      <x:c r="M14" s="96"/>
      <x:c r="N14" s="26"/>
    </x:row>
    <x:row r="15">
      <x:c r="A15" s="54"/>
      <x:c r="B15" s="102"/>
      <x:c r="C15" s="66"/>
      <x:c r="D15" s="54"/>
      <x:c r="E15" s="54"/>
      <x:c r="F15" s="54"/>
      <x:c r="G15" s="54"/>
      <x:c r="H15" s="54"/>
      <x:c r="I15" s="54"/>
      <x:c r="J15" s="54"/>
      <x:c r="K15" s="54"/>
      <x:c r="L15" s="64"/>
      <x:c r="M15" s="96"/>
      <x:c r="N15" s="26"/>
    </x:row>
    <x:row r="16">
      <x:c r="A16" s="54"/>
      <x:c r="B16" s="102"/>
      <x:c r="C16" s="66"/>
      <x:c r="D16" s="54"/>
      <x:c r="E16" s="54"/>
      <x:c r="F16" s="54"/>
      <x:c r="G16" s="54"/>
      <x:c r="H16" s="54"/>
      <x:c r="I16" s="54"/>
      <x:c r="J16" s="54"/>
      <x:c r="K16" s="54"/>
      <x:c r="L16" s="64"/>
      <x:c r="M16" s="96"/>
      <x:c r="N16" s="26"/>
    </x:row>
    <x:row r="17">
      <x:c r="A17" s="54"/>
      <x:c r="B17" s="102"/>
      <x:c r="C17" s="66"/>
      <x:c r="D17" s="54"/>
      <x:c r="E17" s="54"/>
      <x:c r="F17" s="54"/>
      <x:c r="G17" s="54"/>
      <x:c r="H17" s="54"/>
      <x:c r="I17" s="54"/>
      <x:c r="J17" s="54"/>
      <x:c r="K17" s="54"/>
      <x:c r="L17" s="64"/>
      <x:c r="M17" s="96"/>
      <x:c r="N17" s="26"/>
    </x:row>
    <x:row r="18">
      <x:c r="A18" s="54"/>
      <x:c r="B18" s="102"/>
      <x:c r="C18" s="66"/>
      <x:c r="D18" s="54"/>
      <x:c r="E18" s="54"/>
      <x:c r="F18" s="54"/>
      <x:c r="G18" s="54"/>
      <x:c r="H18" s="54"/>
      <x:c r="I18" s="54"/>
      <x:c r="J18" s="54"/>
      <x:c r="K18" s="54"/>
      <x:c r="L18" s="64"/>
      <x:c r="M18" s="96"/>
      <x:c r="N18" s="26"/>
    </x:row>
    <x:row r="19">
      <x:c r="A19" s="54"/>
      <x:c r="B19" s="102"/>
      <x:c r="C19" s="66"/>
      <x:c r="D19" s="54"/>
      <x:c r="E19" s="54"/>
      <x:c r="F19" s="54"/>
      <x:c r="G19" s="54"/>
      <x:c r="H19" s="54"/>
      <x:c r="I19" s="54"/>
      <x:c r="J19" s="54"/>
      <x:c r="K19" s="54"/>
      <x:c r="L19" s="64"/>
      <x:c r="M19" s="96"/>
      <x:c r="N19" s="26"/>
    </x:row>
    <x:row r="20">
      <x:c r="A20" s="54"/>
      <x:c r="B20" s="102"/>
      <x:c r="C20" s="66"/>
      <x:c r="D20" s="54"/>
      <x:c r="E20" s="54"/>
      <x:c r="F20" s="54"/>
      <x:c r="G20" s="54"/>
      <x:c r="H20" s="54"/>
      <x:c r="I20" s="54"/>
      <x:c r="J20" s="54"/>
      <x:c r="K20" s="54"/>
      <x:c r="L20" s="64"/>
      <x:c r="M20" s="96"/>
      <x:c r="N20" s="26"/>
    </x:row>
    <x:row r="21">
      <x:c r="A21" s="54"/>
      <x:c r="B21" s="102"/>
      <x:c r="C21" s="66"/>
      <x:c r="D21" s="54"/>
      <x:c r="E21" s="54"/>
      <x:c r="F21" s="54"/>
      <x:c r="G21" s="54"/>
      <x:c r="H21" s="54"/>
      <x:c r="I21" s="54"/>
      <x:c r="J21" s="54"/>
      <x:c r="K21" s="54"/>
      <x:c r="L21" s="64"/>
      <x:c r="M21" s="96"/>
      <x:c r="N21" s="26"/>
    </x:row>
    <x:row r="22">
      <x:c r="A22" s="54"/>
      <x:c r="B22" s="102"/>
      <x:c r="C22" s="66"/>
      <x:c r="D22" s="54"/>
      <x:c r="E22" s="54"/>
      <x:c r="F22" s="54"/>
      <x:c r="G22" s="54"/>
      <x:c r="H22" s="54"/>
      <x:c r="I22" s="54"/>
      <x:c r="J22" s="54"/>
      <x:c r="K22" s="54"/>
      <x:c r="L22" s="64"/>
      <x:c r="M22" s="96"/>
      <x:c r="N22" s="26"/>
    </x:row>
    <x:row r="23">
      <x:c r="A23" s="54"/>
      <x:c r="B23" s="102"/>
      <x:c r="C23" s="66"/>
      <x:c r="D23" s="54"/>
      <x:c r="E23" s="54"/>
      <x:c r="F23" s="54"/>
      <x:c r="G23" s="54"/>
      <x:c r="H23" s="54"/>
      <x:c r="I23" s="54"/>
      <x:c r="J23" s="54"/>
      <x:c r="K23" s="54"/>
      <x:c r="L23" s="64"/>
      <x:c r="M23" s="96"/>
      <x:c r="N23" s="26"/>
    </x:row>
    <x:row r="24">
      <x:c r="A24" s="54"/>
      <x:c r="B24" s="102"/>
      <x:c r="C24" s="66"/>
      <x:c r="D24" s="54"/>
      <x:c r="E24" s="54"/>
      <x:c r="F24" s="54"/>
      <x:c r="G24" s="54"/>
      <x:c r="H24" s="54"/>
      <x:c r="I24" s="54"/>
      <x:c r="J24" s="54"/>
      <x:c r="K24" s="54"/>
      <x:c r="L24" s="64"/>
      <x:c r="M24" s="96"/>
      <x:c r="N24" s="26"/>
    </x:row>
    <x:row r="25">
      <x:c r="A25" s="54"/>
      <x:c r="B25" s="102"/>
      <x:c r="C25" s="66"/>
      <x:c r="D25" s="54"/>
      <x:c r="E25" s="54"/>
      <x:c r="F25" s="54"/>
      <x:c r="G25" s="54"/>
      <x:c r="H25" s="54"/>
      <x:c r="I25" s="54"/>
      <x:c r="J25" s="54"/>
      <x:c r="K25" s="54"/>
      <x:c r="L25" s="64"/>
      <x:c r="M25" s="96"/>
      <x:c r="N25" s="26"/>
    </x:row>
    <x:row r="26">
      <x:c r="A26" s="54"/>
      <x:c r="B26" s="102"/>
      <x:c r="C26" s="66"/>
      <x:c r="D26" s="54"/>
      <x:c r="E26" s="54"/>
      <x:c r="F26" s="54"/>
      <x:c r="G26" s="54"/>
      <x:c r="H26" s="54"/>
      <x:c r="I26" s="54"/>
      <x:c r="J26" s="54"/>
      <x:c r="K26" s="54"/>
      <x:c r="L26" s="64"/>
      <x:c r="M26" s="96"/>
      <x:c r="N26" s="26"/>
    </x:row>
    <x:row r="27">
      <x:c r="A27" s="54"/>
      <x:c r="B27" s="102"/>
      <x:c r="C27" s="66"/>
      <x:c r="D27" s="54"/>
      <x:c r="E27" s="54"/>
      <x:c r="F27" s="54"/>
      <x:c r="G27" s="54"/>
      <x:c r="H27" s="54"/>
      <x:c r="I27" s="54"/>
      <x:c r="J27" s="54"/>
      <x:c r="K27" s="54"/>
      <x:c r="L27" s="64"/>
      <x:c r="M27" s="96"/>
      <x:c r="N27" s="26"/>
    </x:row>
    <x:row r="28">
      <x:c r="A28" s="54"/>
      <x:c r="B28" s="102"/>
      <x:c r="C28" s="66"/>
      <x:c r="D28" s="54"/>
      <x:c r="E28" s="54"/>
      <x:c r="F28" s="54"/>
      <x:c r="G28" s="54"/>
      <x:c r="H28" s="54"/>
      <x:c r="I28" s="54"/>
      <x:c r="J28" s="54"/>
      <x:c r="K28" s="54"/>
      <x:c r="L28" s="64"/>
      <x:c r="M28" s="96"/>
      <x:c r="N28" s="26"/>
    </x:row>
    <x:row r="29">
      <x:c r="A29" s="54"/>
      <x:c r="B29" s="102"/>
      <x:c r="C29" s="66"/>
      <x:c r="D29" s="54"/>
      <x:c r="E29" s="54"/>
      <x:c r="F29" s="54"/>
      <x:c r="G29" s="54"/>
      <x:c r="H29" s="54"/>
      <x:c r="I29" s="54"/>
      <x:c r="J29" s="54"/>
      <x:c r="K29" s="54"/>
      <x:c r="L29" s="64"/>
      <x:c r="M29" s="96"/>
      <x:c r="N29" s="26"/>
    </x:row>
    <x:row r="30">
      <x:c r="A30" s="54"/>
      <x:c r="B30" s="102"/>
      <x:c r="C30" s="66"/>
      <x:c r="D30" s="54"/>
      <x:c r="E30" s="54"/>
      <x:c r="F30" s="54"/>
      <x:c r="G30" s="54"/>
      <x:c r="H30" s="54"/>
      <x:c r="I30" s="54"/>
      <x:c r="J30" s="54"/>
      <x:c r="K30" s="54"/>
      <x:c r="L30" s="64"/>
      <x:c r="M30" s="96"/>
      <x:c r="N30" s="26"/>
    </x:row>
    <x:row r="31">
      <x:c r="A31" s="54"/>
      <x:c r="B31" s="102"/>
      <x:c r="C31" s="66"/>
      <x:c r="D31" s="54"/>
      <x:c r="E31" s="54"/>
      <x:c r="F31" s="54"/>
      <x:c r="G31" s="54"/>
      <x:c r="H31" s="54"/>
      <x:c r="I31" s="54"/>
      <x:c r="J31" s="54"/>
      <x:c r="K31" s="54"/>
      <x:c r="L31" s="64"/>
      <x:c r="M31" s="96"/>
      <x:c r="N31" s="26"/>
    </x:row>
    <x:row r="32">
      <x:c r="A32" s="54"/>
      <x:c r="B32" s="102"/>
      <x:c r="C32" s="66"/>
      <x:c r="D32" s="54"/>
      <x:c r="E32" s="54"/>
      <x:c r="F32" s="54"/>
      <x:c r="G32" s="54"/>
      <x:c r="H32" s="54"/>
      <x:c r="I32" s="54"/>
      <x:c r="J32" s="54"/>
      <x:c r="K32" s="54"/>
      <x:c r="L32" s="64"/>
      <x:c r="M32" s="96"/>
      <x:c r="N32" s="26"/>
    </x:row>
    <x:row r="33">
      <x:c r="A33" s="54"/>
      <x:c r="B33" s="102"/>
      <x:c r="C33" s="66"/>
      <x:c r="D33" s="54"/>
      <x:c r="E33" s="54"/>
      <x:c r="F33" s="54"/>
      <x:c r="G33" s="54"/>
      <x:c r="H33" s="54"/>
      <x:c r="I33" s="54"/>
      <x:c r="J33" s="54"/>
      <x:c r="K33" s="54"/>
      <x:c r="L33" s="64"/>
      <x:c r="M33" s="96"/>
      <x:c r="N33" s="26"/>
    </x:row>
    <x:row r="36" ht="34" customHeight="1">
      <x:c r="A36" s="21" t="str">
        <x:v>Сводный показатель</x:v>
      </x:c>
      <x:c r="B36" s="21" t="str">
        <x:v>Значение</x:v>
      </x:c>
      <x:c r="C36" s="21" t="str">
        <x:v>Оценка</x:v>
      </x:c>
      <x:c r="D36" s="21" t="str">
        <x:v>Интерпретация</x:v>
      </x:c>
    </x:row>
    <x:row r="37">
      <x:c r="A37" t="str">
        <x:v>Средний индекс доверия конкурентов</x:v>
      </x:c>
      <x:c r="B37" s="72" t="n">
        <x:f>AVERAGE(L4:L33)</x:f>
        <x:v>0.66325</x:v>
      </x:c>
      <x:c r="C37" t="str">
        <x:f>IF(B37&gt;=0.7,"высокий",IF(B37&gt;=0.4,"средний","низкий"))</x:f>
        <x:v>средний</x:v>
      </x:c>
      <x:c r="D37" t="str">
        <x:v>Высокий индекс означает сильный репутационный барьер.</x:v>
      </x:c>
    </x:row>
    <x:row r="38">
      <x:c r="A38" t="str">
        <x:v>Среднее число отзывов на конкурента</x:v>
      </x:c>
      <x:c r="B38" s="70" t="n">
        <x:f>AVERAGE(C4:C33+E4:E33+G4:G33+I4:I33)</x:f>
        <x:v>27.166666666666668</x:v>
      </x:c>
      <x:c r="C38" t="str">
        <x:f>IF(B38&gt;='01_Параметры'!B17,"высокий барьер",IF(B38&gt;='01_Параметры'!B17*0.5,"средний барьер","низкий барьер"))</x:f>
        <x:v>низкий барьер</x:v>
      </x:c>
      <x:c r="D38" t="str">
        <x:v>Показывает объем накопленного социального доказательства.</x:v>
      </x:c>
    </x:row>
  </x:sheetData>
  <x:mergeCells>
    <x:mergeCell ref="A1:N1"/>
    <x:mergeCell ref="A2:N2"/>
  </x:mergeCells>
  <x:conditionalFormatting sqref="M4:M33">
    <x:cfRule type="colorScale" priority="1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ce8c87389054cb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8" hidden="0" customWidth="1"/>
    <x:col min="9" max="9" width="12" hidden="0" customWidth="1"/>
    <x:col min="10" max="10" width="18" hidden="0" customWidth="1"/>
    <x:col min="11" max="11" width="18" hidden="0" customWidth="1"/>
    <x:col min="12" max="12" width="16" hidden="0" customWidth="1"/>
    <x:col min="13" max="13" width="32" hidden="0" customWidth="1"/>
  </x:cols>
  <x:sheetData>
    <x:row r="1" ht="30" customHeight="1">
      <x:c r="A1" s="5" t="str">
        <x:v>Оценка технологических, финансовых и организационных барьеров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2" customHeight="1">
      <x:c r="A2" s="13" t="str">
        <x:v>Используйте Crunchbase, LinkedIn, BuiltWith, Wappalyzer, рекламные библиотеки, GitHub, вакансии и сайты конкурентов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 ht="34" customHeight="1">
      <x:c r="A3" s="21" t="str">
        <x:v>Конкурент</x:v>
      </x:c>
      <x:c r="B3" s="21" t="str">
        <x:v>Финансирование / инвестиции</x:v>
      </x:c>
      <x:c r="C3" s="21" t="str">
        <x:v>Сотрудники LinkedIn</x:v>
      </x:c>
      <x:c r="D3" s="21" t="str">
        <x:v>Технологический стек 1-5</x:v>
      </x:c>
      <x:c r="E3" s="21" t="str">
        <x:v>CRM/автоматизация 1-5</x:v>
      </x:c>
      <x:c r="F3" s="21" t="str">
        <x:v>Мобильное приложение</x:v>
      </x:c>
      <x:c r="G3" s="21" t="str">
        <x:v>Личный кабинет</x:v>
      </x:c>
      <x:c r="H3" s="21" t="str">
        <x:v>Активных объявлений</x:v>
      </x:c>
      <x:c r="I3" s="21" t="str">
        <x:v>Вакансий</x:v>
      </x:c>
      <x:c r="J3" s="21" t="str">
        <x:v>Патенты/уникальные активы</x:v>
      </x:c>
      <x:c r="K3" s="21" t="str">
        <x:v>Индекс ресурсной силы</x:v>
      </x:c>
      <x:c r="L3" s="21" t="str">
        <x:v>Балльная оценка 1-5</x:v>
      </x:c>
      <x:c r="M3" s="21" t="str">
        <x:v>Комментарий</x:v>
      </x:c>
    </x:row>
    <x:row r="4">
      <x:c r="A4" s="54" t="str">
        <x:v>agency-a.by</x:v>
      </x:c>
      <x:c r="B4" s="66" t="n">
        <x:v>0</x:v>
      </x:c>
      <x:c r="C4" s="95" t="n">
        <x:v>42</x:v>
      </x:c>
      <x:c r="D4" s="95" t="n">
        <x:v>4</x:v>
      </x:c>
      <x:c r="E4" s="95" t="n">
        <x:v>4</x:v>
      </x:c>
      <x:c r="F4" s="54" t="str">
        <x:v>нет</x:v>
      </x:c>
      <x:c r="G4" s="54" t="str">
        <x:v>да</x:v>
      </x:c>
      <x:c r="H4" s="54" t="n">
        <x:v>35</x:v>
      </x:c>
      <x:c r="I4" s="54" t="n">
        <x:v>3</x:v>
      </x:c>
      <x:c r="J4" s="54" t="n">
        <x:v>0</x:v>
      </x:c>
      <x:c r="K4" s="64" t="n">
        <x:f>MIN(1,AVERAGE(MIN(B4/500000,1),MIN(C4/60,1),D4/5,E4/5,IF(F4="да",1,0),IF(G4="да",1,0),MIN(H4/50,1),MIN(I4/6,1),IF(J4&gt;0,1,0)))</x:f>
        <x:v>0.5</x:v>
      </x:c>
      <x:c r="L4" s="96" t="n">
        <x:f>IF(K4&gt;=0.7,5,IF(K4&gt;=0.4,3,1))</x:f>
        <x:v>3</x:v>
      </x:c>
      <x:c r="M4" s="26" t="str">
        <x:v>пример</x:v>
      </x:c>
    </x:row>
    <x:row r="5">
      <x:c r="A5" s="54" t="str">
        <x:v>marketing-b.by</x:v>
      </x:c>
      <x:c r="B5" s="66" t="n">
        <x:v>0</x:v>
      </x:c>
      <x:c r="C5" s="95" t="n">
        <x:v>26</x:v>
      </x:c>
      <x:c r="D5" s="95" t="n">
        <x:v>3</x:v>
      </x:c>
      <x:c r="E5" s="95" t="n">
        <x:v>3</x:v>
      </x:c>
      <x:c r="F5" s="54" t="str">
        <x:v>нет</x:v>
      </x:c>
      <x:c r="G5" s="54" t="str">
        <x:v>нет</x:v>
      </x:c>
      <x:c r="H5" s="54" t="n">
        <x:v>24</x:v>
      </x:c>
      <x:c r="I5" s="54" t="n">
        <x:v>2</x:v>
      </x:c>
      <x:c r="J5" s="54" t="n">
        <x:v>0</x:v>
      </x:c>
      <x:c r="K5" s="64" t="n">
        <x:f>MIN(1,AVERAGE(MIN(B5/500000,1),MIN(C5/60,1),D5/5,E5/5,IF(F5="да",1,0),IF(G5="да",1,0),MIN(H5/50,1),MIN(I5/6,1),IF(J5&gt;0,1,0)))</x:f>
        <x:v>0.27185185185185184</x:v>
      </x:c>
      <x:c r="L5" s="96" t="n">
        <x:f>IF(K5&gt;=0.7,5,IF(K5&gt;=0.4,3,1))</x:f>
        <x:v>1</x:v>
      </x:c>
      <x:c r="M5" s="26" t="str">
        <x:v>пример</x:v>
      </x:c>
    </x:row>
    <x:row r="6">
      <x:c r="A6" s="54" t="str">
        <x:v>smm-c.by</x:v>
      </x:c>
      <x:c r="B6" s="66" t="n">
        <x:v>0</x:v>
      </x:c>
      <x:c r="C6" s="95" t="n">
        <x:v>9</x:v>
      </x:c>
      <x:c r="D6" s="95" t="n">
        <x:v>2</x:v>
      </x:c>
      <x:c r="E6" s="95" t="n">
        <x:v>2</x:v>
      </x:c>
      <x:c r="F6" s="54" t="str">
        <x:v>нет</x:v>
      </x:c>
      <x:c r="G6" s="54" t="str">
        <x:v>нет</x:v>
      </x:c>
      <x:c r="H6" s="54" t="n">
        <x:v>18</x:v>
      </x:c>
      <x:c r="I6" s="54" t="n">
        <x:v>0</x:v>
      </x:c>
      <x:c r="J6" s="54" t="n">
        <x:v>0</x:v>
      </x:c>
      <x:c r="K6" s="64" t="n">
        <x:f>MIN(1,AVERAGE(MIN(B6/500000,1),MIN(C6/60,1),D6/5,E6/5,IF(F6="да",1,0),IF(G6="да",1,0),MIN(H6/50,1),MIN(I6/6,1),IF(J6&gt;0,1,0)))</x:f>
        <x:v>0.14555555555555555</x:v>
      </x:c>
      <x:c r="L6" s="96" t="n">
        <x:f>IF(K6&gt;=0.7,5,IF(K6&gt;=0.4,3,1))</x:f>
        <x:v>1</x:v>
      </x:c>
      <x:c r="M6" s="26" t="str">
        <x:v>пример</x:v>
      </x:c>
    </x:row>
    <x:row r="7">
      <x:c r="A7" s="54" t="str">
        <x:v>ads-d.by</x:v>
      </x:c>
      <x:c r="B7" s="66" t="n">
        <x:v>0</x:v>
      </x:c>
      <x:c r="C7" s="95" t="n">
        <x:v>38</x:v>
      </x:c>
      <x:c r="D7" s="95" t="n">
        <x:v>4</x:v>
      </x:c>
      <x:c r="E7" s="95" t="n">
        <x:v>4</x:v>
      </x:c>
      <x:c r="F7" s="54" t="str">
        <x:v>нет</x:v>
      </x:c>
      <x:c r="G7" s="54" t="str">
        <x:v>да</x:v>
      </x:c>
      <x:c r="H7" s="54" t="n">
        <x:v>52</x:v>
      </x:c>
      <x:c r="I7" s="54" t="n">
        <x:v>4</x:v>
      </x:c>
      <x:c r="J7" s="54" t="n">
        <x:v>0</x:v>
      </x:c>
      <x:c r="K7" s="64" t="n">
        <x:f>MIN(1,AVERAGE(MIN(B7/500000,1),MIN(C7/60,1),D7/5,E7/5,IF(F7="да",1,0),IF(G7="да",1,0),MIN(H7/50,1),MIN(I7/6,1),IF(J7&gt;0,1,0)))</x:f>
        <x:v>0.5444444444444445</x:v>
      </x:c>
      <x:c r="L7" s="96" t="n">
        <x:f>IF(K7&gt;=0.7,5,IF(K7&gt;=0.4,3,1))</x:f>
        <x:v>3</x:v>
      </x:c>
      <x:c r="M7" s="26" t="str">
        <x:v>пример</x:v>
      </x:c>
    </x:row>
    <x:row r="8">
      <x:c r="A8" s="54" t="str">
        <x:v>crm-g.by</x:v>
      </x:c>
      <x:c r="B8" s="66" t="n">
        <x:v>250000</x:v>
      </x:c>
      <x:c r="C8" s="95" t="n">
        <x:v>55</x:v>
      </x:c>
      <x:c r="D8" s="95" t="n">
        <x:v>5</x:v>
      </x:c>
      <x:c r="E8" s="95" t="n">
        <x:v>5</x:v>
      </x:c>
      <x:c r="F8" s="54" t="str">
        <x:v>да</x:v>
      </x:c>
      <x:c r="G8" s="54" t="str">
        <x:v>да</x:v>
      </x:c>
      <x:c r="H8" s="54" t="n">
        <x:v>44</x:v>
      </x:c>
      <x:c r="I8" s="54" t="n">
        <x:v>6</x:v>
      </x:c>
      <x:c r="J8" s="54" t="n">
        <x:v>1</x:v>
      </x:c>
      <x:c r="K8" s="64" t="n">
        <x:f>MIN(1,AVERAGE(MIN(B8/500000,1),MIN(C8/60,1),D8/5,E8/5,IF(F8="да",1,0),IF(G8="да",1,0),MIN(H8/50,1),MIN(I8/6,1),IF(J8&gt;0,1,0)))</x:f>
        <x:v>0.9218518518518519</x:v>
      </x:c>
      <x:c r="L8" s="96" t="n">
        <x:f>IF(K8&gt;=0.7,5,IF(K8&gt;=0.4,3,1))</x:f>
        <x:v>5</x:v>
      </x:c>
      <x:c r="M8" s="26" t="str">
        <x:v>сервис как заменитель/поставщик</x:v>
      </x:c>
    </x:row>
    <x:row r="9">
      <x:c r="A9" s="54"/>
      <x:c r="B9" s="66"/>
      <x:c r="C9" s="95"/>
      <x:c r="D9" s="95"/>
      <x:c r="E9" s="95"/>
      <x:c r="F9" s="54"/>
      <x:c r="G9" s="54"/>
      <x:c r="H9" s="54"/>
      <x:c r="I9" s="54"/>
      <x:c r="J9" s="54"/>
      <x:c r="K9" s="64"/>
      <x:c r="L9" s="96"/>
      <x:c r="M9" s="26"/>
    </x:row>
    <x:row r="10">
      <x:c r="A10" s="54"/>
      <x:c r="B10" s="66"/>
      <x:c r="C10" s="95"/>
      <x:c r="D10" s="95"/>
      <x:c r="E10" s="95"/>
      <x:c r="F10" s="54"/>
      <x:c r="G10" s="54"/>
      <x:c r="H10" s="54"/>
      <x:c r="I10" s="54"/>
      <x:c r="J10" s="54"/>
      <x:c r="K10" s="64"/>
      <x:c r="L10" s="96"/>
      <x:c r="M10" s="26"/>
    </x:row>
    <x:row r="11">
      <x:c r="A11" s="54"/>
      <x:c r="B11" s="66"/>
      <x:c r="C11" s="95"/>
      <x:c r="D11" s="95"/>
      <x:c r="E11" s="95"/>
      <x:c r="F11" s="54"/>
      <x:c r="G11" s="54"/>
      <x:c r="H11" s="54"/>
      <x:c r="I11" s="54"/>
      <x:c r="J11" s="54"/>
      <x:c r="K11" s="64"/>
      <x:c r="L11" s="96"/>
      <x:c r="M11" s="26"/>
    </x:row>
    <x:row r="12">
      <x:c r="A12" s="54"/>
      <x:c r="B12" s="66"/>
      <x:c r="C12" s="95"/>
      <x:c r="D12" s="95"/>
      <x:c r="E12" s="95"/>
      <x:c r="F12" s="54"/>
      <x:c r="G12" s="54"/>
      <x:c r="H12" s="54"/>
      <x:c r="I12" s="54"/>
      <x:c r="J12" s="54"/>
      <x:c r="K12" s="64"/>
      <x:c r="L12" s="96"/>
      <x:c r="M12" s="26"/>
    </x:row>
    <x:row r="13">
      <x:c r="A13" s="54"/>
      <x:c r="B13" s="66"/>
      <x:c r="C13" s="95"/>
      <x:c r="D13" s="95"/>
      <x:c r="E13" s="95"/>
      <x:c r="F13" s="54"/>
      <x:c r="G13" s="54"/>
      <x:c r="H13" s="54"/>
      <x:c r="I13" s="54"/>
      <x:c r="J13" s="54"/>
      <x:c r="K13" s="64"/>
      <x:c r="L13" s="96"/>
      <x:c r="M13" s="26"/>
    </x:row>
    <x:row r="14">
      <x:c r="A14" s="54"/>
      <x:c r="B14" s="66"/>
      <x:c r="C14" s="95"/>
      <x:c r="D14" s="95"/>
      <x:c r="E14" s="95"/>
      <x:c r="F14" s="54"/>
      <x:c r="G14" s="54"/>
      <x:c r="H14" s="54"/>
      <x:c r="I14" s="54"/>
      <x:c r="J14" s="54"/>
      <x:c r="K14" s="64"/>
      <x:c r="L14" s="96"/>
      <x:c r="M14" s="26"/>
    </x:row>
    <x:row r="15">
      <x:c r="A15" s="54"/>
      <x:c r="B15" s="66"/>
      <x:c r="C15" s="95"/>
      <x:c r="D15" s="95"/>
      <x:c r="E15" s="95"/>
      <x:c r="F15" s="54"/>
      <x:c r="G15" s="54"/>
      <x:c r="H15" s="54"/>
      <x:c r="I15" s="54"/>
      <x:c r="J15" s="54"/>
      <x:c r="K15" s="64"/>
      <x:c r="L15" s="96"/>
      <x:c r="M15" s="26"/>
    </x:row>
    <x:row r="16">
      <x:c r="A16" s="54"/>
      <x:c r="B16" s="66"/>
      <x:c r="C16" s="95"/>
      <x:c r="D16" s="95"/>
      <x:c r="E16" s="95"/>
      <x:c r="F16" s="54"/>
      <x:c r="G16" s="54"/>
      <x:c r="H16" s="54"/>
      <x:c r="I16" s="54"/>
      <x:c r="J16" s="54"/>
      <x:c r="K16" s="64"/>
      <x:c r="L16" s="96"/>
      <x:c r="M16" s="26"/>
    </x:row>
    <x:row r="17">
      <x:c r="A17" s="54"/>
      <x:c r="B17" s="66"/>
      <x:c r="C17" s="95"/>
      <x:c r="D17" s="95"/>
      <x:c r="E17" s="95"/>
      <x:c r="F17" s="54"/>
      <x:c r="G17" s="54"/>
      <x:c r="H17" s="54"/>
      <x:c r="I17" s="54"/>
      <x:c r="J17" s="54"/>
      <x:c r="K17" s="64"/>
      <x:c r="L17" s="96"/>
      <x:c r="M17" s="26"/>
    </x:row>
    <x:row r="18">
      <x:c r="A18" s="54"/>
      <x:c r="B18" s="66"/>
      <x:c r="C18" s="95"/>
      <x:c r="D18" s="95"/>
      <x:c r="E18" s="95"/>
      <x:c r="F18" s="54"/>
      <x:c r="G18" s="54"/>
      <x:c r="H18" s="54"/>
      <x:c r="I18" s="54"/>
      <x:c r="J18" s="54"/>
      <x:c r="K18" s="64"/>
      <x:c r="L18" s="96"/>
      <x:c r="M18" s="26"/>
    </x:row>
    <x:row r="19">
      <x:c r="A19" s="54"/>
      <x:c r="B19" s="66"/>
      <x:c r="C19" s="95"/>
      <x:c r="D19" s="95"/>
      <x:c r="E19" s="95"/>
      <x:c r="F19" s="54"/>
      <x:c r="G19" s="54"/>
      <x:c r="H19" s="54"/>
      <x:c r="I19" s="54"/>
      <x:c r="J19" s="54"/>
      <x:c r="K19" s="64"/>
      <x:c r="L19" s="96"/>
      <x:c r="M19" s="26"/>
    </x:row>
    <x:row r="20">
      <x:c r="A20" s="54"/>
      <x:c r="B20" s="66"/>
      <x:c r="C20" s="95"/>
      <x:c r="D20" s="95"/>
      <x:c r="E20" s="95"/>
      <x:c r="F20" s="54"/>
      <x:c r="G20" s="54"/>
      <x:c r="H20" s="54"/>
      <x:c r="I20" s="54"/>
      <x:c r="J20" s="54"/>
      <x:c r="K20" s="64"/>
      <x:c r="L20" s="96"/>
      <x:c r="M20" s="26"/>
    </x:row>
    <x:row r="21">
      <x:c r="A21" s="54"/>
      <x:c r="B21" s="66"/>
      <x:c r="C21" s="95"/>
      <x:c r="D21" s="95"/>
      <x:c r="E21" s="95"/>
      <x:c r="F21" s="54"/>
      <x:c r="G21" s="54"/>
      <x:c r="H21" s="54"/>
      <x:c r="I21" s="54"/>
      <x:c r="J21" s="54"/>
      <x:c r="K21" s="64"/>
      <x:c r="L21" s="96"/>
      <x:c r="M21" s="26"/>
    </x:row>
    <x:row r="22">
      <x:c r="A22" s="54"/>
      <x:c r="B22" s="66"/>
      <x:c r="C22" s="95"/>
      <x:c r="D22" s="95"/>
      <x:c r="E22" s="95"/>
      <x:c r="F22" s="54"/>
      <x:c r="G22" s="54"/>
      <x:c r="H22" s="54"/>
      <x:c r="I22" s="54"/>
      <x:c r="J22" s="54"/>
      <x:c r="K22" s="64"/>
      <x:c r="L22" s="96"/>
      <x:c r="M22" s="26"/>
    </x:row>
    <x:row r="23">
      <x:c r="A23" s="54"/>
      <x:c r="B23" s="66"/>
      <x:c r="C23" s="95"/>
      <x:c r="D23" s="95"/>
      <x:c r="E23" s="95"/>
      <x:c r="F23" s="54"/>
      <x:c r="G23" s="54"/>
      <x:c r="H23" s="54"/>
      <x:c r="I23" s="54"/>
      <x:c r="J23" s="54"/>
      <x:c r="K23" s="64"/>
      <x:c r="L23" s="96"/>
      <x:c r="M23" s="26"/>
    </x:row>
    <x:row r="24">
      <x:c r="A24" s="54"/>
      <x:c r="B24" s="66"/>
      <x:c r="C24" s="95"/>
      <x:c r="D24" s="95"/>
      <x:c r="E24" s="95"/>
      <x:c r="F24" s="54"/>
      <x:c r="G24" s="54"/>
      <x:c r="H24" s="54"/>
      <x:c r="I24" s="54"/>
      <x:c r="J24" s="54"/>
      <x:c r="K24" s="64"/>
      <x:c r="L24" s="96"/>
      <x:c r="M24" s="26"/>
    </x:row>
    <x:row r="25">
      <x:c r="A25" s="54"/>
      <x:c r="B25" s="66"/>
      <x:c r="C25" s="95"/>
      <x:c r="D25" s="95"/>
      <x:c r="E25" s="95"/>
      <x:c r="F25" s="54"/>
      <x:c r="G25" s="54"/>
      <x:c r="H25" s="54"/>
      <x:c r="I25" s="54"/>
      <x:c r="J25" s="54"/>
      <x:c r="K25" s="64"/>
      <x:c r="L25" s="96"/>
      <x:c r="M25" s="26"/>
    </x:row>
    <x:row r="26">
      <x:c r="A26" s="54"/>
      <x:c r="B26" s="66"/>
      <x:c r="C26" s="95"/>
      <x:c r="D26" s="95"/>
      <x:c r="E26" s="95"/>
      <x:c r="F26" s="54"/>
      <x:c r="G26" s="54"/>
      <x:c r="H26" s="54"/>
      <x:c r="I26" s="54"/>
      <x:c r="J26" s="54"/>
      <x:c r="K26" s="64"/>
      <x:c r="L26" s="96"/>
      <x:c r="M26" s="26"/>
    </x:row>
    <x:row r="27">
      <x:c r="A27" s="54"/>
      <x:c r="B27" s="66"/>
      <x:c r="C27" s="95"/>
      <x:c r="D27" s="95"/>
      <x:c r="E27" s="95"/>
      <x:c r="F27" s="54"/>
      <x:c r="G27" s="54"/>
      <x:c r="H27" s="54"/>
      <x:c r="I27" s="54"/>
      <x:c r="J27" s="54"/>
      <x:c r="K27" s="64"/>
      <x:c r="L27" s="96"/>
      <x:c r="M27" s="26"/>
    </x:row>
    <x:row r="28">
      <x:c r="A28" s="54"/>
      <x:c r="B28" s="66"/>
      <x:c r="C28" s="95"/>
      <x:c r="D28" s="95"/>
      <x:c r="E28" s="95"/>
      <x:c r="F28" s="54"/>
      <x:c r="G28" s="54"/>
      <x:c r="H28" s="54"/>
      <x:c r="I28" s="54"/>
      <x:c r="J28" s="54"/>
      <x:c r="K28" s="64"/>
      <x:c r="L28" s="96"/>
      <x:c r="M28" s="26"/>
    </x:row>
    <x:row r="29">
      <x:c r="A29" s="54"/>
      <x:c r="B29" s="66"/>
      <x:c r="C29" s="95"/>
      <x:c r="D29" s="95"/>
      <x:c r="E29" s="95"/>
      <x:c r="F29" s="54"/>
      <x:c r="G29" s="54"/>
      <x:c r="H29" s="54"/>
      <x:c r="I29" s="54"/>
      <x:c r="J29" s="54"/>
      <x:c r="K29" s="64"/>
      <x:c r="L29" s="96"/>
      <x:c r="M29" s="26"/>
    </x:row>
    <x:row r="30">
      <x:c r="A30" s="54"/>
      <x:c r="B30" s="66"/>
      <x:c r="C30" s="95"/>
      <x:c r="D30" s="95"/>
      <x:c r="E30" s="95"/>
      <x:c r="F30" s="54"/>
      <x:c r="G30" s="54"/>
      <x:c r="H30" s="54"/>
      <x:c r="I30" s="54"/>
      <x:c r="J30" s="54"/>
      <x:c r="K30" s="64"/>
      <x:c r="L30" s="96"/>
      <x:c r="M30" s="26"/>
    </x:row>
    <x:row r="31">
      <x:c r="A31" s="54"/>
      <x:c r="B31" s="66"/>
      <x:c r="C31" s="95"/>
      <x:c r="D31" s="95"/>
      <x:c r="E31" s="95"/>
      <x:c r="F31" s="54"/>
      <x:c r="G31" s="54"/>
      <x:c r="H31" s="54"/>
      <x:c r="I31" s="54"/>
      <x:c r="J31" s="54"/>
      <x:c r="K31" s="64"/>
      <x:c r="L31" s="96"/>
      <x:c r="M31" s="26"/>
    </x:row>
    <x:row r="32">
      <x:c r="A32" s="54"/>
      <x:c r="B32" s="66"/>
      <x:c r="C32" s="95"/>
      <x:c r="D32" s="95"/>
      <x:c r="E32" s="95"/>
      <x:c r="F32" s="54"/>
      <x:c r="G32" s="54"/>
      <x:c r="H32" s="54"/>
      <x:c r="I32" s="54"/>
      <x:c r="J32" s="54"/>
      <x:c r="K32" s="64"/>
      <x:c r="L32" s="96"/>
      <x:c r="M32" s="26"/>
    </x:row>
    <x:row r="33">
      <x:c r="A33" s="54"/>
      <x:c r="B33" s="66"/>
      <x:c r="C33" s="95"/>
      <x:c r="D33" s="95"/>
      <x:c r="E33" s="95"/>
      <x:c r="F33" s="54"/>
      <x:c r="G33" s="54"/>
      <x:c r="H33" s="54"/>
      <x:c r="I33" s="54"/>
      <x:c r="J33" s="54"/>
      <x:c r="K33" s="64"/>
      <x:c r="L33" s="96"/>
      <x:c r="M33" s="26"/>
    </x:row>
    <x:row r="36" ht="34" customHeight="1">
      <x:c r="A36" s="21" t="str">
        <x:v>Сводный показатель</x:v>
      </x:c>
      <x:c r="B36" s="21" t="str">
        <x:v>Значение</x:v>
      </x:c>
      <x:c r="C36" s="21" t="str">
        <x:v>Оценка</x:v>
      </x:c>
      <x:c r="D36" s="21" t="str">
        <x:v>Интерпретация</x:v>
      </x:c>
    </x:row>
    <x:row r="37">
      <x:c r="A37" t="str">
        <x:v>Средний индекс ресурсной силы</x:v>
      </x:c>
      <x:c r="B37" s="72" t="n">
        <x:f>AVERAGE(K4:K33)</x:f>
        <x:v>0.4767407407407408</x:v>
      </x:c>
      <x:c r="C37" t="str">
        <x:f>IF(B37&gt;=0.7,"высокая",IF(B37&gt;=0.4,"средняя","низкая"))</x:f>
        <x:v>средняя</x:v>
      </x:c>
      <x:c r="D37" t="str">
        <x:v>Высокая ресурсная сила конкурентов повышает барьеры входа.</x:v>
      </x:c>
    </x:row>
    <x:row r="38">
      <x:c r="A38" t="str">
        <x:v>Доля конкурентов с личным кабинетом/приложением</x:v>
      </x:c>
      <x:c r="B38" s="72" t="n">
        <x:f>COUNTIF(F4:F33,"да")/COUNTA(A4:A33)+COUNTIF(G4:G33,"да")/COUNTA(A4:A33)</x:f>
        <x:v>0.8</x:v>
      </x:c>
      <x:c r="C38" t="str">
        <x:f>IF(B38&gt;=0.75,"высокая цифровая зрелость",IF(B38&gt;=0.35,"средняя цифровая зрелость","низкая цифровая зрелость"))</x:f>
        <x:v>высокая цифровая зрелость</x:v>
      </x:c>
      <x:c r="D38" t="str">
        <x:v>Показывает степень цифровой зрелости конкурентов.</x:v>
      </x:c>
    </x:row>
  </x:sheetData>
  <x:mergeCells>
    <x:mergeCell ref="A1:M1"/>
    <x:mergeCell ref="A2:M2"/>
  </x:mergeCells>
  <x:conditionalFormatting sqref="L4:L33">
    <x:cfRule type="colorScale" priority="1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dataValidations count="1">
    <x:dataValidation type="list" sqref="F4:G33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2425cb5f6040d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4" hidden="0" customWidth="1"/>
    <x:col min="5" max="5" width="10" hidden="0" customWidth="1"/>
    <x:col min="6" max="6" width="14" hidden="0" customWidth="1"/>
    <x:col min="7" max="7" width="18" hidden="0" customWidth="1"/>
    <x:col min="8" max="8" width="42" hidden="0" customWidth="1"/>
    <x:col min="9" max="9" width="42" hidden="0" customWidth="1"/>
  </x:cols>
  <x:sheetData>
    <x:row r="1" ht="30" customHeight="1">
      <x:c r="A1" s="5" t="str">
        <x:v>Сводная оценка уровня конкуренции и барьеров входа</x:v>
      </x:c>
      <x:c r="B1" s="5"/>
      <x:c r="C1" s="5"/>
      <x:c r="D1" s="5"/>
      <x:c r="E1" s="5"/>
      <x:c r="F1" s="5"/>
      <x:c r="G1" s="5"/>
      <x:c r="H1" s="5"/>
      <x:c r="I1" s="5"/>
    </x:row>
    <x:row r="2" ht="32" customHeight="1">
      <x:c r="A2" s="13" t="str">
        <x:v>Баллы 1/3/5 формируются из расчетных листов. Веса можно корректировать в зависимости от рынка.</x:v>
      </x:c>
      <x:c r="B2" s="13"/>
      <x:c r="C2" s="13"/>
      <x:c r="D2" s="13"/>
      <x:c r="E2" s="13"/>
      <x:c r="F2" s="13"/>
      <x:c r="G2" s="13"/>
      <x:c r="H2" s="13"/>
      <x:c r="I2" s="13"/>
    </x:row>
    <x:row r="3" ht="34" customHeight="1">
      <x:c r="A3" s="21" t="str">
        <x:v>Фактор барьера входа</x:v>
      </x:c>
      <x:c r="B3" s="21" t="str">
        <x:v>Ключевой показатель</x:v>
      </x:c>
      <x:c r="C3" s="21" t="str">
        <x:v>Значение</x:v>
      </x:c>
      <x:c r="D3" s="21" t="str">
        <x:v>Балльная оценка 1-5</x:v>
      </x:c>
      <x:c r="E3" s="21" t="str">
        <x:v>Вес</x:v>
      </x:c>
      <x:c r="F3" s="21" t="str">
        <x:v>Взвешенный балл</x:v>
      </x:c>
      <x:c r="G3" s="21" t="str">
        <x:v>Уровень давления</x:v>
      </x:c>
      <x:c r="H3" s="21" t="str">
        <x:v>Что означает</x:v>
      </x:c>
      <x:c r="I3" s="21" t="str">
        <x:v>Рекомендуемое действие</x:v>
      </x:c>
    </x:row>
    <x:row r="4">
      <x:c r="A4" s="26" t="str">
        <x:v>Концентрация трафика</x:v>
      </x:c>
      <x:c r="B4" s="26" t="str">
        <x:v>CR3 / CR5 / HHI</x:v>
      </x:c>
      <x:c r="C4" s="64" t="n">
        <x:f>'02_Конкуренты_SW'!B38</x:f>
        <x:v>0.5980427173369526</x:v>
      </x:c>
      <x:c r="D4" s="110" t="n">
        <x:f>IF(OR('02_Конкуренты_SW'!B38&gt;='01_Параметры'!B11,'02_Конкуренты_SW'!B40&gt;='01_Параметры'!B13),5,IF(OR('02_Конкуренты_SW'!B38&gt;='01_Параметры'!B11*0.65,'02_Конкуренты_SW'!B40&gt;='01_Параметры'!B13*0.65),3,1))</x:f>
        <x:v>3</x:v>
      </x:c>
      <x:c r="E4" s="111" t="n">
        <x:v>0.16</x:v>
      </x:c>
      <x:c r="F4" s="112" t="n">
        <x:f>D4*E4</x:f>
        <x:v>0.48</x:v>
      </x:c>
      <x:c r="G4" s="26" t="str">
        <x:f>IF(D4&gt;=5,"высокое",IF(D4&gt;=3,"среднее","низкое"))</x:f>
        <x:v>среднее</x:v>
      </x:c>
      <x:c r="H4" s="26" t="str">
        <x:v>Лидеры контролируют значимую часть цифрового спроса.</x:v>
      </x:c>
      <x:c r="I4" s="26" t="str">
        <x:v>Искать узкие сегменты и менее занятые каналы.</x:v>
      </x:c>
    </x:row>
    <x:row r="5">
      <x:c r="A5" s="26" t="str">
        <x:v>Органическое SEO-давление</x:v>
      </x:c>
      <x:c r="B5" s="26" t="str">
        <x:v>Доля органического трафика конкурентов</x:v>
      </x:c>
      <x:c r="C5" s="64" t="n">
        <x:f>'03_Каналы_трафика'!C5</x:f>
        <x:v>0.3860382884491749</x:v>
      </x:c>
      <x:c r="D5" s="110" t="n">
        <x:f>'03_Каналы_трафика'!E5</x:f>
        <x:v>3</x:v>
      </x:c>
      <x:c r="E5" s="111" t="n">
        <x:v>0.12</x:v>
      </x:c>
      <x:c r="F5" s="112" t="n">
        <x:f>D5*E5</x:f>
        <x:v>0.36</x:v>
      </x:c>
      <x:c r="G5" s="26" t="str">
        <x:f>IF(D5&gt;=5,"высокое",IF(D5&gt;=3,"среднее","низкое"))</x:f>
        <x:v>среднее</x:v>
      </x:c>
      <x:c r="H5" s="26" t="str">
        <x:v>Конкуренты занимают поисковую видимость.</x:v>
      </x:c>
      <x:c r="I5" s="26" t="str">
        <x:v>Планировать контент, поисковую оптимизацию и долгий горизонт входа.</x:v>
      </x:c>
    </x:row>
    <x:row r="6">
      <x:c r="A6" s="26" t="str">
        <x:v>Платное рекламное давление</x:v>
      </x:c>
      <x:c r="B6" s="26" t="str">
        <x:v>Доля paid search + рекламная активность</x:v>
      </x:c>
      <x:c r="C6" s="64" t="n">
        <x:f>AVERAGE('03_Каналы_трафика'!C6,'04_Поиск_реклама'!B37)</x:f>
        <x:v>0.40763503107364807</x:v>
      </x:c>
      <x:c r="D6" s="110" t="n">
        <x:f>IF(C6&gt;=0.6,5,IF(C6&gt;=0.35,3,1))</x:f>
        <x:v>3</x:v>
      </x:c>
      <x:c r="E6" s="111" t="n">
        <x:v>0.12</x:v>
      </x:c>
      <x:c r="F6" s="112" t="n">
        <x:f>D6*E6</x:f>
        <x:v>0.36</x:v>
      </x:c>
      <x:c r="G6" s="26" t="str">
        <x:f>IF(D6&gt;=5,"высокое",IF(D6&gt;=3,"среднее","низкое"))</x:f>
        <x:v>среднее</x:v>
      </x:c>
      <x:c r="H6" s="26" t="str">
        <x:v>Вход через рекламу требует бюджета.</x:v>
      </x:c>
      <x:c r="I6" s="26" t="str">
        <x:v>Проверить стоимость клика и юнит-экономику.</x:v>
      </x:c>
    </x:row>
    <x:row r="7">
      <x:c r="A7" s="26" t="str">
        <x:v>Брендовая сила конкурентов</x:v>
      </x:c>
      <x:c r="B7" s="26" t="str">
        <x:v>Direct + брендовый поиск</x:v>
      </x:c>
      <x:c r="C7" s="64" t="n">
        <x:f>'03_Каналы_трафика'!C10</x:f>
        <x:v>0.4353046646189014</x:v>
      </x:c>
      <x:c r="D7" s="110" t="n">
        <x:f>'03_Каналы_трафика'!E10</x:f>
        <x:v>3</x:v>
      </x:c>
      <x:c r="E7" s="111" t="n">
        <x:v>0.12</x:v>
      </x:c>
      <x:c r="F7" s="112" t="n">
        <x:f>D7*E7</x:f>
        <x:v>0.36</x:v>
      </x:c>
      <x:c r="G7" s="26" t="str">
        <x:f>IF(D7&gt;=5,"высокое",IF(D7&gt;=3,"среднее","низкое"))</x:f>
        <x:v>среднее</x:v>
      </x:c>
      <x:c r="H7" s="26" t="str">
        <x:v>Клиенты уже знают действующих игроков.</x:v>
      </x:c>
      <x:c r="I7" s="26" t="str">
        <x:v>Строить доверие, кейсы, репутацию и рекомендации.</x:v>
      </x:c>
    </x:row>
    <x:row r="8">
      <x:c r="A8" s="26" t="str">
        <x:v>Поисково-рекламная конкуренция</x:v>
      </x:c>
      <x:c r="B8" s="26" t="str">
        <x:v>CPC, PPC, SEO difficulty, рекламодатели</x:v>
      </x:c>
      <x:c r="C8" s="64" t="n">
        <x:f>'04_Поиск_реклама'!B37</x:f>
        <x:v>0.6643999999999999</x:v>
      </x:c>
      <x:c r="D8" s="110" t="n">
        <x:f>IF(C8&gt;=0.7,5,IF(C8&gt;=0.4,3,1))</x:f>
        <x:v>3</x:v>
      </x:c>
      <x:c r="E8" s="111" t="n">
        <x:v>0.12</x:v>
      </x:c>
      <x:c r="F8" s="112" t="n">
        <x:f>D8*E8</x:f>
        <x:v>0.36</x:v>
      </x:c>
      <x:c r="G8" s="26" t="str">
        <x:f>IF(D8&gt;=5,"высокое",IF(D8&gt;=3,"среднее","низкое"))</x:f>
        <x:v>среднее</x:v>
      </x:c>
      <x:c r="H8" s="26" t="str">
        <x:v>Коммерческие запросы заняты сильными игроками.</x:v>
      </x:c>
      <x:c r="I8" s="26" t="str">
        <x:v>Выбирать длинные и проблемные запросы.</x:v>
      </x:c>
    </x:row>
    <x:row r="9">
      <x:c r="A9" s="26" t="str">
        <x:v>Репутационный барьер</x:v>
      </x:c>
      <x:c r="B9" s="26" t="str">
        <x:v>Отзывы, рейтинги, кейсы</x:v>
      </x:c>
      <x:c r="C9" s="64" t="n">
        <x:f>'05_Отзывы_рейтинги'!B37</x:f>
        <x:v>0.66325</x:v>
      </x:c>
      <x:c r="D9" s="110" t="n">
        <x:f>IF(C9&gt;=0.7,5,IF(C9&gt;=0.4,3,1))</x:f>
        <x:v>3</x:v>
      </x:c>
      <x:c r="E9" s="111" t="n">
        <x:v>0.12</x:v>
      </x:c>
      <x:c r="F9" s="112" t="n">
        <x:f>D9*E9</x:f>
        <x:v>0.36</x:v>
      </x:c>
      <x:c r="G9" s="26" t="str">
        <x:f>IF(D9&gt;=5,"высокое",IF(D9&gt;=3,"среднее","низкое"))</x:f>
        <x:v>среднее</x:v>
      </x:c>
      <x:c r="H9" s="26" t="str">
        <x:v>У конкурентов накоплены отзывы и социальное доказательство.</x:v>
      </x:c>
      <x:c r="I9" s="26" t="str">
        <x:v>Запускать пилоты, собирать отзывы, демонстрировать кейсы.</x:v>
      </x:c>
    </x:row>
    <x:row r="10">
      <x:c r="A10" s="26" t="str">
        <x:v>Технологический и ресурсный барьер</x:v>
      </x:c>
      <x:c r="B10" s="26" t="str">
        <x:v>Стек, команда, финансирование, автоматизация</x:v>
      </x:c>
      <x:c r="C10" s="64" t="n">
        <x:f>'06_Технологии_финансы'!B37</x:f>
        <x:v>0.4767407407407408</x:v>
      </x:c>
      <x:c r="D10" s="110" t="n">
        <x:f>IF(C10&gt;=0.7,5,IF(C10&gt;=0.4,3,1))</x:f>
        <x:v>3</x:v>
      </x:c>
      <x:c r="E10" s="111" t="n">
        <x:v>0.12</x:v>
      </x:c>
      <x:c r="F10" s="112" t="n">
        <x:f>D10*E10</x:f>
        <x:v>0.36</x:v>
      </x:c>
      <x:c r="G10" s="26" t="str">
        <x:f>IF(D10&gt;=5,"высокое",IF(D10&gt;=3,"среднее","низкое"))</x:f>
        <x:v>среднее</x:v>
      </x:c>
      <x:c r="H10" s="26" t="str">
        <x:v>Конкуренты защищены ресурсами или цифровой инфраструктурой.</x:v>
      </x:c>
      <x:c r="I10" s="26" t="str">
        <x:v>Фокусироваться на нише и сервисном преимуществе.</x:v>
      </x:c>
    </x:row>
    <x:row r="11">
      <x:c r="A11" s="26" t="str">
        <x:v>Платформенная зависимость</x:v>
      </x:c>
      <x:c r="B11" s="26" t="str">
        <x:v>Доля продаж/трафика через внешние платформы</x:v>
      </x:c>
      <x:c r="C11" s="67" t="n">
        <x:v>0.5</x:v>
      </x:c>
      <x:c r="D11" s="112" t="n">
        <x:f>IF(C11&gt;=0.7,5,IF(C11&gt;=0.4,3,1))</x:f>
        <x:v>3</x:v>
      </x:c>
      <x:c r="E11" s="111" t="n">
        <x:v>0.08</x:v>
      </x:c>
      <x:c r="F11" s="112" t="n">
        <x:f>D11*E11</x:f>
        <x:v>0.24</x:v>
      </x:c>
      <x:c r="G11" s="26" t="str">
        <x:f>IF(D11&gt;=5,"высокое",IF(D11&gt;=3,"среднее","низкое"))</x:f>
        <x:v>среднее</x:v>
      </x:c>
      <x:c r="H11" s="26" t="str">
        <x:v>Доступ к клиенту контролируется платформами.</x:v>
      </x:c>
      <x:c r="I11" s="26" t="str">
        <x:v>Диверсифицировать каналы и строить собственную базу клиентов.</x:v>
      </x:c>
    </x:row>
    <x:row r="12">
      <x:c r="A12" s="26" t="str">
        <x:v>Угроза заменителей</x:v>
      </x:c>
      <x:c r="B12" s="26" t="str">
        <x:v>Сервисы, маркетплейсы, обучение, ИИ</x:v>
      </x:c>
      <x:c r="C12" s="67" t="n">
        <x:v>0.6</x:v>
      </x:c>
      <x:c r="D12" s="112" t="n">
        <x:f>IF(C12&gt;=0.7,5,IF(C12&gt;=0.4,3,1))</x:f>
        <x:v>3</x:v>
      </x:c>
      <x:c r="E12" s="111" t="n">
        <x:v>0.08</x:v>
      </x:c>
      <x:c r="F12" s="112" t="n">
        <x:f>D12*E12</x:f>
        <x:v>0.24</x:v>
      </x:c>
      <x:c r="G12" s="26" t="str">
        <x:f>IF(D12&gt;=5,"высокое",IF(D12&gt;=3,"среднее","низкое"))</x:f>
        <x:v>среднее</x:v>
      </x:c>
      <x:c r="H12" s="26" t="str">
        <x:v>Клиент может решить задачу альтернативным способом.</x:v>
      </x:c>
      <x:c r="I12" s="26" t="str">
        <x:v>Уточнить ценность: результат, скорость, экспертиза, сопровождение.</x:v>
      </x:c>
    </x:row>
    <x:row r="13">
      <x:c r="A13" s="26" t="str">
        <x:v>Суммарный индекс барьеров входа</x:v>
      </x:c>
      <x:c r="B13" s="26" t="str"/>
      <x:c r="C13" s="62" t="n">
        <x:f>SUM(F4:F12)</x:f>
        <x:v>3.12</x:v>
      </x:c>
      <x:c r="D13" s="112" t="n">
        <x:f>C13</x:f>
        <x:v>3.12</x:v>
      </x:c>
      <x:c r="E13" s="111" t="n">
        <x:v>1</x:v>
      </x:c>
      <x:c r="F13" s="112" t="n">
        <x:f>SUM(F4:F12)</x:f>
        <x:v>3.12</x:v>
      </x:c>
      <x:c r="G13" s="26" t="str">
        <x:f>IF(F13&gt;=4,"высокие барьеры",IF(F13&gt;=2.5,"средние барьеры","низкие барьеры"))</x:f>
        <x:v>средние барьеры</x:v>
      </x:c>
      <x:c r="H13" s="26" t="str">
        <x:v>Интегральная оценка давления.</x:v>
      </x:c>
      <x:c r="I13" s="26" t="str">
        <x:v>Использовать как итоговый вывод для анализа входа на рынок.</x:v>
      </x:c>
    </x:row>
  </x:sheetData>
  <x:mergeCells>
    <x:mergeCell ref="A1:I1"/>
    <x:mergeCell ref="A2:I2"/>
  </x:mergeCells>
  <x:conditionalFormatting sqref="D4:D13">
    <x:cfRule type="colorScale" priority="1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conditionalFormatting sqref="F4:F13">
    <x:cfRule type="colorScale" priority="2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0430d5e026e4f0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14" hidden="0" customWidth="1"/>
    <x:col min="4" max="4" width="60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0" customHeight="1">
      <x:c r="A1" s="5" t="str">
        <x:v>Дашборд оценки уровня конкуренции и барьеров входа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13" t="str">
        <x:v>Итоговые показатели автоматически подтягиваются из расчетных листов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4" customHeight="1">
      <x:c r="A4" s="21" t="str">
        <x:v>KPI</x:v>
      </x:c>
      <x:c r="B4" s="21" t="str">
        <x:v>Значение</x:v>
      </x:c>
      <x:c r="C4" s="21" t="str">
        <x:v>Ед.</x:v>
      </x:c>
      <x:c r="D4" s="21" t="str">
        <x:v>Интерпретация</x:v>
      </x:c>
      <x:c r="F4" s="21" t="str">
        <x:v>Фактор</x:v>
      </x:c>
      <x:c r="G4" s="21" t="str">
        <x:v>Балл</x:v>
      </x:c>
      <x:c r="H4" s="21" t="str">
        <x:v>Вес</x:v>
      </x:c>
      <x:c r="I4" s="21" t="str">
        <x:v>Взвешенный балл</x:v>
      </x:c>
    </x:row>
    <x:row r="5">
      <x:c r="A5" s="26" t="str">
        <x:v>Индекс барьеров входа</x:v>
      </x:c>
      <x:c r="B5" s="112" t="n">
        <x:f>'07_Барьеры_входа'!F13</x:f>
        <x:v>3.12</x:v>
      </x:c>
      <x:c r="C5" s="26" t="str">
        <x:v>1-5</x:v>
      </x:c>
      <x:c r="D5" s="26" t="str">
        <x:f>IF(B5&gt;=4,"Рынок труден для входа: нужны ресурсы, нишевание или сильное отличие.",IF(B5&gt;=2.5,"Вход возможен, но требует проверки каналов и позиционирования.","Барьеры относительно низкие, но требуется проверка платежеспособности."))</x:f>
        <x:v>Вход возможен, но требует проверки каналов и позиционирования.</x:v>
      </x:c>
      <x:c r="F5" s="26" t="str">
        <x:v>Концентрация трафика</x:v>
      </x:c>
      <x:c r="G5" s="112" t="n">
        <x:f>'07_Барьеры_входа'!D4</x:f>
        <x:v>3</x:v>
      </x:c>
      <x:c r="H5" s="112" t="n">
        <x:f>'07_Барьеры_входа'!E4</x:f>
        <x:v>0.16</x:v>
      </x:c>
      <x:c r="I5" s="112" t="n">
        <x:f>'07_Барьеры_входа'!F4</x:f>
        <x:v>0.48</x:v>
      </x:c>
    </x:row>
    <x:row r="6">
      <x:c r="A6" s="26" t="str">
        <x:v>Итоговый уровень</x:v>
      </x:c>
      <x:c r="B6" s="26" t="str">
        <x:f>'07_Барьеры_входа'!G13</x:f>
        <x:v>средние барьеры</x:v>
      </x:c>
      <x:c r="C6" s="26" t="str"/>
      <x:c r="D6" s="26" t="str"/>
      <x:c r="F6" s="26" t="str">
        <x:v>SEO-давление</x:v>
      </x:c>
      <x:c r="G6" s="112" t="n">
        <x:f>'07_Барьеры_входа'!D5</x:f>
        <x:v>3</x:v>
      </x:c>
      <x:c r="H6" s="112" t="n">
        <x:f>'07_Барьеры_входа'!E5</x:f>
        <x:v>0.12</x:v>
      </x:c>
      <x:c r="I6" s="112" t="n">
        <x:f>'07_Барьеры_входа'!F5</x:f>
        <x:v>0.36</x:v>
      </x:c>
    </x:row>
    <x:row r="7">
      <x:c r="A7" s="26" t="str">
        <x:v>CR3 по релевантному трафику</x:v>
      </x:c>
      <x:c r="B7" s="62" t="n">
        <x:f>'02_Конкуренты_SW'!B38</x:f>
        <x:v>0.5980427173369526</x:v>
      </x:c>
      <x:c r="C7" s="26" t="str">
        <x:v>%</x:v>
      </x:c>
      <x:c r="D7" s="26" t="str">
        <x:f>IF(B7&gt;='01_Параметры'!B11,"Высокая концентрация лидеров",IF(B7&gt;='01_Параметры'!B11*0.65,"Средняя концентрация","Низкая концентрация"))</x:f>
        <x:v>Средняя концентрация</x:v>
      </x:c>
      <x:c r="F7" s="26" t="str">
        <x:v>Рекламное давление</x:v>
      </x:c>
      <x:c r="G7" s="112" t="n">
        <x:f>'07_Барьеры_входа'!D6</x:f>
        <x:v>3</x:v>
      </x:c>
      <x:c r="H7" s="112" t="n">
        <x:f>'07_Барьеры_входа'!E6</x:f>
        <x:v>0.12</x:v>
      </x:c>
      <x:c r="I7" s="112" t="n">
        <x:f>'07_Барьеры_входа'!F6</x:f>
        <x:v>0.36</x:v>
      </x:c>
    </x:row>
    <x:row r="8">
      <x:c r="A8" s="26" t="str">
        <x:v>HHI по релевантному трафику</x:v>
      </x:c>
      <x:c r="B8" s="116" t="n">
        <x:f>'02_Конкуренты_SW'!B40</x:f>
        <x:v>1593.5274855921894</x:v>
      </x:c>
      <x:c r="C8" s="26" t="str">
        <x:v>индекс</x:v>
      </x:c>
      <x:c r="D8" s="26" t="str"/>
      <x:c r="F8" s="26" t="str">
        <x:v>Брендовая сила</x:v>
      </x:c>
      <x:c r="G8" s="112" t="n">
        <x:f>'07_Барьеры_входа'!D7</x:f>
        <x:v>3</x:v>
      </x:c>
      <x:c r="H8" s="112" t="n">
        <x:f>'07_Барьеры_входа'!E7</x:f>
        <x:v>0.12</x:v>
      </x:c>
      <x:c r="I8" s="112" t="n">
        <x:f>'07_Барьеры_входа'!F7</x:f>
        <x:v>0.36</x:v>
      </x:c>
    </x:row>
    <x:row r="9">
      <x:c r="A9" s="26" t="str">
        <x:v>Средний поисково-рекламный индекс</x:v>
      </x:c>
      <x:c r="B9" s="62" t="n">
        <x:f>'04_Поиск_реклама'!B37</x:f>
        <x:v>0.6643999999999999</x:v>
      </x:c>
      <x:c r="C9" s="26" t="str">
        <x:v>%</x:v>
      </x:c>
      <x:c r="D9" s="26" t="str"/>
      <x:c r="F9" s="26" t="str">
        <x:v>Поиск/реклама</x:v>
      </x:c>
      <x:c r="G9" s="112" t="n">
        <x:f>'07_Барьеры_входа'!D8</x:f>
        <x:v>3</x:v>
      </x:c>
      <x:c r="H9" s="112" t="n">
        <x:f>'07_Барьеры_входа'!E8</x:f>
        <x:v>0.12</x:v>
      </x:c>
      <x:c r="I9" s="112" t="n">
        <x:f>'07_Барьеры_входа'!F8</x:f>
        <x:v>0.36</x:v>
      </x:c>
    </x:row>
    <x:row r="10">
      <x:c r="A10" s="26" t="str">
        <x:v>Средний индекс доверия конкурентов</x:v>
      </x:c>
      <x:c r="B10" s="62" t="n">
        <x:f>'05_Отзывы_рейтинги'!B37</x:f>
        <x:v>0.66325</x:v>
      </x:c>
      <x:c r="C10" s="26" t="str">
        <x:v>%</x:v>
      </x:c>
      <x:c r="D10" s="26" t="str"/>
      <x:c r="F10" s="26" t="str">
        <x:v>Репутация</x:v>
      </x:c>
      <x:c r="G10" s="112" t="n">
        <x:f>'07_Барьеры_входа'!D9</x:f>
        <x:v>3</x:v>
      </x:c>
      <x:c r="H10" s="112" t="n">
        <x:f>'07_Барьеры_входа'!E9</x:f>
        <x:v>0.12</x:v>
      </x:c>
      <x:c r="I10" s="112" t="n">
        <x:f>'07_Барьеры_входа'!F9</x:f>
        <x:v>0.36</x:v>
      </x:c>
    </x:row>
    <x:row r="11">
      <x:c r="A11" s="26" t="str">
        <x:v>Средний индекс ресурсной силы</x:v>
      </x:c>
      <x:c r="B11" s="62" t="n">
        <x:f>'06_Технологии_финансы'!B37</x:f>
        <x:v>0.4767407407407408</x:v>
      </x:c>
      <x:c r="C11" s="26" t="str">
        <x:v>%</x:v>
      </x:c>
      <x:c r="D11" s="26" t="str"/>
      <x:c r="F11" s="26" t="str">
        <x:v>Технологии</x:v>
      </x:c>
      <x:c r="G11" s="112" t="n">
        <x:f>'07_Барьеры_входа'!D10</x:f>
        <x:v>3</x:v>
      </x:c>
      <x:c r="H11" s="112" t="n">
        <x:f>'07_Барьеры_входа'!E10</x:f>
        <x:v>0.12</x:v>
      </x:c>
      <x:c r="I11" s="112" t="n">
        <x:f>'07_Барьеры_входа'!F10</x:f>
        <x:v>0.36</x:v>
      </x:c>
    </x:row>
    <x:row r="12">
      <x:c r="F12" s="26" t="str">
        <x:v>Платформы</x:v>
      </x:c>
      <x:c r="G12" s="112" t="n">
        <x:f>'07_Барьеры_входа'!D11</x:f>
        <x:v>3</x:v>
      </x:c>
      <x:c r="H12" s="112" t="n">
        <x:f>'07_Барьеры_входа'!E11</x:f>
        <x:v>0.08</x:v>
      </x:c>
      <x:c r="I12" s="112" t="n">
        <x:f>'07_Барьеры_входа'!F11</x:f>
        <x:v>0.24</x:v>
      </x:c>
    </x:row>
    <x:row r="13">
      <x:c r="F13" s="26" t="str">
        <x:v>Заменители</x:v>
      </x:c>
      <x:c r="G13" s="112" t="n">
        <x:f>'07_Барьеры_входа'!D12</x:f>
        <x:v>3</x:v>
      </x:c>
      <x:c r="H13" s="112" t="n">
        <x:f>'07_Барьеры_входа'!E12</x:f>
        <x:v>0.08</x:v>
      </x:c>
      <x:c r="I13" s="112" t="n">
        <x:f>'07_Барьеры_входа'!F12</x:f>
        <x:v>0.24</x:v>
      </x:c>
    </x:row>
    <x:row r="14" ht="28" customHeight="1">
      <x:c r="A14" s="34" t="str">
        <x:v>Итоговая формулировка для отчета</x:v>
      </x:c>
      <x:c r="B14" s="34"/>
      <x:c r="C14" s="34"/>
      <x:c r="D14" s="34"/>
    </x:row>
    <x:row r="15">
      <x:c r="A15" s="119" t="str">
        <x:f>"По результатам оценки цифровой конкуренции индекс барьеров входа составляет "&amp;TEXT(B5,"0.00")&amp;" из 5, что соответствует уровню: "&amp;B6&amp;". Наиболее значимые факторы давления следует определить по листу 07_Барьеры_входа. Данные Similarweb и альтернативных источников используются как оценочная база и требуют проверки через фактические коммерческие данные, цены, конверсии и платежеспособность клиентов."</x:f>
        <x:v>По результатам оценки цифровой конкуренции индекс барьеров входа составляет 3.12 из 5, что соответствует уровню: средние барьеры. Наиболее значимые факторы давления следует определить по листу 07_Барьеры_входа. Данные Similarweb и альтернативных источников используются как оценочная база и требуют проверки через фактические коммерческие данные, цены, конверсии и платежеспособность клиентов.</x:v>
      </x:c>
      <x:c r="B15" s="119"/>
      <x:c r="C15" s="119"/>
      <x:c r="D15" s="119"/>
    </x:row>
    <x:row r="16">
      <x:c r="A16" s="119"/>
      <x:c r="B16" s="119"/>
      <x:c r="C16" s="119"/>
      <x:c r="D16" s="119"/>
    </x:row>
    <x:row r="17">
      <x:c r="A17" s="119"/>
      <x:c r="B17" s="119"/>
      <x:c r="C17" s="119"/>
      <x:c r="D17" s="119"/>
    </x:row>
    <x:row r="18">
      <x:c r="A18" s="119"/>
      <x:c r="B18" s="119"/>
      <x:c r="C18" s="119"/>
      <x:c r="D18" s="119"/>
    </x:row>
    <x:row r="19">
      <x:c r="A19" s="119"/>
      <x:c r="B19" s="119"/>
      <x:c r="C19" s="119"/>
      <x:c r="D19" s="119"/>
    </x:row>
    <x:row r="20">
      <x:c r="A20" s="119"/>
      <x:c r="B20" s="119"/>
      <x:c r="C20" s="119"/>
      <x:c r="D20" s="119"/>
    </x:row>
  </x:sheetData>
  <x:mergeCells>
    <x:mergeCell ref="A1:L1"/>
    <x:mergeCell ref="A2:L2"/>
    <x:mergeCell ref="A14:D14"/>
    <x:mergeCell ref="A15:D20"/>
  </x:mergeCells>
  <x:pageMargins left="0.7" right="0.7" top="0.75" bottom="0.75" header="0.3" footer="0.3"/>
  <x:drawing xmlns:r="http://schemas.openxmlformats.org/officeDocument/2006/relationships" r:id="Rba47edadcea04230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36" hidden="0" customWidth="1"/>
    <x:col min="5" max="5" width="32" hidden="0" customWidth="1"/>
    <x:col min="6" max="6" width="16" hidden="0" customWidth="1"/>
    <x:col min="7" max="7" width="44" hidden="0" customWidth="1"/>
  </x:cols>
  <x:sheetData>
    <x:row r="1" ht="30" customHeight="1">
      <x:c r="A1" s="5" t="str">
        <x:v>Журнал источников данных для оценки конкуренции</x:v>
      </x:c>
      <x:c r="B1" s="5"/>
      <x:c r="C1" s="5"/>
      <x:c r="D1" s="5"/>
      <x:c r="E1" s="5"/>
      <x:c r="F1" s="5"/>
      <x:c r="G1" s="5"/>
    </x:row>
    <x:row r="2" ht="32" customHeight="1">
      <x:c r="A2" s="13" t="str">
        <x:v>Фиксируйте дату обращения, ссылку, что именно взято и ограничения интерпретации</x:v>
      </x:c>
      <x:c r="B2" s="13"/>
      <x:c r="C2" s="13"/>
      <x:c r="D2" s="13"/>
      <x:c r="E2" s="13"/>
      <x:c r="F2" s="13"/>
      <x:c r="G2" s="13"/>
    </x:row>
    <x:row r="3" ht="34" customHeight="1">
      <x:c r="A3" s="21" t="str">
        <x:v>Источник</x:v>
      </x:c>
      <x:c r="B3" s="21" t="str">
        <x:v>URL</x:v>
      </x:c>
      <x:c r="C3" s="21" t="str">
        <x:v>Что брать</x:v>
      </x:c>
      <x:c r="D3" s="21" t="str">
        <x:v>Для какой силы/фактора</x:v>
      </x:c>
      <x:c r="E3" s="21" t="str">
        <x:v>Формат фиксации</x:v>
      </x:c>
      <x:c r="F3" s="21" t="str">
        <x:v>Дата обращения</x:v>
      </x:c>
      <x:c r="G3" s="21" t="str">
        <x:v>Ограничения</x:v>
      </x:c>
    </x:row>
    <x:row r="4">
      <x:c r="A4" s="26" t="str">
        <x:v>Similarweb</x:v>
      </x:c>
      <x:c r="B4" s="26" t="str">
        <x:v>https://www.similarweb.com/website/</x:v>
      </x:c>
      <x:c r="C4" s="26" t="str">
        <x:v>визиты, каналы трафика, география, похожие сайты, поисковые запросы</x:v>
      </x:c>
      <x:c r="D4" s="26" t="str">
        <x:v>конкуренция, каналы, география, барьеры входа</x:v>
      </x:c>
      <x:c r="E4" s="26" t="str">
        <x:v>ручная фиксация / выгрузка при наличии доступа</x:v>
      </x:c>
      <x:c r="F4" s="26" t="str"/>
      <x:c r="G4" s="26" t="str">
        <x:v>оценочные данные, слабее для малых сайтов</x:v>
      </x:c>
    </x:row>
    <x:row r="5">
      <x:c r="A5" s="26" t="str">
        <x:v>Semrush</x:v>
      </x:c>
      <x:c r="B5" s="26" t="str">
        <x:v>https://www.semrush.com/</x:v>
      </x:c>
      <x:c r="C5" s="26" t="str">
        <x:v>органический трафик, paid search, keyword difficulty, конкуренты</x:v>
      </x:c>
      <x:c r="D5" s="26" t="str">
        <x:v>SEO и рекламное давление</x:v>
      </x:c>
      <x:c r="E5" s="26" t="str">
        <x:v>таблица/скриншот/экспорт при доступе</x:v>
      </x:c>
      <x:c r="F5" s="26" t="str"/>
      <x:c r="G5" s="26" t="str">
        <x:v>часть данных платная, оценки модельные</x:v>
      </x:c>
    </x:row>
    <x:row r="6">
      <x:c r="A6" s="26" t="str">
        <x:v>Ahrefs</x:v>
      </x:c>
      <x:c r="B6" s="26" t="str">
        <x:v>https://ahrefs.com/</x:v>
      </x:c>
      <x:c r="C6" s="26" t="str">
        <x:v>ссылки, ключевые слова, органическая видимость, конкуренты</x:v>
      </x:c>
      <x:c r="D6" s="26" t="str">
        <x:v>SEO-барьеры</x:v>
      </x:c>
      <x:c r="E6" s="26" t="str">
        <x:v>таблица/экспорт при доступе</x:v>
      </x:c>
      <x:c r="F6" s="26" t="str"/>
      <x:c r="G6" s="26" t="str">
        <x:v>зависит от базы и тарифа</x:v>
      </x:c>
    </x:row>
    <x:row r="7">
      <x:c r="A7" s="26" t="str">
        <x:v>G2</x:v>
      </x:c>
      <x:c r="B7" s="26" t="str">
        <x:v>https://www.g2.com/</x:v>
      </x:c>
      <x:c r="C7" s="26" t="str">
        <x:v>отзывы, рейтинги, сравнения, категории B2B-софта</x:v>
      </x:c>
      <x:c r="D7" s="26" t="str">
        <x:v>сила покупателей, репутация, заменители</x:v>
      </x:c>
      <x:c r="E7" s="26" t="str">
        <x:v>таблица отзывов и рейтингов</x:v>
      </x:c>
      <x:c r="F7" s="26" t="str"/>
      <x:c r="G7" s="26" t="str">
        <x:v>сильнее для программных продуктов</x:v>
      </x:c>
    </x:row>
    <x:row r="8">
      <x:c r="A8" s="26" t="str">
        <x:v>Capterra</x:v>
      </x:c>
      <x:c r="B8" s="26" t="str">
        <x:v>https://www.capterra.com/</x:v>
      </x:c>
      <x:c r="C8" s="26" t="str">
        <x:v>отзывы и рейтинги программных решений</x:v>
      </x:c>
      <x:c r="D8" s="26" t="str">
        <x:v>репутация и заменители</x:v>
      </x:c>
      <x:c r="E8" s="26" t="str">
        <x:v>таблица отзывов</x:v>
      </x:c>
      <x:c r="F8" s="26" t="str"/>
      <x:c r="G8" s="26" t="str">
        <x:v>не все локальные рынки представлены</x:v>
      </x:c>
    </x:row>
    <x:row r="9">
      <x:c r="A9" s="26" t="str">
        <x:v>Trustpilot</x:v>
      </x:c>
      <x:c r="B9" s="26" t="str">
        <x:v>https://www.trustpilot.com/</x:v>
      </x:c>
      <x:c r="C9" s="26" t="str">
        <x:v>отзывы, рейтинг, динамика доверия</x:v>
      </x:c>
      <x:c r="D9" s="26" t="str">
        <x:v>репутационные барьеры</x:v>
      </x:c>
      <x:c r="E9" s="26" t="str">
        <x:v>таблица/скриншот</x:v>
      </x:c>
      <x:c r="F9" s="26" t="str"/>
      <x:c r="G9" s="26" t="str">
        <x:v>разная полнота по странам и нишам</x:v>
      </x:c>
    </x:row>
    <x:row r="10">
      <x:c r="A10" s="26" t="str">
        <x:v>Crunchbase</x:v>
      </x:c>
      <x:c r="B10" s="26" t="str">
        <x:v>https://www.crunchbase.com/</x:v>
      </x:c>
      <x:c r="C10" s="26" t="str">
        <x:v>финансирование, сделки, инвесторы, рост компаний</x:v>
      </x:c>
      <x:c r="D10" s="26" t="str">
        <x:v>угроза новых игроков, ресурсная сила</x:v>
      </x:c>
      <x:c r="E10" s="26" t="str">
        <x:v>таблица компаний</x:v>
      </x:c>
      <x:c r="F10" s="26" t="str"/>
      <x:c r="G10" s="26" t="str">
        <x:v>многие данные доступны по подписке</x:v>
      </x:c>
    </x:row>
    <x:row r="11">
      <x:c r="A11" s="26" t="str">
        <x:v>BuiltWith</x:v>
      </x:c>
      <x:c r="B11" s="26" t="str">
        <x:v>https://builtwith.com/</x:v>
      </x:c>
      <x:c r="C11" s="26" t="str">
        <x:v>технологический стек сайта</x:v>
      </x:c>
      <x:c r="D11" s="26" t="str">
        <x:v>технологические барьеры</x:v>
      </x:c>
      <x:c r="E11" s="26" t="str">
        <x:v>таблица технологий</x:v>
      </x:c>
      <x:c r="F11" s="26" t="str"/>
      <x:c r="G11" s="26" t="str">
        <x:v>не показывает всю внутреннюю инфраструктуру</x:v>
      </x:c>
    </x:row>
    <x:row r="12">
      <x:c r="A12" s="26" t="str">
        <x:v>Wappalyzer</x:v>
      </x:c>
      <x:c r="B12" s="26" t="str">
        <x:v>https://www.wappalyzer.com/</x:v>
      </x:c>
      <x:c r="C12" s="26" t="str">
        <x:v>технологии сайта, аналитика, CRM, e-commerce stack</x:v>
      </x:c>
      <x:c r="D12" s="26" t="str">
        <x:v>технологические барьеры</x:v>
      </x:c>
      <x:c r="E12" s="26" t="str">
        <x:v>таблица технологий</x:v>
      </x:c>
      <x:c r="F12" s="26" t="str"/>
      <x:c r="G12" s="26" t="str">
        <x:v>только видимые технологии</x:v>
      </x:c>
    </x:row>
    <x:row r="13">
      <x:c r="A13" s="26" t="str">
        <x:v>Meta Ad Library</x:v>
      </x:c>
      <x:c r="B13" s="26" t="str">
        <x:v>https://www.facebook.com/ads/library/</x:v>
      </x:c>
      <x:c r="C13" s="26" t="str">
        <x:v>активные рекламные объявления</x:v>
      </x:c>
      <x:c r="D13" s="26" t="str">
        <x:v>рекламное давление</x:v>
      </x:c>
      <x:c r="E13" s="26" t="str">
        <x:v>ссылка/скриншот/число объявлений</x:v>
      </x:c>
      <x:c r="F13" s="26" t="str"/>
      <x:c r="G13" s="26" t="str">
        <x:v>не дает полный бюджет</x:v>
      </x:c>
    </x:row>
    <x:row r="14">
      <x:c r="A14" s="26" t="str">
        <x:v>Google Ads Transparency Center</x:v>
      </x:c>
      <x:c r="B14" s="26" t="str">
        <x:v>https://adstransparency.google.com/</x:v>
      </x:c>
      <x:c r="C14" s="26" t="str">
        <x:v>объявления рекламодателей в Google</x:v>
      </x:c>
      <x:c r="D14" s="26" t="str">
        <x:v>рекламное давление</x:v>
      </x:c>
      <x:c r="E14" s="26" t="str">
        <x:v>ссылка/скриншот</x:v>
      </x:c>
      <x:c r="F14" s="26" t="str"/>
      <x:c r="G14" s="26" t="str">
        <x:v>не всегда видно бюджет и эффективность</x:v>
      </x:c>
    </x:row>
    <x:row r="15">
      <x:c r="A15" s="26" t="str">
        <x:v>LinkedIn Ads Library</x:v>
      </x:c>
      <x:c r="B15" s="26" t="str">
        <x:v>https://www.linkedin.com/ad-library/</x:v>
      </x:c>
      <x:c r="C15" s="26" t="str">
        <x:v>B2B-реклама и активность брендов</x:v>
      </x:c>
      <x:c r="D15" s="26" t="str">
        <x:v>рекламное давление B2B</x:v>
      </x:c>
      <x:c r="E15" s="26" t="str">
        <x:v>ссылка/скриншот</x:v>
      </x:c>
      <x:c r="F15" s="26" t="str"/>
      <x:c r="G15" s="26" t="str">
        <x:v>актуально для B2B-рынков</x:v>
      </x:c>
    </x:row>
    <x:row r="16">
      <x:c r="A16" s="26" t="str">
        <x:v>TikTok Creative Center</x:v>
      </x:c>
      <x:c r="B16" s="26" t="str">
        <x:v>https://ads.tiktok.com/business/creativecenter/</x:v>
      </x:c>
      <x:c r="C16" s="26" t="str">
        <x:v>креативы, тренды, рекламные идеи</x:v>
      </x:c>
      <x:c r="D16" s="26" t="str">
        <x:v>социальные каналы и заменители</x:v>
      </x:c>
      <x:c r="E16" s="26" t="str">
        <x:v>ссылка/скриншот</x:v>
      </x:c>
      <x:c r="F16" s="26" t="str"/>
      <x:c r="G16" s="26" t="str">
        <x:v>не для всех ниш одинаково полезен</x:v>
      </x:c>
    </x:row>
    <x:row r="17">
      <x:c r="A17" s="26" t="str">
        <x:v>Product Hunt</x:v>
      </x:c>
      <x:c r="B17" s="26" t="str">
        <x:v>https://www.producthunt.com/</x:v>
      </x:c>
      <x:c r="C17" s="26" t="str">
        <x:v>новые продукты и стартапы</x:v>
      </x:c>
      <x:c r="D17" s="26" t="str">
        <x:v>угроза новых участников и заменителей</x:v>
      </x:c>
      <x:c r="E17" s="26" t="str">
        <x:v>список продуктов</x:v>
      </x:c>
      <x:c r="F17" s="26" t="str"/>
      <x:c r="G17" s="26" t="str">
        <x:v>смещен в сторону стартапов</x:v>
      </x:c>
    </x:row>
    <x:row r="18">
      <x:c r="A18" s="26" t="str">
        <x:v>App Store / Google Play</x:v>
      </x:c>
      <x:c r="B18" s="26" t="str">
        <x:v>https://play.google.com/store/apps</x:v>
      </x:c>
      <x:c r="C18" s="26" t="str">
        <x:v>приложения, отзывы, рейтинги, загрузки</x:v>
      </x:c>
      <x:c r="D18" s="26" t="str">
        <x:v>заменители, конкуренты, доверие</x:v>
      </x:c>
      <x:c r="E18" s="26" t="str">
        <x:v>таблица приложений</x:v>
      </x:c>
      <x:c r="F18" s="26" t="str"/>
      <x:c r="G18" s="26" t="str">
        <x:v>данные по загрузкам приблизительные или скрытые</x:v>
      </x:c>
    </x:row>
    <x:row r="19">
      <x:c r="A19" s="26" t="str">
        <x:v>Белстат</x:v>
      </x:c>
      <x:c r="B19" s="26" t="str">
        <x:v>https://www.belstat.gov.by/</x:v>
      </x:c>
      <x:c r="C19" s="26" t="str">
        <x:v>количество организаций, отрасли, доходы, социально-экономические данные</x:v>
      </x:c>
      <x:c r="D19" s="26" t="str">
        <x:v>потенциальные клиенты и платежеспособность</x:v>
      </x:c>
      <x:c r="E19" s="26" t="str">
        <x:v>таблица статистики</x:v>
      </x:c>
      <x:c r="F19" s="26" t="str"/>
      <x:c r="G19" s="26" t="str">
        <x:v>не всегда есть узкие цифровые сегменты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425426815674475"/>
  </x:tableParts>
</x:worksheet>
</file>