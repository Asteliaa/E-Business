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D6D0B219-C388-4EE1-B389-8B276E934185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4" l="1"/>
  <c r="A20" i="7"/>
  <c r="A19" i="7"/>
  <c r="A18" i="7"/>
  <c r="A17" i="7"/>
  <c r="A16" i="7"/>
  <c r="A15" i="7"/>
  <c r="A14" i="7"/>
  <c r="A13" i="7"/>
  <c r="F12" i="4"/>
  <c r="F11" i="4"/>
  <c r="F10" i="4"/>
  <c r="F9" i="4"/>
  <c r="F8" i="4"/>
  <c r="F7" i="4"/>
  <c r="F6" i="4"/>
  <c r="F5" i="4"/>
  <c r="F14" i="4" s="1"/>
  <c r="J14" i="8"/>
  <c r="H14" i="8"/>
  <c r="G14" i="8"/>
  <c r="F14" i="8"/>
  <c r="E14" i="8"/>
  <c r="C14" i="8"/>
  <c r="B14" i="8"/>
  <c r="K12" i="8"/>
  <c r="I12" i="8"/>
  <c r="D12" i="8"/>
  <c r="K11" i="8"/>
  <c r="I11" i="8"/>
  <c r="D11" i="8"/>
  <c r="K10" i="8"/>
  <c r="I10" i="8"/>
  <c r="D10" i="8"/>
  <c r="K9" i="8"/>
  <c r="I9" i="8"/>
  <c r="D9" i="8"/>
  <c r="D8" i="8"/>
  <c r="I8" i="8" s="1"/>
  <c r="K8" i="8" s="1"/>
  <c r="D7" i="8"/>
  <c r="I7" i="8" s="1"/>
  <c r="K7" i="8" s="1"/>
  <c r="D6" i="8"/>
  <c r="I6" i="8" s="1"/>
  <c r="K6" i="8" s="1"/>
  <c r="D5" i="8"/>
  <c r="I5" i="8" s="1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I5" i="6" s="1"/>
  <c r="D5" i="6"/>
  <c r="E5" i="6" s="1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E9" i="5"/>
  <c r="E8" i="5"/>
  <c r="E7" i="5"/>
  <c r="E6" i="5"/>
  <c r="E5" i="5"/>
  <c r="D14" i="4"/>
  <c r="C14" i="4"/>
  <c r="B14" i="4"/>
  <c r="G12" i="4"/>
  <c r="G11" i="4"/>
  <c r="H11" i="4" s="1"/>
  <c r="G10" i="4"/>
  <c r="G9" i="4"/>
  <c r="G8" i="4"/>
  <c r="G7" i="4"/>
  <c r="G6" i="4"/>
  <c r="G5" i="4"/>
  <c r="J14" i="3"/>
  <c r="I14" i="3"/>
  <c r="H14" i="3"/>
  <c r="J13" i="3"/>
  <c r="I13" i="3"/>
  <c r="H13" i="3"/>
  <c r="J12" i="3"/>
  <c r="B20" i="7" s="1"/>
  <c r="I12" i="3"/>
  <c r="H12" i="3"/>
  <c r="J11" i="3"/>
  <c r="B19" i="7" s="1"/>
  <c r="I11" i="3"/>
  <c r="H11" i="3"/>
  <c r="J10" i="3"/>
  <c r="B18" i="7" s="1"/>
  <c r="I10" i="3"/>
  <c r="H10" i="3"/>
  <c r="H9" i="3"/>
  <c r="I9" i="3" s="1"/>
  <c r="J9" i="3" s="1"/>
  <c r="B17" i="7" s="1"/>
  <c r="H8" i="3"/>
  <c r="I8" i="3" s="1"/>
  <c r="J8" i="3" s="1"/>
  <c r="B16" i="7" s="1"/>
  <c r="H7" i="3"/>
  <c r="I7" i="3" s="1"/>
  <c r="J7" i="3" s="1"/>
  <c r="B15" i="7" s="1"/>
  <c r="H6" i="3"/>
  <c r="I6" i="3" s="1"/>
  <c r="J6" i="3" s="1"/>
  <c r="B14" i="7" s="1"/>
  <c r="H5" i="3"/>
  <c r="D14" i="8" l="1"/>
  <c r="I14" i="6"/>
  <c r="D14" i="6"/>
  <c r="B7" i="9" s="1"/>
  <c r="A16" i="9" s="1"/>
  <c r="G5" i="5"/>
  <c r="H5" i="5"/>
  <c r="I5" i="5" s="1"/>
  <c r="H12" i="4"/>
  <c r="H10" i="4"/>
  <c r="H7" i="4"/>
  <c r="H6" i="4"/>
  <c r="G14" i="6"/>
  <c r="K5" i="8"/>
  <c r="K14" i="8" s="1"/>
  <c r="B12" i="9" s="1"/>
  <c r="I14" i="8"/>
  <c r="E20" i="7"/>
  <c r="H20" i="7" s="1"/>
  <c r="D20" i="7"/>
  <c r="G20" i="7" s="1"/>
  <c r="C20" i="7"/>
  <c r="F20" i="7" s="1"/>
  <c r="C19" i="7"/>
  <c r="F19" i="7" s="1"/>
  <c r="E19" i="7"/>
  <c r="H19" i="7" s="1"/>
  <c r="D19" i="7"/>
  <c r="G19" i="7" s="1"/>
  <c r="E18" i="7"/>
  <c r="H18" i="7" s="1"/>
  <c r="D18" i="7"/>
  <c r="G18" i="7" s="1"/>
  <c r="C18" i="7"/>
  <c r="F18" i="7" s="1"/>
  <c r="D17" i="7"/>
  <c r="G17" i="7" s="1"/>
  <c r="C17" i="7"/>
  <c r="F17" i="7" s="1"/>
  <c r="E17" i="7"/>
  <c r="H17" i="7" s="1"/>
  <c r="C16" i="7"/>
  <c r="F16" i="7" s="1"/>
  <c r="D16" i="7"/>
  <c r="G16" i="7" s="1"/>
  <c r="E16" i="7"/>
  <c r="H16" i="7" s="1"/>
  <c r="D15" i="7"/>
  <c r="G15" i="7" s="1"/>
  <c r="E15" i="7"/>
  <c r="H15" i="7" s="1"/>
  <c r="C15" i="7"/>
  <c r="F15" i="7" s="1"/>
  <c r="C14" i="7"/>
  <c r="F14" i="7" s="1"/>
  <c r="D14" i="7"/>
  <c r="G14" i="7" s="1"/>
  <c r="E14" i="7"/>
  <c r="H14" i="7" s="1"/>
  <c r="G9" i="5"/>
  <c r="H9" i="5"/>
  <c r="I9" i="5" s="1"/>
  <c r="G8" i="5"/>
  <c r="H8" i="5"/>
  <c r="I8" i="5" s="1"/>
  <c r="H7" i="5"/>
  <c r="I7" i="5" s="1"/>
  <c r="G7" i="5"/>
  <c r="E14" i="5"/>
  <c r="G6" i="5"/>
  <c r="H6" i="5"/>
  <c r="H9" i="4"/>
  <c r="H8" i="4"/>
  <c r="H5" i="4"/>
  <c r="G14" i="4"/>
  <c r="H16" i="3"/>
  <c r="B6" i="9" s="1"/>
  <c r="I5" i="3"/>
  <c r="G14" i="5" l="1"/>
  <c r="H14" i="4"/>
  <c r="H14" i="5"/>
  <c r="B8" i="9" s="1"/>
  <c r="I6" i="5"/>
  <c r="I16" i="3"/>
  <c r="J5" i="3"/>
  <c r="J16" i="3" l="1"/>
  <c r="B5" i="9" s="1"/>
  <c r="B13" i="7"/>
  <c r="C13" i="7" l="1"/>
  <c r="E13" i="7"/>
  <c r="D13" i="7"/>
  <c r="B22" i="7"/>
  <c r="F13" i="7" l="1"/>
  <c r="F22" i="7" s="1"/>
  <c r="C22" i="7"/>
  <c r="F5" i="9" s="1"/>
  <c r="H13" i="7"/>
  <c r="H22" i="7" s="1"/>
  <c r="E22" i="7"/>
  <c r="F7" i="9" s="1"/>
  <c r="G13" i="7"/>
  <c r="G22" i="7" s="1"/>
  <c r="D22" i="7"/>
  <c r="F6" i="9" s="1"/>
  <c r="B9" i="9" l="1"/>
  <c r="G5" i="9"/>
  <c r="B11" i="9"/>
  <c r="G7" i="9"/>
  <c r="B10" i="9"/>
  <c r="G6" i="9"/>
</calcChain>
</file>

<file path=xl/sharedStrings.xml><?xml version="1.0" encoding="utf-8"?>
<sst xmlns="http://schemas.openxmlformats.org/spreadsheetml/2006/main" count="299" uniqueCount="258">
  <si>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</si>
  <si>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</si>
  <si>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</si>
  <si>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</si>
  <si>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</si>
  <si>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</si>
  <si>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</si>
  <si>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</si>
  <si>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</si>
  <si>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</si>
  <si>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</si>
  <si>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</si>
  <si>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</si>
  <si>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</si>
  <si>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</si>
  <si>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</si>
  <si>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</si>
  <si>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</si>
  <si>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</si>
  <si>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</si>
  <si>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</si>
  <si>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</si>
  <si>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</si>
  <si>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</si>
  <si>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</si>
  <si>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</si>
  <si>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</si>
  <si>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</si>
  <si>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</si>
  <si>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</si>
  <si>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</si>
  <si>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</si>
  <si>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</si>
  <si>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</si>
  <si>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</si>
  <si>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</si>
  <si>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</si>
  <si>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</si>
  <si>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Республика Беларусь</t>
  </si>
  <si>
    <t>Территория первичной проверки рынка</t>
  </si>
  <si>
    <t>Валюта расчета</t>
  </si>
  <si>
    <t>BYN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</si>
  <si>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</si>
  <si>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</si>
  <si>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</si>
  <si>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</si>
  <si>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</si>
  <si>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Минимальный индекс платежеспособности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</si>
  <si>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</si>
  <si>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</si>
  <si>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</si>
  <si>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</si>
  <si>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</si>
  <si>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</si>
  <si>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</si>
  <si>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</si>
  <si>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</si>
  <si>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</si>
  <si>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</si>
  <si>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</si>
  <si>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</si>
  <si>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</si>
  <si>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</si>
  <si>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</si>
  <si>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</si>
  <si>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</si>
  <si>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</si>
  <si>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</si>
  <si>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</si>
  <si>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</si>
  <si>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</si>
  <si>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</si>
  <si>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</si>
  <si>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</si>
  <si>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</si>
  <si>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</si>
  <si>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</si>
  <si>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</si>
  <si>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</si>
  <si>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</si>
  <si>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</si>
  <si>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</si>
  <si>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</si>
  <si>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</si>
  <si>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</si>
  <si>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</si>
  <si>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</si>
  <si>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</si>
  <si>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</si>
  <si>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</si>
  <si>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</si>
  <si>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</si>
  <si>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</si>
  <si>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</si>
  <si>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</si>
  <si>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</si>
  <si>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</si>
  <si>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</si>
  <si>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</si>
  <si>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</si>
  <si>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</si>
  <si>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</si>
  <si>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</si>
  <si>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</si>
  <si>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</si>
  <si>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</si>
  <si>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</si>
  <si>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</si>
  <si>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</si>
  <si>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</si>
  <si>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</si>
  <si>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</si>
  <si>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</si>
  <si>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</si>
  <si>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</si>
  <si>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</si>
  <si>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</si>
  <si>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</si>
  <si>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</si>
  <si>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</si>
  <si>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</si>
  <si>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</si>
  <si>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</si>
  <si>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</si>
  <si>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Доля целевой географии</t>
  </si>
  <si>
    <t>Релевантный трафик</t>
  </si>
  <si>
    <t>Доля поискового трафика</t>
  </si>
  <si>
    <t>Доля прямого трафика</t>
  </si>
  <si>
    <t>Доля соцсетей</t>
  </si>
  <si>
    <t>Оценка конверсии в заявку</t>
  </si>
  <si>
    <t>Оценка заявок/мес.</t>
  </si>
  <si>
    <t>Оценка выручки/мес.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</si>
  <si>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</si>
  <si>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</si>
  <si>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</si>
  <si>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</si>
  <si>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</si>
  <si>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</si>
  <si>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</si>
  <si>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</si>
  <si>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</si>
  <si>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</si>
  <si>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</si>
  <si>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</si>
  <si>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</si>
  <si>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</si>
  <si>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</si>
  <si>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</si>
  <si>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</si>
  <si>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</si>
  <si>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</si>
  <si>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</si>
  <si>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</si>
  <si>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</si>
  <si>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</si>
  <si>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</si>
  <si>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</si>
  <si>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</si>
  <si>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</si>
  <si>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</si>
  <si>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</si>
  <si>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</si>
  <si>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</si>
  <si>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Белстат / государственная статистика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</si>
  <si>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</si>
  <si>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</si>
  <si>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https://www.belstat.gov.by/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</si>
  <si>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</si>
  <si>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</si>
  <si>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</si>
  <si>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</si>
  <si>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</si>
  <si>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</si>
  <si>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</si>
  <si>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</si>
  <si>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</si>
  <si>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</si>
  <si>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</si>
  <si>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Яндекс Вордстат</t>
  </si>
  <si>
    <t>Частотность запросов, регионы, динамика</t>
  </si>
  <si>
    <t>Проверка поискового спроса и коммерческих формулировок</t>
  </si>
  <si>
    <t>https://wordstat.yandex.ru/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</si>
  <si>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</si>
  <si>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</si>
  <si>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</si>
  <si>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</si>
  <si>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Опросы / интервью клиентов</t>
  </si>
  <si>
    <t>Бюджет, готовность платить, барьеры покупки</t>
  </si>
  <si>
    <t>Проверка платежеспособности и экономической оправданности</t>
  </si>
  <si>
    <t>Может быть смещенность выборки</t>
  </si>
  <si>
    <t>NotaCode — веб-IDE для построения и проверки диаграмм формальных нотаций как текста (подписка Free / Pro)</t>
  </si>
  <si>
    <t>Доля регистраций, оплативших Pro: допущение проекта Free → Pro 3–5 % (базовое 4 %); формулами не используется (П-13)</t>
  </si>
  <si>
    <t>Бюджет / цена ≥ 1 — покупка возможна; ниже 1 — затруднена (формулами не используется)</t>
  </si>
  <si>
    <t>🔲</t>
  </si>
  <si>
    <t>Себестоимость обслуживания пользователя в концепции не определена — 🔲 (формулами не используется)</t>
  </si>
  <si>
    <t>S-01 Студенты технических и экономических специальностей</t>
  </si>
  <si>
    <t>Тариф: Free (первичный). Клиенты в границах = численность 229 000 × К1 0.3</t>
  </si>
  <si>
    <t>Белстат, «Образование в Республике Беларусь, 2026», табл. 7.1 (229,0 тыс., 2025/26)</t>
  </si>
  <si>
    <t>S-02/S-03 Аналитики, архитекторы ПО и разработчики</t>
  </si>
  <si>
    <t>Тариф: Pro. Клиенты в границах = численность 130 549 × К1 0.3</t>
  </si>
  <si>
    <t>Белстат, работники организаций цифровой экономики, 2024 (130 549)</t>
  </si>
  <si>
    <t>S-04 Преподаватели технических дисциплин</t>
  </si>
  <si>
    <t>Тариф: Free / Pro. Клиенты в границах = численность 17 100 × К1 0.2</t>
  </si>
  <si>
    <t>Белстат, ППС вузов (17,1 тыс., 2025/26); доля технических дисциплин неизвестна</t>
  </si>
  <si>
    <t>Примечание</t>
  </si>
  <si>
    <t>Miro (платные тарифы, BYN/мес.)</t>
  </si>
  <si>
    <t>Тарифы: Starter (за участника), Business (за участника); оплата за год, USD × 3,0285</t>
  </si>
  <si>
    <t>Страница тарифов продукта, 30.09.2026</t>
  </si>
  <si>
    <t>Lucidchart (платные тарифы, BYN/мес.)</t>
  </si>
  <si>
    <t>Тарифы: Individual, Team (за пользователя); оплата за год, USD × 3,0285</t>
  </si>
  <si>
    <t>Mermaid Chart (платные тарифы, BYN/мес.)</t>
  </si>
  <si>
    <t>Тарифы: Plus (за пользователя), Premium (за пользователя); оплата за год, USD × 3,0285</t>
  </si>
  <si>
    <t>Visual Paradigm Online (платные тарифы, BYN/мес.)</t>
  </si>
  <si>
    <t>Тарифы: Starter, Advance, Combo, Deluxe; оплата за год, USD × 3,0285</t>
  </si>
  <si>
    <t>Creately (платные тарифы, BYN/мес.)</t>
  </si>
  <si>
    <t>Тарифы: Starter, Team, Business; оплата за год, USD × 3,0285</t>
  </si>
  <si>
    <t>Eraser (платные тарифы, BYN/мес.)</t>
  </si>
  <si>
    <t>Тарифы: Starter, Business; оплата за год, USD × 3,0285</t>
  </si>
  <si>
    <t>Whimsical (платные тарифы, BYN/мес.)</t>
  </si>
  <si>
    <t>Тарифы: Pro, Business; оплата за год, USD × 3,0285</t>
  </si>
  <si>
    <t>dbdiagram.io (платные тарифы, BYN/мес.)</t>
  </si>
  <si>
    <t>Тарифы: Personal Pro; оплата за год, USD × 3,0285</t>
  </si>
  <si>
    <t>Справочно (в среднее не входят)</t>
  </si>
  <si>
    <t>NotaCode Pro</t>
  </si>
  <si>
    <t>Microsoft Visio Plan 1 / Plan 2</t>
  </si>
  <si>
    <t>15.14 / 45.43</t>
  </si>
  <si>
    <t>5 и 15 USD/мес. за пользователя</t>
  </si>
  <si>
    <t>draw.io, PlantUML</t>
  </si>
  <si>
    <t>бесплатные заменители (цена заменителя = 0)</t>
  </si>
  <si>
    <t>Себестоимость (столбец E) у конкурентов не публикуется — нет данных; формула валовой маржи в копии возвращает «нет данных» (в шаблоне при пустой ячейке давала 100 %). Индекс доступности цены H всегда равен 1 (особенность шаблона П-3) и в выводах не используется.</t>
  </si>
  <si>
    <t>Денежного эффекта у студента нет (продукт Free); показано для случая покупки Pro</t>
  </si>
  <si>
    <t>Эффект = доход × доля сэкономленного времени (3 ч из 168 ч в месяц; допущение Д-07, 🔲 опрос)</t>
  </si>
  <si>
    <t>средняя з/п по РБ, июль 2026 (3 172,0 BYN; данных по преподавателям нет)</t>
  </si>
  <si>
    <t>Доход клиента — средняя месячная зарплата/стипендия; маржинальность принята 1,0 (трудовой доход, не выручка компании).</t>
  </si>
  <si>
    <t>Бюджет = доход × 5% (Д-08); доля F = доле платёжеспособных листа 02 (решение В-11)</t>
  </si>
  <si>
    <t>plantuml.com</t>
  </si>
  <si>
    <t>ФАКТ (Similarweb, авг. 2026, скриншот); 30.09.2026. Доля РБ — допущение Д-01. H = CR1 × CR2 (в шаблоне отдельной конверсии в оплату нет)</t>
  </si>
  <si>
    <t>app.diagrams.net</t>
  </si>
  <si>
    <t>eraser.io</t>
  </si>
  <si>
    <t>mermaidchart.com</t>
  </si>
  <si>
    <t>Доля поискового трафика (E) показана бесплатной карточкой только у plantuml.com (Organic 48,47 %); прямой трафик и соцсети не показаны («нет данных в бесплатном доступе»).</t>
  </si>
  <si>
    <t>Страницы тарифов Miro, Lucidchart, Mermaid Chart, Visual Paradigm, Creately, Eraser, Whimsical, dbdiagram.io (30.09.2026)</t>
  </si>
  <si>
    <t>Белстат, стипендия и зарплата</t>
  </si>
  <si>
    <t>Доход сегментов</t>
  </si>
  <si>
    <t>Доля цены в доходе, бюджет</t>
  </si>
  <si>
    <t>НБРБ</t>
  </si>
  <si>
    <t>Курс USD/BYN 3,0285</t>
  </si>
  <si>
    <t>Перевод цен</t>
  </si>
  <si>
    <t>https://api.nbrb.by/exrates/rates/431</t>
  </si>
  <si>
    <t>предварительный замер 17–23.09.2026, не подтверждён; 30.09.2026. Доля РБ — допущение Д-01. H = CR1 × CR2 (в шаблоне отдельной конверсии в оплату нет)</t>
  </si>
  <si>
    <t>предварительный замер: «менее 20 тыс.» (верхняя граница), не подтверждён; 30.09.2026. Доля РБ — допущение Д-01. H = CR1 × CR2 (в шаблоне отдельной конверсии в оплату нет)</t>
  </si>
  <si>
    <t>Годовой чек 40 USD (решение В-5; альтернатива 48 USD = 4 USD × 12), в BYN по курсу НБРБ 3,0285 (30.09.2026); число оплат в год = 1 (годовой тариф). Доля платёжеспособных (E) совмещает финансовую возможность и готовность платить (К4 по ПК табл. 7). Строки ниже S-04 не используются (П-5).</t>
  </si>
  <si>
    <t>годовой тариф 40 USD = 10,10 BYN/мес.; помесячно 4 USD = 12,11 BYN</t>
  </si>
  <si>
    <t>средняя з/п «информация и связь», июль 2026 (6 413 BYN, Белстат)</t>
  </si>
  <si>
    <t>🔲 ДОСНЯТЬ: опрос ≥20–30 респондентов (готовность платить, допустимая цена) — провести опрос</t>
  </si>
  <si>
    <t>стипендия БГУИР (вторичный источник teenage.by); з/п: Белстат, экспресс-информация янв.–авг. 2026; «информация и связь» — Белстат, таблица по видам деятельности, июль 2026 (nach_sr_zarplata-2607.xlsx)</t>
  </si>
  <si>
    <t>отчёт ЛР1, без скриншота; 30.09.2026. Доля РБ — допущение Д-01. H = CR1 × CR2 (в шаблоне отдельной конверсии в оплату нет)</t>
  </si>
  <si>
    <t>стипендия БГУИР (ИКТ), середина диапазона 229,75–367,60 BYN (таблица БГУИР с 01.08.2026)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</si>
</sst>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22" fontId="0" fillId="0" borderId="0" xfId="1" applyNumberFormat="1" applyFont="1" applyAlignment="1">
      <alignment vertical="top" wrapText="1"/>
    </xf>
    <xf numFmtId="22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49893.228355162501</c:v>
                </c:pt>
                <c:pt idx="1">
                  <c:v>197989.00140937499</c:v>
                </c:pt>
                <c:pt idx="2">
                  <c:v>409837.23291740625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80-4552-BF8A-8B54FE2E5C25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249.4661417758125</c:v>
                </c:pt>
                <c:pt idx="1">
                  <c:v>2969.835021140625</c:v>
                </c:pt>
                <c:pt idx="2">
                  <c:v>14344.303152109218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80-4552-BF8A-8B54FE2E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3"/>
                <c:pt idx="0">
                  <c:v>S-01 Студенты технических и экономических специальностей</c:v>
                </c:pt>
                <c:pt idx="1">
                  <c:v>S-02/S-03 Аналитики, архитекторы ПО и разработчики</c:v>
                </c:pt>
                <c:pt idx="2">
                  <c:v>S-04 Преподаватели технических дисциплин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90115.099593749997</c:v>
                </c:pt>
                <c:pt idx="1">
                  <c:v>102746.95416562501</c:v>
                </c:pt>
                <c:pt idx="2">
                  <c:v>5126.947650000001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0-449D-982E-66A65759A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2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Доля целевой географии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Оценка конверсии в заявку"/>
    <tableColumn id="9" xr3:uid="{00000000-0010-0000-0400-000009000000}" name="Оценка заявок/мес."/>
    <tableColumn id="10" xr3:uid="{00000000-0010-0000-0400-00000A000000}" name="Средний чек"/>
    <tableColumn id="11" xr3:uid="{00000000-0010-0000-0400-00000B000000}" name="Оценка выручки/мес.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27.95" customHeight="1">
      <c r="A1" s="17" t="s">
        <v>0</v>
      </c>
      <c r="B1" s="18"/>
      <c r="C1" s="18"/>
      <c r="D1" s="18"/>
      <c r="E1" s="18"/>
      <c r="F1" s="18"/>
      <c r="G1" s="18"/>
      <c r="H1" s="18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1</v>
      </c>
      <c r="B2" s="18"/>
      <c r="C2" s="18"/>
      <c r="D2" s="18"/>
      <c r="E2" s="18"/>
      <c r="F2" s="18"/>
      <c r="G2" s="18"/>
      <c r="H2" s="18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27.95" customHeight="1">
      <c r="A1" s="17" t="s">
        <v>30</v>
      </c>
      <c r="B1" s="18"/>
      <c r="C1" s="18"/>
      <c r="D1" s="18"/>
      <c r="E1" s="18"/>
      <c r="F1" s="18"/>
      <c r="G1" s="18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31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67.5">
      <c r="A5" s="3" t="s">
        <v>35</v>
      </c>
      <c r="B5" s="3" t="s">
        <v>190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38</v>
      </c>
      <c r="C6" s="3" t="s">
        <v>39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40</v>
      </c>
      <c r="B7" s="4" t="s">
        <v>41</v>
      </c>
      <c r="C7" s="3" t="s">
        <v>42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43</v>
      </c>
      <c r="B8" s="3" t="s">
        <v>44</v>
      </c>
      <c r="C8" s="3" t="s">
        <v>45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46</v>
      </c>
      <c r="B9" s="4">
        <v>0.04</v>
      </c>
      <c r="C9" s="3" t="s">
        <v>191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47</v>
      </c>
      <c r="B10" s="3">
        <v>1</v>
      </c>
      <c r="C10" s="3" t="s">
        <v>192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 t="s">
        <v>193</v>
      </c>
      <c r="C11" s="3" t="s">
        <v>194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46294.875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27.95" customHeight="1">
      <c r="A1" s="17" t="s">
        <v>51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52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195</v>
      </c>
      <c r="B5" s="7">
        <v>68700</v>
      </c>
      <c r="C5" s="4">
        <v>0.22500000000000001</v>
      </c>
      <c r="D5" s="4">
        <v>0.55000000000000004</v>
      </c>
      <c r="E5" s="4">
        <v>8.7499999999999994E-2</v>
      </c>
      <c r="F5" s="8">
        <v>1</v>
      </c>
      <c r="G5" s="7">
        <v>121.14</v>
      </c>
      <c r="H5" s="7">
        <f t="shared" ref="H5:H14" si="0">IF(A5="","",B5*C5*D5*E5)</f>
        <v>743.89218749999998</v>
      </c>
      <c r="I5" s="7">
        <f t="shared" ref="I5:I14" si="1">IF(A5="","",H5*F5)</f>
        <v>743.89218749999998</v>
      </c>
      <c r="J5" s="7">
        <f t="shared" ref="J5:J14" si="2">IF(A5="","",I5*G5)</f>
        <v>90115.099593749997</v>
      </c>
      <c r="K5" s="3" t="s">
        <v>196</v>
      </c>
      <c r="L5" s="3" t="s">
        <v>197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198</v>
      </c>
      <c r="B6" s="7">
        <v>39165</v>
      </c>
      <c r="C6" s="4">
        <v>0.22500000000000001</v>
      </c>
      <c r="D6" s="4">
        <v>0.55000000000000004</v>
      </c>
      <c r="E6" s="4">
        <v>0.17499999999999999</v>
      </c>
      <c r="F6" s="8">
        <v>1</v>
      </c>
      <c r="G6" s="7">
        <v>121.14</v>
      </c>
      <c r="H6" s="7">
        <f t="shared" si="0"/>
        <v>848.16703125000004</v>
      </c>
      <c r="I6" s="7">
        <f t="shared" si="1"/>
        <v>848.16703125000004</v>
      </c>
      <c r="J6" s="7">
        <f t="shared" si="2"/>
        <v>102746.95416562501</v>
      </c>
      <c r="K6" s="3" t="s">
        <v>199</v>
      </c>
      <c r="L6" s="3" t="s">
        <v>200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201</v>
      </c>
      <c r="B7" s="7">
        <v>3420</v>
      </c>
      <c r="C7" s="4">
        <v>0.22500000000000001</v>
      </c>
      <c r="D7" s="4">
        <v>0.55000000000000004</v>
      </c>
      <c r="E7" s="4">
        <v>0.1</v>
      </c>
      <c r="F7" s="8">
        <v>1</v>
      </c>
      <c r="G7" s="7">
        <v>121.14</v>
      </c>
      <c r="H7" s="7">
        <f t="shared" si="0"/>
        <v>42.322500000000005</v>
      </c>
      <c r="I7" s="7">
        <f t="shared" si="1"/>
        <v>42.322500000000005</v>
      </c>
      <c r="J7" s="7">
        <f t="shared" si="2"/>
        <v>5126.947650000001</v>
      </c>
      <c r="K7" s="3" t="s">
        <v>202</v>
      </c>
      <c r="L7" s="3" t="s">
        <v>203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/>
      <c r="B8" s="7"/>
      <c r="C8" s="4"/>
      <c r="D8" s="4"/>
      <c r="E8" s="4"/>
      <c r="F8" s="8"/>
      <c r="G8" s="7"/>
      <c r="H8" s="7" t="str">
        <f t="shared" si="0"/>
        <v/>
      </c>
      <c r="I8" s="7" t="str">
        <f t="shared" si="1"/>
        <v/>
      </c>
      <c r="J8" s="7" t="str">
        <f t="shared" si="2"/>
        <v/>
      </c>
      <c r="K8" s="3"/>
      <c r="L8" s="3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1634.3817187500001</v>
      </c>
      <c r="I16" s="9">
        <f>SUM(I5:I14)</f>
        <v>1634.3817187500001</v>
      </c>
      <c r="J16" s="9">
        <f>SUM(J5:J14)</f>
        <v>197989.00140937499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6.5">
      <c r="A18" s="2" t="s">
        <v>204</v>
      </c>
      <c r="B18" s="2" t="s">
        <v>251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27.95" customHeight="1">
      <c r="A1" s="17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66</v>
      </c>
      <c r="B2" s="18"/>
      <c r="C2" s="18"/>
      <c r="D2" s="18"/>
      <c r="E2" s="18"/>
      <c r="F2" s="18"/>
      <c r="G2" s="18"/>
      <c r="H2" s="18"/>
      <c r="I2" s="18"/>
      <c r="J2" s="1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205</v>
      </c>
      <c r="B5" s="7">
        <v>24.23</v>
      </c>
      <c r="C5" s="7">
        <v>42.4</v>
      </c>
      <c r="D5" s="7">
        <v>60.57</v>
      </c>
      <c r="E5" s="7"/>
      <c r="F5" s="4" t="str">
        <f>IF(OR(A5="",E5=""),"нет данных",(G5-E5)/G5)</f>
        <v>нет данных</v>
      </c>
      <c r="G5" s="7">
        <f t="shared" ref="G5:G12" si="0">IF(A5="","",C5)</f>
        <v>42.4</v>
      </c>
      <c r="H5" s="11">
        <f t="shared" ref="H5:H12" si="1">IF(A5="","",G5/C5)</f>
        <v>1</v>
      </c>
      <c r="I5" s="3" t="s">
        <v>206</v>
      </c>
      <c r="J5" s="3" t="s">
        <v>207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208</v>
      </c>
      <c r="B6" s="7">
        <v>27.26</v>
      </c>
      <c r="C6" s="7">
        <v>28.77</v>
      </c>
      <c r="D6" s="7">
        <v>30.29</v>
      </c>
      <c r="E6" s="7"/>
      <c r="F6" s="4" t="str">
        <f>IF(OR(A6="",E6=""),"нет данных",(G6-E6)/G6)</f>
        <v>нет данных</v>
      </c>
      <c r="G6" s="7">
        <f t="shared" si="0"/>
        <v>28.77</v>
      </c>
      <c r="H6" s="11">
        <f t="shared" si="1"/>
        <v>1</v>
      </c>
      <c r="I6" s="3" t="s">
        <v>209</v>
      </c>
      <c r="J6" s="3" t="s">
        <v>207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210</v>
      </c>
      <c r="B7" s="7">
        <v>30.29</v>
      </c>
      <c r="C7" s="7">
        <v>45.43</v>
      </c>
      <c r="D7" s="7">
        <v>60.57</v>
      </c>
      <c r="E7" s="7"/>
      <c r="F7" s="4" t="str">
        <f>IF(OR(A7="",E7=""),"нет данных",(G7-E7)/G7)</f>
        <v>нет данных</v>
      </c>
      <c r="G7" s="7">
        <f t="shared" si="0"/>
        <v>45.43</v>
      </c>
      <c r="H7" s="11">
        <f t="shared" si="1"/>
        <v>1</v>
      </c>
      <c r="I7" s="3" t="s">
        <v>211</v>
      </c>
      <c r="J7" s="3" t="s">
        <v>207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212</v>
      </c>
      <c r="B8" s="7">
        <v>12.11</v>
      </c>
      <c r="C8" s="7">
        <v>36.340000000000003</v>
      </c>
      <c r="D8" s="7">
        <v>90.86</v>
      </c>
      <c r="E8" s="7"/>
      <c r="F8" s="4" t="str">
        <f>IF(OR(A8="",E8=""),"нет данных",(G8-E8)/G8)</f>
        <v>нет данных</v>
      </c>
      <c r="G8" s="7">
        <f t="shared" si="0"/>
        <v>36.340000000000003</v>
      </c>
      <c r="H8" s="11">
        <f t="shared" si="1"/>
        <v>1</v>
      </c>
      <c r="I8" s="3" t="s">
        <v>213</v>
      </c>
      <c r="J8" s="3" t="s">
        <v>207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214</v>
      </c>
      <c r="B9" s="7">
        <v>15.14</v>
      </c>
      <c r="C9" s="7">
        <v>15.14</v>
      </c>
      <c r="D9" s="7">
        <v>269.54000000000002</v>
      </c>
      <c r="E9" s="7"/>
      <c r="F9" s="4" t="str">
        <f>IF(OR(A9="",E9=""),"нет данных",(G9-E9)/G9)</f>
        <v>нет данных</v>
      </c>
      <c r="G9" s="7">
        <f t="shared" si="0"/>
        <v>15.14</v>
      </c>
      <c r="H9" s="11">
        <f t="shared" si="1"/>
        <v>1</v>
      </c>
      <c r="I9" s="3" t="s">
        <v>215</v>
      </c>
      <c r="J9" s="3" t="s">
        <v>207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216</v>
      </c>
      <c r="B10" s="7">
        <v>45.43</v>
      </c>
      <c r="C10" s="7">
        <v>90.86</v>
      </c>
      <c r="D10" s="7">
        <v>136.28</v>
      </c>
      <c r="E10" s="7"/>
      <c r="F10" s="4" t="str">
        <f>IF(OR(A10="",E10=""),"нет данных",(G10-E10)/G10)</f>
        <v>нет данных</v>
      </c>
      <c r="G10" s="7">
        <f t="shared" si="0"/>
        <v>90.86</v>
      </c>
      <c r="H10" s="11">
        <f t="shared" si="1"/>
        <v>1</v>
      </c>
      <c r="I10" s="3" t="s">
        <v>217</v>
      </c>
      <c r="J10" s="3" t="s">
        <v>207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218</v>
      </c>
      <c r="B11" s="7">
        <v>30.29</v>
      </c>
      <c r="C11" s="7">
        <v>45.43</v>
      </c>
      <c r="D11" s="7">
        <v>60.57</v>
      </c>
      <c r="E11" s="7"/>
      <c r="F11" s="4" t="str">
        <f>IF(OR(A11="",E11=""),"нет данных",(G11-E11)/G11)</f>
        <v>нет данных</v>
      </c>
      <c r="G11" s="7">
        <f t="shared" si="0"/>
        <v>45.43</v>
      </c>
      <c r="H11" s="11">
        <f t="shared" si="1"/>
        <v>1</v>
      </c>
      <c r="I11" s="3" t="s">
        <v>219</v>
      </c>
      <c r="J11" s="3" t="s">
        <v>207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220</v>
      </c>
      <c r="B12" s="7">
        <v>24.23</v>
      </c>
      <c r="C12" s="7">
        <v>24.23</v>
      </c>
      <c r="D12" s="7">
        <v>24.23</v>
      </c>
      <c r="E12" s="7"/>
      <c r="F12" s="4" t="str">
        <f>IF(OR(A12="",E12=""),"нет данных",(G12-E12)/G12)</f>
        <v>нет данных</v>
      </c>
      <c r="G12" s="7">
        <f t="shared" si="0"/>
        <v>24.23</v>
      </c>
      <c r="H12" s="11">
        <f t="shared" si="1"/>
        <v>1</v>
      </c>
      <c r="I12" s="3" t="s">
        <v>221</v>
      </c>
      <c r="J12" s="3" t="s">
        <v>207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2">AVERAGE(B5:B12)</f>
        <v>26.122499999999999</v>
      </c>
      <c r="C14" s="9">
        <f t="shared" si="2"/>
        <v>41.075000000000003</v>
      </c>
      <c r="D14" s="9">
        <f t="shared" si="2"/>
        <v>91.61375000000001</v>
      </c>
      <c r="E14" s="9" t="str">
        <f>IFERROR(AVERAGE(E5:E12),"нет данных")</f>
        <v>нет данных</v>
      </c>
      <c r="F14" s="10" t="str">
        <f>IFERROR(AVERAGE(F5:F12),"нет данных")</f>
        <v>нет данных</v>
      </c>
      <c r="G14" s="9">
        <f t="shared" si="2"/>
        <v>41.075000000000003</v>
      </c>
      <c r="H14" s="12">
        <f t="shared" si="2"/>
        <v>1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7">
      <c r="A16" s="2" t="s">
        <v>222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7">
      <c r="A17" s="2" t="s">
        <v>223</v>
      </c>
      <c r="B17" s="2"/>
      <c r="C17" s="2">
        <v>10.1</v>
      </c>
      <c r="D17" s="2"/>
      <c r="E17" s="2"/>
      <c r="F17" s="2"/>
      <c r="G17" s="2"/>
      <c r="H17" s="2"/>
      <c r="I17" s="2" t="s">
        <v>252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 t="s">
        <v>224</v>
      </c>
      <c r="B18" s="2"/>
      <c r="C18" s="2" t="s">
        <v>225</v>
      </c>
      <c r="D18" s="2"/>
      <c r="E18" s="2"/>
      <c r="F18" s="2"/>
      <c r="G18" s="2"/>
      <c r="H18" s="2"/>
      <c r="I18" s="2" t="s">
        <v>226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>
      <c r="A19" s="2" t="s">
        <v>227</v>
      </c>
      <c r="B19" s="2"/>
      <c r="C19" s="2">
        <v>0</v>
      </c>
      <c r="D19" s="2"/>
      <c r="E19" s="2"/>
      <c r="F19" s="2"/>
      <c r="G19" s="2"/>
      <c r="H19" s="2"/>
      <c r="I19" s="2" t="s">
        <v>228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8.5">
      <c r="A21" s="2" t="s">
        <v>229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27.95" customHeight="1">
      <c r="A1" s="17" t="s">
        <v>77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78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67.5">
      <c r="A5" s="3" t="s">
        <v>195</v>
      </c>
      <c r="B5" s="7">
        <v>298.68</v>
      </c>
      <c r="C5" s="4">
        <v>1</v>
      </c>
      <c r="D5" s="4">
        <v>0</v>
      </c>
      <c r="E5" s="7">
        <f t="shared" ref="E5:E12" si="0">IF(A5="","",B5*C5*D5)</f>
        <v>0</v>
      </c>
      <c r="F5" s="7">
        <v>10.095000000000001</v>
      </c>
      <c r="G5" s="8" t="str">
        <f t="shared" ref="G5:G12" si="1">IF(A5="","",IF(E5=0,"",F5/E5))</f>
        <v/>
      </c>
      <c r="H5" s="4">
        <f t="shared" ref="H5:H12" si="2">IF(A5="","",((E5-F5)*12)/(F5*12))</f>
        <v>-1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слабо</v>
      </c>
      <c r="J5" s="3" t="s">
        <v>230</v>
      </c>
      <c r="K5" s="3" t="s">
        <v>257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198</v>
      </c>
      <c r="B6" s="7">
        <v>6413</v>
      </c>
      <c r="C6" s="4">
        <v>1</v>
      </c>
      <c r="D6" s="4">
        <v>1.7857000000000001E-2</v>
      </c>
      <c r="E6" s="7">
        <f t="shared" si="0"/>
        <v>114.516941</v>
      </c>
      <c r="F6" s="7">
        <v>10.095000000000001</v>
      </c>
      <c r="G6" s="8">
        <f t="shared" si="1"/>
        <v>8.8152896085479618E-2</v>
      </c>
      <c r="H6" s="4">
        <f t="shared" si="2"/>
        <v>10.343926795443288</v>
      </c>
      <c r="I6" s="3" t="str">
        <f t="shared" si="3"/>
        <v>экономически оправдано</v>
      </c>
      <c r="J6" s="3" t="s">
        <v>231</v>
      </c>
      <c r="K6" s="3" t="s">
        <v>253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201</v>
      </c>
      <c r="B7" s="7">
        <v>3172</v>
      </c>
      <c r="C7" s="4">
        <v>1</v>
      </c>
      <c r="D7" s="4">
        <v>1.7857000000000001E-2</v>
      </c>
      <c r="E7" s="7">
        <f t="shared" si="0"/>
        <v>56.642404000000006</v>
      </c>
      <c r="F7" s="7">
        <v>10.095000000000001</v>
      </c>
      <c r="G7" s="8">
        <f t="shared" si="1"/>
        <v>0.17822336777937603</v>
      </c>
      <c r="H7" s="4">
        <f t="shared" si="2"/>
        <v>4.6109365032194161</v>
      </c>
      <c r="I7" s="3" t="str">
        <f t="shared" si="3"/>
        <v>экономически оправдано</v>
      </c>
      <c r="J7" s="3" t="s">
        <v>231</v>
      </c>
      <c r="K7" s="3" t="s">
        <v>232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/>
      <c r="B8" s="7"/>
      <c r="C8" s="4"/>
      <c r="D8" s="4"/>
      <c r="E8" s="7" t="str">
        <f t="shared" si="0"/>
        <v/>
      </c>
      <c r="F8" s="7"/>
      <c r="G8" s="8" t="str">
        <f t="shared" si="1"/>
        <v/>
      </c>
      <c r="H8" s="4" t="str">
        <f t="shared" si="2"/>
        <v/>
      </c>
      <c r="I8" s="3" t="str">
        <f t="shared" si="3"/>
        <v/>
      </c>
      <c r="J8" s="3"/>
      <c r="K8" s="3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87</v>
      </c>
      <c r="B14" s="9">
        <f t="shared" ref="B14:H14" si="4">AVERAGE(B5:B12)</f>
        <v>3294.56</v>
      </c>
      <c r="C14" s="10">
        <f t="shared" si="4"/>
        <v>1</v>
      </c>
      <c r="D14" s="10">
        <f t="shared" si="4"/>
        <v>1.1904666666666668E-2</v>
      </c>
      <c r="E14" s="9">
        <f t="shared" si="4"/>
        <v>57.053114999999998</v>
      </c>
      <c r="F14" s="9">
        <f t="shared" si="4"/>
        <v>10.095000000000001</v>
      </c>
      <c r="G14" s="13">
        <f t="shared" si="4"/>
        <v>0.13318813193242782</v>
      </c>
      <c r="H14" s="10">
        <f t="shared" si="4"/>
        <v>4.6516210995542346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81">
      <c r="A16" s="2" t="s">
        <v>233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27.95" customHeight="1">
      <c r="A1" s="17" t="s">
        <v>88</v>
      </c>
      <c r="B1" s="18"/>
      <c r="C1" s="18"/>
      <c r="D1" s="18"/>
      <c r="E1" s="18"/>
      <c r="F1" s="18"/>
      <c r="G1" s="18"/>
      <c r="H1" s="18"/>
      <c r="I1" s="18"/>
      <c r="J1" s="1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89</v>
      </c>
      <c r="B2" s="18"/>
      <c r="C2" s="18"/>
      <c r="D2" s="18"/>
      <c r="E2" s="18"/>
      <c r="F2" s="18"/>
      <c r="G2" s="18"/>
      <c r="H2" s="18"/>
      <c r="I2" s="18"/>
      <c r="J2" s="1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53</v>
      </c>
      <c r="B4" s="1" t="s">
        <v>90</v>
      </c>
      <c r="C4" s="1" t="s">
        <v>91</v>
      </c>
      <c r="D4" s="1" t="s">
        <v>92</v>
      </c>
      <c r="E4" s="1" t="s">
        <v>93</v>
      </c>
      <c r="F4" s="1" t="s">
        <v>94</v>
      </c>
      <c r="G4" s="1" t="s">
        <v>60</v>
      </c>
      <c r="H4" s="1" t="s">
        <v>95</v>
      </c>
      <c r="I4" s="1" t="s">
        <v>96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54">
      <c r="A5" s="3" t="s">
        <v>195</v>
      </c>
      <c r="B5" s="7">
        <v>14.93</v>
      </c>
      <c r="C5" s="7">
        <v>10.095000000000001</v>
      </c>
      <c r="D5" s="11">
        <f t="shared" ref="D5:D12" si="0">IF(A5="","",B5/C5)</f>
        <v>1.4789499752352648</v>
      </c>
      <c r="E5" s="3" t="str">
        <f t="shared" ref="E5:E12" si="1">IF(A5="","",IF(D5&gt;=1.5,"высокая",IF(D5&gt;=1,"достаточная",IF(D5&gt;=0.7,"пограничная","низкая"))))</f>
        <v>достаточная</v>
      </c>
      <c r="F5" s="4">
        <v>8.7499999999999994E-2</v>
      </c>
      <c r="G5" s="7">
        <f>IF(A5="","",'02_Сегменты'!B5*F5)</f>
        <v>6011.25</v>
      </c>
      <c r="H5" s="7">
        <v>121.14</v>
      </c>
      <c r="I5" s="7">
        <f t="shared" ref="I5:I12" si="2">IF(A5="","",G5*H5)</f>
        <v>728202.82499999995</v>
      </c>
      <c r="J5" s="3" t="s">
        <v>234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198</v>
      </c>
      <c r="B6" s="7">
        <v>320.64999999999998</v>
      </c>
      <c r="C6" s="7">
        <v>10.095000000000001</v>
      </c>
      <c r="D6" s="11">
        <f t="shared" si="0"/>
        <v>31.763249133234272</v>
      </c>
      <c r="E6" s="3" t="str">
        <f t="shared" si="1"/>
        <v>высокая</v>
      </c>
      <c r="F6" s="4">
        <v>0.17499999999999999</v>
      </c>
      <c r="G6" s="7">
        <f>IF(A6="","",'02_Сегменты'!B6*F6)</f>
        <v>6853.875</v>
      </c>
      <c r="H6" s="7">
        <v>121.14</v>
      </c>
      <c r="I6" s="7">
        <f t="shared" si="2"/>
        <v>830278.41749999998</v>
      </c>
      <c r="J6" s="3" t="s">
        <v>234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201</v>
      </c>
      <c r="B7" s="7">
        <v>158.6</v>
      </c>
      <c r="C7" s="7">
        <v>10.095000000000001</v>
      </c>
      <c r="D7" s="11">
        <f t="shared" si="0"/>
        <v>15.710747894997523</v>
      </c>
      <c r="E7" s="3" t="str">
        <f t="shared" si="1"/>
        <v>высокая</v>
      </c>
      <c r="F7" s="4">
        <v>0.1</v>
      </c>
      <c r="G7" s="7">
        <f>IF(A7="","",'02_Сегменты'!B7*F7)</f>
        <v>342</v>
      </c>
      <c r="H7" s="7">
        <v>121.14</v>
      </c>
      <c r="I7" s="7">
        <f t="shared" si="2"/>
        <v>41429.879999999997</v>
      </c>
      <c r="J7" s="3" t="s">
        <v>234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/>
      <c r="B8" s="7"/>
      <c r="C8" s="7"/>
      <c r="D8" s="11" t="str">
        <f t="shared" si="0"/>
        <v/>
      </c>
      <c r="E8" s="3" t="str">
        <f t="shared" si="1"/>
        <v/>
      </c>
      <c r="F8" s="4"/>
      <c r="G8" s="7" t="str">
        <f>IF(A8="","",'02_Сегменты'!B8*F8)</f>
        <v/>
      </c>
      <c r="H8" s="7"/>
      <c r="I8" s="7" t="str">
        <f t="shared" si="2"/>
        <v/>
      </c>
      <c r="J8" s="3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97</v>
      </c>
      <c r="B14" s="9">
        <f>AVERAGE(B5:B12)</f>
        <v>164.72666666666666</v>
      </c>
      <c r="C14" s="9">
        <f>AVERAGE(C5:C12)</f>
        <v>10.095000000000001</v>
      </c>
      <c r="D14" s="12">
        <f>AVERAGE(D5:D12)</f>
        <v>16.317649001155687</v>
      </c>
      <c r="E14" s="6"/>
      <c r="F14" s="10">
        <f>AVERAGE(F5:F12)</f>
        <v>0.12083333333333331</v>
      </c>
      <c r="G14" s="9">
        <f>SUM(G5:G12)</f>
        <v>13207.125</v>
      </c>
      <c r="H14" s="9">
        <f>AVERAGE(H5:H12)</f>
        <v>121.14</v>
      </c>
      <c r="I14" s="9">
        <f>SUM(I5:I12)</f>
        <v>1599911.1224999998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27.95" customHeight="1">
      <c r="A1" s="17" t="s">
        <v>98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99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32</v>
      </c>
      <c r="B4" s="1" t="s">
        <v>100</v>
      </c>
      <c r="C4" s="1" t="s">
        <v>101</v>
      </c>
      <c r="D4" s="1" t="s">
        <v>102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103</v>
      </c>
      <c r="B5" s="14">
        <v>0.7</v>
      </c>
      <c r="C5" s="14">
        <v>1</v>
      </c>
      <c r="D5" s="14">
        <v>1.2</v>
      </c>
      <c r="E5" s="3" t="s">
        <v>104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105</v>
      </c>
      <c r="B6" s="14">
        <v>0.6</v>
      </c>
      <c r="C6" s="14">
        <v>1</v>
      </c>
      <c r="D6" s="14">
        <v>1.25</v>
      </c>
      <c r="E6" s="3" t="s">
        <v>106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107</v>
      </c>
      <c r="B7" s="11">
        <v>0.75</v>
      </c>
      <c r="C7" s="11">
        <v>1</v>
      </c>
      <c r="D7" s="11">
        <v>1.1499999999999999</v>
      </c>
      <c r="E7" s="3" t="s">
        <v>108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109</v>
      </c>
      <c r="B8" s="11">
        <v>0.8</v>
      </c>
      <c r="C8" s="11">
        <v>1</v>
      </c>
      <c r="D8" s="11">
        <v>1.2</v>
      </c>
      <c r="E8" s="3" t="s">
        <v>110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111</v>
      </c>
      <c r="B9" s="14">
        <v>5.0000000000000001E-3</v>
      </c>
      <c r="C9" s="14">
        <v>1.4999999999999999E-2</v>
      </c>
      <c r="D9" s="14">
        <v>3.5000000000000003E-2</v>
      </c>
      <c r="E9" s="3" t="s">
        <v>112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.95" customHeight="1">
      <c r="A12" s="1" t="s">
        <v>53</v>
      </c>
      <c r="B12" s="1" t="s">
        <v>113</v>
      </c>
      <c r="C12" s="1" t="s">
        <v>114</v>
      </c>
      <c r="D12" s="1" t="s">
        <v>115</v>
      </c>
      <c r="E12" s="1" t="s">
        <v>116</v>
      </c>
      <c r="F12" s="1" t="s">
        <v>117</v>
      </c>
      <c r="G12" s="1" t="s">
        <v>118</v>
      </c>
      <c r="H12" s="1" t="s">
        <v>119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54">
      <c r="A13" s="3" t="str">
        <f>IF('02_Сегменты'!A5="","",'02_Сегменты'!A5)</f>
        <v>S-01 Студенты технических и экономических специальностей</v>
      </c>
      <c r="B13" s="7">
        <f>'02_Сегменты'!J5</f>
        <v>90115.099593749997</v>
      </c>
      <c r="C13" s="7">
        <f t="shared" ref="C13:C20" si="0">IF(A13="","",B13*$B$5*$B$6*$B$7*$B$8)</f>
        <v>22709.005097624999</v>
      </c>
      <c r="D13" s="7">
        <f t="shared" ref="D13:D20" si="1">IF(A13="","",B13*$C$5*$C$6*$C$7*$C$8)</f>
        <v>90115.099593749997</v>
      </c>
      <c r="E13" s="7">
        <f t="shared" ref="E13:E20" si="2">IF(A13="","",B13*$D$5*$D$6*$D$7*$D$8)</f>
        <v>186538.25615906247</v>
      </c>
      <c r="F13" s="7">
        <f t="shared" ref="F13:F20" si="3">IF(A13="","",C13*$B$9)</f>
        <v>113.54502548812499</v>
      </c>
      <c r="G13" s="7">
        <f t="shared" ref="G13:G20" si="4">IF(A13="","",D13*$C$9)</f>
        <v>1351.72649390625</v>
      </c>
      <c r="H13" s="7">
        <f t="shared" ref="H13:H20" si="5">IF(A13="","",E13*$D$9)</f>
        <v>6528.8389655671872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tr">
        <f>IF('02_Сегменты'!A6="","",'02_Сегменты'!A6)</f>
        <v>S-02/S-03 Аналитики, архитекторы ПО и разработчики</v>
      </c>
      <c r="B14" s="7">
        <f>'02_Сегменты'!J6</f>
        <v>102746.95416562501</v>
      </c>
      <c r="C14" s="7">
        <f t="shared" si="0"/>
        <v>25892.232449737501</v>
      </c>
      <c r="D14" s="7">
        <f t="shared" si="1"/>
        <v>102746.95416562501</v>
      </c>
      <c r="E14" s="7">
        <f t="shared" si="2"/>
        <v>212686.19512284372</v>
      </c>
      <c r="F14" s="7">
        <f t="shared" si="3"/>
        <v>129.46116224868751</v>
      </c>
      <c r="G14" s="7">
        <f t="shared" si="4"/>
        <v>1541.2043124843751</v>
      </c>
      <c r="H14" s="7">
        <f t="shared" si="5"/>
        <v>7444.0168292995313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7">
      <c r="A15" s="3" t="str">
        <f>IF('02_Сегменты'!A7="","",'02_Сегменты'!A7)</f>
        <v>S-04 Преподаватели технических дисциплин</v>
      </c>
      <c r="B15" s="7">
        <f>'02_Сегменты'!J7</f>
        <v>5126.947650000001</v>
      </c>
      <c r="C15" s="7">
        <f t="shared" si="0"/>
        <v>1291.9908078000001</v>
      </c>
      <c r="D15" s="7">
        <f t="shared" si="1"/>
        <v>5126.947650000001</v>
      </c>
      <c r="E15" s="7">
        <f t="shared" si="2"/>
        <v>10612.781635500001</v>
      </c>
      <c r="F15" s="7">
        <f t="shared" si="3"/>
        <v>6.4599540390000003</v>
      </c>
      <c r="G15" s="7">
        <f t="shared" si="4"/>
        <v>76.904214750000008</v>
      </c>
      <c r="H15" s="7">
        <f t="shared" si="5"/>
        <v>371.44735724250006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3" t="str">
        <f>IF('02_Сегменты'!A8="","",'02_Сегменты'!A8)</f>
        <v/>
      </c>
      <c r="B16" s="7" t="str">
        <f>'02_Сегменты'!J8</f>
        <v/>
      </c>
      <c r="C16" s="7" t="str">
        <f t="shared" si="0"/>
        <v/>
      </c>
      <c r="D16" s="7" t="str">
        <f t="shared" si="1"/>
        <v/>
      </c>
      <c r="E16" s="7" t="str">
        <f t="shared" si="2"/>
        <v/>
      </c>
      <c r="F16" s="7" t="str">
        <f t="shared" si="3"/>
        <v/>
      </c>
      <c r="G16" s="7" t="str">
        <f t="shared" si="4"/>
        <v/>
      </c>
      <c r="H16" s="7" t="str">
        <f t="shared" si="5"/>
        <v/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'02_Сегменты'!J9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'02_Сегменты'!J10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'02_Сегменты'!J11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'02_Сегменты'!J12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197989.00140937499</v>
      </c>
      <c r="C22" s="9">
        <f t="shared" si="6"/>
        <v>49893.228355162501</v>
      </c>
      <c r="D22" s="9">
        <f t="shared" si="6"/>
        <v>197989.00140937499</v>
      </c>
      <c r="E22" s="9">
        <f t="shared" si="6"/>
        <v>409837.23291740625</v>
      </c>
      <c r="F22" s="9">
        <f t="shared" si="6"/>
        <v>249.4661417758125</v>
      </c>
      <c r="G22" s="9">
        <f t="shared" si="6"/>
        <v>2969.835021140625</v>
      </c>
      <c r="H22" s="9">
        <f t="shared" si="6"/>
        <v>14344.303152109218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27.95" customHeight="1">
      <c r="A1" s="17" t="s">
        <v>120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121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122</v>
      </c>
      <c r="B4" s="1" t="s">
        <v>123</v>
      </c>
      <c r="C4" s="1" t="s">
        <v>124</v>
      </c>
      <c r="D4" s="1" t="s">
        <v>125</v>
      </c>
      <c r="E4" s="1" t="s">
        <v>126</v>
      </c>
      <c r="F4" s="1" t="s">
        <v>127</v>
      </c>
      <c r="G4" s="1" t="s">
        <v>128</v>
      </c>
      <c r="H4" s="1" t="s">
        <v>129</v>
      </c>
      <c r="I4" s="1" t="s">
        <v>130</v>
      </c>
      <c r="J4" s="1" t="s">
        <v>59</v>
      </c>
      <c r="K4" s="1" t="s">
        <v>131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81">
      <c r="A5" s="3" t="s">
        <v>235</v>
      </c>
      <c r="B5" s="7">
        <v>507000</v>
      </c>
      <c r="C5" s="4">
        <v>1.9580000000000001E-3</v>
      </c>
      <c r="D5" s="7">
        <f t="shared" ref="D5:D12" si="0">IF(A5="","",B5*C5)</f>
        <v>992.70600000000002</v>
      </c>
      <c r="E5" s="4">
        <v>0.48470000000000002</v>
      </c>
      <c r="F5" s="4">
        <v>0.22</v>
      </c>
      <c r="G5" s="4">
        <v>0.15</v>
      </c>
      <c r="H5" s="4">
        <v>1E-3</v>
      </c>
      <c r="I5" s="7">
        <f t="shared" ref="I5:I12" si="1">IF(A5="","",D5*H5)</f>
        <v>0.99270600000000009</v>
      </c>
      <c r="J5" s="7">
        <v>121.14</v>
      </c>
      <c r="K5" s="7">
        <f t="shared" ref="K5:K12" si="2">IF(A5="","",I5*J5)</f>
        <v>120.25640484000002</v>
      </c>
      <c r="L5" s="3" t="s">
        <v>236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67.5">
      <c r="A6" s="3" t="s">
        <v>237</v>
      </c>
      <c r="B6" s="7">
        <v>7800000</v>
      </c>
      <c r="C6" s="4">
        <v>1.9580000000000001E-3</v>
      </c>
      <c r="D6" s="7">
        <f t="shared" si="0"/>
        <v>15272.400000000001</v>
      </c>
      <c r="E6" s="4">
        <v>0.42</v>
      </c>
      <c r="F6" s="4">
        <v>0.18</v>
      </c>
      <c r="G6" s="4">
        <v>0.2</v>
      </c>
      <c r="H6" s="4">
        <v>1E-3</v>
      </c>
      <c r="I6" s="7">
        <f t="shared" si="1"/>
        <v>15.272400000000001</v>
      </c>
      <c r="J6" s="7">
        <v>121.14</v>
      </c>
      <c r="K6" s="7">
        <f t="shared" si="2"/>
        <v>1850.0985360000002</v>
      </c>
      <c r="L6" s="3" t="s">
        <v>256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94.5">
      <c r="A7" s="3" t="s">
        <v>238</v>
      </c>
      <c r="B7" s="7">
        <v>678500</v>
      </c>
      <c r="C7" s="4">
        <v>1.9580000000000001E-3</v>
      </c>
      <c r="D7" s="7">
        <f t="shared" si="0"/>
        <v>1328.5030000000002</v>
      </c>
      <c r="E7" s="4">
        <v>0.35</v>
      </c>
      <c r="F7" s="4">
        <v>0.25</v>
      </c>
      <c r="G7" s="4">
        <v>0.18</v>
      </c>
      <c r="H7" s="4">
        <v>1E-3</v>
      </c>
      <c r="I7" s="7">
        <f t="shared" si="1"/>
        <v>1.3285030000000002</v>
      </c>
      <c r="J7" s="7">
        <v>121.14</v>
      </c>
      <c r="K7" s="7">
        <f t="shared" si="2"/>
        <v>160.93485342000002</v>
      </c>
      <c r="L7" s="3" t="s">
        <v>249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94.5">
      <c r="A8" s="3" t="s">
        <v>239</v>
      </c>
      <c r="B8" s="7">
        <v>20000</v>
      </c>
      <c r="C8" s="4">
        <v>1.9580000000000001E-3</v>
      </c>
      <c r="D8" s="7">
        <f t="shared" si="0"/>
        <v>39.160000000000004</v>
      </c>
      <c r="E8" s="4"/>
      <c r="F8" s="4"/>
      <c r="G8" s="4"/>
      <c r="H8" s="4">
        <v>1E-3</v>
      </c>
      <c r="I8" s="7">
        <f t="shared" si="1"/>
        <v>3.9160000000000007E-2</v>
      </c>
      <c r="J8" s="7">
        <v>121.14</v>
      </c>
      <c r="K8" s="7">
        <f t="shared" si="2"/>
        <v>4.743842400000001</v>
      </c>
      <c r="L8" s="3" t="s">
        <v>250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7" t="str">
        <f t="shared" si="0"/>
        <v/>
      </c>
      <c r="E9" s="4"/>
      <c r="F9" s="4"/>
      <c r="G9" s="4"/>
      <c r="H9" s="4"/>
      <c r="I9" s="7" t="str">
        <f t="shared" si="1"/>
        <v/>
      </c>
      <c r="J9" s="7"/>
      <c r="K9" s="7" t="str">
        <f t="shared" si="2"/>
        <v/>
      </c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7" t="str">
        <f t="shared" si="0"/>
        <v/>
      </c>
      <c r="E10" s="4"/>
      <c r="F10" s="4"/>
      <c r="G10" s="4"/>
      <c r="H10" s="4"/>
      <c r="I10" s="7" t="str">
        <f t="shared" si="1"/>
        <v/>
      </c>
      <c r="J10" s="7"/>
      <c r="K10" s="7" t="str">
        <f t="shared" si="2"/>
        <v/>
      </c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7" t="str">
        <f t="shared" si="0"/>
        <v/>
      </c>
      <c r="E11" s="4"/>
      <c r="F11" s="4"/>
      <c r="G11" s="4"/>
      <c r="H11" s="4"/>
      <c r="I11" s="7" t="str">
        <f t="shared" si="1"/>
        <v/>
      </c>
      <c r="J11" s="7"/>
      <c r="K11" s="7" t="str">
        <f t="shared" si="2"/>
        <v/>
      </c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7" t="str">
        <f t="shared" si="0"/>
        <v/>
      </c>
      <c r="E12" s="4"/>
      <c r="F12" s="4"/>
      <c r="G12" s="4"/>
      <c r="H12" s="4"/>
      <c r="I12" s="7" t="str">
        <f t="shared" si="1"/>
        <v/>
      </c>
      <c r="J12" s="7"/>
      <c r="K12" s="7" t="str">
        <f t="shared" si="2"/>
        <v/>
      </c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7"/>
      <c r="E13" s="4"/>
      <c r="F13" s="4"/>
      <c r="G13" s="4"/>
      <c r="H13" s="4"/>
      <c r="I13" s="7"/>
      <c r="J13" s="7"/>
      <c r="K13" s="7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97</v>
      </c>
      <c r="B14" s="9">
        <f>SUM(B5:B12)</f>
        <v>9005500</v>
      </c>
      <c r="C14" s="10">
        <f>AVERAGE(C5:C12)</f>
        <v>1.9580000000000001E-3</v>
      </c>
      <c r="D14" s="9">
        <f>SUM(D5:D12)</f>
        <v>17632.769</v>
      </c>
      <c r="E14" s="10">
        <f>AVERAGE(E5:E12)</f>
        <v>0.4182333333333334</v>
      </c>
      <c r="F14" s="10">
        <f>AVERAGE(F5:F12)</f>
        <v>0.21666666666666667</v>
      </c>
      <c r="G14" s="10">
        <f>AVERAGE(G5:G12)</f>
        <v>0.17666666666666667</v>
      </c>
      <c r="H14" s="10">
        <f>AVERAGE(H5:H12)</f>
        <v>1E-3</v>
      </c>
      <c r="I14" s="9">
        <f>SUM(I5:I12)</f>
        <v>17.632769000000003</v>
      </c>
      <c r="J14" s="9">
        <f>AVERAGE(J5:J12)</f>
        <v>121.14</v>
      </c>
      <c r="K14" s="9">
        <f>SUM(K5:K12)</f>
        <v>2136.0336366600004</v>
      </c>
      <c r="L14" s="6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08">
      <c r="A16" s="2" t="s">
        <v>240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27.95" customHeight="1">
      <c r="A1" s="17" t="s">
        <v>133</v>
      </c>
      <c r="B1" s="18"/>
      <c r="C1" s="18"/>
      <c r="D1" s="18"/>
      <c r="E1" s="18"/>
      <c r="F1" s="18"/>
      <c r="G1" s="18"/>
      <c r="H1" s="18"/>
      <c r="I1" s="18"/>
      <c r="J1" s="1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134</v>
      </c>
      <c r="B2" s="18"/>
      <c r="C2" s="18"/>
      <c r="D2" s="18"/>
      <c r="E2" s="18"/>
      <c r="F2" s="18"/>
      <c r="G2" s="18"/>
      <c r="H2" s="18"/>
      <c r="I2" s="18"/>
      <c r="J2" s="1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197989.00140937499</v>
      </c>
      <c r="C5" s="3" t="s">
        <v>141</v>
      </c>
      <c r="D5" s="2"/>
      <c r="E5" s="3" t="s">
        <v>100</v>
      </c>
      <c r="F5" s="7">
        <f>'06_Сценарии'!C22</f>
        <v>49893.228355162501</v>
      </c>
      <c r="G5" s="7">
        <f>'06_Сценарии'!F22</f>
        <v>249.4661417758125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1634.3817187500001</v>
      </c>
      <c r="C6" s="3" t="s">
        <v>143</v>
      </c>
      <c r="D6" s="2"/>
      <c r="E6" s="3" t="s">
        <v>101</v>
      </c>
      <c r="F6" s="7">
        <f>'06_Сценарии'!D22</f>
        <v>197989.00140937499</v>
      </c>
      <c r="G6" s="7">
        <f>'06_Сценарии'!G22</f>
        <v>2969.835021140625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16.317649001155687</v>
      </c>
      <c r="C7" s="3" t="s">
        <v>146</v>
      </c>
      <c r="D7" s="2"/>
      <c r="E7" s="3" t="s">
        <v>102</v>
      </c>
      <c r="F7" s="7">
        <f>'06_Сценарии'!E22</f>
        <v>409837.23291740625</v>
      </c>
      <c r="G7" s="7">
        <f>'06_Сценарии'!H22</f>
        <v>14344.303152109218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4.6516210995542346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117</v>
      </c>
      <c r="B9" s="7">
        <f>'06_Сценарии'!F22</f>
        <v>249.4661417758125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118</v>
      </c>
      <c r="B10" s="7">
        <f>'06_Сценарии'!G22</f>
        <v>2969.835021140625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119</v>
      </c>
      <c r="B11" s="7">
        <f>'06_Сценарии'!H22</f>
        <v>14344.303152109218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'07_Similarweb'!K14</f>
        <v>2136.0336366600004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20" t="s">
        <v>155</v>
      </c>
      <c r="B15" s="18"/>
      <c r="C15" s="18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1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8"/>
      <c r="C16" s="18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8"/>
      <c r="B17" s="18"/>
      <c r="C17" s="18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8"/>
      <c r="B18" s="18"/>
      <c r="C18" s="1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27.95" customHeight="1">
      <c r="A1" s="17" t="s">
        <v>156</v>
      </c>
      <c r="B1" s="18"/>
      <c r="C1" s="18"/>
      <c r="D1" s="18"/>
      <c r="E1" s="18"/>
      <c r="F1" s="18"/>
      <c r="G1" s="18"/>
      <c r="H1" s="18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3.950000000000003" customHeight="1">
      <c r="A2" s="19" t="s">
        <v>157</v>
      </c>
      <c r="B2" s="18"/>
      <c r="C2" s="18"/>
      <c r="D2" s="18"/>
      <c r="E2" s="18"/>
      <c r="F2" s="18"/>
      <c r="G2" s="18"/>
      <c r="H2" s="18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.95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163</v>
      </c>
      <c r="B5" s="3" t="s">
        <v>164</v>
      </c>
      <c r="C5" s="3" t="s">
        <v>165</v>
      </c>
      <c r="D5" s="3" t="s">
        <v>166</v>
      </c>
      <c r="E5" s="15">
        <v>46294.875</v>
      </c>
      <c r="F5" s="3" t="s">
        <v>167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168</v>
      </c>
      <c r="B6" s="3" t="s">
        <v>169</v>
      </c>
      <c r="C6" s="3" t="s">
        <v>170</v>
      </c>
      <c r="D6" s="3" t="s">
        <v>171</v>
      </c>
      <c r="E6" s="15">
        <v>46294.875</v>
      </c>
      <c r="F6" s="3" t="s">
        <v>172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173</v>
      </c>
      <c r="B7" s="3" t="s">
        <v>174</v>
      </c>
      <c r="C7" s="3" t="s">
        <v>175</v>
      </c>
      <c r="D7" s="3" t="s">
        <v>176</v>
      </c>
      <c r="E7" s="15">
        <v>46294.875</v>
      </c>
      <c r="F7" s="3" t="s">
        <v>177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178</v>
      </c>
      <c r="B8" s="3" t="s">
        <v>179</v>
      </c>
      <c r="C8" s="3" t="s">
        <v>180</v>
      </c>
      <c r="D8" s="3" t="s">
        <v>181</v>
      </c>
      <c r="E8" s="15">
        <v>46294.875</v>
      </c>
      <c r="F8" s="3" t="s">
        <v>182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54">
      <c r="A9" s="3" t="s">
        <v>75</v>
      </c>
      <c r="B9" s="3" t="s">
        <v>183</v>
      </c>
      <c r="C9" s="3" t="s">
        <v>184</v>
      </c>
      <c r="D9" s="3" t="s">
        <v>241</v>
      </c>
      <c r="E9" s="15">
        <v>46294.875</v>
      </c>
      <c r="F9" s="3" t="s">
        <v>185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186</v>
      </c>
      <c r="B10" s="3" t="s">
        <v>187</v>
      </c>
      <c r="C10" s="3" t="s">
        <v>188</v>
      </c>
      <c r="D10" s="3" t="s">
        <v>254</v>
      </c>
      <c r="E10" s="3"/>
      <c r="F10" s="3" t="s">
        <v>189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81">
      <c r="A12" s="2" t="s">
        <v>242</v>
      </c>
      <c r="B12" s="2" t="s">
        <v>243</v>
      </c>
      <c r="C12" s="2" t="s">
        <v>244</v>
      </c>
      <c r="D12" s="2" t="s">
        <v>255</v>
      </c>
      <c r="E12" s="16">
        <v>46294.875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 t="s">
        <v>245</v>
      </c>
      <c r="B13" s="2" t="s">
        <v>246</v>
      </c>
      <c r="C13" s="2" t="s">
        <v>247</v>
      </c>
      <c r="D13" s="2" t="s">
        <v>248</v>
      </c>
      <c r="E13" s="16">
        <v>46294.875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2026-10-02T12:32:35Z</dcterms:modified>
</cp:coreProperties>
</file>