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ИИТ\ЭлектронныйБизнес\ЛР2-3_Объем_рынка\Excel\"/>
    </mc:Choice>
  </mc:AlternateContent>
  <xr:revisionPtr revIDLastSave="0" documentId="13_ncr:1_{B7441449-14AF-4C08-A853-3A2CDCDEB653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11_Вариант_М2" sheetId="52" r:id="rId1"/>
    <sheet name="10_TAM_SAM_SOM_М1" sheetId="51" r:id="rId2"/>
    <sheet name="09_Концентрация" sheetId="50" r:id="rId3"/>
    <sheet name="00_Методика" sheetId="1" r:id="rId4"/>
    <sheet name="01_Параметры" sheetId="2" r:id="rId5"/>
    <sheet name="02_Конкуренты_SW" sheetId="3" r:id="rId6"/>
    <sheet name="03_Каналы" sheetId="4" r:id="rId7"/>
    <sheet name="04_География" sheetId="5" r:id="rId8"/>
    <sheet name="05_Запросы" sheetId="6" r:id="rId9"/>
    <sheet name="06_Воронка_сценарии" sheetId="7" r:id="rId10"/>
    <sheet name="07_Дашборд" sheetId="8" r:id="rId11"/>
    <sheet name="08_Источники" sheetId="9" r:id="rId1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52" l="1"/>
  <c r="D8" i="52" s="1"/>
  <c r="D10" i="52" s="1"/>
  <c r="D14" i="52" s="1"/>
  <c r="D15" i="52" s="1"/>
  <c r="D17" i="52" s="1"/>
  <c r="D5" i="52"/>
  <c r="C5" i="52"/>
  <c r="B5" i="52"/>
  <c r="D4" i="52"/>
  <c r="C4" i="52"/>
  <c r="C6" i="52" s="1"/>
  <c r="C8" i="52" s="1"/>
  <c r="C10" i="52" s="1"/>
  <c r="C14" i="52" s="1"/>
  <c r="C15" i="52" s="1"/>
  <c r="C17" i="52" s="1"/>
  <c r="B4" i="52"/>
  <c r="B6" i="52" s="1"/>
  <c r="B8" i="52" s="1"/>
  <c r="B10" i="52" s="1"/>
  <c r="B14" i="52" s="1"/>
  <c r="B15" i="52" s="1"/>
  <c r="B17" i="52" s="1"/>
  <c r="B13" i="51"/>
  <c r="B12" i="51"/>
  <c r="B11" i="51"/>
  <c r="B10" i="51"/>
  <c r="B8" i="51"/>
  <c r="B4" i="51"/>
  <c r="B3" i="51"/>
  <c r="B5" i="51" s="1"/>
  <c r="I6" i="50"/>
  <c r="B7" i="50"/>
  <c r="C7" i="50" s="1"/>
  <c r="D7" i="50" s="1"/>
  <c r="A7" i="50"/>
  <c r="E6" i="50"/>
  <c r="B6" i="50"/>
  <c r="C6" i="50" s="1"/>
  <c r="D6" i="50" s="1"/>
  <c r="A6" i="50"/>
  <c r="B5" i="50"/>
  <c r="C5" i="50" s="1"/>
  <c r="D5" i="50" s="1"/>
  <c r="A5" i="50"/>
  <c r="B4" i="50"/>
  <c r="B9" i="50" s="1"/>
  <c r="A4" i="50"/>
  <c r="I7" i="5"/>
  <c r="J7" i="5" s="1"/>
  <c r="I6" i="5"/>
  <c r="J6" i="5" s="1"/>
  <c r="I5" i="5"/>
  <c r="J5" i="5" s="1"/>
  <c r="I4" i="5"/>
  <c r="J4" i="5" s="1"/>
  <c r="D4" i="8"/>
  <c r="B4" i="8"/>
  <c r="E20" i="7"/>
  <c r="C20" i="7"/>
  <c r="A20" i="7"/>
  <c r="G7" i="5"/>
  <c r="G6" i="5"/>
  <c r="G5" i="5"/>
  <c r="G4" i="5"/>
  <c r="K25" i="3"/>
  <c r="J25" i="3"/>
  <c r="E25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E7" i="50" s="1"/>
  <c r="G6" i="3"/>
  <c r="G5" i="3"/>
  <c r="E5" i="50" s="1"/>
  <c r="G4" i="3"/>
  <c r="B15" i="51" s="1"/>
  <c r="B17" i="51" s="1"/>
  <c r="B8" i="2"/>
  <c r="B16" i="51" s="1"/>
  <c r="I5" i="50" l="1"/>
  <c r="I7" i="50"/>
  <c r="C4" i="50"/>
  <c r="E4" i="50"/>
  <c r="R25" i="3"/>
  <c r="B9" i="4" s="1"/>
  <c r="B9" i="2"/>
  <c r="M25" i="3"/>
  <c r="B4" i="4" s="1"/>
  <c r="N25" i="3"/>
  <c r="B5" i="4" s="1"/>
  <c r="B6" i="51" s="1"/>
  <c r="B7" i="51" s="1"/>
  <c r="B9" i="51" s="1"/>
  <c r="B14" i="51" s="1"/>
  <c r="O25" i="3"/>
  <c r="B6" i="4" s="1"/>
  <c r="P25" i="3"/>
  <c r="B7" i="4" s="1"/>
  <c r="Q25" i="3"/>
  <c r="B8" i="4" s="1"/>
  <c r="C6" i="7"/>
  <c r="H6" i="7" s="1"/>
  <c r="I6" i="7" s="1"/>
  <c r="J6" i="7" s="1"/>
  <c r="H5" i="3"/>
  <c r="F4" i="8"/>
  <c r="B6" i="8"/>
  <c r="I5" i="3"/>
  <c r="I23" i="3"/>
  <c r="H23" i="3"/>
  <c r="I22" i="3"/>
  <c r="H22" i="3"/>
  <c r="I21" i="3"/>
  <c r="H21" i="3"/>
  <c r="I20" i="3"/>
  <c r="H20" i="3"/>
  <c r="I19" i="3"/>
  <c r="H19" i="3"/>
  <c r="H18" i="3"/>
  <c r="G25" i="3"/>
  <c r="I18" i="3"/>
  <c r="I17" i="3"/>
  <c r="H17" i="3"/>
  <c r="H16" i="3"/>
  <c r="I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4" i="3"/>
  <c r="H4" i="3"/>
  <c r="I4" i="50" l="1"/>
  <c r="E9" i="50"/>
  <c r="F4" i="50"/>
  <c r="D4" i="50"/>
  <c r="D9" i="50" s="1"/>
  <c r="B14" i="50" s="1"/>
  <c r="B12" i="50"/>
  <c r="B13" i="50"/>
  <c r="F6" i="50"/>
  <c r="G6" i="50" s="1"/>
  <c r="J7" i="50"/>
  <c r="K7" i="50" s="1"/>
  <c r="F5" i="50"/>
  <c r="G5" i="50" s="1"/>
  <c r="J5" i="50"/>
  <c r="K5" i="50" s="1"/>
  <c r="F7" i="50"/>
  <c r="G7" i="50" s="1"/>
  <c r="B10" i="2"/>
  <c r="B13" i="2" s="1"/>
  <c r="H4" i="8"/>
  <c r="C5" i="7"/>
  <c r="H5" i="7" s="1"/>
  <c r="I5" i="7" s="1"/>
  <c r="J5" i="7" s="1"/>
  <c r="C7" i="7"/>
  <c r="H7" i="7" s="1"/>
  <c r="I7" i="7" s="1"/>
  <c r="J7" i="7" s="1"/>
  <c r="B12" i="2"/>
  <c r="J5" i="8"/>
  <c r="B19" i="8"/>
  <c r="H5" i="4"/>
  <c r="B18" i="8"/>
  <c r="B17" i="8"/>
  <c r="B21" i="8"/>
  <c r="B20" i="8"/>
  <c r="B22" i="8"/>
  <c r="D6" i="8"/>
  <c r="I25" i="3"/>
  <c r="D5" i="8"/>
  <c r="B12" i="8"/>
  <c r="B13" i="7"/>
  <c r="D13" i="7" s="1"/>
  <c r="D21" i="7"/>
  <c r="H25" i="3"/>
  <c r="G4" i="50" l="1"/>
  <c r="G9" i="50" s="1"/>
  <c r="C14" i="50" s="1"/>
  <c r="C12" i="50"/>
  <c r="C13" i="50"/>
  <c r="B16" i="50"/>
  <c r="B15" i="50"/>
  <c r="I9" i="50"/>
  <c r="J4" i="50"/>
  <c r="J6" i="50"/>
  <c r="K6" i="50" s="1"/>
  <c r="C8" i="4"/>
  <c r="C5" i="4"/>
  <c r="C4" i="4"/>
  <c r="C7" i="4"/>
  <c r="C9" i="4"/>
  <c r="C6" i="4"/>
  <c r="B12" i="7"/>
  <c r="D12" i="7" s="1"/>
  <c r="B11" i="8"/>
  <c r="B21" i="7"/>
  <c r="B5" i="8"/>
  <c r="B13" i="8"/>
  <c r="B14" i="7"/>
  <c r="D14" i="7" s="1"/>
  <c r="F21" i="7"/>
  <c r="F5" i="8"/>
  <c r="J4" i="8"/>
  <c r="C7" i="5"/>
  <c r="D7" i="5" s="1"/>
  <c r="D6" i="6"/>
  <c r="K6" i="6" s="1"/>
  <c r="C4" i="5"/>
  <c r="D4" i="5" s="1"/>
  <c r="D9" i="6"/>
  <c r="K9" i="6" s="1"/>
  <c r="C5" i="5"/>
  <c r="D5" i="5" s="1"/>
  <c r="C6" i="5"/>
  <c r="D6" i="5" s="1"/>
  <c r="D4" i="6"/>
  <c r="K4" i="6" s="1"/>
  <c r="D5" i="6"/>
  <c r="K5" i="6" s="1"/>
  <c r="D7" i="6"/>
  <c r="K7" i="6" s="1"/>
  <c r="D8" i="6"/>
  <c r="K8" i="6" s="1"/>
  <c r="D10" i="6"/>
  <c r="K10" i="6" s="1"/>
  <c r="D20" i="7"/>
  <c r="H5" i="8"/>
  <c r="C12" i="8"/>
  <c r="K4" i="50" l="1"/>
  <c r="K9" i="50" s="1"/>
  <c r="D14" i="50" s="1"/>
  <c r="D12" i="50"/>
  <c r="D13" i="50"/>
  <c r="C16" i="50"/>
  <c r="C15" i="50"/>
  <c r="D8" i="4"/>
  <c r="C21" i="8"/>
  <c r="D5" i="4"/>
  <c r="C18" i="8"/>
  <c r="D4" i="4"/>
  <c r="C17" i="8"/>
  <c r="C20" i="8"/>
  <c r="D7" i="4"/>
  <c r="D6" i="4"/>
  <c r="C19" i="8"/>
  <c r="D9" i="4"/>
  <c r="C22" i="8"/>
  <c r="G4" i="6"/>
  <c r="G10" i="6"/>
  <c r="G9" i="6"/>
  <c r="G8" i="6"/>
  <c r="G7" i="6"/>
  <c r="G6" i="6"/>
  <c r="G5" i="6"/>
  <c r="B20" i="7"/>
  <c r="C11" i="8"/>
  <c r="B22" i="7"/>
  <c r="B7" i="8" s="1"/>
  <c r="C13" i="8"/>
  <c r="F20" i="7"/>
  <c r="D16" i="50" l="1"/>
  <c r="D15" i="50"/>
  <c r="F6" i="8"/>
  <c r="H6" i="8"/>
</calcChain>
</file>

<file path=xl/sharedStrings.xml><?xml version="1.0" encoding="utf-8"?>
<sst xmlns="http://schemas.openxmlformats.org/spreadsheetml/2006/main" count="535" uniqueCount="441">
  <si>
    <t>Методика оценки объема рынка электронного бизнеса по данным Similarweb</t>
  </si>
  <si>
    <t>Блок</t>
  </si>
  <si>
    <t>Цель</t>
  </si>
  <si>
    <t>Действие</t>
  </si>
  <si>
    <t>Что фиксировать</t>
  </si>
  <si>
    <t>Расчетный результат</t>
  </si>
  <si>
    <t>Ограничения</t>
  </si>
  <si>
    <t>Лист Excel</t>
  </si>
  <si>
    <t>Выходной вывод</t>
  </si>
  <si>
    <t>1. Границы рынка</t>
  </si>
  <si>
    <t>Уточнить, какой рынок оценивается</t>
  </si>
  <si>
    <t>Зафиксировать продукт, географию, аудиторию и цифровые каналы</t>
  </si>
  <si>
    <t>Название рынка, территория, период, сегменты</t>
  </si>
  <si>
    <t>Паспорт расчетной модели</t>
  </si>
  <si>
    <t>Без границ рынка трафик конкурентов нельзя трактовать как объем рынка</t>
  </si>
  <si>
    <t>01_Параметры</t>
  </si>
  <si>
    <t>Что именно считается рынком</t>
  </si>
  <si>
    <t>2. Конкуренты</t>
  </si>
  <si>
    <t>Определить ядро цифрового рынка</t>
  </si>
  <si>
    <t>Собрать сайты прямых и частичных конкурентов</t>
  </si>
  <si>
    <t>Домен, сегмент, тип конкурента</t>
  </si>
  <si>
    <t>Список цифровых игроков</t>
  </si>
  <si>
    <t>Малые сайты могут отображаться неполно</t>
  </si>
  <si>
    <t>02_Конкуренты_SW</t>
  </si>
  <si>
    <t>Кто формирует цифровое предложение</t>
  </si>
  <si>
    <t>3. Трафик</t>
  </si>
  <si>
    <t>Оценить цифровой масштаб сегмента</t>
  </si>
  <si>
    <t>Внести посещения, географическую долю и релевантность</t>
  </si>
  <si>
    <t>Monthly visits, доля выбранной географии, релевантная доля</t>
  </si>
  <si>
    <t>Релевантный месячный и годовой трафик</t>
  </si>
  <si>
    <t>Трафик не равен покупкам</t>
  </si>
  <si>
    <t>Насколько велик цифровой поток аудитории</t>
  </si>
  <si>
    <t>4. Каналы</t>
  </si>
  <si>
    <t>Понять структуру привлечения аудитории</t>
  </si>
  <si>
    <t>Разложить трафик по Direct, Organic, Referral, Social, Paid, Mail, Display</t>
  </si>
  <si>
    <t>Доли каналов по конкурентам</t>
  </si>
  <si>
    <t>Канальная структура рынка</t>
  </si>
  <si>
    <t>Доли каналов оценочные</t>
  </si>
  <si>
    <t>03_Каналы</t>
  </si>
  <si>
    <t>Какие каналы важны для входа на рынок</t>
  </si>
  <si>
    <t>5. География</t>
  </si>
  <si>
    <t>Проверить территориальную концентрацию спроса</t>
  </si>
  <si>
    <t>Сопоставить страны/регионы по доле трафика</t>
  </si>
  <si>
    <t>Страна, доля, интерпретация</t>
  </si>
  <si>
    <t>Приоритетные географии</t>
  </si>
  <si>
    <t>Доля трафика не равна платежеспособности</t>
  </si>
  <si>
    <t>04_География</t>
  </si>
  <si>
    <t>Где целесообразно анализировать рынок</t>
  </si>
  <si>
    <t>6. Поиск</t>
  </si>
  <si>
    <t>Определить коммерческий спрос внутри трафика</t>
  </si>
  <si>
    <t>Зафиксировать ключевые запросы и намерение аудитории</t>
  </si>
  <si>
    <t>Запрос, доля или объем, тип намерения</t>
  </si>
  <si>
    <t>Индекс коммерческого интереса</t>
  </si>
  <si>
    <t>Запросы видны неполно в бесплатном доступе</t>
  </si>
  <si>
    <t>05_Запросы</t>
  </si>
  <si>
    <t>Какие потребности приводят аудиторию</t>
  </si>
  <si>
    <t>7. Воронка</t>
  </si>
  <si>
    <t>Перевести трафик в возможные заказы</t>
  </si>
  <si>
    <t>Задать конверсии и средний чек</t>
  </si>
  <si>
    <t>CR в заявку, CR в продажу, средний чек</t>
  </si>
  <si>
    <t>Оценка объема рынка в деньгах</t>
  </si>
  <si>
    <t>Конверсии задаются сценарно</t>
  </si>
  <si>
    <t>06_Воронка_сценарии</t>
  </si>
  <si>
    <t>Диапазон рынка по сценариям</t>
  </si>
  <si>
    <t>8. Проверка</t>
  </si>
  <si>
    <t>Снизить риск завышения оценки</t>
  </si>
  <si>
    <t>Сопоставить расчет с другими источниками</t>
  </si>
  <si>
    <t>Google Trends, Вордстат, статистика, рекламные кабинеты</t>
  </si>
  <si>
    <t>Уточненный диапазон оценки</t>
  </si>
  <si>
    <t>Источники измеряют разные показатели</t>
  </si>
  <si>
    <t>08_Источники</t>
  </si>
  <si>
    <t>Насколько расчет устойчив</t>
  </si>
  <si>
    <t>Ключевая расчетная логика</t>
  </si>
  <si>
    <t>1</t>
  </si>
  <si>
    <t>Наблюдаемый цифровой сегмент</t>
  </si>
  <si>
    <t>Сумма релевантного трафика выбранных конкурентов</t>
  </si>
  <si>
    <t>= сумма посещений × доля географии × доля релевантности</t>
  </si>
  <si>
    <t>2</t>
  </si>
  <si>
    <t>Оценка всего цифрового рынка</t>
  </si>
  <si>
    <t>Наблюдаемый сегмент / коэффициент покрытия конкурентов</t>
  </si>
  <si>
    <t>Если список конкурентов покрывает 70% рынка, общий рынок = наблюдаемый трафик / 70%</t>
  </si>
  <si>
    <t>3</t>
  </si>
  <si>
    <t>Оценка заявок</t>
  </si>
  <si>
    <t>Рыночный трафик × конверсия в заявку</t>
  </si>
  <si>
    <t>Конверсия задается по сценариям</t>
  </si>
  <si>
    <t>4</t>
  </si>
  <si>
    <t>Оценка продаж</t>
  </si>
  <si>
    <t>Заявки × конверсия в продажу</t>
  </si>
  <si>
    <t>Отражает платежеспособный спрос</t>
  </si>
  <si>
    <t>5</t>
  </si>
  <si>
    <t>Денежный объем</t>
  </si>
  <si>
    <t>Продажи × средний чек × повторные покупки</t>
  </si>
  <si>
    <t>Итоговый объем рынка за год</t>
  </si>
  <si>
    <t>Параметры оценки рынка</t>
  </si>
  <si>
    <t>Параметр</t>
  </si>
  <si>
    <t>Значение</t>
  </si>
  <si>
    <t>Единица / формат</t>
  </si>
  <si>
    <t>Комментарий</t>
  </si>
  <si>
    <t>Название рынка</t>
  </si>
  <si>
    <t>текст</t>
  </si>
  <si>
    <t>Замените на ваш рынок</t>
  </si>
  <si>
    <t>Географическая граница</t>
  </si>
  <si>
    <t>Республика Беларусь</t>
  </si>
  <si>
    <t>Страна, регион или город</t>
  </si>
  <si>
    <t>Период анализа</t>
  </si>
  <si>
    <t>Период, показанный в Similarweb</t>
  </si>
  <si>
    <t>Дата фиксации данных</t>
  </si>
  <si>
    <t>дата</t>
  </si>
  <si>
    <t>Дата ручного сбора или выгрузки</t>
  </si>
  <si>
    <t>Количество конкурентов в выборке</t>
  </si>
  <si>
    <t>формула</t>
  </si>
  <si>
    <t>Заполняется автоматически</t>
  </si>
  <si>
    <t>Наблюдаемый релевантный трафик, мес.</t>
  </si>
  <si>
    <t>посещения</t>
  </si>
  <si>
    <t>Наблюдаемый релевантный трафик, год</t>
  </si>
  <si>
    <t>Коэффициент покрытия конкурентов</t>
  </si>
  <si>
    <t>%</t>
  </si>
  <si>
    <t>Оценка всего цифрового трафика рынка, мес.</t>
  </si>
  <si>
    <t>Наблюдаемый трафик / покрытие</t>
  </si>
  <si>
    <t>Оценка всего цифрового трафика рынка, год</t>
  </si>
  <si>
    <t>Правила заполнения</t>
  </si>
  <si>
    <t>Сначала зафиксируйте границы рынка</t>
  </si>
  <si>
    <t>Без этого нельзя решить, какие сайты считать конкурентами</t>
  </si>
  <si>
    <t>В Similarweb соберите данные по 5–20 сайтам</t>
  </si>
  <si>
    <t>Чем шире выборка, тем устойчивее оценка</t>
  </si>
  <si>
    <t>Вносите только сопоставимый период</t>
  </si>
  <si>
    <t>Например, последние 3 месяца для всех сайтов</t>
  </si>
  <si>
    <t>Разделяйте весь трафик и релевантный трафик</t>
  </si>
  <si>
    <t>Не все посещения сайта относятся к анализируемому рынку</t>
  </si>
  <si>
    <t>Итог давайте диапазоном</t>
  </si>
  <si>
    <t>Осторожный, базовый и оптимистичный сценарии</t>
  </si>
  <si>
    <t>Ввод данных Similarweb по конкурентам</t>
  </si>
  <si>
    <t>Домен</t>
  </si>
  <si>
    <t>Название / конкурент</t>
  </si>
  <si>
    <t>Сегмент</t>
  </si>
  <si>
    <t>Тип</t>
  </si>
  <si>
    <t>Monthly visits</t>
  </si>
  <si>
    <t>Доля выбранной географии</t>
  </si>
  <si>
    <t>Релевантный трафик, мес.</t>
  </si>
  <si>
    <t>Релевантный трафик, год</t>
  </si>
  <si>
    <t>Доля рынка по трафику</t>
  </si>
  <si>
    <t>Bounce rate</t>
  </si>
  <si>
    <t>Pages / visit</t>
  </si>
  <si>
    <t>Avg duration</t>
  </si>
  <si>
    <t>Direct</t>
  </si>
  <si>
    <t>Organic search</t>
  </si>
  <si>
    <t>Referral</t>
  </si>
  <si>
    <t>Social</t>
  </si>
  <si>
    <t>Paid search</t>
  </si>
  <si>
    <t>Display</t>
  </si>
  <si>
    <t>прямой</t>
  </si>
  <si>
    <t>заменитель</t>
  </si>
  <si>
    <t>ИТОГО / среднее</t>
  </si>
  <si>
    <t>Канальная структура рынка по данным Similarweb</t>
  </si>
  <si>
    <t>Канал</t>
  </si>
  <si>
    <t>Средневзвешенная доля</t>
  </si>
  <si>
    <t>Оценка рыночного трафика, мес.</t>
  </si>
  <si>
    <t>Оценка рыночного трафика, год</t>
  </si>
  <si>
    <t>Коммерческая интерпретация</t>
  </si>
  <si>
    <t>Что проверить дополнительно</t>
  </si>
  <si>
    <t>Ограничение</t>
  </si>
  <si>
    <t>Приоритет</t>
  </si>
  <si>
    <t>Сила бренда и повторные посещения</t>
  </si>
  <si>
    <t>Узнаваемость конкурентов, прямые заходы</t>
  </si>
  <si>
    <t>Не всегда означает новый спрос</t>
  </si>
  <si>
    <t>Поисковый спрос и эффективность содержания</t>
  </si>
  <si>
    <t>Семантическое ядро, видимость в поиске</t>
  </si>
  <si>
    <t>Запросы могут быть информационными</t>
  </si>
  <si>
    <t>Партнерские и справочные источники</t>
  </si>
  <si>
    <t>Каталоги, публикации, партнеры</t>
  </si>
  <si>
    <t>Часть переходов может быть нерелевантна</t>
  </si>
  <si>
    <t>Спрос через социальные сети</t>
  </si>
  <si>
    <t>Активность в соцсетях и сообществах</t>
  </si>
  <si>
    <t>Социальный трафик не всегда конверсионный</t>
  </si>
  <si>
    <t>Платный спрос и рекламная конкуренция</t>
  </si>
  <si>
    <t>Стоимость клика, рекламные объявления</t>
  </si>
  <si>
    <t>Высокая доля может отражать закупку трафика</t>
  </si>
  <si>
    <t>Медийная реклама и охват</t>
  </si>
  <si>
    <t>Баннеры, ретаргетинг</t>
  </si>
  <si>
    <t>Слабее связан с намерением покупки</t>
  </si>
  <si>
    <t>Географическая структура цифрового рынка</t>
  </si>
  <si>
    <t>Страна / регион</t>
  </si>
  <si>
    <t>Доля трафика по Similarweb</t>
  </si>
  <si>
    <t>Оценка месячного трафика рынка</t>
  </si>
  <si>
    <t>Оценка годового трафика рынка</t>
  </si>
  <si>
    <t>Платежеспособность / доступность</t>
  </si>
  <si>
    <t>Конкурентная плотность</t>
  </si>
  <si>
    <t>Приоритет рынка</t>
  </si>
  <si>
    <t>средняя</t>
  </si>
  <si>
    <t>выше средней</t>
  </si>
  <si>
    <t>высокая</t>
  </si>
  <si>
    <t>разная</t>
  </si>
  <si>
    <t>Поисковые запросы и коммерческий интерес</t>
  </si>
  <si>
    <t>Запрос / ключевая фраза</t>
  </si>
  <si>
    <t>Источник</t>
  </si>
  <si>
    <t>Доля поискового трафика</t>
  </si>
  <si>
    <t>Оценочный месячный трафик</t>
  </si>
  <si>
    <t>Тип намерения</t>
  </si>
  <si>
    <t>Коммерческий вес</t>
  </si>
  <si>
    <t>Решение</t>
  </si>
  <si>
    <t>коммерческий</t>
  </si>
  <si>
    <t>включить</t>
  </si>
  <si>
    <t>проблемный</t>
  </si>
  <si>
    <t>инструментальный</t>
  </si>
  <si>
    <t>информационный</t>
  </si>
  <si>
    <t>Расчет объема рынка через цифровую воронку и сценарии</t>
  </si>
  <si>
    <t>Сценарные допущения</t>
  </si>
  <si>
    <t>Сценарий</t>
  </si>
  <si>
    <t>Оценка рынка: посещения/мес.</t>
  </si>
  <si>
    <t>Конверсия в заявку</t>
  </si>
  <si>
    <t>Конверсия заявки в продажу</t>
  </si>
  <si>
    <t>Средний чек</t>
  </si>
  <si>
    <t>Покупок/клиента в год</t>
  </si>
  <si>
    <t>Заказов/мес.</t>
  </si>
  <si>
    <t>Выручка/мес.</t>
  </si>
  <si>
    <t>Выручка/год</t>
  </si>
  <si>
    <t>Осторожный</t>
  </si>
  <si>
    <t>Базовый</t>
  </si>
  <si>
    <t>Оптимистичный</t>
  </si>
  <si>
    <t>Достижимая доля нового бизнеса (SOM)</t>
  </si>
  <si>
    <t>Рыночная выручка/год</t>
  </si>
  <si>
    <t>Достижимая доля нового бизнеса</t>
  </si>
  <si>
    <t>Потенциальная выручка нового бизнеса/год</t>
  </si>
  <si>
    <t>Первые клиенты, тестирование канала</t>
  </si>
  <si>
    <t>Не учитывать как гарантированный доход</t>
  </si>
  <si>
    <t>Устойчивый канал привлечения</t>
  </si>
  <si>
    <t>Требуется конкурентный анализ</t>
  </si>
  <si>
    <t>Сильное позиционирование и повторные продажи</t>
  </si>
  <si>
    <t>Требуется подтверждение продажами</t>
  </si>
  <si>
    <t>Формула итогового вывода</t>
  </si>
  <si>
    <t>Оценочный цифровой объем рынка за год определяется как диапазон между осторожным и оптимистичным сценариями.</t>
  </si>
  <si>
    <t>Минимум</t>
  </si>
  <si>
    <t>База</t>
  </si>
  <si>
    <t>Максимум</t>
  </si>
  <si>
    <t>Единица</t>
  </si>
  <si>
    <t>руб./год</t>
  </si>
  <si>
    <t>Рыночная выручка минимум</t>
  </si>
  <si>
    <t>Рыночная выручка база</t>
  </si>
  <si>
    <t>Рыночная выручка максимум</t>
  </si>
  <si>
    <t>Вывод</t>
  </si>
  <si>
    <t>Итоговая панель оценки объема рынка по Similarweb</t>
  </si>
  <si>
    <t>Ключевые показатели</t>
  </si>
  <si>
    <t>Рынок</t>
  </si>
  <si>
    <t>География</t>
  </si>
  <si>
    <t>Конкурентов</t>
  </si>
  <si>
    <t>Наблюдаемый трафик/мес.</t>
  </si>
  <si>
    <t>Оценка трафика рынка/мес.</t>
  </si>
  <si>
    <t>Осторожный рынок/год</t>
  </si>
  <si>
    <t>Базовый рынок/год</t>
  </si>
  <si>
    <t>Оптимистичный рынок/год</t>
  </si>
  <si>
    <t>SOM базовый/год</t>
  </si>
  <si>
    <t>Главный канал</t>
  </si>
  <si>
    <t>Главный конкурент</t>
  </si>
  <si>
    <t>Доля главного конкурента</t>
  </si>
  <si>
    <t>Главный поисковый запрос</t>
  </si>
  <si>
    <t>Коммерческий индекс</t>
  </si>
  <si>
    <t>Итоговый вывод</t>
  </si>
  <si>
    <t>Рынок, год</t>
  </si>
  <si>
    <t>SOM нового бизнеса, год</t>
  </si>
  <si>
    <t>Доля</t>
  </si>
  <si>
    <t>Трафик/мес.</t>
  </si>
  <si>
    <t>Источники данных и журнал фиксации</t>
  </si>
  <si>
    <t>Что брать</t>
  </si>
  <si>
    <t>Как фиксировать</t>
  </si>
  <si>
    <t>Ссылка</t>
  </si>
  <si>
    <t>Дата обращения</t>
  </si>
  <si>
    <t>Similarweb Website Analysis</t>
  </si>
  <si>
    <t>Посещаемость, каналы, география, похожие сайты, поисковые запросы</t>
  </si>
  <si>
    <t>Ручной ввод или экспорт при наличии доступа</t>
  </si>
  <si>
    <t>https://www.similarweb.com/website/</t>
  </si>
  <si>
    <t>Данные оценочные, полнота зависит от доступа</t>
  </si>
  <si>
    <t>Similarweb Data Methodology</t>
  </si>
  <si>
    <t>Описание природы и ограничений данных</t>
  </si>
  <si>
    <t>Использовать для методологических оговорок</t>
  </si>
  <si>
    <t>https://support.similarweb.com/hc/en-us/articles/360001631538-Similarweb-Data-Methodology</t>
  </si>
  <si>
    <t>Методология может обновляться</t>
  </si>
  <si>
    <t>Similarweb Data Exporter</t>
  </si>
  <si>
    <t>Выгрузка настраиваемых наборов данных</t>
  </si>
  <si>
    <t>Использовать при наличии платного доступа или единиц извлечения</t>
  </si>
  <si>
    <t>https://support.similarweb.com/hc/en-us/articles/13252032019101-Data-Exporter</t>
  </si>
  <si>
    <t>Может быть недоступно в бесплатной версии</t>
  </si>
  <si>
    <t>Google Trends</t>
  </si>
  <si>
    <t>Динамика относительного поискового интереса</t>
  </si>
  <si>
    <t>CSV-выгрузка и фиксация параметров</t>
  </si>
  <si>
    <t>https://trends.google.com/</t>
  </si>
  <si>
    <t>Индекс 0–100, не абсолютный объем спроса</t>
  </si>
  <si>
    <t>Яндекс Вордстат</t>
  </si>
  <si>
    <t>Частотность и динамика поисковых запросов</t>
  </si>
  <si>
    <t>CSV/XLSX или ручная фиксация</t>
  </si>
  <si>
    <t>https://wordstat.yandex.ru/</t>
  </si>
  <si>
    <t>Отражает аудиторию Яндекса</t>
  </si>
  <si>
    <t>Белстат / официальная статистика</t>
  </si>
  <si>
    <t>Количество организаций, отрасли, население, доходы</t>
  </si>
  <si>
    <t>Использовать для проверки сегмента клиентов</t>
  </si>
  <si>
    <t>https://www.belstat.gov.by/</t>
  </si>
  <si>
    <t>Официальные категории могут не совпадать с цифровым рынком</t>
  </si>
  <si>
    <t>Журнал ручного сбора данных</t>
  </si>
  <si>
    <t>Дата</t>
  </si>
  <si>
    <t>Сайт / домен</t>
  </si>
  <si>
    <t>Раздел Similarweb</t>
  </si>
  <si>
    <t>Показатель</t>
  </si>
  <si>
    <t>Комментарий / снимок экрана</t>
  </si>
  <si>
    <t>Веб-инструменты построения и проверки диаграмм формальных нотаций (UML, BPMN, ERD, IDEF, DFD) для студентов и специалистов по ПО</t>
  </si>
  <si>
    <t>последние 3 месяца (июнь–август 2026); требование М1 «не менее 12 мес.» при бесплатном доступе невыполнимо</t>
  </si>
  <si>
    <t>Значение шаблона (базовый сценарий листа 06 — 0,7); шкала М2 табл. 9 для типовой ситуации 0,60–0,75</t>
  </si>
  <si>
    <t>plantuml.com</t>
  </si>
  <si>
    <t>PlantUML</t>
  </si>
  <si>
    <t>диаграммы по тексту</t>
  </si>
  <si>
    <t>ФАКТ (Similarweb, авг. 2026, скриншот). Доля РБ — допущение Д-01 (Similarweb не показывает). Каналы: бесплатная карточка показывает только Organic (plantuml.com); остальные — «нет данных в бесплатном доступе».</t>
  </si>
  <si>
    <t>app.diagrams.net</t>
  </si>
  <si>
    <t>draw.io (diagrams.net)</t>
  </si>
  <si>
    <t>визуальные редакторы</t>
  </si>
  <si>
    <t>eraser.io</t>
  </si>
  <si>
    <t>Eraser</t>
  </si>
  <si>
    <t>mermaidchart.com</t>
  </si>
  <si>
    <t>Mermaid Chart</t>
  </si>
  <si>
    <t>Каналы: у plantuml.com показана только доля Organic Search 48,47 %; Direct и Referrals названы 2-м и 3-м без долей, Social, Paid, Mail, Display бесплатная карточка не показывает. Средневзвешенные доли каналов (строка 25) в копии считаются только по строкам, где доля показана (П-18).</t>
  </si>
  <si>
    <t>Исправлено в рабочей копии (П-1): суммирование с 4-й строки; в шаблоне диапазон G5:G24 терял первого конкурента.</t>
  </si>
  <si>
    <t>Исправлено (П-1): H4:H23.</t>
  </si>
  <si>
    <t>Показан только Organic (plantuml.com); остальные доли — «нет данных в бесплатном доступе»; приоритет по каналам, кроме Organic, не определяется.</t>
  </si>
  <si>
    <t>Основная география (В-6). Доля — допущение Д-01</t>
  </si>
  <si>
    <t>Минск (город)</t>
  </si>
  <si>
    <t>Остальная Беларусь (включая областные центры)</t>
  </si>
  <si>
    <t>Разница; данных по областным центрам нет</t>
  </si>
  <si>
    <t>Россия (другие русскоязычные рынки)</t>
  </si>
  <si>
    <t>Similarweb, plantuml.com, август 2026: 9,07 % (факт); гипотеза расширения, вне итогового диапазона (В-6)</t>
  </si>
  <si>
    <t>Корректно (П-10): трафик до географического сужения × доля, мес.</t>
  </si>
  <si>
    <t>Корректно, год</t>
  </si>
  <si>
    <t>В шаблоне (столбцы C, D) доля умножается на B12 — трафик, уже суженный до Беларуси (П-10); корректный вариант — столбцы I, J.</t>
  </si>
  <si>
    <t>uml купить</t>
  </si>
  <si>
    <t>Яндекс Вордстат (РБ, Топы, 30 дней)</t>
  </si>
  <si>
    <t>S-02/S-03</t>
  </si>
  <si>
    <t>Частотность 5 запр./мес.; доля — среди перечисленных запросов (Similarweb долей запросов в бесплатном доступе не показывает)</t>
  </si>
  <si>
    <t>visio купить</t>
  </si>
  <si>
    <t>включить (конкурент)</t>
  </si>
  <si>
    <t>Частотность 7 запр./мес.; доля — среди перечисленных запросов (Similarweb долей запросов в бесплатном доступе не показывает)</t>
  </si>
  <si>
    <t>нейросеть схема</t>
  </si>
  <si>
    <t>все</t>
  </si>
  <si>
    <t>Частотность 76 запр./мес.; доля — среди перечисленных запросов (Similarweb долей запросов в бесплатном доступе не показывает)</t>
  </si>
  <si>
    <t>uml онлайн</t>
  </si>
  <si>
    <t>S-01/S-03</t>
  </si>
  <si>
    <t>Частотность 28 запр./мес.; доля — среди перечисленных запросов (Similarweb долей запросов в бесплатном доступе не показывает)</t>
  </si>
  <si>
    <t>plantuml online</t>
  </si>
  <si>
    <t>S-03</t>
  </si>
  <si>
    <t>Частотность 14 запр./мес.; доля — среди перечисленных запросов (Similarweb долей запросов в бесплатном доступе не показывает)</t>
  </si>
  <si>
    <t>idef0 как</t>
  </si>
  <si>
    <t>S-01</t>
  </si>
  <si>
    <t>Частотность 11 запр./мес.; доля — среди перечисленных запросов (Similarweb долей запросов в бесплатном доступе не показывает)</t>
  </si>
  <si>
    <t>uml</t>
  </si>
  <si>
    <t>исключить (не подтверждает платёжеспособный спрос)</t>
  </si>
  <si>
    <t>Частотность 591 запр./мес.; доля — среди перечисленных запросов (Similarweb долей запросов в бесплатном доступе не показывает)</t>
  </si>
  <si>
    <t>Корректно (П-11): D × доля Organic</t>
  </si>
  <si>
    <t>Столбец D в шаблоне = доля × трафик всего рынка (П-11), что вероятно завышает поисковую часть; в столбце K — умножение на долю Organic (48,47 %, plantuml.com). Веса намерений SW-X (проблемный 0,6–0,8, информационный 0,1) отличаются от ПС табл. 9 (проблемный 0,30–0,60) — Р-44.</t>
  </si>
  <si>
    <t>Overview</t>
  </si>
  <si>
    <t>Total visits (август 2026)</t>
  </si>
  <si>
    <t>скриншот similarweb_traffic_plantuml.com_global_last3months_2026-09-30.png</t>
  </si>
  <si>
    <t>Global Rank</t>
  </si>
  <si>
    <t>ранг; Country Rank #24 334 (Россия); Category Rank #692</t>
  </si>
  <si>
    <t>Geography</t>
  </si>
  <si>
    <t>Доля России в трафике</t>
  </si>
  <si>
    <t>Беларусь в топ-5 стран не показана: нет данных в бесплатном доступе</t>
  </si>
  <si>
    <t>Marketing Channels</t>
  </si>
  <si>
    <t>Organic Search</t>
  </si>
  <si>
    <t>Direct и Referrals — 2-е и 3-е места без долей</t>
  </si>
  <si>
    <t>Engagement</t>
  </si>
  <si>
    <t>Pages/visit 3,18; Avg duration 00:03:16</t>
  </si>
  <si>
    <t>Total visits</t>
  </si>
  <si>
    <t>доступ закрыт</t>
  </si>
  <si>
    <t>лимит бесплатных просмотров (скриншот ...global_limit_2026-09-30.png); значение 7,8 млн — из выгрузки ЛР1</t>
  </si>
  <si>
    <t>mermaid.live</t>
  </si>
  <si>
    <t>лимит бесплатных просмотров</t>
  </si>
  <si>
    <t>lucidchart.com</t>
  </si>
  <si>
    <t>Концентрация цифрового трафика: CR3, CR5, HHI (дополнение к шаблону, Р-42; М1 §7.2, М2 §12)</t>
  </si>
  <si>
    <t>Визиты/мес. (сырые)</t>
  </si>
  <si>
    <t>Доля по сырым визитам (М1 ф. 2, SWБ §7)</t>
  </si>
  <si>
    <t>Доля² × 10 000 (сырые)</t>
  </si>
  <si>
    <t>Релевантные визиты (РБ)</t>
  </si>
  <si>
    <t>Доля по релевантным визитам (М2 §7)</t>
  </si>
  <si>
    <t>Доля² × 10 000 (релевантные)</t>
  </si>
  <si>
    <t>Сумма</t>
  </si>
  <si>
    <t>По сырым визитам</t>
  </si>
  <si>
    <t>По релевантным визитам</t>
  </si>
  <si>
    <t>CR3, %</t>
  </si>
  <si>
    <t>CR5, %</t>
  </si>
  <si>
    <t>HHI = Σ (доля в %)²</t>
  </si>
  <si>
    <t>Уровень по шкале М2 табл. 16</t>
  </si>
  <si>
    <t>Проверка: HHI ≥ CR3² / 3</t>
  </si>
  <si>
    <t>Пояснения: шкала М2 табл. 16 — до 1 500 низкая, 1 500–2 500 умеренная, выше 2 500 высокая; М1 табл. 10 задаёт три качественных уровня без чисел. Значения — оценка концентрации ЦИФРОВОГО ТРАФИКА выборки из 4 доменов (не выручки и не рыночной власти); CR5 при 4 доменах равен 100 %. Выборка меньше минимума М2 (5 доменов) и состоит из доменов разных типов; доминирует универсальный редактор draw.io.</t>
  </si>
  <si>
    <t>TAM / SAM / SOM цифрового внимания по М1 табл. 22 (базовый сценарий листа 06)</t>
  </si>
  <si>
    <t>TAM цифрового внимания: суммарный трафик релевантных сайтов категории, визиты/мес.</t>
  </si>
  <si>
    <t>Доля страны (Беларусь), допущение Д-01</t>
  </si>
  <si>
    <t>SAM по географии, визиты/мес. = TAM × доля страны</t>
  </si>
  <si>
    <t>Доля релевантных каналов (Organic Search, plantuml.com)</t>
  </si>
  <si>
    <t>SAM по каналу, визиты/мес.</t>
  </si>
  <si>
    <t>Достижимая доля (базовая, лист 06)</t>
  </si>
  <si>
    <t>SOM по трафику, визиты/мес. = SAM × достижимая доля</t>
  </si>
  <si>
    <t>CR1 (лист 06, базовый)</t>
  </si>
  <si>
    <t>CR2 (лист 06, базовый)</t>
  </si>
  <si>
    <t>Средний чек, BYN (лист 06)</t>
  </si>
  <si>
    <t>Число покупок в год</t>
  </si>
  <si>
    <t>SOM по выручке, BYN/год = SOM по трафику × 12 × CR1 × CR2 × чек × число покупок</t>
  </si>
  <si>
    <t>Проверка конкурентами: средняя выручка конкурента (при параметрах NotaCode), BYN/год</t>
  </si>
  <si>
    <t>Число активных конкурентов в выборке</t>
  </si>
  <si>
    <t>Проверка конкурентами: сумма, BYN/год</t>
  </si>
  <si>
    <t>Канальный SAM рассчитан по доле Organic одного домена (plantuml.com) — остальные доли в бесплатном доступе не показаны. Проверка поиском — лист 05_Запросы.</t>
  </si>
  <si>
    <t>Вариант по М2 (табл. 9, 11, 21): охват 0,45 / 0,65 / 0,85; коммерчески релевантная доля 20 / 35 / 50 %; годовой объём = месячный × 12</t>
  </si>
  <si>
    <t>V_sample: визиты выборки, мес. (Σ)</t>
  </si>
  <si>
    <t>М2 табл. 8</t>
  </si>
  <si>
    <t>Доля географии (РБ), Д-01</t>
  </si>
  <si>
    <t>V_geo = V_sample × доля географии</t>
  </si>
  <si>
    <t>Коэффициент охвата выборки</t>
  </si>
  <si>
    <t>М2 табл. 21 (шкала табл. 9: 0,40–0,55 / 0,60–0,75 / 0,80–0,90)</t>
  </si>
  <si>
    <t>V_total = V_geo / охват</t>
  </si>
  <si>
    <t>Осторожный сценарий даёт БОЛЬШЕ трафика (W-15)</t>
  </si>
  <si>
    <t>Коммерчески релевантная доля</t>
  </si>
  <si>
    <t>М2 табл. 21</t>
  </si>
  <si>
    <t>Коммерчески релевантные визиты, мес.</t>
  </si>
  <si>
    <t>CR1 (визит → заявка)</t>
  </si>
  <si>
    <t>середины диапазонов М2 табл. 11</t>
  </si>
  <si>
    <t>CR2 (заявка → оплата Pro)</t>
  </si>
  <si>
    <t>допущение проекта Free → Pro 3–5 % (шкала М2 5–40 % для freemium неприменима)</t>
  </si>
  <si>
    <t>Средний чек, BYN/год</t>
  </si>
  <si>
    <t>Месячный объём, BYN</t>
  </si>
  <si>
    <t>Годовой объём, BYN (× 12, М2)</t>
  </si>
  <si>
    <t>М2: × 12 (в SW-X: × 12 × покупок)</t>
  </si>
  <si>
    <t>Достижимая доля (SOM)</t>
  </si>
  <si>
    <t>как в листе 06</t>
  </si>
  <si>
    <t>SOM, BYN/год</t>
  </si>
  <si>
    <t>нет данных</t>
  </si>
  <si>
    <t>Доля релевантного трафика (Д-02)</t>
  </si>
  <si>
    <t>Релевантные визиты с учётом Д-02</t>
  </si>
  <si>
    <t>Доля по визитам с учётом Д-02</t>
  </si>
  <si>
    <t>Доля² × 10 000 (с учётом Д-02)</t>
  </si>
  <si>
    <t>С учётом доли релевантного (Д-02)</t>
  </si>
  <si>
    <t>предварительный замер 17–23.09.2026, не подтверждён. Доля РБ — допущение Д-01 (Similarweb не показывает). Каналы: бесплатная карточка показывает только Organic (plantuml.com); остальные — «нет данных в бесплатном доступе».</t>
  </si>
  <si>
    <t>предварительный замер: «менее 20 тыс.» (верхняя граница), не подтверждён. Доля РБ — допущение Д-01 (Similarweb не показывает). Каналы: бесплатная карточка показывает только Organic (plantuml.com); остальные — «нет данных в бесплатном доступе».</t>
  </si>
  <si>
    <t>40 USD/год (осторожный, базовый); медиана входных тарифов конкурентов</t>
  </si>
  <si>
    <t>Вордстат, plantuml: Минск 124 из 170 запросов РБ (73 %), окно 29.08–27.09.2026</t>
  </si>
  <si>
    <t>лимит бесплатных просмотров; 🔲 ДОСНЯТЬ: Similarweb, страница lucidchart.com, снимок экрана (вручную, по странице источника; табл. 91, п. 1)</t>
  </si>
  <si>
    <t>отчёт ЛР1, без скриншота. Доля РБ — допущение Д-01 (Similarweb не показывает). Каналы: бесплатная карточка показывает только Organic (plantuml.com); остальные — «нет данных в бесплатном доступе».</t>
  </si>
  <si>
    <t>Значения eraser.io (678,5 тыс.), app.diagrams.net (7,8 млн), mermaidchart.com (&lt; 20 тыс.) указаны без скриншота (app.diagrams.net — по отчёту ЛР1, остальные — предварительный замер 17–23.09.2026); повторный замер 30.09.2026 невозможен (лимит). 🔲 ДОСНЯТЬ минимум ещё 6 доменов.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</si>
</sst>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0.0"/>
    <numFmt numFmtId="167" formatCode="#,##0\ \₽"/>
  </numFmts>
  <fonts count="8">
    <font>
      <sz val="11"/>
      <name val="Carlito"/>
    </font>
    <font>
      <b/>
      <sz val="11"/>
      <color rgb="FFFFFFFF"/>
      <name val="Carlito"/>
    </font>
    <font>
      <b/>
      <sz val="11"/>
      <color rgb="FF0F172A"/>
      <name val="Carlito"/>
    </font>
    <font>
      <b/>
      <sz val="11"/>
      <name val="Carlito"/>
    </font>
    <font>
      <b/>
      <sz val="10"/>
      <color rgb="FFFFFFFF"/>
      <name val="Aptos"/>
    </font>
    <font>
      <sz val="10"/>
      <name val="Aptos"/>
    </font>
    <font>
      <sz val="11"/>
      <name val="Carlito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AF3F8"/>
      </patternFill>
    </fill>
    <fill>
      <patternFill patternType="solid">
        <fgColor rgb="FFF8FBF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8">
    <xf numFmtId="0" fontId="0" fillId="0" borderId="0" xfId="0"/>
    <xf numFmtId="0" fontId="1" fillId="3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164" fontId="0" fillId="0" borderId="0" xfId="1" applyNumberFormat="1" applyFont="1"/>
    <xf numFmtId="3" fontId="0" fillId="0" borderId="0" xfId="1" applyNumberFormat="1" applyFont="1"/>
    <xf numFmtId="9" fontId="0" fillId="0" borderId="0" xfId="1" applyNumberFormat="1" applyFont="1"/>
    <xf numFmtId="0" fontId="3" fillId="5" borderId="0" xfId="1" applyFont="1" applyFill="1" applyAlignment="1">
      <alignment horizontal="left" vertical="top" wrapText="1"/>
    </xf>
    <xf numFmtId="3" fontId="3" fillId="5" borderId="0" xfId="1" applyNumberFormat="1" applyFont="1" applyFill="1" applyAlignment="1">
      <alignment horizontal="left" vertical="top" wrapText="1"/>
    </xf>
    <xf numFmtId="165" fontId="0" fillId="0" borderId="0" xfId="1" applyNumberFormat="1" applyFont="1"/>
    <xf numFmtId="165" fontId="3" fillId="5" borderId="0" xfId="1" applyNumberFormat="1" applyFont="1" applyFill="1" applyAlignment="1">
      <alignment horizontal="left" vertical="top" wrapText="1"/>
    </xf>
    <xf numFmtId="166" fontId="0" fillId="0" borderId="0" xfId="1" applyNumberFormat="1" applyFont="1"/>
    <xf numFmtId="166" fontId="3" fillId="5" borderId="0" xfId="1" applyNumberFormat="1" applyFont="1" applyFill="1" applyAlignment="1">
      <alignment horizontal="left" vertical="top" wrapText="1"/>
    </xf>
    <xf numFmtId="167" fontId="0" fillId="0" borderId="0" xfId="1" applyNumberFormat="1" applyFont="1"/>
    <xf numFmtId="167" fontId="0" fillId="0" borderId="0" xfId="1" applyNumberFormat="1" applyFont="1" applyAlignment="1">
      <alignment wrapText="1"/>
    </xf>
    <xf numFmtId="0" fontId="3" fillId="6" borderId="0" xfId="1" applyFont="1" applyFill="1" applyAlignment="1">
      <alignment horizontal="left" vertical="center" wrapText="1"/>
    </xf>
    <xf numFmtId="0" fontId="0" fillId="7" borderId="0" xfId="1" applyFont="1" applyFill="1" applyAlignment="1">
      <alignment horizontal="left" vertical="center" wrapText="1"/>
    </xf>
    <xf numFmtId="3" fontId="0" fillId="7" borderId="0" xfId="1" applyNumberFormat="1" applyFont="1" applyFill="1" applyAlignment="1">
      <alignment horizontal="left" vertical="center" wrapText="1"/>
    </xf>
    <xf numFmtId="3" fontId="3" fillId="6" borderId="0" xfId="1" applyNumberFormat="1" applyFont="1" applyFill="1" applyAlignment="1">
      <alignment horizontal="left" vertical="center" wrapText="1"/>
    </xf>
    <xf numFmtId="167" fontId="0" fillId="7" borderId="0" xfId="1" applyNumberFormat="1" applyFont="1" applyFill="1" applyAlignment="1">
      <alignment horizontal="left" vertical="center" wrapText="1"/>
    </xf>
    <xf numFmtId="167" fontId="3" fillId="6" borderId="0" xfId="1" applyNumberFormat="1" applyFont="1" applyFill="1" applyAlignment="1">
      <alignment horizontal="left" vertical="center" wrapText="1"/>
    </xf>
    <xf numFmtId="165" fontId="0" fillId="7" borderId="0" xfId="1" applyNumberFormat="1" applyFont="1" applyFill="1" applyAlignment="1">
      <alignment horizontal="left" vertical="center" wrapText="1"/>
    </xf>
    <xf numFmtId="0" fontId="5" fillId="0" borderId="0" xfId="1" applyFont="1"/>
    <xf numFmtId="21" fontId="0" fillId="0" borderId="0" xfId="0" applyNumberFormat="1"/>
    <xf numFmtId="22" fontId="0" fillId="0" borderId="0" xfId="0" applyNumberFormat="1"/>
    <xf numFmtId="3" fontId="0" fillId="0" borderId="0" xfId="0" applyNumberFormat="1"/>
    <xf numFmtId="9" fontId="0" fillId="0" borderId="0" xfId="0" applyNumberFormat="1"/>
    <xf numFmtId="0" fontId="4" fillId="2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'07_Дашборд'!$B$11:$B$13</c:f>
              <c:numCache>
                <c:formatCode>#\ ##0\ \₽</c:formatCode>
                <c:ptCount val="3"/>
                <c:pt idx="0">
                  <c:v>7689.7210919760009</c:v>
                </c:pt>
                <c:pt idx="1">
                  <c:v>21970.631691360002</c:v>
                </c:pt>
                <c:pt idx="2">
                  <c:v>139815.03433800003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5B-4CDF-95E5-588641C38F05}"/>
            </c:ext>
          </c:extLst>
        </c:ser>
        <c:ser>
          <c:idx val="1"/>
          <c:order val="1"/>
          <c:tx>
            <c:v>SOM нового бизнеса, год</c:v>
          </c:tx>
          <c:invertIfNegative val="1"/>
          <c:cat>
            <c:strRef>
              <c:f>'07_Дашборд'!$A$11:$A$13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'07_Дашборд'!$C$11:$C$13</c:f>
              <c:numCache>
                <c:formatCode>#\ ##0\ \₽</c:formatCode>
                <c:ptCount val="3"/>
                <c:pt idx="0">
                  <c:v>38.448605459880007</c:v>
                </c:pt>
                <c:pt idx="1">
                  <c:v>329.55947537040004</c:v>
                </c:pt>
                <c:pt idx="2">
                  <c:v>4893.5262018300018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5B-4CDF-95E5-588641C38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\₽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Доля</c:v>
          </c:tx>
          <c:invertIfNegative val="1"/>
          <c:cat>
            <c:strRef>
              <c:f>'07_Дашборд'!$A$17:$A$22</c:f>
              <c:strCache>
                <c:ptCount val="6"/>
                <c:pt idx="0">
                  <c:v>Direct</c:v>
                </c:pt>
                <c:pt idx="1">
                  <c:v>Organic search</c:v>
                </c:pt>
                <c:pt idx="2">
                  <c:v>Referral</c:v>
                </c:pt>
                <c:pt idx="3">
                  <c:v>Social</c:v>
                </c:pt>
                <c:pt idx="4">
                  <c:v>Paid search</c:v>
                </c:pt>
                <c:pt idx="5">
                  <c:v>Display</c:v>
                </c:pt>
              </c:strCache>
            </c:strRef>
          </c:cat>
          <c:val>
            <c:numRef>
              <c:f>'07_Дашборд'!$B$17:$B$22</c:f>
              <c:numCache>
                <c:formatCode>0.0%</c:formatCode>
                <c:ptCount val="6"/>
                <c:pt idx="0">
                  <c:v>0</c:v>
                </c:pt>
                <c:pt idx="1">
                  <c:v>0.48469999999999996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2-4D7F-B552-94DC0D3A33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26</xdr:row>
      <xdr:rowOff>0</xdr:rowOff>
    </xdr:from>
    <xdr:to>
      <xdr:col>12</xdr:col>
      <xdr:colOff>0</xdr:colOff>
      <xdr:row>42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Table" displayName="MethodTable" ref="A3:H11">
  <tableColumns count="8">
    <tableColumn id="1" xr3:uid="{00000000-0010-0000-0000-000001000000}" name="Блок"/>
    <tableColumn id="2" xr3:uid="{00000000-0010-0000-0000-000002000000}" name="Цель"/>
    <tableColumn id="3" xr3:uid="{00000000-0010-0000-0000-000003000000}" name="Действие"/>
    <tableColumn id="4" xr3:uid="{00000000-0010-0000-0000-000004000000}" name="Что фиксировать"/>
    <tableColumn id="5" xr3:uid="{00000000-0010-0000-0000-000005000000}" name="Расчетный результат"/>
    <tableColumn id="6" xr3:uid="{00000000-0010-0000-0000-000006000000}" name="Ограничения"/>
    <tableColumn id="7" xr3:uid="{00000000-0010-0000-0000-000007000000}" name="Лист Excel"/>
    <tableColumn id="8" xr3:uid="{00000000-0010-0000-0000-000008000000}" name="Выходной выво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ramsTable" displayName="ParamsTable" ref="A3:D13">
  <tableColumns count="4">
    <tableColumn id="1" xr3:uid="{00000000-0010-0000-0100-000001000000}" name="Параметр"/>
    <tableColumn id="2" xr3:uid="{00000000-0010-0000-0100-000002000000}" name="Значение"/>
    <tableColumn id="3" xr3:uid="{00000000-0010-0000-0100-000003000000}" name="Единица / формат"/>
    <tableColumn id="4" xr3:uid="{00000000-0010-0000-0100-000004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etitorsTable" displayName="CompetitorsTable" ref="A3:S23">
  <tableColumns count="19">
    <tableColumn id="1" xr3:uid="{00000000-0010-0000-0200-000001000000}" name="Домен"/>
    <tableColumn id="2" xr3:uid="{00000000-0010-0000-0200-000002000000}" name="Название / конкурент"/>
    <tableColumn id="3" xr3:uid="{00000000-0010-0000-0200-000003000000}" name="Сегмент"/>
    <tableColumn id="4" xr3:uid="{00000000-0010-0000-0200-000004000000}" name="Тип"/>
    <tableColumn id="5" xr3:uid="{00000000-0010-0000-0200-000005000000}" name="Monthly visits"/>
    <tableColumn id="6" xr3:uid="{00000000-0010-0000-0200-000006000000}" name="Доля выбранной географии"/>
    <tableColumn id="7" xr3:uid="{00000000-0010-0000-0200-000007000000}" name="Релевантный трафик, мес."/>
    <tableColumn id="8" xr3:uid="{00000000-0010-0000-0200-000008000000}" name="Релевантный трафик, год"/>
    <tableColumn id="9" xr3:uid="{00000000-0010-0000-0200-000009000000}" name="Доля рынка по трафику"/>
    <tableColumn id="10" xr3:uid="{00000000-0010-0000-0200-00000A000000}" name="Bounce rate"/>
    <tableColumn id="11" xr3:uid="{00000000-0010-0000-0200-00000B000000}" name="Pages / visit"/>
    <tableColumn id="12" xr3:uid="{00000000-0010-0000-0200-00000C000000}" name="Avg duration"/>
    <tableColumn id="13" xr3:uid="{00000000-0010-0000-0200-00000D000000}" name="Direct"/>
    <tableColumn id="14" xr3:uid="{00000000-0010-0000-0200-00000E000000}" name="Organic search"/>
    <tableColumn id="15" xr3:uid="{00000000-0010-0000-0200-00000F000000}" name="Referral"/>
    <tableColumn id="16" xr3:uid="{00000000-0010-0000-0200-000010000000}" name="Social"/>
    <tableColumn id="17" xr3:uid="{00000000-0010-0000-0200-000011000000}" name="Paid search"/>
    <tableColumn id="18" xr3:uid="{00000000-0010-0000-0200-000012000000}" name="Display"/>
    <tableColumn id="19" xr3:uid="{00000000-0010-0000-0200-000013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nelsTable" displayName="ChannelsTable" ref="A3:H9">
  <tableColumns count="8">
    <tableColumn id="1" xr3:uid="{00000000-0010-0000-0300-000001000000}" name="Канал"/>
    <tableColumn id="2" xr3:uid="{00000000-0010-0000-0300-000002000000}" name="Средневзвешенная доля"/>
    <tableColumn id="3" xr3:uid="{00000000-0010-0000-0300-000003000000}" name="Оценка рыночного трафика, мес."/>
    <tableColumn id="4" xr3:uid="{00000000-0010-0000-0300-000004000000}" name="Оценка рыночного трафика, год"/>
    <tableColumn id="5" xr3:uid="{00000000-0010-0000-0300-000005000000}" name="Коммерческая интерпретация"/>
    <tableColumn id="6" xr3:uid="{00000000-0010-0000-0300-000006000000}" name="Что проверить дополнительно"/>
    <tableColumn id="7" xr3:uid="{00000000-0010-0000-0300-000007000000}" name="Ограничение"/>
    <tableColumn id="8" xr3:uid="{00000000-0010-0000-0300-000008000000}" name="Приоритет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oTable" displayName="GeoTable" ref="A3:J7">
  <tableColumns count="10">
    <tableColumn id="1" xr3:uid="{00000000-0010-0000-0400-000001000000}" name="Страна / регион"/>
    <tableColumn id="2" xr3:uid="{00000000-0010-0000-0400-000002000000}" name="Доля трафика по Similarweb"/>
    <tableColumn id="3" xr3:uid="{00000000-0010-0000-0400-000003000000}" name="Оценка месячного трафика рынка"/>
    <tableColumn id="4" xr3:uid="{00000000-0010-0000-0400-000004000000}" name="Оценка годового трафика рынка"/>
    <tableColumn id="5" xr3:uid="{00000000-0010-0000-0400-000005000000}" name="Платежеспособность / доступность"/>
    <tableColumn id="6" xr3:uid="{00000000-0010-0000-0400-000006000000}" name="Конкурентная плотность"/>
    <tableColumn id="7" xr3:uid="{00000000-0010-0000-0400-000007000000}" name="Приоритет рынка"/>
    <tableColumn id="8" xr3:uid="{00000000-0010-0000-0400-000008000000}" name="Комментарий"/>
    <tableColumn id="9" xr3:uid="{1337DBB3-2CD6-46A5-A6D0-094C450E4966}" name="Корректно (П-10): трафик до географического сужения × доля, мес." dataDxfId="2">
      <calculatedColumnFormula>B4*SUM('02_Конкуренты_SW'!$E$4:$E$23)/'01_Параметры'!$B$11</calculatedColumnFormula>
    </tableColumn>
    <tableColumn id="10" xr3:uid="{B4FC5B94-FDE6-4FD0-B178-BDFA64EF7463}" name="Корректно, год" dataDxfId="1">
      <calculatedColumnFormula>I4*12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QueriesTable" displayName="QueriesTable" ref="A3:K10">
  <tableColumns count="11">
    <tableColumn id="1" xr3:uid="{00000000-0010-0000-0500-000001000000}" name="Запрос / ключевая фраза"/>
    <tableColumn id="2" xr3:uid="{00000000-0010-0000-0500-000002000000}" name="Источник"/>
    <tableColumn id="3" xr3:uid="{00000000-0010-0000-0500-000003000000}" name="Доля поискового трафика"/>
    <tableColumn id="4" xr3:uid="{00000000-0010-0000-0500-000004000000}" name="Оценочный месячный трафик"/>
    <tableColumn id="5" xr3:uid="{00000000-0010-0000-0500-000005000000}" name="Тип намерения"/>
    <tableColumn id="6" xr3:uid="{00000000-0010-0000-0500-000006000000}" name="Коммерческий вес"/>
    <tableColumn id="7" xr3:uid="{00000000-0010-0000-0500-000007000000}" name="Индекс коммерческого интереса"/>
    <tableColumn id="8" xr3:uid="{00000000-0010-0000-0500-000008000000}" name="Сегмент"/>
    <tableColumn id="9" xr3:uid="{00000000-0010-0000-0500-000009000000}" name="Решение"/>
    <tableColumn id="10" xr3:uid="{00000000-0010-0000-0500-00000A000000}" name="Комментарий"/>
    <tableColumn id="11" xr3:uid="{DD35E0E1-2F99-41E5-A862-409AE7808D03}" name="Корректно (П-11): D × доля Organic" dataDxfId="0">
      <calculatedColumnFormula>D4*'03_Каналы'!$B$5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Table" displayName="ScenarioTable" ref="A4:J7">
  <tableColumns count="10">
    <tableColumn id="1" xr3:uid="{00000000-0010-0000-0600-000001000000}" name="Сценарий"/>
    <tableColumn id="2" xr3:uid="{00000000-0010-0000-0600-000002000000}" name="Коэффициент покрытия конкурентов"/>
    <tableColumn id="3" xr3:uid="{00000000-0010-0000-0600-000003000000}" name="Оценка рынка: посещения/мес."/>
    <tableColumn id="4" xr3:uid="{00000000-0010-0000-0600-000004000000}" name="Конверсия в заявку"/>
    <tableColumn id="5" xr3:uid="{00000000-0010-0000-0600-000005000000}" name="Конверсия заявки в продажу"/>
    <tableColumn id="6" xr3:uid="{00000000-0010-0000-0600-000006000000}" name="Средний чек"/>
    <tableColumn id="7" xr3:uid="{00000000-0010-0000-0600-000007000000}" name="Покупок/клиента в год"/>
    <tableColumn id="8" xr3:uid="{00000000-0010-0000-0600-000008000000}" name="Заказов/мес."/>
    <tableColumn id="9" xr3:uid="{00000000-0010-0000-0600-000009000000}" name="Выручка/мес."/>
    <tableColumn id="10" xr3:uid="{00000000-0010-0000-0600-00000A000000}" name="Выручка/год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omTable" displayName="SomTable" ref="A11:F14">
  <tableColumns count="6">
    <tableColumn id="1" xr3:uid="{00000000-0010-0000-0700-000001000000}" name="Сценарий"/>
    <tableColumn id="2" xr3:uid="{00000000-0010-0000-0700-000002000000}" name="Рыночная выручка/год"/>
    <tableColumn id="3" xr3:uid="{00000000-0010-0000-0700-000003000000}" name="Достижимая доля нового бизнеса"/>
    <tableColumn id="4" xr3:uid="{00000000-0010-0000-0700-000004000000}" name="Потенциальная выручка нового бизнеса/год"/>
    <tableColumn id="5" xr3:uid="{00000000-0010-0000-0700-000005000000}" name="Комментарий"/>
    <tableColumn id="6" xr3:uid="{00000000-0010-0000-0700-000006000000}" name="Ограничение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ourcesTable" displayName="SourcesTable" ref="A3:F9">
  <tableColumns count="6">
    <tableColumn id="1" xr3:uid="{00000000-0010-0000-0800-000001000000}" name="Источник"/>
    <tableColumn id="2" xr3:uid="{00000000-0010-0000-0800-000002000000}" name="Что брать"/>
    <tableColumn id="3" xr3:uid="{00000000-0010-0000-0800-000003000000}" name="Как фиксировать"/>
    <tableColumn id="4" xr3:uid="{00000000-0010-0000-0800-000004000000}" name="Ссылка"/>
    <tableColumn id="5" xr3:uid="{00000000-0010-0000-0800-000005000000}" name="Дата обращения"/>
    <tableColumn id="6" xr3:uid="{00000000-0010-0000-0800-000006000000}" name="Ограничение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ataLogTable" displayName="DataLogTable" ref="A13:F21">
  <tableColumns count="6">
    <tableColumn id="1" xr3:uid="{00000000-0010-0000-0900-000001000000}" name="Дата"/>
    <tableColumn id="2" xr3:uid="{00000000-0010-0000-0900-000002000000}" name="Сайт / домен"/>
    <tableColumn id="3" xr3:uid="{00000000-0010-0000-0900-000003000000}" name="Раздел Similarweb"/>
    <tableColumn id="4" xr3:uid="{00000000-0010-0000-0900-000004000000}" name="Показатель"/>
    <tableColumn id="5" xr3:uid="{00000000-0010-0000-0900-000005000000}" name="Значение"/>
    <tableColumn id="6" xr3:uid="{00000000-0010-0000-0900-000006000000}" name="Комментарий / снимок экран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D5EEF-DE88-46F6-9D76-97C5CED46B8B}">
  <dimension ref="A1:E17"/>
  <sheetViews>
    <sheetView tabSelected="1" workbookViewId="0"/>
  </sheetViews>
  <sheetFormatPr defaultRowHeight="13.5"/>
  <cols>
    <col min="1" max="1" width="60.5625" customWidth="1"/>
    <col min="2" max="7" width="22.5625" customWidth="1"/>
  </cols>
  <sheetData>
    <row r="1" spans="1:5">
      <c r="A1" t="s">
        <v>405</v>
      </c>
    </row>
    <row r="3" spans="1:5">
      <c r="A3" t="s">
        <v>300</v>
      </c>
      <c r="B3" t="s">
        <v>216</v>
      </c>
      <c r="C3" t="s">
        <v>217</v>
      </c>
      <c r="D3" t="s">
        <v>218</v>
      </c>
      <c r="E3" t="s">
        <v>97</v>
      </c>
    </row>
    <row r="4" spans="1:5">
      <c r="A4" t="s">
        <v>406</v>
      </c>
      <c r="B4" s="24">
        <f>SUM('02_Конкуренты_SW'!E4:E23)</f>
        <v>9005500</v>
      </c>
      <c r="C4" s="24">
        <f>SUM('02_Конкуренты_SW'!E4:E23)</f>
        <v>9005500</v>
      </c>
      <c r="D4" s="24">
        <f>SUM('02_Конкуренты_SW'!E4:E23)</f>
        <v>9005500</v>
      </c>
      <c r="E4" t="s">
        <v>407</v>
      </c>
    </row>
    <row r="5" spans="1:5">
      <c r="A5" t="s">
        <v>408</v>
      </c>
      <c r="B5" s="25">
        <f>'02_Конкуренты_SW'!F4</f>
        <v>1.9580000000000001E-3</v>
      </c>
      <c r="C5" s="25">
        <f>'02_Конкуренты_SW'!F4</f>
        <v>1.9580000000000001E-3</v>
      </c>
      <c r="D5" s="25">
        <f>'02_Конкуренты_SW'!F4</f>
        <v>1.9580000000000001E-3</v>
      </c>
    </row>
    <row r="6" spans="1:5">
      <c r="A6" t="s">
        <v>409</v>
      </c>
      <c r="B6">
        <f>B4*B5</f>
        <v>17632.769</v>
      </c>
      <c r="C6">
        <f>C4*C5</f>
        <v>17632.769</v>
      </c>
      <c r="D6">
        <f>D4*D5</f>
        <v>17632.769</v>
      </c>
    </row>
    <row r="7" spans="1:5">
      <c r="A7" t="s">
        <v>410</v>
      </c>
      <c r="B7">
        <v>0.45</v>
      </c>
      <c r="C7">
        <v>0.65</v>
      </c>
      <c r="D7">
        <v>0.85</v>
      </c>
      <c r="E7" t="s">
        <v>411</v>
      </c>
    </row>
    <row r="8" spans="1:5">
      <c r="A8" t="s">
        <v>412</v>
      </c>
      <c r="B8">
        <f>B6/B7</f>
        <v>39183.931111111109</v>
      </c>
      <c r="C8">
        <f>C6/C7</f>
        <v>27127.336923076924</v>
      </c>
      <c r="D8">
        <f>D6/D7</f>
        <v>20744.434117647059</v>
      </c>
      <c r="E8" t="s">
        <v>413</v>
      </c>
    </row>
    <row r="9" spans="1:5">
      <c r="A9" t="s">
        <v>414</v>
      </c>
      <c r="B9">
        <v>0.2</v>
      </c>
      <c r="C9">
        <v>0.35</v>
      </c>
      <c r="D9">
        <v>0.5</v>
      </c>
      <c r="E9" t="s">
        <v>415</v>
      </c>
    </row>
    <row r="10" spans="1:5">
      <c r="A10" t="s">
        <v>416</v>
      </c>
      <c r="B10">
        <f>B8*B9</f>
        <v>7836.786222222222</v>
      </c>
      <c r="C10">
        <f>C8*C9</f>
        <v>9494.5679230769219</v>
      </c>
      <c r="D10">
        <f>D8*D9</f>
        <v>10372.217058823529</v>
      </c>
    </row>
    <row r="11" spans="1:5">
      <c r="A11" t="s">
        <v>417</v>
      </c>
      <c r="B11">
        <v>3.5000000000000001E-3</v>
      </c>
      <c r="C11">
        <v>0.01</v>
      </c>
      <c r="D11">
        <v>2.2499999999999999E-2</v>
      </c>
      <c r="E11" t="s">
        <v>418</v>
      </c>
    </row>
    <row r="12" spans="1:5">
      <c r="A12" t="s">
        <v>419</v>
      </c>
      <c r="B12">
        <v>0.03</v>
      </c>
      <c r="C12">
        <v>0.04</v>
      </c>
      <c r="D12">
        <v>0.05</v>
      </c>
      <c r="E12" t="s">
        <v>420</v>
      </c>
    </row>
    <row r="13" spans="1:5">
      <c r="A13" t="s">
        <v>421</v>
      </c>
      <c r="B13">
        <v>121.14</v>
      </c>
      <c r="C13">
        <v>121.14</v>
      </c>
      <c r="D13">
        <v>290.74</v>
      </c>
      <c r="E13" t="s">
        <v>436</v>
      </c>
    </row>
    <row r="14" spans="1:5">
      <c r="A14" t="s">
        <v>422</v>
      </c>
      <c r="B14">
        <f>B10*B11*B12*B13</f>
        <v>99.681569710799991</v>
      </c>
      <c r="C14">
        <f>C10*C11*C12*C13</f>
        <v>460.06878328061532</v>
      </c>
      <c r="D14">
        <f>D10*D11*D12*D13</f>
        <v>3392.5706861426474</v>
      </c>
    </row>
    <row r="15" spans="1:5">
      <c r="A15" t="s">
        <v>423</v>
      </c>
      <c r="B15">
        <f>B14*12</f>
        <v>1196.1788365295999</v>
      </c>
      <c r="C15">
        <f>C14*12</f>
        <v>5520.8253993673843</v>
      </c>
      <c r="D15">
        <f>D14*12</f>
        <v>40710.848233711768</v>
      </c>
      <c r="E15" t="s">
        <v>424</v>
      </c>
    </row>
    <row r="16" spans="1:5">
      <c r="A16" t="s">
        <v>425</v>
      </c>
      <c r="B16">
        <v>5.0000000000000001E-3</v>
      </c>
      <c r="C16">
        <v>1.4999999999999999E-2</v>
      </c>
      <c r="D16">
        <v>3.5000000000000003E-2</v>
      </c>
      <c r="E16" t="s">
        <v>426</v>
      </c>
    </row>
    <row r="17" spans="1:4">
      <c r="A17" t="s">
        <v>427</v>
      </c>
      <c r="B17">
        <f>B15*B16</f>
        <v>5.980894182648</v>
      </c>
      <c r="C17">
        <f>C15*C16</f>
        <v>82.812380990510761</v>
      </c>
      <c r="D17">
        <f>D15*D16</f>
        <v>1424.8796881799119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DE7C-5FA1-468F-BF79-286D4C5B0382}">
  <dimension ref="A1:B20"/>
  <sheetViews>
    <sheetView workbookViewId="0"/>
  </sheetViews>
  <sheetFormatPr defaultRowHeight="13.5"/>
  <cols>
    <col min="1" max="1" width="60.5625" customWidth="1"/>
    <col min="2" max="7" width="22.5625" customWidth="1"/>
  </cols>
  <sheetData>
    <row r="1" spans="1:2">
      <c r="A1" t="s">
        <v>388</v>
      </c>
    </row>
    <row r="3" spans="1:2">
      <c r="A3" t="s">
        <v>389</v>
      </c>
      <c r="B3" s="24">
        <f>SUM('02_Конкуренты_SW'!E4:E23)</f>
        <v>9005500</v>
      </c>
    </row>
    <row r="4" spans="1:2">
      <c r="A4" t="s">
        <v>390</v>
      </c>
      <c r="B4" s="25">
        <f>'02_Конкуренты_SW'!F4</f>
        <v>1.9580000000000001E-3</v>
      </c>
    </row>
    <row r="5" spans="1:2">
      <c r="A5" t="s">
        <v>391</v>
      </c>
      <c r="B5">
        <f>B3*B4</f>
        <v>17632.769</v>
      </c>
    </row>
    <row r="6" spans="1:2">
      <c r="A6" t="s">
        <v>392</v>
      </c>
      <c r="B6">
        <f>'03_Каналы'!B5</f>
        <v>0.48469999999999996</v>
      </c>
    </row>
    <row r="7" spans="1:2">
      <c r="A7" t="s">
        <v>393</v>
      </c>
      <c r="B7">
        <f>B5*B6</f>
        <v>8546.6031342999995</v>
      </c>
    </row>
    <row r="8" spans="1:2">
      <c r="A8" t="s">
        <v>394</v>
      </c>
      <c r="B8">
        <f>'06_Воронка_сценарии'!C13</f>
        <v>1.4999999999999999E-2</v>
      </c>
    </row>
    <row r="9" spans="1:2">
      <c r="A9" t="s">
        <v>395</v>
      </c>
      <c r="B9">
        <f>B7*B8</f>
        <v>128.1990470145</v>
      </c>
    </row>
    <row r="10" spans="1:2">
      <c r="A10" t="s">
        <v>396</v>
      </c>
      <c r="B10">
        <f>'06_Воронка_сценарии'!D6</f>
        <v>1.4999999999999999E-2</v>
      </c>
    </row>
    <row r="11" spans="1:2">
      <c r="A11" t="s">
        <v>397</v>
      </c>
      <c r="B11">
        <f>'06_Воронка_сценарии'!E6</f>
        <v>0.04</v>
      </c>
    </row>
    <row r="12" spans="1:2">
      <c r="A12" t="s">
        <v>398</v>
      </c>
      <c r="B12">
        <f>'06_Воронка_сценарии'!F6</f>
        <v>121.14</v>
      </c>
    </row>
    <row r="13" spans="1:2">
      <c r="A13" t="s">
        <v>399</v>
      </c>
      <c r="B13">
        <f>'06_Воронка_сценарии'!G6</f>
        <v>1</v>
      </c>
    </row>
    <row r="14" spans="1:2">
      <c r="A14" t="s">
        <v>400</v>
      </c>
      <c r="B14">
        <f>B9*12*B10*B11*B12*B13</f>
        <v>111.81623439842301</v>
      </c>
    </row>
    <row r="15" spans="1:2">
      <c r="A15" t="s">
        <v>401</v>
      </c>
      <c r="B15">
        <f>AVERAGE('02_Конкуренты_SW'!G4:G7)*12*B10*B11*B12*B13</f>
        <v>3844.860545988</v>
      </c>
    </row>
    <row r="16" spans="1:2">
      <c r="A16" t="s">
        <v>402</v>
      </c>
      <c r="B16">
        <f>'01_Параметры'!B8</f>
        <v>4</v>
      </c>
    </row>
    <row r="17" spans="1:2">
      <c r="A17" t="s">
        <v>403</v>
      </c>
      <c r="B17">
        <f>B15*B16</f>
        <v>15379.442183952</v>
      </c>
    </row>
    <row r="20" spans="1:2">
      <c r="A20" t="s">
        <v>404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4A868-3920-4730-8E20-BAE88A902F48}">
  <dimension ref="A1:K18"/>
  <sheetViews>
    <sheetView workbookViewId="0"/>
  </sheetViews>
  <sheetFormatPr defaultRowHeight="13.5"/>
  <cols>
    <col min="1" max="1" width="60.5625" customWidth="1"/>
    <col min="2" max="7" width="22.5625" customWidth="1"/>
  </cols>
  <sheetData>
    <row r="1" spans="1:11">
      <c r="A1" t="s">
        <v>372</v>
      </c>
    </row>
    <row r="3" spans="1:11">
      <c r="A3" t="s">
        <v>132</v>
      </c>
      <c r="B3" t="s">
        <v>373</v>
      </c>
      <c r="C3" t="s">
        <v>374</v>
      </c>
      <c r="D3" t="s">
        <v>375</v>
      </c>
      <c r="E3" t="s">
        <v>376</v>
      </c>
      <c r="F3" t="s">
        <v>377</v>
      </c>
      <c r="G3" t="s">
        <v>378</v>
      </c>
      <c r="H3" t="s">
        <v>429</v>
      </c>
      <c r="I3" t="s">
        <v>430</v>
      </c>
      <c r="J3" t="s">
        <v>431</v>
      </c>
      <c r="K3" t="s">
        <v>432</v>
      </c>
    </row>
    <row r="4" spans="1:11">
      <c r="A4" t="str">
        <f>'02_Конкуренты_SW'!A4</f>
        <v>plantuml.com</v>
      </c>
      <c r="B4" s="24">
        <f>'02_Конкуренты_SW'!E4</f>
        <v>507000</v>
      </c>
      <c r="C4">
        <f>B4/SUM($B$4:$B$7)</f>
        <v>5.6298928432624511E-2</v>
      </c>
      <c r="D4">
        <f>C4^2*10000</f>
        <v>31.695693426617765</v>
      </c>
      <c r="E4" s="24">
        <f>'02_Конкуренты_SW'!G4</f>
        <v>992.70600000000002</v>
      </c>
      <c r="F4">
        <f>E4/SUM($E$4:$E$7)</f>
        <v>5.6298928432624511E-2</v>
      </c>
      <c r="G4">
        <f>F4^2*10000</f>
        <v>31.695693426617765</v>
      </c>
      <c r="H4">
        <v>0.75</v>
      </c>
      <c r="I4">
        <f>E4*H4</f>
        <v>744.52949999999998</v>
      </c>
      <c r="J4">
        <f>I4/SUM($I$4:$I$7)</f>
        <v>0.10978778692074491</v>
      </c>
      <c r="K4">
        <f>J4^2*10000</f>
        <v>120.53358156954887</v>
      </c>
    </row>
    <row r="5" spans="1:11">
      <c r="A5" t="str">
        <f>'02_Конкуренты_SW'!A5</f>
        <v>app.diagrams.net</v>
      </c>
      <c r="B5" s="24">
        <f>'02_Конкуренты_SW'!E5</f>
        <v>7800000</v>
      </c>
      <c r="C5">
        <f>B5/SUM($B$4:$B$7)</f>
        <v>0.86613736050191548</v>
      </c>
      <c r="D5">
        <f>C5^2*10000</f>
        <v>7501.939272572251</v>
      </c>
      <c r="E5" s="24">
        <f>'02_Конкуренты_SW'!G5</f>
        <v>15272.400000000001</v>
      </c>
      <c r="F5">
        <f>E5/SUM($E$4:$E$7)</f>
        <v>0.86613736050191559</v>
      </c>
      <c r="G5">
        <f>F5^2*10000</f>
        <v>7501.9392725722537</v>
      </c>
      <c r="H5">
        <v>0.35</v>
      </c>
      <c r="I5">
        <f>E5*H5</f>
        <v>5345.34</v>
      </c>
      <c r="J5">
        <f>I5/SUM($I$4:$I$7)</f>
        <v>0.78822000866175834</v>
      </c>
      <c r="K5">
        <f>J5^2*10000</f>
        <v>6212.9078205474243</v>
      </c>
    </row>
    <row r="6" spans="1:11">
      <c r="A6" t="str">
        <f>'02_Конкуренты_SW'!A6</f>
        <v>eraser.io</v>
      </c>
      <c r="B6" s="24">
        <f>'02_Конкуренты_SW'!E6</f>
        <v>678500</v>
      </c>
      <c r="C6">
        <f>B6/SUM($B$4:$B$7)</f>
        <v>7.5342846038532002E-2</v>
      </c>
      <c r="D6">
        <f>C6^2*10000</f>
        <v>56.76544449185937</v>
      </c>
      <c r="E6" s="24">
        <f>'02_Конкуренты_SW'!G6</f>
        <v>1328.5030000000002</v>
      </c>
      <c r="F6">
        <f>E6/SUM($E$4:$E$7)</f>
        <v>7.5342846038532016E-2</v>
      </c>
      <c r="G6">
        <f>F6^2*10000</f>
        <v>56.765444491859398</v>
      </c>
      <c r="H6">
        <v>0.5</v>
      </c>
      <c r="I6">
        <f>E6*H6</f>
        <v>664.25150000000008</v>
      </c>
      <c r="J6">
        <f>I6/SUM($I$4:$I$7)</f>
        <v>9.795005052692364E-2</v>
      </c>
      <c r="K6">
        <f>J6^2*10000</f>
        <v>95.942123982268939</v>
      </c>
    </row>
    <row r="7" spans="1:11">
      <c r="A7" t="str">
        <f>'02_Конкуренты_SW'!A7</f>
        <v>mermaidchart.com</v>
      </c>
      <c r="B7" s="24">
        <f>'02_Конкуренты_SW'!E7</f>
        <v>20000</v>
      </c>
      <c r="C7">
        <f>B7/SUM($B$4:$B$7)</f>
        <v>2.2208650269279883E-3</v>
      </c>
      <c r="D7">
        <f>C7^2*10000</f>
        <v>4.9322414678318535E-2</v>
      </c>
      <c r="E7" s="24">
        <f>'02_Конкуренты_SW'!G7</f>
        <v>39.160000000000004</v>
      </c>
      <c r="F7">
        <f>E7/SUM($E$4:$E$7)</f>
        <v>2.2208650269279887E-3</v>
      </c>
      <c r="G7">
        <f>F7^2*10000</f>
        <v>4.9322414678318563E-2</v>
      </c>
      <c r="H7">
        <v>0.7</v>
      </c>
      <c r="I7">
        <f>E7*H7</f>
        <v>27.412000000000003</v>
      </c>
      <c r="J7">
        <f>I7/SUM($I$4:$I$7)</f>
        <v>4.0421538905731202E-3</v>
      </c>
      <c r="K7">
        <f>J7^2*10000</f>
        <v>0.16339008075075412</v>
      </c>
    </row>
    <row r="9" spans="1:11">
      <c r="A9" t="s">
        <v>379</v>
      </c>
      <c r="B9" s="24">
        <f>SUM(B4:B7)</f>
        <v>9005500</v>
      </c>
      <c r="D9">
        <f>SUM(D4:D7)</f>
        <v>7590.4497329054066</v>
      </c>
      <c r="E9" s="24">
        <f>SUM(E4:E7)</f>
        <v>17632.769</v>
      </c>
      <c r="G9">
        <f>SUM(G4:G7)</f>
        <v>7590.4497329054093</v>
      </c>
      <c r="I9">
        <f>SUM(I4:I7)</f>
        <v>6781.5330000000004</v>
      </c>
      <c r="K9">
        <f>SUM(K4:K7)</f>
        <v>6429.5469161799929</v>
      </c>
    </row>
    <row r="11" spans="1:11">
      <c r="A11" t="s">
        <v>300</v>
      </c>
      <c r="B11" t="s">
        <v>380</v>
      </c>
      <c r="C11" t="s">
        <v>381</v>
      </c>
      <c r="D11" t="s">
        <v>433</v>
      </c>
    </row>
    <row r="12" spans="1:11">
      <c r="A12" t="s">
        <v>382</v>
      </c>
      <c r="B12">
        <f>(LARGE(C4:C7,1)+LARGE(C4:C7,2)+LARGE(C4:C7,3))*100</f>
        <v>99.777913497307196</v>
      </c>
      <c r="C12">
        <f>(LARGE(F4:F7,1)+LARGE(F4:F7,2)+LARGE(F4:F7,3))*100</f>
        <v>99.77791349730721</v>
      </c>
      <c r="D12">
        <f>(LARGE(J4:J7,1)+LARGE(J4:J7,2)+LARGE(J4:J7,3))*100</f>
        <v>99.595784610942687</v>
      </c>
    </row>
    <row r="13" spans="1:11">
      <c r="A13" t="s">
        <v>383</v>
      </c>
      <c r="B13">
        <f>SUM(C4:C7)*100</f>
        <v>100</v>
      </c>
      <c r="C13">
        <f>SUM(F4:F7)*100</f>
        <v>100.00000000000003</v>
      </c>
      <c r="D13">
        <f>SUM(J4:J7)*100</f>
        <v>100</v>
      </c>
    </row>
    <row r="14" spans="1:11">
      <c r="A14" t="s">
        <v>384</v>
      </c>
      <c r="B14">
        <f>D9</f>
        <v>7590.4497329054066</v>
      </c>
      <c r="C14">
        <f>G9</f>
        <v>7590.4497329054093</v>
      </c>
      <c r="D14">
        <f>K9</f>
        <v>6429.5469161799929</v>
      </c>
    </row>
    <row r="15" spans="1:11">
      <c r="A15" t="s">
        <v>385</v>
      </c>
      <c r="B15" t="str">
        <f>IF(B14&lt;1500,"низкая концентрация",IF(B14&lt;=2500,"умеренная","высокая"))</f>
        <v>высокая</v>
      </c>
      <c r="C15" t="str">
        <f>IF(C14&lt;1500,"низкая концентрация",IF(C14&lt;=2500,"умеренная","высокая"))</f>
        <v>высокая</v>
      </c>
      <c r="D15" t="str">
        <f>IF(D14&lt;1500,"низкая концентрация",IF(D14&lt;=2500,"умеренная","высокая"))</f>
        <v>высокая</v>
      </c>
    </row>
    <row r="16" spans="1:11">
      <c r="A16" t="s">
        <v>386</v>
      </c>
      <c r="B16" t="str">
        <f>IF(B14&gt;=B12^2/3,"выполняется","НЕ выполняется")</f>
        <v>выполняется</v>
      </c>
      <c r="C16" t="str">
        <f>IF(C14&gt;=C12^2/3,"выполняется","НЕ выполняется")</f>
        <v>выполняется</v>
      </c>
      <c r="D16" t="str">
        <f>IF(D14&gt;=D12^2/3,"выполняется","НЕ выполняется")</f>
        <v>выполняется</v>
      </c>
    </row>
    <row r="18" spans="1:1">
      <c r="A18" t="s">
        <v>387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workbookViewId="0">
      <selection sqref="A1:H1"/>
    </sheetView>
  </sheetViews>
  <sheetFormatPr defaultRowHeight="13.5"/>
  <cols>
    <col min="1" max="1" width="18" customWidth="1"/>
    <col min="2" max="2" width="24" customWidth="1"/>
    <col min="3" max="4" width="34" customWidth="1"/>
    <col min="5" max="5" width="28" customWidth="1"/>
    <col min="6" max="6" width="34" customWidth="1"/>
    <col min="7" max="7" width="24" customWidth="1"/>
    <col min="8" max="8" width="32" customWidth="1"/>
  </cols>
  <sheetData>
    <row r="1" spans="1:26" ht="30" customHeight="1">
      <c r="A1" s="26" t="s">
        <v>0</v>
      </c>
      <c r="B1" s="26"/>
      <c r="C1" s="26"/>
      <c r="D1" s="26"/>
      <c r="E1" s="26"/>
      <c r="F1" s="26"/>
      <c r="G1" s="26"/>
      <c r="H1" s="26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</row>
    <row r="4" spans="1:26" ht="27">
      <c r="A4" s="2" t="s">
        <v>9</v>
      </c>
      <c r="B4" s="2" t="s">
        <v>10</v>
      </c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</row>
    <row r="5" spans="1:26" ht="27">
      <c r="A5" s="2" t="s">
        <v>17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</row>
    <row r="6" spans="1:26" ht="27">
      <c r="A6" s="2" t="s">
        <v>25</v>
      </c>
      <c r="B6" s="2" t="s">
        <v>26</v>
      </c>
      <c r="C6" s="2" t="s">
        <v>27</v>
      </c>
      <c r="D6" s="2" t="s">
        <v>28</v>
      </c>
      <c r="E6" s="2" t="s">
        <v>29</v>
      </c>
      <c r="F6" s="2" t="s">
        <v>30</v>
      </c>
      <c r="G6" s="2" t="s">
        <v>23</v>
      </c>
      <c r="H6" s="2" t="s">
        <v>31</v>
      </c>
    </row>
    <row r="7" spans="1:26" ht="27">
      <c r="A7" s="2" t="s">
        <v>32</v>
      </c>
      <c r="B7" s="2" t="s">
        <v>33</v>
      </c>
      <c r="C7" s="2" t="s">
        <v>34</v>
      </c>
      <c r="D7" s="2" t="s">
        <v>35</v>
      </c>
      <c r="E7" s="2" t="s">
        <v>36</v>
      </c>
      <c r="F7" s="2" t="s">
        <v>37</v>
      </c>
      <c r="G7" s="2" t="s">
        <v>38</v>
      </c>
      <c r="H7" s="2" t="s">
        <v>39</v>
      </c>
    </row>
    <row r="8" spans="1:26" ht="40.5">
      <c r="A8" s="2" t="s">
        <v>40</v>
      </c>
      <c r="B8" s="2" t="s">
        <v>41</v>
      </c>
      <c r="C8" s="2" t="s">
        <v>42</v>
      </c>
      <c r="D8" s="2" t="s">
        <v>43</v>
      </c>
      <c r="E8" s="2" t="s">
        <v>44</v>
      </c>
      <c r="F8" s="2" t="s">
        <v>45</v>
      </c>
      <c r="G8" s="2" t="s">
        <v>46</v>
      </c>
      <c r="H8" s="2" t="s">
        <v>47</v>
      </c>
    </row>
    <row r="9" spans="1:26" ht="27">
      <c r="A9" s="2" t="s">
        <v>48</v>
      </c>
      <c r="B9" s="2" t="s">
        <v>49</v>
      </c>
      <c r="C9" s="2" t="s">
        <v>50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55</v>
      </c>
    </row>
    <row r="10" spans="1:26" ht="27">
      <c r="A10" s="2" t="s">
        <v>56</v>
      </c>
      <c r="B10" s="2" t="s">
        <v>57</v>
      </c>
      <c r="C10" s="2" t="s">
        <v>58</v>
      </c>
      <c r="D10" s="2" t="s">
        <v>59</v>
      </c>
      <c r="E10" s="2" t="s">
        <v>60</v>
      </c>
      <c r="F10" s="2" t="s">
        <v>61</v>
      </c>
      <c r="G10" s="2" t="s">
        <v>62</v>
      </c>
      <c r="H10" s="2" t="s">
        <v>63</v>
      </c>
    </row>
    <row r="11" spans="1:26" ht="27">
      <c r="A11" s="2" t="s">
        <v>64</v>
      </c>
      <c r="B11" s="2" t="s">
        <v>65</v>
      </c>
      <c r="C11" s="2" t="s">
        <v>66</v>
      </c>
      <c r="D11" s="2" t="s">
        <v>67</v>
      </c>
      <c r="E11" s="2" t="s">
        <v>68</v>
      </c>
      <c r="F11" s="2" t="s">
        <v>69</v>
      </c>
      <c r="G11" s="2" t="s">
        <v>70</v>
      </c>
      <c r="H11" s="2" t="s">
        <v>71</v>
      </c>
    </row>
    <row r="13" spans="1:26" ht="21.95" customHeight="1">
      <c r="A13" s="27" t="s">
        <v>72</v>
      </c>
      <c r="B13" s="27"/>
      <c r="C13" s="27"/>
      <c r="D13" s="27"/>
      <c r="E13" s="27"/>
      <c r="F13" s="27"/>
      <c r="G13" s="27"/>
      <c r="H13" s="27"/>
    </row>
    <row r="14" spans="1:26" ht="27">
      <c r="A14" s="2" t="s">
        <v>73</v>
      </c>
      <c r="B14" s="2" t="s">
        <v>74</v>
      </c>
      <c r="C14" s="2" t="s">
        <v>75</v>
      </c>
      <c r="D14" s="2" t="s">
        <v>76</v>
      </c>
      <c r="E14" s="2"/>
      <c r="F14" s="2"/>
      <c r="G14" s="2"/>
      <c r="H14" s="2"/>
    </row>
    <row r="15" spans="1:26" ht="40.5">
      <c r="A15" s="2" t="s">
        <v>77</v>
      </c>
      <c r="B15" s="2" t="s">
        <v>78</v>
      </c>
      <c r="C15" s="2" t="s">
        <v>79</v>
      </c>
      <c r="D15" s="2" t="s">
        <v>80</v>
      </c>
      <c r="E15" s="2"/>
      <c r="F15" s="2"/>
      <c r="G15" s="2"/>
      <c r="H15" s="2"/>
    </row>
    <row r="16" spans="1:26" ht="27">
      <c r="A16" s="2" t="s">
        <v>81</v>
      </c>
      <c r="B16" s="2" t="s">
        <v>82</v>
      </c>
      <c r="C16" s="2" t="s">
        <v>83</v>
      </c>
      <c r="D16" s="2" t="s">
        <v>84</v>
      </c>
      <c r="E16" s="2"/>
      <c r="F16" s="2"/>
      <c r="G16" s="2"/>
      <c r="H16" s="2"/>
    </row>
    <row r="17" spans="1:8">
      <c r="A17" s="2" t="s">
        <v>85</v>
      </c>
      <c r="B17" s="2" t="s">
        <v>86</v>
      </c>
      <c r="C17" s="2" t="s">
        <v>87</v>
      </c>
      <c r="D17" s="2" t="s">
        <v>88</v>
      </c>
      <c r="E17" s="2"/>
      <c r="F17" s="2"/>
      <c r="G17" s="2"/>
      <c r="H17" s="2"/>
    </row>
    <row r="18" spans="1:8" ht="27">
      <c r="A18" s="2" t="s">
        <v>89</v>
      </c>
      <c r="B18" s="2" t="s">
        <v>90</v>
      </c>
      <c r="C18" s="2" t="s">
        <v>91</v>
      </c>
      <c r="D18" s="2" t="s">
        <v>92</v>
      </c>
      <c r="E18" s="2"/>
      <c r="F18" s="2"/>
      <c r="G18" s="2"/>
      <c r="H18" s="2"/>
    </row>
  </sheetData>
  <mergeCells count="2">
    <mergeCell ref="A1:H1"/>
    <mergeCell ref="A13:H1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"/>
  <sheetViews>
    <sheetView workbookViewId="0"/>
  </sheetViews>
  <sheetFormatPr defaultRowHeight="13.5"/>
  <cols>
    <col min="1" max="1" width="38" customWidth="1"/>
    <col min="2" max="2" width="30" customWidth="1"/>
    <col min="3" max="3" width="18" customWidth="1"/>
    <col min="4" max="4" width="48" customWidth="1"/>
  </cols>
  <sheetData>
    <row r="1" spans="1:26" ht="30" customHeight="1">
      <c r="A1" s="26" t="s">
        <v>93</v>
      </c>
      <c r="B1" s="26"/>
      <c r="C1" s="26"/>
      <c r="D1" s="26"/>
      <c r="E1" s="26"/>
      <c r="F1" s="26"/>
      <c r="G1" s="26"/>
      <c r="H1" s="26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94</v>
      </c>
      <c r="B3" s="1" t="s">
        <v>95</v>
      </c>
      <c r="C3" s="1" t="s">
        <v>96</v>
      </c>
      <c r="D3" s="1" t="s">
        <v>97</v>
      </c>
    </row>
    <row r="4" spans="1:26">
      <c r="A4" t="s">
        <v>98</v>
      </c>
      <c r="B4" t="s">
        <v>302</v>
      </c>
      <c r="C4" t="s">
        <v>99</v>
      </c>
      <c r="D4" t="s">
        <v>100</v>
      </c>
    </row>
    <row r="5" spans="1:26">
      <c r="A5" t="s">
        <v>101</v>
      </c>
      <c r="B5" t="s">
        <v>102</v>
      </c>
      <c r="C5" t="s">
        <v>99</v>
      </c>
      <c r="D5" t="s">
        <v>103</v>
      </c>
    </row>
    <row r="6" spans="1:26">
      <c r="A6" t="s">
        <v>104</v>
      </c>
      <c r="B6" t="s">
        <v>303</v>
      </c>
      <c r="C6" t="s">
        <v>99</v>
      </c>
      <c r="D6" t="s">
        <v>105</v>
      </c>
    </row>
    <row r="7" spans="1:26">
      <c r="A7" t="s">
        <v>106</v>
      </c>
      <c r="B7" s="3">
        <v>46294.875</v>
      </c>
      <c r="C7" t="s">
        <v>107</v>
      </c>
      <c r="D7" t="s">
        <v>108</v>
      </c>
    </row>
    <row r="8" spans="1:26">
      <c r="A8" t="s">
        <v>109</v>
      </c>
      <c r="B8">
        <f>COUNT('02_Конкуренты_SW'!E4:E23)</f>
        <v>4</v>
      </c>
      <c r="C8" t="s">
        <v>110</v>
      </c>
      <c r="D8" t="s">
        <v>111</v>
      </c>
    </row>
    <row r="9" spans="1:26">
      <c r="A9" t="s">
        <v>112</v>
      </c>
      <c r="B9" s="4">
        <f>SUM('02_Конкуренты_SW'!G4:G23)</f>
        <v>17632.769</v>
      </c>
      <c r="C9" t="s">
        <v>113</v>
      </c>
      <c r="D9" t="s">
        <v>317</v>
      </c>
    </row>
    <row r="10" spans="1:26">
      <c r="A10" t="s">
        <v>114</v>
      </c>
      <c r="B10" s="4">
        <f>SUM('02_Конкуренты_SW'!H4:H23)</f>
        <v>211593.22800000003</v>
      </c>
      <c r="C10" t="s">
        <v>113</v>
      </c>
      <c r="D10" t="s">
        <v>318</v>
      </c>
    </row>
    <row r="11" spans="1:26">
      <c r="A11" t="s">
        <v>115</v>
      </c>
      <c r="B11" s="5">
        <v>0.7</v>
      </c>
      <c r="C11" t="s">
        <v>116</v>
      </c>
      <c r="D11" t="s">
        <v>304</v>
      </c>
    </row>
    <row r="12" spans="1:26">
      <c r="A12" t="s">
        <v>117</v>
      </c>
      <c r="B12" s="4">
        <f>IFERROR(B9/B11,0)</f>
        <v>25189.670000000002</v>
      </c>
      <c r="C12" t="s">
        <v>113</v>
      </c>
      <c r="D12" t="s">
        <v>118</v>
      </c>
    </row>
    <row r="13" spans="1:26">
      <c r="A13" t="s">
        <v>119</v>
      </c>
      <c r="B13" s="4">
        <f>IFERROR(B10/B11,0)</f>
        <v>302276.04000000004</v>
      </c>
      <c r="C13" t="s">
        <v>113</v>
      </c>
      <c r="D13" t="s">
        <v>118</v>
      </c>
    </row>
    <row r="15" spans="1:26" ht="21.95" customHeight="1">
      <c r="A15" s="27" t="s">
        <v>120</v>
      </c>
      <c r="B15" s="27"/>
      <c r="C15" s="27"/>
      <c r="D15" s="27"/>
      <c r="E15" s="27"/>
      <c r="F15" s="27"/>
      <c r="G15" s="27"/>
      <c r="H15" s="27"/>
    </row>
    <row r="16" spans="1:26">
      <c r="A16" t="s">
        <v>73</v>
      </c>
      <c r="B16" t="s">
        <v>121</v>
      </c>
      <c r="C16" t="s">
        <v>122</v>
      </c>
    </row>
    <row r="17" spans="1:3">
      <c r="A17" t="s">
        <v>77</v>
      </c>
      <c r="B17" t="s">
        <v>123</v>
      </c>
      <c r="C17" t="s">
        <v>124</v>
      </c>
    </row>
    <row r="18" spans="1:3">
      <c r="A18" t="s">
        <v>81</v>
      </c>
      <c r="B18" t="s">
        <v>125</v>
      </c>
      <c r="C18" t="s">
        <v>126</v>
      </c>
    </row>
    <row r="19" spans="1:3">
      <c r="A19" t="s">
        <v>85</v>
      </c>
      <c r="B19" t="s">
        <v>127</v>
      </c>
      <c r="C19" t="s">
        <v>128</v>
      </c>
    </row>
    <row r="20" spans="1:3">
      <c r="A20" t="s">
        <v>89</v>
      </c>
      <c r="B20" t="s">
        <v>129</v>
      </c>
      <c r="C20" t="s">
        <v>130</v>
      </c>
    </row>
  </sheetData>
  <mergeCells count="2">
    <mergeCell ref="A1:H1"/>
    <mergeCell ref="A15:H1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7"/>
  <sheetViews>
    <sheetView workbookViewId="0"/>
  </sheetViews>
  <sheetFormatPr defaultRowHeight="13.5"/>
  <cols>
    <col min="1" max="1" width="22" customWidth="1"/>
    <col min="2" max="2" width="26" customWidth="1"/>
    <col min="3" max="3" width="24" customWidth="1"/>
    <col min="4" max="4" width="14" customWidth="1"/>
    <col min="5" max="5" width="15" customWidth="1"/>
    <col min="6" max="6" width="16" customWidth="1"/>
    <col min="7" max="8" width="18" customWidth="1"/>
    <col min="9" max="9" width="16" customWidth="1"/>
    <col min="10" max="11" width="13" customWidth="1"/>
    <col min="12" max="12" width="14" customWidth="1"/>
    <col min="13" max="13" width="12" customWidth="1"/>
    <col min="14" max="14" width="14" customWidth="1"/>
    <col min="15" max="16" width="12" customWidth="1"/>
    <col min="17" max="17" width="13" customWidth="1"/>
    <col min="18" max="18" width="12" customWidth="1"/>
    <col min="19" max="19" width="34" customWidth="1"/>
  </cols>
  <sheetData>
    <row r="1" spans="1:26" ht="30" customHeight="1">
      <c r="A1" s="26" t="s">
        <v>131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132</v>
      </c>
      <c r="B3" s="1" t="s">
        <v>133</v>
      </c>
      <c r="C3" s="1" t="s">
        <v>134</v>
      </c>
      <c r="D3" s="1" t="s">
        <v>135</v>
      </c>
      <c r="E3" s="1" t="s">
        <v>136</v>
      </c>
      <c r="F3" s="1" t="s">
        <v>137</v>
      </c>
      <c r="G3" s="1" t="s">
        <v>138</v>
      </c>
      <c r="H3" s="1" t="s">
        <v>139</v>
      </c>
      <c r="I3" s="1" t="s">
        <v>140</v>
      </c>
      <c r="J3" s="1" t="s">
        <v>141</v>
      </c>
      <c r="K3" s="1" t="s">
        <v>142</v>
      </c>
      <c r="L3" s="1" t="s">
        <v>143</v>
      </c>
      <c r="M3" s="1" t="s">
        <v>144</v>
      </c>
      <c r="N3" s="1" t="s">
        <v>145</v>
      </c>
      <c r="O3" s="1" t="s">
        <v>146</v>
      </c>
      <c r="P3" s="1" t="s">
        <v>147</v>
      </c>
      <c r="Q3" s="1" t="s">
        <v>148</v>
      </c>
      <c r="R3" s="1" t="s">
        <v>149</v>
      </c>
      <c r="S3" s="1" t="s">
        <v>97</v>
      </c>
    </row>
    <row r="4" spans="1:26">
      <c r="A4" t="s">
        <v>305</v>
      </c>
      <c r="B4" t="s">
        <v>306</v>
      </c>
      <c r="C4" t="s">
        <v>307</v>
      </c>
      <c r="D4" t="s">
        <v>150</v>
      </c>
      <c r="E4" s="4">
        <v>507000</v>
      </c>
      <c r="F4" s="5">
        <v>1.9580000000000001E-3</v>
      </c>
      <c r="G4" s="4">
        <f t="shared" ref="G4:G23" si="0">IFERROR(E4*F4,0)</f>
        <v>992.70600000000002</v>
      </c>
      <c r="H4" s="4">
        <f t="shared" ref="H4:H23" si="1">G4*12</f>
        <v>11912.472</v>
      </c>
      <c r="I4" s="8">
        <f t="shared" ref="I4:I23" si="2">IFERROR(G4/SUM($G$4:$G$23),0)</f>
        <v>5.6298928432624511E-2</v>
      </c>
      <c r="J4" s="8">
        <v>0.45519999999999999</v>
      </c>
      <c r="K4" s="10">
        <v>3.18</v>
      </c>
      <c r="L4" s="22">
        <v>2.2685185185185187E-3</v>
      </c>
      <c r="M4" s="8"/>
      <c r="N4" s="8">
        <v>0.48470000000000002</v>
      </c>
      <c r="O4" s="8"/>
      <c r="P4" s="8"/>
      <c r="Q4" s="8"/>
      <c r="R4" s="8"/>
      <c r="S4" t="s">
        <v>308</v>
      </c>
    </row>
    <row r="5" spans="1:26">
      <c r="A5" t="s">
        <v>309</v>
      </c>
      <c r="B5" t="s">
        <v>310</v>
      </c>
      <c r="C5" t="s">
        <v>311</v>
      </c>
      <c r="D5" t="s">
        <v>151</v>
      </c>
      <c r="E5" s="4">
        <v>7800000</v>
      </c>
      <c r="F5" s="5">
        <v>1.9580000000000001E-3</v>
      </c>
      <c r="G5" s="4">
        <f t="shared" si="0"/>
        <v>15272.400000000001</v>
      </c>
      <c r="H5" s="4">
        <f t="shared" si="1"/>
        <v>183268.80000000002</v>
      </c>
      <c r="I5" s="8">
        <f t="shared" si="2"/>
        <v>0.86613736050191559</v>
      </c>
      <c r="J5" s="8"/>
      <c r="K5" s="10"/>
      <c r="M5" s="8"/>
      <c r="N5" s="8"/>
      <c r="O5" s="8"/>
      <c r="P5" s="8"/>
      <c r="Q5" s="8"/>
      <c r="R5" s="8"/>
      <c r="S5" t="s">
        <v>439</v>
      </c>
    </row>
    <row r="6" spans="1:26">
      <c r="A6" t="s">
        <v>312</v>
      </c>
      <c r="B6" t="s">
        <v>313</v>
      </c>
      <c r="C6" t="s">
        <v>307</v>
      </c>
      <c r="D6" t="s">
        <v>150</v>
      </c>
      <c r="E6" s="4">
        <v>678500</v>
      </c>
      <c r="F6" s="5">
        <v>1.9580000000000001E-3</v>
      </c>
      <c r="G6" s="4">
        <f t="shared" si="0"/>
        <v>1328.5030000000002</v>
      </c>
      <c r="H6" s="4">
        <f t="shared" si="1"/>
        <v>15942.036000000002</v>
      </c>
      <c r="I6" s="8">
        <f t="shared" si="2"/>
        <v>7.5342846038532016E-2</v>
      </c>
      <c r="J6" s="8"/>
      <c r="K6" s="10"/>
      <c r="M6" s="8"/>
      <c r="N6" s="8"/>
      <c r="O6" s="8"/>
      <c r="P6" s="8"/>
      <c r="Q6" s="8"/>
      <c r="R6" s="8"/>
      <c r="S6" t="s">
        <v>434</v>
      </c>
    </row>
    <row r="7" spans="1:26">
      <c r="A7" t="s">
        <v>314</v>
      </c>
      <c r="B7" t="s">
        <v>315</v>
      </c>
      <c r="C7" t="s">
        <v>307</v>
      </c>
      <c r="D7" t="s">
        <v>150</v>
      </c>
      <c r="E7" s="4">
        <v>20000</v>
      </c>
      <c r="F7" s="5">
        <v>1.9580000000000001E-3</v>
      </c>
      <c r="G7" s="4">
        <f t="shared" si="0"/>
        <v>39.160000000000004</v>
      </c>
      <c r="H7" s="4">
        <f t="shared" si="1"/>
        <v>469.92000000000007</v>
      </c>
      <c r="I7" s="8">
        <f t="shared" si="2"/>
        <v>2.2208650269279887E-3</v>
      </c>
      <c r="J7" s="8"/>
      <c r="K7" s="10"/>
      <c r="M7" s="8"/>
      <c r="N7" s="8"/>
      <c r="O7" s="8"/>
      <c r="P7" s="8"/>
      <c r="Q7" s="8"/>
      <c r="R7" s="8"/>
      <c r="S7" t="s">
        <v>435</v>
      </c>
    </row>
    <row r="8" spans="1:26">
      <c r="E8" s="4"/>
      <c r="F8" s="5"/>
      <c r="G8" s="4">
        <f t="shared" si="0"/>
        <v>0</v>
      </c>
      <c r="H8" s="4">
        <f t="shared" si="1"/>
        <v>0</v>
      </c>
      <c r="I8" s="8">
        <f t="shared" si="2"/>
        <v>0</v>
      </c>
      <c r="J8" s="8"/>
      <c r="K8" s="10"/>
      <c r="M8" s="8"/>
      <c r="N8" s="8"/>
      <c r="O8" s="8"/>
      <c r="P8" s="8"/>
      <c r="Q8" s="8"/>
      <c r="R8" s="8"/>
    </row>
    <row r="9" spans="1:26">
      <c r="E9" s="4"/>
      <c r="F9" s="5"/>
      <c r="G9" s="4">
        <f t="shared" si="0"/>
        <v>0</v>
      </c>
      <c r="H9" s="4">
        <f t="shared" si="1"/>
        <v>0</v>
      </c>
      <c r="I9" s="8">
        <f t="shared" si="2"/>
        <v>0</v>
      </c>
      <c r="J9" s="8"/>
      <c r="K9" s="10"/>
      <c r="M9" s="8"/>
      <c r="N9" s="8"/>
      <c r="O9" s="8"/>
      <c r="P9" s="8"/>
      <c r="Q9" s="8"/>
      <c r="R9" s="8"/>
    </row>
    <row r="10" spans="1:26">
      <c r="E10" s="4"/>
      <c r="F10" s="5"/>
      <c r="G10" s="4">
        <f t="shared" si="0"/>
        <v>0</v>
      </c>
      <c r="H10" s="4">
        <f t="shared" si="1"/>
        <v>0</v>
      </c>
      <c r="I10" s="8">
        <f t="shared" si="2"/>
        <v>0</v>
      </c>
      <c r="J10" s="8"/>
      <c r="K10" s="10"/>
      <c r="M10" s="8"/>
      <c r="N10" s="8"/>
      <c r="O10" s="8"/>
      <c r="P10" s="8"/>
      <c r="Q10" s="8"/>
      <c r="R10" s="8"/>
    </row>
    <row r="11" spans="1:26">
      <c r="E11" s="4"/>
      <c r="F11" s="5"/>
      <c r="G11" s="4">
        <f t="shared" si="0"/>
        <v>0</v>
      </c>
      <c r="H11" s="4">
        <f t="shared" si="1"/>
        <v>0</v>
      </c>
      <c r="I11" s="8">
        <f t="shared" si="2"/>
        <v>0</v>
      </c>
      <c r="J11" s="8"/>
      <c r="K11" s="10"/>
      <c r="M11" s="8"/>
      <c r="N11" s="8"/>
      <c r="O11" s="8"/>
      <c r="P11" s="8"/>
      <c r="Q11" s="8"/>
      <c r="R11" s="8"/>
    </row>
    <row r="12" spans="1:26">
      <c r="E12" s="4"/>
      <c r="F12" s="5"/>
      <c r="G12" s="4">
        <f t="shared" si="0"/>
        <v>0</v>
      </c>
      <c r="H12" s="4">
        <f t="shared" si="1"/>
        <v>0</v>
      </c>
      <c r="I12" s="8">
        <f t="shared" si="2"/>
        <v>0</v>
      </c>
      <c r="J12" s="8"/>
      <c r="K12" s="10"/>
      <c r="M12" s="8"/>
      <c r="N12" s="8"/>
      <c r="O12" s="8"/>
      <c r="P12" s="8"/>
      <c r="Q12" s="8"/>
      <c r="R12" s="8"/>
    </row>
    <row r="13" spans="1:26">
      <c r="E13" s="4"/>
      <c r="F13" s="5"/>
      <c r="G13" s="4">
        <f t="shared" si="0"/>
        <v>0</v>
      </c>
      <c r="H13" s="4">
        <f t="shared" si="1"/>
        <v>0</v>
      </c>
      <c r="I13" s="8">
        <f t="shared" si="2"/>
        <v>0</v>
      </c>
      <c r="J13" s="8"/>
      <c r="K13" s="10"/>
      <c r="M13" s="8"/>
      <c r="N13" s="8"/>
      <c r="O13" s="8"/>
      <c r="P13" s="8"/>
      <c r="Q13" s="8"/>
      <c r="R13" s="8"/>
    </row>
    <row r="14" spans="1:26">
      <c r="E14" s="4"/>
      <c r="F14" s="5"/>
      <c r="G14" s="4">
        <f t="shared" si="0"/>
        <v>0</v>
      </c>
      <c r="H14" s="4">
        <f t="shared" si="1"/>
        <v>0</v>
      </c>
      <c r="I14" s="8">
        <f t="shared" si="2"/>
        <v>0</v>
      </c>
      <c r="J14" s="8"/>
      <c r="K14" s="10"/>
      <c r="M14" s="8"/>
      <c r="N14" s="8"/>
      <c r="O14" s="8"/>
      <c r="P14" s="8"/>
      <c r="Q14" s="8"/>
      <c r="R14" s="8"/>
    </row>
    <row r="15" spans="1:26">
      <c r="E15" s="4"/>
      <c r="F15" s="5"/>
      <c r="G15" s="4">
        <f t="shared" si="0"/>
        <v>0</v>
      </c>
      <c r="H15" s="4">
        <f t="shared" si="1"/>
        <v>0</v>
      </c>
      <c r="I15" s="8">
        <f t="shared" si="2"/>
        <v>0</v>
      </c>
      <c r="J15" s="8"/>
      <c r="K15" s="10"/>
      <c r="M15" s="8"/>
      <c r="N15" s="8"/>
      <c r="O15" s="8"/>
      <c r="P15" s="8"/>
      <c r="Q15" s="8"/>
      <c r="R15" s="8"/>
    </row>
    <row r="16" spans="1:26">
      <c r="E16" s="4"/>
      <c r="F16" s="5"/>
      <c r="G16" s="4">
        <f t="shared" si="0"/>
        <v>0</v>
      </c>
      <c r="H16" s="4">
        <f t="shared" si="1"/>
        <v>0</v>
      </c>
      <c r="I16" s="8">
        <f t="shared" si="2"/>
        <v>0</v>
      </c>
      <c r="J16" s="8"/>
      <c r="K16" s="10"/>
      <c r="M16" s="8"/>
      <c r="N16" s="8"/>
      <c r="O16" s="8"/>
      <c r="P16" s="8"/>
      <c r="Q16" s="8"/>
      <c r="R16" s="8"/>
    </row>
    <row r="17" spans="1:19">
      <c r="E17" s="4"/>
      <c r="F17" s="5"/>
      <c r="G17" s="4">
        <f t="shared" si="0"/>
        <v>0</v>
      </c>
      <c r="H17" s="4">
        <f t="shared" si="1"/>
        <v>0</v>
      </c>
      <c r="I17" s="8">
        <f t="shared" si="2"/>
        <v>0</v>
      </c>
      <c r="J17" s="8"/>
      <c r="K17" s="10"/>
      <c r="M17" s="8"/>
      <c r="N17" s="8"/>
      <c r="O17" s="8"/>
      <c r="P17" s="8"/>
      <c r="Q17" s="8"/>
      <c r="R17" s="8"/>
    </row>
    <row r="18" spans="1:19">
      <c r="E18" s="4"/>
      <c r="F18" s="5"/>
      <c r="G18" s="4">
        <f t="shared" si="0"/>
        <v>0</v>
      </c>
      <c r="H18" s="4">
        <f t="shared" si="1"/>
        <v>0</v>
      </c>
      <c r="I18" s="8">
        <f t="shared" si="2"/>
        <v>0</v>
      </c>
      <c r="J18" s="8"/>
      <c r="K18" s="10"/>
      <c r="M18" s="8"/>
      <c r="N18" s="8"/>
      <c r="O18" s="8"/>
      <c r="P18" s="8"/>
      <c r="Q18" s="8"/>
      <c r="R18" s="8"/>
    </row>
    <row r="19" spans="1:19">
      <c r="E19" s="4"/>
      <c r="F19" s="5"/>
      <c r="G19" s="4">
        <f t="shared" si="0"/>
        <v>0</v>
      </c>
      <c r="H19" s="4">
        <f t="shared" si="1"/>
        <v>0</v>
      </c>
      <c r="I19" s="8">
        <f t="shared" si="2"/>
        <v>0</v>
      </c>
      <c r="J19" s="8"/>
      <c r="K19" s="10"/>
      <c r="M19" s="8"/>
      <c r="N19" s="8"/>
      <c r="O19" s="8"/>
      <c r="P19" s="8"/>
      <c r="Q19" s="8"/>
      <c r="R19" s="8"/>
    </row>
    <row r="20" spans="1:19">
      <c r="E20" s="4"/>
      <c r="F20" s="5"/>
      <c r="G20" s="4">
        <f t="shared" si="0"/>
        <v>0</v>
      </c>
      <c r="H20" s="4">
        <f t="shared" si="1"/>
        <v>0</v>
      </c>
      <c r="I20" s="8">
        <f t="shared" si="2"/>
        <v>0</v>
      </c>
      <c r="J20" s="8"/>
      <c r="K20" s="10"/>
      <c r="M20" s="8"/>
      <c r="N20" s="8"/>
      <c r="O20" s="8"/>
      <c r="P20" s="8"/>
      <c r="Q20" s="8"/>
      <c r="R20" s="8"/>
    </row>
    <row r="21" spans="1:19">
      <c r="E21" s="4"/>
      <c r="F21" s="5"/>
      <c r="G21" s="4">
        <f t="shared" si="0"/>
        <v>0</v>
      </c>
      <c r="H21" s="4">
        <f t="shared" si="1"/>
        <v>0</v>
      </c>
      <c r="I21" s="8">
        <f t="shared" si="2"/>
        <v>0</v>
      </c>
      <c r="J21" s="8"/>
      <c r="K21" s="10"/>
      <c r="M21" s="8"/>
      <c r="N21" s="8"/>
      <c r="O21" s="8"/>
      <c r="P21" s="8"/>
      <c r="Q21" s="8"/>
      <c r="R21" s="8"/>
    </row>
    <row r="22" spans="1:19">
      <c r="E22" s="4"/>
      <c r="F22" s="5"/>
      <c r="G22" s="4">
        <f t="shared" si="0"/>
        <v>0</v>
      </c>
      <c r="H22" s="4">
        <f t="shared" si="1"/>
        <v>0</v>
      </c>
      <c r="I22" s="8">
        <f t="shared" si="2"/>
        <v>0</v>
      </c>
      <c r="J22" s="8"/>
      <c r="K22" s="10"/>
      <c r="M22" s="8"/>
      <c r="N22" s="8"/>
      <c r="O22" s="8"/>
      <c r="P22" s="8"/>
      <c r="Q22" s="8"/>
      <c r="R22" s="8"/>
    </row>
    <row r="23" spans="1:19">
      <c r="E23" s="4"/>
      <c r="F23" s="5"/>
      <c r="G23" s="4">
        <f t="shared" si="0"/>
        <v>0</v>
      </c>
      <c r="H23" s="4">
        <f t="shared" si="1"/>
        <v>0</v>
      </c>
      <c r="I23" s="8">
        <f t="shared" si="2"/>
        <v>0</v>
      </c>
      <c r="J23" s="8"/>
      <c r="K23" s="10"/>
      <c r="M23" s="8"/>
      <c r="N23" s="8"/>
      <c r="O23" s="8"/>
      <c r="P23" s="8"/>
      <c r="Q23" s="8"/>
      <c r="R23" s="8"/>
    </row>
    <row r="24" spans="1:19">
      <c r="E24" s="4"/>
      <c r="G24" s="4"/>
      <c r="H24" s="4"/>
      <c r="I24" s="8"/>
      <c r="J24" s="8"/>
      <c r="K24" s="10"/>
      <c r="M24" s="8"/>
      <c r="N24" s="8"/>
      <c r="O24" s="8"/>
      <c r="P24" s="8"/>
      <c r="Q24" s="8"/>
      <c r="R24" s="8"/>
    </row>
    <row r="25" spans="1:19" ht="13.9">
      <c r="A25" s="6" t="s">
        <v>152</v>
      </c>
      <c r="B25" s="6"/>
      <c r="C25" s="6"/>
      <c r="D25" s="6"/>
      <c r="E25" s="7">
        <f>SUM(E4:E23)</f>
        <v>9005500</v>
      </c>
      <c r="F25" s="6"/>
      <c r="G25" s="7">
        <f>SUM(G4:G23)</f>
        <v>17632.769</v>
      </c>
      <c r="H25" s="7">
        <f>SUM(H4:H23)</f>
        <v>211593.22800000003</v>
      </c>
      <c r="I25" s="9">
        <f>SUM(I4:I23)</f>
        <v>1.0000000000000002</v>
      </c>
      <c r="J25" s="9">
        <f>AVERAGE(J4:J23)</f>
        <v>0.45519999999999999</v>
      </c>
      <c r="K25" s="11">
        <f>AVERAGE(K4:K23)</f>
        <v>3.18</v>
      </c>
      <c r="L25" s="6"/>
      <c r="M25" s="9">
        <f>IFERROR(SUMPRODUCT($G$4:$G$23,M4:M23)/SUMIF(M4:M23,"&gt;0",$G$4:$G$23),0)</f>
        <v>0</v>
      </c>
      <c r="N25" s="9">
        <f>IFERROR(SUMPRODUCT($G$4:$G$23,N4:N23)/SUMIF(N4:N23,"&gt;0",$G$4:$G$23),0)</f>
        <v>0.48469999999999996</v>
      </c>
      <c r="O25" s="9">
        <f>IFERROR(SUMPRODUCT($G$4:$G$23,O4:O23)/SUMIF(O4:O23,"&gt;0",$G$4:$G$23),0)</f>
        <v>0</v>
      </c>
      <c r="P25" s="9">
        <f>IFERROR(SUMPRODUCT($G$4:$G$23,P4:P23)/SUMIF(P4:P23,"&gt;0",$G$4:$G$23),0)</f>
        <v>0</v>
      </c>
      <c r="Q25" s="9">
        <f>IFERROR(SUMPRODUCT($G$4:$G$23,Q4:Q23)/SUMIF(Q4:Q23,"&gt;0",$G$4:$G$23),0)</f>
        <v>0</v>
      </c>
      <c r="R25" s="9">
        <f>IFERROR(SUMPRODUCT($G$4:$G$23,R4:R23)/SUMIF(R4:R23,"&gt;0",$G$4:$G$23),0)</f>
        <v>0</v>
      </c>
      <c r="S25" s="6"/>
    </row>
    <row r="27" spans="1:19">
      <c r="A27" t="s">
        <v>316</v>
      </c>
    </row>
  </sheetData>
  <mergeCells count="1">
    <mergeCell ref="A1:S1"/>
  </mergeCells>
  <conditionalFormatting sqref="G4:G2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{EB80DA47-65D5-0FD9-4F60-F086E4E88A3E}</x14:id>
        </ext>
      </extLst>
    </cfRule>
  </conditionalFormatting>
  <conditionalFormatting sqref="I4:I23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{CB69B622-0734-D549-5FB7-D119D9835D3D}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80DA47-65D5-0FD9-4F60-F086E4E88A3E}">
            <x14:dataBar>
              <x14:cfvo type="min"/>
              <x14:cfvo type="max"/>
              <x14:negativeFillColor auto="1"/>
              <x14:axisColor auto="1"/>
            </x14:dataBar>
          </x14:cfRule>
          <xm:sqref>G4:G23</xm:sqref>
        </x14:conditionalFormatting>
        <x14:conditionalFormatting xmlns:xm="http://schemas.microsoft.com/office/excel/2006/main">
          <x14:cfRule type="dataBar" id="{CB69B622-0734-D549-5FB7-D119D9835D3D}">
            <x14:dataBar>
              <x14:cfvo type="min"/>
              <x14:cfvo type="max"/>
              <x14:negativeFillColor auto="1"/>
              <x14:axisColor auto="1"/>
            </x14:dataBar>
          </x14:cfRule>
          <xm:sqref>I4:I23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"/>
  <sheetViews>
    <sheetView workbookViewId="0"/>
  </sheetViews>
  <sheetFormatPr defaultRowHeight="13.5"/>
  <cols>
    <col min="1" max="2" width="18" customWidth="1"/>
    <col min="3" max="4" width="24" customWidth="1"/>
    <col min="5" max="5" width="38" customWidth="1"/>
    <col min="6" max="7" width="34" customWidth="1"/>
    <col min="8" max="8" width="14" customWidth="1"/>
  </cols>
  <sheetData>
    <row r="1" spans="1:26" ht="30" customHeight="1">
      <c r="A1" s="26" t="s">
        <v>153</v>
      </c>
      <c r="B1" s="26"/>
      <c r="C1" s="26"/>
      <c r="D1" s="26"/>
      <c r="E1" s="26"/>
      <c r="F1" s="26"/>
      <c r="G1" s="26"/>
      <c r="H1" s="26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154</v>
      </c>
      <c r="B3" s="1" t="s">
        <v>155</v>
      </c>
      <c r="C3" s="1" t="s">
        <v>156</v>
      </c>
      <c r="D3" s="1" t="s">
        <v>157</v>
      </c>
      <c r="E3" s="1" t="s">
        <v>158</v>
      </c>
      <c r="F3" s="1" t="s">
        <v>159</v>
      </c>
      <c r="G3" s="1" t="s">
        <v>160</v>
      </c>
      <c r="H3" s="1" t="s">
        <v>161</v>
      </c>
    </row>
    <row r="4" spans="1:26">
      <c r="A4" t="s">
        <v>144</v>
      </c>
      <c r="B4" s="8">
        <f>'02_Конкуренты_SW'!M25</f>
        <v>0</v>
      </c>
      <c r="C4" s="4">
        <f>B4*'01_Параметры'!$B$12</f>
        <v>0</v>
      </c>
      <c r="D4" s="4">
        <f t="shared" ref="D4:D9" si="0">C4*12</f>
        <v>0</v>
      </c>
      <c r="E4" t="s">
        <v>162</v>
      </c>
      <c r="F4" t="s">
        <v>163</v>
      </c>
      <c r="G4" t="s">
        <v>164</v>
      </c>
      <c r="H4" t="s">
        <v>428</v>
      </c>
    </row>
    <row r="5" spans="1:26">
      <c r="A5" t="s">
        <v>145</v>
      </c>
      <c r="B5" s="8">
        <f>'02_Конкуренты_SW'!N25</f>
        <v>0.48469999999999996</v>
      </c>
      <c r="C5" s="4">
        <f>B5*'01_Параметры'!$B$12</f>
        <v>12209.433048999999</v>
      </c>
      <c r="D5" s="4">
        <f t="shared" si="0"/>
        <v>146513.19658799999</v>
      </c>
      <c r="E5" t="s">
        <v>165</v>
      </c>
      <c r="F5" t="s">
        <v>166</v>
      </c>
      <c r="G5" t="s">
        <v>167</v>
      </c>
      <c r="H5" t="str">
        <f t="shared" ref="H5" si="1">IF(B5&gt;=0.3,"высокий",IF(B5&gt;=0.15,"средний","низкий"))</f>
        <v>высокий</v>
      </c>
    </row>
    <row r="6" spans="1:26">
      <c r="A6" t="s">
        <v>146</v>
      </c>
      <c r="B6" s="8">
        <f>'02_Конкуренты_SW'!O25</f>
        <v>0</v>
      </c>
      <c r="C6" s="4">
        <f>B6*'01_Параметры'!$B$12</f>
        <v>0</v>
      </c>
      <c r="D6" s="4">
        <f t="shared" si="0"/>
        <v>0</v>
      </c>
      <c r="E6" t="s">
        <v>168</v>
      </c>
      <c r="F6" t="s">
        <v>169</v>
      </c>
      <c r="G6" t="s">
        <v>170</v>
      </c>
      <c r="H6" t="s">
        <v>428</v>
      </c>
    </row>
    <row r="7" spans="1:26">
      <c r="A7" t="s">
        <v>147</v>
      </c>
      <c r="B7" s="8">
        <f>'02_Конкуренты_SW'!P25</f>
        <v>0</v>
      </c>
      <c r="C7" s="4">
        <f>B7*'01_Параметры'!$B$12</f>
        <v>0</v>
      </c>
      <c r="D7" s="4">
        <f t="shared" si="0"/>
        <v>0</v>
      </c>
      <c r="E7" t="s">
        <v>171</v>
      </c>
      <c r="F7" t="s">
        <v>172</v>
      </c>
      <c r="G7" t="s">
        <v>173</v>
      </c>
      <c r="H7" t="s">
        <v>428</v>
      </c>
    </row>
    <row r="8" spans="1:26">
      <c r="A8" t="s">
        <v>148</v>
      </c>
      <c r="B8" s="8">
        <f>'02_Конкуренты_SW'!Q25</f>
        <v>0</v>
      </c>
      <c r="C8" s="4">
        <f>B8*'01_Параметры'!$B$12</f>
        <v>0</v>
      </c>
      <c r="D8" s="4">
        <f t="shared" si="0"/>
        <v>0</v>
      </c>
      <c r="E8" t="s">
        <v>174</v>
      </c>
      <c r="F8" t="s">
        <v>175</v>
      </c>
      <c r="G8" t="s">
        <v>176</v>
      </c>
      <c r="H8" t="s">
        <v>428</v>
      </c>
    </row>
    <row r="9" spans="1:26">
      <c r="A9" t="s">
        <v>149</v>
      </c>
      <c r="B9" s="8">
        <f>'02_Конкуренты_SW'!R25</f>
        <v>0</v>
      </c>
      <c r="C9" s="4">
        <f>B9*'01_Параметры'!$B$12</f>
        <v>0</v>
      </c>
      <c r="D9" s="4">
        <f t="shared" si="0"/>
        <v>0</v>
      </c>
      <c r="E9" t="s">
        <v>177</v>
      </c>
      <c r="F9" t="s">
        <v>178</v>
      </c>
      <c r="G9" t="s">
        <v>179</v>
      </c>
      <c r="H9" t="s">
        <v>428</v>
      </c>
    </row>
    <row r="11" spans="1:26">
      <c r="A11" t="s">
        <v>319</v>
      </c>
    </row>
  </sheetData>
  <mergeCells count="1">
    <mergeCell ref="A1:H1"/>
  </mergeCells>
  <conditionalFormatting sqref="B4:B9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{A25272C7-95F9-2CA7-00A0-2CD1C1E906FA}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5272C7-95F9-2CA7-00A0-2CD1C1E906FA}">
            <x14:dataBar>
              <x14:cfvo type="min"/>
              <x14:cfvo type="max"/>
              <x14:negativeFillColor auto="1"/>
              <x14:axisColor auto="1"/>
            </x14:dataBar>
          </x14:cfRule>
          <xm:sqref>B4:B9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"/>
  <sheetViews>
    <sheetView workbookViewId="0"/>
  </sheetViews>
  <sheetFormatPr defaultRowHeight="13.5"/>
  <cols>
    <col min="1" max="1" width="28" customWidth="1"/>
    <col min="2" max="2" width="22" customWidth="1"/>
    <col min="3" max="4" width="26" customWidth="1"/>
    <col min="5" max="5" width="28" customWidth="1"/>
    <col min="6" max="6" width="22" customWidth="1"/>
    <col min="7" max="7" width="18" customWidth="1"/>
    <col min="8" max="8" width="42" customWidth="1"/>
  </cols>
  <sheetData>
    <row r="1" spans="1:26" ht="30" customHeight="1">
      <c r="A1" s="26" t="s">
        <v>180</v>
      </c>
      <c r="B1" s="26"/>
      <c r="C1" s="26"/>
      <c r="D1" s="26"/>
      <c r="E1" s="26"/>
      <c r="F1" s="26"/>
      <c r="G1" s="26"/>
      <c r="H1" s="26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181</v>
      </c>
      <c r="B3" s="1" t="s">
        <v>182</v>
      </c>
      <c r="C3" s="1" t="s">
        <v>183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97</v>
      </c>
      <c r="I3" t="s">
        <v>326</v>
      </c>
      <c r="J3" t="s">
        <v>327</v>
      </c>
    </row>
    <row r="4" spans="1:26">
      <c r="A4" t="s">
        <v>102</v>
      </c>
      <c r="B4" s="8">
        <v>1.9580000000000001E-3</v>
      </c>
      <c r="C4" s="4">
        <f>B4*'01_Параметры'!$B$12</f>
        <v>49.321373860000008</v>
      </c>
      <c r="D4" s="4">
        <f>C4*12</f>
        <v>591.85648632000016</v>
      </c>
      <c r="E4" t="s">
        <v>188</v>
      </c>
      <c r="F4" t="s">
        <v>188</v>
      </c>
      <c r="G4" t="str">
        <f>IF(B4&gt;=0.35,"высокий",IF(B4&gt;=0.15,"средний","низкий"))</f>
        <v>низкий</v>
      </c>
      <c r="H4" t="s">
        <v>320</v>
      </c>
      <c r="I4">
        <f>B4*SUM('02_Конкуренты_SW'!$E$4:$E$23)/'01_Параметры'!$B$11</f>
        <v>25189.670000000002</v>
      </c>
      <c r="J4">
        <f>I4*12</f>
        <v>302276.04000000004</v>
      </c>
    </row>
    <row r="5" spans="1:26">
      <c r="A5" t="s">
        <v>321</v>
      </c>
      <c r="B5" s="8">
        <v>1.428E-3</v>
      </c>
      <c r="C5" s="4">
        <f>B5*'01_Параметры'!$B$12</f>
        <v>35.970848760000003</v>
      </c>
      <c r="D5" s="4">
        <f>C5*12</f>
        <v>431.65018512000006</v>
      </c>
      <c r="E5" t="s">
        <v>189</v>
      </c>
      <c r="F5" t="s">
        <v>190</v>
      </c>
      <c r="G5" t="str">
        <f>IF(B5&gt;=0.35,"высокий",IF(B5&gt;=0.15,"средний","низкий"))</f>
        <v>низкий</v>
      </c>
      <c r="H5" t="s">
        <v>437</v>
      </c>
      <c r="I5">
        <f>B5*SUM('02_Конкуренты_SW'!$E$4:$E$23)/'01_Параметры'!$B$11</f>
        <v>18371.22</v>
      </c>
      <c r="J5">
        <f>I5*12</f>
        <v>220454.64</v>
      </c>
    </row>
    <row r="6" spans="1:26">
      <c r="A6" t="s">
        <v>322</v>
      </c>
      <c r="B6" s="8">
        <v>5.2999999999999998E-4</v>
      </c>
      <c r="C6" s="4">
        <f>B6*'01_Параметры'!$B$12</f>
        <v>13.3505251</v>
      </c>
      <c r="D6" s="4">
        <f>C6*12</f>
        <v>160.20630120000001</v>
      </c>
      <c r="E6" t="s">
        <v>188</v>
      </c>
      <c r="F6" t="s">
        <v>188</v>
      </c>
      <c r="G6" t="str">
        <f>IF(B6&gt;=0.35,"высокий",IF(B6&gt;=0.15,"средний","низкий"))</f>
        <v>низкий</v>
      </c>
      <c r="H6" t="s">
        <v>323</v>
      </c>
      <c r="I6">
        <f>B6*SUM('02_Конкуренты_SW'!$E$4:$E$23)/'01_Параметры'!$B$11</f>
        <v>6818.4500000000007</v>
      </c>
      <c r="J6">
        <f>I6*12</f>
        <v>81821.400000000009</v>
      </c>
    </row>
    <row r="7" spans="1:26">
      <c r="A7" t="s">
        <v>324</v>
      </c>
      <c r="B7" s="8">
        <v>9.0700000000000003E-2</v>
      </c>
      <c r="C7" s="4">
        <f>B7*'01_Параметры'!$B$12</f>
        <v>2284.7030690000001</v>
      </c>
      <c r="D7" s="4">
        <f>C7*12</f>
        <v>27416.436828000002</v>
      </c>
      <c r="E7" t="s">
        <v>191</v>
      </c>
      <c r="F7" t="s">
        <v>190</v>
      </c>
      <c r="G7" t="str">
        <f>IF(B7&gt;=0.35,"высокий",IF(B7&gt;=0.15,"средний","низкий"))</f>
        <v>низкий</v>
      </c>
      <c r="H7" t="s">
        <v>325</v>
      </c>
      <c r="I7">
        <f>B7*SUM('02_Конкуренты_SW'!$E$4:$E$23)/'01_Параметры'!$B$11</f>
        <v>1166855.5</v>
      </c>
      <c r="J7">
        <f>I7*12</f>
        <v>14002266</v>
      </c>
    </row>
    <row r="9" spans="1:26">
      <c r="A9" t="s">
        <v>328</v>
      </c>
    </row>
  </sheetData>
  <mergeCells count="1">
    <mergeCell ref="A1:H1"/>
  </mergeCells>
  <phoneticPr fontId="7" type="noConversion"/>
  <conditionalFormatting sqref="B4:B7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{03081BB8-B402-1447-119C-38DF0B9C73D3}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081BB8-B402-1447-119C-38DF0B9C73D3}">
            <x14:dataBar>
              <x14:cfvo type="min"/>
              <x14:cfvo type="max"/>
              <x14:negativeFillColor auto="1"/>
              <x14:axisColor auto="1"/>
            </x14:dataBar>
          </x14:cfRule>
          <xm:sqref>B4:B7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2"/>
  <sheetViews>
    <sheetView workbookViewId="0"/>
  </sheetViews>
  <sheetFormatPr defaultRowHeight="13.5"/>
  <cols>
    <col min="1" max="1" width="28" customWidth="1"/>
    <col min="2" max="2" width="24" customWidth="1"/>
    <col min="3" max="3" width="20" customWidth="1"/>
    <col min="4" max="4" width="24" customWidth="1"/>
    <col min="5" max="6" width="18" customWidth="1"/>
    <col min="7" max="7" width="28" customWidth="1"/>
    <col min="8" max="9" width="18" customWidth="1"/>
    <col min="10" max="10" width="42" customWidth="1"/>
  </cols>
  <sheetData>
    <row r="1" spans="1:26" ht="30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193</v>
      </c>
      <c r="B3" s="1" t="s">
        <v>194</v>
      </c>
      <c r="C3" s="1" t="s">
        <v>195</v>
      </c>
      <c r="D3" s="1" t="s">
        <v>196</v>
      </c>
      <c r="E3" s="1" t="s">
        <v>197</v>
      </c>
      <c r="F3" s="1" t="s">
        <v>198</v>
      </c>
      <c r="G3" s="1" t="s">
        <v>52</v>
      </c>
      <c r="H3" s="1" t="s">
        <v>134</v>
      </c>
      <c r="I3" s="1" t="s">
        <v>199</v>
      </c>
      <c r="J3" s="1" t="s">
        <v>97</v>
      </c>
      <c r="K3" t="s">
        <v>351</v>
      </c>
    </row>
    <row r="4" spans="1:26">
      <c r="A4" t="s">
        <v>329</v>
      </c>
      <c r="B4" t="s">
        <v>330</v>
      </c>
      <c r="C4" s="8">
        <v>6.7999999999999996E-3</v>
      </c>
      <c r="D4" s="4">
        <f>C4*'01_Параметры'!$B$12</f>
        <v>171.28975600000001</v>
      </c>
      <c r="E4" t="s">
        <v>200</v>
      </c>
      <c r="F4" s="10">
        <v>1</v>
      </c>
      <c r="G4" s="4">
        <f t="shared" ref="G4:G10" si="0">D4*F4</f>
        <v>171.28975600000001</v>
      </c>
      <c r="H4" t="s">
        <v>331</v>
      </c>
      <c r="I4" t="s">
        <v>201</v>
      </c>
      <c r="J4" t="s">
        <v>332</v>
      </c>
      <c r="K4">
        <f>D4*'03_Каналы'!$B$5</f>
        <v>83.024144733200004</v>
      </c>
    </row>
    <row r="5" spans="1:26">
      <c r="A5" t="s">
        <v>333</v>
      </c>
      <c r="B5" t="s">
        <v>330</v>
      </c>
      <c r="C5" s="8">
        <v>9.5999999999999992E-3</v>
      </c>
      <c r="D5" s="4">
        <f>C5*'01_Параметры'!$B$12</f>
        <v>241.820832</v>
      </c>
      <c r="E5" t="s">
        <v>200</v>
      </c>
      <c r="F5" s="10">
        <v>1</v>
      </c>
      <c r="G5" s="4">
        <f t="shared" si="0"/>
        <v>241.820832</v>
      </c>
      <c r="H5" t="s">
        <v>331</v>
      </c>
      <c r="I5" t="s">
        <v>334</v>
      </c>
      <c r="J5" t="s">
        <v>335</v>
      </c>
      <c r="K5">
        <f>D5*'03_Каналы'!$B$5</f>
        <v>117.21055727039999</v>
      </c>
    </row>
    <row r="6" spans="1:26">
      <c r="A6" t="s">
        <v>336</v>
      </c>
      <c r="B6" t="s">
        <v>330</v>
      </c>
      <c r="C6" s="8">
        <v>0.1038</v>
      </c>
      <c r="D6" s="4">
        <f>C6*'01_Параметры'!$B$12</f>
        <v>2614.6877460000001</v>
      </c>
      <c r="E6" t="s">
        <v>203</v>
      </c>
      <c r="F6" s="10">
        <v>0.7</v>
      </c>
      <c r="G6" s="4">
        <f t="shared" si="0"/>
        <v>1830.2814222</v>
      </c>
      <c r="H6" t="s">
        <v>337</v>
      </c>
      <c r="I6" t="s">
        <v>201</v>
      </c>
      <c r="J6" t="s">
        <v>338</v>
      </c>
      <c r="K6">
        <f>D6*'03_Каналы'!$B$5</f>
        <v>1267.3391504862</v>
      </c>
    </row>
    <row r="7" spans="1:26">
      <c r="A7" t="s">
        <v>339</v>
      </c>
      <c r="B7" t="s">
        <v>330</v>
      </c>
      <c r="C7" s="8">
        <v>3.8300000000000001E-2</v>
      </c>
      <c r="D7" s="4">
        <f>C7*'01_Параметры'!$B$12</f>
        <v>964.76436100000012</v>
      </c>
      <c r="E7" t="s">
        <v>203</v>
      </c>
      <c r="F7" s="10">
        <v>0.7</v>
      </c>
      <c r="G7" s="4">
        <f t="shared" si="0"/>
        <v>675.33505270000001</v>
      </c>
      <c r="H7" t="s">
        <v>340</v>
      </c>
      <c r="I7" t="s">
        <v>201</v>
      </c>
      <c r="J7" t="s">
        <v>341</v>
      </c>
      <c r="K7">
        <f>D7*'03_Каналы'!$B$5</f>
        <v>467.62128577670001</v>
      </c>
    </row>
    <row r="8" spans="1:26">
      <c r="A8" t="s">
        <v>342</v>
      </c>
      <c r="B8" t="s">
        <v>330</v>
      </c>
      <c r="C8" s="8">
        <v>1.9099999999999999E-2</v>
      </c>
      <c r="D8" s="4">
        <f>C8*'01_Параметры'!$B$12</f>
        <v>481.12269700000002</v>
      </c>
      <c r="E8" t="s">
        <v>203</v>
      </c>
      <c r="F8" s="10">
        <v>0.7</v>
      </c>
      <c r="G8" s="4">
        <f t="shared" si="0"/>
        <v>336.78588789999998</v>
      </c>
      <c r="H8" t="s">
        <v>343</v>
      </c>
      <c r="I8" t="s">
        <v>201</v>
      </c>
      <c r="J8" t="s">
        <v>344</v>
      </c>
      <c r="K8">
        <f>D8*'03_Каналы'!$B$5</f>
        <v>233.2001712359</v>
      </c>
    </row>
    <row r="9" spans="1:26">
      <c r="A9" t="s">
        <v>345</v>
      </c>
      <c r="B9" t="s">
        <v>330</v>
      </c>
      <c r="C9" s="8">
        <v>1.4999999999999999E-2</v>
      </c>
      <c r="D9" s="4">
        <f>C9*'01_Параметры'!$B$12</f>
        <v>377.84505000000001</v>
      </c>
      <c r="E9" t="s">
        <v>202</v>
      </c>
      <c r="F9" s="10">
        <v>0.6</v>
      </c>
      <c r="G9" s="4">
        <f t="shared" si="0"/>
        <v>226.70703</v>
      </c>
      <c r="H9" t="s">
        <v>346</v>
      </c>
      <c r="I9" t="s">
        <v>201</v>
      </c>
      <c r="J9" t="s">
        <v>347</v>
      </c>
      <c r="K9">
        <f>D9*'03_Каналы'!$B$5</f>
        <v>183.14149573500001</v>
      </c>
    </row>
    <row r="10" spans="1:26">
      <c r="A10" t="s">
        <v>348</v>
      </c>
      <c r="B10" t="s">
        <v>330</v>
      </c>
      <c r="C10" s="8">
        <v>0.80740000000000001</v>
      </c>
      <c r="D10" s="4">
        <f>C10*'01_Параметры'!$B$12</f>
        <v>20338.139558000003</v>
      </c>
      <c r="E10" t="s">
        <v>204</v>
      </c>
      <c r="F10" s="10">
        <v>0.1</v>
      </c>
      <c r="G10" s="4">
        <f t="shared" si="0"/>
        <v>2033.8139558000003</v>
      </c>
      <c r="H10" t="s">
        <v>346</v>
      </c>
      <c r="I10" t="s">
        <v>349</v>
      </c>
      <c r="J10" t="s">
        <v>350</v>
      </c>
      <c r="K10">
        <f>D10*'03_Каналы'!$B$5</f>
        <v>9857.8962437625996</v>
      </c>
    </row>
    <row r="12" spans="1:26">
      <c r="A12" t="s">
        <v>352</v>
      </c>
    </row>
  </sheetData>
  <mergeCells count="1">
    <mergeCell ref="A1:J1"/>
  </mergeCells>
  <conditionalFormatting sqref="G4:G10">
    <cfRule type="dataBar" priority="1">
      <dataBar>
        <cfvo type="min"/>
        <cfvo type="max"/>
        <color rgb="FFFFC000"/>
      </dataBar>
    </cfRule>
    <cfRule type="dataBar" priority="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{7D7FB6A3-5205-A760-7B60-17D23870CB04}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7FB6A3-5205-A760-7B60-17D23870CB04}">
            <x14:dataBar>
              <x14:cfvo type="min"/>
              <x14:cfvo type="max"/>
              <x14:negativeFillColor auto="1"/>
              <x14:axisColor auto="1"/>
            </x14:dataBar>
          </x14:cfRule>
          <xm:sqref>G4:G10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2"/>
  <sheetViews>
    <sheetView workbookViewId="0"/>
  </sheetViews>
  <sheetFormatPr defaultRowHeight="13.5"/>
  <cols>
    <col min="1" max="1" width="18" customWidth="1"/>
    <col min="2" max="3" width="26" customWidth="1"/>
    <col min="4" max="4" width="28" customWidth="1"/>
    <col min="5" max="6" width="36" customWidth="1"/>
    <col min="7" max="7" width="20" customWidth="1"/>
    <col min="8" max="10" width="18" customWidth="1"/>
  </cols>
  <sheetData>
    <row r="1" spans="1:26" ht="30" customHeight="1">
      <c r="A1" s="26" t="s">
        <v>205</v>
      </c>
      <c r="B1" s="26"/>
      <c r="C1" s="26"/>
      <c r="D1" s="26"/>
      <c r="E1" s="26"/>
      <c r="F1" s="26"/>
      <c r="G1" s="26"/>
      <c r="H1" s="26"/>
      <c r="I1" s="26"/>
      <c r="J1" s="26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27" t="s">
        <v>206</v>
      </c>
      <c r="B3" s="27"/>
      <c r="C3" s="27"/>
      <c r="D3" s="27"/>
      <c r="E3" s="27"/>
      <c r="F3" s="27"/>
      <c r="G3" s="27"/>
      <c r="H3" s="27"/>
      <c r="I3" s="27"/>
      <c r="J3" s="27"/>
    </row>
    <row r="4" spans="1:26" ht="27.75">
      <c r="A4" s="1" t="s">
        <v>207</v>
      </c>
      <c r="B4" s="1" t="s">
        <v>115</v>
      </c>
      <c r="C4" s="1" t="s">
        <v>208</v>
      </c>
      <c r="D4" s="1" t="s">
        <v>209</v>
      </c>
      <c r="E4" s="1" t="s">
        <v>210</v>
      </c>
      <c r="F4" s="1" t="s">
        <v>211</v>
      </c>
      <c r="G4" s="1" t="s">
        <v>212</v>
      </c>
      <c r="H4" s="1" t="s">
        <v>213</v>
      </c>
      <c r="I4" s="1" t="s">
        <v>214</v>
      </c>
      <c r="J4" s="1" t="s">
        <v>215</v>
      </c>
    </row>
    <row r="5" spans="1:26">
      <c r="A5" t="s">
        <v>216</v>
      </c>
      <c r="B5" s="5">
        <v>0.8</v>
      </c>
      <c r="C5" s="4">
        <f>IFERROR('01_Параметры'!$B$9/B5,0)</f>
        <v>22040.96125</v>
      </c>
      <c r="D5" s="8">
        <v>8.0000000000000002E-3</v>
      </c>
      <c r="E5" s="8">
        <v>0.03</v>
      </c>
      <c r="F5" s="12">
        <v>121.14</v>
      </c>
      <c r="G5" s="10">
        <v>1</v>
      </c>
      <c r="H5" s="4">
        <f>C5*D5*E5</f>
        <v>5.2898307000000004</v>
      </c>
      <c r="I5" s="12">
        <f>H5*F5</f>
        <v>640.81009099800008</v>
      </c>
      <c r="J5" s="12">
        <f>I5*12*G5</f>
        <v>7689.7210919760009</v>
      </c>
    </row>
    <row r="6" spans="1:26">
      <c r="A6" t="s">
        <v>217</v>
      </c>
      <c r="B6" s="5">
        <v>0.7</v>
      </c>
      <c r="C6" s="4">
        <f>IFERROR('01_Параметры'!$B$9/B6,0)</f>
        <v>25189.670000000002</v>
      </c>
      <c r="D6" s="8">
        <v>1.4999999999999999E-2</v>
      </c>
      <c r="E6" s="8">
        <v>0.04</v>
      </c>
      <c r="F6" s="12">
        <v>121.14</v>
      </c>
      <c r="G6" s="10">
        <v>1</v>
      </c>
      <c r="H6" s="4">
        <f>C6*D6*E6</f>
        <v>15.113802000000002</v>
      </c>
      <c r="I6" s="12">
        <f>H6*F6</f>
        <v>1830.8859742800003</v>
      </c>
      <c r="J6" s="12">
        <f>I6*12*G6</f>
        <v>21970.631691360002</v>
      </c>
    </row>
    <row r="7" spans="1:26">
      <c r="A7" t="s">
        <v>218</v>
      </c>
      <c r="B7" s="5">
        <v>0.55000000000000004</v>
      </c>
      <c r="C7" s="4">
        <f>IFERROR('01_Параметры'!$B$9/B7,0)</f>
        <v>32059.579999999998</v>
      </c>
      <c r="D7" s="8">
        <v>2.5000000000000001E-2</v>
      </c>
      <c r="E7" s="8">
        <v>0.05</v>
      </c>
      <c r="F7" s="12">
        <v>290.74</v>
      </c>
      <c r="G7" s="10">
        <v>1</v>
      </c>
      <c r="H7" s="4">
        <f>C7*D7*E7</f>
        <v>40.074475000000007</v>
      </c>
      <c r="I7" s="12">
        <f>H7*F7</f>
        <v>11651.252861500003</v>
      </c>
      <c r="J7" s="12">
        <f>I7*12*G7</f>
        <v>139815.03433800003</v>
      </c>
    </row>
    <row r="10" spans="1:26" ht="21.95" customHeight="1">
      <c r="A10" s="27" t="s">
        <v>219</v>
      </c>
      <c r="B10" s="27"/>
      <c r="C10" s="27"/>
      <c r="D10" s="27"/>
      <c r="E10" s="27"/>
      <c r="F10" s="27"/>
      <c r="G10" s="27"/>
      <c r="H10" s="27"/>
      <c r="I10" s="27"/>
      <c r="J10" s="27"/>
    </row>
    <row r="11" spans="1:26" ht="27.75">
      <c r="A11" s="1" t="s">
        <v>207</v>
      </c>
      <c r="B11" s="1" t="s">
        <v>220</v>
      </c>
      <c r="C11" s="1" t="s">
        <v>221</v>
      </c>
      <c r="D11" s="1" t="s">
        <v>222</v>
      </c>
      <c r="E11" s="1" t="s">
        <v>97</v>
      </c>
      <c r="F11" s="1" t="s">
        <v>160</v>
      </c>
    </row>
    <row r="12" spans="1:26">
      <c r="A12" t="s">
        <v>216</v>
      </c>
      <c r="B12" s="12">
        <f>J5</f>
        <v>7689.7210919760009</v>
      </c>
      <c r="C12" s="8">
        <v>5.0000000000000001E-3</v>
      </c>
      <c r="D12" s="12">
        <f>B12*C12</f>
        <v>38.448605459880007</v>
      </c>
      <c r="E12" t="s">
        <v>223</v>
      </c>
      <c r="F12" t="s">
        <v>224</v>
      </c>
    </row>
    <row r="13" spans="1:26">
      <c r="A13" t="s">
        <v>217</v>
      </c>
      <c r="B13" s="12">
        <f>J6</f>
        <v>21970.631691360002</v>
      </c>
      <c r="C13" s="8">
        <v>1.4999999999999999E-2</v>
      </c>
      <c r="D13" s="12">
        <f>B13*C13</f>
        <v>329.55947537040004</v>
      </c>
      <c r="E13" t="s">
        <v>225</v>
      </c>
      <c r="F13" t="s">
        <v>226</v>
      </c>
    </row>
    <row r="14" spans="1:26">
      <c r="A14" t="s">
        <v>218</v>
      </c>
      <c r="B14" s="12">
        <f>J7</f>
        <v>139815.03433800003</v>
      </c>
      <c r="C14" s="8">
        <v>3.5000000000000003E-2</v>
      </c>
      <c r="D14" s="12">
        <f>B14*C14</f>
        <v>4893.5262018300018</v>
      </c>
      <c r="E14" t="s">
        <v>227</v>
      </c>
      <c r="F14" t="s">
        <v>228</v>
      </c>
    </row>
    <row r="17" spans="1:10" ht="21.95" customHeight="1">
      <c r="A17" s="27" t="s">
        <v>229</v>
      </c>
      <c r="B17" s="27"/>
      <c r="C17" s="27"/>
      <c r="D17" s="27"/>
      <c r="E17" s="27"/>
      <c r="F17" s="27"/>
      <c r="G17" s="27"/>
      <c r="H17" s="27"/>
      <c r="I17" s="27"/>
      <c r="J17" s="27"/>
    </row>
    <row r="18" spans="1:10" ht="108">
      <c r="A18" s="2" t="s">
        <v>230</v>
      </c>
      <c r="B18" s="2"/>
      <c r="C18" s="2"/>
      <c r="D18" s="2"/>
      <c r="E18" s="2"/>
      <c r="F18" s="2"/>
      <c r="G18" s="2"/>
      <c r="H18" s="2"/>
      <c r="I18" s="2"/>
      <c r="J18" s="2"/>
    </row>
    <row r="19" spans="1:10">
      <c r="A19" s="2" t="s">
        <v>231</v>
      </c>
      <c r="B19" s="13"/>
      <c r="C19" s="13" t="s">
        <v>232</v>
      </c>
      <c r="D19" s="13"/>
      <c r="E19" s="13" t="s">
        <v>233</v>
      </c>
      <c r="F19" s="13"/>
      <c r="G19" s="2" t="s">
        <v>234</v>
      </c>
      <c r="H19" s="2" t="s">
        <v>235</v>
      </c>
      <c r="I19" s="2"/>
      <c r="J19" s="2"/>
    </row>
    <row r="20" spans="1:10">
      <c r="A20" s="2" t="str">
        <f>A12</f>
        <v>Осторожный</v>
      </c>
      <c r="B20" s="13">
        <f>D12</f>
        <v>38.448605459880007</v>
      </c>
      <c r="C20" s="13" t="str">
        <f>A13</f>
        <v>Базовый</v>
      </c>
      <c r="D20" s="13">
        <f>D13</f>
        <v>329.55947537040004</v>
      </c>
      <c r="E20" s="13" t="str">
        <f>A14</f>
        <v>Оптимистичный</v>
      </c>
      <c r="F20" s="13">
        <f>D14</f>
        <v>4893.5262018300018</v>
      </c>
      <c r="G20" s="2"/>
      <c r="H20" s="2"/>
      <c r="I20" s="2"/>
      <c r="J20" s="2"/>
    </row>
    <row r="21" spans="1:10" ht="27">
      <c r="A21" s="2" t="s">
        <v>236</v>
      </c>
      <c r="B21" s="13">
        <f>J5</f>
        <v>7689.7210919760009</v>
      </c>
      <c r="C21" s="13" t="s">
        <v>237</v>
      </c>
      <c r="D21" s="13">
        <f>J6</f>
        <v>21970.631691360002</v>
      </c>
      <c r="E21" s="13" t="s">
        <v>238</v>
      </c>
      <c r="F21" s="13">
        <f>J7</f>
        <v>139815.03433800003</v>
      </c>
      <c r="G21" s="2"/>
      <c r="H21" s="2"/>
      <c r="I21" s="2"/>
      <c r="J21" s="2"/>
    </row>
    <row r="22" spans="1:10" ht="94.5">
      <c r="A22" s="2" t="s">
        <v>239</v>
      </c>
      <c r="B22" s="2" t="str">
        <f>"При заданных допущениях годовой объем цифрового рынка оценивается в диапазоне от "&amp;TEXT(J5,"# ##0")&amp;" до "&amp;TEXT(J7,"# ##0")&amp;" руб., а достижимая выручка нового бизнеса — от "&amp;TEXT(D12,"# ##0")&amp;" до "&amp;TEXT(D14,"# ##0")&amp;" руб. в год."</f>
        <v>При заданных допущениях годовой объем цифрового рынка оценивается в диапазоне от 7 690 до 139 815 руб., а достижимая выручка нового бизнеса — от 38 до 4 894 руб. в год.</v>
      </c>
      <c r="C22" s="2"/>
      <c r="D22" s="2"/>
      <c r="E22" s="2"/>
      <c r="F22" s="2"/>
      <c r="G22" s="2"/>
      <c r="H22" s="2"/>
      <c r="I22" s="2"/>
      <c r="J22" s="2"/>
    </row>
  </sheetData>
  <mergeCells count="4">
    <mergeCell ref="A1:J1"/>
    <mergeCell ref="A3:J3"/>
    <mergeCell ref="A10:J10"/>
    <mergeCell ref="A17:J17"/>
  </mergeCells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2"/>
  <sheetViews>
    <sheetView workbookViewId="0"/>
  </sheetViews>
  <sheetFormatPr defaultRowHeight="13.5"/>
  <cols>
    <col min="1" max="1" width="22" customWidth="1"/>
    <col min="2" max="2" width="28" customWidth="1"/>
    <col min="3" max="3" width="22" customWidth="1"/>
    <col min="4" max="4" width="24" customWidth="1"/>
    <col min="5" max="5" width="22" customWidth="1"/>
    <col min="6" max="8" width="24" customWidth="1"/>
    <col min="9" max="10" width="22" customWidth="1"/>
    <col min="11" max="12" width="12" customWidth="1"/>
  </cols>
  <sheetData>
    <row r="1" spans="1:26" ht="30" customHeight="1">
      <c r="A1" s="26" t="s">
        <v>240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27" t="s">
        <v>241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26" ht="81">
      <c r="A4" s="14" t="s">
        <v>242</v>
      </c>
      <c r="B4" s="15" t="str">
        <f>'01_Параметры'!B4</f>
        <v>Веб-инструменты построения и проверки диаграмм формальных нотаций (UML, BPMN, ERD, IDEF, DFD) для студентов и специалистов по ПО</v>
      </c>
      <c r="C4" s="14" t="s">
        <v>243</v>
      </c>
      <c r="D4" s="15" t="str">
        <f>'01_Параметры'!B5</f>
        <v>Республика Беларусь</v>
      </c>
      <c r="E4" s="14" t="s">
        <v>244</v>
      </c>
      <c r="F4" s="15">
        <f>'01_Параметры'!B8</f>
        <v>4</v>
      </c>
      <c r="G4" s="14" t="s">
        <v>245</v>
      </c>
      <c r="H4" s="16">
        <f>'01_Параметры'!B9</f>
        <v>17632.769</v>
      </c>
      <c r="I4" s="17" t="s">
        <v>246</v>
      </c>
      <c r="J4" s="16">
        <f>'01_Параметры'!B12</f>
        <v>25189.670000000002</v>
      </c>
    </row>
    <row r="5" spans="1:26" ht="27.75">
      <c r="A5" s="14" t="s">
        <v>247</v>
      </c>
      <c r="B5" s="18">
        <f>'06_Воронка_сценарии'!J5</f>
        <v>7689.7210919760009</v>
      </c>
      <c r="C5" s="19" t="s">
        <v>248</v>
      </c>
      <c r="D5" s="18">
        <f>'06_Воронка_сценарии'!J6</f>
        <v>21970.631691360002</v>
      </c>
      <c r="E5" s="19" t="s">
        <v>249</v>
      </c>
      <c r="F5" s="18">
        <f>'06_Воронка_сценарии'!J7</f>
        <v>139815.03433800003</v>
      </c>
      <c r="G5" s="19" t="s">
        <v>250</v>
      </c>
      <c r="H5" s="18">
        <f>'06_Воронка_сценарии'!D13</f>
        <v>329.55947537040004</v>
      </c>
      <c r="I5" s="14" t="s">
        <v>251</v>
      </c>
      <c r="J5" s="15" t="str">
        <f>INDEX('03_Каналы'!A4:A9,MATCH(MAX('03_Каналы'!B4:B9),'03_Каналы'!B4:B9,0))</f>
        <v>Organic search</v>
      </c>
    </row>
    <row r="6" spans="1:26" ht="27.75">
      <c r="A6" s="14" t="s">
        <v>252</v>
      </c>
      <c r="B6" s="15" t="str">
        <f>INDEX('02_Конкуренты_SW'!B4:B23,MATCH(MAX('02_Конкуренты_SW'!G4:G23),'02_Конкуренты_SW'!G4:G23,0))</f>
        <v>draw.io (diagrams.net)</v>
      </c>
      <c r="C6" s="14" t="s">
        <v>253</v>
      </c>
      <c r="D6" s="20">
        <f>MAX('02_Конкуренты_SW'!I4:I23)</f>
        <v>0.86613736050191559</v>
      </c>
      <c r="E6" s="14" t="s">
        <v>254</v>
      </c>
      <c r="F6" s="15" t="str">
        <f>INDEX('05_Запросы'!A4:A10,MATCH(MAX('05_Запросы'!G4:G10),'05_Запросы'!G4:G10,0))</f>
        <v>uml</v>
      </c>
      <c r="G6" s="14" t="s">
        <v>255</v>
      </c>
      <c r="H6" s="16">
        <f>MAX('05_Запросы'!G4:G10)</f>
        <v>2033.8139558000003</v>
      </c>
    </row>
    <row r="7" spans="1:26" ht="94.5">
      <c r="A7" s="14" t="s">
        <v>256</v>
      </c>
      <c r="B7" s="15" t="str">
        <f>'06_Воронка_сценарии'!B22</f>
        <v>При заданных допущениях годовой объем цифрового рынка оценивается в диапазоне от 7 690 до 139 815 руб., а достижимая выручка нового бизнеса — от 38 до 4 894 руб. в год.</v>
      </c>
      <c r="C7" s="2"/>
      <c r="D7" s="2"/>
      <c r="E7" s="2"/>
      <c r="F7" s="2"/>
      <c r="G7" s="2"/>
      <c r="H7" s="2"/>
      <c r="I7" s="2"/>
      <c r="J7" s="2"/>
      <c r="K7" s="2"/>
      <c r="L7" s="2"/>
    </row>
    <row r="10" spans="1:26" ht="27.75">
      <c r="A10" s="1" t="s">
        <v>207</v>
      </c>
      <c r="B10" s="1" t="s">
        <v>257</v>
      </c>
      <c r="C10" s="1" t="s">
        <v>258</v>
      </c>
    </row>
    <row r="11" spans="1:26">
      <c r="A11" t="s">
        <v>216</v>
      </c>
      <c r="B11" s="12">
        <f>'06_Воронка_сценарии'!J5</f>
        <v>7689.7210919760009</v>
      </c>
      <c r="C11" s="12">
        <f>'06_Воронка_сценарии'!D12</f>
        <v>38.448605459880007</v>
      </c>
    </row>
    <row r="12" spans="1:26">
      <c r="A12" t="s">
        <v>217</v>
      </c>
      <c r="B12" s="12">
        <f>'06_Воронка_сценарии'!J6</f>
        <v>21970.631691360002</v>
      </c>
      <c r="C12" s="12">
        <f>'06_Воронка_сценарии'!D13</f>
        <v>329.55947537040004</v>
      </c>
    </row>
    <row r="13" spans="1:26">
      <c r="A13" t="s">
        <v>218</v>
      </c>
      <c r="B13" s="12">
        <f>'06_Воронка_сценарии'!J7</f>
        <v>139815.03433800003</v>
      </c>
      <c r="C13" s="12">
        <f>'06_Воронка_сценарии'!D14</f>
        <v>4893.5262018300018</v>
      </c>
    </row>
    <row r="16" spans="1:26" ht="13.9">
      <c r="A16" s="1" t="s">
        <v>154</v>
      </c>
      <c r="B16" s="1" t="s">
        <v>259</v>
      </c>
      <c r="C16" s="1" t="s">
        <v>260</v>
      </c>
    </row>
    <row r="17" spans="1:3">
      <c r="A17" t="s">
        <v>144</v>
      </c>
      <c r="B17" s="8">
        <f>'03_Каналы'!B4</f>
        <v>0</v>
      </c>
      <c r="C17" s="4">
        <f>'03_Каналы'!C4</f>
        <v>0</v>
      </c>
    </row>
    <row r="18" spans="1:3">
      <c r="A18" t="s">
        <v>145</v>
      </c>
      <c r="B18" s="8">
        <f>'03_Каналы'!B5</f>
        <v>0.48469999999999996</v>
      </c>
      <c r="C18" s="4">
        <f>'03_Каналы'!C5</f>
        <v>12209.433048999999</v>
      </c>
    </row>
    <row r="19" spans="1:3">
      <c r="A19" t="s">
        <v>146</v>
      </c>
      <c r="B19" s="8">
        <f>'03_Каналы'!B6</f>
        <v>0</v>
      </c>
      <c r="C19" s="4">
        <f>'03_Каналы'!C6</f>
        <v>0</v>
      </c>
    </row>
    <row r="20" spans="1:3">
      <c r="A20" t="s">
        <v>147</v>
      </c>
      <c r="B20" s="8">
        <f>'03_Каналы'!B7</f>
        <v>0</v>
      </c>
      <c r="C20" s="4">
        <f>'03_Каналы'!C7</f>
        <v>0</v>
      </c>
    </row>
    <row r="21" spans="1:3">
      <c r="A21" t="s">
        <v>148</v>
      </c>
      <c r="B21" s="8">
        <f>'03_Каналы'!B8</f>
        <v>0</v>
      </c>
      <c r="C21" s="4">
        <f>'03_Каналы'!C8</f>
        <v>0</v>
      </c>
    </row>
    <row r="22" spans="1:3">
      <c r="A22" t="s">
        <v>149</v>
      </c>
      <c r="B22" s="8">
        <f>'03_Каналы'!B9</f>
        <v>0</v>
      </c>
      <c r="C22" s="4">
        <f>'03_Каналы'!C9</f>
        <v>0</v>
      </c>
    </row>
  </sheetData>
  <mergeCells count="2">
    <mergeCell ref="A1:L1"/>
    <mergeCell ref="A3:L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4"/>
  <sheetViews>
    <sheetView workbookViewId="0"/>
  </sheetViews>
  <sheetFormatPr defaultRowHeight="13.5"/>
  <cols>
    <col min="1" max="1" width="28" customWidth="1"/>
    <col min="2" max="2" width="36" customWidth="1"/>
    <col min="3" max="3" width="38" customWidth="1"/>
    <col min="4" max="4" width="68" customWidth="1"/>
    <col min="5" max="5" width="16" customWidth="1"/>
    <col min="6" max="6" width="42" customWidth="1"/>
  </cols>
  <sheetData>
    <row r="1" spans="1:26" ht="30" customHeight="1">
      <c r="A1" s="26" t="s">
        <v>261</v>
      </c>
      <c r="B1" s="26"/>
      <c r="C1" s="26"/>
      <c r="D1" s="26"/>
      <c r="E1" s="26"/>
      <c r="F1" s="26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3" spans="1:26" ht="36" customHeight="1">
      <c r="A3" s="1" t="s">
        <v>194</v>
      </c>
      <c r="B3" s="1" t="s">
        <v>262</v>
      </c>
      <c r="C3" s="1" t="s">
        <v>263</v>
      </c>
      <c r="D3" s="1" t="s">
        <v>264</v>
      </c>
      <c r="E3" s="1" t="s">
        <v>265</v>
      </c>
      <c r="F3" s="1" t="s">
        <v>160</v>
      </c>
    </row>
    <row r="4" spans="1:26">
      <c r="A4" t="s">
        <v>266</v>
      </c>
      <c r="B4" t="s">
        <v>267</v>
      </c>
      <c r="C4" t="s">
        <v>268</v>
      </c>
      <c r="D4" t="s">
        <v>269</v>
      </c>
      <c r="E4" s="3">
        <v>46294.875</v>
      </c>
      <c r="F4" t="s">
        <v>270</v>
      </c>
    </row>
    <row r="5" spans="1:26">
      <c r="A5" t="s">
        <v>271</v>
      </c>
      <c r="B5" t="s">
        <v>272</v>
      </c>
      <c r="C5" t="s">
        <v>273</v>
      </c>
      <c r="D5" t="s">
        <v>274</v>
      </c>
      <c r="E5" s="3">
        <v>46294.875</v>
      </c>
      <c r="F5" t="s">
        <v>275</v>
      </c>
    </row>
    <row r="6" spans="1:26">
      <c r="A6" t="s">
        <v>276</v>
      </c>
      <c r="B6" t="s">
        <v>277</v>
      </c>
      <c r="C6" t="s">
        <v>278</v>
      </c>
      <c r="D6" t="s">
        <v>279</v>
      </c>
      <c r="E6" s="3">
        <v>46294.875</v>
      </c>
      <c r="F6" t="s">
        <v>280</v>
      </c>
    </row>
    <row r="7" spans="1:26">
      <c r="A7" t="s">
        <v>281</v>
      </c>
      <c r="B7" t="s">
        <v>282</v>
      </c>
      <c r="C7" t="s">
        <v>283</v>
      </c>
      <c r="D7" t="s">
        <v>284</v>
      </c>
      <c r="E7" s="3">
        <v>46294.875</v>
      </c>
      <c r="F7" t="s">
        <v>285</v>
      </c>
    </row>
    <row r="8" spans="1:26">
      <c r="A8" t="s">
        <v>286</v>
      </c>
      <c r="B8" t="s">
        <v>287</v>
      </c>
      <c r="C8" t="s">
        <v>288</v>
      </c>
      <c r="D8" t="s">
        <v>289</v>
      </c>
      <c r="E8" s="3">
        <v>46294.875</v>
      </c>
      <c r="F8" t="s">
        <v>290</v>
      </c>
    </row>
    <row r="9" spans="1:26">
      <c r="A9" t="s">
        <v>291</v>
      </c>
      <c r="B9" t="s">
        <v>292</v>
      </c>
      <c r="C9" t="s">
        <v>293</v>
      </c>
      <c r="D9" t="s">
        <v>294</v>
      </c>
      <c r="E9" s="3">
        <v>46294.875</v>
      </c>
      <c r="F9" t="s">
        <v>295</v>
      </c>
    </row>
    <row r="12" spans="1:26" ht="21.95" customHeight="1">
      <c r="A12" s="27" t="s">
        <v>296</v>
      </c>
      <c r="B12" s="27"/>
      <c r="C12" s="27"/>
      <c r="D12" s="27"/>
      <c r="E12" s="27"/>
      <c r="F12" s="27"/>
    </row>
    <row r="13" spans="1:26" ht="13.9">
      <c r="A13" s="1" t="s">
        <v>297</v>
      </c>
      <c r="B13" s="1" t="s">
        <v>298</v>
      </c>
      <c r="C13" s="1" t="s">
        <v>299</v>
      </c>
      <c r="D13" s="1" t="s">
        <v>300</v>
      </c>
      <c r="E13" s="1" t="s">
        <v>95</v>
      </c>
      <c r="F13" s="1" t="s">
        <v>301</v>
      </c>
    </row>
    <row r="14" spans="1:26">
      <c r="A14" s="3">
        <v>46294.875</v>
      </c>
      <c r="B14" t="s">
        <v>305</v>
      </c>
      <c r="C14" t="s">
        <v>353</v>
      </c>
      <c r="D14" t="s">
        <v>354</v>
      </c>
      <c r="E14">
        <v>507000</v>
      </c>
      <c r="F14" t="s">
        <v>355</v>
      </c>
    </row>
    <row r="15" spans="1:26">
      <c r="A15" s="3">
        <v>46294.875</v>
      </c>
      <c r="B15" t="s">
        <v>305</v>
      </c>
      <c r="C15" t="s">
        <v>353</v>
      </c>
      <c r="D15" t="s">
        <v>356</v>
      </c>
      <c r="E15">
        <v>93517</v>
      </c>
      <c r="F15" t="s">
        <v>357</v>
      </c>
    </row>
    <row r="16" spans="1:26">
      <c r="A16" s="3">
        <v>46294.875</v>
      </c>
      <c r="B16" t="s">
        <v>305</v>
      </c>
      <c r="C16" t="s">
        <v>358</v>
      </c>
      <c r="D16" t="s">
        <v>359</v>
      </c>
      <c r="E16">
        <v>9.0700000000000003E-2</v>
      </c>
      <c r="F16" t="s">
        <v>360</v>
      </c>
    </row>
    <row r="17" spans="1:6">
      <c r="A17" s="3">
        <v>46294.875</v>
      </c>
      <c r="B17" t="s">
        <v>305</v>
      </c>
      <c r="C17" t="s">
        <v>361</v>
      </c>
      <c r="D17" t="s">
        <v>362</v>
      </c>
      <c r="E17">
        <v>0.48470000000000002</v>
      </c>
      <c r="F17" t="s">
        <v>363</v>
      </c>
    </row>
    <row r="18" spans="1:6">
      <c r="A18" s="3">
        <v>46294.875</v>
      </c>
      <c r="B18" t="s">
        <v>305</v>
      </c>
      <c r="C18" t="s">
        <v>364</v>
      </c>
      <c r="D18" t="s">
        <v>141</v>
      </c>
      <c r="E18">
        <v>0.45519999999999999</v>
      </c>
      <c r="F18" t="s">
        <v>365</v>
      </c>
    </row>
    <row r="19" spans="1:6">
      <c r="A19" s="23">
        <v>46294.875</v>
      </c>
      <c r="B19" t="s">
        <v>309</v>
      </c>
      <c r="C19" t="s">
        <v>353</v>
      </c>
      <c r="D19" t="s">
        <v>366</v>
      </c>
      <c r="E19" t="s">
        <v>367</v>
      </c>
      <c r="F19" t="s">
        <v>368</v>
      </c>
    </row>
    <row r="20" spans="1:6">
      <c r="A20" s="23">
        <v>46294.875</v>
      </c>
      <c r="B20" t="s">
        <v>369</v>
      </c>
      <c r="C20" t="s">
        <v>353</v>
      </c>
      <c r="D20" t="s">
        <v>366</v>
      </c>
      <c r="E20" t="s">
        <v>367</v>
      </c>
      <c r="F20" t="s">
        <v>370</v>
      </c>
    </row>
    <row r="21" spans="1:6">
      <c r="A21" s="23">
        <v>46294.875</v>
      </c>
      <c r="B21" t="s">
        <v>371</v>
      </c>
      <c r="C21" t="s">
        <v>353</v>
      </c>
      <c r="D21" t="s">
        <v>366</v>
      </c>
      <c r="E21" t="s">
        <v>367</v>
      </c>
      <c r="F21" t="s">
        <v>438</v>
      </c>
    </row>
    <row r="24" spans="1:6">
      <c r="A24" t="s">
        <v>440</v>
      </c>
    </row>
  </sheetData>
  <mergeCells count="2">
    <mergeCell ref="A1:F1"/>
    <mergeCell ref="A12:F12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11_Вариант_М2</vt:lpstr>
      <vt:lpstr>10_TAM_SAM_SOM_М1</vt:lpstr>
      <vt:lpstr>09_Концентрация</vt:lpstr>
      <vt:lpstr>00_Методика</vt:lpstr>
      <vt:lpstr>01_Параметры</vt:lpstr>
      <vt:lpstr>02_Конкуренты_SW</vt:lpstr>
      <vt:lpstr>03_Каналы</vt:lpstr>
      <vt:lpstr>04_География</vt:lpstr>
      <vt:lpstr>05_Запросы</vt:lpstr>
      <vt:lpstr>06_Воронка_сценарии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К. А. Хаджинова</dc:creator>
  <cp:lastModifiedBy>К. А. Хаджинова</cp:lastModifiedBy>
  <dcterms:modified xsi:type="dcterms:W3CDTF">2026-10-02T12:32:48Z</dcterms:modified>
</cp:coreProperties>
</file>