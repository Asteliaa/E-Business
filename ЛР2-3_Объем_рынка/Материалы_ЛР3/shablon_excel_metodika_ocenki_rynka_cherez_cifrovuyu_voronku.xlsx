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0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79c915e15645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Методика" sheetId="1" r:id="Rd9f1b1f308ef4642"/>
    <x:sheet xmlns:r="http://schemas.openxmlformats.org/officeDocument/2006/relationships" name="01_Параметры" sheetId="2" r:id="R77a504be4cd04161"/>
    <x:sheet xmlns:r="http://schemas.openxmlformats.org/officeDocument/2006/relationships" name="02_Трафик_охват" sheetId="3" r:id="Rdda4b8d6e0464e8b"/>
    <x:sheet xmlns:r="http://schemas.openxmlformats.org/officeDocument/2006/relationships" name="03_Конкуренты_SW" sheetId="4" r:id="R5e6dd3837bbc4c77"/>
    <x:sheet xmlns:r="http://schemas.openxmlformats.org/officeDocument/2006/relationships" name="04_Воронка" sheetId="5" r:id="R20660b2e51104eea"/>
    <x:sheet xmlns:r="http://schemas.openxmlformats.org/officeDocument/2006/relationships" name="05_Сценарии" sheetId="6" r:id="R3e8732bf636b4575"/>
    <x:sheet xmlns:r="http://schemas.openxmlformats.org/officeDocument/2006/relationships" name="06_Повторы_LTV" sheetId="7" r:id="R702a19957c34461a"/>
    <x:sheet xmlns:r="http://schemas.openxmlformats.org/officeDocument/2006/relationships" name="07_Платформа_GMV" sheetId="8" r:id="Ra267e86de244443e"/>
    <x:sheet xmlns:r="http://schemas.openxmlformats.org/officeDocument/2006/relationships" name="08_Дашборд" sheetId="9" r:id="R97f4aa159de54884"/>
    <x:sheet xmlns:r="http://schemas.openxmlformats.org/officeDocument/2006/relationships" name="09_Источники" sheetId="10" r:id="R92aec8fe06f642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%"/>
    <x:numFmt numFmtId="202" formatCode="#,##0"/>
    <x:numFmt numFmtId="203" formatCode="0.00%"/>
    <x:numFmt numFmtId="204" formatCode="0"/>
    <x:numFmt numFmtId="205" formatCode="#,##0.0"/>
  </x:numFmts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5B9BD5"/>
      </x:patternFill>
    </x:fill>
    <x:fill>
      <x:patternFill patternType="solid">
        <x:fgColor rgb="F2F2F2"/>
      </x:patternFill>
    </x:fill>
    <x:fill>
      <x:patternFill patternType="solid">
        <x:fgColor rgb="FFF2CC"/>
      </x:patternFill>
    </x:fill>
    <x:fill>
      <x:patternFill patternType="solid">
        <x:fgColor rgb="E2F0D9"/>
      </x:patternFill>
    </x:fill>
  </x:fills>
  <x:borders count="2">
    <x:border/>
    <x:border/>
  </x:borders>
  <x:cellStyleXfs count="1">
    <x:xf numFmtId="0" fontId="0" fillId="0" borderId="0"/>
  </x:cellStyleXfs>
  <x:cellXfs count="10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200" fontId="0" fillId="5" borderId="0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201" fontId="0" fillId="5" borderId="1" xfId="0" applyNumberFormat="1" applyFont="1" applyFill="1" applyBorder="1" applyAlignment="1">
      <x:alignment wrapText="1"/>
    </x:xf>
    <x:xf numFmtId="202" fontId="0" fillId="5" borderId="0" xfId="0" applyNumberFormat="1" applyFont="1" applyFill="1" applyBorder="1" applyAlignment="1">
      <x:alignment wrapText="1"/>
    </x:xf>
    <x:xf numFmtId="202" fontId="0" fillId="5" borderId="1" xfId="0" applyNumberFormat="1" applyFont="1" applyFill="1" applyBorder="1" applyAlignment="1">
      <x:alignment wrapText="1"/>
    </x:xf>
    <x:xf numFmtId="203" fontId="0" fillId="5" borderId="0" xfId="0" applyNumberFormat="1" applyFont="1" applyFill="1" applyBorder="1" applyAlignment="1">
      <x:alignment wrapText="1"/>
    </x:xf>
    <x:xf numFmtId="203" fontId="0" fillId="5" borderId="1" xfId="0" applyNumberFormat="1" applyFont="1" applyFill="1" applyBorder="1" applyAlignment="1">
      <x:alignment wrapText="1"/>
    </x:xf>
    <x:xf numFmtId="202" fontId="0" fillId="6" borderId="0" xfId="0" applyNumberFormat="1" applyFont="1" applyFill="1" applyBorder="1"/>
    <x:xf numFmtId="202" fontId="0" fillId="6" borderId="1" xfId="0" applyNumberFormat="1" applyFont="1" applyFill="1" applyBorder="1"/>
    <x:xf numFmtId="204" fontId="0" fillId="5" borderId="0" xfId="0" applyNumberFormat="1" applyFont="1" applyFill="1" applyBorder="1" applyAlignment="1">
      <x:alignment wrapText="1"/>
    </x:xf>
    <x:xf numFmtId="204" fontId="0" fillId="5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2" fillId="3" borderId="0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/>
    <x:xf numFmtId="202" fontId="2" fillId="3" borderId="1" xfId="0" applyNumberFormat="1" applyFont="1" applyFill="1" applyBorder="1" applyAlignment="1">
      <x:alignment horizontal="center" vertical="center" wrapText="1"/>
    </x:xf>
    <x:xf numFmtId="205" fontId="0" fillId="6" borderId="0" xfId="0" applyNumberFormat="1" applyFont="1" applyFill="1" applyBorder="1"/>
    <x:xf numFmtId="205" fontId="0" fillId="6" borderId="1" xfId="0" applyNumberFormat="1" applyFont="1" applyFill="1" applyBorder="1"/>
    <x:xf numFmtId="201" fontId="0" fillId="6" borderId="0" xfId="0" applyNumberFormat="1" applyFont="1" applyFill="1" applyBorder="1"/>
    <x:xf numFmtId="201" fontId="0" fillId="6" borderId="1" xfId="0" applyNumberFormat="1" applyFont="1" applyFill="1" applyBorder="1"/>
    <x:xf numFmtId="203" fontId="0" fillId="6" borderId="0" xfId="0" applyNumberFormat="1" applyFont="1" applyFill="1" applyBorder="1"/>
    <x:xf numFmtId="203" fontId="0" fillId="6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202" fontId="0" fillId="6" borderId="0" xfId="0" applyNumberFormat="1" applyFont="1" applyFill="1" applyBorder="1" applyAlignment="1">
      <x:alignment wrapText="1"/>
    </x:xf>
    <x:xf numFmtId="202" fontId="0" fillId="6" borderId="1" xfId="0" applyNumberFormat="1" applyFont="1" applyFill="1" applyBorder="1" applyAlignment="1">
      <x:alignment wrapText="1"/>
    </x:xf>
    <x:xf numFmtId="202" fontId="0" fillId="5" borderId="0" xfId="0" applyNumberFormat="1" applyFont="1" applyFill="1" applyBorder="1" applyAlignment="1">
      <x:alignment vertical="top" wrapText="1"/>
    </x:xf>
    <x:xf numFmtId="201" fontId="0" fillId="5" borderId="0" xfId="0" applyNumberFormat="1" applyFont="1" applyFill="1" applyBorder="1" applyAlignment="1">
      <x:alignment vertical="top" wrapText="1"/>
    </x:xf>
    <x:xf numFmtId="200" fontId="0" fillId="5" borderId="0" xfId="0" applyNumberFormat="1" applyFont="1" applyFill="1" applyBorder="1" applyAlignment="1">
      <x:alignment vertical="top" wrapText="1"/>
    </x:xf>
    <x:xf numFmtId="203" fontId="0" fillId="5" borderId="0" xfId="0" applyNumberFormat="1" applyFont="1" applyFill="1" applyBorder="1" applyAlignment="1">
      <x:alignment vertical="top" wrapText="1"/>
    </x:xf>
    <x:xf numFmtId="202" fontId="0" fillId="6" borderId="0" xfId="0" applyNumberFormat="1" applyFont="1" applyFill="1" applyBorder="1" applyAlignment="1">
      <x:alignment vertical="top" wrapText="1"/>
    </x:xf>
    <x:xf numFmtId="204" fontId="0" fillId="5" borderId="0" xfId="0" applyNumberFormat="1" applyFont="1" applyFill="1" applyBorder="1" applyAlignment="1">
      <x:alignment vertical="top" wrapText="1"/>
    </x:xf>
    <x:xf numFmtId="202" fontId="0" fillId="5" borderId="1" xfId="0" applyNumberFormat="1" applyFont="1" applyFill="1" applyBorder="1" applyAlignment="1">
      <x:alignment vertical="top" wrapText="1"/>
    </x:xf>
    <x:xf numFmtId="201" fontId="0" fillId="5" borderId="1" xfId="0" applyNumberFormat="1" applyFont="1" applyFill="1" applyBorder="1" applyAlignment="1">
      <x:alignment vertical="top" wrapText="1"/>
    </x:xf>
    <x:xf numFmtId="200" fontId="0" fillId="5" borderId="1" xfId="0" applyNumberFormat="1" applyFont="1" applyFill="1" applyBorder="1" applyAlignment="1">
      <x:alignment vertical="top" wrapText="1"/>
    </x:xf>
    <x:xf numFmtId="203" fontId="0" fillId="5" borderId="1" xfId="0" applyNumberFormat="1" applyFont="1" applyFill="1" applyBorder="1" applyAlignment="1">
      <x:alignment vertical="top" wrapText="1"/>
    </x:xf>
    <x:xf numFmtId="202" fontId="0" fillId="6" borderId="1" xfId="0" applyNumberFormat="1" applyFont="1" applyFill="1" applyBorder="1" applyAlignment="1">
      <x:alignment vertical="top" wrapText="1"/>
    </x:xf>
    <x:xf numFmtId="204" fontId="0" fillId="5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vertical="top" wrapText="1"/>
    </x:xf>
    <x:xf numFmtId="202" fontId="2" fillId="3" borderId="0" xfId="0" applyNumberFormat="1" applyFont="1" applyFill="1" applyBorder="1" applyAlignment="1">
      <x:alignment horizontal="center"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2" fontId="2" fillId="3" borderId="1" xfId="0" applyNumberFormat="1" applyFont="1" applyFill="1" applyBorder="1" applyAlignment="1">
      <x:alignment horizontal="center" vertical="top" wrapText="1"/>
    </x:xf>
    <x:xf numFmtId="201" fontId="0" fillId="6" borderId="0" xfId="0" applyNumberFormat="1" applyFont="1" applyFill="1" applyBorder="1" applyAlignment="1">
      <x:alignment wrapText="1"/>
    </x:xf>
    <x:xf numFmtId="203" fontId="0" fillId="6" borderId="0" xfId="0" applyNumberFormat="1" applyFont="1" applyFill="1" applyBorder="1" applyAlignment="1">
      <x:alignment wrapText="1"/>
    </x:xf>
    <x:xf numFmtId="205" fontId="0" fillId="6" borderId="0" xfId="0" applyNumberFormat="1" applyFont="1" applyFill="1" applyBorder="1" applyAlignment="1">
      <x:alignment wrapText="1"/>
    </x:xf>
    <x:xf numFmtId="201" fontId="0" fillId="6" borderId="1" xfId="0" applyNumberFormat="1" applyFont="1" applyFill="1" applyBorder="1" applyAlignment="1">
      <x:alignment wrapText="1"/>
    </x:xf>
    <x:xf numFmtId="203" fontId="0" fillId="6" borderId="1" xfId="0" applyNumberFormat="1" applyFont="1" applyFill="1" applyBorder="1" applyAlignment="1">
      <x:alignment wrapText="1"/>
    </x:xf>
    <x:xf numFmtId="205" fontId="0" fillId="6" borderId="1" xfId="0" applyNumberFormat="1" applyFont="1" applyFill="1" applyBorder="1" applyAlignment="1">
      <x:alignment wrapText="1"/>
    </x:xf>
    <x:xf numFmtId="201" fontId="0" fillId="6" borderId="0" xfId="0" applyNumberFormat="1" applyFont="1" applyFill="1" applyBorder="1" applyAlignment="1">
      <x:alignment vertical="top" wrapText="1"/>
    </x:xf>
    <x:xf numFmtId="203" fontId="0" fillId="6" borderId="0" xfId="0" applyNumberFormat="1" applyFont="1" applyFill="1" applyBorder="1" applyAlignment="1">
      <x:alignment vertical="top" wrapText="1"/>
    </x:xf>
    <x:xf numFmtId="205" fontId="0" fillId="6" borderId="0" xfId="0" applyNumberFormat="1" applyFont="1" applyFill="1" applyBorder="1" applyAlignment="1">
      <x:alignment vertical="top" wrapText="1"/>
    </x:xf>
    <x:xf numFmtId="201" fontId="0" fillId="6" borderId="1" xfId="0" applyNumberFormat="1" applyFont="1" applyFill="1" applyBorder="1" applyAlignment="1">
      <x:alignment vertical="top" wrapText="1"/>
    </x:xf>
    <x:xf numFmtId="203" fontId="0" fillId="6" borderId="1" xfId="0" applyNumberFormat="1" applyFont="1" applyFill="1" applyBorder="1" applyAlignment="1">
      <x:alignment vertical="top" wrapText="1"/>
    </x:xf>
    <x:xf numFmtId="205" fontId="0" fillId="6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e339f3b5834b45" /><Relationship Type="http://schemas.openxmlformats.org/officeDocument/2006/relationships/theme" Target="/xl/theme/theme1.xml" Id="R31a4bc11c8d343dc" /><Relationship Type="http://schemas.openxmlformats.org/officeDocument/2006/relationships/sharedStrings" Target="/xl/sharedStrings.xml" Id="R033f4e483c0f4b88" /><Relationship Type="http://schemas.openxmlformats.org/officeDocument/2006/relationships/worksheet" Target="/xl/worksheets/sheet1.xml" Id="Rd9f1b1f308ef4642" /><Relationship Type="http://schemas.openxmlformats.org/officeDocument/2006/relationships/worksheet" Target="/xl/worksheets/sheet2.xml" Id="R77a504be4cd04161" /><Relationship Type="http://schemas.openxmlformats.org/officeDocument/2006/relationships/worksheet" Target="/xl/worksheets/sheet3.xml" Id="Rdda4b8d6e0464e8b" /><Relationship Type="http://schemas.openxmlformats.org/officeDocument/2006/relationships/worksheet" Target="/xl/worksheets/sheet4.xml" Id="R5e6dd3837bbc4c77" /><Relationship Type="http://schemas.openxmlformats.org/officeDocument/2006/relationships/worksheet" Target="/xl/worksheets/sheet5.xml" Id="R20660b2e51104eea" /><Relationship Type="http://schemas.openxmlformats.org/officeDocument/2006/relationships/worksheet" Target="/xl/worksheets/sheet6.xml" Id="R3e8732bf636b4575" /><Relationship Type="http://schemas.openxmlformats.org/officeDocument/2006/relationships/worksheet" Target="/xl/worksheets/sheet7.xml" Id="R702a19957c34461a" /><Relationship Type="http://schemas.openxmlformats.org/officeDocument/2006/relationships/worksheet" Target="/xl/worksheets/sheet8.xml" Id="Ra267e86de244443e" /><Relationship Type="http://schemas.openxmlformats.org/officeDocument/2006/relationships/worksheet" Target="/xl/worksheets/sheet9.xml" Id="R97f4aa159de54884" /><Relationship Type="http://schemas.openxmlformats.org/officeDocument/2006/relationships/worksheet" Target="/xl/worksheets/sheet10.xml" Id="R92aec8fe06f642e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849a64d4c2e4e89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Значение</c:v>
          </c:tx>
          <c:cat>
            <c:strRef>
              <c:f>'08_Дашборд'!$A$4:$A$6</c:f>
              <c:strCache>
                <c:ptCount val="0"/>
              </c:strCache>
            </c:strRef>
          </c:cat>
          <c:val>
            <c:numRef>
              <c:f>'08_Дашборд'!$B$4:$B$6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Единица</c:v>
          </c:tx>
          <c:cat>
            <c:strRef>
              <c:f>'08_Дашборд'!$A$4:$A$6</c:f>
              <c:strCache>
                <c:ptCount val="0"/>
              </c:strCache>
            </c:strRef>
          </c:cat>
          <c:val>
            <c:numRef>
              <c:f>'08_Дашборд'!$C$4:$C$6</c:f>
              <c:numCache>
                <c:formatCode/>
                <c:ptCount val="0"/>
              </c:numCache>
            </c:numRef>
          </c:val>
        </c:ser>
        <c:ser>
          <c:idx val="2"/>
          <c:order val="2"/>
          <c:tx>
            <c:v>Комментарий</c:v>
          </c:tx>
          <c:cat>
            <c:strRef>
              <c:f>'08_Дашборд'!$A$4:$A$6</c:f>
              <c:strCache>
                <c:ptCount val="0"/>
              </c:strCache>
            </c:strRef>
          </c:cat>
          <c:val>
            <c:numRef>
              <c:f>'08_Дашборд'!$D$4:$D$6</c:f>
              <c:numCache>
                <c:formatCode/>
                <c:ptCount val="0"/>
              </c:numCache>
            </c:numRef>
          </c:val>
        </c:ser>
        <c:ser>
          <c:idx val="3"/>
          <c:order val="3"/>
          <c:tx>
            <c:v>Series 4</c:v>
          </c:tx>
          <c:cat>
            <c:strRef>
              <c:f>'08_Дашборд'!$A$4:$A$6</c:f>
              <c:strCache>
                <c:ptCount val="0"/>
              </c:strCache>
            </c:strRef>
          </c:cat>
          <c:val>
            <c:numRef>
              <c:f>'08_Дашборд'!$E$4:$E$6</c:f>
              <c:numCache>
                <c:formatCode/>
                <c:ptCount val="0"/>
              </c:numCache>
            </c:numRef>
          </c:val>
        </c:ser>
        <c:ser>
          <c:idx val="4"/>
          <c:order val="4"/>
          <c:tx>
            <c:v>Series 5</c:v>
          </c:tx>
          <c:cat>
            <c:strRef>
              <c:f>'08_Дашборд'!$A$4:$A$6</c:f>
              <c:strCache>
                <c:ptCount val="0"/>
              </c:strCache>
            </c:strRef>
          </c:cat>
          <c:val>
            <c:numRef>
              <c:f>'08_Дашборд'!$F$4:$F$6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8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849a64d4c2e4e8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rafficSourcesTable" displayName="TrafficSourcesTable" ref="A3:I10" headerRowCount="1">
  <x:tableColumns count="9">
    <x:tableColumn id="1" name="Канал"/>
    <x:tableColumn id="2" name="Источник данных"/>
    <x:tableColumn id="3" name="Охват/показы/посещения в месяц"/>
    <x:tableColumn id="4" name="CTR или доля переходов"/>
    <x:tableColumn id="5" name="Посещения в месяц"/>
    <x:tableColumn id="6" name="Доля релевантной аудитории"/>
    <x:tableColumn id="7" name="Релевантные посещения"/>
    <x:tableColumn id="8" name="Качество данных"/>
    <x:tableColumn id="9" name="Комментарий"/>
  </x:tableColumns>
  <x:tableStyleInfo name="TableStyleMedium2" showRowStripes="1"/>
</x:table>
</file>

<file path=xl/tables/table2.xml><?xml version="1.0" encoding="utf-8"?>
<x:table xmlns:x="http://schemas.openxmlformats.org/spreadsheetml/2006/main" id="2" name="CompetitorsSWTable" displayName="CompetitorsSWTable" ref="A3:J8" headerRowCount="1">
  <x:tableColumns count="10">
    <x:tableColumn id="1" name="Конкурент / сайт"/>
    <x:tableColumn id="2" name="Тип игрока"/>
    <x:tableColumn id="3" name="Посещения в месяц по Similarweb"/>
    <x:tableColumn id="4" name="Доля целевой географии"/>
    <x:tableColumn id="5" name="Доля релевантной категории"/>
    <x:tableColumn id="6" name="Релевантные посещения"/>
    <x:tableColumn id="7" name="Оценочная конверсия в продажу"/>
    <x:tableColumn id="8" name="Средний чек"/>
    <x:tableColumn id="9" name="Оценочная выручка в месяц"/>
    <x:tableColumn id="10" name="Комментарий"/>
  </x:tableColumns>
  <x:tableStyleInfo name="TableStyleMedium2" showRowStripes="1"/>
</x:table>
</file>

<file path=xl/tables/table3.xml><?xml version="1.0" encoding="utf-8"?>
<x:table xmlns:x="http://schemas.openxmlformats.org/spreadsheetml/2006/main" id="3" name="FunnelScenarioTable" displayName="FunnelScenarioTable" ref="A3:E13" headerRowCount="1">
  <x:tableColumns count="5">
    <x:tableColumn id="1" name="Показатель"/>
    <x:tableColumn id="2" name="Осторожный"/>
    <x:tableColumn id="3" name="Базовый"/>
    <x:tableColumn id="4" name="Оптимистичный"/>
    <x:tableColumn id="5" name="Комментарий"/>
  </x:tableColumns>
  <x:tableStyleInfo name="TableStyleMedium2" showRowStripes="1"/>
</x:table>
</file>

<file path=xl/tables/table4.xml><?xml version="1.0" encoding="utf-8"?>
<x:table xmlns:x="http://schemas.openxmlformats.org/spreadsheetml/2006/main" id="4" name="ScenarioSummaryTable" displayName="ScenarioSummaryTable" ref="A3:G6" headerRowCount="1">
  <x:tableColumns count="7">
    <x:tableColumn id="1" name="Сценарий"/>
    <x:tableColumn id="2" name="Достижимые посещения/мес."/>
    <x:tableColumn id="3" name="Заявки/мес."/>
    <x:tableColumn id="4" name="Продажи/мес."/>
    <x:tableColumn id="5" name="Выручка/мес."/>
    <x:tableColumn id="6" name="Выручка/год"/>
    <x:tableColumn id="7" name="Интерпретация"/>
  </x:tableColumns>
  <x:tableStyleInfo name="TableStyleMedium2" showRowStripes="1"/>
</x:table>
</file>

<file path=xl/tables/table5.xml><?xml version="1.0" encoding="utf-8"?>
<x:table xmlns:x="http://schemas.openxmlformats.org/spreadsheetml/2006/main" id="5" name="SourcesLogTable" displayName="SourcesLogTable" ref="A3:F10" headerRowCount="1">
  <x:tableColumns count="6">
    <x:tableColumn id="1" name="Источник"/>
    <x:tableColumn id="2" name="Что брать"/>
    <x:tableColumn id="3" name="Ссылка / место хранения"/>
    <x:tableColumn id="4" name="Дата обращения"/>
    <x:tableColumn id="5" name="Качество"/>
    <x:tableColumn id="6" name="Комментарий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32db5450b4434b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52051113d28c466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67054d9e998d49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646095bb22f84f1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7c23473b813e420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5.xml" Id="Rcc3c2bef7615416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4" hidden="0" customWidth="1"/>
    <x:col min="8" max="8" width="28" hidden="0" customWidth="1"/>
    <x:col min="9" max="9" width="28" hidden="0" customWidth="1"/>
    <x:col min="10" max="10" width="28" hidden="0" customWidth="1"/>
  </x:cols>
  <x:sheetData>
    <x:row r="1">
      <x:c r="A1" s="60" t="str">
        <x:v>Excel-шаблон оценки рынка через цифровую воронку</x:v>
      </x:c>
      <x:c r="B1" s="60"/>
      <x:c r="C1" s="60"/>
      <x:c r="D1" s="60"/>
      <x:c r="E1" s="60"/>
      <x:c r="F1" s="60"/>
      <x:c r="G1" s="60"/>
      <x:c r="H1" s="60"/>
      <x:c r="I1" s="61"/>
      <x:c r="J1" s="61"/>
    </x:row>
    <x:row r="2">
      <x:c r="A2" s="61"/>
      <x:c r="B2" s="61"/>
      <x:c r="C2" s="61"/>
      <x:c r="D2" s="61"/>
      <x:c r="E2" s="61"/>
      <x:c r="F2" s="61"/>
      <x:c r="G2" s="61"/>
      <x:c r="H2" s="61"/>
      <x:c r="I2" s="61"/>
      <x:c r="J2" s="61"/>
    </x:row>
    <x:row r="3">
      <x:c r="A3" s="62" t="str">
        <x:v>Назначение файла</x:v>
      </x:c>
      <x:c r="B3" s="62" t="str">
        <x:v>Как использовать</x:v>
      </x:c>
      <x:c r="C3" s="62" t="str">
        <x:v>Основная формула</x:v>
      </x:c>
      <x:c r="D3" s="62" t="str">
        <x:v>Что является входом</x:v>
      </x:c>
      <x:c r="E3" s="62" t="str">
        <x:v>Что является расчетом</x:v>
      </x:c>
      <x:c r="F3" s="62" t="str">
        <x:v>Что проверять</x:v>
      </x:c>
      <x:c r="G3" s="62" t="str">
        <x:v>Ограничения</x:v>
      </x:c>
      <x:c r="H3" s="62" t="str">
        <x:v>Итог</x:v>
      </x:c>
      <x:c r="I3" s="61"/>
      <x:c r="J3" s="61"/>
    </x:row>
    <x:row r="4">
      <x:c r="A4" s="63" t="str">
        <x:v>Оценить потенциальный объем рынка электронного бизнеса через охват, трафик, заявки, продажи, средний чек, повторные покупки и платформенную модель.</x:v>
      </x:c>
      <x:c r="B4" s="63" t="str">
        <x:v>Заполнить желтые ячейки на листах 01–03, затем проверить расчеты на листах 04–08.</x:v>
      </x:c>
      <x:c r="C4" s="63" t="str">
        <x:v>Выручка = релевантные посещения × конверсия в заявку × конверсия в продажу × средний чек × повторные покупки.</x:v>
      </x:c>
      <x:c r="D4" s="63" t="str">
        <x:v>Данные Google Trends, Яндекс Вордстат, Similarweb, рекламных кабинетов, аналитики сайта и экспертных допущений.</x:v>
      </x:c>
      <x:c r="E4" s="63" t="str">
        <x:v>Зеленые ячейки содержат формулы и автоматически пересчитывают заявки, продажи, выручку, GMV и рыночный диапазон.</x:v>
      </x:c>
      <x:c r="F4" s="63" t="str">
        <x:v>Согласованность допущений, реалистичность конверсий, различие между интересом аудитории и платежеспособным спросом.</x:v>
      </x:c>
      <x:c r="G4" s="63" t="str">
        <x:v>Все расчеты являются оценочными; цифровая воронка не заменяет анализ конкурентов, цен, платежеспособности и фактических продаж.</x:v>
      </x:c>
      <x:c r="H4" s="63" t="str">
        <x:v>Сценарный диапазон объема рынка и достижимой выручки.</x:v>
      </x:c>
      <x:c r="I4" s="61"/>
      <x:c r="J4" s="61"/>
    </x:row>
    <x:row r="5">
      <x:c r="A5" s="61"/>
      <x:c r="B5" s="61"/>
      <x:c r="C5" s="61"/>
      <x:c r="D5" s="61"/>
      <x:c r="E5" s="61"/>
      <x:c r="F5" s="61"/>
      <x:c r="G5" s="61"/>
      <x:c r="H5" s="61"/>
      <x:c r="I5" s="61"/>
      <x:c r="J5" s="61"/>
    </x:row>
    <x:row r="6">
      <x:c r="A6" s="62" t="str">
        <x:v>Этап</x:v>
      </x:c>
      <x:c r="B6" s="62" t="str">
        <x:v>Действие</x:v>
      </x:c>
      <x:c r="C6" s="62" t="str">
        <x:v>Где заполнять</x:v>
      </x:c>
      <x:c r="D6" s="62" t="str">
        <x:v>Результат</x:v>
      </x:c>
      <x:c r="E6" s="61"/>
      <x:c r="F6" s="61"/>
      <x:c r="G6" s="61"/>
      <x:c r="H6" s="61"/>
      <x:c r="I6" s="61"/>
      <x:c r="J6" s="61"/>
    </x:row>
    <x:row r="7">
      <x:c r="A7" s="61" t="n">
        <x:v>1</x:v>
      </x:c>
      <x:c r="B7" s="61" t="str">
        <x:v>Зафиксировать географию, продуктовую категорию и период расчета.</x:v>
      </x:c>
      <x:c r="C7" s="61" t="str">
        <x:v>01_Параметры</x:v>
      </x:c>
      <x:c r="D7" s="61" t="str">
        <x:v>Единая база исследования.</x:v>
      </x:c>
      <x:c r="E7" s="61"/>
      <x:c r="F7" s="61"/>
      <x:c r="G7" s="61"/>
      <x:c r="H7" s="61"/>
      <x:c r="I7" s="61"/>
      <x:c r="J7" s="61"/>
    </x:row>
    <x:row r="8">
      <x:c r="A8" s="61" t="n">
        <x:v>2</x:v>
      </x:c>
      <x:c r="B8" s="61" t="str">
        <x:v>Собрать исходные данные об охвате и трафике по каналам.</x:v>
      </x:c>
      <x:c r="C8" s="61" t="str">
        <x:v>02_Трафик_охват</x:v>
      </x:c>
      <x:c r="D8" s="61" t="str">
        <x:v>Релевантные посещения рынка.</x:v>
      </x:c>
      <x:c r="E8" s="61"/>
      <x:c r="F8" s="61"/>
      <x:c r="G8" s="61"/>
      <x:c r="H8" s="61"/>
      <x:c r="I8" s="61"/>
      <x:c r="J8" s="61"/>
    </x:row>
    <x:row r="9">
      <x:c r="A9" s="61" t="n">
        <x:v>3</x:v>
      </x:c>
      <x:c r="B9" s="61" t="str">
        <x:v>Зафиксировать данные конкурентов из Similarweb и других открытых источников.</x:v>
      </x:c>
      <x:c r="C9" s="61" t="str">
        <x:v>03_Конкуренты_SW</x:v>
      </x:c>
      <x:c r="D9" s="61" t="str">
        <x:v>Оценка видимого цифрового объема сегмента.</x:v>
      </x:c>
      <x:c r="E9" s="61"/>
      <x:c r="F9" s="61"/>
      <x:c r="G9" s="61"/>
      <x:c r="H9" s="61"/>
      <x:c r="I9" s="61"/>
      <x:c r="J9" s="61"/>
    </x:row>
    <x:row r="10">
      <x:c r="A10" s="61" t="n">
        <x:v>4</x:v>
      </x:c>
      <x:c r="B10" s="61" t="str">
        <x:v>Задать конверсии в заявку и продажу по трем сценариям.</x:v>
      </x:c>
      <x:c r="C10" s="61" t="str">
        <x:v>04_Воронка</x:v>
      </x:c>
      <x:c r="D10" s="61" t="str">
        <x:v>Расчет заявок, продаж и выручки.</x:v>
      </x:c>
      <x:c r="E10" s="61"/>
      <x:c r="F10" s="61"/>
      <x:c r="G10" s="61"/>
      <x:c r="H10" s="61"/>
      <x:c r="I10" s="61"/>
      <x:c r="J10" s="61"/>
    </x:row>
    <x:row r="11">
      <x:c r="A11" s="61" t="n">
        <x:v>5</x:v>
      </x:c>
      <x:c r="B11" s="61" t="str">
        <x:v>Сравнить осторожный, базовый и оптимистичный сценарии.</x:v>
      </x:c>
      <x:c r="C11" s="61" t="str">
        <x:v>05_Сценарии</x:v>
      </x:c>
      <x:c r="D11" s="61" t="str">
        <x:v>Диапазон возможного объема рынка.</x:v>
      </x:c>
      <x:c r="E11" s="61"/>
      <x:c r="F11" s="61"/>
      <x:c r="G11" s="61"/>
      <x:c r="H11" s="61"/>
      <x:c r="I11" s="61"/>
      <x:c r="J11" s="61"/>
    </x:row>
    <x:row r="12">
      <x:c r="A12" s="61" t="n">
        <x:v>6</x:v>
      </x:c>
      <x:c r="B12" s="61" t="str">
        <x:v>Учесть повторные покупки и жизненную ценность клиента.</x:v>
      </x:c>
      <x:c r="C12" s="61" t="str">
        <x:v>06_Повторы_LTV</x:v>
      </x:c>
      <x:c r="D12" s="61" t="str">
        <x:v>Годовая и расширенная оценка выручки.</x:v>
      </x:c>
      <x:c r="E12" s="61"/>
      <x:c r="F12" s="61"/>
      <x:c r="G12" s="61"/>
      <x:c r="H12" s="61"/>
      <x:c r="I12" s="61"/>
      <x:c r="J12" s="61"/>
    </x:row>
    <x:row r="13">
      <x:c r="A13" s="61" t="n">
        <x:v>7</x:v>
      </x:c>
      <x:c r="B13" s="61" t="str">
        <x:v>Если бизнес является платформой, рассчитать GMV и комиссионную выручку.</x:v>
      </x:c>
      <x:c r="C13" s="61" t="str">
        <x:v>07_Платформа_GMV</x:v>
      </x:c>
      <x:c r="D13" s="61" t="str">
        <x:v>Разделение оборота платформы и собственной выручки.</x:v>
      </x:c>
      <x:c r="E13" s="61"/>
      <x:c r="F13" s="61"/>
      <x:c r="G13" s="61"/>
      <x:c r="H13" s="61"/>
      <x:c r="I13" s="61"/>
      <x:c r="J13" s="61"/>
    </x:row>
    <x:row r="14">
      <x:c r="A14" s="61" t="n">
        <x:v>8</x:v>
      </x:c>
      <x:c r="B14" s="61" t="str">
        <x:v>Проверить итоговую панель и сформулировать вывод.</x:v>
      </x:c>
      <x:c r="C14" s="61" t="str">
        <x:v>08_Дашборд</x:v>
      </x:c>
      <x:c r="D14" s="61" t="str">
        <x:v>Готовые показатели для отчета.</x:v>
      </x:c>
      <x:c r="E14" s="61"/>
      <x:c r="F14" s="61"/>
      <x:c r="G14" s="61"/>
      <x:c r="H14" s="61"/>
      <x:c r="I14" s="61"/>
      <x:c r="J14" s="61"/>
    </x:row>
    <x:row r="15">
      <x:c r="A15" s="61"/>
      <x:c r="B15" s="61"/>
      <x:c r="C15" s="61"/>
      <x:c r="D15" s="61"/>
      <x:c r="E15" s="61"/>
      <x:c r="F15" s="61"/>
      <x:c r="G15" s="61"/>
      <x:c r="H15" s="61"/>
      <x:c r="I15" s="61"/>
      <x:c r="J15" s="61"/>
    </x:row>
    <x:row r="16">
      <x:c r="A16" s="62" t="str">
        <x:v>Цвет ячеек</x:v>
      </x:c>
      <x:c r="B16" s="62" t="str">
        <x:v>Значение</x:v>
      </x:c>
      <x:c r="C16" s="62" t="str">
        <x:v>Можно изменять?</x:v>
      </x:c>
      <x:c r="D16" s="62" t="str">
        <x:v>Комментарий</x:v>
      </x:c>
      <x:c r="E16" s="61"/>
      <x:c r="F16" s="61"/>
      <x:c r="G16" s="61"/>
      <x:c r="H16" s="61"/>
      <x:c r="I16" s="61"/>
      <x:c r="J16" s="61"/>
    </x:row>
    <x:row r="17">
      <x:c r="A17" s="64" t="str">
        <x:v>Желтый</x:v>
      </x:c>
      <x:c r="B17" s="61" t="str">
        <x:v>Исходные данные / допущения</x:v>
      </x:c>
      <x:c r="C17" s="61" t="str">
        <x:v>Да</x:v>
      </x:c>
      <x:c r="D17" s="61" t="str">
        <x:v>Заполняются пользователем.</x:v>
      </x:c>
      <x:c r="E17" s="61"/>
      <x:c r="F17" s="61"/>
      <x:c r="G17" s="61"/>
      <x:c r="H17" s="61"/>
      <x:c r="I17" s="61"/>
      <x:c r="J17" s="61"/>
    </x:row>
    <x:row r="18">
      <x:c r="A18" s="65" t="str">
        <x:v>Зеленый</x:v>
      </x:c>
      <x:c r="B18" s="61" t="str">
        <x:v>Расчетные ячейки</x:v>
      </x:c>
      <x:c r="C18" s="61" t="str">
        <x:v>Нет</x:v>
      </x:c>
      <x:c r="D18" s="61" t="str">
        <x:v>Содержат формулы.</x:v>
      </x:c>
      <x:c r="E18" s="61"/>
      <x:c r="F18" s="61"/>
      <x:c r="G18" s="61"/>
      <x:c r="H18" s="61"/>
      <x:c r="I18" s="61"/>
      <x:c r="J18" s="61"/>
    </x:row>
    <x:row r="19">
      <x:c r="A19" s="63" t="str">
        <x:v>Серый</x:v>
      </x:c>
      <x:c r="B19" s="61" t="str">
        <x:v>Пояснения и методические комментарии</x:v>
      </x:c>
      <x:c r="C19" s="61" t="str">
        <x:v>Да</x:v>
      </x:c>
      <x:c r="D19" s="61" t="str">
        <x:v>Можно адаптировать под отчет.</x:v>
      </x:c>
      <x:c r="E19" s="61"/>
      <x:c r="F19" s="61"/>
      <x:c r="G19" s="61"/>
      <x:c r="H19" s="61"/>
      <x:c r="I19" s="61"/>
      <x:c r="J19" s="61"/>
    </x:row>
    <x:row r="20">
      <x:c r="A20" s="61"/>
      <x:c r="B20" s="61"/>
      <x:c r="C20" s="61"/>
      <x:c r="D20" s="61"/>
      <x:c r="E20" s="61"/>
      <x:c r="F20" s="61"/>
      <x:c r="G20" s="61"/>
      <x:c r="H20" s="61"/>
      <x:c r="I20" s="61"/>
      <x:c r="J20" s="61"/>
    </x:row>
    <x:row r="21">
      <x:c r="A21" s="61"/>
      <x:c r="B21" s="61"/>
      <x:c r="C21" s="61"/>
      <x:c r="D21" s="61"/>
      <x:c r="E21" s="61"/>
      <x:c r="F21" s="61"/>
      <x:c r="G21" s="61"/>
      <x:c r="H21" s="61"/>
      <x:c r="I21" s="61"/>
      <x:c r="J21" s="61"/>
    </x:row>
    <x:row r="22">
      <x:c r="A22" s="61"/>
      <x:c r="B22" s="61"/>
      <x:c r="C22" s="61"/>
      <x:c r="D22" s="61"/>
      <x:c r="E22" s="61"/>
      <x:c r="F22" s="61"/>
      <x:c r="G22" s="61"/>
      <x:c r="H22" s="61"/>
      <x:c r="I22" s="61"/>
      <x:c r="J22" s="61"/>
    </x:row>
    <x:row r="23">
      <x:c r="A23" s="61"/>
      <x:c r="B23" s="61"/>
      <x:c r="C23" s="61"/>
      <x:c r="D23" s="61"/>
      <x:c r="E23" s="61"/>
      <x:c r="F23" s="61"/>
      <x:c r="G23" s="61"/>
      <x:c r="H23" s="61"/>
      <x:c r="I23" s="61"/>
      <x:c r="J23" s="61"/>
    </x:row>
    <x:row r="24">
      <x:c r="A24" s="61"/>
      <x:c r="B24" s="61"/>
      <x:c r="C24" s="61"/>
      <x:c r="D24" s="61"/>
      <x:c r="E24" s="61"/>
      <x:c r="F24" s="61"/>
      <x:c r="G24" s="61"/>
      <x:c r="H24" s="61"/>
      <x:c r="I24" s="61"/>
      <x:c r="J24" s="61"/>
    </x:row>
    <x:row r="25">
      <x:c r="A25" s="61"/>
      <x:c r="B25" s="61"/>
      <x:c r="C25" s="61"/>
      <x:c r="D25" s="61"/>
      <x:c r="E25" s="61"/>
      <x:c r="F25" s="61"/>
      <x:c r="G25" s="61"/>
      <x:c r="H25" s="61"/>
      <x:c r="I25" s="61"/>
      <x:c r="J25" s="61"/>
    </x:row>
    <x:row r="26">
      <x:c r="A26" s="61"/>
      <x:c r="B26" s="61"/>
      <x:c r="C26" s="61"/>
      <x:c r="D26" s="61"/>
      <x:c r="E26" s="61"/>
      <x:c r="F26" s="61"/>
      <x:c r="G26" s="61"/>
      <x:c r="H26" s="61"/>
      <x:c r="I26" s="61"/>
      <x:c r="J26" s="61"/>
    </x:row>
    <x:row r="27">
      <x:c r="A27" s="61"/>
      <x:c r="B27" s="61"/>
      <x:c r="C27" s="61"/>
      <x:c r="D27" s="61"/>
      <x:c r="E27" s="61"/>
      <x:c r="F27" s="61"/>
      <x:c r="G27" s="61"/>
      <x:c r="H27" s="61"/>
      <x:c r="I27" s="61"/>
      <x:c r="J27" s="61"/>
    </x:row>
    <x:row r="28">
      <x:c r="A28" s="61"/>
      <x:c r="B28" s="61"/>
      <x:c r="C28" s="61"/>
      <x:c r="D28" s="61"/>
      <x:c r="E28" s="61"/>
      <x:c r="F28" s="61"/>
      <x:c r="G28" s="61"/>
      <x:c r="H28" s="61"/>
      <x:c r="I28" s="61"/>
      <x:c r="J28" s="61"/>
    </x:row>
    <x:row r="29">
      <x:c r="A29" s="61"/>
      <x:c r="B29" s="61"/>
      <x:c r="C29" s="61"/>
      <x:c r="D29" s="61"/>
      <x:c r="E29" s="61"/>
      <x:c r="F29" s="61"/>
      <x:c r="G29" s="61"/>
      <x:c r="H29" s="61"/>
      <x:c r="I29" s="61"/>
      <x:c r="J29" s="61"/>
    </x:row>
    <x:row r="30">
      <x:c r="A30" s="61"/>
      <x:c r="B30" s="61"/>
      <x:c r="C30" s="61"/>
      <x:c r="D30" s="61"/>
      <x:c r="E30" s="61"/>
      <x:c r="F30" s="61"/>
      <x:c r="G30" s="61"/>
      <x:c r="H30" s="61"/>
      <x:c r="I30" s="61"/>
      <x:c r="J30" s="61"/>
    </x:row>
    <x:row r="31">
      <x:c r="A31" s="61"/>
      <x:c r="B31" s="61"/>
      <x:c r="C31" s="61"/>
      <x:c r="D31" s="61"/>
      <x:c r="E31" s="61"/>
      <x:c r="F31" s="61"/>
      <x:c r="G31" s="61"/>
      <x:c r="H31" s="61"/>
      <x:c r="I31" s="61"/>
      <x:c r="J31" s="61"/>
    </x:row>
    <x:row r="32">
      <x:c r="A32" s="61"/>
      <x:c r="B32" s="61"/>
      <x:c r="C32" s="61"/>
      <x:c r="D32" s="61"/>
      <x:c r="E32" s="61"/>
      <x:c r="F32" s="61"/>
      <x:c r="G32" s="61"/>
      <x:c r="H32" s="61"/>
      <x:c r="I32" s="61"/>
      <x:c r="J32" s="61"/>
    </x:row>
    <x:row r="33">
      <x:c r="A33" s="61"/>
      <x:c r="B33" s="61"/>
      <x:c r="C33" s="61"/>
      <x:c r="D33" s="61"/>
      <x:c r="E33" s="61"/>
      <x:c r="F33" s="61"/>
      <x:c r="G33" s="61"/>
      <x:c r="H33" s="61"/>
      <x:c r="I33" s="61"/>
      <x:c r="J33" s="61"/>
    </x:row>
    <x:row r="34">
      <x:c r="A34" s="61"/>
      <x:c r="B34" s="61"/>
      <x:c r="C34" s="61"/>
      <x:c r="D34" s="61"/>
      <x:c r="E34" s="61"/>
      <x:c r="F34" s="61"/>
      <x:c r="G34" s="61"/>
      <x:c r="H34" s="61"/>
      <x:c r="I34" s="61"/>
      <x:c r="J34" s="61"/>
    </x:row>
    <x:row r="35">
      <x:c r="A35" s="61"/>
      <x:c r="B35" s="61"/>
      <x:c r="C35" s="61"/>
      <x:c r="D35" s="61"/>
      <x:c r="E35" s="61"/>
      <x:c r="F35" s="61"/>
      <x:c r="G35" s="61"/>
      <x:c r="H35" s="61"/>
      <x:c r="I35" s="61"/>
      <x:c r="J35" s="61"/>
    </x:row>
    <x:row r="36">
      <x:c r="A36" s="61"/>
      <x:c r="B36" s="61"/>
      <x:c r="C36" s="61"/>
      <x:c r="D36" s="61"/>
      <x:c r="E36" s="61"/>
      <x:c r="F36" s="61"/>
      <x:c r="G36" s="61"/>
      <x:c r="H36" s="61"/>
      <x:c r="I36" s="61"/>
      <x:c r="J36" s="61"/>
    </x:row>
    <x:row r="37">
      <x:c r="A37" s="61"/>
      <x:c r="B37" s="61"/>
      <x:c r="C37" s="61"/>
      <x:c r="D37" s="61"/>
      <x:c r="E37" s="61"/>
      <x:c r="F37" s="61"/>
      <x:c r="G37" s="61"/>
      <x:c r="H37" s="61"/>
      <x:c r="I37" s="61"/>
      <x:c r="J37" s="61"/>
    </x:row>
    <x:row r="38">
      <x:c r="A38" s="61"/>
      <x:c r="B38" s="61"/>
      <x:c r="C38" s="61"/>
      <x:c r="D38" s="61"/>
      <x:c r="E38" s="61"/>
      <x:c r="F38" s="61"/>
      <x:c r="G38" s="61"/>
      <x:c r="H38" s="61"/>
      <x:c r="I38" s="61"/>
      <x:c r="J38" s="61"/>
    </x:row>
    <x:row r="39">
      <x:c r="A39" s="61"/>
      <x:c r="B39" s="61"/>
      <x:c r="C39" s="61"/>
      <x:c r="D39" s="61"/>
      <x:c r="E39" s="61"/>
      <x:c r="F39" s="61"/>
      <x:c r="G39" s="61"/>
      <x:c r="H39" s="61"/>
      <x:c r="I39" s="61"/>
      <x:c r="J39" s="61"/>
    </x:row>
    <x:row r="40">
      <x:c r="A40" s="61"/>
      <x:c r="B40" s="61"/>
      <x:c r="C40" s="61"/>
      <x:c r="D40" s="61"/>
      <x:c r="E40" s="61"/>
      <x:c r="F40" s="61"/>
      <x:c r="G40" s="61"/>
      <x:c r="H40" s="61"/>
      <x:c r="I40" s="61"/>
      <x:c r="J40" s="61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4" hidden="0" customWidth="1"/>
    <x:col min="8" max="8" width="28" hidden="0" customWidth="1"/>
    <x:col min="9" max="9" width="28" hidden="0" customWidth="1"/>
    <x:col min="10" max="10" width="28" hidden="0" customWidth="1"/>
  </x:cols>
  <x:sheetData>
    <x:row r="1">
      <x:c r="A1" s="60" t="str">
        <x:v>01. Исходные параметры оценки рынка</x:v>
      </x:c>
      <x:c r="B1" s="60"/>
      <x:c r="C1" s="60"/>
      <x:c r="D1" s="60"/>
      <x:c r="E1" s="60"/>
      <x:c r="F1" s="60"/>
      <x:c r="G1" s="61"/>
      <x:c r="H1" s="61"/>
      <x:c r="I1" s="61"/>
      <x:c r="J1" s="61"/>
    </x:row>
    <x:row r="2">
      <x:c r="A2" s="61"/>
      <x:c r="B2" s="61"/>
      <x:c r="C2" s="61"/>
      <x:c r="D2" s="61"/>
      <x:c r="E2" s="61"/>
      <x:c r="F2" s="61"/>
      <x:c r="G2" s="61"/>
      <x:c r="H2" s="61"/>
      <x:c r="I2" s="61"/>
      <x:c r="J2" s="61"/>
    </x:row>
    <x:row r="3">
      <x:c r="A3" s="62" t="str">
        <x:v>Параметр</x:v>
      </x:c>
      <x:c r="B3" s="62" t="str">
        <x:v>Значение</x:v>
      </x:c>
      <x:c r="C3" s="62" t="str">
        <x:v>Единица</x:v>
      </x:c>
      <x:c r="D3" s="62" t="str">
        <x:v>Источник/обоснование</x:v>
      </x:c>
      <x:c r="E3" s="62" t="str">
        <x:v>Комментарий</x:v>
      </x:c>
      <x:c r="F3" s="62" t="str">
        <x:v>Статус</x:v>
      </x:c>
      <x:c r="G3" s="61"/>
      <x:c r="H3" s="61"/>
      <x:c r="I3" s="61"/>
      <x:c r="J3" s="61"/>
    </x:row>
    <x:row r="4">
      <x:c r="A4" s="61" t="str">
        <x:v>Название бизнес-идеи</x:v>
      </x:c>
      <x:c r="B4" s="64" t="str">
        <x:v>Маркетинговое сопровождение малого бизнеса</x:v>
      </x:c>
      <x:c r="C4" s="61" t="str">
        <x:v>текст</x:v>
      </x:c>
      <x:c r="D4" s="61" t="str">
        <x:v>Пользователь</x:v>
      </x:c>
      <x:c r="E4" s="61" t="str">
        <x:v>Можно заменить на любую бизнес-идею.</x:v>
      </x:c>
      <x:c r="F4" s="61" t="str">
        <x:v>ввод</x:v>
      </x:c>
      <x:c r="G4" s="61"/>
      <x:c r="H4" s="61"/>
      <x:c r="I4" s="61"/>
      <x:c r="J4" s="61"/>
    </x:row>
    <x:row r="5">
      <x:c r="A5" s="61" t="str">
        <x:v>Географические границы</x:v>
      </x:c>
      <x:c r="B5" s="64" t="str">
        <x:v>Республика Беларусь</x:v>
      </x:c>
      <x:c r="C5" s="61" t="str">
        <x:v>территория</x:v>
      </x:c>
      <x:c r="D5" s="61" t="str">
        <x:v>Ранее зафиксированные границы рынка</x:v>
      </x:c>
      <x:c r="E5" s="61" t="str">
        <x:v>При необходимости указать город или регион.</x:v>
      </x:c>
      <x:c r="F5" s="61" t="str">
        <x:v>ввод</x:v>
      </x:c>
      <x:c r="G5" s="61"/>
      <x:c r="H5" s="61"/>
      <x:c r="I5" s="61"/>
      <x:c r="J5" s="61"/>
    </x:row>
    <x:row r="6">
      <x:c r="A6" s="61" t="str">
        <x:v>Период расчета</x:v>
      </x:c>
      <x:c r="B6" s="64" t="str">
        <x:v>месяц / год</x:v>
      </x:c>
      <x:c r="C6" s="61" t="str">
        <x:v>период</x:v>
      </x:c>
      <x:c r="D6" s="61" t="str">
        <x:v>Методика</x:v>
      </x:c>
      <x:c r="E6" s="61" t="str">
        <x:v>Для рынка услуг удобно считать месяц и год.</x:v>
      </x:c>
      <x:c r="F6" s="61" t="str">
        <x:v>ввод</x:v>
      </x:c>
      <x:c r="G6" s="61"/>
      <x:c r="H6" s="61"/>
      <x:c r="I6" s="61"/>
      <x:c r="J6" s="61"/>
    </x:row>
    <x:row r="7">
      <x:c r="A7" s="61" t="str">
        <x:v>Валюта расчета</x:v>
      </x:c>
      <x:c r="B7" s="64" t="str">
        <x:v>BYN</x:v>
      </x:c>
      <x:c r="C7" s="61" t="str">
        <x:v>валюта</x:v>
      </x:c>
      <x:c r="D7" s="61" t="str">
        <x:v>Пользователь</x:v>
      </x:c>
      <x:c r="E7" s="61" t="str">
        <x:v>Можно заменить на RUB, USD, EUR.</x:v>
      </x:c>
      <x:c r="F7" s="61" t="str">
        <x:v>ввод</x:v>
      </x:c>
      <x:c r="G7" s="61"/>
      <x:c r="H7" s="61"/>
      <x:c r="I7" s="61"/>
      <x:c r="J7" s="61"/>
    </x:row>
    <x:row r="8">
      <x:c r="A8" s="61" t="str">
        <x:v>Целевой клиент</x:v>
      </x:c>
      <x:c r="B8" s="74" t="str">
        <x:v>малый и средний бизнес</x:v>
      </x:c>
      <x:c r="C8" s="61" t="str">
        <x:v>сегмент</x:v>
      </x:c>
      <x:c r="D8" s="61" t="str">
        <x:v>Границы рынка</x:v>
      </x:c>
      <x:c r="E8" s="61" t="str">
        <x:v>Кто потенциально покупает услугу.</x:v>
      </x:c>
      <x:c r="F8" s="61" t="str">
        <x:v>ввод</x:v>
      </x:c>
      <x:c r="G8" s="61"/>
      <x:c r="H8" s="61"/>
      <x:c r="I8" s="61"/>
      <x:c r="J8" s="61"/>
    </x:row>
    <x:row r="9">
      <x:c r="A9" s="61" t="str">
        <x:v>Средний чек базовый</x:v>
      </x:c>
      <x:c r="B9" s="74" t="n">
        <x:v>800</x:v>
      </x:c>
      <x:c r="C9" s="61" t="str">
        <x:v>BYN/сделка</x:v>
      </x:c>
      <x:c r="D9" s="61" t="str">
        <x:v>Оценка конкурентов/экспертно</x:v>
      </x:c>
      <x:c r="E9" s="61" t="str">
        <x:v>Используется в базовом сценарии.</x:v>
      </x:c>
      <x:c r="F9" s="61" t="str">
        <x:v>ввод</x:v>
      </x:c>
      <x:c r="G9" s="61"/>
      <x:c r="H9" s="61"/>
      <x:c r="I9" s="61"/>
      <x:c r="J9" s="61"/>
    </x:row>
    <x:row r="10">
      <x:c r="A10" s="61" t="str">
        <x:v>Средний чек осторожный</x:v>
      </x:c>
      <x:c r="B10" s="74" t="n">
        <x:v>500</x:v>
      </x:c>
      <x:c r="C10" s="61" t="str">
        <x:v>BYN/сделка</x:v>
      </x:c>
      <x:c r="D10" s="61" t="str">
        <x:v>Оценка конкурентов/экспертно</x:v>
      </x:c>
      <x:c r="E10" s="61" t="str">
        <x:v>Нижняя граница чека.</x:v>
      </x:c>
      <x:c r="F10" s="61" t="str">
        <x:v>ввод</x:v>
      </x:c>
      <x:c r="G10" s="61"/>
      <x:c r="H10" s="61"/>
      <x:c r="I10" s="61"/>
      <x:c r="J10" s="61"/>
    </x:row>
    <x:row r="11">
      <x:c r="A11" s="61" t="str">
        <x:v>Средний чек оптимистичный</x:v>
      </x:c>
      <x:c r="B11" s="75" t="n">
        <x:v>1200</x:v>
      </x:c>
      <x:c r="C11" s="61" t="str">
        <x:v>BYN/сделка</x:v>
      </x:c>
      <x:c r="D11" s="61" t="str">
        <x:v>Оценка конкурентов/экспертно</x:v>
      </x:c>
      <x:c r="E11" s="61" t="str">
        <x:v>Верхняя граница чека.</x:v>
      </x:c>
      <x:c r="F11" s="61" t="str">
        <x:v>ввод</x:v>
      </x:c>
      <x:c r="G11" s="61"/>
      <x:c r="H11" s="61"/>
      <x:c r="I11" s="61"/>
      <x:c r="J11" s="61"/>
    </x:row>
    <x:row r="12">
      <x:c r="A12" s="61" t="str">
        <x:v>Целевая доля релевантного трафика</x:v>
      </x:c>
      <x:c r="B12" s="64" t="n">
        <x:v>0.7</x:v>
      </x:c>
      <x:c r="C12" s="61" t="str">
        <x:v>доля</x:v>
      </x:c>
      <x:c r="D12" s="61" t="str">
        <x:v>Экспертно</x:v>
      </x:c>
      <x:c r="E12" s="61" t="str">
        <x:v>Какая часть собранного трафика относится к анализируемому рынку.</x:v>
      </x:c>
      <x:c r="F12" s="61" t="str">
        <x:v>ввод</x:v>
      </x:c>
      <x:c r="G12" s="61"/>
      <x:c r="H12" s="61"/>
      <x:c r="I12" s="61"/>
      <x:c r="J12" s="61"/>
    </x:row>
    <x:row r="13">
      <x:c r="A13" s="61" t="str">
        <x:v>Коэффициент покрытия конкурентов</x:v>
      </x:c>
      <x:c r="B13" s="64" t="n">
        <x:v>0.6</x:v>
      </x:c>
      <x:c r="C13" s="61" t="str">
        <x:v>доля</x:v>
      </x:c>
      <x:c r="D13" s="61" t="str">
        <x:v>Экспертно</x:v>
      </x:c>
      <x:c r="E13" s="61" t="str">
        <x:v>Доля рынка, представленная найденными сайтами конкурентов.</x:v>
      </x:c>
      <x:c r="F13" s="61" t="str">
        <x:v>ввод</x:v>
      </x:c>
      <x:c r="G13" s="61"/>
      <x:c r="H13" s="61"/>
      <x:c r="I13" s="61"/>
      <x:c r="J13" s="61"/>
    </x:row>
    <x:row r="14">
      <x:c r="A14" s="61" t="str">
        <x:v>Дата обновления файла</x:v>
      </x:c>
      <x:c r="B14" s="76" t="n">
        <x:v>46145</x:v>
      </x:c>
      <x:c r="C14" s="61" t="str">
        <x:v>дата</x:v>
      </x:c>
      <x:c r="D14" s="61" t="str">
        <x:v>Пользователь</x:v>
      </x:c>
      <x:c r="E14" s="61" t="str">
        <x:v>Обновлять при новой выгрузке данных.</x:v>
      </x:c>
      <x:c r="F14" s="61" t="str">
        <x:v>ввод</x:v>
      </x:c>
      <x:c r="G14" s="61"/>
      <x:c r="H14" s="61"/>
      <x:c r="I14" s="61"/>
      <x:c r="J14" s="61"/>
    </x:row>
    <x:row r="15">
      <x:c r="A15" s="61"/>
      <x:c r="B15" s="61"/>
      <x:c r="C15" s="61"/>
      <x:c r="D15" s="61"/>
      <x:c r="E15" s="61"/>
      <x:c r="F15" s="61"/>
      <x:c r="G15" s="61"/>
      <x:c r="H15" s="61"/>
      <x:c r="I15" s="61"/>
      <x:c r="J15" s="61"/>
    </x:row>
    <x:row r="16">
      <x:c r="A16" s="62" t="str">
        <x:v>Сценарий</x:v>
      </x:c>
      <x:c r="B16" s="62" t="str">
        <x:v>Доля достижимого трафика</x:v>
      </x:c>
      <x:c r="C16" s="62" t="str">
        <x:v>Конверсия посещение → заявка</x:v>
      </x:c>
      <x:c r="D16" s="62" t="str">
        <x:v>Конверсия заявка → продажа</x:v>
      </x:c>
      <x:c r="E16" s="62" t="str">
        <x:v>Средний чек</x:v>
      </x:c>
      <x:c r="F16" s="62" t="str">
        <x:v>Повторных покупок в год</x:v>
      </x:c>
      <x:c r="G16" s="61"/>
      <x:c r="H16" s="61"/>
      <x:c r="I16" s="61"/>
      <x:c r="J16" s="61"/>
    </x:row>
    <x:row r="17">
      <x:c r="A17" s="61" t="str">
        <x:v>Осторожный</x:v>
      </x:c>
      <x:c r="B17" s="77" t="n">
        <x:v>0.15</x:v>
      </x:c>
      <x:c r="C17" s="77" t="n">
        <x:v>0.01</x:v>
      </x:c>
      <x:c r="D17" s="77" t="n">
        <x:v>0.15</x:v>
      </x:c>
      <x:c r="E17" s="78" t="n">
        <x:f>B10</x:f>
        <x:v>500</x:v>
      </x:c>
      <x:c r="F17" s="79" t="n">
        <x:v>1</x:v>
      </x:c>
      <x:c r="G17" s="61"/>
      <x:c r="H17" s="61"/>
      <x:c r="I17" s="61"/>
      <x:c r="J17" s="61"/>
    </x:row>
    <x:row r="18">
      <x:c r="A18" s="61" t="str">
        <x:v>Базовый</x:v>
      </x:c>
      <x:c r="B18" s="77" t="n">
        <x:v>0.25</x:v>
      </x:c>
      <x:c r="C18" s="77" t="n">
        <x:v>0.025</x:v>
      </x:c>
      <x:c r="D18" s="77" t="n">
        <x:v>0.25</x:v>
      </x:c>
      <x:c r="E18" s="78" t="n">
        <x:f>B9</x:f>
        <x:v>800</x:v>
      </x:c>
      <x:c r="F18" s="79" t="n">
        <x:v>2</x:v>
      </x:c>
      <x:c r="G18" s="61"/>
      <x:c r="H18" s="61"/>
      <x:c r="I18" s="61"/>
      <x:c r="J18" s="61"/>
    </x:row>
    <x:row r="19">
      <x:c r="A19" s="61" t="str">
        <x:v>Оптимистичный</x:v>
      </x:c>
      <x:c r="B19" s="77" t="n">
        <x:v>0.4</x:v>
      </x:c>
      <x:c r="C19" s="77" t="n">
        <x:v>0.05</x:v>
      </x:c>
      <x:c r="D19" s="77" t="n">
        <x:v>0.35</x:v>
      </x:c>
      <x:c r="E19" s="78" t="n">
        <x:f>B11</x:f>
        <x:v>1200</x:v>
      </x:c>
      <x:c r="F19" s="79" t="n">
        <x:v>3</x:v>
      </x:c>
      <x:c r="G19" s="61"/>
      <x:c r="H19" s="61"/>
      <x:c r="I19" s="61"/>
      <x:c r="J19" s="61"/>
    </x:row>
    <x:row r="20">
      <x:c r="A20" s="61"/>
      <x:c r="B20" s="61"/>
      <x:c r="C20" s="61"/>
      <x:c r="D20" s="61"/>
      <x:c r="E20" s="61"/>
      <x:c r="F20" s="61"/>
      <x:c r="G20" s="61"/>
      <x:c r="H20" s="61"/>
      <x:c r="I20" s="61"/>
      <x:c r="J20" s="61"/>
    </x:row>
    <x:row r="21">
      <x:c r="A21" s="61"/>
      <x:c r="B21" s="61"/>
      <x:c r="C21" s="61"/>
      <x:c r="D21" s="61"/>
      <x:c r="E21" s="61"/>
      <x:c r="F21" s="61"/>
      <x:c r="G21" s="61"/>
      <x:c r="H21" s="61"/>
      <x:c r="I21" s="61"/>
      <x:c r="J21" s="61"/>
    </x:row>
    <x:row r="22">
      <x:c r="A22" s="61"/>
      <x:c r="B22" s="61"/>
      <x:c r="C22" s="61"/>
      <x:c r="D22" s="61"/>
      <x:c r="E22" s="61"/>
      <x:c r="F22" s="61"/>
      <x:c r="G22" s="61"/>
      <x:c r="H22" s="61"/>
      <x:c r="I22" s="61"/>
      <x:c r="J22" s="61"/>
    </x:row>
    <x:row r="23">
      <x:c r="A23" s="61"/>
      <x:c r="B23" s="61"/>
      <x:c r="C23" s="61"/>
      <x:c r="D23" s="61"/>
      <x:c r="E23" s="61"/>
      <x:c r="F23" s="61"/>
      <x:c r="G23" s="61"/>
      <x:c r="H23" s="61"/>
      <x:c r="I23" s="61"/>
      <x:c r="J23" s="61"/>
    </x:row>
    <x:row r="24">
      <x:c r="A24" s="61"/>
      <x:c r="B24" s="61"/>
      <x:c r="C24" s="61"/>
      <x:c r="D24" s="61"/>
      <x:c r="E24" s="61"/>
      <x:c r="F24" s="61"/>
      <x:c r="G24" s="61"/>
      <x:c r="H24" s="61"/>
      <x:c r="I24" s="61"/>
      <x:c r="J24" s="61"/>
    </x:row>
    <x:row r="25">
      <x:c r="A25" s="61"/>
      <x:c r="B25" s="61"/>
      <x:c r="C25" s="61"/>
      <x:c r="D25" s="61"/>
      <x:c r="E25" s="61"/>
      <x:c r="F25" s="61"/>
      <x:c r="G25" s="61"/>
      <x:c r="H25" s="61"/>
      <x:c r="I25" s="61"/>
      <x:c r="J25" s="61"/>
    </x:row>
    <x:row r="26">
      <x:c r="A26" s="61"/>
      <x:c r="B26" s="61"/>
      <x:c r="C26" s="61"/>
      <x:c r="D26" s="61"/>
      <x:c r="E26" s="61"/>
      <x:c r="F26" s="61"/>
      <x:c r="G26" s="61"/>
      <x:c r="H26" s="61"/>
      <x:c r="I26" s="61"/>
      <x:c r="J26" s="61"/>
    </x:row>
    <x:row r="27">
      <x:c r="A27" s="61"/>
      <x:c r="B27" s="61"/>
      <x:c r="C27" s="61"/>
      <x:c r="D27" s="61"/>
      <x:c r="E27" s="61"/>
      <x:c r="F27" s="61"/>
      <x:c r="G27" s="61"/>
      <x:c r="H27" s="61"/>
      <x:c r="I27" s="61"/>
      <x:c r="J27" s="61"/>
    </x:row>
    <x:row r="28">
      <x:c r="A28" s="61"/>
      <x:c r="B28" s="61"/>
      <x:c r="C28" s="61"/>
      <x:c r="D28" s="61"/>
      <x:c r="E28" s="61"/>
      <x:c r="F28" s="61"/>
      <x:c r="G28" s="61"/>
      <x:c r="H28" s="61"/>
      <x:c r="I28" s="61"/>
      <x:c r="J28" s="61"/>
    </x:row>
    <x:row r="29">
      <x:c r="A29" s="61"/>
      <x:c r="B29" s="61"/>
      <x:c r="C29" s="61"/>
      <x:c r="D29" s="61"/>
      <x:c r="E29" s="61"/>
      <x:c r="F29" s="61"/>
      <x:c r="G29" s="61"/>
      <x:c r="H29" s="61"/>
      <x:c r="I29" s="61"/>
      <x:c r="J29" s="61"/>
    </x:row>
    <x:row r="30">
      <x:c r="A30" s="61"/>
      <x:c r="B30" s="61"/>
      <x:c r="C30" s="61"/>
      <x:c r="D30" s="61"/>
      <x:c r="E30" s="61"/>
      <x:c r="F30" s="61"/>
      <x:c r="G30" s="61"/>
      <x:c r="H30" s="61"/>
      <x:c r="I30" s="61"/>
      <x:c r="J30" s="61"/>
    </x:row>
    <x:row r="31">
      <x:c r="A31" s="61"/>
      <x:c r="B31" s="61"/>
      <x:c r="C31" s="61"/>
      <x:c r="D31" s="61"/>
      <x:c r="E31" s="61"/>
      <x:c r="F31" s="61"/>
      <x:c r="G31" s="61"/>
      <x:c r="H31" s="61"/>
      <x:c r="I31" s="61"/>
      <x:c r="J31" s="61"/>
    </x:row>
    <x:row r="32">
      <x:c r="A32" s="61"/>
      <x:c r="B32" s="61"/>
      <x:c r="C32" s="61"/>
      <x:c r="D32" s="61"/>
      <x:c r="E32" s="61"/>
      <x:c r="F32" s="61"/>
      <x:c r="G32" s="61"/>
      <x:c r="H32" s="61"/>
      <x:c r="I32" s="61"/>
      <x:c r="J32" s="61"/>
    </x:row>
    <x:row r="33">
      <x:c r="A33" s="61"/>
      <x:c r="B33" s="61"/>
      <x:c r="C33" s="61"/>
      <x:c r="D33" s="61"/>
      <x:c r="E33" s="61"/>
      <x:c r="F33" s="61"/>
      <x:c r="G33" s="61"/>
      <x:c r="H33" s="61"/>
      <x:c r="I33" s="61"/>
      <x:c r="J33" s="61"/>
    </x:row>
    <x:row r="34">
      <x:c r="A34" s="61"/>
      <x:c r="B34" s="61"/>
      <x:c r="C34" s="61"/>
      <x:c r="D34" s="61"/>
      <x:c r="E34" s="61"/>
      <x:c r="F34" s="61"/>
      <x:c r="G34" s="61"/>
      <x:c r="H34" s="61"/>
      <x:c r="I34" s="61"/>
      <x:c r="J34" s="61"/>
    </x:row>
    <x:row r="35">
      <x:c r="A35" s="61"/>
      <x:c r="B35" s="61"/>
      <x:c r="C35" s="61"/>
      <x:c r="D35" s="61"/>
      <x:c r="E35" s="61"/>
      <x:c r="F35" s="61"/>
      <x:c r="G35" s="61"/>
      <x:c r="H35" s="61"/>
      <x:c r="I35" s="61"/>
      <x:c r="J35" s="61"/>
    </x:row>
    <x:row r="36">
      <x:c r="A36" s="61"/>
      <x:c r="B36" s="61"/>
      <x:c r="C36" s="61"/>
      <x:c r="D36" s="61"/>
      <x:c r="E36" s="61"/>
      <x:c r="F36" s="61"/>
      <x:c r="G36" s="61"/>
      <x:c r="H36" s="61"/>
      <x:c r="I36" s="61"/>
      <x:c r="J36" s="61"/>
    </x:row>
    <x:row r="37">
      <x:c r="A37" s="61"/>
      <x:c r="B37" s="61"/>
      <x:c r="C37" s="61"/>
      <x:c r="D37" s="61"/>
      <x:c r="E37" s="61"/>
      <x:c r="F37" s="61"/>
      <x:c r="G37" s="61"/>
      <x:c r="H37" s="61"/>
      <x:c r="I37" s="61"/>
      <x:c r="J37" s="61"/>
    </x:row>
    <x:row r="38">
      <x:c r="A38" s="61"/>
      <x:c r="B38" s="61"/>
      <x:c r="C38" s="61"/>
      <x:c r="D38" s="61"/>
      <x:c r="E38" s="61"/>
      <x:c r="F38" s="61"/>
      <x:c r="G38" s="61"/>
      <x:c r="H38" s="61"/>
      <x:c r="I38" s="61"/>
      <x:c r="J38" s="61"/>
    </x:row>
    <x:row r="39">
      <x:c r="A39" s="61"/>
      <x:c r="B39" s="61"/>
      <x:c r="C39" s="61"/>
      <x:c r="D39" s="61"/>
      <x:c r="E39" s="61"/>
      <x:c r="F39" s="61"/>
      <x:c r="G39" s="61"/>
      <x:c r="H39" s="61"/>
      <x:c r="I39" s="61"/>
      <x:c r="J39" s="61"/>
    </x:row>
    <x:row r="40">
      <x:c r="A40" s="61"/>
      <x:c r="B40" s="61"/>
      <x:c r="C40" s="61"/>
      <x:c r="D40" s="61"/>
      <x:c r="E40" s="61"/>
      <x:c r="F40" s="61"/>
      <x:c r="G40" s="61"/>
      <x:c r="H40" s="61"/>
      <x:c r="I40" s="61"/>
      <x:c r="J40" s="61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4" hidden="0" customWidth="1"/>
    <x:col min="8" max="8" width="28" hidden="0" customWidth="1"/>
    <x:col min="9" max="9" width="28" hidden="0" customWidth="1"/>
    <x:col min="10" max="10" width="28" hidden="0" customWidth="1"/>
  </x:cols>
  <x:sheetData>
    <x:row r="1">
      <x:c r="A1" s="60" t="str">
        <x:v>02. Охват и трафик по цифровым каналам</x:v>
      </x:c>
      <x:c r="B1" s="60"/>
      <x:c r="C1" s="60"/>
      <x:c r="D1" s="60"/>
      <x:c r="E1" s="60"/>
      <x:c r="F1" s="60"/>
      <x:c r="G1" s="60"/>
      <x:c r="H1" s="60"/>
      <x:c r="I1" s="60"/>
      <x:c r="J1" s="61"/>
    </x:row>
    <x:row r="2">
      <x:c r="A2" s="61"/>
      <x:c r="B2" s="61"/>
      <x:c r="C2" s="61"/>
      <x:c r="D2" s="61"/>
      <x:c r="E2" s="61"/>
      <x:c r="F2" s="61"/>
      <x:c r="G2" s="61"/>
      <x:c r="H2" s="61"/>
      <x:c r="I2" s="61"/>
      <x:c r="J2" s="61"/>
    </x:row>
    <x:row r="3">
      <x:c r="A3" s="62" t="str">
        <x:v>Канал</x:v>
      </x:c>
      <x:c r="B3" s="62" t="str">
        <x:v>Источник данных</x:v>
      </x:c>
      <x:c r="C3" s="62" t="str">
        <x:v>Охват/показы/посещения в месяц</x:v>
      </x:c>
      <x:c r="D3" s="62" t="str">
        <x:v>CTR или доля переходов</x:v>
      </x:c>
      <x:c r="E3" s="62" t="str">
        <x:v>Посещения в месяц</x:v>
      </x:c>
      <x:c r="F3" s="62" t="str">
        <x:v>Доля релевантной аудитории</x:v>
      </x:c>
      <x:c r="G3" s="62" t="str">
        <x:v>Релевантные посещения</x:v>
      </x:c>
      <x:c r="H3" s="62" t="str">
        <x:v>Качество данных</x:v>
      </x:c>
      <x:c r="I3" s="62" t="str">
        <x:v>Комментарий</x:v>
      </x:c>
      <x:c r="J3" s="61"/>
    </x:row>
    <x:row r="4">
      <x:c r="A4" s="61" t="str">
        <x:v>Органический поиск</x:v>
      </x:c>
      <x:c r="B4" s="61" t="str">
        <x:v>Google Trends / Яндекс Вордстат / Search Console</x:v>
      </x:c>
      <x:c r="C4" s="74" t="n">
        <x:v>20000</x:v>
      </x:c>
      <x:c r="D4" s="74" t="n">
        <x:v>0.12</x:v>
      </x:c>
      <x:c r="E4" s="78" t="n">
        <x:f>C4*D4</x:f>
        <x:v>2400</x:v>
      </x:c>
      <x:c r="F4" s="74" t="n">
        <x:v>0.7</x:v>
      </x:c>
      <x:c r="G4" s="78" t="n">
        <x:f>E4*F4</x:f>
        <x:v>1680</x:v>
      </x:c>
      <x:c r="H4" s="61" t="str">
        <x:v>среднее</x:v>
      </x:c>
      <x:c r="I4" s="61" t="str">
        <x:v>Оценка переходов из поискового спроса.</x:v>
      </x:c>
      <x:c r="J4" s="61"/>
    </x:row>
    <x:row r="5">
      <x:c r="A5" s="61" t="str">
        <x:v>Платный поиск</x:v>
      </x:c>
      <x:c r="B5" s="61" t="str">
        <x:v>Google Ads / Яндекс Директ</x:v>
      </x:c>
      <x:c r="C5" s="74" t="n">
        <x:v>12000</x:v>
      </x:c>
      <x:c r="D5" s="74" t="n">
        <x:v>0.06</x:v>
      </x:c>
      <x:c r="E5" s="78" t="n">
        <x:f>C5*D5</x:f>
        <x:v>720</x:v>
      </x:c>
      <x:c r="F5" s="74" t="n">
        <x:v>0.75</x:v>
      </x:c>
      <x:c r="G5" s="78" t="n">
        <x:f>E5*F5</x:f>
        <x:v>540</x:v>
      </x:c>
      <x:c r="H5" s="61" t="str">
        <x:v>среднее</x:v>
      </x:c>
      <x:c r="I5" s="61" t="str">
        <x:v>Оценка рекламного спроса.</x:v>
      </x:c>
      <x:c r="J5" s="61"/>
    </x:row>
    <x:row r="6">
      <x:c r="A6" s="61" t="str">
        <x:v>Социальные сети</x:v>
      </x:c>
      <x:c r="B6" s="61" t="str">
        <x:v>Meta Ads / VK / TikTok / статистика страниц</x:v>
      </x:c>
      <x:c r="C6" s="74" t="n">
        <x:v>50000</x:v>
      </x:c>
      <x:c r="D6" s="74" t="n">
        <x:v>0.015</x:v>
      </x:c>
      <x:c r="E6" s="78" t="n">
        <x:f>C6*D6</x:f>
        <x:v>750</x:v>
      </x:c>
      <x:c r="F6" s="74" t="n">
        <x:v>0.5</x:v>
      </x:c>
      <x:c r="G6" s="78" t="n">
        <x:f>E6*F6</x:f>
        <x:v>375</x:v>
      </x:c>
      <x:c r="H6" s="61" t="str">
        <x:v>низкое</x:v>
      </x:c>
      <x:c r="I6" s="61" t="str">
        <x:v>Охват не всегда равен намерению купить.</x:v>
      </x:c>
      <x:c r="J6" s="61"/>
    </x:row>
    <x:row r="7">
      <x:c r="A7" s="61" t="str">
        <x:v>Реферальные площадки</x:v>
      </x:c>
      <x:c r="B7" s="61" t="str">
        <x:v>Каталоги / партнеры / платформы</x:v>
      </x:c>
      <x:c r="C7" s="74" t="n">
        <x:v>8000</x:v>
      </x:c>
      <x:c r="D7" s="74" t="n">
        <x:v>0.04</x:v>
      </x:c>
      <x:c r="E7" s="78" t="n">
        <x:f>C7*D7</x:f>
        <x:v>320</x:v>
      </x:c>
      <x:c r="F7" s="74" t="n">
        <x:v>0.65</x:v>
      </x:c>
      <x:c r="G7" s="78" t="n">
        <x:f>E7*F7</x:f>
        <x:v>208</x:v>
      </x:c>
      <x:c r="H7" s="61" t="str">
        <x:v>среднее</x:v>
      </x:c>
      <x:c r="I7" s="61" t="str">
        <x:v>Переходы из внешних источников.</x:v>
      </x:c>
      <x:c r="J7" s="61"/>
    </x:row>
    <x:row r="8">
      <x:c r="A8" s="61" t="str">
        <x:v>Прямой трафик</x:v>
      </x:c>
      <x:c r="B8" s="61" t="str">
        <x:v>Similarweb / Google Analytics</x:v>
      </x:c>
      <x:c r="C8" s="74" t="n">
        <x:v>3000</x:v>
      </x:c>
      <x:c r="D8" s="74" t="n">
        <x:v>1</x:v>
      </x:c>
      <x:c r="E8" s="78" t="n">
        <x:f>C8*D8</x:f>
        <x:v>3000</x:v>
      </x:c>
      <x:c r="F8" s="74" t="n">
        <x:v>0.6</x:v>
      </x:c>
      <x:c r="G8" s="78" t="n">
        <x:f>E8*F8</x:f>
        <x:v>1800</x:v>
      </x:c>
      <x:c r="H8" s="61" t="str">
        <x:v>среднее</x:v>
      </x:c>
      <x:c r="I8" s="61" t="str">
        <x:v>Вводить как посещения, CTR = 100%.</x:v>
      </x:c>
      <x:c r="J8" s="61"/>
    </x:row>
    <x:row r="9">
      <x:c r="A9" s="61" t="str">
        <x:v>Маркетплейсы услуг</x:v>
      </x:c>
      <x:c r="B9" s="61" t="str">
        <x:v>Платформы / каталоги исполнителей</x:v>
      </x:c>
      <x:c r="C9" s="74" t="n">
        <x:v>6000</x:v>
      </x:c>
      <x:c r="D9" s="74" t="n">
        <x:v>0.05</x:v>
      </x:c>
      <x:c r="E9" s="78" t="n">
        <x:f>C9*D9</x:f>
        <x:v>300</x:v>
      </x:c>
      <x:c r="F9" s="74" t="n">
        <x:v>0.8</x:v>
      </x:c>
      <x:c r="G9" s="78" t="n">
        <x:f>E9*F9</x:f>
        <x:v>240</x:v>
      </x:c>
      <x:c r="H9" s="61" t="str">
        <x:v>низкое</x:v>
      </x:c>
      <x:c r="I9" s="61" t="str">
        <x:v>Оценка возможного спроса на площадках.</x:v>
      </x:c>
      <x:c r="J9" s="61"/>
    </x:row>
    <x:row r="10">
      <x:c r="A10" s="61" t="str">
        <x:v>Прочие каналы</x:v>
      </x:c>
      <x:c r="B10" s="61" t="str">
        <x:v>Экспертная оценка</x:v>
      </x:c>
      <x:c r="C10" s="74" t="n">
        <x:v>2000</x:v>
      </x:c>
      <x:c r="D10" s="74" t="n">
        <x:v>0.03</x:v>
      </x:c>
      <x:c r="E10" s="78" t="n">
        <x:f>C10*D10</x:f>
        <x:v>60</x:v>
      </x:c>
      <x:c r="F10" s="74" t="n">
        <x:v>0.4</x:v>
      </x:c>
      <x:c r="G10" s="78" t="n">
        <x:f>E10*F10</x:f>
        <x:v>24</x:v>
      </x:c>
      <x:c r="H10" s="61" t="str">
        <x:v>низкое</x:v>
      </x:c>
      <x:c r="I10" s="61" t="str">
        <x:v>Использовать осторожно.</x:v>
      </x:c>
      <x:c r="J10" s="61"/>
    </x:row>
    <x:row r="11">
      <x:c r="A11" s="61"/>
      <x:c r="B11" s="61"/>
      <x:c r="C11" s="88"/>
      <x:c r="D11" s="88"/>
      <x:c r="E11" s="88"/>
      <x:c r="F11" s="88"/>
      <x:c r="G11" s="88"/>
      <x:c r="H11" s="61"/>
      <x:c r="I11" s="61"/>
      <x:c r="J11" s="61"/>
    </x:row>
    <x:row r="12">
      <x:c r="A12" s="62" t="str">
        <x:v>Итог</x:v>
      </x:c>
      <x:c r="B12" s="62" t="str">
        <x:v>Формула</x:v>
      </x:c>
      <x:c r="C12" s="89" t="str">
        <x:v>Значение</x:v>
      </x:c>
      <x:c r="D12" s="89" t="str">
        <x:v>Единица</x:v>
      </x:c>
      <x:c r="E12" s="89" t="str">
        <x:v>Комментарий</x:v>
      </x:c>
      <x:c r="F12" s="89" t="str">
        <x:v>Используется далее</x:v>
      </x:c>
      <x:c r="G12" s="88"/>
      <x:c r="H12" s="61"/>
      <x:c r="I12" s="61"/>
      <x:c r="J12" s="61"/>
    </x:row>
    <x:row r="13">
      <x:c r="A13" s="61" t="str">
        <x:v>Общие посещения в месяц</x:v>
      </x:c>
      <x:c r="B13" s="61" t="str">
        <x:v>SUM(E4:E10)</x:v>
      </x:c>
      <x:c r="C13" s="78" t="n">
        <x:f>SUM(E4:E10)</x:f>
        <x:v>7550</x:v>
      </x:c>
      <x:c r="D13" s="88" t="str">
        <x:v>посещений</x:v>
      </x:c>
      <x:c r="E13" s="88" t="str">
        <x:v>Оценка всех переходов по каналам.</x:v>
      </x:c>
      <x:c r="F13" s="88" t="str">
        <x:v>да</x:v>
      </x:c>
      <x:c r="G13" s="88"/>
      <x:c r="H13" s="61"/>
      <x:c r="I13" s="61"/>
      <x:c r="J13" s="61"/>
    </x:row>
    <x:row r="14">
      <x:c r="A14" s="61" t="str">
        <x:v>Релевантные посещения в месяц</x:v>
      </x:c>
      <x:c r="B14" s="61" t="str">
        <x:v>SUM(G4:G10)</x:v>
      </x:c>
      <x:c r="C14" s="78" t="n">
        <x:f>SUM(G4:G10)</x:f>
        <x:v>4867</x:v>
      </x:c>
      <x:c r="D14" s="88" t="str">
        <x:v>посещений</x:v>
      </x:c>
      <x:c r="E14" s="88" t="str">
        <x:v>Трафик, относящийся к рынку.</x:v>
      </x:c>
      <x:c r="F14" s="88" t="str">
        <x:v>да</x:v>
      </x:c>
      <x:c r="G14" s="88"/>
      <x:c r="H14" s="61"/>
      <x:c r="I14" s="61"/>
      <x:c r="J14" s="61"/>
    </x:row>
    <x:row r="15">
      <x:c r="A15" s="61" t="str">
        <x:v>Релевантные посещения в год</x:v>
      </x:c>
      <x:c r="B15" s="61" t="str">
        <x:v>C14*12</x:v>
      </x:c>
      <x:c r="C15" s="78" t="n">
        <x:f>C14*12</x:f>
        <x:v>58404</x:v>
      </x:c>
      <x:c r="D15" s="88" t="str">
        <x:v>посещений</x:v>
      </x:c>
      <x:c r="E15" s="88" t="str">
        <x:v>Годовая база для сценариев.</x:v>
      </x:c>
      <x:c r="F15" s="88" t="str">
        <x:v>да</x:v>
      </x:c>
      <x:c r="G15" s="88"/>
      <x:c r="H15" s="61"/>
      <x:c r="I15" s="61"/>
      <x:c r="J15" s="61"/>
    </x:row>
    <x:row r="16">
      <x:c r="A16" s="61"/>
      <x:c r="B16" s="61"/>
      <x:c r="C16" s="61"/>
      <x:c r="D16" s="61"/>
      <x:c r="E16" s="61"/>
      <x:c r="F16" s="61"/>
      <x:c r="G16" s="61"/>
      <x:c r="H16" s="61"/>
      <x:c r="I16" s="61"/>
      <x:c r="J16" s="61"/>
    </x:row>
    <x:row r="17">
      <x:c r="A17" s="61"/>
      <x:c r="B17" s="61"/>
      <x:c r="C17" s="61"/>
      <x:c r="D17" s="61"/>
      <x:c r="E17" s="61"/>
      <x:c r="F17" s="61"/>
      <x:c r="G17" s="61"/>
      <x:c r="H17" s="61"/>
      <x:c r="I17" s="61"/>
      <x:c r="J17" s="61"/>
    </x:row>
    <x:row r="18">
      <x:c r="A18" s="61"/>
      <x:c r="B18" s="61"/>
      <x:c r="C18" s="61"/>
      <x:c r="D18" s="61"/>
      <x:c r="E18" s="61"/>
      <x:c r="F18" s="61"/>
      <x:c r="G18" s="61"/>
      <x:c r="H18" s="61"/>
      <x:c r="I18" s="61"/>
      <x:c r="J18" s="61"/>
    </x:row>
    <x:row r="19">
      <x:c r="A19" s="61"/>
      <x:c r="B19" s="61"/>
      <x:c r="C19" s="61"/>
      <x:c r="D19" s="61"/>
      <x:c r="E19" s="61"/>
      <x:c r="F19" s="61"/>
      <x:c r="G19" s="61"/>
      <x:c r="H19" s="61"/>
      <x:c r="I19" s="61"/>
      <x:c r="J19" s="61"/>
    </x:row>
    <x:row r="20">
      <x:c r="A20" s="61"/>
      <x:c r="B20" s="61"/>
      <x:c r="C20" s="61"/>
      <x:c r="D20" s="61"/>
      <x:c r="E20" s="61"/>
      <x:c r="F20" s="61"/>
      <x:c r="G20" s="61"/>
      <x:c r="H20" s="61"/>
      <x:c r="I20" s="61"/>
      <x:c r="J20" s="61"/>
    </x:row>
    <x:row r="21">
      <x:c r="A21" s="61"/>
      <x:c r="B21" s="61"/>
      <x:c r="C21" s="61"/>
      <x:c r="D21" s="61"/>
      <x:c r="E21" s="61"/>
      <x:c r="F21" s="61"/>
      <x:c r="G21" s="61"/>
      <x:c r="H21" s="61"/>
      <x:c r="I21" s="61"/>
      <x:c r="J21" s="61"/>
    </x:row>
    <x:row r="22">
      <x:c r="A22" s="61"/>
      <x:c r="B22" s="61"/>
      <x:c r="C22" s="61"/>
      <x:c r="D22" s="61"/>
      <x:c r="E22" s="61"/>
      <x:c r="F22" s="61"/>
      <x:c r="G22" s="61"/>
      <x:c r="H22" s="61"/>
      <x:c r="I22" s="61"/>
      <x:c r="J22" s="61"/>
    </x:row>
    <x:row r="23">
      <x:c r="A23" s="61"/>
      <x:c r="B23" s="61"/>
      <x:c r="C23" s="61"/>
      <x:c r="D23" s="61"/>
      <x:c r="E23" s="61"/>
      <x:c r="F23" s="61"/>
      <x:c r="G23" s="61"/>
      <x:c r="H23" s="61"/>
      <x:c r="I23" s="61"/>
      <x:c r="J23" s="61"/>
    </x:row>
    <x:row r="24">
      <x:c r="A24" s="61"/>
      <x:c r="B24" s="61"/>
      <x:c r="C24" s="61"/>
      <x:c r="D24" s="61"/>
      <x:c r="E24" s="61"/>
      <x:c r="F24" s="61"/>
      <x:c r="G24" s="61"/>
      <x:c r="H24" s="61"/>
      <x:c r="I24" s="61"/>
      <x:c r="J24" s="61"/>
    </x:row>
    <x:row r="25">
      <x:c r="A25" s="61"/>
      <x:c r="B25" s="61"/>
      <x:c r="C25" s="61"/>
      <x:c r="D25" s="61"/>
      <x:c r="E25" s="61"/>
      <x:c r="F25" s="61"/>
      <x:c r="G25" s="61"/>
      <x:c r="H25" s="61"/>
      <x:c r="I25" s="61"/>
      <x:c r="J25" s="61"/>
    </x:row>
    <x:row r="26">
      <x:c r="A26" s="61"/>
      <x:c r="B26" s="61"/>
      <x:c r="C26" s="61"/>
      <x:c r="D26" s="61"/>
      <x:c r="E26" s="61"/>
      <x:c r="F26" s="61"/>
      <x:c r="G26" s="61"/>
      <x:c r="H26" s="61"/>
      <x:c r="I26" s="61"/>
      <x:c r="J26" s="61"/>
    </x:row>
    <x:row r="27">
      <x:c r="A27" s="61"/>
      <x:c r="B27" s="61"/>
      <x:c r="C27" s="61"/>
      <x:c r="D27" s="61"/>
      <x:c r="E27" s="61"/>
      <x:c r="F27" s="61"/>
      <x:c r="G27" s="61"/>
      <x:c r="H27" s="61"/>
      <x:c r="I27" s="61"/>
      <x:c r="J27" s="61"/>
    </x:row>
    <x:row r="28">
      <x:c r="A28" s="61"/>
      <x:c r="B28" s="61"/>
      <x:c r="C28" s="61"/>
      <x:c r="D28" s="61"/>
      <x:c r="E28" s="61"/>
      <x:c r="F28" s="61"/>
      <x:c r="G28" s="61"/>
      <x:c r="H28" s="61"/>
      <x:c r="I28" s="61"/>
      <x:c r="J28" s="61"/>
    </x:row>
    <x:row r="29">
      <x:c r="A29" s="61"/>
      <x:c r="B29" s="61"/>
      <x:c r="C29" s="61"/>
      <x:c r="D29" s="61"/>
      <x:c r="E29" s="61"/>
      <x:c r="F29" s="61"/>
      <x:c r="G29" s="61"/>
      <x:c r="H29" s="61"/>
      <x:c r="I29" s="61"/>
      <x:c r="J29" s="61"/>
    </x:row>
    <x:row r="30">
      <x:c r="A30" s="61"/>
      <x:c r="B30" s="61"/>
      <x:c r="C30" s="61"/>
      <x:c r="D30" s="61"/>
      <x:c r="E30" s="61"/>
      <x:c r="F30" s="61"/>
      <x:c r="G30" s="61"/>
      <x:c r="H30" s="61"/>
      <x:c r="I30" s="61"/>
      <x:c r="J30" s="61"/>
    </x:row>
    <x:row r="31">
      <x:c r="A31" s="61"/>
      <x:c r="B31" s="61"/>
      <x:c r="C31" s="61"/>
      <x:c r="D31" s="61"/>
      <x:c r="E31" s="61"/>
      <x:c r="F31" s="61"/>
      <x:c r="G31" s="61"/>
      <x:c r="H31" s="61"/>
      <x:c r="I31" s="61"/>
      <x:c r="J31" s="61"/>
    </x:row>
    <x:row r="32">
      <x:c r="A32" s="61"/>
      <x:c r="B32" s="61"/>
      <x:c r="C32" s="61"/>
      <x:c r="D32" s="61"/>
      <x:c r="E32" s="61"/>
      <x:c r="F32" s="61"/>
      <x:c r="G32" s="61"/>
      <x:c r="H32" s="61"/>
      <x:c r="I32" s="61"/>
      <x:c r="J32" s="61"/>
    </x:row>
    <x:row r="33">
      <x:c r="A33" s="61"/>
      <x:c r="B33" s="61"/>
      <x:c r="C33" s="61"/>
      <x:c r="D33" s="61"/>
      <x:c r="E33" s="61"/>
      <x:c r="F33" s="61"/>
      <x:c r="G33" s="61"/>
      <x:c r="H33" s="61"/>
      <x:c r="I33" s="61"/>
      <x:c r="J33" s="61"/>
    </x:row>
    <x:row r="34">
      <x:c r="A34" s="61"/>
      <x:c r="B34" s="61"/>
      <x:c r="C34" s="61"/>
      <x:c r="D34" s="61"/>
      <x:c r="E34" s="61"/>
      <x:c r="F34" s="61"/>
      <x:c r="G34" s="61"/>
      <x:c r="H34" s="61"/>
      <x:c r="I34" s="61"/>
      <x:c r="J34" s="61"/>
    </x:row>
    <x:row r="35">
      <x:c r="A35" s="61"/>
      <x:c r="B35" s="61"/>
      <x:c r="C35" s="61"/>
      <x:c r="D35" s="61"/>
      <x:c r="E35" s="61"/>
      <x:c r="F35" s="61"/>
      <x:c r="G35" s="61"/>
      <x:c r="H35" s="61"/>
      <x:c r="I35" s="61"/>
      <x:c r="J35" s="61"/>
    </x:row>
    <x:row r="36">
      <x:c r="A36" s="61"/>
      <x:c r="B36" s="61"/>
      <x:c r="C36" s="61"/>
      <x:c r="D36" s="61"/>
      <x:c r="E36" s="61"/>
      <x:c r="F36" s="61"/>
      <x:c r="G36" s="61"/>
      <x:c r="H36" s="61"/>
      <x:c r="I36" s="61"/>
      <x:c r="J36" s="61"/>
    </x:row>
    <x:row r="37">
      <x:c r="A37" s="61"/>
      <x:c r="B37" s="61"/>
      <x:c r="C37" s="61"/>
      <x:c r="D37" s="61"/>
      <x:c r="E37" s="61"/>
      <x:c r="F37" s="61"/>
      <x:c r="G37" s="61"/>
      <x:c r="H37" s="61"/>
      <x:c r="I37" s="61"/>
      <x:c r="J37" s="61"/>
    </x:row>
    <x:row r="38">
      <x:c r="A38" s="61"/>
      <x:c r="B38" s="61"/>
      <x:c r="C38" s="61"/>
      <x:c r="D38" s="61"/>
      <x:c r="E38" s="61"/>
      <x:c r="F38" s="61"/>
      <x:c r="G38" s="61"/>
      <x:c r="H38" s="61"/>
      <x:c r="I38" s="61"/>
      <x:c r="J38" s="61"/>
    </x:row>
    <x:row r="39">
      <x:c r="A39" s="61"/>
      <x:c r="B39" s="61"/>
      <x:c r="C39" s="61"/>
      <x:c r="D39" s="61"/>
      <x:c r="E39" s="61"/>
      <x:c r="F39" s="61"/>
      <x:c r="G39" s="61"/>
      <x:c r="H39" s="61"/>
      <x:c r="I39" s="61"/>
      <x:c r="J39" s="61"/>
    </x:row>
    <x:row r="40">
      <x:c r="A40" s="61"/>
      <x:c r="B40" s="61"/>
      <x:c r="C40" s="61"/>
      <x:c r="D40" s="61"/>
      <x:c r="E40" s="61"/>
      <x:c r="F40" s="61"/>
      <x:c r="G40" s="61"/>
      <x:c r="H40" s="61"/>
      <x:c r="I40" s="61"/>
      <x:c r="J40" s="61"/>
    </x:row>
  </x:sheetData>
  <x:mergeCells>
    <x:mergeCell ref="A1:I1"/>
  </x:mergeCells>
  <x:dataValidations count="1">
    <x:dataValidation type="list" sqref="H4:H10">
      <x:formula1>"низкое,среднее,высокое"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2db5450b4434bb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4" hidden="0" customWidth="1"/>
    <x:col min="8" max="8" width="28" hidden="0" customWidth="1"/>
    <x:col min="9" max="9" width="28" hidden="0" customWidth="1"/>
    <x:col min="10" max="10" width="28" hidden="0" customWidth="1"/>
  </x:cols>
  <x:sheetData>
    <x:row r="1">
      <x:c r="A1" s="60" t="str">
        <x:v>03. Данные Similarweb и конкурентов</x:v>
      </x:c>
      <x:c r="B1" s="60"/>
      <x:c r="C1" s="60"/>
      <x:c r="D1" s="60"/>
      <x:c r="E1" s="60"/>
      <x:c r="F1" s="60"/>
      <x:c r="G1" s="60"/>
      <x:c r="H1" s="60"/>
      <x:c r="I1" s="60"/>
      <x:c r="J1" s="60"/>
    </x:row>
    <x:row r="2">
      <x:c r="A2" s="61"/>
      <x:c r="B2" s="61"/>
      <x:c r="C2" s="61"/>
      <x:c r="D2" s="61"/>
      <x:c r="E2" s="61"/>
      <x:c r="F2" s="61"/>
      <x:c r="G2" s="61"/>
      <x:c r="H2" s="61"/>
      <x:c r="I2" s="61"/>
      <x:c r="J2" s="61"/>
    </x:row>
    <x:row r="3">
      <x:c r="A3" s="62" t="str">
        <x:v>Конкурент / сайт</x:v>
      </x:c>
      <x:c r="B3" s="62" t="str">
        <x:v>Тип игрока</x:v>
      </x:c>
      <x:c r="C3" s="62" t="str">
        <x:v>Посещения в месяц по Similarweb</x:v>
      </x:c>
      <x:c r="D3" s="62" t="str">
        <x:v>Доля целевой географии</x:v>
      </x:c>
      <x:c r="E3" s="62" t="str">
        <x:v>Доля релевантной категории</x:v>
      </x:c>
      <x:c r="F3" s="62" t="str">
        <x:v>Релевантные посещения</x:v>
      </x:c>
      <x:c r="G3" s="62" t="str">
        <x:v>Оценочная конверсия в продажу</x:v>
      </x:c>
      <x:c r="H3" s="62" t="str">
        <x:v>Средний чек</x:v>
      </x:c>
      <x:c r="I3" s="62" t="str">
        <x:v>Оценочная выручка в месяц</x:v>
      </x:c>
      <x:c r="J3" s="62" t="str">
        <x:v>Комментарий</x:v>
      </x:c>
    </x:row>
    <x:row r="4">
      <x:c r="A4" s="64" t="str">
        <x:v>competitor1.by</x:v>
      </x:c>
      <x:c r="B4" s="64" t="str">
        <x:v>агентство</x:v>
      </x:c>
      <x:c r="C4" s="74" t="n">
        <x:v>18000</x:v>
      </x:c>
      <x:c r="D4" s="75" t="n">
        <x:v>0.8</x:v>
      </x:c>
      <x:c r="E4" s="75" t="n">
        <x:v>0.7</x:v>
      </x:c>
      <x:c r="F4" s="78" t="n">
        <x:f>C4*D4*E4</x:f>
        <x:v>10080</x:v>
      </x:c>
      <x:c r="G4" s="77" t="n">
        <x:v>0.006</x:v>
      </x:c>
      <x:c r="H4" s="74" t="n">
        <x:v>900</x:v>
      </x:c>
      <x:c r="I4" s="78" t="n">
        <x:f>F4*G4*H4</x:f>
        <x:v>54432</x:v>
      </x:c>
      <x:c r="J4" s="61" t="str">
        <x:v>Заменить на фактический сайт.</x:v>
      </x:c>
    </x:row>
    <x:row r="5">
      <x:c r="A5" s="64" t="str">
        <x:v>competitor2.by</x:v>
      </x:c>
      <x:c r="B5" s="64" t="str">
        <x:v>фриланс/студия</x:v>
      </x:c>
      <x:c r="C5" s="74" t="n">
        <x:v>9000</x:v>
      </x:c>
      <x:c r="D5" s="75" t="n">
        <x:v>0.9</x:v>
      </x:c>
      <x:c r="E5" s="75" t="n">
        <x:v>0.65</x:v>
      </x:c>
      <x:c r="F5" s="78" t="n">
        <x:f>C5*D5*E5</x:f>
        <x:v>5265</x:v>
      </x:c>
      <x:c r="G5" s="77" t="n">
        <x:v>0.008</x:v>
      </x:c>
      <x:c r="H5" s="74" t="n">
        <x:v>700</x:v>
      </x:c>
      <x:c r="I5" s="78" t="n">
        <x:f>F5*G5*H5</x:f>
        <x:v>29484</x:v>
      </x:c>
      <x:c r="J5" s="61" t="str">
        <x:v>Заменить на фактический сайт.</x:v>
      </x:c>
    </x:row>
    <x:row r="6">
      <x:c r="A6" s="64" t="str">
        <x:v>competitor3.by</x:v>
      </x:c>
      <x:c r="B6" s="64" t="str">
        <x:v>платформа услуг</x:v>
      </x:c>
      <x:c r="C6" s="74" t="n">
        <x:v>30000</x:v>
      </x:c>
      <x:c r="D6" s="75" t="n">
        <x:v>0.55</x:v>
      </x:c>
      <x:c r="E6" s="75" t="n">
        <x:v>0.35</x:v>
      </x:c>
      <x:c r="F6" s="78" t="n">
        <x:f>C6*D6*E6</x:f>
        <x:v>5775</x:v>
      </x:c>
      <x:c r="G6" s="77" t="n">
        <x:v>0.004</x:v>
      </x:c>
      <x:c r="H6" s="74" t="n">
        <x:v>500</x:v>
      </x:c>
      <x:c r="I6" s="78" t="n">
        <x:f>F6*G6*H6</x:f>
        <x:v>11550</x:v>
      </x:c>
      <x:c r="J6" s="61" t="str">
        <x:v>Заменить на фактический сайт.</x:v>
      </x:c>
    </x:row>
    <x:row r="7">
      <x:c r="A7" s="64" t="str">
        <x:v>competitor4.by</x:v>
      </x:c>
      <x:c r="B7" s="64" t="str">
        <x:v>обучение/консалтинг</x:v>
      </x:c>
      <x:c r="C7" s="74" t="n">
        <x:v>12000</x:v>
      </x:c>
      <x:c r="D7" s="75" t="n">
        <x:v>0.7</x:v>
      </x:c>
      <x:c r="E7" s="75" t="n">
        <x:v>0.5</x:v>
      </x:c>
      <x:c r="F7" s="78" t="n">
        <x:f>C7*D7*E7</x:f>
        <x:v>4200</x:v>
      </x:c>
      <x:c r="G7" s="77" t="n">
        <x:v>0.005</x:v>
      </x:c>
      <x:c r="H7" s="74" t="n">
        <x:v>600</x:v>
      </x:c>
      <x:c r="I7" s="78" t="n">
        <x:f>F7*G7*H7</x:f>
        <x:v>12600</x:v>
      </x:c>
      <x:c r="J7" s="61" t="str">
        <x:v>Часть трафика может быть информационной.</x:v>
      </x:c>
    </x:row>
    <x:row r="8">
      <x:c r="A8" s="64" t="str">
        <x:v>competitor5.by</x:v>
      </x:c>
      <x:c r="B8" s="64" t="str">
        <x:v>агентство</x:v>
      </x:c>
      <x:c r="C8" s="74" t="n">
        <x:v>15000</x:v>
      </x:c>
      <x:c r="D8" s="75" t="n">
        <x:v>0.75</x:v>
      </x:c>
      <x:c r="E8" s="75" t="n">
        <x:v>0.75</x:v>
      </x:c>
      <x:c r="F8" s="78" t="n">
        <x:f>C8*D8*E8</x:f>
        <x:v>8437.5</x:v>
      </x:c>
      <x:c r="G8" s="77" t="n">
        <x:v>0.006</x:v>
      </x:c>
      <x:c r="H8" s="74" t="n">
        <x:v>1000</x:v>
      </x:c>
      <x:c r="I8" s="78" t="n">
        <x:f>F8*G8*H8</x:f>
        <x:v>50625</x:v>
      </x:c>
      <x:c r="J8" s="61" t="str">
        <x:v>Заменить на фактический сайт.</x:v>
      </x:c>
    </x:row>
    <x:row r="9">
      <x:c r="A9" s="61"/>
      <x:c r="B9" s="61"/>
      <x:c r="C9" s="88"/>
      <x:c r="D9" s="61"/>
      <x:c r="E9" s="61"/>
      <x:c r="F9" s="88"/>
      <x:c r="G9" s="61"/>
      <x:c r="H9" s="88"/>
      <x:c r="I9" s="88"/>
      <x:c r="J9" s="61"/>
    </x:row>
    <x:row r="10">
      <x:c r="A10" s="62" t="str">
        <x:v>Показатель</x:v>
      </x:c>
      <x:c r="B10" s="62" t="str">
        <x:v>Формула</x:v>
      </x:c>
      <x:c r="C10" s="89" t="str">
        <x:v>Значение</x:v>
      </x:c>
      <x:c r="D10" s="62" t="str">
        <x:v>Комментарий</x:v>
      </x:c>
      <x:c r="E10" s="61"/>
      <x:c r="F10" s="88"/>
      <x:c r="G10" s="61"/>
      <x:c r="H10" s="88"/>
      <x:c r="I10" s="88"/>
      <x:c r="J10" s="61"/>
    </x:row>
    <x:row r="11">
      <x:c r="A11" s="61" t="str">
        <x:v>Суммарные релевантные посещения конкурентов</x:v>
      </x:c>
      <x:c r="B11" s="61" t="str">
        <x:v>SUM(F4:F8)</x:v>
      </x:c>
      <x:c r="C11" s="78" t="n">
        <x:f>SUM(F4:F8)</x:f>
        <x:v>33757.5</x:v>
      </x:c>
      <x:c r="D11" s="61" t="str">
        <x:v>Видимый объем цифрового сегмента по найденным сайтам.</x:v>
      </x:c>
      <x:c r="E11" s="61"/>
      <x:c r="F11" s="88"/>
      <x:c r="G11" s="61"/>
      <x:c r="H11" s="88"/>
      <x:c r="I11" s="88"/>
      <x:c r="J11" s="61"/>
    </x:row>
    <x:row r="12">
      <x:c r="A12" s="61" t="str">
        <x:v>Оценка полного трафика сегмента</x:v>
      </x:c>
      <x:c r="B12" s="61" t="str">
        <x:v>B11 / коэффициент покрытия</x:v>
      </x:c>
      <x:c r="C12" s="78" t="n">
        <x:f>C11/'01_Параметры'!B12</x:f>
        <x:v>48225</x:v>
      </x:c>
      <x:c r="D12" s="61" t="str">
        <x:v>Корректировка на неполный список конкурентов.</x:v>
      </x:c>
      <x:c r="E12" s="61"/>
      <x:c r="F12" s="88"/>
      <x:c r="G12" s="61"/>
      <x:c r="H12" s="88"/>
      <x:c r="I12" s="88"/>
      <x:c r="J12" s="61"/>
    </x:row>
    <x:row r="13">
      <x:c r="A13" s="61" t="str">
        <x:v>Оценочная выручка видимых конкурентов в месяц</x:v>
      </x:c>
      <x:c r="B13" s="61" t="str">
        <x:v>SUM(I4:I8)</x:v>
      </x:c>
      <x:c r="C13" s="78" t="n">
        <x:f>SUM(I4:I8)</x:f>
        <x:v>158691</x:v>
      </x:c>
      <x:c r="D13" s="61" t="str">
        <x:v>Ориентировочная оценка по конверсии и среднему чеку.</x:v>
      </x:c>
      <x:c r="E13" s="61"/>
      <x:c r="F13" s="88"/>
      <x:c r="G13" s="61"/>
      <x:c r="H13" s="88"/>
      <x:c r="I13" s="88"/>
      <x:c r="J13" s="61"/>
    </x:row>
    <x:row r="14">
      <x:c r="A14" s="61" t="str">
        <x:v>Оценочная выручка сегмента в год</x:v>
      </x:c>
      <x:c r="B14" s="61" t="str">
        <x:v>C13 / коэффициент покрытия * 12</x:v>
      </x:c>
      <x:c r="C14" s="78" t="n">
        <x:f>C13/'01_Параметры'!B12*12</x:f>
        <x:v>2720417.1428571427</x:v>
      </x:c>
      <x:c r="D14" s="61" t="str">
        <x:v>Оценочный денежный объем по конкурентному подходу.</x:v>
      </x:c>
      <x:c r="E14" s="61"/>
      <x:c r="F14" s="88"/>
      <x:c r="G14" s="61"/>
      <x:c r="H14" s="88"/>
      <x:c r="I14" s="88"/>
      <x:c r="J14" s="61"/>
    </x:row>
    <x:row r="15">
      <x:c r="A15" s="61"/>
      <x:c r="B15" s="61"/>
      <x:c r="C15" s="61"/>
      <x:c r="D15" s="61"/>
      <x:c r="E15" s="61"/>
      <x:c r="F15" s="61"/>
      <x:c r="G15" s="61"/>
      <x:c r="H15" s="61"/>
      <x:c r="I15" s="61"/>
      <x:c r="J15" s="61"/>
    </x:row>
    <x:row r="16">
      <x:c r="A16" s="61"/>
      <x:c r="B16" s="61"/>
      <x:c r="C16" s="61"/>
      <x:c r="D16" s="61"/>
      <x:c r="E16" s="61"/>
      <x:c r="F16" s="61"/>
      <x:c r="G16" s="61"/>
      <x:c r="H16" s="61"/>
      <x:c r="I16" s="61"/>
      <x:c r="J16" s="61"/>
    </x:row>
    <x:row r="17">
      <x:c r="A17" s="61"/>
      <x:c r="B17" s="61"/>
      <x:c r="C17" s="61"/>
      <x:c r="D17" s="61"/>
      <x:c r="E17" s="61"/>
      <x:c r="F17" s="61"/>
      <x:c r="G17" s="61"/>
      <x:c r="H17" s="61"/>
      <x:c r="I17" s="61"/>
      <x:c r="J17" s="61"/>
    </x:row>
    <x:row r="18">
      <x:c r="A18" s="61"/>
      <x:c r="B18" s="61"/>
      <x:c r="C18" s="61"/>
      <x:c r="D18" s="61"/>
      <x:c r="E18" s="61"/>
      <x:c r="F18" s="61"/>
      <x:c r="G18" s="61"/>
      <x:c r="H18" s="61"/>
      <x:c r="I18" s="61"/>
      <x:c r="J18" s="61"/>
    </x:row>
    <x:row r="19">
      <x:c r="A19" s="61"/>
      <x:c r="B19" s="61"/>
      <x:c r="C19" s="61"/>
      <x:c r="D19" s="61"/>
      <x:c r="E19" s="61"/>
      <x:c r="F19" s="61"/>
      <x:c r="G19" s="61"/>
      <x:c r="H19" s="61"/>
      <x:c r="I19" s="61"/>
      <x:c r="J19" s="61"/>
    </x:row>
    <x:row r="20">
      <x:c r="A20" s="61"/>
      <x:c r="B20" s="61"/>
      <x:c r="C20" s="61"/>
      <x:c r="D20" s="61"/>
      <x:c r="E20" s="61"/>
      <x:c r="F20" s="61"/>
      <x:c r="G20" s="61"/>
      <x:c r="H20" s="61"/>
      <x:c r="I20" s="61"/>
      <x:c r="J20" s="61"/>
    </x:row>
    <x:row r="21">
      <x:c r="A21" s="61"/>
      <x:c r="B21" s="61"/>
      <x:c r="C21" s="61"/>
      <x:c r="D21" s="61"/>
      <x:c r="E21" s="61"/>
      <x:c r="F21" s="61"/>
      <x:c r="G21" s="61"/>
      <x:c r="H21" s="61"/>
      <x:c r="I21" s="61"/>
      <x:c r="J21" s="61"/>
    </x:row>
    <x:row r="22">
      <x:c r="A22" s="61"/>
      <x:c r="B22" s="61"/>
      <x:c r="C22" s="61"/>
      <x:c r="D22" s="61"/>
      <x:c r="E22" s="61"/>
      <x:c r="F22" s="61"/>
      <x:c r="G22" s="61"/>
      <x:c r="H22" s="61"/>
      <x:c r="I22" s="61"/>
      <x:c r="J22" s="61"/>
    </x:row>
    <x:row r="23">
      <x:c r="A23" s="61"/>
      <x:c r="B23" s="61"/>
      <x:c r="C23" s="61"/>
      <x:c r="D23" s="61"/>
      <x:c r="E23" s="61"/>
      <x:c r="F23" s="61"/>
      <x:c r="G23" s="61"/>
      <x:c r="H23" s="61"/>
      <x:c r="I23" s="61"/>
      <x:c r="J23" s="61"/>
    </x:row>
    <x:row r="24">
      <x:c r="A24" s="61"/>
      <x:c r="B24" s="61"/>
      <x:c r="C24" s="61"/>
      <x:c r="D24" s="61"/>
      <x:c r="E24" s="61"/>
      <x:c r="F24" s="61"/>
      <x:c r="G24" s="61"/>
      <x:c r="H24" s="61"/>
      <x:c r="I24" s="61"/>
      <x:c r="J24" s="61"/>
    </x:row>
    <x:row r="25">
      <x:c r="A25" s="61"/>
      <x:c r="B25" s="61"/>
      <x:c r="C25" s="61"/>
      <x:c r="D25" s="61"/>
      <x:c r="E25" s="61"/>
      <x:c r="F25" s="61"/>
      <x:c r="G25" s="61"/>
      <x:c r="H25" s="61"/>
      <x:c r="I25" s="61"/>
      <x:c r="J25" s="61"/>
    </x:row>
    <x:row r="26">
      <x:c r="A26" s="61"/>
      <x:c r="B26" s="61"/>
      <x:c r="C26" s="61"/>
      <x:c r="D26" s="61"/>
      <x:c r="E26" s="61"/>
      <x:c r="F26" s="61"/>
      <x:c r="G26" s="61"/>
      <x:c r="H26" s="61"/>
      <x:c r="I26" s="61"/>
      <x:c r="J26" s="61"/>
    </x:row>
    <x:row r="27">
      <x:c r="A27" s="61"/>
      <x:c r="B27" s="61"/>
      <x:c r="C27" s="61"/>
      <x:c r="D27" s="61"/>
      <x:c r="E27" s="61"/>
      <x:c r="F27" s="61"/>
      <x:c r="G27" s="61"/>
      <x:c r="H27" s="61"/>
      <x:c r="I27" s="61"/>
      <x:c r="J27" s="61"/>
    </x:row>
    <x:row r="28">
      <x:c r="A28" s="61"/>
      <x:c r="B28" s="61"/>
      <x:c r="C28" s="61"/>
      <x:c r="D28" s="61"/>
      <x:c r="E28" s="61"/>
      <x:c r="F28" s="61"/>
      <x:c r="G28" s="61"/>
      <x:c r="H28" s="61"/>
      <x:c r="I28" s="61"/>
      <x:c r="J28" s="61"/>
    </x:row>
    <x:row r="29">
      <x:c r="A29" s="61"/>
      <x:c r="B29" s="61"/>
      <x:c r="C29" s="61"/>
      <x:c r="D29" s="61"/>
      <x:c r="E29" s="61"/>
      <x:c r="F29" s="61"/>
      <x:c r="G29" s="61"/>
      <x:c r="H29" s="61"/>
      <x:c r="I29" s="61"/>
      <x:c r="J29" s="61"/>
    </x:row>
    <x:row r="30">
      <x:c r="A30" s="61"/>
      <x:c r="B30" s="61"/>
      <x:c r="C30" s="61"/>
      <x:c r="D30" s="61"/>
      <x:c r="E30" s="61"/>
      <x:c r="F30" s="61"/>
      <x:c r="G30" s="61"/>
      <x:c r="H30" s="61"/>
      <x:c r="I30" s="61"/>
      <x:c r="J30" s="61"/>
    </x:row>
    <x:row r="31">
      <x:c r="A31" s="61"/>
      <x:c r="B31" s="61"/>
      <x:c r="C31" s="61"/>
      <x:c r="D31" s="61"/>
      <x:c r="E31" s="61"/>
      <x:c r="F31" s="61"/>
      <x:c r="G31" s="61"/>
      <x:c r="H31" s="61"/>
      <x:c r="I31" s="61"/>
      <x:c r="J31" s="61"/>
    </x:row>
    <x:row r="32">
      <x:c r="A32" s="61"/>
      <x:c r="B32" s="61"/>
      <x:c r="C32" s="61"/>
      <x:c r="D32" s="61"/>
      <x:c r="E32" s="61"/>
      <x:c r="F32" s="61"/>
      <x:c r="G32" s="61"/>
      <x:c r="H32" s="61"/>
      <x:c r="I32" s="61"/>
      <x:c r="J32" s="61"/>
    </x:row>
    <x:row r="33">
      <x:c r="A33" s="61"/>
      <x:c r="B33" s="61"/>
      <x:c r="C33" s="61"/>
      <x:c r="D33" s="61"/>
      <x:c r="E33" s="61"/>
      <x:c r="F33" s="61"/>
      <x:c r="G33" s="61"/>
      <x:c r="H33" s="61"/>
      <x:c r="I33" s="61"/>
      <x:c r="J33" s="61"/>
    </x:row>
    <x:row r="34">
      <x:c r="A34" s="61"/>
      <x:c r="B34" s="61"/>
      <x:c r="C34" s="61"/>
      <x:c r="D34" s="61"/>
      <x:c r="E34" s="61"/>
      <x:c r="F34" s="61"/>
      <x:c r="G34" s="61"/>
      <x:c r="H34" s="61"/>
      <x:c r="I34" s="61"/>
      <x:c r="J34" s="61"/>
    </x:row>
    <x:row r="35">
      <x:c r="A35" s="61"/>
      <x:c r="B35" s="61"/>
      <x:c r="C35" s="61"/>
      <x:c r="D35" s="61"/>
      <x:c r="E35" s="61"/>
      <x:c r="F35" s="61"/>
      <x:c r="G35" s="61"/>
      <x:c r="H35" s="61"/>
      <x:c r="I35" s="61"/>
      <x:c r="J35" s="61"/>
    </x:row>
    <x:row r="36">
      <x:c r="A36" s="61"/>
      <x:c r="B36" s="61"/>
      <x:c r="C36" s="61"/>
      <x:c r="D36" s="61"/>
      <x:c r="E36" s="61"/>
      <x:c r="F36" s="61"/>
      <x:c r="G36" s="61"/>
      <x:c r="H36" s="61"/>
      <x:c r="I36" s="61"/>
      <x:c r="J36" s="61"/>
    </x:row>
    <x:row r="37">
      <x:c r="A37" s="61"/>
      <x:c r="B37" s="61"/>
      <x:c r="C37" s="61"/>
      <x:c r="D37" s="61"/>
      <x:c r="E37" s="61"/>
      <x:c r="F37" s="61"/>
      <x:c r="G37" s="61"/>
      <x:c r="H37" s="61"/>
      <x:c r="I37" s="61"/>
      <x:c r="J37" s="61"/>
    </x:row>
    <x:row r="38">
      <x:c r="A38" s="61"/>
      <x:c r="B38" s="61"/>
      <x:c r="C38" s="61"/>
      <x:c r="D38" s="61"/>
      <x:c r="E38" s="61"/>
      <x:c r="F38" s="61"/>
      <x:c r="G38" s="61"/>
      <x:c r="H38" s="61"/>
      <x:c r="I38" s="61"/>
      <x:c r="J38" s="61"/>
    </x:row>
    <x:row r="39">
      <x:c r="A39" s="61"/>
      <x:c r="B39" s="61"/>
      <x:c r="C39" s="61"/>
      <x:c r="D39" s="61"/>
      <x:c r="E39" s="61"/>
      <x:c r="F39" s="61"/>
      <x:c r="G39" s="61"/>
      <x:c r="H39" s="61"/>
      <x:c r="I39" s="61"/>
      <x:c r="J39" s="61"/>
    </x:row>
    <x:row r="40">
      <x:c r="A40" s="61"/>
      <x:c r="B40" s="61"/>
      <x:c r="C40" s="61"/>
      <x:c r="D40" s="61"/>
      <x:c r="E40" s="61"/>
      <x:c r="F40" s="61"/>
      <x:c r="G40" s="61"/>
      <x:c r="H40" s="61"/>
      <x:c r="I40" s="61"/>
      <x:c r="J40" s="61"/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52051113d28c466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4" hidden="0" customWidth="1"/>
    <x:col min="8" max="8" width="28" hidden="0" customWidth="1"/>
    <x:col min="9" max="9" width="28" hidden="0" customWidth="1"/>
    <x:col min="10" max="10" width="28" hidden="0" customWidth="1"/>
  </x:cols>
  <x:sheetData>
    <x:row r="1">
      <x:c r="A1" s="60" t="str">
        <x:v>04. Расчет цифровой воронки по сценариям</x:v>
      </x:c>
      <x:c r="B1" s="60"/>
      <x:c r="C1" s="60"/>
      <x:c r="D1" s="60"/>
      <x:c r="E1" s="60"/>
      <x:c r="F1" s="61"/>
      <x:c r="G1" s="61"/>
      <x:c r="H1" s="61"/>
      <x:c r="I1" s="61"/>
      <x:c r="J1" s="61"/>
    </x:row>
    <x:row r="2">
      <x:c r="A2" s="61"/>
      <x:c r="B2" s="61"/>
      <x:c r="C2" s="61"/>
      <x:c r="D2" s="61"/>
      <x:c r="E2" s="61"/>
      <x:c r="F2" s="61"/>
      <x:c r="G2" s="61"/>
      <x:c r="H2" s="61"/>
      <x:c r="I2" s="61"/>
      <x:c r="J2" s="61"/>
    </x:row>
    <x:row r="3">
      <x:c r="A3" s="62" t="str">
        <x:v>Показатель</x:v>
      </x:c>
      <x:c r="B3" s="62" t="str">
        <x:v>Осторожный</x:v>
      </x:c>
      <x:c r="C3" s="62" t="str">
        <x:v>Базовый</x:v>
      </x:c>
      <x:c r="D3" s="62" t="str">
        <x:v>Оптимистичный</x:v>
      </x:c>
      <x:c r="E3" s="62" t="str">
        <x:v>Комментарий</x:v>
      </x:c>
      <x:c r="F3" s="61"/>
      <x:c r="G3" s="61"/>
      <x:c r="H3" s="61"/>
      <x:c r="I3" s="61"/>
      <x:c r="J3" s="61"/>
    </x:row>
    <x:row r="4">
      <x:c r="A4" s="61" t="str">
        <x:v>Релевантные посещения в месяц</x:v>
      </x:c>
      <x:c r="B4" s="78" t="n">
        <x:f>'02_Трафик_охват'!C14</x:f>
        <x:v>4867</x:v>
      </x:c>
      <x:c r="C4" s="78" t="n">
        <x:f>'02_Трафик_охват'!C14</x:f>
        <x:v>4867</x:v>
      </x:c>
      <x:c r="D4" s="78" t="n">
        <x:f>'02_Трафик_охват'!C14</x:f>
        <x:v>4867</x:v>
      </x:c>
      <x:c r="E4" s="61" t="str">
        <x:v>Берется с листа 02_Трафик_охват.</x:v>
      </x:c>
      <x:c r="F4" s="61"/>
      <x:c r="G4" s="61"/>
      <x:c r="H4" s="61"/>
      <x:c r="I4" s="61"/>
      <x:c r="J4" s="61"/>
    </x:row>
    <x:row r="5">
      <x:c r="A5" s="61" t="str">
        <x:v>Достижимая доля трафика</x:v>
      </x:c>
      <x:c r="B5" s="98" t="n">
        <x:f>'01_Параметры'!B17</x:f>
        <x:v>0.15</x:v>
      </x:c>
      <x:c r="C5" s="98" t="n">
        <x:f>'01_Параметры'!B18</x:f>
        <x:v>0.25</x:v>
      </x:c>
      <x:c r="D5" s="98" t="n">
        <x:f>'01_Параметры'!B19</x:f>
        <x:v>0.4</x:v>
      </x:c>
      <x:c r="E5" s="61" t="str">
        <x:v>Сценарное допущение.</x:v>
      </x:c>
      <x:c r="F5" s="61"/>
      <x:c r="G5" s="61"/>
      <x:c r="H5" s="61"/>
      <x:c r="I5" s="61"/>
      <x:c r="J5" s="61"/>
    </x:row>
    <x:row r="6">
      <x:c r="A6" s="61" t="str">
        <x:v>Достижимые посещения в месяц</x:v>
      </x:c>
      <x:c r="B6" s="78" t="n">
        <x:f>B4*B5</x:f>
        <x:v>730.05</x:v>
      </x:c>
      <x:c r="C6" s="78" t="n">
        <x:f>C4*C5</x:f>
        <x:v>1216.75</x:v>
      </x:c>
      <x:c r="D6" s="78" t="n">
        <x:f>D4*D5</x:f>
        <x:v>1946.8000000000002</x:v>
      </x:c>
      <x:c r="E6" s="61" t="str">
        <x:v>Релевантные посещения × достижимая доля.</x:v>
      </x:c>
      <x:c r="F6" s="61"/>
      <x:c r="G6" s="61"/>
      <x:c r="H6" s="61"/>
      <x:c r="I6" s="61"/>
      <x:c r="J6" s="61"/>
    </x:row>
    <x:row r="7">
      <x:c r="A7" s="61" t="str">
        <x:v>Конверсия посещение → заявка</x:v>
      </x:c>
      <x:c r="B7" s="99" t="n">
        <x:f>'01_Параметры'!C17</x:f>
        <x:v>0.01</x:v>
      </x:c>
      <x:c r="C7" s="99" t="n">
        <x:f>'01_Параметры'!C18</x:f>
        <x:v>0.025</x:v>
      </x:c>
      <x:c r="D7" s="99" t="n">
        <x:f>'01_Параметры'!C19</x:f>
        <x:v>0.05</x:v>
      </x:c>
      <x:c r="E7" s="61" t="str">
        <x:v>Сценарное допущение.</x:v>
      </x:c>
      <x:c r="F7" s="61"/>
      <x:c r="G7" s="61"/>
      <x:c r="H7" s="61"/>
      <x:c r="I7" s="61"/>
      <x:c r="J7" s="61"/>
    </x:row>
    <x:row r="8">
      <x:c r="A8" s="61" t="str">
        <x:v>Заявки в месяц</x:v>
      </x:c>
      <x:c r="B8" s="78" t="n">
        <x:f>B6*B7</x:f>
        <x:v>7.3004999999999995</x:v>
      </x:c>
      <x:c r="C8" s="78" t="n">
        <x:f>C6*C7</x:f>
        <x:v>30.418750000000003</x:v>
      </x:c>
      <x:c r="D8" s="78" t="n">
        <x:f>D6*D7</x:f>
        <x:v>97.34000000000002</x:v>
      </x:c>
      <x:c r="E8" s="61" t="str">
        <x:v>Достижимые посещения × конверсия в заявку.</x:v>
      </x:c>
      <x:c r="F8" s="61"/>
      <x:c r="G8" s="61"/>
      <x:c r="H8" s="61"/>
      <x:c r="I8" s="61"/>
      <x:c r="J8" s="61"/>
    </x:row>
    <x:row r="9">
      <x:c r="A9" s="61" t="str">
        <x:v>Конверсия заявка → продажа</x:v>
      </x:c>
      <x:c r="B9" s="99" t="n">
        <x:f>'01_Параметры'!D17</x:f>
        <x:v>0.15</x:v>
      </x:c>
      <x:c r="C9" s="99" t="n">
        <x:f>'01_Параметры'!D18</x:f>
        <x:v>0.25</x:v>
      </x:c>
      <x:c r="D9" s="99" t="n">
        <x:f>'01_Параметры'!D19</x:f>
        <x:v>0.35</x:v>
      </x:c>
      <x:c r="E9" s="61" t="str">
        <x:v>Сценарное допущение.</x:v>
      </x:c>
      <x:c r="F9" s="61"/>
      <x:c r="G9" s="61"/>
      <x:c r="H9" s="61"/>
      <x:c r="I9" s="61"/>
      <x:c r="J9" s="61"/>
    </x:row>
    <x:row r="10">
      <x:c r="A10" s="61" t="str">
        <x:v>Продажи в месяц</x:v>
      </x:c>
      <x:c r="B10" s="78" t="n">
        <x:f>B8*B9</x:f>
        <x:v>1.0950749999999998</x:v>
      </x:c>
      <x:c r="C10" s="78" t="n">
        <x:f>C8*C9</x:f>
        <x:v>7.604687500000001</x:v>
      </x:c>
      <x:c r="D10" s="78" t="n">
        <x:f>D8*D9</x:f>
        <x:v>34.069</x:v>
      </x:c>
      <x:c r="E10" s="61" t="str">
        <x:v>Заявки × конверсия в продажу.</x:v>
      </x:c>
      <x:c r="F10" s="61"/>
      <x:c r="G10" s="61"/>
      <x:c r="H10" s="61"/>
      <x:c r="I10" s="61"/>
      <x:c r="J10" s="61"/>
    </x:row>
    <x:row r="11">
      <x:c r="A11" s="61" t="str">
        <x:v>Средний чек</x:v>
      </x:c>
      <x:c r="B11" s="78" t="n">
        <x:f>'01_Параметры'!E17</x:f>
        <x:v>500</x:v>
      </x:c>
      <x:c r="C11" s="78" t="n">
        <x:f>'01_Параметры'!E18</x:f>
        <x:v>800</x:v>
      </x:c>
      <x:c r="D11" s="78" t="n">
        <x:f>'01_Параметры'!E19</x:f>
        <x:v>1200</x:v>
      </x:c>
      <x:c r="E11" s="61" t="str">
        <x:v>Сценарный средний чек.</x:v>
      </x:c>
      <x:c r="F11" s="61"/>
      <x:c r="G11" s="61"/>
      <x:c r="H11" s="61"/>
      <x:c r="I11" s="61"/>
      <x:c r="J11" s="61"/>
    </x:row>
    <x:row r="12">
      <x:c r="A12" s="61" t="str">
        <x:v>Выручка в месяц</x:v>
      </x:c>
      <x:c r="B12" s="78" t="n">
        <x:f>B10*B11</x:f>
        <x:v>547.5374999999999</x:v>
      </x:c>
      <x:c r="C12" s="78" t="n">
        <x:f>C10*C11</x:f>
        <x:v>6083.750000000001</x:v>
      </x:c>
      <x:c r="D12" s="78" t="n">
        <x:f>D10*D11</x:f>
        <x:v>40882.8</x:v>
      </x:c>
      <x:c r="E12" s="61" t="str">
        <x:v>Продажи × средний чек.</x:v>
      </x:c>
      <x:c r="F12" s="61"/>
      <x:c r="G12" s="61"/>
      <x:c r="H12" s="61"/>
      <x:c r="I12" s="61"/>
      <x:c r="J12" s="61"/>
    </x:row>
    <x:row r="13">
      <x:c r="A13" s="61" t="str">
        <x:v>Выручка в год</x:v>
      </x:c>
      <x:c r="B13" s="78" t="n">
        <x:f>B12*12</x:f>
        <x:v>6570.449999999999</x:v>
      </x:c>
      <x:c r="C13" s="78" t="n">
        <x:f>C12*12</x:f>
        <x:v>73005.00000000001</x:v>
      </x:c>
      <x:c r="D13" s="78" t="n">
        <x:f>D12*12</x:f>
        <x:v>490593.60000000003</x:v>
      </x:c>
      <x:c r="E13" s="61" t="str">
        <x:v>Месячная выручка × 12.</x:v>
      </x:c>
      <x:c r="F13" s="61"/>
      <x:c r="G13" s="61"/>
      <x:c r="H13" s="61"/>
      <x:c r="I13" s="61"/>
      <x:c r="J13" s="61"/>
    </x:row>
    <x:row r="14">
      <x:c r="A14" s="61"/>
      <x:c r="B14" s="61"/>
      <x:c r="C14" s="61"/>
      <x:c r="D14" s="61"/>
      <x:c r="E14" s="61"/>
      <x:c r="F14" s="61"/>
      <x:c r="G14" s="61"/>
      <x:c r="H14" s="61"/>
      <x:c r="I14" s="61"/>
      <x:c r="J14" s="61"/>
    </x:row>
    <x:row r="15">
      <x:c r="A15" s="61"/>
      <x:c r="B15" s="61"/>
      <x:c r="C15" s="61"/>
      <x:c r="D15" s="61"/>
      <x:c r="E15" s="61"/>
      <x:c r="F15" s="61"/>
      <x:c r="G15" s="61"/>
      <x:c r="H15" s="61"/>
      <x:c r="I15" s="61"/>
      <x:c r="J15" s="61"/>
    </x:row>
    <x:row r="16">
      <x:c r="A16" s="61"/>
      <x:c r="B16" s="61"/>
      <x:c r="C16" s="61"/>
      <x:c r="D16" s="61"/>
      <x:c r="E16" s="61"/>
      <x:c r="F16" s="61"/>
      <x:c r="G16" s="61"/>
      <x:c r="H16" s="61"/>
      <x:c r="I16" s="61"/>
      <x:c r="J16" s="61"/>
    </x:row>
    <x:row r="17">
      <x:c r="A17" s="61"/>
      <x:c r="B17" s="61"/>
      <x:c r="C17" s="61"/>
      <x:c r="D17" s="61"/>
      <x:c r="E17" s="61"/>
      <x:c r="F17" s="61"/>
      <x:c r="G17" s="61"/>
      <x:c r="H17" s="61"/>
      <x:c r="I17" s="61"/>
      <x:c r="J17" s="61"/>
    </x:row>
    <x:row r="18">
      <x:c r="A18" s="61"/>
      <x:c r="B18" s="61"/>
      <x:c r="C18" s="61"/>
      <x:c r="D18" s="61"/>
      <x:c r="E18" s="61"/>
      <x:c r="F18" s="61"/>
      <x:c r="G18" s="61"/>
      <x:c r="H18" s="61"/>
      <x:c r="I18" s="61"/>
      <x:c r="J18" s="61"/>
    </x:row>
    <x:row r="19">
      <x:c r="A19" s="61"/>
      <x:c r="B19" s="61"/>
      <x:c r="C19" s="61"/>
      <x:c r="D19" s="61"/>
      <x:c r="E19" s="61"/>
      <x:c r="F19" s="61"/>
      <x:c r="G19" s="61"/>
      <x:c r="H19" s="61"/>
      <x:c r="I19" s="61"/>
      <x:c r="J19" s="61"/>
    </x:row>
    <x:row r="20">
      <x:c r="A20" s="61"/>
      <x:c r="B20" s="61"/>
      <x:c r="C20" s="61"/>
      <x:c r="D20" s="61"/>
      <x:c r="E20" s="61"/>
      <x:c r="F20" s="61"/>
      <x:c r="G20" s="61"/>
      <x:c r="H20" s="61"/>
      <x:c r="I20" s="61"/>
      <x:c r="J20" s="61"/>
    </x:row>
    <x:row r="21">
      <x:c r="A21" s="61"/>
      <x:c r="B21" s="61"/>
      <x:c r="C21" s="61"/>
      <x:c r="D21" s="61"/>
      <x:c r="E21" s="61"/>
      <x:c r="F21" s="61"/>
      <x:c r="G21" s="61"/>
      <x:c r="H21" s="61"/>
      <x:c r="I21" s="61"/>
      <x:c r="J21" s="61"/>
    </x:row>
    <x:row r="22">
      <x:c r="A22" s="61"/>
      <x:c r="B22" s="61"/>
      <x:c r="C22" s="61"/>
      <x:c r="D22" s="61"/>
      <x:c r="E22" s="61"/>
      <x:c r="F22" s="61"/>
      <x:c r="G22" s="61"/>
      <x:c r="H22" s="61"/>
      <x:c r="I22" s="61"/>
      <x:c r="J22" s="61"/>
    </x:row>
    <x:row r="23">
      <x:c r="A23" s="61"/>
      <x:c r="B23" s="61"/>
      <x:c r="C23" s="61"/>
      <x:c r="D23" s="61"/>
      <x:c r="E23" s="61"/>
      <x:c r="F23" s="61"/>
      <x:c r="G23" s="61"/>
      <x:c r="H23" s="61"/>
      <x:c r="I23" s="61"/>
      <x:c r="J23" s="61"/>
    </x:row>
    <x:row r="24">
      <x:c r="A24" s="61"/>
      <x:c r="B24" s="61"/>
      <x:c r="C24" s="61"/>
      <x:c r="D24" s="61"/>
      <x:c r="E24" s="61"/>
      <x:c r="F24" s="61"/>
      <x:c r="G24" s="61"/>
      <x:c r="H24" s="61"/>
      <x:c r="I24" s="61"/>
      <x:c r="J24" s="61"/>
    </x:row>
    <x:row r="25">
      <x:c r="A25" s="61"/>
      <x:c r="B25" s="61"/>
      <x:c r="C25" s="61"/>
      <x:c r="D25" s="61"/>
      <x:c r="E25" s="61"/>
      <x:c r="F25" s="61"/>
      <x:c r="G25" s="61"/>
      <x:c r="H25" s="61"/>
      <x:c r="I25" s="61"/>
      <x:c r="J25" s="61"/>
    </x:row>
    <x:row r="26">
      <x:c r="A26" s="61"/>
      <x:c r="B26" s="61"/>
      <x:c r="C26" s="61"/>
      <x:c r="D26" s="61"/>
      <x:c r="E26" s="61"/>
      <x:c r="F26" s="61"/>
      <x:c r="G26" s="61"/>
      <x:c r="H26" s="61"/>
      <x:c r="I26" s="61"/>
      <x:c r="J26" s="61"/>
    </x:row>
    <x:row r="27">
      <x:c r="A27" s="61"/>
      <x:c r="B27" s="61"/>
      <x:c r="C27" s="61"/>
      <x:c r="D27" s="61"/>
      <x:c r="E27" s="61"/>
      <x:c r="F27" s="61"/>
      <x:c r="G27" s="61"/>
      <x:c r="H27" s="61"/>
      <x:c r="I27" s="61"/>
      <x:c r="J27" s="61"/>
    </x:row>
    <x:row r="28">
      <x:c r="A28" s="61"/>
      <x:c r="B28" s="61"/>
      <x:c r="C28" s="61"/>
      <x:c r="D28" s="61"/>
      <x:c r="E28" s="61"/>
      <x:c r="F28" s="61"/>
      <x:c r="G28" s="61"/>
      <x:c r="H28" s="61"/>
      <x:c r="I28" s="61"/>
      <x:c r="J28" s="61"/>
    </x:row>
    <x:row r="29">
      <x:c r="A29" s="61"/>
      <x:c r="B29" s="61"/>
      <x:c r="C29" s="61"/>
      <x:c r="D29" s="61"/>
      <x:c r="E29" s="61"/>
      <x:c r="F29" s="61"/>
      <x:c r="G29" s="61"/>
      <x:c r="H29" s="61"/>
      <x:c r="I29" s="61"/>
      <x:c r="J29" s="61"/>
    </x:row>
    <x:row r="30">
      <x:c r="A30" s="61"/>
      <x:c r="B30" s="61"/>
      <x:c r="C30" s="61"/>
      <x:c r="D30" s="61"/>
      <x:c r="E30" s="61"/>
      <x:c r="F30" s="61"/>
      <x:c r="G30" s="61"/>
      <x:c r="H30" s="61"/>
      <x:c r="I30" s="61"/>
      <x:c r="J30" s="61"/>
    </x:row>
    <x:row r="31">
      <x:c r="A31" s="61"/>
      <x:c r="B31" s="61"/>
      <x:c r="C31" s="61"/>
      <x:c r="D31" s="61"/>
      <x:c r="E31" s="61"/>
      <x:c r="F31" s="61"/>
      <x:c r="G31" s="61"/>
      <x:c r="H31" s="61"/>
      <x:c r="I31" s="61"/>
      <x:c r="J31" s="61"/>
    </x:row>
    <x:row r="32">
      <x:c r="A32" s="61"/>
      <x:c r="B32" s="61"/>
      <x:c r="C32" s="61"/>
      <x:c r="D32" s="61"/>
      <x:c r="E32" s="61"/>
      <x:c r="F32" s="61"/>
      <x:c r="G32" s="61"/>
      <x:c r="H32" s="61"/>
      <x:c r="I32" s="61"/>
      <x:c r="J32" s="61"/>
    </x:row>
    <x:row r="33">
      <x:c r="A33" s="61"/>
      <x:c r="B33" s="61"/>
      <x:c r="C33" s="61"/>
      <x:c r="D33" s="61"/>
      <x:c r="E33" s="61"/>
      <x:c r="F33" s="61"/>
      <x:c r="G33" s="61"/>
      <x:c r="H33" s="61"/>
      <x:c r="I33" s="61"/>
      <x:c r="J33" s="61"/>
    </x:row>
    <x:row r="34">
      <x:c r="A34" s="61"/>
      <x:c r="B34" s="61"/>
      <x:c r="C34" s="61"/>
      <x:c r="D34" s="61"/>
      <x:c r="E34" s="61"/>
      <x:c r="F34" s="61"/>
      <x:c r="G34" s="61"/>
      <x:c r="H34" s="61"/>
      <x:c r="I34" s="61"/>
      <x:c r="J34" s="61"/>
    </x:row>
    <x:row r="35">
      <x:c r="A35" s="61"/>
      <x:c r="B35" s="61"/>
      <x:c r="C35" s="61"/>
      <x:c r="D35" s="61"/>
      <x:c r="E35" s="61"/>
      <x:c r="F35" s="61"/>
      <x:c r="G35" s="61"/>
      <x:c r="H35" s="61"/>
      <x:c r="I35" s="61"/>
      <x:c r="J35" s="61"/>
    </x:row>
    <x:row r="36">
      <x:c r="A36" s="61"/>
      <x:c r="B36" s="61"/>
      <x:c r="C36" s="61"/>
      <x:c r="D36" s="61"/>
      <x:c r="E36" s="61"/>
      <x:c r="F36" s="61"/>
      <x:c r="G36" s="61"/>
      <x:c r="H36" s="61"/>
      <x:c r="I36" s="61"/>
      <x:c r="J36" s="61"/>
    </x:row>
    <x:row r="37">
      <x:c r="A37" s="61"/>
      <x:c r="B37" s="61"/>
      <x:c r="C37" s="61"/>
      <x:c r="D37" s="61"/>
      <x:c r="E37" s="61"/>
      <x:c r="F37" s="61"/>
      <x:c r="G37" s="61"/>
      <x:c r="H37" s="61"/>
      <x:c r="I37" s="61"/>
      <x:c r="J37" s="61"/>
    </x:row>
    <x:row r="38">
      <x:c r="A38" s="61"/>
      <x:c r="B38" s="61"/>
      <x:c r="C38" s="61"/>
      <x:c r="D38" s="61"/>
      <x:c r="E38" s="61"/>
      <x:c r="F38" s="61"/>
      <x:c r="G38" s="61"/>
      <x:c r="H38" s="61"/>
      <x:c r="I38" s="61"/>
      <x:c r="J38" s="61"/>
    </x:row>
    <x:row r="39">
      <x:c r="A39" s="61"/>
      <x:c r="B39" s="61"/>
      <x:c r="C39" s="61"/>
      <x:c r="D39" s="61"/>
      <x:c r="E39" s="61"/>
      <x:c r="F39" s="61"/>
      <x:c r="G39" s="61"/>
      <x:c r="H39" s="61"/>
      <x:c r="I39" s="61"/>
      <x:c r="J39" s="61"/>
    </x:row>
    <x:row r="40">
      <x:c r="A40" s="61"/>
      <x:c r="B40" s="61"/>
      <x:c r="C40" s="61"/>
      <x:c r="D40" s="61"/>
      <x:c r="E40" s="61"/>
      <x:c r="F40" s="61"/>
      <x:c r="G40" s="61"/>
      <x:c r="H40" s="61"/>
      <x:c r="I40" s="61"/>
      <x:c r="J40" s="61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7054d9e998d491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4" hidden="0" customWidth="1"/>
    <x:col min="8" max="8" width="28" hidden="0" customWidth="1"/>
    <x:col min="9" max="9" width="28" hidden="0" customWidth="1"/>
    <x:col min="10" max="10" width="28" hidden="0" customWidth="1"/>
  </x:cols>
  <x:sheetData>
    <x:row r="1">
      <x:c r="A1" s="60" t="str">
        <x:v>05. Сценарная оценка объема рынка</x:v>
      </x:c>
      <x:c r="B1" s="60"/>
      <x:c r="C1" s="60"/>
      <x:c r="D1" s="60"/>
      <x:c r="E1" s="60"/>
      <x:c r="F1" s="60"/>
      <x:c r="G1" s="60"/>
      <x:c r="H1" s="61"/>
      <x:c r="I1" s="61"/>
      <x:c r="J1" s="61"/>
    </x:row>
    <x:row r="2">
      <x:c r="A2" s="61"/>
      <x:c r="B2" s="61"/>
      <x:c r="C2" s="61"/>
      <x:c r="D2" s="61"/>
      <x:c r="E2" s="61"/>
      <x:c r="F2" s="61"/>
      <x:c r="G2" s="61"/>
      <x:c r="H2" s="61"/>
      <x:c r="I2" s="61"/>
      <x:c r="J2" s="61"/>
    </x:row>
    <x:row r="3">
      <x:c r="A3" s="62" t="str">
        <x:v>Сценарий</x:v>
      </x:c>
      <x:c r="B3" s="62" t="str">
        <x:v>Достижимые посещения/мес.</x:v>
      </x:c>
      <x:c r="C3" s="62" t="str">
        <x:v>Заявки/мес.</x:v>
      </x:c>
      <x:c r="D3" s="62" t="str">
        <x:v>Продажи/мес.</x:v>
      </x:c>
      <x:c r="E3" s="62" t="str">
        <x:v>Выручка/мес.</x:v>
      </x:c>
      <x:c r="F3" s="62" t="str">
        <x:v>Выручка/год</x:v>
      </x:c>
      <x:c r="G3" s="62" t="str">
        <x:v>Интерпретация</x:v>
      </x:c>
      <x:c r="H3" s="61"/>
      <x:c r="I3" s="61"/>
      <x:c r="J3" s="61"/>
    </x:row>
    <x:row r="4">
      <x:c r="A4" s="61" t="str">
        <x:v>Осторожный</x:v>
      </x:c>
      <x:c r="B4" s="78" t="n">
        <x:f>'04_Воронка'!B6</x:f>
        <x:v>730.05</x:v>
      </x:c>
      <x:c r="C4" s="78" t="n">
        <x:f>'04_Воронка'!B8</x:f>
        <x:v>7.3004999999999995</x:v>
      </x:c>
      <x:c r="D4" s="78" t="n">
        <x:f>'04_Воронка'!B10</x:f>
        <x:v>1.0950749999999998</x:v>
      </x:c>
      <x:c r="E4" s="78" t="n">
        <x:f>'04_Воронка'!B12</x:f>
        <x:v>547.5374999999999</x:v>
      </x:c>
      <x:c r="F4" s="78" t="n">
        <x:f>'04_Воронка'!B13</x:f>
        <x:v>6570.449999999999</x:v>
      </x:c>
      <x:c r="G4" s="63" t="str">
        <x:v>Нижняя граница при слабом охвате и низких конверсиях.</x:v>
      </x:c>
      <x:c r="H4" s="61"/>
      <x:c r="I4" s="61"/>
      <x:c r="J4" s="61"/>
    </x:row>
    <x:row r="5">
      <x:c r="A5" s="61" t="str">
        <x:v>Базовый</x:v>
      </x:c>
      <x:c r="B5" s="78" t="n">
        <x:f>'04_Воронка'!C6</x:f>
        <x:v>1216.75</x:v>
      </x:c>
      <x:c r="C5" s="78" t="n">
        <x:f>'04_Воронка'!C8</x:f>
        <x:v>30.418750000000003</x:v>
      </x:c>
      <x:c r="D5" s="78" t="n">
        <x:f>'04_Воронка'!C10</x:f>
        <x:v>7.604687500000001</x:v>
      </x:c>
      <x:c r="E5" s="78" t="n">
        <x:f>'04_Воронка'!C12</x:f>
        <x:v>6083.750000000001</x:v>
      </x:c>
      <x:c r="F5" s="78" t="n">
        <x:f>'04_Воронка'!C13</x:f>
        <x:v>73005.00000000001</x:v>
      </x:c>
      <x:c r="G5" s="63" t="str">
        <x:v>Наиболее реалистичный сценарий при умеренной эффективности.</x:v>
      </x:c>
      <x:c r="H5" s="61"/>
      <x:c r="I5" s="61"/>
      <x:c r="J5" s="61"/>
    </x:row>
    <x:row r="6">
      <x:c r="A6" s="61" t="str">
        <x:v>Оптимистичный</x:v>
      </x:c>
      <x:c r="B6" s="78" t="n">
        <x:f>'04_Воронка'!D6</x:f>
        <x:v>1946.8000000000002</x:v>
      </x:c>
      <x:c r="C6" s="78" t="n">
        <x:f>'04_Воронка'!D8</x:f>
        <x:v>97.34000000000002</x:v>
      </x:c>
      <x:c r="D6" s="78" t="n">
        <x:f>'04_Воронка'!D10</x:f>
        <x:v>34.069</x:v>
      </x:c>
      <x:c r="E6" s="78" t="n">
        <x:f>'04_Воронка'!D12</x:f>
        <x:v>40882.8</x:v>
      </x:c>
      <x:c r="F6" s="78" t="n">
        <x:f>'04_Воронка'!D13</x:f>
        <x:v>490593.60000000003</x:v>
      </x:c>
      <x:c r="G6" s="63" t="str">
        <x:v>Верхняя граница при высокой эффективности каналов.</x:v>
      </x:c>
      <x:c r="H6" s="61"/>
      <x:c r="I6" s="61"/>
      <x:c r="J6" s="61"/>
    </x:row>
    <x:row r="7">
      <x:c r="A7" s="61"/>
      <x:c r="B7" s="88"/>
      <x:c r="C7" s="88"/>
      <x:c r="D7" s="88"/>
      <x:c r="E7" s="88"/>
      <x:c r="F7" s="88"/>
      <x:c r="G7" s="61"/>
      <x:c r="H7" s="61"/>
      <x:c r="I7" s="61"/>
      <x:c r="J7" s="61"/>
    </x:row>
    <x:row r="8">
      <x:c r="A8" s="62" t="str">
        <x:v>Показатель</x:v>
      </x:c>
      <x:c r="B8" s="89" t="str">
        <x:v>Формула</x:v>
      </x:c>
      <x:c r="C8" s="89" t="str">
        <x:v>Значение</x:v>
      </x:c>
      <x:c r="D8" s="89" t="str">
        <x:v>Комментарий</x:v>
      </x:c>
      <x:c r="E8" s="88"/>
      <x:c r="F8" s="88"/>
      <x:c r="G8" s="61"/>
      <x:c r="H8" s="61"/>
      <x:c r="I8" s="61"/>
      <x:c r="J8" s="61"/>
    </x:row>
    <x:row r="9">
      <x:c r="A9" s="61" t="str">
        <x:v>Минимальная годовая выручка</x:v>
      </x:c>
      <x:c r="B9" s="88" t="str">
        <x:v>MIN(F4:F6)</x:v>
      </x:c>
      <x:c r="C9" s="78" t="n">
        <x:f>MIN(F4:F6)</x:f>
        <x:v>6570.449999999999</x:v>
      </x:c>
      <x:c r="D9" s="88" t="str">
        <x:v>Нижняя граница расчетного диапазона.</x:v>
      </x:c>
      <x:c r="E9" s="88"/>
      <x:c r="F9" s="88"/>
      <x:c r="G9" s="61"/>
      <x:c r="H9" s="61"/>
      <x:c r="I9" s="61"/>
      <x:c r="J9" s="61"/>
    </x:row>
    <x:row r="10">
      <x:c r="A10" s="61" t="str">
        <x:v>Базовая годовая выручка</x:v>
      </x:c>
      <x:c r="B10" s="88" t="str">
        <x:v>F5</x:v>
      </x:c>
      <x:c r="C10" s="78" t="n">
        <x:f>F5</x:f>
        <x:v>73005.00000000001</x:v>
      </x:c>
      <x:c r="D10" s="88" t="str">
        <x:v>Основной ориентир для отчета.</x:v>
      </x:c>
      <x:c r="E10" s="88"/>
      <x:c r="F10" s="88"/>
      <x:c r="G10" s="61"/>
      <x:c r="H10" s="61"/>
      <x:c r="I10" s="61"/>
      <x:c r="J10" s="61"/>
    </x:row>
    <x:row r="11">
      <x:c r="A11" s="61" t="str">
        <x:v>Максимальная годовая выручка</x:v>
      </x:c>
      <x:c r="B11" s="88" t="str">
        <x:v>MAX(F4:F6)</x:v>
      </x:c>
      <x:c r="C11" s="78" t="n">
        <x:f>MAX(F4:F6)</x:f>
        <x:v>490593.60000000003</x:v>
      </x:c>
      <x:c r="D11" s="88" t="str">
        <x:v>Верхняя граница расчетного диапазона.</x:v>
      </x:c>
      <x:c r="E11" s="88"/>
      <x:c r="F11" s="88"/>
      <x:c r="G11" s="61"/>
      <x:c r="H11" s="61"/>
      <x:c r="I11" s="61"/>
      <x:c r="J11" s="61"/>
    </x:row>
    <x:row r="12">
      <x:c r="A12" s="61" t="str">
        <x:v>Размах оценки</x:v>
      </x:c>
      <x:c r="B12" s="88" t="str">
        <x:v>C11-C9</x:v>
      </x:c>
      <x:c r="C12" s="78" t="n">
        <x:f>C11-C9</x:f>
        <x:v>484023.15</x:v>
      </x:c>
      <x:c r="D12" s="88" t="str">
        <x:v>Показывает неопределенность оценки.</x:v>
      </x:c>
      <x:c r="E12" s="88"/>
      <x:c r="F12" s="88"/>
      <x:c r="G12" s="61"/>
      <x:c r="H12" s="61"/>
      <x:c r="I12" s="61"/>
      <x:c r="J12" s="61"/>
    </x:row>
    <x:row r="13">
      <x:c r="A13" s="61"/>
      <x:c r="B13" s="61"/>
      <x:c r="C13" s="61"/>
      <x:c r="D13" s="61"/>
      <x:c r="E13" s="61"/>
      <x:c r="F13" s="61"/>
      <x:c r="G13" s="61"/>
      <x:c r="H13" s="61"/>
      <x:c r="I13" s="61"/>
      <x:c r="J13" s="61"/>
    </x:row>
    <x:row r="14">
      <x:c r="A14" s="61"/>
      <x:c r="B14" s="61"/>
      <x:c r="C14" s="61"/>
      <x:c r="D14" s="61"/>
      <x:c r="E14" s="61"/>
      <x:c r="F14" s="61"/>
      <x:c r="G14" s="61"/>
      <x:c r="H14" s="61"/>
      <x:c r="I14" s="61"/>
      <x:c r="J14" s="61"/>
    </x:row>
    <x:row r="15">
      <x:c r="A15" s="61"/>
      <x:c r="B15" s="61"/>
      <x:c r="C15" s="61"/>
      <x:c r="D15" s="61"/>
      <x:c r="E15" s="61"/>
      <x:c r="F15" s="61"/>
      <x:c r="G15" s="61"/>
      <x:c r="H15" s="61"/>
      <x:c r="I15" s="61"/>
      <x:c r="J15" s="61"/>
    </x:row>
    <x:row r="16">
      <x:c r="A16" s="61"/>
      <x:c r="B16" s="61"/>
      <x:c r="C16" s="61"/>
      <x:c r="D16" s="61"/>
      <x:c r="E16" s="61"/>
      <x:c r="F16" s="61"/>
      <x:c r="G16" s="61"/>
      <x:c r="H16" s="61"/>
      <x:c r="I16" s="61"/>
      <x:c r="J16" s="61"/>
    </x:row>
    <x:row r="17">
      <x:c r="A17" s="61"/>
      <x:c r="B17" s="61"/>
      <x:c r="C17" s="61"/>
      <x:c r="D17" s="61"/>
      <x:c r="E17" s="61"/>
      <x:c r="F17" s="61"/>
      <x:c r="G17" s="61"/>
      <x:c r="H17" s="61"/>
      <x:c r="I17" s="61"/>
      <x:c r="J17" s="61"/>
    </x:row>
    <x:row r="18">
      <x:c r="A18" s="61"/>
      <x:c r="B18" s="61"/>
      <x:c r="C18" s="61"/>
      <x:c r="D18" s="61"/>
      <x:c r="E18" s="61"/>
      <x:c r="F18" s="61"/>
      <x:c r="G18" s="61"/>
      <x:c r="H18" s="61"/>
      <x:c r="I18" s="61"/>
      <x:c r="J18" s="61"/>
    </x:row>
    <x:row r="19">
      <x:c r="A19" s="61"/>
      <x:c r="B19" s="61"/>
      <x:c r="C19" s="61"/>
      <x:c r="D19" s="61"/>
      <x:c r="E19" s="61"/>
      <x:c r="F19" s="61"/>
      <x:c r="G19" s="61"/>
      <x:c r="H19" s="61"/>
      <x:c r="I19" s="61"/>
      <x:c r="J19" s="61"/>
    </x:row>
    <x:row r="20">
      <x:c r="A20" s="61"/>
      <x:c r="B20" s="61"/>
      <x:c r="C20" s="61"/>
      <x:c r="D20" s="61"/>
      <x:c r="E20" s="61"/>
      <x:c r="F20" s="61"/>
      <x:c r="G20" s="61"/>
      <x:c r="H20" s="61"/>
      <x:c r="I20" s="61"/>
      <x:c r="J20" s="61"/>
    </x:row>
    <x:row r="21">
      <x:c r="A21" s="61"/>
      <x:c r="B21" s="61"/>
      <x:c r="C21" s="61"/>
      <x:c r="D21" s="61"/>
      <x:c r="E21" s="61"/>
      <x:c r="F21" s="61"/>
      <x:c r="G21" s="61"/>
      <x:c r="H21" s="61"/>
      <x:c r="I21" s="61"/>
      <x:c r="J21" s="61"/>
    </x:row>
    <x:row r="22">
      <x:c r="A22" s="61"/>
      <x:c r="B22" s="61"/>
      <x:c r="C22" s="61"/>
      <x:c r="D22" s="61"/>
      <x:c r="E22" s="61"/>
      <x:c r="F22" s="61"/>
      <x:c r="G22" s="61"/>
      <x:c r="H22" s="61"/>
      <x:c r="I22" s="61"/>
      <x:c r="J22" s="61"/>
    </x:row>
    <x:row r="23">
      <x:c r="A23" s="61"/>
      <x:c r="B23" s="61"/>
      <x:c r="C23" s="61"/>
      <x:c r="D23" s="61"/>
      <x:c r="E23" s="61"/>
      <x:c r="F23" s="61"/>
      <x:c r="G23" s="61"/>
      <x:c r="H23" s="61"/>
      <x:c r="I23" s="61"/>
      <x:c r="J23" s="61"/>
    </x:row>
    <x:row r="24">
      <x:c r="A24" s="61"/>
      <x:c r="B24" s="61"/>
      <x:c r="C24" s="61"/>
      <x:c r="D24" s="61"/>
      <x:c r="E24" s="61"/>
      <x:c r="F24" s="61"/>
      <x:c r="G24" s="61"/>
      <x:c r="H24" s="61"/>
      <x:c r="I24" s="61"/>
      <x:c r="J24" s="61"/>
    </x:row>
    <x:row r="25">
      <x:c r="A25" s="61"/>
      <x:c r="B25" s="61"/>
      <x:c r="C25" s="61"/>
      <x:c r="D25" s="61"/>
      <x:c r="E25" s="61"/>
      <x:c r="F25" s="61"/>
      <x:c r="G25" s="61"/>
      <x:c r="H25" s="61"/>
      <x:c r="I25" s="61"/>
      <x:c r="J25" s="61"/>
    </x:row>
    <x:row r="26">
      <x:c r="A26" s="61"/>
      <x:c r="B26" s="61"/>
      <x:c r="C26" s="61"/>
      <x:c r="D26" s="61"/>
      <x:c r="E26" s="61"/>
      <x:c r="F26" s="61"/>
      <x:c r="G26" s="61"/>
      <x:c r="H26" s="61"/>
      <x:c r="I26" s="61"/>
      <x:c r="J26" s="61"/>
    </x:row>
    <x:row r="27">
      <x:c r="A27" s="61"/>
      <x:c r="B27" s="61"/>
      <x:c r="C27" s="61"/>
      <x:c r="D27" s="61"/>
      <x:c r="E27" s="61"/>
      <x:c r="F27" s="61"/>
      <x:c r="G27" s="61"/>
      <x:c r="H27" s="61"/>
      <x:c r="I27" s="61"/>
      <x:c r="J27" s="61"/>
    </x:row>
    <x:row r="28">
      <x:c r="A28" s="61"/>
      <x:c r="B28" s="61"/>
      <x:c r="C28" s="61"/>
      <x:c r="D28" s="61"/>
      <x:c r="E28" s="61"/>
      <x:c r="F28" s="61"/>
      <x:c r="G28" s="61"/>
      <x:c r="H28" s="61"/>
      <x:c r="I28" s="61"/>
      <x:c r="J28" s="61"/>
    </x:row>
    <x:row r="29">
      <x:c r="A29" s="61"/>
      <x:c r="B29" s="61"/>
      <x:c r="C29" s="61"/>
      <x:c r="D29" s="61"/>
      <x:c r="E29" s="61"/>
      <x:c r="F29" s="61"/>
      <x:c r="G29" s="61"/>
      <x:c r="H29" s="61"/>
      <x:c r="I29" s="61"/>
      <x:c r="J29" s="61"/>
    </x:row>
    <x:row r="30">
      <x:c r="A30" s="61"/>
      <x:c r="B30" s="61"/>
      <x:c r="C30" s="61"/>
      <x:c r="D30" s="61"/>
      <x:c r="E30" s="61"/>
      <x:c r="F30" s="61"/>
      <x:c r="G30" s="61"/>
      <x:c r="H30" s="61"/>
      <x:c r="I30" s="61"/>
      <x:c r="J30" s="61"/>
    </x:row>
    <x:row r="31">
      <x:c r="A31" s="61"/>
      <x:c r="B31" s="61"/>
      <x:c r="C31" s="61"/>
      <x:c r="D31" s="61"/>
      <x:c r="E31" s="61"/>
      <x:c r="F31" s="61"/>
      <x:c r="G31" s="61"/>
      <x:c r="H31" s="61"/>
      <x:c r="I31" s="61"/>
      <x:c r="J31" s="61"/>
    </x:row>
    <x:row r="32">
      <x:c r="A32" s="61"/>
      <x:c r="B32" s="61"/>
      <x:c r="C32" s="61"/>
      <x:c r="D32" s="61"/>
      <x:c r="E32" s="61"/>
      <x:c r="F32" s="61"/>
      <x:c r="G32" s="61"/>
      <x:c r="H32" s="61"/>
      <x:c r="I32" s="61"/>
      <x:c r="J32" s="61"/>
    </x:row>
    <x:row r="33">
      <x:c r="A33" s="61"/>
      <x:c r="B33" s="61"/>
      <x:c r="C33" s="61"/>
      <x:c r="D33" s="61"/>
      <x:c r="E33" s="61"/>
      <x:c r="F33" s="61"/>
      <x:c r="G33" s="61"/>
      <x:c r="H33" s="61"/>
      <x:c r="I33" s="61"/>
      <x:c r="J33" s="61"/>
    </x:row>
    <x:row r="34">
      <x:c r="A34" s="61"/>
      <x:c r="B34" s="61"/>
      <x:c r="C34" s="61"/>
      <x:c r="D34" s="61"/>
      <x:c r="E34" s="61"/>
      <x:c r="F34" s="61"/>
      <x:c r="G34" s="61"/>
      <x:c r="H34" s="61"/>
      <x:c r="I34" s="61"/>
      <x:c r="J34" s="61"/>
    </x:row>
    <x:row r="35">
      <x:c r="A35" s="61"/>
      <x:c r="B35" s="61"/>
      <x:c r="C35" s="61"/>
      <x:c r="D35" s="61"/>
      <x:c r="E35" s="61"/>
      <x:c r="F35" s="61"/>
      <x:c r="G35" s="61"/>
      <x:c r="H35" s="61"/>
      <x:c r="I35" s="61"/>
      <x:c r="J35" s="61"/>
    </x:row>
    <x:row r="36">
      <x:c r="A36" s="61"/>
      <x:c r="B36" s="61"/>
      <x:c r="C36" s="61"/>
      <x:c r="D36" s="61"/>
      <x:c r="E36" s="61"/>
      <x:c r="F36" s="61"/>
      <x:c r="G36" s="61"/>
      <x:c r="H36" s="61"/>
      <x:c r="I36" s="61"/>
      <x:c r="J36" s="61"/>
    </x:row>
    <x:row r="37">
      <x:c r="A37" s="61"/>
      <x:c r="B37" s="61"/>
      <x:c r="C37" s="61"/>
      <x:c r="D37" s="61"/>
      <x:c r="E37" s="61"/>
      <x:c r="F37" s="61"/>
      <x:c r="G37" s="61"/>
      <x:c r="H37" s="61"/>
      <x:c r="I37" s="61"/>
      <x:c r="J37" s="61"/>
    </x:row>
    <x:row r="38">
      <x:c r="A38" s="61"/>
      <x:c r="B38" s="61"/>
      <x:c r="C38" s="61"/>
      <x:c r="D38" s="61"/>
      <x:c r="E38" s="61"/>
      <x:c r="F38" s="61"/>
      <x:c r="G38" s="61"/>
      <x:c r="H38" s="61"/>
      <x:c r="I38" s="61"/>
      <x:c r="J38" s="61"/>
    </x:row>
    <x:row r="39">
      <x:c r="A39" s="61"/>
      <x:c r="B39" s="61"/>
      <x:c r="C39" s="61"/>
      <x:c r="D39" s="61"/>
      <x:c r="E39" s="61"/>
      <x:c r="F39" s="61"/>
      <x:c r="G39" s="61"/>
      <x:c r="H39" s="61"/>
      <x:c r="I39" s="61"/>
      <x:c r="J39" s="61"/>
    </x:row>
    <x:row r="40">
      <x:c r="A40" s="61"/>
      <x:c r="B40" s="61"/>
      <x:c r="C40" s="61"/>
      <x:c r="D40" s="61"/>
      <x:c r="E40" s="61"/>
      <x:c r="F40" s="61"/>
      <x:c r="G40" s="61"/>
      <x:c r="H40" s="61"/>
      <x:c r="I40" s="61"/>
      <x:c r="J40" s="61"/>
    </x:row>
  </x:sheetData>
  <x:mergeCells>
    <x:mergeCell ref="A1:G1"/>
  </x:mergeCells>
  <x:conditionalFormatting sqref="F4:F6">
    <x:cfRule type="dataBar" priority="1">
      <x:dataBar>
        <x:cfvo type="min"/>
        <x:cfvo type="max"/>
        <x:color rgb="5B9BD5"/>
      </x:dataBar>
      <x:extLst>
        <x:ext xmlns:x14="http://schemas.microsoft.com/office/spreadsheetml/2009/9/main" uri="{B025F937-C7B1-47D3-B67F-A62EFF666E3E}">
          <x14:id>{55BF7341-B2D2-C546-BCA3-4AA7F40C8455}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646095bb22f84f1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5BF7341-B2D2-C546-BCA3-4AA7F40C8455}">
            <x14:dataBar gradient="1">
              <x14:cfvo type="min"/>
              <x14:cfvo type="max"/>
              <x14:fillColor rgb="5B9BD5"/>
            </x14:dataBar>
          </x14:cfRule>
          <xm:sqref>F4:F6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4" hidden="0" customWidth="1"/>
    <x:col min="8" max="8" width="28" hidden="0" customWidth="1"/>
    <x:col min="9" max="9" width="28" hidden="0" customWidth="1"/>
    <x:col min="10" max="10" width="28" hidden="0" customWidth="1"/>
  </x:cols>
  <x:sheetData>
    <x:row r="1">
      <x:c r="A1" s="60" t="str">
        <x:v>06. Повторные покупки и жизненная ценность клиента</x:v>
      </x:c>
      <x:c r="B1" s="60"/>
      <x:c r="C1" s="60"/>
      <x:c r="D1" s="60"/>
      <x:c r="E1" s="60"/>
      <x:c r="F1" s="60"/>
      <x:c r="G1" s="60"/>
      <x:c r="H1" s="61"/>
      <x:c r="I1" s="61"/>
      <x:c r="J1" s="61"/>
    </x:row>
    <x:row r="2">
      <x:c r="A2" s="61"/>
      <x:c r="B2" s="61"/>
      <x:c r="C2" s="61"/>
      <x:c r="D2" s="61"/>
      <x:c r="E2" s="61"/>
      <x:c r="F2" s="61"/>
      <x:c r="G2" s="61"/>
      <x:c r="H2" s="61"/>
      <x:c r="I2" s="61"/>
      <x:c r="J2" s="61"/>
    </x:row>
    <x:row r="3">
      <x:c r="A3" s="62" t="str">
        <x:v>Сценарий</x:v>
      </x:c>
      <x:c r="B3" s="62" t="str">
        <x:v>Продажи/мес.</x:v>
      </x:c>
      <x:c r="C3" s="62" t="str">
        <x:v>Средний чек</x:v>
      </x:c>
      <x:c r="D3" s="62" t="str">
        <x:v>Повторных покупок в год</x:v>
      </x:c>
      <x:c r="E3" s="62" t="str">
        <x:v>Годовая выручка с учетом повторов</x:v>
      </x:c>
      <x:c r="F3" s="62" t="str">
        <x:v>Средняя ценность клиента за год</x:v>
      </x:c>
      <x:c r="G3" s="62" t="str">
        <x:v>Комментарий</x:v>
      </x:c>
      <x:c r="H3" s="61"/>
      <x:c r="I3" s="61"/>
      <x:c r="J3" s="61"/>
    </x:row>
    <x:row r="4">
      <x:c r="A4" s="61" t="str">
        <x:v>Осторожный</x:v>
      </x:c>
      <x:c r="B4" s="78" t="n">
        <x:f>'04_Воронка'!B10</x:f>
        <x:v>1.0950749999999998</x:v>
      </x:c>
      <x:c r="C4" s="78" t="n">
        <x:f>'04_Воронка'!B11</x:f>
        <x:v>500</x:v>
      </x:c>
      <x:c r="D4" s="78" t="n">
        <x:f>'01_Параметры'!F17</x:f>
        <x:v>1</x:v>
      </x:c>
      <x:c r="E4" s="78" t="n">
        <x:f>B4*C4*D4*12</x:f>
        <x:v>6570.449999999999</x:v>
      </x:c>
      <x:c r="F4" s="78" t="n">
        <x:f>C4*D4</x:f>
        <x:v>500</x:v>
      </x:c>
      <x:c r="G4" s="63" t="str">
        <x:v>Разовые или редкие повторные покупки.</x:v>
      </x:c>
      <x:c r="H4" s="61"/>
      <x:c r="I4" s="61"/>
      <x:c r="J4" s="61"/>
    </x:row>
    <x:row r="5">
      <x:c r="A5" s="61" t="str">
        <x:v>Базовый</x:v>
      </x:c>
      <x:c r="B5" s="78" t="n">
        <x:f>'04_Воронка'!C10</x:f>
        <x:v>7.604687500000001</x:v>
      </x:c>
      <x:c r="C5" s="78" t="n">
        <x:f>'04_Воронка'!C11</x:f>
        <x:v>800</x:v>
      </x:c>
      <x:c r="D5" s="78" t="n">
        <x:f>'01_Параметры'!F18</x:f>
        <x:v>2</x:v>
      </x:c>
      <x:c r="E5" s="78" t="n">
        <x:f>B5*C5*D5*12</x:f>
        <x:v>146010.00000000003</x:v>
      </x:c>
      <x:c r="F5" s="78" t="n">
        <x:f>C5*D5</x:f>
        <x:v>1600</x:v>
      </x:c>
      <x:c r="G5" s="63" t="str">
        <x:v>Умеренная повторяемость заказов.</x:v>
      </x:c>
      <x:c r="H5" s="61"/>
      <x:c r="I5" s="61"/>
      <x:c r="J5" s="61"/>
    </x:row>
    <x:row r="6">
      <x:c r="A6" s="61" t="str">
        <x:v>Оптимистичный</x:v>
      </x:c>
      <x:c r="B6" s="78" t="n">
        <x:f>'04_Воронка'!D10</x:f>
        <x:v>34.069</x:v>
      </x:c>
      <x:c r="C6" s="78" t="n">
        <x:f>'04_Воронка'!D11</x:f>
        <x:v>1200</x:v>
      </x:c>
      <x:c r="D6" s="78" t="n">
        <x:f>'01_Параметры'!F19</x:f>
        <x:v>3</x:v>
      </x:c>
      <x:c r="E6" s="78" t="n">
        <x:f>B6*C6*D6*12</x:f>
        <x:v>1471780.8</x:v>
      </x:c>
      <x:c r="F6" s="78" t="n">
        <x:f>C6*D6</x:f>
        <x:v>3600</x:v>
      </x:c>
      <x:c r="G6" s="63" t="str">
        <x:v>Регулярное сопровождение или подписочная модель.</x:v>
      </x:c>
      <x:c r="H6" s="61"/>
      <x:c r="I6" s="61"/>
      <x:c r="J6" s="61"/>
    </x:row>
    <x:row r="7">
      <x:c r="A7" s="61"/>
      <x:c r="B7" s="88"/>
      <x:c r="C7" s="88"/>
      <x:c r="D7" s="88"/>
      <x:c r="E7" s="88"/>
      <x:c r="F7" s="88"/>
      <x:c r="G7" s="61"/>
      <x:c r="H7" s="61"/>
      <x:c r="I7" s="61"/>
      <x:c r="J7" s="61"/>
    </x:row>
    <x:row r="8">
      <x:c r="A8" s="62" t="str">
        <x:v>Показатель</x:v>
      </x:c>
      <x:c r="B8" s="89" t="str">
        <x:v>Осторожный</x:v>
      </x:c>
      <x:c r="C8" s="89" t="str">
        <x:v>Базовый</x:v>
      </x:c>
      <x:c r="D8" s="89" t="str">
        <x:v>Оптимистичный</x:v>
      </x:c>
      <x:c r="E8" s="88"/>
      <x:c r="F8" s="88"/>
      <x:c r="G8" s="61"/>
      <x:c r="H8" s="61"/>
      <x:c r="I8" s="61"/>
      <x:c r="J8" s="61"/>
    </x:row>
    <x:row r="9">
      <x:c r="A9" s="61" t="str">
        <x:v>Годовая выручка без учета повторов</x:v>
      </x:c>
      <x:c r="B9" s="78" t="n">
        <x:f>'04_Воронка'!B13</x:f>
        <x:v>6570.449999999999</x:v>
      </x:c>
      <x:c r="C9" s="78" t="n">
        <x:f>'04_Воронка'!C13</x:f>
        <x:v>73005.00000000001</x:v>
      </x:c>
      <x:c r="D9" s="78" t="n">
        <x:f>'04_Воронка'!D13</x:f>
        <x:v>490593.60000000003</x:v>
      </x:c>
      <x:c r="E9" s="88"/>
      <x:c r="F9" s="88"/>
      <x:c r="G9" s="61"/>
      <x:c r="H9" s="61"/>
      <x:c r="I9" s="61"/>
      <x:c r="J9" s="61"/>
    </x:row>
    <x:row r="10">
      <x:c r="A10" s="61" t="str">
        <x:v>Годовая выручка с учетом повторов</x:v>
      </x:c>
      <x:c r="B10" s="78" t="n">
        <x:f>E4</x:f>
        <x:v>6570.449999999999</x:v>
      </x:c>
      <x:c r="C10" s="78" t="n">
        <x:f>E5</x:f>
        <x:v>146010.00000000003</x:v>
      </x:c>
      <x:c r="D10" s="78" t="n">
        <x:f>E6</x:f>
        <x:v>1471780.8</x:v>
      </x:c>
      <x:c r="E10" s="88"/>
      <x:c r="F10" s="88"/>
      <x:c r="G10" s="61"/>
      <x:c r="H10" s="61"/>
      <x:c r="I10" s="61"/>
      <x:c r="J10" s="61"/>
    </x:row>
    <x:row r="11">
      <x:c r="A11" s="61"/>
      <x:c r="B11" s="61"/>
      <x:c r="C11" s="61"/>
      <x:c r="D11" s="61"/>
      <x:c r="E11" s="61"/>
      <x:c r="F11" s="61"/>
      <x:c r="G11" s="61"/>
      <x:c r="H11" s="61"/>
      <x:c r="I11" s="61"/>
      <x:c r="J11" s="61"/>
    </x:row>
    <x:row r="12">
      <x:c r="A12" s="61"/>
      <x:c r="B12" s="61"/>
      <x:c r="C12" s="61"/>
      <x:c r="D12" s="61"/>
      <x:c r="E12" s="61"/>
      <x:c r="F12" s="61"/>
      <x:c r="G12" s="61"/>
      <x:c r="H12" s="61"/>
      <x:c r="I12" s="61"/>
      <x:c r="J12" s="61"/>
    </x:row>
    <x:row r="13">
      <x:c r="A13" s="61"/>
      <x:c r="B13" s="61"/>
      <x:c r="C13" s="61"/>
      <x:c r="D13" s="61"/>
      <x:c r="E13" s="61"/>
      <x:c r="F13" s="61"/>
      <x:c r="G13" s="61"/>
      <x:c r="H13" s="61"/>
      <x:c r="I13" s="61"/>
      <x:c r="J13" s="61"/>
    </x:row>
    <x:row r="14">
      <x:c r="A14" s="61"/>
      <x:c r="B14" s="61"/>
      <x:c r="C14" s="61"/>
      <x:c r="D14" s="61"/>
      <x:c r="E14" s="61"/>
      <x:c r="F14" s="61"/>
      <x:c r="G14" s="61"/>
      <x:c r="H14" s="61"/>
      <x:c r="I14" s="61"/>
      <x:c r="J14" s="61"/>
    </x:row>
    <x:row r="15">
      <x:c r="A15" s="61"/>
      <x:c r="B15" s="61"/>
      <x:c r="C15" s="61"/>
      <x:c r="D15" s="61"/>
      <x:c r="E15" s="61"/>
      <x:c r="F15" s="61"/>
      <x:c r="G15" s="61"/>
      <x:c r="H15" s="61"/>
      <x:c r="I15" s="61"/>
      <x:c r="J15" s="61"/>
    </x:row>
    <x:row r="16">
      <x:c r="A16" s="61"/>
      <x:c r="B16" s="61"/>
      <x:c r="C16" s="61"/>
      <x:c r="D16" s="61"/>
      <x:c r="E16" s="61"/>
      <x:c r="F16" s="61"/>
      <x:c r="G16" s="61"/>
      <x:c r="H16" s="61"/>
      <x:c r="I16" s="61"/>
      <x:c r="J16" s="61"/>
    </x:row>
    <x:row r="17">
      <x:c r="A17" s="61"/>
      <x:c r="B17" s="61"/>
      <x:c r="C17" s="61"/>
      <x:c r="D17" s="61"/>
      <x:c r="E17" s="61"/>
      <x:c r="F17" s="61"/>
      <x:c r="G17" s="61"/>
      <x:c r="H17" s="61"/>
      <x:c r="I17" s="61"/>
      <x:c r="J17" s="61"/>
    </x:row>
    <x:row r="18">
      <x:c r="A18" s="61"/>
      <x:c r="B18" s="61"/>
      <x:c r="C18" s="61"/>
      <x:c r="D18" s="61"/>
      <x:c r="E18" s="61"/>
      <x:c r="F18" s="61"/>
      <x:c r="G18" s="61"/>
      <x:c r="H18" s="61"/>
      <x:c r="I18" s="61"/>
      <x:c r="J18" s="61"/>
    </x:row>
    <x:row r="19">
      <x:c r="A19" s="61"/>
      <x:c r="B19" s="61"/>
      <x:c r="C19" s="61"/>
      <x:c r="D19" s="61"/>
      <x:c r="E19" s="61"/>
      <x:c r="F19" s="61"/>
      <x:c r="G19" s="61"/>
      <x:c r="H19" s="61"/>
      <x:c r="I19" s="61"/>
      <x:c r="J19" s="61"/>
    </x:row>
    <x:row r="20">
      <x:c r="A20" s="61"/>
      <x:c r="B20" s="61"/>
      <x:c r="C20" s="61"/>
      <x:c r="D20" s="61"/>
      <x:c r="E20" s="61"/>
      <x:c r="F20" s="61"/>
      <x:c r="G20" s="61"/>
      <x:c r="H20" s="61"/>
      <x:c r="I20" s="61"/>
      <x:c r="J20" s="61"/>
    </x:row>
    <x:row r="21">
      <x:c r="A21" s="61"/>
      <x:c r="B21" s="61"/>
      <x:c r="C21" s="61"/>
      <x:c r="D21" s="61"/>
      <x:c r="E21" s="61"/>
      <x:c r="F21" s="61"/>
      <x:c r="G21" s="61"/>
      <x:c r="H21" s="61"/>
      <x:c r="I21" s="61"/>
      <x:c r="J21" s="61"/>
    </x:row>
    <x:row r="22">
      <x:c r="A22" s="61"/>
      <x:c r="B22" s="61"/>
      <x:c r="C22" s="61"/>
      <x:c r="D22" s="61"/>
      <x:c r="E22" s="61"/>
      <x:c r="F22" s="61"/>
      <x:c r="G22" s="61"/>
      <x:c r="H22" s="61"/>
      <x:c r="I22" s="61"/>
      <x:c r="J22" s="61"/>
    </x:row>
    <x:row r="23">
      <x:c r="A23" s="61"/>
      <x:c r="B23" s="61"/>
      <x:c r="C23" s="61"/>
      <x:c r="D23" s="61"/>
      <x:c r="E23" s="61"/>
      <x:c r="F23" s="61"/>
      <x:c r="G23" s="61"/>
      <x:c r="H23" s="61"/>
      <x:c r="I23" s="61"/>
      <x:c r="J23" s="61"/>
    </x:row>
    <x:row r="24">
      <x:c r="A24" s="61"/>
      <x:c r="B24" s="61"/>
      <x:c r="C24" s="61"/>
      <x:c r="D24" s="61"/>
      <x:c r="E24" s="61"/>
      <x:c r="F24" s="61"/>
      <x:c r="G24" s="61"/>
      <x:c r="H24" s="61"/>
      <x:c r="I24" s="61"/>
      <x:c r="J24" s="61"/>
    </x:row>
    <x:row r="25">
      <x:c r="A25" s="61"/>
      <x:c r="B25" s="61"/>
      <x:c r="C25" s="61"/>
      <x:c r="D25" s="61"/>
      <x:c r="E25" s="61"/>
      <x:c r="F25" s="61"/>
      <x:c r="G25" s="61"/>
      <x:c r="H25" s="61"/>
      <x:c r="I25" s="61"/>
      <x:c r="J25" s="61"/>
    </x:row>
    <x:row r="26">
      <x:c r="A26" s="61"/>
      <x:c r="B26" s="61"/>
      <x:c r="C26" s="61"/>
      <x:c r="D26" s="61"/>
      <x:c r="E26" s="61"/>
      <x:c r="F26" s="61"/>
      <x:c r="G26" s="61"/>
      <x:c r="H26" s="61"/>
      <x:c r="I26" s="61"/>
      <x:c r="J26" s="61"/>
    </x:row>
    <x:row r="27">
      <x:c r="A27" s="61"/>
      <x:c r="B27" s="61"/>
      <x:c r="C27" s="61"/>
      <x:c r="D27" s="61"/>
      <x:c r="E27" s="61"/>
      <x:c r="F27" s="61"/>
      <x:c r="G27" s="61"/>
      <x:c r="H27" s="61"/>
      <x:c r="I27" s="61"/>
      <x:c r="J27" s="61"/>
    </x:row>
    <x:row r="28">
      <x:c r="A28" s="61"/>
      <x:c r="B28" s="61"/>
      <x:c r="C28" s="61"/>
      <x:c r="D28" s="61"/>
      <x:c r="E28" s="61"/>
      <x:c r="F28" s="61"/>
      <x:c r="G28" s="61"/>
      <x:c r="H28" s="61"/>
      <x:c r="I28" s="61"/>
      <x:c r="J28" s="61"/>
    </x:row>
    <x:row r="29">
      <x:c r="A29" s="61"/>
      <x:c r="B29" s="61"/>
      <x:c r="C29" s="61"/>
      <x:c r="D29" s="61"/>
      <x:c r="E29" s="61"/>
      <x:c r="F29" s="61"/>
      <x:c r="G29" s="61"/>
      <x:c r="H29" s="61"/>
      <x:c r="I29" s="61"/>
      <x:c r="J29" s="61"/>
    </x:row>
    <x:row r="30">
      <x:c r="A30" s="61"/>
      <x:c r="B30" s="61"/>
      <x:c r="C30" s="61"/>
      <x:c r="D30" s="61"/>
      <x:c r="E30" s="61"/>
      <x:c r="F30" s="61"/>
      <x:c r="G30" s="61"/>
      <x:c r="H30" s="61"/>
      <x:c r="I30" s="61"/>
      <x:c r="J30" s="61"/>
    </x:row>
    <x:row r="31">
      <x:c r="A31" s="61"/>
      <x:c r="B31" s="61"/>
      <x:c r="C31" s="61"/>
      <x:c r="D31" s="61"/>
      <x:c r="E31" s="61"/>
      <x:c r="F31" s="61"/>
      <x:c r="G31" s="61"/>
      <x:c r="H31" s="61"/>
      <x:c r="I31" s="61"/>
      <x:c r="J31" s="61"/>
    </x:row>
    <x:row r="32">
      <x:c r="A32" s="61"/>
      <x:c r="B32" s="61"/>
      <x:c r="C32" s="61"/>
      <x:c r="D32" s="61"/>
      <x:c r="E32" s="61"/>
      <x:c r="F32" s="61"/>
      <x:c r="G32" s="61"/>
      <x:c r="H32" s="61"/>
      <x:c r="I32" s="61"/>
      <x:c r="J32" s="61"/>
    </x:row>
    <x:row r="33">
      <x:c r="A33" s="61"/>
      <x:c r="B33" s="61"/>
      <x:c r="C33" s="61"/>
      <x:c r="D33" s="61"/>
      <x:c r="E33" s="61"/>
      <x:c r="F33" s="61"/>
      <x:c r="G33" s="61"/>
      <x:c r="H33" s="61"/>
      <x:c r="I33" s="61"/>
      <x:c r="J33" s="61"/>
    </x:row>
    <x:row r="34">
      <x:c r="A34" s="61"/>
      <x:c r="B34" s="61"/>
      <x:c r="C34" s="61"/>
      <x:c r="D34" s="61"/>
      <x:c r="E34" s="61"/>
      <x:c r="F34" s="61"/>
      <x:c r="G34" s="61"/>
      <x:c r="H34" s="61"/>
      <x:c r="I34" s="61"/>
      <x:c r="J34" s="61"/>
    </x:row>
    <x:row r="35">
      <x:c r="A35" s="61"/>
      <x:c r="B35" s="61"/>
      <x:c r="C35" s="61"/>
      <x:c r="D35" s="61"/>
      <x:c r="E35" s="61"/>
      <x:c r="F35" s="61"/>
      <x:c r="G35" s="61"/>
      <x:c r="H35" s="61"/>
      <x:c r="I35" s="61"/>
      <x:c r="J35" s="61"/>
    </x:row>
    <x:row r="36">
      <x:c r="A36" s="61"/>
      <x:c r="B36" s="61"/>
      <x:c r="C36" s="61"/>
      <x:c r="D36" s="61"/>
      <x:c r="E36" s="61"/>
      <x:c r="F36" s="61"/>
      <x:c r="G36" s="61"/>
      <x:c r="H36" s="61"/>
      <x:c r="I36" s="61"/>
      <x:c r="J36" s="61"/>
    </x:row>
    <x:row r="37">
      <x:c r="A37" s="61"/>
      <x:c r="B37" s="61"/>
      <x:c r="C37" s="61"/>
      <x:c r="D37" s="61"/>
      <x:c r="E37" s="61"/>
      <x:c r="F37" s="61"/>
      <x:c r="G37" s="61"/>
      <x:c r="H37" s="61"/>
      <x:c r="I37" s="61"/>
      <x:c r="J37" s="61"/>
    </x:row>
    <x:row r="38">
      <x:c r="A38" s="61"/>
      <x:c r="B38" s="61"/>
      <x:c r="C38" s="61"/>
      <x:c r="D38" s="61"/>
      <x:c r="E38" s="61"/>
      <x:c r="F38" s="61"/>
      <x:c r="G38" s="61"/>
      <x:c r="H38" s="61"/>
      <x:c r="I38" s="61"/>
      <x:c r="J38" s="61"/>
    </x:row>
    <x:row r="39">
      <x:c r="A39" s="61"/>
      <x:c r="B39" s="61"/>
      <x:c r="C39" s="61"/>
      <x:c r="D39" s="61"/>
      <x:c r="E39" s="61"/>
      <x:c r="F39" s="61"/>
      <x:c r="G39" s="61"/>
      <x:c r="H39" s="61"/>
      <x:c r="I39" s="61"/>
      <x:c r="J39" s="61"/>
    </x:row>
    <x:row r="40">
      <x:c r="A40" s="61"/>
      <x:c r="B40" s="61"/>
      <x:c r="C40" s="61"/>
      <x:c r="D40" s="61"/>
      <x:c r="E40" s="61"/>
      <x:c r="F40" s="61"/>
      <x:c r="G40" s="61"/>
      <x:c r="H40" s="61"/>
      <x:c r="I40" s="61"/>
      <x:c r="J40" s="61"/>
    </x:row>
  </x:sheetData>
  <x:mergeCells>
    <x:mergeCell ref="A1:G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4" hidden="0" customWidth="1"/>
    <x:col min="8" max="8" width="28" hidden="0" customWidth="1"/>
    <x:col min="9" max="9" width="28" hidden="0" customWidth="1"/>
    <x:col min="10" max="10" width="28" hidden="0" customWidth="1"/>
  </x:cols>
  <x:sheetData>
    <x:row r="1">
      <x:c r="A1" s="60" t="str">
        <x:v>07. Платформенная модель: GMV и выручка платформы</x:v>
      </x:c>
      <x:c r="B1" s="60"/>
      <x:c r="C1" s="60"/>
      <x:c r="D1" s="60"/>
      <x:c r="E1" s="60"/>
      <x:c r="F1" s="60"/>
      <x:c r="G1" s="60"/>
      <x:c r="H1" s="60"/>
      <x:c r="I1" s="61"/>
      <x:c r="J1" s="61"/>
    </x:row>
    <x:row r="2">
      <x:c r="A2" s="61"/>
      <x:c r="B2" s="61"/>
      <x:c r="C2" s="61"/>
      <x:c r="D2" s="61"/>
      <x:c r="E2" s="61"/>
      <x:c r="F2" s="61"/>
      <x:c r="G2" s="61"/>
      <x:c r="H2" s="61"/>
      <x:c r="I2" s="61"/>
      <x:c r="J2" s="61"/>
    </x:row>
    <x:row r="3">
      <x:c r="A3" s="62" t="str">
        <x:v>Параметр</x:v>
      </x:c>
      <x:c r="B3" s="62" t="str">
        <x:v>Осторожный</x:v>
      </x:c>
      <x:c r="C3" s="62" t="str">
        <x:v>Базовый</x:v>
      </x:c>
      <x:c r="D3" s="62" t="str">
        <x:v>Оптимистичный</x:v>
      </x:c>
      <x:c r="E3" s="62" t="str">
        <x:v>Единица</x:v>
      </x:c>
      <x:c r="F3" s="62" t="str">
        <x:v>Источник/обоснование</x:v>
      </x:c>
      <x:c r="G3" s="62" t="str">
        <x:v>Комментарий</x:v>
      </x:c>
      <x:c r="H3" s="62" t="str">
        <x:v>Тип</x:v>
      </x:c>
      <x:c r="I3" s="61"/>
      <x:c r="J3" s="61"/>
    </x:row>
    <x:row r="4">
      <x:c r="A4" s="61" t="str">
        <x:v>Количество сделок в месяц</x:v>
      </x:c>
      <x:c r="B4" s="74" t="n">
        <x:v>30</x:v>
      </x:c>
      <x:c r="C4" s="74" t="n">
        <x:v>80</x:v>
      </x:c>
      <x:c r="D4" s="74" t="n">
        <x:v>150</x:v>
      </x:c>
      <x:c r="E4" s="61" t="str">
        <x:v>сделок</x:v>
      </x:c>
      <x:c r="F4" s="61" t="str">
        <x:v>Сценарная оценка</x:v>
      </x:c>
      <x:c r="G4" s="61" t="str">
        <x:v>Для маркетплейса услуг или платформы.</x:v>
      </x:c>
      <x:c r="H4" s="61" t="str">
        <x:v>ввод</x:v>
      </x:c>
      <x:c r="I4" s="61"/>
      <x:c r="J4" s="61"/>
    </x:row>
    <x:row r="5">
      <x:c r="A5" s="61" t="str">
        <x:v>Средняя сумма сделки</x:v>
      </x:c>
      <x:c r="B5" s="74" t="n">
        <x:v>500</x:v>
      </x:c>
      <x:c r="C5" s="74" t="n">
        <x:v>800</x:v>
      </x:c>
      <x:c r="D5" s="74" t="n">
        <x:v>1200</x:v>
      </x:c>
      <x:c r="E5" s="61" t="str">
        <x:v>BYN</x:v>
      </x:c>
      <x:c r="F5" s="61" t="str">
        <x:v>Цены конкурентов / экспертно</x:v>
      </x:c>
      <x:c r="G5" s="61" t="str">
        <x:v>Стоимость одной сделки между сторонами.</x:v>
      </x:c>
      <x:c r="H5" s="61" t="str">
        <x:v>ввод</x:v>
      </x:c>
      <x:c r="I5" s="61"/>
      <x:c r="J5" s="61"/>
    </x:row>
    <x:row r="6">
      <x:c r="A6" s="61" t="str">
        <x:v>GMV в месяц</x:v>
      </x:c>
      <x:c r="B6" s="78" t="n">
        <x:f>B4*B5</x:f>
        <x:v>15000</x:v>
      </x:c>
      <x:c r="C6" s="78" t="n">
        <x:f>C4*C5</x:f>
        <x:v>64000</x:v>
      </x:c>
      <x:c r="D6" s="78" t="n">
        <x:f>D4*D5</x:f>
        <x:v>180000</x:v>
      </x:c>
      <x:c r="E6" s="61" t="str">
        <x:v>BYN</x:v>
      </x:c>
      <x:c r="F6" s="61" t="str">
        <x:v>расчет</x:v>
      </x:c>
      <x:c r="G6" s="61" t="str">
        <x:v>Общий объем сделок на платформе.</x:v>
      </x:c>
      <x:c r="H6" s="61" t="str">
        <x:v>расчет</x:v>
      </x:c>
      <x:c r="I6" s="61"/>
      <x:c r="J6" s="61"/>
    </x:row>
    <x:row r="7">
      <x:c r="A7" s="61" t="str">
        <x:v>Комиссия платформы</x:v>
      </x:c>
      <x:c r="B7" s="75" t="n">
        <x:v>0.08</x:v>
      </x:c>
      <x:c r="C7" s="75" t="n">
        <x:v>0.12</x:v>
      </x:c>
      <x:c r="D7" s="75" t="n">
        <x:v>0.15</x:v>
      </x:c>
      <x:c r="E7" s="61" t="str">
        <x:v>доля</x:v>
      </x:c>
      <x:c r="F7" s="61" t="str">
        <x:v>Бизнес-модель</x:v>
      </x:c>
      <x:c r="G7" s="61" t="str">
        <x:v>Собственная доля платформы.</x:v>
      </x:c>
      <x:c r="H7" s="61" t="str">
        <x:v>ввод</x:v>
      </x:c>
      <x:c r="I7" s="61"/>
      <x:c r="J7" s="61"/>
    </x:row>
    <x:row r="8">
      <x:c r="A8" s="61" t="str">
        <x:v>Выручка платформы в месяц</x:v>
      </x:c>
      <x:c r="B8" s="78" t="n">
        <x:f>B6*B7</x:f>
        <x:v>1200</x:v>
      </x:c>
      <x:c r="C8" s="78" t="n">
        <x:f>C6*C7</x:f>
        <x:v>7680</x:v>
      </x:c>
      <x:c r="D8" s="78" t="n">
        <x:f>D6*D7</x:f>
        <x:v>27000</x:v>
      </x:c>
      <x:c r="E8" s="61" t="str">
        <x:v>BYN</x:v>
      </x:c>
      <x:c r="F8" s="61" t="str">
        <x:v>расчет</x:v>
      </x:c>
      <x:c r="G8" s="61" t="str">
        <x:v>Доход платформы от комиссии.</x:v>
      </x:c>
      <x:c r="H8" s="61" t="str">
        <x:v>расчет</x:v>
      </x:c>
      <x:c r="I8" s="61"/>
      <x:c r="J8" s="61"/>
    </x:row>
    <x:row r="9">
      <x:c r="A9" s="61" t="str">
        <x:v>Выручка платформы в год</x:v>
      </x:c>
      <x:c r="B9" s="78" t="n">
        <x:f>B8*12</x:f>
        <x:v>14400</x:v>
      </x:c>
      <x:c r="C9" s="78" t="n">
        <x:f>C8*12</x:f>
        <x:v>92160</x:v>
      </x:c>
      <x:c r="D9" s="78" t="n">
        <x:f>D8*12</x:f>
        <x:v>324000</x:v>
      </x:c>
      <x:c r="E9" s="61" t="str">
        <x:v>BYN</x:v>
      </x:c>
      <x:c r="F9" s="61" t="str">
        <x:v>расчет</x:v>
      </x:c>
      <x:c r="G9" s="61" t="str">
        <x:v>Годовая комиссионная выручка.</x:v>
      </x:c>
      <x:c r="H9" s="61" t="str">
        <x:v>расчет</x:v>
      </x:c>
      <x:c r="I9" s="61"/>
      <x:c r="J9" s="61"/>
    </x:row>
    <x:row r="10">
      <x:c r="A10" s="61"/>
      <x:c r="B10" s="61"/>
      <x:c r="C10" s="61"/>
      <x:c r="D10" s="61"/>
      <x:c r="E10" s="61"/>
      <x:c r="F10" s="61"/>
      <x:c r="G10" s="61"/>
      <x:c r="H10" s="61"/>
      <x:c r="I10" s="61"/>
      <x:c r="J10" s="61"/>
    </x:row>
    <x:row r="11">
      <x:c r="A11" s="61"/>
      <x:c r="B11" s="61"/>
      <x:c r="C11" s="61"/>
      <x:c r="D11" s="61"/>
      <x:c r="E11" s="61"/>
      <x:c r="F11" s="61"/>
      <x:c r="G11" s="61"/>
      <x:c r="H11" s="61"/>
      <x:c r="I11" s="61"/>
      <x:c r="J11" s="61"/>
    </x:row>
    <x:row r="12">
      <x:c r="A12" s="61"/>
      <x:c r="B12" s="61"/>
      <x:c r="C12" s="61"/>
      <x:c r="D12" s="61"/>
      <x:c r="E12" s="61"/>
      <x:c r="F12" s="61"/>
      <x:c r="G12" s="61"/>
      <x:c r="H12" s="61"/>
      <x:c r="I12" s="61"/>
      <x:c r="J12" s="61"/>
    </x:row>
    <x:row r="13">
      <x:c r="A13" s="61"/>
      <x:c r="B13" s="61"/>
      <x:c r="C13" s="61"/>
      <x:c r="D13" s="61"/>
      <x:c r="E13" s="61"/>
      <x:c r="F13" s="61"/>
      <x:c r="G13" s="61"/>
      <x:c r="H13" s="61"/>
      <x:c r="I13" s="61"/>
      <x:c r="J13" s="61"/>
    </x:row>
    <x:row r="14">
      <x:c r="A14" s="61"/>
      <x:c r="B14" s="61"/>
      <x:c r="C14" s="61"/>
      <x:c r="D14" s="61"/>
      <x:c r="E14" s="61"/>
      <x:c r="F14" s="61"/>
      <x:c r="G14" s="61"/>
      <x:c r="H14" s="61"/>
      <x:c r="I14" s="61"/>
      <x:c r="J14" s="61"/>
    </x:row>
    <x:row r="15">
      <x:c r="A15" s="61"/>
      <x:c r="B15" s="61"/>
      <x:c r="C15" s="61"/>
      <x:c r="D15" s="61"/>
      <x:c r="E15" s="61"/>
      <x:c r="F15" s="61"/>
      <x:c r="G15" s="61"/>
      <x:c r="H15" s="61"/>
      <x:c r="I15" s="61"/>
      <x:c r="J15" s="61"/>
    </x:row>
    <x:row r="16">
      <x:c r="A16" s="61"/>
      <x:c r="B16" s="61"/>
      <x:c r="C16" s="61"/>
      <x:c r="D16" s="61"/>
      <x:c r="E16" s="61"/>
      <x:c r="F16" s="61"/>
      <x:c r="G16" s="61"/>
      <x:c r="H16" s="61"/>
      <x:c r="I16" s="61"/>
      <x:c r="J16" s="61"/>
    </x:row>
    <x:row r="17">
      <x:c r="A17" s="61"/>
      <x:c r="B17" s="61"/>
      <x:c r="C17" s="61"/>
      <x:c r="D17" s="61"/>
      <x:c r="E17" s="61"/>
      <x:c r="F17" s="61"/>
      <x:c r="G17" s="61"/>
      <x:c r="H17" s="61"/>
      <x:c r="I17" s="61"/>
      <x:c r="J17" s="61"/>
    </x:row>
    <x:row r="18">
      <x:c r="A18" s="61"/>
      <x:c r="B18" s="61"/>
      <x:c r="C18" s="61"/>
      <x:c r="D18" s="61"/>
      <x:c r="E18" s="61"/>
      <x:c r="F18" s="61"/>
      <x:c r="G18" s="61"/>
      <x:c r="H18" s="61"/>
      <x:c r="I18" s="61"/>
      <x:c r="J18" s="61"/>
    </x:row>
    <x:row r="19">
      <x:c r="A19" s="61"/>
      <x:c r="B19" s="61"/>
      <x:c r="C19" s="61"/>
      <x:c r="D19" s="61"/>
      <x:c r="E19" s="61"/>
      <x:c r="F19" s="61"/>
      <x:c r="G19" s="61"/>
      <x:c r="H19" s="61"/>
      <x:c r="I19" s="61"/>
      <x:c r="J19" s="61"/>
    </x:row>
    <x:row r="20">
      <x:c r="A20" s="61"/>
      <x:c r="B20" s="61"/>
      <x:c r="C20" s="61"/>
      <x:c r="D20" s="61"/>
      <x:c r="E20" s="61"/>
      <x:c r="F20" s="61"/>
      <x:c r="G20" s="61"/>
      <x:c r="H20" s="61"/>
      <x:c r="I20" s="61"/>
      <x:c r="J20" s="61"/>
    </x:row>
    <x:row r="21">
      <x:c r="A21" s="61"/>
      <x:c r="B21" s="61"/>
      <x:c r="C21" s="61"/>
      <x:c r="D21" s="61"/>
      <x:c r="E21" s="61"/>
      <x:c r="F21" s="61"/>
      <x:c r="G21" s="61"/>
      <x:c r="H21" s="61"/>
      <x:c r="I21" s="61"/>
      <x:c r="J21" s="61"/>
    </x:row>
    <x:row r="22">
      <x:c r="A22" s="61"/>
      <x:c r="B22" s="61"/>
      <x:c r="C22" s="61"/>
      <x:c r="D22" s="61"/>
      <x:c r="E22" s="61"/>
      <x:c r="F22" s="61"/>
      <x:c r="G22" s="61"/>
      <x:c r="H22" s="61"/>
      <x:c r="I22" s="61"/>
      <x:c r="J22" s="61"/>
    </x:row>
    <x:row r="23">
      <x:c r="A23" s="61"/>
      <x:c r="B23" s="61"/>
      <x:c r="C23" s="61"/>
      <x:c r="D23" s="61"/>
      <x:c r="E23" s="61"/>
      <x:c r="F23" s="61"/>
      <x:c r="G23" s="61"/>
      <x:c r="H23" s="61"/>
      <x:c r="I23" s="61"/>
      <x:c r="J23" s="61"/>
    </x:row>
    <x:row r="24">
      <x:c r="A24" s="61"/>
      <x:c r="B24" s="61"/>
      <x:c r="C24" s="61"/>
      <x:c r="D24" s="61"/>
      <x:c r="E24" s="61"/>
      <x:c r="F24" s="61"/>
      <x:c r="G24" s="61"/>
      <x:c r="H24" s="61"/>
      <x:c r="I24" s="61"/>
      <x:c r="J24" s="61"/>
    </x:row>
    <x:row r="25">
      <x:c r="A25" s="61"/>
      <x:c r="B25" s="61"/>
      <x:c r="C25" s="61"/>
      <x:c r="D25" s="61"/>
      <x:c r="E25" s="61"/>
      <x:c r="F25" s="61"/>
      <x:c r="G25" s="61"/>
      <x:c r="H25" s="61"/>
      <x:c r="I25" s="61"/>
      <x:c r="J25" s="61"/>
    </x:row>
    <x:row r="26">
      <x:c r="A26" s="61"/>
      <x:c r="B26" s="61"/>
      <x:c r="C26" s="61"/>
      <x:c r="D26" s="61"/>
      <x:c r="E26" s="61"/>
      <x:c r="F26" s="61"/>
      <x:c r="G26" s="61"/>
      <x:c r="H26" s="61"/>
      <x:c r="I26" s="61"/>
      <x:c r="J26" s="61"/>
    </x:row>
    <x:row r="27">
      <x:c r="A27" s="61"/>
      <x:c r="B27" s="61"/>
      <x:c r="C27" s="61"/>
      <x:c r="D27" s="61"/>
      <x:c r="E27" s="61"/>
      <x:c r="F27" s="61"/>
      <x:c r="G27" s="61"/>
      <x:c r="H27" s="61"/>
      <x:c r="I27" s="61"/>
      <x:c r="J27" s="61"/>
    </x:row>
    <x:row r="28">
      <x:c r="A28" s="61"/>
      <x:c r="B28" s="61"/>
      <x:c r="C28" s="61"/>
      <x:c r="D28" s="61"/>
      <x:c r="E28" s="61"/>
      <x:c r="F28" s="61"/>
      <x:c r="G28" s="61"/>
      <x:c r="H28" s="61"/>
      <x:c r="I28" s="61"/>
      <x:c r="J28" s="61"/>
    </x:row>
    <x:row r="29">
      <x:c r="A29" s="61"/>
      <x:c r="B29" s="61"/>
      <x:c r="C29" s="61"/>
      <x:c r="D29" s="61"/>
      <x:c r="E29" s="61"/>
      <x:c r="F29" s="61"/>
      <x:c r="G29" s="61"/>
      <x:c r="H29" s="61"/>
      <x:c r="I29" s="61"/>
      <x:c r="J29" s="61"/>
    </x:row>
    <x:row r="30">
      <x:c r="A30" s="61"/>
      <x:c r="B30" s="61"/>
      <x:c r="C30" s="61"/>
      <x:c r="D30" s="61"/>
      <x:c r="E30" s="61"/>
      <x:c r="F30" s="61"/>
      <x:c r="G30" s="61"/>
      <x:c r="H30" s="61"/>
      <x:c r="I30" s="61"/>
      <x:c r="J30" s="61"/>
    </x:row>
    <x:row r="31">
      <x:c r="A31" s="61"/>
      <x:c r="B31" s="61"/>
      <x:c r="C31" s="61"/>
      <x:c r="D31" s="61"/>
      <x:c r="E31" s="61"/>
      <x:c r="F31" s="61"/>
      <x:c r="G31" s="61"/>
      <x:c r="H31" s="61"/>
      <x:c r="I31" s="61"/>
      <x:c r="J31" s="61"/>
    </x:row>
    <x:row r="32">
      <x:c r="A32" s="61"/>
      <x:c r="B32" s="61"/>
      <x:c r="C32" s="61"/>
      <x:c r="D32" s="61"/>
      <x:c r="E32" s="61"/>
      <x:c r="F32" s="61"/>
      <x:c r="G32" s="61"/>
      <x:c r="H32" s="61"/>
      <x:c r="I32" s="61"/>
      <x:c r="J32" s="61"/>
    </x:row>
    <x:row r="33">
      <x:c r="A33" s="61"/>
      <x:c r="B33" s="61"/>
      <x:c r="C33" s="61"/>
      <x:c r="D33" s="61"/>
      <x:c r="E33" s="61"/>
      <x:c r="F33" s="61"/>
      <x:c r="G33" s="61"/>
      <x:c r="H33" s="61"/>
      <x:c r="I33" s="61"/>
      <x:c r="J33" s="61"/>
    </x:row>
    <x:row r="34">
      <x:c r="A34" s="61"/>
      <x:c r="B34" s="61"/>
      <x:c r="C34" s="61"/>
      <x:c r="D34" s="61"/>
      <x:c r="E34" s="61"/>
      <x:c r="F34" s="61"/>
      <x:c r="G34" s="61"/>
      <x:c r="H34" s="61"/>
      <x:c r="I34" s="61"/>
      <x:c r="J34" s="61"/>
    </x:row>
    <x:row r="35">
      <x:c r="A35" s="61"/>
      <x:c r="B35" s="61"/>
      <x:c r="C35" s="61"/>
      <x:c r="D35" s="61"/>
      <x:c r="E35" s="61"/>
      <x:c r="F35" s="61"/>
      <x:c r="G35" s="61"/>
      <x:c r="H35" s="61"/>
      <x:c r="I35" s="61"/>
      <x:c r="J35" s="61"/>
    </x:row>
    <x:row r="36">
      <x:c r="A36" s="61"/>
      <x:c r="B36" s="61"/>
      <x:c r="C36" s="61"/>
      <x:c r="D36" s="61"/>
      <x:c r="E36" s="61"/>
      <x:c r="F36" s="61"/>
      <x:c r="G36" s="61"/>
      <x:c r="H36" s="61"/>
      <x:c r="I36" s="61"/>
      <x:c r="J36" s="61"/>
    </x:row>
    <x:row r="37">
      <x:c r="A37" s="61"/>
      <x:c r="B37" s="61"/>
      <x:c r="C37" s="61"/>
      <x:c r="D37" s="61"/>
      <x:c r="E37" s="61"/>
      <x:c r="F37" s="61"/>
      <x:c r="G37" s="61"/>
      <x:c r="H37" s="61"/>
      <x:c r="I37" s="61"/>
      <x:c r="J37" s="61"/>
    </x:row>
    <x:row r="38">
      <x:c r="A38" s="61"/>
      <x:c r="B38" s="61"/>
      <x:c r="C38" s="61"/>
      <x:c r="D38" s="61"/>
      <x:c r="E38" s="61"/>
      <x:c r="F38" s="61"/>
      <x:c r="G38" s="61"/>
      <x:c r="H38" s="61"/>
      <x:c r="I38" s="61"/>
      <x:c r="J38" s="61"/>
    </x:row>
    <x:row r="39">
      <x:c r="A39" s="61"/>
      <x:c r="B39" s="61"/>
      <x:c r="C39" s="61"/>
      <x:c r="D39" s="61"/>
      <x:c r="E39" s="61"/>
      <x:c r="F39" s="61"/>
      <x:c r="G39" s="61"/>
      <x:c r="H39" s="61"/>
      <x:c r="I39" s="61"/>
      <x:c r="J39" s="61"/>
    </x:row>
    <x:row r="40">
      <x:c r="A40" s="61"/>
      <x:c r="B40" s="61"/>
      <x:c r="C40" s="61"/>
      <x:c r="D40" s="61"/>
      <x:c r="E40" s="61"/>
      <x:c r="F40" s="61"/>
      <x:c r="G40" s="61"/>
      <x:c r="H40" s="61"/>
      <x:c r="I40" s="61"/>
      <x:c r="J40" s="61"/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4" hidden="0" customWidth="1"/>
    <x:col min="8" max="8" width="28" hidden="0" customWidth="1"/>
    <x:col min="9" max="9" width="28" hidden="0" customWidth="1"/>
    <x:col min="10" max="10" width="28" hidden="0" customWidth="1"/>
  </x:cols>
  <x:sheetData>
    <x:row r="1">
      <x:c r="A1" s="60" t="str">
        <x:v>08. Итоговая панель оценки рынка через цифровую воронку</x:v>
      </x:c>
      <x:c r="B1" s="60"/>
      <x:c r="C1" s="60"/>
      <x:c r="D1" s="60"/>
      <x:c r="E1" s="60"/>
      <x:c r="F1" s="60"/>
      <x:c r="G1" s="60"/>
      <x:c r="H1" s="60"/>
      <x:c r="I1" s="61"/>
      <x:c r="J1" s="61"/>
    </x:row>
    <x:row r="2">
      <x:c r="A2" s="61"/>
      <x:c r="B2" s="61"/>
      <x:c r="C2" s="61"/>
      <x:c r="D2" s="61"/>
      <x:c r="E2" s="61"/>
      <x:c r="F2" s="61"/>
      <x:c r="G2" s="61"/>
      <x:c r="H2" s="61"/>
      <x:c r="I2" s="61"/>
      <x:c r="J2" s="61"/>
    </x:row>
    <x:row r="3">
      <x:c r="A3" s="62" t="str">
        <x:v>Ключевой показатель</x:v>
      </x:c>
      <x:c r="B3" s="62" t="str">
        <x:v>Значение</x:v>
      </x:c>
      <x:c r="C3" s="62" t="str">
        <x:v>Единица</x:v>
      </x:c>
      <x:c r="D3" s="62" t="str">
        <x:v>Комментарий</x:v>
      </x:c>
      <x:c r="E3" s="61"/>
      <x:c r="F3" s="61"/>
      <x:c r="G3" s="61"/>
      <x:c r="H3" s="61"/>
      <x:c r="I3" s="61"/>
      <x:c r="J3" s="61"/>
    </x:row>
    <x:row r="4">
      <x:c r="A4" s="61" t="str">
        <x:v>Релевантные посещения в месяц</x:v>
      </x:c>
      <x:c r="B4" s="78" t="n">
        <x:f>'02_Трафик_охват'!C14</x:f>
        <x:v>4867</x:v>
      </x:c>
      <x:c r="C4" s="61" t="str">
        <x:v>посещений</x:v>
      </x:c>
      <x:c r="D4" s="61" t="str">
        <x:v>База для расчета воронки.</x:v>
      </x:c>
      <x:c r="E4" s="61"/>
      <x:c r="F4" s="61"/>
      <x:c r="G4" s="61"/>
      <x:c r="H4" s="61"/>
      <x:c r="I4" s="61"/>
      <x:c r="J4" s="61"/>
    </x:row>
    <x:row r="5">
      <x:c r="A5" s="61" t="str">
        <x:v>Релевантные посещения в год</x:v>
      </x:c>
      <x:c r="B5" s="78" t="n">
        <x:f>'02_Трафик_охват'!C15</x:f>
        <x:v>58404</x:v>
      </x:c>
      <x:c r="C5" s="61" t="str">
        <x:v>посещений</x:v>
      </x:c>
      <x:c r="D5" s="61" t="str">
        <x:v>Годовая база трафика.</x:v>
      </x:c>
      <x:c r="E5" s="61"/>
      <x:c r="F5" s="61"/>
      <x:c r="G5" s="61"/>
      <x:c r="H5" s="61"/>
      <x:c r="I5" s="61"/>
      <x:c r="J5" s="61"/>
    </x:row>
    <x:row r="6">
      <x:c r="A6" s="61" t="str">
        <x:v>Оценка полного трафика сегмента по Similarweb</x:v>
      </x:c>
      <x:c r="B6" s="78" t="n">
        <x:f>'03_Конкуренты_SW'!C12</x:f>
        <x:v>48225</x:v>
      </x:c>
      <x:c r="C6" s="61" t="str">
        <x:v>посещений/мес.</x:v>
      </x:c>
      <x:c r="D6" s="61" t="str">
        <x:v>Оценка через конкурентов и коэффициент покрытия.</x:v>
      </x:c>
      <x:c r="E6" s="61"/>
      <x:c r="F6" s="61"/>
      <x:c r="G6" s="61"/>
      <x:c r="H6" s="61"/>
      <x:c r="I6" s="61"/>
      <x:c r="J6" s="61"/>
    </x:row>
    <x:row r="7">
      <x:c r="A7" s="61" t="str">
        <x:v>Годовая выручка — осторожный сценарий</x:v>
      </x:c>
      <x:c r="B7" s="78" t="n">
        <x:f>'05_Сценарии'!C9</x:f>
        <x:v>6570.449999999999</x:v>
      </x:c>
      <x:c r="C7" s="61" t="str">
        <x:v>BYN/год</x:v>
      </x:c>
      <x:c r="D7" s="61" t="str">
        <x:v>Нижняя граница.</x:v>
      </x:c>
      <x:c r="E7" s="61"/>
      <x:c r="F7" s="61"/>
      <x:c r="G7" s="61"/>
      <x:c r="H7" s="61"/>
      <x:c r="I7" s="61"/>
      <x:c r="J7" s="61"/>
    </x:row>
    <x:row r="8">
      <x:c r="A8" s="61" t="str">
        <x:v>Годовая выручка — базовый сценарий</x:v>
      </x:c>
      <x:c r="B8" s="78" t="n">
        <x:f>'05_Сценарии'!C10</x:f>
        <x:v>73005.00000000001</x:v>
      </x:c>
      <x:c r="C8" s="61" t="str">
        <x:v>BYN/год</x:v>
      </x:c>
      <x:c r="D8" s="61" t="str">
        <x:v>Основной ориентир.</x:v>
      </x:c>
      <x:c r="E8" s="61"/>
      <x:c r="F8" s="61"/>
      <x:c r="G8" s="61"/>
      <x:c r="H8" s="61"/>
      <x:c r="I8" s="61"/>
      <x:c r="J8" s="61"/>
    </x:row>
    <x:row r="9">
      <x:c r="A9" s="61" t="str">
        <x:v>Годовая выручка — оптимистичный сценарий</x:v>
      </x:c>
      <x:c r="B9" s="78" t="n">
        <x:f>'05_Сценарии'!C11</x:f>
        <x:v>490593.60000000003</x:v>
      </x:c>
      <x:c r="C9" s="61" t="str">
        <x:v>BYN/год</x:v>
      </x:c>
      <x:c r="D9" s="61" t="str">
        <x:v>Верхняя граница.</x:v>
      </x:c>
      <x:c r="E9" s="61"/>
      <x:c r="F9" s="61"/>
      <x:c r="G9" s="61"/>
      <x:c r="H9" s="61"/>
      <x:c r="I9" s="61"/>
      <x:c r="J9" s="61"/>
    </x:row>
    <x:row r="10">
      <x:c r="A10" s="61" t="str">
        <x:v>Годовая выручка с учетом повторов — базовый сценарий</x:v>
      </x:c>
      <x:c r="B10" s="78" t="n">
        <x:f>'06_Повторы_LTV'!C10</x:f>
        <x:v>146010.00000000003</x:v>
      </x:c>
      <x:c r="C10" s="61" t="str">
        <x:v>BYN/год</x:v>
      </x:c>
      <x:c r="D10" s="61" t="str">
        <x:v>Учитывает повторные покупки.</x:v>
      </x:c>
      <x:c r="E10" s="61"/>
      <x:c r="F10" s="61"/>
      <x:c r="G10" s="61"/>
      <x:c r="H10" s="61"/>
      <x:c r="I10" s="61"/>
      <x:c r="J10" s="61"/>
    </x:row>
    <x:row r="11">
      <x:c r="A11" s="61" t="str">
        <x:v>GMV платформы — базовый сценарий</x:v>
      </x:c>
      <x:c r="B11" s="78" t="n">
        <x:f>'07_Платформа_GMV'!C6*12</x:f>
        <x:v>768000</x:v>
      </x:c>
      <x:c r="C11" s="61" t="str">
        <x:v>BYN/год</x:v>
      </x:c>
      <x:c r="D11" s="61" t="str">
        <x:v>Использовать только для платформенной модели.</x:v>
      </x:c>
      <x:c r="E11" s="61"/>
      <x:c r="F11" s="61"/>
      <x:c r="G11" s="61"/>
      <x:c r="H11" s="61"/>
      <x:c r="I11" s="61"/>
      <x:c r="J11" s="61"/>
    </x:row>
    <x:row r="12">
      <x:c r="A12" s="61" t="str">
        <x:v>Комиссионная выручка платформы — базовый сценарий</x:v>
      </x:c>
      <x:c r="B12" s="78" t="n">
        <x:f>'07_Платформа_GMV'!C9</x:f>
        <x:v>92160</x:v>
      </x:c>
      <x:c r="C12" s="61" t="str">
        <x:v>BYN/год</x:v>
      </x:c>
      <x:c r="D12" s="61" t="str">
        <x:v>Собственная выручка платформы, если применимо.</x:v>
      </x:c>
      <x:c r="E12" s="61"/>
      <x:c r="F12" s="61"/>
      <x:c r="G12" s="61"/>
      <x:c r="H12" s="61"/>
      <x:c r="I12" s="61"/>
      <x:c r="J12" s="61"/>
    </x:row>
    <x:row r="13">
      <x:c r="A13" s="61"/>
      <x:c r="B13" s="61"/>
      <x:c r="C13" s="61"/>
      <x:c r="D13" s="61"/>
      <x:c r="E13" s="61"/>
      <x:c r="F13" s="61"/>
      <x:c r="G13" s="61"/>
      <x:c r="H13" s="61"/>
      <x:c r="I13" s="61"/>
      <x:c r="J13" s="61"/>
    </x:row>
    <x:row r="14">
      <x:c r="A14" s="62" t="str">
        <x:v>Итоговый вывод для отчета</x:v>
      </x:c>
      <x:c r="B14" s="62" t="str"/>
      <x:c r="C14" s="62" t="str"/>
      <x:c r="D14" s="62" t="str"/>
      <x:c r="E14" s="62" t="str"/>
      <x:c r="F14" s="62" t="str"/>
      <x:c r="G14" s="62" t="str"/>
      <x:c r="H14" s="62" t="str"/>
      <x:c r="I14" s="61"/>
      <x:c r="J14" s="61"/>
    </x:row>
    <x:row r="15">
      <x:c r="A15" s="63" t="str">
        <x:v>На основе цифровой воронки рынок оценивается через последовательность: релевантный охват → посещения → заявки → продажи → средний чек → повторные покупки. Базовый сценарий следует использовать как основной ориентир, а осторожный и оптимистичный сценарии — как нижнюю и верхнюю границы оценки. Расчет необходимо сопоставить с данными Similarweb, поискового спроса, конкурентного анализа и фактическими продажами при их наличии.</x:v>
      </x:c>
      <x:c r="B15" s="63"/>
      <x:c r="C15" s="63"/>
      <x:c r="D15" s="63"/>
      <x:c r="E15" s="63"/>
      <x:c r="F15" s="63"/>
      <x:c r="G15" s="63"/>
      <x:c r="H15" s="63"/>
      <x:c r="I15" s="61"/>
      <x:c r="J15" s="61"/>
    </x:row>
    <x:row r="16">
      <x:c r="A16" s="63"/>
      <x:c r="B16" s="63"/>
      <x:c r="C16" s="63"/>
      <x:c r="D16" s="63"/>
      <x:c r="E16" s="63"/>
      <x:c r="F16" s="63"/>
      <x:c r="G16" s="63"/>
      <x:c r="H16" s="63"/>
      <x:c r="I16" s="61"/>
      <x:c r="J16" s="61"/>
    </x:row>
    <x:row r="17">
      <x:c r="A17" s="63"/>
      <x:c r="B17" s="63"/>
      <x:c r="C17" s="63"/>
      <x:c r="D17" s="63"/>
      <x:c r="E17" s="63"/>
      <x:c r="F17" s="63"/>
      <x:c r="G17" s="63"/>
      <x:c r="H17" s="63"/>
      <x:c r="I17" s="61"/>
      <x:c r="J17" s="61"/>
    </x:row>
    <x:row r="18">
      <x:c r="A18" s="63"/>
      <x:c r="B18" s="63"/>
      <x:c r="C18" s="63"/>
      <x:c r="D18" s="63"/>
      <x:c r="E18" s="63"/>
      <x:c r="F18" s="63"/>
      <x:c r="G18" s="63"/>
      <x:c r="H18" s="63"/>
      <x:c r="I18" s="61"/>
      <x:c r="J18" s="61"/>
    </x:row>
    <x:row r="19">
      <x:c r="A19" s="63"/>
      <x:c r="B19" s="63"/>
      <x:c r="C19" s="63"/>
      <x:c r="D19" s="63"/>
      <x:c r="E19" s="63"/>
      <x:c r="F19" s="63"/>
      <x:c r="G19" s="63"/>
      <x:c r="H19" s="63"/>
      <x:c r="I19" s="61"/>
      <x:c r="J19" s="61"/>
    </x:row>
    <x:row r="20">
      <x:c r="A20" s="61"/>
      <x:c r="B20" s="61"/>
      <x:c r="C20" s="61"/>
      <x:c r="D20" s="61"/>
      <x:c r="E20" s="61"/>
      <x:c r="F20" s="61"/>
      <x:c r="G20" s="61"/>
      <x:c r="H20" s="61"/>
      <x:c r="I20" s="61"/>
      <x:c r="J20" s="61"/>
    </x:row>
    <x:row r="21">
      <x:c r="A21" s="61"/>
      <x:c r="B21" s="61"/>
      <x:c r="C21" s="61"/>
      <x:c r="D21" s="61"/>
      <x:c r="E21" s="61"/>
      <x:c r="F21" s="61"/>
      <x:c r="G21" s="61"/>
      <x:c r="H21" s="61"/>
      <x:c r="I21" s="61"/>
      <x:c r="J21" s="61"/>
    </x:row>
    <x:row r="22">
      <x:c r="A22" s="61"/>
      <x:c r="B22" s="61"/>
      <x:c r="C22" s="61"/>
      <x:c r="D22" s="61"/>
      <x:c r="E22" s="61"/>
      <x:c r="F22" s="61"/>
      <x:c r="G22" s="61"/>
      <x:c r="H22" s="61"/>
      <x:c r="I22" s="61"/>
      <x:c r="J22" s="61"/>
    </x:row>
    <x:row r="23">
      <x:c r="A23" s="61"/>
      <x:c r="B23" s="61"/>
      <x:c r="C23" s="61"/>
      <x:c r="D23" s="61"/>
      <x:c r="E23" s="61"/>
      <x:c r="F23" s="61"/>
      <x:c r="G23" s="61"/>
      <x:c r="H23" s="61"/>
      <x:c r="I23" s="61"/>
      <x:c r="J23" s="61"/>
    </x:row>
    <x:row r="24">
      <x:c r="A24" s="61"/>
      <x:c r="B24" s="61"/>
      <x:c r="C24" s="61"/>
      <x:c r="D24" s="61"/>
      <x:c r="E24" s="61"/>
      <x:c r="F24" s="61"/>
      <x:c r="G24" s="61"/>
      <x:c r="H24" s="61"/>
      <x:c r="I24" s="61"/>
      <x:c r="J24" s="61"/>
    </x:row>
    <x:row r="25">
      <x:c r="A25" s="61"/>
      <x:c r="B25" s="61"/>
      <x:c r="C25" s="61"/>
      <x:c r="D25" s="61"/>
      <x:c r="E25" s="61"/>
      <x:c r="F25" s="61"/>
      <x:c r="G25" s="61"/>
      <x:c r="H25" s="61"/>
      <x:c r="I25" s="61"/>
      <x:c r="J25" s="61"/>
    </x:row>
    <x:row r="26">
      <x:c r="A26" s="61"/>
      <x:c r="B26" s="61"/>
      <x:c r="C26" s="61"/>
      <x:c r="D26" s="61"/>
      <x:c r="E26" s="61"/>
      <x:c r="F26" s="61"/>
      <x:c r="G26" s="61"/>
      <x:c r="H26" s="61"/>
      <x:c r="I26" s="61"/>
      <x:c r="J26" s="61"/>
    </x:row>
    <x:row r="27">
      <x:c r="A27" s="61"/>
      <x:c r="B27" s="61"/>
      <x:c r="C27" s="61"/>
      <x:c r="D27" s="61"/>
      <x:c r="E27" s="61"/>
      <x:c r="F27" s="61"/>
      <x:c r="G27" s="61"/>
      <x:c r="H27" s="61"/>
      <x:c r="I27" s="61"/>
      <x:c r="J27" s="61"/>
    </x:row>
    <x:row r="28">
      <x:c r="A28" s="61"/>
      <x:c r="B28" s="61"/>
      <x:c r="C28" s="61"/>
      <x:c r="D28" s="61"/>
      <x:c r="E28" s="61"/>
      <x:c r="F28" s="61"/>
      <x:c r="G28" s="61"/>
      <x:c r="H28" s="61"/>
      <x:c r="I28" s="61"/>
      <x:c r="J28" s="61"/>
    </x:row>
    <x:row r="29">
      <x:c r="A29" s="61"/>
      <x:c r="B29" s="61"/>
      <x:c r="C29" s="61"/>
      <x:c r="D29" s="61"/>
      <x:c r="E29" s="61"/>
      <x:c r="F29" s="61"/>
      <x:c r="G29" s="61"/>
      <x:c r="H29" s="61"/>
      <x:c r="I29" s="61"/>
      <x:c r="J29" s="61"/>
    </x:row>
    <x:row r="30">
      <x:c r="A30" s="61"/>
      <x:c r="B30" s="61"/>
      <x:c r="C30" s="61"/>
      <x:c r="D30" s="61"/>
      <x:c r="E30" s="61"/>
      <x:c r="F30" s="61"/>
      <x:c r="G30" s="61"/>
      <x:c r="H30" s="61"/>
      <x:c r="I30" s="61"/>
      <x:c r="J30" s="61"/>
    </x:row>
    <x:row r="31">
      <x:c r="A31" s="61"/>
      <x:c r="B31" s="61"/>
      <x:c r="C31" s="61"/>
      <x:c r="D31" s="61"/>
      <x:c r="E31" s="61"/>
      <x:c r="F31" s="61"/>
      <x:c r="G31" s="61"/>
      <x:c r="H31" s="61"/>
      <x:c r="I31" s="61"/>
      <x:c r="J31" s="61"/>
    </x:row>
    <x:row r="32">
      <x:c r="A32" s="61"/>
      <x:c r="B32" s="61"/>
      <x:c r="C32" s="61"/>
      <x:c r="D32" s="61"/>
      <x:c r="E32" s="61"/>
      <x:c r="F32" s="61"/>
      <x:c r="G32" s="61"/>
      <x:c r="H32" s="61"/>
      <x:c r="I32" s="61"/>
      <x:c r="J32" s="61"/>
    </x:row>
    <x:row r="33">
      <x:c r="A33" s="61"/>
      <x:c r="B33" s="61"/>
      <x:c r="C33" s="61"/>
      <x:c r="D33" s="61"/>
      <x:c r="E33" s="61"/>
      <x:c r="F33" s="61"/>
      <x:c r="G33" s="61"/>
      <x:c r="H33" s="61"/>
      <x:c r="I33" s="61"/>
      <x:c r="J33" s="61"/>
    </x:row>
    <x:row r="34">
      <x:c r="A34" s="61"/>
      <x:c r="B34" s="61"/>
      <x:c r="C34" s="61"/>
      <x:c r="D34" s="61"/>
      <x:c r="E34" s="61"/>
      <x:c r="F34" s="61"/>
      <x:c r="G34" s="61"/>
      <x:c r="H34" s="61"/>
      <x:c r="I34" s="61"/>
      <x:c r="J34" s="61"/>
    </x:row>
    <x:row r="35">
      <x:c r="A35" s="61"/>
      <x:c r="B35" s="61"/>
      <x:c r="C35" s="61"/>
      <x:c r="D35" s="61"/>
      <x:c r="E35" s="61"/>
      <x:c r="F35" s="61"/>
      <x:c r="G35" s="61"/>
      <x:c r="H35" s="61"/>
      <x:c r="I35" s="61"/>
      <x:c r="J35" s="61"/>
    </x:row>
    <x:row r="36">
      <x:c r="A36" s="61"/>
      <x:c r="B36" s="61"/>
      <x:c r="C36" s="61"/>
      <x:c r="D36" s="61"/>
      <x:c r="E36" s="61"/>
      <x:c r="F36" s="61"/>
      <x:c r="G36" s="61"/>
      <x:c r="H36" s="61"/>
      <x:c r="I36" s="61"/>
      <x:c r="J36" s="61"/>
    </x:row>
    <x:row r="37">
      <x:c r="A37" s="61"/>
      <x:c r="B37" s="61"/>
      <x:c r="C37" s="61"/>
      <x:c r="D37" s="61"/>
      <x:c r="E37" s="61"/>
      <x:c r="F37" s="61"/>
      <x:c r="G37" s="61"/>
      <x:c r="H37" s="61"/>
      <x:c r="I37" s="61"/>
      <x:c r="J37" s="61"/>
    </x:row>
    <x:row r="38">
      <x:c r="A38" s="61"/>
      <x:c r="B38" s="61"/>
      <x:c r="C38" s="61"/>
      <x:c r="D38" s="61"/>
      <x:c r="E38" s="61"/>
      <x:c r="F38" s="61"/>
      <x:c r="G38" s="61"/>
      <x:c r="H38" s="61"/>
      <x:c r="I38" s="61"/>
      <x:c r="J38" s="61"/>
    </x:row>
    <x:row r="39">
      <x:c r="A39" s="61"/>
      <x:c r="B39" s="61"/>
      <x:c r="C39" s="61"/>
      <x:c r="D39" s="61"/>
      <x:c r="E39" s="61"/>
      <x:c r="F39" s="61"/>
      <x:c r="G39" s="61"/>
      <x:c r="H39" s="61"/>
      <x:c r="I39" s="61"/>
      <x:c r="J39" s="61"/>
    </x:row>
    <x:row r="40">
      <x:c r="A40" s="61"/>
      <x:c r="B40" s="61"/>
      <x:c r="C40" s="61"/>
      <x:c r="D40" s="61"/>
      <x:c r="E40" s="61"/>
      <x:c r="F40" s="61"/>
      <x:c r="G40" s="61"/>
      <x:c r="H40" s="61"/>
      <x:c r="I40" s="61"/>
      <x:c r="J40" s="61"/>
    </x:row>
  </x:sheetData>
  <x:mergeCells>
    <x:mergeCell ref="A1:H1"/>
    <x:mergeCell ref="A15:H19"/>
  </x:mergeCells>
  <x:conditionalFormatting sqref="B7:B9">
    <x:cfRule type="dataBar" priority="1">
      <x:dataBar>
        <x:cfvo type="min"/>
        <x:cfvo type="max"/>
        <x:color rgb="70AD47"/>
      </x:dataBar>
      <x:extLst>
        <x:ext xmlns:x14="http://schemas.microsoft.com/office/spreadsheetml/2009/9/main" uri="{B025F937-C7B1-47D3-B67F-A62EFF666E3E}">
          <x14:id>{FAFA9BD4-6985-3A1D-CF9D-89DEBE1B72A5}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7c23473b813e4208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AFA9BD4-6985-3A1D-CF9D-89DEBE1B72A5}">
            <x14:dataBar gradient="1">
              <x14:cfvo type="min"/>
              <x14:cfvo type="max"/>
              <x14:fillColor rgb="70AD47"/>
            </x14:dataBar>
          </x14:cfRule>
          <xm:sqref>B7:B9</xm:sqref>
        </x14:conditionalFormatting>
      </x14:conditionalFormattings>
    </x:ext>
  </x:extLst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4" hidden="0" customWidth="1"/>
    <x:col min="8" max="8" width="28" hidden="0" customWidth="1"/>
    <x:col min="9" max="9" width="28" hidden="0" customWidth="1"/>
    <x:col min="10" max="10" width="28" hidden="0" customWidth="1"/>
  </x:cols>
  <x:sheetData>
    <x:row r="1">
      <x:c r="A1" s="60" t="str">
        <x:v>09. Источники данных и журнал фиксации</x:v>
      </x:c>
      <x:c r="B1" s="60"/>
      <x:c r="C1" s="60"/>
      <x:c r="D1" s="60"/>
      <x:c r="E1" s="60"/>
      <x:c r="F1" s="60"/>
      <x:c r="G1" s="61"/>
      <x:c r="H1" s="61"/>
      <x:c r="I1" s="61"/>
      <x:c r="J1" s="61"/>
    </x:row>
    <x:row r="2">
      <x:c r="A2" s="61"/>
      <x:c r="B2" s="61"/>
      <x:c r="C2" s="61"/>
      <x:c r="D2" s="61"/>
      <x:c r="E2" s="61"/>
      <x:c r="F2" s="61"/>
      <x:c r="G2" s="61"/>
      <x:c r="H2" s="61"/>
      <x:c r="I2" s="61"/>
      <x:c r="J2" s="61"/>
    </x:row>
    <x:row r="3">
      <x:c r="A3" s="62" t="str">
        <x:v>Источник</x:v>
      </x:c>
      <x:c r="B3" s="62" t="str">
        <x:v>Что брать</x:v>
      </x:c>
      <x:c r="C3" s="62" t="str">
        <x:v>Ссылка / место хранения</x:v>
      </x:c>
      <x:c r="D3" s="62" t="str">
        <x:v>Дата обращения</x:v>
      </x:c>
      <x:c r="E3" s="62" t="str">
        <x:v>Качество</x:v>
      </x:c>
      <x:c r="F3" s="62" t="str">
        <x:v>Комментарий</x:v>
      </x:c>
      <x:c r="G3" s="61"/>
      <x:c r="H3" s="61"/>
      <x:c r="I3" s="61"/>
      <x:c r="J3" s="61"/>
    </x:row>
    <x:row r="4">
      <x:c r="A4" s="61" t="str">
        <x:v>Google Analytics</x:v>
      </x:c>
      <x:c r="B4" s="61" t="str">
        <x:v>трафик, источники, конверсии, события</x:v>
      </x:c>
      <x:c r="C4" s="61" t="str">
        <x:v>https://support.google.com/analytics/answer/12923437</x:v>
      </x:c>
      <x:c r="D4" s="106" t="n">
        <x:v>46145</x:v>
      </x:c>
      <x:c r="E4" s="61" t="str">
        <x:v>высокое</x:v>
      </x:c>
      <x:c r="F4" s="61" t="str">
        <x:v>Использовать для собственного сайта.</x:v>
      </x:c>
      <x:c r="G4" s="61"/>
      <x:c r="H4" s="61"/>
      <x:c r="I4" s="61"/>
      <x:c r="J4" s="61"/>
    </x:row>
    <x:row r="5">
      <x:c r="A5" s="61" t="str">
        <x:v>Google Ads</x:v>
      </x:c>
      <x:c r="B5" s="61" t="str">
        <x:v>показы, клики, стоимость, конверсии</x:v>
      </x:c>
      <x:c r="C5" s="61" t="str">
        <x:v>https://support.google.com/google-ads/</x:v>
      </x:c>
      <x:c r="D5" s="106" t="n">
        <x:v>46145</x:v>
      </x:c>
      <x:c r="E5" s="61" t="str">
        <x:v>высокое</x:v>
      </x:c>
      <x:c r="F5" s="61" t="str">
        <x:v>Использовать для рекламной воронки.</x:v>
      </x:c>
      <x:c r="G5" s="61"/>
      <x:c r="H5" s="61"/>
      <x:c r="I5" s="61"/>
      <x:c r="J5" s="61"/>
    </x:row>
    <x:row r="6">
      <x:c r="A6" s="61" t="str">
        <x:v>Яндекс Вордстат</x:v>
      </x:c>
      <x:c r="B6" s="61" t="str">
        <x:v>частотность запросов, регионы, динамика</x:v>
      </x:c>
      <x:c r="C6" s="61" t="str">
        <x:v>https://yandex.ru/support2/wordstat/ru/</x:v>
      </x:c>
      <x:c r="D6" s="106" t="n">
        <x:v>46145</x:v>
      </x:c>
      <x:c r="E6" s="61" t="str">
        <x:v>среднее</x:v>
      </x:c>
      <x:c r="F6" s="61" t="str">
        <x:v>Отражает аудиторию Яндекса.</x:v>
      </x:c>
      <x:c r="G6" s="61"/>
      <x:c r="H6" s="61"/>
      <x:c r="I6" s="61"/>
      <x:c r="J6" s="61"/>
    </x:row>
    <x:row r="7">
      <x:c r="A7" s="61" t="str">
        <x:v>Google Trends</x:v>
      </x:c>
      <x:c r="B7" s="61" t="str">
        <x:v>относительная динамика интереса</x:v>
      </x:c>
      <x:c r="C7" s="61" t="str">
        <x:v>https://support.google.com/trends/answer/4365533</x:v>
      </x:c>
      <x:c r="D7" s="106" t="n">
        <x:v>46145</x:v>
      </x:c>
      <x:c r="E7" s="61" t="str">
        <x:v>среднее</x:v>
      </x:c>
      <x:c r="F7" s="61" t="str">
        <x:v>Индекс 0–100, не абсолютное число запросов.</x:v>
      </x:c>
      <x:c r="G7" s="61"/>
      <x:c r="H7" s="61"/>
      <x:c r="I7" s="61"/>
      <x:c r="J7" s="61"/>
    </x:row>
    <x:row r="8">
      <x:c r="A8" s="61" t="str">
        <x:v>Similarweb</x:v>
      </x:c>
      <x:c r="B8" s="61" t="str">
        <x:v>посещаемость конкурентов, каналы, география</x:v>
      </x:c>
      <x:c r="C8" s="61" t="str">
        <x:v>https://www.similarweb.com/website/</x:v>
      </x:c>
      <x:c r="D8" s="106" t="n">
        <x:v>46145</x:v>
      </x:c>
      <x:c r="E8" s="61" t="str">
        <x:v>среднее</x:v>
      </x:c>
      <x:c r="F8" s="61" t="str">
        <x:v>Оценочные данные, особенно осторожно для малых сайтов.</x:v>
      </x:c>
      <x:c r="G8" s="61"/>
      <x:c r="H8" s="61"/>
      <x:c r="I8" s="61"/>
      <x:c r="J8" s="61"/>
    </x:row>
    <x:row r="9">
      <x:c r="A9" s="61" t="str">
        <x:v>Рекламные кабинеты социальных сетей</x:v>
      </x:c>
      <x:c r="B9" s="61" t="str">
        <x:v>оценка охвата, клики, заявки</x:v>
      </x:c>
      <x:c r="C9" s="64" t="str">
        <x:v>заполнить</x:v>
      </x:c>
      <x:c r="D9" s="76"/>
      <x:c r="E9" s="61" t="str">
        <x:v>среднее</x:v>
      </x:c>
      <x:c r="F9" s="61" t="str">
        <x:v>Фиксировать настройки аудитории.</x:v>
      </x:c>
      <x:c r="G9" s="61"/>
      <x:c r="H9" s="61"/>
      <x:c r="I9" s="61"/>
      <x:c r="J9" s="61"/>
    </x:row>
    <x:row r="10">
      <x:c r="A10" s="61" t="str">
        <x:v>Сайты конкурентов</x:v>
      </x:c>
      <x:c r="B10" s="61" t="str">
        <x:v>цены, услуги, офферы, формы заявки</x:v>
      </x:c>
      <x:c r="C10" s="64" t="str">
        <x:v>заполнить</x:v>
      </x:c>
      <x:c r="D10" s="76"/>
      <x:c r="E10" s="61" t="str">
        <x:v>среднее</x:v>
      </x:c>
      <x:c r="F10" s="61" t="str">
        <x:v>Использовать для среднего чека и структуры предложения.</x:v>
      </x:c>
      <x:c r="G10" s="61"/>
      <x:c r="H10" s="61"/>
      <x:c r="I10" s="61"/>
      <x:c r="J10" s="61"/>
    </x:row>
    <x:row r="11">
      <x:c r="A11" s="61"/>
      <x:c r="B11" s="61"/>
      <x:c r="C11" s="61"/>
      <x:c r="D11" s="61"/>
      <x:c r="E11" s="61"/>
      <x:c r="F11" s="61"/>
      <x:c r="G11" s="61"/>
      <x:c r="H11" s="61"/>
      <x:c r="I11" s="61"/>
      <x:c r="J11" s="61"/>
    </x:row>
    <x:row r="12">
      <x:c r="A12" s="61"/>
      <x:c r="B12" s="61"/>
      <x:c r="C12" s="61"/>
      <x:c r="D12" s="61"/>
      <x:c r="E12" s="61"/>
      <x:c r="F12" s="61"/>
      <x:c r="G12" s="61"/>
      <x:c r="H12" s="61"/>
      <x:c r="I12" s="61"/>
      <x:c r="J12" s="61"/>
    </x:row>
    <x:row r="13">
      <x:c r="A13" s="61"/>
      <x:c r="B13" s="61"/>
      <x:c r="C13" s="61"/>
      <x:c r="D13" s="61"/>
      <x:c r="E13" s="61"/>
      <x:c r="F13" s="61"/>
      <x:c r="G13" s="61"/>
      <x:c r="H13" s="61"/>
      <x:c r="I13" s="61"/>
      <x:c r="J13" s="61"/>
    </x:row>
    <x:row r="14">
      <x:c r="A14" s="61"/>
      <x:c r="B14" s="61"/>
      <x:c r="C14" s="61"/>
      <x:c r="D14" s="61"/>
      <x:c r="E14" s="61"/>
      <x:c r="F14" s="61"/>
      <x:c r="G14" s="61"/>
      <x:c r="H14" s="61"/>
      <x:c r="I14" s="61"/>
      <x:c r="J14" s="61"/>
    </x:row>
    <x:row r="15">
      <x:c r="A15" s="61"/>
      <x:c r="B15" s="61"/>
      <x:c r="C15" s="61"/>
      <x:c r="D15" s="61"/>
      <x:c r="E15" s="61"/>
      <x:c r="F15" s="61"/>
      <x:c r="G15" s="61"/>
      <x:c r="H15" s="61"/>
      <x:c r="I15" s="61"/>
      <x:c r="J15" s="61"/>
    </x:row>
    <x:row r="16">
      <x:c r="A16" s="61"/>
      <x:c r="B16" s="61"/>
      <x:c r="C16" s="61"/>
      <x:c r="D16" s="61"/>
      <x:c r="E16" s="61"/>
      <x:c r="F16" s="61"/>
      <x:c r="G16" s="61"/>
      <x:c r="H16" s="61"/>
      <x:c r="I16" s="61"/>
      <x:c r="J16" s="61"/>
    </x:row>
    <x:row r="17">
      <x:c r="A17" s="61"/>
      <x:c r="B17" s="61"/>
      <x:c r="C17" s="61"/>
      <x:c r="D17" s="61"/>
      <x:c r="E17" s="61"/>
      <x:c r="F17" s="61"/>
      <x:c r="G17" s="61"/>
      <x:c r="H17" s="61"/>
      <x:c r="I17" s="61"/>
      <x:c r="J17" s="61"/>
    </x:row>
    <x:row r="18">
      <x:c r="A18" s="61"/>
      <x:c r="B18" s="61"/>
      <x:c r="C18" s="61"/>
      <x:c r="D18" s="61"/>
      <x:c r="E18" s="61"/>
      <x:c r="F18" s="61"/>
      <x:c r="G18" s="61"/>
      <x:c r="H18" s="61"/>
      <x:c r="I18" s="61"/>
      <x:c r="J18" s="61"/>
    </x:row>
    <x:row r="19">
      <x:c r="A19" s="61"/>
      <x:c r="B19" s="61"/>
      <x:c r="C19" s="61"/>
      <x:c r="D19" s="61"/>
      <x:c r="E19" s="61"/>
      <x:c r="F19" s="61"/>
      <x:c r="G19" s="61"/>
      <x:c r="H19" s="61"/>
      <x:c r="I19" s="61"/>
      <x:c r="J19" s="61"/>
    </x:row>
    <x:row r="20">
      <x:c r="A20" s="61"/>
      <x:c r="B20" s="61"/>
      <x:c r="C20" s="61"/>
      <x:c r="D20" s="61"/>
      <x:c r="E20" s="61"/>
      <x:c r="F20" s="61"/>
      <x:c r="G20" s="61"/>
      <x:c r="H20" s="61"/>
      <x:c r="I20" s="61"/>
      <x:c r="J20" s="61"/>
    </x:row>
    <x:row r="21">
      <x:c r="A21" s="61"/>
      <x:c r="B21" s="61"/>
      <x:c r="C21" s="61"/>
      <x:c r="D21" s="61"/>
      <x:c r="E21" s="61"/>
      <x:c r="F21" s="61"/>
      <x:c r="G21" s="61"/>
      <x:c r="H21" s="61"/>
      <x:c r="I21" s="61"/>
      <x:c r="J21" s="61"/>
    </x:row>
    <x:row r="22">
      <x:c r="A22" s="61"/>
      <x:c r="B22" s="61"/>
      <x:c r="C22" s="61"/>
      <x:c r="D22" s="61"/>
      <x:c r="E22" s="61"/>
      <x:c r="F22" s="61"/>
      <x:c r="G22" s="61"/>
      <x:c r="H22" s="61"/>
      <x:c r="I22" s="61"/>
      <x:c r="J22" s="61"/>
    </x:row>
    <x:row r="23">
      <x:c r="A23" s="61"/>
      <x:c r="B23" s="61"/>
      <x:c r="C23" s="61"/>
      <x:c r="D23" s="61"/>
      <x:c r="E23" s="61"/>
      <x:c r="F23" s="61"/>
      <x:c r="G23" s="61"/>
      <x:c r="H23" s="61"/>
      <x:c r="I23" s="61"/>
      <x:c r="J23" s="61"/>
    </x:row>
    <x:row r="24">
      <x:c r="A24" s="61"/>
      <x:c r="B24" s="61"/>
      <x:c r="C24" s="61"/>
      <x:c r="D24" s="61"/>
      <x:c r="E24" s="61"/>
      <x:c r="F24" s="61"/>
      <x:c r="G24" s="61"/>
      <x:c r="H24" s="61"/>
      <x:c r="I24" s="61"/>
      <x:c r="J24" s="61"/>
    </x:row>
    <x:row r="25">
      <x:c r="A25" s="61"/>
      <x:c r="B25" s="61"/>
      <x:c r="C25" s="61"/>
      <x:c r="D25" s="61"/>
      <x:c r="E25" s="61"/>
      <x:c r="F25" s="61"/>
      <x:c r="G25" s="61"/>
      <x:c r="H25" s="61"/>
      <x:c r="I25" s="61"/>
      <x:c r="J25" s="61"/>
    </x:row>
    <x:row r="26">
      <x:c r="A26" s="61"/>
      <x:c r="B26" s="61"/>
      <x:c r="C26" s="61"/>
      <x:c r="D26" s="61"/>
      <x:c r="E26" s="61"/>
      <x:c r="F26" s="61"/>
      <x:c r="G26" s="61"/>
      <x:c r="H26" s="61"/>
      <x:c r="I26" s="61"/>
      <x:c r="J26" s="61"/>
    </x:row>
    <x:row r="27">
      <x:c r="A27" s="61"/>
      <x:c r="B27" s="61"/>
      <x:c r="C27" s="61"/>
      <x:c r="D27" s="61"/>
      <x:c r="E27" s="61"/>
      <x:c r="F27" s="61"/>
      <x:c r="G27" s="61"/>
      <x:c r="H27" s="61"/>
      <x:c r="I27" s="61"/>
      <x:c r="J27" s="61"/>
    </x:row>
    <x:row r="28">
      <x:c r="A28" s="61"/>
      <x:c r="B28" s="61"/>
      <x:c r="C28" s="61"/>
      <x:c r="D28" s="61"/>
      <x:c r="E28" s="61"/>
      <x:c r="F28" s="61"/>
      <x:c r="G28" s="61"/>
      <x:c r="H28" s="61"/>
      <x:c r="I28" s="61"/>
      <x:c r="J28" s="61"/>
    </x:row>
    <x:row r="29">
      <x:c r="A29" s="61"/>
      <x:c r="B29" s="61"/>
      <x:c r="C29" s="61"/>
      <x:c r="D29" s="61"/>
      <x:c r="E29" s="61"/>
      <x:c r="F29" s="61"/>
      <x:c r="G29" s="61"/>
      <x:c r="H29" s="61"/>
      <x:c r="I29" s="61"/>
      <x:c r="J29" s="61"/>
    </x:row>
    <x:row r="30">
      <x:c r="A30" s="61"/>
      <x:c r="B30" s="61"/>
      <x:c r="C30" s="61"/>
      <x:c r="D30" s="61"/>
      <x:c r="E30" s="61"/>
      <x:c r="F30" s="61"/>
      <x:c r="G30" s="61"/>
      <x:c r="H30" s="61"/>
      <x:c r="I30" s="61"/>
      <x:c r="J30" s="61"/>
    </x:row>
    <x:row r="31">
      <x:c r="A31" s="61"/>
      <x:c r="B31" s="61"/>
      <x:c r="C31" s="61"/>
      <x:c r="D31" s="61"/>
      <x:c r="E31" s="61"/>
      <x:c r="F31" s="61"/>
      <x:c r="G31" s="61"/>
      <x:c r="H31" s="61"/>
      <x:c r="I31" s="61"/>
      <x:c r="J31" s="61"/>
    </x:row>
    <x:row r="32">
      <x:c r="A32" s="61"/>
      <x:c r="B32" s="61"/>
      <x:c r="C32" s="61"/>
      <x:c r="D32" s="61"/>
      <x:c r="E32" s="61"/>
      <x:c r="F32" s="61"/>
      <x:c r="G32" s="61"/>
      <x:c r="H32" s="61"/>
      <x:c r="I32" s="61"/>
      <x:c r="J32" s="61"/>
    </x:row>
    <x:row r="33">
      <x:c r="A33" s="61"/>
      <x:c r="B33" s="61"/>
      <x:c r="C33" s="61"/>
      <x:c r="D33" s="61"/>
      <x:c r="E33" s="61"/>
      <x:c r="F33" s="61"/>
      <x:c r="G33" s="61"/>
      <x:c r="H33" s="61"/>
      <x:c r="I33" s="61"/>
      <x:c r="J33" s="61"/>
    </x:row>
    <x:row r="34">
      <x:c r="A34" s="61"/>
      <x:c r="B34" s="61"/>
      <x:c r="C34" s="61"/>
      <x:c r="D34" s="61"/>
      <x:c r="E34" s="61"/>
      <x:c r="F34" s="61"/>
      <x:c r="G34" s="61"/>
      <x:c r="H34" s="61"/>
      <x:c r="I34" s="61"/>
      <x:c r="J34" s="61"/>
    </x:row>
    <x:row r="35">
      <x:c r="A35" s="61"/>
      <x:c r="B35" s="61"/>
      <x:c r="C35" s="61"/>
      <x:c r="D35" s="61"/>
      <x:c r="E35" s="61"/>
      <x:c r="F35" s="61"/>
      <x:c r="G35" s="61"/>
      <x:c r="H35" s="61"/>
      <x:c r="I35" s="61"/>
      <x:c r="J35" s="61"/>
    </x:row>
    <x:row r="36">
      <x:c r="A36" s="61"/>
      <x:c r="B36" s="61"/>
      <x:c r="C36" s="61"/>
      <x:c r="D36" s="61"/>
      <x:c r="E36" s="61"/>
      <x:c r="F36" s="61"/>
      <x:c r="G36" s="61"/>
      <x:c r="H36" s="61"/>
      <x:c r="I36" s="61"/>
      <x:c r="J36" s="61"/>
    </x:row>
    <x:row r="37">
      <x:c r="A37" s="61"/>
      <x:c r="B37" s="61"/>
      <x:c r="C37" s="61"/>
      <x:c r="D37" s="61"/>
      <x:c r="E37" s="61"/>
      <x:c r="F37" s="61"/>
      <x:c r="G37" s="61"/>
      <x:c r="H37" s="61"/>
      <x:c r="I37" s="61"/>
      <x:c r="J37" s="61"/>
    </x:row>
    <x:row r="38">
      <x:c r="A38" s="61"/>
      <x:c r="B38" s="61"/>
      <x:c r="C38" s="61"/>
      <x:c r="D38" s="61"/>
      <x:c r="E38" s="61"/>
      <x:c r="F38" s="61"/>
      <x:c r="G38" s="61"/>
      <x:c r="H38" s="61"/>
      <x:c r="I38" s="61"/>
      <x:c r="J38" s="61"/>
    </x:row>
    <x:row r="39">
      <x:c r="A39" s="61"/>
      <x:c r="B39" s="61"/>
      <x:c r="C39" s="61"/>
      <x:c r="D39" s="61"/>
      <x:c r="E39" s="61"/>
      <x:c r="F39" s="61"/>
      <x:c r="G39" s="61"/>
      <x:c r="H39" s="61"/>
      <x:c r="I39" s="61"/>
      <x:c r="J39" s="61"/>
    </x:row>
    <x:row r="40">
      <x:c r="A40" s="61"/>
      <x:c r="B40" s="61"/>
      <x:c r="C40" s="61"/>
      <x:c r="D40" s="61"/>
      <x:c r="E40" s="61"/>
      <x:c r="F40" s="61"/>
      <x:c r="G40" s="61"/>
      <x:c r="H40" s="61"/>
      <x:c r="I40" s="61"/>
      <x:c r="J40" s="61"/>
    </x:row>
  </x:sheetData>
  <x:mergeCells>
    <x:mergeCell ref="A1:F1"/>
  </x:mergeCells>
  <x:dataValidations count="1">
    <x:dataValidation type="list" sqref="E4:E10">
      <x:formula1>"низкое,среднее,высокое"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3c2bef76154165"/>
  </x:tableParts>
</x:worksheet>
</file>