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1f5c7dbb2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етодика" sheetId="1" r:id="Rb4589611f433491e"/>
    <x:sheet xmlns:r="http://schemas.openxmlformats.org/officeDocument/2006/relationships" name="01_Параметры" sheetId="2" r:id="Re08e0d5cded54630"/>
    <x:sheet xmlns:r="http://schemas.openxmlformats.org/officeDocument/2006/relationships" name="02_Сверху_вниз" sheetId="3" r:id="Rc7ea0767a0c549c7"/>
    <x:sheet xmlns:r="http://schemas.openxmlformats.org/officeDocument/2006/relationships" name="03_Снизу_вверх" sheetId="4" r:id="Re764c60e25c047b2"/>
    <x:sheet xmlns:r="http://schemas.openxmlformats.org/officeDocument/2006/relationships" name="04_Similarweb" sheetId="5" r:id="R65958c87d8b240fc"/>
    <x:sheet xmlns:r="http://schemas.openxmlformats.org/officeDocument/2006/relationships" name="05_Воронка_SW" sheetId="6" r:id="R02f3efc2638c4eb2"/>
    <x:sheet xmlns:r="http://schemas.openxmlformats.org/officeDocument/2006/relationships" name="06_Сверка" sheetId="7" r:id="R7bb3ac43312d4a01"/>
    <x:sheet xmlns:r="http://schemas.openxmlformats.org/officeDocument/2006/relationships" name="07_Дашборд" sheetId="8" r:id="R86be0f2813484335"/>
    <x:sheet xmlns:r="http://schemas.openxmlformats.org/officeDocument/2006/relationships" name="08_Источники" sheetId="9" r:id="Rb3c27b7d8ed7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0"/>
      <x:color rgb="1F2937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5B9BD5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20">
    <x:border/>
    <x:border/>
    <x:border>
      <x:left>
        <x:color indexed="1" rgb="A6A6A6"/>
      </x:left>
      <x:right>
        <x:color indexed="1" rgb="D9D9D9"/>
      </x:right>
      <x:top>
        <x:color indexed="1" rgb="A6A6A6"/>
      </x:top>
      <x:bottom>
        <x:color indexed="1" rgb="D9D9D9"/>
      </x:bottom>
    </x:border>
    <x:border>
      <x:left>
        <x:color indexed="1" rgb="D9D9D9"/>
      </x:left>
      <x:right>
        <x:color indexed="1" rgb="A6A6A6"/>
      </x:right>
      <x:top>
        <x:color indexed="1" rgb="A6A6A6"/>
      </x:top>
      <x:bottom>
        <x:color indexed="1" rgb="D9D9D9"/>
      </x:bottom>
    </x:border>
    <x:border>
      <x:left>
        <x:color indexed="1" rgb="A6A6A6"/>
      </x:left>
      <x:right>
        <x:color indexed="1" rgb="D9D9D9"/>
      </x:right>
      <x:top>
        <x:color indexed="1" rgb="D9D9D9"/>
      </x:top>
      <x:bottom>
        <x:color indexed="1" rgb="D9D9D9"/>
      </x:bottom>
    </x:border>
    <x:border>
      <x:left>
        <x:color indexed="1" rgb="D9D9D9"/>
      </x:left>
      <x:right>
        <x:color indexed="1" rgb="A6A6A6"/>
      </x:right>
      <x:top>
        <x:color indexed="1" rgb="D9D9D9"/>
      </x:top>
      <x:bottom>
        <x:color indexed="1" rgb="D9D9D9"/>
      </x:bottom>
    </x:border>
    <x:border>
      <x:left>
        <x:color indexed="1" rgb="A6A6A6"/>
      </x:left>
      <x:right>
        <x:color indexed="1" rgb="D9D9D9"/>
      </x:right>
      <x:top>
        <x:color indexed="1" rgb="D9D9D9"/>
      </x:top>
      <x:bottom>
        <x:color indexed="1" rgb="A6A6A6"/>
      </x:bottom>
    </x:border>
    <x:border>
      <x:left>
        <x:color indexed="1" rgb="D9D9D9"/>
      </x:left>
      <x:right>
        <x:color indexed="1" rgb="A6A6A6"/>
      </x:right>
      <x:top>
        <x:color indexed="1" rgb="D9D9D9"/>
      </x:top>
      <x:bottom>
        <x:color indexed="1" rgb="A6A6A6"/>
      </x:bottom>
    </x:border>
    <x:border>
      <x:left>
        <x:color indexed="1" rgb="A6A6A6"/>
      </x:left>
      <x:right>
        <x:color indexed="1" rgb="D9D9D9"/>
      </x:right>
      <x:top>
        <x:color indexed="1" rgb="A6A6A6"/>
      </x:top>
      <x:bottom>
        <x:color indexed="1" rgb="D9D9D9"/>
      </x:bottom>
    </x:border>
    <x:border>
      <x:left>
        <x:color indexed="1" rgb="D9D9D9"/>
      </x:left>
      <x:right>
        <x:color indexed="1" rgb="A6A6A6"/>
      </x:right>
      <x:top>
        <x:color indexed="1" rgb="A6A6A6"/>
      </x:top>
      <x:bottom>
        <x:color indexed="1" rgb="D9D9D9"/>
      </x:bottom>
    </x:border>
    <x:border>
      <x:left>
        <x:color indexed="1" rgb="A6A6A6"/>
      </x:left>
      <x:right>
        <x:color indexed="1" rgb="D9D9D9"/>
      </x:right>
      <x:top>
        <x:color indexed="1" rgb="D9D9D9"/>
      </x:top>
      <x:bottom>
        <x:color indexed="1" rgb="D9D9D9"/>
      </x:bottom>
    </x:border>
    <x:border>
      <x:left>
        <x:color indexed="1" rgb="D9D9D9"/>
      </x:left>
      <x:right>
        <x:color indexed="1" rgb="A6A6A6"/>
      </x:right>
      <x:top>
        <x:color indexed="1" rgb="D9D9D9"/>
      </x:top>
      <x:bottom>
        <x:color indexed="1" rgb="D9D9D9"/>
      </x:bottom>
    </x:border>
    <x:border>
      <x:left>
        <x:color indexed="1" rgb="A6A6A6"/>
      </x:left>
      <x:right>
        <x:color indexed="1" rgb="D9D9D9"/>
      </x:right>
      <x:top>
        <x:color indexed="1" rgb="D9D9D9"/>
      </x:top>
      <x:bottom>
        <x:color indexed="1" rgb="A6A6A6"/>
      </x:bottom>
    </x:border>
    <x:border>
      <x:left>
        <x:color indexed="1" rgb="D9D9D9"/>
      </x:left>
      <x:right>
        <x:color indexed="1" rgb="A6A6A6"/>
      </x:right>
      <x:top>
        <x:color indexed="1" rgb="D9D9D9"/>
      </x:top>
      <x:bottom>
        <x:color indexed="1" rgb="A6A6A6"/>
      </x:bottom>
    </x:border>
    <x:border>
      <x:left>
        <x:color indexed="1" rgb="D9D9D9"/>
      </x:left>
      <x:right>
        <x:color indexed="1" rgb="D9D9D9"/>
      </x:right>
      <x:top>
        <x:color indexed="1" rgb="A6A6A6"/>
      </x:top>
      <x:bottom>
        <x:color indexed="1" rgb="D9D9D9"/>
      </x:bottom>
    </x:border>
    <x:border>
      <x:left>
        <x:color indexed="1" rgb="D9D9D9"/>
      </x:left>
      <x:right>
        <x:color indexed="1" rgb="D9D9D9"/>
      </x:right>
      <x:top>
        <x:color indexed="1" rgb="D9D9D9"/>
      </x:top>
      <x:bottom>
        <x:color indexed="1" rgb="D9D9D9"/>
      </x:bottom>
    </x:border>
    <x:border>
      <x:left>
        <x:color indexed="1" rgb="D9D9D9"/>
      </x:left>
      <x:right>
        <x:color indexed="1" rgb="D9D9D9"/>
      </x:right>
      <x:top>
        <x:color indexed="1" rgb="D9D9D9"/>
      </x:top>
      <x:bottom>
        <x:color indexed="1" rgb="A6A6A6"/>
      </x:bottom>
    </x:border>
    <x:border>
      <x:left>
        <x:color indexed="1" rgb="D9D9D9"/>
      </x:left>
      <x:right>
        <x:color indexed="1" rgb="D9D9D9"/>
      </x:right>
      <x:top>
        <x:color indexed="1" rgb="A6A6A6"/>
      </x:top>
      <x:bottom>
        <x:color indexed="1" rgb="D9D9D9"/>
      </x:bottom>
    </x:border>
    <x:border>
      <x:left>
        <x:color indexed="1" rgb="D9D9D9"/>
      </x:left>
      <x:right>
        <x:color indexed="1" rgb="D9D9D9"/>
      </x:right>
      <x:top>
        <x:color indexed="1" rgb="D9D9D9"/>
      </x:top>
      <x:bottom>
        <x:color indexed="1" rgb="D9D9D9"/>
      </x:bottom>
    </x:border>
    <x:border>
      <x:left>
        <x:color indexed="1" rgb="D9D9D9"/>
      </x:left>
      <x:right>
        <x:color indexed="1" rgb="D9D9D9"/>
      </x:right>
      <x:top>
        <x:color indexed="1" rgb="D9D9D9"/>
      </x:top>
      <x:bottom>
        <x:color indexed="1" rgb="A6A6A6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6" xfId="0" applyNumberFormat="1" applyFont="1" applyFill="1" applyBorder="1"/>
    <x:xf numFmtId="0" fontId="0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8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9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200" fontId="0" fillId="6" borderId="15" xfId="0" applyNumberFormat="1" applyFont="1" applyFill="1" applyBorder="1" applyAlignment="1">
      <x:alignment vertical="top" wrapText="1"/>
    </x:xf>
    <x:xf numFmtId="200" fontId="0" fillId="6" borderId="18" xfId="0" applyNumberFormat="1" applyFont="1" applyFill="1" applyBorder="1" applyAlignment="1">
      <x:alignment vertical="top" wrapText="1"/>
    </x:xf>
    <x:xf numFmtId="201" fontId="0" fillId="6" borderId="15" xfId="0" applyNumberFormat="1" applyFont="1" applyFill="1" applyBorder="1" applyAlignment="1">
      <x:alignment vertical="top" wrapText="1"/>
    </x:xf>
    <x:xf numFmtId="201" fontId="0" fillId="6" borderId="18" xfId="0" applyNumberFormat="1" applyFont="1" applyFill="1" applyBorder="1" applyAlignment="1">
      <x:alignment vertical="top" wrapText="1"/>
    </x:xf>
    <x:xf numFmtId="202" fontId="0" fillId="6" borderId="15" xfId="0" applyNumberFormat="1" applyFont="1" applyFill="1" applyBorder="1" applyAlignment="1">
      <x:alignment vertical="top" wrapText="1"/>
    </x:xf>
    <x:xf numFmtId="202" fontId="0" fillId="6" borderId="16" xfId="0" applyNumberFormat="1" applyFont="1" applyFill="1" applyBorder="1" applyAlignment="1">
      <x:alignment vertical="top" wrapText="1"/>
    </x:xf>
    <x:xf numFmtId="202" fontId="0" fillId="6" borderId="18" xfId="0" applyNumberFormat="1" applyFont="1" applyFill="1" applyBorder="1" applyAlignment="1">
      <x:alignment vertical="top" wrapText="1"/>
    </x:xf>
    <x:xf numFmtId="202" fontId="0" fillId="6" borderId="1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  <x:xf numFmtId="201" fontId="0" fillId="7" borderId="15" xfId="0" applyNumberFormat="1" applyFont="1" applyFill="1" applyBorder="1" applyAlignment="1">
      <x:alignment vertical="top" wrapText="1"/>
    </x:xf>
    <x:xf numFmtId="201" fontId="0" fillId="7" borderId="16" xfId="0" applyNumberFormat="1" applyFont="1" applyFill="1" applyBorder="1" applyAlignment="1">
      <x:alignment vertical="top" wrapText="1"/>
    </x:xf>
    <x:xf numFmtId="201" fontId="0" fillId="7" borderId="18" xfId="0" applyNumberFormat="1" applyFont="1" applyFill="1" applyBorder="1" applyAlignment="1">
      <x:alignment vertical="top" wrapText="1"/>
    </x:xf>
    <x:xf numFmtId="201" fontId="0" fillId="7" borderId="19" xfId="0" applyNumberFormat="1" applyFont="1" applyFill="1" applyBorder="1" applyAlignment="1">
      <x:alignment vertical="top" wrapText="1"/>
    </x:xf>
    <x:xf numFmtId="200" fontId="0" fillId="7" borderId="15" xfId="0" applyNumberFormat="1" applyFont="1" applyFill="1" applyBorder="1" applyAlignment="1">
      <x:alignment vertical="top" wrapText="1"/>
    </x:xf>
    <x:xf numFmtId="200" fontId="0" fillId="7" borderId="16" xfId="0" applyNumberFormat="1" applyFont="1" applyFill="1" applyBorder="1" applyAlignment="1">
      <x:alignment vertical="top" wrapText="1"/>
    </x:xf>
    <x:xf numFmtId="200" fontId="0" fillId="7" borderId="18" xfId="0" applyNumberFormat="1" applyFont="1" applyFill="1" applyBorder="1" applyAlignment="1">
      <x:alignment vertical="top" wrapText="1"/>
    </x:xf>
    <x:xf numFmtId="200" fontId="0" fillId="7" borderId="19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201" fontId="0" fillId="7" borderId="5" xfId="0" applyNumberFormat="1" applyFont="1" applyFill="1" applyBorder="1" applyAlignment="1">
      <x:alignment vertical="top" wrapText="1"/>
    </x:xf>
    <x:xf numFmtId="201" fontId="0" fillId="7" borderId="7" xfId="0" applyNumberFormat="1" applyFont="1" applyFill="1" applyBorder="1" applyAlignment="1">
      <x:alignment vertical="top" wrapText="1"/>
    </x:xf>
    <x:xf numFmtId="201" fontId="0" fillId="7" borderId="11" xfId="0" applyNumberFormat="1" applyFont="1" applyFill="1" applyBorder="1" applyAlignment="1">
      <x:alignment vertical="top" wrapText="1"/>
    </x:xf>
    <x:xf numFmtId="201" fontId="0" fillId="7" borderId="13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200" fontId="0" fillId="7" borderId="5" xfId="0" applyNumberFormat="1" applyFont="1" applyFill="1" applyBorder="1" applyAlignment="1">
      <x:alignment vertical="top" wrapText="1"/>
    </x:xf>
    <x:xf numFmtId="200" fontId="0" fillId="7" borderId="7" xfId="0" applyNumberFormat="1" applyFont="1" applyFill="1" applyBorder="1" applyAlignment="1">
      <x:alignment vertical="top" wrapText="1"/>
    </x:xf>
    <x:xf numFmtId="200" fontId="0" fillId="7" borderId="11" xfId="0" applyNumberFormat="1" applyFont="1" applyFill="1" applyBorder="1" applyAlignment="1">
      <x:alignment vertical="top" wrapText="1"/>
    </x:xf>
    <x:xf numFmtId="200" fontId="0" fillId="7" borderId="13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e9e6ee1a247c9" /><Relationship Type="http://schemas.openxmlformats.org/officeDocument/2006/relationships/theme" Target="/xl/theme/theme1.xml" Id="R32a1194163e54fdf" /><Relationship Type="http://schemas.openxmlformats.org/officeDocument/2006/relationships/sharedStrings" Target="/xl/sharedStrings.xml" Id="R5ced99d0aa144bd2" /><Relationship Type="http://schemas.openxmlformats.org/officeDocument/2006/relationships/worksheet" Target="/xl/worksheets/sheet1.xml" Id="Rb4589611f433491e" /><Relationship Type="http://schemas.openxmlformats.org/officeDocument/2006/relationships/worksheet" Target="/xl/worksheets/sheet2.xml" Id="Re08e0d5cded54630" /><Relationship Type="http://schemas.openxmlformats.org/officeDocument/2006/relationships/worksheet" Target="/xl/worksheets/sheet3.xml" Id="Rc7ea0767a0c549c7" /><Relationship Type="http://schemas.openxmlformats.org/officeDocument/2006/relationships/worksheet" Target="/xl/worksheets/sheet4.xml" Id="Re764c60e25c047b2" /><Relationship Type="http://schemas.openxmlformats.org/officeDocument/2006/relationships/worksheet" Target="/xl/worksheets/sheet5.xml" Id="R65958c87d8b240fc" /><Relationship Type="http://schemas.openxmlformats.org/officeDocument/2006/relationships/worksheet" Target="/xl/worksheets/sheet6.xml" Id="R02f3efc2638c4eb2" /><Relationship Type="http://schemas.openxmlformats.org/officeDocument/2006/relationships/worksheet" Target="/xl/worksheets/sheet7.xml" Id="R7bb3ac43312d4a01" /><Relationship Type="http://schemas.openxmlformats.org/officeDocument/2006/relationships/worksheet" Target="/xl/worksheets/sheet8.xml" Id="R86be0f2813484335" /><Relationship Type="http://schemas.openxmlformats.org/officeDocument/2006/relationships/worksheet" Target="/xl/worksheets/sheet9.xml" Id="Rb3c27b7d8ed74a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48" hidden="0" customWidth="1"/>
  </x:cols>
  <x:sheetData>
    <x:row r="1" ht="28" customHeight="1">
      <x:c r="A1" s="6" t="str">
        <x:v>Методика оценки объема рынка электронного бизнеса</x:v>
      </x:c>
    </x:row>
    <x:row r="2" ht="24" customHeight="1">
      <x:c r="A2" s="15" t="str">
        <x:v>Excel-шаблон для подходов «сверху вниз» и «снизу вверх» с использованием Similarweb</x:v>
      </x:c>
    </x:row>
    <x:row r="4">
      <x:c r="A4" s="28" t="str">
        <x:v>Назначение</x:v>
      </x:c>
      <x:c r="B4" s="29" t="str">
        <x:v>Расчетный шаблон для оценки объема рынка: макро-ориентир «сверху вниз», расчет через клиентские сегменты «снизу вверх», проверка через цифровые признаки Similarweb.</x:v>
      </x:c>
    </x:row>
    <x:row r="5">
      <x:c r="A5" s="30" t="str">
        <x:v>Принцип</x:v>
      </x:c>
      <x:c r="B5" s="31" t="str">
        <x:v>Желтые ячейки заполняются пользователем. Зеленые ячейки рассчитываются автоматически.</x:v>
      </x:c>
    </x:row>
    <x:row r="6">
      <x:c r="A6" s="30" t="str">
        <x:v>Similarweb</x:v>
      </x:c>
      <x:c r="B6" s="31" t="str">
        <x:v>Используется как источник оценочных данных о посещаемости сайтов конкурентов, каналах трафика, географии аудитории и конкурентном окружении.</x:v>
      </x:c>
    </x:row>
    <x:row r="7">
      <x:c r="A7" s="30" t="str">
        <x:v>Ограничение</x:v>
      </x:c>
      <x:c r="B7" s="31" t="str">
        <x:v>Данные Similarweb не являются прямым измерением выручки. Итог должен оформляться как оценочный диапазон.</x:v>
      </x:c>
    </x:row>
    <x:row r="8">
      <x:c r="A8" s="32" t="str">
        <x:v>Итог</x:v>
      </x:c>
      <x:c r="B8" s="33" t="str">
        <x:v>После заполнения файла формируется диапазон объема рынка: нижняя, базовая и верхняя оценка.</x:v>
      </x:c>
    </x:row>
    <x:row r="11" ht="26" customHeight="1">
      <x:c r="A11" s="50" t="str">
        <x:v>Шаг</x:v>
      </x:c>
      <x:c r="B11" s="51" t="str">
        <x:v>Действие</x:v>
      </x:c>
      <x:c r="C11" s="52" t="str">
        <x:v>Результат</x:v>
      </x:c>
    </x:row>
    <x:row r="12">
      <x:c r="A12" s="68" t="n">
        <x:v>1</x:v>
      </x:c>
      <x:c r="B12" s="69" t="str">
        <x:v>Зафиксировать продуктовые и географические границы рынка</x:v>
      </x:c>
      <x:c r="C12" s="31" t="str">
        <x:v>Понятно, какой рынок измеряется</x:v>
      </x:c>
    </x:row>
    <x:row r="13">
      <x:c r="A13" s="68" t="n">
        <x:v>2</x:v>
      </x:c>
      <x:c r="B13" s="69" t="str">
        <x:v>Ввести исходные параметры и допущения</x:v>
      </x:c>
      <x:c r="C13" s="31" t="str">
        <x:v>Задана база расчетов</x:v>
      </x:c>
    </x:row>
    <x:row r="14">
      <x:c r="A14" s="68" t="n">
        <x:v>3</x:v>
      </x:c>
      <x:c r="B14" s="69" t="str">
        <x:v>Рассчитать объем рынка методом «сверху вниз»</x:v>
      </x:c>
      <x:c r="C14" s="31" t="str">
        <x:v>Получен общий ориентир масштаба</x:v>
      </x:c>
    </x:row>
    <x:row r="15">
      <x:c r="A15" s="68" t="n">
        <x:v>4</x:v>
      </x:c>
      <x:c r="B15" s="69" t="str">
        <x:v>Рассчитать объем рынка методом «снизу вверх»</x:v>
      </x:c>
      <x:c r="C15" s="31" t="str">
        <x:v>Получен расчет через клиентские сегменты</x:v>
      </x:c>
    </x:row>
    <x:row r="16">
      <x:c r="A16" s="68" t="n">
        <x:v>5</x:v>
      </x:c>
      <x:c r="B16" s="69" t="str">
        <x:v>Внести доступные данные Similarweb</x:v>
      </x:c>
      <x:c r="C16" s="31" t="str">
        <x:v>Проверена цифровая активность конкурентов</x:v>
      </x:c>
    </x:row>
    <x:row r="17">
      <x:c r="A17" s="68" t="n">
        <x:v>6</x:v>
      </x:c>
      <x:c r="B17" s="69" t="str">
        <x:v>Построить воронку Similarweb</x:v>
      </x:c>
      <x:c r="C17" s="31" t="str">
        <x:v>Получена оценка денежного объема через трафик</x:v>
      </x:c>
    </x:row>
    <x:row r="18">
      <x:c r="A18" s="68" t="n">
        <x:v>7</x:v>
      </x:c>
      <x:c r="B18" s="69" t="str">
        <x:v>Сравнить методы</x:v>
      </x:c>
      <x:c r="C18" s="31" t="str">
        <x:v>Сформирован итоговый диапазон</x:v>
      </x:c>
    </x:row>
    <x:row r="19">
      <x:c r="A19" s="70" t="n">
        <x:v>8</x:v>
      </x:c>
      <x:c r="B19" s="71" t="str">
        <x:v>Описать ограничения</x:v>
      </x:c>
      <x:c r="C19" s="33" t="str">
        <x:v>Подготовлен корректный управленческий вывод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20" hidden="0" customWidth="1"/>
    <x:col min="4" max="4" width="42" hidden="0" customWidth="1"/>
    <x:col min="5" max="5" width="44" hidden="0" customWidth="1"/>
    <x:col min="6" max="6" width="18" hidden="0" customWidth="1"/>
  </x:cols>
  <x:sheetData>
    <x:row r="1" ht="28" customHeight="1">
      <x:c r="A1" s="6" t="str">
        <x:v>Исходные параметры</x:v>
      </x:c>
    </x:row>
    <x:row r="2" ht="24" customHeight="1">
      <x:c r="A2" s="15" t="str">
        <x:v>Параметры используются во всех расчетах. Демонстрационные значения заменяются на фактические.</x:v>
      </x:c>
    </x:row>
    <x:row r="4" ht="26" customHeight="1">
      <x:c r="A4" s="50" t="str">
        <x:v>Параметр</x:v>
      </x:c>
      <x:c r="B4" s="51" t="str">
        <x:v>Значение</x:v>
      </x:c>
      <x:c r="C4" s="51" t="str">
        <x:v>Единица</x:v>
      </x:c>
      <x:c r="D4" s="51" t="str">
        <x:v>Назначение</x:v>
      </x:c>
      <x:c r="E4" s="51" t="str">
        <x:v>Комментарий</x:v>
      </x:c>
      <x:c r="F4" s="52" t="str">
        <x:v>Тип</x:v>
      </x:c>
    </x:row>
    <x:row r="5">
      <x:c r="A5" s="68" t="str">
        <x:v>Название рынка</x:v>
      </x:c>
      <x:c r="B5" s="82" t="str">
        <x:v>Цифровые маркетинговые услуги для малого бизнеса</x:v>
      </x:c>
      <x:c r="C5" s="69" t="str"/>
      <x:c r="D5" s="69" t="str">
        <x:v>Описание рынка</x:v>
      </x:c>
      <x:c r="E5" s="69" t="str">
        <x:v>Заменить на свою идею</x:v>
      </x:c>
      <x:c r="F5" s="31" t="str">
        <x:v>Ввод</x:v>
      </x:c>
    </x:row>
    <x:row r="6">
      <x:c r="A6" s="68" t="str">
        <x:v>География</x:v>
      </x:c>
      <x:c r="B6" s="88" t="str">
        <x:v>Республика Беларусь</x:v>
      </x:c>
      <x:c r="C6" s="69" t="str"/>
      <x:c r="D6" s="69" t="str">
        <x:v>Территория анализа</x:v>
      </x:c>
      <x:c r="E6" s="69" t="str">
        <x:v>Заменить при необходимости</x:v>
      </x:c>
      <x:c r="F6" s="31" t="str">
        <x:v>Ввод</x:v>
      </x:c>
    </x:row>
    <x:row r="7">
      <x:c r="A7" s="68" t="str">
        <x:v>Валюта</x:v>
      </x:c>
      <x:c r="B7" s="82" t="str">
        <x:v>BYN</x:v>
      </x:c>
      <x:c r="C7" s="69" t="str"/>
      <x:c r="D7" s="69" t="str">
        <x:v>Валюта расчетов</x:v>
      </x:c>
      <x:c r="E7" s="69" t="str">
        <x:v>Можно заменить</x:v>
      </x:c>
      <x:c r="F7" s="31" t="str">
        <x:v>Ввод</x:v>
      </x:c>
    </x:row>
    <x:row r="8">
      <x:c r="A8" s="68" t="str">
        <x:v>Средний годовой чек</x:v>
      </x:c>
      <x:c r="B8" s="86" t="n">
        <x:v>3600</x:v>
      </x:c>
      <x:c r="C8" s="69" t="str">
        <x:v>BYN/клиент/год</x:v>
      </x:c>
      <x:c r="D8" s="69" t="str">
        <x:v>Денежный расчет рынка услуг</x:v>
      </x:c>
      <x:c r="E8" s="69" t="str">
        <x:v>Прайсы конкурентов / экспертная оценка</x:v>
      </x:c>
      <x:c r="F8" s="31" t="str">
        <x:v>Ввод</x:v>
      </x:c>
    </x:row>
    <x:row r="9">
      <x:c r="A9" s="68" t="str">
        <x:v>Среднее число покупок в год</x:v>
      </x:c>
      <x:c r="B9" s="86" t="n">
        <x:v>1</x:v>
      </x:c>
      <x:c r="C9" s="69" t="str">
        <x:v>раз</x:v>
      </x:c>
      <x:c r="D9" s="69" t="str">
        <x:v>Для товарных и сервисных моделей</x:v>
      </x:c>
      <x:c r="E9" s="69" t="str">
        <x:v>Допущение</x:v>
      </x:c>
      <x:c r="F9" s="31" t="str">
        <x:v>Ввод</x:v>
      </x:c>
    </x:row>
    <x:row r="10">
      <x:c r="A10" s="68" t="str">
        <x:v>Конверсия визита в заявку</x:v>
      </x:c>
      <x:c r="B10" s="90" t="n">
        <x:v>0.025</x:v>
      </x:c>
      <x:c r="C10" s="69" t="str">
        <x:v>доля</x:v>
      </x:c>
      <x:c r="D10" s="69" t="str">
        <x:v>Воронка Similarweb</x:v>
      </x:c>
      <x:c r="E10" s="69" t="str">
        <x:v>Заменить реальными данными</x:v>
      </x:c>
      <x:c r="F10" s="31" t="str">
        <x:v>Ввод</x:v>
      </x:c>
    </x:row>
    <x:row r="11">
      <x:c r="A11" s="68" t="str">
        <x:v>Конверсия заявки в продажу</x:v>
      </x:c>
      <x:c r="B11" s="90" t="n">
        <x:v>0.25</x:v>
      </x:c>
      <x:c r="C11" s="69" t="str">
        <x:v>доля</x:v>
      </x:c>
      <x:c r="D11" s="69" t="str">
        <x:v>Воронка Similarweb</x:v>
      </x:c>
      <x:c r="E11" s="69" t="str">
        <x:v>Заменить CRM/экспертной оценкой</x:v>
      </x:c>
      <x:c r="F11" s="31" t="str">
        <x:v>Ввод</x:v>
      </x:c>
    </x:row>
    <x:row r="12">
      <x:c r="A12" s="68" t="str">
        <x:v>Коэффициент повторных продаж</x:v>
      </x:c>
      <x:c r="B12" s="90" t="n">
        <x:v>1.2</x:v>
      </x:c>
      <x:c r="C12" s="69" t="str">
        <x:v>раз</x:v>
      </x:c>
      <x:c r="D12" s="69" t="str">
        <x:v>Уточнение годовой выручки</x:v>
      </x:c>
      <x:c r="E12" s="69" t="str">
        <x:v>Допущение</x:v>
      </x:c>
      <x:c r="F12" s="31" t="str">
        <x:v>Ввод</x:v>
      </x:c>
    </x:row>
    <x:row r="13">
      <x:c r="A13" s="68" t="str">
        <x:v>Корректировка на неполную выборку конкурентов</x:v>
      </x:c>
      <x:c r="B13" s="90" t="n">
        <x:v>1.15</x:v>
      </x:c>
      <x:c r="C13" s="69" t="str">
        <x:v>коэффициент</x:v>
      </x:c>
      <x:c r="D13" s="69" t="str">
        <x:v>Учитывает конкурентов вне выборки</x:v>
      </x:c>
      <x:c r="E13" s="69" t="str">
        <x:v>Использовать осторожно</x:v>
      </x:c>
      <x:c r="F13" s="31" t="str">
        <x:v>Ввод</x:v>
      </x:c>
    </x:row>
    <x:row r="14">
      <x:c r="A14" s="68" t="str">
        <x:v>Осторожный сценарий</x:v>
      </x:c>
      <x:c r="B14" s="90" t="n">
        <x:v>0.6</x:v>
      </x:c>
      <x:c r="C14" s="69" t="str">
        <x:v>коэффициент</x:v>
      </x:c>
      <x:c r="D14" s="69" t="str">
        <x:v>Понижающий коэффициент</x:v>
      </x:c>
      <x:c r="E14" s="69" t="str">
        <x:v>Риски низкой конверсии</x:v>
      </x:c>
      <x:c r="F14" s="31" t="str">
        <x:v>Сценарий</x:v>
      </x:c>
    </x:row>
    <x:row r="15">
      <x:c r="A15" s="68" t="str">
        <x:v>Базовый сценарий</x:v>
      </x:c>
      <x:c r="B15" s="90" t="n">
        <x:v>1</x:v>
      </x:c>
      <x:c r="C15" s="69" t="str">
        <x:v>коэффициент</x:v>
      </x:c>
      <x:c r="D15" s="69" t="str">
        <x:v>Базовый расчет</x:v>
      </x:c>
      <x:c r="E15" s="69" t="str">
        <x:v>Основной сценарий</x:v>
      </x:c>
      <x:c r="F15" s="31" t="str">
        <x:v>Сценарий</x:v>
      </x:c>
    </x:row>
    <x:row r="16">
      <x:c r="A16" s="70" t="str">
        <x:v>Оптимистичный сценарий</x:v>
      </x:c>
      <x:c r="B16" s="91" t="n">
        <x:v>1.4</x:v>
      </x:c>
      <x:c r="C16" s="71" t="str">
        <x:v>коэффициент</x:v>
      </x:c>
      <x:c r="D16" s="71" t="str">
        <x:v>Повышающий коэффициент</x:v>
      </x:c>
      <x:c r="E16" s="71" t="str">
        <x:v>Высокий спрос/лучшие конверсии</x:v>
      </x:c>
      <x:c r="F16" s="33" t="str">
        <x:v>Сценарий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50" hidden="0" customWidth="1"/>
    <x:col min="7" max="7" width="16" hidden="0" customWidth="1"/>
  </x:cols>
  <x:sheetData>
    <x:row r="1" ht="28" customHeight="1">
      <x:c r="A1" s="6" t="str">
        <x:v>Методика «сверху вниз»</x:v>
      </x:c>
    </x:row>
    <x:row r="2" ht="24" customHeight="1">
      <x:c r="A2" s="15" t="str">
        <x:v>От общего показателя рынка к доступному цифровому сегменту.</x:v>
      </x:c>
    </x:row>
    <x:row r="4" ht="26" customHeight="1">
      <x:c r="A4" s="50" t="str">
        <x:v>Показатель</x:v>
      </x:c>
      <x:c r="B4" s="51" t="str">
        <x:v>Осторожный</x:v>
      </x:c>
      <x:c r="C4" s="51" t="str">
        <x:v>Базовый</x:v>
      </x:c>
      <x:c r="D4" s="51" t="str">
        <x:v>Оптимистичный</x:v>
      </x:c>
      <x:c r="E4" s="51" t="str">
        <x:v>Единица</x:v>
      </x:c>
      <x:c r="F4" s="51" t="str">
        <x:v>Источник / комментарий</x:v>
      </x:c>
      <x:c r="G4" s="52" t="str">
        <x:v>Тип</x:v>
      </x:c>
    </x:row>
    <x:row r="5">
      <x:c r="A5" s="68" t="str">
        <x:v>Общий ориентир: число потенциальных организаций/клиентов</x:v>
      </x:c>
      <x:c r="B5" s="88" t="n">
        <x:v>50000</x:v>
      </x:c>
      <x:c r="C5" s="88" t="n">
        <x:v>70000</x:v>
      </x:c>
      <x:c r="D5" s="88" t="n">
        <x:v>90000</x:v>
      </x:c>
      <x:c r="E5" s="69" t="str">
        <x:v>ед.</x:v>
      </x:c>
      <x:c r="F5" s="69" t="str">
        <x:v>Официальная статистика / отраслевой отчет / база компаний</x:v>
      </x:c>
      <x:c r="G5" s="31" t="str">
        <x:v>Ввод</x:v>
      </x:c>
    </x:row>
    <x:row r="6">
      <x:c r="A6" s="68" t="str">
        <x:v>Доля клиентов в продуктовых границах рынка</x:v>
      </x:c>
      <x:c r="B6" s="86" t="n">
        <x:v>0.2</x:v>
      </x:c>
      <x:c r="C6" s="86" t="n">
        <x:v>0.3</x:v>
      </x:c>
      <x:c r="D6" s="86" t="n">
        <x:v>0.4</x:v>
      </x:c>
      <x:c r="E6" s="69" t="str">
        <x:v>доля</x:v>
      </x:c>
      <x:c r="F6" s="69" t="str">
        <x:v>Доля компаний, которым релевантна услуга</x:v>
      </x:c>
      <x:c r="G6" s="31" t="str">
        <x:v>Ввод</x:v>
      </x:c>
    </x:row>
    <x:row r="7">
      <x:c r="A7" s="68" t="str">
        <x:v>Доля клиентов в выбранной географии</x:v>
      </x:c>
      <x:c r="B7" s="86" t="n">
        <x:v>0.8</x:v>
      </x:c>
      <x:c r="C7" s="86" t="n">
        <x:v>0.9</x:v>
      </x:c>
      <x:c r="D7" s="86" t="n">
        <x:v>1</x:v>
      </x:c>
      <x:c r="E7" s="69" t="str">
        <x:v>доля</x:v>
      </x:c>
      <x:c r="F7" s="69" t="str">
        <x:v>Если исходный показатель шире географии анализа</x:v>
      </x:c>
      <x:c r="G7" s="31" t="str">
        <x:v>Ввод</x:v>
      </x:c>
    </x:row>
    <x:row r="8">
      <x:c r="A8" s="68" t="str">
        <x:v>Доля клиентов, доступных через цифровые каналы</x:v>
      </x:c>
      <x:c r="B8" s="86" t="n">
        <x:v>0.35</x:v>
      </x:c>
      <x:c r="C8" s="86" t="n">
        <x:v>0.5</x:v>
      </x:c>
      <x:c r="D8" s="86" t="n">
        <x:v>0.65</x:v>
      </x:c>
      <x:c r="E8" s="69" t="str">
        <x:v>доля</x:v>
      </x:c>
      <x:c r="F8" s="69" t="str">
        <x:v>Сайт, поиск, социальные сети, цифровые площадки</x:v>
      </x:c>
      <x:c r="G8" s="31" t="str">
        <x:v>Ввод</x:v>
      </x:c>
    </x:row>
    <x:row r="9">
      <x:c r="A9" s="68" t="str">
        <x:v>Доля клиентов с вероятной потребностью</x:v>
      </x:c>
      <x:c r="B9" s="86" t="n">
        <x:v>0.15</x:v>
      </x:c>
      <x:c r="C9" s="86" t="n">
        <x:v>0.25</x:v>
      </x:c>
      <x:c r="D9" s="86" t="n">
        <x:v>0.35</x:v>
      </x:c>
      <x:c r="E9" s="69" t="str">
        <x:v>доля</x:v>
      </x:c>
      <x:c r="F9" s="69" t="str">
        <x:v>Оценка спроса по проблеме клиента</x:v>
      </x:c>
      <x:c r="G9" s="31" t="str">
        <x:v>Ввод</x:v>
      </x:c>
    </x:row>
    <x:row r="10">
      <x:c r="A10" s="68" t="str">
        <x:v>Средний годовой чек</x:v>
      </x:c>
      <x:c r="B10" s="104" t="n">
        <x:f>'01_Параметры'!B8</x:f>
        <x:v>3600</x:v>
      </x:c>
      <x:c r="C10" s="104" t="n">
        <x:f>'01_Параметры'!B8</x:f>
        <x:v>3600</x:v>
      </x:c>
      <x:c r="D10" s="104" t="n">
        <x:f>'01_Параметры'!B8</x:f>
        <x:v>3600</x:v>
      </x:c>
      <x:c r="E10" s="69" t="str">
        <x:v>BYN</x:v>
      </x:c>
      <x:c r="F10" s="69" t="str">
        <x:v>Подтягивается из параметров</x:v>
      </x:c>
      <x:c r="G10" s="31" t="str">
        <x:v>Формула</x:v>
      </x:c>
    </x:row>
    <x:row r="11">
      <x:c r="A11" s="68" t="str">
        <x:v>Расчетное число клиентов рынка</x:v>
      </x:c>
      <x:c r="B11" s="104" t="n">
        <x:f>B5*B6*B7*B8*B9</x:f>
        <x:v>420</x:v>
      </x:c>
      <x:c r="C11" s="104" t="n">
        <x:f>C5*C6*C7*C8*C9</x:f>
        <x:v>2362.5</x:v>
      </x:c>
      <x:c r="D11" s="104" t="n">
        <x:f>D5*D6*D7*D8*D9</x:f>
        <x:v>8189.999999999999</x:v>
      </x:c>
      <x:c r="E11" s="69" t="str">
        <x:v>клиенты</x:v>
      </x:c>
      <x:c r="F11" s="69" t="str">
        <x:v>Сужение общего рынка до достижимой базы</x:v>
      </x:c>
      <x:c r="G11" s="31" t="str">
        <x:v>Формула</x:v>
      </x:c>
    </x:row>
    <x:row r="12">
      <x:c r="A12" s="70" t="str">
        <x:v>Оценка годового объема рынка</x:v>
      </x:c>
      <x:c r="B12" s="105" t="n">
        <x:f>B11*B10</x:f>
        <x:v>1512000</x:v>
      </x:c>
      <x:c r="C12" s="105" t="n">
        <x:f>C11*C10</x:f>
        <x:v>8505000</x:v>
      </x:c>
      <x:c r="D12" s="105" t="n">
        <x:f>D11*D10</x:f>
        <x:v>29483999.999999996</x:v>
      </x:c>
      <x:c r="E12" s="71" t="str">
        <x:v>BYN/год</x:v>
      </x:c>
      <x:c r="F12" s="71" t="str">
        <x:v>Клиенты × средний годовой чек</x:v>
      </x:c>
      <x:c r="G12" s="33" t="str">
        <x:v>Формула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6" hidden="0" customWidth="1"/>
    <x:col min="7" max="7" width="20" hidden="0" customWidth="1"/>
    <x:col min="8" max="8" width="16" hidden="0" customWidth="1"/>
    <x:col min="9" max="9" width="42" hidden="0" customWidth="1"/>
    <x:col min="10" max="10" width="18" hidden="0" customWidth="1"/>
  </x:cols>
  <x:sheetData>
    <x:row r="1" ht="28" customHeight="1">
      <x:c r="A1" s="6" t="str">
        <x:v>Методика «снизу вверх»</x:v>
      </x:c>
    </x:row>
    <x:row r="2" ht="24" customHeight="1">
      <x:c r="A2" s="15" t="str">
        <x:v>Расчет через клиентские сегменты, средний чек и частоту покупки.</x:v>
      </x:c>
    </x:row>
    <x:row r="4" ht="26" customHeight="1">
      <x:c r="A4" s="50" t="str">
        <x:v>Сегмент клиентов</x:v>
      </x:c>
      <x:c r="B4" s="51" t="str">
        <x:v>Потенциальные клиенты</x:v>
      </x:c>
      <x:c r="C4" s="51" t="str">
        <x:v>Доля с потребностью</x:v>
      </x:c>
      <x:c r="D4" s="51" t="str">
        <x:v>Цифровая доступность</x:v>
      </x:c>
      <x:c r="E4" s="51" t="str">
        <x:v>Покупок/год</x:v>
      </x:c>
      <x:c r="F4" s="51" t="str">
        <x:v>Средний чек</x:v>
      </x:c>
      <x:c r="G4" s="51" t="str">
        <x:v>Годовой объем</x:v>
      </x:c>
      <x:c r="H4" s="51" t="str">
        <x:v>Доля сегмента</x:v>
      </x:c>
      <x:c r="I4" s="51" t="str">
        <x:v>Источник/комментарий</x:v>
      </x:c>
      <x:c r="J4" s="52" t="str">
        <x:v>Статус</x:v>
      </x:c>
    </x:row>
    <x:row r="5">
      <x:c r="A5" s="68" t="str">
        <x:v>Малый бизнес услуг</x:v>
      </x:c>
      <x:c r="B5" s="88" t="n">
        <x:v>8000</x:v>
      </x:c>
      <x:c r="C5" s="86" t="n">
        <x:v>0.25</x:v>
      </x:c>
      <x:c r="D5" s="86" t="n">
        <x:v>0.55</x:v>
      </x:c>
      <x:c r="E5" s="82" t="n">
        <x:v>1</x:v>
      </x:c>
      <x:c r="F5" s="88" t="n">
        <x:v>3600</x:v>
      </x:c>
      <x:c r="G5" s="104" t="n">
        <x:f>B5*C5*D5*E5*F5</x:f>
        <x:v>3960000</x:v>
      </x:c>
      <x:c r="H5" s="108" t="n">
        <x:f>G5/SUM($G$5:$G$10)</x:f>
        <x:v>0.2847773558853987</x:v>
      </x:c>
      <x:c r="I5" s="69" t="str">
        <x:v>Базы компаний и спрос</x:v>
      </x:c>
      <x:c r="J5" s="31" t="str">
        <x:v>Заполнить</x:v>
      </x:c>
    </x:row>
    <x:row r="6">
      <x:c r="A6" s="68" t="str">
        <x:v>Интернет-магазины</x:v>
      </x:c>
      <x:c r="B6" s="88" t="n">
        <x:v>2500</x:v>
      </x:c>
      <x:c r="C6" s="86" t="n">
        <x:v>0.4</x:v>
      </x:c>
      <x:c r="D6" s="86" t="n">
        <x:v>0.8</x:v>
      </x:c>
      <x:c r="E6" s="82" t="n">
        <x:v>1</x:v>
      </x:c>
      <x:c r="F6" s="88" t="n">
        <x:v>6000</x:v>
      </x:c>
      <x:c r="G6" s="104" t="n">
        <x:f>B6*C6*D6*E6*F6</x:f>
        <x:v>4800000</x:v>
      </x:c>
      <x:c r="H6" s="108" t="n">
        <x:f>G6/SUM($G$5:$G$10)</x:f>
        <x:v>0.34518467380048323</x:v>
      </x:c>
      <x:c r="I6" s="69" t="str">
        <x:v>Каталоги, маркетплейсы, сайты</x:v>
      </x:c>
      <x:c r="J6" s="31" t="str">
        <x:v>Заполнить</x:v>
      </x:c>
    </x:row>
    <x:row r="7">
      <x:c r="A7" s="68" t="str">
        <x:v>Образовательные проекты</x:v>
      </x:c>
      <x:c r="B7" s="88" t="n">
        <x:v>1200</x:v>
      </x:c>
      <x:c r="C7" s="86" t="n">
        <x:v>0.3</x:v>
      </x:c>
      <x:c r="D7" s="86" t="n">
        <x:v>0.7</x:v>
      </x:c>
      <x:c r="E7" s="82" t="n">
        <x:v>1</x:v>
      </x:c>
      <x:c r="F7" s="88" t="n">
        <x:v>4200</x:v>
      </x:c>
      <x:c r="G7" s="104" t="n">
        <x:f>B7*C7*D7*E7*F7</x:f>
        <x:v>1058399.9999999998</x:v>
      </x:c>
      <x:c r="H7" s="108" t="n">
        <x:f>G7/SUM($G$5:$G$10)</x:f>
        <x:v>0.07611322057300654</x:v>
      </x:c>
      <x:c r="I7" s="69" t="str">
        <x:v>Сайты и рекламная активность</x:v>
      </x:c>
      <x:c r="J7" s="31" t="str">
        <x:v>Заполнить</x:v>
      </x:c>
    </x:row>
    <x:row r="8">
      <x:c r="A8" s="68" t="str">
        <x:v>Локальные компании</x:v>
      </x:c>
      <x:c r="B8" s="88" t="n">
        <x:v>6000</x:v>
      </x:c>
      <x:c r="C8" s="86" t="n">
        <x:v>0.18</x:v>
      </x:c>
      <x:c r="D8" s="86" t="n">
        <x:v>0.45</x:v>
      </x:c>
      <x:c r="E8" s="82" t="n">
        <x:v>1</x:v>
      </x:c>
      <x:c r="F8" s="88" t="n">
        <x:v>2400</x:v>
      </x:c>
      <x:c r="G8" s="104" t="n">
        <x:f>B8*C8*D8*E8*F8</x:f>
        <x:v>1166400</x:v>
      </x:c>
      <x:c r="H8" s="108" t="n">
        <x:f>G8/SUM($G$5:$G$10)</x:f>
        <x:v>0.08387987573351743</x:v>
      </x:c>
      <x:c r="I8" s="69" t="str">
        <x:v>Карты, справочники, поиск</x:v>
      </x:c>
      <x:c r="J8" s="31" t="str">
        <x:v>Заполнить</x:v>
      </x:c>
    </x:row>
    <x:row r="9">
      <x:c r="A9" s="68" t="str">
        <x:v>B2B-услуги</x:v>
      </x:c>
      <x:c r="B9" s="88" t="n">
        <x:v>1600</x:v>
      </x:c>
      <x:c r="C9" s="86" t="n">
        <x:v>0.35</x:v>
      </x:c>
      <x:c r="D9" s="86" t="n">
        <x:v>0.65</x:v>
      </x:c>
      <x:c r="E9" s="82" t="n">
        <x:v>1</x:v>
      </x:c>
      <x:c r="F9" s="88" t="n">
        <x:v>7200</x:v>
      </x:c>
      <x:c r="G9" s="104" t="n">
        <x:f>B9*C9*D9*E9*F9</x:f>
        <x:v>2620800</x:v>
      </x:c>
      <x:c r="H9" s="108" t="n">
        <x:f>G9/SUM($G$5:$G$10)</x:f>
        <x:v>0.18847083189506386</x:v>
      </x:c>
      <x:c r="I9" s="69" t="str">
        <x:v>Проф. каталоги и сайты</x:v>
      </x:c>
      <x:c r="J9" s="31" t="str">
        <x:v>Заполнить</x:v>
      </x:c>
    </x:row>
    <x:row r="10">
      <x:c r="A10" s="68" t="str">
        <x:v>Другие сегменты</x:v>
      </x:c>
      <x:c r="B10" s="88" t="n">
        <x:v>1000</x:v>
      </x:c>
      <x:c r="C10" s="86" t="n">
        <x:v>0.2</x:v>
      </x:c>
      <x:c r="D10" s="86" t="n">
        <x:v>0.5</x:v>
      </x:c>
      <x:c r="E10" s="82" t="n">
        <x:v>1</x:v>
      </x:c>
      <x:c r="F10" s="88" t="n">
        <x:v>3000</x:v>
      </x:c>
      <x:c r="G10" s="104" t="n">
        <x:f>B10*C10*D10*E10*F10</x:f>
        <x:v>300000</x:v>
      </x:c>
      <x:c r="H10" s="108" t="n">
        <x:f>G10/SUM($G$5:$G$10)</x:f>
        <x:v>0.021574042112530202</x:v>
      </x:c>
      <x:c r="I10" s="69" t="str">
        <x:v>Добавить свой сегмент</x:v>
      </x:c>
      <x:c r="J10" s="31" t="str">
        <x:v>Опционально</x:v>
      </x:c>
    </x:row>
    <x:row r="11">
      <x:c r="A11" s="70" t="str">
        <x:v>ИТОГО</x:v>
      </x:c>
      <x:c r="B11" s="112" t="n">
        <x:f>SUM(B5:B10)</x:f>
        <x:v>20300</x:v>
      </x:c>
      <x:c r="C11" s="71" t="str"/>
      <x:c r="D11" s="71" t="str"/>
      <x:c r="E11" s="71" t="str"/>
      <x:c r="F11" s="112" t="str"/>
      <x:c r="G11" s="105" t="n">
        <x:f>SUM(G5:G10)</x:f>
        <x:v>13905600</x:v>
      </x:c>
      <x:c r="H11" s="109" t="n">
        <x:f>SUM(H5:H10)</x:f>
        <x:v>0.9999999999999999</x:v>
      </x:c>
      <x:c r="I11" s="71" t="str"/>
      <x:c r="J11" s="33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  <x:col min="10" max="10" width="16" hidden="0" customWidth="1"/>
    <x:col min="11" max="11" width="54" hidden="0" customWidth="1"/>
    <x:col min="12" max="12" width="16" hidden="0" customWidth="1"/>
    <x:col min="13" max="13" width="34" hidden="0" customWidth="1"/>
  </x:cols>
  <x:sheetData>
    <x:row r="1" ht="28" customHeight="1">
      <x:c r="A1" s="6" t="str">
        <x:v>Данные Similarweb по конкурентам</x:v>
      </x:c>
    </x:row>
    <x:row r="2" ht="24" customHeight="1">
      <x:c r="A2" s="15" t="str">
        <x:v>Вводятся доступные оценочные данные: посещаемость, география, каналы, релевантность.</x:v>
      </x:c>
    </x:row>
    <x:row r="4" ht="26" customHeight="1">
      <x:c r="A4" s="50" t="str">
        <x:v>Домен / сайт</x:v>
      </x:c>
      <x:c r="B4" s="51" t="str">
        <x:v>Тип конкурента</x:v>
      </x:c>
      <x:c r="C4" s="51" t="str">
        <x:v>Месячные визиты</x:v>
      </x:c>
      <x:c r="D4" s="51" t="str">
        <x:v>Доля целевой географии</x:v>
      </x:c>
      <x:c r="E4" s="51" t="str">
        <x:v>Доля релевантных каналов</x:v>
      </x:c>
      <x:c r="F4" s="51" t="str">
        <x:v>Коммерческая релевантность</x:v>
      </x:c>
      <x:c r="G4" s="51" t="str">
        <x:v>Коэффициент вовлеченности</x:v>
      </x:c>
      <x:c r="H4" s="51" t="str">
        <x:v>Релевантные визиты/мес.</x:v>
      </x:c>
      <x:c r="I4" s="51" t="str">
        <x:v>Релевантные визиты/год</x:v>
      </x:c>
      <x:c r="J4" s="51" t="str">
        <x:v>Доля трафика</x:v>
      </x:c>
      <x:c r="K4" s="51" t="str">
        <x:v>Источник данных</x:v>
      </x:c>
      <x:c r="L4" s="51" t="str">
        <x:v>Дата фиксации</x:v>
      </x:c>
      <x:c r="M4" s="52" t="str">
        <x:v>Комментарий</x:v>
      </x:c>
    </x:row>
    <x:row r="5">
      <x:c r="A5" s="114" t="str">
        <x:v>competitor-1.by</x:v>
      </x:c>
      <x:c r="B5" s="82" t="str">
        <x:v>Прямой</x:v>
      </x:c>
      <x:c r="C5" s="88" t="n">
        <x:v>45000</x:v>
      </x:c>
      <x:c r="D5" s="86" t="n">
        <x:v>0.85</x:v>
      </x:c>
      <x:c r="E5" s="86" t="n">
        <x:v>0.55</x:v>
      </x:c>
      <x:c r="F5" s="86" t="n">
        <x:v>0.75</x:v>
      </x:c>
      <x:c r="G5" s="86" t="n">
        <x:v>0.8</x:v>
      </x:c>
      <x:c r="H5" s="104" t="n">
        <x:f>C5*D5*E5*F5*G5</x:f>
        <x:v>12622.5</x:v>
      </x:c>
      <x:c r="I5" s="104" t="n">
        <x:f>H5*12</x:f>
        <x:v>151470</x:v>
      </x:c>
      <x:c r="J5" s="108" t="n">
        <x:f>I5/SUM($I$5:$I$14)</x:f>
        <x:v>0.410904722840736</x:v>
      </x:c>
      <x:c r="K5" s="82" t="str">
        <x:v>https://www.similarweb.com/website/competitor-1.by/</x:v>
      </x:c>
      <x:c r="L5" s="82" t="str">
        <x:v>2026-05-02</x:v>
      </x:c>
      <x:c r="M5" s="115" t="str">
        <x:v>Демонстрационные данные</x:v>
      </x:c>
    </x:row>
    <x:row r="6">
      <x:c r="A6" s="114" t="str">
        <x:v>competitor-2.by</x:v>
      </x:c>
      <x:c r="B6" s="82" t="str">
        <x:v>Прямой</x:v>
      </x:c>
      <x:c r="C6" s="88" t="n">
        <x:v>30000</x:v>
      </x:c>
      <x:c r="D6" s="86" t="n">
        <x:v>0.8</x:v>
      </x:c>
      <x:c r="E6" s="86" t="n">
        <x:v>0.6</x:v>
      </x:c>
      <x:c r="F6" s="86" t="n">
        <x:v>0.7</x:v>
      </x:c>
      <x:c r="G6" s="86" t="n">
        <x:v>0.75</x:v>
      </x:c>
      <x:c r="H6" s="104" t="n">
        <x:f>C6*D6*E6*F6*G6</x:f>
        <x:v>7560</x:v>
      </x:c>
      <x:c r="I6" s="104" t="n">
        <x:f>H6*12</x:f>
        <x:v>90720</x:v>
      </x:c>
      <x:c r="J6" s="108" t="n">
        <x:f>I6/SUM($I$5:$I$14)</x:f>
        <x:v>0.2461033634126333</x:v>
      </x:c>
      <x:c r="K6" s="82" t="str">
        <x:v>https://www.similarweb.com/website/competitor-2.by/</x:v>
      </x:c>
      <x:c r="L6" s="82" t="str">
        <x:v>2026-05-02</x:v>
      </x:c>
      <x:c r="M6" s="115" t="str">
        <x:v>Демонстрационные данные</x:v>
      </x:c>
    </x:row>
    <x:row r="7">
      <x:c r="A7" s="114" t="str">
        <x:v>competitor-3.com</x:v>
      </x:c>
      <x:c r="B7" s="82" t="str">
        <x:v>Частичный</x:v>
      </x:c>
      <x:c r="C7" s="88" t="n">
        <x:v>60000</x:v>
      </x:c>
      <x:c r="D7" s="86" t="n">
        <x:v>0.3</x:v>
      </x:c>
      <x:c r="E7" s="86" t="n">
        <x:v>0.45</x:v>
      </x:c>
      <x:c r="F7" s="86" t="n">
        <x:v>0.55</x:v>
      </x:c>
      <x:c r="G7" s="86" t="n">
        <x:v>0.7</x:v>
      </x:c>
      <x:c r="H7" s="104" t="n">
        <x:f>C7*D7*E7*F7*G7</x:f>
        <x:v>3118.5</x:v>
      </x:c>
      <x:c r="I7" s="104" t="n">
        <x:f>H7*12</x:f>
        <x:v>37422</x:v>
      </x:c>
      <x:c r="J7" s="108" t="n">
        <x:f>I7/SUM($I$5:$I$14)</x:f>
        <x:v>0.10151763740771125</x:v>
      </x:c>
      <x:c r="K7" s="82" t="str">
        <x:v>https://www.similarweb.com/website/competitor-3.com/</x:v>
      </x:c>
      <x:c r="L7" s="82" t="str">
        <x:v>2026-05-02</x:v>
      </x:c>
      <x:c r="M7" s="115" t="str">
        <x:v>Демонстрационные данные</x:v>
      </x:c>
    </x:row>
    <x:row r="8">
      <x:c r="A8" s="114" t="str">
        <x:v>agency-example.by</x:v>
      </x:c>
      <x:c r="B8" s="82" t="str">
        <x:v>Прямой</x:v>
      </x:c>
      <x:c r="C8" s="88" t="n">
        <x:v>18000</x:v>
      </x:c>
      <x:c r="D8" s="86" t="n">
        <x:v>0.9</x:v>
      </x:c>
      <x:c r="E8" s="86" t="n">
        <x:v>0.5</x:v>
      </x:c>
      <x:c r="F8" s="86" t="n">
        <x:v>0.85</x:v>
      </x:c>
      <x:c r="G8" s="86" t="n">
        <x:v>0.78</x:v>
      </x:c>
      <x:c r="H8" s="104" t="n">
        <x:f>C8*D8*E8*F8*G8</x:f>
        <x:v>5370.3</x:v>
      </x:c>
      <x:c r="I8" s="104" t="n">
        <x:f>H8*12</x:f>
        <x:v>64443.600000000006</x:v>
      </x:c>
      <x:c r="J8" s="108" t="n">
        <x:f>I8/SUM($I$5:$I$14)</x:f>
        <x:v>0.17482128208133133</x:v>
      </x:c>
      <x:c r="K8" s="82" t="str">
        <x:v>https://www.similarweb.com/website/agency-example.by/</x:v>
      </x:c>
      <x:c r="L8" s="82" t="str">
        <x:v>2026-05-02</x:v>
      </x:c>
      <x:c r="M8" s="115" t="str">
        <x:v>Демонстрационные данные</x:v>
      </x:c>
    </x:row>
    <x:row r="9">
      <x:c r="A9" s="114" t="str">
        <x:v>freelance-platform.example</x:v>
      </x:c>
      <x:c r="B9" s="82" t="str">
        <x:v>Заменитель</x:v>
      </x:c>
      <x:c r="C9" s="88" t="n">
        <x:v>80000</x:v>
      </x:c>
      <x:c r="D9" s="86" t="n">
        <x:v>0.25</x:v>
      </x:c>
      <x:c r="E9" s="86" t="n">
        <x:v>0.35</x:v>
      </x:c>
      <x:c r="F9" s="86" t="n">
        <x:v>0.45</x:v>
      </x:c>
      <x:c r="G9" s="86" t="n">
        <x:v>0.65</x:v>
      </x:c>
      <x:c r="H9" s="104" t="n">
        <x:f>C9*D9*E9*F9*G9</x:f>
        <x:v>2047.5</x:v>
      </x:c>
      <x:c r="I9" s="104" t="n">
        <x:f>H9*12</x:f>
        <x:v>24570</x:v>
      </x:c>
      <x:c r="J9" s="108" t="n">
        <x:f>I9/SUM($I$5:$I$14)</x:f>
        <x:v>0.0666529942575882</x:v>
      </x:c>
      <x:c r="K9" s="82" t="str">
        <x:v>https://www.similarweb.com/website/freelance-platform.example/</x:v>
      </x:c>
      <x:c r="L9" s="82" t="str">
        <x:v>2026-05-02</x:v>
      </x:c>
      <x:c r="M9" s="115" t="str">
        <x:v>Демонстрационные данные</x:v>
      </x:c>
    </x:row>
    <x:row r="10">
      <x:c r="A10" s="114" t="str"/>
      <x:c r="B10" s="82" t="str"/>
      <x:c r="C10" s="88" t="n">
        <x:v>0</x:v>
      </x:c>
      <x:c r="D10" s="86" t="n">
        <x:v>0</x:v>
      </x:c>
      <x:c r="E10" s="86" t="n">
        <x:v>0</x:v>
      </x:c>
      <x:c r="F10" s="86" t="n">
        <x:v>0</x:v>
      </x:c>
      <x:c r="G10" s="86" t="n">
        <x:v>0</x:v>
      </x:c>
      <x:c r="H10" s="104" t="n">
        <x:f>C10*D10*E10*F10*G10</x:f>
        <x:v>0</x:v>
      </x:c>
      <x:c r="I10" s="104" t="n">
        <x:f>H10*12</x:f>
        <x:v>0</x:v>
      </x:c>
      <x:c r="J10" s="108" t="n">
        <x:f>IFERROR(I10/SUM($I$5:$I$14),0)</x:f>
        <x:v>0</x:v>
      </x:c>
      <x:c r="K10" s="82" t="str"/>
      <x:c r="L10" s="82" t="str"/>
      <x:c r="M10" s="115" t="str"/>
    </x:row>
    <x:row r="11">
      <x:c r="A11" s="114" t="str"/>
      <x:c r="B11" s="82" t="str"/>
      <x:c r="C11" s="88" t="n">
        <x:v>0</x:v>
      </x:c>
      <x:c r="D11" s="86" t="n">
        <x:v>0</x:v>
      </x:c>
      <x:c r="E11" s="86" t="n">
        <x:v>0</x:v>
      </x:c>
      <x:c r="F11" s="86" t="n">
        <x:v>0</x:v>
      </x:c>
      <x:c r="G11" s="86" t="n">
        <x:v>0</x:v>
      </x:c>
      <x:c r="H11" s="104" t="n">
        <x:f>C11*D11*E11*F11*G11</x:f>
        <x:v>0</x:v>
      </x:c>
      <x:c r="I11" s="104" t="n">
        <x:f>H11*12</x:f>
        <x:v>0</x:v>
      </x:c>
      <x:c r="J11" s="108" t="n">
        <x:f>IFERROR(I11/SUM($I$5:$I$14),0)</x:f>
        <x:v>0</x:v>
      </x:c>
      <x:c r="K11" s="82" t="str"/>
      <x:c r="L11" s="82" t="str"/>
      <x:c r="M11" s="115" t="str"/>
    </x:row>
    <x:row r="12">
      <x:c r="A12" s="114" t="str"/>
      <x:c r="B12" s="82" t="str"/>
      <x:c r="C12" s="88" t="n">
        <x:v>0</x:v>
      </x:c>
      <x:c r="D12" s="86" t="n">
        <x:v>0</x:v>
      </x:c>
      <x:c r="E12" s="86" t="n">
        <x:v>0</x:v>
      </x:c>
      <x:c r="F12" s="86" t="n">
        <x:v>0</x:v>
      </x:c>
      <x:c r="G12" s="86" t="n">
        <x:v>0</x:v>
      </x:c>
      <x:c r="H12" s="104" t="n">
        <x:f>C12*D12*E12*F12*G12</x:f>
        <x:v>0</x:v>
      </x:c>
      <x:c r="I12" s="104" t="n">
        <x:f>H12*12</x:f>
        <x:v>0</x:v>
      </x:c>
      <x:c r="J12" s="108" t="n">
        <x:f>IFERROR(I12/SUM($I$5:$I$14),0)</x:f>
        <x:v>0</x:v>
      </x:c>
      <x:c r="K12" s="82" t="str"/>
      <x:c r="L12" s="82" t="str"/>
      <x:c r="M12" s="115" t="str"/>
    </x:row>
    <x:row r="13">
      <x:c r="A13" s="114" t="str"/>
      <x:c r="B13" s="82" t="str"/>
      <x:c r="C13" s="88" t="n">
        <x:v>0</x:v>
      </x:c>
      <x:c r="D13" s="86" t="n">
        <x:v>0</x:v>
      </x:c>
      <x:c r="E13" s="86" t="n">
        <x:v>0</x:v>
      </x:c>
      <x:c r="F13" s="86" t="n">
        <x:v>0</x:v>
      </x:c>
      <x:c r="G13" s="86" t="n">
        <x:v>0</x:v>
      </x:c>
      <x:c r="H13" s="104" t="n">
        <x:f>C13*D13*E13*F13*G13</x:f>
        <x:v>0</x:v>
      </x:c>
      <x:c r="I13" s="104" t="n">
        <x:f>H13*12</x:f>
        <x:v>0</x:v>
      </x:c>
      <x:c r="J13" s="108" t="n">
        <x:f>IFERROR(I13/SUM($I$5:$I$14),0)</x:f>
        <x:v>0</x:v>
      </x:c>
      <x:c r="K13" s="82" t="str"/>
      <x:c r="L13" s="82" t="str"/>
      <x:c r="M13" s="115" t="str"/>
    </x:row>
    <x:row r="14">
      <x:c r="A14" s="114" t="str"/>
      <x:c r="B14" s="82" t="str"/>
      <x:c r="C14" s="88" t="n">
        <x:v>0</x:v>
      </x:c>
      <x:c r="D14" s="86" t="n">
        <x:v>0</x:v>
      </x:c>
      <x:c r="E14" s="86" t="n">
        <x:v>0</x:v>
      </x:c>
      <x:c r="F14" s="86" t="n">
        <x:v>0</x:v>
      </x:c>
      <x:c r="G14" s="86" t="n">
        <x:v>0</x:v>
      </x:c>
      <x:c r="H14" s="104" t="n">
        <x:f>C14*D14*E14*F14*G14</x:f>
        <x:v>0</x:v>
      </x:c>
      <x:c r="I14" s="104" t="n">
        <x:f>H14*12</x:f>
        <x:v>0</x:v>
      </x:c>
      <x:c r="J14" s="108" t="n">
        <x:f>IFERROR(I14/SUM($I$5:$I$14),0)</x:f>
        <x:v>0</x:v>
      </x:c>
      <x:c r="K14" s="82" t="str"/>
      <x:c r="L14" s="82" t="str"/>
      <x:c r="M14" s="115" t="str"/>
    </x:row>
    <x:row r="15">
      <x:c r="A15" s="70" t="str">
        <x:v>ИТОГО</x:v>
      </x:c>
      <x:c r="B15" s="71" t="str"/>
      <x:c r="C15" s="112" t="n">
        <x:f>SUM(C5:C14)</x:f>
        <x:v>233000</x:v>
      </x:c>
      <x:c r="D15" s="71" t="str"/>
      <x:c r="E15" s="71" t="str"/>
      <x:c r="F15" s="71" t="str"/>
      <x:c r="G15" s="71" t="str"/>
      <x:c r="H15" s="105" t="n">
        <x:f>SUM(H5:H14)</x:f>
        <x:v>30718.8</x:v>
      </x:c>
      <x:c r="I15" s="105" t="n">
        <x:f>SUM(I5:I14)</x:f>
        <x:v>368625.6</x:v>
      </x:c>
      <x:c r="J15" s="109" t="n">
        <x:f>SUM(J5:J14)</x:f>
        <x:v>1</x:v>
      </x:c>
      <x:c r="K15" s="71" t="str"/>
      <x:c r="L15" s="71" t="str"/>
      <x:c r="M15" s="33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42" hidden="0" customWidth="1"/>
    <x:col min="7" max="7" width="40" hidden="0" customWidth="1"/>
  </x:cols>
  <x:sheetData>
    <x:row r="1" ht="28" customHeight="1">
      <x:c r="A1" s="6" t="str">
        <x:v>Цифровая воронка на основе Similarweb</x:v>
      </x:c>
    </x:row>
    <x:row r="2" ht="24" customHeight="1">
      <x:c r="A2" s="15" t="str">
        <x:v>Релевантный трафик конкурентов переводится в оценку заявок, продаж и объема рынка.</x:v>
      </x:c>
    </x:row>
    <x:row r="4" ht="26" customHeight="1">
      <x:c r="A4" s="50" t="str">
        <x:v>Показатель</x:v>
      </x:c>
      <x:c r="B4" s="51" t="str">
        <x:v>Осторожный</x:v>
      </x:c>
      <x:c r="C4" s="51" t="str">
        <x:v>Базовый</x:v>
      </x:c>
      <x:c r="D4" s="51" t="str">
        <x:v>Оптимистичный</x:v>
      </x:c>
      <x:c r="E4" s="51" t="str">
        <x:v>Единица</x:v>
      </x:c>
      <x:c r="F4" s="51" t="str">
        <x:v>Формула / источник</x:v>
      </x:c>
      <x:c r="G4" s="52" t="str">
        <x:v>Комментарий</x:v>
      </x:c>
    </x:row>
    <x:row r="5">
      <x:c r="A5" s="68" t="str">
        <x:v>Годовые релевантные визиты конкурентов</x:v>
      </x:c>
      <x:c r="B5" s="104" t="n">
        <x:f>'04_Similarweb'!I15*'01_Параметры'!B14</x:f>
        <x:v>221175.36</x:v>
      </x:c>
      <x:c r="C5" s="104" t="n">
        <x:f>'04_Similarweb'!I15*'01_Параметры'!B15</x:f>
        <x:v>368625.6</x:v>
      </x:c>
      <x:c r="D5" s="104" t="n">
        <x:f>'04_Similarweb'!I15*'01_Параметры'!B16</x:f>
        <x:v>516075.8399999999</x:v>
      </x:c>
      <x:c r="E5" s="69" t="str">
        <x:v>визиты/год</x:v>
      </x:c>
      <x:c r="F5" s="69" t="str">
        <x:v>Сумма Similarweb × сценарный коэффициент</x:v>
      </x:c>
      <x:c r="G5" s="31" t="str">
        <x:v>Цифровой объем внимания</x:v>
      </x:c>
    </x:row>
    <x:row r="6">
      <x:c r="A6" s="68" t="str">
        <x:v>Корректировка на неполную выборку</x:v>
      </x:c>
      <x:c r="B6" s="104" t="n">
        <x:f>'01_Параметры'!B13</x:f>
        <x:v>1.15</x:v>
      </x:c>
      <x:c r="C6" s="104" t="n">
        <x:f>'01_Параметры'!B13</x:f>
        <x:v>1.15</x:v>
      </x:c>
      <x:c r="D6" s="104" t="n">
        <x:f>'01_Параметры'!B13</x:f>
        <x:v>1.15</x:v>
      </x:c>
      <x:c r="E6" s="69" t="str">
        <x:v>коэф.</x:v>
      </x:c>
      <x:c r="F6" s="69" t="str">
        <x:v>Параметры</x:v>
      </x:c>
      <x:c r="G6" s="31" t="str">
        <x:v>Если внесены не все конкуренты</x:v>
      </x:c>
    </x:row>
    <x:row r="7">
      <x:c r="A7" s="68" t="str">
        <x:v>Скорректированные релевантные визиты</x:v>
      </x:c>
      <x:c r="B7" s="104" t="n">
        <x:f>B5*B6</x:f>
        <x:v>254351.66399999996</x:v>
      </x:c>
      <x:c r="C7" s="104" t="n">
        <x:f>C5*C6</x:f>
        <x:v>423919.43999999994</x:v>
      </x:c>
      <x:c r="D7" s="104" t="n">
        <x:f>D5*D6</x:f>
        <x:v>593487.2159999999</x:v>
      </x:c>
      <x:c r="E7" s="69" t="str">
        <x:v>визиты/год</x:v>
      </x:c>
      <x:c r="F7" s="69" t="str">
        <x:v>Визиты × корректировка</x:v>
      </x:c>
      <x:c r="G7" s="31" t="str">
        <x:v>Оценочный цифровой спрос</x:v>
      </x:c>
    </x:row>
    <x:row r="8">
      <x:c r="A8" s="68" t="str">
        <x:v>Конверсия визита в заявку</x:v>
      </x:c>
      <x:c r="B8" s="108" t="n">
        <x:f>'01_Параметры'!B10*0.7</x:f>
        <x:v>0.017499999999999998</x:v>
      </x:c>
      <x:c r="C8" s="108" t="n">
        <x:f>'01_Параметры'!B10</x:f>
        <x:v>0.025</x:v>
      </x:c>
      <x:c r="D8" s="108" t="n">
        <x:f>'01_Параметры'!B10*1.3</x:f>
        <x:v>0.0325</x:v>
      </x:c>
      <x:c r="E8" s="69" t="str">
        <x:v>доля</x:v>
      </x:c>
      <x:c r="F8" s="69" t="str">
        <x:v>Параметры и сценарий</x:v>
      </x:c>
      <x:c r="G8" s="31" t="str">
        <x:v>Заменить реальными данными</x:v>
      </x:c>
    </x:row>
    <x:row r="9">
      <x:c r="A9" s="68" t="str">
        <x:v>Оценочное число заявок</x:v>
      </x:c>
      <x:c r="B9" s="104" t="n">
        <x:f>B7*B8</x:f>
        <x:v>4451.154119999999</x:v>
      </x:c>
      <x:c r="C9" s="104" t="n">
        <x:f>C7*C8</x:f>
        <x:v>10597.985999999999</x:v>
      </x:c>
      <x:c r="D9" s="104" t="n">
        <x:f>D7*D8</x:f>
        <x:v>19288.334519999997</x:v>
      </x:c>
      <x:c r="E9" s="69" t="str">
        <x:v>заявки/год</x:v>
      </x:c>
      <x:c r="F9" s="69" t="str">
        <x:v>Визиты × конверсия в заявку</x:v>
      </x:c>
      <x:c r="G9" s="31" t="str"/>
    </x:row>
    <x:row r="10">
      <x:c r="A10" s="68" t="str">
        <x:v>Конверсия заявки в продажу</x:v>
      </x:c>
      <x:c r="B10" s="104" t="n">
        <x:f>'01_Параметры'!B11*0.8</x:f>
        <x:v>0.2</x:v>
      </x:c>
      <x:c r="C10" s="104" t="n">
        <x:f>'01_Параметры'!B11</x:f>
        <x:v>0.25</x:v>
      </x:c>
      <x:c r="D10" s="104" t="n">
        <x:f>'01_Параметры'!B11*1.2</x:f>
        <x:v>0.3</x:v>
      </x:c>
      <x:c r="E10" s="69" t="str">
        <x:v>доля</x:v>
      </x:c>
      <x:c r="F10" s="69" t="str">
        <x:v>Параметры и сценарий</x:v>
      </x:c>
      <x:c r="G10" s="31" t="str"/>
    </x:row>
    <x:row r="11">
      <x:c r="A11" s="68" t="str">
        <x:v>Оценочное число продаж</x:v>
      </x:c>
      <x:c r="B11" s="104" t="n">
        <x:f>B9*B10</x:f>
        <x:v>890.2308239999999</x:v>
      </x:c>
      <x:c r="C11" s="104" t="n">
        <x:f>C9*C10</x:f>
        <x:v>2649.4964999999997</x:v>
      </x:c>
      <x:c r="D11" s="104" t="n">
        <x:f>D9*D10</x:f>
        <x:v>5786.500355999999</x:v>
      </x:c>
      <x:c r="E11" s="69" t="str">
        <x:v>продажи/год</x:v>
      </x:c>
      <x:c r="F11" s="69" t="str">
        <x:v>Заявки × конверсия в продажу</x:v>
      </x:c>
      <x:c r="G11" s="31" t="str"/>
    </x:row>
    <x:row r="12">
      <x:c r="A12" s="68" t="str">
        <x:v>Средний годовой чек</x:v>
      </x:c>
      <x:c r="B12" s="104" t="n">
        <x:f>'01_Параметры'!B8*0.8</x:f>
        <x:v>2880</x:v>
      </x:c>
      <x:c r="C12" s="104" t="n">
        <x:f>'01_Параметры'!B8</x:f>
        <x:v>3600</x:v>
      </x:c>
      <x:c r="D12" s="104" t="n">
        <x:f>'01_Параметры'!B8*1.2</x:f>
        <x:v>4320</x:v>
      </x:c>
      <x:c r="E12" s="69" t="str">
        <x:v>BYN</x:v>
      </x:c>
      <x:c r="F12" s="69" t="str">
        <x:v>Параметры и сценарий</x:v>
      </x:c>
      <x:c r="G12" s="31" t="str"/>
    </x:row>
    <x:row r="13">
      <x:c r="A13" s="68" t="str">
        <x:v>Коэффициент повторных продаж</x:v>
      </x:c>
      <x:c r="B13" s="104" t="n">
        <x:f>'01_Параметры'!B12*0.9</x:f>
        <x:v>1.08</x:v>
      </x:c>
      <x:c r="C13" s="104" t="n">
        <x:f>'01_Параметры'!B12</x:f>
        <x:v>1.2</x:v>
      </x:c>
      <x:c r="D13" s="104" t="n">
        <x:f>'01_Параметры'!B12*1.1</x:f>
        <x:v>1.32</x:v>
      </x:c>
      <x:c r="E13" s="69" t="str">
        <x:v>коэф.</x:v>
      </x:c>
      <x:c r="F13" s="69" t="str">
        <x:v>Параметры</x:v>
      </x:c>
      <x:c r="G13" s="31" t="str"/>
    </x:row>
    <x:row r="14">
      <x:c r="A14" s="70" t="str">
        <x:v>Оценка годового объема рынка по Similarweb</x:v>
      </x:c>
      <x:c r="B14" s="105" t="n">
        <x:f>B11*B12*B13</x:f>
        <x:v>2768973.9549696</x:v>
      </x:c>
      <x:c r="C14" s="105" t="n">
        <x:f>C11*C12*C13</x:f>
        <x:v>11445824.879999997</x:v>
      </x:c>
      <x:c r="D14" s="105" t="n">
        <x:f>D11*D12*D13</x:f>
        <x:v>32996939.630054396</x:v>
      </x:c>
      <x:c r="E14" s="71" t="str">
        <x:v>BYN/год</x:v>
      </x:c>
      <x:c r="F14" s="71" t="str">
        <x:v>Продажи × чек × повторность</x:v>
      </x:c>
      <x:c r="G14" s="33" t="str">
        <x:v>Оценочный диапазон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24" hidden="0" customWidth="1"/>
    <x:col min="7" max="7" width="30" hidden="0" customWidth="1"/>
    <x:col min="8" max="8" width="32" hidden="0" customWidth="1"/>
  </x:cols>
  <x:sheetData>
    <x:row r="1" ht="28" customHeight="1">
      <x:c r="A1" s="6" t="str">
        <x:v>Сверка расчетных подходов</x:v>
      </x:c>
    </x:row>
    <x:row r="2" ht="24" customHeight="1">
      <x:c r="A2" s="15" t="str">
        <x:v>Итоговый диапазон оценки объема рынка на основе трех подходов.</x:v>
      </x:c>
    </x:row>
    <x:row r="4" ht="26" customHeight="1">
      <x:c r="A4" s="50" t="str">
        <x:v>Метод оценки</x:v>
      </x:c>
      <x:c r="B4" s="51" t="str">
        <x:v>Осторожный</x:v>
      </x:c>
      <x:c r="C4" s="51" t="str">
        <x:v>Базовый</x:v>
      </x:c>
      <x:c r="D4" s="51" t="str">
        <x:v>Оптимистичный</x:v>
      </x:c>
      <x:c r="E4" s="51" t="str">
        <x:v>Комментарий</x:v>
      </x:c>
      <x:c r="F4" s="51" t="str">
        <x:v>Надежность</x:v>
      </x:c>
      <x:c r="G4" s="51" t="str">
        <x:v>Что проверяет</x:v>
      </x:c>
      <x:c r="H4" s="52" t="str">
        <x:v>Ограничение</x:v>
      </x:c>
    </x:row>
    <x:row r="5">
      <x:c r="A5" s="68" t="str">
        <x:v>Сверху вниз</x:v>
      </x:c>
      <x:c r="B5" s="104" t="n">
        <x:f>'02_Сверху_вниз'!B12</x:f>
        <x:v>1512000</x:v>
      </x:c>
      <x:c r="C5" s="104" t="n">
        <x:f>'02_Сверху_вниз'!C12</x:f>
        <x:v>8505000</x:v>
      </x:c>
      <x:c r="D5" s="104" t="n">
        <x:f>'02_Сверху_вниз'!D12</x:f>
        <x:v>29483999.999999996</x:v>
      </x:c>
      <x:c r="E5" s="69" t="str">
        <x:v>Макро-ориентир через общий рынок и коэффициенты сужения</x:v>
      </x:c>
      <x:c r="F5" s="69" t="str">
        <x:v>Средняя</x:v>
      </x:c>
      <x:c r="G5" s="69" t="str">
        <x:v>Масштаб рынка</x:v>
      </x:c>
      <x:c r="H5" s="31" t="str">
        <x:v>Риск завышения</x:v>
      </x:c>
    </x:row>
    <x:row r="6">
      <x:c r="A6" s="68" t="str">
        <x:v>Снизу вверх</x:v>
      </x:c>
      <x:c r="B6" s="104" t="n">
        <x:f>'03_Снизу_вверх'!G11*'01_Параметры'!B14</x:f>
        <x:v>8343360</x:v>
      </x:c>
      <x:c r="C6" s="104" t="n">
        <x:f>'03_Снизу_вверх'!G11*'01_Параметры'!B15</x:f>
        <x:v>13905600</x:v>
      </x:c>
      <x:c r="D6" s="104" t="n">
        <x:f>'03_Снизу_вверх'!G11*'01_Параметры'!B16</x:f>
        <x:v>19467840</x:v>
      </x:c>
      <x:c r="E6" s="69" t="str">
        <x:v>Расчет через клиентские сегменты</x:v>
      </x:c>
      <x:c r="F6" s="69" t="str">
        <x:v>Высокая при хороших данных</x:v>
      </x:c>
      <x:c r="G6" s="69" t="str">
        <x:v>Реалистичность сегментов</x:v>
      </x:c>
      <x:c r="H6" s="31" t="str">
        <x:v>Зависит от качества допущений</x:v>
      </x:c>
    </x:row>
    <x:row r="7">
      <x:c r="A7" s="68" t="str">
        <x:v>Similarweb + воронка</x:v>
      </x:c>
      <x:c r="B7" s="104" t="n">
        <x:f>'05_Воронка_SW'!B14</x:f>
        <x:v>2768973.9549696</x:v>
      </x:c>
      <x:c r="C7" s="104" t="n">
        <x:f>'05_Воронка_SW'!C14</x:f>
        <x:v>11445824.879999997</x:v>
      </x:c>
      <x:c r="D7" s="104" t="n">
        <x:f>'05_Воронка_SW'!D14</x:f>
        <x:v>32996939.630054396</x:v>
      </x:c>
      <x:c r="E7" s="69" t="str">
        <x:v>Проверка через цифровой трафик конкурентов</x:v>
      </x:c>
      <x:c r="F7" s="69" t="str">
        <x:v>Средняя</x:v>
      </x:c>
      <x:c r="G7" s="69" t="str">
        <x:v>Цифровой спрос</x:v>
      </x:c>
      <x:c r="H7" s="31" t="str">
        <x:v>Трафик не равен выручке</x:v>
      </x:c>
    </x:row>
    <x:row r="8">
      <x:c r="A8" s="68" t="str">
        <x:v>Минимум по методам</x:v>
      </x:c>
      <x:c r="B8" s="104" t="n">
        <x:f>MIN(B5:B7)</x:f>
        <x:v>1512000</x:v>
      </x:c>
      <x:c r="C8" s="104" t="n">
        <x:f>MIN(C5:C7)</x:f>
        <x:v>8505000</x:v>
      </x:c>
      <x:c r="D8" s="104" t="n">
        <x:f>MIN(D5:D7)</x:f>
        <x:v>19467840</x:v>
      </x:c>
      <x:c r="E8" s="69" t="str">
        <x:v>Нижняя граница оценки</x:v>
      </x:c>
      <x:c r="F8" s="69" t="str"/>
      <x:c r="G8" s="69" t="str"/>
      <x:c r="H8" s="31" t="str"/>
    </x:row>
    <x:row r="9">
      <x:c r="A9" s="68" t="str">
        <x:v>Среднее по методам</x:v>
      </x:c>
      <x:c r="B9" s="104" t="n">
        <x:f>AVERAGE(B5:B7)</x:f>
        <x:v>4208111.3183232</x:v>
      </x:c>
      <x:c r="C9" s="104" t="n">
        <x:f>AVERAGE(C5:C7)</x:f>
        <x:v>11285474.959999999</x:v>
      </x:c>
      <x:c r="D9" s="104" t="n">
        <x:f>AVERAGE(D5:D7)</x:f>
        <x:v>27316259.8766848</x:v>
      </x:c>
      <x:c r="E9" s="69" t="str">
        <x:v>Центральный ориентир</x:v>
      </x:c>
      <x:c r="F9" s="69" t="str"/>
      <x:c r="G9" s="69" t="str"/>
      <x:c r="H9" s="31" t="str"/>
    </x:row>
    <x:row r="10">
      <x:c r="A10" s="70" t="str">
        <x:v>Максимум по методам</x:v>
      </x:c>
      <x:c r="B10" s="105" t="n">
        <x:f>MAX(B5:B7)</x:f>
        <x:v>8343360</x:v>
      </x:c>
      <x:c r="C10" s="105" t="n">
        <x:f>MAX(C5:C7)</x:f>
        <x:v>13905600</x:v>
      </x:c>
      <x:c r="D10" s="105" t="n">
        <x:f>MAX(D5:D7)</x:f>
        <x:v>32996939.630054396</x:v>
      </x:c>
      <x:c r="E10" s="71" t="str">
        <x:v>Верхняя граница оценки</x:v>
      </x:c>
      <x:c r="F10" s="71" t="str"/>
      <x:c r="G10" s="71" t="str"/>
      <x:c r="H10" s="33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52" hidden="0" customWidth="1"/>
    <x:col min="4" max="4" width="4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Панель итоговой оценки</x:v>
      </x:c>
    </x:row>
    <x:row r="2" ht="24" customHeight="1">
      <x:c r="A2" s="15" t="str">
        <x:v>Ключевые показатели после заполнения шаблона.</x:v>
      </x:c>
    </x:row>
    <x:row r="4" ht="26" customHeight="1">
      <x:c r="A4" s="50" t="str">
        <x:v>Показатель</x:v>
      </x:c>
      <x:c r="B4" s="51" t="str">
        <x:v>Значение</x:v>
      </x:c>
      <x:c r="C4" s="52" t="str">
        <x:v>Комментарий</x:v>
      </x:c>
      <x:c r="E4" s="50" t="str">
        <x:v>Метод</x:v>
      </x:c>
      <x:c r="F4" s="51" t="str">
        <x:v>Осторожный</x:v>
      </x:c>
      <x:c r="G4" s="51" t="str">
        <x:v>Базовый</x:v>
      </x:c>
      <x:c r="H4" s="52" t="str">
        <x:v>Оптимистичный</x:v>
      </x:c>
    </x:row>
    <x:row r="5">
      <x:c r="A5" s="68" t="str">
        <x:v>Итоговая нижняя оценка рынка</x:v>
      </x:c>
      <x:c r="B5" s="104" t="n">
        <x:f>'06_Сверка'!B8</x:f>
        <x:v>1512000</x:v>
      </x:c>
      <x:c r="C5" s="31" t="str">
        <x:v>Минимум по трем подходам, осторожный сценарий</x:v>
      </x:c>
      <x:c r="E5" s="53" t="str">
        <x:v>Сверху вниз</x:v>
      </x:c>
      <x:c r="F5" s="104" t="n">
        <x:f>'06_Сверка'!B5</x:f>
        <x:v>1512000</x:v>
      </x:c>
      <x:c r="G5" s="104" t="n">
        <x:f>'06_Сверка'!C5</x:f>
        <x:v>8505000</x:v>
      </x:c>
      <x:c r="H5" s="122" t="n">
        <x:f>'06_Сверка'!D5</x:f>
        <x:v>29483999.999999996</x:v>
      </x:c>
    </x:row>
    <x:row r="6">
      <x:c r="A6" s="68" t="str">
        <x:v>Итоговая базовая оценка рынка</x:v>
      </x:c>
      <x:c r="B6" s="104" t="n">
        <x:f>'06_Сверка'!C9</x:f>
        <x:v>11285474.959999999</x:v>
      </x:c>
      <x:c r="C6" s="31" t="str">
        <x:v>Среднее по трем подходам, базовый сценарий</x:v>
      </x:c>
      <x:c r="E6" s="53" t="str">
        <x:v>Снизу вверх</x:v>
      </x:c>
      <x:c r="F6" s="104" t="n">
        <x:f>'06_Сверка'!B6</x:f>
        <x:v>8343360</x:v>
      </x:c>
      <x:c r="G6" s="104" t="n">
        <x:f>'06_Сверка'!C6</x:f>
        <x:v>13905600</x:v>
      </x:c>
      <x:c r="H6" s="122" t="n">
        <x:f>'06_Сверка'!D6</x:f>
        <x:v>19467840</x:v>
      </x:c>
    </x:row>
    <x:row r="7">
      <x:c r="A7" s="68" t="str">
        <x:v>Итоговая верхняя оценка рынка</x:v>
      </x:c>
      <x:c r="B7" s="104" t="n">
        <x:f>'06_Сверка'!D10</x:f>
        <x:v>32996939.630054396</x:v>
      </x:c>
      <x:c r="C7" s="31" t="str">
        <x:v>Максимум по трем подходам, оптимистичный сценарий</x:v>
      </x:c>
      <x:c r="E7" s="56" t="str">
        <x:v>Similarweb</x:v>
      </x:c>
      <x:c r="F7" s="105" t="n">
        <x:f>'06_Сверка'!B7</x:f>
        <x:v>2768973.9549696</x:v>
      </x:c>
      <x:c r="G7" s="105" t="n">
        <x:f>'06_Сверка'!C7</x:f>
        <x:v>11445824.879999997</x:v>
      </x:c>
      <x:c r="H7" s="123" t="n">
        <x:f>'06_Сверка'!D7</x:f>
        <x:v>32996939.630054396</x:v>
      </x:c>
    </x:row>
    <x:row r="8">
      <x:c r="A8" s="68" t="str">
        <x:v>Годовой релевантный трафик конкурентов</x:v>
      </x:c>
      <x:c r="B8" s="104" t="n">
        <x:f>'04_Similarweb'!I15</x:f>
        <x:v>368625.6</x:v>
      </x:c>
      <x:c r="C8" s="31" t="str">
        <x:v>Сумма релевантных визитов в год</x:v>
      </x:c>
    </x:row>
    <x:row r="9">
      <x:c r="A9" s="68" t="str">
        <x:v>Суммарный объем по методу снизу вверх</x:v>
      </x:c>
      <x:c r="B9" s="104" t="n">
        <x:f>'03_Снизу_вверх'!G11</x:f>
        <x:v>13905600</x:v>
      </x:c>
      <x:c r="C9" s="31" t="str">
        <x:v>Расчет по клиентским сегментам</x:v>
      </x:c>
    </x:row>
    <x:row r="10" ht="26" customHeight="1">
      <x:c r="A10" s="70" t="str">
        <x:v>Объем по Similarweb-воронке, базовый</x:v>
      </x:c>
      <x:c r="B10" s="105" t="n">
        <x:f>'05_Воронка_SW'!C14</x:f>
        <x:v>11445824.879999997</x:v>
      </x:c>
      <x:c r="C10" s="33" t="str">
        <x:v>Цифровая проверка через трафик и конверсии</x:v>
      </x:c>
      <x:c r="E10" s="50" t="str">
        <x:v>Конкурент</x:v>
      </x:c>
      <x:c r="F10" s="52" t="str">
        <x:v>Доля релевантного трафика</x:v>
      </x:c>
    </x:row>
    <x:row r="11">
      <x:c r="E11" s="126" t="str">
        <x:f>'04_Similarweb'!A5</x:f>
        <x:v>competitor-1.by</x:v>
      </x:c>
      <x:c r="F11" s="130" t="n">
        <x:f>'04_Similarweb'!J5</x:f>
        <x:v>0.410904722840736</x:v>
      </x:c>
    </x:row>
    <x:row r="12">
      <x:c r="E12" s="126" t="str">
        <x:f>'04_Similarweb'!A6</x:f>
        <x:v>competitor-2.by</x:v>
      </x:c>
      <x:c r="F12" s="130" t="n">
        <x:f>'04_Similarweb'!J6</x:f>
        <x:v>0.2461033634126333</x:v>
      </x:c>
    </x:row>
    <x:row r="13">
      <x:c r="E13" s="126" t="str">
        <x:f>'04_Similarweb'!A7</x:f>
        <x:v>competitor-3.com</x:v>
      </x:c>
      <x:c r="F13" s="130" t="n">
        <x:f>'04_Similarweb'!J7</x:f>
        <x:v>0.10151763740771125</x:v>
      </x:c>
    </x:row>
    <x:row r="14">
      <x:c r="E14" s="126" t="str">
        <x:f>'04_Similarweb'!A8</x:f>
        <x:v>agency-example.by</x:v>
      </x:c>
      <x:c r="F14" s="130" t="n">
        <x:f>'04_Similarweb'!J8</x:f>
        <x:v>0.17482128208133133</x:v>
      </x:c>
    </x:row>
    <x:row r="15">
      <x:c r="E15" s="127" t="str">
        <x:f>'04_Similarweb'!A9</x:f>
        <x:v>freelance-platform.example</x:v>
      </x:c>
      <x:c r="F15" s="131" t="n">
        <x:f>'04_Similarweb'!J9</x:f>
        <x:v>0.0666529942575882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4" hidden="0" customWidth="1"/>
    <x:col min="4" max="4" width="62" hidden="0" customWidth="1"/>
    <x:col min="5" max="5" width="18" hidden="0" customWidth="1"/>
    <x:col min="6" max="6" width="38" hidden="0" customWidth="1"/>
    <x:col min="7" max="7" width="40" hidden="0" customWidth="1"/>
    <x:col min="8" max="8" width="22" hidden="0" customWidth="1"/>
  </x:cols>
  <x:sheetData>
    <x:row r="1" ht="28" customHeight="1">
      <x:c r="A1" s="6" t="str">
        <x:v>Источники данных и журнал фиксации</x:v>
      </x:c>
    </x:row>
    <x:row r="2" ht="24" customHeight="1">
      <x:c r="A2" s="15" t="str">
        <x:v>Заполняется для воспроизводимости расчета.</x:v>
      </x:c>
    </x:row>
    <x:row r="4" ht="26" customHeight="1">
      <x:c r="A4" s="50" t="str">
        <x:v>Группа данных</x:v>
      </x:c>
      <x:c r="B4" s="51" t="str">
        <x:v>Показатель</x:v>
      </x:c>
      <x:c r="C4" s="51" t="str">
        <x:v>Источник</x:v>
      </x:c>
      <x:c r="D4" s="51" t="str">
        <x:v>URL</x:v>
      </x:c>
      <x:c r="E4" s="51" t="str">
        <x:v>Дата обращения</x:v>
      </x:c>
      <x:c r="F4" s="51" t="str">
        <x:v>Что переносится в Excel</x:v>
      </x:c>
      <x:c r="G4" s="51" t="str">
        <x:v>Ограничение</x:v>
      </x:c>
      <x:c r="H4" s="52" t="str">
        <x:v>Статус</x:v>
      </x:c>
    </x:row>
    <x:row r="5">
      <x:c r="A5" s="68" t="str">
        <x:v>Similarweb</x:v>
      </x:c>
      <x:c r="B5" s="69" t="str">
        <x:v>Посещаемость и вовлеченность сайта</x:v>
      </x:c>
      <x:c r="C5" s="69" t="str">
        <x:v>Similarweb Website Analysis</x:v>
      </x:c>
      <x:c r="D5" s="82" t="str">
        <x:v>https://www.similarweb.com/website/</x:v>
      </x:c>
      <x:c r="E5" s="69" t="str">
        <x:v>2026-05-02</x:v>
      </x:c>
      <x:c r="F5" s="69" t="str">
        <x:v>Месячные визиты, каналы, география, похожие сайты</x:v>
      </x:c>
      <x:c r="G5" s="69" t="str">
        <x:v>Оценочные данные; для малых сайтов надежность ниже</x:v>
      </x:c>
      <x:c r="H5" s="115" t="str">
        <x:v>Заменить URL конкурентов</x:v>
      </x:c>
    </x:row>
    <x:row r="6">
      <x:c r="A6" s="68" t="str">
        <x:v>Similarweb</x:v>
      </x:c>
      <x:c r="B6" s="69" t="str">
        <x:v>Методология данных</x:v>
      </x:c>
      <x:c r="C6" s="69" t="str">
        <x:v>Similarweb Data Methodology</x:v>
      </x:c>
      <x:c r="D6" s="82" t="str">
        <x:v>https://support.similarweb.com/hc/en-us/articles/360001631538-Similarweb-Data-Methodology</x:v>
      </x:c>
      <x:c r="E6" s="69" t="str">
        <x:v>2026-05-02</x:v>
      </x:c>
      <x:c r="F6" s="69" t="str">
        <x:v>Обоснование природы оценочных данных</x:v>
      </x:c>
      <x:c r="G6" s="69" t="str">
        <x:v>Не является прямым измерением выручки</x:v>
      </x:c>
      <x:c r="H6" s="115" t="str">
        <x:v>Справочно</x:v>
      </x:c>
    </x:row>
    <x:row r="7">
      <x:c r="A7" s="68" t="str">
        <x:v>Similarweb</x:v>
      </x:c>
      <x:c r="B7" s="69" t="str">
        <x:v>Data Exporter</x:v>
      </x:c>
      <x:c r="C7" s="69" t="str">
        <x:v>Similarweb Help Center</x:v>
      </x:c>
      <x:c r="D7" s="82" t="str">
        <x:v>https://support.similarweb.com/hc/en-us/articles/13252032019101-Data-Exporter</x:v>
      </x:c>
      <x:c r="E7" s="69" t="str">
        <x:v>2026-05-02</x:v>
      </x:c>
      <x:c r="F7" s="69" t="str">
        <x:v>Возможности экспорта при соответствующем доступе</x:v>
      </x:c>
      <x:c r="G7" s="69" t="str">
        <x:v>Зависит от подписки и единиц извлечения данных</x:v>
      </x:c>
      <x:c r="H7" s="115" t="str">
        <x:v>Справочно</x:v>
      </x:c>
    </x:row>
    <x:row r="8">
      <x:c r="A8" s="68" t="str">
        <x:v>Официальная статистика</x:v>
      </x:c>
      <x:c r="B8" s="69" t="str">
        <x:v>Количество организаций/клиентов</x:v>
      </x:c>
      <x:c r="C8" s="69" t="str">
        <x:v>Национальная статистика / реестры / отраслевые отчеты</x:v>
      </x:c>
      <x:c r="D8" s="82" t="str"/>
      <x:c r="E8" s="69" t="str"/>
      <x:c r="F8" s="69" t="str">
        <x:v>Общий ориентир для расчета сверху вниз</x:v>
      </x:c>
      <x:c r="G8" s="69" t="str">
        <x:v>Нужно подбирать под страну и отрасль</x:v>
      </x:c>
      <x:c r="H8" s="115" t="str">
        <x:v>Заполнить</x:v>
      </x:c>
    </x:row>
    <x:row r="9">
      <x:c r="A9" s="68" t="str">
        <x:v>Конкуренты</x:v>
      </x:c>
      <x:c r="B9" s="69" t="str">
        <x:v>Средний чек, тарифы, предложения</x:v>
      </x:c>
      <x:c r="C9" s="69" t="str">
        <x:v>Сайты конкурентов</x:v>
      </x:c>
      <x:c r="D9" s="82" t="str"/>
      <x:c r="E9" s="69" t="str"/>
      <x:c r="F9" s="69" t="str">
        <x:v>Средний чек и сегменты</x:v>
      </x:c>
      <x:c r="G9" s="69" t="str">
        <x:v>Цены могут быть скрыты или неполны</x:v>
      </x:c>
      <x:c r="H9" s="115" t="str">
        <x:v>Заполнить</x:v>
      </x:c>
    </x:row>
    <x:row r="10">
      <x:c r="A10" s="70" t="str">
        <x:v>Реклама</x:v>
      </x:c>
      <x:c r="B10" s="71" t="str">
        <x:v>Охват и стоимость привлечения</x:v>
      </x:c>
      <x:c r="C10" s="71" t="str">
        <x:v>Рекламные кабинеты</x:v>
      </x:c>
      <x:c r="D10" s="83" t="str"/>
      <x:c r="E10" s="71" t="str"/>
      <x:c r="F10" s="71" t="str">
        <x:v>Допущения по цифровой воронке</x:v>
      </x:c>
      <x:c r="G10" s="71" t="str">
        <x:v>Требует тестовых кампаний</x:v>
      </x:c>
      <x:c r="H10" s="134" t="str">
        <x:v>Опционально</x:v>
      </x:c>
    </x:row>
  </x:sheetData>
  <x:mergeCells>
    <x:mergeCell ref="A1:H1"/>
    <x:mergeCell ref="A2:H2"/>
  </x:mergeCells>
  <x:pageMargins left="0.7" right="0.7" top="0.75" bottom="0.75" header="0.3" footer="0.3"/>
</x:worksheet>
</file>