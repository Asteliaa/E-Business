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a87de3669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34646fe9e86f4472"/>
    <x:sheet xmlns:r="http://schemas.openxmlformats.org/officeDocument/2006/relationships" name="01_Параметры" sheetId="2" r:id="R808104114e914f53"/>
    <x:sheet xmlns:r="http://schemas.openxmlformats.org/officeDocument/2006/relationships" name="02_Similarweb" sheetId="3" r:id="R828acea848384fca"/>
    <x:sheet xmlns:r="http://schemas.openxmlformats.org/officeDocument/2006/relationships" name="03_Сценарии" sheetId="4" r:id="Re51619446ac2452a"/>
    <x:sheet xmlns:r="http://schemas.openxmlformats.org/officeDocument/2006/relationships" name="04_Воронка" sheetId="5" r:id="R253bb0417d694407"/>
    <x:sheet xmlns:r="http://schemas.openxmlformats.org/officeDocument/2006/relationships" name="05_Платформа" sheetId="6" r:id="R05090aee03214c76"/>
    <x:sheet xmlns:r="http://schemas.openxmlformats.org/officeDocument/2006/relationships" name="06_Сверка" sheetId="7" r:id="Rb579f514f8d64e23"/>
    <x:sheet xmlns:r="http://schemas.openxmlformats.org/officeDocument/2006/relationships" name="07_Дашборд" sheetId="8" r:id="Rc3d6e037dfa348ca"/>
    <x:sheet xmlns:r="http://schemas.openxmlformats.org/officeDocument/2006/relationships" name="08_Источники" sheetId="9" r:id="R9dfc31c7418d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%"/>
    <x:numFmt numFmtId="201" formatCode="0.00"/>
    <x:numFmt numFmtId="202" formatCode="yyyy-mm-dd"/>
    <x:numFmt numFmtId="203" formatCode="0.00%"/>
    <x:numFmt numFmtId="204" formatCode="#,##0"/>
    <x:numFmt numFmtId="205" formatCode="#,##0.00"/>
    <x:numFmt numFmtId="206" formatCode="#,##0 &quot;BYN&quot;"/>
  </x:numFmts>
  <x:fonts count="13">
    <x:font>
      <x:sz val="11"/>
      <x:name val="Carlito"/>
    </x:font>
    <x:font>
      <x:b/>
      <x:sz val="14"/>
      <x:color rgb="FFFFFF"/>
      <x:name val="Carlito"/>
    </x:font>
    <x:font>
      <x:b/>
      <x:sz val="10"/>
      <x:color rgb="FFFFFF"/>
      <x:name val="Carlito"/>
    </x:font>
    <x:font>
      <x:sz val="9"/>
      <x:color rgb="333333"/>
      <x:name val="Carlito"/>
    </x:font>
    <x:font>
      <x:sz val="10"/>
      <x:color rgb="000000"/>
      <x:name val="Carlito"/>
    </x:font>
    <x:font>
      <x:b/>
      <x:sz val="11"/>
      <x:color rgb="17365D"/>
      <x:name val="Carlito"/>
    </x:font>
    <x:font>
      <x:b/>
      <x:sz val="9"/>
      <x:color rgb="333333"/>
      <x:name val="Carlito"/>
    </x:font>
    <x:font>
      <x:b/>
      <x:sz val="10"/>
      <x:color rgb="FFFFFF"/>
      <x:name val="Arial"/>
    </x:font>
    <x:font>
      <x:sz val="10"/>
      <x:name val="Arial"/>
    </x:font>
    <x:font>
      <x:sz val="10"/>
      <x:color rgb="333333"/>
      <x:name val="Arial"/>
    </x:font>
    <x:font>
      <x:sz val="10"/>
      <x:color rgb="000000"/>
      <x:name val="Arial"/>
    </x:font>
    <x:font>
      <x:b/>
      <x:sz val="10"/>
      <x:color rgb="17365D"/>
      <x:name val="Arial"/>
    </x:font>
    <x:font>
      <x:b/>
      <x:sz val="10"/>
      <x:color rgb="33333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F3F4F6"/>
      </x:patternFill>
    </x:fill>
    <x:fill>
      <x:patternFill patternType="solid">
        <x:fgColor rgb="DDEFEA"/>
      </x:patternFill>
    </x:fill>
    <x:fill>
      <x:patternFill patternType="solid">
        <x:fgColor rgb="FFF2CC"/>
      </x:patternFill>
    </x:fill>
    <x:fill>
      <x:patternFill patternType="solid">
        <x:fgColor rgb="FFFDF2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left" vertical="center" wrapText="1"/>
    </x:xf>
    <x:xf numFmtId="200" fontId="4" fillId="6" borderId="1" xfId="0" applyNumberFormat="1" applyFont="1" applyFill="1" applyBorder="1" applyAlignment="1">
      <x:alignment horizontal="left" vertical="center" wrapText="1"/>
    </x:xf>
    <x:xf numFmtId="201" fontId="4" fillId="6" borderId="0" xfId="0" applyNumberFormat="1" applyFont="1" applyFill="1" applyBorder="1" applyAlignment="1">
      <x:alignment horizontal="left" vertical="center" wrapText="1"/>
    </x:xf>
    <x:xf numFmtId="201" fontId="4" fillId="6" borderId="1" xfId="0" applyNumberFormat="1" applyFont="1" applyFill="1" applyBorder="1" applyAlignment="1">
      <x:alignment horizontal="left" vertical="center" wrapText="1"/>
    </x:xf>
    <x:xf numFmtId="202" fontId="4" fillId="6" borderId="0" xfId="0" applyNumberFormat="1" applyFont="1" applyFill="1" applyBorder="1" applyAlignment="1">
      <x:alignment horizontal="left" vertical="center" wrapText="1"/>
    </x:xf>
    <x:xf numFmtId="202" fontId="4" fillId="6" borderId="1" xfId="0" applyNumberFormat="1" applyFont="1" applyFill="1" applyBorder="1" applyAlignment="1">
      <x:alignment horizontal="left" vertical="center" wrapText="1"/>
    </x:xf>
    <x:xf numFmtId="203" fontId="4" fillId="6" borderId="0" xfId="0" applyNumberFormat="1" applyFont="1" applyFill="1" applyBorder="1" applyAlignment="1">
      <x:alignment horizontal="left" vertical="center" wrapText="1"/>
    </x:xf>
    <x:xf numFmtId="203" fontId="4" fillId="6" borderId="1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 applyAlignment="1">
      <x:alignment horizontal="center" wrapText="1"/>
    </x:xf>
    <x:xf numFmtId="203" fontId="4" fillId="5" borderId="0" xfId="0" applyNumberFormat="1" applyFont="1" applyFill="1" applyBorder="1" applyAlignment="1">
      <x:alignment horizontal="center" wrapText="1"/>
    </x:xf>
    <x:xf numFmtId="204" fontId="4" fillId="5" borderId="0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horizontal="center" vertical="center" wrapText="1"/>
    </x:xf>
    <x:xf numFmtId="204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horizontal="center" wrapText="1"/>
    </x:xf>
    <x:xf numFmtId="203" fontId="4" fillId="5" borderId="1" xfId="0" applyNumberFormat="1" applyFont="1" applyFill="1" applyBorder="1" applyAlignment="1">
      <x:alignment horizontal="center" wrapText="1"/>
    </x:xf>
    <x:xf numFmtId="204" fontId="4" fillId="5" borderId="1" xfId="0" applyNumberFormat="1" applyFont="1" applyFill="1" applyBorder="1" applyAlignment="1">
      <x:alignment horizontal="center" vertical="center" wrapText="1"/>
    </x:xf>
    <x:xf numFmtId="203" fontId="4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left" wrapText="1"/>
    </x:xf>
    <x:xf numFmtId="0" fontId="5" fillId="8" borderId="1" xfId="0" applyNumberFormat="1" applyFont="1" applyFill="1" applyBorder="1" applyAlignment="1">
      <x:alignment horizontal="left"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6" borderId="0" xfId="0" applyNumberFormat="1" applyFont="1" applyFill="1" applyBorder="1"/>
    <x:xf numFmtId="205" fontId="4" fillId="6" borderId="0" xfId="0" applyNumberFormat="1" applyFont="1" applyFill="1" applyBorder="1"/>
    <x:xf numFmtId="205" fontId="4" fillId="6" borderId="0" xfId="0" applyNumberFormat="1" applyFont="1" applyFill="1" applyBorder="1" applyAlignment="1">
      <x:alignment wrapText="1"/>
    </x:xf>
    <x:xf numFmtId="205" fontId="4" fillId="6" borderId="0" xfId="0" applyNumberFormat="1" applyFont="1" applyFill="1" applyBorder="1" applyAlignment="1">
      <x:alignment horizontal="left" wrapText="1"/>
    </x:xf>
    <x:xf numFmtId="205" fontId="4" fillId="6" borderId="0" xfId="0" applyNumberFormat="1" applyFont="1" applyFill="1" applyBorder="1" applyAlignment="1">
      <x:alignment horizontal="left" vertical="center" wrapText="1"/>
    </x:xf>
    <x:xf numFmtId="205" fontId="0" fillId="6" borderId="1" xfId="0" applyNumberFormat="1" applyFont="1" applyFill="1" applyBorder="1"/>
    <x:xf numFmtId="205" fontId="4" fillId="6" borderId="1" xfId="0" applyNumberFormat="1" applyFont="1" applyFill="1" applyBorder="1"/>
    <x:xf numFmtId="205" fontId="4" fillId="6" borderId="1" xfId="0" applyNumberFormat="1" applyFont="1" applyFill="1" applyBorder="1" applyAlignment="1">
      <x:alignment wrapText="1"/>
    </x:xf>
    <x:xf numFmtId="205" fontId="4" fillId="6" borderId="1" xfId="0" applyNumberFormat="1" applyFont="1" applyFill="1" applyBorder="1" applyAlignment="1">
      <x:alignment horizontal="left" wrapText="1"/>
    </x:xf>
    <x:xf numFmtId="205" fontId="4" fillId="6" borderId="1" xfId="0" applyNumberFormat="1" applyFont="1" applyFill="1" applyBorder="1" applyAlignment="1">
      <x:alignment horizontal="left" vertical="center" wrapText="1"/>
    </x:xf>
    <x:xf numFmtId="204" fontId="0" fillId="5" borderId="0" xfId="0" applyNumberFormat="1" applyFont="1" applyFill="1" applyBorder="1"/>
    <x:xf numFmtId="204" fontId="4" fillId="5" borderId="0" xfId="0" applyNumberFormat="1" applyFont="1" applyFill="1" applyBorder="1"/>
    <x:xf numFmtId="204" fontId="0" fillId="5" borderId="1" xfId="0" applyNumberFormat="1" applyFont="1" applyFill="1" applyBorder="1"/>
    <x:xf numFmtId="204" fontId="4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6" borderId="0" xfId="0" applyNumberFormat="1" applyFont="1" applyFill="1" applyBorder="1"/>
    <x:xf numFmtId="203" fontId="4" fillId="6" borderId="0" xfId="0" applyNumberFormat="1" applyFont="1" applyFill="1" applyBorder="1"/>
    <x:xf numFmtId="203" fontId="4" fillId="6" borderId="0" xfId="0" applyNumberFormat="1" applyFont="1" applyFill="1" applyBorder="1" applyAlignment="1">
      <x:alignment wrapText="1"/>
    </x:xf>
    <x:xf numFmtId="203" fontId="4" fillId="6" borderId="0" xfId="0" applyNumberFormat="1" applyFont="1" applyFill="1" applyBorder="1" applyAlignment="1">
      <x:alignment horizontal="left" wrapText="1"/>
    </x:xf>
    <x:xf numFmtId="203" fontId="0" fillId="6" borderId="1" xfId="0" applyNumberFormat="1" applyFont="1" applyFill="1" applyBorder="1"/>
    <x:xf numFmtId="203" fontId="4" fillId="6" borderId="1" xfId="0" applyNumberFormat="1" applyFont="1" applyFill="1" applyBorder="1"/>
    <x:xf numFmtId="203" fontId="4" fillId="6" borderId="1" xfId="0" applyNumberFormat="1" applyFont="1" applyFill="1" applyBorder="1" applyAlignment="1">
      <x:alignment wrapText="1"/>
    </x:xf>
    <x:xf numFmtId="203" fontId="4" fillId="6" borderId="1" xfId="0" applyNumberFormat="1" applyFont="1" applyFill="1" applyBorder="1" applyAlignment="1">
      <x:alignment horizontal="left" wrapText="1"/>
    </x:xf>
    <x:xf numFmtId="206" fontId="0" fillId="6" borderId="0" xfId="0" applyNumberFormat="1" applyFont="1" applyFill="1" applyBorder="1"/>
    <x:xf numFmtId="201" fontId="0" fillId="6" borderId="0" xfId="0" applyNumberFormat="1" applyFont="1" applyFill="1" applyBorder="1"/>
    <x:xf numFmtId="206" fontId="4" fillId="6" borderId="0" xfId="0" applyNumberFormat="1" applyFont="1" applyFill="1" applyBorder="1"/>
    <x:xf numFmtId="201" fontId="4" fillId="6" borderId="0" xfId="0" applyNumberFormat="1" applyFont="1" applyFill="1" applyBorder="1"/>
    <x:xf numFmtId="206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6" fontId="4" fillId="6" borderId="0" xfId="0" applyNumberFormat="1" applyFont="1" applyFill="1" applyBorder="1" applyAlignment="1">
      <x:alignment horizontal="left" wrapText="1"/>
    </x:xf>
    <x:xf numFmtId="201" fontId="4" fillId="6" borderId="0" xfId="0" applyNumberFormat="1" applyFont="1" applyFill="1" applyBorder="1" applyAlignment="1">
      <x:alignment horizontal="left" wrapText="1"/>
    </x:xf>
    <x:xf numFmtId="206" fontId="4" fillId="6" borderId="0" xfId="0" applyNumberFormat="1" applyFont="1" applyFill="1" applyBorder="1" applyAlignment="1">
      <x:alignment horizontal="left" vertical="center" wrapText="1"/>
    </x:xf>
    <x:xf numFmtId="206" fontId="0" fillId="6" borderId="1" xfId="0" applyNumberFormat="1" applyFont="1" applyFill="1" applyBorder="1"/>
    <x:xf numFmtId="201" fontId="0" fillId="6" borderId="1" xfId="0" applyNumberFormat="1" applyFont="1" applyFill="1" applyBorder="1"/>
    <x:xf numFmtId="206" fontId="4" fillId="6" borderId="1" xfId="0" applyNumberFormat="1" applyFont="1" applyFill="1" applyBorder="1"/>
    <x:xf numFmtId="201" fontId="4" fillId="6" borderId="1" xfId="0" applyNumberFormat="1" applyFont="1" applyFill="1" applyBorder="1"/>
    <x:xf numFmtId="206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6" fontId="4" fillId="6" borderId="1" xfId="0" applyNumberFormat="1" applyFont="1" applyFill="1" applyBorder="1" applyAlignment="1">
      <x:alignment horizontal="left" wrapText="1"/>
    </x:xf>
    <x:xf numFmtId="201" fontId="4" fillId="6" borderId="1" xfId="0" applyNumberFormat="1" applyFont="1" applyFill="1" applyBorder="1" applyAlignment="1">
      <x:alignment horizontal="left" wrapText="1"/>
    </x:xf>
    <x:xf numFmtId="206" fontId="4" fillId="6" borderId="1" xfId="0" applyNumberFormat="1" applyFont="1" applyFill="1" applyBorder="1" applyAlignment="1">
      <x:alignment horizontal="left" vertical="center" wrapText="1"/>
    </x:xf>
    <x:xf numFmtId="206" fontId="0" fillId="5" borderId="0" xfId="0" applyNumberFormat="1" applyFont="1" applyFill="1" applyBorder="1"/>
    <x:xf numFmtId="203" fontId="0" fillId="5" borderId="0" xfId="0" applyNumberFormat="1" applyFont="1" applyFill="1" applyBorder="1"/>
    <x:xf numFmtId="206" fontId="4" fillId="5" borderId="0" xfId="0" applyNumberFormat="1" applyFont="1" applyFill="1" applyBorder="1"/>
    <x:xf numFmtId="203" fontId="4" fillId="5" borderId="0" xfId="0" applyNumberFormat="1" applyFont="1" applyFill="1" applyBorder="1"/>
    <x:xf numFmtId="206" fontId="4" fillId="5" borderId="0" xfId="0" applyNumberFormat="1" applyFont="1" applyFill="1" applyBorder="1" applyAlignment="1">
      <x:alignment wrapText="1"/>
    </x:xf>
    <x:xf numFmtId="206" fontId="4" fillId="5" borderId="0" xfId="0" applyNumberFormat="1" applyFont="1" applyFill="1" applyBorder="1" applyAlignment="1">
      <x:alignment horizontal="center" wrapText="1"/>
    </x:xf>
    <x:xf numFmtId="206" fontId="4" fillId="5" borderId="0" xfId="0" applyNumberFormat="1" applyFont="1" applyFill="1" applyBorder="1" applyAlignment="1">
      <x:alignment horizontal="center" vertical="center" wrapText="1"/>
    </x:xf>
    <x:xf numFmtId="206" fontId="0" fillId="5" borderId="1" xfId="0" applyNumberFormat="1" applyFont="1" applyFill="1" applyBorder="1"/>
    <x:xf numFmtId="203" fontId="0" fillId="5" borderId="1" xfId="0" applyNumberFormat="1" applyFont="1" applyFill="1" applyBorder="1"/>
    <x:xf numFmtId="206" fontId="4" fillId="5" borderId="1" xfId="0" applyNumberFormat="1" applyFont="1" applyFill="1" applyBorder="1"/>
    <x:xf numFmtId="203" fontId="4" fillId="5" borderId="1" xfId="0" applyNumberFormat="1" applyFont="1" applyFill="1" applyBorder="1"/>
    <x:xf numFmtId="206" fontId="4" fillId="5" borderId="1" xfId="0" applyNumberFormat="1" applyFont="1" applyFill="1" applyBorder="1" applyAlignment="1">
      <x:alignment wrapText="1"/>
    </x:xf>
    <x:xf numFmtId="206" fontId="4" fillId="5" borderId="1" xfId="0" applyNumberFormat="1" applyFont="1" applyFill="1" applyBorder="1" applyAlignment="1">
      <x:alignment horizontal="center" wrapText="1"/>
    </x:xf>
    <x:xf numFmtId="206" fontId="4" fillId="5" borderId="1" xfId="0" applyNumberFormat="1" applyFont="1" applyFill="1" applyBorder="1" applyAlignment="1">
      <x:alignment horizontal="center" vertical="center" wrapText="1"/>
    </x:xf>
    <x:xf numFmtId="206" fontId="4" fillId="5" borderId="0" xfId="0" applyNumberFormat="1" applyFont="1" applyFill="1" applyBorder="1" applyAlignment="1">
      <x:alignment horizontal="left" vertical="center" wrapText="1"/>
    </x:xf>
    <x:xf numFmtId="206" fontId="4" fillId="5" borderId="1" xfId="0" applyNumberFormat="1" applyFont="1" applyFill="1" applyBorder="1" applyAlignment="1">
      <x:alignment horizontal="left" vertical="center" wrapText="1"/>
    </x:xf>
    <x:xf numFmtId="206" fontId="2" fillId="3" borderId="0" xfId="0" applyNumberFormat="1" applyFont="1" applyFill="1" applyBorder="1" applyAlignment="1">
      <x:alignment horizontal="center" vertical="center" wrapText="1"/>
    </x:xf>
    <x:xf numFmtId="206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center"/>
    </x:xf>
    <x:xf numFmtId="201" fontId="10" fillId="6" borderId="0" xfId="0" applyNumberFormat="1" applyFont="1" applyFill="1" applyBorder="1" applyAlignment="1">
      <x:alignment horizontal="left" vertical="center" wrapText="1"/>
    </x:xf>
    <x:xf numFmtId="200" fontId="10" fillId="6" borderId="0" xfId="0" applyNumberFormat="1" applyFont="1" applyFill="1" applyBorder="1" applyAlignment="1">
      <x:alignment horizontal="left" vertical="center" wrapText="1"/>
    </x:xf>
    <x:xf numFmtId="202" fontId="10" fillId="6" borderId="0" xfId="0" applyNumberFormat="1" applyFont="1" applyFill="1" applyBorder="1" applyAlignment="1">
      <x:alignment horizontal="left" vertical="center" wrapText="1"/>
    </x:xf>
    <x:xf numFmtId="203" fontId="10" fillId="6" borderId="0" xfId="0" applyNumberFormat="1" applyFont="1" applyFill="1" applyBorder="1" applyAlignment="1">
      <x:alignment horizontal="left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center"/>
    </x:xf>
    <x:xf numFmtId="201" fontId="10" fillId="6" borderId="1" xfId="0" applyNumberFormat="1" applyFont="1" applyFill="1" applyBorder="1" applyAlignment="1">
      <x:alignment horizontal="left" vertical="center" wrapText="1"/>
    </x:xf>
    <x:xf numFmtId="200" fontId="10" fillId="6" borderId="1" xfId="0" applyNumberFormat="1" applyFont="1" applyFill="1" applyBorder="1" applyAlignment="1">
      <x:alignment horizontal="left" vertical="center" wrapText="1"/>
    </x:xf>
    <x:xf numFmtId="202" fontId="10" fillId="6" borderId="1" xfId="0" applyNumberFormat="1" applyFont="1" applyFill="1" applyBorder="1" applyAlignment="1">
      <x:alignment horizontal="left" vertical="center" wrapText="1"/>
    </x:xf>
    <x:xf numFmtId="203" fontId="10" fillId="6" borderId="1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wrapText="1"/>
    </x:xf>
    <x:xf numFmtId="204" fontId="8" fillId="7" borderId="0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wrapText="1"/>
    </x:xf>
    <x:xf numFmtId="204" fontId="10" fillId="5" borderId="0" xfId="0" applyNumberFormat="1" applyFont="1" applyFill="1" applyBorder="1" applyAlignment="1">
      <x:alignment horizontal="center" vertical="center" wrapText="1"/>
    </x:xf>
    <x:xf numFmtId="203" fontId="10" fillId="5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wrapText="1"/>
    </x:xf>
    <x:xf numFmtId="204" fontId="8" fillId="7" borderId="1" xfId="0" applyNumberFormat="1" applyFont="1" applyFill="1" applyBorder="1" applyAlignment="1">
      <x:alignment wrapText="1"/>
    </x:xf>
    <x:xf numFmtId="200" fontId="8" fillId="7" borderId="1" xfId="0" applyNumberFormat="1" applyFont="1" applyFill="1" applyBorder="1" applyAlignment="1">
      <x:alignment wrapText="1"/>
    </x:xf>
    <x:xf numFmtId="204" fontId="10" fillId="5" borderId="1" xfId="0" applyNumberFormat="1" applyFont="1" applyFill="1" applyBorder="1" applyAlignment="1">
      <x:alignment horizontal="center" vertical="center" wrapText="1"/>
    </x:xf>
    <x:xf numFmtId="203" fontId="10" fillId="5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left" vertical="center" wrapText="1"/>
    </x:xf>
    <x:xf numFmtId="205" fontId="10" fillId="6" borderId="0" xfId="0" applyNumberFormat="1" applyFont="1" applyFill="1" applyBorder="1" applyAlignment="1">
      <x:alignment horizontal="left" vertical="center" wrapText="1"/>
    </x:xf>
    <x:xf numFmtId="205" fontId="10" fillId="6" borderId="1" xfId="0" applyNumberFormat="1" applyFont="1" applyFill="1" applyBorder="1" applyAlignment="1">
      <x:alignment horizontal="left" vertical="center" wrapText="1"/>
    </x:xf>
    <x:xf numFmtId="206" fontId="10" fillId="6" borderId="0" xfId="0" applyNumberFormat="1" applyFont="1" applyFill="1" applyBorder="1" applyAlignment="1">
      <x:alignment horizontal="left" vertical="center" wrapText="1"/>
    </x:xf>
    <x:xf numFmtId="206" fontId="10" fillId="5" borderId="0" xfId="0" applyNumberFormat="1" applyFont="1" applyFill="1" applyBorder="1" applyAlignment="1">
      <x:alignment horizontal="center" vertical="center" wrapText="1"/>
    </x:xf>
    <x:xf numFmtId="206" fontId="10" fillId="6" borderId="1" xfId="0" applyNumberFormat="1" applyFont="1" applyFill="1" applyBorder="1" applyAlignment="1">
      <x:alignment horizontal="left" vertical="center" wrapText="1"/>
    </x:xf>
    <x:xf numFmtId="206" fontId="10" fillId="5" borderId="1" xfId="0" applyNumberFormat="1" applyFont="1" applyFill="1" applyBorder="1" applyAlignment="1">
      <x:alignment horizontal="center" vertical="center" wrapText="1"/>
    </x:xf>
    <x:xf numFmtId="206" fontId="8" fillId="0" borderId="0" xfId="0" applyNumberFormat="1" applyFont="1" applyFill="1" applyBorder="1"/>
    <x:xf numFmtId="206" fontId="7" fillId="3" borderId="0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left" vertical="top" wrapText="1"/>
    </x:xf>
    <x:xf numFmtId="206" fontId="8" fillId="0" borderId="1" xfId="0" applyNumberFormat="1" applyFont="1" applyFill="1" applyBorder="1"/>
    <x:xf numFmtId="206" fontId="7" fillId="3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left" vertical="top" wrapText="1"/>
    </x:xf>
    <x:xf numFmtId="202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74de857cc4438" /><Relationship Type="http://schemas.openxmlformats.org/officeDocument/2006/relationships/theme" Target="/xl/theme/theme1.xml" Id="R97b65cae5390482f" /><Relationship Type="http://schemas.openxmlformats.org/officeDocument/2006/relationships/sharedStrings" Target="/xl/sharedStrings.xml" Id="R5e5f1554b3f34f64" /><Relationship Type="http://schemas.openxmlformats.org/officeDocument/2006/relationships/worksheet" Target="/xl/worksheets/sheet1.xml" Id="R34646fe9e86f4472" /><Relationship Type="http://schemas.openxmlformats.org/officeDocument/2006/relationships/worksheet" Target="/xl/worksheets/sheet2.xml" Id="R808104114e914f53" /><Relationship Type="http://schemas.openxmlformats.org/officeDocument/2006/relationships/worksheet" Target="/xl/worksheets/sheet3.xml" Id="R828acea848384fca" /><Relationship Type="http://schemas.openxmlformats.org/officeDocument/2006/relationships/worksheet" Target="/xl/worksheets/sheet4.xml" Id="Re51619446ac2452a" /><Relationship Type="http://schemas.openxmlformats.org/officeDocument/2006/relationships/worksheet" Target="/xl/worksheets/sheet5.xml" Id="R253bb0417d694407" /><Relationship Type="http://schemas.openxmlformats.org/officeDocument/2006/relationships/worksheet" Target="/xl/worksheets/sheet6.xml" Id="R05090aee03214c76" /><Relationship Type="http://schemas.openxmlformats.org/officeDocument/2006/relationships/worksheet" Target="/xl/worksheets/sheet7.xml" Id="Rb579f514f8d64e23" /><Relationship Type="http://schemas.openxmlformats.org/officeDocument/2006/relationships/worksheet" Target="/xl/worksheets/sheet8.xml" Id="Rc3d6e037dfa348ca" /><Relationship Type="http://schemas.openxmlformats.org/officeDocument/2006/relationships/worksheet" Target="/xl/worksheets/sheet9.xml" Id="R9dfc31c7418d4c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7b08098597421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cat>
            <c:strRef>
              <c:f>'07_Дашборд'!$E$4:$G$4</c:f>
              <c:strCache>
                <c:ptCount val="0"/>
              </c:strCache>
            </c:strRef>
          </c:cat>
          <c:val>
            <c:numRef>
              <c:f>'07_Дашборд'!$E$7:$G$7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7b0809859742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imilarwebCompetitors" displayName="SimilarwebCompetitors" ref="A4:M19" headerRowCount="1">
  <x:tableColumns count="13">
    <x:tableColumn id="1" name="№"/>
    <x:tableColumn id="2" name="Конкурент"/>
    <x:tableColumn id="3" name="Домен"/>
    <x:tableColumn id="4" name="Тип игрока"/>
    <x:tableColumn id="5" name="Месячные посещения"/>
    <x:tableColumn id="6" name="Доля целевой географии"/>
    <x:tableColumn id="7" name="Доля релевантного трафика"/>
    <x:tableColumn id="8" name="Коэффициент качества"/>
    <x:tableColumn id="9" name="Релевантные посещения/мес."/>
    <x:tableColumn id="10" name="Релевантные посещения/год"/>
    <x:tableColumn id="11" name="Доля среди учтенных конкурентов"/>
    <x:tableColumn id="12" name="Источник данных"/>
    <x:tableColumn id="13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ScenarioTraffic" displayName="ScenarioTraffic" ref="A4:K7" headerRowCount="1">
  <x:tableColumns count="11">
    <x:tableColumn id="1" name="Сценарий"/>
    <x:tableColumn id="2" name="Охват неучтенных конкурентов"/>
    <x:tableColumn id="3" name="Коэффициент надежности данных"/>
    <x:tableColumn id="4" name="Корректировка на недоступный спрос"/>
    <x:tableColumn id="5" name="Релевантный трафик конкурентов/мес."/>
    <x:tableColumn id="6" name="Оценка рыночного трафика/мес."/>
    <x:tableColumn id="7" name="Оценка рыночного трафика/год"/>
    <x:tableColumn id="8" name="Нижняя граница/год"/>
    <x:tableColumn id="9" name="Верхняя граница/год"/>
    <x:tableColumn id="10" name="Интерпретация"/>
    <x:tableColumn id="11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FunnelScenarios" displayName="FunnelScenarios" ref="A4:L7" headerRowCount="1">
  <x:tableColumns count="12">
    <x:tableColumn id="1" name="Сценарий"/>
    <x:tableColumn id="2" name="Рыночные визиты/год"/>
    <x:tableColumn id="3" name="Конверсия визит → заявка"/>
    <x:tableColumn id="4" name="Конверсия заявка → продажа"/>
    <x:tableColumn id="5" name="Продаж/год"/>
    <x:tableColumn id="6" name="Средний чек"/>
    <x:tableColumn id="7" name="Покупок в год"/>
    <x:tableColumn id="8" name="Выручка рынка/год"/>
    <x:tableColumn id="9" name="Достижимая доля"/>
    <x:tableColumn id="10" name="Достижимая выручка/год"/>
    <x:tableColumn id="11" name="TAM/SAM/SOM логика"/>
    <x:tableColumn id="12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PlatformScenarios" displayName="PlatformScenarios" ref="A4:K7" headerRowCount="1">
  <x:tableColumns count="11">
    <x:tableColumn id="1" name="Сценарий"/>
    <x:tableColumn id="2" name="Рыночные визиты/год"/>
    <x:tableColumn id="3" name="Регистрация/лид"/>
    <x:tableColumn id="4" name="Активные участники"/>
    <x:tableColumn id="5" name="Сделок на участника/год"/>
    <x:tableColumn id="6" name="Средняя сумма сделки"/>
    <x:tableColumn id="7" name="GMV/год"/>
    <x:tableColumn id="8" name="Комиссия платформы"/>
    <x:tableColumn id="9" name="Выручка платформы/год"/>
    <x:tableColumn id="10" name="Достижимая доля"/>
    <x:tableColumn id="11" name="Достижимая выручка платформы"/>
  </x:tableColumns>
  <x:tableStyleInfo name="TableStyleMedium2" showRowStripes="1"/>
</x:table>
</file>

<file path=xl/tables/table5.xml><?xml version="1.0" encoding="utf-8"?>
<x:table xmlns:x="http://schemas.openxmlformats.org/spreadsheetml/2006/main" id="5" name="MethodComparison" displayName="MethodComparison" ref="A4:E9" headerRowCount="1">
  <x:tableColumns count="5">
    <x:tableColumn id="1" name="Метод оценки"/>
    <x:tableColumn id="2" name="Осторожный"/>
    <x:tableColumn id="3" name="Базовый"/>
    <x:tableColumn id="4" name="Оптимистичный"/>
    <x:tableColumn id="5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SourcesLog" displayName="SourcesLog" ref="A3:G18" headerRowCount="1">
  <x:tableColumns count="7">
    <x:tableColumn id="1" name="№"/>
    <x:tableColumn id="2" name="Источник"/>
    <x:tableColumn id="3" name="URL"/>
    <x:tableColumn id="4" name="Какие данные используются"/>
    <x:tableColumn id="5" name="Дата обращения"/>
    <x:tableColumn id="6" name="Уровень надежности"/>
    <x:tableColumn id="7" name="Комментарий / ограни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39a28240cd645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cb9a807f2443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15ddd4bb7fc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1bd49c11f8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f8ff2a017d4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c471b76684f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cdb76611753649a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28" hidden="0" customWidth="1"/>
    <x:col min="5" max="5" width="30" hidden="0" customWidth="1"/>
    <x:col min="6" max="6" width="24" hidden="0" customWidth="1"/>
    <x:col min="7" max="7" width="26" hidden="0" customWidth="1"/>
    <x:col min="8" max="8" width="26" hidden="0" customWidth="1"/>
  </x:cols>
  <x:sheetData>
    <x:row r="1" ht="30" customHeight="1">
      <x:c r="A1" s="184" t="str">
        <x:v>Методика сценарной оценки рынка с учетом данных Similarweb: расчетный Excel-шаблон</x:v>
      </x:c>
      <x:c r="B1" s="184"/>
      <x:c r="C1" s="184"/>
      <x:c r="D1" s="184"/>
      <x:c r="E1" s="184"/>
      <x:c r="F1" s="184"/>
      <x:c r="G1" s="184"/>
      <x:c r="H1" s="184"/>
      <x:c r="I1" s="185"/>
      <x:c r="J1" s="185"/>
      <x:c r="K1" s="185"/>
      <x:c r="L1" s="185"/>
      <x:c r="M1" s="185"/>
      <x:c r="N1" s="185"/>
      <x:c r="O1" s="185"/>
    </x:row>
    <x:row r="2">
      <x:c r="A2" s="185"/>
      <x:c r="B2" s="185"/>
      <x:c r="C2" s="185"/>
      <x:c r="D2" s="185"/>
      <x:c r="E2" s="185"/>
      <x:c r="F2" s="185"/>
      <x:c r="G2" s="185"/>
      <x:c r="H2" s="185"/>
      <x:c r="I2" s="185"/>
      <x:c r="J2" s="185"/>
      <x:c r="K2" s="185"/>
      <x:c r="L2" s="185"/>
      <x:c r="M2" s="185"/>
      <x:c r="N2" s="185"/>
      <x:c r="O2" s="185"/>
    </x:row>
    <x:row r="3">
      <x:c r="A3" s="186" t="str">
        <x:v>Назначение файла</x:v>
      </x:c>
      <x:c r="B3" s="187" t="str">
        <x:v>Позволяет рассчитать оценочный объем рынка электронного бизнеса по трем сценариям на основе данных Similarweb, цифровой воронки и платформенной модели.</x:v>
      </x:c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Ключевая логика</x:v>
      </x:c>
      <x:c r="B4" s="187" t="str">
        <x:v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чеку.</x:v>
      </x:c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</x:row>
    <x:row r="5">
      <x:c r="A5" s="186" t="str">
        <x:v>Главный результат</x:v>
      </x:c>
      <x:c r="B5" s="187" t="str">
        <x:v>Диапазон оценки рынка: осторожный, базовый и оптимистичный сценарии; отдельно рассчитываются выручка через воронку и модель GMV для платформ.</x:v>
      </x:c>
      <x:c r="C5" s="185"/>
      <x:c r="D5" s="185"/>
      <x:c r="E5" s="185"/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</x:row>
    <x:row r="6">
      <x:c r="A6" s="186" t="str">
        <x:v>Важное ограничение</x:v>
      </x:c>
      <x:c r="B6" s="187" t="str">
        <x:v>Данные Similarweb являются оценочными. Итоговые значения следует рассматривать как расчетный диапазон, а не как точное измерение фактической емкости рынка.</x:v>
      </x:c>
      <x:c r="C6" s="185"/>
      <x:c r="D6" s="185"/>
      <x:c r="E6" s="185"/>
      <x:c r="F6" s="185"/>
      <x:c r="G6" s="185"/>
      <x:c r="H6" s="185"/>
      <x:c r="I6" s="185"/>
      <x:c r="J6" s="185"/>
      <x:c r="K6" s="185"/>
      <x:c r="L6" s="185"/>
      <x:c r="M6" s="185"/>
      <x:c r="N6" s="185"/>
      <x:c r="O6" s="185"/>
    </x:row>
    <x:row r="7">
      <x:c r="A7" s="185"/>
      <x:c r="B7" s="185"/>
      <x:c r="C7" s="185"/>
      <x:c r="D7" s="185"/>
      <x:c r="E7" s="185"/>
      <x:c r="F7" s="185"/>
      <x:c r="G7" s="185"/>
      <x:c r="H7" s="185"/>
      <x:c r="I7" s="185"/>
      <x:c r="J7" s="185"/>
      <x:c r="K7" s="185"/>
      <x:c r="L7" s="185"/>
      <x:c r="M7" s="185"/>
      <x:c r="N7" s="185"/>
      <x:c r="O7" s="185"/>
    </x:row>
    <x:row r="8">
      <x:c r="A8" s="186" t="str">
        <x:v>Шаг</x:v>
      </x:c>
      <x:c r="B8" s="186" t="str">
        <x:v>Лист</x:v>
      </x:c>
      <x:c r="C8" s="186" t="str">
        <x:v>Что заполнить</x:v>
      </x:c>
      <x:c r="D8" s="186" t="str">
        <x:v>Что рассчитывается</x:v>
      </x:c>
      <x:c r="E8" s="186" t="str">
        <x:v>Какие данные Similarweb используются</x:v>
      </x:c>
      <x:c r="F8" s="186" t="str">
        <x:v>Ключевой результат</x:v>
      </x:c>
      <x:c r="G8" s="186" t="str">
        <x:v>Проверка качества</x:v>
      </x:c>
      <x:c r="H8" s="186" t="str">
        <x:v>Комментарий</x:v>
      </x:c>
      <x:c r="I8" s="185"/>
      <x:c r="J8" s="185"/>
      <x:c r="K8" s="185"/>
      <x:c r="L8" s="185"/>
      <x:c r="M8" s="185"/>
      <x:c r="N8" s="185"/>
      <x:c r="O8" s="185"/>
    </x:row>
    <x:row r="9">
      <x:c r="A9" s="188" t="n">
        <x:v>1</x:v>
      </x:c>
      <x:c r="B9" s="189" t="str">
        <x:v>01_Параметры</x:v>
      </x:c>
      <x:c r="C9" s="189" t="str">
        <x:v>Бизнес-идея, география, валюта, период, средний чек</x:v>
      </x:c>
      <x:c r="D9" s="189" t="str">
        <x:v>Базовые вводные для всех расчетов</x:v>
      </x:c>
      <x:c r="E9" s="189" t="str">
        <x:v>Нет, только параметры проекта</x:v>
      </x:c>
      <x:c r="F9" s="189" t="str">
        <x:v>Единая исследовательская постановка</x:v>
      </x:c>
      <x:c r="G9" s="189" t="str">
        <x:v>Параметры не должны противоречить границам рынка</x:v>
      </x:c>
      <x:c r="H9" s="189" t="str">
        <x:v>Заполняется первым</x:v>
      </x:c>
      <x:c r="I9" s="185"/>
      <x:c r="J9" s="185"/>
      <x:c r="K9" s="185"/>
      <x:c r="L9" s="185"/>
      <x:c r="M9" s="185"/>
      <x:c r="N9" s="185"/>
      <x:c r="O9" s="185"/>
    </x:row>
    <x:row r="10">
      <x:c r="A10" s="188" t="n">
        <x:v>2</x:v>
      </x:c>
      <x:c r="B10" s="189" t="str">
        <x:v>02_Similarweb</x:v>
      </x:c>
      <x:c r="C10" s="189" t="str">
        <x:v>Сайты конкурентов, посещаемость, доля географии, релевантность трафика</x:v>
      </x:c>
      <x:c r="D10" s="189" t="str">
        <x:v>Релевантный месячный и годовой трафик рынка</x:v>
      </x:c>
      <x:c r="E10" s="189" t="str">
        <x:v>Visits, geography, traffic channels, engagement</x:v>
      </x:c>
      <x:c r="F10" s="189" t="str">
        <x:v>База для сценариев</x:v>
      </x:c>
      <x:c r="G10" s="189" t="str">
        <x:v>Не менее 3–5 конкурентов</x:v>
      </x:c>
      <x:c r="H10" s="189" t="str">
        <x:v>При бесплатном доступе значения можно фиксировать вручную</x:v>
      </x:c>
      <x:c r="I10" s="185"/>
      <x:c r="J10" s="185"/>
      <x:c r="K10" s="185"/>
      <x:c r="L10" s="185"/>
      <x:c r="M10" s="185"/>
      <x:c r="N10" s="185"/>
      <x:c r="O10" s="185"/>
    </x:row>
    <x:row r="11">
      <x:c r="A11" s="188" t="n">
        <x:v>3</x:v>
      </x:c>
      <x:c r="B11" s="189" t="str">
        <x:v>03_Сценарии</x:v>
      </x:c>
      <x:c r="C11" s="189" t="str">
        <x:v>Коэффициенты покрытия рынка, надежности и корректировки</x:v>
      </x:c>
      <x:c r="D11" s="189" t="str">
        <x:v>Сценарный объем релевантного трафика</x:v>
      </x:c>
      <x:c r="E11" s="189" t="str">
        <x:v>Суммарный релевантный трафик конкурентов</x:v>
      </x:c>
      <x:c r="F11" s="189" t="str">
        <x:v>Трафиковая оценка рынка</x:v>
      </x:c>
      <x:c r="G11" s="189" t="str">
        <x:v>Осторожный &lt; базовый &lt; оптимистичный</x:v>
      </x:c>
      <x:c r="H11" s="189" t="str">
        <x:v>Коэффициенты должны быть обоснованы</x:v>
      </x:c>
      <x:c r="I11" s="185"/>
      <x:c r="J11" s="185"/>
      <x:c r="K11" s="185"/>
      <x:c r="L11" s="185"/>
      <x:c r="M11" s="185"/>
      <x:c r="N11" s="185"/>
      <x:c r="O11" s="185"/>
    </x:row>
    <x:row r="12">
      <x:c r="A12" s="188" t="n">
        <x:v>4</x:v>
      </x:c>
      <x:c r="B12" s="189" t="str">
        <x:v>04_Воронка</x:v>
      </x:c>
      <x:c r="C12" s="189" t="str">
        <x:v>Конверсии, средний чек, повторные покупки, достижимая доля</x:v>
      </x:c>
      <x:c r="D12" s="189" t="str">
        <x:v>Продажи, выручка рынка, достижимая выручка</x:v>
      </x:c>
      <x:c r="E12" s="189" t="str">
        <x:v>Релевантный рыночный трафик</x:v>
      </x:c>
      <x:c r="F12" s="189" t="str">
        <x:v>Денежная оценка рынка</x:v>
      </x:c>
      <x:c r="G12" s="189" t="str">
        <x:v>Проверить адекватность конверсий</x:v>
      </x:c>
      <x:c r="H12" s="189" t="str">
        <x:v>Главный лист для сервисного электронного бизнеса</x:v>
      </x:c>
      <x:c r="I12" s="185"/>
      <x:c r="J12" s="185"/>
      <x:c r="K12" s="185"/>
      <x:c r="L12" s="185"/>
      <x:c r="M12" s="185"/>
      <x:c r="N12" s="185"/>
      <x:c r="O12" s="185"/>
    </x:row>
    <x:row r="13">
      <x:c r="A13" s="188" t="n">
        <x:v>5</x:v>
      </x:c>
      <x:c r="B13" s="189" t="str">
        <x:v>05_Платформа</x:v>
      </x:c>
      <x:c r="C13" s="189" t="str">
        <x:v>Регистрации, активность, сделки, средняя сумма сделки, комиссия</x:v>
      </x:c>
      <x:c r="D13" s="189" t="str">
        <x:v>GMV и выручка платформы</x:v>
      </x:c>
      <x:c r="E13" s="189" t="str">
        <x:v>Рыночный трафик как вход в платформу</x:v>
      </x:c>
      <x:c r="F13" s="189" t="str">
        <x:v>Отдельная модель для платформ</x:v>
      </x:c>
      <x:c r="G13" s="189" t="str">
        <x:v>Не смешивать GMV и выручку</x:v>
      </x:c>
      <x:c r="H13" s="189" t="str">
        <x:v>Используется при платформенной бизнес-модели</x:v>
      </x:c>
      <x:c r="I13" s="185"/>
      <x:c r="J13" s="185"/>
      <x:c r="K13" s="185"/>
      <x:c r="L13" s="185"/>
      <x:c r="M13" s="185"/>
      <x:c r="N13" s="185"/>
      <x:c r="O13" s="185"/>
    </x:row>
    <x:row r="14">
      <x:c r="A14" s="188" t="n">
        <x:v>6</x:v>
      </x:c>
      <x:c r="B14" s="189" t="str">
        <x:v>06_Сверка</x:v>
      </x:c>
      <x:c r="C14" s="189" t="str">
        <x:v>При необходимости добавить оценки других методов</x:v>
      </x:c>
      <x:c r="D14" s="189" t="str">
        <x:v>Диапазон итоговой оценки</x:v>
      </x:c>
      <x:c r="E14" s="189" t="str">
        <x:v>Данные Similarweb как один из методов</x:v>
      </x:c>
      <x:c r="F14" s="189" t="str">
        <x:v>Итоговый рыночный диапазон</x:v>
      </x:c>
      <x:c r="G14" s="189" t="str">
        <x:v>Расхождения методов должны быть объяснены</x:v>
      </x:c>
      <x:c r="H14" s="189" t="str">
        <x:v>Завершающий аналитический лист</x:v>
      </x:c>
      <x:c r="I14" s="185"/>
      <x:c r="J14" s="185"/>
      <x:c r="K14" s="185"/>
      <x:c r="L14" s="185"/>
      <x:c r="M14" s="185"/>
      <x:c r="N14" s="185"/>
      <x:c r="O14" s="185"/>
    </x:row>
    <x:row r="15">
      <x:c r="A15" s="188" t="n">
        <x:v>7</x:v>
      </x:c>
      <x:c r="B15" s="189" t="str">
        <x:v>07_Дашборд</x:v>
      </x:c>
      <x:c r="C15" s="189" t="str">
        <x:v>Не заполнять вручную</x:v>
      </x:c>
      <x:c r="D15" s="189" t="str">
        <x:v>Ключевые показатели и графики</x:v>
      </x:c>
      <x:c r="E15" s="189" t="str">
        <x:v>Автоматически из расчетных листов</x:v>
      </x:c>
      <x:c r="F15" s="189" t="str">
        <x:v>Итоговая панель вывода</x:v>
      </x:c>
      <x:c r="G15" s="189" t="str">
        <x:v>Проверить, что значения обновились</x:v>
      </x:c>
      <x:c r="H15" s="189" t="str">
        <x:v>Лист для отчета</x:v>
      </x:c>
      <x:c r="I15" s="185"/>
      <x:c r="J15" s="185"/>
      <x:c r="K15" s="185"/>
      <x:c r="L15" s="185"/>
      <x:c r="M15" s="185"/>
      <x:c r="N15" s="185"/>
      <x:c r="O15" s="185"/>
    </x:row>
    <x:row r="16">
      <x:c r="A16" s="188" t="n">
        <x:v>8</x:v>
      </x:c>
      <x:c r="B16" s="189" t="str">
        <x:v>08_Источники</x:v>
      </x:c>
      <x:c r="C16" s="189" t="str">
        <x:v>Ссылки, дата обращения, комментарии</x:v>
      </x:c>
      <x:c r="D16" s="189" t="str">
        <x:v>Журнал воспроизводимости</x:v>
      </x:c>
      <x:c r="E16" s="189" t="str">
        <x:v>URL, дата, ограничения Similarweb</x:v>
      </x:c>
      <x:c r="F16" s="189" t="str">
        <x:v>Доказательная база расчета</x:v>
      </x:c>
      <x:c r="G16" s="189" t="str">
        <x:v>Источник должен быть указан для каждого блока данных</x:v>
      </x:c>
      <x:c r="H16" s="189" t="str">
        <x:v>Заполняется по мере анализа</x:v>
      </x:c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34" hidden="0" customWidth="1"/>
    <x:col min="6" max="6" width="38" hidden="0" customWidth="1"/>
  </x:cols>
  <x:sheetData>
    <x:row r="1" ht="30" customHeight="1">
      <x:c r="A1" s="184" t="str">
        <x:v>Исходные параметры сценарной оценки рынка</x:v>
      </x:c>
      <x:c r="B1" s="184"/>
      <x:c r="C1" s="184"/>
      <x:c r="D1" s="184"/>
      <x:c r="E1" s="184"/>
      <x:c r="F1" s="184"/>
      <x:c r="G1" s="185"/>
      <x:c r="H1" s="185"/>
      <x:c r="I1" s="185"/>
      <x:c r="J1" s="185"/>
      <x:c r="K1" s="185"/>
      <x:c r="L1" s="185"/>
      <x:c r="M1" s="185"/>
      <x:c r="N1" s="185"/>
      <x:c r="O1" s="185"/>
    </x:row>
    <x:row r="2">
      <x:c r="A2" s="185"/>
      <x:c r="B2" s="185"/>
      <x:c r="C2" s="185"/>
      <x:c r="D2" s="185"/>
      <x:c r="E2" s="185"/>
      <x:c r="F2" s="185"/>
      <x:c r="G2" s="185"/>
      <x:c r="H2" s="185"/>
      <x:c r="I2" s="185"/>
      <x:c r="J2" s="185"/>
      <x:c r="K2" s="185"/>
      <x:c r="L2" s="185"/>
      <x:c r="M2" s="185"/>
      <x:c r="N2" s="185"/>
      <x:c r="O2" s="185"/>
    </x:row>
    <x:row r="3">
      <x:c r="A3" s="186" t="str">
        <x:v>Параметр</x:v>
      </x:c>
      <x:c r="B3" s="186" t="str">
        <x:v>Значение</x:v>
      </x:c>
      <x:c r="C3" s="186" t="str">
        <x:v>Единица</x:v>
      </x:c>
      <x:c r="D3" s="186" t="str">
        <x:v>Тип</x:v>
      </x:c>
      <x:c r="E3" s="186" t="str">
        <x:v>Источник / основание</x:v>
      </x:c>
      <x:c r="F3" s="186" t="str">
        <x:v>Комментарий</x:v>
      </x:c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96" t="str">
        <x:v>Название бизнес-идеи</x:v>
      </x:c>
      <x:c r="B4" s="197" t="str">
        <x:v>Маркетинговое сопровождение малого бизнеса</x:v>
      </x:c>
      <x:c r="C4" s="185" t="str">
        <x:v>текст</x:v>
      </x:c>
      <x:c r="D4" s="198" t="str">
        <x:v>ввод</x:v>
      </x:c>
      <x:c r="E4" s="185" t="str">
        <x:v>Границы рынка / бизнес-гипотеза</x:v>
      </x:c>
      <x:c r="F4" s="185" t="str">
        <x:v>Можно заменить на свою бизнес-идею</x:v>
      </x:c>
      <x:c r="G4" s="185"/>
      <x:c r="H4" s="185"/>
      <x:c r="I4" s="185"/>
      <x:c r="J4" s="185"/>
      <x:c r="K4" s="185"/>
      <x:c r="L4" s="185"/>
      <x:c r="M4" s="185"/>
      <x:c r="N4" s="185"/>
      <x:c r="O4" s="185"/>
    </x:row>
    <x:row r="5">
      <x:c r="A5" s="196" t="str">
        <x:v>Географические границы</x:v>
      </x:c>
      <x:c r="B5" s="197" t="str">
        <x:v>Республика Беларусь</x:v>
      </x:c>
      <x:c r="C5" s="185" t="str">
        <x:v>текст</x:v>
      </x:c>
      <x:c r="D5" s="198" t="str">
        <x:v>ввод</x:v>
      </x:c>
      <x:c r="E5" s="185" t="str">
        <x:v>Паспорт границ рынка</x:v>
      </x:c>
      <x:c r="F5" s="185" t="str">
        <x:v>Указать страну, город или регион</x:v>
      </x:c>
      <x:c r="G5" s="185"/>
      <x:c r="H5" s="185"/>
      <x:c r="I5" s="185"/>
      <x:c r="J5" s="185"/>
      <x:c r="K5" s="185"/>
      <x:c r="L5" s="185"/>
      <x:c r="M5" s="185"/>
      <x:c r="N5" s="185"/>
      <x:c r="O5" s="185"/>
    </x:row>
    <x:row r="6">
      <x:c r="A6" s="196" t="str">
        <x:v>Валюта расчета</x:v>
      </x:c>
      <x:c r="B6" s="197" t="str">
        <x:v>BYN</x:v>
      </x:c>
      <x:c r="C6" s="185" t="str">
        <x:v>текст</x:v>
      </x:c>
      <x:c r="D6" s="198" t="str">
        <x:v>ввод</x:v>
      </x:c>
      <x:c r="E6" s="185" t="str">
        <x:v>Выбор исследователя</x:v>
      </x:c>
      <x:c r="F6" s="185" t="str">
        <x:v>Используется в денежных расчетах</x:v>
      </x:c>
      <x:c r="G6" s="185"/>
      <x:c r="H6" s="185"/>
      <x:c r="I6" s="185"/>
      <x:c r="J6" s="185"/>
      <x:c r="K6" s="185"/>
      <x:c r="L6" s="185"/>
      <x:c r="M6" s="185"/>
      <x:c r="N6" s="185"/>
      <x:c r="O6" s="185"/>
    </x:row>
    <x:row r="7">
      <x:c r="A7" s="196" t="str">
        <x:v>Период оценки</x:v>
      </x:c>
      <x:c r="B7" s="197" t="n">
        <x:v>12</x:v>
      </x:c>
      <x:c r="C7" s="185" t="str">
        <x:v>месяцев</x:v>
      </x:c>
      <x:c r="D7" s="198" t="str">
        <x:v>ввод</x:v>
      </x:c>
      <x:c r="E7" s="185" t="str">
        <x:v>Период Similarweb / анализа</x:v>
      </x:c>
      <x:c r="F7" s="185" t="str">
        <x:v>Обычно 12 месяцев</x:v>
      </x:c>
      <x:c r="G7" s="185"/>
      <x:c r="H7" s="185"/>
      <x:c r="I7" s="185"/>
      <x:c r="J7" s="185"/>
      <x:c r="K7" s="185"/>
      <x:c r="L7" s="185"/>
      <x:c r="M7" s="185"/>
      <x:c r="N7" s="185"/>
      <x:c r="O7" s="185"/>
    </x:row>
    <x:row r="8">
      <x:c r="A8" s="196" t="str">
        <x:v>Средний чек базовый</x:v>
      </x:c>
      <x:c r="B8" s="199" t="n">
        <x:v>1200</x:v>
      </x:c>
      <x:c r="C8" s="185" t="str">
        <x:v>BYN</x:v>
      </x:c>
      <x:c r="D8" s="198" t="str">
        <x:v>ввод</x:v>
      </x:c>
      <x:c r="E8" s="185" t="str">
        <x:v>Прайсы конкурентов / экспертная оценка</x:v>
      </x:c>
      <x:c r="F8" s="185" t="str">
        <x:v>Средний чек одной сделки или месячного пакета</x:v>
      </x:c>
      <x:c r="G8" s="185"/>
      <x:c r="H8" s="185"/>
      <x:c r="I8" s="185"/>
      <x:c r="J8" s="185"/>
      <x:c r="K8" s="185"/>
      <x:c r="L8" s="185"/>
      <x:c r="M8" s="185"/>
      <x:c r="N8" s="185"/>
      <x:c r="O8" s="185"/>
    </x:row>
    <x:row r="9">
      <x:c r="A9" s="196" t="str">
        <x:v>Покупок в год на клиента</x:v>
      </x:c>
      <x:c r="B9" s="199" t="n">
        <x:v>2</x:v>
      </x:c>
      <x:c r="C9" s="185" t="str">
        <x:v>раз</x:v>
      </x:c>
      <x:c r="D9" s="198" t="str">
        <x:v>ввод</x:v>
      </x:c>
      <x:c r="E9" s="185" t="str">
        <x:v>Модель повторных покупок</x:v>
      </x:c>
      <x:c r="F9" s="185" t="str">
        <x:v>Для подписки может быть 12</x:v>
      </x:c>
      <x:c r="G9" s="185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96" t="str">
        <x:v>Доля целевой географии</x:v>
      </x:c>
      <x:c r="B10" s="200" t="n">
        <x:v>0.65</x:v>
      </x:c>
      <x:c r="C10" s="185" t="str">
        <x:v>%</x:v>
      </x:c>
      <x:c r="D10" s="198" t="str">
        <x:v>ввод</x:v>
      </x:c>
      <x:c r="E10" s="185" t="str">
        <x:v>Similarweb geography</x:v>
      </x:c>
      <x:c r="F10" s="185" t="str">
        <x:v>Доля трафика из выбранной территории</x:v>
      </x:c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96" t="str">
        <x:v>Доля релевантного трафика</x:v>
      </x:c>
      <x:c r="B11" s="200" t="n">
        <x:v>0.55</x:v>
      </x:c>
      <x:c r="C11" s="185" t="str">
        <x:v>%</x:v>
      </x:c>
      <x:c r="D11" s="198" t="str">
        <x:v>ввод</x:v>
      </x:c>
      <x:c r="E11" s="185" t="str">
        <x:v>Similarweb channels / keywords</x:v>
      </x:c>
      <x:c r="F11" s="185" t="str">
        <x:v>Доля посещений, связанных с целевой услугой</x:v>
      </x:c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96" t="str">
        <x:v>Коэффициент качества трафика</x:v>
      </x:c>
      <x:c r="B12" s="200" t="n">
        <x:v>0.7</x:v>
      </x:c>
      <x:c r="C12" s="185" t="str">
        <x:v>доля</x:v>
      </x:c>
      <x:c r="D12" s="198" t="str">
        <x:v>ввод</x:v>
      </x:c>
      <x:c r="E12" s="185" t="str">
        <x:v>Engagement / экспертная оценка</x:v>
      </x:c>
      <x:c r="F12" s="185" t="str">
        <x:v>Учитывает отказы, нерелевантные визиты и повторные посещения</x:v>
      </x:c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96" t="str">
        <x:v>Дата заполнения</x:v>
      </x:c>
      <x:c r="B13" s="201" t="n">
        <x:v>46145</x:v>
      </x:c>
      <x:c r="C13" s="185" t="str">
        <x:v>дата</x:v>
      </x:c>
      <x:c r="D13" s="198" t="str">
        <x:v>ввод</x:v>
      </x:c>
      <x:c r="E13" s="185" t="str">
        <x:v>Исследователь</x:v>
      </x:c>
      <x:c r="F13" s="185" t="str">
        <x:v>Обновлять при пересчете</x:v>
      </x:c>
      <x:c r="G13" s="185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5"/>
      <x:c r="B14" s="185"/>
      <x:c r="C14" s="185"/>
      <x:c r="D14" s="185"/>
      <x:c r="E14" s="185"/>
      <x:c r="F14" s="185"/>
      <x:c r="G14" s="185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6" t="str">
        <x:v>Параметр сценария</x:v>
      </x:c>
      <x:c r="B15" s="186" t="str">
        <x:v>Осторожный</x:v>
      </x:c>
      <x:c r="C15" s="186" t="str">
        <x:v>Базовый</x:v>
      </x:c>
      <x:c r="D15" s="186" t="str">
        <x:v>Оптимистичный</x:v>
      </x:c>
      <x:c r="E15" s="186" t="str">
        <x:v>Смысл параметра</x:v>
      </x:c>
      <x:c r="F15" s="186" t="str">
        <x:v>Комментарий</x:v>
      </x:c>
      <x:c r="G15" s="185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96" t="str">
        <x:v>Охват неучтенных конкурентов</x:v>
      </x:c>
      <x:c r="B16" s="199" t="n">
        <x:v>1.1</x:v>
      </x:c>
      <x:c r="C16" s="199" t="n">
        <x:v>1.35</x:v>
      </x:c>
      <x:c r="D16" s="199" t="n">
        <x:v>1.8</x:v>
      </x:c>
      <x:c r="E16" s="185" t="str">
        <x:v>Во сколько раз рынок шире набора найденных конкурентов</x:v>
      </x:c>
      <x:c r="F16" s="185" t="str">
        <x:v>Больше 1, если Similarweb охватывает не всех игроков</x:v>
      </x:c>
      <x:c r="G16" s="185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96" t="str">
        <x:v>Коэффициент надежности данных</x:v>
      </x:c>
      <x:c r="B17" s="199" t="n">
        <x:v>0.75</x:v>
      </x:c>
      <x:c r="C17" s="199" t="n">
        <x:v>0.9</x:v>
      </x:c>
      <x:c r="D17" s="199" t="n">
        <x:v>1</x:v>
      </x:c>
      <x:c r="E17" s="185" t="str">
        <x:v>Поправка на оценочный характер данных Similarweb</x:v>
      </x:c>
      <x:c r="F17" s="185" t="str">
        <x:v>Для малых сайтов лучше снижать</x:v>
      </x:c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96" t="str">
        <x:v>Корректировка на недоступный спрос</x:v>
      </x:c>
      <x:c r="B18" s="199" t="n">
        <x:v>0.8</x:v>
      </x:c>
      <x:c r="C18" s="199" t="n">
        <x:v>1</x:v>
      </x:c>
      <x:c r="D18" s="199" t="n">
        <x:v>1.15</x:v>
      </x:c>
      <x:c r="E18" s="185" t="str">
        <x:v>Поправка на спрос вне сайтов конкурентов</x:v>
      </x:c>
      <x:c r="F18" s="185" t="str">
        <x:v>Может учитывать социальные сети, рекомендации, мессенджеры</x:v>
      </x:c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96" t="str">
        <x:v>Конверсия визит → заявка</x:v>
      </x:c>
      <x:c r="B19" s="202" t="n">
        <x:v>0.005</x:v>
      </x:c>
      <x:c r="C19" s="202" t="n">
        <x:v>0.015</x:v>
      </x:c>
      <x:c r="D19" s="202" t="n">
        <x:v>0.03</x:v>
      </x:c>
      <x:c r="E19" s="185" t="str">
        <x:v>Доля релевантных посещений, превращающихся в заявку</x:v>
      </x:c>
      <x:c r="F19" s="185" t="str">
        <x:v>Для услуг обычно ниже, чем для простых товаров</x:v>
      </x:c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96" t="str">
        <x:v>Конверсия заявка → продажа</x:v>
      </x:c>
      <x:c r="B20" s="202" t="n">
        <x:v>0.15</x:v>
      </x:c>
      <x:c r="C20" s="202" t="n">
        <x:v>0.25</x:v>
      </x:c>
      <x:c r="D20" s="202" t="n">
        <x:v>0.35</x:v>
      </x:c>
      <x:c r="E20" s="185" t="str">
        <x:v>Доля заявок, превращающихся в оплату</x:v>
      </x:c>
      <x:c r="F20" s="185" t="str">
        <x:v>Зависит от цены и доверия</x:v>
      </x:c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96" t="str">
        <x:v>Множитель среднего чека</x:v>
      </x:c>
      <x:c r="B21" s="199" t="n">
        <x:v>0.8</x:v>
      </x:c>
      <x:c r="C21" s="199" t="n">
        <x:v>1</x:v>
      </x:c>
      <x:c r="D21" s="199" t="n">
        <x:v>1.25</x:v>
      </x:c>
      <x:c r="E21" s="185" t="str">
        <x:v>Корректирует базовый средний чек</x:v>
      </x:c>
      <x:c r="F21" s="185" t="str">
        <x:v>Используется для сценарного расчета</x:v>
      </x:c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96" t="str">
        <x:v>Покупок в год</x:v>
      </x:c>
      <x:c r="B22" s="199" t="n">
        <x:v>1</x:v>
      </x:c>
      <x:c r="C22" s="199" t="n">
        <x:v>2</x:v>
      </x:c>
      <x:c r="D22" s="199" t="n">
        <x:v>3</x:v>
      </x:c>
      <x:c r="E22" s="185" t="str">
        <x:v>Частота покупок / продлений в год</x:v>
      </x:c>
      <x:c r="F22" s="185" t="str">
        <x:v>Для подписки может быть 12</x:v>
      </x:c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96" t="str">
        <x:v>Достижимая доля рынка</x:v>
      </x:c>
      <x:c r="B23" s="202" t="n">
        <x:v>0.005</x:v>
      </x:c>
      <x:c r="C23" s="202" t="n">
        <x:v>0.015</x:v>
      </x:c>
      <x:c r="D23" s="202" t="n">
        <x:v>0.04</x:v>
      </x:c>
      <x:c r="E23" s="185" t="str">
        <x:v>Реально достижимая доля рынка новым бизнесом</x:v>
      </x:c>
      <x:c r="F23" s="185" t="str">
        <x:v>Используется для SOM</x:v>
      </x:c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8" hidden="0" customWidth="1"/>
    <x:col min="5" max="5" width="15" hidden="0" customWidth="1"/>
    <x:col min="6" max="6" width="16" hidden="0" customWidth="1"/>
    <x:col min="7" max="7" width="18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28" hidden="0" customWidth="1"/>
  </x:cols>
  <x:sheetData>
    <x:row r="1" ht="30" customHeight="1">
      <x:c r="A1" s="184" t="str">
        <x:v>Ввод и расчет данных Similarweb по конкурентам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4"/>
      <x:c r="M1" s="184"/>
      <x:c r="N1" s="185"/>
      <x:c r="O1" s="185"/>
    </x:row>
    <x:row r="2">
      <x:c r="A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B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C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D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E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F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G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H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I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J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K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L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M2" s="187" t="str">
        <x:v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x:v>
      </x:c>
      <x:c r="N2" s="185"/>
      <x:c r="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№</x:v>
      </x:c>
      <x:c r="B4" s="186" t="str">
        <x:v>Конкурент</x:v>
      </x:c>
      <x:c r="C4" s="186" t="str">
        <x:v>Домен</x:v>
      </x:c>
      <x:c r="D4" s="186" t="str">
        <x:v>Тип игрока</x:v>
      </x:c>
      <x:c r="E4" s="186" t="str">
        <x:v>Месячные посещения</x:v>
      </x:c>
      <x:c r="F4" s="186" t="str">
        <x:v>Доля целевой географии</x:v>
      </x:c>
      <x:c r="G4" s="186" t="str">
        <x:v>Доля релевантного трафика</x:v>
      </x:c>
      <x:c r="H4" s="186" t="str">
        <x:v>Коэффициент качества</x:v>
      </x:c>
      <x:c r="I4" s="186" t="str">
        <x:v>Релевантные посещения/мес.</x:v>
      </x:c>
      <x:c r="J4" s="186" t="str">
        <x:v>Релевантные посещения/год</x:v>
      </x:c>
      <x:c r="K4" s="186" t="str">
        <x:v>Доля среди учтенных конкурентов</x:v>
      </x:c>
      <x:c r="L4" s="186" t="str">
        <x:v>Источник данных</x:v>
      </x:c>
      <x:c r="M4" s="186" t="str">
        <x:v>Комментарий</x:v>
      </x:c>
      <x:c r="N4" s="185"/>
      <x:c r="O4" s="185"/>
    </x:row>
    <x:row r="5">
      <x:c r="A5" s="188" t="n">
        <x:v>1</x:v>
      </x:c>
      <x:c r="B5" s="210" t="str">
        <x:v>Пример: агентство А</x:v>
      </x:c>
      <x:c r="C5" s="210" t="str">
        <x:v>agency-a.by</x:v>
      </x:c>
      <x:c r="D5" s="210" t="str">
        <x:v>прямой конкурент</x:v>
      </x:c>
      <x:c r="E5" s="211" t="n">
        <x:v>52000</x:v>
      </x:c>
      <x:c r="F5" s="212" t="n">
        <x:v>0.72</x:v>
      </x:c>
      <x:c r="G5" s="212" t="n">
        <x:v>0.55</x:v>
      </x:c>
      <x:c r="H5" s="212" t="n">
        <x:v>0.7</x:v>
      </x:c>
      <x:c r="I5" s="213" t="n">
        <x:f>IFERROR(E5*F5*G5*H5,0)</x:f>
        <x:v>14414.4</x:v>
      </x:c>
      <x:c r="J5" s="213" t="n">
        <x:f>I5*12</x:f>
        <x:v>172972.8</x:v>
      </x:c>
      <x:c r="K5" s="214" t="n">
        <x:f>IFERROR(I5/SUM($I$5:$I$19),0)</x:f>
        <x:v>0.2956642312410005</x:v>
      </x:c>
      <x:c r="L5" s="189" t="str">
        <x:v>https://www.similarweb.com/website/agency-a.by/</x:v>
      </x:c>
      <x:c r="M5" s="189" t="str">
        <x:v>Демонстрационная строка</x:v>
      </x:c>
      <x:c r="N5" s="185"/>
      <x:c r="O5" s="185"/>
    </x:row>
    <x:row r="6">
      <x:c r="A6" s="188" t="n">
        <x:v>2</x:v>
      </x:c>
      <x:c r="B6" s="210" t="str">
        <x:v>Пример: агентство B</x:v>
      </x:c>
      <x:c r="C6" s="210" t="str">
        <x:v>agency-b.by</x:v>
      </x:c>
      <x:c r="D6" s="210" t="str">
        <x:v>прямой конкурент</x:v>
      </x:c>
      <x:c r="E6" s="211" t="n">
        <x:v>34000</x:v>
      </x:c>
      <x:c r="F6" s="212" t="n">
        <x:v>0.68</x:v>
      </x:c>
      <x:c r="G6" s="212" t="n">
        <x:v>0.5</x:v>
      </x:c>
      <x:c r="H6" s="212" t="n">
        <x:v>0.65</x:v>
      </x:c>
      <x:c r="I6" s="213" t="n">
        <x:f>IFERROR(E6*F6*G6*H6,0)</x:f>
        <x:v>7514</x:v>
      </x:c>
      <x:c r="J6" s="213" t="n">
        <x:f>I6*12</x:f>
        <x:v>90168</x:v>
      </x:c>
      <x:c r="K6" s="214" t="n">
        <x:f>IFERROR(I6/SUM($I$5:$I$19),0)</x:f>
        <x:v>0.1541251133272892</x:v>
      </x:c>
      <x:c r="L6" s="189" t="str">
        <x:v>https://www.similarweb.com/website/agency-b.by/</x:v>
      </x:c>
      <x:c r="M6" s="189" t="str">
        <x:v>Демонстрационная строка</x:v>
      </x:c>
      <x:c r="N6" s="185"/>
      <x:c r="O6" s="185"/>
    </x:row>
    <x:row r="7">
      <x:c r="A7" s="188" t="n">
        <x:v>3</x:v>
      </x:c>
      <x:c r="B7" s="210" t="str">
        <x:v>Пример: сервис C</x:v>
      </x:c>
      <x:c r="C7" s="210" t="str">
        <x:v>service-c.by</x:v>
      </x:c>
      <x:c r="D7" s="210" t="str">
        <x:v>цифровой сервис</x:v>
      </x:c>
      <x:c r="E7" s="211" t="n">
        <x:v>87000</x:v>
      </x:c>
      <x:c r="F7" s="212" t="n">
        <x:v>0.54</x:v>
      </x:c>
      <x:c r="G7" s="212" t="n">
        <x:v>0.4</x:v>
      </x:c>
      <x:c r="H7" s="212" t="n">
        <x:v>0.6</x:v>
      </x:c>
      <x:c r="I7" s="213" t="n">
        <x:f>IFERROR(E7*F7*G7*H7,0)</x:f>
        <x:v>11275.199999999999</x:v>
      </x:c>
      <x:c r="J7" s="213" t="n">
        <x:f>I7*12</x:f>
        <x:v>135302.4</x:v>
      </x:c>
      <x:c r="K7" s="214" t="n">
        <x:f>IFERROR(I7/SUM($I$5:$I$19),0)</x:f>
        <x:v>0.2312738192424609</x:v>
      </x:c>
      <x:c r="L7" s="189" t="str">
        <x:v>https://www.similarweb.com/website/service-c.by/</x:v>
      </x:c>
      <x:c r="M7" s="189" t="str">
        <x:v>Демонстрационная строка</x:v>
      </x:c>
      <x:c r="N7" s="185"/>
      <x:c r="O7" s="185"/>
    </x:row>
    <x:row r="8">
      <x:c r="A8" s="188" t="n">
        <x:v>4</x:v>
      </x:c>
      <x:c r="B8" s="210" t="str">
        <x:v>Пример: фриланс-площадка D</x:v>
      </x:c>
      <x:c r="C8" s="210" t="str">
        <x:v>freelance-d.by</x:v>
      </x:c>
      <x:c r="D8" s="210" t="str">
        <x:v>платформа услуг</x:v>
      </x:c>
      <x:c r="E8" s="211" t="n">
        <x:v>125000</x:v>
      </x:c>
      <x:c r="F8" s="212" t="n">
        <x:v>0.48</x:v>
      </x:c>
      <x:c r="G8" s="212" t="n">
        <x:v>0.35</x:v>
      </x:c>
      <x:c r="H8" s="212" t="n">
        <x:v>0.55</x:v>
      </x:c>
      <x:c r="I8" s="213" t="n">
        <x:f>IFERROR(E8*F8*G8*H8,0)</x:f>
        <x:v>11550.000000000002</x:v>
      </x:c>
      <x:c r="J8" s="213" t="n">
        <x:f>I8*12</x:f>
        <x:v>138600.00000000003</x:v>
      </x:c>
      <x:c r="K8" s="214" t="n">
        <x:f>IFERROR(I8/SUM($I$5:$I$19),0)</x:f>
        <x:v>0.23691044169951966</x:v>
      </x:c>
      <x:c r="L8" s="189" t="str">
        <x:v>https://www.similarweb.com/website/freelance-d.by/</x:v>
      </x:c>
      <x:c r="M8" s="189" t="str">
        <x:v>Демонстрационная строка</x:v>
      </x:c>
      <x:c r="N8" s="185"/>
      <x:c r="O8" s="185"/>
    </x:row>
    <x:row r="9">
      <x:c r="A9" s="188" t="n">
        <x:v>5</x:v>
      </x:c>
      <x:c r="B9" s="210" t="str">
        <x:v>Пример: образовательный проект E</x:v>
      </x:c>
      <x:c r="C9" s="210" t="str">
        <x:v>edu-e.by</x:v>
      </x:c>
      <x:c r="D9" s="210" t="str">
        <x:v>косвенный заменитель</x:v>
      </x:c>
      <x:c r="E9" s="211" t="n">
        <x:v>43000</x:v>
      </x:c>
      <x:c r="F9" s="212" t="n">
        <x:v>0.62</x:v>
      </x:c>
      <x:c r="G9" s="212" t="n">
        <x:v>0.3</x:v>
      </x:c>
      <x:c r="H9" s="212" t="n">
        <x:v>0.5</x:v>
      </x:c>
      <x:c r="I9" s="213" t="n">
        <x:f>IFERROR(E9*F9*G9*H9,0)</x:f>
        <x:v>3999</x:v>
      </x:c>
      <x:c r="J9" s="213" t="n">
        <x:f>I9*12</x:f>
        <x:v>47988</x:v>
      </x:c>
      <x:c r="K9" s="214" t="n">
        <x:f>IFERROR(I9/SUM($I$5:$I$19),0)</x:f>
        <x:v>0.08202639448972979</x:v>
      </x:c>
      <x:c r="L9" s="189" t="str">
        <x:v>https://www.similarweb.com/website/edu-e.by/</x:v>
      </x:c>
      <x:c r="M9" s="189" t="str">
        <x:v>Демонстрационная строка</x:v>
      </x:c>
      <x:c r="N9" s="185"/>
      <x:c r="O9" s="185"/>
    </x:row>
    <x:row r="10">
      <x:c r="A10" s="188" t="n">
        <x:v>6</x:v>
      </x:c>
      <x:c r="B10" s="210" t="str"/>
      <x:c r="C10" s="210" t="str"/>
      <x:c r="D10" s="210" t="str"/>
      <x:c r="E10" s="211"/>
      <x:c r="F10" s="212"/>
      <x:c r="G10" s="212"/>
      <x:c r="H10" s="212"/>
      <x:c r="I10" s="213" t="n">
        <x:f>IFERROR(E10*F10*G10*H10,0)</x:f>
        <x:v>0</x:v>
      </x:c>
      <x:c r="J10" s="213" t="n">
        <x:f>I10*12</x:f>
        <x:v>0</x:v>
      </x:c>
      <x:c r="K10" s="214" t="n">
        <x:f>IFERROR(I10/SUM($I$5:$I$19),0)</x:f>
        <x:v>0</x:v>
      </x:c>
      <x:c r="L10" s="189" t="str"/>
      <x:c r="M10" s="189" t="str"/>
      <x:c r="N10" s="185"/>
      <x:c r="O10" s="185"/>
    </x:row>
    <x:row r="11">
      <x:c r="A11" s="188" t="n">
        <x:v>7</x:v>
      </x:c>
      <x:c r="B11" s="210" t="str"/>
      <x:c r="C11" s="210" t="str"/>
      <x:c r="D11" s="210" t="str"/>
      <x:c r="E11" s="211"/>
      <x:c r="F11" s="212"/>
      <x:c r="G11" s="212"/>
      <x:c r="H11" s="212"/>
      <x:c r="I11" s="213" t="n">
        <x:f>IFERROR(E11*F11*G11*H11,0)</x:f>
        <x:v>0</x:v>
      </x:c>
      <x:c r="J11" s="213" t="n">
        <x:f>I11*12</x:f>
        <x:v>0</x:v>
      </x:c>
      <x:c r="K11" s="214" t="n">
        <x:f>IFERROR(I11/SUM($I$5:$I$19),0)</x:f>
        <x:v>0</x:v>
      </x:c>
      <x:c r="L11" s="189" t="str"/>
      <x:c r="M11" s="189" t="str"/>
      <x:c r="N11" s="185"/>
      <x:c r="O11" s="185"/>
    </x:row>
    <x:row r="12">
      <x:c r="A12" s="188" t="n">
        <x:v>8</x:v>
      </x:c>
      <x:c r="B12" s="210" t="str"/>
      <x:c r="C12" s="210" t="str"/>
      <x:c r="D12" s="210" t="str"/>
      <x:c r="E12" s="211"/>
      <x:c r="F12" s="212"/>
      <x:c r="G12" s="212"/>
      <x:c r="H12" s="212"/>
      <x:c r="I12" s="213" t="n">
        <x:f>IFERROR(E12*F12*G12*H12,0)</x:f>
        <x:v>0</x:v>
      </x:c>
      <x:c r="J12" s="213" t="n">
        <x:f>I12*12</x:f>
        <x:v>0</x:v>
      </x:c>
      <x:c r="K12" s="214" t="n">
        <x:f>IFERROR(I12/SUM($I$5:$I$19),0)</x:f>
        <x:v>0</x:v>
      </x:c>
      <x:c r="L12" s="189" t="str"/>
      <x:c r="M12" s="189" t="str"/>
      <x:c r="N12" s="185"/>
      <x:c r="O12" s="185"/>
    </x:row>
    <x:row r="13">
      <x:c r="A13" s="188" t="n">
        <x:v>9</x:v>
      </x:c>
      <x:c r="B13" s="210" t="str"/>
      <x:c r="C13" s="210" t="str"/>
      <x:c r="D13" s="210" t="str"/>
      <x:c r="E13" s="211"/>
      <x:c r="F13" s="212"/>
      <x:c r="G13" s="212"/>
      <x:c r="H13" s="212"/>
      <x:c r="I13" s="213" t="n">
        <x:f>IFERROR(E13*F13*G13*H13,0)</x:f>
        <x:v>0</x:v>
      </x:c>
      <x:c r="J13" s="213" t="n">
        <x:f>I13*12</x:f>
        <x:v>0</x:v>
      </x:c>
      <x:c r="K13" s="214" t="n">
        <x:f>IFERROR(I13/SUM($I$5:$I$19),0)</x:f>
        <x:v>0</x:v>
      </x:c>
      <x:c r="L13" s="189" t="str"/>
      <x:c r="M13" s="189" t="str"/>
      <x:c r="N13" s="185"/>
      <x:c r="O13" s="185"/>
    </x:row>
    <x:row r="14">
      <x:c r="A14" s="188" t="n">
        <x:v>10</x:v>
      </x:c>
      <x:c r="B14" s="210" t="str"/>
      <x:c r="C14" s="210" t="str"/>
      <x:c r="D14" s="210" t="str"/>
      <x:c r="E14" s="211"/>
      <x:c r="F14" s="212"/>
      <x:c r="G14" s="212"/>
      <x:c r="H14" s="212"/>
      <x:c r="I14" s="213" t="n">
        <x:f>IFERROR(E14*F14*G14*H14,0)</x:f>
        <x:v>0</x:v>
      </x:c>
      <x:c r="J14" s="213" t="n">
        <x:f>I14*12</x:f>
        <x:v>0</x:v>
      </x:c>
      <x:c r="K14" s="214" t="n">
        <x:f>IFERROR(I14/SUM($I$5:$I$19),0)</x:f>
        <x:v>0</x:v>
      </x:c>
      <x:c r="L14" s="189" t="str"/>
      <x:c r="M14" s="189" t="str"/>
      <x:c r="N14" s="185"/>
      <x:c r="O14" s="185"/>
    </x:row>
    <x:row r="15">
      <x:c r="A15" s="188" t="n">
        <x:v>11</x:v>
      </x:c>
      <x:c r="B15" s="210" t="str"/>
      <x:c r="C15" s="210" t="str"/>
      <x:c r="D15" s="210" t="str"/>
      <x:c r="E15" s="211"/>
      <x:c r="F15" s="212"/>
      <x:c r="G15" s="212"/>
      <x:c r="H15" s="212"/>
      <x:c r="I15" s="213" t="n">
        <x:f>IFERROR(E15*F15*G15*H15,0)</x:f>
        <x:v>0</x:v>
      </x:c>
      <x:c r="J15" s="213" t="n">
        <x:f>I15*12</x:f>
        <x:v>0</x:v>
      </x:c>
      <x:c r="K15" s="214" t="n">
        <x:f>IFERROR(I15/SUM($I$5:$I$19),0)</x:f>
        <x:v>0</x:v>
      </x:c>
      <x:c r="L15" s="189" t="str"/>
      <x:c r="M15" s="189" t="str"/>
      <x:c r="N15" s="185"/>
      <x:c r="O15" s="185"/>
    </x:row>
    <x:row r="16">
      <x:c r="A16" s="188" t="n">
        <x:v>12</x:v>
      </x:c>
      <x:c r="B16" s="210" t="str"/>
      <x:c r="C16" s="210" t="str"/>
      <x:c r="D16" s="210" t="str"/>
      <x:c r="E16" s="211"/>
      <x:c r="F16" s="212"/>
      <x:c r="G16" s="212"/>
      <x:c r="H16" s="212"/>
      <x:c r="I16" s="213" t="n">
        <x:f>IFERROR(E16*F16*G16*H16,0)</x:f>
        <x:v>0</x:v>
      </x:c>
      <x:c r="J16" s="213" t="n">
        <x:f>I16*12</x:f>
        <x:v>0</x:v>
      </x:c>
      <x:c r="K16" s="214" t="n">
        <x:f>IFERROR(I16/SUM($I$5:$I$19),0)</x:f>
        <x:v>0</x:v>
      </x:c>
      <x:c r="L16" s="189" t="str"/>
      <x:c r="M16" s="189" t="str"/>
      <x:c r="N16" s="185"/>
      <x:c r="O16" s="185"/>
    </x:row>
    <x:row r="17">
      <x:c r="A17" s="188" t="n">
        <x:v>13</x:v>
      </x:c>
      <x:c r="B17" s="210" t="str"/>
      <x:c r="C17" s="210" t="str"/>
      <x:c r="D17" s="210" t="str"/>
      <x:c r="E17" s="211"/>
      <x:c r="F17" s="212"/>
      <x:c r="G17" s="212"/>
      <x:c r="H17" s="212"/>
      <x:c r="I17" s="213" t="n">
        <x:f>IFERROR(E17*F17*G17*H17,0)</x:f>
        <x:v>0</x:v>
      </x:c>
      <x:c r="J17" s="213" t="n">
        <x:f>I17*12</x:f>
        <x:v>0</x:v>
      </x:c>
      <x:c r="K17" s="214" t="n">
        <x:f>IFERROR(I17/SUM($I$5:$I$19),0)</x:f>
        <x:v>0</x:v>
      </x:c>
      <x:c r="L17" s="189" t="str"/>
      <x:c r="M17" s="189" t="str"/>
      <x:c r="N17" s="185"/>
      <x:c r="O17" s="185"/>
    </x:row>
    <x:row r="18">
      <x:c r="A18" s="188" t="n">
        <x:v>14</x:v>
      </x:c>
      <x:c r="B18" s="210" t="str"/>
      <x:c r="C18" s="210" t="str"/>
      <x:c r="D18" s="210" t="str"/>
      <x:c r="E18" s="211"/>
      <x:c r="F18" s="212"/>
      <x:c r="G18" s="212"/>
      <x:c r="H18" s="212"/>
      <x:c r="I18" s="213" t="n">
        <x:f>IFERROR(E18*F18*G18*H18,0)</x:f>
        <x:v>0</x:v>
      </x:c>
      <x:c r="J18" s="213" t="n">
        <x:f>I18*12</x:f>
        <x:v>0</x:v>
      </x:c>
      <x:c r="K18" s="214" t="n">
        <x:f>IFERROR(I18/SUM($I$5:$I$19),0)</x:f>
        <x:v>0</x:v>
      </x:c>
      <x:c r="L18" s="189" t="str"/>
      <x:c r="M18" s="189" t="str"/>
      <x:c r="N18" s="185"/>
      <x:c r="O18" s="185"/>
    </x:row>
    <x:row r="19">
      <x:c r="A19" s="188" t="n">
        <x:v>15</x:v>
      </x:c>
      <x:c r="B19" s="210" t="str"/>
      <x:c r="C19" s="210" t="str"/>
      <x:c r="D19" s="210" t="str"/>
      <x:c r="E19" s="211"/>
      <x:c r="F19" s="212"/>
      <x:c r="G19" s="212"/>
      <x:c r="H19" s="212"/>
      <x:c r="I19" s="213" t="n">
        <x:f>IFERROR(E19*F19*G19*H19,0)</x:f>
        <x:v>0</x:v>
      </x:c>
      <x:c r="J19" s="213" t="n">
        <x:f>I19*12</x:f>
        <x:v>0</x:v>
      </x:c>
      <x:c r="K19" s="214" t="n">
        <x:f>IFERROR(I19/SUM($I$5:$I$19),0)</x:f>
        <x:v>0</x:v>
      </x:c>
      <x:c r="L19" s="189" t="str"/>
      <x:c r="M19" s="189" t="str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215" t="str">
        <x:v>Итого учтенные конкуренты</x:v>
      </x:c>
      <x:c r="B21" s="215" t="str"/>
      <x:c r="C21" s="215" t="str"/>
      <x:c r="D21" s="215" t="str"/>
      <x:c r="E21" s="215" t="str"/>
      <x:c r="F21" s="215" t="str"/>
      <x:c r="G21" s="215" t="str"/>
      <x:c r="H21" s="215" t="str"/>
      <x:c r="I21" s="213" t="n">
        <x:f>SUM(I5:I19)</x:f>
        <x:v>48752.6</x:v>
      </x:c>
      <x:c r="J21" s="213" t="n">
        <x:f>SUM(J5:J19)</x:f>
        <x:v>585031.2</x:v>
      </x:c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M1"/>
    <x:mergeCell ref="A21:H21"/>
  </x:mergeCells>
  <x:conditionalFormatting sqref="K5:K19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{5AEC2D89-F668-5C7B-7BCB-5F02112BBD80}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39a28240cd645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EC2D89-F668-5C7B-7BCB-5F02112BBD80}">
            <x14:dataBar gradient="1">
              <x14:cfvo type="min"/>
              <x14:cfvo type="max"/>
              <x14:fillColor rgb="5B9BD5"/>
            </x14:dataBar>
          </x14:cfRule>
          <xm:sqref>K5:K19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36" hidden="0" customWidth="1"/>
    <x:col min="11" max="11" width="28" hidden="0" customWidth="1"/>
  </x:cols>
  <x:sheetData>
    <x:row r="1" ht="30" customHeight="1">
      <x:c r="A1" s="184" t="str">
        <x:v>Сценарный расчет рыночного трафика на основе Similarweb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5"/>
      <x:c r="M1" s="185"/>
      <x:c r="N1" s="185"/>
      <x:c r="O1" s="185"/>
    </x:row>
    <x:row r="2">
      <x:c r="A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B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C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D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E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F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G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H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I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J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K2" s="187" t="str">
        <x:v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x:v>
      </x:c>
      <x:c r="L2" s="185"/>
      <x:c r="M2" s="185"/>
      <x:c r="N2" s="185"/>
      <x:c r="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Сценарий</x:v>
      </x:c>
      <x:c r="B4" s="186" t="str">
        <x:v>Охват неучтенных конкурентов</x:v>
      </x:c>
      <x:c r="C4" s="186" t="str">
        <x:v>Коэффициент надежности данных</x:v>
      </x:c>
      <x:c r="D4" s="186" t="str">
        <x:v>Корректировка на недоступный спрос</x:v>
      </x:c>
      <x:c r="E4" s="186" t="str">
        <x:v>Релевантный трафик конкурентов/мес.</x:v>
      </x:c>
      <x:c r="F4" s="186" t="str">
        <x:v>Оценка рыночного трафика/мес.</x:v>
      </x:c>
      <x:c r="G4" s="186" t="str">
        <x:v>Оценка рыночного трафика/год</x:v>
      </x:c>
      <x:c r="H4" s="186" t="str">
        <x:v>Нижняя граница/год</x:v>
      </x:c>
      <x:c r="I4" s="186" t="str">
        <x:v>Верхняя граница/год</x:v>
      </x:c>
      <x:c r="J4" s="186" t="str">
        <x:v>Интерпретация</x:v>
      </x:c>
      <x:c r="K4" s="186" t="str">
        <x:v>Комментарий</x:v>
      </x:c>
      <x:c r="L4" s="185"/>
      <x:c r="M4" s="185"/>
      <x:c r="N4" s="185"/>
      <x:c r="O4" s="185"/>
    </x:row>
    <x:row r="5">
      <x:c r="A5" s="196" t="str">
        <x:v>Осторожный</x:v>
      </x:c>
      <x:c r="B5" s="222" t="n">
        <x:f>'01_Параметры'!B16</x:f>
        <x:v>1.1</x:v>
      </x:c>
      <x:c r="C5" s="222" t="n">
        <x:f>'01_Параметры'!B17</x:f>
        <x:v>0.75</x:v>
      </x:c>
      <x:c r="D5" s="222" t="n">
        <x:f>'01_Параметры'!B18</x:f>
        <x:v>0.8</x:v>
      </x:c>
      <x:c r="E5" s="213" t="n">
        <x:f>'02_Similarweb'!I21</x:f>
        <x:v>48752.6</x:v>
      </x:c>
      <x:c r="F5" s="213" t="n">
        <x:f>E5*B5*C5*D5</x:f>
        <x:v>32176.716000000004</x:v>
      </x:c>
      <x:c r="G5" s="213" t="n">
        <x:f>F5*12</x:f>
        <x:v>386120.59200000006</x:v>
      </x:c>
      <x:c r="H5" s="213" t="n">
        <x:f>G5*0.85</x:f>
        <x:v>328202.50320000004</x:v>
      </x:c>
      <x:c r="I5" s="213" t="n">
        <x:f>G5*1.15</x:f>
        <x:v>444038.68080000003</x:v>
      </x:c>
      <x:c r="J5" s="185" t="str">
        <x:v>Минимальная оценка при неполном охвате и пониженной надежности данных</x:v>
      </x:c>
      <x:c r="K5" s="185" t="str"/>
      <x:c r="L5" s="185"/>
      <x:c r="M5" s="185"/>
      <x:c r="N5" s="185"/>
      <x:c r="O5" s="185"/>
    </x:row>
    <x:row r="6">
      <x:c r="A6" s="196" t="str">
        <x:v>Базовый</x:v>
      </x:c>
      <x:c r="B6" s="222" t="n">
        <x:f>'01_Параметры'!C16</x:f>
        <x:v>1.35</x:v>
      </x:c>
      <x:c r="C6" s="222" t="n">
        <x:f>'01_Параметры'!C17</x:f>
        <x:v>0.9</x:v>
      </x:c>
      <x:c r="D6" s="222" t="n">
        <x:f>'01_Параметры'!C18</x:f>
        <x:v>1</x:v>
      </x:c>
      <x:c r="E6" s="213" t="n">
        <x:f>'02_Similarweb'!I21</x:f>
        <x:v>48752.6</x:v>
      </x:c>
      <x:c r="F6" s="213" t="n">
        <x:f>E6*B6*C6*D6</x:f>
        <x:v>59234.40900000001</x:v>
      </x:c>
      <x:c r="G6" s="213" t="n">
        <x:f>F6*12</x:f>
        <x:v>710812.908</x:v>
      </x:c>
      <x:c r="H6" s="213" t="n">
        <x:f>G6*0.85</x:f>
        <x:v>604190.9718</x:v>
      </x:c>
      <x:c r="I6" s="213" t="n">
        <x:f>G6*1.15</x:f>
        <x:v>817434.8442</x:v>
      </x:c>
      <x:c r="J6" s="185" t="str">
        <x:v>Рабочая оценка при умеренных допущениях</x:v>
      </x:c>
      <x:c r="K6" s="185" t="str"/>
      <x:c r="L6" s="185"/>
      <x:c r="M6" s="185"/>
      <x:c r="N6" s="185"/>
      <x:c r="O6" s="185"/>
    </x:row>
    <x:row r="7">
      <x:c r="A7" s="196" t="str">
        <x:v>Оптимистичный</x:v>
      </x:c>
      <x:c r="B7" s="222" t="n">
        <x:f>'01_Параметры'!D16</x:f>
        <x:v>1.8</x:v>
      </x:c>
      <x:c r="C7" s="222" t="n">
        <x:f>'01_Параметры'!D17</x:f>
        <x:v>1</x:v>
      </x:c>
      <x:c r="D7" s="222" t="n">
        <x:f>'01_Параметры'!D18</x:f>
        <x:v>1.15</x:v>
      </x:c>
      <x:c r="E7" s="213" t="n">
        <x:f>'02_Similarweb'!I21</x:f>
        <x:v>48752.6</x:v>
      </x:c>
      <x:c r="F7" s="213" t="n">
        <x:f>E7*B7*C7*D7</x:f>
        <x:v>100917.88199999998</x:v>
      </x:c>
      <x:c r="G7" s="213" t="n">
        <x:f>F7*12</x:f>
        <x:v>1211014.5839999998</x:v>
      </x:c>
      <x:c r="H7" s="213" t="n">
        <x:f>G7*0.85</x:f>
        <x:v>1029362.3963999999</x:v>
      </x:c>
      <x:c r="I7" s="213" t="n">
        <x:f>G7*1.15</x:f>
        <x:v>1392666.7715999996</x:v>
      </x:c>
      <x:c r="J7" s="185" t="str">
        <x:v>Верхняя оценка при широком рынке и благоприятных условиях</x:v>
      </x:c>
      <x:c r="K7" s="185" t="str"/>
      <x:c r="L7" s="185"/>
      <x:c r="M7" s="185"/>
      <x:c r="N7" s="185"/>
      <x:c r="O7" s="185"/>
    </x:row>
    <x:row r="8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  <x:c r="M8" s="185"/>
      <x:c r="N8" s="185"/>
      <x:c r="O8" s="185"/>
    </x:row>
    <x:row r="9">
      <x:c r="A9" s="185"/>
      <x:c r="B9" s="185"/>
      <x:c r="C9" s="185"/>
      <x:c r="D9" s="185"/>
      <x:c r="E9" s="185"/>
      <x:c r="F9" s="185"/>
      <x:c r="G9" s="185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85"/>
      <x:c r="B10" s="185"/>
      <x:c r="C10" s="185"/>
      <x:c r="D10" s="185"/>
      <x:c r="E10" s="185"/>
      <x:c r="F10" s="185"/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85"/>
      <x:c r="B11" s="185"/>
      <x:c r="C11" s="185"/>
      <x:c r="D11" s="185"/>
      <x:c r="E11" s="185"/>
      <x:c r="F11" s="185"/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85"/>
      <x:c r="B12" s="185"/>
      <x:c r="C12" s="185"/>
      <x:c r="D12" s="185"/>
      <x:c r="E12" s="185"/>
      <x:c r="F12" s="185"/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85"/>
      <x:c r="B13" s="185"/>
      <x:c r="C13" s="185"/>
      <x:c r="D13" s="185"/>
      <x:c r="E13" s="185"/>
      <x:c r="F13" s="185"/>
      <x:c r="G13" s="185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5"/>
      <x:c r="B14" s="185"/>
      <x:c r="C14" s="185"/>
      <x:c r="D14" s="185"/>
      <x:c r="E14" s="185"/>
      <x:c r="F14" s="185"/>
      <x:c r="G14" s="185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5"/>
      <x:c r="B15" s="185"/>
      <x:c r="C15" s="185"/>
      <x:c r="D15" s="185"/>
      <x:c r="E15" s="185"/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85"/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4cb9a807f2443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28" hidden="0" customWidth="1"/>
  </x:cols>
  <x:sheetData>
    <x:row r="1" ht="30" customHeight="1">
      <x:c r="A1" s="184" t="str">
        <x:v>Оценка объема рынка через цифровую воронку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4"/>
      <x:c r="M1" s="185"/>
      <x:c r="N1" s="185"/>
      <x:c r="O1" s="185"/>
    </x:row>
    <x:row r="2">
      <x:c r="A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B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C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D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E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F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G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H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I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J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K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L2" s="187" t="str">
        <x:v>Расчет переводит рыночный трафик Similarweb в заявки, продажи, годовую выручку рынка и достижимую выручку нового бизнеса.</x:v>
      </x:c>
      <x:c r="M2" s="185"/>
      <x:c r="N2" s="185"/>
      <x:c r="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Сценарий</x:v>
      </x:c>
      <x:c r="B4" s="186" t="str">
        <x:v>Рыночные визиты/год</x:v>
      </x:c>
      <x:c r="C4" s="186" t="str">
        <x:v>Конверсия визит → заявка</x:v>
      </x:c>
      <x:c r="D4" s="186" t="str">
        <x:v>Конверсия заявка → продажа</x:v>
      </x:c>
      <x:c r="E4" s="186" t="str">
        <x:v>Продаж/год</x:v>
      </x:c>
      <x:c r="F4" s="186" t="str">
        <x:v>Средний чек</x:v>
      </x:c>
      <x:c r="G4" s="186" t="str">
        <x:v>Покупок в год</x:v>
      </x:c>
      <x:c r="H4" s="186" t="str">
        <x:v>Выручка рынка/год</x:v>
      </x:c>
      <x:c r="I4" s="186" t="str">
        <x:v>Достижимая доля</x:v>
      </x:c>
      <x:c r="J4" s="186" t="str">
        <x:v>Достижимая выручка/год</x:v>
      </x:c>
      <x:c r="K4" s="186" t="str">
        <x:v>TAM/SAM/SOM логика</x:v>
      </x:c>
      <x:c r="L4" s="186" t="str">
        <x:v>Комментарий</x:v>
      </x:c>
      <x:c r="M4" s="185"/>
      <x:c r="N4" s="185"/>
      <x:c r="O4" s="185"/>
    </x:row>
    <x:row r="5">
      <x:c r="A5" s="196" t="str">
        <x:v>Осторожный</x:v>
      </x:c>
      <x:c r="B5" s="213" t="n">
        <x:f>'03_Сценарии'!G5</x:f>
        <x:v>386120.59200000006</x:v>
      </x:c>
      <x:c r="C5" s="202" t="n">
        <x:f>'01_Параметры'!B19</x:f>
        <x:v>0.005</x:v>
      </x:c>
      <x:c r="D5" s="202" t="n">
        <x:f>'01_Параметры'!B20</x:f>
        <x:v>0.15</x:v>
      </x:c>
      <x:c r="E5" s="213" t="n">
        <x:f>B5*C5*D5</x:f>
        <x:v>289.59044400000005</x:v>
      </x:c>
      <x:c r="F5" s="224" t="n">
        <x:f>'01_Параметры'!$B$8*'01_Параметры'!B21</x:f>
        <x:v>960</x:v>
      </x:c>
      <x:c r="G5" s="199" t="n">
        <x:f>'01_Параметры'!B22</x:f>
        <x:v>1</x:v>
      </x:c>
      <x:c r="H5" s="225" t="n">
        <x:f>E5*F5*G5</x:f>
        <x:v>278006.82624</x:v>
      </x:c>
      <x:c r="I5" s="214" t="n">
        <x:f>'01_Параметры'!B23</x:f>
        <x:v>0.005</x:v>
      </x:c>
      <x:c r="J5" s="225" t="n">
        <x:f>H5*I5</x:f>
        <x:v>1390.0341312</x:v>
      </x:c>
      <x:c r="K5" s="185" t="str">
        <x:v>SAM → SOM</x:v>
      </x:c>
      <x:c r="L5" s="185"/>
      <x:c r="M5" s="185"/>
      <x:c r="N5" s="185"/>
      <x:c r="O5" s="185"/>
    </x:row>
    <x:row r="6">
      <x:c r="A6" s="196" t="str">
        <x:v>Базовый</x:v>
      </x:c>
      <x:c r="B6" s="213" t="n">
        <x:f>'03_Сценарии'!G6</x:f>
        <x:v>710812.908</x:v>
      </x:c>
      <x:c r="C6" s="202" t="n">
        <x:f>'01_Параметры'!C19</x:f>
        <x:v>0.015</x:v>
      </x:c>
      <x:c r="D6" s="202" t="n">
        <x:f>'01_Параметры'!C20</x:f>
        <x:v>0.25</x:v>
      </x:c>
      <x:c r="E6" s="213" t="n">
        <x:f>B6*C6*D6</x:f>
        <x:v>2665.548405</x:v>
      </x:c>
      <x:c r="F6" s="224" t="n">
        <x:f>'01_Параметры'!$B$8*'01_Параметры'!C21</x:f>
        <x:v>1200</x:v>
      </x:c>
      <x:c r="G6" s="199" t="n">
        <x:f>'01_Параметры'!C22</x:f>
        <x:v>2</x:v>
      </x:c>
      <x:c r="H6" s="225" t="n">
        <x:f>E6*F6*G6</x:f>
        <x:v>6397316.172</x:v>
      </x:c>
      <x:c r="I6" s="214" t="n">
        <x:f>'01_Параметры'!C23</x:f>
        <x:v>0.015</x:v>
      </x:c>
      <x:c r="J6" s="225" t="n">
        <x:f>H6*I6</x:f>
        <x:v>95959.74258</x:v>
      </x:c>
      <x:c r="K6" s="185" t="str">
        <x:v>SAM → SOM</x:v>
      </x:c>
      <x:c r="L6" s="185"/>
      <x:c r="M6" s="185"/>
      <x:c r="N6" s="185"/>
      <x:c r="O6" s="185"/>
    </x:row>
    <x:row r="7">
      <x:c r="A7" s="196" t="str">
        <x:v>Оптимистичный</x:v>
      </x:c>
      <x:c r="B7" s="213" t="n">
        <x:f>'03_Сценарии'!G7</x:f>
        <x:v>1211014.5839999998</x:v>
      </x:c>
      <x:c r="C7" s="202" t="n">
        <x:f>'01_Параметры'!D19</x:f>
        <x:v>0.03</x:v>
      </x:c>
      <x:c r="D7" s="202" t="n">
        <x:f>'01_Параметры'!D20</x:f>
        <x:v>0.35</x:v>
      </x:c>
      <x:c r="E7" s="213" t="n">
        <x:f>B7*C7*D7</x:f>
        <x:v>12715.653131999996</x:v>
      </x:c>
      <x:c r="F7" s="224" t="n">
        <x:f>'01_Параметры'!$B$8*'01_Параметры'!D21</x:f>
        <x:v>1500</x:v>
      </x:c>
      <x:c r="G7" s="199" t="n">
        <x:f>'01_Параметры'!D22</x:f>
        <x:v>3</x:v>
      </x:c>
      <x:c r="H7" s="225" t="n">
        <x:f>E7*F7*G7</x:f>
        <x:v>57220439.09399998</x:v>
      </x:c>
      <x:c r="I7" s="214" t="n">
        <x:f>'01_Параметры'!D23</x:f>
        <x:v>0.04</x:v>
      </x:c>
      <x:c r="J7" s="225" t="n">
        <x:f>H7*I7</x:f>
        <x:v>2288817.5637599993</x:v>
      </x:c>
      <x:c r="K7" s="185" t="str">
        <x:v>SAM → SOM</x:v>
      </x:c>
      <x:c r="L7" s="185"/>
      <x:c r="M7" s="185"/>
      <x:c r="N7" s="185"/>
      <x:c r="O7" s="185"/>
    </x:row>
    <x:row r="8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  <x:c r="M8" s="185"/>
      <x:c r="N8" s="185"/>
      <x:c r="O8" s="185"/>
    </x:row>
    <x:row r="9">
      <x:c r="A9" s="185"/>
      <x:c r="B9" s="185"/>
      <x:c r="C9" s="185"/>
      <x:c r="D9" s="185"/>
      <x:c r="E9" s="185"/>
      <x:c r="F9" s="185"/>
      <x:c r="G9" s="185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86" t="str">
        <x:v>Итог по воронке</x:v>
      </x:c>
      <x:c r="B10" s="186" t="str">
        <x:v>Осторожный</x:v>
      </x:c>
      <x:c r="C10" s="186" t="str">
        <x:v>Базовый</x:v>
      </x:c>
      <x:c r="D10" s="186" t="str">
        <x:v>Оптимистичный</x:v>
      </x:c>
      <x:c r="E10" s="185"/>
      <x:c r="F10" s="185"/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96" t="str">
        <x:v>Выручка рынка/год</x:v>
      </x:c>
      <x:c r="B11" s="225" t="n">
        <x:f>H5</x:f>
        <x:v>278006.82624</x:v>
      </x:c>
      <x:c r="C11" s="225" t="n">
        <x:f>H6</x:f>
        <x:v>6397316.172</x:v>
      </x:c>
      <x:c r="D11" s="225" t="n">
        <x:f>H7</x:f>
        <x:v>57220439.09399998</x:v>
      </x:c>
      <x:c r="E11" s="185"/>
      <x:c r="F11" s="185"/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96" t="str">
        <x:v>Достижимая выручка/год</x:v>
      </x:c>
      <x:c r="B12" s="225" t="n">
        <x:f>J5</x:f>
        <x:v>1390.0341312</x:v>
      </x:c>
      <x:c r="C12" s="225" t="n">
        <x:f>J6</x:f>
        <x:v>95959.74258</x:v>
      </x:c>
      <x:c r="D12" s="225" t="n">
        <x:f>J7</x:f>
        <x:v>2288817.5637599993</x:v>
      </x:c>
      <x:c r="E12" s="185"/>
      <x:c r="F12" s="185"/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96" t="str">
        <x:v>Продаж/год</x:v>
      </x:c>
      <x:c r="B13" s="213" t="n">
        <x:f>E5</x:f>
        <x:v>289.59044400000005</x:v>
      </x:c>
      <x:c r="C13" s="213" t="n">
        <x:f>E6</x:f>
        <x:v>2665.548405</x:v>
      </x:c>
      <x:c r="D13" s="213" t="n">
        <x:f>E7</x:f>
        <x:v>12715.653131999996</x:v>
      </x:c>
      <x:c r="E13" s="185"/>
      <x:c r="F13" s="185"/>
      <x:c r="G13" s="185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5"/>
      <x:c r="B14" s="185"/>
      <x:c r="C14" s="185"/>
      <x:c r="D14" s="185"/>
      <x:c r="E14" s="185"/>
      <x:c r="F14" s="185"/>
      <x:c r="G14" s="185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5"/>
      <x:c r="B15" s="185"/>
      <x:c r="C15" s="185"/>
      <x:c r="D15" s="185"/>
      <x:c r="E15" s="185"/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85"/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15ddd4bb7fc4a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16" hidden="0" customWidth="1"/>
    <x:col min="11" max="11" width="24" hidden="0" customWidth="1"/>
  </x:cols>
  <x:sheetData>
    <x:row r="1" ht="30" customHeight="1">
      <x:c r="A1" s="184" t="str">
        <x:v>Платформенная модель: оценка GMV и выручки платформы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5"/>
      <x:c r="M1" s="185"/>
      <x:c r="N1" s="185"/>
      <x:c r="O1" s="185"/>
    </x:row>
    <x:row r="2">
      <x:c r="A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B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C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D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E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F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G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H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I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J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K2" s="187" t="str">
        <x:v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x:v>
      </x:c>
      <x:c r="L2" s="185"/>
      <x:c r="M2" s="185"/>
      <x:c r="N2" s="185"/>
      <x:c r="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Сценарий</x:v>
      </x:c>
      <x:c r="B4" s="186" t="str">
        <x:v>Рыночные визиты/год</x:v>
      </x:c>
      <x:c r="C4" s="186" t="str">
        <x:v>Регистрация/лид</x:v>
      </x:c>
      <x:c r="D4" s="186" t="str">
        <x:v>Активные участники</x:v>
      </x:c>
      <x:c r="E4" s="186" t="str">
        <x:v>Сделок на участника/год</x:v>
      </x:c>
      <x:c r="F4" s="186" t="str">
        <x:v>Средняя сумма сделки</x:v>
      </x:c>
      <x:c r="G4" s="186" t="str">
        <x:v>GMV/год</x:v>
      </x:c>
      <x:c r="H4" s="186" t="str">
        <x:v>Комиссия платформы</x:v>
      </x:c>
      <x:c r="I4" s="186" t="str">
        <x:v>Выручка платформы/год</x:v>
      </x:c>
      <x:c r="J4" s="186" t="str">
        <x:v>Достижимая доля</x:v>
      </x:c>
      <x:c r="K4" s="186" t="str">
        <x:v>Достижимая выручка платформы</x:v>
      </x:c>
      <x:c r="L4" s="185"/>
      <x:c r="M4" s="185"/>
      <x:c r="N4" s="185"/>
      <x:c r="O4" s="185"/>
    </x:row>
    <x:row r="5">
      <x:c r="A5" s="196" t="str">
        <x:v>Осторожный</x:v>
      </x:c>
      <x:c r="B5" s="213" t="n">
        <x:f>'03_Сценарии'!G5</x:f>
        <x:v>386120.59200000006</x:v>
      </x:c>
      <x:c r="C5" s="202" t="n">
        <x:v>0.01</x:v>
      </x:c>
      <x:c r="D5" s="213" t="n">
        <x:f>B5*C5*0.3</x:f>
        <x:v>1158.3617760000002</x:v>
      </x:c>
      <x:c r="E5" s="199" t="n">
        <x:v>1</x:v>
      </x:c>
      <x:c r="F5" s="224" t="n">
        <x:v>600</x:v>
      </x:c>
      <x:c r="G5" s="225" t="n">
        <x:f>D5*E5*F5</x:f>
        <x:v>695017.0656000001</x:v>
      </x:c>
      <x:c r="H5" s="202" t="n">
        <x:v>0.08</x:v>
      </x:c>
      <x:c r="I5" s="225" t="n">
        <x:f>G5*H5</x:f>
        <x:v>55601.36524800001</x:v>
      </x:c>
      <x:c r="J5" s="202" t="n">
        <x:v>0.005</x:v>
      </x:c>
      <x:c r="K5" s="225" t="n">
        <x:f>I5*J5</x:f>
        <x:v>278.00682624000007</x:v>
      </x:c>
      <x:c r="L5" s="185"/>
      <x:c r="M5" s="185"/>
      <x:c r="N5" s="185"/>
      <x:c r="O5" s="185"/>
    </x:row>
    <x:row r="6">
      <x:c r="A6" s="196" t="str">
        <x:v>Базовый</x:v>
      </x:c>
      <x:c r="B6" s="213" t="n">
        <x:f>'03_Сценарии'!G6</x:f>
        <x:v>710812.908</x:v>
      </x:c>
      <x:c r="C6" s="202" t="n">
        <x:v>0.03</x:v>
      </x:c>
      <x:c r="D6" s="213" t="n">
        <x:f>B6*C6*0.45</x:f>
        <x:v>9595.974258</x:v>
      </x:c>
      <x:c r="E6" s="199" t="n">
        <x:v>2</x:v>
      </x:c>
      <x:c r="F6" s="224" t="n">
        <x:v>1000</x:v>
      </x:c>
      <x:c r="G6" s="225" t="n">
        <x:f>D6*E6*F6</x:f>
        <x:v>19191948.516</x:v>
      </x:c>
      <x:c r="H6" s="202" t="n">
        <x:v>0.1</x:v>
      </x:c>
      <x:c r="I6" s="225" t="n">
        <x:f>G6*H6</x:f>
        <x:v>1919194.8516</x:v>
      </x:c>
      <x:c r="J6" s="202" t="n">
        <x:v>0.015</x:v>
      </x:c>
      <x:c r="K6" s="225" t="n">
        <x:f>I6*J6</x:f>
        <x:v>28787.922774</x:v>
      </x:c>
      <x:c r="L6" s="185"/>
      <x:c r="M6" s="185"/>
      <x:c r="N6" s="185"/>
      <x:c r="O6" s="185"/>
    </x:row>
    <x:row r="7">
      <x:c r="A7" s="196" t="str">
        <x:v>Оптимистичный</x:v>
      </x:c>
      <x:c r="B7" s="213" t="n">
        <x:f>'03_Сценарии'!G7</x:f>
        <x:v>1211014.5839999998</x:v>
      </x:c>
      <x:c r="C7" s="202" t="n">
        <x:v>0.06</x:v>
      </x:c>
      <x:c r="D7" s="213" t="n">
        <x:f>B7*C7*0.6</x:f>
        <x:v>43596.52502399999</x:v>
      </x:c>
      <x:c r="E7" s="199" t="n">
        <x:v>4</x:v>
      </x:c>
      <x:c r="F7" s="224" t="n">
        <x:v>1500</x:v>
      </x:c>
      <x:c r="G7" s="225" t="n">
        <x:f>D7*E7*F7</x:f>
        <x:v>261579150.14399993</x:v>
      </x:c>
      <x:c r="H7" s="202" t="n">
        <x:v>0.15</x:v>
      </x:c>
      <x:c r="I7" s="225" t="n">
        <x:f>G7*H7</x:f>
        <x:v>39236872.521599986</x:v>
      </x:c>
      <x:c r="J7" s="202" t="n">
        <x:v>0.04</x:v>
      </x:c>
      <x:c r="K7" s="225" t="n">
        <x:f>I7*J7</x:f>
        <x:v>1569474.9008639995</x:v>
      </x:c>
      <x:c r="L7" s="185"/>
      <x:c r="M7" s="185"/>
      <x:c r="N7" s="185"/>
      <x:c r="O7" s="185"/>
    </x:row>
    <x:row r="8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  <x:c r="M8" s="185"/>
      <x:c r="N8" s="185"/>
      <x:c r="O8" s="185"/>
    </x:row>
    <x:row r="9">
      <x:c r="A9" s="185"/>
      <x:c r="B9" s="185"/>
      <x:c r="C9" s="185"/>
      <x:c r="D9" s="185"/>
      <x:c r="E9" s="185"/>
      <x:c r="F9" s="185"/>
      <x:c r="G9" s="185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85"/>
      <x:c r="B10" s="185"/>
      <x:c r="C10" s="185"/>
      <x:c r="D10" s="185"/>
      <x:c r="E10" s="185"/>
      <x:c r="F10" s="185"/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85"/>
      <x:c r="B11" s="185"/>
      <x:c r="C11" s="185"/>
      <x:c r="D11" s="185"/>
      <x:c r="E11" s="185"/>
      <x:c r="F11" s="185"/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85"/>
      <x:c r="B12" s="185"/>
      <x:c r="C12" s="185"/>
      <x:c r="D12" s="185"/>
      <x:c r="E12" s="185"/>
      <x:c r="F12" s="185"/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85"/>
      <x:c r="B13" s="185"/>
      <x:c r="C13" s="185"/>
      <x:c r="D13" s="185"/>
      <x:c r="E13" s="185"/>
      <x:c r="F13" s="185"/>
      <x:c r="G13" s="185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5"/>
      <x:c r="B14" s="185"/>
      <x:c r="C14" s="185"/>
      <x:c r="D14" s="185"/>
      <x:c r="E14" s="185"/>
      <x:c r="F14" s="185"/>
      <x:c r="G14" s="185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5"/>
      <x:c r="B15" s="185"/>
      <x:c r="C15" s="185"/>
      <x:c r="D15" s="185"/>
      <x:c r="E15" s="185"/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85"/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41bd49c11f841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84" t="str">
        <x:v>Сверка сценарной оценки рынка по нескольким подходам</x:v>
      </x:c>
      <x:c r="B1" s="184"/>
      <x:c r="C1" s="184"/>
      <x:c r="D1" s="184"/>
      <x:c r="E1" s="184"/>
      <x:c r="F1" s="184"/>
      <x:c r="G1" s="184"/>
      <x:c r="H1" s="184"/>
      <x:c r="I1" s="185"/>
      <x:c r="J1" s="185"/>
      <x:c r="K1" s="185"/>
      <x:c r="L1" s="185"/>
      <x:c r="M1" s="185"/>
      <x:c r="N1" s="185"/>
      <x:c r="O1" s="185"/>
    </x:row>
    <x:row r="2">
      <x:c r="A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B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C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D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E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F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G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H2" s="187" t="str">
        <x:v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x:v>
      </x:c>
      <x:c r="I2" s="185"/>
      <x:c r="J2" s="185"/>
      <x:c r="K2" s="185"/>
      <x:c r="L2" s="185"/>
      <x:c r="M2" s="185"/>
      <x:c r="N2" s="185"/>
      <x:c r="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</x:row>
    <x:row r="4">
      <x:c r="A4" s="186" t="str">
        <x:v>Метод оценки</x:v>
      </x:c>
      <x:c r="B4" s="186" t="str">
        <x:v>Осторожный</x:v>
      </x:c>
      <x:c r="C4" s="186" t="str">
        <x:v>Базовый</x:v>
      </x:c>
      <x:c r="D4" s="186" t="str">
        <x:v>Оптимистичный</x:v>
      </x:c>
      <x:c r="E4" s="186" t="str">
        <x:v>Комментарий</x:v>
      </x:c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</x:row>
    <x:row r="5">
      <x:c r="A5" s="196" t="str">
        <x:v>Similarweb → цифровая воронка</x:v>
      </x:c>
      <x:c r="B5" s="225" t="n">
        <x:f>'04_Воронка'!J5</x:f>
        <x:v>1390.0341312</x:v>
      </x:c>
      <x:c r="C5" s="225" t="n">
        <x:f>'04_Воронка'!J6</x:f>
        <x:v>95959.74258</x:v>
      </x:c>
      <x:c r="D5" s="225" t="n">
        <x:f>'04_Воронка'!J7</x:f>
        <x:v>2288817.5637599993</x:v>
      </x:c>
      <x:c r="E5" s="187" t="str">
        <x:v>Основная оценка для сервисного электронного бизнеса</x:v>
      </x:c>
      <x:c r="F5" s="185"/>
      <x:c r="G5" s="185"/>
      <x:c r="H5" s="185"/>
      <x:c r="I5" s="185"/>
      <x:c r="J5" s="185"/>
      <x:c r="K5" s="185"/>
      <x:c r="L5" s="185"/>
      <x:c r="M5" s="185"/>
      <x:c r="N5" s="185"/>
      <x:c r="O5" s="185"/>
    </x:row>
    <x:row r="6">
      <x:c r="A6" s="196" t="str">
        <x:v>Similarweb → платформенная GMV-модель</x:v>
      </x:c>
      <x:c r="B6" s="225" t="n">
        <x:f>'05_Платформа'!K5</x:f>
        <x:v>278.00682624000007</x:v>
      </x:c>
      <x:c r="C6" s="225" t="n">
        <x:f>'05_Платформа'!K6</x:f>
        <x:v>28787.922774</x:v>
      </x:c>
      <x:c r="D6" s="225" t="n">
        <x:f>'05_Платформа'!K7</x:f>
        <x:v>1569474.9008639995</x:v>
      </x:c>
      <x:c r="E6" s="187" t="str">
        <x:v>Используется при платформенной модели</x:v>
      </x:c>
      <x:c r="F6" s="185"/>
      <x:c r="G6" s="185"/>
      <x:c r="H6" s="185"/>
      <x:c r="I6" s="185"/>
      <x:c r="J6" s="185"/>
      <x:c r="K6" s="185"/>
      <x:c r="L6" s="185"/>
      <x:c r="M6" s="185"/>
      <x:c r="N6" s="185"/>
      <x:c r="O6" s="185"/>
    </x:row>
    <x:row r="7">
      <x:c r="A7" s="196" t="str">
        <x:v>Поисковый спрос</x:v>
      </x:c>
      <x:c r="B7" s="224" t="n">
        <x:v>25000</x:v>
      </x:c>
      <x:c r="C7" s="224" t="n">
        <x:v>80000</x:v>
      </x:c>
      <x:c r="D7" s="224" t="n">
        <x:v>180000</x:v>
      </x:c>
      <x:c r="E7" s="187" t="str">
        <x:v>Можно заменить данными из Excel по поисковому спросу</x:v>
      </x:c>
      <x:c r="F7" s="185"/>
      <x:c r="G7" s="185"/>
      <x:c r="H7" s="185"/>
      <x:c r="I7" s="185"/>
      <x:c r="J7" s="185"/>
      <x:c r="K7" s="185"/>
      <x:c r="L7" s="185"/>
      <x:c r="M7" s="185"/>
      <x:c r="N7" s="185"/>
      <x:c r="O7" s="185"/>
    </x:row>
    <x:row r="8">
      <x:c r="A8" s="196" t="str">
        <x:v>Количество потенциальных клиентов</x:v>
      </x:c>
      <x:c r="B8" s="224" t="n">
        <x:v>30000</x:v>
      </x:c>
      <x:c r="C8" s="224" t="n">
        <x:v>120000</x:v>
      </x:c>
      <x:c r="D8" s="224" t="n">
        <x:v>280000</x:v>
      </x:c>
      <x:c r="E8" s="187" t="str">
        <x:v>Можно заменить данными из клиентской методики</x:v>
      </x:c>
      <x:c r="F8" s="185"/>
      <x:c r="G8" s="185"/>
      <x:c r="H8" s="185"/>
      <x:c r="I8" s="185"/>
      <x:c r="J8" s="185"/>
      <x:c r="K8" s="185"/>
      <x:c r="L8" s="185"/>
      <x:c r="M8" s="185"/>
      <x:c r="N8" s="185"/>
      <x:c r="O8" s="185"/>
    </x:row>
    <x:row r="9">
      <x:c r="A9" s="196" t="str">
        <x:v>Сверху вниз / снизу вверх</x:v>
      </x:c>
      <x:c r="B9" s="224" t="n">
        <x:v>35000</x:v>
      </x:c>
      <x:c r="C9" s="224" t="n">
        <x:v>140000</x:v>
      </x:c>
      <x:c r="D9" s="224" t="n">
        <x:v>350000</x:v>
      </x:c>
      <x:c r="E9" s="187" t="str">
        <x:v>Можно заменить отдельным расчетом</x:v>
      </x:c>
      <x:c r="F9" s="185"/>
      <x:c r="G9" s="185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85"/>
      <x:c r="B10" s="228"/>
      <x:c r="C10" s="228"/>
      <x:c r="D10" s="228"/>
      <x:c r="E10" s="187"/>
      <x:c r="F10" s="185"/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86" t="str">
        <x:v>Итоговый диапазон</x:v>
      </x:c>
      <x:c r="B11" s="229" t="str">
        <x:v>Осторожный</x:v>
      </x:c>
      <x:c r="C11" s="229" t="str">
        <x:v>Базовый</x:v>
      </x:c>
      <x:c r="D11" s="229" t="str">
        <x:v>Оптимистичный</x:v>
      </x:c>
      <x:c r="E11" s="230" t="str">
        <x:v>Интерпретация</x:v>
      </x:c>
      <x:c r="F11" s="185"/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85" t="str">
        <x:v>Минимум по методам</x:v>
      </x:c>
      <x:c r="B12" s="225" t="n">
        <x:f>MIN(B5:B9)</x:f>
        <x:v>278.00682624000007</x:v>
      </x:c>
      <x:c r="C12" s="225" t="n">
        <x:f>MIN(C5:C9)</x:f>
        <x:v>28787.922774</x:v>
      </x:c>
      <x:c r="D12" s="225" t="n">
        <x:f>MIN(D5:D9)</x:f>
        <x:v>180000</x:v>
      </x:c>
      <x:c r="E12" s="187" t="str">
        <x:v>Нижняя граница с учетом всех подходов</x:v>
      </x:c>
      <x:c r="F12" s="185"/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85" t="str">
        <x:v>Среднее по методам</x:v>
      </x:c>
      <x:c r="B13" s="225" t="n">
        <x:f>AVERAGE(B5:B9)</x:f>
        <x:v>18333.608191487998</x:v>
      </x:c>
      <x:c r="C13" s="225" t="n">
        <x:f>AVERAGE(C5:C9)</x:f>
        <x:v>92949.5330708</x:v>
      </x:c>
      <x:c r="D13" s="225" t="n">
        <x:f>AVERAGE(D5:D9)</x:f>
        <x:v>933658.4929247998</x:v>
      </x:c>
      <x:c r="E13" s="187" t="str">
        <x:v>Ориентир при сбалансированных допущениях</x:v>
      </x:c>
      <x:c r="F13" s="185"/>
      <x:c r="G13" s="185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5" t="str">
        <x:v>Максимум по методам</x:v>
      </x:c>
      <x:c r="B14" s="225" t="n">
        <x:f>MAX(B5:B9)</x:f>
        <x:v>35000</x:v>
      </x:c>
      <x:c r="C14" s="225" t="n">
        <x:f>MAX(C5:C9)</x:f>
        <x:v>140000</x:v>
      </x:c>
      <x:c r="D14" s="225" t="n">
        <x:f>MAX(D5:D9)</x:f>
        <x:v>2288817.5637599993</x:v>
      </x:c>
      <x:c r="E14" s="187" t="str">
        <x:v>Верхняя граница с учетом всех подходов</x:v>
      </x:c>
      <x:c r="F14" s="185"/>
      <x:c r="G14" s="185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5" t="str">
        <x:v>Рекомендуемый диапазон</x:v>
      </x:c>
      <x:c r="B15" s="196" t="str">
        <x:f>B12&amp;" – "&amp;B14</x:f>
        <x:v>278.00682624000007 – 35000</x:v>
      </x:c>
      <x:c r="C15" s="196" t="str">
        <x:f>C12&amp;" – "&amp;C14</x:f>
        <x:v>28787.922774 – 140000</x:v>
      </x:c>
      <x:c r="D15" s="196" t="str">
        <x:f>D12&amp;" – "&amp;D14</x:f>
        <x:v>180000 – 2288817.5637599993</x:v>
      </x:c>
      <x:c r="E15" s="187" t="str">
        <x:v>Диапазон для управленческого вывода</x:v>
      </x:c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85"/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H1"/>
  </x:mergeCells>
  <x:conditionalFormatting sqref="B5:D9">
    <x:cfRule type="colorScale" priority="1">
      <x:colorScale>
        <x:cfvo type="min"/>
        <x:cfvo type="percentile" val="50"/>
        <x:cfvo type="max"/>
        <x:color rgb="FCE4D6"/>
        <x:color rgb="FFF2CC"/>
        <x:color rgb="DDEF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f8ff2a017d444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4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184" t="str">
        <x:v>Итоговая панель сценарной оценки рынка</x:v>
      </x:c>
      <x:c r="B1" s="184"/>
      <x:c r="C1" s="184"/>
      <x:c r="D1" s="184"/>
      <x:c r="E1" s="184"/>
      <x:c r="F1" s="184"/>
      <x:c r="G1" s="184"/>
      <x:c r="H1" s="184"/>
      <x:c r="I1" s="185"/>
      <x:c r="J1" s="185"/>
      <x:c r="K1" s="185"/>
      <x:c r="L1" s="185"/>
      <x:c r="M1" s="185"/>
      <x:c r="N1" s="185"/>
      <x:c r="O1" s="185"/>
    </x:row>
    <x:row r="2">
      <x:c r="A2" s="185"/>
      <x:c r="B2" s="185"/>
      <x:c r="C2" s="185"/>
      <x:c r="D2" s="185"/>
      <x:c r="E2" s="185"/>
      <x:c r="F2" s="185"/>
      <x:c r="G2" s="185"/>
      <x:c r="H2" s="185"/>
      <x:c r="I2" s="185"/>
      <x:c r="J2" s="185"/>
      <x:c r="K2" s="185"/>
      <x:c r="L2" s="185"/>
      <x:c r="M2" s="185"/>
      <x:c r="N2" s="185"/>
      <x:c r="O2" s="185"/>
    </x:row>
    <x:row r="3">
      <x:c r="A3" s="186" t="str">
        <x:v>Показатель</x:v>
      </x:c>
      <x:c r="B3" s="186" t="str">
        <x:v>Значение</x:v>
      </x:c>
      <x:c r="C3" s="185"/>
      <x:c r="D3" s="215" t="str">
        <x:v>Сценарная сводка</x:v>
      </x:c>
      <x:c r="E3" s="215" t="str"/>
      <x:c r="F3" s="215" t="str"/>
      <x:c r="G3" s="215" t="str"/>
      <x:c r="H3" s="215" t="str"/>
      <x:c r="I3" s="185"/>
      <x:c r="J3" s="185"/>
      <x:c r="K3" s="185"/>
      <x:c r="L3" s="185"/>
      <x:c r="M3" s="185"/>
      <x:c r="N3" s="185"/>
      <x:c r="O3" s="185"/>
    </x:row>
    <x:row r="4">
      <x:c r="A4" s="196" t="str">
        <x:v>Бизнес-идея</x:v>
      </x:c>
      <x:c r="B4" s="196" t="str">
        <x:f>'01_Параметры'!B4</x:f>
        <x:v>Маркетинговое сопровождение малого бизнеса</x:v>
      </x:c>
      <x:c r="C4" s="185"/>
      <x:c r="D4" s="186" t="str">
        <x:v>Показатель</x:v>
      </x:c>
      <x:c r="E4" s="186" t="str">
        <x:v>Осторожный</x:v>
      </x:c>
      <x:c r="F4" s="186" t="str">
        <x:v>Базовый</x:v>
      </x:c>
      <x:c r="G4" s="186" t="str">
        <x:v>Оптимистичный</x:v>
      </x:c>
      <x:c r="H4" s="186" t="str">
        <x:v>Комментарий</x:v>
      </x:c>
      <x:c r="I4" s="185"/>
      <x:c r="J4" s="185"/>
      <x:c r="K4" s="185"/>
      <x:c r="L4" s="185"/>
      <x:c r="M4" s="185"/>
      <x:c r="N4" s="185"/>
      <x:c r="O4" s="185"/>
    </x:row>
    <x:row r="5">
      <x:c r="A5" s="196" t="str">
        <x:v>География</x:v>
      </x:c>
      <x:c r="B5" s="196" t="str">
        <x:f>'01_Параметры'!B5</x:f>
        <x:v>Республика Беларусь</x:v>
      </x:c>
      <x:c r="C5" s="185"/>
      <x:c r="D5" s="196" t="str">
        <x:v>Рыночный трафик/год</x:v>
      </x:c>
      <x:c r="E5" s="213" t="n">
        <x:f>'03_Сценарии'!G5</x:f>
        <x:v>386120.59200000006</x:v>
      </x:c>
      <x:c r="F5" s="213" t="n">
        <x:f>'03_Сценарии'!G6</x:f>
        <x:v>710812.908</x:v>
      </x:c>
      <x:c r="G5" s="213" t="n">
        <x:f>'03_Сценарии'!G7</x:f>
        <x:v>1211014.5839999998</x:v>
      </x:c>
      <x:c r="H5" s="187" t="str">
        <x:v>Visits, Similarweb-based</x:v>
      </x:c>
      <x:c r="I5" s="185"/>
      <x:c r="J5" s="185"/>
      <x:c r="K5" s="185"/>
      <x:c r="L5" s="185"/>
      <x:c r="M5" s="185"/>
      <x:c r="N5" s="185"/>
      <x:c r="O5" s="185"/>
    </x:row>
    <x:row r="6">
      <x:c r="A6" s="196" t="str">
        <x:v>Базовый рыночный трафик/год</x:v>
      </x:c>
      <x:c r="B6" s="213" t="n">
        <x:f>'03_Сценарии'!G6</x:f>
        <x:v>710812.908</x:v>
      </x:c>
      <x:c r="C6" s="185"/>
      <x:c r="D6" s="196" t="str">
        <x:v>Выручка рынка/год</x:v>
      </x:c>
      <x:c r="E6" s="225" t="n">
        <x:f>'04_Воронка'!H5</x:f>
        <x:v>278006.82624</x:v>
      </x:c>
      <x:c r="F6" s="225" t="n">
        <x:f>'04_Воронка'!H6</x:f>
        <x:v>6397316.172</x:v>
      </x:c>
      <x:c r="G6" s="225" t="n">
        <x:f>'04_Воронка'!H7</x:f>
        <x:v>57220439.09399998</x:v>
      </x:c>
      <x:c r="H6" s="187" t="str">
        <x:v>Market revenue through funnel</x:v>
      </x:c>
      <x:c r="I6" s="185"/>
      <x:c r="J6" s="185"/>
      <x:c r="K6" s="185"/>
      <x:c r="L6" s="185"/>
      <x:c r="M6" s="185"/>
      <x:c r="N6" s="185"/>
      <x:c r="O6" s="185"/>
    </x:row>
    <x:row r="7">
      <x:c r="A7" s="196" t="str">
        <x:v>Базовая выручка рынка/год</x:v>
      </x:c>
      <x:c r="B7" s="225" t="n">
        <x:f>'04_Воронка'!H6</x:f>
        <x:v>6397316.172</x:v>
      </x:c>
      <x:c r="C7" s="185"/>
      <x:c r="D7" s="196" t="str">
        <x:v>Достижимая выручка/год</x:v>
      </x:c>
      <x:c r="E7" s="225" t="n">
        <x:f>'04_Воронка'!J5</x:f>
        <x:v>1390.0341312</x:v>
      </x:c>
      <x:c r="F7" s="225" t="n">
        <x:f>'04_Воронка'!J6</x:f>
        <x:v>95959.74258</x:v>
      </x:c>
      <x:c r="G7" s="225" t="n">
        <x:f>'04_Воронка'!J7</x:f>
        <x:v>2288817.5637599993</x:v>
      </x:c>
      <x:c r="H7" s="187" t="str">
        <x:v>SOM</x:v>
      </x:c>
      <x:c r="I7" s="185"/>
      <x:c r="J7" s="185"/>
      <x:c r="K7" s="185"/>
      <x:c r="L7" s="185"/>
      <x:c r="M7" s="185"/>
      <x:c r="N7" s="185"/>
      <x:c r="O7" s="185"/>
    </x:row>
    <x:row r="8">
      <x:c r="A8" s="196" t="str">
        <x:v>Базовая достижимая выручка/год</x:v>
      </x:c>
      <x:c r="B8" s="225" t="n">
        <x:f>'04_Воронка'!J6</x:f>
        <x:v>95959.74258</x:v>
      </x:c>
      <x:c r="C8" s="185"/>
      <x:c r="D8" s="196" t="str">
        <x:v>GMV платформы/год</x:v>
      </x:c>
      <x:c r="E8" s="225" t="n">
        <x:f>'05_Платформа'!G5</x:f>
        <x:v>695017.0656000001</x:v>
      </x:c>
      <x:c r="F8" s="225" t="n">
        <x:f>'05_Платформа'!G6</x:f>
        <x:v>19191948.516</x:v>
      </x:c>
      <x:c r="G8" s="225" t="n">
        <x:f>'05_Платформа'!G7</x:f>
        <x:v>261579150.14399993</x:v>
      </x:c>
      <x:c r="H8" s="187" t="str">
        <x:v>Only for platform model</x:v>
      </x:c>
      <x:c r="I8" s="185"/>
      <x:c r="J8" s="185"/>
      <x:c r="K8" s="185"/>
      <x:c r="L8" s="185"/>
      <x:c r="M8" s="185"/>
      <x:c r="N8" s="185"/>
      <x:c r="O8" s="185"/>
    </x:row>
    <x:row r="9">
      <x:c r="A9" s="196" t="str">
        <x:v>Базовая выручка платформы/год</x:v>
      </x:c>
      <x:c r="B9" s="225" t="n">
        <x:f>'05_Платформа'!I6</x:f>
        <x:v>1919194.8516</x:v>
      </x:c>
      <x:c r="C9" s="185"/>
      <x:c r="D9" s="196" t="str">
        <x:v>Выручка платформы/год</x:v>
      </x:c>
      <x:c r="E9" s="225" t="n">
        <x:f>'05_Платформа'!I5</x:f>
        <x:v>55601.36524800001</x:v>
      </x:c>
      <x:c r="F9" s="225" t="n">
        <x:f>'05_Платформа'!I6</x:f>
        <x:v>1919194.8516</x:v>
      </x:c>
      <x:c r="G9" s="225" t="n">
        <x:f>'05_Платформа'!I7</x:f>
        <x:v>39236872.521599986</x:v>
      </x:c>
      <x:c r="H9" s="187" t="str">
        <x:v>Commission revenue</x:v>
      </x:c>
      <x:c r="I9" s="185"/>
      <x:c r="J9" s="185"/>
      <x:c r="K9" s="185"/>
      <x:c r="L9" s="185"/>
      <x:c r="M9" s="185"/>
      <x:c r="N9" s="185"/>
      <x:c r="O9" s="185"/>
    </x:row>
    <x:row r="10">
      <x:c r="A10" s="196" t="str">
        <x:v>Итоговый средний ориентир</x:v>
      </x:c>
      <x:c r="B10" s="225" t="n">
        <x:f>'06_Сверка'!C13</x:f>
        <x:v>92949.5330708</x:v>
      </x:c>
      <x:c r="C10" s="185"/>
      <x:c r="D10" s="185"/>
      <x:c r="E10" s="185"/>
      <x:c r="F10" s="185"/>
      <x:c r="G10" s="185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85"/>
      <x:c r="B11" s="185"/>
      <x:c r="C11" s="185"/>
      <x:c r="D11" s="185"/>
      <x:c r="E11" s="185"/>
      <x:c r="F11" s="185"/>
      <x:c r="G11" s="185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85"/>
      <x:c r="B12" s="185"/>
      <x:c r="C12" s="185"/>
      <x:c r="D12" s="185"/>
      <x:c r="E12" s="185"/>
      <x:c r="F12" s="185"/>
      <x:c r="G12" s="185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215" t="str">
        <x:v>Шаблон итогового вывода</x:v>
      </x:c>
      <x:c r="B13" s="215" t="str"/>
      <x:c r="C13" s="215" t="str"/>
      <x:c r="D13" s="215" t="str"/>
      <x:c r="E13" s="215" t="str"/>
      <x:c r="F13" s="215" t="str"/>
      <x:c r="G13" s="215" t="str"/>
      <x:c r="H13" s="215" t="str"/>
      <x:c r="I13" s="185"/>
      <x:c r="J13" s="185"/>
      <x:c r="K13" s="185"/>
      <x:c r="L13" s="185"/>
      <x:c r="M13" s="185"/>
      <x:c r="N13" s="185"/>
      <x:c r="O13" s="185"/>
    </x:row>
    <x:row r="14">
      <x:c r="A14" s="187" t="str">
        <x:v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— верхнюю границу при благоприятных условиях. Итоговый вывод должен сопровождаться указанием источников данных и ограничений Similarweb.</x:v>
      </x:c>
      <x:c r="B14" s="187" t="str"/>
      <x:c r="C14" s="187" t="str"/>
      <x:c r="D14" s="187" t="str"/>
      <x:c r="E14" s="187" t="str"/>
      <x:c r="F14" s="187" t="str"/>
      <x:c r="G14" s="187" t="str"/>
      <x:c r="H14" s="187" t="str"/>
      <x:c r="I14" s="185"/>
      <x:c r="J14" s="185"/>
      <x:c r="K14" s="185"/>
      <x:c r="L14" s="185"/>
      <x:c r="M14" s="185"/>
      <x:c r="N14" s="185"/>
      <x:c r="O14" s="185"/>
    </x:row>
    <x:row r="15">
      <x:c r="A15" s="187" t="str"/>
      <x:c r="B15" s="187" t="str"/>
      <x:c r="C15" s="187" t="str"/>
      <x:c r="D15" s="187" t="str"/>
      <x:c r="E15" s="187" t="str"/>
      <x:c r="F15" s="187" t="str"/>
      <x:c r="G15" s="187" t="str"/>
      <x:c r="H15" s="187" t="str"/>
      <x:c r="I15" s="185"/>
      <x:c r="J15" s="185"/>
      <x:c r="K15" s="185"/>
      <x:c r="L15" s="185"/>
      <x:c r="M15" s="185"/>
      <x:c r="N15" s="185"/>
      <x:c r="O15" s="185"/>
    </x:row>
    <x:row r="16">
      <x:c r="A16" s="187" t="str"/>
      <x:c r="B16" s="187" t="str"/>
      <x:c r="C16" s="187" t="str"/>
      <x:c r="D16" s="187" t="str"/>
      <x:c r="E16" s="187" t="str"/>
      <x:c r="F16" s="187" t="str"/>
      <x:c r="G16" s="187" t="str"/>
      <x:c r="H16" s="187" t="str"/>
      <x:c r="I16" s="185"/>
      <x:c r="J16" s="185"/>
      <x:c r="K16" s="185"/>
      <x:c r="L16" s="185"/>
      <x:c r="M16" s="185"/>
      <x:c r="N16" s="185"/>
      <x:c r="O16" s="185"/>
    </x:row>
    <x:row r="17">
      <x:c r="A17" s="185"/>
      <x:c r="B17" s="185"/>
      <x:c r="C17" s="185"/>
      <x:c r="D17" s="185"/>
      <x:c r="E17" s="185"/>
      <x:c r="F17" s="185"/>
      <x:c r="G17" s="185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H1"/>
    <x:mergeCell ref="D3:H3"/>
    <x:mergeCell ref="A13:H13"/>
    <x:mergeCell ref="A14:H16"/>
  </x:mergeCells>
  <x:pageMargins left="0.7" right="0.7" top="0.75" bottom="0.75" header="0.3" footer="0.3"/>
  <x:drawing xmlns:r="http://schemas.openxmlformats.org/officeDocument/2006/relationships" r:id="R9b6c471b76684f88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52" hidden="0" customWidth="1"/>
    <x:col min="4" max="4" width="34" hidden="0" customWidth="1"/>
    <x:col min="5" max="5" width="15" hidden="0" customWidth="1"/>
    <x:col min="6" max="6" width="20" hidden="0" customWidth="1"/>
    <x:col min="7" max="7" width="44" hidden="0" customWidth="1"/>
  </x:cols>
  <x:sheetData>
    <x:row r="1" ht="30" customHeight="1">
      <x:c r="A1" s="184" t="str">
        <x:v>Журнал источников данных и ограничений</x:v>
      </x:c>
      <x:c r="B1" s="184"/>
      <x:c r="C1" s="184"/>
      <x:c r="D1" s="184"/>
      <x:c r="E1" s="184"/>
      <x:c r="F1" s="184"/>
      <x:c r="G1" s="184"/>
      <x:c r="H1" s="185"/>
      <x:c r="I1" s="185"/>
      <x:c r="J1" s="185"/>
      <x:c r="K1" s="185"/>
      <x:c r="L1" s="185"/>
      <x:c r="M1" s="185"/>
      <x:c r="N1" s="185"/>
      <x:c r="O1" s="185"/>
    </x:row>
    <x:row r="2">
      <x:c r="A2" s="185"/>
      <x:c r="B2" s="185"/>
      <x:c r="C2" s="185"/>
      <x:c r="D2" s="185"/>
      <x:c r="E2" s="185"/>
      <x:c r="F2" s="185"/>
      <x:c r="G2" s="185"/>
      <x:c r="H2" s="185"/>
      <x:c r="I2" s="185"/>
      <x:c r="J2" s="185"/>
      <x:c r="K2" s="185"/>
      <x:c r="L2" s="185"/>
      <x:c r="M2" s="185"/>
      <x:c r="N2" s="185"/>
      <x:c r="O2" s="185"/>
    </x:row>
    <x:row r="3">
      <x:c r="A3" s="186" t="str">
        <x:v>№</x:v>
      </x:c>
      <x:c r="B3" s="186" t="str">
        <x:v>Источник</x:v>
      </x:c>
      <x:c r="C3" s="186" t="str">
        <x:v>URL</x:v>
      </x:c>
      <x:c r="D3" s="186" t="str">
        <x:v>Какие данные используются</x:v>
      </x:c>
      <x:c r="E3" s="186" t="str">
        <x:v>Дата обращения</x:v>
      </x:c>
      <x:c r="F3" s="186" t="str">
        <x:v>Уровень надежности</x:v>
      </x:c>
      <x:c r="G3" s="186" t="str">
        <x:v>Комментарий / ограничение</x:v>
      </x:c>
      <x:c r="H3" s="185"/>
      <x:c r="I3" s="185"/>
      <x:c r="J3" s="185"/>
      <x:c r="K3" s="185"/>
      <x:c r="L3" s="185"/>
      <x:c r="M3" s="185"/>
      <x:c r="N3" s="185"/>
      <x:c r="O3" s="185"/>
    </x:row>
    <x:row r="4">
      <x:c r="A4" s="198" t="n">
        <x:v>1</x:v>
      </x:c>
      <x:c r="B4" s="185" t="str">
        <x:v>Similarweb Website Traffic Checker</x:v>
      </x:c>
      <x:c r="C4" s="189" t="str">
        <x:v>https://www.similarweb.com/website/</x:v>
      </x:c>
      <x:c r="D4" s="185" t="str">
        <x:v>Посещаемость сайта, каналы трафика, география, похожие сайты</x:v>
      </x:c>
      <x:c r="E4" s="234" t="n">
        <x:v>46145</x:v>
      </x:c>
      <x:c r="F4" s="185" t="str">
        <x:v>оценочные данные</x:v>
      </x:c>
      <x:c r="G4" s="189" t="str">
        <x:v>При бесплатном доступе доступен ограниченный набор показателей</x:v>
      </x:c>
      <x:c r="H4" s="185"/>
      <x:c r="I4" s="185"/>
      <x:c r="J4" s="185"/>
      <x:c r="K4" s="185"/>
      <x:c r="L4" s="185"/>
      <x:c r="M4" s="185"/>
      <x:c r="N4" s="185"/>
      <x:c r="O4" s="185"/>
    </x:row>
    <x:row r="5">
      <x:c r="A5" s="198" t="n">
        <x:v>2</x:v>
      </x:c>
      <x:c r="B5" s="185" t="str">
        <x:v>Similarweb Data Methodology</x:v>
      </x:c>
      <x:c r="C5" s="189" t="str">
        <x:v>https://support.similarweb.com/hc/en-us/articles/360001631538-Similarweb-Data-Methodology</x:v>
      </x:c>
      <x:c r="D5" s="185" t="str">
        <x:v>Методологическое описание природы данных Similarweb</x:v>
      </x:c>
      <x:c r="E5" s="234" t="n">
        <x:v>46145</x:v>
      </x:c>
      <x:c r="F5" s="185" t="str">
        <x:v>методологический источник</x:v>
      </x:c>
      <x:c r="G5" s="189" t="str">
        <x:v>Данные основаны на цифровых сигналах, синтезе и моделировании</x:v>
      </x:c>
      <x:c r="H5" s="185"/>
      <x:c r="I5" s="185"/>
      <x:c r="J5" s="185"/>
      <x:c r="K5" s="185"/>
      <x:c r="L5" s="185"/>
      <x:c r="M5" s="185"/>
      <x:c r="N5" s="185"/>
      <x:c r="O5" s="185"/>
    </x:row>
    <x:row r="6">
      <x:c r="A6" s="198" t="n">
        <x:v>3</x:v>
      </x:c>
      <x:c r="B6" s="185" t="str">
        <x:v>Similarweb Data Exporter</x:v>
      </x:c>
      <x:c r="C6" s="189" t="str">
        <x:v>https://support.similarweb.com/hc/en-us/articles/13252032019101-Data-Exporter</x:v>
      </x:c>
      <x:c r="D6" s="185" t="str">
        <x:v>Выгрузки, если доступна соответствующая подписка</x:v>
      </x:c>
      <x:c r="E6" s="234" t="n">
        <x:v>46145</x:v>
      </x:c>
      <x:c r="F6" s="185" t="str">
        <x:v>официальная справка</x:v>
      </x:c>
      <x:c r="G6" s="189" t="str">
        <x:v>Полные выгрузки зависят от тарифа и прав доступа</x:v>
      </x:c>
      <x:c r="H6" s="185"/>
      <x:c r="I6" s="185"/>
      <x:c r="J6" s="185"/>
      <x:c r="K6" s="185"/>
      <x:c r="L6" s="185"/>
      <x:c r="M6" s="185"/>
      <x:c r="N6" s="185"/>
      <x:c r="O6" s="185"/>
    </x:row>
    <x:row r="7">
      <x:c r="A7" s="198" t="n">
        <x:v>4</x:v>
      </x:c>
      <x:c r="B7" s="185" t="str">
        <x:v>Сайты конкурентов</x:v>
      </x:c>
      <x:c r="C7" s="189" t="str">
        <x:v>[вставить URL]</x:v>
      </x:c>
      <x:c r="D7" s="185" t="str">
        <x:v>Прайсы, услуги, средний чек, позиционирование</x:v>
      </x:c>
      <x:c r="E7" s="234" t="n">
        <x:v>46145</x:v>
      </x:c>
      <x:c r="F7" s="185" t="str">
        <x:v>проверяемый источник</x:v>
      </x:c>
      <x:c r="G7" s="189" t="str">
        <x:v>Требуется ручная фиксация даты и условий</x:v>
      </x:c>
      <x:c r="H7" s="185"/>
      <x:c r="I7" s="185"/>
      <x:c r="J7" s="185"/>
      <x:c r="K7" s="185"/>
      <x:c r="L7" s="185"/>
      <x:c r="M7" s="185"/>
      <x:c r="N7" s="185"/>
      <x:c r="O7" s="185"/>
    </x:row>
    <x:row r="8">
      <x:c r="A8" s="198" t="n">
        <x:v>5</x:v>
      </x:c>
      <x:c r="B8" s="185" t="str">
        <x:v>Google Trends / Яндекс Вордстат</x:v>
      </x:c>
      <x:c r="C8" s="189" t="str">
        <x:v>[вставить URL]</x:v>
      </x:c>
      <x:c r="D8" s="185" t="str">
        <x:v>Проверка интереса аудитории и сезонности</x:v>
      </x:c>
      <x:c r="E8" s="234" t="n">
        <x:v>46145</x:v>
      </x:c>
      <x:c r="F8" s="185" t="str">
        <x:v>дополнительный источник</x:v>
      </x:c>
      <x:c r="G8" s="189" t="str">
        <x:v>Используется для сопоставления с Similarweb</x:v>
      </x:c>
      <x:c r="H8" s="185"/>
      <x:c r="I8" s="185"/>
      <x:c r="J8" s="185"/>
      <x:c r="K8" s="185"/>
      <x:c r="L8" s="185"/>
      <x:c r="M8" s="185"/>
      <x:c r="N8" s="185"/>
      <x:c r="O8" s="185"/>
    </x:row>
    <x:row r="9">
      <x:c r="A9" s="189" t="n">
        <x:v>6</x:v>
      </x:c>
      <x:c r="B9" s="189"/>
      <x:c r="C9" s="189"/>
      <x:c r="D9" s="189"/>
      <x:c r="E9" s="189"/>
      <x:c r="F9" s="189"/>
      <x:c r="G9" s="189"/>
      <x:c r="H9" s="185"/>
      <x:c r="I9" s="185"/>
      <x:c r="J9" s="185"/>
      <x:c r="K9" s="185"/>
      <x:c r="L9" s="185"/>
      <x:c r="M9" s="185"/>
      <x:c r="N9" s="185"/>
      <x:c r="O9" s="185"/>
    </x:row>
    <x:row r="10">
      <x:c r="A10" s="189" t="n">
        <x:v>7</x:v>
      </x:c>
      <x:c r="B10" s="189"/>
      <x:c r="C10" s="189"/>
      <x:c r="D10" s="189"/>
      <x:c r="E10" s="189"/>
      <x:c r="F10" s="189"/>
      <x:c r="G10" s="189"/>
      <x:c r="H10" s="185"/>
      <x:c r="I10" s="185"/>
      <x:c r="J10" s="185"/>
      <x:c r="K10" s="185"/>
      <x:c r="L10" s="185"/>
      <x:c r="M10" s="185"/>
      <x:c r="N10" s="185"/>
      <x:c r="O10" s="185"/>
    </x:row>
    <x:row r="11">
      <x:c r="A11" s="189" t="n">
        <x:v>8</x:v>
      </x:c>
      <x:c r="B11" s="189"/>
      <x:c r="C11" s="189"/>
      <x:c r="D11" s="189"/>
      <x:c r="E11" s="189"/>
      <x:c r="F11" s="189"/>
      <x:c r="G11" s="189"/>
      <x:c r="H11" s="185"/>
      <x:c r="I11" s="185"/>
      <x:c r="J11" s="185"/>
      <x:c r="K11" s="185"/>
      <x:c r="L11" s="185"/>
      <x:c r="M11" s="185"/>
      <x:c r="N11" s="185"/>
      <x:c r="O11" s="185"/>
    </x:row>
    <x:row r="12">
      <x:c r="A12" s="189" t="n">
        <x:v>9</x:v>
      </x:c>
      <x:c r="B12" s="189"/>
      <x:c r="C12" s="189"/>
      <x:c r="D12" s="189"/>
      <x:c r="E12" s="189"/>
      <x:c r="F12" s="189"/>
      <x:c r="G12" s="189"/>
      <x:c r="H12" s="185"/>
      <x:c r="I12" s="185"/>
      <x:c r="J12" s="185"/>
      <x:c r="K12" s="185"/>
      <x:c r="L12" s="185"/>
      <x:c r="M12" s="185"/>
      <x:c r="N12" s="185"/>
      <x:c r="O12" s="185"/>
    </x:row>
    <x:row r="13">
      <x:c r="A13" s="189" t="n">
        <x:v>10</x:v>
      </x:c>
      <x:c r="B13" s="189"/>
      <x:c r="C13" s="189"/>
      <x:c r="D13" s="189"/>
      <x:c r="E13" s="189"/>
      <x:c r="F13" s="189"/>
      <x:c r="G13" s="189"/>
      <x:c r="H13" s="185"/>
      <x:c r="I13" s="185"/>
      <x:c r="J13" s="185"/>
      <x:c r="K13" s="185"/>
      <x:c r="L13" s="185"/>
      <x:c r="M13" s="185"/>
      <x:c r="N13" s="185"/>
      <x:c r="O13" s="185"/>
    </x:row>
    <x:row r="14">
      <x:c r="A14" s="189" t="n">
        <x:v>11</x:v>
      </x:c>
      <x:c r="B14" s="189"/>
      <x:c r="C14" s="189"/>
      <x:c r="D14" s="189"/>
      <x:c r="E14" s="189"/>
      <x:c r="F14" s="189"/>
      <x:c r="G14" s="189"/>
      <x:c r="H14" s="185"/>
      <x:c r="I14" s="185"/>
      <x:c r="J14" s="185"/>
      <x:c r="K14" s="185"/>
      <x:c r="L14" s="185"/>
      <x:c r="M14" s="185"/>
      <x:c r="N14" s="185"/>
      <x:c r="O14" s="185"/>
    </x:row>
    <x:row r="15">
      <x:c r="A15" s="189" t="n">
        <x:v>12</x:v>
      </x:c>
      <x:c r="B15" s="189"/>
      <x:c r="C15" s="189"/>
      <x:c r="D15" s="189"/>
      <x:c r="E15" s="189"/>
      <x:c r="F15" s="189"/>
      <x:c r="G15" s="189"/>
      <x:c r="H15" s="185"/>
      <x:c r="I15" s="185"/>
      <x:c r="J15" s="185"/>
      <x:c r="K15" s="185"/>
      <x:c r="L15" s="185"/>
      <x:c r="M15" s="185"/>
      <x:c r="N15" s="185"/>
      <x:c r="O15" s="185"/>
    </x:row>
    <x:row r="16">
      <x:c r="A16" s="189" t="n">
        <x:v>13</x:v>
      </x:c>
      <x:c r="B16" s="189"/>
      <x:c r="C16" s="189"/>
      <x:c r="D16" s="189"/>
      <x:c r="E16" s="189"/>
      <x:c r="F16" s="189"/>
      <x:c r="G16" s="189"/>
      <x:c r="H16" s="185"/>
      <x:c r="I16" s="185"/>
      <x:c r="J16" s="185"/>
      <x:c r="K16" s="185"/>
      <x:c r="L16" s="185"/>
      <x:c r="M16" s="185"/>
      <x:c r="N16" s="185"/>
      <x:c r="O16" s="185"/>
    </x:row>
    <x:row r="17">
      <x:c r="A17" s="189" t="n">
        <x:v>14</x:v>
      </x:c>
      <x:c r="B17" s="189"/>
      <x:c r="C17" s="189"/>
      <x:c r="D17" s="189"/>
      <x:c r="E17" s="189"/>
      <x:c r="F17" s="189"/>
      <x:c r="G17" s="189"/>
      <x:c r="H17" s="185"/>
      <x:c r="I17" s="185"/>
      <x:c r="J17" s="185"/>
      <x:c r="K17" s="185"/>
      <x:c r="L17" s="185"/>
      <x:c r="M17" s="185"/>
      <x:c r="N17" s="185"/>
      <x:c r="O17" s="185"/>
    </x:row>
    <x:row r="18">
      <x:c r="A18" s="189" t="n">
        <x:v>15</x:v>
      </x:c>
      <x:c r="B18" s="189"/>
      <x:c r="C18" s="189"/>
      <x:c r="D18" s="189"/>
      <x:c r="E18" s="189"/>
      <x:c r="F18" s="189"/>
      <x:c r="G18" s="189"/>
      <x:c r="H18" s="185"/>
      <x:c r="I18" s="185"/>
      <x:c r="J18" s="185"/>
      <x:c r="K18" s="185"/>
      <x:c r="L18" s="185"/>
      <x:c r="M18" s="185"/>
      <x:c r="N18" s="185"/>
      <x:c r="O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  <x:c r="M19" s="185"/>
      <x:c r="N19" s="185"/>
      <x:c r="O19" s="185"/>
    </x:row>
    <x:row r="20">
      <x:c r="A20" s="185"/>
      <x:c r="B20" s="185"/>
      <x:c r="C20" s="185"/>
      <x:c r="D20" s="185"/>
      <x:c r="E20" s="185"/>
      <x:c r="F20" s="185"/>
      <x:c r="G20" s="185"/>
      <x:c r="H20" s="185"/>
      <x:c r="I20" s="185"/>
      <x:c r="J20" s="185"/>
      <x:c r="K20" s="185"/>
      <x:c r="L20" s="185"/>
      <x:c r="M20" s="185"/>
      <x:c r="N20" s="185"/>
      <x:c r="O20" s="185"/>
    </x:row>
    <x:row r="21">
      <x:c r="A21" s="185"/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185"/>
      <x:c r="N21" s="185"/>
      <x:c r="O21" s="185"/>
    </x:row>
    <x:row r="22">
      <x:c r="A22" s="185"/>
      <x:c r="B22" s="185"/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  <x:c r="M22" s="185"/>
      <x:c r="N22" s="185"/>
      <x:c r="O22" s="185"/>
    </x:row>
    <x:row r="23">
      <x:c r="A23" s="185"/>
      <x:c r="B23" s="185"/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  <x:c r="M23" s="185"/>
      <x:c r="N23" s="185"/>
      <x:c r="O23" s="185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185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  <x:c r="M25" s="185"/>
      <x:c r="N25" s="185"/>
      <x:c r="O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  <x:c r="M26" s="185"/>
      <x:c r="N26" s="185"/>
      <x:c r="O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  <x:c r="M27" s="185"/>
      <x:c r="N27" s="185"/>
      <x:c r="O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  <x:c r="M28" s="185"/>
      <x:c r="N28" s="185"/>
      <x:c r="O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  <x:c r="M29" s="185"/>
      <x:c r="N29" s="185"/>
      <x:c r="O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  <x:c r="M30" s="185"/>
      <x:c r="N30" s="185"/>
      <x:c r="O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  <x:c r="M31" s="185"/>
      <x:c r="N31" s="185"/>
      <x:c r="O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  <x:c r="M32" s="185"/>
      <x:c r="N32" s="185"/>
      <x:c r="O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  <x:c r="M33" s="185"/>
      <x:c r="N33" s="185"/>
      <x:c r="O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  <x:c r="M34" s="185"/>
      <x:c r="N34" s="185"/>
      <x:c r="O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  <x:c r="M35" s="185"/>
      <x:c r="N35" s="185"/>
      <x:c r="O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  <x:c r="M36" s="185"/>
      <x:c r="N36" s="185"/>
      <x:c r="O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  <x:c r="M37" s="185"/>
      <x:c r="N37" s="185"/>
      <x:c r="O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  <x:c r="M38" s="185"/>
      <x:c r="N38" s="185"/>
      <x:c r="O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  <x:c r="M39" s="185"/>
      <x:c r="N39" s="185"/>
      <x:c r="O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  <x:c r="M40" s="185"/>
      <x:c r="N40" s="185"/>
      <x:c r="O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  <x:c r="M41" s="185"/>
      <x:c r="N41" s="185"/>
      <x:c r="O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  <x:c r="M42" s="185"/>
      <x:c r="N42" s="185"/>
      <x:c r="O42" s="185"/>
    </x:row>
    <x:row r="43">
      <x:c r="A43" s="185"/>
      <x:c r="B43" s="185"/>
      <x:c r="C43" s="185"/>
      <x:c r="D43" s="185"/>
      <x:c r="E43" s="185"/>
      <x:c r="F43" s="185"/>
      <x:c r="G43" s="185"/>
      <x:c r="H43" s="185"/>
      <x:c r="I43" s="185"/>
      <x:c r="J43" s="185"/>
      <x:c r="K43" s="185"/>
      <x:c r="L43" s="185"/>
      <x:c r="M43" s="185"/>
      <x:c r="N43" s="185"/>
      <x:c r="O43" s="185"/>
    </x:row>
    <x:row r="44">
      <x:c r="A44" s="185"/>
      <x:c r="B44" s="185"/>
      <x:c r="C44" s="185"/>
      <x:c r="D44" s="185"/>
      <x:c r="E44" s="185"/>
      <x:c r="F44" s="185"/>
      <x:c r="G44" s="185"/>
      <x:c r="H44" s="185"/>
      <x:c r="I44" s="185"/>
      <x:c r="J44" s="185"/>
      <x:c r="K44" s="185"/>
      <x:c r="L44" s="185"/>
      <x:c r="M44" s="185"/>
      <x:c r="N44" s="185"/>
      <x:c r="O44" s="185"/>
    </x:row>
    <x:row r="45">
      <x:c r="A45" s="185"/>
      <x:c r="B45" s="185"/>
      <x:c r="C45" s="185"/>
      <x:c r="D45" s="185"/>
      <x:c r="E45" s="185"/>
      <x:c r="F45" s="185"/>
      <x:c r="G45" s="185"/>
      <x:c r="H45" s="185"/>
      <x:c r="I45" s="185"/>
      <x:c r="J45" s="185"/>
      <x:c r="K45" s="185"/>
      <x:c r="L45" s="185"/>
      <x:c r="M45" s="185"/>
      <x:c r="N45" s="185"/>
      <x:c r="O45" s="185"/>
    </x:row>
    <x:row r="46">
      <x:c r="A46" s="185"/>
      <x:c r="B46" s="185"/>
      <x:c r="C46" s="185"/>
      <x:c r="D46" s="185"/>
      <x:c r="E46" s="185"/>
      <x:c r="F46" s="185"/>
      <x:c r="G46" s="185"/>
      <x:c r="H46" s="185"/>
      <x:c r="I46" s="185"/>
      <x:c r="J46" s="185"/>
      <x:c r="K46" s="185"/>
      <x:c r="L46" s="185"/>
      <x:c r="M46" s="185"/>
      <x:c r="N46" s="185"/>
      <x:c r="O46" s="185"/>
    </x:row>
    <x:row r="47">
      <x:c r="A47" s="185"/>
      <x:c r="B47" s="185"/>
      <x:c r="C47" s="185"/>
      <x:c r="D47" s="185"/>
      <x:c r="E47" s="185"/>
      <x:c r="F47" s="185"/>
      <x:c r="G47" s="185"/>
      <x:c r="H47" s="185"/>
      <x:c r="I47" s="185"/>
      <x:c r="J47" s="185"/>
      <x:c r="K47" s="185"/>
      <x:c r="L47" s="185"/>
      <x:c r="M47" s="185"/>
      <x:c r="N47" s="185"/>
      <x:c r="O47" s="185"/>
    </x:row>
    <x:row r="48">
      <x:c r="A48" s="185"/>
      <x:c r="B48" s="185"/>
      <x:c r="C48" s="185"/>
      <x:c r="D48" s="185"/>
      <x:c r="E48" s="185"/>
      <x:c r="F48" s="185"/>
      <x:c r="G48" s="185"/>
      <x:c r="H48" s="185"/>
      <x:c r="I48" s="185"/>
      <x:c r="J48" s="185"/>
      <x:c r="K48" s="185"/>
      <x:c r="L48" s="185"/>
      <x:c r="M48" s="185"/>
      <x:c r="N48" s="185"/>
      <x:c r="O48" s="185"/>
    </x:row>
    <x:row r="49">
      <x:c r="A49" s="185"/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  <x:c r="N49" s="185"/>
      <x:c r="O49" s="185"/>
    </x:row>
    <x:row r="50">
      <x:c r="A50" s="185"/>
      <x:c r="B50" s="185"/>
      <x:c r="C50" s="185"/>
      <x:c r="D50" s="185"/>
      <x:c r="E50" s="185"/>
      <x:c r="F50" s="185"/>
      <x:c r="G50" s="185"/>
      <x:c r="H50" s="185"/>
      <x:c r="I50" s="185"/>
      <x:c r="J50" s="185"/>
      <x:c r="K50" s="185"/>
      <x:c r="L50" s="185"/>
      <x:c r="M50" s="185"/>
      <x:c r="N50" s="185"/>
      <x:c r="O50" s="185"/>
    </x:row>
    <x:row r="51">
      <x:c r="A51" s="185"/>
      <x:c r="B51" s="185"/>
      <x:c r="C51" s="185"/>
      <x:c r="D51" s="185"/>
      <x:c r="E51" s="185"/>
      <x:c r="F51" s="185"/>
      <x:c r="G51" s="185"/>
      <x:c r="H51" s="185"/>
      <x:c r="I51" s="185"/>
      <x:c r="J51" s="185"/>
      <x:c r="K51" s="185"/>
      <x:c r="L51" s="185"/>
      <x:c r="M51" s="185"/>
      <x:c r="N51" s="185"/>
      <x:c r="O51" s="185"/>
    </x:row>
    <x:row r="52">
      <x:c r="A52" s="185"/>
      <x:c r="B52" s="185"/>
      <x:c r="C52" s="185"/>
      <x:c r="D52" s="185"/>
      <x:c r="E52" s="185"/>
      <x:c r="F52" s="185"/>
      <x:c r="G52" s="185"/>
      <x:c r="H52" s="185"/>
      <x:c r="I52" s="185"/>
      <x:c r="J52" s="185"/>
      <x:c r="K52" s="185"/>
      <x:c r="L52" s="185"/>
      <x:c r="M52" s="185"/>
      <x:c r="N52" s="185"/>
      <x:c r="O52" s="185"/>
    </x:row>
    <x:row r="53">
      <x:c r="A53" s="185"/>
      <x:c r="B53" s="185"/>
      <x:c r="C53" s="185"/>
      <x:c r="D53" s="185"/>
      <x:c r="E53" s="185"/>
      <x:c r="F53" s="185"/>
      <x:c r="G53" s="185"/>
      <x:c r="H53" s="185"/>
      <x:c r="I53" s="185"/>
      <x:c r="J53" s="185"/>
      <x:c r="K53" s="185"/>
      <x:c r="L53" s="185"/>
      <x:c r="M53" s="185"/>
      <x:c r="N53" s="185"/>
      <x:c r="O53" s="185"/>
    </x:row>
    <x:row r="54">
      <x:c r="A54" s="185"/>
      <x:c r="B54" s="185"/>
      <x:c r="C54" s="185"/>
      <x:c r="D54" s="185"/>
      <x:c r="E54" s="185"/>
      <x:c r="F54" s="185"/>
      <x:c r="G54" s="185"/>
      <x:c r="H54" s="185"/>
      <x:c r="I54" s="185"/>
      <x:c r="J54" s="185"/>
      <x:c r="K54" s="185"/>
      <x:c r="L54" s="185"/>
      <x:c r="M54" s="185"/>
      <x:c r="N54" s="185"/>
      <x:c r="O54" s="185"/>
    </x:row>
    <x:row r="55">
      <x:c r="A55" s="185"/>
      <x:c r="B55" s="185"/>
      <x:c r="C55" s="185"/>
      <x:c r="D55" s="185"/>
      <x:c r="E55" s="185"/>
      <x:c r="F55" s="185"/>
      <x:c r="G55" s="185"/>
      <x:c r="H55" s="185"/>
      <x:c r="I55" s="185"/>
      <x:c r="J55" s="185"/>
      <x:c r="K55" s="185"/>
      <x:c r="L55" s="185"/>
      <x:c r="M55" s="185"/>
      <x:c r="N55" s="185"/>
      <x:c r="O55" s="185"/>
    </x:row>
    <x:row r="56">
      <x:c r="A56" s="185"/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  <x:c r="N56" s="185"/>
      <x:c r="O56" s="185"/>
    </x:row>
    <x:row r="57">
      <x:c r="A57" s="185"/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</x:row>
    <x:row r="58">
      <x:c r="A58" s="185"/>
      <x:c r="B58" s="185"/>
      <x:c r="C58" s="185"/>
      <x:c r="D58" s="185"/>
      <x:c r="E58" s="185"/>
      <x:c r="F58" s="185"/>
      <x:c r="G58" s="185"/>
      <x:c r="H58" s="185"/>
      <x:c r="I58" s="185"/>
      <x:c r="J58" s="185"/>
      <x:c r="K58" s="185"/>
      <x:c r="L58" s="185"/>
      <x:c r="M58" s="185"/>
      <x:c r="N58" s="185"/>
      <x:c r="O58" s="185"/>
    </x:row>
    <x:row r="59">
      <x:c r="A59" s="185"/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  <x:c r="N59" s="185"/>
      <x:c r="O59" s="185"/>
    </x:row>
    <x:row r="60">
      <x:c r="A60" s="185"/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  <x:c r="N60" s="185"/>
      <x:c r="O60" s="185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db76611753649ae"/>
  </x:tableParts>
</x:worksheet>
</file>