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e2bde516aa4b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Методика" sheetId="1" r:id="R51b2870b96464d87"/>
    <x:sheet xmlns:r="http://schemas.openxmlformats.org/officeDocument/2006/relationships" name="01_Параметры" sheetId="2" r:id="R6329d75e71784e31"/>
    <x:sheet xmlns:r="http://schemas.openxmlformats.org/officeDocument/2006/relationships" name="02_Семантика" sheetId="3" r:id="Re9708accfef74d00"/>
    <x:sheet xmlns:r="http://schemas.openxmlformats.org/officeDocument/2006/relationships" name="03_Google_Trends" sheetId="4" r:id="Rd70d5d37a23c4166"/>
    <x:sheet xmlns:r="http://schemas.openxmlformats.org/officeDocument/2006/relationships" name="04_Wordstat" sheetId="5" r:id="Rcd517aaa9b0149ac"/>
    <x:sheet xmlns:r="http://schemas.openxmlformats.org/officeDocument/2006/relationships" name="05_Нормализация" sheetId="6" r:id="Rc91369721eab4d55"/>
    <x:sheet xmlns:r="http://schemas.openxmlformats.org/officeDocument/2006/relationships" name="06_Воронка" sheetId="7" r:id="Rfc50bcf4fad0404f"/>
    <x:sheet xmlns:r="http://schemas.openxmlformats.org/officeDocument/2006/relationships" name="07_Сценарии" sheetId="8" r:id="R773a7aee25374ea2"/>
    <x:sheet xmlns:r="http://schemas.openxmlformats.org/officeDocument/2006/relationships" name="08_Дашборд" sheetId="9" r:id="Rcc77307a88e64147"/>
    <x:sheet xmlns:r="http://schemas.openxmlformats.org/officeDocument/2006/relationships" name="09_Источники" sheetId="10" r:id="Rf9f239f88d3743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%"/>
    <x:numFmt numFmtId="201" formatCode="# ##0"/>
    <x:numFmt numFmtId="202" formatCode="0.00"/>
    <x:numFmt numFmtId="203" formatCode="yyyy-mm"/>
    <x:numFmt numFmtId="204" formatCode="0.0"/>
    <x:numFmt numFmtId="205" formatCode="yyyy-mm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000000"/>
      <x:name val="Carlito"/>
    </x:font>
    <x:font>
      <x:b/>
      <x:sz val="11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B1F33"/>
      </x:patternFill>
    </x:fill>
    <x:fill>
      <x:patternFill patternType="solid">
        <x:fgColor rgb="D9EAF7"/>
      </x:patternFill>
    </x:fill>
    <x:fill>
      <x:patternFill patternType="solid">
        <x:fgColor rgb="1F4E79"/>
      </x:patternFill>
    </x:fill>
    <x:fill>
      <x:patternFill patternType="solid">
        <x:fgColor rgb="FFF2CC"/>
      </x:patternFill>
    </x:fill>
    <x:fill>
      <x:patternFill patternType="solid">
        <x:fgColor rgb="E2F0D9"/>
      </x:patternFill>
    </x:fill>
  </x:fills>
  <x:borders count="2">
    <x:border/>
    <x:border/>
  </x:borders>
  <x:cellStyleXfs count="1">
    <x:xf numFmtId="0" fontId="0" fillId="0" borderId="0"/>
  </x:cellStyleXfs>
  <x:cellXfs count="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5" borderId="0" xfId="0" applyNumberFormat="1" applyFont="1" applyFill="1" applyBorder="1"/>
    <x:xf numFmtId="202" fontId="0" fillId="5" borderId="1" xfId="0" applyNumberFormat="1" applyFont="1" applyFill="1" applyBorder="1"/>
    <x:xf numFmtId="202" fontId="0" fillId="6" borderId="0" xfId="0" applyNumberFormat="1" applyFont="1" applyFill="1" applyBorder="1"/>
    <x:xf numFmtId="202" fontId="0" fillId="6" borderId="1" xfId="0" applyNumberFormat="1" applyFont="1" applyFill="1" applyBorder="1"/>
    <x:xf numFmtId="201" fontId="0" fillId="5" borderId="0" xfId="0" applyNumberFormat="1" applyFont="1" applyFill="1" applyBorder="1" applyAlignment="1">
      <x:alignment wrapText="1"/>
    </x:xf>
    <x:xf numFmtId="202" fontId="0" fillId="5" borderId="0" xfId="0" applyNumberFormat="1" applyFont="1" applyFill="1" applyBorder="1" applyAlignment="1">
      <x:alignment wrapText="1"/>
    </x:xf>
    <x:xf numFmtId="202" fontId="0" fillId="6" borderId="0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202" fontId="0" fillId="5" borderId="1" xfId="0" applyNumberFormat="1" applyFont="1" applyFill="1" applyBorder="1" applyAlignment="1">
      <x:alignment wrapText="1"/>
    </x:xf>
    <x:xf numFmtId="202" fontId="0" fillId="6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5" borderId="0" xfId="0" applyNumberFormat="1" applyFont="1" applyFill="1" applyBorder="1"/>
    <x:xf numFmtId="204" fontId="0" fillId="5" borderId="1" xfId="0" applyNumberFormat="1" applyFont="1" applyFill="1" applyBorder="1"/>
    <x:xf numFmtId="204" fontId="0" fillId="6" borderId="0" xfId="0" applyNumberFormat="1" applyFont="1" applyFill="1" applyBorder="1"/>
    <x:xf numFmtId="204" fontId="0" fillId="6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6" borderId="0" xfId="0" applyNumberFormat="1" applyFont="1" applyFill="1" applyBorder="1"/>
    <x:xf numFmtId="201" fontId="0" fillId="6" borderId="1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4" fontId="0" fillId="6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4" fontId="0" fillId="6" borderId="1" xfId="0" applyNumberFormat="1" applyFont="1" applyFill="1" applyBorder="1" applyAlignment="1">
      <x:alignment wrapText="1"/>
    </x:xf>
    <x:xf numFmtId="201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5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a6092b367e4cf2" /><Relationship Type="http://schemas.openxmlformats.org/officeDocument/2006/relationships/theme" Target="/xl/theme/theme1.xml" Id="Rb02d910321df4ef7" /><Relationship Type="http://schemas.openxmlformats.org/officeDocument/2006/relationships/sharedStrings" Target="/xl/sharedStrings.xml" Id="Rade39727a12e4f8d" /><Relationship Type="http://schemas.openxmlformats.org/officeDocument/2006/relationships/worksheet" Target="/xl/worksheets/sheet1.xml" Id="R51b2870b96464d87" /><Relationship Type="http://schemas.openxmlformats.org/officeDocument/2006/relationships/worksheet" Target="/xl/worksheets/sheet2.xml" Id="R6329d75e71784e31" /><Relationship Type="http://schemas.openxmlformats.org/officeDocument/2006/relationships/worksheet" Target="/xl/worksheets/sheet3.xml" Id="Re9708accfef74d00" /><Relationship Type="http://schemas.openxmlformats.org/officeDocument/2006/relationships/worksheet" Target="/xl/worksheets/sheet4.xml" Id="Rd70d5d37a23c4166" /><Relationship Type="http://schemas.openxmlformats.org/officeDocument/2006/relationships/worksheet" Target="/xl/worksheets/sheet5.xml" Id="Rcd517aaa9b0149ac" /><Relationship Type="http://schemas.openxmlformats.org/officeDocument/2006/relationships/worksheet" Target="/xl/worksheets/sheet6.xml" Id="Rc91369721eab4d55" /><Relationship Type="http://schemas.openxmlformats.org/officeDocument/2006/relationships/worksheet" Target="/xl/worksheets/sheet7.xml" Id="Rfc50bcf4fad0404f" /><Relationship Type="http://schemas.openxmlformats.org/officeDocument/2006/relationships/worksheet" Target="/xl/worksheets/sheet8.xml" Id="R773a7aee25374ea2" /><Relationship Type="http://schemas.openxmlformats.org/officeDocument/2006/relationships/worksheet" Target="/xl/worksheets/sheet9.xml" Id="Rcc77307a88e64147" /><Relationship Type="http://schemas.openxmlformats.org/officeDocument/2006/relationships/worksheet" Target="/xl/worksheets/sheet10.xml" Id="Rf9f239f88d3743c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eac8f7592294e2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lineChart>
        <c:ser>
          <c:idx val="0"/>
          <c:order val="0"/>
          <c:tx>
            <c:v>Сводный индекс спроса</c:v>
          </c:tx>
          <c:cat>
            <c:strRef>
              <c:f>'05_Нормализация'!$A$4:$A$15</c:f>
              <c:strCache>
                <c:ptCount val="0"/>
              </c:strCache>
            </c:strRef>
          </c:cat>
          <c:val>
            <c:numRef>
              <c:f>'05_Нормализация'!$F$4:$F$15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yyyy-mm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ac8f7592294e2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emanticCore" displayName="SemanticCore" ref="A3:J13" headerRowCount="1">
  <x:tableColumns count="10">
    <x:tableColumn id="1" name="№"/>
    <x:tableColumn id="2" name="Запрос"/>
    <x:tableColumn id="3" name="Группа"/>
    <x:tableColumn id="4" name="Намерение"/>
    <x:tableColumn id="5" name="Регион"/>
    <x:tableColumn id="6" name="Частотность Wordstat / мес."/>
    <x:tableColumn id="7" name="Индекс Google Trends"/>
    <x:tableColumn id="8" name="Вес релевантности"/>
    <x:tableColumn id="9" name="Коммерческая близость"/>
    <x:tableColumn id="10" name="Взвешенный спрос"/>
  </x:tableColumns>
  <x:tableStyleInfo name="TableStyleMedium2" showRowStripes="1"/>
</x:table>
</file>

<file path=xl/tables/table2.xml><?xml version="1.0" encoding="utf-8"?>
<x:table xmlns:x="http://schemas.openxmlformats.org/spreadsheetml/2006/main" id="2" name="GoogleTrends" displayName="GoogleTrends" ref="A3:G15" headerRowCount="1">
  <x:tableColumns count="7">
    <x:tableColumn id="1" name="Месяц"/>
    <x:tableColumn id="2" name="Маркетинговые услуги"/>
    <x:tableColumn id="3" name="Продвижение бизнеса"/>
    <x:tableColumn id="4" name="Контекстная реклама"/>
    <x:tableColumn id="5" name="Маркетолог Минск"/>
    <x:tableColumn id="6" name="Средний индекс GT"/>
    <x:tableColumn id="7" name="Комментарий"/>
  </x:tableColumns>
  <x:tableStyleInfo name="TableStyleMedium2" showRowStripes="1"/>
</x:table>
</file>

<file path=xl/tables/table3.xml><?xml version="1.0" encoding="utf-8"?>
<x:table xmlns:x="http://schemas.openxmlformats.org/spreadsheetml/2006/main" id="3" name="Wordstat" displayName="Wordstat" ref="A3:H15" headerRowCount="1">
  <x:tableColumns count="8">
    <x:tableColumn id="1" name="Месяц"/>
    <x:tableColumn id="2" name="Коммерческие запросы"/>
    <x:tableColumn id="3" name="Проблемные запросы"/>
    <x:tableColumn id="4" name="Инструментальные запросы"/>
    <x:tableColumn id="5" name="Локальные запросы"/>
    <x:tableColumn id="6" name="Суммарная частотность"/>
    <x:tableColumn id="7" name="Коммерческий коэффициент"/>
    <x:tableColumn id="8" name="Взвешенная частотность"/>
  </x:tableColumns>
  <x:tableStyleInfo name="TableStyleMedium2" showRowStripes="1"/>
</x:table>
</file>

<file path=xl/tables/table4.xml><?xml version="1.0" encoding="utf-8"?>
<x:table xmlns:x="http://schemas.openxmlformats.org/spreadsheetml/2006/main" id="4" name="NormalizedDemand" displayName="NormalizedDemand" ref="A3:H15" headerRowCount="1">
  <x:tableColumns count="8">
    <x:tableColumn id="1" name="Месяц"/>
    <x:tableColumn id="2" name="Средний индекс GT"/>
    <x:tableColumn id="3" name="Нормированный GT"/>
    <x:tableColumn id="4" name="Взвешенная частотность WS"/>
    <x:tableColumn id="5" name="Нормированный WS"/>
    <x:tableColumn id="6" name="Сводный индекс спроса"/>
    <x:tableColumn id="7" name="Оценка уровня"/>
    <x:tableColumn id="8" name="Комментарий"/>
  </x:tableColumns>
  <x:tableStyleInfo name="TableStyleMedium2" showRowStripes="1"/>
</x:table>
</file>

<file path=xl/tables/table5.xml><?xml version="1.0" encoding="utf-8"?>
<x:table xmlns:x="http://schemas.openxmlformats.org/spreadsheetml/2006/main" id="5" name="Funnel" displayName="Funnel" ref="A3:E14" headerRowCount="1">
  <x:tableColumns count="5">
    <x:tableColumn id="1" name="Показатель"/>
    <x:tableColumn id="2" name="Осторожный"/>
    <x:tableColumn id="3" name="Базовый"/>
    <x:tableColumn id="4" name="Оптимистичный"/>
    <x:tableColumn id="5" name="Комментарий"/>
  </x:tableColumns>
  <x:tableStyleInfo name="TableStyleMedium2" showRowStripes="1"/>
</x:table>
</file>

<file path=xl/tables/table6.xml><?xml version="1.0" encoding="utf-8"?>
<x:table xmlns:x="http://schemas.openxmlformats.org/spreadsheetml/2006/main" id="6" name="Scenarios" displayName="Scenarios" ref="A3:H6" headerRowCount="1">
  <x:tableColumns count="8">
    <x:tableColumn id="1" name="Сценарий"/>
    <x:tableColumn id="2" name="Переходы / мес."/>
    <x:tableColumn id="3" name="Заявки / мес."/>
    <x:tableColumn id="4" name="Продажи / мес."/>
    <x:tableColumn id="5" name="Средний чек"/>
    <x:tableColumn id="6" name="Выручка / мес."/>
    <x:tableColumn id="7" name="Выручка / год"/>
    <x:tableColumn id="8" name="Интерпретация"/>
  </x:tableColumns>
  <x:tableStyleInfo name="TableStyleMedium2" showRowStripes="1"/>
</x:table>
</file>

<file path=xl/tables/table7.xml><?xml version="1.0" encoding="utf-8"?>
<x:table xmlns:x="http://schemas.openxmlformats.org/spreadsheetml/2006/main" id="7" name="Sources" displayName="Sources" ref="A3:E9" headerRowCount="1">
  <x:tableColumns count="5">
    <x:tableColumn id="1" name="Источник"/>
    <x:tableColumn id="2" name="Что брать"/>
    <x:tableColumn id="3" name="Период / регион"/>
    <x:tableColumn id="4" name="Дата фиксации"/>
    <x:tableColumn id="5" name="Ссылка / примечание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13bda1bea804b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389f56c743345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2dcf9da1ed24d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c8fb38004e343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7a7536cd0d942f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5e66d175b6e4f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43279420fd2a425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181574bcf0404b97" /></Relationships>
</file>

<file path=xl/worksheets/sheet1.xml><?xml version="1.0" encoding="utf-8"?>
<x:worksheet xmlns:x="http://schemas.openxmlformats.org/spreadsheetml/2006/main">
  <x:sheetFormatPr defaultRowHeight="15"/>
  <x:cols>
    <x:col min="1" max="1" width="66.08000183105469" hidden="0" customWidth="1"/>
    <x:col min="2" max="2" width="45" hidden="0" customWidth="1"/>
    <x:col min="3" max="3" width="24" hidden="0" customWidth="1"/>
  </x:cols>
  <x:sheetData>
    <x:row r="1">
      <x:c r="A1" s="5" t="str">
        <x:v>Excel-шаблон: оценка объема рынка через поисковый спрос</x:v>
      </x:c>
    </x:row>
    <x:row r="3">
      <x:c r="A3" s="14" t="str">
        <x:v>Назначение</x:v>
      </x:c>
      <x:c r="B3" s="20" t="str">
        <x:v>Шаблон переводит поисковый спрос в оценку потенциальных переходов, заявок, продаж и денежного объема рынка.</x:v>
      </x:c>
    </x:row>
    <x:row r="4">
      <x:c r="A4" s="14" t="str">
        <x:v>Логика</x:v>
      </x:c>
      <x:c r="B4" s="20" t="str">
        <x:v>Семантическое ядро → частотность и индекс интереса → нормализация → цифровая воронка → сценарный диапазон рынка.</x:v>
      </x:c>
    </x:row>
    <x:row r="5">
      <x:c r="A5" s="14" t="str">
        <x:v>Ключевое ограничение</x:v>
      </x:c>
      <x:c r="B5" s="20" t="str">
        <x:v>Поисковый спрос не равен фактическому объему рынка. Расчет показывает ориентир, который нужно проверять через конкурентов, статистику, платформы и реальные продажи.</x:v>
      </x:c>
    </x:row>
    <x:row r="6">
      <x:c r="A6" s="14" t="str">
        <x:v>Источники данных</x:v>
      </x:c>
      <x:c r="B6" s="20" t="str">
        <x:v>Google Trends, Яндекс Вордстат, рекламные кабинеты, данные сайта, CRM, экспертные оценки среднего чека и конверсий.</x:v>
      </x:c>
    </x:row>
    <x:row r="7">
      <x:c r="A7" s="14" t="str">
        <x:v>Как работать</x:v>
      </x:c>
      <x:c r="B7" s="20" t="str">
        <x:v>Заполните листы 01–04, проверьте расчет на листах 05–07 и используйте лист 08 для итогового вывода.</x:v>
      </x:c>
    </x:row>
    <x:row r="9">
      <x:c r="A9" s="14" t="str">
        <x:v>Порядок заполнения</x:v>
      </x:c>
    </x:row>
    <x:row r="10">
      <x:c r="A10" s="26" t="str">
        <x:v>№</x:v>
      </x:c>
      <x:c r="B10" s="26" t="str">
        <x:v>Действие</x:v>
      </x:c>
      <x:c r="C10" s="26" t="str">
        <x:v>Лист</x:v>
      </x:c>
    </x:row>
    <x:row r="11">
      <x:c r="A11" t="n">
        <x:v>1</x:v>
      </x:c>
      <x:c r="B11" t="str">
        <x:v>Заполнить параметры рынка и конверсий</x:v>
      </x:c>
      <x:c r="C11" t="str">
        <x:v>01_Параметры</x:v>
      </x:c>
    </x:row>
    <x:row r="12">
      <x:c r="A12" t="n">
        <x:v>2</x:v>
      </x:c>
      <x:c r="B12" t="str">
        <x:v>Внести запросы, группы и намерения аудитории</x:v>
      </x:c>
      <x:c r="C12" t="str">
        <x:v>02_Семантика</x:v>
      </x:c>
    </x:row>
    <x:row r="13">
      <x:c r="A13" t="n">
        <x:v>3</x:v>
      </x:c>
      <x:c r="B13" t="str">
        <x:v>Внести выгрузку Google Trends по месяцам</x:v>
      </x:c>
      <x:c r="C13" t="str">
        <x:v>03_Google_Trends</x:v>
      </x:c>
    </x:row>
    <x:row r="14">
      <x:c r="A14" t="n">
        <x:v>4</x:v>
      </x:c>
      <x:c r="B14" t="str">
        <x:v>Внести данные Яндекс Вордстат по частотности</x:v>
      </x:c>
      <x:c r="C14" t="str">
        <x:v>04_Wordstat</x:v>
      </x:c>
    </x:row>
    <x:row r="15">
      <x:c r="A15" t="n">
        <x:v>5</x:v>
      </x:c>
      <x:c r="B15" t="str">
        <x:v>Проверить нормализацию и сводный индекс</x:v>
      </x:c>
      <x:c r="C15" t="str">
        <x:v>05_Нормализация</x:v>
      </x:c>
    </x:row>
    <x:row r="16">
      <x:c r="A16" t="n">
        <x:v>6</x:v>
      </x:c>
      <x:c r="B16" t="str">
        <x:v>Рассчитать цифровую воронку</x:v>
      </x:c>
      <x:c r="C16" t="str">
        <x:v>06_Воронка</x:v>
      </x:c>
    </x:row>
    <x:row r="17">
      <x:c r="A17" t="n">
        <x:v>7</x:v>
      </x:c>
      <x:c r="B17" t="str">
        <x:v>Сравнить осторожный, базовый и оптимистичный сценарии</x:v>
      </x:c>
      <x:c r="C17" t="str">
        <x:v>07_Сценарии</x:v>
      </x:c>
    </x:row>
    <x:row r="18">
      <x:c r="A18" t="n">
        <x:v>8</x:v>
      </x:c>
      <x:c r="B18" t="str">
        <x:v>Сформулировать итоговый вывод</x:v>
      </x:c>
      <x:c r="C18" t="str">
        <x:v>08_Дашборд</x:v>
      </x:c>
    </x:row>
  </x:sheetData>
  <x:mergeCells>
    <x:mergeCell ref="A1:H1"/>
    <x:mergeCell ref="A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.979999542236328" hidden="0" customWidth="1"/>
    <x:col min="3" max="3" width="7.400000095367432" hidden="0" customWidth="1"/>
    <x:col min="4" max="4" width="46" hidden="0" customWidth="1"/>
  </x:cols>
  <x:sheetData>
    <x:row r="1">
      <x:c r="A1" s="5" t="str">
        <x:v>Исходные параметры и допущения</x:v>
      </x:c>
      <x:c r="D1" s="20"/>
    </x:row>
    <x:row r="3">
      <x:c r="A3" s="26" t="str">
        <x:v>Параметр</x:v>
      </x:c>
      <x:c r="B3" s="26" t="str">
        <x:v>Значение</x:v>
      </x:c>
      <x:c r="C3" s="26" t="str">
        <x:v>Единица</x:v>
      </x:c>
      <x:c r="D3" s="26" t="str">
        <x:v>Комментарий</x:v>
      </x:c>
    </x:row>
    <x:row r="4">
      <x:c r="A4" t="str">
        <x:v>Регион анализа</x:v>
      </x:c>
      <x:c r="B4" s="32" t="str">
        <x:v>Республика Беларусь</x:v>
      </x:c>
      <x:c r="C4" t="str">
        <x:v>текст</x:v>
      </x:c>
      <x:c r="D4" t="str">
        <x:v>Можно заменить на страну, область или город.</x:v>
      </x:c>
    </x:row>
    <x:row r="5">
      <x:c r="A5" t="str">
        <x:v>Период анализа</x:v>
      </x:c>
      <x:c r="B5" s="36" t="str">
        <x:v>последние 12 месяцев</x:v>
      </x:c>
      <x:c r="C5" t="str">
        <x:v>текст</x:v>
      </x:c>
      <x:c r="D5" t="str">
        <x:v>Желательно использовать одинаковый период во всех источниках.</x:v>
      </x:c>
    </x:row>
    <x:row r="6">
      <x:c r="A6" t="str">
        <x:v>Средний чек</x:v>
      </x:c>
      <x:c r="B6" s="34" t="n">
        <x:v>500</x:v>
      </x:c>
      <x:c r="C6" t="str">
        <x:v>руб.</x:v>
      </x:c>
      <x:c r="D6" t="str">
        <x:v>Средний платеж клиента за услугу или заказ.</x:v>
      </x:c>
    </x:row>
    <x:row r="7">
      <x:c r="A7" t="str">
        <x:v>Доля переходов из поиска</x:v>
      </x:c>
      <x:c r="B7" s="34" t="n">
        <x:v>0.08</x:v>
      </x:c>
      <x:c r="C7" t="str">
        <x:v>доля</x:v>
      </x:c>
      <x:c r="D7" t="str">
        <x:v>Оценка кликабельности по коммерческим запросам.</x:v>
      </x:c>
    </x:row>
    <x:row r="8">
      <x:c r="A8" t="str">
        <x:v>Конверсия посетитель → заявка</x:v>
      </x:c>
      <x:c r="B8" s="34" t="n">
        <x:v>0.04</x:v>
      </x:c>
      <x:c r="C8" t="str">
        <x:v>доля</x:v>
      </x:c>
      <x:c r="D8" t="str">
        <x:v>Доля посетителей, оставляющих заявку.</x:v>
      </x:c>
    </x:row>
    <x:row r="9">
      <x:c r="A9" t="str">
        <x:v>Конверсия заявка → продажа</x:v>
      </x:c>
      <x:c r="B9" s="34" t="n">
        <x:v>0.25</x:v>
      </x:c>
      <x:c r="C9" t="str">
        <x:v>доля</x:v>
      </x:c>
      <x:c r="D9" t="str">
        <x:v>Доля заявок, переходящих в оплату.</x:v>
      </x:c>
    </x:row>
    <x:row r="10">
      <x:c r="A10" t="str">
        <x:v>Коэффициент учета повторных покупок</x:v>
      </x:c>
      <x:c r="B10" s="34" t="n">
        <x:v>1.2</x:v>
      </x:c>
      <x:c r="C10" t="str">
        <x:v>раз</x:v>
      </x:c>
      <x:c r="D10" t="str">
        <x:v>1 означает без повторных продаж.</x:v>
      </x:c>
    </x:row>
    <x:row r="11">
      <x:c r="A11" t="str">
        <x:v>Вес Google Trends в сводном индексе</x:v>
      </x:c>
      <x:c r="B11" s="34" t="n">
        <x:v>0.4</x:v>
      </x:c>
      <x:c r="C11" t="str">
        <x:v>доля</x:v>
      </x:c>
      <x:c r="D11" t="str">
        <x:v>Используется на листе нормализации.</x:v>
      </x:c>
    </x:row>
    <x:row r="12">
      <x:c r="A12" t="str">
        <x:v>Вес Яндекс Вордстат в сводном индексе</x:v>
      </x:c>
      <x:c r="B12" s="34" t="n">
        <x:v>0.6</x:v>
      </x:c>
      <x:c r="C12" t="str">
        <x:v>доля</x:v>
      </x:c>
      <x:c r="D12" t="str">
        <x:v>Сумма весов Google Trends и Вордстат должна быть равна 1.</x:v>
      </x:c>
    </x:row>
    <x:row r="13">
      <x:c r="A13" t="str">
        <x:v>Минимальная коммерческая близость</x:v>
      </x:c>
      <x:c r="B13" s="34" t="n">
        <x:v>0.5</x:v>
      </x:c>
      <x:c r="C13" t="str">
        <x:v>доля</x:v>
      </x:c>
      <x:c r="D13" t="str">
        <x:v>Запросы ниже порога требуют осторожной интерпретации.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1.90999984741211" hidden="0" customWidth="1"/>
    <x:col min="2" max="2" width="32" hidden="0" customWidth="1"/>
    <x:col min="3" max="3" width="28" hidden="0" customWidth="1"/>
    <x:col min="4" max="4" width="22" hidden="0" customWidth="1"/>
    <x:col min="5" max="5" width="5.920000076293945" hidden="0" customWidth="1"/>
    <x:col min="6" max="6" width="23.690000534057617" hidden="0" customWidth="1"/>
    <x:col min="7" max="7" width="18.299999237060547" hidden="0" customWidth="1"/>
    <x:col min="8" max="8" width="16.020000457763672" hidden="0" customWidth="1"/>
    <x:col min="9" max="9" width="20.729999542236328" hidden="0" customWidth="1"/>
    <x:col min="10" max="10" width="16.290000915527344" hidden="0" customWidth="1"/>
  </x:cols>
  <x:sheetData>
    <x:row r="1">
      <x:c r="A1" s="5" t="str">
        <x:v>Семантическое ядро и коммерческая близость запросов</x:v>
      </x:c>
    </x:row>
    <x:row r="3">
      <x:c r="A3" s="26" t="str">
        <x:v>№</x:v>
      </x:c>
      <x:c r="B3" s="26" t="str">
        <x:v>Запрос</x:v>
      </x:c>
      <x:c r="C3" s="26" t="str">
        <x:v>Группа</x:v>
      </x:c>
      <x:c r="D3" s="26" t="str">
        <x:v>Намерение</x:v>
      </x:c>
      <x:c r="E3" s="26" t="str">
        <x:v>Регион</x:v>
      </x:c>
      <x:c r="F3" s="26" t="str">
        <x:v>Частотность Wordstat / мес.</x:v>
      </x:c>
      <x:c r="G3" s="26" t="str">
        <x:v>Индекс Google Trends</x:v>
      </x:c>
      <x:c r="H3" s="26" t="str">
        <x:v>Вес релевантности</x:v>
      </x:c>
      <x:c r="I3" s="26" t="str">
        <x:v>Коммерческая близость</x:v>
      </x:c>
      <x:c r="J3" s="26" t="str">
        <x:v>Взвешенный спрос</x:v>
      </x:c>
    </x:row>
    <x:row r="4">
      <x:c r="A4" s="20" t="n">
        <x:v>1</x:v>
      </x:c>
      <x:c r="B4" s="20" t="str">
        <x:v>маркетинговые услуги</x:v>
      </x:c>
      <x:c r="C4" s="20" t="str">
        <x:v>Коммерческий спрос</x:v>
      </x:c>
      <x:c r="D4" s="20" t="str">
        <x:v>коммерческое</x:v>
      </x:c>
      <x:c r="E4" s="20" t="str">
        <x:v>РБ</x:v>
      </x:c>
      <x:c r="F4" s="46" t="n">
        <x:v>1200</x:v>
      </x:c>
      <x:c r="G4" s="47" t="n">
        <x:v>54</x:v>
      </x:c>
      <x:c r="H4" s="47" t="n">
        <x:v>1</x:v>
      </x:c>
      <x:c r="I4" s="47" t="n">
        <x:v>0.9</x:v>
      </x:c>
      <x:c r="J4" s="48" t="n">
        <x:f>F4*H4*I4</x:f>
        <x:v>1080</x:v>
      </x:c>
    </x:row>
    <x:row r="5">
      <x:c r="A5" s="20" t="n">
        <x:v>2</x:v>
      </x:c>
      <x:c r="B5" s="20" t="str">
        <x:v>маркетолог для бизнеса</x:v>
      </x:c>
      <x:c r="C5" s="20" t="str">
        <x:v>Коммерческий спрос</x:v>
      </x:c>
      <x:c r="D5" s="20" t="str">
        <x:v>коммерческое</x:v>
      </x:c>
      <x:c r="E5" s="20" t="str">
        <x:v>РБ</x:v>
      </x:c>
      <x:c r="F5" s="46" t="n">
        <x:v>650</x:v>
      </x:c>
      <x:c r="G5" s="47" t="n">
        <x:v>42</x:v>
      </x:c>
      <x:c r="H5" s="47" t="n">
        <x:v>0.95</x:v>
      </x:c>
      <x:c r="I5" s="47" t="n">
        <x:v>0.85</x:v>
      </x:c>
      <x:c r="J5" s="48" t="n">
        <x:f>F5*H5*I5</x:f>
        <x:v>524.875</x:v>
      </x:c>
    </x:row>
    <x:row r="6">
      <x:c r="A6" s="20" t="n">
        <x:v>3</x:v>
      </x:c>
      <x:c r="B6" s="20" t="str">
        <x:v>продвижение бизнеса</x:v>
      </x:c>
      <x:c r="C6" s="20" t="str">
        <x:v>Проблемный спрос</x:v>
      </x:c>
      <x:c r="D6" s="20" t="str">
        <x:v>проблемное</x:v>
      </x:c>
      <x:c r="E6" s="20" t="str">
        <x:v>РБ</x:v>
      </x:c>
      <x:c r="F6" s="46" t="n">
        <x:v>2100</x:v>
      </x:c>
      <x:c r="G6" s="47" t="n">
        <x:v>68</x:v>
      </x:c>
      <x:c r="H6" s="47" t="n">
        <x:v>0.9</x:v>
      </x:c>
      <x:c r="I6" s="47" t="n">
        <x:v>0.7</x:v>
      </x:c>
      <x:c r="J6" s="48" t="n">
        <x:f>F6*H6*I6</x:f>
        <x:v>1323</x:v>
      </x:c>
    </x:row>
    <x:row r="7">
      <x:c r="A7" s="20" t="n">
        <x:v>4</x:v>
      </x:c>
      <x:c r="B7" s="20" t="str">
        <x:v>как привлечь клиентов</x:v>
      </x:c>
      <x:c r="C7" s="20" t="str">
        <x:v>Проблемный спрос</x:v>
      </x:c>
      <x:c r="D7" s="20" t="str">
        <x:v>информационно-проблемное</x:v>
      </x:c>
      <x:c r="E7" s="20" t="str">
        <x:v>РБ</x:v>
      </x:c>
      <x:c r="F7" s="46" t="n">
        <x:v>3900</x:v>
      </x:c>
      <x:c r="G7" s="47" t="n">
        <x:v>73</x:v>
      </x:c>
      <x:c r="H7" s="47" t="n">
        <x:v>0.8</x:v>
      </x:c>
      <x:c r="I7" s="47" t="n">
        <x:v>0.45</x:v>
      </x:c>
      <x:c r="J7" s="48" t="n">
        <x:f>F7*H7*I7</x:f>
        <x:v>1404</x:v>
      </x:c>
    </x:row>
    <x:row r="8">
      <x:c r="A8" s="20" t="n">
        <x:v>5</x:v>
      </x:c>
      <x:c r="B8" s="20" t="str">
        <x:v>контекстная реклама для бизнеса</x:v>
      </x:c>
      <x:c r="C8" s="20" t="str">
        <x:v>Инструментальный спрос</x:v>
      </x:c>
      <x:c r="D8" s="20" t="str">
        <x:v>коммерческое</x:v>
      </x:c>
      <x:c r="E8" s="20" t="str">
        <x:v>РБ</x:v>
      </x:c>
      <x:c r="F8" s="46" t="n">
        <x:v>980</x:v>
      </x:c>
      <x:c r="G8" s="47" t="n">
        <x:v>61</x:v>
      </x:c>
      <x:c r="H8" s="47" t="n">
        <x:v>0.9</x:v>
      </x:c>
      <x:c r="I8" s="47" t="n">
        <x:v>0.8</x:v>
      </x:c>
      <x:c r="J8" s="48" t="n">
        <x:f>F8*H8*I8</x:f>
        <x:v>705.6</x:v>
      </x:c>
    </x:row>
    <x:row r="9">
      <x:c r="A9" s="20" t="n">
        <x:v>6</x:v>
      </x:c>
      <x:c r="B9" s="20" t="str">
        <x:v>таргетированная реклама</x:v>
      </x:c>
      <x:c r="C9" s="20" t="str">
        <x:v>Инструментальный спрос</x:v>
      </x:c>
      <x:c r="D9" s="20" t="str">
        <x:v>смешанное</x:v>
      </x:c>
      <x:c r="E9" s="20" t="str">
        <x:v>РБ</x:v>
      </x:c>
      <x:c r="F9" s="46" t="n">
        <x:v>2600</x:v>
      </x:c>
      <x:c r="G9" s="47" t="n">
        <x:v>70</x:v>
      </x:c>
      <x:c r="H9" s="47" t="n">
        <x:v>0.75</x:v>
      </x:c>
      <x:c r="I9" s="47" t="n">
        <x:v>0.55</x:v>
      </x:c>
      <x:c r="J9" s="48" t="n">
        <x:f>F9*H9*I9</x:f>
        <x:v>1072.5</x:v>
      </x:c>
    </x:row>
    <x:row r="10">
      <x:c r="A10" s="20" t="n">
        <x:v>7</x:v>
      </x:c>
      <x:c r="B10" s="20" t="str">
        <x:v>маркетинговая стратегия</x:v>
      </x:c>
      <x:c r="C10" s="20" t="str">
        <x:v>Экспертный спрос</x:v>
      </x:c>
      <x:c r="D10" s="20" t="str">
        <x:v>смешанное</x:v>
      </x:c>
      <x:c r="E10" s="20" t="str">
        <x:v>РБ</x:v>
      </x:c>
      <x:c r="F10" s="46" t="n">
        <x:v>430</x:v>
      </x:c>
      <x:c r="G10" s="47" t="n">
        <x:v>37</x:v>
      </x:c>
      <x:c r="H10" s="47" t="n">
        <x:v>0.7</x:v>
      </x:c>
      <x:c r="I10" s="47" t="n">
        <x:v>0.6</x:v>
      </x:c>
      <x:c r="J10" s="48" t="n">
        <x:f>F10*H10*I10</x:f>
        <x:v>180.6</x:v>
      </x:c>
    </x:row>
    <x:row r="11">
      <x:c r="A11" s="20" t="n">
        <x:v>8</x:v>
      </x:c>
      <x:c r="B11" s="20" t="str">
        <x:v>маркетолог минск</x:v>
      </x:c>
      <x:c r="C11" s="20" t="str">
        <x:v>Локальный спрос</x:v>
      </x:c>
      <x:c r="D11" s="20" t="str">
        <x:v>коммерческое</x:v>
      </x:c>
      <x:c r="E11" s="20" t="str">
        <x:v>Минск</x:v>
      </x:c>
      <x:c r="F11" s="46" t="n">
        <x:v>720</x:v>
      </x:c>
      <x:c r="G11" s="47" t="n">
        <x:v>48</x:v>
      </x:c>
      <x:c r="H11" s="47" t="n">
        <x:v>1</x:v>
      </x:c>
      <x:c r="I11" s="47" t="n">
        <x:v>0.88</x:v>
      </x:c>
      <x:c r="J11" s="48" t="n">
        <x:f>F11*H11*I11</x:f>
        <x:v>633.6</x:v>
      </x:c>
    </x:row>
    <x:row r="12">
      <x:c r="A12" s="20" t="n">
        <x:v>9</x:v>
      </x:c>
      <x:c r="B12" s="20" t="str">
        <x:v>smm продвижение</x:v>
      </x:c>
      <x:c r="C12" s="20" t="str">
        <x:v>Инструментальный спрос</x:v>
      </x:c>
      <x:c r="D12" s="20" t="str">
        <x:v>смешанное</x:v>
      </x:c>
      <x:c r="E12" s="20" t="str">
        <x:v>РБ</x:v>
      </x:c>
      <x:c r="F12" s="46" t="n">
        <x:v>1800</x:v>
      </x:c>
      <x:c r="G12" s="47" t="n">
        <x:v>63</x:v>
      </x:c>
      <x:c r="H12" s="47" t="n">
        <x:v>0.7</x:v>
      </x:c>
      <x:c r="I12" s="47" t="n">
        <x:v>0.5</x:v>
      </x:c>
      <x:c r="J12" s="48" t="n">
        <x:f>F12*H12*I12</x:f>
        <x:v>630</x:v>
      </x:c>
    </x:row>
    <x:row r="13">
      <x:c r="A13" s="20" t="n">
        <x:v>10</x:v>
      </x:c>
      <x:c r="B13" s="20" t="str">
        <x:v>курсы маркетинга</x:v>
      </x:c>
      <x:c r="C13" s="20" t="str">
        <x:v>Исключаемый / отдельный сегмент</x:v>
      </x:c>
      <x:c r="D13" s="20" t="str">
        <x:v>обучение</x:v>
      </x:c>
      <x:c r="E13" s="20" t="str">
        <x:v>РБ</x:v>
      </x:c>
      <x:c r="F13" s="46" t="n">
        <x:v>3200</x:v>
      </x:c>
      <x:c r="G13" s="47" t="n">
        <x:v>75</x:v>
      </x:c>
      <x:c r="H13" s="47" t="n">
        <x:v>0.4</x:v>
      </x:c>
      <x:c r="I13" s="47" t="n">
        <x:v>0.2</x:v>
      </x:c>
      <x:c r="J13" s="48" t="n">
        <x:f>F13*H13*I13</x:f>
        <x:v>256</x:v>
      </x:c>
    </x:row>
  </x:sheetData>
  <x:mergeCells>
    <x:mergeCell ref="A1:J1"/>
  </x:mergeCells>
  <x:conditionalFormatting sqref="J4:J13">
    <x:cfRule type="dataBar" priority="1">
      <x:dataBar>
        <x:cfvo type="min"/>
        <x:cfvo type="max"/>
        <x:color rgb="5B9BD5"/>
      </x:dataBar>
      <x:extLst>
        <x:ext xmlns:x14="http://schemas.microsoft.com/office/spreadsheetml/2009/9/main" uri="{B025F937-C7B1-47D3-B67F-A62EFF666E3E}">
          <x14:id>{11F22920-8A79-DA3D-FDA2-11943E2D0ECB}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13bda1bea804be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1F22920-8A79-DA3D-FDA2-11943E2D0ECB}">
            <x14:dataBar gradient="1">
              <x14:cfvo type="min"/>
              <x14:cfvo type="max"/>
              <x14:fillColor rgb="5B9BD5"/>
            </x14:dataBar>
          </x14:cfRule>
          <xm:sqref>J4:J13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55.31999969482422" hidden="0" customWidth="1"/>
    <x:col min="2" max="2" width="19.649999618530273" hidden="0" customWidth="1"/>
    <x:col min="3" max="3" width="19.3799991607666" hidden="0" customWidth="1"/>
    <x:col min="4" max="4" width="18.299999237060547" hidden="0" customWidth="1"/>
    <x:col min="5" max="5" width="16.420000076293945" hidden="0" customWidth="1"/>
    <x:col min="6" max="6" width="16.549999237060547" hidden="0" customWidth="1"/>
    <x:col min="7" max="7" width="32" hidden="0" customWidth="1"/>
  </x:cols>
  <x:sheetData>
    <x:row r="1">
      <x:c r="A1" s="5" t="str">
        <x:v>Данные Google Trends: месячный индекс интереса</x:v>
      </x:c>
    </x:row>
    <x:row r="3">
      <x:c r="A3" s="26" t="str">
        <x:v>Месяц</x:v>
      </x:c>
      <x:c r="B3" s="26" t="str">
        <x:v>Маркетинговые услуги</x:v>
      </x:c>
      <x:c r="C3" s="26" t="str">
        <x:v>Продвижение бизнеса</x:v>
      </x:c>
      <x:c r="D3" s="26" t="str">
        <x:v>Контекстная реклама</x:v>
      </x:c>
      <x:c r="E3" s="26" t="str">
        <x:v>Маркетолог Минск</x:v>
      </x:c>
      <x:c r="F3" s="26" t="str">
        <x:v>Средний индекс GT</x:v>
      </x:c>
      <x:c r="G3" s="26" t="str">
        <x:v>Комментарий</x:v>
      </x:c>
    </x:row>
    <x:row r="4">
      <x:c r="A4" s="52" t="n">
        <x:v>45778</x:v>
      </x:c>
      <x:c r="B4" s="56" t="n">
        <x:v>42</x:v>
      </x:c>
      <x:c r="C4" s="56" t="n">
        <x:v>55</x:v>
      </x:c>
      <x:c r="D4" s="56" t="n">
        <x:v>49</x:v>
      </x:c>
      <x:c r="E4" s="56" t="n">
        <x:v>35</x:v>
      </x:c>
      <x:c r="F4" s="58" t="n">
        <x:f>AVERAGE(B4:E4)</x:f>
        <x:v>45.25</x:v>
      </x:c>
      <x:c r="G4" t="str"/>
    </x:row>
    <x:row r="5">
      <x:c r="A5" s="52" t="n">
        <x:v>45809</x:v>
      </x:c>
      <x:c r="B5" s="56" t="n">
        <x:v>45</x:v>
      </x:c>
      <x:c r="C5" s="56" t="n">
        <x:v>58</x:v>
      </x:c>
      <x:c r="D5" s="56" t="n">
        <x:v>52</x:v>
      </x:c>
      <x:c r="E5" s="56" t="n">
        <x:v>37</x:v>
      </x:c>
      <x:c r="F5" s="58" t="n">
        <x:f>AVERAGE(B5:E5)</x:f>
        <x:v>48</x:v>
      </x:c>
      <x:c r="G5" t="str"/>
    </x:row>
    <x:row r="6">
      <x:c r="A6" s="52" t="n">
        <x:v>45839</x:v>
      </x:c>
      <x:c r="B6" s="56" t="n">
        <x:v>50</x:v>
      </x:c>
      <x:c r="C6" s="56" t="n">
        <x:v>62</x:v>
      </x:c>
      <x:c r="D6" s="56" t="n">
        <x:v>56</x:v>
      </x:c>
      <x:c r="E6" s="56" t="n">
        <x:v>40</x:v>
      </x:c>
      <x:c r="F6" s="58" t="n">
        <x:f>AVERAGE(B6:E6)</x:f>
        <x:v>52</x:v>
      </x:c>
      <x:c r="G6" t="str"/>
    </x:row>
    <x:row r="7">
      <x:c r="A7" s="52" t="n">
        <x:v>45870</x:v>
      </x:c>
      <x:c r="B7" s="56" t="n">
        <x:v>53</x:v>
      </x:c>
      <x:c r="C7" s="56" t="n">
        <x:v>66</x:v>
      </x:c>
      <x:c r="D7" s="56" t="n">
        <x:v>60</x:v>
      </x:c>
      <x:c r="E7" s="56" t="n">
        <x:v>44</x:v>
      </x:c>
      <x:c r="F7" s="58" t="n">
        <x:f>AVERAGE(B7:E7)</x:f>
        <x:v>55.75</x:v>
      </x:c>
      <x:c r="G7" t="str"/>
    </x:row>
    <x:row r="8">
      <x:c r="A8" s="52" t="n">
        <x:v>45901</x:v>
      </x:c>
      <x:c r="B8" s="56" t="n">
        <x:v>57</x:v>
      </x:c>
      <x:c r="C8" s="56" t="n">
        <x:v>72</x:v>
      </x:c>
      <x:c r="D8" s="56" t="n">
        <x:v>65</x:v>
      </x:c>
      <x:c r="E8" s="56" t="n">
        <x:v>47</x:v>
      </x:c>
      <x:c r="F8" s="58" t="n">
        <x:f>AVERAGE(B8:E8)</x:f>
        <x:v>60.25</x:v>
      </x:c>
      <x:c r="G8" t="str"/>
    </x:row>
    <x:row r="9">
      <x:c r="A9" s="52" t="n">
        <x:v>45931</x:v>
      </x:c>
      <x:c r="B9" s="56" t="n">
        <x:v>61</x:v>
      </x:c>
      <x:c r="C9" s="56" t="n">
        <x:v>75</x:v>
      </x:c>
      <x:c r="D9" s="56" t="n">
        <x:v>69</x:v>
      </x:c>
      <x:c r="E9" s="56" t="n">
        <x:v>51</x:v>
      </x:c>
      <x:c r="F9" s="58" t="n">
        <x:f>AVERAGE(B9:E9)</x:f>
        <x:v>64</x:v>
      </x:c>
      <x:c r="G9" t="str"/>
    </x:row>
    <x:row r="10">
      <x:c r="A10" s="52" t="n">
        <x:v>45962</x:v>
      </x:c>
      <x:c r="B10" s="56" t="n">
        <x:v>58</x:v>
      </x:c>
      <x:c r="C10" s="56" t="n">
        <x:v>73</x:v>
      </x:c>
      <x:c r="D10" s="56" t="n">
        <x:v>67</x:v>
      </x:c>
      <x:c r="E10" s="56" t="n">
        <x:v>49</x:v>
      </x:c>
      <x:c r="F10" s="58" t="n">
        <x:f>AVERAGE(B10:E10)</x:f>
        <x:v>61.75</x:v>
      </x:c>
      <x:c r="G10" t="str"/>
    </x:row>
    <x:row r="11">
      <x:c r="A11" s="52" t="n">
        <x:v>45992</x:v>
      </x:c>
      <x:c r="B11" s="56" t="n">
        <x:v>55</x:v>
      </x:c>
      <x:c r="C11" s="56" t="n">
        <x:v>69</x:v>
      </x:c>
      <x:c r="D11" s="56" t="n">
        <x:v>63</x:v>
      </x:c>
      <x:c r="E11" s="56" t="n">
        <x:v>46</x:v>
      </x:c>
      <x:c r="F11" s="58" t="n">
        <x:f>AVERAGE(B11:E11)</x:f>
        <x:v>58.25</x:v>
      </x:c>
      <x:c r="G11" t="str"/>
    </x:row>
    <x:row r="12">
      <x:c r="A12" s="52" t="n">
        <x:v>46023</x:v>
      </x:c>
      <x:c r="B12" s="56" t="n">
        <x:v>62</x:v>
      </x:c>
      <x:c r="C12" s="56" t="n">
        <x:v>78</x:v>
      </x:c>
      <x:c r="D12" s="56" t="n">
        <x:v>70</x:v>
      </x:c>
      <x:c r="E12" s="56" t="n">
        <x:v>54</x:v>
      </x:c>
      <x:c r="F12" s="58" t="n">
        <x:f>AVERAGE(B12:E12)</x:f>
        <x:v>66</x:v>
      </x:c>
      <x:c r="G12" t="str"/>
    </x:row>
    <x:row r="13">
      <x:c r="A13" s="52" t="n">
        <x:v>46054</x:v>
      </x:c>
      <x:c r="B13" s="56" t="n">
        <x:v>64</x:v>
      </x:c>
      <x:c r="C13" s="56" t="n">
        <x:v>81</x:v>
      </x:c>
      <x:c r="D13" s="56" t="n">
        <x:v>72</x:v>
      </x:c>
      <x:c r="E13" s="56" t="n">
        <x:v>56</x:v>
      </x:c>
      <x:c r="F13" s="58" t="n">
        <x:f>AVERAGE(B13:E13)</x:f>
        <x:v>68.25</x:v>
      </x:c>
      <x:c r="G13" t="str"/>
    </x:row>
    <x:row r="14">
      <x:c r="A14" s="52" t="n">
        <x:v>46082</x:v>
      </x:c>
      <x:c r="B14" s="56" t="n">
        <x:v>67</x:v>
      </x:c>
      <x:c r="C14" s="56" t="n">
        <x:v>84</x:v>
      </x:c>
      <x:c r="D14" s="56" t="n">
        <x:v>75</x:v>
      </x:c>
      <x:c r="E14" s="56" t="n">
        <x:v>59</x:v>
      </x:c>
      <x:c r="F14" s="58" t="n">
        <x:f>AVERAGE(B14:E14)</x:f>
        <x:v>71.25</x:v>
      </x:c>
      <x:c r="G14" t="str"/>
    </x:row>
    <x:row r="15">
      <x:c r="A15" s="52" t="n">
        <x:v>46113</x:v>
      </x:c>
      <x:c r="B15" s="56" t="n">
        <x:v>70</x:v>
      </x:c>
      <x:c r="C15" s="56" t="n">
        <x:v>87</x:v>
      </x:c>
      <x:c r="D15" s="56" t="n">
        <x:v>78</x:v>
      </x:c>
      <x:c r="E15" s="56" t="n">
        <x:v>62</x:v>
      </x:c>
      <x:c r="F15" s="58" t="n">
        <x:f>AVERAGE(B15:E15)</x:f>
        <x:v>74.25</x:v>
      </x:c>
      <x:c r="G15" t="str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389f56c743345c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51.95000076293945" hidden="0" customWidth="1"/>
    <x:col min="2" max="2" width="20.459999084472656" hidden="0" customWidth="1"/>
    <x:col min="3" max="3" width="18.84000015258789" hidden="0" customWidth="1"/>
    <x:col min="4" max="4" width="24.229999542236328" hidden="0" customWidth="1"/>
    <x:col min="5" max="5" width="17.360000610351562" hidden="0" customWidth="1"/>
    <x:col min="6" max="6" width="20.31999969482422" hidden="0" customWidth="1"/>
    <x:col min="7" max="7" width="25.030000686645508" hidden="0" customWidth="1"/>
    <x:col min="8" max="8" width="21" hidden="0" customWidth="1"/>
  </x:cols>
  <x:sheetData>
    <x:row r="1">
      <x:c r="A1" s="5" t="str">
        <x:v>Данные Яндекс Вордстат: частотность запросов</x:v>
      </x:c>
    </x:row>
    <x:row r="3">
      <x:c r="A3" s="26" t="str">
        <x:v>Месяц</x:v>
      </x:c>
      <x:c r="B3" s="26" t="str">
        <x:v>Коммерческие запросы</x:v>
      </x:c>
      <x:c r="C3" s="26" t="str">
        <x:v>Проблемные запросы</x:v>
      </x:c>
      <x:c r="D3" s="26" t="str">
        <x:v>Инструментальные запросы</x:v>
      </x:c>
      <x:c r="E3" s="26" t="str">
        <x:v>Локальные запросы</x:v>
      </x:c>
      <x:c r="F3" s="26" t="str">
        <x:v>Суммарная частотность</x:v>
      </x:c>
      <x:c r="G3" s="26" t="str">
        <x:v>Коммерческий коэффициент</x:v>
      </x:c>
      <x:c r="H3" s="26" t="str">
        <x:v>Взвешенная частотность</x:v>
      </x:c>
    </x:row>
    <x:row r="4">
      <x:c r="A4" s="52" t="n">
        <x:v>45778</x:v>
      </x:c>
      <x:c r="B4" s="36" t="n">
        <x:v>1850</x:v>
      </x:c>
      <x:c r="C4" s="36" t="n">
        <x:v>5200</x:v>
      </x:c>
      <x:c r="D4" s="36" t="n">
        <x:v>4100</x:v>
      </x:c>
      <x:c r="E4" s="36" t="n">
        <x:v>590</x:v>
      </x:c>
      <x:c r="F4" s="62" t="n">
        <x:f>SUM(B4:E4)</x:f>
        <x:v>11740</x:v>
      </x:c>
      <x:c r="G4" s="34" t="n">
        <x:v>0.65</x:v>
      </x:c>
      <x:c r="H4" s="62" t="n">
        <x:f>F4*G4</x:f>
        <x:v>7631</x:v>
      </x:c>
    </x:row>
    <x:row r="5">
      <x:c r="A5" s="52" t="n">
        <x:v>45809</x:v>
      </x:c>
      <x:c r="B5" s="36" t="n">
        <x:v>1920</x:v>
      </x:c>
      <x:c r="C5" s="36" t="n">
        <x:v>5400</x:v>
      </x:c>
      <x:c r="D5" s="36" t="n">
        <x:v>4300</x:v>
      </x:c>
      <x:c r="E5" s="36" t="n">
        <x:v>610</x:v>
      </x:c>
      <x:c r="F5" s="62" t="n">
        <x:f>SUM(B5:E5)</x:f>
        <x:v>12230</x:v>
      </x:c>
      <x:c r="G5" s="34" t="n">
        <x:v>0.66</x:v>
      </x:c>
      <x:c r="H5" s="62" t="n">
        <x:f>F5*G5</x:f>
        <x:v>8071.8</x:v>
      </x:c>
    </x:row>
    <x:row r="6">
      <x:c r="A6" s="52" t="n">
        <x:v>45839</x:v>
      </x:c>
      <x:c r="B6" s="36" t="n">
        <x:v>2050</x:v>
      </x:c>
      <x:c r="C6" s="36" t="n">
        <x:v>5700</x:v>
      </x:c>
      <x:c r="D6" s="36" t="n">
        <x:v>4550</x:v>
      </x:c>
      <x:c r="E6" s="36" t="n">
        <x:v>650</x:v>
      </x:c>
      <x:c r="F6" s="62" t="n">
        <x:f>SUM(B6:E6)</x:f>
        <x:v>12950</x:v>
      </x:c>
      <x:c r="G6" s="34" t="n">
        <x:v>0.67</x:v>
      </x:c>
      <x:c r="H6" s="62" t="n">
        <x:f>F6*G6</x:f>
        <x:v>8676.5</x:v>
      </x:c>
    </x:row>
    <x:row r="7">
      <x:c r="A7" s="52" t="n">
        <x:v>45870</x:v>
      </x:c>
      <x:c r="B7" s="36" t="n">
        <x:v>2180</x:v>
      </x:c>
      <x:c r="C7" s="36" t="n">
        <x:v>6100</x:v>
      </x:c>
      <x:c r="D7" s="36" t="n">
        <x:v>4800</x:v>
      </x:c>
      <x:c r="E7" s="36" t="n">
        <x:v>690</x:v>
      </x:c>
      <x:c r="F7" s="62" t="n">
        <x:f>SUM(B7:E7)</x:f>
        <x:v>13770</x:v>
      </x:c>
      <x:c r="G7" s="34" t="n">
        <x:v>0.68</x:v>
      </x:c>
      <x:c r="H7" s="62" t="n">
        <x:f>F7*G7</x:f>
        <x:v>9363.6</x:v>
      </x:c>
    </x:row>
    <x:row r="8">
      <x:c r="A8" s="52" t="n">
        <x:v>45901</x:v>
      </x:c>
      <x:c r="B8" s="36" t="n">
        <x:v>2350</x:v>
      </x:c>
      <x:c r="C8" s="36" t="n">
        <x:v>6600</x:v>
      </x:c>
      <x:c r="D8" s="36" t="n">
        <x:v>5200</x:v>
      </x:c>
      <x:c r="E8" s="36" t="n">
        <x:v>730</x:v>
      </x:c>
      <x:c r="F8" s="62" t="n">
        <x:f>SUM(B8:E8)</x:f>
        <x:v>14880</x:v>
      </x:c>
      <x:c r="G8" s="34" t="n">
        <x:v>0.69</x:v>
      </x:c>
      <x:c r="H8" s="62" t="n">
        <x:f>F8*G8</x:f>
        <x:v>10267.199999999999</x:v>
      </x:c>
    </x:row>
    <x:row r="9">
      <x:c r="A9" s="52" t="n">
        <x:v>45931</x:v>
      </x:c>
      <x:c r="B9" s="36" t="n">
        <x:v>2490</x:v>
      </x:c>
      <x:c r="C9" s="36" t="n">
        <x:v>6900</x:v>
      </x:c>
      <x:c r="D9" s="36" t="n">
        <x:v>5450</x:v>
      </x:c>
      <x:c r="E9" s="36" t="n">
        <x:v>770</x:v>
      </x:c>
      <x:c r="F9" s="62" t="n">
        <x:f>SUM(B9:E9)</x:f>
        <x:v>15610</x:v>
      </x:c>
      <x:c r="G9" s="34" t="n">
        <x:v>0.7</x:v>
      </x:c>
      <x:c r="H9" s="62" t="n">
        <x:f>F9*G9</x:f>
        <x:v>10927</x:v>
      </x:c>
    </x:row>
    <x:row r="10">
      <x:c r="A10" s="52" t="n">
        <x:v>45962</x:v>
      </x:c>
      <x:c r="B10" s="36" t="n">
        <x:v>2410</x:v>
      </x:c>
      <x:c r="C10" s="36" t="n">
        <x:v>6750</x:v>
      </x:c>
      <x:c r="D10" s="36" t="n">
        <x:v>5350</x:v>
      </x:c>
      <x:c r="E10" s="36" t="n">
        <x:v>750</x:v>
      </x:c>
      <x:c r="F10" s="62" t="n">
        <x:f>SUM(B10:E10)</x:f>
        <x:v>15260</x:v>
      </x:c>
      <x:c r="G10" s="34" t="n">
        <x:v>0.69</x:v>
      </x:c>
      <x:c r="H10" s="62" t="n">
        <x:f>F10*G10</x:f>
        <x:v>10529.4</x:v>
      </x:c>
    </x:row>
    <x:row r="11">
      <x:c r="A11" s="52" t="n">
        <x:v>45992</x:v>
      </x:c>
      <x:c r="B11" s="36" t="n">
        <x:v>2300</x:v>
      </x:c>
      <x:c r="C11" s="36" t="n">
        <x:v>6400</x:v>
      </x:c>
      <x:c r="D11" s="36" t="n">
        <x:v>5100</x:v>
      </x:c>
      <x:c r="E11" s="36" t="n">
        <x:v>720</x:v>
      </x:c>
      <x:c r="F11" s="62" t="n">
        <x:f>SUM(B11:E11)</x:f>
        <x:v>14520</x:v>
      </x:c>
      <x:c r="G11" s="34" t="n">
        <x:v>0.68</x:v>
      </x:c>
      <x:c r="H11" s="62" t="n">
        <x:f>F11*G11</x:f>
        <x:v>9873.6</x:v>
      </x:c>
    </x:row>
    <x:row r="12">
      <x:c r="A12" s="52" t="n">
        <x:v>46023</x:v>
      </x:c>
      <x:c r="B12" s="36" t="n">
        <x:v>2600</x:v>
      </x:c>
      <x:c r="C12" s="36" t="n">
        <x:v>7100</x:v>
      </x:c>
      <x:c r="D12" s="36" t="n">
        <x:v>5600</x:v>
      </x:c>
      <x:c r="E12" s="36" t="n">
        <x:v>810</x:v>
      </x:c>
      <x:c r="F12" s="62" t="n">
        <x:f>SUM(B12:E12)</x:f>
        <x:v>16110</x:v>
      </x:c>
      <x:c r="G12" s="34" t="n">
        <x:v>0.71</x:v>
      </x:c>
      <x:c r="H12" s="62" t="n">
        <x:f>F12*G12</x:f>
        <x:v>11438.099999999999</x:v>
      </x:c>
    </x:row>
    <x:row r="13">
      <x:c r="A13" s="52" t="n">
        <x:v>46054</x:v>
      </x:c>
      <x:c r="B13" s="36" t="n">
        <x:v>2730</x:v>
      </x:c>
      <x:c r="C13" s="36" t="n">
        <x:v>7350</x:v>
      </x:c>
      <x:c r="D13" s="36" t="n">
        <x:v>5800</x:v>
      </x:c>
      <x:c r="E13" s="36" t="n">
        <x:v>840</x:v>
      </x:c>
      <x:c r="F13" s="62" t="n">
        <x:f>SUM(B13:E13)</x:f>
        <x:v>16720</x:v>
      </x:c>
      <x:c r="G13" s="34" t="n">
        <x:v>0.72</x:v>
      </x:c>
      <x:c r="H13" s="62" t="n">
        <x:f>F13*G13</x:f>
        <x:v>12038.4</x:v>
      </x:c>
    </x:row>
    <x:row r="14">
      <x:c r="A14" s="52" t="n">
        <x:v>46082</x:v>
      </x:c>
      <x:c r="B14" s="36" t="n">
        <x:v>2890</x:v>
      </x:c>
      <x:c r="C14" s="36" t="n">
        <x:v>7600</x:v>
      </x:c>
      <x:c r="D14" s="36" t="n">
        <x:v>6100</x:v>
      </x:c>
      <x:c r="E14" s="36" t="n">
        <x:v>880</x:v>
      </x:c>
      <x:c r="F14" s="62" t="n">
        <x:f>SUM(B14:E14)</x:f>
        <x:v>17470</x:v>
      </x:c>
      <x:c r="G14" s="34" t="n">
        <x:v>0.73</x:v>
      </x:c>
      <x:c r="H14" s="62" t="n">
        <x:f>F14*G14</x:f>
        <x:v>12753.1</x:v>
      </x:c>
    </x:row>
    <x:row r="15">
      <x:c r="A15" s="52" t="n">
        <x:v>46113</x:v>
      </x:c>
      <x:c r="B15" s="36" t="n">
        <x:v>3050</x:v>
      </x:c>
      <x:c r="C15" s="36" t="n">
        <x:v>7900</x:v>
      </x:c>
      <x:c r="D15" s="36" t="n">
        <x:v>6400</x:v>
      </x:c>
      <x:c r="E15" s="36" t="n">
        <x:v>920</x:v>
      </x:c>
      <x:c r="F15" s="62" t="n">
        <x:f>SUM(B15:E15)</x:f>
        <x:v>18270</x:v>
      </x:c>
      <x:c r="G15" s="34" t="n">
        <x:v>0.74</x:v>
      </x:c>
      <x:c r="H15" s="62" t="n">
        <x:f>F15*G15</x:f>
        <x:v>13519.8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42dcf9da1ed24d2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66.76000213623047" hidden="0" customWidth="1"/>
    <x:col min="2" max="2" width="16.549999237060547" hidden="0" customWidth="1"/>
    <x:col min="3" max="3" width="17.229999542236328" hidden="0" customWidth="1"/>
    <x:col min="4" max="4" width="24.09000015258789" hidden="0" customWidth="1"/>
    <x:col min="5" max="5" width="17.6299991607666" hidden="0" customWidth="1"/>
    <x:col min="6" max="6" width="20.459999084472656" hidden="0" customWidth="1"/>
    <x:col min="7" max="7" width="12.920000076293945" hidden="0" customWidth="1"/>
    <x:col min="8" max="8" width="30" hidden="0" customWidth="1"/>
  </x:cols>
  <x:sheetData>
    <x:row r="1">
      <x:c r="A1" s="5" t="str">
        <x:v>Нормализация данных и сводный индекс поискового спроса</x:v>
      </x:c>
    </x:row>
    <x:row r="3">
      <x:c r="A3" s="26" t="str">
        <x:v>Месяц</x:v>
      </x:c>
      <x:c r="B3" s="26" t="str">
        <x:v>Средний индекс GT</x:v>
      </x:c>
      <x:c r="C3" s="26" t="str">
        <x:v>Нормированный GT</x:v>
      </x:c>
      <x:c r="D3" s="26" t="str">
        <x:v>Взвешенная частотность WS</x:v>
      </x:c>
      <x:c r="E3" s="26" t="str">
        <x:v>Нормированный WS</x:v>
      </x:c>
      <x:c r="F3" s="26" t="str">
        <x:v>Сводный индекс спроса</x:v>
      </x:c>
      <x:c r="G3" s="26" t="str">
        <x:v>Оценка уровня</x:v>
      </x:c>
      <x:c r="H3" s="26" t="str">
        <x:v>Комментарий</x:v>
      </x:c>
    </x:row>
    <x:row r="4">
      <x:c r="A4" s="52" t="n">
        <x:f>'03_Google_Trends'!A4</x:f>
        <x:v>45778</x:v>
      </x:c>
      <x:c r="B4" s="54" t="n">
        <x:f>'03_Google_Trends'!F4</x:f>
        <x:v>45.25</x:v>
      </x:c>
      <x:c r="C4" s="54" t="n">
        <x:f>IF(MAX($B$4:$B$15)=0,0,B4/MAX($B$4:$B$15)*100)</x:f>
        <x:v>60.94276094276094</x:v>
      </x:c>
      <x:c r="D4" s="38" t="n">
        <x:f>'04_Wordstat'!H4</x:f>
        <x:v>7631</x:v>
      </x:c>
      <x:c r="E4" s="54" t="n">
        <x:f>IF(MAX($D$4:$D$15)=0,0,D4/MAX($D$4:$D$15)*100)</x:f>
        <x:v>56.4431426500392</x:v>
      </x:c>
      <x:c r="F4" s="58" t="n">
        <x:f>C4*'01_Параметры'!$B$11+E4*'01_Параметры'!$B$12</x:f>
        <x:v>58.2429899671279</x:v>
      </x:c>
      <x:c r="G4" t="str">
        <x:f>IF(F4&gt;=75,"высокий",IF(F4&gt;=45,"средний","низкий"))</x:f>
        <x:v>средний</x:v>
      </x:c>
    </x:row>
    <x:row r="5">
      <x:c r="A5" s="52" t="n">
        <x:f>'03_Google_Trends'!A5</x:f>
        <x:v>45809</x:v>
      </x:c>
      <x:c r="B5" s="54" t="n">
        <x:f>'03_Google_Trends'!F5</x:f>
        <x:v>48</x:v>
      </x:c>
      <x:c r="C5" s="54" t="n">
        <x:f>IF(MAX($B$4:$B$15)=0,0,B5/MAX($B$4:$B$15)*100)</x:f>
        <x:v>64.64646464646465</x:v>
      </x:c>
      <x:c r="D5" s="38" t="n">
        <x:f>'04_Wordstat'!H5</x:f>
        <x:v>8071.8</x:v>
      </x:c>
      <x:c r="E5" s="54" t="n">
        <x:f>IF(MAX($D$4:$D$15)=0,0,D5/MAX($D$4:$D$15)*100)</x:f>
        <x:v>59.70354591044247</x:v>
      </x:c>
      <x:c r="F5" s="58" t="n">
        <x:f>C5*'01_Параметры'!$B$11+E5*'01_Параметры'!$B$12</x:f>
        <x:v>61.680713404851346</x:v>
      </x:c>
      <x:c r="G5" t="str">
        <x:f>IF(F5&gt;=75,"высокий",IF(F5&gt;=45,"средний","низкий"))</x:f>
        <x:v>средний</x:v>
      </x:c>
    </x:row>
    <x:row r="6">
      <x:c r="A6" s="52" t="n">
        <x:f>'03_Google_Trends'!A6</x:f>
        <x:v>45839</x:v>
      </x:c>
      <x:c r="B6" s="54" t="n">
        <x:f>'03_Google_Trends'!F6</x:f>
        <x:v>52</x:v>
      </x:c>
      <x:c r="C6" s="54" t="n">
        <x:f>IF(MAX($B$4:$B$15)=0,0,B6/MAX($B$4:$B$15)*100)</x:f>
        <x:v>70.03367003367003</x:v>
      </x:c>
      <x:c r="D6" s="38" t="n">
        <x:f>'04_Wordstat'!H6</x:f>
        <x:v>8676.5</x:v>
      </x:c>
      <x:c r="E6" s="54" t="n">
        <x:f>IF(MAX($D$4:$D$15)=0,0,D6/MAX($D$4:$D$15)*100)</x:f>
        <x:v>64.17624521072798</x:v>
      </x:c>
      <x:c r="F6" s="58" t="n">
        <x:f>C6*'01_Параметры'!$B$11+E6*'01_Параметры'!$B$12</x:f>
        <x:v>66.5192151399048</x:v>
      </x:c>
      <x:c r="G6" t="str">
        <x:f>IF(F6&gt;=75,"высокий",IF(F6&gt;=45,"средний","низкий"))</x:f>
        <x:v>средний</x:v>
      </x:c>
    </x:row>
    <x:row r="7">
      <x:c r="A7" s="52" t="n">
        <x:f>'03_Google_Trends'!A7</x:f>
        <x:v>45870</x:v>
      </x:c>
      <x:c r="B7" s="54" t="n">
        <x:f>'03_Google_Trends'!F7</x:f>
        <x:v>55.75</x:v>
      </x:c>
      <x:c r="C7" s="54" t="n">
        <x:f>IF(MAX($B$4:$B$15)=0,0,B7/MAX($B$4:$B$15)*100)</x:f>
        <x:v>75.08417508417509</x:v>
      </x:c>
      <x:c r="D7" s="38" t="n">
        <x:f>'04_Wordstat'!H7</x:f>
        <x:v>9363.6</x:v>
      </x:c>
      <x:c r="E7" s="54" t="n">
        <x:f>IF(MAX($D$4:$D$15)=0,0,D7/MAX($D$4:$D$15)*100)</x:f>
        <x:v>69.25842098255892</x:v>
      </x:c>
      <x:c r="F7" s="58" t="n">
        <x:f>C7*'01_Параметры'!$B$11+E7*'01_Параметры'!$B$12</x:f>
        <x:v>71.58872262320538</x:v>
      </x:c>
      <x:c r="G7" t="str">
        <x:f>IF(F7&gt;=75,"высокий",IF(F7&gt;=45,"средний","низкий"))</x:f>
        <x:v>средний</x:v>
      </x:c>
    </x:row>
    <x:row r="8">
      <x:c r="A8" s="52" t="n">
        <x:f>'03_Google_Trends'!A8</x:f>
        <x:v>45901</x:v>
      </x:c>
      <x:c r="B8" s="54" t="n">
        <x:f>'03_Google_Trends'!F8</x:f>
        <x:v>60.25</x:v>
      </x:c>
      <x:c r="C8" s="54" t="n">
        <x:f>IF(MAX($B$4:$B$15)=0,0,B8/MAX($B$4:$B$15)*100)</x:f>
        <x:v>81.14478114478115</x:v>
      </x:c>
      <x:c r="D8" s="38" t="n">
        <x:f>'04_Wordstat'!H8</x:f>
        <x:v>10267.199999999999</x:v>
      </x:c>
      <x:c r="E8" s="54" t="n">
        <x:f>IF(MAX($D$4:$D$15)=0,0,D8/MAX($D$4:$D$15)*100)</x:f>
        <x:v>75.94195180402077</x:v>
      </x:c>
      <x:c r="F8" s="58" t="n">
        <x:f>C8*'01_Параметры'!$B$11+E8*'01_Параметры'!$B$12</x:f>
        <x:v>78.02308354032493</x:v>
      </x:c>
      <x:c r="G8" t="str">
        <x:f>IF(F8&gt;=75,"высокий",IF(F8&gt;=45,"средний","низкий"))</x:f>
        <x:v>высокий</x:v>
      </x:c>
    </x:row>
    <x:row r="9">
      <x:c r="A9" s="52" t="n">
        <x:f>'03_Google_Trends'!A9</x:f>
        <x:v>45931</x:v>
      </x:c>
      <x:c r="B9" s="54" t="n">
        <x:f>'03_Google_Trends'!F9</x:f>
        <x:v>64</x:v>
      </x:c>
      <x:c r="C9" s="54" t="n">
        <x:f>IF(MAX($B$4:$B$15)=0,0,B9/MAX($B$4:$B$15)*100)</x:f>
        <x:v>86.19528619528619</x:v>
      </x:c>
      <x:c r="D9" s="38" t="n">
        <x:f>'04_Wordstat'!H9</x:f>
        <x:v>10927</x:v>
      </x:c>
      <x:c r="E9" s="54" t="n">
        <x:f>IF(MAX($D$4:$D$15)=0,0,D9/MAX($D$4:$D$15)*100)</x:f>
        <x:v>80.82220151185669</x:v>
      </x:c>
      <x:c r="F9" s="58" t="n">
        <x:f>C9*'01_Параметры'!$B$11+E9*'01_Параметры'!$B$12</x:f>
        <x:v>82.97143538522849</x:v>
      </x:c>
      <x:c r="G9" t="str">
        <x:f>IF(F9&gt;=75,"высокий",IF(F9&gt;=45,"средний","низкий"))</x:f>
        <x:v>высокий</x:v>
      </x:c>
    </x:row>
    <x:row r="10">
      <x:c r="A10" s="52" t="n">
        <x:f>'03_Google_Trends'!A10</x:f>
        <x:v>45962</x:v>
      </x:c>
      <x:c r="B10" s="54" t="n">
        <x:f>'03_Google_Trends'!F10</x:f>
        <x:v>61.75</x:v>
      </x:c>
      <x:c r="C10" s="54" t="n">
        <x:f>IF(MAX($B$4:$B$15)=0,0,B10/MAX($B$4:$B$15)*100)</x:f>
        <x:v>83.16498316498317</x:v>
      </x:c>
      <x:c r="D10" s="38" t="n">
        <x:f>'04_Wordstat'!H10</x:f>
        <x:v>10529.4</x:v>
      </x:c>
      <x:c r="E10" s="54" t="n">
        <x:f>IF(MAX($D$4:$D$15)=0,0,D10/MAX($D$4:$D$15)*100)</x:f>
        <x:v>77.88132960546754</x:v>
      </x:c>
      <x:c r="F10" s="58" t="n">
        <x:f>C10*'01_Параметры'!$B$11+E10*'01_Параметры'!$B$12</x:f>
        <x:v>79.99479102927378</x:v>
      </x:c>
      <x:c r="G10" t="str">
        <x:f>IF(F10&gt;=75,"высокий",IF(F10&gt;=45,"средний","низкий"))</x:f>
        <x:v>высокий</x:v>
      </x:c>
    </x:row>
    <x:row r="11">
      <x:c r="A11" s="52" t="n">
        <x:f>'03_Google_Trends'!A11</x:f>
        <x:v>45992</x:v>
      </x:c>
      <x:c r="B11" s="54" t="n">
        <x:f>'03_Google_Trends'!F11</x:f>
        <x:v>58.25</x:v>
      </x:c>
      <x:c r="C11" s="54" t="n">
        <x:f>IF(MAX($B$4:$B$15)=0,0,B11/MAX($B$4:$B$15)*100)</x:f>
        <x:v>78.45117845117845</x:v>
      </x:c>
      <x:c r="D11" s="38" t="n">
        <x:f>'04_Wordstat'!H11</x:f>
        <x:v>9873.6</x:v>
      </x:c>
      <x:c r="E11" s="54" t="n">
        <x:f>IF(MAX($D$4:$D$15)=0,0,D11/MAX($D$4:$D$15)*100)</x:f>
        <x:v>73.03066613411443</x:v>
      </x:c>
      <x:c r="F11" s="58" t="n">
        <x:f>C11*'01_Параметры'!$B$11+E11*'01_Параметры'!$B$12</x:f>
        <x:v>75.19887106094004</x:v>
      </x:c>
      <x:c r="G11" t="str">
        <x:f>IF(F11&gt;=75,"высокий",IF(F11&gt;=45,"средний","низкий"))</x:f>
        <x:v>высокий</x:v>
      </x:c>
    </x:row>
    <x:row r="12">
      <x:c r="A12" s="52" t="n">
        <x:f>'03_Google_Trends'!A12</x:f>
        <x:v>46023</x:v>
      </x:c>
      <x:c r="B12" s="54" t="n">
        <x:f>'03_Google_Trends'!F12</x:f>
        <x:v>66</x:v>
      </x:c>
      <x:c r="C12" s="54" t="n">
        <x:f>IF(MAX($B$4:$B$15)=0,0,B12/MAX($B$4:$B$15)*100)</x:f>
        <x:v>88.88888888888889</x:v>
      </x:c>
      <x:c r="D12" s="38" t="n">
        <x:f>'04_Wordstat'!H12</x:f>
        <x:v>11438.099999999999</x:v>
      </x:c>
      <x:c r="E12" s="54" t="n">
        <x:f>IF(MAX($D$4:$D$15)=0,0,D12/MAX($D$4:$D$15)*100)</x:f>
        <x:v>84.60258287844495</x:v>
      </x:c>
      <x:c r="F12" s="58" t="n">
        <x:f>C12*'01_Параметры'!$B$11+E12*'01_Параметры'!$B$12</x:f>
        <x:v>86.31710528262252</x:v>
      </x:c>
      <x:c r="G12" t="str">
        <x:f>IF(F12&gt;=75,"высокий",IF(F12&gt;=45,"средний","низкий"))</x:f>
        <x:v>высокий</x:v>
      </x:c>
    </x:row>
    <x:row r="13">
      <x:c r="A13" s="52" t="n">
        <x:f>'03_Google_Trends'!A13</x:f>
        <x:v>46054</x:v>
      </x:c>
      <x:c r="B13" s="54" t="n">
        <x:f>'03_Google_Trends'!F13</x:f>
        <x:v>68.25</x:v>
      </x:c>
      <x:c r="C13" s="54" t="n">
        <x:f>IF(MAX($B$4:$B$15)=0,0,B13/MAX($B$4:$B$15)*100)</x:f>
        <x:v>91.91919191919192</x:v>
      </x:c>
      <x:c r="D13" s="38" t="n">
        <x:f>'04_Wordstat'!H13</x:f>
        <x:v>12038.4</x:v>
      </x:c>
      <x:c r="E13" s="54" t="n">
        <x:f>IF(MAX($D$4:$D$15)=0,0,D13/MAX($D$4:$D$15)*100)</x:f>
        <x:v>89.04273731859938</x:v>
      </x:c>
      <x:c r="F13" s="58" t="n">
        <x:f>C13*'01_Параметры'!$B$11+E13*'01_Параметры'!$B$12</x:f>
        <x:v>90.1933191588364</x:v>
      </x:c>
      <x:c r="G13" t="str">
        <x:f>IF(F13&gt;=75,"высокий",IF(F13&gt;=45,"средний","низкий"))</x:f>
        <x:v>высокий</x:v>
      </x:c>
    </x:row>
    <x:row r="14">
      <x:c r="A14" s="52" t="n">
        <x:f>'03_Google_Trends'!A14</x:f>
        <x:v>46082</x:v>
      </x:c>
      <x:c r="B14" s="54" t="n">
        <x:f>'03_Google_Trends'!F14</x:f>
        <x:v>71.25</x:v>
      </x:c>
      <x:c r="C14" s="54" t="n">
        <x:f>IF(MAX($B$4:$B$15)=0,0,B14/MAX($B$4:$B$15)*100)</x:f>
        <x:v>95.95959595959596</x:v>
      </x:c>
      <x:c r="D14" s="38" t="n">
        <x:f>'04_Wordstat'!H14</x:f>
        <x:v>12753.1</x:v>
      </x:c>
      <x:c r="E14" s="54" t="n">
        <x:f>IF(MAX($D$4:$D$15)=0,0,D14/MAX($D$4:$D$15)*100)</x:f>
        <x:v>94.32905812216158</x:v>
      </x:c>
      <x:c r="F14" s="58" t="n">
        <x:f>C14*'01_Параметры'!$B$11+E14*'01_Параметры'!$B$12</x:f>
        <x:v>94.98127325713534</x:v>
      </x:c>
      <x:c r="G14" t="str">
        <x:f>IF(F14&gt;=75,"высокий",IF(F14&gt;=45,"средний","низкий"))</x:f>
        <x:v>высокий</x:v>
      </x:c>
    </x:row>
    <x:row r="15">
      <x:c r="A15" s="52" t="n">
        <x:f>'03_Google_Trends'!A15</x:f>
        <x:v>46113</x:v>
      </x:c>
      <x:c r="B15" s="54" t="n">
        <x:f>'03_Google_Trends'!F15</x:f>
        <x:v>74.25</x:v>
      </x:c>
      <x:c r="C15" s="54" t="n">
        <x:f>IF(MAX($B$4:$B$15)=0,0,B15/MAX($B$4:$B$15)*100)</x:f>
        <x:v>100</x:v>
      </x:c>
      <x:c r="D15" s="38" t="n">
        <x:f>'04_Wordstat'!H15</x:f>
        <x:v>13519.8</x:v>
      </x:c>
      <x:c r="E15" s="54" t="n">
        <x:f>IF(MAX($D$4:$D$15)=0,0,D15/MAX($D$4:$D$15)*100)</x:f>
        <x:v>100</x:v>
      </x:c>
      <x:c r="F15" s="58" t="n">
        <x:f>C15*'01_Параметры'!$B$11+E15*'01_Параметры'!$B$12</x:f>
        <x:v>100</x:v>
      </x:c>
      <x:c r="G15" t="str">
        <x:f>IF(F15&gt;=75,"высокий",IF(F15&gt;=45,"средний","низкий"))</x:f>
        <x:v>высокий</x:v>
      </x:c>
    </x:row>
  </x:sheetData>
  <x:mergeCells>
    <x:mergeCell ref="A1:H1"/>
  </x:mergeCells>
  <x:conditionalFormatting sqref="F4:F15">
    <x:cfRule type="colorScale" priority="1">
      <x:colorScale>
        <x:cfvo type="min"/>
        <x:cfvo type="percentile" val="50"/>
        <x:cfvo type="max"/>
        <x:color rgb="FCE4D6"/>
        <x:color rgb="FFF2CC"/>
        <x:color rgb="E2F0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c8fb38004e3432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.039999961853027" hidden="0" customWidth="1"/>
    <x:col min="3" max="3" width="7.400000095367432" hidden="0" customWidth="1"/>
    <x:col min="4" max="4" width="13.859999656677246" hidden="0" customWidth="1"/>
    <x:col min="5" max="5" width="42" hidden="0" customWidth="1"/>
  </x:cols>
  <x:sheetData>
    <x:row r="1">
      <x:c r="A1" s="5" t="str">
        <x:v>Цифровая воронка: перевод поискового спроса в продажи и выручку</x:v>
      </x:c>
      <x:c r="E1" s="20"/>
    </x:row>
    <x:row r="3">
      <x:c r="A3" s="26" t="str">
        <x:v>Показатель</x:v>
      </x:c>
      <x:c r="B3" s="26" t="str">
        <x:v>Осторожный</x:v>
      </x:c>
      <x:c r="C3" s="26" t="str">
        <x:v>Базовый</x:v>
      </x:c>
      <x:c r="D3" s="26" t="str">
        <x:v>Оптимистичный</x:v>
      </x:c>
      <x:c r="E3" s="26" t="str">
        <x:v>Комментарий</x:v>
      </x:c>
    </x:row>
    <x:row r="4">
      <x:c r="A4" t="str">
        <x:v>Взвешенный поисковый спрос / мес.</x:v>
      </x:c>
      <x:c r="B4" s="62" t="n">
        <x:f>AVERAGE('04_Wordstat'!$H$4:$H$15)</x:f>
        <x:v>10424.125000000002</x:v>
      </x:c>
      <x:c r="C4" s="62" t="n">
        <x:f>AVERAGE('04_Wordstat'!$H$4:$H$15)</x:f>
        <x:v>10424.125000000002</x:v>
      </x:c>
      <x:c r="D4" s="62" t="n">
        <x:f>AVERAGE('04_Wordstat'!$H$4:$H$15)</x:f>
        <x:v>10424.125000000002</x:v>
      </x:c>
      <x:c r="E4" t="str">
        <x:v>Берется из листа 04_Wordstat как среднее значение.</x:v>
      </x:c>
    </x:row>
    <x:row r="5">
      <x:c r="A5" t="str">
        <x:v>Доля переходов из поиска</x:v>
      </x:c>
      <x:c r="B5" s="34" t="n">
        <x:v>0.04</x:v>
      </x:c>
      <x:c r="C5" s="34" t="n">
        <x:v>0.08</x:v>
      </x:c>
      <x:c r="D5" s="34" t="n">
        <x:v>0.12</x:v>
      </x:c>
      <x:c r="E5" t="str">
        <x:v>CTR или доля пользователей, перешедших на сайт / страницу.</x:v>
      </x:c>
    </x:row>
    <x:row r="6">
      <x:c r="A6" t="str">
        <x:v>Посещения / мес.</x:v>
      </x:c>
      <x:c r="B6" s="62" t="n">
        <x:f>B4*B5</x:f>
        <x:v>416.9650000000001</x:v>
      </x:c>
      <x:c r="C6" s="62" t="n">
        <x:f>C4*C5</x:f>
        <x:v>833.9300000000002</x:v>
      </x:c>
      <x:c r="D6" s="62" t="n">
        <x:f>D4*D5</x:f>
        <x:v>1250.8950000000002</x:v>
      </x:c>
      <x:c r="E6" t="str">
        <x:v>Поисковый спрос × доля переходов.</x:v>
      </x:c>
    </x:row>
    <x:row r="7">
      <x:c r="A7" t="str">
        <x:v>Конверсия посетитель → заявка</x:v>
      </x:c>
      <x:c r="B7" s="34" t="n">
        <x:v>0.02</x:v>
      </x:c>
      <x:c r="C7" s="34" t="n">
        <x:v>0.04</x:v>
      </x:c>
      <x:c r="D7" s="34" t="n">
        <x:v>0.07</x:v>
      </x:c>
      <x:c r="E7" t="str">
        <x:v>Зависит от качества предложения и сайта.</x:v>
      </x:c>
    </x:row>
    <x:row r="8">
      <x:c r="A8" t="str">
        <x:v>Заявки / мес.</x:v>
      </x:c>
      <x:c r="B8" s="62" t="n">
        <x:f>B6*B7</x:f>
        <x:v>8.339300000000001</x:v>
      </x:c>
      <x:c r="C8" s="62" t="n">
        <x:f>C6*C7</x:f>
        <x:v>33.357200000000006</x:v>
      </x:c>
      <x:c r="D8" s="62" t="n">
        <x:f>D6*D7</x:f>
        <x:v>87.56265000000002</x:v>
      </x:c>
      <x:c r="E8" t="str">
        <x:v>Посещения × конверсия в заявку.</x:v>
      </x:c>
    </x:row>
    <x:row r="9">
      <x:c r="A9" t="str">
        <x:v>Конверсия заявка → продажа</x:v>
      </x:c>
      <x:c r="B9" s="34" t="n">
        <x:v>0.15</x:v>
      </x:c>
      <x:c r="C9" s="34" t="n">
        <x:v>0.25</x:v>
      </x:c>
      <x:c r="D9" s="34" t="n">
        <x:v>0.35</x:v>
      </x:c>
      <x:c r="E9" t="str">
        <x:v>Доля заявок, закончившихся оплатой.</x:v>
      </x:c>
    </x:row>
    <x:row r="10">
      <x:c r="A10" t="str">
        <x:v>Продажи / мес.</x:v>
      </x:c>
      <x:c r="B10" s="58" t="n">
        <x:f>B8*B9</x:f>
        <x:v>1.250895</x:v>
      </x:c>
      <x:c r="C10" s="58" t="n">
        <x:f>C8*C9</x:f>
        <x:v>8.339300000000001</x:v>
      </x:c>
      <x:c r="D10" s="58" t="n">
        <x:f>D8*D9</x:f>
        <x:v>30.646927500000004</x:v>
      </x:c>
      <x:c r="E10" t="str">
        <x:v>Заявки × конверсия в продажу.</x:v>
      </x:c>
    </x:row>
    <x:row r="11">
      <x:c r="A11" t="str">
        <x:v>Средний чек</x:v>
      </x:c>
      <x:c r="B11" s="36" t="n">
        <x:v>350</x:v>
      </x:c>
      <x:c r="C11" s="36" t="n">
        <x:v>500</x:v>
      </x:c>
      <x:c r="D11" s="36" t="n">
        <x:v>800</x:v>
      </x:c>
      <x:c r="E11" t="str">
        <x:v>Средний платеж клиента.</x:v>
      </x:c>
    </x:row>
    <x:row r="12">
      <x:c r="A12" t="str">
        <x:v>Коэффициент повторных покупок</x:v>
      </x:c>
      <x:c r="B12" s="36" t="n">
        <x:v>1</x:v>
      </x:c>
      <x:c r="C12" s="36" t="n">
        <x:v>1.2</x:v>
      </x:c>
      <x:c r="D12" s="36" t="n">
        <x:v>1.5</x:v>
      </x:c>
      <x:c r="E12" t="str">
        <x:v>Дополнительный множитель повторных продаж.</x:v>
      </x:c>
    </x:row>
    <x:row r="13">
      <x:c r="A13" t="str">
        <x:v>Выручка / мес.</x:v>
      </x:c>
      <x:c r="B13" s="62" t="n">
        <x:f>B10*B11*B12</x:f>
        <x:v>437.81325000000004</x:v>
      </x:c>
      <x:c r="C13" s="62" t="n">
        <x:f>C10*C11*C12</x:f>
        <x:v>5003.580000000001</x:v>
      </x:c>
      <x:c r="D13" s="62" t="n">
        <x:f>D10*D11*D12</x:f>
        <x:v>36776.313</x:v>
      </x:c>
      <x:c r="E13" t="str">
        <x:v>Продажи × средний чек × повторные покупки.</x:v>
      </x:c>
    </x:row>
    <x:row r="14">
      <x:c r="A14" t="str">
        <x:v>Выручка / год</x:v>
      </x:c>
      <x:c r="B14" s="62" t="n">
        <x:f>B13*12</x:f>
        <x:v>5253.759</x:v>
      </x:c>
      <x:c r="C14" s="62" t="n">
        <x:f>C13*12</x:f>
        <x:v>60042.96000000001</x:v>
      </x:c>
      <x:c r="D14" s="62" t="n">
        <x:f>D13*12</x:f>
        <x:v>441315.75600000005</x:v>
      </x:c>
      <x:c r="E14" t="str">
        <x:v>Месячная выручка × 12.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47a7536cd0d942f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6.61000061035156" hidden="0" customWidth="1"/>
    <x:col min="2" max="2" width="14.130000114440918" hidden="0" customWidth="1"/>
    <x:col min="3" max="3" width="11.4399995803833" hidden="0" customWidth="1"/>
    <x:col min="4" max="4" width="13.460000038146973" hidden="0" customWidth="1"/>
    <x:col min="5" max="5" width="10.770000457763672" hidden="0" customWidth="1"/>
    <x:col min="6" max="6" width="12.789999961853027" hidden="0" customWidth="1"/>
    <x:col min="7" max="7" width="11.979999542236328" hidden="0" customWidth="1"/>
    <x:col min="8" max="8" width="42" hidden="0" customWidth="1"/>
  </x:cols>
  <x:sheetData>
    <x:row r="1">
      <x:c r="A1" s="5" t="str">
        <x:v>Сценарная оценка объема рынка</x:v>
      </x:c>
      <x:c r="H1" s="20"/>
    </x:row>
    <x:row r="3">
      <x:c r="A3" s="26" t="str">
        <x:v>Сценарий</x:v>
      </x:c>
      <x:c r="B3" s="26" t="str">
        <x:v>Переходы / мес.</x:v>
      </x:c>
      <x:c r="C3" s="26" t="str">
        <x:v>Заявки / мес.</x:v>
      </x:c>
      <x:c r="D3" s="26" t="str">
        <x:v>Продажи / мес.</x:v>
      </x:c>
      <x:c r="E3" s="26" t="str">
        <x:v>Средний чек</x:v>
      </x:c>
      <x:c r="F3" s="26" t="str">
        <x:v>Выручка / мес.</x:v>
      </x:c>
      <x:c r="G3" s="26" t="str">
        <x:v>Выручка / год</x:v>
      </x:c>
      <x:c r="H3" s="26" t="str">
        <x:v>Интерпретация</x:v>
      </x:c>
    </x:row>
    <x:row r="4">
      <x:c r="A4" t="str">
        <x:v>Осторожный</x:v>
      </x:c>
      <x:c r="B4" s="54" t="n">
        <x:f>'06_Воронка'!B6</x:f>
        <x:v>416.9650000000001</x:v>
      </x:c>
      <x:c r="C4" s="54" t="n">
        <x:f>'06_Воронка'!B8</x:f>
        <x:v>8.339300000000001</x:v>
      </x:c>
      <x:c r="D4" s="54" t="n">
        <x:f>'06_Воронка'!B10</x:f>
        <x:v>1.250895</x:v>
      </x:c>
      <x:c r="E4" s="38" t="n">
        <x:f>'06_Воронка'!B11</x:f>
        <x:v>350</x:v>
      </x:c>
      <x:c r="F4" s="38" t="n">
        <x:f>'06_Воронка'!B13</x:f>
        <x:v>437.81325000000004</x:v>
      </x:c>
      <x:c r="G4" s="38" t="n">
        <x:f>'06_Воронка'!B14</x:f>
        <x:v>5253.759</x:v>
      </x:c>
      <x:c r="H4" t="str">
        <x:v>Нижняя граница оценки при слабой конверсии.</x:v>
      </x:c>
    </x:row>
    <x:row r="5">
      <x:c r="A5" t="str">
        <x:v>Базовый</x:v>
      </x:c>
      <x:c r="B5" s="54" t="n">
        <x:f>'06_Воронка'!C6</x:f>
        <x:v>833.9300000000002</x:v>
      </x:c>
      <x:c r="C5" s="54" t="n">
        <x:f>'06_Воронка'!C8</x:f>
        <x:v>33.357200000000006</x:v>
      </x:c>
      <x:c r="D5" s="54" t="n">
        <x:f>'06_Воронка'!C10</x:f>
        <x:v>8.339300000000001</x:v>
      </x:c>
      <x:c r="E5" s="38" t="n">
        <x:f>'06_Воронка'!C11</x:f>
        <x:v>500</x:v>
      </x:c>
      <x:c r="F5" s="38" t="n">
        <x:f>'06_Воронка'!C13</x:f>
        <x:v>5003.580000000001</x:v>
      </x:c>
      <x:c r="G5" s="38" t="n">
        <x:f>'06_Воронка'!C14</x:f>
        <x:v>60042.96000000001</x:v>
      </x:c>
      <x:c r="H5" t="str">
        <x:v>Рабочий ориентир для планирования.</x:v>
      </x:c>
    </x:row>
    <x:row r="6">
      <x:c r="A6" t="str">
        <x:v>Оптимистичный</x:v>
      </x:c>
      <x:c r="B6" s="54" t="n">
        <x:f>'06_Воронка'!D6</x:f>
        <x:v>1250.8950000000002</x:v>
      </x:c>
      <x:c r="C6" s="54" t="n">
        <x:f>'06_Воронка'!D8</x:f>
        <x:v>87.56265000000002</x:v>
      </x:c>
      <x:c r="D6" s="54" t="n">
        <x:f>'06_Воронка'!D10</x:f>
        <x:v>30.646927500000004</x:v>
      </x:c>
      <x:c r="E6" s="38" t="n">
        <x:f>'06_Воронка'!D11</x:f>
        <x:v>800</x:v>
      </x:c>
      <x:c r="F6" s="38" t="n">
        <x:f>'06_Воронка'!D13</x:f>
        <x:v>36776.313</x:v>
      </x:c>
      <x:c r="G6" s="38" t="n">
        <x:f>'06_Воронка'!D14</x:f>
        <x:v>441315.75600000005</x:v>
      </x:c>
      <x:c r="H6" t="str">
        <x:v>Верхняя граница при сильном предложении и продвижении.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5e66d175b6e4f1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.460000038146973" hidden="0" customWidth="1"/>
    <x:col min="3" max="3" width="48" hidden="0" customWidth="1"/>
  </x:cols>
  <x:sheetData>
    <x:row r="1">
      <x:c r="A1" s="5" t="str">
        <x:v>Итоговая панель оценки рынка через поисковый спрос</x:v>
      </x:c>
    </x:row>
    <x:row r="3">
      <x:c r="A3" s="26" t="str">
        <x:v>Показатель</x:v>
      </x:c>
      <x:c r="B3" s="26" t="str">
        <x:v>Значение</x:v>
      </x:c>
      <x:c r="C3" s="26" t="str">
        <x:v>Комментарий</x:v>
      </x:c>
    </x:row>
    <x:row r="4">
      <x:c r="A4" s="20" t="str">
        <x:v>Средний сводный индекс спроса</x:v>
      </x:c>
      <x:c r="B4" s="68" t="n">
        <x:f>AVERAGE('05_Нормализация'!F4:F15)</x:f>
        <x:v>78.80929332078757</x:v>
      </x:c>
      <x:c r="C4" s="20" t="str">
        <x:v>Среднее по листу нормализации.</x:v>
      </x:c>
    </x:row>
    <x:row r="5">
      <x:c r="A5" s="20" t="str">
        <x:v>Максимальный сводный индекс спроса</x:v>
      </x:c>
      <x:c r="B5" s="68" t="n">
        <x:f>MAX('05_Нормализация'!F4:F15)</x:f>
        <x:v>100</x:v>
      </x:c>
      <x:c r="C5" s="20" t="str">
        <x:v>Пик интереса за период.</x:v>
      </x:c>
    </x:row>
    <x:row r="6">
      <x:c r="A6" s="20" t="str">
        <x:v>Средняя взвешенная частотность</x:v>
      </x:c>
      <x:c r="B6" s="69" t="n">
        <x:f>AVERAGE('04_Wordstat'!H4:H15)</x:f>
        <x:v>10424.125000000002</x:v>
      </x:c>
      <x:c r="C6" s="20" t="str">
        <x:v>Средний коммерчески взвешенный спрос / мес.</x:v>
      </x:c>
    </x:row>
    <x:row r="7">
      <x:c r="A7" s="20" t="str">
        <x:v>Базовая выручка / мес.</x:v>
      </x:c>
      <x:c r="B7" s="69" t="n">
        <x:f>'06_Воронка'!C13</x:f>
        <x:v>5003.580000000001</x:v>
      </x:c>
      <x:c r="C7" s="20" t="str">
        <x:v>Расчет по базовому сценарию.</x:v>
      </x:c>
    </x:row>
    <x:row r="8">
      <x:c r="A8" s="20" t="str">
        <x:v>Базовая выручка / год</x:v>
      </x:c>
      <x:c r="B8" s="69" t="n">
        <x:f>'06_Воронка'!C14</x:f>
        <x:v>60042.96000000001</x:v>
      </x:c>
      <x:c r="C8" s="20" t="str">
        <x:v>Расчет по базовому сценарию.</x:v>
      </x:c>
    </x:row>
    <x:row r="9">
      <x:c r="A9" s="20" t="str">
        <x:v>Диапазон годовой выручки</x:v>
      </x:c>
      <x:c r="B9" s="70" t="str">
        <x:f>TEXT('06_Воронка'!B14,"# ##0")&amp;" — "&amp;TEXT('06_Воронка'!D14,"# ##0")</x:f>
        <x:v>5 254 — 441 316</x:v>
      </x:c>
      <x:c r="C9" s="20" t="str">
        <x:v>Осторожный — оптимистичный сценарий.</x:v>
      </x:c>
    </x:row>
    <x:row r="10">
      <x:c r="A10" s="20" t="str">
        <x:v>Уровень интереса</x:v>
      </x:c>
      <x:c r="B10" s="70" t="str">
        <x:f>IF(B4&gt;=75,"высокий",IF(B4&gt;=45,"средний","низкий"))</x:f>
        <x:v>высокий</x:v>
      </x:c>
      <x:c r="C10" s="20" t="str">
        <x:v>Автоматическая классификация по среднему индексу.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43279420fd2a425f"/>
</x:worksheet>
</file>

<file path=xl/worksheets/sheet10.xml><?xml version="1.0" encoding="utf-8"?>
<x:worksheet xmlns:x="http://schemas.openxmlformats.org/spreadsheetml/2006/main">
  <x:sheetFormatPr defaultRowHeight="15"/>
  <x:cols>
    <x:col min="1" max="1" width="42.65999984741211" hidden="0" customWidth="1"/>
    <x:col min="2" max="2" width="48" hidden="0" customWidth="1"/>
    <x:col min="3" max="3" width="14.270000457763672" hidden="0" customWidth="1"/>
    <x:col min="4" max="4" width="12.920000076293945" hidden="0" customWidth="1"/>
    <x:col min="5" max="5" width="58" hidden="0" customWidth="1"/>
  </x:cols>
  <x:sheetData>
    <x:row r="1">
      <x:c r="A1" s="5" t="str">
        <x:v>Источники данных и журнал фиксации</x:v>
      </x:c>
    </x:row>
    <x:row r="3">
      <x:c r="A3" s="26" t="str">
        <x:v>Источник</x:v>
      </x:c>
      <x:c r="B3" s="26" t="str">
        <x:v>Что брать</x:v>
      </x:c>
      <x:c r="C3" s="26" t="str">
        <x:v>Период / регион</x:v>
      </x:c>
      <x:c r="D3" s="26" t="str">
        <x:v>Дата фиксации</x:v>
      </x:c>
      <x:c r="E3" s="26" t="str">
        <x:v>Ссылка / примечание</x:v>
      </x:c>
    </x:row>
    <x:row r="4">
      <x:c r="A4" s="20" t="str">
        <x:v>Google Trends</x:v>
      </x:c>
      <x:c r="B4" s="20" t="str">
        <x:v>Индекс интереса, динамика, региональность, связанные запросы</x:v>
      </x:c>
      <x:c r="C4" s="20" t="str">
        <x:v>указать</x:v>
      </x:c>
      <x:c r="D4" s="76" t="n">
        <x:v>46144.737038217594</x:v>
      </x:c>
      <x:c r="E4" s="20" t="str">
        <x:v>https://trends.google.com/</x:v>
      </x:c>
    </x:row>
    <x:row r="5">
      <x:c r="A5" s="20" t="str">
        <x:v>Справка Google Trends</x:v>
      </x:c>
      <x:c r="B5" s="20" t="str">
        <x:v>Описание нормированного индекса и выгрузки CSV</x:v>
      </x:c>
      <x:c r="C5" s="20" t="str">
        <x:v>общая методика</x:v>
      </x:c>
      <x:c r="D5" s="76" t="n">
        <x:v>46144.737038217594</x:v>
      </x:c>
      <x:c r="E5" s="20" t="str">
        <x:v>https://support.google.com/trends/answer/4365533</x:v>
      </x:c>
    </x:row>
    <x:row r="6">
      <x:c r="A6" s="20" t="str">
        <x:v>Яндекс Вордстат</x:v>
      </x:c>
      <x:c r="B6" s="20" t="str">
        <x:v>Частотность запросов, динамика, регионы, похожие запросы</x:v>
      </x:c>
      <x:c r="C6" s="20" t="str">
        <x:v>указать</x:v>
      </x:c>
      <x:c r="D6" s="76" t="n">
        <x:v>46144.737038217594</x:v>
      </x:c>
      <x:c r="E6" s="20" t="str">
        <x:v>https://wordstat.yandex.ru/</x:v>
      </x:c>
    </x:row>
    <x:row r="7">
      <x:c r="A7" s="20" t="str">
        <x:v>Справка Яндекс Вордстат</x:v>
      </x:c>
      <x:c r="B7" s="20" t="str">
        <x:v>Описание интерфейса, динамики, регионов и экспорта</x:v>
      </x:c>
      <x:c r="C7" s="20" t="str">
        <x:v>общая методика</x:v>
      </x:c>
      <x:c r="D7" s="76" t="n">
        <x:v>46144.737038217594</x:v>
      </x:c>
      <x:c r="E7" s="20" t="str">
        <x:v>https://yandex.ru/support2/wordstat/ru/</x:v>
      </x:c>
    </x:row>
    <x:row r="8">
      <x:c r="A8" s="20" t="str">
        <x:v>Рекламные кабинеты</x:v>
      </x:c>
      <x:c r="B8" s="20" t="str">
        <x:v>Оценка охвата, кликабельности, стоимости клика</x:v>
      </x:c>
      <x:c r="C8" s="20" t="str">
        <x:v>указать</x:v>
      </x:c>
      <x:c r="D8" s="76" t="n">
        <x:v>46144.737038217594</x:v>
      </x:c>
      <x:c r="E8" s="20" t="str">
        <x:v>заполнить</x:v>
      </x:c>
    </x:row>
    <x:row r="9">
      <x:c r="A9" s="20" t="str">
        <x:v>Сайт / CRM / продажи</x:v>
      </x:c>
      <x:c r="B9" s="20" t="str">
        <x:v>Фактические конверсии, заявки, средний чек</x:v>
      </x:c>
      <x:c r="C9" s="20" t="str">
        <x:v>указать</x:v>
      </x:c>
      <x:c r="D9" s="76" t="n">
        <x:v>46144.737038217594</x:v>
      </x:c>
      <x:c r="E9" s="20" t="str">
        <x:v>заполнить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81574bcf0404b97"/>
  </x:tableParts>
</x:worksheet>
</file>