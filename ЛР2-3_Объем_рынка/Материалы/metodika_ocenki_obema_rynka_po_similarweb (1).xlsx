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61153403f47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Методика" sheetId="1" r:id="R9008525e364b4074"/>
    <x:sheet xmlns:r="http://schemas.openxmlformats.org/officeDocument/2006/relationships" name="01_Параметры" sheetId="2" r:id="R27543d7531fa4128"/>
    <x:sheet xmlns:r="http://schemas.openxmlformats.org/officeDocument/2006/relationships" name="02_Конкуренты_SW" sheetId="3" r:id="Rfa79c8b9e0294188"/>
    <x:sheet xmlns:r="http://schemas.openxmlformats.org/officeDocument/2006/relationships" name="03_Каналы" sheetId="4" r:id="R5f84d1cabd8c4e53"/>
    <x:sheet xmlns:r="http://schemas.openxmlformats.org/officeDocument/2006/relationships" name="04_География" sheetId="5" r:id="R23dcd23fff1d4ab9"/>
    <x:sheet xmlns:r="http://schemas.openxmlformats.org/officeDocument/2006/relationships" name="05_Запросы" sheetId="6" r:id="R495ad6693d964b7f"/>
    <x:sheet xmlns:r="http://schemas.openxmlformats.org/officeDocument/2006/relationships" name="06_Воронка_сценарии" sheetId="7" r:id="R568ec60400c74f03"/>
    <x:sheet xmlns:r="http://schemas.openxmlformats.org/officeDocument/2006/relationships" name="07_Дашборд" sheetId="8" r:id="R0af3b533e57d41d2"/>
    <x:sheet xmlns:r="http://schemas.openxmlformats.org/officeDocument/2006/relationships" name="08_Источники" sheetId="9" r:id="Rd62da93db2704f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%"/>
    <x:numFmt numFmtId="203" formatCode="0.0%"/>
    <x:numFmt numFmtId="204" formatCode="0.0"/>
    <x:numFmt numFmtId="205" formatCode="#,##0 ₽"/>
  </x:numFmts>
  <x:fonts count="7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  <x:font>
      <x:b/>
      <x:sz val="11"/>
      <x:name val="Carlito"/>
    </x:font>
    <x:font>
      <x:b/>
      <x:sz val="10"/>
      <x:color rgb="FFFFFF"/>
      <x:name val="Aptos"/>
    </x:font>
    <x:font>
      <x:sz val="1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  <x:fill>
      <x:patternFill patternType="solid">
        <x:fgColor rgb="EAF3F8"/>
      </x:patternFill>
    </x:fill>
    <x:fill>
      <x:patternFill patternType="solid">
        <x:fgColor rgb="F8FBFD"/>
      </x:patternFill>
    </x:fill>
  </x:fills>
  <x:borders count="2">
    <x:border/>
    <x:border/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vertical="top" wrapText="1"/>
    </x:xf>
    <x:xf numFmtId="201" fontId="4" fillId="5" borderId="0" xfId="0" applyNumberFormat="1" applyFont="1" applyFill="1" applyBorder="1" applyAlignment="1">
      <x:alignment horizontal="left" vertical="top" wrapText="1"/>
    </x:xf>
    <x:xf numFmtId="201" fontId="4" fillId="5" borderId="1" xfId="0" applyNumberFormat="1" applyFont="1" applyFill="1" applyBorder="1" applyAlignment="1">
      <x:alignment horizontal="left" vertical="top" wrapText="1"/>
    </x:xf>
    <x:xf numFmtId="203" fontId="0" fillId="0" borderId="0" xfId="0" applyNumberFormat="1" applyFont="1" applyFill="1" applyBorder="1"/>
    <x:xf numFmtId="203" fontId="4" fillId="5" borderId="0" xfId="0" applyNumberFormat="1" applyFont="1" applyFill="1" applyBorder="1" applyAlignment="1">
      <x:alignment horizontal="left" vertical="top" wrapText="1"/>
    </x:xf>
    <x:xf numFmtId="203" fontId="0" fillId="0" borderId="1" xfId="0" applyNumberFormat="1" applyFont="1" applyFill="1" applyBorder="1"/>
    <x:xf numFmtId="203" fontId="4" fillId="5" borderId="1" xfId="0" applyNumberFormat="1" applyFont="1" applyFill="1" applyBorder="1" applyAlignment="1">
      <x:alignment horizontal="left" vertical="top" wrapText="1"/>
    </x:xf>
    <x:xf numFmtId="204" fontId="0" fillId="0" borderId="0" xfId="0" applyNumberFormat="1" applyFont="1" applyFill="1" applyBorder="1"/>
    <x:xf numFmtId="204" fontId="4" fillId="5" borderId="0" xfId="0" applyNumberFormat="1" applyFont="1" applyFill="1" applyBorder="1" applyAlignment="1">
      <x:alignment horizontal="left" vertical="top" wrapText="1"/>
    </x:xf>
    <x:xf numFmtId="204" fontId="0" fillId="0" borderId="1" xfId="0" applyNumberFormat="1" applyFont="1" applyFill="1" applyBorder="1"/>
    <x:xf numFmtId="204" fontId="4" fillId="5" borderId="1" xfId="0" applyNumberFormat="1" applyFont="1" applyFill="1" applyBorder="1" applyAlignment="1">
      <x:alignment horizontal="left" vertical="top"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left"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left"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horizontal="left" wrapText="1"/>
    </x:xf>
    <x:xf numFmtId="0" fontId="0" fillId="7" borderId="0" xfId="0" applyNumberFormat="1" applyFont="1" applyFill="1" applyBorder="1" applyAlignment="1">
      <x:alignment horizontal="left" vertical="center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horizontal="left" wrapText="1"/>
    </x:xf>
    <x:xf numFmtId="0" fontId="0" fillId="7" borderId="1" xfId="0" applyNumberFormat="1" applyFont="1" applyFill="1" applyBorder="1" applyAlignment="1">
      <x:alignment horizontal="left" vertical="center" wrapText="1"/>
    </x:xf>
    <x:xf numFmtId="201" fontId="0" fillId="7" borderId="0" xfId="0" applyNumberFormat="1" applyFont="1" applyFill="1" applyBorder="1" applyAlignment="1">
      <x:alignment horizontal="left" vertical="center" wrapText="1"/>
    </x:xf>
    <x:xf numFmtId="201" fontId="4" fillId="6" borderId="0" xfId="0" applyNumberFormat="1" applyFont="1" applyFill="1" applyBorder="1" applyAlignment="1">
      <x:alignment horizontal="left" vertical="center" wrapText="1"/>
    </x:xf>
    <x:xf numFmtId="201" fontId="0" fillId="7" borderId="1" xfId="0" applyNumberFormat="1" applyFont="1" applyFill="1" applyBorder="1" applyAlignment="1">
      <x:alignment horizontal="left" vertical="center" wrapText="1"/>
    </x:xf>
    <x:xf numFmtId="201" fontId="4" fillId="6" borderId="1" xfId="0" applyNumberFormat="1" applyFont="1" applyFill="1" applyBorder="1" applyAlignment="1">
      <x:alignment horizontal="left" vertical="center" wrapText="1"/>
    </x:xf>
    <x:xf numFmtId="205" fontId="0" fillId="7" borderId="0" xfId="0" applyNumberFormat="1" applyFont="1" applyFill="1" applyBorder="1" applyAlignment="1">
      <x:alignment horizontal="left" vertical="center" wrapText="1"/>
    </x:xf>
    <x:xf numFmtId="205" fontId="4" fillId="6" borderId="0" xfId="0" applyNumberFormat="1" applyFont="1" applyFill="1" applyBorder="1" applyAlignment="1">
      <x:alignment horizontal="left" vertical="center" wrapText="1"/>
    </x:xf>
    <x:xf numFmtId="205" fontId="0" fillId="7" borderId="1" xfId="0" applyNumberFormat="1" applyFont="1" applyFill="1" applyBorder="1" applyAlignment="1">
      <x:alignment horizontal="left" vertical="center" wrapText="1"/>
    </x:xf>
    <x:xf numFmtId="205" fontId="4" fillId="6" borderId="1" xfId="0" applyNumberFormat="1" applyFont="1" applyFill="1" applyBorder="1" applyAlignment="1">
      <x:alignment horizontal="left" vertical="center" wrapText="1"/>
    </x:xf>
    <x:xf numFmtId="203" fontId="0" fillId="7" borderId="0" xfId="0" applyNumberFormat="1" applyFont="1" applyFill="1" applyBorder="1" applyAlignment="1">
      <x:alignment horizontal="left" vertical="center" wrapText="1"/>
    </x:xf>
    <x:xf numFmtId="203" fontId="0" fillId="7" borderId="1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f5a2e2d4da4d14" /><Relationship Type="http://schemas.openxmlformats.org/officeDocument/2006/relationships/theme" Target="/xl/theme/theme1.xml" Id="R35e3446ed2ae440c" /><Relationship Type="http://schemas.openxmlformats.org/officeDocument/2006/relationships/sharedStrings" Target="/xl/sharedStrings.xml" Id="R90a01d74977645c2" /><Relationship Type="http://schemas.openxmlformats.org/officeDocument/2006/relationships/worksheet" Target="/xl/worksheets/sheet1.xml" Id="R9008525e364b4074" /><Relationship Type="http://schemas.openxmlformats.org/officeDocument/2006/relationships/worksheet" Target="/xl/worksheets/sheet2.xml" Id="R27543d7531fa4128" /><Relationship Type="http://schemas.openxmlformats.org/officeDocument/2006/relationships/worksheet" Target="/xl/worksheets/sheet3.xml" Id="Rfa79c8b9e0294188" /><Relationship Type="http://schemas.openxmlformats.org/officeDocument/2006/relationships/worksheet" Target="/xl/worksheets/sheet4.xml" Id="R5f84d1cabd8c4e53" /><Relationship Type="http://schemas.openxmlformats.org/officeDocument/2006/relationships/worksheet" Target="/xl/worksheets/sheet5.xml" Id="R23dcd23fff1d4ab9" /><Relationship Type="http://schemas.openxmlformats.org/officeDocument/2006/relationships/worksheet" Target="/xl/worksheets/sheet6.xml" Id="R495ad6693d964b7f" /><Relationship Type="http://schemas.openxmlformats.org/officeDocument/2006/relationships/worksheet" Target="/xl/worksheets/sheet7.xml" Id="R568ec60400c74f03" /><Relationship Type="http://schemas.openxmlformats.org/officeDocument/2006/relationships/worksheet" Target="/xl/worksheets/sheet8.xml" Id="R0af3b533e57d41d2" /><Relationship Type="http://schemas.openxmlformats.org/officeDocument/2006/relationships/worksheet" Target="/xl/worksheets/sheet9.xml" Id="Rd62da93db2704f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90704d9a19f462a" /><Relationship Type="http://schemas.openxmlformats.org/officeDocument/2006/relationships/chart" Target="/xl/drawings/charts/chart2.xml" Id="Ra90950581364433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Рынок, год</c:v>
          </c:tx>
          <c:cat>
            <c:strRef>
              <c:f>'07_Дашборд'!$A$11:$A$13</c:f>
              <c:strCache>
                <c:ptCount val="0"/>
              </c:strCache>
            </c:strRef>
          </c:cat>
          <c:val>
            <c:numRef>
              <c:f>'07_Дашборд'!$B$11:$B$13</c:f>
              <c:numCache>
                <c:formatCode>#,##0 ₽</c:formatCode>
                <c:ptCount val="0"/>
              </c:numCache>
            </c:numRef>
          </c:val>
        </c:ser>
        <c:ser>
          <c:idx val="1"/>
          <c:order val="1"/>
          <c:tx>
            <c:v>SOM нового бизнеса, год</c:v>
          </c:tx>
          <c:cat>
            <c:strRef>
              <c:f>'07_Дашборд'!$A$11:$A$13</c:f>
              <c:strCache>
                <c:ptCount val="0"/>
              </c:strCache>
            </c:strRef>
          </c:cat>
          <c:val>
            <c:numRef>
              <c:f>'07_Дашборд'!$C$11:$C$13</c:f>
              <c:numCache>
                <c:formatCode>#,##0 ₽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Доля</c:v>
          </c:tx>
          <c:cat>
            <c:strRef>
              <c:f>'07_Дашборд'!$A$17:$A$22</c:f>
              <c:strCache>
                <c:ptCount val="0"/>
              </c:strCache>
            </c:strRef>
          </c:cat>
          <c:val>
            <c:numRef>
              <c:f>'07_Дашборд'!$B$17:$B$22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0704d9a19f462a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0950581364433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ethodTable" displayName="MethodTable" ref="A3:H11" headerRowCount="1">
  <x:tableColumns count="8">
    <x:tableColumn id="1" name="Блок"/>
    <x:tableColumn id="2" name="Цель"/>
    <x:tableColumn id="3" name="Действие"/>
    <x:tableColumn id="4" name="Что фиксировать"/>
    <x:tableColumn id="5" name="Расчетный результат"/>
    <x:tableColumn id="6" name="Ограничения"/>
    <x:tableColumn id="7" name="Лист Excel"/>
    <x:tableColumn id="8" name="Выходной вывод"/>
  </x:tableColumns>
  <x:tableStyleInfo name="TableStyleMedium2" showRowStripes="1"/>
</x:table>
</file>

<file path=xl/tables/table2.xml><?xml version="1.0" encoding="utf-8"?>
<x:table xmlns:x="http://schemas.openxmlformats.org/spreadsheetml/2006/main" id="2" name="ParamsTable" displayName="ParamsTable" ref="A3:D13" headerRowCount="1">
  <x:tableColumns count="4">
    <x:tableColumn id="1" name="Параметр"/>
    <x:tableColumn id="2" name="Значение"/>
    <x:tableColumn id="3" name="Единица / формат"/>
    <x:tableColumn id="4" name="Комментарий"/>
  </x:tableColumns>
  <x:tableStyleInfo name="TableStyleMedium2" showRowStripes="1"/>
</x:table>
</file>

<file path=xl/tables/table3.xml><?xml version="1.0" encoding="utf-8"?>
<x:table xmlns:x="http://schemas.openxmlformats.org/spreadsheetml/2006/main" id="3" name="CompetitorsTable" displayName="CompetitorsTable" ref="A3:S23" headerRowCount="1">
  <x:tableColumns count="19">
    <x:tableColumn id="1" name="Домен"/>
    <x:tableColumn id="2" name="Название / конкурент"/>
    <x:tableColumn id="3" name="Сегмент"/>
    <x:tableColumn id="4" name="Тип"/>
    <x:tableColumn id="5" name="Monthly visits"/>
    <x:tableColumn id="6" name="Доля выбранной географии"/>
    <x:tableColumn id="7" name="Релевантный трафик, мес."/>
    <x:tableColumn id="8" name="Релевантный трафик, год"/>
    <x:tableColumn id="9" name="Доля рынка по трафику"/>
    <x:tableColumn id="10" name="Bounce rate"/>
    <x:tableColumn id="11" name="Pages / visit"/>
    <x:tableColumn id="12" name="Avg duration"/>
    <x:tableColumn id="13" name="Direct"/>
    <x:tableColumn id="14" name="Organic search"/>
    <x:tableColumn id="15" name="Referral"/>
    <x:tableColumn id="16" name="Social"/>
    <x:tableColumn id="17" name="Paid search"/>
    <x:tableColumn id="18" name="Display"/>
    <x:tableColumn id="19" name="Комментарий"/>
  </x:tableColumns>
  <x:tableStyleInfo name="TableStyleMedium2" showRowStripes="1"/>
</x:table>
</file>

<file path=xl/tables/table4.xml><?xml version="1.0" encoding="utf-8"?>
<x:table xmlns:x="http://schemas.openxmlformats.org/spreadsheetml/2006/main" id="4" name="ChannelsTable" displayName="ChannelsTable" ref="A3:H9" headerRowCount="1">
  <x:tableColumns count="8">
    <x:tableColumn id="1" name="Канал"/>
    <x:tableColumn id="2" name="Средневзвешенная доля"/>
    <x:tableColumn id="3" name="Оценка рыночного трафика, мес."/>
    <x:tableColumn id="4" name="Оценка рыночного трафика, год"/>
    <x:tableColumn id="5" name="Коммерческая интерпретация"/>
    <x:tableColumn id="6" name="Что проверить дополнительно"/>
    <x:tableColumn id="7" name="Ограничение"/>
    <x:tableColumn id="8" name="Приоритет"/>
  </x:tableColumns>
  <x:tableStyleInfo name="TableStyleMedium2" showRowStripes="1"/>
</x:table>
</file>

<file path=xl/tables/table5.xml><?xml version="1.0" encoding="utf-8"?>
<x:table xmlns:x="http://schemas.openxmlformats.org/spreadsheetml/2006/main" id="5" name="GeoTable" displayName="GeoTable" ref="A3:H7" headerRowCount="1">
  <x:tableColumns count="8">
    <x:tableColumn id="1" name="Страна / регион"/>
    <x:tableColumn id="2" name="Доля трафика по Similarweb"/>
    <x:tableColumn id="3" name="Оценка месячного трафика рынка"/>
    <x:tableColumn id="4" name="Оценка годового трафика рынка"/>
    <x:tableColumn id="5" name="Платежеспособность / доступность"/>
    <x:tableColumn id="6" name="Конкурентная плотность"/>
    <x:tableColumn id="7" name="Приоритет рынка"/>
    <x:tableColumn id="8" name="Комментарий"/>
  </x:tableColumns>
  <x:tableStyleInfo name="TableStyleMedium2" showRowStripes="1"/>
</x:table>
</file>

<file path=xl/tables/table6.xml><?xml version="1.0" encoding="utf-8"?>
<x:table xmlns:x="http://schemas.openxmlformats.org/spreadsheetml/2006/main" id="6" name="QueriesTable" displayName="QueriesTable" ref="A3:J10" headerRowCount="1">
  <x:tableColumns count="10">
    <x:tableColumn id="1" name="Запрос / ключевая фраза"/>
    <x:tableColumn id="2" name="Источник"/>
    <x:tableColumn id="3" name="Доля поискового трафика"/>
    <x:tableColumn id="4" name="Оценочный месячный трафик"/>
    <x:tableColumn id="5" name="Тип намерения"/>
    <x:tableColumn id="6" name="Коммерческий вес"/>
    <x:tableColumn id="7" name="Индекс коммерческого интереса"/>
    <x:tableColumn id="8" name="Сегмент"/>
    <x:tableColumn id="9" name="Решение"/>
    <x:tableColumn id="10" name="Комментарий"/>
  </x:tableColumns>
  <x:tableStyleInfo name="TableStyleMedium2" showRowStripes="1"/>
</x:table>
</file>

<file path=xl/tables/table7.xml><?xml version="1.0" encoding="utf-8"?>
<x:table xmlns:x="http://schemas.openxmlformats.org/spreadsheetml/2006/main" id="7" name="ScenarioTable" displayName="ScenarioTable" ref="A4:J7" headerRowCount="1">
  <x:tableColumns count="10">
    <x:tableColumn id="1" name="Сценарий"/>
    <x:tableColumn id="2" name="Коэффициент покрытия конкурентов"/>
    <x:tableColumn id="3" name="Оценка рынка: посещения/мес."/>
    <x:tableColumn id="4" name="Конверсия в заявку"/>
    <x:tableColumn id="5" name="Конверсия заявки в продажу"/>
    <x:tableColumn id="6" name="Средний чек"/>
    <x:tableColumn id="7" name="Покупок/клиента в год"/>
    <x:tableColumn id="8" name="Заказов/мес."/>
    <x:tableColumn id="9" name="Выручка/мес."/>
    <x:tableColumn id="10" name="Выручка/год"/>
  </x:tableColumns>
  <x:tableStyleInfo name="TableStyleMedium2" showRowStripes="1"/>
</x:table>
</file>

<file path=xl/tables/table8.xml><?xml version="1.0" encoding="utf-8"?>
<x:table xmlns:x="http://schemas.openxmlformats.org/spreadsheetml/2006/main" id="8" name="SomTable" displayName="SomTable" ref="A11:F14" headerRowCount="1">
  <x:tableColumns count="6">
    <x:tableColumn id="1" name="Сценарий"/>
    <x:tableColumn id="2" name="Рыночная выручка/год"/>
    <x:tableColumn id="3" name="Достижимая доля нового бизнеса"/>
    <x:tableColumn id="4" name="Потенциальная выручка нового бизнеса/год"/>
    <x:tableColumn id="5" name="Комментарий"/>
    <x:tableColumn id="6" name="Ограничение"/>
  </x:tableColumns>
  <x:tableStyleInfo name="TableStyleMedium2" showRowStripes="1"/>
</x:table>
</file>

<file path=xl/tables/table9.xml><?xml version="1.0" encoding="utf-8"?>
<x:table xmlns:x="http://schemas.openxmlformats.org/spreadsheetml/2006/main" id="9" name="SourcesTable" displayName="SourcesTable" ref="A3:F9" headerRowCount="1">
  <x:tableColumns count="6">
    <x:tableColumn id="1" name="Источник"/>
    <x:tableColumn id="2" name="Что брать"/>
    <x:tableColumn id="3" name="Как фиксировать"/>
    <x:tableColumn id="4" name="Ссылка"/>
    <x:tableColumn id="5" name="Дата обращения"/>
    <x:tableColumn id="6" name="Ограничение"/>
  </x:tableColumns>
  <x:tableStyleInfo name="TableStyleMedium2" showRowStripes="1"/>
</x:table>
</file>

<file path=xl/tables/table10.xml><?xml version="1.0" encoding="utf-8"?>
<x:table xmlns:x="http://schemas.openxmlformats.org/spreadsheetml/2006/main" id="10" name="DataLogTable" displayName="DataLogTable" ref="A13:F18" headerRowCount="1">
  <x:tableColumns count="6">
    <x:tableColumn id="1" name="Дата"/>
    <x:tableColumn id="2" name="Сайт / домен"/>
    <x:tableColumn id="3" name="Раздел Similarweb"/>
    <x:tableColumn id="4" name="Показатель"/>
    <x:tableColumn id="5" name="Значение"/>
    <x:tableColumn id="6" name="Комментарий / снимок экран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f9e5cf45664c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694b884a55e44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da3d455bc1f49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9f969b065d944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1abfbd9453547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89100bda5b441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5a39e3d13d54a0a" /><Relationship Type="http://schemas.openxmlformats.org/officeDocument/2006/relationships/table" Target="/xl/tables/table8.xml" Id="R80b8a6de24f448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f19de0d44b8940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74daa850f60406c" /><Relationship Type="http://schemas.openxmlformats.org/officeDocument/2006/relationships/table" Target="/xl/tables/table10.xml" Id="R1f35492a23f54fc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4" hidden="0" customWidth="1"/>
    <x:col min="4" max="4" width="34" hidden="0" customWidth="1"/>
    <x:col min="5" max="5" width="28" hidden="0" customWidth="1"/>
    <x:col min="6" max="6" width="34" hidden="0" customWidth="1"/>
    <x:col min="7" max="7" width="24" hidden="0" customWidth="1"/>
    <x:col min="8" max="8" width="32" hidden="0" customWidth="1"/>
  </x:cols>
  <x:sheetData>
    <x:row r="1" ht="30" customHeight="1">
      <x:c r="A1" s="92" t="str">
        <x:v>Методика оценки объема рынка электронного бизнеса по данным Similarweb</x:v>
      </x:c>
      <x:c r="B1" s="92"/>
      <x:c r="C1" s="92"/>
      <x:c r="D1" s="92"/>
      <x:c r="E1" s="92"/>
      <x:c r="F1" s="92"/>
      <x:c r="G1" s="92"/>
      <x:c r="H1" s="92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</x:row>
    <x:row r="3" ht="36" customHeight="1">
      <x:c r="A3" s="16" t="str">
        <x:v>Блок</x:v>
      </x:c>
      <x:c r="B3" s="16" t="str">
        <x:v>Цель</x:v>
      </x:c>
      <x:c r="C3" s="16" t="str">
        <x:v>Действие</x:v>
      </x:c>
      <x:c r="D3" s="16" t="str">
        <x:v>Что фиксировать</x:v>
      </x:c>
      <x:c r="E3" s="16" t="str">
        <x:v>Расчетный результат</x:v>
      </x:c>
      <x:c r="F3" s="16" t="str">
        <x:v>Ограничения</x:v>
      </x:c>
      <x:c r="G3" s="16" t="str">
        <x:v>Лист Excel</x:v>
      </x:c>
      <x:c r="H3" s="16" t="str">
        <x:v>Выходной вывод</x:v>
      </x:c>
    </x:row>
    <x:row r="4">
      <x:c r="A4" s="22" t="str">
        <x:v>1. Границы рынка</x:v>
      </x:c>
      <x:c r="B4" s="22" t="str">
        <x:v>Уточнить, какой рынок оценивается</x:v>
      </x:c>
      <x:c r="C4" s="22" t="str">
        <x:v>Зафиксировать продукт, географию, аудиторию и цифровые каналы</x:v>
      </x:c>
      <x:c r="D4" s="22" t="str">
        <x:v>Название рынка, территория, период, сегменты</x:v>
      </x:c>
      <x:c r="E4" s="22" t="str">
        <x:v>Паспорт расчетной модели</x:v>
      </x:c>
      <x:c r="F4" s="22" t="str">
        <x:v>Без границ рынка трафик конкурентов нельзя трактовать как объем рынка</x:v>
      </x:c>
      <x:c r="G4" s="22" t="str">
        <x:v>01_Параметры</x:v>
      </x:c>
      <x:c r="H4" s="22" t="str">
        <x:v>Что именно считается рынком</x:v>
      </x:c>
    </x:row>
    <x:row r="5">
      <x:c r="A5" s="22" t="str">
        <x:v>2. Конкуренты</x:v>
      </x:c>
      <x:c r="B5" s="22" t="str">
        <x:v>Определить ядро цифрового рынка</x:v>
      </x:c>
      <x:c r="C5" s="22" t="str">
        <x:v>Собрать сайты прямых и частичных конкурентов</x:v>
      </x:c>
      <x:c r="D5" s="22" t="str">
        <x:v>Домен, сегмент, тип конкурента</x:v>
      </x:c>
      <x:c r="E5" s="22" t="str">
        <x:v>Список цифровых игроков</x:v>
      </x:c>
      <x:c r="F5" s="22" t="str">
        <x:v>Малые сайты могут отображаться неполно</x:v>
      </x:c>
      <x:c r="G5" s="22" t="str">
        <x:v>02_Конкуренты_SW</x:v>
      </x:c>
      <x:c r="H5" s="22" t="str">
        <x:v>Кто формирует цифровое предложение</x:v>
      </x:c>
    </x:row>
    <x:row r="6">
      <x:c r="A6" s="22" t="str">
        <x:v>3. Трафик</x:v>
      </x:c>
      <x:c r="B6" s="22" t="str">
        <x:v>Оценить цифровой масштаб сегмента</x:v>
      </x:c>
      <x:c r="C6" s="22" t="str">
        <x:v>Внести посещения, географическую долю и релевантность</x:v>
      </x:c>
      <x:c r="D6" s="22" t="str">
        <x:v>Monthly visits, доля выбранной географии, релевантная доля</x:v>
      </x:c>
      <x:c r="E6" s="22" t="str">
        <x:v>Релевантный месячный и годовой трафик</x:v>
      </x:c>
      <x:c r="F6" s="22" t="str">
        <x:v>Трафик не равен покупкам</x:v>
      </x:c>
      <x:c r="G6" s="22" t="str">
        <x:v>02_Конкуренты_SW</x:v>
      </x:c>
      <x:c r="H6" s="22" t="str">
        <x:v>Насколько велик цифровой поток аудитории</x:v>
      </x:c>
    </x:row>
    <x:row r="7">
      <x:c r="A7" s="22" t="str">
        <x:v>4. Каналы</x:v>
      </x:c>
      <x:c r="B7" s="22" t="str">
        <x:v>Понять структуру привлечения аудитории</x:v>
      </x:c>
      <x:c r="C7" s="22" t="str">
        <x:v>Разложить трафик по Direct, Organic, Referral, Social, Paid, Mail, Display</x:v>
      </x:c>
      <x:c r="D7" s="22" t="str">
        <x:v>Доли каналов по конкурентам</x:v>
      </x:c>
      <x:c r="E7" s="22" t="str">
        <x:v>Канальная структура рынка</x:v>
      </x:c>
      <x:c r="F7" s="22" t="str">
        <x:v>Доли каналов оценочные</x:v>
      </x:c>
      <x:c r="G7" s="22" t="str">
        <x:v>03_Каналы</x:v>
      </x:c>
      <x:c r="H7" s="22" t="str">
        <x:v>Какие каналы важны для входа на рынок</x:v>
      </x:c>
    </x:row>
    <x:row r="8">
      <x:c r="A8" s="22" t="str">
        <x:v>5. География</x:v>
      </x:c>
      <x:c r="B8" s="22" t="str">
        <x:v>Проверить территориальную концентрацию спроса</x:v>
      </x:c>
      <x:c r="C8" s="22" t="str">
        <x:v>Сопоставить страны/регионы по доле трафика</x:v>
      </x:c>
      <x:c r="D8" s="22" t="str">
        <x:v>Страна, доля, интерпретация</x:v>
      </x:c>
      <x:c r="E8" s="22" t="str">
        <x:v>Приоритетные географии</x:v>
      </x:c>
      <x:c r="F8" s="22" t="str">
        <x:v>Доля трафика не равна платежеспособности</x:v>
      </x:c>
      <x:c r="G8" s="22" t="str">
        <x:v>04_География</x:v>
      </x:c>
      <x:c r="H8" s="22" t="str">
        <x:v>Где целесообразно анализировать рынок</x:v>
      </x:c>
    </x:row>
    <x:row r="9">
      <x:c r="A9" s="22" t="str">
        <x:v>6. Поиск</x:v>
      </x:c>
      <x:c r="B9" s="22" t="str">
        <x:v>Определить коммерческий спрос внутри трафика</x:v>
      </x:c>
      <x:c r="C9" s="22" t="str">
        <x:v>Зафиксировать ключевые запросы и намерение аудитории</x:v>
      </x:c>
      <x:c r="D9" s="22" t="str">
        <x:v>Запрос, доля или объем, тип намерения</x:v>
      </x:c>
      <x:c r="E9" s="22" t="str">
        <x:v>Индекс коммерческого интереса</x:v>
      </x:c>
      <x:c r="F9" s="22" t="str">
        <x:v>Запросы видны неполно в бесплатном доступе</x:v>
      </x:c>
      <x:c r="G9" s="22" t="str">
        <x:v>05_Запросы</x:v>
      </x:c>
      <x:c r="H9" s="22" t="str">
        <x:v>Какие потребности приводят аудиторию</x:v>
      </x:c>
    </x:row>
    <x:row r="10">
      <x:c r="A10" s="22" t="str">
        <x:v>7. Воронка</x:v>
      </x:c>
      <x:c r="B10" s="22" t="str">
        <x:v>Перевести трафик в возможные заказы</x:v>
      </x:c>
      <x:c r="C10" s="22" t="str">
        <x:v>Задать конверсии и средний чек</x:v>
      </x:c>
      <x:c r="D10" s="22" t="str">
        <x:v>CR в заявку, CR в продажу, средний чек</x:v>
      </x:c>
      <x:c r="E10" s="22" t="str">
        <x:v>Оценка объема рынка в деньгах</x:v>
      </x:c>
      <x:c r="F10" s="22" t="str">
        <x:v>Конверсии задаются сценарно</x:v>
      </x:c>
      <x:c r="G10" s="22" t="str">
        <x:v>06_Воронка_сценарии</x:v>
      </x:c>
      <x:c r="H10" s="22" t="str">
        <x:v>Диапазон рынка по сценариям</x:v>
      </x:c>
    </x:row>
    <x:row r="11">
      <x:c r="A11" s="22" t="str">
        <x:v>8. Проверка</x:v>
      </x:c>
      <x:c r="B11" s="22" t="str">
        <x:v>Снизить риск завышения оценки</x:v>
      </x:c>
      <x:c r="C11" s="22" t="str">
        <x:v>Сопоставить расчет с другими источниками</x:v>
      </x:c>
      <x:c r="D11" s="22" t="str">
        <x:v>Google Trends, Вордстат, статистика, рекламные кабинеты</x:v>
      </x:c>
      <x:c r="E11" s="22" t="str">
        <x:v>Уточненный диапазон оценки</x:v>
      </x:c>
      <x:c r="F11" s="22" t="str">
        <x:v>Источники измеряют разные показатели</x:v>
      </x:c>
      <x:c r="G11" s="22" t="str">
        <x:v>08_Источники</x:v>
      </x:c>
      <x:c r="H11" s="22" t="str">
        <x:v>Насколько расчет устойчив</x:v>
      </x:c>
    </x:row>
    <x:row r="13" ht="22" customHeight="1">
      <x:c r="A13" s="28" t="str">
        <x:v>Ключевая расчетная логика</x:v>
      </x:c>
      <x:c r="B13" s="28"/>
      <x:c r="C13" s="28"/>
      <x:c r="D13" s="28"/>
      <x:c r="E13" s="28"/>
      <x:c r="F13" s="28"/>
      <x:c r="G13" s="28"/>
      <x:c r="H13" s="28"/>
    </x:row>
    <x:row r="14">
      <x:c r="A14" s="22" t="str">
        <x:v>1</x:v>
      </x:c>
      <x:c r="B14" s="22" t="str">
        <x:v>Наблюдаемый цифровой сегмент</x:v>
      </x:c>
      <x:c r="C14" s="22" t="str">
        <x:v>Сумма релевантного трафика выбранных конкурентов</x:v>
      </x:c>
      <x:c r="D14" s="22" t="str">
        <x:v>= сумма посещений × доля географии × доля релевантности</x:v>
      </x:c>
      <x:c r="E14" s="22" t="str"/>
      <x:c r="F14" s="22" t="str"/>
      <x:c r="G14" s="22" t="str"/>
      <x:c r="H14" s="22" t="str"/>
    </x:row>
    <x:row r="15">
      <x:c r="A15" s="22" t="str">
        <x:v>2</x:v>
      </x:c>
      <x:c r="B15" s="22" t="str">
        <x:v>Оценка всего цифрового рынка</x:v>
      </x:c>
      <x:c r="C15" s="22" t="str">
        <x:v>Наблюдаемый сегмент / коэффициент покрытия конкурентов</x:v>
      </x:c>
      <x:c r="D15" s="22" t="str">
        <x:v>Если список конкурентов покрывает 70% рынка, общий рынок = наблюдаемый трафик / 70%</x:v>
      </x:c>
      <x:c r="E15" s="22" t="str"/>
      <x:c r="F15" s="22" t="str"/>
      <x:c r="G15" s="22" t="str"/>
      <x:c r="H15" s="22" t="str"/>
    </x:row>
    <x:row r="16">
      <x:c r="A16" s="22" t="str">
        <x:v>3</x:v>
      </x:c>
      <x:c r="B16" s="22" t="str">
        <x:v>Оценка заявок</x:v>
      </x:c>
      <x:c r="C16" s="22" t="str">
        <x:v>Рыночный трафик × конверсия в заявку</x:v>
      </x:c>
      <x:c r="D16" s="22" t="str">
        <x:v>Конверсия задается по сценариям</x:v>
      </x:c>
      <x:c r="E16" s="22" t="str"/>
      <x:c r="F16" s="22" t="str"/>
      <x:c r="G16" s="22" t="str"/>
      <x:c r="H16" s="22" t="str"/>
    </x:row>
    <x:row r="17">
      <x:c r="A17" s="22" t="str">
        <x:v>4</x:v>
      </x:c>
      <x:c r="B17" s="22" t="str">
        <x:v>Оценка продаж</x:v>
      </x:c>
      <x:c r="C17" s="22" t="str">
        <x:v>Заявки × конверсия в продажу</x:v>
      </x:c>
      <x:c r="D17" s="22" t="str">
        <x:v>Отражает платежеспособный спрос</x:v>
      </x:c>
      <x:c r="E17" s="22" t="str"/>
      <x:c r="F17" s="22" t="str"/>
      <x:c r="G17" s="22" t="str"/>
      <x:c r="H17" s="22" t="str"/>
    </x:row>
    <x:row r="18">
      <x:c r="A18" s="22" t="str">
        <x:v>5</x:v>
      </x:c>
      <x:c r="B18" s="22" t="str">
        <x:v>Денежный объем</x:v>
      </x:c>
      <x:c r="C18" s="22" t="str">
        <x:v>Продажи × средний чек × повторные покупки</x:v>
      </x:c>
      <x:c r="D18" s="22" t="str">
        <x:v>Итоговый объем рынка за год</x:v>
      </x:c>
      <x:c r="E18" s="22" t="str"/>
      <x:c r="F18" s="22" t="str"/>
      <x:c r="G18" s="22" t="str"/>
      <x:c r="H18" s="22" t="str"/>
    </x:row>
  </x:sheetData>
  <x:mergeCells>
    <x:mergeCell ref="A1:H1"/>
    <x:mergeCell ref="A13:H13"/>
  </x:mergeCells>
  <x:pageMargins left="0.7" right="0.7" top="0.75" bottom="0.75" header="0.3" footer="0.3"/>
  <x:tableParts count="1">
    <x:tablePart xmlns:r="http://schemas.openxmlformats.org/officeDocument/2006/relationships" r:id="R5df9e5cf45664c7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18" hidden="0" customWidth="1"/>
    <x:col min="4" max="4" width="48" hidden="0" customWidth="1"/>
  </x:cols>
  <x:sheetData>
    <x:row r="1" ht="30" customHeight="1">
      <x:c r="A1" s="92" t="str">
        <x:v>Параметры оценки рынка</x:v>
      </x:c>
      <x:c r="B1" s="92"/>
      <x:c r="C1" s="92"/>
      <x:c r="D1" s="92"/>
      <x:c r="E1" s="92"/>
      <x:c r="F1" s="92"/>
      <x:c r="G1" s="92"/>
      <x:c r="H1" s="92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</x:row>
    <x:row r="3" ht="36" customHeight="1">
      <x:c r="A3" s="16" t="str">
        <x:v>Параметр</x:v>
      </x:c>
      <x:c r="B3" s="16" t="str">
        <x:v>Значение</x:v>
      </x:c>
      <x:c r="C3" s="16" t="str">
        <x:v>Единица / формат</x:v>
      </x:c>
      <x:c r="D3" s="16" t="str">
        <x:v>Комментарий</x:v>
      </x:c>
    </x:row>
    <x:row r="4">
      <x:c r="A4" t="str">
        <x:v>Название рынка</x:v>
      </x:c>
      <x:c r="B4" t="str">
        <x:v>Цифровые маркетинговые услуги для малого бизнеса</x:v>
      </x:c>
      <x:c r="C4" t="str">
        <x:v>текст</x:v>
      </x:c>
      <x:c r="D4" t="str">
        <x:v>Замените на ваш рынок</x:v>
      </x:c>
    </x:row>
    <x:row r="5">
      <x:c r="A5" t="str">
        <x:v>Географическая граница</x:v>
      </x:c>
      <x:c r="B5" t="str">
        <x:v>Республика Беларусь</x:v>
      </x:c>
      <x:c r="C5" t="str">
        <x:v>текст</x:v>
      </x:c>
      <x:c r="D5" t="str">
        <x:v>Страна, регион или город</x:v>
      </x:c>
    </x:row>
    <x:row r="6">
      <x:c r="A6" t="str">
        <x:v>Период анализа</x:v>
      </x:c>
      <x:c r="B6" t="str">
        <x:v>последние 3 месяца</x:v>
      </x:c>
      <x:c r="C6" t="str">
        <x:v>текст</x:v>
      </x:c>
      <x:c r="D6" t="str">
        <x:v>Период, показанный в Similarweb</x:v>
      </x:c>
    </x:row>
    <x:row r="7">
      <x:c r="A7" t="str">
        <x:v>Дата фиксации данных</x:v>
      </x:c>
      <x:c r="B7" s="34" t="n">
        <x:v>46144</x:v>
      </x:c>
      <x:c r="C7" t="str">
        <x:v>дата</x:v>
      </x:c>
      <x:c r="D7" t="str">
        <x:v>Дата ручного сбора или выгрузки</x:v>
      </x:c>
    </x:row>
    <x:row r="8">
      <x:c r="A8" t="str">
        <x:v>Количество конкурентов в выборке</x:v>
      </x:c>
      <x:c r="B8" t="n">
        <x:f>COUNT('02_Конкуренты_SW'!E4:E23)</x:f>
        <x:v>5</x:v>
      </x:c>
      <x:c r="C8" t="str">
        <x:v>формула</x:v>
      </x:c>
      <x:c r="D8" t="str">
        <x:v>Заполняется автоматически</x:v>
      </x:c>
    </x:row>
    <x:row r="9">
      <x:c r="A9" t="str">
        <x:v>Наблюдаемый релевантный трафик, мес.</x:v>
      </x:c>
      <x:c r="B9" s="36" t="n">
        <x:f>SUM('02_Конкуренты_SW'!G5:G24)</x:f>
        <x:v>27391</x:v>
      </x:c>
      <x:c r="C9" t="str">
        <x:v>посещения</x:v>
      </x:c>
      <x:c r="D9" t="str">
        <x:v>Сумма по конкурентам</x:v>
      </x:c>
    </x:row>
    <x:row r="10">
      <x:c r="A10" t="str">
        <x:v>Наблюдаемый релевантный трафик, год</x:v>
      </x:c>
      <x:c r="B10" s="36" t="n">
        <x:f>SUM('02_Конкуренты_SW'!H5:H24)</x:f>
        <x:v>328692</x:v>
      </x:c>
      <x:c r="C10" t="str">
        <x:v>посещения</x:v>
      </x:c>
      <x:c r="D10" t="str">
        <x:v>Годовая оценка</x:v>
      </x:c>
    </x:row>
    <x:row r="11">
      <x:c r="A11" t="str">
        <x:v>Коэффициент покрытия конкурентов</x:v>
      </x:c>
      <x:c r="B11" s="38" t="n">
        <x:v>0.7</x:v>
      </x:c>
      <x:c r="C11" t="str">
        <x:v>%</x:v>
      </x:c>
      <x:c r="D11" t="str">
        <x:v>Оцените, какую долю рынка покрывает список конкурентов</x:v>
      </x:c>
    </x:row>
    <x:row r="12">
      <x:c r="A12" t="str">
        <x:v>Оценка всего цифрового трафика рынка, мес.</x:v>
      </x:c>
      <x:c r="B12" s="36" t="n">
        <x:f>IFERROR(B9/B11,0)</x:f>
        <x:v>39130</x:v>
      </x:c>
      <x:c r="C12" t="str">
        <x:v>посещения</x:v>
      </x:c>
      <x:c r="D12" t="str">
        <x:v>Наблюдаемый трафик / покрытие</x:v>
      </x:c>
    </x:row>
    <x:row r="13">
      <x:c r="A13" t="str">
        <x:v>Оценка всего цифрового трафика рынка, год</x:v>
      </x:c>
      <x:c r="B13" s="36" t="n">
        <x:f>IFERROR(B10/B11,0)</x:f>
        <x:v>469560.00000000006</x:v>
      </x:c>
      <x:c r="C13" t="str">
        <x:v>посещения</x:v>
      </x:c>
      <x:c r="D13" t="str">
        <x:v>Наблюдаемый трафик / покрытие</x:v>
      </x:c>
    </x:row>
    <x:row r="15" ht="22" customHeight="1">
      <x:c r="A15" s="28" t="str">
        <x:v>Правила заполнения</x:v>
      </x:c>
      <x:c r="B15" s="28"/>
      <x:c r="C15" s="28"/>
      <x:c r="D15" s="28"/>
      <x:c r="E15" s="28"/>
      <x:c r="F15" s="28"/>
      <x:c r="G15" s="28"/>
      <x:c r="H15" s="28"/>
    </x:row>
    <x:row r="16">
      <x:c r="A16" t="str">
        <x:v>1</x:v>
      </x:c>
      <x:c r="B16" t="str">
        <x:v>Сначала зафиксируйте границы рынка</x:v>
      </x:c>
      <x:c r="C16" t="str">
        <x:v>Без этого нельзя решить, какие сайты считать конкурентами</x:v>
      </x:c>
      <x:c r="D16" t="str"/>
      <x:c r="E16" t="str"/>
      <x:c r="F16" t="str"/>
      <x:c r="G16" t="str"/>
      <x:c r="H16" t="str"/>
    </x:row>
    <x:row r="17">
      <x:c r="A17" t="str">
        <x:v>2</x:v>
      </x:c>
      <x:c r="B17" t="str">
        <x:v>В Similarweb соберите данные по 5–20 сайтам</x:v>
      </x:c>
      <x:c r="C17" t="str">
        <x:v>Чем шире выборка, тем устойчивее оценка</x:v>
      </x:c>
      <x:c r="D17" t="str"/>
      <x:c r="E17" t="str"/>
      <x:c r="F17" t="str"/>
      <x:c r="G17" t="str"/>
      <x:c r="H17" t="str"/>
    </x:row>
    <x:row r="18">
      <x:c r="A18" t="str">
        <x:v>3</x:v>
      </x:c>
      <x:c r="B18" t="str">
        <x:v>Вносите только сопоставимый период</x:v>
      </x:c>
      <x:c r="C18" t="str">
        <x:v>Например, последние 3 месяца для всех сайтов</x:v>
      </x:c>
      <x:c r="D18" t="str"/>
      <x:c r="E18" t="str"/>
      <x:c r="F18" t="str"/>
      <x:c r="G18" t="str"/>
      <x:c r="H18" t="str"/>
    </x:row>
    <x:row r="19">
      <x:c r="A19" t="str">
        <x:v>4</x:v>
      </x:c>
      <x:c r="B19" t="str">
        <x:v>Разделяйте весь трафик и релевантный трафик</x:v>
      </x:c>
      <x:c r="C19" t="str">
        <x:v>Не все посещения сайта относятся к анализируемому рынку</x:v>
      </x:c>
      <x:c r="D19" t="str"/>
      <x:c r="E19" t="str"/>
      <x:c r="F19" t="str"/>
      <x:c r="G19" t="str"/>
      <x:c r="H19" t="str"/>
    </x:row>
    <x:row r="20">
      <x:c r="A20" t="str">
        <x:v>5</x:v>
      </x:c>
      <x:c r="B20" t="str">
        <x:v>Итог давайте диапазоном</x:v>
      </x:c>
      <x:c r="C20" t="str">
        <x:v>Осторожный, базовый и оптимистичный сценарии</x:v>
      </x:c>
      <x:c r="D20" t="str"/>
      <x:c r="E20" t="str"/>
      <x:c r="F20" t="str"/>
      <x:c r="G20" t="str"/>
      <x:c r="H20" t="str"/>
    </x:row>
  </x:sheetData>
  <x:mergeCells>
    <x:mergeCell ref="A1:H1"/>
    <x:mergeCell ref="A15:H15"/>
  </x:mergeCells>
  <x:pageMargins left="0.7" right="0.7" top="0.75" bottom="0.75" header="0.3" footer="0.3"/>
  <x:tableParts count="1">
    <x:tablePart xmlns:r="http://schemas.openxmlformats.org/officeDocument/2006/relationships" r:id="Ra694b884a55e44a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4" hidden="0" customWidth="1"/>
    <x:col min="4" max="4" width="14" hidden="0" customWidth="1"/>
    <x:col min="5" max="5" width="15" hidden="0" customWidth="1"/>
    <x:col min="6" max="6" width="16" hidden="0" customWidth="1"/>
    <x:col min="7" max="7" width="18" hidden="0" customWidth="1"/>
    <x:col min="8" max="8" width="18" hidden="0" customWidth="1"/>
    <x:col min="9" max="9" width="16" hidden="0" customWidth="1"/>
    <x:col min="10" max="10" width="13" hidden="0" customWidth="1"/>
    <x:col min="11" max="11" width="13" hidden="0" customWidth="1"/>
    <x:col min="12" max="12" width="14" hidden="0" customWidth="1"/>
    <x:col min="13" max="13" width="12" hidden="0" customWidth="1"/>
    <x:col min="14" max="14" width="14" hidden="0" customWidth="1"/>
    <x:col min="15" max="15" width="12" hidden="0" customWidth="1"/>
    <x:col min="16" max="16" width="12" hidden="0" customWidth="1"/>
    <x:col min="17" max="17" width="13" hidden="0" customWidth="1"/>
    <x:col min="18" max="18" width="12" hidden="0" customWidth="1"/>
    <x:col min="19" max="19" width="34" hidden="0" customWidth="1"/>
  </x:cols>
  <x:sheetData>
    <x:row r="1" ht="30" customHeight="1">
      <x:c r="A1" s="92" t="str">
        <x:v>Ввод данных Similarweb по конкурентам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3"/>
      <x:c r="U1" s="93"/>
      <x:c r="V1" s="93"/>
      <x:c r="W1" s="93"/>
      <x:c r="X1" s="93"/>
      <x:c r="Y1" s="93"/>
      <x:c r="Z1" s="93"/>
    </x:row>
    <x:row r="3" ht="36" customHeight="1">
      <x:c r="A3" s="16" t="str">
        <x:v>Домен</x:v>
      </x:c>
      <x:c r="B3" s="16" t="str">
        <x:v>Название / конкурент</x:v>
      </x:c>
      <x:c r="C3" s="16" t="str">
        <x:v>Сегмент</x:v>
      </x:c>
      <x:c r="D3" s="16" t="str">
        <x:v>Тип</x:v>
      </x:c>
      <x:c r="E3" s="16" t="str">
        <x:v>Monthly visits</x:v>
      </x:c>
      <x:c r="F3" s="16" t="str">
        <x:v>Доля выбранной географии</x:v>
      </x:c>
      <x:c r="G3" s="16" t="str">
        <x:v>Релевантный трафик, мес.</x:v>
      </x:c>
      <x:c r="H3" s="16" t="str">
        <x:v>Релевантный трафик, год</x:v>
      </x:c>
      <x:c r="I3" s="16" t="str">
        <x:v>Доля рынка по трафику</x:v>
      </x:c>
      <x:c r="J3" s="16" t="str">
        <x:v>Bounce rate</x:v>
      </x:c>
      <x:c r="K3" s="16" t="str">
        <x:v>Pages / visit</x:v>
      </x:c>
      <x:c r="L3" s="16" t="str">
        <x:v>Avg duration</x:v>
      </x:c>
      <x:c r="M3" s="16" t="str">
        <x:v>Direct</x:v>
      </x:c>
      <x:c r="N3" s="16" t="str">
        <x:v>Organic search</x:v>
      </x:c>
      <x:c r="O3" s="16" t="str">
        <x:v>Referral</x:v>
      </x:c>
      <x:c r="P3" s="16" t="str">
        <x:v>Social</x:v>
      </x:c>
      <x:c r="Q3" s="16" t="str">
        <x:v>Paid search</x:v>
      </x:c>
      <x:c r="R3" s="16" t="str">
        <x:v>Display</x:v>
      </x:c>
      <x:c r="S3" s="16" t="str">
        <x:v>Комментарий</x:v>
      </x:c>
    </x:row>
    <x:row r="4">
      <x:c r="A4" t="str">
        <x:v>example-agency.by</x:v>
      </x:c>
      <x:c r="B4" t="str">
        <x:v>Маркетинговое агентство 1</x:v>
      </x:c>
      <x:c r="C4" t="str">
        <x:v>маркетинговые услуги</x:v>
      </x:c>
      <x:c r="D4" t="str">
        <x:v>прямой</x:v>
      </x:c>
      <x:c r="E4" s="36" t="n">
        <x:v>18500</x:v>
      </x:c>
      <x:c r="F4" s="38" t="n">
        <x:v>0.82</x:v>
      </x:c>
      <x:c r="G4" s="36" t="n">
        <x:f>IFERROR(E4*F4,0)</x:f>
        <x:v>15170</x:v>
      </x:c>
      <x:c r="H4" s="36" t="n">
        <x:f>G4*12</x:f>
        <x:v>182040</x:v>
      </x:c>
      <x:c r="I4" s="52" t="n">
        <x:f>IFERROR(G4/SUM($G$4:$G$23),0)</x:f>
        <x:v>0.35642959516928646</x:v>
      </x:c>
      <x:c r="J4" s="52" t="n">
        <x:v>0.48</x:v>
      </x:c>
      <x:c r="K4" s="56" t="n">
        <x:v>3.1</x:v>
      </x:c>
      <x:c r="L4" t="str">
        <x:v>00:02:10</x:v>
      </x:c>
      <x:c r="M4" s="52" t="n">
        <x:v>0.28</x:v>
      </x:c>
      <x:c r="N4" s="52" t="n">
        <x:v>0.42</x:v>
      </x:c>
      <x:c r="O4" s="52" t="n">
        <x:v>0.08</x:v>
      </x:c>
      <x:c r="P4" s="52" t="n">
        <x:v>0.12</x:v>
      </x:c>
      <x:c r="Q4" s="52" t="n">
        <x:v>0.07</x:v>
      </x:c>
      <x:c r="R4" s="52" t="n">
        <x:v>0.03</x:v>
      </x:c>
      <x:c r="S4" t="str">
        <x:v>Демонстрационные данные; заменить фактическими</x:v>
      </x:c>
    </x:row>
    <x:row r="5">
      <x:c r="A5" t="str">
        <x:v>example-promo.by</x:v>
      </x:c>
      <x:c r="B5" t="str">
        <x:v>Агентство продвижения 2</x:v>
      </x:c>
      <x:c r="C5" t="str">
        <x:v>реклама и продвижение</x:v>
      </x:c>
      <x:c r="D5" t="str">
        <x:v>прямой</x:v>
      </x:c>
      <x:c r="E5" s="36" t="n">
        <x:v>12300</x:v>
      </x:c>
      <x:c r="F5" s="38" t="n">
        <x:v>0.76</x:v>
      </x:c>
      <x:c r="G5" s="36" t="n">
        <x:f>IFERROR(E5*F5,0)</x:f>
        <x:v>9348</x:v>
      </x:c>
      <x:c r="H5" s="36" t="n">
        <x:f>G5*12</x:f>
        <x:v>112176</x:v>
      </x:c>
      <x:c r="I5" s="52" t="n">
        <x:f>IFERROR(G5/SUM($G$4:$G$23),0)</x:f>
        <x:v>0.21963769648269543</x:v>
      </x:c>
      <x:c r="J5" s="52" t="n">
        <x:v>0.52</x:v>
      </x:c>
      <x:c r="K5" s="56" t="n">
        <x:v>2.7</x:v>
      </x:c>
      <x:c r="L5" t="str">
        <x:v>00:01:55</x:v>
      </x:c>
      <x:c r="M5" s="52" t="n">
        <x:v>0.22</x:v>
      </x:c>
      <x:c r="N5" s="52" t="n">
        <x:v>0.5</x:v>
      </x:c>
      <x:c r="O5" s="52" t="n">
        <x:v>0.07</x:v>
      </x:c>
      <x:c r="P5" s="52" t="n">
        <x:v>0.1</x:v>
      </x:c>
      <x:c r="Q5" s="52" t="n">
        <x:v>0.09</x:v>
      </x:c>
      <x:c r="R5" s="52" t="n">
        <x:v>0.02</x:v>
      </x:c>
      <x:c r="S5" t="str">
        <x:v>Демонстрационные данные</x:v>
      </x:c>
    </x:row>
    <x:row r="6">
      <x:c r="A6" t="str">
        <x:v>example-smm.by</x:v>
      </x:c>
      <x:c r="B6" t="str">
        <x:v>SMM-студия</x:v>
      </x:c>
      <x:c r="C6" t="str">
        <x:v>социальные сети</x:v>
      </x:c>
      <x:c r="D6" t="str">
        <x:v>частичный</x:v>
      </x:c>
      <x:c r="E6" s="36" t="n">
        <x:v>9800</x:v>
      </x:c>
      <x:c r="F6" s="38" t="n">
        <x:v>0.88</x:v>
      </x:c>
      <x:c r="G6" s="36" t="n">
        <x:f>IFERROR(E6*F6,0)</x:f>
        <x:v>8624</x:v>
      </x:c>
      <x:c r="H6" s="36" t="n">
        <x:f>G6*12</x:f>
        <x:v>103488</x:v>
      </x:c>
      <x:c r="I6" s="52" t="n">
        <x:f>IFERROR(G6/SUM($G$4:$G$23),0)</x:f>
        <x:v>0.20262681797890086</x:v>
      </x:c>
      <x:c r="J6" s="52" t="n">
        <x:v>0.55</x:v>
      </x:c>
      <x:c r="K6" s="56" t="n">
        <x:v>2.4</x:v>
      </x:c>
      <x:c r="L6" t="str">
        <x:v>00:01:40</x:v>
      </x:c>
      <x:c r="M6" s="52" t="n">
        <x:v>0.24</x:v>
      </x:c>
      <x:c r="N6" s="52" t="n">
        <x:v>0.3</x:v>
      </x:c>
      <x:c r="O6" s="52" t="n">
        <x:v>0.05</x:v>
      </x:c>
      <x:c r="P6" s="52" t="n">
        <x:v>0.31</x:v>
      </x:c>
      <x:c r="Q6" s="52" t="n">
        <x:v>0.08</x:v>
      </x:c>
      <x:c r="R6" s="52" t="n">
        <x:v>0.02</x:v>
      </x:c>
      <x:c r="S6" t="str">
        <x:v>Демонстрационные данные</x:v>
      </x:c>
    </x:row>
    <x:row r="7">
      <x:c r="A7" t="str">
        <x:v>example-context.by</x:v>
      </x:c>
      <x:c r="B7" t="str">
        <x:v>Контекстная реклама</x:v>
      </x:c>
      <x:c r="C7" t="str">
        <x:v>рекламные кампании</x:v>
      </x:c>
      <x:c r="D7" t="str">
        <x:v>частичный</x:v>
      </x:c>
      <x:c r="E7" s="36" t="n">
        <x:v>7200</x:v>
      </x:c>
      <x:c r="F7" s="38" t="n">
        <x:v>0.79</x:v>
      </x:c>
      <x:c r="G7" s="36" t="n">
        <x:f>IFERROR(E7*F7,0)</x:f>
        <x:v>5688</x:v>
      </x:c>
      <x:c r="H7" s="36" t="n">
        <x:f>G7*12</x:f>
        <x:v>68256</x:v>
      </x:c>
      <x:c r="I7" s="52" t="n">
        <x:f>IFERROR(G7/SUM($G$4:$G$23),0)</x:f>
        <x:v>0.13364347642207655</x:v>
      </x:c>
      <x:c r="J7" s="52" t="n">
        <x:v>0.46</x:v>
      </x:c>
      <x:c r="K7" s="56" t="n">
        <x:v>3.4</x:v>
      </x:c>
      <x:c r="L7" t="str">
        <x:v>00:02:30</x:v>
      </x:c>
      <x:c r="M7" s="52" t="n">
        <x:v>0.3</x:v>
      </x:c>
      <x:c r="N7" s="52" t="n">
        <x:v>0.38</x:v>
      </x:c>
      <x:c r="O7" s="52" t="n">
        <x:v>0.06</x:v>
      </x:c>
      <x:c r="P7" s="52" t="n">
        <x:v>0.07</x:v>
      </x:c>
      <x:c r="Q7" s="52" t="n">
        <x:v>0.17</x:v>
      </x:c>
      <x:c r="R7" s="52" t="n">
        <x:v>0.02</x:v>
      </x:c>
      <x:c r="S7" t="str">
        <x:v>Демонстрационные данные</x:v>
      </x:c>
    </x:row>
    <x:row r="8">
      <x:c r="A8" t="str">
        <x:v>example-marketer.by</x:v>
      </x:c>
      <x:c r="B8" t="str">
        <x:v>Частный специалист</x:v>
      </x:c>
      <x:c r="C8" t="str">
        <x:v>консалтинг</x:v>
      </x:c>
      <x:c r="D8" t="str">
        <x:v>заменитель</x:v>
      </x:c>
      <x:c r="E8" s="36" t="n">
        <x:v>4100</x:v>
      </x:c>
      <x:c r="F8" s="38" t="n">
        <x:v>0.91</x:v>
      </x:c>
      <x:c r="G8" s="36" t="n">
        <x:f>IFERROR(E8*F8,0)</x:f>
        <x:v>3731</x:v>
      </x:c>
      <x:c r="H8" s="36" t="n">
        <x:f>G8*12</x:f>
        <x:v>44772</x:v>
      </x:c>
      <x:c r="I8" s="52" t="n">
        <x:f>IFERROR(G8/SUM($G$4:$G$23),0)</x:f>
        <x:v>0.08766241394704072</x:v>
      </x:c>
      <x:c r="J8" s="52" t="n">
        <x:v>0.6</x:v>
      </x:c>
      <x:c r="K8" s="56" t="n">
        <x:v>1.9</x:v>
      </x:c>
      <x:c r="L8" t="str">
        <x:v>00:01:10</x:v>
      </x:c>
      <x:c r="M8" s="52" t="n">
        <x:v>0.36</x:v>
      </x:c>
      <x:c r="N8" s="52" t="n">
        <x:v>0.44</x:v>
      </x:c>
      <x:c r="O8" s="52" t="n">
        <x:v>0.04</x:v>
      </x:c>
      <x:c r="P8" s="52" t="n">
        <x:v>0.09</x:v>
      </x:c>
      <x:c r="Q8" s="52" t="n">
        <x:v>0.05</x:v>
      </x:c>
      <x:c r="R8" s="52" t="n">
        <x:v>0.02</x:v>
      </x:c>
      <x:c r="S8" t="str">
        <x:v>Демонстрационные данные</x:v>
      </x:c>
    </x:row>
    <x:row r="9">
      <x:c r="A9" t="str"/>
      <x:c r="B9" t="str"/>
      <x:c r="C9" t="str"/>
      <x:c r="D9" t="str"/>
      <x:c r="E9" s="36"/>
      <x:c r="F9" s="38"/>
      <x:c r="G9" s="36" t="n">
        <x:f>IFERROR(E9*F9,0)</x:f>
        <x:v>0</x:v>
      </x:c>
      <x:c r="H9" s="36" t="n">
        <x:f>G9*12</x:f>
        <x:v>0</x:v>
      </x:c>
      <x:c r="I9" s="52" t="n">
        <x:f>IFERROR(G9/SUM($G$4:$G$23),0)</x:f>
        <x:v>0</x:v>
      </x:c>
      <x:c r="J9" s="52"/>
      <x:c r="K9" s="56"/>
      <x:c r="L9" t="str"/>
      <x:c r="M9" s="52"/>
      <x:c r="N9" s="52"/>
      <x:c r="O9" s="52"/>
      <x:c r="P9" s="52"/>
      <x:c r="Q9" s="52"/>
      <x:c r="R9" s="52"/>
      <x:c r="S9" t="str"/>
    </x:row>
    <x:row r="10">
      <x:c r="A10" t="str"/>
      <x:c r="B10" t="str"/>
      <x:c r="C10" t="str"/>
      <x:c r="D10" t="str"/>
      <x:c r="E10" s="36"/>
      <x:c r="F10" s="38"/>
      <x:c r="G10" s="36" t="n">
        <x:f>IFERROR(E10*F10,0)</x:f>
        <x:v>0</x:v>
      </x:c>
      <x:c r="H10" s="36" t="n">
        <x:f>G10*12</x:f>
        <x:v>0</x:v>
      </x:c>
      <x:c r="I10" s="52" t="n">
        <x:f>IFERROR(G10/SUM($G$4:$G$23),0)</x:f>
        <x:v>0</x:v>
      </x:c>
      <x:c r="J10" s="52"/>
      <x:c r="K10" s="56"/>
      <x:c r="L10" t="str"/>
      <x:c r="M10" s="52"/>
      <x:c r="N10" s="52"/>
      <x:c r="O10" s="52"/>
      <x:c r="P10" s="52"/>
      <x:c r="Q10" s="52"/>
      <x:c r="R10" s="52"/>
      <x:c r="S10" t="str"/>
    </x:row>
    <x:row r="11">
      <x:c r="A11" t="str"/>
      <x:c r="B11" t="str"/>
      <x:c r="C11" t="str"/>
      <x:c r="D11" t="str"/>
      <x:c r="E11" s="36"/>
      <x:c r="F11" s="38"/>
      <x:c r="G11" s="36" t="n">
        <x:f>IFERROR(E11*F11,0)</x:f>
        <x:v>0</x:v>
      </x:c>
      <x:c r="H11" s="36" t="n">
        <x:f>G11*12</x:f>
        <x:v>0</x:v>
      </x:c>
      <x:c r="I11" s="52" t="n">
        <x:f>IFERROR(G11/SUM($G$4:$G$23),0)</x:f>
        <x:v>0</x:v>
      </x:c>
      <x:c r="J11" s="52"/>
      <x:c r="K11" s="56"/>
      <x:c r="L11" t="str"/>
      <x:c r="M11" s="52"/>
      <x:c r="N11" s="52"/>
      <x:c r="O11" s="52"/>
      <x:c r="P11" s="52"/>
      <x:c r="Q11" s="52"/>
      <x:c r="R11" s="52"/>
      <x:c r="S11" t="str"/>
    </x:row>
    <x:row r="12">
      <x:c r="A12" t="str"/>
      <x:c r="B12" t="str"/>
      <x:c r="C12" t="str"/>
      <x:c r="D12" t="str"/>
      <x:c r="E12" s="36"/>
      <x:c r="F12" s="38"/>
      <x:c r="G12" s="36" t="n">
        <x:f>IFERROR(E12*F12,0)</x:f>
        <x:v>0</x:v>
      </x:c>
      <x:c r="H12" s="36" t="n">
        <x:f>G12*12</x:f>
        <x:v>0</x:v>
      </x:c>
      <x:c r="I12" s="52" t="n">
        <x:f>IFERROR(G12/SUM($G$4:$G$23),0)</x:f>
        <x:v>0</x:v>
      </x:c>
      <x:c r="J12" s="52"/>
      <x:c r="K12" s="56"/>
      <x:c r="L12" t="str"/>
      <x:c r="M12" s="52"/>
      <x:c r="N12" s="52"/>
      <x:c r="O12" s="52"/>
      <x:c r="P12" s="52"/>
      <x:c r="Q12" s="52"/>
      <x:c r="R12" s="52"/>
      <x:c r="S12" t="str"/>
    </x:row>
    <x:row r="13">
      <x:c r="A13" t="str"/>
      <x:c r="B13" t="str"/>
      <x:c r="C13" t="str"/>
      <x:c r="D13" t="str"/>
      <x:c r="E13" s="36"/>
      <x:c r="F13" s="38"/>
      <x:c r="G13" s="36" t="n">
        <x:f>IFERROR(E13*F13,0)</x:f>
        <x:v>0</x:v>
      </x:c>
      <x:c r="H13" s="36" t="n">
        <x:f>G13*12</x:f>
        <x:v>0</x:v>
      </x:c>
      <x:c r="I13" s="52" t="n">
        <x:f>IFERROR(G13/SUM($G$4:$G$23),0)</x:f>
        <x:v>0</x:v>
      </x:c>
      <x:c r="J13" s="52"/>
      <x:c r="K13" s="56"/>
      <x:c r="L13" t="str"/>
      <x:c r="M13" s="52"/>
      <x:c r="N13" s="52"/>
      <x:c r="O13" s="52"/>
      <x:c r="P13" s="52"/>
      <x:c r="Q13" s="52"/>
      <x:c r="R13" s="52"/>
      <x:c r="S13" t="str"/>
    </x:row>
    <x:row r="14">
      <x:c r="A14" t="str"/>
      <x:c r="B14" t="str"/>
      <x:c r="C14" t="str"/>
      <x:c r="D14" t="str"/>
      <x:c r="E14" s="36"/>
      <x:c r="F14" s="38"/>
      <x:c r="G14" s="36" t="n">
        <x:f>IFERROR(E14*F14,0)</x:f>
        <x:v>0</x:v>
      </x:c>
      <x:c r="H14" s="36" t="n">
        <x:f>G14*12</x:f>
        <x:v>0</x:v>
      </x:c>
      <x:c r="I14" s="52" t="n">
        <x:f>IFERROR(G14/SUM($G$4:$G$23),0)</x:f>
        <x:v>0</x:v>
      </x:c>
      <x:c r="J14" s="52"/>
      <x:c r="K14" s="56"/>
      <x:c r="L14" t="str"/>
      <x:c r="M14" s="52"/>
      <x:c r="N14" s="52"/>
      <x:c r="O14" s="52"/>
      <x:c r="P14" s="52"/>
      <x:c r="Q14" s="52"/>
      <x:c r="R14" s="52"/>
      <x:c r="S14" t="str"/>
    </x:row>
    <x:row r="15">
      <x:c r="A15" t="str"/>
      <x:c r="B15" t="str"/>
      <x:c r="C15" t="str"/>
      <x:c r="D15" t="str"/>
      <x:c r="E15" s="36"/>
      <x:c r="F15" s="38"/>
      <x:c r="G15" s="36" t="n">
        <x:f>IFERROR(E15*F15,0)</x:f>
        <x:v>0</x:v>
      </x:c>
      <x:c r="H15" s="36" t="n">
        <x:f>G15*12</x:f>
        <x:v>0</x:v>
      </x:c>
      <x:c r="I15" s="52" t="n">
        <x:f>IFERROR(G15/SUM($G$4:$G$23),0)</x:f>
        <x:v>0</x:v>
      </x:c>
      <x:c r="J15" s="52"/>
      <x:c r="K15" s="56"/>
      <x:c r="L15" t="str"/>
      <x:c r="M15" s="52"/>
      <x:c r="N15" s="52"/>
      <x:c r="O15" s="52"/>
      <x:c r="P15" s="52"/>
      <x:c r="Q15" s="52"/>
      <x:c r="R15" s="52"/>
      <x:c r="S15" t="str"/>
    </x:row>
    <x:row r="16">
      <x:c r="A16" t="str"/>
      <x:c r="B16" t="str"/>
      <x:c r="C16" t="str"/>
      <x:c r="D16" t="str"/>
      <x:c r="E16" s="36"/>
      <x:c r="F16" s="38"/>
      <x:c r="G16" s="36" t="n">
        <x:f>IFERROR(E16*F16,0)</x:f>
        <x:v>0</x:v>
      </x:c>
      <x:c r="H16" s="36" t="n">
        <x:f>G16*12</x:f>
        <x:v>0</x:v>
      </x:c>
      <x:c r="I16" s="52" t="n">
        <x:f>IFERROR(G16/SUM($G$4:$G$23),0)</x:f>
        <x:v>0</x:v>
      </x:c>
      <x:c r="J16" s="52"/>
      <x:c r="K16" s="56"/>
      <x:c r="L16" t="str"/>
      <x:c r="M16" s="52"/>
      <x:c r="N16" s="52"/>
      <x:c r="O16" s="52"/>
      <x:c r="P16" s="52"/>
      <x:c r="Q16" s="52"/>
      <x:c r="R16" s="52"/>
      <x:c r="S16" t="str"/>
    </x:row>
    <x:row r="17">
      <x:c r="A17" t="str"/>
      <x:c r="B17" t="str"/>
      <x:c r="C17" t="str"/>
      <x:c r="D17" t="str"/>
      <x:c r="E17" s="36"/>
      <x:c r="F17" s="38"/>
      <x:c r="G17" s="36" t="n">
        <x:f>IFERROR(E17*F17,0)</x:f>
        <x:v>0</x:v>
      </x:c>
      <x:c r="H17" s="36" t="n">
        <x:f>G17*12</x:f>
        <x:v>0</x:v>
      </x:c>
      <x:c r="I17" s="52" t="n">
        <x:f>IFERROR(G17/SUM($G$4:$G$23),0)</x:f>
        <x:v>0</x:v>
      </x:c>
      <x:c r="J17" s="52"/>
      <x:c r="K17" s="56"/>
      <x:c r="L17" t="str"/>
      <x:c r="M17" s="52"/>
      <x:c r="N17" s="52"/>
      <x:c r="O17" s="52"/>
      <x:c r="P17" s="52"/>
      <x:c r="Q17" s="52"/>
      <x:c r="R17" s="52"/>
      <x:c r="S17" t="str"/>
    </x:row>
    <x:row r="18">
      <x:c r="A18" t="str"/>
      <x:c r="B18" t="str"/>
      <x:c r="C18" t="str"/>
      <x:c r="D18" t="str"/>
      <x:c r="E18" s="36"/>
      <x:c r="F18" s="38"/>
      <x:c r="G18" s="36" t="n">
        <x:f>IFERROR(E18*F18,0)</x:f>
        <x:v>0</x:v>
      </x:c>
      <x:c r="H18" s="36" t="n">
        <x:f>G18*12</x:f>
        <x:v>0</x:v>
      </x:c>
      <x:c r="I18" s="52" t="n">
        <x:f>IFERROR(G18/SUM($G$4:$G$23),0)</x:f>
        <x:v>0</x:v>
      </x:c>
      <x:c r="J18" s="52"/>
      <x:c r="K18" s="56"/>
      <x:c r="L18" t="str"/>
      <x:c r="M18" s="52"/>
      <x:c r="N18" s="52"/>
      <x:c r="O18" s="52"/>
      <x:c r="P18" s="52"/>
      <x:c r="Q18" s="52"/>
      <x:c r="R18" s="52"/>
      <x:c r="S18" t="str"/>
    </x:row>
    <x:row r="19">
      <x:c r="A19" t="str"/>
      <x:c r="B19" t="str"/>
      <x:c r="C19" t="str"/>
      <x:c r="D19" t="str"/>
      <x:c r="E19" s="36"/>
      <x:c r="F19" s="38"/>
      <x:c r="G19" s="36" t="n">
        <x:f>IFERROR(E19*F19,0)</x:f>
        <x:v>0</x:v>
      </x:c>
      <x:c r="H19" s="36" t="n">
        <x:f>G19*12</x:f>
        <x:v>0</x:v>
      </x:c>
      <x:c r="I19" s="52" t="n">
        <x:f>IFERROR(G19/SUM($G$4:$G$23),0)</x:f>
        <x:v>0</x:v>
      </x:c>
      <x:c r="J19" s="52"/>
      <x:c r="K19" s="56"/>
      <x:c r="L19" t="str"/>
      <x:c r="M19" s="52"/>
      <x:c r="N19" s="52"/>
      <x:c r="O19" s="52"/>
      <x:c r="P19" s="52"/>
      <x:c r="Q19" s="52"/>
      <x:c r="R19" s="52"/>
      <x:c r="S19" t="str"/>
    </x:row>
    <x:row r="20">
      <x:c r="A20" t="str"/>
      <x:c r="B20" t="str"/>
      <x:c r="C20" t="str"/>
      <x:c r="D20" t="str"/>
      <x:c r="E20" s="36"/>
      <x:c r="F20" s="38"/>
      <x:c r="G20" s="36" t="n">
        <x:f>IFERROR(E20*F20,0)</x:f>
        <x:v>0</x:v>
      </x:c>
      <x:c r="H20" s="36" t="n">
        <x:f>G20*12</x:f>
        <x:v>0</x:v>
      </x:c>
      <x:c r="I20" s="52" t="n">
        <x:f>IFERROR(G20/SUM($G$4:$G$23),0)</x:f>
        <x:v>0</x:v>
      </x:c>
      <x:c r="J20" s="52"/>
      <x:c r="K20" s="56"/>
      <x:c r="L20" t="str"/>
      <x:c r="M20" s="52"/>
      <x:c r="N20" s="52"/>
      <x:c r="O20" s="52"/>
      <x:c r="P20" s="52"/>
      <x:c r="Q20" s="52"/>
      <x:c r="R20" s="52"/>
      <x:c r="S20" t="str"/>
    </x:row>
    <x:row r="21">
      <x:c r="A21" t="str"/>
      <x:c r="B21" t="str"/>
      <x:c r="C21" t="str"/>
      <x:c r="D21" t="str"/>
      <x:c r="E21" s="36"/>
      <x:c r="F21" s="38"/>
      <x:c r="G21" s="36" t="n">
        <x:f>IFERROR(E21*F21,0)</x:f>
        <x:v>0</x:v>
      </x:c>
      <x:c r="H21" s="36" t="n">
        <x:f>G21*12</x:f>
        <x:v>0</x:v>
      </x:c>
      <x:c r="I21" s="52" t="n">
        <x:f>IFERROR(G21/SUM($G$4:$G$23),0)</x:f>
        <x:v>0</x:v>
      </x:c>
      <x:c r="J21" s="52"/>
      <x:c r="K21" s="56"/>
      <x:c r="L21" t="str"/>
      <x:c r="M21" s="52"/>
      <x:c r="N21" s="52"/>
      <x:c r="O21" s="52"/>
      <x:c r="P21" s="52"/>
      <x:c r="Q21" s="52"/>
      <x:c r="R21" s="52"/>
      <x:c r="S21" t="str"/>
    </x:row>
    <x:row r="22">
      <x:c r="A22" t="str"/>
      <x:c r="B22" t="str"/>
      <x:c r="C22" t="str"/>
      <x:c r="D22" t="str"/>
      <x:c r="E22" s="36"/>
      <x:c r="F22" s="38"/>
      <x:c r="G22" s="36" t="n">
        <x:f>IFERROR(E22*F22,0)</x:f>
        <x:v>0</x:v>
      </x:c>
      <x:c r="H22" s="36" t="n">
        <x:f>G22*12</x:f>
        <x:v>0</x:v>
      </x:c>
      <x:c r="I22" s="52" t="n">
        <x:f>IFERROR(G22/SUM($G$4:$G$23),0)</x:f>
        <x:v>0</x:v>
      </x:c>
      <x:c r="J22" s="52"/>
      <x:c r="K22" s="56"/>
      <x:c r="L22" t="str"/>
      <x:c r="M22" s="52"/>
      <x:c r="N22" s="52"/>
      <x:c r="O22" s="52"/>
      <x:c r="P22" s="52"/>
      <x:c r="Q22" s="52"/>
      <x:c r="R22" s="52"/>
      <x:c r="S22" t="str"/>
    </x:row>
    <x:row r="23">
      <x:c r="A23" t="str"/>
      <x:c r="B23" t="str"/>
      <x:c r="C23" t="str"/>
      <x:c r="D23" t="str"/>
      <x:c r="E23" s="36"/>
      <x:c r="F23" s="38"/>
      <x:c r="G23" s="36" t="n">
        <x:f>IFERROR(E23*F23,0)</x:f>
        <x:v>0</x:v>
      </x:c>
      <x:c r="H23" s="36" t="n">
        <x:f>G23*12</x:f>
        <x:v>0</x:v>
      </x:c>
      <x:c r="I23" s="52" t="n">
        <x:f>IFERROR(G23/SUM($G$4:$G$23),0)</x:f>
        <x:v>0</x:v>
      </x:c>
      <x:c r="J23" s="52"/>
      <x:c r="K23" s="56"/>
      <x:c r="L23" t="str"/>
      <x:c r="M23" s="52"/>
      <x:c r="N23" s="52"/>
      <x:c r="O23" s="52"/>
      <x:c r="P23" s="52"/>
      <x:c r="Q23" s="52"/>
      <x:c r="R23" s="52"/>
      <x:c r="S23" t="str"/>
    </x:row>
    <x:row r="24">
      <x:c r="E24" s="36"/>
      <x:c r="G24" s="36"/>
      <x:c r="H24" s="36"/>
      <x:c r="I24" s="52"/>
      <x:c r="J24" s="52"/>
      <x:c r="K24" s="56"/>
      <x:c r="M24" s="52"/>
      <x:c r="N24" s="52"/>
      <x:c r="O24" s="52"/>
      <x:c r="P24" s="52"/>
      <x:c r="Q24" s="52"/>
      <x:c r="R24" s="52"/>
    </x:row>
    <x:row r="25">
      <x:c r="A25" s="44" t="str">
        <x:v>ИТОГО / среднее</x:v>
      </x:c>
      <x:c r="B25" s="44" t="str"/>
      <x:c r="C25" s="44" t="str"/>
      <x:c r="D25" s="44" t="str"/>
      <x:c r="E25" s="50" t="n">
        <x:f>SUM(E4:E23)</x:f>
        <x:v>51900</x:v>
      </x:c>
      <x:c r="F25" s="44" t="str"/>
      <x:c r="G25" s="50" t="n">
        <x:f>SUM(G4:G23)</x:f>
        <x:v>42561</x:v>
      </x:c>
      <x:c r="H25" s="50" t="n">
        <x:f>SUM(H4:H23)</x:f>
        <x:v>510732</x:v>
      </x:c>
      <x:c r="I25" s="53" t="n">
        <x:f>SUM(I4:I23)</x:f>
        <x:v>1</x:v>
      </x:c>
      <x:c r="J25" s="53" t="n">
        <x:f>AVERAGE(J4:J23)</x:f>
        <x:v>0.522</x:v>
      </x:c>
      <x:c r="K25" s="57" t="n">
        <x:f>AVERAGE(K4:K23)</x:f>
        <x:v>2.7</x:v>
      </x:c>
      <x:c r="L25" s="44" t="str"/>
      <x:c r="M25" s="53" t="n">
        <x:f>SUMPRODUCT($G$4:$G$23,M4:M23)/SUM($G$4:$G$23)</x:f>
        <x:v>0.268402528136087</x:v>
      </x:c>
      <x:c r="N25" s="53" t="n">
        <x:f>SUMPRODUCT($G$4:$G$23,N4:N23)/SUM($G$4:$G$23)</x:f>
        <x:v>0.4096633067832053</x:v>
      </x:c>
      <x:c r="O25" s="53" t="n">
        <x:f>SUMPRODUCT($G$4:$G$23,O4:O23)/SUM($G$4:$G$23)</x:f>
        <x:v>0.06554545240948284</x:v>
      </x:c>
      <x:c r="P25" s="53" t="n">
        <x:f>SUMPRODUCT($G$4:$G$23,P4:P23)/SUM($G$4:$G$23)</x:f>
        <x:v>0.1447942952468222</x:v>
      </x:c>
      <x:c r="Q25" s="53" t="n">
        <x:f>SUMPRODUCT($G$4:$G$23,Q4:Q23)/SUM($G$4:$G$23)</x:f>
        <x:v>0.08803012147270976</x:v>
      </x:c>
      <x:c r="R25" s="53" t="n">
        <x:f>SUMPRODUCT($G$4:$G$23,R4:R23)/SUM($G$4:$G$23)</x:f>
        <x:v>0.023564295951692862</x:v>
      </x:c>
      <x:c r="S25" s="44" t="str"/>
    </x:row>
  </x:sheetData>
  <x:mergeCells>
    <x:mergeCell ref="A1:S1"/>
  </x:mergeCells>
  <x:conditionalFormatting sqref="G4:G23">
    <x:cfRule type="dataBar" priority="1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{EB80DA47-65D5-0FD9-4F60-F086E4E88A3E}</x14:id>
        </x:ext>
      </x:extLst>
    </x:cfRule>
  </x:conditionalFormatting>
  <x:conditionalFormatting sqref="I4:I23">
    <x:cfRule type="dataBar" priority="2">
      <x:dataBar>
        <x:cfvo type="min"/>
        <x:cfvo type="max"/>
        <x:color rgb="70AD47"/>
      </x:dataBar>
      <x:extLst>
        <x:ext xmlns:x14="http://schemas.microsoft.com/office/spreadsheetml/2009/9/main" uri="{B025F937-C7B1-47D3-B67F-A62EFF666E3E}">
          <x14:id>{CB69B622-0734-D549-5FB7-D119D9835D3D}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da3d455bc1f498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B80DA47-65D5-0FD9-4F60-F086E4E88A3E}">
            <x14:dataBar gradient="1">
              <x14:cfvo type="min"/>
              <x14:cfvo type="max"/>
              <x14:fillColor rgb="5B9BD5"/>
            </x14:dataBar>
          </x14:cfRule>
          <xm:sqref>G4:G23</xm:sqref>
        </x14:conditionalFormatting>
        <x14:conditionalFormatting>
          <x14:cfRule type="dataBar" priority="2" id="{CB69B622-0734-D549-5FB7-D119D9835D3D}">
            <x14:dataBar gradient="1">
              <x14:cfvo type="min"/>
              <x14:cfvo type="max"/>
              <x14:fillColor rgb="70AD47"/>
            </x14:dataBar>
          </x14:cfRule>
          <xm:sqref>I4:I23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38" hidden="0" customWidth="1"/>
    <x:col min="6" max="6" width="34" hidden="0" customWidth="1"/>
    <x:col min="7" max="7" width="34" hidden="0" customWidth="1"/>
    <x:col min="8" max="8" width="14" hidden="0" customWidth="1"/>
  </x:cols>
  <x:sheetData>
    <x:row r="1" ht="30" customHeight="1">
      <x:c r="A1" s="92" t="str">
        <x:v>Канальная структура рынка по данным Similarweb</x:v>
      </x:c>
      <x:c r="B1" s="92"/>
      <x:c r="C1" s="92"/>
      <x:c r="D1" s="92"/>
      <x:c r="E1" s="92"/>
      <x:c r="F1" s="92"/>
      <x:c r="G1" s="92"/>
      <x:c r="H1" s="92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</x:row>
    <x:row r="3" ht="36" customHeight="1">
      <x:c r="A3" s="16" t="str">
        <x:v>Канал</x:v>
      </x:c>
      <x:c r="B3" s="16" t="str">
        <x:v>Средневзвешенная доля</x:v>
      </x:c>
      <x:c r="C3" s="16" t="str">
        <x:v>Оценка рыночного трафика, мес.</x:v>
      </x:c>
      <x:c r="D3" s="16" t="str">
        <x:v>Оценка рыночного трафика, год</x:v>
      </x:c>
      <x:c r="E3" s="16" t="str">
        <x:v>Коммерческая интерпретация</x:v>
      </x:c>
      <x:c r="F3" s="16" t="str">
        <x:v>Что проверить дополнительно</x:v>
      </x:c>
      <x:c r="G3" s="16" t="str">
        <x:v>Ограничение</x:v>
      </x:c>
      <x:c r="H3" s="16" t="str">
        <x:v>Приоритет</x:v>
      </x:c>
    </x:row>
    <x:row r="4">
      <x:c r="A4" t="str">
        <x:v>Direct</x:v>
      </x:c>
      <x:c r="B4" s="52" t="n">
        <x:f>'02_Конкуренты_SW'!M25</x:f>
        <x:v>0.268402528136087</x:v>
      </x:c>
      <x:c r="C4" s="36" t="n">
        <x:f>B4*'01_Параметры'!$B$12</x:f>
        <x:v>10502.590925965085</x:v>
      </x:c>
      <x:c r="D4" s="36" t="n">
        <x:f>C4*12</x:f>
        <x:v>126031.09111158102</x:v>
      </x:c>
      <x:c r="E4" t="str">
        <x:v>Сила бренда и повторные посещения</x:v>
      </x:c>
      <x:c r="F4" t="str">
        <x:v>Узнаваемость конкурентов, прямые заходы</x:v>
      </x:c>
      <x:c r="G4" t="str">
        <x:v>Не всегда означает новый спрос</x:v>
      </x:c>
      <x:c r="H4" t="str">
        <x:f>IF(B4&gt;=0.30,"высокий",IF(B4&gt;=0.15,"средний","низкий"))</x:f>
        <x:v>средний</x:v>
      </x:c>
    </x:row>
    <x:row r="5">
      <x:c r="A5" t="str">
        <x:v>Organic search</x:v>
      </x:c>
      <x:c r="B5" s="52" t="n">
        <x:f>'02_Конкуренты_SW'!N25</x:f>
        <x:v>0.4096633067832053</x:v>
      </x:c>
      <x:c r="C5" s="36" t="n">
        <x:f>B5*'01_Параметры'!$B$12</x:f>
        <x:v>16030.125194426822</x:v>
      </x:c>
      <x:c r="D5" s="36" t="n">
        <x:f>C5*12</x:f>
        <x:v>192361.50233312187</x:v>
      </x:c>
      <x:c r="E5" t="str">
        <x:v>Поисковый спрос и эффективность содержания</x:v>
      </x:c>
      <x:c r="F5" t="str">
        <x:v>Семантическое ядро, видимость в поиске</x:v>
      </x:c>
      <x:c r="G5" t="str">
        <x:v>Запросы могут быть информационными</x:v>
      </x:c>
      <x:c r="H5" t="str">
        <x:f>IF(B5&gt;=0.30,"высокий",IF(B5&gt;=0.15,"средний","низкий"))</x:f>
        <x:v>высокий</x:v>
      </x:c>
    </x:row>
    <x:row r="6">
      <x:c r="A6" t="str">
        <x:v>Referral</x:v>
      </x:c>
      <x:c r="B6" s="52" t="n">
        <x:f>'02_Конкуренты_SW'!O25</x:f>
        <x:v>0.06554545240948284</x:v>
      </x:c>
      <x:c r="C6" s="36" t="n">
        <x:f>B6*'01_Параметры'!$B$12</x:f>
        <x:v>2564.7935527830637</x:v>
      </x:c>
      <x:c r="D6" s="36" t="n">
        <x:f>C6*12</x:f>
        <x:v>30777.522633396766</x:v>
      </x:c>
      <x:c r="E6" t="str">
        <x:v>Партнерские и справочные источники</x:v>
      </x:c>
      <x:c r="F6" t="str">
        <x:v>Каталоги, публикации, партнеры</x:v>
      </x:c>
      <x:c r="G6" t="str">
        <x:v>Часть переходов может быть нерелевантна</x:v>
      </x:c>
      <x:c r="H6" t="str">
        <x:f>IF(B6&gt;=0.30,"высокий",IF(B6&gt;=0.15,"средний","низкий"))</x:f>
        <x:v>низкий</x:v>
      </x:c>
    </x:row>
    <x:row r="7">
      <x:c r="A7" t="str">
        <x:v>Social</x:v>
      </x:c>
      <x:c r="B7" s="52" t="n">
        <x:f>'02_Конкуренты_SW'!P25</x:f>
        <x:v>0.1447942952468222</x:v>
      </x:c>
      <x:c r="C7" s="36" t="n">
        <x:f>B7*'01_Параметры'!$B$12</x:f>
        <x:v>5665.800773008153</x:v>
      </x:c>
      <x:c r="D7" s="36" t="n">
        <x:f>C7*12</x:f>
        <x:v>67989.60927609784</x:v>
      </x:c>
      <x:c r="E7" t="str">
        <x:v>Спрос через социальные сети</x:v>
      </x:c>
      <x:c r="F7" t="str">
        <x:v>Активность в соцсетях и сообществах</x:v>
      </x:c>
      <x:c r="G7" t="str">
        <x:v>Социальный трафик не всегда конверсионный</x:v>
      </x:c>
      <x:c r="H7" t="str">
        <x:f>IF(B7&gt;=0.30,"высокий",IF(B7&gt;=0.15,"средний","низкий"))</x:f>
        <x:v>низкий</x:v>
      </x:c>
    </x:row>
    <x:row r="8">
      <x:c r="A8" t="str">
        <x:v>Paid search</x:v>
      </x:c>
      <x:c r="B8" s="52" t="n">
        <x:f>'02_Конкуренты_SW'!Q25</x:f>
        <x:v>0.08803012147270976</x:v>
      </x:c>
      <x:c r="C8" s="36" t="n">
        <x:f>B8*'01_Параметры'!$B$12</x:f>
        <x:v>3444.618653227133</x:v>
      </x:c>
      <x:c r="D8" s="36" t="n">
        <x:f>C8*12</x:f>
        <x:v>41335.4238387256</x:v>
      </x:c>
      <x:c r="E8" t="str">
        <x:v>Платный спрос и рекламная конкуренция</x:v>
      </x:c>
      <x:c r="F8" t="str">
        <x:v>Стоимость клика, рекламные объявления</x:v>
      </x:c>
      <x:c r="G8" t="str">
        <x:v>Высокая доля может отражать закупку трафика</x:v>
      </x:c>
      <x:c r="H8" t="str">
        <x:f>IF(B8&gt;=0.30,"высокий",IF(B8&gt;=0.15,"средний","низкий"))</x:f>
        <x:v>низкий</x:v>
      </x:c>
    </x:row>
    <x:row r="9">
      <x:c r="A9" t="str">
        <x:v>Display</x:v>
      </x:c>
      <x:c r="B9" s="52" t="n">
        <x:f>'02_Конкуренты_SW'!R25</x:f>
        <x:v>0.023564295951692862</x:v>
      </x:c>
      <x:c r="C9" s="36" t="n">
        <x:f>B9*'01_Параметры'!$B$12</x:f>
        <x:v>922.0709005897417</x:v>
      </x:c>
      <x:c r="D9" s="36" t="n">
        <x:f>C9*12</x:f>
        <x:v>11064.8508070769</x:v>
      </x:c>
      <x:c r="E9" t="str">
        <x:v>Медийная реклама и охват</x:v>
      </x:c>
      <x:c r="F9" t="str">
        <x:v>Баннеры, ретаргетинг</x:v>
      </x:c>
      <x:c r="G9" t="str">
        <x:v>Слабее связан с намерением покупки</x:v>
      </x:c>
      <x:c r="H9" t="str">
        <x:f>IF(B9&gt;=0.30,"высокий",IF(B9&gt;=0.15,"средний","низкий"))</x:f>
        <x:v>низкий</x:v>
      </x:c>
    </x:row>
  </x:sheetData>
  <x:mergeCells>
    <x:mergeCell ref="A1:H1"/>
  </x:mergeCells>
  <x:conditionalFormatting sqref="B4:B9">
    <x:cfRule type="dataBar" priority="1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{A25272C7-95F9-2CA7-00A0-2CD1C1E906FA}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9f969b065d9441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25272C7-95F9-2CA7-00A0-2CD1C1E906FA}">
            <x14:dataBar gradient="1">
              <x14:cfvo type="min"/>
              <x14:cfvo type="max"/>
              <x14:fillColor rgb="5B9BD5"/>
            </x14:dataBar>
          </x14:cfRule>
          <xm:sqref>B4:B9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6" hidden="0" customWidth="1"/>
    <x:col min="4" max="4" width="26" hidden="0" customWidth="1"/>
    <x:col min="5" max="5" width="28" hidden="0" customWidth="1"/>
    <x:col min="6" max="6" width="22" hidden="0" customWidth="1"/>
    <x:col min="7" max="7" width="18" hidden="0" customWidth="1"/>
    <x:col min="8" max="8" width="42" hidden="0" customWidth="1"/>
  </x:cols>
  <x:sheetData>
    <x:row r="1" ht="30" customHeight="1">
      <x:c r="A1" s="92" t="str">
        <x:v>Географическая структура цифрового рынка</x:v>
      </x:c>
      <x:c r="B1" s="92"/>
      <x:c r="C1" s="92"/>
      <x:c r="D1" s="92"/>
      <x:c r="E1" s="92"/>
      <x:c r="F1" s="92"/>
      <x:c r="G1" s="92"/>
      <x:c r="H1" s="92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</x:row>
    <x:row r="3" ht="36" customHeight="1">
      <x:c r="A3" s="16" t="str">
        <x:v>Страна / регион</x:v>
      </x:c>
      <x:c r="B3" s="16" t="str">
        <x:v>Доля трафика по Similarweb</x:v>
      </x:c>
      <x:c r="C3" s="16" t="str">
        <x:v>Оценка месячного трафика рынка</x:v>
      </x:c>
      <x:c r="D3" s="16" t="str">
        <x:v>Оценка годового трафика рынка</x:v>
      </x:c>
      <x:c r="E3" s="16" t="str">
        <x:v>Платежеспособность / доступность</x:v>
      </x:c>
      <x:c r="F3" s="16" t="str">
        <x:v>Конкурентная плотность</x:v>
      </x:c>
      <x:c r="G3" s="16" t="str">
        <x:v>Приоритет рынка</x:v>
      </x:c>
      <x:c r="H3" s="16" t="str">
        <x:v>Комментарий</x:v>
      </x:c>
    </x:row>
    <x:row r="4">
      <x:c r="A4" t="str">
        <x:v>Республика Беларусь</x:v>
      </x:c>
      <x:c r="B4" s="52" t="n">
        <x:v>0.78</x:v>
      </x:c>
      <x:c r="C4" s="36" t="n">
        <x:f>B4*'01_Параметры'!$B$12</x:f>
        <x:v>30521.4</x:v>
      </x:c>
      <x:c r="D4" s="36" t="n">
        <x:f>C4*12</x:f>
        <x:v>366256.80000000005</x:v>
      </x:c>
      <x:c r="E4" t="str">
        <x:v>средняя</x:v>
      </x:c>
      <x:c r="F4" t="str">
        <x:v>средняя</x:v>
      </x:c>
      <x:c r="G4" t="str">
        <x:f>IF(B4&gt;=0.35,"высокий",IF(B4&gt;=0.15,"средний","низкий"))</x:f>
        <x:v>высокий</x:v>
      </x:c>
      <x:c r="H4" t="str">
        <x:v>Основная география анализа</x:v>
      </x:c>
    </x:row>
    <x:row r="5">
      <x:c r="A5" t="str">
        <x:v>Минск</x:v>
      </x:c>
      <x:c r="B5" s="52" t="n">
        <x:v>0.42</x:v>
      </x:c>
      <x:c r="C5" s="36" t="n">
        <x:f>B5*'01_Параметры'!$B$12</x:f>
        <x:v>16434.6</x:v>
      </x:c>
      <x:c r="D5" s="36" t="n">
        <x:f>C5*12</x:f>
        <x:v>197215.19999999998</x:v>
      </x:c>
      <x:c r="E5" t="str">
        <x:v>выше средней</x:v>
      </x:c>
      <x:c r="F5" t="str">
        <x:v>высокая</x:v>
      </x:c>
      <x:c r="G5" t="str">
        <x:f>IF(B5&gt;=0.35,"высокий",IF(B5&gt;=0.15,"средний","низкий"))</x:f>
        <x:v>высокий</x:v>
      </x:c>
      <x:c r="H5" t="str">
        <x:v>Возможный стартовый сегмент</x:v>
      </x:c>
    </x:row>
    <x:row r="6">
      <x:c r="A6" t="str">
        <x:v>Областные центры РБ</x:v>
      </x:c>
      <x:c r="B6" s="52" t="n">
        <x:v>0.25</x:v>
      </x:c>
      <x:c r="C6" s="36" t="n">
        <x:f>B6*'01_Параметры'!$B$12</x:f>
        <x:v>9782.5</x:v>
      </x:c>
      <x:c r="D6" s="36" t="n">
        <x:f>C6*12</x:f>
        <x:v>117390</x:v>
      </x:c>
      <x:c r="E6" t="str">
        <x:v>средняя</x:v>
      </x:c>
      <x:c r="F6" t="str">
        <x:v>средняя</x:v>
      </x:c>
      <x:c r="G6" t="str">
        <x:f>IF(B6&gt;=0.35,"высокий",IF(B6&gt;=0.15,"средний","низкий"))</x:f>
        <x:v>средний</x:v>
      </x:c>
      <x:c r="H6" t="str">
        <x:v>Расширение после проверки Минска</x:v>
      </x:c>
    </x:row>
    <x:row r="7">
      <x:c r="A7" t="str">
        <x:v>Другие русскоязычные рынки</x:v>
      </x:c>
      <x:c r="B7" s="52" t="n">
        <x:v>0.17</x:v>
      </x:c>
      <x:c r="C7" s="36" t="n">
        <x:f>B7*'01_Параметры'!$B$12</x:f>
        <x:v>6652.1</x:v>
      </x:c>
      <x:c r="D7" s="36" t="n">
        <x:f>C7*12</x:f>
        <x:v>79825.20000000001</x:v>
      </x:c>
      <x:c r="E7" t="str">
        <x:v>разная</x:v>
      </x:c>
      <x:c r="F7" t="str">
        <x:v>высокая</x:v>
      </x:c>
      <x:c r="G7" t="str">
        <x:f>IF(B7&gt;=0.35,"высокий",IF(B7&gt;=0.15,"средний","низкий"))</x:f>
        <x:v>средний</x:v>
      </x:c>
      <x:c r="H7" t="str">
        <x:v>Только при дистанционной модели оказания услуги</x:v>
      </x:c>
    </x:row>
  </x:sheetData>
  <x:mergeCells>
    <x:mergeCell ref="A1:H1"/>
  </x:mergeCells>
  <x:conditionalFormatting sqref="B4:B7">
    <x:cfRule type="dataBar" priority="1">
      <x:dataBar>
        <x:cfvo type="min"/>
        <x:cfvo type="max"/>
        <x:color rgb="70AD47"/>
      </x:dataBar>
      <x:extLst>
        <x:ext xmlns:x14="http://schemas.microsoft.com/office/spreadsheetml/2009/9/main" uri="{B025F937-C7B1-47D3-B67F-A62EFF666E3E}">
          <x14:id>{03081BB8-B402-1447-119C-38DF0B9C73D3}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1abfbd94535470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3081BB8-B402-1447-119C-38DF0B9C73D3}">
            <x14:dataBar gradient="1">
              <x14:cfvo type="min"/>
              <x14:cfvo type="max"/>
              <x14:fillColor rgb="70AD47"/>
            </x14:dataBar>
          </x14:cfRule>
          <xm:sqref>B4:B7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0" hidden="0" customWidth="1"/>
    <x:col min="4" max="4" width="24" hidden="0" customWidth="1"/>
    <x:col min="5" max="5" width="18" hidden="0" customWidth="1"/>
    <x:col min="6" max="6" width="18" hidden="0" customWidth="1"/>
    <x:col min="7" max="7" width="28" hidden="0" customWidth="1"/>
    <x:col min="8" max="8" width="18" hidden="0" customWidth="1"/>
    <x:col min="9" max="9" width="18" hidden="0" customWidth="1"/>
    <x:col min="10" max="10" width="42" hidden="0" customWidth="1"/>
  </x:cols>
  <x:sheetData>
    <x:row r="1" ht="30" customHeight="1">
      <x:c r="A1" s="92" t="str">
        <x:v>Поисковые запросы и коммерческий интерес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</x:row>
    <x:row r="3" ht="36" customHeight="1">
      <x:c r="A3" s="16" t="str">
        <x:v>Запрос / ключевая фраза</x:v>
      </x:c>
      <x:c r="B3" s="16" t="str">
        <x:v>Источник</x:v>
      </x:c>
      <x:c r="C3" s="16" t="str">
        <x:v>Доля поискового трафика</x:v>
      </x:c>
      <x:c r="D3" s="16" t="str">
        <x:v>Оценочный месячный трафик</x:v>
      </x:c>
      <x:c r="E3" s="16" t="str">
        <x:v>Тип намерения</x:v>
      </x:c>
      <x:c r="F3" s="16" t="str">
        <x:v>Коммерческий вес</x:v>
      </x:c>
      <x:c r="G3" s="16" t="str">
        <x:v>Индекс коммерческого интереса</x:v>
      </x:c>
      <x:c r="H3" s="16" t="str">
        <x:v>Сегмент</x:v>
      </x:c>
      <x:c r="I3" s="16" t="str">
        <x:v>Решение</x:v>
      </x:c>
      <x:c r="J3" s="16" t="str">
        <x:v>Комментарий</x:v>
      </x:c>
    </x:row>
    <x:row r="4">
      <x:c r="A4" t="str">
        <x:v>маркетинговое агентство</x:v>
      </x:c>
      <x:c r="B4" t="str">
        <x:v>Similarweb / Search</x:v>
      </x:c>
      <x:c r="C4" s="52" t="n">
        <x:v>0.18</x:v>
      </x:c>
      <x:c r="D4" s="36" t="n">
        <x:f>C4*'01_Параметры'!$B$12</x:f>
        <x:v>7043.4</x:v>
      </x:c>
      <x:c r="E4" t="str">
        <x:v>коммерческий</x:v>
      </x:c>
      <x:c r="F4" s="56" t="n">
        <x:v>1</x:v>
      </x:c>
      <x:c r="G4" s="36" t="n">
        <x:f>D4*F4</x:f>
        <x:v>7043.4</x:v>
      </x:c>
      <x:c r="H4" t="str">
        <x:v>агентство</x:v>
      </x:c>
      <x:c r="I4" t="str">
        <x:v>включить</x:v>
      </x:c>
      <x:c r="J4" t="str">
        <x:v>Поиск поставщика услуги</x:v>
      </x:c>
    </x:row>
    <x:row r="5">
      <x:c r="A5" t="str">
        <x:v>продвижение бизнеса</x:v>
      </x:c>
      <x:c r="B5" t="str">
        <x:v>Similarweb / Search</x:v>
      </x:c>
      <x:c r="C5" s="52" t="n">
        <x:v>0.15</x:v>
      </x:c>
      <x:c r="D5" s="36" t="n">
        <x:f>C5*'01_Параметры'!$B$12</x:f>
        <x:v>5869.5</x:v>
      </x:c>
      <x:c r="E5" t="str">
        <x:v>проблемный</x:v>
      </x:c>
      <x:c r="F5" s="56" t="n">
        <x:v>0.8</x:v>
      </x:c>
      <x:c r="G5" s="36" t="n">
        <x:f>D5*F5</x:f>
        <x:v>4695.6</x:v>
      </x:c>
      <x:c r="H5" t="str">
        <x:v>рост продаж</x:v>
      </x:c>
      <x:c r="I5" t="str">
        <x:v>включить</x:v>
      </x:c>
      <x:c r="J5" t="str">
        <x:v>Потребность в клиентах</x:v>
      </x:c>
    </x:row>
    <x:row r="6">
      <x:c r="A6" t="str">
        <x:v>настройка рекламы</x:v>
      </x:c>
      <x:c r="B6" t="str">
        <x:v>Similarweb / Search</x:v>
      </x:c>
      <x:c r="C6" s="52" t="n">
        <x:v>0.13</x:v>
      </x:c>
      <x:c r="D6" s="36" t="n">
        <x:f>C6*'01_Параметры'!$B$12</x:f>
        <x:v>5086.900000000001</x:v>
      </x:c>
      <x:c r="E6" t="str">
        <x:v>коммерческий</x:v>
      </x:c>
      <x:c r="F6" s="56" t="n">
        <x:v>1</x:v>
      </x:c>
      <x:c r="G6" s="36" t="n">
        <x:f>D6*F6</x:f>
        <x:v>5086.900000000001</x:v>
      </x:c>
      <x:c r="H6" t="str">
        <x:v>реклама</x:v>
      </x:c>
      <x:c r="I6" t="str">
        <x:v>включить</x:v>
      </x:c>
      <x:c r="J6" t="str">
        <x:v>Близко к покупке</x:v>
      </x:c>
    </x:row>
    <x:row r="7">
      <x:c r="A7" t="str">
        <x:v>smm продвижение</x:v>
      </x:c>
      <x:c r="B7" t="str">
        <x:v>Similarweb / Search</x:v>
      </x:c>
      <x:c r="C7" s="52" t="n">
        <x:v>0.11</x:v>
      </x:c>
      <x:c r="D7" s="36" t="n">
        <x:f>C7*'01_Параметры'!$B$12</x:f>
        <x:v>4304.3</x:v>
      </x:c>
      <x:c r="E7" t="str">
        <x:v>инструментальный</x:v>
      </x:c>
      <x:c r="F7" s="56" t="n">
        <x:v>0.7</x:v>
      </x:c>
      <x:c r="G7" s="36" t="n">
        <x:f>D7*F7</x:f>
        <x:v>3013.0099999999998</x:v>
      </x:c>
      <x:c r="H7" t="str">
        <x:v>соцсети</x:v>
      </x:c>
      <x:c r="I7" t="str">
        <x:v>включить</x:v>
      </x:c>
      <x:c r="J7" t="str">
        <x:v>Отдельное направление</x:v>
      </x:c>
    </x:row>
    <x:row r="8">
      <x:c r="A8" t="str">
        <x:v>как привлечь клиентов</x:v>
      </x:c>
      <x:c r="B8" t="str">
        <x:v>Similarweb / Search</x:v>
      </x:c>
      <x:c r="C8" s="52" t="n">
        <x:v>0.09</x:v>
      </x:c>
      <x:c r="D8" s="36" t="n">
        <x:f>C8*'01_Параметры'!$B$12</x:f>
        <x:v>3521.7</x:v>
      </x:c>
      <x:c r="E8" t="str">
        <x:v>проблемный</x:v>
      </x:c>
      <x:c r="F8" s="56" t="n">
        <x:v>0.6</x:v>
      </x:c>
      <x:c r="G8" s="36" t="n">
        <x:f>D8*F8</x:f>
        <x:v>2113.02</x:v>
      </x:c>
      <x:c r="H8" t="str">
        <x:v>лидогенерация</x:v>
      </x:c>
      <x:c r="I8" t="str">
        <x:v>включить</x:v>
      </x:c>
      <x:c r="J8" t="str">
        <x:v>Потребность требует коммерческой проверки</x:v>
      </x:c>
    </x:row>
    <x:row r="9">
      <x:c r="A9" t="str">
        <x:v>курсы маркетинга</x:v>
      </x:c>
      <x:c r="B9" t="str">
        <x:v>Similarweb / Search</x:v>
      </x:c>
      <x:c r="C9" s="52" t="n">
        <x:v>0.08</x:v>
      </x:c>
      <x:c r="D9" s="36" t="n">
        <x:f>C9*'01_Параметры'!$B$12</x:f>
        <x:v>3130.4</x:v>
      </x:c>
      <x:c r="E9" t="str">
        <x:v>обучающий</x:v>
      </x:c>
      <x:c r="F9" s="56" t="n">
        <x:v>0.3</x:v>
      </x:c>
      <x:c r="G9" s="36" t="n">
        <x:f>D9*F9</x:f>
        <x:v>939.12</x:v>
      </x:c>
      <x:c r="H9" t="str">
        <x:v>обучение</x:v>
      </x:c>
      <x:c r="I9" t="str">
        <x:v>исключить/отдельно</x:v>
      </x:c>
      <x:c r="J9" t="str">
        <x:v>Не основной спрос на услугу</x:v>
      </x:c>
    </x:row>
    <x:row r="10">
      <x:c r="A10" t="str">
        <x:v>что такое маркетинг</x:v>
      </x:c>
      <x:c r="B10" t="str">
        <x:v>Similarweb / Search</x:v>
      </x:c>
      <x:c r="C10" s="52" t="n">
        <x:v>0.06</x:v>
      </x:c>
      <x:c r="D10" s="36" t="n">
        <x:f>C10*'01_Параметры'!$B$12</x:f>
        <x:v>2347.7999999999997</x:v>
      </x:c>
      <x:c r="E10" t="str">
        <x:v>информационный</x:v>
      </x:c>
      <x:c r="F10" s="56" t="n">
        <x:v>0.1</x:v>
      </x:c>
      <x:c r="G10" s="36" t="n">
        <x:f>D10*F10</x:f>
        <x:v>234.77999999999997</x:v>
      </x:c>
      <x:c r="H10" t="str">
        <x:v>общий интерес</x:v>
      </x:c>
      <x:c r="I10" t="str">
        <x:v>исключить</x:v>
      </x:c>
      <x:c r="J10" t="str">
        <x:v>Не подтверждает платежеспособный спрос</x:v>
      </x:c>
    </x:row>
  </x:sheetData>
  <x:mergeCells>
    <x:mergeCell ref="A1:J1"/>
  </x:mergeCells>
  <x:conditionalFormatting sqref="G4:G10">
    <x:cfRule type="dataBar" priority="1">
      <x:dataBar>
        <x:cfvo type="min"/>
        <x:cfvo type="max"/>
        <x:color rgb="FFC000"/>
      </x:dataBar>
      <x:extLst>
        <x:ext xmlns:x14="http://schemas.microsoft.com/office/spreadsheetml/2009/9/main" uri="{B025F937-C7B1-47D3-B67F-A62EFF666E3E}">
          <x14:id>{7D7FB6A3-5205-A760-7B60-17D23870CB04}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89100bda5b4416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D7FB6A3-5205-A760-7B60-17D23870CB04}">
            <x14:dataBar gradient="1">
              <x14:cfvo type="min"/>
              <x14:cfvo type="max"/>
              <x14:fillColor rgb="FFC000"/>
            </x14:dataBar>
          </x14:cfRule>
          <xm:sqref>G4:G10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28" hidden="0" customWidth="1"/>
    <x:col min="5" max="5" width="36" hidden="0" customWidth="1"/>
    <x:col min="6" max="6" width="36" hidden="0" customWidth="1"/>
    <x:col min="7" max="7" width="20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92" t="str">
        <x:v>Расчет объема рынка через цифровую воронку и сценарии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</x:row>
    <x:row r="3" ht="36" customHeight="1">
      <x:c r="A3" s="28" t="str">
        <x:v>Сценарные допущения</x:v>
      </x:c>
      <x:c r="B3" s="28"/>
      <x:c r="C3" s="28"/>
      <x:c r="D3" s="28"/>
      <x:c r="E3" s="28"/>
      <x:c r="F3" s="28"/>
      <x:c r="G3" s="28"/>
      <x:c r="H3" s="28"/>
      <x:c r="I3" s="28"/>
      <x:c r="J3" s="28"/>
    </x:row>
    <x:row r="4">
      <x:c r="A4" s="16" t="str">
        <x:v>Сценарий</x:v>
      </x:c>
      <x:c r="B4" s="16" t="str">
        <x:v>Коэффициент покрытия конкурентов</x:v>
      </x:c>
      <x:c r="C4" s="16" t="str">
        <x:v>Оценка рынка: посещения/мес.</x:v>
      </x:c>
      <x:c r="D4" s="16" t="str">
        <x:v>Конверсия в заявку</x:v>
      </x:c>
      <x:c r="E4" s="16" t="str">
        <x:v>Конверсия заявки в продажу</x:v>
      </x:c>
      <x:c r="F4" s="16" t="str">
        <x:v>Средний чек</x:v>
      </x:c>
      <x:c r="G4" s="16" t="str">
        <x:v>Покупок/клиента в год</x:v>
      </x:c>
      <x:c r="H4" s="16" t="str">
        <x:v>Заказов/мес.</x:v>
      </x:c>
      <x:c r="I4" s="16" t="str">
        <x:v>Выручка/мес.</x:v>
      </x:c>
      <x:c r="J4" s="16" t="str">
        <x:v>Выручка/год</x:v>
      </x:c>
    </x:row>
    <x:row r="5">
      <x:c r="A5" t="str">
        <x:v>Осторожный</x:v>
      </x:c>
      <x:c r="B5" s="38" t="n">
        <x:v>0.8</x:v>
      </x:c>
      <x:c r="C5" s="36" t="n">
        <x:f>IFERROR('01_Параметры'!$B$9/B5,0)</x:f>
        <x:v>34238.75</x:v>
      </x:c>
      <x:c r="D5" s="52" t="n">
        <x:v>0.008</x:v>
      </x:c>
      <x:c r="E5" s="52" t="n">
        <x:v>0.18</x:v>
      </x:c>
      <x:c r="F5" s="60" t="n">
        <x:v>350</x:v>
      </x:c>
      <x:c r="G5" s="56" t="n">
        <x:v>1</x:v>
      </x:c>
      <x:c r="H5" s="36" t="n">
        <x:f>C5*D5*E5</x:f>
        <x:v>49.3038</x:v>
      </x:c>
      <x:c r="I5" s="60" t="n">
        <x:f>H5*F5</x:f>
        <x:v>17256.33</x:v>
      </x:c>
      <x:c r="J5" s="60" t="n">
        <x:f>I5*12*G5</x:f>
        <x:v>207075.96000000002</x:v>
      </x:c>
    </x:row>
    <x:row r="6">
      <x:c r="A6" t="str">
        <x:v>Базовый</x:v>
      </x:c>
      <x:c r="B6" s="38" t="n">
        <x:v>0.7</x:v>
      </x:c>
      <x:c r="C6" s="36" t="n">
        <x:f>IFERROR('01_Параметры'!$B$9/B6,0)</x:f>
        <x:v>39130</x:v>
      </x:c>
      <x:c r="D6" s="52" t="n">
        <x:v>0.015</x:v>
      </x:c>
      <x:c r="E6" s="52" t="n">
        <x:v>0.25</x:v>
      </x:c>
      <x:c r="F6" s="60" t="n">
        <x:v>500</x:v>
      </x:c>
      <x:c r="G6" s="56" t="n">
        <x:v>1.5</x:v>
      </x:c>
      <x:c r="H6" s="36" t="n">
        <x:f>C6*D6*E6</x:f>
        <x:v>146.73749999999998</x:v>
      </x:c>
      <x:c r="I6" s="60" t="n">
        <x:f>H6*F6</x:f>
        <x:v>73368.74999999999</x:v>
      </x:c>
      <x:c r="J6" s="60" t="n">
        <x:f>I6*12*G6</x:f>
        <x:v>1320637.4999999995</x:v>
      </x:c>
    </x:row>
    <x:row r="7">
      <x:c r="A7" t="str">
        <x:v>Оптимистичный</x:v>
      </x:c>
      <x:c r="B7" s="38" t="n">
        <x:v>0.55</x:v>
      </x:c>
      <x:c r="C7" s="36" t="n">
        <x:f>IFERROR('01_Параметры'!$B$9/B7,0)</x:f>
        <x:v>49801.81818181818</x:v>
      </x:c>
      <x:c r="D7" s="52" t="n">
        <x:v>0.025</x:v>
      </x:c>
      <x:c r="E7" s="52" t="n">
        <x:v>0.35</x:v>
      </x:c>
      <x:c r="F7" s="60" t="n">
        <x:v>800</x:v>
      </x:c>
      <x:c r="G7" s="56" t="n">
        <x:v>2</x:v>
      </x:c>
      <x:c r="H7" s="36" t="n">
        <x:f>C7*D7*E7</x:f>
        <x:v>435.7659090909091</x:v>
      </x:c>
      <x:c r="I7" s="60" t="n">
        <x:f>H7*F7</x:f>
        <x:v>348612.72727272724</x:v>
      </x:c>
      <x:c r="J7" s="60" t="n">
        <x:f>I7*12*G7</x:f>
        <x:v>8366705.454545453</x:v>
      </x:c>
    </x:row>
    <x:row r="10" ht="22" customHeight="1">
      <x:c r="A10" s="28" t="str">
        <x:v>Достижимая доля нового бизнеса (SOM)</x:v>
      </x:c>
      <x:c r="B10" s="28"/>
      <x:c r="C10" s="28"/>
      <x:c r="D10" s="28"/>
      <x:c r="E10" s="28"/>
      <x:c r="F10" s="28"/>
      <x:c r="G10" s="28"/>
      <x:c r="H10" s="28"/>
      <x:c r="I10" s="28"/>
      <x:c r="J10" s="28"/>
    </x:row>
    <x:row r="11">
      <x:c r="A11" s="16" t="str">
        <x:v>Сценарий</x:v>
      </x:c>
      <x:c r="B11" s="16" t="str">
        <x:v>Рыночная выручка/год</x:v>
      </x:c>
      <x:c r="C11" s="16" t="str">
        <x:v>Достижимая доля нового бизнеса</x:v>
      </x:c>
      <x:c r="D11" s="16" t="str">
        <x:v>Потенциальная выручка нового бизнеса/год</x:v>
      </x:c>
      <x:c r="E11" s="16" t="str">
        <x:v>Комментарий</x:v>
      </x:c>
      <x:c r="F11" s="16" t="str">
        <x:v>Ограничение</x:v>
      </x:c>
    </x:row>
    <x:row r="12">
      <x:c r="A12" t="str">
        <x:v>Осторожный</x:v>
      </x:c>
      <x:c r="B12" s="60" t="n">
        <x:f>J5</x:f>
        <x:v>207075.96000000002</x:v>
      </x:c>
      <x:c r="C12" s="52" t="n">
        <x:v>0.005</x:v>
      </x:c>
      <x:c r="D12" s="60" t="n">
        <x:f>B12*C12</x:f>
        <x:v>1035.3798000000002</x:v>
      </x:c>
      <x:c r="E12" t="str">
        <x:v>Первые клиенты, тестирование канала</x:v>
      </x:c>
      <x:c r="F12" t="str">
        <x:v>Не учитывать как гарантированный доход</x:v>
      </x:c>
    </x:row>
    <x:row r="13">
      <x:c r="A13" t="str">
        <x:v>Базовый</x:v>
      </x:c>
      <x:c r="B13" s="60" t="n">
        <x:f>J6</x:f>
        <x:v>1320637.4999999995</x:v>
      </x:c>
      <x:c r="C13" s="52" t="n">
        <x:v>0.015</x:v>
      </x:c>
      <x:c r="D13" s="60" t="n">
        <x:f>B13*C13</x:f>
        <x:v>19809.562499999993</x:v>
      </x:c>
      <x:c r="E13" t="str">
        <x:v>Устойчивый канал привлечения</x:v>
      </x:c>
      <x:c r="F13" t="str">
        <x:v>Требуется конкурентный анализ</x:v>
      </x:c>
    </x:row>
    <x:row r="14">
      <x:c r="A14" t="str">
        <x:v>Оптимистичный</x:v>
      </x:c>
      <x:c r="B14" s="60" t="n">
        <x:f>J7</x:f>
        <x:v>8366705.454545453</x:v>
      </x:c>
      <x:c r="C14" s="52" t="n">
        <x:v>0.035</x:v>
      </x:c>
      <x:c r="D14" s="60" t="n">
        <x:f>B14*C14</x:f>
        <x:v>292834.6909090909</x:v>
      </x:c>
      <x:c r="E14" t="str">
        <x:v>Сильное позиционирование и повторные продажи</x:v>
      </x:c>
      <x:c r="F14" t="str">
        <x:v>Требуется подтверждение продажами</x:v>
      </x:c>
    </x:row>
    <x:row r="17" ht="22" customHeight="1">
      <x:c r="A17" s="28" t="str">
        <x:v>Формула итогового вывода</x:v>
      </x:c>
      <x:c r="B17" s="28"/>
      <x:c r="C17" s="28"/>
      <x:c r="D17" s="28"/>
      <x:c r="E17" s="28"/>
      <x:c r="F17" s="28"/>
      <x:c r="G17" s="28"/>
      <x:c r="H17" s="28"/>
      <x:c r="I17" s="28"/>
      <x:c r="J17" s="28"/>
    </x:row>
    <x:row r="18">
      <x:c r="A18" s="22" t="str">
        <x:v>Оценочный цифровой объем рынка за год определяется как диапазон между осторожным и оптимистичным сценариями.</x:v>
      </x:c>
      <x:c r="B18" s="22" t="str"/>
      <x:c r="C18" s="22" t="str"/>
      <x:c r="D18" s="22" t="str"/>
      <x:c r="E18" s="22" t="str"/>
      <x:c r="F18" s="22" t="str"/>
      <x:c r="G18" s="22" t="str"/>
      <x:c r="H18" s="22" t="str"/>
      <x:c r="I18" s="22" t="str"/>
      <x:c r="J18" s="22" t="str"/>
    </x:row>
    <x:row r="19">
      <x:c r="A19" s="22" t="str">
        <x:v>Минимум</x:v>
      </x:c>
      <x:c r="B19" s="62"/>
      <x:c r="C19" s="62" t="str">
        <x:v>База</x:v>
      </x:c>
      <x:c r="D19" s="62"/>
      <x:c r="E19" s="62" t="str">
        <x:v>Максимум</x:v>
      </x:c>
      <x:c r="F19" s="62"/>
      <x:c r="G19" s="22" t="str">
        <x:v>Единица</x:v>
      </x:c>
      <x:c r="H19" s="22" t="str">
        <x:v>руб./год</x:v>
      </x:c>
      <x:c r="I19" s="22" t="str"/>
      <x:c r="J19" s="22" t="str"/>
    </x:row>
    <x:row r="20">
      <x:c r="A20" s="22" t="str">
        <x:f>A12</x:f>
        <x:v>Осторожный</x:v>
      </x:c>
      <x:c r="B20" s="62" t="n">
        <x:f>D12</x:f>
        <x:v>1035.3798000000002</x:v>
      </x:c>
      <x:c r="C20" s="62" t="str">
        <x:f>A13</x:f>
        <x:v>Базовый</x:v>
      </x:c>
      <x:c r="D20" s="62" t="n">
        <x:f>D13</x:f>
        <x:v>19809.562499999993</x:v>
      </x:c>
      <x:c r="E20" s="62" t="str">
        <x:f>A14</x:f>
        <x:v>Оптимистичный</x:v>
      </x:c>
      <x:c r="F20" s="62" t="n">
        <x:f>D14</x:f>
        <x:v>292834.6909090909</x:v>
      </x:c>
      <x:c r="G20" s="22" t="str"/>
      <x:c r="H20" s="22" t="str"/>
      <x:c r="I20" s="22" t="str"/>
      <x:c r="J20" s="22" t="str"/>
    </x:row>
    <x:row r="21">
      <x:c r="A21" s="22" t="str">
        <x:v>Рыночная выручка минимум</x:v>
      </x:c>
      <x:c r="B21" s="62" t="n">
        <x:f>J5</x:f>
        <x:v>207075.96000000002</x:v>
      </x:c>
      <x:c r="C21" s="62" t="str">
        <x:v>Рыночная выручка база</x:v>
      </x:c>
      <x:c r="D21" s="62" t="n">
        <x:f>J6</x:f>
        <x:v>1320637.4999999995</x:v>
      </x:c>
      <x:c r="E21" s="62" t="str">
        <x:v>Рыночная выручка максимум</x:v>
      </x:c>
      <x:c r="F21" s="62" t="n">
        <x:f>J7</x:f>
        <x:v>8366705.454545453</x:v>
      </x:c>
      <x:c r="G21" s="22" t="str"/>
      <x:c r="H21" s="22" t="str"/>
      <x:c r="I21" s="22" t="str"/>
      <x:c r="J21" s="22" t="str"/>
    </x:row>
    <x:row r="22">
      <x:c r="A22" s="22" t="str">
        <x:v>Вывод</x:v>
      </x:c>
      <x:c r="B22" s="22" t="str">
        <x:f>"При заданных допущениях годовой объем цифрового рынка оценивается в диапазоне от "&amp;TEXT(J5,"# ##0")&amp;" до "&amp;TEXT(J7,"# ##0")&amp;" руб., а достижимая выручка нового бизнеса — от "&amp;TEXT(D12,"# ##0")&amp;" до "&amp;TEXT(D14,"# ##0")&amp;" руб. в год."</x:f>
        <x:v>При заданных допущениях годовой объем цифрового рынка оценивается в диапазоне от 207 076 до 8366 705 руб., а достижимая выручка нового бизнеса — от 1 035 до 292 835 руб. в год.</x:v>
      </x:c>
      <x:c r="C22" s="22" t="str"/>
      <x:c r="D22" s="22" t="str"/>
      <x:c r="E22" s="22" t="str"/>
      <x:c r="F22" s="22" t="str"/>
      <x:c r="G22" s="22" t="str"/>
      <x:c r="H22" s="22" t="str"/>
      <x:c r="I22" s="22" t="str"/>
      <x:c r="J22" s="22" t="str"/>
    </x:row>
  </x:sheetData>
  <x:mergeCells>
    <x:mergeCell ref="A1:J1"/>
    <x:mergeCell ref="A3:J3"/>
    <x:mergeCell ref="A10:J10"/>
    <x:mergeCell ref="A17:J17"/>
  </x:mergeCells>
  <x:pageMargins left="0.7" right="0.7" top="0.75" bottom="0.75" header="0.3" footer="0.3"/>
  <x:tableParts count="2">
    <x:tablePart xmlns:r="http://schemas.openxmlformats.org/officeDocument/2006/relationships" r:id="R55a39e3d13d54a0a"/>
    <x:tablePart xmlns:r="http://schemas.openxmlformats.org/officeDocument/2006/relationships" r:id="R80b8a6de24f4487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2" hidden="0" customWidth="1"/>
    <x:col min="4" max="4" width="24" hidden="0" customWidth="1"/>
    <x:col min="5" max="5" width="22" hidden="0" customWidth="1"/>
    <x:col min="6" max="6" width="24" hidden="0" customWidth="1"/>
    <x:col min="7" max="7" width="24" hidden="0" customWidth="1"/>
    <x:col min="8" max="8" width="24" hidden="0" customWidth="1"/>
    <x:col min="9" max="9" width="22" hidden="0" customWidth="1"/>
    <x:col min="10" max="10" width="22" hidden="0" customWidth="1"/>
    <x:col min="11" max="11" width="12" hidden="0" customWidth="1"/>
    <x:col min="12" max="12" width="12" hidden="0" customWidth="1"/>
  </x:cols>
  <x:sheetData>
    <x:row r="1" ht="30" customHeight="1">
      <x:c r="A1" s="92" t="str">
        <x:v>Итоговая панель оценки объема рынка по Similarweb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</x:row>
    <x:row r="3" ht="36" customHeight="1">
      <x:c r="A3" s="28" t="str">
        <x:v>Ключевые показатели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>
      <x:c r="A4" s="68" t="str">
        <x:v>Рынок</x:v>
      </x:c>
      <x:c r="B4" s="77" t="str">
        <x:f>'01_Параметры'!B4</x:f>
        <x:v>Цифровые маркетинговые услуги для малого бизнеса</x:v>
      </x:c>
      <x:c r="C4" s="68" t="str">
        <x:v>География</x:v>
      </x:c>
      <x:c r="D4" s="77" t="str">
        <x:f>'01_Параметры'!B5</x:f>
        <x:v>Республика Беларусь</x:v>
      </x:c>
      <x:c r="E4" s="68" t="str">
        <x:v>Конкурентов</x:v>
      </x:c>
      <x:c r="F4" s="77" t="n">
        <x:f>'01_Параметры'!B8</x:f>
        <x:v>5</x:v>
      </x:c>
      <x:c r="G4" s="68" t="str">
        <x:v>Наблюдаемый трафик/мес.</x:v>
      </x:c>
      <x:c r="H4" s="82" t="n">
        <x:f>'01_Параметры'!B9</x:f>
        <x:v>27391</x:v>
      </x:c>
      <x:c r="I4" s="83" t="str">
        <x:v>Оценка трафика рынка/мес.</x:v>
      </x:c>
      <x:c r="J4" s="82" t="n">
        <x:f>'01_Параметры'!B12</x:f>
        <x:v>39130</x:v>
      </x:c>
      <x:c r="K4" t="str"/>
      <x:c r="L4" t="str"/>
    </x:row>
    <x:row r="5">
      <x:c r="A5" s="68" t="str">
        <x:v>Осторожный рынок/год</x:v>
      </x:c>
      <x:c r="B5" s="86" t="n">
        <x:f>'06_Воронка_сценарии'!J5</x:f>
        <x:v>207075.96000000002</x:v>
      </x:c>
      <x:c r="C5" s="87" t="str">
        <x:v>Базовый рынок/год</x:v>
      </x:c>
      <x:c r="D5" s="86" t="n">
        <x:f>'06_Воронка_сценарии'!J6</x:f>
        <x:v>1320637.4999999995</x:v>
      </x:c>
      <x:c r="E5" s="87" t="str">
        <x:v>Оптимистичный рынок/год</x:v>
      </x:c>
      <x:c r="F5" s="86" t="n">
        <x:f>'06_Воронка_сценарии'!J7</x:f>
        <x:v>8366705.454545453</x:v>
      </x:c>
      <x:c r="G5" s="87" t="str">
        <x:v>SOM базовый/год</x:v>
      </x:c>
      <x:c r="H5" s="86" t="n">
        <x:f>'06_Воронка_сценарии'!D13</x:f>
        <x:v>19809.562499999993</x:v>
      </x:c>
      <x:c r="I5" s="68" t="str">
        <x:v>Главный канал</x:v>
      </x:c>
      <x:c r="J5" s="77" t="str">
        <x:f>INDEX('03_Каналы'!A4:A9,MATCH(MAX('03_Каналы'!B4:B9),'03_Каналы'!B4:B9,0))</x:f>
        <x:v>Organic search</x:v>
      </x:c>
      <x:c r="K5" t="str"/>
      <x:c r="L5" t="str"/>
    </x:row>
    <x:row r="6">
      <x:c r="A6" s="68" t="str">
        <x:v>Главный конкурент</x:v>
      </x:c>
      <x:c r="B6" s="77" t="str">
        <x:f>INDEX('02_Конкуренты_SW'!B4:B23,MATCH(MAX('02_Конкуренты_SW'!G4:G23),'02_Конкуренты_SW'!G4:G23,0))</x:f>
        <x:v>Маркетинговое агентство 1</x:v>
      </x:c>
      <x:c r="C6" s="68" t="str">
        <x:v>Доля главного конкурента</x:v>
      </x:c>
      <x:c r="D6" s="90" t="n">
        <x:f>MAX('02_Конкуренты_SW'!I4:I23)</x:f>
        <x:v>0.35642959516928646</x:v>
      </x:c>
      <x:c r="E6" s="68" t="str">
        <x:v>Главный поисковый запрос</x:v>
      </x:c>
      <x:c r="F6" s="77" t="str">
        <x:f>INDEX('05_Запросы'!A4:A10,MATCH(MAX('05_Запросы'!G4:G10),'05_Запросы'!G4:G10,0))</x:f>
        <x:v>маркетинговое агентство</x:v>
      </x:c>
      <x:c r="G6" s="68" t="str">
        <x:v>Коммерческий индекс</x:v>
      </x:c>
      <x:c r="H6" s="82" t="n">
        <x:f>MAX('05_Запросы'!G4:G10)</x:f>
        <x:v>7043.4</x:v>
      </x:c>
      <x:c r="I6" t="str"/>
      <x:c r="J6" t="str"/>
      <x:c r="K6" t="str"/>
      <x:c r="L6" t="str"/>
    </x:row>
    <x:row r="7">
      <x:c r="A7" s="68" t="str">
        <x:v>Итоговый вывод</x:v>
      </x:c>
      <x:c r="B7" s="77" t="str">
        <x:f>'06_Воронка_сценарии'!B22</x:f>
        <x:v>При заданных допущениях годовой объем цифрового рынка оценивается в диапазоне от 207 076 до 8366 705 руб., а достижимая выручка нового бизнеса — от 1 035 до 292 835 руб. в год.</x:v>
      </x:c>
      <x:c r="C7" s="22" t="str"/>
      <x:c r="D7" s="22" t="str"/>
      <x:c r="E7" s="22" t="str"/>
      <x:c r="F7" s="22" t="str"/>
      <x:c r="G7" s="22" t="str"/>
      <x:c r="H7" s="22" t="str"/>
      <x:c r="I7" s="22" t="str"/>
      <x:c r="J7" s="22" t="str"/>
      <x:c r="K7" s="22" t="str"/>
      <x:c r="L7" s="22" t="str"/>
    </x:row>
    <x:row r="10">
      <x:c r="A10" s="16" t="str">
        <x:v>Сценарий</x:v>
      </x:c>
      <x:c r="B10" s="16" t="str">
        <x:v>Рынок, год</x:v>
      </x:c>
      <x:c r="C10" s="16" t="str">
        <x:v>SOM нового бизнеса, год</x:v>
      </x:c>
    </x:row>
    <x:row r="11">
      <x:c r="A11" t="str">
        <x:v>Осторожный</x:v>
      </x:c>
      <x:c r="B11" s="60" t="n">
        <x:f>'06_Воронка_сценарии'!J5</x:f>
        <x:v>207075.96000000002</x:v>
      </x:c>
      <x:c r="C11" s="60" t="n">
        <x:f>'06_Воронка_сценарии'!D12</x:f>
        <x:v>1035.3798000000002</x:v>
      </x:c>
    </x:row>
    <x:row r="12">
      <x:c r="A12" t="str">
        <x:v>Базовый</x:v>
      </x:c>
      <x:c r="B12" s="60" t="n">
        <x:f>'06_Воронка_сценарии'!J6</x:f>
        <x:v>1320637.4999999995</x:v>
      </x:c>
      <x:c r="C12" s="60" t="n">
        <x:f>'06_Воронка_сценарии'!D13</x:f>
        <x:v>19809.562499999993</x:v>
      </x:c>
    </x:row>
    <x:row r="13">
      <x:c r="A13" t="str">
        <x:v>Оптимистичный</x:v>
      </x:c>
      <x:c r="B13" s="60" t="n">
        <x:f>'06_Воронка_сценарии'!J7</x:f>
        <x:v>8366705.454545453</x:v>
      </x:c>
      <x:c r="C13" s="60" t="n">
        <x:f>'06_Воронка_сценарии'!D14</x:f>
        <x:v>292834.6909090909</x:v>
      </x:c>
    </x:row>
    <x:row r="16">
      <x:c r="A16" s="16" t="str">
        <x:v>Канал</x:v>
      </x:c>
      <x:c r="B16" s="16" t="str">
        <x:v>Доля</x:v>
      </x:c>
      <x:c r="C16" s="16" t="str">
        <x:v>Трафик/мес.</x:v>
      </x:c>
    </x:row>
    <x:row r="17">
      <x:c r="A17" t="str">
        <x:v>Direct</x:v>
      </x:c>
      <x:c r="B17" s="52" t="n">
        <x:f>'03_Каналы'!B4</x:f>
        <x:v>0.268402528136087</x:v>
      </x:c>
      <x:c r="C17" s="36" t="n">
        <x:f>'03_Каналы'!C4</x:f>
        <x:v>10502.590925965085</x:v>
      </x:c>
    </x:row>
    <x:row r="18">
      <x:c r="A18" t="str">
        <x:v>Organic search</x:v>
      </x:c>
      <x:c r="B18" s="52" t="n">
        <x:f>'03_Каналы'!B5</x:f>
        <x:v>0.4096633067832053</x:v>
      </x:c>
      <x:c r="C18" s="36" t="n">
        <x:f>'03_Каналы'!C5</x:f>
        <x:v>16030.125194426822</x:v>
      </x:c>
    </x:row>
    <x:row r="19">
      <x:c r="A19" t="str">
        <x:v>Referral</x:v>
      </x:c>
      <x:c r="B19" s="52" t="n">
        <x:f>'03_Каналы'!B6</x:f>
        <x:v>0.06554545240948284</x:v>
      </x:c>
      <x:c r="C19" s="36" t="n">
        <x:f>'03_Каналы'!C6</x:f>
        <x:v>2564.7935527830637</x:v>
      </x:c>
    </x:row>
    <x:row r="20">
      <x:c r="A20" t="str">
        <x:v>Social</x:v>
      </x:c>
      <x:c r="B20" s="52" t="n">
        <x:f>'03_Каналы'!B7</x:f>
        <x:v>0.1447942952468222</x:v>
      </x:c>
      <x:c r="C20" s="36" t="n">
        <x:f>'03_Каналы'!C7</x:f>
        <x:v>5665.800773008153</x:v>
      </x:c>
    </x:row>
    <x:row r="21">
      <x:c r="A21" t="str">
        <x:v>Paid search</x:v>
      </x:c>
      <x:c r="B21" s="52" t="n">
        <x:f>'03_Каналы'!B8</x:f>
        <x:v>0.08803012147270976</x:v>
      </x:c>
      <x:c r="C21" s="36" t="n">
        <x:f>'03_Каналы'!C8</x:f>
        <x:v>3444.618653227133</x:v>
      </x:c>
    </x:row>
    <x:row r="22">
      <x:c r="A22" t="str">
        <x:v>Display</x:v>
      </x:c>
      <x:c r="B22" s="52" t="n">
        <x:f>'03_Каналы'!B9</x:f>
        <x:v>0.023564295951692862</x:v>
      </x:c>
      <x:c r="C22" s="36" t="n">
        <x:f>'03_Каналы'!C9</x:f>
        <x:v>922.0709005897417</x:v>
      </x:c>
    </x:row>
  </x:sheetData>
  <x:mergeCells>
    <x:mergeCell ref="A1:L1"/>
    <x:mergeCell ref="A3:L3"/>
  </x:mergeCells>
  <x:pageMargins left="0.7" right="0.7" top="0.75" bottom="0.75" header="0.3" footer="0.3"/>
  <x:drawing xmlns:r="http://schemas.openxmlformats.org/officeDocument/2006/relationships" r:id="Rf19de0d44b89407e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38" hidden="0" customWidth="1"/>
    <x:col min="4" max="4" width="68" hidden="0" customWidth="1"/>
    <x:col min="5" max="5" width="16" hidden="0" customWidth="1"/>
    <x:col min="6" max="6" width="42" hidden="0" customWidth="1"/>
  </x:cols>
  <x:sheetData>
    <x:row r="1" ht="30" customHeight="1">
      <x:c r="A1" s="92" t="str">
        <x:v>Источники данных и журнал фиксации</x:v>
      </x:c>
      <x:c r="B1" s="92"/>
      <x:c r="C1" s="92"/>
      <x:c r="D1" s="92"/>
      <x:c r="E1" s="92"/>
      <x:c r="F1" s="92"/>
      <x:c r="G1" s="93"/>
      <x:c r="H1" s="93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</x:row>
    <x:row r="3" ht="36" customHeight="1">
      <x:c r="A3" s="16" t="str">
        <x:v>Источник</x:v>
      </x:c>
      <x:c r="B3" s="16" t="str">
        <x:v>Что брать</x:v>
      </x:c>
      <x:c r="C3" s="16" t="str">
        <x:v>Как фиксировать</x:v>
      </x:c>
      <x:c r="D3" s="16" t="str">
        <x:v>Ссылка</x:v>
      </x:c>
      <x:c r="E3" s="16" t="str">
        <x:v>Дата обращения</x:v>
      </x:c>
      <x:c r="F3" s="16" t="str">
        <x:v>Ограничение</x:v>
      </x:c>
    </x:row>
    <x:row r="4">
      <x:c r="A4" t="str">
        <x:v>Similarweb Website Analysis</x:v>
      </x:c>
      <x:c r="B4" t="str">
        <x:v>Посещаемость, каналы, география, похожие сайты, поисковые запросы</x:v>
      </x:c>
      <x:c r="C4" t="str">
        <x:v>Ручной ввод или экспорт при наличии доступа</x:v>
      </x:c>
      <x:c r="D4" t="str">
        <x:v>https://www.similarweb.com/website/</x:v>
      </x:c>
      <x:c r="E4" s="34" t="n">
        <x:v>46144</x:v>
      </x:c>
      <x:c r="F4" t="str">
        <x:v>Данные оценочные, полнота зависит от доступа</x:v>
      </x:c>
    </x:row>
    <x:row r="5">
      <x:c r="A5" t="str">
        <x:v>Similarweb Data Methodology</x:v>
      </x:c>
      <x:c r="B5" t="str">
        <x:v>Описание природы и ограничений данных</x:v>
      </x:c>
      <x:c r="C5" t="str">
        <x:v>Использовать для методологических оговорок</x:v>
      </x:c>
      <x:c r="D5" t="str">
        <x:v>https://support.similarweb.com/hc/en-us/articles/360001631538-Similarweb-Data-Methodology</x:v>
      </x:c>
      <x:c r="E5" s="34" t="n">
        <x:v>46144</x:v>
      </x:c>
      <x:c r="F5" t="str">
        <x:v>Методология может обновляться</x:v>
      </x:c>
    </x:row>
    <x:row r="6">
      <x:c r="A6" t="str">
        <x:v>Similarweb Data Exporter</x:v>
      </x:c>
      <x:c r="B6" t="str">
        <x:v>Выгрузка настраиваемых наборов данных</x:v>
      </x:c>
      <x:c r="C6" t="str">
        <x:v>Использовать при наличии платного доступа или единиц извлечения</x:v>
      </x:c>
      <x:c r="D6" t="str">
        <x:v>https://support.similarweb.com/hc/en-us/articles/13252032019101-Data-Exporter</x:v>
      </x:c>
      <x:c r="E6" s="34" t="n">
        <x:v>46144</x:v>
      </x:c>
      <x:c r="F6" t="str">
        <x:v>Может быть недоступно в бесплатной версии</x:v>
      </x:c>
    </x:row>
    <x:row r="7">
      <x:c r="A7" t="str">
        <x:v>Google Trends</x:v>
      </x:c>
      <x:c r="B7" t="str">
        <x:v>Динамика относительного поискового интереса</x:v>
      </x:c>
      <x:c r="C7" t="str">
        <x:v>CSV-выгрузка и фиксация параметров</x:v>
      </x:c>
      <x:c r="D7" t="str">
        <x:v>https://trends.google.com/</x:v>
      </x:c>
      <x:c r="E7" s="34" t="n">
        <x:v>46144</x:v>
      </x:c>
      <x:c r="F7" t="str">
        <x:v>Индекс 0–100, не абсолютный объем спроса</x:v>
      </x:c>
    </x:row>
    <x:row r="8">
      <x:c r="A8" t="str">
        <x:v>Яндекс Вордстат</x:v>
      </x:c>
      <x:c r="B8" t="str">
        <x:v>Частотность и динамика поисковых запросов</x:v>
      </x:c>
      <x:c r="C8" t="str">
        <x:v>CSV/XLSX или ручная фиксация</x:v>
      </x:c>
      <x:c r="D8" t="str">
        <x:v>https://wordstat.yandex.ru/</x:v>
      </x:c>
      <x:c r="E8" s="34" t="n">
        <x:v>46144</x:v>
      </x:c>
      <x:c r="F8" t="str">
        <x:v>Отражает аудиторию Яндекса</x:v>
      </x:c>
    </x:row>
    <x:row r="9">
      <x:c r="A9" t="str">
        <x:v>Белстат / официальная статистика</x:v>
      </x:c>
      <x:c r="B9" t="str">
        <x:v>Количество организаций, отрасли, население, доходы</x:v>
      </x:c>
      <x:c r="C9" t="str">
        <x:v>Использовать для проверки сегмента клиентов</x:v>
      </x:c>
      <x:c r="D9" t="str">
        <x:v>https://www.belstat.gov.by/</x:v>
      </x:c>
      <x:c r="E9" s="34" t="n">
        <x:v>46144</x:v>
      </x:c>
      <x:c r="F9" t="str">
        <x:v>Официальные категории могут не совпадать с цифровым рынком</x:v>
      </x:c>
    </x:row>
    <x:row r="12" ht="22" customHeight="1">
      <x:c r="A12" s="28" t="str">
        <x:v>Журнал ручного сбора данных</x:v>
      </x:c>
      <x:c r="B12" s="28"/>
      <x:c r="C12" s="28"/>
      <x:c r="D12" s="28"/>
      <x:c r="E12" s="28"/>
      <x:c r="F12" s="28"/>
    </x:row>
    <x:row r="13">
      <x:c r="A13" s="16" t="str">
        <x:v>Дата</x:v>
      </x:c>
      <x:c r="B13" s="16" t="str">
        <x:v>Сайт / домен</x:v>
      </x:c>
      <x:c r="C13" s="16" t="str">
        <x:v>Раздел Similarweb</x:v>
      </x:c>
      <x:c r="D13" s="16" t="str">
        <x:v>Показатель</x:v>
      </x:c>
      <x:c r="E13" s="16" t="str">
        <x:v>Значение</x:v>
      </x:c>
      <x:c r="F13" s="16" t="str">
        <x:v>Комментарий / снимок экрана</x:v>
      </x:c>
    </x:row>
    <x:row r="14">
      <x:c r="A14" s="34" t="n">
        <x:v>46144</x:v>
      </x:c>
      <x:c r="B14" t="str">
        <x:v>example-agency.by</x:v>
      </x:c>
      <x:c r="C14" t="str">
        <x:v>Traffic &amp; Engagement</x:v>
      </x:c>
      <x:c r="D14" t="str">
        <x:v>Monthly visits</x:v>
      </x:c>
      <x:c r="E14" t="n">
        <x:v>18500</x:v>
      </x:c>
      <x:c r="F14" t="str">
        <x:v>Демонстрационная строка</x:v>
      </x:c>
    </x:row>
    <x:row r="15">
      <x:c r="A15" s="34" t="str"/>
      <x:c r="B15" t="str"/>
      <x:c r="C15" t="str"/>
      <x:c r="D15" t="str"/>
      <x:c r="E15" t="str"/>
      <x:c r="F15" t="str"/>
    </x:row>
    <x:row r="16">
      <x:c r="A16" s="34" t="str"/>
      <x:c r="B16" t="str"/>
      <x:c r="C16" t="str"/>
      <x:c r="D16" t="str"/>
      <x:c r="E16" t="str"/>
      <x:c r="F16" t="str"/>
    </x:row>
    <x:row r="17">
      <x:c r="A17" s="34" t="str"/>
      <x:c r="B17" t="str"/>
      <x:c r="C17" t="str"/>
      <x:c r="D17" t="str"/>
      <x:c r="E17" t="str"/>
      <x:c r="F17" t="str"/>
    </x:row>
    <x:row r="18">
      <x:c r="A18" s="34" t="str"/>
      <x:c r="B18" t="str"/>
      <x:c r="C18" t="str"/>
      <x:c r="D18" t="str"/>
      <x:c r="E18" t="str"/>
      <x:c r="F18" t="str"/>
    </x:row>
  </x:sheetData>
  <x:mergeCells>
    <x:mergeCell ref="A1:F1"/>
    <x:mergeCell ref="A12:F12"/>
  </x:mergeCells>
  <x:pageMargins left="0.7" right="0.7" top="0.75" bottom="0.75" header="0.3" footer="0.3"/>
  <x:tableParts count="2">
    <x:tablePart xmlns:r="http://schemas.openxmlformats.org/officeDocument/2006/relationships" r:id="Rf74daa850f60406c"/>
    <x:tablePart xmlns:r="http://schemas.openxmlformats.org/officeDocument/2006/relationships" r:id="R1f35492a23f54fc8"/>
  </x:tableParts>
</x:worksheet>
</file>