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6302cda47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4cc01354cfcc4185"/>
    <x:sheet xmlns:r="http://schemas.openxmlformats.org/officeDocument/2006/relationships" name="01_Параметры" sheetId="2" r:id="Rd5e66066d0834184"/>
    <x:sheet xmlns:r="http://schemas.openxmlformats.org/officeDocument/2006/relationships" name="02_Сегменты" sheetId="3" r:id="Rfbe41a7e6e29470b"/>
    <x:sheet xmlns:r="http://schemas.openxmlformats.org/officeDocument/2006/relationships" name="03_Ценовой_коридор" sheetId="4" r:id="Rf3f8e31fad614beb"/>
    <x:sheet xmlns:r="http://schemas.openxmlformats.org/officeDocument/2006/relationships" name="04_Экономика_покупки" sheetId="5" r:id="Redba52c78f32464b"/>
    <x:sheet xmlns:r="http://schemas.openxmlformats.org/officeDocument/2006/relationships" name="05_Платежеспособность" sheetId="6" r:id="R709d021db3d8476a"/>
    <x:sheet xmlns:r="http://schemas.openxmlformats.org/officeDocument/2006/relationships" name="06_Сценарии" sheetId="7" r:id="Rab6fa7c232044a4e"/>
    <x:sheet xmlns:r="http://schemas.openxmlformats.org/officeDocument/2006/relationships" name="07_Similarweb" sheetId="8" r:id="Rea35011e5bf246a4"/>
    <x:sheet xmlns:r="http://schemas.openxmlformats.org/officeDocument/2006/relationships" name="08_Итоговая_панель" sheetId="9" r:id="Ra623ec9efc144d66"/>
    <x:sheet xmlns:r="http://schemas.openxmlformats.org/officeDocument/2006/relationships" name="09_Источники" sheetId="10" r:id="R8b6906d874a4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yyyy-mm-dd"/>
    <x:numFmt numFmtId="202" formatCode="#,##0"/>
    <x:numFmt numFmtId="203" formatCode="0.0"/>
    <x:numFmt numFmtId="204" formatCode="0.00"/>
    <x:numFmt numFmtId="205" formatCode="0.0%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4" fillId="5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4" fontId="4" fillId="5" borderId="1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dfb7e01e44d09" /><Relationship Type="http://schemas.openxmlformats.org/officeDocument/2006/relationships/theme" Target="/xl/theme/theme1.xml" Id="R1c830c11065a4682" /><Relationship Type="http://schemas.openxmlformats.org/officeDocument/2006/relationships/sharedStrings" Target="/xl/sharedStrings.xml" Id="R9260aaf3a2874c42" /><Relationship Type="http://schemas.openxmlformats.org/officeDocument/2006/relationships/worksheet" Target="/xl/worksheets/sheet1.xml" Id="R4cc01354cfcc4185" /><Relationship Type="http://schemas.openxmlformats.org/officeDocument/2006/relationships/worksheet" Target="/xl/worksheets/sheet2.xml" Id="Rd5e66066d0834184" /><Relationship Type="http://schemas.openxmlformats.org/officeDocument/2006/relationships/worksheet" Target="/xl/worksheets/sheet3.xml" Id="Rfbe41a7e6e29470b" /><Relationship Type="http://schemas.openxmlformats.org/officeDocument/2006/relationships/worksheet" Target="/xl/worksheets/sheet4.xml" Id="Rf3f8e31fad614beb" /><Relationship Type="http://schemas.openxmlformats.org/officeDocument/2006/relationships/worksheet" Target="/xl/worksheets/sheet5.xml" Id="Redba52c78f32464b" /><Relationship Type="http://schemas.openxmlformats.org/officeDocument/2006/relationships/worksheet" Target="/xl/worksheets/sheet6.xml" Id="R709d021db3d8476a" /><Relationship Type="http://schemas.openxmlformats.org/officeDocument/2006/relationships/worksheet" Target="/xl/worksheets/sheet7.xml" Id="Rab6fa7c232044a4e" /><Relationship Type="http://schemas.openxmlformats.org/officeDocument/2006/relationships/worksheet" Target="/xl/worksheets/sheet8.xml" Id="Rea35011e5bf246a4" /><Relationship Type="http://schemas.openxmlformats.org/officeDocument/2006/relationships/worksheet" Target="/xl/worksheets/sheet9.xml" Id="Ra623ec9efc144d66" /><Relationship Type="http://schemas.openxmlformats.org/officeDocument/2006/relationships/worksheet" Target="/xl/worksheets/sheet10.xml" Id="R8b6906d874a44e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ec1a54aeed45c4" /><Relationship Type="http://schemas.openxmlformats.org/officeDocument/2006/relationships/chart" Target="/xl/drawings/charts/chart2.xml" Id="R0b6edbccd912467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Рынок</c:v>
          </c:tx>
          <c:cat>
            <c:strRef>
              <c:f>'08_Итоговая_панель'!$E$5:$E$7</c:f>
              <c:strCache>
                <c:ptCount val="0"/>
              </c:strCache>
            </c:strRef>
          </c:cat>
          <c:val>
            <c:numRef>
              <c:f>'08_Итоговая_панель'!$F$5:$F$7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Достижимая выручка</c:v>
          </c:tx>
          <c:cat>
            <c:strRef>
              <c:f>'08_Итоговая_панель'!$E$5:$E$7</c:f>
              <c:strCache>
                <c:ptCount val="0"/>
              </c:strCache>
            </c:strRef>
          </c:cat>
          <c:val>
            <c:numRef>
              <c:f>'08_Итоговая_панель'!$G$5:$G$7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Объем</c:v>
          </c:tx>
          <c:cat>
            <c:strRef>
              <c:f>'02_Сегменты'!$A$5:$A$9</c:f>
              <c:strCache>
                <c:ptCount val="0"/>
              </c:strCache>
            </c:strRef>
          </c:cat>
          <c:val>
            <c:numRef>
              <c:f>'02_Сегменты'!$J$5:$J$9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ec1a54aeed45c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edbccd91246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gmentsTable" displayName="SegmentsTable" ref="A4:L14" headerRowCount="1">
  <x:tableColumns count="12">
    <x:tableColumn id="1" name="Сегмент"/>
    <x:tableColumn id="2" name="Всего потенциальных клиентов"/>
    <x:tableColumn id="3" name="Доля с потребностью"/>
    <x:tableColumn id="4" name="Доля готовых покупать онлайн"/>
    <x:tableColumn id="5" name="Доля платежеспособных"/>
    <x:tableColumn id="6" name="Покупок/контрактов в год"/>
    <x:tableColumn id="7" name="Средний чек"/>
    <x:tableColumn id="8" name="Платежеспособные клиенты"/>
    <x:tableColumn id="9" name="Годовое число покупок"/>
    <x:tableColumn id="10" name="Потенциальный объем рынка"/>
    <x:tableColumn id="11" name="Комментарий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2" name="PriceTable" displayName="PriceTable" ref="A4:J12" headerRowCount="1">
  <x:tableColumns count="10">
    <x:tableColumn id="1" name="Услуга / продукт"/>
    <x:tableColumn id="2" name="Минимальная цена"/>
    <x:tableColumn id="3" name="Медианная цена"/>
    <x:tableColumn id="4" name="Максимальная цена"/>
    <x:tableColumn id="5" name="Себестоимость"/>
    <x:tableColumn id="6" name="Валовая маржа"/>
    <x:tableColumn id="7" name="Цена в модели"/>
    <x:tableColumn id="8" name="Индекс доступности цены"/>
    <x:tableColumn id="9" name="Комментарий"/>
    <x:tableColumn id="10" name="Источник"/>
  </x:tableColumns>
  <x:tableStyleInfo name="TableStyleMedium2" showRowStripes="1"/>
</x:table>
</file>

<file path=xl/tables/table3.xml><?xml version="1.0" encoding="utf-8"?>
<x:table xmlns:x="http://schemas.openxmlformats.org/spreadsheetml/2006/main" id="3" name="EconomicsTable" displayName="EconomicsTable" ref="A4:K12" headerRowCount="1">
  <x:tableColumns count="11">
    <x:tableColumn id="1" name="Сегмент"/>
    <x:tableColumn id="2" name="Средняя месячная выручка клиента"/>
    <x:tableColumn id="3" name="Маржинальность клиента"/>
    <x:tableColumn id="4" name="Ожидаемый рост выручки"/>
    <x:tableColumn id="5" name="Дополнительная валовая прибыль/мес."/>
    <x:tableColumn id="6" name="Цена услуги/мес."/>
    <x:tableColumn id="7" name="Окупаемость, мес."/>
    <x:tableColumn id="8" name="ROI за год"/>
    <x:tableColumn id="9" name="Экономический статус"/>
    <x:tableColumn id="10" name="Комментарий"/>
    <x:tableColumn id="11" name="Источник"/>
  </x:tableColumns>
  <x:tableStyleInfo name="TableStyleMedium2" showRowStripes="1"/>
</x:table>
</file>

<file path=xl/tables/table4.xml><?xml version="1.0" encoding="utf-8"?>
<x:table xmlns:x="http://schemas.openxmlformats.org/spreadsheetml/2006/main" id="4" name="CapacityTable" displayName="CapacityTable" ref="A4:J12" headerRowCount="1">
  <x:tableColumns count="10">
    <x:tableColumn id="1" name="Сегмент"/>
    <x:tableColumn id="2" name="Средний доступный бюджет/мес."/>
    <x:tableColumn id="3" name="Цена предложения/мес."/>
    <x:tableColumn id="4" name="Индекс платежеспособности"/>
    <x:tableColumn id="5" name="Статус"/>
    <x:tableColumn id="6" name="Доля клиентов с бюджетом"/>
    <x:tableColumn id="7" name="Платежеспособные клиенты"/>
    <x:tableColumn id="8" name="Годовой чек"/>
    <x:tableColumn id="9" name="Платежеспособный объем"/>
    <x:tableColumn id="10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SimilarwebTable" displayName="SimilarwebTable" ref="A4:L12" headerRowCount="1">
  <x:tableColumns count="12">
    <x:tableColumn id="1" name="Сайт / конкурент"/>
    <x:tableColumn id="2" name="Месячные посещения"/>
    <x:tableColumn id="3" name="Доля целевой географии"/>
    <x:tableColumn id="4" name="Релевантный трафик"/>
    <x:tableColumn id="5" name="Доля поискового трафика"/>
    <x:tableColumn id="6" name="Доля прямого трафика"/>
    <x:tableColumn id="7" name="Доля соцсетей"/>
    <x:tableColumn id="8" name="Оценка конверсии в заявку"/>
    <x:tableColumn id="9" name="Оценка заявок/мес."/>
    <x:tableColumn id="10" name="Средний чек"/>
    <x:tableColumn id="11" name="Оценка выручки/мес."/>
    <x:tableColumn id="12" name="Источник / дат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4671337a44748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061cd8d78f845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9339266b3d447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48e79ba272c4c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1cc4125b0bd4c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fbf063ca0bc64e7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2" hidden="0" customWidth="1"/>
    <x:col min="4" max="4" width="38" hidden="0" customWidth="1"/>
  </x:cols>
  <x:sheetData>
    <x:row r="1" ht="28" customHeight="1">
      <x:c r="A1" s="67" t="str">
        <x:v>Методика проверки рынка через платежеспособность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Excel-шаблон для оценки, способен ли выявленный интерес аудитории перейти в платежеспособный спрос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Этап</x:v>
      </x:c>
      <x:c r="B4" s="24" t="str">
        <x:v>Что выполняется</x:v>
      </x:c>
      <x:c r="C4" s="24" t="str">
        <x:v>Какие данные нужны</x:v>
      </x:c>
      <x:c r="D4" s="24" t="str">
        <x:v>Результат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1. Сегментация</x:v>
      </x:c>
      <x:c r="B5" s="32" t="str">
        <x:v>Разделить потенциальных клиентов на группы по типу, размеру, потребности и цифровой доступности.</x:v>
      </x:c>
      <x:c r="C5" s="32" t="str">
        <x:v>Сегменты клиентов, численность, доля потребности, доля готовности покупать онлайн.</x:v>
      </x:c>
      <x:c r="D5" s="32" t="str">
        <x:v>Расчет платежеспособной клиентской базы.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2. Ценовой коридор</x:v>
      </x:c>
      <x:c r="B6" s="32" t="str">
        <x:v>Собрать минимальные, медианные и максимальные цены конкурентов или аналогичных предложений.</x:v>
      </x:c>
      <x:c r="C6" s="32" t="str">
        <x:v>Сайты конкурентов, прайс-листы, коммерческие предложения, маркетплейсы услуг.</x:v>
      </x:c>
      <x:c r="D6" s="32" t="str">
        <x:v>Диапазон допустимой цены и ориентир среднего чека.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3. Экономическая оправданность</x:v>
      </x:c>
      <x:c r="B7" s="32" t="str">
        <x:v>Проверить, окупается ли покупка для клиента через дополнительную выручку, экономию или снижение потерь.</x:v>
      </x:c>
      <x:c r="C7" s="32" t="str">
        <x:v>Выручка клиента, маржинальность, ожидаемый эффект, стоимость услуги.</x:v>
      </x:c>
      <x:c r="D7" s="32" t="str">
        <x:v>Показатель окупаемости и экономический аргумент покупки.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4. Платежеспособность</x:v>
      </x:c>
      <x:c r="B8" s="32" t="str">
        <x:v>Сопоставить бюджет клиента с ежемесячной стоимостью предложения.</x:v>
      </x:c>
      <x:c r="C8" s="32" t="str">
        <x:v>Доступный бюджет, цена услуги, регулярность оплаты.</x:v>
      </x:c>
      <x:c r="D8" s="32" t="str">
        <x:v>Индекс платежеспособности и статус покупки.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5. Сценарии</x:v>
      </x:c>
      <x:c r="B9" s="32" t="str">
        <x:v>Рассчитать осторожный, базовый и оптимистичный варианты рынка.</x:v>
      </x:c>
      <x:c r="C9" s="32" t="str">
        <x:v>Коэффициенты потребности, платежеспособности, частоты покупки и среднего чека.</x:v>
      </x:c>
      <x:c r="D9" s="32" t="str">
        <x:v>Диапазон платежеспособного объема рынка.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6. Проверка цифровыми данными</x:v>
      </x:c>
      <x:c r="B10" s="32" t="str">
        <x:v>Использовать Similarweb и другие цифровые источники как косвенную проверку активности рынка.</x:v>
      </x:c>
      <x:c r="C10" s="32" t="str">
        <x:v>Посещаемость конкурентов, каналы, география, поисковый трафик.</x:v>
      </x:c>
      <x:c r="D10" s="32" t="str">
        <x:v>Проверка того, есть ли цифровая активность вокруг сегмента.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52" hidden="0" customWidth="1"/>
  </x:cols>
  <x:sheetData>
    <x:row r="1" ht="28" customHeight="1">
      <x:c r="A1" s="67" t="str">
        <x:v>Исходные параметры модели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Заполните базовые сведения о бизнес-идее и единых допущениях расчета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Параметр</x:v>
      </x:c>
      <x:c r="B4" s="24" t="str">
        <x:v>Значение</x:v>
      </x:c>
      <x:c r="C4" s="24" t="str">
        <x:v>Комментарий</x:v>
      </x:c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Бизнес-идея</x:v>
      </x:c>
      <x:c r="B5" s="32" t="str">
        <x:v>Маркетинговое сопровождение малого бизнеса</x:v>
      </x:c>
      <x:c r="C5" s="32" t="str">
        <x:v>Можно заменить на собственную идею</x:v>
      </x:c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Географические границы</x:v>
      </x:c>
      <x:c r="B6" s="32" t="str">
        <x:v>Республика Беларусь</x:v>
      </x:c>
      <x:c r="C6" s="32" t="str">
        <x:v>Территория первичной проверки рынка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Валюта расчета</x:v>
      </x:c>
      <x:c r="B7" s="35" t="str">
        <x:v>BYN</x:v>
      </x:c>
      <x:c r="C7" s="32" t="str">
        <x:v>Можно заменить на RUB, USD, EUR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Период расчета</x:v>
      </x:c>
      <x:c r="B8" s="32" t="str">
        <x:v>год</x:v>
      </x:c>
      <x:c r="C8" s="32" t="str">
        <x:v>Расчет годового платежеспособного объема рынка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Базовая конверсия интереса в покупку</x:v>
      </x:c>
      <x:c r="B9" s="35" t="n">
        <x:v>0.03</x:v>
      </x:c>
      <x:c r="C9" s="32" t="str">
        <x:v>Доля заинтересованных клиентов, переходящих к покупке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Минимальный индекс платежеспособности</x:v>
      </x:c>
      <x:c r="B10" s="32" t="n">
        <x:v>1</x:v>
      </x:c>
      <x:c r="C10" s="32" t="str">
        <x:v>Бюджет / цена услуги; ниже 1 — покупка затруднена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>
        <x:v>Целевая маржинальность поставщика</x:v>
      </x:c>
      <x:c r="B11" s="32" t="n">
        <x:v>0.4</x:v>
      </x:c>
      <x:c r="C11" s="32" t="str">
        <x:v>Используется для оценки коммерческой устойчивости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Дата заполнения</x:v>
      </x:c>
      <x:c r="B12" s="37" t="n">
        <x:v>46145</x:v>
      </x:c>
      <x:c r="C12" s="32" t="str">
        <x:v>Дата версии расчета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7" hidden="0" customWidth="1"/>
    <x:col min="7" max="7" width="15" hidden="0" customWidth="1"/>
    <x:col min="8" max="8" width="18" hidden="0" customWidth="1"/>
    <x:col min="9" max="9" width="18" hidden="0" customWidth="1"/>
    <x:col min="10" max="10" width="20" hidden="0" customWidth="1"/>
    <x:col min="11" max="11" width="34" hidden="0" customWidth="1"/>
    <x:col min="12" max="12" width="28" hidden="0" customWidth="1"/>
  </x:cols>
  <x:sheetData>
    <x:row r="1" ht="28" customHeight="1">
      <x:c r="A1" s="67" t="str">
        <x:v>Расчет рынка через количество платежеспособных клиентов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Заполните клиентские сегменты, коэффициенты потребности и доступности покупки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Сегмент</x:v>
      </x:c>
      <x:c r="B4" s="24" t="str">
        <x:v>Всего потенциальных клиентов</x:v>
      </x:c>
      <x:c r="C4" s="24" t="str">
        <x:v>Доля с потребностью</x:v>
      </x:c>
      <x:c r="D4" s="24" t="str">
        <x:v>Доля готовых покупать онлайн</x:v>
      </x:c>
      <x:c r="E4" s="24" t="str">
        <x:v>Доля платежеспособных</x:v>
      </x:c>
      <x:c r="F4" s="24" t="str">
        <x:v>Покупок/контрактов в год</x:v>
      </x:c>
      <x:c r="G4" s="24" t="str">
        <x:v>Средний чек</x:v>
      </x:c>
      <x:c r="H4" s="24" t="str">
        <x:v>Платежеспособные клиенты</x:v>
      </x:c>
      <x:c r="I4" s="24" t="str">
        <x:v>Годовое число покупок</x:v>
      </x:c>
      <x:c r="J4" s="24" t="str">
        <x:v>Потенциальный объем рынка</x:v>
      </x:c>
      <x:c r="K4" s="24" t="str">
        <x:v>Комментарий</x:v>
      </x:c>
      <x:c r="L4" s="24" t="str">
        <x:v>Источник</x:v>
      </x:c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Малый бизнес</x:v>
      </x:c>
      <x:c r="B5" s="43" t="n">
        <x:v>25000</x:v>
      </x:c>
      <x:c r="C5" s="35" t="n">
        <x:v>0.35</x:v>
      </x:c>
      <x:c r="D5" s="35" t="n">
        <x:v>0.55</x:v>
      </x:c>
      <x:c r="E5" s="35" t="n">
        <x:v>0.28</x:v>
      </x:c>
      <x:c r="F5" s="45" t="n">
        <x:v>1</x:v>
      </x:c>
      <x:c r="G5" s="43" t="n">
        <x:v>1200</x:v>
      </x:c>
      <x:c r="H5" s="43" t="n">
        <x:f>IF(A5="","",B5*C5*D5*E5)</x:f>
        <x:v>1347.5000000000002</x:v>
      </x:c>
      <x:c r="I5" s="43" t="n">
        <x:f>IF(A5="","",H5*F5)</x:f>
        <x:v>1347.5000000000002</x:v>
      </x:c>
      <x:c r="J5" s="43" t="n">
        <x:f>IF(A5="","",I5*G5)</x:f>
        <x:v>1617000.0000000002</x:v>
      </x:c>
      <x:c r="K5" s="32" t="str">
        <x:v>Маркетинговое сопровождение, реклама, заявки</x:v>
      </x:c>
      <x:c r="L5" s="32" t="str">
        <x:v>Белстат / каталоги / Similarweb</x:v>
      </x:c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Интернет-магазины</x:v>
      </x:c>
      <x:c r="B6" s="43" t="n">
        <x:v>3000</x:v>
      </x:c>
      <x:c r="C6" s="35" t="n">
        <x:v>0.65</x:v>
      </x:c>
      <x:c r="D6" s="35" t="n">
        <x:v>0.8</x:v>
      </x:c>
      <x:c r="E6" s="35" t="n">
        <x:v>0.45</x:v>
      </x:c>
      <x:c r="F6" s="45" t="n">
        <x:v>2</x:v>
      </x:c>
      <x:c r="G6" s="43" t="n">
        <x:v>1800</x:v>
      </x:c>
      <x:c r="H6" s="43" t="n">
        <x:f>IF(A6="","",B6*C6*D6*E6)</x:f>
        <x:v>702</x:v>
      </x:c>
      <x:c r="I6" s="43" t="n">
        <x:f>IF(A6="","",H6*F6)</x:f>
        <x:v>1404</x:v>
      </x:c>
      <x:c r="J6" s="43" t="n">
        <x:f>IF(A6="","",I6*G6)</x:f>
        <x:v>2527200</x:v>
      </x:c>
      <x:c r="K6" s="32" t="str">
        <x:v>Более высокая цифровая зрелость и потребность в продвижении</x:v>
      </x:c>
      <x:c r="L6" s="32" t="str">
        <x:v>Маркетплейсы / Similarweb</x:v>
      </x:c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Локальные услуги</x:v>
      </x:c>
      <x:c r="B7" s="43" t="n">
        <x:v>8000</x:v>
      </x:c>
      <x:c r="C7" s="35" t="n">
        <x:v>0.4</x:v>
      </x:c>
      <x:c r="D7" s="35" t="n">
        <x:v>0.5</x:v>
      </x:c>
      <x:c r="E7" s="35" t="n">
        <x:v>0.25</x:v>
      </x:c>
      <x:c r="F7" s="45" t="n">
        <x:v>1</x:v>
      </x:c>
      <x:c r="G7" s="43" t="n">
        <x:v>900</x:v>
      </x:c>
      <x:c r="H7" s="43" t="n">
        <x:f>IF(A7="","",B7*C7*D7*E7)</x:f>
        <x:v>400</x:v>
      </x:c>
      <x:c r="I7" s="43" t="n">
        <x:f>IF(A7="","",H7*F7)</x:f>
        <x:v>400</x:v>
      </x:c>
      <x:c r="J7" s="43" t="n">
        <x:f>IF(A7="","",I7*G7)</x:f>
        <x:v>360000</x:v>
      </x:c>
      <x:c r="K7" s="32" t="str">
        <x:v>Салоны, клиники, ремонт, образовательные услуги</x:v>
      </x:c>
      <x:c r="L7" s="32" t="str">
        <x:v>Каталоги / поисковый спрос</x:v>
      </x:c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Образовательные проекты</x:v>
      </x:c>
      <x:c r="B8" s="43" t="n">
        <x:v>1200</x:v>
      </x:c>
      <x:c r="C8" s="35" t="n">
        <x:v>0.55</x:v>
      </x:c>
      <x:c r="D8" s="35" t="n">
        <x:v>0.75</x:v>
      </x:c>
      <x:c r="E8" s="35" t="n">
        <x:v>0.35</x:v>
      </x:c>
      <x:c r="F8" s="45" t="n">
        <x:v>1.5</x:v>
      </x:c>
      <x:c r="G8" s="43" t="n">
        <x:v>1500</x:v>
      </x:c>
      <x:c r="H8" s="43" t="n">
        <x:f>IF(A8="","",B8*C8*D8*E8)</x:f>
        <x:v>173.25</x:v>
      </x:c>
      <x:c r="I8" s="43" t="n">
        <x:f>IF(A8="","",H8*F8)</x:f>
        <x:v>259.875</x:v>
      </x:c>
      <x:c r="J8" s="43" t="n">
        <x:f>IF(A8="","",I8*G8)</x:f>
        <x:v>389812.5</x:v>
      </x:c>
      <x:c r="K8" s="32" t="str">
        <x:v>Курсы, школы, эксперты</x:v>
      </x:c>
      <x:c r="L8" s="32" t="str">
        <x:v>Платформы / Similarweb</x:v>
      </x:c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B2B-услуги</x:v>
      </x:c>
      <x:c r="B9" s="43" t="n">
        <x:v>4500</x:v>
      </x:c>
      <x:c r="C9" s="35" t="n">
        <x:v>0.45</x:v>
      </x:c>
      <x:c r="D9" s="35" t="n">
        <x:v>0.6</x:v>
      </x:c>
      <x:c r="E9" s="35" t="n">
        <x:v>0.3</x:v>
      </x:c>
      <x:c r="F9" s="45" t="n">
        <x:v>1.2</x:v>
      </x:c>
      <x:c r="G9" s="43" t="n">
        <x:v>2000</x:v>
      </x:c>
      <x:c r="H9" s="43" t="n">
        <x:f>IF(A9="","",B9*C9*D9*E9)</x:f>
        <x:v>364.5</x:v>
      </x:c>
      <x:c r="I9" s="43" t="n">
        <x:f>IF(A9="","",H9*F9)</x:f>
        <x:v>437.4</x:v>
      </x:c>
      <x:c r="J9" s="43" t="n">
        <x:f>IF(A9="","",I9*G9)</x:f>
        <x:v>874800</x:v>
      </x:c>
      <x:c r="K9" s="32" t="str">
        <x:v>Юридические, бухгалтерские, ИТ, консалтинг</x:v>
      </x:c>
      <x:c r="L9" s="32" t="str">
        <x:v>Каталоги / сайты конкурентов</x:v>
      </x:c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/>
      <x:c r="B10" s="43"/>
      <x:c r="C10" s="35"/>
      <x:c r="D10" s="35"/>
      <x:c r="E10" s="35"/>
      <x:c r="F10" s="45"/>
      <x:c r="G10" s="43"/>
      <x:c r="H10" s="43" t="str">
        <x:f>IF(A10="","",B10*C10*D10*E10)</x:f>
      </x:c>
      <x:c r="I10" s="43" t="str">
        <x:f>IF(A10="","",H10*F10)</x:f>
      </x:c>
      <x:c r="J10" s="43" t="str">
        <x:f>IF(A10="","",I10*G10)</x:f>
      </x:c>
      <x:c r="K10" s="32" t="str"/>
      <x:c r="L10" s="32" t="str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/>
      <x:c r="B11" s="43"/>
      <x:c r="C11" s="35"/>
      <x:c r="D11" s="35"/>
      <x:c r="E11" s="35"/>
      <x:c r="F11" s="45"/>
      <x:c r="G11" s="43"/>
      <x:c r="H11" s="43" t="str">
        <x:f>IF(A11="","",B11*C11*D11*E11)</x:f>
      </x:c>
      <x:c r="I11" s="43" t="str">
        <x:f>IF(A11="","",H11*F11)</x:f>
      </x:c>
      <x:c r="J11" s="43" t="str">
        <x:f>IF(A11="","",I11*G11)</x:f>
      </x:c>
      <x:c r="K11" s="32" t="str"/>
      <x:c r="L11" s="32" t="str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/>
      <x:c r="B12" s="43"/>
      <x:c r="C12" s="35"/>
      <x:c r="D12" s="35"/>
      <x:c r="E12" s="35"/>
      <x:c r="F12" s="45"/>
      <x:c r="G12" s="43"/>
      <x:c r="H12" s="43" t="str">
        <x:f>IF(A12="","",B12*C12*D12*E12)</x:f>
      </x:c>
      <x:c r="I12" s="43" t="str">
        <x:f>IF(A12="","",H12*F12)</x:f>
      </x:c>
      <x:c r="J12" s="43" t="str">
        <x:f>IF(A12="","",I12*G12)</x:f>
      </x:c>
      <x:c r="K12" s="32" t="str"/>
      <x:c r="L12" s="32" t="str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 t="str"/>
      <x:c r="B13" s="43"/>
      <x:c r="C13" s="35"/>
      <x:c r="D13" s="35"/>
      <x:c r="E13" s="35"/>
      <x:c r="F13" s="45"/>
      <x:c r="G13" s="43"/>
      <x:c r="H13" s="43" t="str">
        <x:f>IF(A13="","",B13*C13*D13*E13)</x:f>
      </x:c>
      <x:c r="I13" s="43" t="str">
        <x:f>IF(A13="","",H13*F13)</x:f>
      </x:c>
      <x:c r="J13" s="43" t="str">
        <x:f>IF(A13="","",I13*G13)</x:f>
      </x:c>
      <x:c r="K13" s="32" t="str"/>
      <x:c r="L13" s="32" t="str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 t="str"/>
      <x:c r="B14" s="43"/>
      <x:c r="C14" s="35"/>
      <x:c r="D14" s="35"/>
      <x:c r="E14" s="35"/>
      <x:c r="F14" s="45"/>
      <x:c r="G14" s="43"/>
      <x:c r="H14" s="43" t="str">
        <x:f>IF(A14="","",B14*C14*D14*E14)</x:f>
      </x:c>
      <x:c r="I14" s="43" t="str">
        <x:f>IF(A14="","",H14*F14)</x:f>
      </x:c>
      <x:c r="J14" s="43" t="str">
        <x:f>IF(A14="","",I14*G14)</x:f>
      </x:c>
      <x:c r="K14" s="32" t="str"/>
      <x:c r="L14" s="32" t="str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2"/>
      <x:c r="B15" s="32"/>
      <x:c r="C15" s="32"/>
      <x:c r="D15" s="32"/>
      <x:c r="E15" s="32"/>
      <x:c r="F15" s="32"/>
      <x:c r="G15" s="32"/>
      <x:c r="H15" s="43"/>
      <x:c r="I15" s="43"/>
      <x:c r="J15" s="43"/>
      <x:c r="K15" s="32"/>
      <x:c r="L15" s="32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40" t="str">
        <x:v>Итого</x:v>
      </x:c>
      <x:c r="B16" s="40"/>
      <x:c r="C16" s="40"/>
      <x:c r="D16" s="40"/>
      <x:c r="E16" s="40"/>
      <x:c r="F16" s="40"/>
      <x:c r="G16" s="40"/>
      <x:c r="H16" s="47" t="n">
        <x:f>SUM(H5:H14)</x:f>
        <x:v>2987.25</x:v>
      </x:c>
      <x:c r="I16" s="47" t="n">
        <x:f>SUM(I5:I14)</x:f>
        <x:v>3848.775</x:v>
      </x:c>
      <x:c r="J16" s="47" t="n">
        <x:f>SUM(J5:J14)</x:f>
        <x:v>5768812.5</x:v>
      </x:c>
      <x:c r="K16" s="40"/>
      <x:c r="L16" s="40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4671337a44748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5" hidden="0" customWidth="1"/>
    <x:col min="8" max="8" width="18" hidden="0" customWidth="1"/>
    <x:col min="9" max="9" width="36" hidden="0" customWidth="1"/>
    <x:col min="10" max="10" width="28" hidden="0" customWidth="1"/>
  </x:cols>
  <x:sheetData>
    <x:row r="1" ht="28" customHeight="1">
      <x:c r="A1" s="67" t="str">
        <x:v>Ценовой коридор и конкурентная цена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Сравните цены аналогичных предложений и оцените допустимый средний чек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Услуга / продукт</x:v>
      </x:c>
      <x:c r="B4" s="24" t="str">
        <x:v>Минимальная цена</x:v>
      </x:c>
      <x:c r="C4" s="24" t="str">
        <x:v>Медианная цена</x:v>
      </x:c>
      <x:c r="D4" s="24" t="str">
        <x:v>Максимальная цена</x:v>
      </x:c>
      <x:c r="E4" s="24" t="str">
        <x:v>Себестоимость</x:v>
      </x:c>
      <x:c r="F4" s="24" t="str">
        <x:v>Валовая маржа</x:v>
      </x:c>
      <x:c r="G4" s="24" t="str">
        <x:v>Цена в модели</x:v>
      </x:c>
      <x:c r="H4" s="24" t="str">
        <x:v>Индекс доступности цены</x:v>
      </x:c>
      <x:c r="I4" s="24" t="str">
        <x:v>Комментарий</x:v>
      </x:c>
      <x:c r="J4" s="24" t="str">
        <x:v>Источник</x:v>
      </x:c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Аудит маркетинга</x:v>
      </x:c>
      <x:c r="B5" s="43" t="n">
        <x:v>300</x:v>
      </x:c>
      <x:c r="C5" s="43" t="n">
        <x:v>600</x:v>
      </x:c>
      <x:c r="D5" s="43" t="n">
        <x:v>1200</x:v>
      </x:c>
      <x:c r="E5" s="43" t="n">
        <x:v>200</x:v>
      </x:c>
      <x:c r="F5" s="35" t="n">
        <x:f>IF(A5="","",(G5-E5)/G5)</x:f>
        <x:v>0.6666666666666666</x:v>
      </x:c>
      <x:c r="G5" s="43" t="n">
        <x:f>IF(A5="","",C5)</x:f>
        <x:v>600</x:v>
      </x:c>
      <x:c r="H5" s="51" t="n">
        <x:f>IF(A5="","",G5/C5)</x:f>
        <x:v>1</x:v>
      </x:c>
      <x:c r="I5" s="32" t="str">
        <x:v>Разовая услуга для проверки текущего состояния</x:v>
      </x:c>
      <x:c r="J5" s="32" t="str">
        <x:v>Сайты конкурентов</x:v>
      </x:c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Настройка рекламы</x:v>
      </x:c>
      <x:c r="B6" s="43" t="n">
        <x:v>500</x:v>
      </x:c>
      <x:c r="C6" s="43" t="n">
        <x:v>1000</x:v>
      </x:c>
      <x:c r="D6" s="43" t="n">
        <x:v>2500</x:v>
      </x:c>
      <x:c r="E6" s="43" t="n">
        <x:v>450</x:v>
      </x:c>
      <x:c r="F6" s="35" t="n">
        <x:f>IF(A6="","",(G6-E6)/G6)</x:f>
        <x:v>0.55</x:v>
      </x:c>
      <x:c r="G6" s="43" t="n">
        <x:f>IF(A6="","",C6)</x:f>
        <x:v>1000</x:v>
      </x:c>
      <x:c r="H6" s="51" t="n">
        <x:f>IF(A6="","",G6/C6)</x:f>
        <x:v>1</x:v>
      </x:c>
      <x:c r="I6" s="32" t="str">
        <x:v>Проектная услуга</x:v>
      </x:c>
      <x:c r="J6" s="32" t="str">
        <x:v>Сайты агентств / фриланс-платформы</x:v>
      </x:c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Месячное сопровождение</x:v>
      </x:c>
      <x:c r="B7" s="43" t="n">
        <x:v>800</x:v>
      </x:c>
      <x:c r="C7" s="43" t="n">
        <x:v>1500</x:v>
      </x:c>
      <x:c r="D7" s="43" t="n">
        <x:v>4000</x:v>
      </x:c>
      <x:c r="E7" s="43" t="n">
        <x:v>800</x:v>
      </x:c>
      <x:c r="F7" s="35" t="n">
        <x:f>IF(A7="","",(G7-E7)/G7)</x:f>
        <x:v>0.4666666666666667</x:v>
      </x:c>
      <x:c r="G7" s="43" t="n">
        <x:f>IF(A7="","",C7)</x:f>
        <x:v>1500</x:v>
      </x:c>
      <x:c r="H7" s="51" t="n">
        <x:f>IF(A7="","",G7/C7)</x:f>
        <x:v>1</x:v>
      </x:c>
      <x:c r="I7" s="32" t="str">
        <x:v>Регулярная услуга</x:v>
      </x:c>
      <x:c r="J7" s="32" t="str">
        <x:v>Прайс-листы / коммерческие предложения</x:v>
      </x:c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Разработка стратегии</x:v>
      </x:c>
      <x:c r="B8" s="43" t="n">
        <x:v>1000</x:v>
      </x:c>
      <x:c r="C8" s="43" t="n">
        <x:v>2500</x:v>
      </x:c>
      <x:c r="D8" s="43" t="n">
        <x:v>6000</x:v>
      </x:c>
      <x:c r="E8" s="43" t="n">
        <x:v>1200</x:v>
      </x:c>
      <x:c r="F8" s="35" t="n">
        <x:f>IF(A8="","",(G8-E8)/G8)</x:f>
        <x:v>0.52</x:v>
      </x:c>
      <x:c r="G8" s="43" t="n">
        <x:f>IF(A8="","",C8)</x:f>
        <x:v>2500</x:v>
      </x:c>
      <x:c r="H8" s="51" t="n">
        <x:f>IF(A8="","",G8/C8)</x:f>
        <x:v>1</x:v>
      </x:c>
      <x:c r="I8" s="32" t="str">
        <x:v>Проектная услуга с высокой экспертизой</x:v>
      </x:c>
      <x:c r="J8" s="32" t="str">
        <x:v>Сайты конкурентов</x:v>
      </x:c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Контент и социальные сети</x:v>
      </x:c>
      <x:c r="B9" s="43" t="n">
        <x:v>600</x:v>
      </x:c>
      <x:c r="C9" s="43" t="n">
        <x:v>1200</x:v>
      </x:c>
      <x:c r="D9" s="43" t="n">
        <x:v>3000</x:v>
      </x:c>
      <x:c r="E9" s="43" t="n">
        <x:v>600</x:v>
      </x:c>
      <x:c r="F9" s="35" t="n">
        <x:f>IF(A9="","",(G9-E9)/G9)</x:f>
        <x:v>0.5</x:v>
      </x:c>
      <x:c r="G9" s="43" t="n">
        <x:f>IF(A9="","",C9)</x:f>
        <x:v>1200</x:v>
      </x:c>
      <x:c r="H9" s="51" t="n">
        <x:f>IF(A9="","",G9/C9)</x:f>
        <x:v>1</x:v>
      </x:c>
      <x:c r="I9" s="32" t="str">
        <x:v>Регулярное ведение контента</x:v>
      </x:c>
      <x:c r="J9" s="32" t="str">
        <x:v>Социальные сети / сайты</x:v>
      </x:c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/>
      <x:c r="B10" s="43"/>
      <x:c r="C10" s="43"/>
      <x:c r="D10" s="43"/>
      <x:c r="E10" s="43"/>
      <x:c r="F10" s="35" t="str">
        <x:f>IF(A10="","",(G10-E10)/G10)</x:f>
      </x:c>
      <x:c r="G10" s="43" t="str">
        <x:f>IF(A10="","",C10)</x:f>
      </x:c>
      <x:c r="H10" s="51" t="str">
        <x:f>IF(A10="","",G10/C10)</x:f>
      </x:c>
      <x:c r="I10" s="32" t="str"/>
      <x:c r="J10" s="32" t="str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/>
      <x:c r="B11" s="43"/>
      <x:c r="C11" s="43"/>
      <x:c r="D11" s="43"/>
      <x:c r="E11" s="43"/>
      <x:c r="F11" s="35" t="str">
        <x:f>IF(A11="","",(G11-E11)/G11)</x:f>
      </x:c>
      <x:c r="G11" s="43" t="str">
        <x:f>IF(A11="","",C11)</x:f>
      </x:c>
      <x:c r="H11" s="51" t="str">
        <x:f>IF(A11="","",G11/C11)</x:f>
      </x:c>
      <x:c r="I11" s="32" t="str"/>
      <x:c r="J11" s="32" t="str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/>
      <x:c r="B12" s="43"/>
      <x:c r="C12" s="43"/>
      <x:c r="D12" s="43"/>
      <x:c r="E12" s="43"/>
      <x:c r="F12" s="35" t="str">
        <x:f>IF(A12="","",(G12-E12)/G12)</x:f>
      </x:c>
      <x:c r="G12" s="43" t="str">
        <x:f>IF(A12="","",C12)</x:f>
      </x:c>
      <x:c r="H12" s="51" t="str">
        <x:f>IF(A12="","",G12/C12)</x:f>
      </x:c>
      <x:c r="I12" s="32" t="str"/>
      <x:c r="J12" s="32" t="str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/>
      <x:c r="B13" s="43"/>
      <x:c r="C13" s="43"/>
      <x:c r="D13" s="43"/>
      <x:c r="E13" s="43"/>
      <x:c r="F13" s="35"/>
      <x:c r="G13" s="43"/>
      <x:c r="H13" s="51"/>
      <x:c r="I13" s="32"/>
      <x:c r="J13" s="32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Среднее / ориентир</x:v>
      </x:c>
      <x:c r="B14" s="47" t="n">
        <x:f>AVERAGE(B5:B12)</x:f>
        <x:v>640</x:v>
      </x:c>
      <x:c r="C14" s="47" t="n">
        <x:f>AVERAGE(C5:C12)</x:f>
        <x:v>1360</x:v>
      </x:c>
      <x:c r="D14" s="47" t="n">
        <x:f>AVERAGE(D5:D12)</x:f>
        <x:v>3340</x:v>
      </x:c>
      <x:c r="E14" s="47" t="n">
        <x:f>AVERAGE(E5:E12)</x:f>
        <x:v>650</x:v>
      </x:c>
      <x:c r="F14" s="49" t="n">
        <x:f>AVERAGE(F5:F12)</x:f>
        <x:v>0.5406666666666667</x:v>
      </x:c>
      <x:c r="G14" s="47" t="n">
        <x:f>AVERAGE(G5:G12)</x:f>
        <x:v>1360</x:v>
      </x:c>
      <x:c r="H14" s="52" t="n">
        <x:f>AVERAGE(H5:H12)</x:f>
        <x:v>1</x:v>
      </x:c>
      <x:c r="I14" s="40"/>
      <x:c r="J14" s="40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061cd8d78f845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  <x:col min="9" max="9" width="24" hidden="0" customWidth="1"/>
    <x:col min="10" max="10" width="34" hidden="0" customWidth="1"/>
    <x:col min="11" max="11" width="24" hidden="0" customWidth="1"/>
  </x:cols>
  <x:sheetData>
    <x:row r="1" ht="28" customHeight="1">
      <x:c r="A1" s="67" t="str">
        <x:v>Экономическая оправданность покупки для клиента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Проверяется, возвращает ли клиент вложения в продукт или услугу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Сегмент</x:v>
      </x:c>
      <x:c r="B4" s="24" t="str">
        <x:v>Средняя месячная выручка клиента</x:v>
      </x:c>
      <x:c r="C4" s="24" t="str">
        <x:v>Маржинальность клиента</x:v>
      </x:c>
      <x:c r="D4" s="24" t="str">
        <x:v>Ожидаемый рост выручки</x:v>
      </x:c>
      <x:c r="E4" s="24" t="str">
        <x:v>Дополнительная валовая прибыль/мес.</x:v>
      </x:c>
      <x:c r="F4" s="24" t="str">
        <x:v>Цена услуги/мес.</x:v>
      </x:c>
      <x:c r="G4" s="24" t="str">
        <x:v>Окупаемость, мес.</x:v>
      </x:c>
      <x:c r="H4" s="24" t="str">
        <x:v>ROI за год</x:v>
      </x:c>
      <x:c r="I4" s="24" t="str">
        <x:v>Экономический статус</x:v>
      </x:c>
      <x:c r="J4" s="24" t="str">
        <x:v>Комментарий</x:v>
      </x:c>
      <x:c r="K4" s="24" t="str">
        <x:v>Источник</x:v>
      </x:c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Малый бизнес</x:v>
      </x:c>
      <x:c r="B5" s="43" t="n">
        <x:v>25000</x:v>
      </x:c>
      <x:c r="C5" s="35" t="n">
        <x:v>0.25</x:v>
      </x:c>
      <x:c r="D5" s="35" t="n">
        <x:v>0.05</x:v>
      </x:c>
      <x:c r="E5" s="43" t="n">
        <x:f>IF(A5="","",B5*C5*D5)</x:f>
        <x:v>312.5</x:v>
      </x:c>
      <x:c r="F5" s="43" t="n">
        <x:v>1200</x:v>
      </x:c>
      <x:c r="G5" s="45" t="n">
        <x:f>IF(A5="","",IF(E5=0,"",F5/E5))</x:f>
        <x:v>3.84</x:v>
      </x:c>
      <x:c r="H5" s="35" t="n">
        <x:f>IF(A5="","",((E5-F5)*12)/(F5*12))</x:f>
        <x:v>-0.7395833333333334</x:v>
      </x:c>
      <x:c r="I5" s="32" t="str">
        <x:f>IF(A5="","",IF(H5&gt;=0.5,"экономически оправдано",IF(H5&gt;=0,"требует проверки","экономически слабо")))</x:f>
        <x:v>экономически слабо</x:v>
      </x:c>
      <x:c r="J5" s="32" t="str">
        <x:v>Эффект от привлечения новых клиентов</x:v>
      </x:c>
      <x:c r="K5" s="32" t="str">
        <x:v>Опрос / конкуренты</x:v>
      </x:c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Интернет-магазины</x:v>
      </x:c>
      <x:c r="B6" s="43" t="n">
        <x:v>50000</x:v>
      </x:c>
      <x:c r="C6" s="35" t="n">
        <x:v>0.3</x:v>
      </x:c>
      <x:c r="D6" s="35" t="n">
        <x:v>0.06</x:v>
      </x:c>
      <x:c r="E6" s="43" t="n">
        <x:f>IF(A6="","",B6*C6*D6)</x:f>
        <x:v>900</x:v>
      </x:c>
      <x:c r="F6" s="43" t="n">
        <x:v>1800</x:v>
      </x:c>
      <x:c r="G6" s="45" t="n">
        <x:f>IF(A6="","",IF(E6=0,"",F6/E6))</x:f>
        <x:v>2</x:v>
      </x:c>
      <x:c r="H6" s="35" t="n">
        <x:f>IF(A6="","",((E6-F6)*12)/(F6*12))</x:f>
        <x:v>-0.5</x:v>
      </x:c>
      <x:c r="I6" s="32" t="str">
        <x:f>IF(A6="","",IF(H6&gt;=0.5,"экономически оправдано",IF(H6&gt;=0,"требует проверки","экономически слабо")))</x:f>
        <x:v>экономически слабо</x:v>
      </x:c>
      <x:c r="J6" s="32" t="str">
        <x:v>Эффект от роста конверсии и трафика</x:v>
      </x:c>
      <x:c r="K6" s="32" t="str">
        <x:v>Сайты / Similarweb</x:v>
      </x:c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Локальные услуги</x:v>
      </x:c>
      <x:c r="B7" s="43" t="n">
        <x:v>18000</x:v>
      </x:c>
      <x:c r="C7" s="35" t="n">
        <x:v>0.35</x:v>
      </x:c>
      <x:c r="D7" s="35" t="n">
        <x:v>0.04</x:v>
      </x:c>
      <x:c r="E7" s="43" t="n">
        <x:f>IF(A7="","",B7*C7*D7)</x:f>
        <x:v>252</x:v>
      </x:c>
      <x:c r="F7" s="43" t="n">
        <x:v>900</x:v>
      </x:c>
      <x:c r="G7" s="45" t="n">
        <x:f>IF(A7="","",IF(E7=0,"",F7/E7))</x:f>
        <x:v>3.5714285714285716</x:v>
      </x:c>
      <x:c r="H7" s="35" t="n">
        <x:f>IF(A7="","",((E7-F7)*12)/(F7*12))</x:f>
        <x:v>-0.72</x:v>
      </x:c>
      <x:c r="I7" s="32" t="str">
        <x:f>IF(A7="","",IF(H7&gt;=0.5,"экономически оправдано",IF(H7&gt;=0,"требует проверки","экономически слабо")))</x:f>
        <x:v>экономически слабо</x:v>
      </x:c>
      <x:c r="J7" s="32" t="str">
        <x:v>Эффект от заявок и повторных продаж</x:v>
      </x:c>
      <x:c r="K7" s="32" t="str">
        <x:v>Опрос / каталоги</x:v>
      </x:c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Образовательные проекты</x:v>
      </x:c>
      <x:c r="B8" s="43" t="n">
        <x:v>30000</x:v>
      </x:c>
      <x:c r="C8" s="35" t="n">
        <x:v>0.45</x:v>
      </x:c>
      <x:c r="D8" s="35" t="n">
        <x:v>0.05</x:v>
      </x:c>
      <x:c r="E8" s="43" t="n">
        <x:f>IF(A8="","",B8*C8*D8)</x:f>
        <x:v>675</x:v>
      </x:c>
      <x:c r="F8" s="43" t="n">
        <x:v>1500</x:v>
      </x:c>
      <x:c r="G8" s="45" t="n">
        <x:f>IF(A8="","",IF(E8=0,"",F8/E8))</x:f>
        <x:v>2.2222222222222223</x:v>
      </x:c>
      <x:c r="H8" s="35" t="n">
        <x:f>IF(A8="","",((E8-F8)*12)/(F8*12))</x:f>
        <x:v>-0.55</x:v>
      </x:c>
      <x:c r="I8" s="32" t="str">
        <x:f>IF(A8="","",IF(H8&gt;=0.5,"экономически оправдано",IF(H8&gt;=0,"требует проверки","экономически слабо")))</x:f>
        <x:v>экономически слабо</x:v>
      </x:c>
      <x:c r="J8" s="32" t="str">
        <x:v>Эффект от наборов на курсы</x:v>
      </x:c>
      <x:c r="K8" s="32" t="str">
        <x:v>Платформы</x:v>
      </x:c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B2B-услуги</x:v>
      </x:c>
      <x:c r="B9" s="43" t="n">
        <x:v>45000</x:v>
      </x:c>
      <x:c r="C9" s="35" t="n">
        <x:v>0.4</x:v>
      </x:c>
      <x:c r="D9" s="35" t="n">
        <x:v>0.04</x:v>
      </x:c>
      <x:c r="E9" s="43" t="n">
        <x:f>IF(A9="","",B9*C9*D9)</x:f>
        <x:v>720</x:v>
      </x:c>
      <x:c r="F9" s="43" t="n">
        <x:v>2000</x:v>
      </x:c>
      <x:c r="G9" s="45" t="n">
        <x:f>IF(A9="","",IF(E9=0,"",F9/E9))</x:f>
        <x:v>2.7777777777777777</x:v>
      </x:c>
      <x:c r="H9" s="35" t="n">
        <x:f>IF(A9="","",((E9-F9)*12)/(F9*12))</x:f>
        <x:v>-0.64</x:v>
      </x:c>
      <x:c r="I9" s="32" t="str">
        <x:f>IF(A9="","",IF(H9&gt;=0.5,"экономически оправдано",IF(H9&gt;=0,"требует проверки","экономически слабо")))</x:f>
        <x:v>экономически слабо</x:v>
      </x:c>
      <x:c r="J9" s="32" t="str">
        <x:v>Эффект от лидогенерации</x:v>
      </x:c>
      <x:c r="K9" s="32" t="str">
        <x:v>Сайты конкурентов</x:v>
      </x:c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/>
      <x:c r="B10" s="43"/>
      <x:c r="C10" s="35"/>
      <x:c r="D10" s="35"/>
      <x:c r="E10" s="43" t="str">
        <x:f>IF(A10="","",B10*C10*D10)</x:f>
      </x:c>
      <x:c r="F10" s="43"/>
      <x:c r="G10" s="45" t="str">
        <x:f>IF(A10="","",IF(E10=0,"",F10/E10))</x:f>
      </x:c>
      <x:c r="H10" s="35" t="str">
        <x:f>IF(A10="","",((E10-F10)*12)/(F10*12))</x:f>
      </x:c>
      <x:c r="I10" s="32" t="str">
        <x:f>IF(A10="","",IF(H10&gt;=0.5,"экономически оправдано",IF(H10&gt;=0,"требует проверки","экономически слабо")))</x:f>
      </x:c>
      <x:c r="J10" s="32" t="str"/>
      <x:c r="K10" s="32" t="str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/>
      <x:c r="B11" s="43"/>
      <x:c r="C11" s="35"/>
      <x:c r="D11" s="35"/>
      <x:c r="E11" s="43" t="str">
        <x:f>IF(A11="","",B11*C11*D11)</x:f>
      </x:c>
      <x:c r="F11" s="43"/>
      <x:c r="G11" s="45" t="str">
        <x:f>IF(A11="","",IF(E11=0,"",F11/E11))</x:f>
      </x:c>
      <x:c r="H11" s="35" t="str">
        <x:f>IF(A11="","",((E11-F11)*12)/(F11*12))</x:f>
      </x:c>
      <x:c r="I11" s="32" t="str">
        <x:f>IF(A11="","",IF(H11&gt;=0.5,"экономически оправдано",IF(H11&gt;=0,"требует проверки","экономически слабо")))</x:f>
      </x:c>
      <x:c r="J11" s="32" t="str"/>
      <x:c r="K11" s="32" t="str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/>
      <x:c r="B12" s="43"/>
      <x:c r="C12" s="35"/>
      <x:c r="D12" s="35"/>
      <x:c r="E12" s="43" t="str">
        <x:f>IF(A12="","",B12*C12*D12)</x:f>
      </x:c>
      <x:c r="F12" s="43"/>
      <x:c r="G12" s="45" t="str">
        <x:f>IF(A12="","",IF(E12=0,"",F12/E12))</x:f>
      </x:c>
      <x:c r="H12" s="35" t="str">
        <x:f>IF(A12="","",((E12-F12)*12)/(F12*12))</x:f>
      </x:c>
      <x:c r="I12" s="32" t="str">
        <x:f>IF(A12="","",IF(H12&gt;=0.5,"экономически оправдано",IF(H12&gt;=0,"требует проверки","экономически слабо")))</x:f>
      </x:c>
      <x:c r="J12" s="32" t="str"/>
      <x:c r="K12" s="32" t="str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/>
      <x:c r="B13" s="43"/>
      <x:c r="C13" s="35"/>
      <x:c r="D13" s="35"/>
      <x:c r="E13" s="43"/>
      <x:c r="F13" s="43"/>
      <x:c r="G13" s="45"/>
      <x:c r="H13" s="35"/>
      <x:c r="I13" s="32"/>
      <x:c r="J13" s="32"/>
      <x:c r="K13" s="32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Среднее / сводный показатель</x:v>
      </x:c>
      <x:c r="B14" s="47" t="n">
        <x:f>AVERAGE(B5:B12)</x:f>
        <x:v>33600</x:v>
      </x:c>
      <x:c r="C14" s="49" t="n">
        <x:f>AVERAGE(C5:C12)</x:f>
        <x:v>0.35</x:v>
      </x:c>
      <x:c r="D14" s="49" t="n">
        <x:f>AVERAGE(D5:D12)</x:f>
        <x:v>0.048</x:v>
      </x:c>
      <x:c r="E14" s="47" t="n">
        <x:f>AVERAGE(E5:E12)</x:f>
        <x:v>571.9</x:v>
      </x:c>
      <x:c r="F14" s="47" t="n">
        <x:f>AVERAGE(F5:F12)</x:f>
        <x:v>1480</x:v>
      </x:c>
      <x:c r="G14" s="55" t="n">
        <x:f>AVERAGE(G5:G12)</x:f>
        <x:v>2.8822857142857146</x:v>
      </x:c>
      <x:c r="H14" s="49" t="n">
        <x:f>AVERAGE(H5:H12)</x:f>
        <x:v>-0.6299166666666667</x:v>
      </x:c>
      <x:c r="I14" s="40"/>
      <x:c r="J14" s="40"/>
      <x:c r="K14" s="40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9339266b3d447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4" hidden="0" customWidth="1"/>
    <x:col min="9" max="9" width="20" hidden="0" customWidth="1"/>
    <x:col min="10" max="10" width="38" hidden="0" customWidth="1"/>
  </x:cols>
  <x:sheetData>
    <x:row r="1" ht="28" customHeight="1">
      <x:c r="A1" s="67" t="str">
        <x:v>Проверка платежеспособности клиентских сегментов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Индекс платежеспособности = доступный месячный бюджет клиента / месячная цена предложения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Сегмент</x:v>
      </x:c>
      <x:c r="B4" s="24" t="str">
        <x:v>Средний доступный бюджет/мес.</x:v>
      </x:c>
      <x:c r="C4" s="24" t="str">
        <x:v>Цена предложения/мес.</x:v>
      </x:c>
      <x:c r="D4" s="24" t="str">
        <x:v>Индекс платежеспособности</x:v>
      </x:c>
      <x:c r="E4" s="24" t="str">
        <x:v>Статус</x:v>
      </x:c>
      <x:c r="F4" s="24" t="str">
        <x:v>Доля клиентов с бюджетом</x:v>
      </x:c>
      <x:c r="G4" s="24" t="str">
        <x:v>Платежеспособные клиенты</x:v>
      </x:c>
      <x:c r="H4" s="24" t="str">
        <x:v>Годовой чек</x:v>
      </x:c>
      <x:c r="I4" s="24" t="str">
        <x:v>Платежеспособный объем</x:v>
      </x:c>
      <x:c r="J4" s="24" t="str">
        <x:v>Комментарий</x:v>
      </x:c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Малый бизнес</x:v>
      </x:c>
      <x:c r="B5" s="43" t="n">
        <x:v>1500</x:v>
      </x:c>
      <x:c r="C5" s="43" t="n">
        <x:v>1200</x:v>
      </x:c>
      <x:c r="D5" s="51" t="n">
        <x:f>IF(A5="","",B5/C5)</x:f>
        <x:v>1.25</x:v>
      </x:c>
      <x:c r="E5" s="32" t="str">
        <x:f>IF(A5="","",IF(D5&gt;=1.5,"высокая",IF(D5&gt;=1,"достаточная",IF(D5&gt;=0.7,"пограничная","низкая"))))</x:f>
        <x:v>достаточная</x:v>
      </x:c>
      <x:c r="F5" s="35" t="n">
        <x:v>0.28</x:v>
      </x:c>
      <x:c r="G5" s="43" t="n">
        <x:f>IF(A5="","",'02_Сегменты'!B5*F5)</x:f>
        <x:v>7000.000000000001</x:v>
      </x:c>
      <x:c r="H5" s="43" t="n">
        <x:v>14400</x:v>
      </x:c>
      <x:c r="I5" s="43" t="n">
        <x:f>IF(A5="","",G5*H5)</x:f>
        <x:v>100800000.00000001</x:v>
      </x:c>
      <x:c r="J5" s="32" t="str">
        <x:v>Покупка возможна при понятном эффекте</x:v>
      </x:c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Интернет-магазины</x:v>
      </x:c>
      <x:c r="B6" s="43" t="n">
        <x:v>3000</x:v>
      </x:c>
      <x:c r="C6" s="43" t="n">
        <x:v>1800</x:v>
      </x:c>
      <x:c r="D6" s="51" t="n">
        <x:f>IF(A6="","",B6/C6)</x:f>
        <x:v>1.6666666666666667</x:v>
      </x:c>
      <x:c r="E6" s="32" t="str">
        <x:f>IF(A6="","",IF(D6&gt;=1.5,"высокая",IF(D6&gt;=1,"достаточная",IF(D6&gt;=0.7,"пограничная","низкая"))))</x:f>
        <x:v>высокая</x:v>
      </x:c>
      <x:c r="F6" s="35" t="n">
        <x:v>0.45</x:v>
      </x:c>
      <x:c r="G6" s="43" t="n">
        <x:f>IF(A6="","",'02_Сегменты'!B6*F6)</x:f>
        <x:v>1350</x:v>
      </x:c>
      <x:c r="H6" s="43" t="n">
        <x:v>21600</x:v>
      </x:c>
      <x:c r="I6" s="43" t="n">
        <x:f>IF(A6="","",G6*H6)</x:f>
        <x:v>29160000</x:v>
      </x:c>
      <x:c r="J6" s="32" t="str">
        <x:v>Наиболее платежеспособный цифровой сегмент</x:v>
      </x:c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Локальные услуги</x:v>
      </x:c>
      <x:c r="B7" s="43" t="n">
        <x:v>900</x:v>
      </x:c>
      <x:c r="C7" s="43" t="n">
        <x:v>900</x:v>
      </x:c>
      <x:c r="D7" s="51" t="n">
        <x:f>IF(A7="","",B7/C7)</x:f>
        <x:v>1</x:v>
      </x:c>
      <x:c r="E7" s="32" t="str">
        <x:f>IF(A7="","",IF(D7&gt;=1.5,"высокая",IF(D7&gt;=1,"достаточная",IF(D7&gt;=0.7,"пограничная","низкая"))))</x:f>
        <x:v>достаточная</x:v>
      </x:c>
      <x:c r="F7" s="35" t="n">
        <x:v>0.25</x:v>
      </x:c>
      <x:c r="G7" s="43" t="n">
        <x:f>IF(A7="","",'02_Сегменты'!B7*F7)</x:f>
        <x:v>2000</x:v>
      </x:c>
      <x:c r="H7" s="43" t="n">
        <x:v>10800</x:v>
      </x:c>
      <x:c r="I7" s="43" t="n">
        <x:f>IF(A7="","",G7*H7)</x:f>
        <x:v>21600000</x:v>
      </x:c>
      <x:c r="J7" s="32" t="str">
        <x:v>Пограничная платежеспособность</x:v>
      </x:c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Образовательные проекты</x:v>
      </x:c>
      <x:c r="B8" s="43" t="n">
        <x:v>2200</x:v>
      </x:c>
      <x:c r="C8" s="43" t="n">
        <x:v>1500</x:v>
      </x:c>
      <x:c r="D8" s="51" t="n">
        <x:f>IF(A8="","",B8/C8)</x:f>
        <x:v>1.4666666666666666</x:v>
      </x:c>
      <x:c r="E8" s="32" t="str">
        <x:f>IF(A8="","",IF(D8&gt;=1.5,"высокая",IF(D8&gt;=1,"достаточная",IF(D8&gt;=0.7,"пограничная","низкая"))))</x:f>
        <x:v>достаточная</x:v>
      </x:c>
      <x:c r="F8" s="35" t="n">
        <x:v>0.35</x:v>
      </x:c>
      <x:c r="G8" s="43" t="n">
        <x:f>IF(A8="","",'02_Сегменты'!B8*F8)</x:f>
        <x:v>420</x:v>
      </x:c>
      <x:c r="H8" s="43" t="n">
        <x:v>18000</x:v>
      </x:c>
      <x:c r="I8" s="43" t="n">
        <x:f>IF(A8="","",G8*H8)</x:f>
        <x:v>7560000</x:v>
      </x:c>
      <x:c r="J8" s="32" t="str">
        <x:v>Покупка зависит от набора и сезонности</x:v>
      </x:c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B2B-услуги</x:v>
      </x:c>
      <x:c r="B9" s="43" t="n">
        <x:v>3500</x:v>
      </x:c>
      <x:c r="C9" s="43" t="n">
        <x:v>2000</x:v>
      </x:c>
      <x:c r="D9" s="51" t="n">
        <x:f>IF(A9="","",B9/C9)</x:f>
        <x:v>1.75</x:v>
      </x:c>
      <x:c r="E9" s="32" t="str">
        <x:f>IF(A9="","",IF(D9&gt;=1.5,"высокая",IF(D9&gt;=1,"достаточная",IF(D9&gt;=0.7,"пограничная","низкая"))))</x:f>
        <x:v>высокая</x:v>
      </x:c>
      <x:c r="F9" s="35" t="n">
        <x:v>0.3</x:v>
      </x:c>
      <x:c r="G9" s="43" t="n">
        <x:f>IF(A9="","",'02_Сегменты'!B9*F9)</x:f>
        <x:v>1350</x:v>
      </x:c>
      <x:c r="H9" s="43" t="n">
        <x:v>24000</x:v>
      </x:c>
      <x:c r="I9" s="43" t="n">
        <x:f>IF(A9="","",G9*H9)</x:f>
        <x:v>32400000</x:v>
      </x:c>
      <x:c r="J9" s="32" t="str">
        <x:v>Высокий средний чек возможен при лидах</x:v>
      </x:c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/>
      <x:c r="B10" s="43"/>
      <x:c r="C10" s="43"/>
      <x:c r="D10" s="51" t="str">
        <x:f>IF(A10="","",B10/C10)</x:f>
      </x:c>
      <x:c r="E10" s="32" t="str">
        <x:f>IF(A10="","",IF(D10&gt;=1.5,"высокая",IF(D10&gt;=1,"достаточная",IF(D10&gt;=0.7,"пограничная","низкая"))))</x:f>
      </x:c>
      <x:c r="F10" s="35"/>
      <x:c r="G10" s="43" t="str">
        <x:f>IF(A10="","",'02_Сегменты'!B10*F10)</x:f>
      </x:c>
      <x:c r="H10" s="43"/>
      <x:c r="I10" s="43" t="str">
        <x:f>IF(A10="","",G10*H10)</x:f>
      </x:c>
      <x:c r="J10" s="32" t="str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/>
      <x:c r="B11" s="43"/>
      <x:c r="C11" s="43"/>
      <x:c r="D11" s="51" t="str">
        <x:f>IF(A11="","",B11/C11)</x:f>
      </x:c>
      <x:c r="E11" s="32" t="str">
        <x:f>IF(A11="","",IF(D11&gt;=1.5,"высокая",IF(D11&gt;=1,"достаточная",IF(D11&gt;=0.7,"пограничная","низкая"))))</x:f>
      </x:c>
      <x:c r="F11" s="35"/>
      <x:c r="G11" s="43" t="str">
        <x:f>IF(A11="","",'02_Сегменты'!B11*F11)</x:f>
      </x:c>
      <x:c r="H11" s="43"/>
      <x:c r="I11" s="43" t="str">
        <x:f>IF(A11="","",G11*H11)</x:f>
      </x:c>
      <x:c r="J11" s="32" t="str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/>
      <x:c r="B12" s="43"/>
      <x:c r="C12" s="43"/>
      <x:c r="D12" s="51" t="str">
        <x:f>IF(A12="","",B12/C12)</x:f>
      </x:c>
      <x:c r="E12" s="32" t="str">
        <x:f>IF(A12="","",IF(D12&gt;=1.5,"высокая",IF(D12&gt;=1,"достаточная",IF(D12&gt;=0.7,"пограничная","низкая"))))</x:f>
      </x:c>
      <x:c r="F12" s="35"/>
      <x:c r="G12" s="43" t="str">
        <x:f>IF(A12="","",'02_Сегменты'!B12*F12)</x:f>
      </x:c>
      <x:c r="H12" s="43"/>
      <x:c r="I12" s="43" t="str">
        <x:f>IF(A12="","",G12*H12)</x:f>
      </x:c>
      <x:c r="J12" s="32" t="str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/>
      <x:c r="B13" s="43"/>
      <x:c r="C13" s="43"/>
      <x:c r="D13" s="51"/>
      <x:c r="E13" s="32"/>
      <x:c r="F13" s="35"/>
      <x:c r="G13" s="43"/>
      <x:c r="H13" s="43"/>
      <x:c r="I13" s="43"/>
      <x:c r="J13" s="32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Итого / среднее</x:v>
      </x:c>
      <x:c r="B14" s="47" t="n">
        <x:f>AVERAGE(B5:B12)</x:f>
        <x:v>2220</x:v>
      </x:c>
      <x:c r="C14" s="47" t="n">
        <x:f>AVERAGE(C5:C12)</x:f>
        <x:v>1480</x:v>
      </x:c>
      <x:c r="D14" s="52" t="n">
        <x:f>AVERAGE(D5:D12)</x:f>
        <x:v>1.4266666666666667</x:v>
      </x:c>
      <x:c r="E14" s="40" t="str"/>
      <x:c r="F14" s="49" t="n">
        <x:f>AVERAGE(F5:F12)</x:f>
        <x:v>0.326</x:v>
      </x:c>
      <x:c r="G14" s="47" t="n">
        <x:f>SUM(G5:G12)</x:f>
        <x:v>12120</x:v>
      </x:c>
      <x:c r="H14" s="47" t="n">
        <x:f>AVERAGE(H5:H12)</x:f>
        <x:v>17760</x:v>
      </x:c>
      <x:c r="I14" s="47" t="n">
        <x:f>SUM(I5:I12)</x:f>
        <x:v>191520000</x:v>
      </x:c>
      <x:c r="J14" s="40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J1"/>
    <x:mergeCell ref="A2:J2"/>
  </x:mergeCells>
  <x:conditionalFormatting sqref="D5:D12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48e79ba272c4cf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6" hidden="0" customWidth="1"/>
  </x:cols>
  <x:sheetData>
    <x:row r="1" ht="28" customHeight="1">
      <x:c r="A1" s="67" t="str">
        <x:v>Сценарная проверка платежеспособного объема рынка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Сценарии позволяют не завышать вывод и показывать диапазон оценки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Параметр</x:v>
      </x:c>
      <x:c r="B4" s="24" t="str">
        <x:v>Осторожный</x:v>
      </x:c>
      <x:c r="C4" s="24" t="str">
        <x:v>Базовый</x:v>
      </x:c>
      <x:c r="D4" s="24" t="str">
        <x:v>Оптимистичный</x:v>
      </x:c>
      <x:c r="E4" s="24" t="str">
        <x:v>Комментарий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Коэффициент потребности</x:v>
      </x:c>
      <x:c r="B5" s="57" t="n">
        <x:v>0.7</x:v>
      </x:c>
      <x:c r="C5" s="57" t="n">
        <x:v>1</x:v>
      </x:c>
      <x:c r="D5" s="57" t="n">
        <x:v>1.2</x:v>
      </x:c>
      <x:c r="E5" s="32" t="str">
        <x:v>Корректировка доли клиентов с потребностью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Коэффициент платежеспособности</x:v>
      </x:c>
      <x:c r="B6" s="57" t="n">
        <x:v>0.6</x:v>
      </x:c>
      <x:c r="C6" s="57" t="n">
        <x:v>1</x:v>
      </x:c>
      <x:c r="D6" s="57" t="n">
        <x:v>1.25</x:v>
      </x:c>
      <x:c r="E6" s="32" t="str">
        <x:v>Корректировка доли платежеспособных клиентов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Коэффициент частоты покупки</x:v>
      </x:c>
      <x:c r="B7" s="51" t="n">
        <x:v>0.75</x:v>
      </x:c>
      <x:c r="C7" s="51" t="n">
        <x:v>1</x:v>
      </x:c>
      <x:c r="D7" s="51" t="n">
        <x:v>1.15</x:v>
      </x:c>
      <x:c r="E7" s="32" t="str">
        <x:v>Корректировка числа покупок/контрактов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Коэффициент среднего чека</x:v>
      </x:c>
      <x:c r="B8" s="51" t="n">
        <x:v>0.8</x:v>
      </x:c>
      <x:c r="C8" s="51" t="n">
        <x:v>1</x:v>
      </x:c>
      <x:c r="D8" s="51" t="n">
        <x:v>1.2</x:v>
      </x:c>
      <x:c r="E8" s="32" t="str">
        <x:v>Корректировка цены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Достижимая доля нового бизнеса</x:v>
      </x:c>
      <x:c r="B9" s="57" t="n">
        <x:v>0.005</x:v>
      </x:c>
      <x:c r="C9" s="57" t="n">
        <x:v>0.015</x:v>
      </x:c>
      <x:c r="D9" s="57" t="n">
        <x:v>0.035</x:v>
      </x:c>
      <x:c r="E9" s="32" t="str">
        <x:v>Реалистичная доля рынка для нового игрока</x:v>
      </x:c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28" customHeight="1">
      <x:c r="A12" s="24" t="str">
        <x:v>Сегмент</x:v>
      </x:c>
      <x:c r="B12" s="24" t="str">
        <x:v>Базовый объем</x:v>
      </x:c>
      <x:c r="C12" s="24" t="str">
        <x:v>Осторожный рынок</x:v>
      </x:c>
      <x:c r="D12" s="24" t="str">
        <x:v>Базовый рынок</x:v>
      </x:c>
      <x:c r="E12" s="24" t="str">
        <x:v>Оптимистичный рынок</x:v>
      </x:c>
      <x:c r="F12" s="24" t="str">
        <x:v>Осторожная достижимая выручка</x:v>
      </x:c>
      <x:c r="G12" s="24" t="str">
        <x:v>Базовая достижимая выручка</x:v>
      </x:c>
      <x:c r="H12" s="24" t="str">
        <x:v>Оптимистичная достижимая выручка</x:v>
      </x:c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 t="str">
        <x:f>'02_Сегменты'!A5</x:f>
        <x:v>Малый бизнес</x:v>
      </x:c>
      <x:c r="B13" s="43" t="n">
        <x:f>'02_Сегменты'!J5</x:f>
        <x:v>1617000.0000000002</x:v>
      </x:c>
      <x:c r="C13" s="43" t="n">
        <x:f>IF(A13="","",B13*$B$5*$B$6*$B$7*$B$8)</x:f>
        <x:v>407484</x:v>
      </x:c>
      <x:c r="D13" s="43" t="n">
        <x:f>IF(A13="","",B13*$C$5*$C$6*$C$7*$C$8)</x:f>
        <x:v>1617000.0000000002</x:v>
      </x:c>
      <x:c r="E13" s="43" t="n">
        <x:f>IF(A13="","",B13*$D$5*$D$6*$D$7*$D$8)</x:f>
        <x:v>3347190.0000000005</x:v>
      </x:c>
      <x:c r="F13" s="43" t="n">
        <x:f>IF(A13="","",C13*$B$9)</x:f>
        <x:v>2037.42</x:v>
      </x:c>
      <x:c r="G13" s="43" t="n">
        <x:f>IF(A13="","",D13*$C$9)</x:f>
        <x:v>24255.000000000004</x:v>
      </x:c>
      <x:c r="H13" s="43" t="n">
        <x:f>IF(A13="","",E13*$D$9)</x:f>
        <x:v>117151.65000000002</x:v>
      </x:c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 t="str">
        <x:f>'02_Сегменты'!A6</x:f>
        <x:v>Интернет-магазины</x:v>
      </x:c>
      <x:c r="B14" s="43" t="n">
        <x:f>'02_Сегменты'!J6</x:f>
        <x:v>2527200</x:v>
      </x:c>
      <x:c r="C14" s="43" t="n">
        <x:f>IF(A14="","",B14*$B$5*$B$6*$B$7*$B$8)</x:f>
        <x:v>636854.4</x:v>
      </x:c>
      <x:c r="D14" s="43" t="n">
        <x:f>IF(A14="","",B14*$C$5*$C$6*$C$7*$C$8)</x:f>
        <x:v>2527200</x:v>
      </x:c>
      <x:c r="E14" s="43" t="n">
        <x:f>IF(A14="","",B14*$D$5*$D$6*$D$7*$D$8)</x:f>
        <x:v>5231304</x:v>
      </x:c>
      <x:c r="F14" s="43" t="n">
        <x:f>IF(A14="","",C14*$B$9)</x:f>
        <x:v>3184.2720000000004</x:v>
      </x:c>
      <x:c r="G14" s="43" t="n">
        <x:f>IF(A14="","",D14*$C$9)</x:f>
        <x:v>37908</x:v>
      </x:c>
      <x:c r="H14" s="43" t="n">
        <x:f>IF(A14="","",E14*$D$9)</x:f>
        <x:v>183095.64</x:v>
      </x:c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2" t="str">
        <x:f>'02_Сегменты'!A7</x:f>
        <x:v>Локальные услуги</x:v>
      </x:c>
      <x:c r="B15" s="43" t="n">
        <x:f>'02_Сегменты'!J7</x:f>
        <x:v>360000</x:v>
      </x:c>
      <x:c r="C15" s="43" t="n">
        <x:f>IF(A15="","",B15*$B$5*$B$6*$B$7*$B$8)</x:f>
        <x:v>90719.99999999999</x:v>
      </x:c>
      <x:c r="D15" s="43" t="n">
        <x:f>IF(A15="","",B15*$C$5*$C$6*$C$7*$C$8)</x:f>
        <x:v>360000</x:v>
      </x:c>
      <x:c r="E15" s="43" t="n">
        <x:f>IF(A15="","",B15*$D$5*$D$6*$D$7*$D$8)</x:f>
        <x:v>745200</x:v>
      </x:c>
      <x:c r="F15" s="43" t="n">
        <x:f>IF(A15="","",C15*$B$9)</x:f>
        <x:v>453.5999999999999</x:v>
      </x:c>
      <x:c r="G15" s="43" t="n">
        <x:f>IF(A15="","",D15*$C$9)</x:f>
        <x:v>5400</x:v>
      </x:c>
      <x:c r="H15" s="43" t="n">
        <x:f>IF(A15="","",E15*$D$9)</x:f>
        <x:v>26082.000000000004</x:v>
      </x:c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2" t="str">
        <x:f>'02_Сегменты'!A8</x:f>
        <x:v>Образовательные проекты</x:v>
      </x:c>
      <x:c r="B16" s="43" t="n">
        <x:f>'02_Сегменты'!J8</x:f>
        <x:v>389812.5</x:v>
      </x:c>
      <x:c r="C16" s="43" t="n">
        <x:f>IF(A16="","",B16*$B$5*$B$6*$B$7*$B$8)</x:f>
        <x:v>98232.75</x:v>
      </x:c>
      <x:c r="D16" s="43" t="n">
        <x:f>IF(A16="","",B16*$C$5*$C$6*$C$7*$C$8)</x:f>
        <x:v>389812.5</x:v>
      </x:c>
      <x:c r="E16" s="43" t="n">
        <x:f>IF(A16="","",B16*$D$5*$D$6*$D$7*$D$8)</x:f>
        <x:v>806911.875</x:v>
      </x:c>
      <x:c r="F16" s="43" t="n">
        <x:f>IF(A16="","",C16*$B$9)</x:f>
        <x:v>491.16375</x:v>
      </x:c>
      <x:c r="G16" s="43" t="n">
        <x:f>IF(A16="","",D16*$C$9)</x:f>
        <x:v>5847.1875</x:v>
      </x:c>
      <x:c r="H16" s="43" t="n">
        <x:f>IF(A16="","",E16*$D$9)</x:f>
        <x:v>28241.915625</x:v>
      </x:c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2" t="str">
        <x:f>'02_Сегменты'!A9</x:f>
        <x:v>B2B-услуги</x:v>
      </x:c>
      <x:c r="B17" s="43" t="n">
        <x:f>'02_Сегменты'!J9</x:f>
        <x:v>874800</x:v>
      </x:c>
      <x:c r="C17" s="43" t="n">
        <x:f>IF(A17="","",B17*$B$5*$B$6*$B$7*$B$8)</x:f>
        <x:v>220449.6</x:v>
      </x:c>
      <x:c r="D17" s="43" t="n">
        <x:f>IF(A17="","",B17*$C$5*$C$6*$C$7*$C$8)</x:f>
        <x:v>874800</x:v>
      </x:c>
      <x:c r="E17" s="43" t="n">
        <x:f>IF(A17="","",B17*$D$5*$D$6*$D$7*$D$8)</x:f>
        <x:v>1810835.9999999998</x:v>
      </x:c>
      <x:c r="F17" s="43" t="n">
        <x:f>IF(A17="","",C17*$B$9)</x:f>
        <x:v>1102.248</x:v>
      </x:c>
      <x:c r="G17" s="43" t="n">
        <x:f>IF(A17="","",D17*$C$9)</x:f>
        <x:v>13122</x:v>
      </x:c>
      <x:c r="H17" s="43" t="n">
        <x:f>IF(A17="","",E17*$D$9)</x:f>
        <x:v>63379.259999999995</x:v>
      </x:c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2" t="n">
        <x:f>'02_Сегменты'!A10</x:f>
        <x:v>0</x:v>
      </x:c>
      <x:c r="B18" s="43" t="n">
        <x:f>'02_Сегменты'!J10</x:f>
        <x:v>0</x:v>
      </x:c>
      <x:c r="C18" s="43" t="str">
        <x:f>IF(A18="","",B18*$B$5*$B$6*$B$7*$B$8)</x:f>
      </x:c>
      <x:c r="D18" s="43" t="str">
        <x:f>IF(A18="","",B18*$C$5*$C$6*$C$7*$C$8)</x:f>
      </x:c>
      <x:c r="E18" s="43" t="str">
        <x:f>IF(A18="","",B18*$D$5*$D$6*$D$7*$D$8)</x:f>
      </x:c>
      <x:c r="F18" s="43" t="str">
        <x:f>IF(A18="","",C18*$B$9)</x:f>
      </x:c>
      <x:c r="G18" s="43" t="str">
        <x:f>IF(A18="","",D18*$C$9)</x:f>
      </x:c>
      <x:c r="H18" s="43" t="str">
        <x:f>IF(A18="","",E18*$D$9)</x:f>
      </x:c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2" t="n">
        <x:f>'02_Сегменты'!A11</x:f>
        <x:v>0</x:v>
      </x:c>
      <x:c r="B19" s="43" t="n">
        <x:f>'02_Сегменты'!J11</x:f>
        <x:v>0</x:v>
      </x:c>
      <x:c r="C19" s="43" t="str">
        <x:f>IF(A19="","",B19*$B$5*$B$6*$B$7*$B$8)</x:f>
      </x:c>
      <x:c r="D19" s="43" t="str">
        <x:f>IF(A19="","",B19*$C$5*$C$6*$C$7*$C$8)</x:f>
      </x:c>
      <x:c r="E19" s="43" t="str">
        <x:f>IF(A19="","",B19*$D$5*$D$6*$D$7*$D$8)</x:f>
      </x:c>
      <x:c r="F19" s="43" t="str">
        <x:f>IF(A19="","",C19*$B$9)</x:f>
      </x:c>
      <x:c r="G19" s="43" t="str">
        <x:f>IF(A19="","",D19*$C$9)</x:f>
      </x:c>
      <x:c r="H19" s="43" t="str">
        <x:f>IF(A19="","",E19*$D$9)</x:f>
      </x:c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2" t="n">
        <x:f>'02_Сегменты'!A12</x:f>
        <x:v>0</x:v>
      </x:c>
      <x:c r="B20" s="43" t="n">
        <x:f>'02_Сегменты'!J12</x:f>
        <x:v>0</x:v>
      </x:c>
      <x:c r="C20" s="43" t="str">
        <x:f>IF(A20="","",B20*$B$5*$B$6*$B$7*$B$8)</x:f>
      </x:c>
      <x:c r="D20" s="43" t="str">
        <x:f>IF(A20="","",B20*$C$5*$C$6*$C$7*$C$8)</x:f>
      </x:c>
      <x:c r="E20" s="43" t="str">
        <x:f>IF(A20="","",B20*$D$5*$D$6*$D$7*$D$8)</x:f>
      </x:c>
      <x:c r="F20" s="43" t="str">
        <x:f>IF(A20="","",C20*$B$9)</x:f>
      </x:c>
      <x:c r="G20" s="43" t="str">
        <x:f>IF(A20="","",D20*$C$9)</x:f>
      </x:c>
      <x:c r="H20" s="43" t="str">
        <x:f>IF(A20="","",E20*$D$9)</x:f>
      </x:c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2"/>
      <x:c r="B21" s="43"/>
      <x:c r="C21" s="43"/>
      <x:c r="D21" s="43"/>
      <x:c r="E21" s="43"/>
      <x:c r="F21" s="43"/>
      <x:c r="G21" s="43"/>
      <x:c r="H21" s="43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40" t="str">
        <x:v>Итого</x:v>
      </x:c>
      <x:c r="B22" s="47" t="n">
        <x:f>SUM(B13:B20)</x:f>
        <x:v>5768812.5</x:v>
      </x:c>
      <x:c r="C22" s="47" t="n">
        <x:f>SUM(C13:C20)</x:f>
        <x:v>1453740.75</x:v>
      </x:c>
      <x:c r="D22" s="47" t="n">
        <x:f>SUM(D13:D20)</x:f>
        <x:v>5768812.5</x:v>
      </x:c>
      <x:c r="E22" s="47" t="n">
        <x:f>SUM(E13:E20)</x:f>
        <x:v>11941441.875</x:v>
      </x:c>
      <x:c r="F22" s="47" t="n">
        <x:f>SUM(F13:F20)</x:f>
        <x:v>7268.703750000001</x:v>
      </x:c>
      <x:c r="G22" s="47" t="n">
        <x:f>SUM(G13:G20)</x:f>
        <x:v>86532.1875</x:v>
      </x:c>
      <x:c r="H22" s="47" t="n">
        <x:f>SUM(H13:H20)</x:f>
        <x:v>417950.46562500007</x:v>
      </x:c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28" hidden="0" customWidth="1"/>
  </x:cols>
  <x:sheetData>
    <x:row r="1" ht="28" customHeight="1">
      <x:c r="A1" s="67" t="str">
        <x:v>Проверка цифровой активности через Similarweb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Используется как косвенная проверка рынка: трафик конкурентов, география, каналы и поисковые запросы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Сайт / конкурент</x:v>
      </x:c>
      <x:c r="B4" s="24" t="str">
        <x:v>Месячные посещения</x:v>
      </x:c>
      <x:c r="C4" s="24" t="str">
        <x:v>Доля целевой географии</x:v>
      </x:c>
      <x:c r="D4" s="24" t="str">
        <x:v>Релевантный трафик</x:v>
      </x:c>
      <x:c r="E4" s="24" t="str">
        <x:v>Доля поискового трафика</x:v>
      </x:c>
      <x:c r="F4" s="24" t="str">
        <x:v>Доля прямого трафика</x:v>
      </x:c>
      <x:c r="G4" s="24" t="str">
        <x:v>Доля соцсетей</x:v>
      </x:c>
      <x:c r="H4" s="24" t="str">
        <x:v>Оценка конверсии в заявку</x:v>
      </x:c>
      <x:c r="I4" s="24" t="str">
        <x:v>Оценка заявок/мес.</x:v>
      </x:c>
      <x:c r="J4" s="24" t="str">
        <x:v>Средний чек</x:v>
      </x:c>
      <x:c r="K4" s="24" t="str">
        <x:v>Оценка выручки/мес.</x:v>
      </x:c>
      <x:c r="L4" s="24" t="str">
        <x:v>Источник / дата</x:v>
      </x:c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competitor-a.example</x:v>
      </x:c>
      <x:c r="B5" s="43" t="n">
        <x:v>50000</x:v>
      </x:c>
      <x:c r="C5" s="35" t="n">
        <x:v>0.45</x:v>
      </x:c>
      <x:c r="D5" s="43" t="n">
        <x:f>IF(A5="","",B5*C5)</x:f>
        <x:v>22500</x:v>
      </x:c>
      <x:c r="E5" s="35" t="n">
        <x:v>0.38</x:v>
      </x:c>
      <x:c r="F5" s="35" t="n">
        <x:v>0.22</x:v>
      </x:c>
      <x:c r="G5" s="35" t="n">
        <x:v>0.15</x:v>
      </x:c>
      <x:c r="H5" s="35" t="n">
        <x:v>0.015</x:v>
      </x:c>
      <x:c r="I5" s="43" t="n">
        <x:f>IF(A5="","",D5*H5)</x:f>
        <x:v>337.5</x:v>
      </x:c>
      <x:c r="J5" s="43" t="n">
        <x:v>1500</x:v>
      </x:c>
      <x:c r="K5" s="43" t="n">
        <x:f>IF(A5="","",I5*J5)</x:f>
        <x:v>506250</x:v>
      </x:c>
      <x:c r="L5" s="32" t="str">
        <x:v>Similarweb, вручную</x:v>
      </x:c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competitor-b.example</x:v>
      </x:c>
      <x:c r="B6" s="43" t="n">
        <x:v>28000</x:v>
      </x:c>
      <x:c r="C6" s="35" t="n">
        <x:v>0.6</x:v>
      </x:c>
      <x:c r="D6" s="43" t="n">
        <x:f>IF(A6="","",B6*C6)</x:f>
        <x:v>16800</x:v>
      </x:c>
      <x:c r="E6" s="35" t="n">
        <x:v>0.42</x:v>
      </x:c>
      <x:c r="F6" s="35" t="n">
        <x:v>0.18</x:v>
      </x:c>
      <x:c r="G6" s="35" t="n">
        <x:v>0.2</x:v>
      </x:c>
      <x:c r="H6" s="35" t="n">
        <x:v>0.012</x:v>
      </x:c>
      <x:c r="I6" s="43" t="n">
        <x:f>IF(A6="","",D6*H6)</x:f>
        <x:v>201.6</x:v>
      </x:c>
      <x:c r="J6" s="43" t="n">
        <x:v>1200</x:v>
      </x:c>
      <x:c r="K6" s="43" t="n">
        <x:f>IF(A6="","",I6*J6)</x:f>
        <x:v>241920</x:v>
      </x:c>
      <x:c r="L6" s="32" t="str">
        <x:v>Similarweb, вручную</x:v>
      </x:c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competitor-c.example</x:v>
      </x:c>
      <x:c r="B7" s="43" t="n">
        <x:v>12000</x:v>
      </x:c>
      <x:c r="C7" s="35" t="n">
        <x:v>0.7</x:v>
      </x:c>
      <x:c r="D7" s="43" t="n">
        <x:f>IF(A7="","",B7*C7)</x:f>
        <x:v>8400</x:v>
      </x:c>
      <x:c r="E7" s="35" t="n">
        <x:v>0.35</x:v>
      </x:c>
      <x:c r="F7" s="35" t="n">
        <x:v>0.25</x:v>
      </x:c>
      <x:c r="G7" s="35" t="n">
        <x:v>0.18</x:v>
      </x:c>
      <x:c r="H7" s="35" t="n">
        <x:v>0.01</x:v>
      </x:c>
      <x:c r="I7" s="43" t="n">
        <x:f>IF(A7="","",D7*H7)</x:f>
        <x:v>84</x:v>
      </x:c>
      <x:c r="J7" s="43" t="n">
        <x:v>900</x:v>
      </x:c>
      <x:c r="K7" s="43" t="n">
        <x:f>IF(A7="","",I7*J7)</x:f>
        <x:v>75600</x:v>
      </x:c>
      <x:c r="L7" s="32" t="str">
        <x:v>Similarweb, вручную</x:v>
      </x:c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/>
      <x:c r="B8" s="43"/>
      <x:c r="C8" s="35"/>
      <x:c r="D8" s="43" t="str">
        <x:f>IF(A8="","",B8*C8)</x:f>
      </x:c>
      <x:c r="E8" s="35"/>
      <x:c r="F8" s="35"/>
      <x:c r="G8" s="35"/>
      <x:c r="H8" s="35"/>
      <x:c r="I8" s="43" t="str">
        <x:f>IF(A8="","",D8*H8)</x:f>
      </x:c>
      <x:c r="J8" s="43"/>
      <x:c r="K8" s="43" t="str">
        <x:f>IF(A8="","",I8*J8)</x:f>
      </x:c>
      <x:c r="L8" s="32" t="str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/>
      <x:c r="B9" s="43"/>
      <x:c r="C9" s="35"/>
      <x:c r="D9" s="43" t="str">
        <x:f>IF(A9="","",B9*C9)</x:f>
      </x:c>
      <x:c r="E9" s="35"/>
      <x:c r="F9" s="35"/>
      <x:c r="G9" s="35"/>
      <x:c r="H9" s="35"/>
      <x:c r="I9" s="43" t="str">
        <x:f>IF(A9="","",D9*H9)</x:f>
      </x:c>
      <x:c r="J9" s="43"/>
      <x:c r="K9" s="43" t="str">
        <x:f>IF(A9="","",I9*J9)</x:f>
      </x:c>
      <x:c r="L9" s="32" t="str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/>
      <x:c r="B10" s="43"/>
      <x:c r="C10" s="35"/>
      <x:c r="D10" s="43" t="str">
        <x:f>IF(A10="","",B10*C10)</x:f>
      </x:c>
      <x:c r="E10" s="35"/>
      <x:c r="F10" s="35"/>
      <x:c r="G10" s="35"/>
      <x:c r="H10" s="35"/>
      <x:c r="I10" s="43" t="str">
        <x:f>IF(A10="","",D10*H10)</x:f>
      </x:c>
      <x:c r="J10" s="43"/>
      <x:c r="K10" s="43" t="str">
        <x:f>IF(A10="","",I10*J10)</x:f>
      </x:c>
      <x:c r="L10" s="32" t="str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/>
      <x:c r="B11" s="43"/>
      <x:c r="C11" s="35"/>
      <x:c r="D11" s="43" t="str">
        <x:f>IF(A11="","",B11*C11)</x:f>
      </x:c>
      <x:c r="E11" s="35"/>
      <x:c r="F11" s="35"/>
      <x:c r="G11" s="35"/>
      <x:c r="H11" s="35"/>
      <x:c r="I11" s="43" t="str">
        <x:f>IF(A11="","",D11*H11)</x:f>
      </x:c>
      <x:c r="J11" s="43"/>
      <x:c r="K11" s="43" t="str">
        <x:f>IF(A11="","",I11*J11)</x:f>
      </x:c>
      <x:c r="L11" s="32" t="str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/>
      <x:c r="B12" s="43"/>
      <x:c r="C12" s="35"/>
      <x:c r="D12" s="43" t="str">
        <x:f>IF(A12="","",B12*C12)</x:f>
      </x:c>
      <x:c r="E12" s="35"/>
      <x:c r="F12" s="35"/>
      <x:c r="G12" s="35"/>
      <x:c r="H12" s="35"/>
      <x:c r="I12" s="43" t="str">
        <x:f>IF(A12="","",D12*H12)</x:f>
      </x:c>
      <x:c r="J12" s="43"/>
      <x:c r="K12" s="43" t="str">
        <x:f>IF(A12="","",I12*J12)</x:f>
      </x:c>
      <x:c r="L12" s="32" t="str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/>
      <x:c r="B13" s="43"/>
      <x:c r="C13" s="35"/>
      <x:c r="D13" s="43"/>
      <x:c r="E13" s="35"/>
      <x:c r="F13" s="35"/>
      <x:c r="G13" s="35"/>
      <x:c r="H13" s="35"/>
      <x:c r="I13" s="43"/>
      <x:c r="J13" s="43"/>
      <x:c r="K13" s="43"/>
      <x:c r="L13" s="32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40" t="str">
        <x:v>Итого / среднее</x:v>
      </x:c>
      <x:c r="B14" s="47" t="n">
        <x:f>SUM(B5:B12)</x:f>
        <x:v>90000</x:v>
      </x:c>
      <x:c r="C14" s="49" t="n">
        <x:f>AVERAGE(C5:C12)</x:f>
        <x:v>0.5833333333333334</x:v>
      </x:c>
      <x:c r="D14" s="47" t="n">
        <x:f>SUM(D5:D12)</x:f>
        <x:v>47700</x:v>
      </x:c>
      <x:c r="E14" s="49" t="n">
        <x:f>AVERAGE(E5:E12)</x:f>
        <x:v>0.3833333333333333</x:v>
      </x:c>
      <x:c r="F14" s="49" t="n">
        <x:f>AVERAGE(F5:F12)</x:f>
        <x:v>0.21666666666666667</x:v>
      </x:c>
      <x:c r="G14" s="49" t="n">
        <x:f>AVERAGE(G5:G12)</x:f>
        <x:v>0.17666666666666667</x:v>
      </x:c>
      <x:c r="H14" s="49" t="n">
        <x:f>AVERAGE(H5:H12)</x:f>
        <x:v>0.012333333333333333</x:v>
      </x:c>
      <x:c r="I14" s="47" t="n">
        <x:f>SUM(I5:I12)</x:f>
        <x:v>623.1</x:v>
      </x:c>
      <x:c r="J14" s="47" t="n">
        <x:f>AVERAGE(J5:J12)</x:f>
        <x:v>1200</x:v>
      </x:c>
      <x:c r="K14" s="47" t="n">
        <x:f>SUM(K5:K12)</x:f>
        <x:v>823770</x:v>
      </x:c>
      <x:c r="L14" s="40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1cc4125b0bd4c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67" t="str">
        <x:v>Итоговая панель проверки платежеспособности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Ключевые показатели, сценарии и вывод для принятия решения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Показатель</x:v>
      </x:c>
      <x:c r="B4" s="24" t="str">
        <x:v>Значение</x:v>
      </x:c>
      <x:c r="C4" s="24" t="str">
        <x:v>Интерпретация</x:v>
      </x:c>
      <x:c r="D4" s="31"/>
      <x:c r="E4" s="24" t="str">
        <x:v>Сценарий</x:v>
      </x:c>
      <x:c r="F4" s="24" t="str">
        <x:v>Рынок</x:v>
      </x:c>
      <x:c r="G4" s="24" t="str">
        <x:v>Достижимая выручка</x:v>
      </x:c>
      <x:c r="H4" s="24" t="str">
        <x:v>Комментарий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Потенциальный объем по сегментам</x:v>
      </x:c>
      <x:c r="B5" s="43" t="n">
        <x:f>'02_Сегменты'!J16</x:f>
        <x:v>5768812.5</x:v>
      </x:c>
      <x:c r="C5" s="32" t="str">
        <x:v>Сумма по всем сегментам с учетом потребности, цифровой доступности и платежеспособности</x:v>
      </x:c>
      <x:c r="D5" s="31"/>
      <x:c r="E5" s="32" t="str">
        <x:v>Осторожный</x:v>
      </x:c>
      <x:c r="F5" s="43" t="n">
        <x:f>'06_Сценарии'!C22</x:f>
        <x:v>1453740.75</x:v>
      </x:c>
      <x:c r="G5" s="43" t="n">
        <x:f>'06_Сценарии'!F22</x:f>
        <x:v>7268.703750000001</x:v>
      </x:c>
      <x:c r="H5" s="32" t="str">
        <x:v>Нижняя граница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Платежеспособные клиенты</x:v>
      </x:c>
      <x:c r="B6" s="43" t="n">
        <x:f>'02_Сегменты'!H16</x:f>
        <x:v>2987.25</x:v>
      </x:c>
      <x:c r="C6" s="32" t="str">
        <x:v>Расчетная база клиентов, способных купить предложение</x:v>
      </x:c>
      <x:c r="D6" s="31"/>
      <x:c r="E6" s="32" t="str">
        <x:v>Базовый</x:v>
      </x:c>
      <x:c r="F6" s="43" t="n">
        <x:f>'06_Сценарии'!D22</x:f>
        <x:v>5768812.5</x:v>
      </x:c>
      <x:c r="G6" s="43" t="n">
        <x:f>'06_Сценарии'!G22</x:f>
        <x:v>86532.1875</x:v>
      </x:c>
      <x:c r="H6" s="32" t="str">
        <x:v>Плановый ориентир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Средний индекс платежеспособности</x:v>
      </x:c>
      <x:c r="B7" s="51" t="n">
        <x:f>'05_Платежеспособность'!D14</x:f>
        <x:v>1.4266666666666667</x:v>
      </x:c>
      <x:c r="C7" s="32" t="str">
        <x:v>Бюджет клиента / цена предложения</x:v>
      </x:c>
      <x:c r="D7" s="31"/>
      <x:c r="E7" s="32" t="str">
        <x:v>Оптимистичный</x:v>
      </x:c>
      <x:c r="F7" s="43" t="n">
        <x:f>'06_Сценарии'!E22</x:f>
        <x:v>11941441.875</x:v>
      </x:c>
      <x:c r="G7" s="43" t="n">
        <x:f>'06_Сценарии'!H22</x:f>
        <x:v>417950.46562500007</x:v>
      </x:c>
      <x:c r="H7" s="32" t="str">
        <x:v>Верхняя граница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Средний ROI клиента за год</x:v>
      </x:c>
      <x:c r="B8" s="35" t="n">
        <x:f>'04_Экономика_покупки'!H14</x:f>
        <x:v>-0.6299166666666667</x:v>
      </x:c>
      <x:c r="C8" s="32" t="str">
        <x:v>Экономическая оправданность покупки с позиции клиента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Осторожная достижимая выручка</x:v>
      </x:c>
      <x:c r="B9" s="43" t="n">
        <x:f>'06_Сценарии'!F22</x:f>
        <x:v>7268.703750000001</x:v>
      </x:c>
      <x:c r="C9" s="32" t="str">
        <x:v>Реалистичный нижний сценарий для нового игрока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Базовая достижимая выручка</x:v>
      </x:c>
      <x:c r="B10" s="43" t="n">
        <x:f>'06_Сценарии'!G22</x:f>
        <x:v>86532.1875</x:v>
      </x:c>
      <x:c r="C10" s="32" t="str">
        <x:v>Основной сценарий для планирования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>
        <x:v>Оптимистичная достижимая выручка</x:v>
      </x:c>
      <x:c r="B11" s="43" t="n">
        <x:f>'06_Сценарии'!H22</x:f>
        <x:v>417950.46562500007</x:v>
      </x:c>
      <x:c r="C11" s="32" t="str">
        <x:v>Верхний сценарий при высокой реализации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Оценка выручки конкурентов по Similarweb/мес.</x:v>
      </x:c>
      <x:c r="B12" s="43" t="n">
        <x:f>'07_Similarweb'!K14</x:f>
        <x:v>823770</x:v>
      </x:c>
      <x:c r="C12" s="32" t="str">
        <x:v>Косвенный ориентир цифровой активности рынка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23" t="str">
        <x:v>Автоматизированный предварительный вывод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63" t="str">
        <x: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x:f>
        <x:v>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</x:v>
      </x:c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J1"/>
    <x:mergeCell ref="A2:J2"/>
    <x:mergeCell ref="A15:C15"/>
    <x:mergeCell ref="A16:C18"/>
  </x:mergeCells>
  <x:pageMargins left="0.7" right="0.7" top="0.75" bottom="0.75" header="0.3" footer="0.3"/>
  <x:drawing xmlns:r="http://schemas.openxmlformats.org/officeDocument/2006/relationships" r:id="Rfbf063ca0bc64e7b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38" hidden="0" customWidth="1"/>
    <x:col min="4" max="4" width="36" hidden="0" customWidth="1"/>
    <x:col min="5" max="5" width="16" hidden="0" customWidth="1"/>
    <x:col min="6" max="6" width="36" hidden="0" customWidth="1"/>
  </x:cols>
  <x:sheetData>
    <x:row r="1" ht="28" customHeight="1">
      <x:c r="A1" s="67" t="str">
        <x:v>Журнал источников данных и допущений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4" t="str">
        <x:v>Заполняется для воспроизводимости расчета и проверки ограничений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8" customHeight="1">
      <x:c r="A4" s="24" t="str">
        <x:v>Источник</x:v>
      </x:c>
      <x:c r="B4" s="24" t="str">
        <x:v>Какие данные брать</x:v>
      </x:c>
      <x:c r="C4" s="24" t="str">
        <x:v>Как использовать</x:v>
      </x:c>
      <x:c r="D4" s="24" t="str">
        <x:v>Ссылка / путь</x:v>
      </x:c>
      <x:c r="E4" s="24" t="str">
        <x:v>Дата обращения</x:v>
      </x:c>
      <x:c r="F4" s="24" t="str">
        <x:v>Ограничение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Белстат / государственная статистика</x:v>
      </x:c>
      <x:c r="B5" s="32" t="str">
        <x:v>Количество компаний, отрасли, доходы, социально-экономические показатели</x:v>
      </x:c>
      <x:c r="C5" s="32" t="str">
        <x:v>Оценка потенциальной клиентской базы и платежеспособности</x:v>
      </x:c>
      <x:c r="D5" s="32" t="str">
        <x:v>https://www.belstat.gov.by/</x:v>
      </x:c>
      <x:c r="E5" s="32" t="str"/>
      <x:c r="F5" s="32" t="str">
        <x:v>Официальные данные могут быть укрупненными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Similarweb</x:v>
      </x:c>
      <x:c r="B6" s="32" t="str">
        <x:v>Посещаемость конкурентов, каналы, география, поисковый трафик</x:v>
      </x:c>
      <x:c r="C6" s="32" t="str">
        <x:v>Проверка цифровой активности и конкурентной среды</x:v>
      </x:c>
      <x:c r="D6" s="32" t="str">
        <x:v>https://www.similarweb.com/website/</x:v>
      </x:c>
      <x:c r="E6" s="32" t="str"/>
      <x:c r="F6" s="32" t="str">
        <x:v>Оценочные данные, точность ниже для малых сайтов</x:v>
      </x:c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Google Trends</x:v>
      </x:c>
      <x:c r="B7" s="32" t="str">
        <x:v>Динамика относительного интереса</x:v>
      </x:c>
      <x:c r="C7" s="32" t="str">
        <x:v>Проверка устойчивости интереса к теме</x:v>
      </x:c>
      <x:c r="D7" s="32" t="str">
        <x:v>https://trends.google.com/</x:v>
      </x:c>
      <x:c r="E7" s="32" t="str"/>
      <x:c r="F7" s="32" t="str">
        <x:v>Индекс 0–100 не равен абсолютному спросу</x:v>
      </x:c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Яндекс Вордстат</x:v>
      </x:c>
      <x:c r="B8" s="32" t="str">
        <x:v>Частотность запросов, регионы, динамика</x:v>
      </x:c>
      <x:c r="C8" s="32" t="str">
        <x:v>Проверка поискового спроса и коммерческих формулировок</x:v>
      </x:c>
      <x:c r="D8" s="32" t="str">
        <x:v>https://wordstat.yandex.ru/</x:v>
      </x:c>
      <x:c r="E8" s="32" t="str"/>
      <x:c r="F8" s="32" t="str">
        <x:v>Отражает аудиторию Яндекса</x:v>
      </x:c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Сайты конкурентов</x:v>
      </x:c>
      <x:c r="B9" s="32" t="str">
        <x:v>Цены, пакеты услуг, позиционирование, офферы</x:v>
      </x:c>
      <x:c r="C9" s="32" t="str">
        <x:v>Определение ценового коридора и коммерческих условий</x:v>
      </x:c>
      <x:c r="D9" s="32" t="str"/>
      <x:c r="E9" s="32" t="str"/>
      <x:c r="F9" s="32" t="str">
        <x:v>Неполная видимость фактических продаж</x:v>
      </x:c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Опросы / интервью клиентов</x:v>
      </x:c>
      <x:c r="B10" s="32" t="str">
        <x:v>Бюджет, готовность платить, барьеры покупки</x:v>
      </x:c>
      <x:c r="C10" s="32" t="str">
        <x:v>Проверка платежеспособности и экономической оправданности</x:v>
      </x:c>
      <x:c r="D10" s="32" t="str"/>
      <x:c r="E10" s="32" t="str"/>
      <x:c r="F10" s="32" t="str">
        <x:v>Может быть смещенность выборки</x:v>
      </x:c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  <x:mergeCell ref="A2:H2"/>
  </x:mergeCells>
  <x:pageMargins left="0.7" right="0.7" top="0.75" bottom="0.75" header="0.3" footer="0.3"/>
</x:worksheet>
</file>