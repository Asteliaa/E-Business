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c989aa0dd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Инструкция" sheetId="1" r:id="R614ea50dbc4a41d4"/>
    <x:sheet xmlns:r="http://schemas.openxmlformats.org/officeDocument/2006/relationships" name="01_Компании" sheetId="2" r:id="Rc5485eeba308402e"/>
    <x:sheet xmlns:r="http://schemas.openxmlformats.org/officeDocument/2006/relationships" name="02_Доказательства" sheetId="3" r:id="Re7d84a99799a473b"/>
    <x:sheet xmlns:r="http://schemas.openxmlformats.org/officeDocument/2006/relationships" name="03_Критерии" sheetId="4" r:id="Rd62a538ca62b453a"/>
    <x:sheet xmlns:r="http://schemas.openxmlformats.org/officeDocument/2006/relationships" name="04_Оценка" sheetId="5" r:id="Re248dee121524f79"/>
    <x:sheet xmlns:r="http://schemas.openxmlformats.org/officeDocument/2006/relationships" name="05_Уровни" sheetId="6" r:id="R00fb052420104bb2"/>
    <x:sheet xmlns:r="http://schemas.openxmlformats.org/officeDocument/2006/relationships" name="06_Сводка" sheetId="7" r:id="R57d0d3a151e6451a"/>
    <x:sheet xmlns:r="http://schemas.openxmlformats.org/officeDocument/2006/relationships" name="07_Карта" sheetId="8" r:id="R42390e6376c54580"/>
    <x:sheet xmlns:r="http://schemas.openxmlformats.org/officeDocument/2006/relationships" name="08_Справочники" sheetId="9" r:id="R51df18bdba35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0.00"/>
    <x:numFmt numFmtId="203" formatCode="0%"/>
  </x:numFmts>
  <x:fonts count="7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000000"/>
      <x:name val="Carlito"/>
    </x:font>
    <x:font>
      <x:b/>
      <x:sz val="10"/>
      <x:color rgb="FFFFFF"/>
      <x:name val="Calibri"/>
    </x:font>
    <x:font>
      <x:sz val="1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1F4E5F"/>
      </x:patternFill>
    </x:fill>
    <x:fill>
      <x:patternFill patternType="solid">
        <x:fgColor rgb="2E7D7A"/>
      </x:patternFill>
    </x:fill>
    <x:fill>
      <x:patternFill patternType="solid">
        <x:fgColor rgb="FFF2CC"/>
      </x:patternFill>
    </x:fill>
    <x:fill>
      <x:patternFill patternType="solid">
        <x:fgColor rgb="D8EAF0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ill>
        <x:patternFill patternType="solid">
          <x:bgColor rgb="DDEEDC"/>
        </x:patternFill>
      </x:fill>
    </x:dxf>
    <x:dxf>
      <x:fill>
        <x:patternFill patternType="solid">
          <x:bgColor rgb="EAF4F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DEEDC"/>
        </x:patternFill>
      </x:fill>
    </x:dxf>
    <x:dxf>
      <x:fill>
        <x:patternFill patternType="solid">
          <x:bgColor rgb="DDEEDC"/>
        </x:patternFill>
      </x:fill>
    </x:dxf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81965cb88c439b" /><Relationship Type="http://schemas.openxmlformats.org/officeDocument/2006/relationships/theme" Target="/xl/theme/theme1.xml" Id="Rfc8bacfbf90b4d32" /><Relationship Type="http://schemas.openxmlformats.org/officeDocument/2006/relationships/sharedStrings" Target="/xl/sharedStrings.xml" Id="Rc400b69c8376433b" /><Relationship Type="http://schemas.openxmlformats.org/officeDocument/2006/relationships/worksheet" Target="/xl/worksheets/sheet1.xml" Id="R614ea50dbc4a41d4" /><Relationship Type="http://schemas.openxmlformats.org/officeDocument/2006/relationships/worksheet" Target="/xl/worksheets/sheet2.xml" Id="Rc5485eeba308402e" /><Relationship Type="http://schemas.openxmlformats.org/officeDocument/2006/relationships/worksheet" Target="/xl/worksheets/sheet3.xml" Id="Re7d84a99799a473b" /><Relationship Type="http://schemas.openxmlformats.org/officeDocument/2006/relationships/worksheet" Target="/xl/worksheets/sheet4.xml" Id="Rd62a538ca62b453a" /><Relationship Type="http://schemas.openxmlformats.org/officeDocument/2006/relationships/worksheet" Target="/xl/worksheets/sheet5.xml" Id="Re248dee121524f79" /><Relationship Type="http://schemas.openxmlformats.org/officeDocument/2006/relationships/worksheet" Target="/xl/worksheets/sheet6.xml" Id="R00fb052420104bb2" /><Relationship Type="http://schemas.openxmlformats.org/officeDocument/2006/relationships/worksheet" Target="/xl/worksheets/sheet7.xml" Id="R57d0d3a151e6451a" /><Relationship Type="http://schemas.openxmlformats.org/officeDocument/2006/relationships/worksheet" Target="/xl/worksheets/sheet8.xml" Id="R42390e6376c54580" /><Relationship Type="http://schemas.openxmlformats.org/officeDocument/2006/relationships/worksheet" Target="/xl/worksheets/sheet9.xml" Id="R51df18bdba3542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80cc0c0d624f9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3e435e8bbbc47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Распределение компаний по уровням конкуренции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</c:v>
          </c:tx>
          <c:cat>
            <c:strRef>
              <c:f>'06_Сводка'!$A$11:$A$16</c:f>
              <c:strCache>
                <c:ptCount val="0"/>
              </c:strCache>
            </c:strRef>
          </c:cat>
          <c:val>
            <c:numRef>
              <c:f>'06_Сводка'!$B$11:$B$16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Карта: функциональная близость и аудиторное пересечение</a:t>
            </a:r>
          </a:p>
        </c:rich>
      </c:tx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v>Y: аудитория + рынок</c:v>
          </c:tx>
          <c:xVal>
            <c:numLit>
              <c:formatCode>General</c:formatCode>
              <c:ptCount val="0"/>
            </c:numLit>
          </c:xVal>
          <c:yVal>
            <c:numRef>
              <c:f>'07_Карта'!$D$4:$D$103</c:f>
              <c:numCache>
                <c:formatCode>0.00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numFmt formatCode="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numFmt formatCode="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80cc0c0d624f9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e435e8bbbc47b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CompaniesTable" displayName="CompaniesTable" ref="A3:M103" headerRowCount="1">
  <x:tableColumns count="13">
    <x:tableColumn id="1" name="ID"/>
    <x:tableColumn id="2" name="Компания"/>
    <x:tableColumn id="3" name="Сайт"/>
    <x:tableColumn id="4" name="Рынок / страна"/>
    <x:tableColumn id="5" name="Тип компании"/>
    <x:tableColumn id="6" name="Основной цифровой товар"/>
    <x:tableColumn id="7" name="Целевой сегмент"/>
    <x:tableColumn id="8" name="Предварительная гипотеза"/>
    <x:tableColumn id="9" name="Приоритет"/>
    <x:tableColumn id="10" name="Ответственный"/>
    <x:tableColumn id="11" name="Статус"/>
    <x:tableColumn id="12" name="Дата обновления"/>
    <x:tableColumn id="13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4" name="EvidenceTable" displayName="EvidenceTable" ref="A3:L303" headerRowCount="1">
  <x:tableColumns count="12">
    <x:tableColumn id="1" name="ID компании"/>
    <x:tableColumn id="2" name="Компания"/>
    <x:tableColumn id="3" name="Раздел сайта"/>
    <x:tableColumn id="4" name="URL"/>
    <x:tableColumn id="5" name="Наблюдаемый факт"/>
    <x:tableColumn id="6" name="Тип сигнала"/>
    <x:tableColumn id="7" name="Сила сигнала 1–5"/>
    <x:tableColumn id="8" name="Дата фиксации"/>
    <x:tableColumn id="9" name="Вывод для классификации"/>
    <x:tableColumn id="10" name="Достоверность 1–5"/>
    <x:tableColumn id="11" name="Скриншот / архив"/>
    <x:tableColumn id="12" name="Комментарий"/>
  </x:tableColumns>
  <x:tableStyleInfo name="TableStyleMedium2" showRowStripes="1"/>
</x:table>
</file>

<file path=xl/tables/table3.xml><?xml version="1.0" encoding="utf-8"?>
<x:table xmlns:x="http://schemas.openxmlformats.org/spreadsheetml/2006/main" id="2" name="CompetitionCriteria" displayName="CompetitionCriteria" ref="A3:J13" headerRowCount="1">
  <x:tableColumns count="10">
    <x:tableColumn id="1" name="Код"/>
    <x:tableColumn id="2" name="Критерий"/>
    <x:tableColumn id="3" name="Что проверяется по сайту"/>
    <x:tableColumn id="4" name="Индикаторы"/>
    <x:tableColumn id="5" name="Вес"/>
    <x:tableColumn id="6" name="0 баллов"/>
    <x:tableColumn id="7" name="1 балл"/>
    <x:tableColumn id="8" name="3 балла"/>
    <x:tableColumn id="9" name="5 баллов"/>
    <x:tableColumn id="10" name="Обязателен для прямого конкурента"/>
  </x:tableColumns>
  <x:tableStyleInfo name="TableStyleMedium2" showRowStripes="1"/>
</x:table>
</file>

<file path=xl/tables/table4.xml><?xml version="1.0" encoding="utf-8"?>
<x:table xmlns:x="http://schemas.openxmlformats.org/spreadsheetml/2006/main" id="5" name="ScoringMatrix" displayName="ScoringMatrix" ref="A3:V103" headerRowCount="1">
  <x:tableColumns count="22">
    <x:tableColumn id="1" name="ID"/>
    <x:tableColumn id="2" name="Компания"/>
    <x:tableColumn id="3" name="Сайт"/>
    <x:tableColumn id="4" name="C1 задача"/>
    <x:tableColumn id="5" name="C2 аудитория"/>
    <x:tableColumn id="6" name="C3 заменяемость"/>
    <x:tableColumn id="7" name="C4 сценарий"/>
    <x:tableColumn id="8" name="C5 цена"/>
    <x:tableColumn id="9" name="C6 каналы"/>
    <x:tableColumn id="10" name="C7 география"/>
    <x:tableColumn id="11" name="C8 монетизация"/>
    <x:tableColumn id="12" name="C9 зрелость"/>
    <x:tableColumn id="13" name="C10 переключение"/>
    <x:tableColumn id="14" name="Взвешенный балл"/>
    <x:tableColumn id="15" name="Ограничитель"/>
    <x:tableColumn id="16" name="Расчетный уровень"/>
    <x:tableColumn id="17" name="Экспертная корректировка"/>
    <x:tableColumn id="18" name="Итоговый уровень"/>
    <x:tableColumn id="19" name="Статус решения"/>
    <x:tableColumn id="20" name="Ключевое обоснование"/>
    <x:tableColumn id="21" name="Ключевые ссылки"/>
    <x:tableColumn id="22" name="Дата проверки"/>
  </x:tableColumns>
  <x:tableStyleInfo name="TableStyleMedium2" showRowStripes="1"/>
</x:table>
</file>

<file path=xl/tables/table5.xml><?xml version="1.0" encoding="utf-8"?>
<x:table xmlns:x="http://schemas.openxmlformats.org/spreadsheetml/2006/main" id="1" name="CompetitionLevels" displayName="CompetitionLevels" ref="A3:G9" headerRowCount="1">
  <x:tableColumns count="7">
    <x:tableColumn id="1" name="Уровень"/>
    <x:tableColumn id="2" name="Определение"/>
    <x:tableColumn id="3" name="Ключевой критерий"/>
    <x:tableColumn id="4" name="Порог по баллу"/>
    <x:tableColumn id="5" name="Обязательные условия"/>
    <x:tableColumn id="6" name="Типовые признаки на сайте"/>
    <x:tableColumn id="7" name="Решение аналитика"/>
  </x:tableColumns>
  <x:tableStyleInfo name="TableStyleMedium2" showRowStripes="1"/>
</x:table>
</file>

<file path=xl/tables/table6.xml><?xml version="1.0" encoding="utf-8"?>
<x:table xmlns:x="http://schemas.openxmlformats.org/spreadsheetml/2006/main" id="6" name="CompetitionMap" displayName="CompetitionMap" ref="A3:K103" headerRowCount="1">
  <x:tableColumns count="11">
    <x:tableColumn id="1" name="ID"/>
    <x:tableColumn id="2" name="Компания"/>
    <x:tableColumn id="3" name="X: задача + заменяемость"/>
    <x:tableColumn id="4" name="Y: аудитория + рынок"/>
    <x:tableColumn id="5" name="Взвешенный балл"/>
    <x:tableColumn id="6" name="Итоговый уровень"/>
    <x:tableColumn id="7" name="Зона карты"/>
    <x:tableColumn id="8" name="Комментарий"/>
    <x:tableColumn id="9" name="Доказательства"/>
    <x:tableColumn id="10" name="Приоритет"/>
    <x:tableColumn id="11" name="Стату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69607787714d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0db323008245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5baec9770342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109a43734140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d1e7d243e24f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5311127b4c8d40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2e4f7c6f028844ad" /><Relationship Type="http://schemas.openxmlformats.org/officeDocument/2006/relationships/table" Target="/xl/tables/table6.xml" Id="R9da7f95eb9da41f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5" hidden="0" customWidth="1"/>
    <x:col min="3" max="3" width="24" hidden="0" customWidth="1"/>
    <x:col min="4" max="4" width="26" hidden="0" customWidth="1"/>
    <x:col min="5" max="5" width="34" hidden="0" customWidth="1"/>
    <x:col min="6" max="6" width="28" hidden="0" customWidth="1"/>
    <x:col min="7" max="7" width="34" hidden="0" customWidth="1"/>
    <x:col min="8" max="8" width="28" hidden="0" customWidth="1"/>
  </x:cols>
  <x:sheetData>
    <x:row r="1" ht="32" customHeight="1">
      <x:c r="A1" s="56" t="str">
        <x:v>Методика работы с Excel-шаблоном классификации компаний по уровням конкуренции</x:v>
      </x:c>
      <x:c r="B1" s="57" t="str">
        <x:v>Методика работы с Excel-шаблоном классификации компаний по уровням конкуренции</x:v>
      </x:c>
      <x:c r="C1" s="57" t="str">
        <x:v>Методика работы с Excel-шаблоном классификации компаний по уровням конкуренции</x:v>
      </x:c>
      <x:c r="D1" s="57" t="str">
        <x:v>Методика работы с Excel-шаблоном классификации компаний по уровням конкуренции</x:v>
      </x:c>
      <x:c r="E1" s="57" t="str">
        <x:v>Методика работы с Excel-шаблоном классификации компаний по уровням конкуренции</x:v>
      </x:c>
      <x:c r="F1" s="57" t="str">
        <x:v>Методика работы с Excel-шаблоном классификации компаний по уровням конкуренции</x:v>
      </x:c>
      <x:c r="G1" s="57" t="str">
        <x:v>Методика работы с Excel-шаблоном классификации компаний по уровням конкуренции</x:v>
      </x:c>
      <x:c r="H1" s="57" t="str">
        <x:v>Методика работы с Excel-шаблоном классификации компаний по уровням конкуренции</x:v>
      </x:c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>
      <x:c r="A3" s="18" t="str">
        <x:v>Блок</x:v>
      </x:c>
      <x:c r="B3" s="18" t="str">
        <x:v>Что делает аналитик</x:v>
      </x:c>
      <x:c r="C3" s="18" t="str">
        <x:v>Где заполнять</x:v>
      </x:c>
      <x:c r="D3" s="18" t="str">
        <x:v>Результат</x:v>
      </x:c>
      <x:c r="E3" s="18" t="str">
        <x:v>Контроль качества</x:v>
      </x:c>
      <x:c r="F3" s="18" t="str">
        <x:v>Тип ошибки</x:v>
      </x:c>
      <x:c r="G3" s="18" t="str">
        <x:v>Как исправлять</x:v>
      </x:c>
      <x:c r="H3" s="18" t="str">
        <x:v>Итог</x:v>
      </x:c>
    </x:row>
    <x:row r="4">
      <x:c r="A4" s="24" t="str">
        <x:v>1. Формирование списка</x:v>
      </x:c>
      <x:c r="B4" s="24" t="str">
        <x:v>Собрать первичный перечень компаний из поиска, отраслевых обзоров, каталогов, рекламы, рекомендаций и найденных на сайтах ссылок.</x:v>
      </x:c>
      <x:c r="C4" s="24" t="str">
        <x:v>01_Компании</x:v>
      </x:c>
      <x:c r="D4" s="24" t="str">
        <x:v>Единый реестр компаний</x:v>
      </x:c>
      <x:c r="E4" s="24" t="str">
        <x:v>У каждой компании есть сайт и краткое описание товара.</x:v>
      </x:c>
      <x:c r="F4" s="24" t="str">
        <x:v>В список попали нерелевантные компании без объяснения.</x:v>
      </x:c>
      <x:c r="G4" s="24" t="str">
        <x:v>Оставлять только с пометкой «объект наблюдения» или исключать.</x:v>
      </x:c>
      <x:c r="H4" s="24" t="str">
        <x:v>Сформирован массив для проверки.</x:v>
      </x:c>
    </x:row>
    <x:row r="5">
      <x:c r="A5" s="24" t="str">
        <x:v>2. Сбор доказательств</x:v>
      </x:c>
      <x:c r="B5" s="24" t="str">
        <x:v>По каждой компании фиксировать факты с сайта: продукт, аудитория, цена, сценарии, каналы, доверие, география.</x:v>
      </x:c>
      <x:c r="C5" s="24" t="str">
        <x:v>02_Доказательства</x:v>
      </x:c>
      <x:c r="D5" s="24" t="str">
        <x:v>Набор проверяемых сигналов</x:v>
      </x:c>
      <x:c r="E5" s="24" t="str">
        <x:v>Каждый вывод имеет URL и наблюдаемый факт.</x:v>
      </x:c>
      <x:c r="F5" s="24" t="str">
        <x:v>Аналитик записывает мнение без факта.</x:v>
      </x:c>
      <x:c r="G5" s="24" t="str">
        <x:v>Разделять факт и вывод; добавлять ссылку.</x:v>
      </x:c>
      <x:c r="H5" s="24" t="str">
        <x:v>Создана доказательная база.</x:v>
      </x:c>
    </x:row>
    <x:row r="6">
      <x:c r="A6" s="24" t="str">
        <x:v>3. Оценка по критериям</x:v>
      </x:c>
      <x:c r="B6" s="24" t="str">
        <x:v>Присвоить баллы 0–5 по каждому критерию согласно листу 03.</x:v>
      </x:c>
      <x:c r="C6" s="24" t="str">
        <x:v>04_Оценка</x:v>
      </x:c>
      <x:c r="D6" s="24" t="str">
        <x:v>Взвешенный балл близости</x:v>
      </x:c>
      <x:c r="E6" s="24" t="str">
        <x:v>Оценка не ставится без доказательств.</x:v>
      </x:c>
      <x:c r="F6" s="24" t="str">
        <x:v>Завышение баллов из-за общего отраслевого сходства.</x:v>
      </x:c>
      <x:c r="G6" s="24" t="str">
        <x:v>Проверять заменяемость товара и потребительскую задачу.</x:v>
      </x:c>
      <x:c r="H6" s="24" t="str">
        <x:v>Получена расчетная классификация.</x:v>
      </x:c>
    </x:row>
    <x:row r="7">
      <x:c r="A7" s="24" t="str">
        <x:v>4. Проверка ограничителей</x:v>
      </x:c>
      <x:c r="B7" s="24" t="str">
        <x:v>Проверить, не мешает ли низкое совпадение задачи или заменяемости присвоить прямую конкуренцию.</x:v>
      </x:c>
      <x:c r="C7" s="24" t="str">
        <x:v>04_Оценка</x:v>
      </x:c>
      <x:c r="D7" s="24" t="str">
        <x:v>Автоматическое ограничение уровня</x:v>
      </x:c>
      <x:c r="E7" s="24" t="str">
        <x:v>Прямой конкурент невозможен без совпадения задачи и заменяемости.</x:v>
      </x:c>
      <x:c r="F7" s="24" t="str">
        <x:v>Компания названа прямым конкурентом только из-за известности.</x:v>
      </x:c>
      <x:c r="G7" s="24" t="str">
        <x:v>Снизить уровень до альтернативы или заменителя.</x:v>
      </x:c>
      <x:c r="H7" s="24" t="str">
        <x:v>Классификация становится строгой.</x:v>
      </x:c>
    </x:row>
    <x:row r="8">
      <x:c r="A8" s="24" t="str">
        <x:v>5. Экспертная корректировка</x:v>
      </x:c>
      <x:c r="B8" s="24" t="str">
        <x:v>При необходимости изменить уровень, но только с письменным обоснованием.</x:v>
      </x:c>
      <x:c r="C8" s="24" t="str">
        <x:v>04_Оценка</x:v>
      </x:c>
      <x:c r="D8" s="24" t="str">
        <x:v>Итоговый уровень</x:v>
      </x:c>
      <x:c r="E8" s="24" t="str">
        <x:v>У корректировки есть причина и ссылка.</x:v>
      </x:c>
      <x:c r="F8" s="24" t="str">
        <x:v>Корректировка без объяснения.</x:v>
      </x:c>
      <x:c r="G8" s="24" t="str">
        <x:v>Заполнить обоснование и ключевые ссылки.</x:v>
      </x:c>
      <x:c r="H8" s="24" t="str">
        <x:v>Получена финальная классификация.</x:v>
      </x:c>
    </x:row>
    <x:row r="9">
      <x:c r="A9" s="24" t="str">
        <x:v>6. Сводный анализ</x:v>
      </x:c>
      <x:c r="B9" s="24" t="str">
        <x:v>Оценить распределение компаний по уровням, выделить прямых конкурентов и ближайшие альтернативы.</x:v>
      </x:c>
      <x:c r="C9" s="24" t="str">
        <x:v>06_Сводка, 07_Карта</x:v>
      </x:c>
      <x:c r="D9" s="24" t="str">
        <x:v>Карта конкурентного окружения</x:v>
      </x:c>
      <x:c r="E9" s="24" t="str">
        <x:v>Прямые конкуренты отделены от заменителей и смежных компаний.</x:v>
      </x:c>
      <x:c r="F9" s="24" t="str">
        <x:v>Все компании смешаны в одну группу.</x:v>
      </x:c>
      <x:c r="G9" s="24" t="str">
        <x:v>Использовать уровни и зоны карты отдельно.</x:v>
      </x:c>
      <x:c r="H9" s="24" t="str">
        <x:v>Сформирован список для последующего анализа сайтов, товара и бизнес-модели.</x:v>
      </x:c>
    </x:row>
    <x:row r="10">
      <x:c r="A10" s="24"/>
      <x:c r="B10" s="24"/>
      <x:c r="C10" s="24"/>
      <x:c r="D10" s="24"/>
      <x:c r="E10" s="24"/>
      <x:c r="F10" s="24"/>
      <x:c r="G10" s="24"/>
      <x:c r="H10" s="24"/>
    </x:row>
    <x:row r="11">
      <x:c r="A11" s="50" t="str">
        <x:v>Правило</x:v>
      </x:c>
      <x:c r="B11" s="50" t="str">
        <x:v>Содержание</x:v>
      </x:c>
      <x:c r="C11" s="50"/>
      <x:c r="D11" s="50"/>
      <x:c r="E11" s="50"/>
      <x:c r="F11" s="50"/>
      <x:c r="G11" s="50"/>
      <x:c r="H11" s="50"/>
    </x:row>
    <x:row r="12">
      <x:c r="A12" s="24" t="str">
        <x:v>Факт важнее предположения</x:v>
      </x:c>
      <x:c r="B12" s="24" t="str">
        <x:v>Уровень конкуренции нельзя назначать только по общему впечатлению от компании. Минимальное основание — сайт, страница товара, тарифы, описание сегмента или иной публичный сигнал.</x:v>
      </x:c>
      <x:c r="C12" s="24"/>
      <x:c r="D12" s="24"/>
      <x:c r="E12" s="24"/>
      <x:c r="F12" s="24"/>
      <x:c r="G12" s="24"/>
      <x:c r="H12" s="24"/>
    </x:row>
    <x:row r="13">
      <x:c r="A13" s="24" t="str">
        <x:v>Прямой конкурент — это не просто похожая компания</x:v>
      </x:c>
      <x:c r="B13" s="24" t="str">
        <x:v>Прямым конкурентом считается только тот, кто решает ту же задачу для близкой аудитории с функционально заменяемым цифровым товаром.</x:v>
      </x:c>
      <x:c r="C13" s="24"/>
      <x:c r="D13" s="24"/>
      <x:c r="E13" s="24"/>
      <x:c r="F13" s="24"/>
      <x:c r="G13" s="24"/>
      <x:c r="H13" s="24"/>
    </x:row>
    <x:row r="14">
      <x:c r="A14" s="24" t="str">
        <x:v>Заменитель не равен прямому конкуренту</x:v>
      </x:c>
      <x:c r="B14" s="24" t="str">
        <x:v>Если конечная потребность похожа, но способ решения другой, компания относится к косвенной конкуренции или заменителям.</x:v>
      </x:c>
      <x:c r="C14" s="24"/>
      <x:c r="D14" s="24"/>
      <x:c r="E14" s="24"/>
      <x:c r="F14" s="24"/>
      <x:c r="G14" s="24"/>
      <x:c r="H14" s="24"/>
    </x:row>
    <x:row r="15">
      <x:c r="A15" s="24" t="str">
        <x:v>Потенциальный конкурент требует сигнала</x:v>
      </x:c>
      <x:c r="B15" s="24" t="str">
        <x:v>Недостаточно предположить, что компания может войти в рынок. Нужны признаки: смежные продукты, новые разделы, вакансии, партнерства, дорожная карта, объявления.</x:v>
      </x:c>
      <x:c r="C15" s="24"/>
      <x:c r="D15" s="24"/>
      <x:c r="E15" s="24"/>
      <x:c r="F15" s="24"/>
      <x:c r="G15" s="24"/>
      <x:c r="H15" s="24"/>
    </x:row>
    <x:row r="16">
      <x:c r="A16" s="24" t="str">
        <x:v>Экспертная корректировка допустима</x:v>
      </x:c>
      <x:c r="B16" s="24" t="str">
        <x:v>Она нужна для спорных случаев, но всегда должна сопровождаться обоснованием и ссылками на доказательства.</x:v>
      </x:c>
      <x:c r="C16" s="24"/>
      <x:c r="D16" s="24"/>
      <x:c r="E16" s="24"/>
      <x:c r="F16" s="24"/>
      <x:c r="G16" s="24"/>
      <x:c r="H16" s="24"/>
    </x:row>
  </x:sheetData>
  <x:mergeCells>
    <x:mergeCell ref="A1:H1"/>
    <x:mergeCell ref="B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18" hidden="0" customWidth="1"/>
    <x:col min="5" max="5" width="22" hidden="0" customWidth="1"/>
    <x:col min="6" max="6" width="36" hidden="0" customWidth="1"/>
    <x:col min="7" max="7" width="28" hidden="0" customWidth="1"/>
    <x:col min="8" max="8" width="32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38" hidden="0" customWidth="1"/>
  </x:cols>
  <x:sheetData>
    <x:row r="1" ht="32" customHeight="1">
      <x:c r="A1" s="56" t="str">
        <x:v>Реестр компаний для классификации по уровням конкуренции</x:v>
      </x:c>
      <x:c r="B1" s="57" t="str">
        <x:v>Реестр компаний для классификации по уровням конкуренции</x:v>
      </x:c>
      <x:c r="C1" s="57" t="str">
        <x:v>Реестр компаний для классификации по уровням конкуренции</x:v>
      </x:c>
      <x:c r="D1" s="57" t="str">
        <x:v>Реестр компаний для классификации по уровням конкуренции</x:v>
      </x:c>
      <x:c r="E1" s="57" t="str">
        <x:v>Реестр компаний для классификации по уровням конкуренции</x:v>
      </x:c>
      <x:c r="F1" s="57" t="str">
        <x:v>Реестр компаний для классификации по уровням конкуренции</x:v>
      </x:c>
      <x:c r="G1" s="57" t="str">
        <x:v>Реестр компаний для классификации по уровням конкуренции</x:v>
      </x:c>
      <x:c r="H1" s="57" t="str">
        <x:v>Реестр компаний для классификации по уровням конкуренции</x:v>
      </x:c>
      <x:c r="I1" s="57" t="str">
        <x:v>Реестр компаний для классификации по уровням конкуренции</x:v>
      </x:c>
      <x:c r="J1" s="57" t="str">
        <x:v>Реестр компаний для классификации по уровням конкуренции</x:v>
      </x:c>
      <x:c r="K1" s="57" t="str">
        <x:v>Реестр компаний для классификации по уровням конкуренции</x:v>
      </x:c>
      <x:c r="L1" s="57" t="str">
        <x:v>Реестр компаний для классификации по уровням конкуренции</x:v>
      </x:c>
      <x:c r="M1" s="57" t="str">
        <x:v>Реестр компаний для классификации по уровням конкуренции</x:v>
      </x:c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>
      <x:c r="A3" s="18" t="str">
        <x:v>ID</x:v>
      </x:c>
      <x:c r="B3" s="18" t="str">
        <x:v>Компания</x:v>
      </x:c>
      <x:c r="C3" s="18" t="str">
        <x:v>Сайт</x:v>
      </x:c>
      <x:c r="D3" s="18" t="str">
        <x:v>Рынок / страна</x:v>
      </x:c>
      <x:c r="E3" s="18" t="str">
        <x:v>Тип компании</x:v>
      </x:c>
      <x:c r="F3" s="18" t="str">
        <x:v>Основной цифровой товар</x:v>
      </x:c>
      <x:c r="G3" s="18" t="str">
        <x:v>Целевой сегмент</x:v>
      </x:c>
      <x:c r="H3" s="18" t="str">
        <x:v>Предварительная гипотеза</x:v>
      </x:c>
      <x:c r="I3" s="18" t="str">
        <x:v>Приоритет</x:v>
      </x:c>
      <x:c r="J3" s="18" t="str">
        <x:v>Ответственный</x:v>
      </x:c>
      <x:c r="K3" s="18" t="str">
        <x:v>Статус</x:v>
      </x:c>
      <x:c r="L3" s="18" t="str">
        <x:v>Дата обновления</x:v>
      </x:c>
      <x:c r="M3" s="18" t="str">
        <x:v>Комментарий</x:v>
      </x:c>
    </x:row>
    <x:row r="4">
      <x:c r="A4" s="24" t="str">
        <x:v>K001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34"/>
      <x:c r="M4" s="24"/>
    </x:row>
    <x:row r="5">
      <x:c r="A5" s="24" t="str">
        <x:v>K002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34"/>
      <x:c r="M5" s="24"/>
    </x:row>
    <x:row r="6">
      <x:c r="A6" s="24" t="str">
        <x:v>K003</x:v>
      </x:c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34"/>
      <x:c r="M6" s="24"/>
    </x:row>
    <x:row r="7">
      <x:c r="A7" s="24" t="str">
        <x:v>K004</x:v>
      </x:c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34"/>
      <x:c r="M7" s="24"/>
    </x:row>
    <x:row r="8">
      <x:c r="A8" s="24" t="str">
        <x:v>K005</x:v>
      </x:c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34"/>
      <x:c r="M8" s="24"/>
    </x:row>
    <x:row r="9">
      <x:c r="A9" s="24" t="str">
        <x:v>K006</x:v>
      </x:c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34"/>
      <x:c r="M9" s="24"/>
    </x:row>
    <x:row r="10">
      <x:c r="A10" s="24" t="str">
        <x:v>K007</x:v>
      </x:c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34"/>
      <x:c r="M10" s="24"/>
    </x:row>
    <x:row r="11">
      <x:c r="A11" s="24" t="str">
        <x:v>K008</x:v>
      </x:c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34"/>
      <x:c r="M11" s="24"/>
    </x:row>
    <x:row r="12">
      <x:c r="A12" s="24" t="str">
        <x:v>K009</x:v>
      </x:c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34"/>
      <x:c r="M12" s="24"/>
    </x:row>
    <x:row r="13">
      <x:c r="A13" s="24" t="str">
        <x:v>K010</x:v>
      </x:c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34"/>
      <x:c r="M13" s="24"/>
    </x:row>
    <x:row r="14">
      <x:c r="A14" s="24" t="str">
        <x:v>K011</x:v>
      </x:c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34"/>
      <x:c r="M14" s="24"/>
    </x:row>
    <x:row r="15">
      <x:c r="A15" s="24" t="str">
        <x:v>K012</x:v>
      </x:c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34"/>
      <x:c r="M15" s="24"/>
    </x:row>
    <x:row r="16">
      <x:c r="A16" s="24" t="str">
        <x:v>K013</x:v>
      </x:c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34"/>
      <x:c r="M16" s="24"/>
    </x:row>
    <x:row r="17">
      <x:c r="A17" s="24" t="str">
        <x:v>K014</x:v>
      </x:c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34"/>
      <x:c r="M17" s="24"/>
    </x:row>
    <x:row r="18">
      <x:c r="A18" s="24" t="str">
        <x:v>K015</x:v>
      </x:c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34"/>
      <x:c r="M18" s="24"/>
    </x:row>
    <x:row r="19">
      <x:c r="A19" s="24" t="str">
        <x:v>K016</x:v>
      </x:c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34"/>
      <x:c r="M19" s="24"/>
    </x:row>
    <x:row r="20">
      <x:c r="A20" s="24" t="str">
        <x:v>K017</x:v>
      </x:c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34"/>
      <x:c r="M20" s="24"/>
    </x:row>
    <x:row r="21">
      <x:c r="A21" s="24" t="str">
        <x:v>K018</x:v>
      </x:c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34"/>
      <x:c r="M21" s="24"/>
    </x:row>
    <x:row r="22">
      <x:c r="A22" s="24" t="str">
        <x:v>K019</x:v>
      </x:c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34"/>
      <x:c r="M22" s="24"/>
    </x:row>
    <x:row r="23">
      <x:c r="A23" s="24" t="str">
        <x:v>K020</x:v>
      </x:c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34"/>
      <x:c r="M23" s="24"/>
    </x:row>
    <x:row r="24">
      <x:c r="A24" s="24" t="str">
        <x:v>K021</x:v>
      </x:c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34"/>
      <x:c r="M24" s="24"/>
    </x:row>
    <x:row r="25">
      <x:c r="A25" s="24" t="str">
        <x:v>K022</x:v>
      </x:c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34"/>
      <x:c r="M25" s="24"/>
    </x:row>
    <x:row r="26">
      <x:c r="A26" s="24" t="str">
        <x:v>K023</x:v>
      </x:c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34"/>
      <x:c r="M26" s="24"/>
    </x:row>
    <x:row r="27">
      <x:c r="A27" s="24" t="str">
        <x:v>K024</x:v>
      </x:c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34"/>
      <x:c r="M27" s="24"/>
    </x:row>
    <x:row r="28">
      <x:c r="A28" s="24" t="str">
        <x:v>K025</x:v>
      </x:c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34"/>
      <x:c r="M28" s="24"/>
    </x:row>
    <x:row r="29">
      <x:c r="A29" s="24" t="str">
        <x:v>K026</x:v>
      </x:c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34"/>
      <x:c r="M29" s="24"/>
    </x:row>
    <x:row r="30">
      <x:c r="A30" s="24" t="str">
        <x:v>K027</x:v>
      </x:c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34"/>
      <x:c r="M30" s="24"/>
    </x:row>
    <x:row r="31">
      <x:c r="A31" s="24" t="str">
        <x:v>K028</x:v>
      </x:c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34"/>
      <x:c r="M31" s="24"/>
    </x:row>
    <x:row r="32">
      <x:c r="A32" s="24" t="str">
        <x:v>K029</x:v>
      </x:c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34"/>
      <x:c r="M32" s="24"/>
    </x:row>
    <x:row r="33">
      <x:c r="A33" s="24" t="str">
        <x:v>K030</x:v>
      </x:c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34"/>
      <x:c r="M33" s="24"/>
    </x:row>
    <x:row r="34">
      <x:c r="A34" s="24" t="str">
        <x:v>K031</x:v>
      </x:c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34"/>
      <x:c r="M34" s="24"/>
    </x:row>
    <x:row r="35">
      <x:c r="A35" s="24" t="str">
        <x:v>K032</x:v>
      </x:c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34"/>
      <x:c r="M35" s="24"/>
    </x:row>
    <x:row r="36">
      <x:c r="A36" s="24" t="str">
        <x:v>K033</x:v>
      </x:c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34"/>
      <x:c r="M36" s="24"/>
    </x:row>
    <x:row r="37">
      <x:c r="A37" s="24" t="str">
        <x:v>K034</x:v>
      </x:c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34"/>
      <x:c r="M37" s="24"/>
    </x:row>
    <x:row r="38">
      <x:c r="A38" s="24" t="str">
        <x:v>K035</x:v>
      </x:c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34"/>
      <x:c r="M38" s="24"/>
    </x:row>
    <x:row r="39">
      <x:c r="A39" s="24" t="str">
        <x:v>K036</x:v>
      </x:c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34"/>
      <x:c r="M39" s="24"/>
    </x:row>
    <x:row r="40">
      <x:c r="A40" s="24" t="str">
        <x:v>K037</x:v>
      </x:c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34"/>
      <x:c r="M40" s="24"/>
    </x:row>
    <x:row r="41">
      <x:c r="A41" s="24" t="str">
        <x:v>K038</x:v>
      </x:c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34"/>
      <x:c r="M41" s="24"/>
    </x:row>
    <x:row r="42">
      <x:c r="A42" s="24" t="str">
        <x:v>K039</x:v>
      </x:c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34"/>
      <x:c r="M42" s="24"/>
    </x:row>
    <x:row r="43">
      <x:c r="A43" s="24" t="str">
        <x:v>K040</x:v>
      </x:c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34"/>
      <x:c r="M43" s="24"/>
    </x:row>
    <x:row r="44">
      <x:c r="A44" s="24" t="str">
        <x:v>K041</x:v>
      </x:c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34"/>
      <x:c r="M44" s="24"/>
    </x:row>
    <x:row r="45">
      <x:c r="A45" s="24" t="str">
        <x:v>K042</x:v>
      </x:c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34"/>
      <x:c r="M45" s="24"/>
    </x:row>
    <x:row r="46">
      <x:c r="A46" s="24" t="str">
        <x:v>K043</x:v>
      </x:c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34"/>
      <x:c r="M46" s="24"/>
    </x:row>
    <x:row r="47">
      <x:c r="A47" s="24" t="str">
        <x:v>K044</x:v>
      </x:c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34"/>
      <x:c r="M47" s="24"/>
    </x:row>
    <x:row r="48">
      <x:c r="A48" s="24" t="str">
        <x:v>K045</x:v>
      </x:c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34"/>
      <x:c r="M48" s="24"/>
    </x:row>
    <x:row r="49">
      <x:c r="A49" s="24" t="str">
        <x:v>K046</x:v>
      </x:c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34"/>
      <x:c r="M49" s="24"/>
    </x:row>
    <x:row r="50">
      <x:c r="A50" s="24" t="str">
        <x:v>K047</x:v>
      </x:c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34"/>
      <x:c r="M50" s="24"/>
    </x:row>
    <x:row r="51">
      <x:c r="A51" s="24" t="str">
        <x:v>K048</x:v>
      </x:c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34"/>
      <x:c r="M51" s="24"/>
    </x:row>
    <x:row r="52">
      <x:c r="A52" s="24" t="str">
        <x:v>K049</x:v>
      </x:c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34"/>
      <x:c r="M52" s="24"/>
    </x:row>
    <x:row r="53">
      <x:c r="A53" s="24" t="str">
        <x:v>K050</x:v>
      </x:c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34"/>
      <x:c r="M53" s="24"/>
    </x:row>
    <x:row r="54">
      <x:c r="A54" s="24" t="str">
        <x:v>K051</x:v>
      </x:c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34"/>
      <x:c r="M54" s="24"/>
    </x:row>
    <x:row r="55">
      <x:c r="A55" s="24" t="str">
        <x:v>K052</x:v>
      </x:c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34"/>
      <x:c r="M55" s="24"/>
    </x:row>
    <x:row r="56">
      <x:c r="A56" s="24" t="str">
        <x:v>K053</x:v>
      </x:c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34"/>
      <x:c r="M56" s="24"/>
    </x:row>
    <x:row r="57">
      <x:c r="A57" s="24" t="str">
        <x:v>K054</x:v>
      </x:c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34"/>
      <x:c r="M57" s="24"/>
    </x:row>
    <x:row r="58">
      <x:c r="A58" s="24" t="str">
        <x:v>K055</x:v>
      </x:c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34"/>
      <x:c r="M58" s="24"/>
    </x:row>
    <x:row r="59">
      <x:c r="A59" s="24" t="str">
        <x:v>K056</x:v>
      </x:c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34"/>
      <x:c r="M59" s="24"/>
    </x:row>
    <x:row r="60">
      <x:c r="A60" s="24" t="str">
        <x:v>K057</x:v>
      </x:c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34"/>
      <x:c r="M60" s="24"/>
    </x:row>
    <x:row r="61">
      <x:c r="A61" s="24" t="str">
        <x:v>K058</x:v>
      </x:c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34"/>
      <x:c r="M61" s="24"/>
    </x:row>
    <x:row r="62">
      <x:c r="A62" s="24" t="str">
        <x:v>K059</x:v>
      </x:c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34"/>
      <x:c r="M62" s="24"/>
    </x:row>
    <x:row r="63">
      <x:c r="A63" s="24" t="str">
        <x:v>K060</x:v>
      </x:c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34"/>
      <x:c r="M63" s="24"/>
    </x:row>
    <x:row r="64">
      <x:c r="A64" s="24" t="str">
        <x:v>K061</x:v>
      </x:c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34"/>
      <x:c r="M64" s="24"/>
    </x:row>
    <x:row r="65">
      <x:c r="A65" s="24" t="str">
        <x:v>K062</x:v>
      </x:c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34"/>
      <x:c r="M65" s="24"/>
    </x:row>
    <x:row r="66">
      <x:c r="A66" s="24" t="str">
        <x:v>K063</x:v>
      </x:c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34"/>
      <x:c r="M66" s="24"/>
    </x:row>
    <x:row r="67">
      <x:c r="A67" s="24" t="str">
        <x:v>K064</x:v>
      </x:c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34"/>
      <x:c r="M67" s="24"/>
    </x:row>
    <x:row r="68">
      <x:c r="A68" s="24" t="str">
        <x:v>K065</x:v>
      </x:c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34"/>
      <x:c r="M68" s="24"/>
    </x:row>
    <x:row r="69">
      <x:c r="A69" s="24" t="str">
        <x:v>K066</x:v>
      </x:c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34"/>
      <x:c r="M69" s="24"/>
    </x:row>
    <x:row r="70">
      <x:c r="A70" s="24" t="str">
        <x:v>K067</x:v>
      </x:c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34"/>
      <x:c r="M70" s="24"/>
    </x:row>
    <x:row r="71">
      <x:c r="A71" s="24" t="str">
        <x:v>K068</x:v>
      </x:c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34"/>
      <x:c r="M71" s="24"/>
    </x:row>
    <x:row r="72">
      <x:c r="A72" s="24" t="str">
        <x:v>K069</x:v>
      </x:c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34"/>
      <x:c r="M72" s="24"/>
    </x:row>
    <x:row r="73">
      <x:c r="A73" s="24" t="str">
        <x:v>K070</x:v>
      </x:c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34"/>
      <x:c r="M73" s="24"/>
    </x:row>
    <x:row r="74">
      <x:c r="A74" s="24" t="str">
        <x:v>K071</x:v>
      </x:c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34"/>
      <x:c r="M74" s="24"/>
    </x:row>
    <x:row r="75">
      <x:c r="A75" s="24" t="str">
        <x:v>K072</x:v>
      </x:c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34"/>
      <x:c r="M75" s="24"/>
    </x:row>
    <x:row r="76">
      <x:c r="A76" s="24" t="str">
        <x:v>K073</x:v>
      </x:c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34"/>
      <x:c r="M76" s="24"/>
    </x:row>
    <x:row r="77">
      <x:c r="A77" s="24" t="str">
        <x:v>K074</x:v>
      </x:c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34"/>
      <x:c r="M77" s="24"/>
    </x:row>
    <x:row r="78">
      <x:c r="A78" s="24" t="str">
        <x:v>K075</x:v>
      </x:c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34"/>
      <x:c r="M78" s="24"/>
    </x:row>
    <x:row r="79">
      <x:c r="A79" s="24" t="str">
        <x:v>K076</x:v>
      </x:c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34"/>
      <x:c r="M79" s="24"/>
    </x:row>
    <x:row r="80">
      <x:c r="A80" s="24" t="str">
        <x:v>K077</x:v>
      </x:c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34"/>
      <x:c r="M80" s="24"/>
    </x:row>
    <x:row r="81">
      <x:c r="A81" s="24" t="str">
        <x:v>K078</x:v>
      </x:c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34"/>
      <x:c r="M81" s="24"/>
    </x:row>
    <x:row r="82">
      <x:c r="A82" s="24" t="str">
        <x:v>K079</x:v>
      </x:c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34"/>
      <x:c r="M82" s="24"/>
    </x:row>
    <x:row r="83">
      <x:c r="A83" s="24" t="str">
        <x:v>K080</x:v>
      </x:c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34"/>
      <x:c r="M83" s="24"/>
    </x:row>
    <x:row r="84">
      <x:c r="A84" s="24" t="str">
        <x:v>K081</x:v>
      </x:c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34"/>
      <x:c r="M84" s="24"/>
    </x:row>
    <x:row r="85">
      <x:c r="A85" s="24" t="str">
        <x:v>K082</x:v>
      </x:c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34"/>
      <x:c r="M85" s="24"/>
    </x:row>
    <x:row r="86">
      <x:c r="A86" s="24" t="str">
        <x:v>K083</x:v>
      </x:c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34"/>
      <x:c r="M86" s="24"/>
    </x:row>
    <x:row r="87">
      <x:c r="A87" s="24" t="str">
        <x:v>K084</x:v>
      </x:c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34"/>
      <x:c r="M87" s="24"/>
    </x:row>
    <x:row r="88">
      <x:c r="A88" s="24" t="str">
        <x:v>K085</x:v>
      </x:c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34"/>
      <x:c r="M88" s="24"/>
    </x:row>
    <x:row r="89">
      <x:c r="A89" s="24" t="str">
        <x:v>K086</x:v>
      </x:c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34"/>
      <x:c r="M89" s="24"/>
    </x:row>
    <x:row r="90">
      <x:c r="A90" s="24" t="str">
        <x:v>K087</x:v>
      </x:c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34"/>
      <x:c r="M90" s="24"/>
    </x:row>
    <x:row r="91">
      <x:c r="A91" s="24" t="str">
        <x:v>K088</x:v>
      </x:c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34"/>
      <x:c r="M91" s="24"/>
    </x:row>
    <x:row r="92">
      <x:c r="A92" s="24" t="str">
        <x:v>K089</x:v>
      </x:c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34"/>
      <x:c r="M92" s="24"/>
    </x:row>
    <x:row r="93">
      <x:c r="A93" s="24" t="str">
        <x:v>K090</x:v>
      </x:c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34"/>
      <x:c r="M93" s="24"/>
    </x:row>
    <x:row r="94">
      <x:c r="A94" s="24" t="str">
        <x:v>K091</x:v>
      </x:c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34"/>
      <x:c r="M94" s="24"/>
    </x:row>
    <x:row r="95">
      <x:c r="A95" s="24" t="str">
        <x:v>K092</x:v>
      </x:c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34"/>
      <x:c r="M95" s="24"/>
    </x:row>
    <x:row r="96">
      <x:c r="A96" s="24" t="str">
        <x:v>K093</x:v>
      </x:c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34"/>
      <x:c r="M96" s="24"/>
    </x:row>
    <x:row r="97">
      <x:c r="A97" s="24" t="str">
        <x:v>K094</x:v>
      </x:c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34"/>
      <x:c r="M97" s="24"/>
    </x:row>
    <x:row r="98">
      <x:c r="A98" s="24" t="str">
        <x:v>K095</x:v>
      </x:c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34"/>
      <x:c r="M98" s="24"/>
    </x:row>
    <x:row r="99">
      <x:c r="A99" s="24" t="str">
        <x:v>K096</x:v>
      </x:c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34"/>
      <x:c r="M99" s="24"/>
    </x:row>
    <x:row r="100">
      <x:c r="A100" s="24" t="str">
        <x:v>K097</x:v>
      </x:c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34"/>
      <x:c r="M100" s="24"/>
    </x:row>
    <x:row r="101">
      <x:c r="A101" s="24" t="str">
        <x:v>K098</x:v>
      </x:c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34"/>
      <x:c r="M101" s="24"/>
    </x:row>
    <x:row r="102">
      <x:c r="A102" s="24" t="str">
        <x:v>K099</x:v>
      </x:c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34"/>
      <x:c r="M102" s="24"/>
    </x:row>
    <x:row r="103">
      <x:c r="A103" s="24" t="str">
        <x:v>K100</x:v>
      </x:c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34"/>
      <x:c r="M103" s="24"/>
    </x:row>
  </x:sheetData>
  <x:mergeCells>
    <x:mergeCell ref="A1:M1"/>
  </x:mergeCells>
  <x:conditionalFormatting sqref="I4:I103">
    <x:cfRule type="expression" dxfId="4" priority="1">
      <x:formula>I4="Высокий"</x:formula>
    </x:cfRule>
    <x:cfRule type="expression" dxfId="5" priority="2">
      <x:formula>I4="Средний"</x:formula>
    </x:cfRule>
    <x:cfRule type="expression" dxfId="6" priority="3">
      <x:formula>I4="Низкий"</x:formula>
    </x:cfRule>
  </x:conditionalFormatting>
  <x:dataValidations count="3">
    <x:dataValidation type="list" sqref="H4:H103">
      <x:formula1>'08_Справочники'!$A$2:$A$7</x:formula1>
    </x:dataValidation>
    <x:dataValidation type="list" sqref="I4:I103">
      <x:formula1>'08_Справочники'!$C$2:$C$4</x:formula1>
    </x:dataValidation>
    <x:dataValidation type="list" sqref="K4:K103">
      <x:formula1>'08_Справочники'!$B$2:$B$6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69607787714d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4" hidden="0" customWidth="1"/>
    <x:col min="4" max="4" width="44" hidden="0" customWidth="1"/>
    <x:col min="5" max="5" width="48" hidden="0" customWidth="1"/>
    <x:col min="6" max="6" width="28" hidden="0" customWidth="1"/>
    <x:col min="7" max="7" width="16" hidden="0" customWidth="1"/>
    <x:col min="8" max="8" width="16" hidden="0" customWidth="1"/>
    <x:col min="9" max="9" width="42" hidden="0" customWidth="1"/>
    <x:col min="10" max="10" width="18" hidden="0" customWidth="1"/>
    <x:col min="11" max="11" width="28" hidden="0" customWidth="1"/>
    <x:col min="12" max="12" width="34" hidden="0" customWidth="1"/>
  </x:cols>
  <x:sheetData>
    <x:row r="1" ht="32" customHeight="1">
      <x:c r="A1" s="56" t="str">
        <x:v>Доказательства и сигналы с сайтов конкурентов</x:v>
      </x:c>
      <x:c r="B1" s="57" t="str">
        <x:v>Доказательства и сигналы с сайтов конкурентов</x:v>
      </x:c>
      <x:c r="C1" s="57" t="str">
        <x:v>Доказательства и сигналы с сайтов конкурентов</x:v>
      </x:c>
      <x:c r="D1" s="57" t="str">
        <x:v>Доказательства и сигналы с сайтов конкурентов</x:v>
      </x:c>
      <x:c r="E1" s="57" t="str">
        <x:v>Доказательства и сигналы с сайтов конкурентов</x:v>
      </x:c>
      <x:c r="F1" s="57" t="str">
        <x:v>Доказательства и сигналы с сайтов конкурентов</x:v>
      </x:c>
      <x:c r="G1" s="57" t="str">
        <x:v>Доказательства и сигналы с сайтов конкурентов</x:v>
      </x:c>
      <x:c r="H1" s="57" t="str">
        <x:v>Доказательства и сигналы с сайтов конкурентов</x:v>
      </x:c>
      <x:c r="I1" s="57" t="str">
        <x:v>Доказательства и сигналы с сайтов конкурентов</x:v>
      </x:c>
      <x:c r="J1" s="57" t="str">
        <x:v>Доказательства и сигналы с сайтов конкурентов</x:v>
      </x:c>
      <x:c r="K1" s="57" t="str">
        <x:v>Доказательства и сигналы с сайтов конкурентов</x:v>
      </x:c>
      <x:c r="L1" s="57" t="str">
        <x:v>Доказательства и сигналы с сайтов конкурентов</x:v>
      </x:c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>
      <x:c r="A3" s="18" t="str">
        <x:v>ID компании</x:v>
      </x:c>
      <x:c r="B3" s="18" t="str">
        <x:v>Компания</x:v>
      </x:c>
      <x:c r="C3" s="18" t="str">
        <x:v>Раздел сайта</x:v>
      </x:c>
      <x:c r="D3" s="18" t="str">
        <x:v>URL</x:v>
      </x:c>
      <x:c r="E3" s="18" t="str">
        <x:v>Наблюдаемый факт</x:v>
      </x:c>
      <x:c r="F3" s="18" t="str">
        <x:v>Тип сигнала</x:v>
      </x:c>
      <x:c r="G3" s="18" t="str">
        <x:v>Сила сигнала 1–5</x:v>
      </x:c>
      <x:c r="H3" s="18" t="str">
        <x:v>Дата фиксации</x:v>
      </x:c>
      <x:c r="I3" s="18" t="str">
        <x:v>Вывод для классификации</x:v>
      </x:c>
      <x:c r="J3" s="18" t="str">
        <x:v>Достоверность 1–5</x:v>
      </x:c>
      <x:c r="K3" s="18" t="str">
        <x:v>Скриншот / архив</x:v>
      </x:c>
      <x:c r="L3" s="18" t="str">
        <x:v>Комментарий</x:v>
      </x:c>
    </x:row>
    <x:row r="4">
      <x:c r="A4" s="24"/>
      <x:c r="B4" s="24" t="str">
        <x:f>IFERROR(XLOOKUP(A4,'01_Компании'!$A$4:$A$103,'01_Компании'!$B$4:$B$103),"")</x:f>
      </x:c>
      <x:c r="C4" s="24"/>
      <x:c r="D4" s="24"/>
      <x:c r="E4" s="24"/>
      <x:c r="F4" s="24"/>
      <x:c r="G4" s="24"/>
      <x:c r="H4" s="34"/>
      <x:c r="I4" s="24"/>
      <x:c r="J4" s="24"/>
      <x:c r="K4" s="24"/>
      <x:c r="L4" s="24"/>
    </x:row>
    <x:row r="5">
      <x:c r="A5" s="24"/>
      <x:c r="B5" s="24" t="str">
        <x:f>IFERROR(XLOOKUP(A5,'01_Компании'!$A$4:$A$103,'01_Компании'!$B$4:$B$103),"")</x:f>
      </x:c>
      <x:c r="C5" s="24"/>
      <x:c r="D5" s="24"/>
      <x:c r="E5" s="24"/>
      <x:c r="F5" s="24"/>
      <x:c r="G5" s="24"/>
      <x:c r="H5" s="34"/>
      <x:c r="I5" s="24"/>
      <x:c r="J5" s="24"/>
      <x:c r="K5" s="24"/>
      <x:c r="L5" s="24"/>
    </x:row>
    <x:row r="6">
      <x:c r="A6" s="24"/>
      <x:c r="B6" s="24" t="str">
        <x:f>IFERROR(XLOOKUP(A6,'01_Компании'!$A$4:$A$103,'01_Компании'!$B$4:$B$103),"")</x:f>
      </x:c>
      <x:c r="C6" s="24"/>
      <x:c r="D6" s="24"/>
      <x:c r="E6" s="24"/>
      <x:c r="F6" s="24"/>
      <x:c r="G6" s="24"/>
      <x:c r="H6" s="34"/>
      <x:c r="I6" s="24"/>
      <x:c r="J6" s="24"/>
      <x:c r="K6" s="24"/>
      <x:c r="L6" s="24"/>
    </x:row>
    <x:row r="7">
      <x:c r="A7" s="24"/>
      <x:c r="B7" s="24" t="str">
        <x:f>IFERROR(XLOOKUP(A7,'01_Компании'!$A$4:$A$103,'01_Компании'!$B$4:$B$103),"")</x:f>
      </x:c>
      <x:c r="C7" s="24"/>
      <x:c r="D7" s="24"/>
      <x:c r="E7" s="24"/>
      <x:c r="F7" s="24"/>
      <x:c r="G7" s="24"/>
      <x:c r="H7" s="34"/>
      <x:c r="I7" s="24"/>
      <x:c r="J7" s="24"/>
      <x:c r="K7" s="24"/>
      <x:c r="L7" s="24"/>
    </x:row>
    <x:row r="8">
      <x:c r="A8" s="24"/>
      <x:c r="B8" s="24" t="str">
        <x:f>IFERROR(XLOOKUP(A8,'01_Компании'!$A$4:$A$103,'01_Компании'!$B$4:$B$103),"")</x:f>
      </x:c>
      <x:c r="C8" s="24"/>
      <x:c r="D8" s="24"/>
      <x:c r="E8" s="24"/>
      <x:c r="F8" s="24"/>
      <x:c r="G8" s="24"/>
      <x:c r="H8" s="34"/>
      <x:c r="I8" s="24"/>
      <x:c r="J8" s="24"/>
      <x:c r="K8" s="24"/>
      <x:c r="L8" s="24"/>
    </x:row>
    <x:row r="9">
      <x:c r="A9" s="24"/>
      <x:c r="B9" s="24" t="str">
        <x:f>IFERROR(XLOOKUP(A9,'01_Компании'!$A$4:$A$103,'01_Компании'!$B$4:$B$103),"")</x:f>
      </x:c>
      <x:c r="C9" s="24"/>
      <x:c r="D9" s="24"/>
      <x:c r="E9" s="24"/>
      <x:c r="F9" s="24"/>
      <x:c r="G9" s="24"/>
      <x:c r="H9" s="34"/>
      <x:c r="I9" s="24"/>
      <x:c r="J9" s="24"/>
      <x:c r="K9" s="24"/>
      <x:c r="L9" s="24"/>
    </x:row>
    <x:row r="10">
      <x:c r="A10" s="24"/>
      <x:c r="B10" s="24" t="str">
        <x:f>IFERROR(XLOOKUP(A10,'01_Компании'!$A$4:$A$103,'01_Компании'!$B$4:$B$103),"")</x:f>
      </x:c>
      <x:c r="C10" s="24"/>
      <x:c r="D10" s="24"/>
      <x:c r="E10" s="24"/>
      <x:c r="F10" s="24"/>
      <x:c r="G10" s="24"/>
      <x:c r="H10" s="34"/>
      <x:c r="I10" s="24"/>
      <x:c r="J10" s="24"/>
      <x:c r="K10" s="24"/>
      <x:c r="L10" s="24"/>
    </x:row>
    <x:row r="11">
      <x:c r="A11" s="24"/>
      <x:c r="B11" s="24" t="str">
        <x:f>IFERROR(XLOOKUP(A11,'01_Компании'!$A$4:$A$103,'01_Компании'!$B$4:$B$103),"")</x:f>
      </x:c>
      <x:c r="C11" s="24"/>
      <x:c r="D11" s="24"/>
      <x:c r="E11" s="24"/>
      <x:c r="F11" s="24"/>
      <x:c r="G11" s="24"/>
      <x:c r="H11" s="34"/>
      <x:c r="I11" s="24"/>
      <x:c r="J11" s="24"/>
      <x:c r="K11" s="24"/>
      <x:c r="L11" s="24"/>
    </x:row>
    <x:row r="12">
      <x:c r="A12" s="24"/>
      <x:c r="B12" s="24" t="str">
        <x:f>IFERROR(XLOOKUP(A12,'01_Компании'!$A$4:$A$103,'01_Компании'!$B$4:$B$103),"")</x:f>
      </x:c>
      <x:c r="C12" s="24"/>
      <x:c r="D12" s="24"/>
      <x:c r="E12" s="24"/>
      <x:c r="F12" s="24"/>
      <x:c r="G12" s="24"/>
      <x:c r="H12" s="34"/>
      <x:c r="I12" s="24"/>
      <x:c r="J12" s="24"/>
      <x:c r="K12" s="24"/>
      <x:c r="L12" s="24"/>
    </x:row>
    <x:row r="13">
      <x:c r="A13" s="24"/>
      <x:c r="B13" s="24" t="str">
        <x:f>IFERROR(XLOOKUP(A13,'01_Компании'!$A$4:$A$103,'01_Компании'!$B$4:$B$103),"")</x:f>
      </x:c>
      <x:c r="C13" s="24"/>
      <x:c r="D13" s="24"/>
      <x:c r="E13" s="24"/>
      <x:c r="F13" s="24"/>
      <x:c r="G13" s="24"/>
      <x:c r="H13" s="34"/>
      <x:c r="I13" s="24"/>
      <x:c r="J13" s="24"/>
      <x:c r="K13" s="24"/>
      <x:c r="L13" s="24"/>
    </x:row>
    <x:row r="14">
      <x:c r="A14" s="24"/>
      <x:c r="B14" s="24" t="str">
        <x:f>IFERROR(XLOOKUP(A14,'01_Компании'!$A$4:$A$103,'01_Компании'!$B$4:$B$103),"")</x:f>
      </x:c>
      <x:c r="C14" s="24"/>
      <x:c r="D14" s="24"/>
      <x:c r="E14" s="24"/>
      <x:c r="F14" s="24"/>
      <x:c r="G14" s="24"/>
      <x:c r="H14" s="34"/>
      <x:c r="I14" s="24"/>
      <x:c r="J14" s="24"/>
      <x:c r="K14" s="24"/>
      <x:c r="L14" s="24"/>
    </x:row>
    <x:row r="15">
      <x:c r="A15" s="24"/>
      <x:c r="B15" s="24" t="str">
        <x:f>IFERROR(XLOOKUP(A15,'01_Компании'!$A$4:$A$103,'01_Компании'!$B$4:$B$103),"")</x:f>
      </x:c>
      <x:c r="C15" s="24"/>
      <x:c r="D15" s="24"/>
      <x:c r="E15" s="24"/>
      <x:c r="F15" s="24"/>
      <x:c r="G15" s="24"/>
      <x:c r="H15" s="34"/>
      <x:c r="I15" s="24"/>
      <x:c r="J15" s="24"/>
      <x:c r="K15" s="24"/>
      <x:c r="L15" s="24"/>
    </x:row>
    <x:row r="16">
      <x:c r="A16" s="24"/>
      <x:c r="B16" s="24" t="str">
        <x:f>IFERROR(XLOOKUP(A16,'01_Компании'!$A$4:$A$103,'01_Компании'!$B$4:$B$103),"")</x:f>
      </x:c>
      <x:c r="C16" s="24"/>
      <x:c r="D16" s="24"/>
      <x:c r="E16" s="24"/>
      <x:c r="F16" s="24"/>
      <x:c r="G16" s="24"/>
      <x:c r="H16" s="34"/>
      <x:c r="I16" s="24"/>
      <x:c r="J16" s="24"/>
      <x:c r="K16" s="24"/>
      <x:c r="L16" s="24"/>
    </x:row>
    <x:row r="17">
      <x:c r="A17" s="24"/>
      <x:c r="B17" s="24" t="str">
        <x:f>IFERROR(XLOOKUP(A17,'01_Компании'!$A$4:$A$103,'01_Компании'!$B$4:$B$103),"")</x:f>
      </x:c>
      <x:c r="C17" s="24"/>
      <x:c r="D17" s="24"/>
      <x:c r="E17" s="24"/>
      <x:c r="F17" s="24"/>
      <x:c r="G17" s="24"/>
      <x:c r="H17" s="34"/>
      <x:c r="I17" s="24"/>
      <x:c r="J17" s="24"/>
      <x:c r="K17" s="24"/>
      <x:c r="L17" s="24"/>
    </x:row>
    <x:row r="18">
      <x:c r="A18" s="24"/>
      <x:c r="B18" s="24" t="str">
        <x:f>IFERROR(XLOOKUP(A18,'01_Компании'!$A$4:$A$103,'01_Компании'!$B$4:$B$103),"")</x:f>
      </x:c>
      <x:c r="C18" s="24"/>
      <x:c r="D18" s="24"/>
      <x:c r="E18" s="24"/>
      <x:c r="F18" s="24"/>
      <x:c r="G18" s="24"/>
      <x:c r="H18" s="34"/>
      <x:c r="I18" s="24"/>
      <x:c r="J18" s="24"/>
      <x:c r="K18" s="24"/>
      <x:c r="L18" s="24"/>
    </x:row>
    <x:row r="19">
      <x:c r="A19" s="24"/>
      <x:c r="B19" s="24" t="str">
        <x:f>IFERROR(XLOOKUP(A19,'01_Компании'!$A$4:$A$103,'01_Компании'!$B$4:$B$103),"")</x:f>
      </x:c>
      <x:c r="C19" s="24"/>
      <x:c r="D19" s="24"/>
      <x:c r="E19" s="24"/>
      <x:c r="F19" s="24"/>
      <x:c r="G19" s="24"/>
      <x:c r="H19" s="34"/>
      <x:c r="I19" s="24"/>
      <x:c r="J19" s="24"/>
      <x:c r="K19" s="24"/>
      <x:c r="L19" s="24"/>
    </x:row>
    <x:row r="20">
      <x:c r="A20" s="24"/>
      <x:c r="B20" s="24" t="str">
        <x:f>IFERROR(XLOOKUP(A20,'01_Компании'!$A$4:$A$103,'01_Компании'!$B$4:$B$103),"")</x:f>
      </x:c>
      <x:c r="C20" s="24"/>
      <x:c r="D20" s="24"/>
      <x:c r="E20" s="24"/>
      <x:c r="F20" s="24"/>
      <x:c r="G20" s="24"/>
      <x:c r="H20" s="34"/>
      <x:c r="I20" s="24"/>
      <x:c r="J20" s="24"/>
      <x:c r="K20" s="24"/>
      <x:c r="L20" s="24"/>
    </x:row>
    <x:row r="21">
      <x:c r="A21" s="24"/>
      <x:c r="B21" s="24" t="str">
        <x:f>IFERROR(XLOOKUP(A21,'01_Компании'!$A$4:$A$103,'01_Компании'!$B$4:$B$103),"")</x:f>
      </x:c>
      <x:c r="C21" s="24"/>
      <x:c r="D21" s="24"/>
      <x:c r="E21" s="24"/>
      <x:c r="F21" s="24"/>
      <x:c r="G21" s="24"/>
      <x:c r="H21" s="34"/>
      <x:c r="I21" s="24"/>
      <x:c r="J21" s="24"/>
      <x:c r="K21" s="24"/>
      <x:c r="L21" s="24"/>
    </x:row>
    <x:row r="22">
      <x:c r="A22" s="24"/>
      <x:c r="B22" s="24" t="str">
        <x:f>IFERROR(XLOOKUP(A22,'01_Компании'!$A$4:$A$103,'01_Компании'!$B$4:$B$103),"")</x:f>
      </x:c>
      <x:c r="C22" s="24"/>
      <x:c r="D22" s="24"/>
      <x:c r="E22" s="24"/>
      <x:c r="F22" s="24"/>
      <x:c r="G22" s="24"/>
      <x:c r="H22" s="34"/>
      <x:c r="I22" s="24"/>
      <x:c r="J22" s="24"/>
      <x:c r="K22" s="24"/>
      <x:c r="L22" s="24"/>
    </x:row>
    <x:row r="23">
      <x:c r="A23" s="24"/>
      <x:c r="B23" s="24" t="str">
        <x:f>IFERROR(XLOOKUP(A23,'01_Компании'!$A$4:$A$103,'01_Компании'!$B$4:$B$103),"")</x:f>
      </x:c>
      <x:c r="C23" s="24"/>
      <x:c r="D23" s="24"/>
      <x:c r="E23" s="24"/>
      <x:c r="F23" s="24"/>
      <x:c r="G23" s="24"/>
      <x:c r="H23" s="34"/>
      <x:c r="I23" s="24"/>
      <x:c r="J23" s="24"/>
      <x:c r="K23" s="24"/>
      <x:c r="L23" s="24"/>
    </x:row>
    <x:row r="24">
      <x:c r="A24" s="24"/>
      <x:c r="B24" s="24" t="str">
        <x:f>IFERROR(XLOOKUP(A24,'01_Компании'!$A$4:$A$103,'01_Компании'!$B$4:$B$103),"")</x:f>
      </x:c>
      <x:c r="C24" s="24"/>
      <x:c r="D24" s="24"/>
      <x:c r="E24" s="24"/>
      <x:c r="F24" s="24"/>
      <x:c r="G24" s="24"/>
      <x:c r="H24" s="34"/>
      <x:c r="I24" s="24"/>
      <x:c r="J24" s="24"/>
      <x:c r="K24" s="24"/>
      <x:c r="L24" s="24"/>
    </x:row>
    <x:row r="25">
      <x:c r="A25" s="24"/>
      <x:c r="B25" s="24" t="str">
        <x:f>IFERROR(XLOOKUP(A25,'01_Компании'!$A$4:$A$103,'01_Компании'!$B$4:$B$103),"")</x:f>
      </x:c>
      <x:c r="C25" s="24"/>
      <x:c r="D25" s="24"/>
      <x:c r="E25" s="24"/>
      <x:c r="F25" s="24"/>
      <x:c r="G25" s="24"/>
      <x:c r="H25" s="34"/>
      <x:c r="I25" s="24"/>
      <x:c r="J25" s="24"/>
      <x:c r="K25" s="24"/>
      <x:c r="L25" s="24"/>
    </x:row>
    <x:row r="26">
      <x:c r="A26" s="24"/>
      <x:c r="B26" s="24" t="str">
        <x:f>IFERROR(XLOOKUP(A26,'01_Компании'!$A$4:$A$103,'01_Компании'!$B$4:$B$103),"")</x:f>
      </x:c>
      <x:c r="C26" s="24"/>
      <x:c r="D26" s="24"/>
      <x:c r="E26" s="24"/>
      <x:c r="F26" s="24"/>
      <x:c r="G26" s="24"/>
      <x:c r="H26" s="34"/>
      <x:c r="I26" s="24"/>
      <x:c r="J26" s="24"/>
      <x:c r="K26" s="24"/>
      <x:c r="L26" s="24"/>
    </x:row>
    <x:row r="27">
      <x:c r="A27" s="24"/>
      <x:c r="B27" s="24" t="str">
        <x:f>IFERROR(XLOOKUP(A27,'01_Компании'!$A$4:$A$103,'01_Компании'!$B$4:$B$103),"")</x:f>
      </x:c>
      <x:c r="C27" s="24"/>
      <x:c r="D27" s="24"/>
      <x:c r="E27" s="24"/>
      <x:c r="F27" s="24"/>
      <x:c r="G27" s="24"/>
      <x:c r="H27" s="34"/>
      <x:c r="I27" s="24"/>
      <x:c r="J27" s="24"/>
      <x:c r="K27" s="24"/>
      <x:c r="L27" s="24"/>
    </x:row>
    <x:row r="28">
      <x:c r="A28" s="24"/>
      <x:c r="B28" s="24" t="str">
        <x:f>IFERROR(XLOOKUP(A28,'01_Компании'!$A$4:$A$103,'01_Компании'!$B$4:$B$103),"")</x:f>
      </x:c>
      <x:c r="C28" s="24"/>
      <x:c r="D28" s="24"/>
      <x:c r="E28" s="24"/>
      <x:c r="F28" s="24"/>
      <x:c r="G28" s="24"/>
      <x:c r="H28" s="34"/>
      <x:c r="I28" s="24"/>
      <x:c r="J28" s="24"/>
      <x:c r="K28" s="24"/>
      <x:c r="L28" s="24"/>
    </x:row>
    <x:row r="29">
      <x:c r="A29" s="24"/>
      <x:c r="B29" s="24" t="str">
        <x:f>IFERROR(XLOOKUP(A29,'01_Компании'!$A$4:$A$103,'01_Компании'!$B$4:$B$103),"")</x:f>
      </x:c>
      <x:c r="C29" s="24"/>
      <x:c r="D29" s="24"/>
      <x:c r="E29" s="24"/>
      <x:c r="F29" s="24"/>
      <x:c r="G29" s="24"/>
      <x:c r="H29" s="34"/>
      <x:c r="I29" s="24"/>
      <x:c r="J29" s="24"/>
      <x:c r="K29" s="24"/>
      <x:c r="L29" s="24"/>
    </x:row>
    <x:row r="30">
      <x:c r="A30" s="24"/>
      <x:c r="B30" s="24" t="str">
        <x:f>IFERROR(XLOOKUP(A30,'01_Компании'!$A$4:$A$103,'01_Компании'!$B$4:$B$103),"")</x:f>
      </x:c>
      <x:c r="C30" s="24"/>
      <x:c r="D30" s="24"/>
      <x:c r="E30" s="24"/>
      <x:c r="F30" s="24"/>
      <x:c r="G30" s="24"/>
      <x:c r="H30" s="34"/>
      <x:c r="I30" s="24"/>
      <x:c r="J30" s="24"/>
      <x:c r="K30" s="24"/>
      <x:c r="L30" s="24"/>
    </x:row>
    <x:row r="31">
      <x:c r="A31" s="24"/>
      <x:c r="B31" s="24" t="str">
        <x:f>IFERROR(XLOOKUP(A31,'01_Компании'!$A$4:$A$103,'01_Компании'!$B$4:$B$103),"")</x:f>
      </x:c>
      <x:c r="C31" s="24"/>
      <x:c r="D31" s="24"/>
      <x:c r="E31" s="24"/>
      <x:c r="F31" s="24"/>
      <x:c r="G31" s="24"/>
      <x:c r="H31" s="34"/>
      <x:c r="I31" s="24"/>
      <x:c r="J31" s="24"/>
      <x:c r="K31" s="24"/>
      <x:c r="L31" s="24"/>
    </x:row>
    <x:row r="32">
      <x:c r="A32" s="24"/>
      <x:c r="B32" s="24" t="str">
        <x:f>IFERROR(XLOOKUP(A32,'01_Компании'!$A$4:$A$103,'01_Компании'!$B$4:$B$103),"")</x:f>
      </x:c>
      <x:c r="C32" s="24"/>
      <x:c r="D32" s="24"/>
      <x:c r="E32" s="24"/>
      <x:c r="F32" s="24"/>
      <x:c r="G32" s="24"/>
      <x:c r="H32" s="34"/>
      <x:c r="I32" s="24"/>
      <x:c r="J32" s="24"/>
      <x:c r="K32" s="24"/>
      <x:c r="L32" s="24"/>
    </x:row>
    <x:row r="33">
      <x:c r="A33" s="24"/>
      <x:c r="B33" s="24" t="str">
        <x:f>IFERROR(XLOOKUP(A33,'01_Компании'!$A$4:$A$103,'01_Компании'!$B$4:$B$103),"")</x:f>
      </x:c>
      <x:c r="C33" s="24"/>
      <x:c r="D33" s="24"/>
      <x:c r="E33" s="24"/>
      <x:c r="F33" s="24"/>
      <x:c r="G33" s="24"/>
      <x:c r="H33" s="34"/>
      <x:c r="I33" s="24"/>
      <x:c r="J33" s="24"/>
      <x:c r="K33" s="24"/>
      <x:c r="L33" s="24"/>
    </x:row>
    <x:row r="34">
      <x:c r="A34" s="24"/>
      <x:c r="B34" s="24" t="str">
        <x:f>IFERROR(XLOOKUP(A34,'01_Компании'!$A$4:$A$103,'01_Компании'!$B$4:$B$103),"")</x:f>
      </x:c>
      <x:c r="C34" s="24"/>
      <x:c r="D34" s="24"/>
      <x:c r="E34" s="24"/>
      <x:c r="F34" s="24"/>
      <x:c r="G34" s="24"/>
      <x:c r="H34" s="34"/>
      <x:c r="I34" s="24"/>
      <x:c r="J34" s="24"/>
      <x:c r="K34" s="24"/>
      <x:c r="L34" s="24"/>
    </x:row>
    <x:row r="35">
      <x:c r="A35" s="24"/>
      <x:c r="B35" s="24" t="str">
        <x:f>IFERROR(XLOOKUP(A35,'01_Компании'!$A$4:$A$103,'01_Компании'!$B$4:$B$103),"")</x:f>
      </x:c>
      <x:c r="C35" s="24"/>
      <x:c r="D35" s="24"/>
      <x:c r="E35" s="24"/>
      <x:c r="F35" s="24"/>
      <x:c r="G35" s="24"/>
      <x:c r="H35" s="34"/>
      <x:c r="I35" s="24"/>
      <x:c r="J35" s="24"/>
      <x:c r="K35" s="24"/>
      <x:c r="L35" s="24"/>
    </x:row>
    <x:row r="36">
      <x:c r="A36" s="24"/>
      <x:c r="B36" s="24" t="str">
        <x:f>IFERROR(XLOOKUP(A36,'01_Компании'!$A$4:$A$103,'01_Компании'!$B$4:$B$103),"")</x:f>
      </x:c>
      <x:c r="C36" s="24"/>
      <x:c r="D36" s="24"/>
      <x:c r="E36" s="24"/>
      <x:c r="F36" s="24"/>
      <x:c r="G36" s="24"/>
      <x:c r="H36" s="34"/>
      <x:c r="I36" s="24"/>
      <x:c r="J36" s="24"/>
      <x:c r="K36" s="24"/>
      <x:c r="L36" s="24"/>
    </x:row>
    <x:row r="37">
      <x:c r="A37" s="24"/>
      <x:c r="B37" s="24" t="str">
        <x:f>IFERROR(XLOOKUP(A37,'01_Компании'!$A$4:$A$103,'01_Компании'!$B$4:$B$103),"")</x:f>
      </x:c>
      <x:c r="C37" s="24"/>
      <x:c r="D37" s="24"/>
      <x:c r="E37" s="24"/>
      <x:c r="F37" s="24"/>
      <x:c r="G37" s="24"/>
      <x:c r="H37" s="34"/>
      <x:c r="I37" s="24"/>
      <x:c r="J37" s="24"/>
      <x:c r="K37" s="24"/>
      <x:c r="L37" s="24"/>
    </x:row>
    <x:row r="38">
      <x:c r="A38" s="24"/>
      <x:c r="B38" s="24" t="str">
        <x:f>IFERROR(XLOOKUP(A38,'01_Компании'!$A$4:$A$103,'01_Компании'!$B$4:$B$103),"")</x:f>
      </x:c>
      <x:c r="C38" s="24"/>
      <x:c r="D38" s="24"/>
      <x:c r="E38" s="24"/>
      <x:c r="F38" s="24"/>
      <x:c r="G38" s="24"/>
      <x:c r="H38" s="34"/>
      <x:c r="I38" s="24"/>
      <x:c r="J38" s="24"/>
      <x:c r="K38" s="24"/>
      <x:c r="L38" s="24"/>
    </x:row>
    <x:row r="39">
      <x:c r="A39" s="24"/>
      <x:c r="B39" s="24" t="str">
        <x:f>IFERROR(XLOOKUP(A39,'01_Компании'!$A$4:$A$103,'01_Компании'!$B$4:$B$103),"")</x:f>
      </x:c>
      <x:c r="C39" s="24"/>
      <x:c r="D39" s="24"/>
      <x:c r="E39" s="24"/>
      <x:c r="F39" s="24"/>
      <x:c r="G39" s="24"/>
      <x:c r="H39" s="34"/>
      <x:c r="I39" s="24"/>
      <x:c r="J39" s="24"/>
      <x:c r="K39" s="24"/>
      <x:c r="L39" s="24"/>
    </x:row>
    <x:row r="40">
      <x:c r="A40" s="24"/>
      <x:c r="B40" s="24" t="str">
        <x:f>IFERROR(XLOOKUP(A40,'01_Компании'!$A$4:$A$103,'01_Компании'!$B$4:$B$103),"")</x:f>
      </x:c>
      <x:c r="C40" s="24"/>
      <x:c r="D40" s="24"/>
      <x:c r="E40" s="24"/>
      <x:c r="F40" s="24"/>
      <x:c r="G40" s="24"/>
      <x:c r="H40" s="34"/>
      <x:c r="I40" s="24"/>
      <x:c r="J40" s="24"/>
      <x:c r="K40" s="24"/>
      <x:c r="L40" s="24"/>
    </x:row>
    <x:row r="41">
      <x:c r="A41" s="24"/>
      <x:c r="B41" s="24" t="str">
        <x:f>IFERROR(XLOOKUP(A41,'01_Компании'!$A$4:$A$103,'01_Компании'!$B$4:$B$103),"")</x:f>
      </x:c>
      <x:c r="C41" s="24"/>
      <x:c r="D41" s="24"/>
      <x:c r="E41" s="24"/>
      <x:c r="F41" s="24"/>
      <x:c r="G41" s="24"/>
      <x:c r="H41" s="34"/>
      <x:c r="I41" s="24"/>
      <x:c r="J41" s="24"/>
      <x:c r="K41" s="24"/>
      <x:c r="L41" s="24"/>
    </x:row>
    <x:row r="42">
      <x:c r="A42" s="24"/>
      <x:c r="B42" s="24" t="str">
        <x:f>IFERROR(XLOOKUP(A42,'01_Компании'!$A$4:$A$103,'01_Компании'!$B$4:$B$103),"")</x:f>
      </x:c>
      <x:c r="C42" s="24"/>
      <x:c r="D42" s="24"/>
      <x:c r="E42" s="24"/>
      <x:c r="F42" s="24"/>
      <x:c r="G42" s="24"/>
      <x:c r="H42" s="34"/>
      <x:c r="I42" s="24"/>
      <x:c r="J42" s="24"/>
      <x:c r="K42" s="24"/>
      <x:c r="L42" s="24"/>
    </x:row>
    <x:row r="43">
      <x:c r="A43" s="24"/>
      <x:c r="B43" s="24" t="str">
        <x:f>IFERROR(XLOOKUP(A43,'01_Компании'!$A$4:$A$103,'01_Компании'!$B$4:$B$103),"")</x:f>
      </x:c>
      <x:c r="C43" s="24"/>
      <x:c r="D43" s="24"/>
      <x:c r="E43" s="24"/>
      <x:c r="F43" s="24"/>
      <x:c r="G43" s="24"/>
      <x:c r="H43" s="34"/>
      <x:c r="I43" s="24"/>
      <x:c r="J43" s="24"/>
      <x:c r="K43" s="24"/>
      <x:c r="L43" s="24"/>
    </x:row>
    <x:row r="44">
      <x:c r="A44" s="24"/>
      <x:c r="B44" s="24" t="str">
        <x:f>IFERROR(XLOOKUP(A44,'01_Компании'!$A$4:$A$103,'01_Компании'!$B$4:$B$103),"")</x:f>
      </x:c>
      <x:c r="C44" s="24"/>
      <x:c r="D44" s="24"/>
      <x:c r="E44" s="24"/>
      <x:c r="F44" s="24"/>
      <x:c r="G44" s="24"/>
      <x:c r="H44" s="34"/>
      <x:c r="I44" s="24"/>
      <x:c r="J44" s="24"/>
      <x:c r="K44" s="24"/>
      <x:c r="L44" s="24"/>
    </x:row>
    <x:row r="45">
      <x:c r="A45" s="24"/>
      <x:c r="B45" s="24" t="str">
        <x:f>IFERROR(XLOOKUP(A45,'01_Компании'!$A$4:$A$103,'01_Компании'!$B$4:$B$103),"")</x:f>
      </x:c>
      <x:c r="C45" s="24"/>
      <x:c r="D45" s="24"/>
      <x:c r="E45" s="24"/>
      <x:c r="F45" s="24"/>
      <x:c r="G45" s="24"/>
      <x:c r="H45" s="34"/>
      <x:c r="I45" s="24"/>
      <x:c r="J45" s="24"/>
      <x:c r="K45" s="24"/>
      <x:c r="L45" s="24"/>
    </x:row>
    <x:row r="46">
      <x:c r="A46" s="24"/>
      <x:c r="B46" s="24" t="str">
        <x:f>IFERROR(XLOOKUP(A46,'01_Компании'!$A$4:$A$103,'01_Компании'!$B$4:$B$103),"")</x:f>
      </x:c>
      <x:c r="C46" s="24"/>
      <x:c r="D46" s="24"/>
      <x:c r="E46" s="24"/>
      <x:c r="F46" s="24"/>
      <x:c r="G46" s="24"/>
      <x:c r="H46" s="34"/>
      <x:c r="I46" s="24"/>
      <x:c r="J46" s="24"/>
      <x:c r="K46" s="24"/>
      <x:c r="L46" s="24"/>
    </x:row>
    <x:row r="47">
      <x:c r="A47" s="24"/>
      <x:c r="B47" s="24" t="str">
        <x:f>IFERROR(XLOOKUP(A47,'01_Компании'!$A$4:$A$103,'01_Компании'!$B$4:$B$103),"")</x:f>
      </x:c>
      <x:c r="C47" s="24"/>
      <x:c r="D47" s="24"/>
      <x:c r="E47" s="24"/>
      <x:c r="F47" s="24"/>
      <x:c r="G47" s="24"/>
      <x:c r="H47" s="34"/>
      <x:c r="I47" s="24"/>
      <x:c r="J47" s="24"/>
      <x:c r="K47" s="24"/>
      <x:c r="L47" s="24"/>
    </x:row>
    <x:row r="48">
      <x:c r="A48" s="24"/>
      <x:c r="B48" s="24" t="str">
        <x:f>IFERROR(XLOOKUP(A48,'01_Компании'!$A$4:$A$103,'01_Компании'!$B$4:$B$103),"")</x:f>
      </x:c>
      <x:c r="C48" s="24"/>
      <x:c r="D48" s="24"/>
      <x:c r="E48" s="24"/>
      <x:c r="F48" s="24"/>
      <x:c r="G48" s="24"/>
      <x:c r="H48" s="34"/>
      <x:c r="I48" s="24"/>
      <x:c r="J48" s="24"/>
      <x:c r="K48" s="24"/>
      <x:c r="L48" s="24"/>
    </x:row>
    <x:row r="49">
      <x:c r="A49" s="24"/>
      <x:c r="B49" s="24" t="str">
        <x:f>IFERROR(XLOOKUP(A49,'01_Компании'!$A$4:$A$103,'01_Компании'!$B$4:$B$103),"")</x:f>
      </x:c>
      <x:c r="C49" s="24"/>
      <x:c r="D49" s="24"/>
      <x:c r="E49" s="24"/>
      <x:c r="F49" s="24"/>
      <x:c r="G49" s="24"/>
      <x:c r="H49" s="34"/>
      <x:c r="I49" s="24"/>
      <x:c r="J49" s="24"/>
      <x:c r="K49" s="24"/>
      <x:c r="L49" s="24"/>
    </x:row>
    <x:row r="50">
      <x:c r="A50" s="24"/>
      <x:c r="B50" s="24" t="str">
        <x:f>IFERROR(XLOOKUP(A50,'01_Компании'!$A$4:$A$103,'01_Компании'!$B$4:$B$103),"")</x:f>
      </x:c>
      <x:c r="C50" s="24"/>
      <x:c r="D50" s="24"/>
      <x:c r="E50" s="24"/>
      <x:c r="F50" s="24"/>
      <x:c r="G50" s="24"/>
      <x:c r="H50" s="34"/>
      <x:c r="I50" s="24"/>
      <x:c r="J50" s="24"/>
      <x:c r="K50" s="24"/>
      <x:c r="L50" s="24"/>
    </x:row>
    <x:row r="51">
      <x:c r="A51" s="24"/>
      <x:c r="B51" s="24" t="str">
        <x:f>IFERROR(XLOOKUP(A51,'01_Компании'!$A$4:$A$103,'01_Компании'!$B$4:$B$103),"")</x:f>
      </x:c>
      <x:c r="C51" s="24"/>
      <x:c r="D51" s="24"/>
      <x:c r="E51" s="24"/>
      <x:c r="F51" s="24"/>
      <x:c r="G51" s="24"/>
      <x:c r="H51" s="34"/>
      <x:c r="I51" s="24"/>
      <x:c r="J51" s="24"/>
      <x:c r="K51" s="24"/>
      <x:c r="L51" s="24"/>
    </x:row>
    <x:row r="52">
      <x:c r="A52" s="24"/>
      <x:c r="B52" s="24" t="str">
        <x:f>IFERROR(XLOOKUP(A52,'01_Компании'!$A$4:$A$103,'01_Компании'!$B$4:$B$103),"")</x:f>
      </x:c>
      <x:c r="C52" s="24"/>
      <x:c r="D52" s="24"/>
      <x:c r="E52" s="24"/>
      <x:c r="F52" s="24"/>
      <x:c r="G52" s="24"/>
      <x:c r="H52" s="34"/>
      <x:c r="I52" s="24"/>
      <x:c r="J52" s="24"/>
      <x:c r="K52" s="24"/>
      <x:c r="L52" s="24"/>
    </x:row>
    <x:row r="53">
      <x:c r="A53" s="24"/>
      <x:c r="B53" s="24" t="str">
        <x:f>IFERROR(XLOOKUP(A53,'01_Компании'!$A$4:$A$103,'01_Компании'!$B$4:$B$103),"")</x:f>
      </x:c>
      <x:c r="C53" s="24"/>
      <x:c r="D53" s="24"/>
      <x:c r="E53" s="24"/>
      <x:c r="F53" s="24"/>
      <x:c r="G53" s="24"/>
      <x:c r="H53" s="34"/>
      <x:c r="I53" s="24"/>
      <x:c r="J53" s="24"/>
      <x:c r="K53" s="24"/>
      <x:c r="L53" s="24"/>
    </x:row>
    <x:row r="54">
      <x:c r="A54" s="24"/>
      <x:c r="B54" s="24" t="str">
        <x:f>IFERROR(XLOOKUP(A54,'01_Компании'!$A$4:$A$103,'01_Компании'!$B$4:$B$103),"")</x:f>
      </x:c>
      <x:c r="C54" s="24"/>
      <x:c r="D54" s="24"/>
      <x:c r="E54" s="24"/>
      <x:c r="F54" s="24"/>
      <x:c r="G54" s="24"/>
      <x:c r="H54" s="34"/>
      <x:c r="I54" s="24"/>
      <x:c r="J54" s="24"/>
      <x:c r="K54" s="24"/>
      <x:c r="L54" s="24"/>
    </x:row>
    <x:row r="55">
      <x:c r="A55" s="24"/>
      <x:c r="B55" s="24" t="str">
        <x:f>IFERROR(XLOOKUP(A55,'01_Компании'!$A$4:$A$103,'01_Компании'!$B$4:$B$103),"")</x:f>
      </x:c>
      <x:c r="C55" s="24"/>
      <x:c r="D55" s="24"/>
      <x:c r="E55" s="24"/>
      <x:c r="F55" s="24"/>
      <x:c r="G55" s="24"/>
      <x:c r="H55" s="34"/>
      <x:c r="I55" s="24"/>
      <x:c r="J55" s="24"/>
      <x:c r="K55" s="24"/>
      <x:c r="L55" s="24"/>
    </x:row>
    <x:row r="56">
      <x:c r="A56" s="24"/>
      <x:c r="B56" s="24" t="str">
        <x:f>IFERROR(XLOOKUP(A56,'01_Компании'!$A$4:$A$103,'01_Компании'!$B$4:$B$103),"")</x:f>
      </x:c>
      <x:c r="C56" s="24"/>
      <x:c r="D56" s="24"/>
      <x:c r="E56" s="24"/>
      <x:c r="F56" s="24"/>
      <x:c r="G56" s="24"/>
      <x:c r="H56" s="34"/>
      <x:c r="I56" s="24"/>
      <x:c r="J56" s="24"/>
      <x:c r="K56" s="24"/>
      <x:c r="L56" s="24"/>
    </x:row>
    <x:row r="57">
      <x:c r="A57" s="24"/>
      <x:c r="B57" s="24" t="str">
        <x:f>IFERROR(XLOOKUP(A57,'01_Компании'!$A$4:$A$103,'01_Компании'!$B$4:$B$103),"")</x:f>
      </x:c>
      <x:c r="C57" s="24"/>
      <x:c r="D57" s="24"/>
      <x:c r="E57" s="24"/>
      <x:c r="F57" s="24"/>
      <x:c r="G57" s="24"/>
      <x:c r="H57" s="34"/>
      <x:c r="I57" s="24"/>
      <x:c r="J57" s="24"/>
      <x:c r="K57" s="24"/>
      <x:c r="L57" s="24"/>
    </x:row>
    <x:row r="58">
      <x:c r="A58" s="24"/>
      <x:c r="B58" s="24" t="str">
        <x:f>IFERROR(XLOOKUP(A58,'01_Компании'!$A$4:$A$103,'01_Компании'!$B$4:$B$103),"")</x:f>
      </x:c>
      <x:c r="C58" s="24"/>
      <x:c r="D58" s="24"/>
      <x:c r="E58" s="24"/>
      <x:c r="F58" s="24"/>
      <x:c r="G58" s="24"/>
      <x:c r="H58" s="34"/>
      <x:c r="I58" s="24"/>
      <x:c r="J58" s="24"/>
      <x:c r="K58" s="24"/>
      <x:c r="L58" s="24"/>
    </x:row>
    <x:row r="59">
      <x:c r="A59" s="24"/>
      <x:c r="B59" s="24" t="str">
        <x:f>IFERROR(XLOOKUP(A59,'01_Компании'!$A$4:$A$103,'01_Компании'!$B$4:$B$103),"")</x:f>
      </x:c>
      <x:c r="C59" s="24"/>
      <x:c r="D59" s="24"/>
      <x:c r="E59" s="24"/>
      <x:c r="F59" s="24"/>
      <x:c r="G59" s="24"/>
      <x:c r="H59" s="34"/>
      <x:c r="I59" s="24"/>
      <x:c r="J59" s="24"/>
      <x:c r="K59" s="24"/>
      <x:c r="L59" s="24"/>
    </x:row>
    <x:row r="60">
      <x:c r="A60" s="24"/>
      <x:c r="B60" s="24" t="str">
        <x:f>IFERROR(XLOOKUP(A60,'01_Компании'!$A$4:$A$103,'01_Компании'!$B$4:$B$103),"")</x:f>
      </x:c>
      <x:c r="C60" s="24"/>
      <x:c r="D60" s="24"/>
      <x:c r="E60" s="24"/>
      <x:c r="F60" s="24"/>
      <x:c r="G60" s="24"/>
      <x:c r="H60" s="34"/>
      <x:c r="I60" s="24"/>
      <x:c r="J60" s="24"/>
      <x:c r="K60" s="24"/>
      <x:c r="L60" s="24"/>
    </x:row>
    <x:row r="61">
      <x:c r="A61" s="24"/>
      <x:c r="B61" s="24" t="str">
        <x:f>IFERROR(XLOOKUP(A61,'01_Компании'!$A$4:$A$103,'01_Компании'!$B$4:$B$103),"")</x:f>
      </x:c>
      <x:c r="C61" s="24"/>
      <x:c r="D61" s="24"/>
      <x:c r="E61" s="24"/>
      <x:c r="F61" s="24"/>
      <x:c r="G61" s="24"/>
      <x:c r="H61" s="34"/>
      <x:c r="I61" s="24"/>
      <x:c r="J61" s="24"/>
      <x:c r="K61" s="24"/>
      <x:c r="L61" s="24"/>
    </x:row>
    <x:row r="62">
      <x:c r="A62" s="24"/>
      <x:c r="B62" s="24" t="str">
        <x:f>IFERROR(XLOOKUP(A62,'01_Компании'!$A$4:$A$103,'01_Компании'!$B$4:$B$103),"")</x:f>
      </x:c>
      <x:c r="C62" s="24"/>
      <x:c r="D62" s="24"/>
      <x:c r="E62" s="24"/>
      <x:c r="F62" s="24"/>
      <x:c r="G62" s="24"/>
      <x:c r="H62" s="34"/>
      <x:c r="I62" s="24"/>
      <x:c r="J62" s="24"/>
      <x:c r="K62" s="24"/>
      <x:c r="L62" s="24"/>
    </x:row>
    <x:row r="63">
      <x:c r="A63" s="24"/>
      <x:c r="B63" s="24" t="str">
        <x:f>IFERROR(XLOOKUP(A63,'01_Компании'!$A$4:$A$103,'01_Компании'!$B$4:$B$103),"")</x:f>
      </x:c>
      <x:c r="C63" s="24"/>
      <x:c r="D63" s="24"/>
      <x:c r="E63" s="24"/>
      <x:c r="F63" s="24"/>
      <x:c r="G63" s="24"/>
      <x:c r="H63" s="34"/>
      <x:c r="I63" s="24"/>
      <x:c r="J63" s="24"/>
      <x:c r="K63" s="24"/>
      <x:c r="L63" s="24"/>
    </x:row>
    <x:row r="64">
      <x:c r="A64" s="24"/>
      <x:c r="B64" s="24" t="str">
        <x:f>IFERROR(XLOOKUP(A64,'01_Компании'!$A$4:$A$103,'01_Компании'!$B$4:$B$103),"")</x:f>
      </x:c>
      <x:c r="C64" s="24"/>
      <x:c r="D64" s="24"/>
      <x:c r="E64" s="24"/>
      <x:c r="F64" s="24"/>
      <x:c r="G64" s="24"/>
      <x:c r="H64" s="34"/>
      <x:c r="I64" s="24"/>
      <x:c r="J64" s="24"/>
      <x:c r="K64" s="24"/>
      <x:c r="L64" s="24"/>
    </x:row>
    <x:row r="65">
      <x:c r="A65" s="24"/>
      <x:c r="B65" s="24" t="str">
        <x:f>IFERROR(XLOOKUP(A65,'01_Компании'!$A$4:$A$103,'01_Компании'!$B$4:$B$103),"")</x:f>
      </x:c>
      <x:c r="C65" s="24"/>
      <x:c r="D65" s="24"/>
      <x:c r="E65" s="24"/>
      <x:c r="F65" s="24"/>
      <x:c r="G65" s="24"/>
      <x:c r="H65" s="34"/>
      <x:c r="I65" s="24"/>
      <x:c r="J65" s="24"/>
      <x:c r="K65" s="24"/>
      <x:c r="L65" s="24"/>
    </x:row>
    <x:row r="66">
      <x:c r="A66" s="24"/>
      <x:c r="B66" s="24" t="str">
        <x:f>IFERROR(XLOOKUP(A66,'01_Компании'!$A$4:$A$103,'01_Компании'!$B$4:$B$103),"")</x:f>
      </x:c>
      <x:c r="C66" s="24"/>
      <x:c r="D66" s="24"/>
      <x:c r="E66" s="24"/>
      <x:c r="F66" s="24"/>
      <x:c r="G66" s="24"/>
      <x:c r="H66" s="34"/>
      <x:c r="I66" s="24"/>
      <x:c r="J66" s="24"/>
      <x:c r="K66" s="24"/>
      <x:c r="L66" s="24"/>
    </x:row>
    <x:row r="67">
      <x:c r="A67" s="24"/>
      <x:c r="B67" s="24" t="str">
        <x:f>IFERROR(XLOOKUP(A67,'01_Компании'!$A$4:$A$103,'01_Компании'!$B$4:$B$103),"")</x:f>
      </x:c>
      <x:c r="C67" s="24"/>
      <x:c r="D67" s="24"/>
      <x:c r="E67" s="24"/>
      <x:c r="F67" s="24"/>
      <x:c r="G67" s="24"/>
      <x:c r="H67" s="34"/>
      <x:c r="I67" s="24"/>
      <x:c r="J67" s="24"/>
      <x:c r="K67" s="24"/>
      <x:c r="L67" s="24"/>
    </x:row>
    <x:row r="68">
      <x:c r="A68" s="24"/>
      <x:c r="B68" s="24" t="str">
        <x:f>IFERROR(XLOOKUP(A68,'01_Компании'!$A$4:$A$103,'01_Компании'!$B$4:$B$103),"")</x:f>
      </x:c>
      <x:c r="C68" s="24"/>
      <x:c r="D68" s="24"/>
      <x:c r="E68" s="24"/>
      <x:c r="F68" s="24"/>
      <x:c r="G68" s="24"/>
      <x:c r="H68" s="34"/>
      <x:c r="I68" s="24"/>
      <x:c r="J68" s="24"/>
      <x:c r="K68" s="24"/>
      <x:c r="L68" s="24"/>
    </x:row>
    <x:row r="69">
      <x:c r="A69" s="24"/>
      <x:c r="B69" s="24" t="str">
        <x:f>IFERROR(XLOOKUP(A69,'01_Компании'!$A$4:$A$103,'01_Компании'!$B$4:$B$103),"")</x:f>
      </x:c>
      <x:c r="C69" s="24"/>
      <x:c r="D69" s="24"/>
      <x:c r="E69" s="24"/>
      <x:c r="F69" s="24"/>
      <x:c r="G69" s="24"/>
      <x:c r="H69" s="34"/>
      <x:c r="I69" s="24"/>
      <x:c r="J69" s="24"/>
      <x:c r="K69" s="24"/>
      <x:c r="L69" s="24"/>
    </x:row>
    <x:row r="70">
      <x:c r="A70" s="24"/>
      <x:c r="B70" s="24" t="str">
        <x:f>IFERROR(XLOOKUP(A70,'01_Компании'!$A$4:$A$103,'01_Компании'!$B$4:$B$103),"")</x:f>
      </x:c>
      <x:c r="C70" s="24"/>
      <x:c r="D70" s="24"/>
      <x:c r="E70" s="24"/>
      <x:c r="F70" s="24"/>
      <x:c r="G70" s="24"/>
      <x:c r="H70" s="34"/>
      <x:c r="I70" s="24"/>
      <x:c r="J70" s="24"/>
      <x:c r="K70" s="24"/>
      <x:c r="L70" s="24"/>
    </x:row>
    <x:row r="71">
      <x:c r="A71" s="24"/>
      <x:c r="B71" s="24" t="str">
        <x:f>IFERROR(XLOOKUP(A71,'01_Компании'!$A$4:$A$103,'01_Компании'!$B$4:$B$103),"")</x:f>
      </x:c>
      <x:c r="C71" s="24"/>
      <x:c r="D71" s="24"/>
      <x:c r="E71" s="24"/>
      <x:c r="F71" s="24"/>
      <x:c r="G71" s="24"/>
      <x:c r="H71" s="34"/>
      <x:c r="I71" s="24"/>
      <x:c r="J71" s="24"/>
      <x:c r="K71" s="24"/>
      <x:c r="L71" s="24"/>
    </x:row>
    <x:row r="72">
      <x:c r="A72" s="24"/>
      <x:c r="B72" s="24" t="str">
        <x:f>IFERROR(XLOOKUP(A72,'01_Компании'!$A$4:$A$103,'01_Компании'!$B$4:$B$103),"")</x:f>
      </x:c>
      <x:c r="C72" s="24"/>
      <x:c r="D72" s="24"/>
      <x:c r="E72" s="24"/>
      <x:c r="F72" s="24"/>
      <x:c r="G72" s="24"/>
      <x:c r="H72" s="34"/>
      <x:c r="I72" s="24"/>
      <x:c r="J72" s="24"/>
      <x:c r="K72" s="24"/>
      <x:c r="L72" s="24"/>
    </x:row>
    <x:row r="73">
      <x:c r="A73" s="24"/>
      <x:c r="B73" s="24" t="str">
        <x:f>IFERROR(XLOOKUP(A73,'01_Компании'!$A$4:$A$103,'01_Компании'!$B$4:$B$103),"")</x:f>
      </x:c>
      <x:c r="C73" s="24"/>
      <x:c r="D73" s="24"/>
      <x:c r="E73" s="24"/>
      <x:c r="F73" s="24"/>
      <x:c r="G73" s="24"/>
      <x:c r="H73" s="34"/>
      <x:c r="I73" s="24"/>
      <x:c r="J73" s="24"/>
      <x:c r="K73" s="24"/>
      <x:c r="L73" s="24"/>
    </x:row>
    <x:row r="74">
      <x:c r="A74" s="24"/>
      <x:c r="B74" s="24" t="str">
        <x:f>IFERROR(XLOOKUP(A74,'01_Компании'!$A$4:$A$103,'01_Компании'!$B$4:$B$103),"")</x:f>
      </x:c>
      <x:c r="C74" s="24"/>
      <x:c r="D74" s="24"/>
      <x:c r="E74" s="24"/>
      <x:c r="F74" s="24"/>
      <x:c r="G74" s="24"/>
      <x:c r="H74" s="34"/>
      <x:c r="I74" s="24"/>
      <x:c r="J74" s="24"/>
      <x:c r="K74" s="24"/>
      <x:c r="L74" s="24"/>
    </x:row>
    <x:row r="75">
      <x:c r="A75" s="24"/>
      <x:c r="B75" s="24" t="str">
        <x:f>IFERROR(XLOOKUP(A75,'01_Компании'!$A$4:$A$103,'01_Компании'!$B$4:$B$103),"")</x:f>
      </x:c>
      <x:c r="C75" s="24"/>
      <x:c r="D75" s="24"/>
      <x:c r="E75" s="24"/>
      <x:c r="F75" s="24"/>
      <x:c r="G75" s="24"/>
      <x:c r="H75" s="34"/>
      <x:c r="I75" s="24"/>
      <x:c r="J75" s="24"/>
      <x:c r="K75" s="24"/>
      <x:c r="L75" s="24"/>
    </x:row>
    <x:row r="76">
      <x:c r="A76" s="24"/>
      <x:c r="B76" s="24" t="str">
        <x:f>IFERROR(XLOOKUP(A76,'01_Компании'!$A$4:$A$103,'01_Компании'!$B$4:$B$103),"")</x:f>
      </x:c>
      <x:c r="C76" s="24"/>
      <x:c r="D76" s="24"/>
      <x:c r="E76" s="24"/>
      <x:c r="F76" s="24"/>
      <x:c r="G76" s="24"/>
      <x:c r="H76" s="34"/>
      <x:c r="I76" s="24"/>
      <x:c r="J76" s="24"/>
      <x:c r="K76" s="24"/>
      <x:c r="L76" s="24"/>
    </x:row>
    <x:row r="77">
      <x:c r="A77" s="24"/>
      <x:c r="B77" s="24" t="str">
        <x:f>IFERROR(XLOOKUP(A77,'01_Компании'!$A$4:$A$103,'01_Компании'!$B$4:$B$103),"")</x:f>
      </x:c>
      <x:c r="C77" s="24"/>
      <x:c r="D77" s="24"/>
      <x:c r="E77" s="24"/>
      <x:c r="F77" s="24"/>
      <x:c r="G77" s="24"/>
      <x:c r="H77" s="34"/>
      <x:c r="I77" s="24"/>
      <x:c r="J77" s="24"/>
      <x:c r="K77" s="24"/>
      <x:c r="L77" s="24"/>
    </x:row>
    <x:row r="78">
      <x:c r="A78" s="24"/>
      <x:c r="B78" s="24" t="str">
        <x:f>IFERROR(XLOOKUP(A78,'01_Компании'!$A$4:$A$103,'01_Компании'!$B$4:$B$103),"")</x:f>
      </x:c>
      <x:c r="C78" s="24"/>
      <x:c r="D78" s="24"/>
      <x:c r="E78" s="24"/>
      <x:c r="F78" s="24"/>
      <x:c r="G78" s="24"/>
      <x:c r="H78" s="34"/>
      <x:c r="I78" s="24"/>
      <x:c r="J78" s="24"/>
      <x:c r="K78" s="24"/>
      <x:c r="L78" s="24"/>
    </x:row>
    <x:row r="79">
      <x:c r="A79" s="24"/>
      <x:c r="B79" s="24" t="str">
        <x:f>IFERROR(XLOOKUP(A79,'01_Компании'!$A$4:$A$103,'01_Компании'!$B$4:$B$103),"")</x:f>
      </x:c>
      <x:c r="C79" s="24"/>
      <x:c r="D79" s="24"/>
      <x:c r="E79" s="24"/>
      <x:c r="F79" s="24"/>
      <x:c r="G79" s="24"/>
      <x:c r="H79" s="34"/>
      <x:c r="I79" s="24"/>
      <x:c r="J79" s="24"/>
      <x:c r="K79" s="24"/>
      <x:c r="L79" s="24"/>
    </x:row>
    <x:row r="80">
      <x:c r="A80" s="24"/>
      <x:c r="B80" s="24" t="str">
        <x:f>IFERROR(XLOOKUP(A80,'01_Компании'!$A$4:$A$103,'01_Компании'!$B$4:$B$103),"")</x:f>
      </x:c>
      <x:c r="C80" s="24"/>
      <x:c r="D80" s="24"/>
      <x:c r="E80" s="24"/>
      <x:c r="F80" s="24"/>
      <x:c r="G80" s="24"/>
      <x:c r="H80" s="34"/>
      <x:c r="I80" s="24"/>
      <x:c r="J80" s="24"/>
      <x:c r="K80" s="24"/>
      <x:c r="L80" s="24"/>
    </x:row>
    <x:row r="81">
      <x:c r="A81" s="24"/>
      <x:c r="B81" s="24" t="str">
        <x:f>IFERROR(XLOOKUP(A81,'01_Компании'!$A$4:$A$103,'01_Компании'!$B$4:$B$103),"")</x:f>
      </x:c>
      <x:c r="C81" s="24"/>
      <x:c r="D81" s="24"/>
      <x:c r="E81" s="24"/>
      <x:c r="F81" s="24"/>
      <x:c r="G81" s="24"/>
      <x:c r="H81" s="34"/>
      <x:c r="I81" s="24"/>
      <x:c r="J81" s="24"/>
      <x:c r="K81" s="24"/>
      <x:c r="L81" s="24"/>
    </x:row>
    <x:row r="82">
      <x:c r="A82" s="24"/>
      <x:c r="B82" s="24" t="str">
        <x:f>IFERROR(XLOOKUP(A82,'01_Компании'!$A$4:$A$103,'01_Компании'!$B$4:$B$103),"")</x:f>
      </x:c>
      <x:c r="C82" s="24"/>
      <x:c r="D82" s="24"/>
      <x:c r="E82" s="24"/>
      <x:c r="F82" s="24"/>
      <x:c r="G82" s="24"/>
      <x:c r="H82" s="34"/>
      <x:c r="I82" s="24"/>
      <x:c r="J82" s="24"/>
      <x:c r="K82" s="24"/>
      <x:c r="L82" s="24"/>
    </x:row>
    <x:row r="83">
      <x:c r="A83" s="24"/>
      <x:c r="B83" s="24" t="str">
        <x:f>IFERROR(XLOOKUP(A83,'01_Компании'!$A$4:$A$103,'01_Компании'!$B$4:$B$103),"")</x:f>
      </x:c>
      <x:c r="C83" s="24"/>
      <x:c r="D83" s="24"/>
      <x:c r="E83" s="24"/>
      <x:c r="F83" s="24"/>
      <x:c r="G83" s="24"/>
      <x:c r="H83" s="34"/>
      <x:c r="I83" s="24"/>
      <x:c r="J83" s="24"/>
      <x:c r="K83" s="24"/>
      <x:c r="L83" s="24"/>
    </x:row>
    <x:row r="84">
      <x:c r="A84" s="24"/>
      <x:c r="B84" s="24" t="str">
        <x:f>IFERROR(XLOOKUP(A84,'01_Компании'!$A$4:$A$103,'01_Компании'!$B$4:$B$103),"")</x:f>
      </x:c>
      <x:c r="C84" s="24"/>
      <x:c r="D84" s="24"/>
      <x:c r="E84" s="24"/>
      <x:c r="F84" s="24"/>
      <x:c r="G84" s="24"/>
      <x:c r="H84" s="34"/>
      <x:c r="I84" s="24"/>
      <x:c r="J84" s="24"/>
      <x:c r="K84" s="24"/>
      <x:c r="L84" s="24"/>
    </x:row>
    <x:row r="85">
      <x:c r="A85" s="24"/>
      <x:c r="B85" s="24" t="str">
        <x:f>IFERROR(XLOOKUP(A85,'01_Компании'!$A$4:$A$103,'01_Компании'!$B$4:$B$103),"")</x:f>
      </x:c>
      <x:c r="C85" s="24"/>
      <x:c r="D85" s="24"/>
      <x:c r="E85" s="24"/>
      <x:c r="F85" s="24"/>
      <x:c r="G85" s="24"/>
      <x:c r="H85" s="34"/>
      <x:c r="I85" s="24"/>
      <x:c r="J85" s="24"/>
      <x:c r="K85" s="24"/>
      <x:c r="L85" s="24"/>
    </x:row>
    <x:row r="86">
      <x:c r="A86" s="24"/>
      <x:c r="B86" s="24" t="str">
        <x:f>IFERROR(XLOOKUP(A86,'01_Компании'!$A$4:$A$103,'01_Компании'!$B$4:$B$103),"")</x:f>
      </x:c>
      <x:c r="C86" s="24"/>
      <x:c r="D86" s="24"/>
      <x:c r="E86" s="24"/>
      <x:c r="F86" s="24"/>
      <x:c r="G86" s="24"/>
      <x:c r="H86" s="34"/>
      <x:c r="I86" s="24"/>
      <x:c r="J86" s="24"/>
      <x:c r="K86" s="24"/>
      <x:c r="L86" s="24"/>
    </x:row>
    <x:row r="87">
      <x:c r="A87" s="24"/>
      <x:c r="B87" s="24" t="str">
        <x:f>IFERROR(XLOOKUP(A87,'01_Компании'!$A$4:$A$103,'01_Компании'!$B$4:$B$103),"")</x:f>
      </x:c>
      <x:c r="C87" s="24"/>
      <x:c r="D87" s="24"/>
      <x:c r="E87" s="24"/>
      <x:c r="F87" s="24"/>
      <x:c r="G87" s="24"/>
      <x:c r="H87" s="34"/>
      <x:c r="I87" s="24"/>
      <x:c r="J87" s="24"/>
      <x:c r="K87" s="24"/>
      <x:c r="L87" s="24"/>
    </x:row>
    <x:row r="88">
      <x:c r="A88" s="24"/>
      <x:c r="B88" s="24" t="str">
        <x:f>IFERROR(XLOOKUP(A88,'01_Компании'!$A$4:$A$103,'01_Компании'!$B$4:$B$103),"")</x:f>
      </x:c>
      <x:c r="C88" s="24"/>
      <x:c r="D88" s="24"/>
      <x:c r="E88" s="24"/>
      <x:c r="F88" s="24"/>
      <x:c r="G88" s="24"/>
      <x:c r="H88" s="34"/>
      <x:c r="I88" s="24"/>
      <x:c r="J88" s="24"/>
      <x:c r="K88" s="24"/>
      <x:c r="L88" s="24"/>
    </x:row>
    <x:row r="89">
      <x:c r="A89" s="24"/>
      <x:c r="B89" s="24" t="str">
        <x:f>IFERROR(XLOOKUP(A89,'01_Компании'!$A$4:$A$103,'01_Компании'!$B$4:$B$103),"")</x:f>
      </x:c>
      <x:c r="C89" s="24"/>
      <x:c r="D89" s="24"/>
      <x:c r="E89" s="24"/>
      <x:c r="F89" s="24"/>
      <x:c r="G89" s="24"/>
      <x:c r="H89" s="34"/>
      <x:c r="I89" s="24"/>
      <x:c r="J89" s="24"/>
      <x:c r="K89" s="24"/>
      <x:c r="L89" s="24"/>
    </x:row>
    <x:row r="90">
      <x:c r="A90" s="24"/>
      <x:c r="B90" s="24" t="str">
        <x:f>IFERROR(XLOOKUP(A90,'01_Компании'!$A$4:$A$103,'01_Компании'!$B$4:$B$103),"")</x:f>
      </x:c>
      <x:c r="C90" s="24"/>
      <x:c r="D90" s="24"/>
      <x:c r="E90" s="24"/>
      <x:c r="F90" s="24"/>
      <x:c r="G90" s="24"/>
      <x:c r="H90" s="34"/>
      <x:c r="I90" s="24"/>
      <x:c r="J90" s="24"/>
      <x:c r="K90" s="24"/>
      <x:c r="L90" s="24"/>
    </x:row>
    <x:row r="91">
      <x:c r="A91" s="24"/>
      <x:c r="B91" s="24" t="str">
        <x:f>IFERROR(XLOOKUP(A91,'01_Компании'!$A$4:$A$103,'01_Компании'!$B$4:$B$103),"")</x:f>
      </x:c>
      <x:c r="C91" s="24"/>
      <x:c r="D91" s="24"/>
      <x:c r="E91" s="24"/>
      <x:c r="F91" s="24"/>
      <x:c r="G91" s="24"/>
      <x:c r="H91" s="34"/>
      <x:c r="I91" s="24"/>
      <x:c r="J91" s="24"/>
      <x:c r="K91" s="24"/>
      <x:c r="L91" s="24"/>
    </x:row>
    <x:row r="92">
      <x:c r="A92" s="24"/>
      <x:c r="B92" s="24" t="str">
        <x:f>IFERROR(XLOOKUP(A92,'01_Компании'!$A$4:$A$103,'01_Компании'!$B$4:$B$103),"")</x:f>
      </x:c>
      <x:c r="C92" s="24"/>
      <x:c r="D92" s="24"/>
      <x:c r="E92" s="24"/>
      <x:c r="F92" s="24"/>
      <x:c r="G92" s="24"/>
      <x:c r="H92" s="34"/>
      <x:c r="I92" s="24"/>
      <x:c r="J92" s="24"/>
      <x:c r="K92" s="24"/>
      <x:c r="L92" s="24"/>
    </x:row>
    <x:row r="93">
      <x:c r="A93" s="24"/>
      <x:c r="B93" s="24" t="str">
        <x:f>IFERROR(XLOOKUP(A93,'01_Компании'!$A$4:$A$103,'01_Компании'!$B$4:$B$103),"")</x:f>
      </x:c>
      <x:c r="C93" s="24"/>
      <x:c r="D93" s="24"/>
      <x:c r="E93" s="24"/>
      <x:c r="F93" s="24"/>
      <x:c r="G93" s="24"/>
      <x:c r="H93" s="34"/>
      <x:c r="I93" s="24"/>
      <x:c r="J93" s="24"/>
      <x:c r="K93" s="24"/>
      <x:c r="L93" s="24"/>
    </x:row>
    <x:row r="94">
      <x:c r="A94" s="24"/>
      <x:c r="B94" s="24" t="str">
        <x:f>IFERROR(XLOOKUP(A94,'01_Компании'!$A$4:$A$103,'01_Компании'!$B$4:$B$103),"")</x:f>
      </x:c>
      <x:c r="C94" s="24"/>
      <x:c r="D94" s="24"/>
      <x:c r="E94" s="24"/>
      <x:c r="F94" s="24"/>
      <x:c r="G94" s="24"/>
      <x:c r="H94" s="34"/>
      <x:c r="I94" s="24"/>
      <x:c r="J94" s="24"/>
      <x:c r="K94" s="24"/>
      <x:c r="L94" s="24"/>
    </x:row>
    <x:row r="95">
      <x:c r="A95" s="24"/>
      <x:c r="B95" s="24" t="str">
        <x:f>IFERROR(XLOOKUP(A95,'01_Компании'!$A$4:$A$103,'01_Компании'!$B$4:$B$103),"")</x:f>
      </x:c>
      <x:c r="C95" s="24"/>
      <x:c r="D95" s="24"/>
      <x:c r="E95" s="24"/>
      <x:c r="F95" s="24"/>
      <x:c r="G95" s="24"/>
      <x:c r="H95" s="34"/>
      <x:c r="I95" s="24"/>
      <x:c r="J95" s="24"/>
      <x:c r="K95" s="24"/>
      <x:c r="L95" s="24"/>
    </x:row>
    <x:row r="96">
      <x:c r="A96" s="24"/>
      <x:c r="B96" s="24" t="str">
        <x:f>IFERROR(XLOOKUP(A96,'01_Компании'!$A$4:$A$103,'01_Компании'!$B$4:$B$103),"")</x:f>
      </x:c>
      <x:c r="C96" s="24"/>
      <x:c r="D96" s="24"/>
      <x:c r="E96" s="24"/>
      <x:c r="F96" s="24"/>
      <x:c r="G96" s="24"/>
      <x:c r="H96" s="34"/>
      <x:c r="I96" s="24"/>
      <x:c r="J96" s="24"/>
      <x:c r="K96" s="24"/>
      <x:c r="L96" s="24"/>
    </x:row>
    <x:row r="97">
      <x:c r="A97" s="24"/>
      <x:c r="B97" s="24" t="str">
        <x:f>IFERROR(XLOOKUP(A97,'01_Компании'!$A$4:$A$103,'01_Компании'!$B$4:$B$103),"")</x:f>
      </x:c>
      <x:c r="C97" s="24"/>
      <x:c r="D97" s="24"/>
      <x:c r="E97" s="24"/>
      <x:c r="F97" s="24"/>
      <x:c r="G97" s="24"/>
      <x:c r="H97" s="34"/>
      <x:c r="I97" s="24"/>
      <x:c r="J97" s="24"/>
      <x:c r="K97" s="24"/>
      <x:c r="L97" s="24"/>
    </x:row>
    <x:row r="98">
      <x:c r="A98" s="24"/>
      <x:c r="B98" s="24" t="str">
        <x:f>IFERROR(XLOOKUP(A98,'01_Компании'!$A$4:$A$103,'01_Компании'!$B$4:$B$103),"")</x:f>
      </x:c>
      <x:c r="C98" s="24"/>
      <x:c r="D98" s="24"/>
      <x:c r="E98" s="24"/>
      <x:c r="F98" s="24"/>
      <x:c r="G98" s="24"/>
      <x:c r="H98" s="34"/>
      <x:c r="I98" s="24"/>
      <x:c r="J98" s="24"/>
      <x:c r="K98" s="24"/>
      <x:c r="L98" s="24"/>
    </x:row>
    <x:row r="99">
      <x:c r="A99" s="24"/>
      <x:c r="B99" s="24" t="str">
        <x:f>IFERROR(XLOOKUP(A99,'01_Компании'!$A$4:$A$103,'01_Компании'!$B$4:$B$103),"")</x:f>
      </x:c>
      <x:c r="C99" s="24"/>
      <x:c r="D99" s="24"/>
      <x:c r="E99" s="24"/>
      <x:c r="F99" s="24"/>
      <x:c r="G99" s="24"/>
      <x:c r="H99" s="34"/>
      <x:c r="I99" s="24"/>
      <x:c r="J99" s="24"/>
      <x:c r="K99" s="24"/>
      <x:c r="L99" s="24"/>
    </x:row>
    <x:row r="100">
      <x:c r="A100" s="24"/>
      <x:c r="B100" s="24" t="str">
        <x:f>IFERROR(XLOOKUP(A100,'01_Компании'!$A$4:$A$103,'01_Компании'!$B$4:$B$103),"")</x:f>
      </x:c>
      <x:c r="C100" s="24"/>
      <x:c r="D100" s="24"/>
      <x:c r="E100" s="24"/>
      <x:c r="F100" s="24"/>
      <x:c r="G100" s="24"/>
      <x:c r="H100" s="34"/>
      <x:c r="I100" s="24"/>
      <x:c r="J100" s="24"/>
      <x:c r="K100" s="24"/>
      <x:c r="L100" s="24"/>
    </x:row>
    <x:row r="101">
      <x:c r="A101" s="24"/>
      <x:c r="B101" s="24" t="str">
        <x:f>IFERROR(XLOOKUP(A101,'01_Компании'!$A$4:$A$103,'01_Компании'!$B$4:$B$103),"")</x:f>
      </x:c>
      <x:c r="C101" s="24"/>
      <x:c r="D101" s="24"/>
      <x:c r="E101" s="24"/>
      <x:c r="F101" s="24"/>
      <x:c r="G101" s="24"/>
      <x:c r="H101" s="34"/>
      <x:c r="I101" s="24"/>
      <x:c r="J101" s="24"/>
      <x:c r="K101" s="24"/>
      <x:c r="L101" s="24"/>
    </x:row>
    <x:row r="102">
      <x:c r="A102" s="24"/>
      <x:c r="B102" s="24" t="str">
        <x:f>IFERROR(XLOOKUP(A102,'01_Компании'!$A$4:$A$103,'01_Компании'!$B$4:$B$103),"")</x:f>
      </x:c>
      <x:c r="C102" s="24"/>
      <x:c r="D102" s="24"/>
      <x:c r="E102" s="24"/>
      <x:c r="F102" s="24"/>
      <x:c r="G102" s="24"/>
      <x:c r="H102" s="34"/>
      <x:c r="I102" s="24"/>
      <x:c r="J102" s="24"/>
      <x:c r="K102" s="24"/>
      <x:c r="L102" s="24"/>
    </x:row>
    <x:row r="103">
      <x:c r="A103" s="24"/>
      <x:c r="B103" s="24" t="str">
        <x:f>IFERROR(XLOOKUP(A103,'01_Компании'!$A$4:$A$103,'01_Компании'!$B$4:$B$103),"")</x:f>
      </x:c>
      <x:c r="C103" s="24"/>
      <x:c r="D103" s="24"/>
      <x:c r="E103" s="24"/>
      <x:c r="F103" s="24"/>
      <x:c r="G103" s="24"/>
      <x:c r="H103" s="34"/>
      <x:c r="I103" s="24"/>
      <x:c r="J103" s="24"/>
      <x:c r="K103" s="24"/>
      <x:c r="L103" s="24"/>
    </x:row>
    <x:row r="104">
      <x:c r="A104" s="24"/>
      <x:c r="B104" s="24" t="str">
        <x:f>IFERROR(XLOOKUP(A104,'01_Компании'!$A$4:$A$103,'01_Компании'!$B$4:$B$103),"")</x:f>
      </x:c>
      <x:c r="C104" s="24"/>
      <x:c r="D104" s="24"/>
      <x:c r="E104" s="24"/>
      <x:c r="F104" s="24"/>
      <x:c r="G104" s="24"/>
      <x:c r="H104" s="34"/>
      <x:c r="I104" s="24"/>
      <x:c r="J104" s="24"/>
      <x:c r="K104" s="24"/>
      <x:c r="L104" s="24"/>
    </x:row>
    <x:row r="105">
      <x:c r="A105" s="24"/>
      <x:c r="B105" s="24" t="str">
        <x:f>IFERROR(XLOOKUP(A105,'01_Компании'!$A$4:$A$103,'01_Компании'!$B$4:$B$103),"")</x:f>
      </x:c>
      <x:c r="C105" s="24"/>
      <x:c r="D105" s="24"/>
      <x:c r="E105" s="24"/>
      <x:c r="F105" s="24"/>
      <x:c r="G105" s="24"/>
      <x:c r="H105" s="34"/>
      <x:c r="I105" s="24"/>
      <x:c r="J105" s="24"/>
      <x:c r="K105" s="24"/>
      <x:c r="L105" s="24"/>
    </x:row>
    <x:row r="106">
      <x:c r="A106" s="24"/>
      <x:c r="B106" s="24" t="str">
        <x:f>IFERROR(XLOOKUP(A106,'01_Компании'!$A$4:$A$103,'01_Компании'!$B$4:$B$103),"")</x:f>
      </x:c>
      <x:c r="C106" s="24"/>
      <x:c r="D106" s="24"/>
      <x:c r="E106" s="24"/>
      <x:c r="F106" s="24"/>
      <x:c r="G106" s="24"/>
      <x:c r="H106" s="34"/>
      <x:c r="I106" s="24"/>
      <x:c r="J106" s="24"/>
      <x:c r="K106" s="24"/>
      <x:c r="L106" s="24"/>
    </x:row>
    <x:row r="107">
      <x:c r="A107" s="24"/>
      <x:c r="B107" s="24" t="str">
        <x:f>IFERROR(XLOOKUP(A107,'01_Компании'!$A$4:$A$103,'01_Компании'!$B$4:$B$103),"")</x:f>
      </x:c>
      <x:c r="C107" s="24"/>
      <x:c r="D107" s="24"/>
      <x:c r="E107" s="24"/>
      <x:c r="F107" s="24"/>
      <x:c r="G107" s="24"/>
      <x:c r="H107" s="34"/>
      <x:c r="I107" s="24"/>
      <x:c r="J107" s="24"/>
      <x:c r="K107" s="24"/>
      <x:c r="L107" s="24"/>
    </x:row>
    <x:row r="108">
      <x:c r="A108" s="24"/>
      <x:c r="B108" s="24" t="str">
        <x:f>IFERROR(XLOOKUP(A108,'01_Компании'!$A$4:$A$103,'01_Компании'!$B$4:$B$103),"")</x:f>
      </x:c>
      <x:c r="C108" s="24"/>
      <x:c r="D108" s="24"/>
      <x:c r="E108" s="24"/>
      <x:c r="F108" s="24"/>
      <x:c r="G108" s="24"/>
      <x:c r="H108" s="34"/>
      <x:c r="I108" s="24"/>
      <x:c r="J108" s="24"/>
      <x:c r="K108" s="24"/>
      <x:c r="L108" s="24"/>
    </x:row>
    <x:row r="109">
      <x:c r="A109" s="24"/>
      <x:c r="B109" s="24" t="str">
        <x:f>IFERROR(XLOOKUP(A109,'01_Компании'!$A$4:$A$103,'01_Компании'!$B$4:$B$103),"")</x:f>
      </x:c>
      <x:c r="C109" s="24"/>
      <x:c r="D109" s="24"/>
      <x:c r="E109" s="24"/>
      <x:c r="F109" s="24"/>
      <x:c r="G109" s="24"/>
      <x:c r="H109" s="34"/>
      <x:c r="I109" s="24"/>
      <x:c r="J109" s="24"/>
      <x:c r="K109" s="24"/>
      <x:c r="L109" s="24"/>
    </x:row>
    <x:row r="110">
      <x:c r="A110" s="24"/>
      <x:c r="B110" s="24" t="str">
        <x:f>IFERROR(XLOOKUP(A110,'01_Компании'!$A$4:$A$103,'01_Компании'!$B$4:$B$103),"")</x:f>
      </x:c>
      <x:c r="C110" s="24"/>
      <x:c r="D110" s="24"/>
      <x:c r="E110" s="24"/>
      <x:c r="F110" s="24"/>
      <x:c r="G110" s="24"/>
      <x:c r="H110" s="34"/>
      <x:c r="I110" s="24"/>
      <x:c r="J110" s="24"/>
      <x:c r="K110" s="24"/>
      <x:c r="L110" s="24"/>
    </x:row>
    <x:row r="111">
      <x:c r="A111" s="24"/>
      <x:c r="B111" s="24" t="str">
        <x:f>IFERROR(XLOOKUP(A111,'01_Компании'!$A$4:$A$103,'01_Компании'!$B$4:$B$103),"")</x:f>
      </x:c>
      <x:c r="C111" s="24"/>
      <x:c r="D111" s="24"/>
      <x:c r="E111" s="24"/>
      <x:c r="F111" s="24"/>
      <x:c r="G111" s="24"/>
      <x:c r="H111" s="34"/>
      <x:c r="I111" s="24"/>
      <x:c r="J111" s="24"/>
      <x:c r="K111" s="24"/>
      <x:c r="L111" s="24"/>
    </x:row>
    <x:row r="112">
      <x:c r="A112" s="24"/>
      <x:c r="B112" s="24" t="str">
        <x:f>IFERROR(XLOOKUP(A112,'01_Компании'!$A$4:$A$103,'01_Компании'!$B$4:$B$103),"")</x:f>
      </x:c>
      <x:c r="C112" s="24"/>
      <x:c r="D112" s="24"/>
      <x:c r="E112" s="24"/>
      <x:c r="F112" s="24"/>
      <x:c r="G112" s="24"/>
      <x:c r="H112" s="34"/>
      <x:c r="I112" s="24"/>
      <x:c r="J112" s="24"/>
      <x:c r="K112" s="24"/>
      <x:c r="L112" s="24"/>
    </x:row>
    <x:row r="113">
      <x:c r="A113" s="24"/>
      <x:c r="B113" s="24" t="str">
        <x:f>IFERROR(XLOOKUP(A113,'01_Компании'!$A$4:$A$103,'01_Компании'!$B$4:$B$103),"")</x:f>
      </x:c>
      <x:c r="C113" s="24"/>
      <x:c r="D113" s="24"/>
      <x:c r="E113" s="24"/>
      <x:c r="F113" s="24"/>
      <x:c r="G113" s="24"/>
      <x:c r="H113" s="34"/>
      <x:c r="I113" s="24"/>
      <x:c r="J113" s="24"/>
      <x:c r="K113" s="24"/>
      <x:c r="L113" s="24"/>
    </x:row>
    <x:row r="114">
      <x:c r="A114" s="24"/>
      <x:c r="B114" s="24" t="str">
        <x:f>IFERROR(XLOOKUP(A114,'01_Компании'!$A$4:$A$103,'01_Компании'!$B$4:$B$103),"")</x:f>
      </x:c>
      <x:c r="C114" s="24"/>
      <x:c r="D114" s="24"/>
      <x:c r="E114" s="24"/>
      <x:c r="F114" s="24"/>
      <x:c r="G114" s="24"/>
      <x:c r="H114" s="34"/>
      <x:c r="I114" s="24"/>
      <x:c r="J114" s="24"/>
      <x:c r="K114" s="24"/>
      <x:c r="L114" s="24"/>
    </x:row>
    <x:row r="115">
      <x:c r="A115" s="24"/>
      <x:c r="B115" s="24" t="str">
        <x:f>IFERROR(XLOOKUP(A115,'01_Компании'!$A$4:$A$103,'01_Компании'!$B$4:$B$103),"")</x:f>
      </x:c>
      <x:c r="C115" s="24"/>
      <x:c r="D115" s="24"/>
      <x:c r="E115" s="24"/>
      <x:c r="F115" s="24"/>
      <x:c r="G115" s="24"/>
      <x:c r="H115" s="34"/>
      <x:c r="I115" s="24"/>
      <x:c r="J115" s="24"/>
      <x:c r="K115" s="24"/>
      <x:c r="L115" s="24"/>
    </x:row>
    <x:row r="116">
      <x:c r="A116" s="24"/>
      <x:c r="B116" s="24" t="str">
        <x:f>IFERROR(XLOOKUP(A116,'01_Компании'!$A$4:$A$103,'01_Компании'!$B$4:$B$103),"")</x:f>
      </x:c>
      <x:c r="C116" s="24"/>
      <x:c r="D116" s="24"/>
      <x:c r="E116" s="24"/>
      <x:c r="F116" s="24"/>
      <x:c r="G116" s="24"/>
      <x:c r="H116" s="34"/>
      <x:c r="I116" s="24"/>
      <x:c r="J116" s="24"/>
      <x:c r="K116" s="24"/>
      <x:c r="L116" s="24"/>
    </x:row>
    <x:row r="117">
      <x:c r="A117" s="24"/>
      <x:c r="B117" s="24" t="str">
        <x:f>IFERROR(XLOOKUP(A117,'01_Компании'!$A$4:$A$103,'01_Компании'!$B$4:$B$103),"")</x:f>
      </x:c>
      <x:c r="C117" s="24"/>
      <x:c r="D117" s="24"/>
      <x:c r="E117" s="24"/>
      <x:c r="F117" s="24"/>
      <x:c r="G117" s="24"/>
      <x:c r="H117" s="34"/>
      <x:c r="I117" s="24"/>
      <x:c r="J117" s="24"/>
      <x:c r="K117" s="24"/>
      <x:c r="L117" s="24"/>
    </x:row>
    <x:row r="118">
      <x:c r="A118" s="24"/>
      <x:c r="B118" s="24" t="str">
        <x:f>IFERROR(XLOOKUP(A118,'01_Компании'!$A$4:$A$103,'01_Компании'!$B$4:$B$103),"")</x:f>
      </x:c>
      <x:c r="C118" s="24"/>
      <x:c r="D118" s="24"/>
      <x:c r="E118" s="24"/>
      <x:c r="F118" s="24"/>
      <x:c r="G118" s="24"/>
      <x:c r="H118" s="34"/>
      <x:c r="I118" s="24"/>
      <x:c r="J118" s="24"/>
      <x:c r="K118" s="24"/>
      <x:c r="L118" s="24"/>
    </x:row>
    <x:row r="119">
      <x:c r="A119" s="24"/>
      <x:c r="B119" s="24" t="str">
        <x:f>IFERROR(XLOOKUP(A119,'01_Компании'!$A$4:$A$103,'01_Компании'!$B$4:$B$103),"")</x:f>
      </x:c>
      <x:c r="C119" s="24"/>
      <x:c r="D119" s="24"/>
      <x:c r="E119" s="24"/>
      <x:c r="F119" s="24"/>
      <x:c r="G119" s="24"/>
      <x:c r="H119" s="34"/>
      <x:c r="I119" s="24"/>
      <x:c r="J119" s="24"/>
      <x:c r="K119" s="24"/>
      <x:c r="L119" s="24"/>
    </x:row>
    <x:row r="120">
      <x:c r="A120" s="24"/>
      <x:c r="B120" s="24" t="str">
        <x:f>IFERROR(XLOOKUP(A120,'01_Компании'!$A$4:$A$103,'01_Компании'!$B$4:$B$103),"")</x:f>
      </x:c>
      <x:c r="C120" s="24"/>
      <x:c r="D120" s="24"/>
      <x:c r="E120" s="24"/>
      <x:c r="F120" s="24"/>
      <x:c r="G120" s="24"/>
      <x:c r="H120" s="34"/>
      <x:c r="I120" s="24"/>
      <x:c r="J120" s="24"/>
      <x:c r="K120" s="24"/>
      <x:c r="L120" s="24"/>
    </x:row>
    <x:row r="121">
      <x:c r="A121" s="24"/>
      <x:c r="B121" s="24" t="str">
        <x:f>IFERROR(XLOOKUP(A121,'01_Компании'!$A$4:$A$103,'01_Компании'!$B$4:$B$103),"")</x:f>
      </x:c>
      <x:c r="C121" s="24"/>
      <x:c r="D121" s="24"/>
      <x:c r="E121" s="24"/>
      <x:c r="F121" s="24"/>
      <x:c r="G121" s="24"/>
      <x:c r="H121" s="34"/>
      <x:c r="I121" s="24"/>
      <x:c r="J121" s="24"/>
      <x:c r="K121" s="24"/>
      <x:c r="L121" s="24"/>
    </x:row>
    <x:row r="122">
      <x:c r="A122" s="24"/>
      <x:c r="B122" s="24" t="str">
        <x:f>IFERROR(XLOOKUP(A122,'01_Компании'!$A$4:$A$103,'01_Компании'!$B$4:$B$103),"")</x:f>
      </x:c>
      <x:c r="C122" s="24"/>
      <x:c r="D122" s="24"/>
      <x:c r="E122" s="24"/>
      <x:c r="F122" s="24"/>
      <x:c r="G122" s="24"/>
      <x:c r="H122" s="34"/>
      <x:c r="I122" s="24"/>
      <x:c r="J122" s="24"/>
      <x:c r="K122" s="24"/>
      <x:c r="L122" s="24"/>
    </x:row>
    <x:row r="123">
      <x:c r="A123" s="24"/>
      <x:c r="B123" s="24" t="str">
        <x:f>IFERROR(XLOOKUP(A123,'01_Компании'!$A$4:$A$103,'01_Компании'!$B$4:$B$103),"")</x:f>
      </x:c>
      <x:c r="C123" s="24"/>
      <x:c r="D123" s="24"/>
      <x:c r="E123" s="24"/>
      <x:c r="F123" s="24"/>
      <x:c r="G123" s="24"/>
      <x:c r="H123" s="34"/>
      <x:c r="I123" s="24"/>
      <x:c r="J123" s="24"/>
      <x:c r="K123" s="24"/>
      <x:c r="L123" s="24"/>
    </x:row>
    <x:row r="124">
      <x:c r="A124" s="24"/>
      <x:c r="B124" s="24" t="str">
        <x:f>IFERROR(XLOOKUP(A124,'01_Компании'!$A$4:$A$103,'01_Компании'!$B$4:$B$103),"")</x:f>
      </x:c>
      <x:c r="C124" s="24"/>
      <x:c r="D124" s="24"/>
      <x:c r="E124" s="24"/>
      <x:c r="F124" s="24"/>
      <x:c r="G124" s="24"/>
      <x:c r="H124" s="34"/>
      <x:c r="I124" s="24"/>
      <x:c r="J124" s="24"/>
      <x:c r="K124" s="24"/>
      <x:c r="L124" s="24"/>
    </x:row>
    <x:row r="125">
      <x:c r="A125" s="24"/>
      <x:c r="B125" s="24" t="str">
        <x:f>IFERROR(XLOOKUP(A125,'01_Компании'!$A$4:$A$103,'01_Компании'!$B$4:$B$103),"")</x:f>
      </x:c>
      <x:c r="C125" s="24"/>
      <x:c r="D125" s="24"/>
      <x:c r="E125" s="24"/>
      <x:c r="F125" s="24"/>
      <x:c r="G125" s="24"/>
      <x:c r="H125" s="34"/>
      <x:c r="I125" s="24"/>
      <x:c r="J125" s="24"/>
      <x:c r="K125" s="24"/>
      <x:c r="L125" s="24"/>
    </x:row>
    <x:row r="126">
      <x:c r="A126" s="24"/>
      <x:c r="B126" s="24" t="str">
        <x:f>IFERROR(XLOOKUP(A126,'01_Компании'!$A$4:$A$103,'01_Компании'!$B$4:$B$103),"")</x:f>
      </x:c>
      <x:c r="C126" s="24"/>
      <x:c r="D126" s="24"/>
      <x:c r="E126" s="24"/>
      <x:c r="F126" s="24"/>
      <x:c r="G126" s="24"/>
      <x:c r="H126" s="34"/>
      <x:c r="I126" s="24"/>
      <x:c r="J126" s="24"/>
      <x:c r="K126" s="24"/>
      <x:c r="L126" s="24"/>
    </x:row>
    <x:row r="127">
      <x:c r="A127" s="24"/>
      <x:c r="B127" s="24" t="str">
        <x:f>IFERROR(XLOOKUP(A127,'01_Компании'!$A$4:$A$103,'01_Компании'!$B$4:$B$103),"")</x:f>
      </x:c>
      <x:c r="C127" s="24"/>
      <x:c r="D127" s="24"/>
      <x:c r="E127" s="24"/>
      <x:c r="F127" s="24"/>
      <x:c r="G127" s="24"/>
      <x:c r="H127" s="34"/>
      <x:c r="I127" s="24"/>
      <x:c r="J127" s="24"/>
      <x:c r="K127" s="24"/>
      <x:c r="L127" s="24"/>
    </x:row>
    <x:row r="128">
      <x:c r="A128" s="24"/>
      <x:c r="B128" s="24" t="str">
        <x:f>IFERROR(XLOOKUP(A128,'01_Компании'!$A$4:$A$103,'01_Компании'!$B$4:$B$103),"")</x:f>
      </x:c>
      <x:c r="C128" s="24"/>
      <x:c r="D128" s="24"/>
      <x:c r="E128" s="24"/>
      <x:c r="F128" s="24"/>
      <x:c r="G128" s="24"/>
      <x:c r="H128" s="34"/>
      <x:c r="I128" s="24"/>
      <x:c r="J128" s="24"/>
      <x:c r="K128" s="24"/>
      <x:c r="L128" s="24"/>
    </x:row>
    <x:row r="129">
      <x:c r="A129" s="24"/>
      <x:c r="B129" s="24" t="str">
        <x:f>IFERROR(XLOOKUP(A129,'01_Компании'!$A$4:$A$103,'01_Компании'!$B$4:$B$103),"")</x:f>
      </x:c>
      <x:c r="C129" s="24"/>
      <x:c r="D129" s="24"/>
      <x:c r="E129" s="24"/>
      <x:c r="F129" s="24"/>
      <x:c r="G129" s="24"/>
      <x:c r="H129" s="34"/>
      <x:c r="I129" s="24"/>
      <x:c r="J129" s="24"/>
      <x:c r="K129" s="24"/>
      <x:c r="L129" s="24"/>
    </x:row>
    <x:row r="130">
      <x:c r="A130" s="24"/>
      <x:c r="B130" s="24" t="str">
        <x:f>IFERROR(XLOOKUP(A130,'01_Компании'!$A$4:$A$103,'01_Компании'!$B$4:$B$103),"")</x:f>
      </x:c>
      <x:c r="C130" s="24"/>
      <x:c r="D130" s="24"/>
      <x:c r="E130" s="24"/>
      <x:c r="F130" s="24"/>
      <x:c r="G130" s="24"/>
      <x:c r="H130" s="34"/>
      <x:c r="I130" s="24"/>
      <x:c r="J130" s="24"/>
      <x:c r="K130" s="24"/>
      <x:c r="L130" s="24"/>
    </x:row>
    <x:row r="131">
      <x:c r="A131" s="24"/>
      <x:c r="B131" s="24" t="str">
        <x:f>IFERROR(XLOOKUP(A131,'01_Компании'!$A$4:$A$103,'01_Компании'!$B$4:$B$103),"")</x:f>
      </x:c>
      <x:c r="C131" s="24"/>
      <x:c r="D131" s="24"/>
      <x:c r="E131" s="24"/>
      <x:c r="F131" s="24"/>
      <x:c r="G131" s="24"/>
      <x:c r="H131" s="34"/>
      <x:c r="I131" s="24"/>
      <x:c r="J131" s="24"/>
      <x:c r="K131" s="24"/>
      <x:c r="L131" s="24"/>
    </x:row>
    <x:row r="132">
      <x:c r="A132" s="24"/>
      <x:c r="B132" s="24" t="str">
        <x:f>IFERROR(XLOOKUP(A132,'01_Компании'!$A$4:$A$103,'01_Компании'!$B$4:$B$103),"")</x:f>
      </x:c>
      <x:c r="C132" s="24"/>
      <x:c r="D132" s="24"/>
      <x:c r="E132" s="24"/>
      <x:c r="F132" s="24"/>
      <x:c r="G132" s="24"/>
      <x:c r="H132" s="34"/>
      <x:c r="I132" s="24"/>
      <x:c r="J132" s="24"/>
      <x:c r="K132" s="24"/>
      <x:c r="L132" s="24"/>
    </x:row>
    <x:row r="133">
      <x:c r="A133" s="24"/>
      <x:c r="B133" s="24" t="str">
        <x:f>IFERROR(XLOOKUP(A133,'01_Компании'!$A$4:$A$103,'01_Компании'!$B$4:$B$103),"")</x:f>
      </x:c>
      <x:c r="C133" s="24"/>
      <x:c r="D133" s="24"/>
      <x:c r="E133" s="24"/>
      <x:c r="F133" s="24"/>
      <x:c r="G133" s="24"/>
      <x:c r="H133" s="34"/>
      <x:c r="I133" s="24"/>
      <x:c r="J133" s="24"/>
      <x:c r="K133" s="24"/>
      <x:c r="L133" s="24"/>
    </x:row>
    <x:row r="134">
      <x:c r="A134" s="24"/>
      <x:c r="B134" s="24" t="str">
        <x:f>IFERROR(XLOOKUP(A134,'01_Компании'!$A$4:$A$103,'01_Компании'!$B$4:$B$103),"")</x:f>
      </x:c>
      <x:c r="C134" s="24"/>
      <x:c r="D134" s="24"/>
      <x:c r="E134" s="24"/>
      <x:c r="F134" s="24"/>
      <x:c r="G134" s="24"/>
      <x:c r="H134" s="34"/>
      <x:c r="I134" s="24"/>
      <x:c r="J134" s="24"/>
      <x:c r="K134" s="24"/>
      <x:c r="L134" s="24"/>
    </x:row>
    <x:row r="135">
      <x:c r="A135" s="24"/>
      <x:c r="B135" s="24" t="str">
        <x:f>IFERROR(XLOOKUP(A135,'01_Компании'!$A$4:$A$103,'01_Компании'!$B$4:$B$103),"")</x:f>
      </x:c>
      <x:c r="C135" s="24"/>
      <x:c r="D135" s="24"/>
      <x:c r="E135" s="24"/>
      <x:c r="F135" s="24"/>
      <x:c r="G135" s="24"/>
      <x:c r="H135" s="34"/>
      <x:c r="I135" s="24"/>
      <x:c r="J135" s="24"/>
      <x:c r="K135" s="24"/>
      <x:c r="L135" s="24"/>
    </x:row>
    <x:row r="136">
      <x:c r="A136" s="24"/>
      <x:c r="B136" s="24" t="str">
        <x:f>IFERROR(XLOOKUP(A136,'01_Компании'!$A$4:$A$103,'01_Компании'!$B$4:$B$103),"")</x:f>
      </x:c>
      <x:c r="C136" s="24"/>
      <x:c r="D136" s="24"/>
      <x:c r="E136" s="24"/>
      <x:c r="F136" s="24"/>
      <x:c r="G136" s="24"/>
      <x:c r="H136" s="34"/>
      <x:c r="I136" s="24"/>
      <x:c r="J136" s="24"/>
      <x:c r="K136" s="24"/>
      <x:c r="L136" s="24"/>
    </x:row>
    <x:row r="137">
      <x:c r="A137" s="24"/>
      <x:c r="B137" s="24" t="str">
        <x:f>IFERROR(XLOOKUP(A137,'01_Компании'!$A$4:$A$103,'01_Компании'!$B$4:$B$103),"")</x:f>
      </x:c>
      <x:c r="C137" s="24"/>
      <x:c r="D137" s="24"/>
      <x:c r="E137" s="24"/>
      <x:c r="F137" s="24"/>
      <x:c r="G137" s="24"/>
      <x:c r="H137" s="34"/>
      <x:c r="I137" s="24"/>
      <x:c r="J137" s="24"/>
      <x:c r="K137" s="24"/>
      <x:c r="L137" s="24"/>
    </x:row>
    <x:row r="138">
      <x:c r="A138" s="24"/>
      <x:c r="B138" s="24" t="str">
        <x:f>IFERROR(XLOOKUP(A138,'01_Компании'!$A$4:$A$103,'01_Компании'!$B$4:$B$103),"")</x:f>
      </x:c>
      <x:c r="C138" s="24"/>
      <x:c r="D138" s="24"/>
      <x:c r="E138" s="24"/>
      <x:c r="F138" s="24"/>
      <x:c r="G138" s="24"/>
      <x:c r="H138" s="34"/>
      <x:c r="I138" s="24"/>
      <x:c r="J138" s="24"/>
      <x:c r="K138" s="24"/>
      <x:c r="L138" s="24"/>
    </x:row>
    <x:row r="139">
      <x:c r="A139" s="24"/>
      <x:c r="B139" s="24" t="str">
        <x:f>IFERROR(XLOOKUP(A139,'01_Компании'!$A$4:$A$103,'01_Компании'!$B$4:$B$103),"")</x:f>
      </x:c>
      <x:c r="C139" s="24"/>
      <x:c r="D139" s="24"/>
      <x:c r="E139" s="24"/>
      <x:c r="F139" s="24"/>
      <x:c r="G139" s="24"/>
      <x:c r="H139" s="34"/>
      <x:c r="I139" s="24"/>
      <x:c r="J139" s="24"/>
      <x:c r="K139" s="24"/>
      <x:c r="L139" s="24"/>
    </x:row>
    <x:row r="140">
      <x:c r="A140" s="24"/>
      <x:c r="B140" s="24" t="str">
        <x:f>IFERROR(XLOOKUP(A140,'01_Компании'!$A$4:$A$103,'01_Компании'!$B$4:$B$103),"")</x:f>
      </x:c>
      <x:c r="C140" s="24"/>
      <x:c r="D140" s="24"/>
      <x:c r="E140" s="24"/>
      <x:c r="F140" s="24"/>
      <x:c r="G140" s="24"/>
      <x:c r="H140" s="34"/>
      <x:c r="I140" s="24"/>
      <x:c r="J140" s="24"/>
      <x:c r="K140" s="24"/>
      <x:c r="L140" s="24"/>
    </x:row>
    <x:row r="141">
      <x:c r="A141" s="24"/>
      <x:c r="B141" s="24" t="str">
        <x:f>IFERROR(XLOOKUP(A141,'01_Компании'!$A$4:$A$103,'01_Компании'!$B$4:$B$103),"")</x:f>
      </x:c>
      <x:c r="C141" s="24"/>
      <x:c r="D141" s="24"/>
      <x:c r="E141" s="24"/>
      <x:c r="F141" s="24"/>
      <x:c r="G141" s="24"/>
      <x:c r="H141" s="34"/>
      <x:c r="I141" s="24"/>
      <x:c r="J141" s="24"/>
      <x:c r="K141" s="24"/>
      <x:c r="L141" s="24"/>
    </x:row>
    <x:row r="142">
      <x:c r="A142" s="24"/>
      <x:c r="B142" s="24" t="str">
        <x:f>IFERROR(XLOOKUP(A142,'01_Компании'!$A$4:$A$103,'01_Компании'!$B$4:$B$103),"")</x:f>
      </x:c>
      <x:c r="C142" s="24"/>
      <x:c r="D142" s="24"/>
      <x:c r="E142" s="24"/>
      <x:c r="F142" s="24"/>
      <x:c r="G142" s="24"/>
      <x:c r="H142" s="34"/>
      <x:c r="I142" s="24"/>
      <x:c r="J142" s="24"/>
      <x:c r="K142" s="24"/>
      <x:c r="L142" s="24"/>
    </x:row>
    <x:row r="143">
      <x:c r="A143" s="24"/>
      <x:c r="B143" s="24" t="str">
        <x:f>IFERROR(XLOOKUP(A143,'01_Компании'!$A$4:$A$103,'01_Компании'!$B$4:$B$103),"")</x:f>
      </x:c>
      <x:c r="C143" s="24"/>
      <x:c r="D143" s="24"/>
      <x:c r="E143" s="24"/>
      <x:c r="F143" s="24"/>
      <x:c r="G143" s="24"/>
      <x:c r="H143" s="34"/>
      <x:c r="I143" s="24"/>
      <x:c r="J143" s="24"/>
      <x:c r="K143" s="24"/>
      <x:c r="L143" s="24"/>
    </x:row>
    <x:row r="144">
      <x:c r="A144" s="24"/>
      <x:c r="B144" s="24" t="str">
        <x:f>IFERROR(XLOOKUP(A144,'01_Компании'!$A$4:$A$103,'01_Компании'!$B$4:$B$103),"")</x:f>
      </x:c>
      <x:c r="C144" s="24"/>
      <x:c r="D144" s="24"/>
      <x:c r="E144" s="24"/>
      <x:c r="F144" s="24"/>
      <x:c r="G144" s="24"/>
      <x:c r="H144" s="34"/>
      <x:c r="I144" s="24"/>
      <x:c r="J144" s="24"/>
      <x:c r="K144" s="24"/>
      <x:c r="L144" s="24"/>
    </x:row>
    <x:row r="145">
      <x:c r="A145" s="24"/>
      <x:c r="B145" s="24" t="str">
        <x:f>IFERROR(XLOOKUP(A145,'01_Компании'!$A$4:$A$103,'01_Компании'!$B$4:$B$103),"")</x:f>
      </x:c>
      <x:c r="C145" s="24"/>
      <x:c r="D145" s="24"/>
      <x:c r="E145" s="24"/>
      <x:c r="F145" s="24"/>
      <x:c r="G145" s="24"/>
      <x:c r="H145" s="34"/>
      <x:c r="I145" s="24"/>
      <x:c r="J145" s="24"/>
      <x:c r="K145" s="24"/>
      <x:c r="L145" s="24"/>
    </x:row>
    <x:row r="146">
      <x:c r="A146" s="24"/>
      <x:c r="B146" s="24" t="str">
        <x:f>IFERROR(XLOOKUP(A146,'01_Компании'!$A$4:$A$103,'01_Компании'!$B$4:$B$103),"")</x:f>
      </x:c>
      <x:c r="C146" s="24"/>
      <x:c r="D146" s="24"/>
      <x:c r="E146" s="24"/>
      <x:c r="F146" s="24"/>
      <x:c r="G146" s="24"/>
      <x:c r="H146" s="34"/>
      <x:c r="I146" s="24"/>
      <x:c r="J146" s="24"/>
      <x:c r="K146" s="24"/>
      <x:c r="L146" s="24"/>
    </x:row>
    <x:row r="147">
      <x:c r="A147" s="24"/>
      <x:c r="B147" s="24" t="str">
        <x:f>IFERROR(XLOOKUP(A147,'01_Компании'!$A$4:$A$103,'01_Компании'!$B$4:$B$103),"")</x:f>
      </x:c>
      <x:c r="C147" s="24"/>
      <x:c r="D147" s="24"/>
      <x:c r="E147" s="24"/>
      <x:c r="F147" s="24"/>
      <x:c r="G147" s="24"/>
      <x:c r="H147" s="34"/>
      <x:c r="I147" s="24"/>
      <x:c r="J147" s="24"/>
      <x:c r="K147" s="24"/>
      <x:c r="L147" s="24"/>
    </x:row>
    <x:row r="148">
      <x:c r="A148" s="24"/>
      <x:c r="B148" s="24" t="str">
        <x:f>IFERROR(XLOOKUP(A148,'01_Компании'!$A$4:$A$103,'01_Компании'!$B$4:$B$103),"")</x:f>
      </x:c>
      <x:c r="C148" s="24"/>
      <x:c r="D148" s="24"/>
      <x:c r="E148" s="24"/>
      <x:c r="F148" s="24"/>
      <x:c r="G148" s="24"/>
      <x:c r="H148" s="34"/>
      <x:c r="I148" s="24"/>
      <x:c r="J148" s="24"/>
      <x:c r="K148" s="24"/>
      <x:c r="L148" s="24"/>
    </x:row>
    <x:row r="149">
      <x:c r="A149" s="24"/>
      <x:c r="B149" s="24" t="str">
        <x:f>IFERROR(XLOOKUP(A149,'01_Компании'!$A$4:$A$103,'01_Компании'!$B$4:$B$103),"")</x:f>
      </x:c>
      <x:c r="C149" s="24"/>
      <x:c r="D149" s="24"/>
      <x:c r="E149" s="24"/>
      <x:c r="F149" s="24"/>
      <x:c r="G149" s="24"/>
      <x:c r="H149" s="34"/>
      <x:c r="I149" s="24"/>
      <x:c r="J149" s="24"/>
      <x:c r="K149" s="24"/>
      <x:c r="L149" s="24"/>
    </x:row>
    <x:row r="150">
      <x:c r="A150" s="24"/>
      <x:c r="B150" s="24" t="str">
        <x:f>IFERROR(XLOOKUP(A150,'01_Компании'!$A$4:$A$103,'01_Компании'!$B$4:$B$103),"")</x:f>
      </x:c>
      <x:c r="C150" s="24"/>
      <x:c r="D150" s="24"/>
      <x:c r="E150" s="24"/>
      <x:c r="F150" s="24"/>
      <x:c r="G150" s="24"/>
      <x:c r="H150" s="34"/>
      <x:c r="I150" s="24"/>
      <x:c r="J150" s="24"/>
      <x:c r="K150" s="24"/>
      <x:c r="L150" s="24"/>
    </x:row>
    <x:row r="151">
      <x:c r="A151" s="24"/>
      <x:c r="B151" s="24" t="str">
        <x:f>IFERROR(XLOOKUP(A151,'01_Компании'!$A$4:$A$103,'01_Компании'!$B$4:$B$103),"")</x:f>
      </x:c>
      <x:c r="C151" s="24"/>
      <x:c r="D151" s="24"/>
      <x:c r="E151" s="24"/>
      <x:c r="F151" s="24"/>
      <x:c r="G151" s="24"/>
      <x:c r="H151" s="34"/>
      <x:c r="I151" s="24"/>
      <x:c r="J151" s="24"/>
      <x:c r="K151" s="24"/>
      <x:c r="L151" s="24"/>
    </x:row>
    <x:row r="152">
      <x:c r="A152" s="24"/>
      <x:c r="B152" s="24" t="str">
        <x:f>IFERROR(XLOOKUP(A152,'01_Компании'!$A$4:$A$103,'01_Компании'!$B$4:$B$103),"")</x:f>
      </x:c>
      <x:c r="C152" s="24"/>
      <x:c r="D152" s="24"/>
      <x:c r="E152" s="24"/>
      <x:c r="F152" s="24"/>
      <x:c r="G152" s="24"/>
      <x:c r="H152" s="34"/>
      <x:c r="I152" s="24"/>
      <x:c r="J152" s="24"/>
      <x:c r="K152" s="24"/>
      <x:c r="L152" s="24"/>
    </x:row>
    <x:row r="153">
      <x:c r="A153" s="24"/>
      <x:c r="B153" s="24" t="str">
        <x:f>IFERROR(XLOOKUP(A153,'01_Компании'!$A$4:$A$103,'01_Компании'!$B$4:$B$103),"")</x:f>
      </x:c>
      <x:c r="C153" s="24"/>
      <x:c r="D153" s="24"/>
      <x:c r="E153" s="24"/>
      <x:c r="F153" s="24"/>
      <x:c r="G153" s="24"/>
      <x:c r="H153" s="34"/>
      <x:c r="I153" s="24"/>
      <x:c r="J153" s="24"/>
      <x:c r="K153" s="24"/>
      <x:c r="L153" s="24"/>
    </x:row>
    <x:row r="154">
      <x:c r="A154" s="24"/>
      <x:c r="B154" s="24" t="str">
        <x:f>IFERROR(XLOOKUP(A154,'01_Компании'!$A$4:$A$103,'01_Компании'!$B$4:$B$103),"")</x:f>
      </x:c>
      <x:c r="C154" s="24"/>
      <x:c r="D154" s="24"/>
      <x:c r="E154" s="24"/>
      <x:c r="F154" s="24"/>
      <x:c r="G154" s="24"/>
      <x:c r="H154" s="34"/>
      <x:c r="I154" s="24"/>
      <x:c r="J154" s="24"/>
      <x:c r="K154" s="24"/>
      <x:c r="L154" s="24"/>
    </x:row>
    <x:row r="155">
      <x:c r="A155" s="24"/>
      <x:c r="B155" s="24" t="str">
        <x:f>IFERROR(XLOOKUP(A155,'01_Компании'!$A$4:$A$103,'01_Компании'!$B$4:$B$103),"")</x:f>
      </x:c>
      <x:c r="C155" s="24"/>
      <x:c r="D155" s="24"/>
      <x:c r="E155" s="24"/>
      <x:c r="F155" s="24"/>
      <x:c r="G155" s="24"/>
      <x:c r="H155" s="34"/>
      <x:c r="I155" s="24"/>
      <x:c r="J155" s="24"/>
      <x:c r="K155" s="24"/>
      <x:c r="L155" s="24"/>
    </x:row>
    <x:row r="156">
      <x:c r="A156" s="24"/>
      <x:c r="B156" s="24" t="str">
        <x:f>IFERROR(XLOOKUP(A156,'01_Компании'!$A$4:$A$103,'01_Компании'!$B$4:$B$103),"")</x:f>
      </x:c>
      <x:c r="C156" s="24"/>
      <x:c r="D156" s="24"/>
      <x:c r="E156" s="24"/>
      <x:c r="F156" s="24"/>
      <x:c r="G156" s="24"/>
      <x:c r="H156" s="34"/>
      <x:c r="I156" s="24"/>
      <x:c r="J156" s="24"/>
      <x:c r="K156" s="24"/>
      <x:c r="L156" s="24"/>
    </x:row>
    <x:row r="157">
      <x:c r="A157" s="24"/>
      <x:c r="B157" s="24" t="str">
        <x:f>IFERROR(XLOOKUP(A157,'01_Компании'!$A$4:$A$103,'01_Компании'!$B$4:$B$103),"")</x:f>
      </x:c>
      <x:c r="C157" s="24"/>
      <x:c r="D157" s="24"/>
      <x:c r="E157" s="24"/>
      <x:c r="F157" s="24"/>
      <x:c r="G157" s="24"/>
      <x:c r="H157" s="34"/>
      <x:c r="I157" s="24"/>
      <x:c r="J157" s="24"/>
      <x:c r="K157" s="24"/>
      <x:c r="L157" s="24"/>
    </x:row>
    <x:row r="158">
      <x:c r="A158" s="24"/>
      <x:c r="B158" s="24" t="str">
        <x:f>IFERROR(XLOOKUP(A158,'01_Компании'!$A$4:$A$103,'01_Компании'!$B$4:$B$103),"")</x:f>
      </x:c>
      <x:c r="C158" s="24"/>
      <x:c r="D158" s="24"/>
      <x:c r="E158" s="24"/>
      <x:c r="F158" s="24"/>
      <x:c r="G158" s="24"/>
      <x:c r="H158" s="34"/>
      <x:c r="I158" s="24"/>
      <x:c r="J158" s="24"/>
      <x:c r="K158" s="24"/>
      <x:c r="L158" s="24"/>
    </x:row>
    <x:row r="159">
      <x:c r="A159" s="24"/>
      <x:c r="B159" s="24" t="str">
        <x:f>IFERROR(XLOOKUP(A159,'01_Компании'!$A$4:$A$103,'01_Компании'!$B$4:$B$103),"")</x:f>
      </x:c>
      <x:c r="C159" s="24"/>
      <x:c r="D159" s="24"/>
      <x:c r="E159" s="24"/>
      <x:c r="F159" s="24"/>
      <x:c r="G159" s="24"/>
      <x:c r="H159" s="34"/>
      <x:c r="I159" s="24"/>
      <x:c r="J159" s="24"/>
      <x:c r="K159" s="24"/>
      <x:c r="L159" s="24"/>
    </x:row>
    <x:row r="160">
      <x:c r="A160" s="24"/>
      <x:c r="B160" s="24" t="str">
        <x:f>IFERROR(XLOOKUP(A160,'01_Компании'!$A$4:$A$103,'01_Компании'!$B$4:$B$103),"")</x:f>
      </x:c>
      <x:c r="C160" s="24"/>
      <x:c r="D160" s="24"/>
      <x:c r="E160" s="24"/>
      <x:c r="F160" s="24"/>
      <x:c r="G160" s="24"/>
      <x:c r="H160" s="34"/>
      <x:c r="I160" s="24"/>
      <x:c r="J160" s="24"/>
      <x:c r="K160" s="24"/>
      <x:c r="L160" s="24"/>
    </x:row>
    <x:row r="161">
      <x:c r="A161" s="24"/>
      <x:c r="B161" s="24" t="str">
        <x:f>IFERROR(XLOOKUP(A161,'01_Компании'!$A$4:$A$103,'01_Компании'!$B$4:$B$103),"")</x:f>
      </x:c>
      <x:c r="C161" s="24"/>
      <x:c r="D161" s="24"/>
      <x:c r="E161" s="24"/>
      <x:c r="F161" s="24"/>
      <x:c r="G161" s="24"/>
      <x:c r="H161" s="34"/>
      <x:c r="I161" s="24"/>
      <x:c r="J161" s="24"/>
      <x:c r="K161" s="24"/>
      <x:c r="L161" s="24"/>
    </x:row>
    <x:row r="162">
      <x:c r="A162" s="24"/>
      <x:c r="B162" s="24" t="str">
        <x:f>IFERROR(XLOOKUP(A162,'01_Компании'!$A$4:$A$103,'01_Компании'!$B$4:$B$103),"")</x:f>
      </x:c>
      <x:c r="C162" s="24"/>
      <x:c r="D162" s="24"/>
      <x:c r="E162" s="24"/>
      <x:c r="F162" s="24"/>
      <x:c r="G162" s="24"/>
      <x:c r="H162" s="34"/>
      <x:c r="I162" s="24"/>
      <x:c r="J162" s="24"/>
      <x:c r="K162" s="24"/>
      <x:c r="L162" s="24"/>
    </x:row>
    <x:row r="163">
      <x:c r="A163" s="24"/>
      <x:c r="B163" s="24" t="str">
        <x:f>IFERROR(XLOOKUP(A163,'01_Компании'!$A$4:$A$103,'01_Компании'!$B$4:$B$103),"")</x:f>
      </x:c>
      <x:c r="C163" s="24"/>
      <x:c r="D163" s="24"/>
      <x:c r="E163" s="24"/>
      <x:c r="F163" s="24"/>
      <x:c r="G163" s="24"/>
      <x:c r="H163" s="34"/>
      <x:c r="I163" s="24"/>
      <x:c r="J163" s="24"/>
      <x:c r="K163" s="24"/>
      <x:c r="L163" s="24"/>
    </x:row>
    <x:row r="164">
      <x:c r="A164" s="24"/>
      <x:c r="B164" s="24" t="str">
        <x:f>IFERROR(XLOOKUP(A164,'01_Компании'!$A$4:$A$103,'01_Компании'!$B$4:$B$103),"")</x:f>
      </x:c>
      <x:c r="C164" s="24"/>
      <x:c r="D164" s="24"/>
      <x:c r="E164" s="24"/>
      <x:c r="F164" s="24"/>
      <x:c r="G164" s="24"/>
      <x:c r="H164" s="34"/>
      <x:c r="I164" s="24"/>
      <x:c r="J164" s="24"/>
      <x:c r="K164" s="24"/>
      <x:c r="L164" s="24"/>
    </x:row>
    <x:row r="165">
      <x:c r="A165" s="24"/>
      <x:c r="B165" s="24" t="str">
        <x:f>IFERROR(XLOOKUP(A165,'01_Компании'!$A$4:$A$103,'01_Компании'!$B$4:$B$103),"")</x:f>
      </x:c>
      <x:c r="C165" s="24"/>
      <x:c r="D165" s="24"/>
      <x:c r="E165" s="24"/>
      <x:c r="F165" s="24"/>
      <x:c r="G165" s="24"/>
      <x:c r="H165" s="34"/>
      <x:c r="I165" s="24"/>
      <x:c r="J165" s="24"/>
      <x:c r="K165" s="24"/>
      <x:c r="L165" s="24"/>
    </x:row>
    <x:row r="166">
      <x:c r="A166" s="24"/>
      <x:c r="B166" s="24" t="str">
        <x:f>IFERROR(XLOOKUP(A166,'01_Компании'!$A$4:$A$103,'01_Компании'!$B$4:$B$103),"")</x:f>
      </x:c>
      <x:c r="C166" s="24"/>
      <x:c r="D166" s="24"/>
      <x:c r="E166" s="24"/>
      <x:c r="F166" s="24"/>
      <x:c r="G166" s="24"/>
      <x:c r="H166" s="34"/>
      <x:c r="I166" s="24"/>
      <x:c r="J166" s="24"/>
      <x:c r="K166" s="24"/>
      <x:c r="L166" s="24"/>
    </x:row>
    <x:row r="167">
      <x:c r="A167" s="24"/>
      <x:c r="B167" s="24" t="str">
        <x:f>IFERROR(XLOOKUP(A167,'01_Компании'!$A$4:$A$103,'01_Компании'!$B$4:$B$103),"")</x:f>
      </x:c>
      <x:c r="C167" s="24"/>
      <x:c r="D167" s="24"/>
      <x:c r="E167" s="24"/>
      <x:c r="F167" s="24"/>
      <x:c r="G167" s="24"/>
      <x:c r="H167" s="34"/>
      <x:c r="I167" s="24"/>
      <x:c r="J167" s="24"/>
      <x:c r="K167" s="24"/>
      <x:c r="L167" s="24"/>
    </x:row>
    <x:row r="168">
      <x:c r="A168" s="24"/>
      <x:c r="B168" s="24" t="str">
        <x:f>IFERROR(XLOOKUP(A168,'01_Компании'!$A$4:$A$103,'01_Компании'!$B$4:$B$103),"")</x:f>
      </x:c>
      <x:c r="C168" s="24"/>
      <x:c r="D168" s="24"/>
      <x:c r="E168" s="24"/>
      <x:c r="F168" s="24"/>
      <x:c r="G168" s="24"/>
      <x:c r="H168" s="34"/>
      <x:c r="I168" s="24"/>
      <x:c r="J168" s="24"/>
      <x:c r="K168" s="24"/>
      <x:c r="L168" s="24"/>
    </x:row>
    <x:row r="169">
      <x:c r="A169" s="24"/>
      <x:c r="B169" s="24" t="str">
        <x:f>IFERROR(XLOOKUP(A169,'01_Компании'!$A$4:$A$103,'01_Компании'!$B$4:$B$103),"")</x:f>
      </x:c>
      <x:c r="C169" s="24"/>
      <x:c r="D169" s="24"/>
      <x:c r="E169" s="24"/>
      <x:c r="F169" s="24"/>
      <x:c r="G169" s="24"/>
      <x:c r="H169" s="34"/>
      <x:c r="I169" s="24"/>
      <x:c r="J169" s="24"/>
      <x:c r="K169" s="24"/>
      <x:c r="L169" s="24"/>
    </x:row>
    <x:row r="170">
      <x:c r="A170" s="24"/>
      <x:c r="B170" s="24" t="str">
        <x:f>IFERROR(XLOOKUP(A170,'01_Компании'!$A$4:$A$103,'01_Компании'!$B$4:$B$103),"")</x:f>
      </x:c>
      <x:c r="C170" s="24"/>
      <x:c r="D170" s="24"/>
      <x:c r="E170" s="24"/>
      <x:c r="F170" s="24"/>
      <x:c r="G170" s="24"/>
      <x:c r="H170" s="34"/>
      <x:c r="I170" s="24"/>
      <x:c r="J170" s="24"/>
      <x:c r="K170" s="24"/>
      <x:c r="L170" s="24"/>
    </x:row>
    <x:row r="171">
      <x:c r="A171" s="24"/>
      <x:c r="B171" s="24" t="str">
        <x:f>IFERROR(XLOOKUP(A171,'01_Компании'!$A$4:$A$103,'01_Компании'!$B$4:$B$103),"")</x:f>
      </x:c>
      <x:c r="C171" s="24"/>
      <x:c r="D171" s="24"/>
      <x:c r="E171" s="24"/>
      <x:c r="F171" s="24"/>
      <x:c r="G171" s="24"/>
      <x:c r="H171" s="34"/>
      <x:c r="I171" s="24"/>
      <x:c r="J171" s="24"/>
      <x:c r="K171" s="24"/>
      <x:c r="L171" s="24"/>
    </x:row>
    <x:row r="172">
      <x:c r="A172" s="24"/>
      <x:c r="B172" s="24" t="str">
        <x:f>IFERROR(XLOOKUP(A172,'01_Компании'!$A$4:$A$103,'01_Компании'!$B$4:$B$103),"")</x:f>
      </x:c>
      <x:c r="C172" s="24"/>
      <x:c r="D172" s="24"/>
      <x:c r="E172" s="24"/>
      <x:c r="F172" s="24"/>
      <x:c r="G172" s="24"/>
      <x:c r="H172" s="34"/>
      <x:c r="I172" s="24"/>
      <x:c r="J172" s="24"/>
      <x:c r="K172" s="24"/>
      <x:c r="L172" s="24"/>
    </x:row>
    <x:row r="173">
      <x:c r="A173" s="24"/>
      <x:c r="B173" s="24" t="str">
        <x:f>IFERROR(XLOOKUP(A173,'01_Компании'!$A$4:$A$103,'01_Компании'!$B$4:$B$103),"")</x:f>
      </x:c>
      <x:c r="C173" s="24"/>
      <x:c r="D173" s="24"/>
      <x:c r="E173" s="24"/>
      <x:c r="F173" s="24"/>
      <x:c r="G173" s="24"/>
      <x:c r="H173" s="34"/>
      <x:c r="I173" s="24"/>
      <x:c r="J173" s="24"/>
      <x:c r="K173" s="24"/>
      <x:c r="L173" s="24"/>
    </x:row>
    <x:row r="174">
      <x:c r="A174" s="24"/>
      <x:c r="B174" s="24" t="str">
        <x:f>IFERROR(XLOOKUP(A174,'01_Компании'!$A$4:$A$103,'01_Компании'!$B$4:$B$103),"")</x:f>
      </x:c>
      <x:c r="C174" s="24"/>
      <x:c r="D174" s="24"/>
      <x:c r="E174" s="24"/>
      <x:c r="F174" s="24"/>
      <x:c r="G174" s="24"/>
      <x:c r="H174" s="34"/>
      <x:c r="I174" s="24"/>
      <x:c r="J174" s="24"/>
      <x:c r="K174" s="24"/>
      <x:c r="L174" s="24"/>
    </x:row>
    <x:row r="175">
      <x:c r="A175" s="24"/>
      <x:c r="B175" s="24" t="str">
        <x:f>IFERROR(XLOOKUP(A175,'01_Компании'!$A$4:$A$103,'01_Компании'!$B$4:$B$103),"")</x:f>
      </x:c>
      <x:c r="C175" s="24"/>
      <x:c r="D175" s="24"/>
      <x:c r="E175" s="24"/>
      <x:c r="F175" s="24"/>
      <x:c r="G175" s="24"/>
      <x:c r="H175" s="34"/>
      <x:c r="I175" s="24"/>
      <x:c r="J175" s="24"/>
      <x:c r="K175" s="24"/>
      <x:c r="L175" s="24"/>
    </x:row>
    <x:row r="176">
      <x:c r="A176" s="24"/>
      <x:c r="B176" s="24" t="str">
        <x:f>IFERROR(XLOOKUP(A176,'01_Компании'!$A$4:$A$103,'01_Компании'!$B$4:$B$103),"")</x:f>
      </x:c>
      <x:c r="C176" s="24"/>
      <x:c r="D176" s="24"/>
      <x:c r="E176" s="24"/>
      <x:c r="F176" s="24"/>
      <x:c r="G176" s="24"/>
      <x:c r="H176" s="34"/>
      <x:c r="I176" s="24"/>
      <x:c r="J176" s="24"/>
      <x:c r="K176" s="24"/>
      <x:c r="L176" s="24"/>
    </x:row>
    <x:row r="177">
      <x:c r="A177" s="24"/>
      <x:c r="B177" s="24" t="str">
        <x:f>IFERROR(XLOOKUP(A177,'01_Компании'!$A$4:$A$103,'01_Компании'!$B$4:$B$103),"")</x:f>
      </x:c>
      <x:c r="C177" s="24"/>
      <x:c r="D177" s="24"/>
      <x:c r="E177" s="24"/>
      <x:c r="F177" s="24"/>
      <x:c r="G177" s="24"/>
      <x:c r="H177" s="34"/>
      <x:c r="I177" s="24"/>
      <x:c r="J177" s="24"/>
      <x:c r="K177" s="24"/>
      <x:c r="L177" s="24"/>
    </x:row>
    <x:row r="178">
      <x:c r="A178" s="24"/>
      <x:c r="B178" s="24" t="str">
        <x:f>IFERROR(XLOOKUP(A178,'01_Компании'!$A$4:$A$103,'01_Компании'!$B$4:$B$103),"")</x:f>
      </x:c>
      <x:c r="C178" s="24"/>
      <x:c r="D178" s="24"/>
      <x:c r="E178" s="24"/>
      <x:c r="F178" s="24"/>
      <x:c r="G178" s="24"/>
      <x:c r="H178" s="34"/>
      <x:c r="I178" s="24"/>
      <x:c r="J178" s="24"/>
      <x:c r="K178" s="24"/>
      <x:c r="L178" s="24"/>
    </x:row>
    <x:row r="179">
      <x:c r="A179" s="24"/>
      <x:c r="B179" s="24" t="str">
        <x:f>IFERROR(XLOOKUP(A179,'01_Компании'!$A$4:$A$103,'01_Компании'!$B$4:$B$103),"")</x:f>
      </x:c>
      <x:c r="C179" s="24"/>
      <x:c r="D179" s="24"/>
      <x:c r="E179" s="24"/>
      <x:c r="F179" s="24"/>
      <x:c r="G179" s="24"/>
      <x:c r="H179" s="34"/>
      <x:c r="I179" s="24"/>
      <x:c r="J179" s="24"/>
      <x:c r="K179" s="24"/>
      <x:c r="L179" s="24"/>
    </x:row>
    <x:row r="180">
      <x:c r="A180" s="24"/>
      <x:c r="B180" s="24" t="str">
        <x:f>IFERROR(XLOOKUP(A180,'01_Компании'!$A$4:$A$103,'01_Компании'!$B$4:$B$103),"")</x:f>
      </x:c>
      <x:c r="C180" s="24"/>
      <x:c r="D180" s="24"/>
      <x:c r="E180" s="24"/>
      <x:c r="F180" s="24"/>
      <x:c r="G180" s="24"/>
      <x:c r="H180" s="34"/>
      <x:c r="I180" s="24"/>
      <x:c r="J180" s="24"/>
      <x:c r="K180" s="24"/>
      <x:c r="L180" s="24"/>
    </x:row>
    <x:row r="181">
      <x:c r="A181" s="24"/>
      <x:c r="B181" s="24" t="str">
        <x:f>IFERROR(XLOOKUP(A181,'01_Компании'!$A$4:$A$103,'01_Компании'!$B$4:$B$103),"")</x:f>
      </x:c>
      <x:c r="C181" s="24"/>
      <x:c r="D181" s="24"/>
      <x:c r="E181" s="24"/>
      <x:c r="F181" s="24"/>
      <x:c r="G181" s="24"/>
      <x:c r="H181" s="34"/>
      <x:c r="I181" s="24"/>
      <x:c r="J181" s="24"/>
      <x:c r="K181" s="24"/>
      <x:c r="L181" s="24"/>
    </x:row>
    <x:row r="182">
      <x:c r="A182" s="24"/>
      <x:c r="B182" s="24" t="str">
        <x:f>IFERROR(XLOOKUP(A182,'01_Компании'!$A$4:$A$103,'01_Компании'!$B$4:$B$103),"")</x:f>
      </x:c>
      <x:c r="C182" s="24"/>
      <x:c r="D182" s="24"/>
      <x:c r="E182" s="24"/>
      <x:c r="F182" s="24"/>
      <x:c r="G182" s="24"/>
      <x:c r="H182" s="34"/>
      <x:c r="I182" s="24"/>
      <x:c r="J182" s="24"/>
      <x:c r="K182" s="24"/>
      <x:c r="L182" s="24"/>
    </x:row>
    <x:row r="183">
      <x:c r="A183" s="24"/>
      <x:c r="B183" s="24" t="str">
        <x:f>IFERROR(XLOOKUP(A183,'01_Компании'!$A$4:$A$103,'01_Компании'!$B$4:$B$103),"")</x:f>
      </x:c>
      <x:c r="C183" s="24"/>
      <x:c r="D183" s="24"/>
      <x:c r="E183" s="24"/>
      <x:c r="F183" s="24"/>
      <x:c r="G183" s="24"/>
      <x:c r="H183" s="34"/>
      <x:c r="I183" s="24"/>
      <x:c r="J183" s="24"/>
      <x:c r="K183" s="24"/>
      <x:c r="L183" s="24"/>
    </x:row>
    <x:row r="184">
      <x:c r="A184" s="24"/>
      <x:c r="B184" s="24" t="str">
        <x:f>IFERROR(XLOOKUP(A184,'01_Компании'!$A$4:$A$103,'01_Компании'!$B$4:$B$103),"")</x:f>
      </x:c>
      <x:c r="C184" s="24"/>
      <x:c r="D184" s="24"/>
      <x:c r="E184" s="24"/>
      <x:c r="F184" s="24"/>
      <x:c r="G184" s="24"/>
      <x:c r="H184" s="34"/>
      <x:c r="I184" s="24"/>
      <x:c r="J184" s="24"/>
      <x:c r="K184" s="24"/>
      <x:c r="L184" s="24"/>
    </x:row>
    <x:row r="185">
      <x:c r="A185" s="24"/>
      <x:c r="B185" s="24" t="str">
        <x:f>IFERROR(XLOOKUP(A185,'01_Компании'!$A$4:$A$103,'01_Компании'!$B$4:$B$103),"")</x:f>
      </x:c>
      <x:c r="C185" s="24"/>
      <x:c r="D185" s="24"/>
      <x:c r="E185" s="24"/>
      <x:c r="F185" s="24"/>
      <x:c r="G185" s="24"/>
      <x:c r="H185" s="34"/>
      <x:c r="I185" s="24"/>
      <x:c r="J185" s="24"/>
      <x:c r="K185" s="24"/>
      <x:c r="L185" s="24"/>
    </x:row>
    <x:row r="186">
      <x:c r="A186" s="24"/>
      <x:c r="B186" s="24" t="str">
        <x:f>IFERROR(XLOOKUP(A186,'01_Компании'!$A$4:$A$103,'01_Компании'!$B$4:$B$103),"")</x:f>
      </x:c>
      <x:c r="C186" s="24"/>
      <x:c r="D186" s="24"/>
      <x:c r="E186" s="24"/>
      <x:c r="F186" s="24"/>
      <x:c r="G186" s="24"/>
      <x:c r="H186" s="34"/>
      <x:c r="I186" s="24"/>
      <x:c r="J186" s="24"/>
      <x:c r="K186" s="24"/>
      <x:c r="L186" s="24"/>
    </x:row>
    <x:row r="187">
      <x:c r="A187" s="24"/>
      <x:c r="B187" s="24" t="str">
        <x:f>IFERROR(XLOOKUP(A187,'01_Компании'!$A$4:$A$103,'01_Компании'!$B$4:$B$103),"")</x:f>
      </x:c>
      <x:c r="C187" s="24"/>
      <x:c r="D187" s="24"/>
      <x:c r="E187" s="24"/>
      <x:c r="F187" s="24"/>
      <x:c r="G187" s="24"/>
      <x:c r="H187" s="34"/>
      <x:c r="I187" s="24"/>
      <x:c r="J187" s="24"/>
      <x:c r="K187" s="24"/>
      <x:c r="L187" s="24"/>
    </x:row>
    <x:row r="188">
      <x:c r="A188" s="24"/>
      <x:c r="B188" s="24" t="str">
        <x:f>IFERROR(XLOOKUP(A188,'01_Компании'!$A$4:$A$103,'01_Компании'!$B$4:$B$103),"")</x:f>
      </x:c>
      <x:c r="C188" s="24"/>
      <x:c r="D188" s="24"/>
      <x:c r="E188" s="24"/>
      <x:c r="F188" s="24"/>
      <x:c r="G188" s="24"/>
      <x:c r="H188" s="34"/>
      <x:c r="I188" s="24"/>
      <x:c r="J188" s="24"/>
      <x:c r="K188" s="24"/>
      <x:c r="L188" s="24"/>
    </x:row>
    <x:row r="189">
      <x:c r="A189" s="24"/>
      <x:c r="B189" s="24" t="str">
        <x:f>IFERROR(XLOOKUP(A189,'01_Компании'!$A$4:$A$103,'01_Компании'!$B$4:$B$103),"")</x:f>
      </x:c>
      <x:c r="C189" s="24"/>
      <x:c r="D189" s="24"/>
      <x:c r="E189" s="24"/>
      <x:c r="F189" s="24"/>
      <x:c r="G189" s="24"/>
      <x:c r="H189" s="34"/>
      <x:c r="I189" s="24"/>
      <x:c r="J189" s="24"/>
      <x:c r="K189" s="24"/>
      <x:c r="L189" s="24"/>
    </x:row>
    <x:row r="190">
      <x:c r="A190" s="24"/>
      <x:c r="B190" s="24" t="str">
        <x:f>IFERROR(XLOOKUP(A190,'01_Компании'!$A$4:$A$103,'01_Компании'!$B$4:$B$103),"")</x:f>
      </x:c>
      <x:c r="C190" s="24"/>
      <x:c r="D190" s="24"/>
      <x:c r="E190" s="24"/>
      <x:c r="F190" s="24"/>
      <x:c r="G190" s="24"/>
      <x:c r="H190" s="34"/>
      <x:c r="I190" s="24"/>
      <x:c r="J190" s="24"/>
      <x:c r="K190" s="24"/>
      <x:c r="L190" s="24"/>
    </x:row>
    <x:row r="191">
      <x:c r="A191" s="24"/>
      <x:c r="B191" s="24" t="str">
        <x:f>IFERROR(XLOOKUP(A191,'01_Компании'!$A$4:$A$103,'01_Компании'!$B$4:$B$103),"")</x:f>
      </x:c>
      <x:c r="C191" s="24"/>
      <x:c r="D191" s="24"/>
      <x:c r="E191" s="24"/>
      <x:c r="F191" s="24"/>
      <x:c r="G191" s="24"/>
      <x:c r="H191" s="34"/>
      <x:c r="I191" s="24"/>
      <x:c r="J191" s="24"/>
      <x:c r="K191" s="24"/>
      <x:c r="L191" s="24"/>
    </x:row>
    <x:row r="192">
      <x:c r="A192" s="24"/>
      <x:c r="B192" s="24" t="str">
        <x:f>IFERROR(XLOOKUP(A192,'01_Компании'!$A$4:$A$103,'01_Компании'!$B$4:$B$103),"")</x:f>
      </x:c>
      <x:c r="C192" s="24"/>
      <x:c r="D192" s="24"/>
      <x:c r="E192" s="24"/>
      <x:c r="F192" s="24"/>
      <x:c r="G192" s="24"/>
      <x:c r="H192" s="34"/>
      <x:c r="I192" s="24"/>
      <x:c r="J192" s="24"/>
      <x:c r="K192" s="24"/>
      <x:c r="L192" s="24"/>
    </x:row>
    <x:row r="193">
      <x:c r="A193" s="24"/>
      <x:c r="B193" s="24" t="str">
        <x:f>IFERROR(XLOOKUP(A193,'01_Компании'!$A$4:$A$103,'01_Компании'!$B$4:$B$103),"")</x:f>
      </x:c>
      <x:c r="C193" s="24"/>
      <x:c r="D193" s="24"/>
      <x:c r="E193" s="24"/>
      <x:c r="F193" s="24"/>
      <x:c r="G193" s="24"/>
      <x:c r="H193" s="34"/>
      <x:c r="I193" s="24"/>
      <x:c r="J193" s="24"/>
      <x:c r="K193" s="24"/>
      <x:c r="L193" s="24"/>
    </x:row>
    <x:row r="194">
      <x:c r="A194" s="24"/>
      <x:c r="B194" s="24" t="str">
        <x:f>IFERROR(XLOOKUP(A194,'01_Компании'!$A$4:$A$103,'01_Компании'!$B$4:$B$103),"")</x:f>
      </x:c>
      <x:c r="C194" s="24"/>
      <x:c r="D194" s="24"/>
      <x:c r="E194" s="24"/>
      <x:c r="F194" s="24"/>
      <x:c r="G194" s="24"/>
      <x:c r="H194" s="34"/>
      <x:c r="I194" s="24"/>
      <x:c r="J194" s="24"/>
      <x:c r="K194" s="24"/>
      <x:c r="L194" s="24"/>
    </x:row>
    <x:row r="195">
      <x:c r="A195" s="24"/>
      <x:c r="B195" s="24" t="str">
        <x:f>IFERROR(XLOOKUP(A195,'01_Компании'!$A$4:$A$103,'01_Компании'!$B$4:$B$103),"")</x:f>
      </x:c>
      <x:c r="C195" s="24"/>
      <x:c r="D195" s="24"/>
      <x:c r="E195" s="24"/>
      <x:c r="F195" s="24"/>
      <x:c r="G195" s="24"/>
      <x:c r="H195" s="34"/>
      <x:c r="I195" s="24"/>
      <x:c r="J195" s="24"/>
      <x:c r="K195" s="24"/>
      <x:c r="L195" s="24"/>
    </x:row>
    <x:row r="196">
      <x:c r="A196" s="24"/>
      <x:c r="B196" s="24" t="str">
        <x:f>IFERROR(XLOOKUP(A196,'01_Компании'!$A$4:$A$103,'01_Компании'!$B$4:$B$103),"")</x:f>
      </x:c>
      <x:c r="C196" s="24"/>
      <x:c r="D196" s="24"/>
      <x:c r="E196" s="24"/>
      <x:c r="F196" s="24"/>
      <x:c r="G196" s="24"/>
      <x:c r="H196" s="34"/>
      <x:c r="I196" s="24"/>
      <x:c r="J196" s="24"/>
      <x:c r="K196" s="24"/>
      <x:c r="L196" s="24"/>
    </x:row>
    <x:row r="197">
      <x:c r="A197" s="24"/>
      <x:c r="B197" s="24" t="str">
        <x:f>IFERROR(XLOOKUP(A197,'01_Компании'!$A$4:$A$103,'01_Компании'!$B$4:$B$103),"")</x:f>
      </x:c>
      <x:c r="C197" s="24"/>
      <x:c r="D197" s="24"/>
      <x:c r="E197" s="24"/>
      <x:c r="F197" s="24"/>
      <x:c r="G197" s="24"/>
      <x:c r="H197" s="34"/>
      <x:c r="I197" s="24"/>
      <x:c r="J197" s="24"/>
      <x:c r="K197" s="24"/>
      <x:c r="L197" s="24"/>
    </x:row>
    <x:row r="198">
      <x:c r="A198" s="24"/>
      <x:c r="B198" s="24" t="str">
        <x:f>IFERROR(XLOOKUP(A198,'01_Компании'!$A$4:$A$103,'01_Компании'!$B$4:$B$103),"")</x:f>
      </x:c>
      <x:c r="C198" s="24"/>
      <x:c r="D198" s="24"/>
      <x:c r="E198" s="24"/>
      <x:c r="F198" s="24"/>
      <x:c r="G198" s="24"/>
      <x:c r="H198" s="34"/>
      <x:c r="I198" s="24"/>
      <x:c r="J198" s="24"/>
      <x:c r="K198" s="24"/>
      <x:c r="L198" s="24"/>
    </x:row>
    <x:row r="199">
      <x:c r="A199" s="24"/>
      <x:c r="B199" s="24" t="str">
        <x:f>IFERROR(XLOOKUP(A199,'01_Компании'!$A$4:$A$103,'01_Компании'!$B$4:$B$103),"")</x:f>
      </x:c>
      <x:c r="C199" s="24"/>
      <x:c r="D199" s="24"/>
      <x:c r="E199" s="24"/>
      <x:c r="F199" s="24"/>
      <x:c r="G199" s="24"/>
      <x:c r="H199" s="34"/>
      <x:c r="I199" s="24"/>
      <x:c r="J199" s="24"/>
      <x:c r="K199" s="24"/>
      <x:c r="L199" s="24"/>
    </x:row>
    <x:row r="200">
      <x:c r="A200" s="24"/>
      <x:c r="B200" s="24" t="str">
        <x:f>IFERROR(XLOOKUP(A200,'01_Компании'!$A$4:$A$103,'01_Компании'!$B$4:$B$103),"")</x:f>
      </x:c>
      <x:c r="C200" s="24"/>
      <x:c r="D200" s="24"/>
      <x:c r="E200" s="24"/>
      <x:c r="F200" s="24"/>
      <x:c r="G200" s="24"/>
      <x:c r="H200" s="34"/>
      <x:c r="I200" s="24"/>
      <x:c r="J200" s="24"/>
      <x:c r="K200" s="24"/>
      <x:c r="L200" s="24"/>
    </x:row>
    <x:row r="201">
      <x:c r="A201" s="24"/>
      <x:c r="B201" s="24" t="str">
        <x:f>IFERROR(XLOOKUP(A201,'01_Компании'!$A$4:$A$103,'01_Компании'!$B$4:$B$103),"")</x:f>
      </x:c>
      <x:c r="C201" s="24"/>
      <x:c r="D201" s="24"/>
      <x:c r="E201" s="24"/>
      <x:c r="F201" s="24"/>
      <x:c r="G201" s="24"/>
      <x:c r="H201" s="34"/>
      <x:c r="I201" s="24"/>
      <x:c r="J201" s="24"/>
      <x:c r="K201" s="24"/>
      <x:c r="L201" s="24"/>
    </x:row>
    <x:row r="202">
      <x:c r="A202" s="24"/>
      <x:c r="B202" s="24" t="str">
        <x:f>IFERROR(XLOOKUP(A202,'01_Компании'!$A$4:$A$103,'01_Компании'!$B$4:$B$103),"")</x:f>
      </x:c>
      <x:c r="C202" s="24"/>
      <x:c r="D202" s="24"/>
      <x:c r="E202" s="24"/>
      <x:c r="F202" s="24"/>
      <x:c r="G202" s="24"/>
      <x:c r="H202" s="34"/>
      <x:c r="I202" s="24"/>
      <x:c r="J202" s="24"/>
      <x:c r="K202" s="24"/>
      <x:c r="L202" s="24"/>
    </x:row>
    <x:row r="203">
      <x:c r="A203" s="24"/>
      <x:c r="B203" s="24" t="str">
        <x:f>IFERROR(XLOOKUP(A203,'01_Компании'!$A$4:$A$103,'01_Компании'!$B$4:$B$103),"")</x:f>
      </x:c>
      <x:c r="C203" s="24"/>
      <x:c r="D203" s="24"/>
      <x:c r="E203" s="24"/>
      <x:c r="F203" s="24"/>
      <x:c r="G203" s="24"/>
      <x:c r="H203" s="34"/>
      <x:c r="I203" s="24"/>
      <x:c r="J203" s="24"/>
      <x:c r="K203" s="24"/>
      <x:c r="L203" s="24"/>
    </x:row>
    <x:row r="204">
      <x:c r="A204" s="24"/>
      <x:c r="B204" s="24" t="str">
        <x:f>IFERROR(XLOOKUP(A204,'01_Компании'!$A$4:$A$103,'01_Компании'!$B$4:$B$103),"")</x:f>
      </x:c>
      <x:c r="C204" s="24"/>
      <x:c r="D204" s="24"/>
      <x:c r="E204" s="24"/>
      <x:c r="F204" s="24"/>
      <x:c r="G204" s="24"/>
      <x:c r="H204" s="34"/>
      <x:c r="I204" s="24"/>
      <x:c r="J204" s="24"/>
      <x:c r="K204" s="24"/>
      <x:c r="L204" s="24"/>
    </x:row>
    <x:row r="205">
      <x:c r="A205" s="24"/>
      <x:c r="B205" s="24" t="str">
        <x:f>IFERROR(XLOOKUP(A205,'01_Компании'!$A$4:$A$103,'01_Компании'!$B$4:$B$103),"")</x:f>
      </x:c>
      <x:c r="C205" s="24"/>
      <x:c r="D205" s="24"/>
      <x:c r="E205" s="24"/>
      <x:c r="F205" s="24"/>
      <x:c r="G205" s="24"/>
      <x:c r="H205" s="34"/>
      <x:c r="I205" s="24"/>
      <x:c r="J205" s="24"/>
      <x:c r="K205" s="24"/>
      <x:c r="L205" s="24"/>
    </x:row>
    <x:row r="206">
      <x:c r="A206" s="24"/>
      <x:c r="B206" s="24" t="str">
        <x:f>IFERROR(XLOOKUP(A206,'01_Компании'!$A$4:$A$103,'01_Компании'!$B$4:$B$103),"")</x:f>
      </x:c>
      <x:c r="C206" s="24"/>
      <x:c r="D206" s="24"/>
      <x:c r="E206" s="24"/>
      <x:c r="F206" s="24"/>
      <x:c r="G206" s="24"/>
      <x:c r="H206" s="34"/>
      <x:c r="I206" s="24"/>
      <x:c r="J206" s="24"/>
      <x:c r="K206" s="24"/>
      <x:c r="L206" s="24"/>
    </x:row>
    <x:row r="207">
      <x:c r="A207" s="24"/>
      <x:c r="B207" s="24" t="str">
        <x:f>IFERROR(XLOOKUP(A207,'01_Компании'!$A$4:$A$103,'01_Компании'!$B$4:$B$103),"")</x:f>
      </x:c>
      <x:c r="C207" s="24"/>
      <x:c r="D207" s="24"/>
      <x:c r="E207" s="24"/>
      <x:c r="F207" s="24"/>
      <x:c r="G207" s="24"/>
      <x:c r="H207" s="34"/>
      <x:c r="I207" s="24"/>
      <x:c r="J207" s="24"/>
      <x:c r="K207" s="24"/>
      <x:c r="L207" s="24"/>
    </x:row>
    <x:row r="208">
      <x:c r="A208" s="24"/>
      <x:c r="B208" s="24" t="str">
        <x:f>IFERROR(XLOOKUP(A208,'01_Компании'!$A$4:$A$103,'01_Компании'!$B$4:$B$103),"")</x:f>
      </x:c>
      <x:c r="C208" s="24"/>
      <x:c r="D208" s="24"/>
      <x:c r="E208" s="24"/>
      <x:c r="F208" s="24"/>
      <x:c r="G208" s="24"/>
      <x:c r="H208" s="34"/>
      <x:c r="I208" s="24"/>
      <x:c r="J208" s="24"/>
      <x:c r="K208" s="24"/>
      <x:c r="L208" s="24"/>
    </x:row>
    <x:row r="209">
      <x:c r="A209" s="24"/>
      <x:c r="B209" s="24" t="str">
        <x:f>IFERROR(XLOOKUP(A209,'01_Компании'!$A$4:$A$103,'01_Компании'!$B$4:$B$103),"")</x:f>
      </x:c>
      <x:c r="C209" s="24"/>
      <x:c r="D209" s="24"/>
      <x:c r="E209" s="24"/>
      <x:c r="F209" s="24"/>
      <x:c r="G209" s="24"/>
      <x:c r="H209" s="34"/>
      <x:c r="I209" s="24"/>
      <x:c r="J209" s="24"/>
      <x:c r="K209" s="24"/>
      <x:c r="L209" s="24"/>
    </x:row>
    <x:row r="210">
      <x:c r="A210" s="24"/>
      <x:c r="B210" s="24" t="str">
        <x:f>IFERROR(XLOOKUP(A210,'01_Компании'!$A$4:$A$103,'01_Компании'!$B$4:$B$103),"")</x:f>
      </x:c>
      <x:c r="C210" s="24"/>
      <x:c r="D210" s="24"/>
      <x:c r="E210" s="24"/>
      <x:c r="F210" s="24"/>
      <x:c r="G210" s="24"/>
      <x:c r="H210" s="34"/>
      <x:c r="I210" s="24"/>
      <x:c r="J210" s="24"/>
      <x:c r="K210" s="24"/>
      <x:c r="L210" s="24"/>
    </x:row>
    <x:row r="211">
      <x:c r="A211" s="24"/>
      <x:c r="B211" s="24" t="str">
        <x:f>IFERROR(XLOOKUP(A211,'01_Компании'!$A$4:$A$103,'01_Компании'!$B$4:$B$103),"")</x:f>
      </x:c>
      <x:c r="C211" s="24"/>
      <x:c r="D211" s="24"/>
      <x:c r="E211" s="24"/>
      <x:c r="F211" s="24"/>
      <x:c r="G211" s="24"/>
      <x:c r="H211" s="34"/>
      <x:c r="I211" s="24"/>
      <x:c r="J211" s="24"/>
      <x:c r="K211" s="24"/>
      <x:c r="L211" s="24"/>
    </x:row>
    <x:row r="212">
      <x:c r="A212" s="24"/>
      <x:c r="B212" s="24" t="str">
        <x:f>IFERROR(XLOOKUP(A212,'01_Компании'!$A$4:$A$103,'01_Компании'!$B$4:$B$103),"")</x:f>
      </x:c>
      <x:c r="C212" s="24"/>
      <x:c r="D212" s="24"/>
      <x:c r="E212" s="24"/>
      <x:c r="F212" s="24"/>
      <x:c r="G212" s="24"/>
      <x:c r="H212" s="34"/>
      <x:c r="I212" s="24"/>
      <x:c r="J212" s="24"/>
      <x:c r="K212" s="24"/>
      <x:c r="L212" s="24"/>
    </x:row>
    <x:row r="213">
      <x:c r="A213" s="24"/>
      <x:c r="B213" s="24" t="str">
        <x:f>IFERROR(XLOOKUP(A213,'01_Компании'!$A$4:$A$103,'01_Компании'!$B$4:$B$103),"")</x:f>
      </x:c>
      <x:c r="C213" s="24"/>
      <x:c r="D213" s="24"/>
      <x:c r="E213" s="24"/>
      <x:c r="F213" s="24"/>
      <x:c r="G213" s="24"/>
      <x:c r="H213" s="34"/>
      <x:c r="I213" s="24"/>
      <x:c r="J213" s="24"/>
      <x:c r="K213" s="24"/>
      <x:c r="L213" s="24"/>
    </x:row>
    <x:row r="214">
      <x:c r="A214" s="24"/>
      <x:c r="B214" s="24" t="str">
        <x:f>IFERROR(XLOOKUP(A214,'01_Компании'!$A$4:$A$103,'01_Компании'!$B$4:$B$103),"")</x:f>
      </x:c>
      <x:c r="C214" s="24"/>
      <x:c r="D214" s="24"/>
      <x:c r="E214" s="24"/>
      <x:c r="F214" s="24"/>
      <x:c r="G214" s="24"/>
      <x:c r="H214" s="34"/>
      <x:c r="I214" s="24"/>
      <x:c r="J214" s="24"/>
      <x:c r="K214" s="24"/>
      <x:c r="L214" s="24"/>
    </x:row>
    <x:row r="215">
      <x:c r="A215" s="24"/>
      <x:c r="B215" s="24" t="str">
        <x:f>IFERROR(XLOOKUP(A215,'01_Компании'!$A$4:$A$103,'01_Компании'!$B$4:$B$103),"")</x:f>
      </x:c>
      <x:c r="C215" s="24"/>
      <x:c r="D215" s="24"/>
      <x:c r="E215" s="24"/>
      <x:c r="F215" s="24"/>
      <x:c r="G215" s="24"/>
      <x:c r="H215" s="34"/>
      <x:c r="I215" s="24"/>
      <x:c r="J215" s="24"/>
      <x:c r="K215" s="24"/>
      <x:c r="L215" s="24"/>
    </x:row>
    <x:row r="216">
      <x:c r="A216" s="24"/>
      <x:c r="B216" s="24" t="str">
        <x:f>IFERROR(XLOOKUP(A216,'01_Компании'!$A$4:$A$103,'01_Компании'!$B$4:$B$103),"")</x:f>
      </x:c>
      <x:c r="C216" s="24"/>
      <x:c r="D216" s="24"/>
      <x:c r="E216" s="24"/>
      <x:c r="F216" s="24"/>
      <x:c r="G216" s="24"/>
      <x:c r="H216" s="34"/>
      <x:c r="I216" s="24"/>
      <x:c r="J216" s="24"/>
      <x:c r="K216" s="24"/>
      <x:c r="L216" s="24"/>
    </x:row>
    <x:row r="217">
      <x:c r="A217" s="24"/>
      <x:c r="B217" s="24" t="str">
        <x:f>IFERROR(XLOOKUP(A217,'01_Компании'!$A$4:$A$103,'01_Компании'!$B$4:$B$103),"")</x:f>
      </x:c>
      <x:c r="C217" s="24"/>
      <x:c r="D217" s="24"/>
      <x:c r="E217" s="24"/>
      <x:c r="F217" s="24"/>
      <x:c r="G217" s="24"/>
      <x:c r="H217" s="34"/>
      <x:c r="I217" s="24"/>
      <x:c r="J217" s="24"/>
      <x:c r="K217" s="24"/>
      <x:c r="L217" s="24"/>
    </x:row>
    <x:row r="218">
      <x:c r="A218" s="24"/>
      <x:c r="B218" s="24" t="str">
        <x:f>IFERROR(XLOOKUP(A218,'01_Компании'!$A$4:$A$103,'01_Компании'!$B$4:$B$103),"")</x:f>
      </x:c>
      <x:c r="C218" s="24"/>
      <x:c r="D218" s="24"/>
      <x:c r="E218" s="24"/>
      <x:c r="F218" s="24"/>
      <x:c r="G218" s="24"/>
      <x:c r="H218" s="34"/>
      <x:c r="I218" s="24"/>
      <x:c r="J218" s="24"/>
      <x:c r="K218" s="24"/>
      <x:c r="L218" s="24"/>
    </x:row>
    <x:row r="219">
      <x:c r="A219" s="24"/>
      <x:c r="B219" s="24" t="str">
        <x:f>IFERROR(XLOOKUP(A219,'01_Компании'!$A$4:$A$103,'01_Компании'!$B$4:$B$103),"")</x:f>
      </x:c>
      <x:c r="C219" s="24"/>
      <x:c r="D219" s="24"/>
      <x:c r="E219" s="24"/>
      <x:c r="F219" s="24"/>
      <x:c r="G219" s="24"/>
      <x:c r="H219" s="34"/>
      <x:c r="I219" s="24"/>
      <x:c r="J219" s="24"/>
      <x:c r="K219" s="24"/>
      <x:c r="L219" s="24"/>
    </x:row>
    <x:row r="220">
      <x:c r="A220" s="24"/>
      <x:c r="B220" s="24" t="str">
        <x:f>IFERROR(XLOOKUP(A220,'01_Компании'!$A$4:$A$103,'01_Компании'!$B$4:$B$103),"")</x:f>
      </x:c>
      <x:c r="C220" s="24"/>
      <x:c r="D220" s="24"/>
      <x:c r="E220" s="24"/>
      <x:c r="F220" s="24"/>
      <x:c r="G220" s="24"/>
      <x:c r="H220" s="34"/>
      <x:c r="I220" s="24"/>
      <x:c r="J220" s="24"/>
      <x:c r="K220" s="24"/>
      <x:c r="L220" s="24"/>
    </x:row>
    <x:row r="221">
      <x:c r="A221" s="24"/>
      <x:c r="B221" s="24" t="str">
        <x:f>IFERROR(XLOOKUP(A221,'01_Компании'!$A$4:$A$103,'01_Компании'!$B$4:$B$103),"")</x:f>
      </x:c>
      <x:c r="C221" s="24"/>
      <x:c r="D221" s="24"/>
      <x:c r="E221" s="24"/>
      <x:c r="F221" s="24"/>
      <x:c r="G221" s="24"/>
      <x:c r="H221" s="34"/>
      <x:c r="I221" s="24"/>
      <x:c r="J221" s="24"/>
      <x:c r="K221" s="24"/>
      <x:c r="L221" s="24"/>
    </x:row>
    <x:row r="222">
      <x:c r="A222" s="24"/>
      <x:c r="B222" s="24" t="str">
        <x:f>IFERROR(XLOOKUP(A222,'01_Компании'!$A$4:$A$103,'01_Компании'!$B$4:$B$103),"")</x:f>
      </x:c>
      <x:c r="C222" s="24"/>
      <x:c r="D222" s="24"/>
      <x:c r="E222" s="24"/>
      <x:c r="F222" s="24"/>
      <x:c r="G222" s="24"/>
      <x:c r="H222" s="34"/>
      <x:c r="I222" s="24"/>
      <x:c r="J222" s="24"/>
      <x:c r="K222" s="24"/>
      <x:c r="L222" s="24"/>
    </x:row>
    <x:row r="223">
      <x:c r="A223" s="24"/>
      <x:c r="B223" s="24" t="str">
        <x:f>IFERROR(XLOOKUP(A223,'01_Компании'!$A$4:$A$103,'01_Компании'!$B$4:$B$103),"")</x:f>
      </x:c>
      <x:c r="C223" s="24"/>
      <x:c r="D223" s="24"/>
      <x:c r="E223" s="24"/>
      <x:c r="F223" s="24"/>
      <x:c r="G223" s="24"/>
      <x:c r="H223" s="34"/>
      <x:c r="I223" s="24"/>
      <x:c r="J223" s="24"/>
      <x:c r="K223" s="24"/>
      <x:c r="L223" s="24"/>
    </x:row>
    <x:row r="224">
      <x:c r="A224" s="24"/>
      <x:c r="B224" s="24" t="str">
        <x:f>IFERROR(XLOOKUP(A224,'01_Компании'!$A$4:$A$103,'01_Компании'!$B$4:$B$103),"")</x:f>
      </x:c>
      <x:c r="C224" s="24"/>
      <x:c r="D224" s="24"/>
      <x:c r="E224" s="24"/>
      <x:c r="F224" s="24"/>
      <x:c r="G224" s="24"/>
      <x:c r="H224" s="34"/>
      <x:c r="I224" s="24"/>
      <x:c r="J224" s="24"/>
      <x:c r="K224" s="24"/>
      <x:c r="L224" s="24"/>
    </x:row>
    <x:row r="225">
      <x:c r="A225" s="24"/>
      <x:c r="B225" s="24" t="str">
        <x:f>IFERROR(XLOOKUP(A225,'01_Компании'!$A$4:$A$103,'01_Компании'!$B$4:$B$103),"")</x:f>
      </x:c>
      <x:c r="C225" s="24"/>
      <x:c r="D225" s="24"/>
      <x:c r="E225" s="24"/>
      <x:c r="F225" s="24"/>
      <x:c r="G225" s="24"/>
      <x:c r="H225" s="34"/>
      <x:c r="I225" s="24"/>
      <x:c r="J225" s="24"/>
      <x:c r="K225" s="24"/>
      <x:c r="L225" s="24"/>
    </x:row>
    <x:row r="226">
      <x:c r="A226" s="24"/>
      <x:c r="B226" s="24" t="str">
        <x:f>IFERROR(XLOOKUP(A226,'01_Компании'!$A$4:$A$103,'01_Компании'!$B$4:$B$103),"")</x:f>
      </x:c>
      <x:c r="C226" s="24"/>
      <x:c r="D226" s="24"/>
      <x:c r="E226" s="24"/>
      <x:c r="F226" s="24"/>
      <x:c r="G226" s="24"/>
      <x:c r="H226" s="34"/>
      <x:c r="I226" s="24"/>
      <x:c r="J226" s="24"/>
      <x:c r="K226" s="24"/>
      <x:c r="L226" s="24"/>
    </x:row>
    <x:row r="227">
      <x:c r="A227" s="24"/>
      <x:c r="B227" s="24" t="str">
        <x:f>IFERROR(XLOOKUP(A227,'01_Компании'!$A$4:$A$103,'01_Компании'!$B$4:$B$103),"")</x:f>
      </x:c>
      <x:c r="C227" s="24"/>
      <x:c r="D227" s="24"/>
      <x:c r="E227" s="24"/>
      <x:c r="F227" s="24"/>
      <x:c r="G227" s="24"/>
      <x:c r="H227" s="34"/>
      <x:c r="I227" s="24"/>
      <x:c r="J227" s="24"/>
      <x:c r="K227" s="24"/>
      <x:c r="L227" s="24"/>
    </x:row>
    <x:row r="228">
      <x:c r="A228" s="24"/>
      <x:c r="B228" s="24" t="str">
        <x:f>IFERROR(XLOOKUP(A228,'01_Компании'!$A$4:$A$103,'01_Компании'!$B$4:$B$103),"")</x:f>
      </x:c>
      <x:c r="C228" s="24"/>
      <x:c r="D228" s="24"/>
      <x:c r="E228" s="24"/>
      <x:c r="F228" s="24"/>
      <x:c r="G228" s="24"/>
      <x:c r="H228" s="34"/>
      <x:c r="I228" s="24"/>
      <x:c r="J228" s="24"/>
      <x:c r="K228" s="24"/>
      <x:c r="L228" s="24"/>
    </x:row>
    <x:row r="229">
      <x:c r="A229" s="24"/>
      <x:c r="B229" s="24" t="str">
        <x:f>IFERROR(XLOOKUP(A229,'01_Компании'!$A$4:$A$103,'01_Компании'!$B$4:$B$103),"")</x:f>
      </x:c>
      <x:c r="C229" s="24"/>
      <x:c r="D229" s="24"/>
      <x:c r="E229" s="24"/>
      <x:c r="F229" s="24"/>
      <x:c r="G229" s="24"/>
      <x:c r="H229" s="34"/>
      <x:c r="I229" s="24"/>
      <x:c r="J229" s="24"/>
      <x:c r="K229" s="24"/>
      <x:c r="L229" s="24"/>
    </x:row>
    <x:row r="230">
      <x:c r="A230" s="24"/>
      <x:c r="B230" s="24" t="str">
        <x:f>IFERROR(XLOOKUP(A230,'01_Компании'!$A$4:$A$103,'01_Компании'!$B$4:$B$103),"")</x:f>
      </x:c>
      <x:c r="C230" s="24"/>
      <x:c r="D230" s="24"/>
      <x:c r="E230" s="24"/>
      <x:c r="F230" s="24"/>
      <x:c r="G230" s="24"/>
      <x:c r="H230" s="34"/>
      <x:c r="I230" s="24"/>
      <x:c r="J230" s="24"/>
      <x:c r="K230" s="24"/>
      <x:c r="L230" s="24"/>
    </x:row>
    <x:row r="231">
      <x:c r="A231" s="24"/>
      <x:c r="B231" s="24" t="str">
        <x:f>IFERROR(XLOOKUP(A231,'01_Компании'!$A$4:$A$103,'01_Компании'!$B$4:$B$103),"")</x:f>
      </x:c>
      <x:c r="C231" s="24"/>
      <x:c r="D231" s="24"/>
      <x:c r="E231" s="24"/>
      <x:c r="F231" s="24"/>
      <x:c r="G231" s="24"/>
      <x:c r="H231" s="34"/>
      <x:c r="I231" s="24"/>
      <x:c r="J231" s="24"/>
      <x:c r="K231" s="24"/>
      <x:c r="L231" s="24"/>
    </x:row>
    <x:row r="232">
      <x:c r="A232" s="24"/>
      <x:c r="B232" s="24" t="str">
        <x:f>IFERROR(XLOOKUP(A232,'01_Компании'!$A$4:$A$103,'01_Компании'!$B$4:$B$103),"")</x:f>
      </x:c>
      <x:c r="C232" s="24"/>
      <x:c r="D232" s="24"/>
      <x:c r="E232" s="24"/>
      <x:c r="F232" s="24"/>
      <x:c r="G232" s="24"/>
      <x:c r="H232" s="34"/>
      <x:c r="I232" s="24"/>
      <x:c r="J232" s="24"/>
      <x:c r="K232" s="24"/>
      <x:c r="L232" s="24"/>
    </x:row>
    <x:row r="233">
      <x:c r="A233" s="24"/>
      <x:c r="B233" s="24" t="str">
        <x:f>IFERROR(XLOOKUP(A233,'01_Компании'!$A$4:$A$103,'01_Компании'!$B$4:$B$103),"")</x:f>
      </x:c>
      <x:c r="C233" s="24"/>
      <x:c r="D233" s="24"/>
      <x:c r="E233" s="24"/>
      <x:c r="F233" s="24"/>
      <x:c r="G233" s="24"/>
      <x:c r="H233" s="34"/>
      <x:c r="I233" s="24"/>
      <x:c r="J233" s="24"/>
      <x:c r="K233" s="24"/>
      <x:c r="L233" s="24"/>
    </x:row>
    <x:row r="234">
      <x:c r="A234" s="24"/>
      <x:c r="B234" s="24" t="str">
        <x:f>IFERROR(XLOOKUP(A234,'01_Компании'!$A$4:$A$103,'01_Компании'!$B$4:$B$103),"")</x:f>
      </x:c>
      <x:c r="C234" s="24"/>
      <x:c r="D234" s="24"/>
      <x:c r="E234" s="24"/>
      <x:c r="F234" s="24"/>
      <x:c r="G234" s="24"/>
      <x:c r="H234" s="34"/>
      <x:c r="I234" s="24"/>
      <x:c r="J234" s="24"/>
      <x:c r="K234" s="24"/>
      <x:c r="L234" s="24"/>
    </x:row>
    <x:row r="235">
      <x:c r="A235" s="24"/>
      <x:c r="B235" s="24" t="str">
        <x:f>IFERROR(XLOOKUP(A235,'01_Компании'!$A$4:$A$103,'01_Компании'!$B$4:$B$103),"")</x:f>
      </x:c>
      <x:c r="C235" s="24"/>
      <x:c r="D235" s="24"/>
      <x:c r="E235" s="24"/>
      <x:c r="F235" s="24"/>
      <x:c r="G235" s="24"/>
      <x:c r="H235" s="34"/>
      <x:c r="I235" s="24"/>
      <x:c r="J235" s="24"/>
      <x:c r="K235" s="24"/>
      <x:c r="L235" s="24"/>
    </x:row>
    <x:row r="236">
      <x:c r="A236" s="24"/>
      <x:c r="B236" s="24" t="str">
        <x:f>IFERROR(XLOOKUP(A236,'01_Компании'!$A$4:$A$103,'01_Компании'!$B$4:$B$103),"")</x:f>
      </x:c>
      <x:c r="C236" s="24"/>
      <x:c r="D236" s="24"/>
      <x:c r="E236" s="24"/>
      <x:c r="F236" s="24"/>
      <x:c r="G236" s="24"/>
      <x:c r="H236" s="34"/>
      <x:c r="I236" s="24"/>
      <x:c r="J236" s="24"/>
      <x:c r="K236" s="24"/>
      <x:c r="L236" s="24"/>
    </x:row>
    <x:row r="237">
      <x:c r="A237" s="24"/>
      <x:c r="B237" s="24" t="str">
        <x:f>IFERROR(XLOOKUP(A237,'01_Компании'!$A$4:$A$103,'01_Компании'!$B$4:$B$103),"")</x:f>
      </x:c>
      <x:c r="C237" s="24"/>
      <x:c r="D237" s="24"/>
      <x:c r="E237" s="24"/>
      <x:c r="F237" s="24"/>
      <x:c r="G237" s="24"/>
      <x:c r="H237" s="34"/>
      <x:c r="I237" s="24"/>
      <x:c r="J237" s="24"/>
      <x:c r="K237" s="24"/>
      <x:c r="L237" s="24"/>
    </x:row>
    <x:row r="238">
      <x:c r="A238" s="24"/>
      <x:c r="B238" s="24" t="str">
        <x:f>IFERROR(XLOOKUP(A238,'01_Компании'!$A$4:$A$103,'01_Компании'!$B$4:$B$103),"")</x:f>
      </x:c>
      <x:c r="C238" s="24"/>
      <x:c r="D238" s="24"/>
      <x:c r="E238" s="24"/>
      <x:c r="F238" s="24"/>
      <x:c r="G238" s="24"/>
      <x:c r="H238" s="34"/>
      <x:c r="I238" s="24"/>
      <x:c r="J238" s="24"/>
      <x:c r="K238" s="24"/>
      <x:c r="L238" s="24"/>
    </x:row>
    <x:row r="239">
      <x:c r="A239" s="24"/>
      <x:c r="B239" s="24" t="str">
        <x:f>IFERROR(XLOOKUP(A239,'01_Компании'!$A$4:$A$103,'01_Компании'!$B$4:$B$103),"")</x:f>
      </x:c>
      <x:c r="C239" s="24"/>
      <x:c r="D239" s="24"/>
      <x:c r="E239" s="24"/>
      <x:c r="F239" s="24"/>
      <x:c r="G239" s="24"/>
      <x:c r="H239" s="34"/>
      <x:c r="I239" s="24"/>
      <x:c r="J239" s="24"/>
      <x:c r="K239" s="24"/>
      <x:c r="L239" s="24"/>
    </x:row>
    <x:row r="240">
      <x:c r="A240" s="24"/>
      <x:c r="B240" s="24" t="str">
        <x:f>IFERROR(XLOOKUP(A240,'01_Компании'!$A$4:$A$103,'01_Компании'!$B$4:$B$103),"")</x:f>
      </x:c>
      <x:c r="C240" s="24"/>
      <x:c r="D240" s="24"/>
      <x:c r="E240" s="24"/>
      <x:c r="F240" s="24"/>
      <x:c r="G240" s="24"/>
      <x:c r="H240" s="34"/>
      <x:c r="I240" s="24"/>
      <x:c r="J240" s="24"/>
      <x:c r="K240" s="24"/>
      <x:c r="L240" s="24"/>
    </x:row>
    <x:row r="241">
      <x:c r="A241" s="24"/>
      <x:c r="B241" s="24" t="str">
        <x:f>IFERROR(XLOOKUP(A241,'01_Компании'!$A$4:$A$103,'01_Компании'!$B$4:$B$103),"")</x:f>
      </x:c>
      <x:c r="C241" s="24"/>
      <x:c r="D241" s="24"/>
      <x:c r="E241" s="24"/>
      <x:c r="F241" s="24"/>
      <x:c r="G241" s="24"/>
      <x:c r="H241" s="34"/>
      <x:c r="I241" s="24"/>
      <x:c r="J241" s="24"/>
      <x:c r="K241" s="24"/>
      <x:c r="L241" s="24"/>
    </x:row>
    <x:row r="242">
      <x:c r="A242" s="24"/>
      <x:c r="B242" s="24" t="str">
        <x:f>IFERROR(XLOOKUP(A242,'01_Компании'!$A$4:$A$103,'01_Компании'!$B$4:$B$103),"")</x:f>
      </x:c>
      <x:c r="C242" s="24"/>
      <x:c r="D242" s="24"/>
      <x:c r="E242" s="24"/>
      <x:c r="F242" s="24"/>
      <x:c r="G242" s="24"/>
      <x:c r="H242" s="34"/>
      <x:c r="I242" s="24"/>
      <x:c r="J242" s="24"/>
      <x:c r="K242" s="24"/>
      <x:c r="L242" s="24"/>
    </x:row>
    <x:row r="243">
      <x:c r="A243" s="24"/>
      <x:c r="B243" s="24" t="str">
        <x:f>IFERROR(XLOOKUP(A243,'01_Компании'!$A$4:$A$103,'01_Компании'!$B$4:$B$103),"")</x:f>
      </x:c>
      <x:c r="C243" s="24"/>
      <x:c r="D243" s="24"/>
      <x:c r="E243" s="24"/>
      <x:c r="F243" s="24"/>
      <x:c r="G243" s="24"/>
      <x:c r="H243" s="34"/>
      <x:c r="I243" s="24"/>
      <x:c r="J243" s="24"/>
      <x:c r="K243" s="24"/>
      <x:c r="L243" s="24"/>
    </x:row>
    <x:row r="244">
      <x:c r="A244" s="24"/>
      <x:c r="B244" s="24" t="str">
        <x:f>IFERROR(XLOOKUP(A244,'01_Компании'!$A$4:$A$103,'01_Компании'!$B$4:$B$103),"")</x:f>
      </x:c>
      <x:c r="C244" s="24"/>
      <x:c r="D244" s="24"/>
      <x:c r="E244" s="24"/>
      <x:c r="F244" s="24"/>
      <x:c r="G244" s="24"/>
      <x:c r="H244" s="34"/>
      <x:c r="I244" s="24"/>
      <x:c r="J244" s="24"/>
      <x:c r="K244" s="24"/>
      <x:c r="L244" s="24"/>
    </x:row>
    <x:row r="245">
      <x:c r="A245" s="24"/>
      <x:c r="B245" s="24" t="str">
        <x:f>IFERROR(XLOOKUP(A245,'01_Компании'!$A$4:$A$103,'01_Компании'!$B$4:$B$103),"")</x:f>
      </x:c>
      <x:c r="C245" s="24"/>
      <x:c r="D245" s="24"/>
      <x:c r="E245" s="24"/>
      <x:c r="F245" s="24"/>
      <x:c r="G245" s="24"/>
      <x:c r="H245" s="34"/>
      <x:c r="I245" s="24"/>
      <x:c r="J245" s="24"/>
      <x:c r="K245" s="24"/>
      <x:c r="L245" s="24"/>
    </x:row>
    <x:row r="246">
      <x:c r="A246" s="24"/>
      <x:c r="B246" s="24" t="str">
        <x:f>IFERROR(XLOOKUP(A246,'01_Компании'!$A$4:$A$103,'01_Компании'!$B$4:$B$103),"")</x:f>
      </x:c>
      <x:c r="C246" s="24"/>
      <x:c r="D246" s="24"/>
      <x:c r="E246" s="24"/>
      <x:c r="F246" s="24"/>
      <x:c r="G246" s="24"/>
      <x:c r="H246" s="34"/>
      <x:c r="I246" s="24"/>
      <x:c r="J246" s="24"/>
      <x:c r="K246" s="24"/>
      <x:c r="L246" s="24"/>
    </x:row>
    <x:row r="247">
      <x:c r="A247" s="24"/>
      <x:c r="B247" s="24" t="str">
        <x:f>IFERROR(XLOOKUP(A247,'01_Компании'!$A$4:$A$103,'01_Компании'!$B$4:$B$103),"")</x:f>
      </x:c>
      <x:c r="C247" s="24"/>
      <x:c r="D247" s="24"/>
      <x:c r="E247" s="24"/>
      <x:c r="F247" s="24"/>
      <x:c r="G247" s="24"/>
      <x:c r="H247" s="34"/>
      <x:c r="I247" s="24"/>
      <x:c r="J247" s="24"/>
      <x:c r="K247" s="24"/>
      <x:c r="L247" s="24"/>
    </x:row>
    <x:row r="248">
      <x:c r="A248" s="24"/>
      <x:c r="B248" s="24" t="str">
        <x:f>IFERROR(XLOOKUP(A248,'01_Компании'!$A$4:$A$103,'01_Компании'!$B$4:$B$103),"")</x:f>
      </x:c>
      <x:c r="C248" s="24"/>
      <x:c r="D248" s="24"/>
      <x:c r="E248" s="24"/>
      <x:c r="F248" s="24"/>
      <x:c r="G248" s="24"/>
      <x:c r="H248" s="34"/>
      <x:c r="I248" s="24"/>
      <x:c r="J248" s="24"/>
      <x:c r="K248" s="24"/>
      <x:c r="L248" s="24"/>
    </x:row>
    <x:row r="249">
      <x:c r="A249" s="24"/>
      <x:c r="B249" s="24" t="str">
        <x:f>IFERROR(XLOOKUP(A249,'01_Компании'!$A$4:$A$103,'01_Компании'!$B$4:$B$103),"")</x:f>
      </x:c>
      <x:c r="C249" s="24"/>
      <x:c r="D249" s="24"/>
      <x:c r="E249" s="24"/>
      <x:c r="F249" s="24"/>
      <x:c r="G249" s="24"/>
      <x:c r="H249" s="34"/>
      <x:c r="I249" s="24"/>
      <x:c r="J249" s="24"/>
      <x:c r="K249" s="24"/>
      <x:c r="L249" s="24"/>
    </x:row>
    <x:row r="250">
      <x:c r="A250" s="24"/>
      <x:c r="B250" s="24" t="str">
        <x:f>IFERROR(XLOOKUP(A250,'01_Компании'!$A$4:$A$103,'01_Компании'!$B$4:$B$103),"")</x:f>
      </x:c>
      <x:c r="C250" s="24"/>
      <x:c r="D250" s="24"/>
      <x:c r="E250" s="24"/>
      <x:c r="F250" s="24"/>
      <x:c r="G250" s="24"/>
      <x:c r="H250" s="34"/>
      <x:c r="I250" s="24"/>
      <x:c r="J250" s="24"/>
      <x:c r="K250" s="24"/>
      <x:c r="L250" s="24"/>
    </x:row>
    <x:row r="251">
      <x:c r="A251" s="24"/>
      <x:c r="B251" s="24" t="str">
        <x:f>IFERROR(XLOOKUP(A251,'01_Компании'!$A$4:$A$103,'01_Компании'!$B$4:$B$103),"")</x:f>
      </x:c>
      <x:c r="C251" s="24"/>
      <x:c r="D251" s="24"/>
      <x:c r="E251" s="24"/>
      <x:c r="F251" s="24"/>
      <x:c r="G251" s="24"/>
      <x:c r="H251" s="34"/>
      <x:c r="I251" s="24"/>
      <x:c r="J251" s="24"/>
      <x:c r="K251" s="24"/>
      <x:c r="L251" s="24"/>
    </x:row>
    <x:row r="252">
      <x:c r="A252" s="24"/>
      <x:c r="B252" s="24" t="str">
        <x:f>IFERROR(XLOOKUP(A252,'01_Компании'!$A$4:$A$103,'01_Компании'!$B$4:$B$103),"")</x:f>
      </x:c>
      <x:c r="C252" s="24"/>
      <x:c r="D252" s="24"/>
      <x:c r="E252" s="24"/>
      <x:c r="F252" s="24"/>
      <x:c r="G252" s="24"/>
      <x:c r="H252" s="34"/>
      <x:c r="I252" s="24"/>
      <x:c r="J252" s="24"/>
      <x:c r="K252" s="24"/>
      <x:c r="L252" s="24"/>
    </x:row>
    <x:row r="253">
      <x:c r="A253" s="24"/>
      <x:c r="B253" s="24" t="str">
        <x:f>IFERROR(XLOOKUP(A253,'01_Компании'!$A$4:$A$103,'01_Компании'!$B$4:$B$103),"")</x:f>
      </x:c>
      <x:c r="C253" s="24"/>
      <x:c r="D253" s="24"/>
      <x:c r="E253" s="24"/>
      <x:c r="F253" s="24"/>
      <x:c r="G253" s="24"/>
      <x:c r="H253" s="34"/>
      <x:c r="I253" s="24"/>
      <x:c r="J253" s="24"/>
      <x:c r="K253" s="24"/>
      <x:c r="L253" s="24"/>
    </x:row>
    <x:row r="254">
      <x:c r="A254" s="24"/>
      <x:c r="B254" s="24" t="str">
        <x:f>IFERROR(XLOOKUP(A254,'01_Компании'!$A$4:$A$103,'01_Компании'!$B$4:$B$103),"")</x:f>
      </x:c>
      <x:c r="C254" s="24"/>
      <x:c r="D254" s="24"/>
      <x:c r="E254" s="24"/>
      <x:c r="F254" s="24"/>
      <x:c r="G254" s="24"/>
      <x:c r="H254" s="34"/>
      <x:c r="I254" s="24"/>
      <x:c r="J254" s="24"/>
      <x:c r="K254" s="24"/>
      <x:c r="L254" s="24"/>
    </x:row>
    <x:row r="255">
      <x:c r="A255" s="24"/>
      <x:c r="B255" s="24" t="str">
        <x:f>IFERROR(XLOOKUP(A255,'01_Компании'!$A$4:$A$103,'01_Компании'!$B$4:$B$103),"")</x:f>
      </x:c>
      <x:c r="C255" s="24"/>
      <x:c r="D255" s="24"/>
      <x:c r="E255" s="24"/>
      <x:c r="F255" s="24"/>
      <x:c r="G255" s="24"/>
      <x:c r="H255" s="34"/>
      <x:c r="I255" s="24"/>
      <x:c r="J255" s="24"/>
      <x:c r="K255" s="24"/>
      <x:c r="L255" s="24"/>
    </x:row>
    <x:row r="256">
      <x:c r="A256" s="24"/>
      <x:c r="B256" s="24" t="str">
        <x:f>IFERROR(XLOOKUP(A256,'01_Компании'!$A$4:$A$103,'01_Компании'!$B$4:$B$103),"")</x:f>
      </x:c>
      <x:c r="C256" s="24"/>
      <x:c r="D256" s="24"/>
      <x:c r="E256" s="24"/>
      <x:c r="F256" s="24"/>
      <x:c r="G256" s="24"/>
      <x:c r="H256" s="34"/>
      <x:c r="I256" s="24"/>
      <x:c r="J256" s="24"/>
      <x:c r="K256" s="24"/>
      <x:c r="L256" s="24"/>
    </x:row>
    <x:row r="257">
      <x:c r="A257" s="24"/>
      <x:c r="B257" s="24" t="str">
        <x:f>IFERROR(XLOOKUP(A257,'01_Компании'!$A$4:$A$103,'01_Компании'!$B$4:$B$103),"")</x:f>
      </x:c>
      <x:c r="C257" s="24"/>
      <x:c r="D257" s="24"/>
      <x:c r="E257" s="24"/>
      <x:c r="F257" s="24"/>
      <x:c r="G257" s="24"/>
      <x:c r="H257" s="34"/>
      <x:c r="I257" s="24"/>
      <x:c r="J257" s="24"/>
      <x:c r="K257" s="24"/>
      <x:c r="L257" s="24"/>
    </x:row>
    <x:row r="258">
      <x:c r="A258" s="24"/>
      <x:c r="B258" s="24" t="str">
        <x:f>IFERROR(XLOOKUP(A258,'01_Компании'!$A$4:$A$103,'01_Компании'!$B$4:$B$103),"")</x:f>
      </x:c>
      <x:c r="C258" s="24"/>
      <x:c r="D258" s="24"/>
      <x:c r="E258" s="24"/>
      <x:c r="F258" s="24"/>
      <x:c r="G258" s="24"/>
      <x:c r="H258" s="34"/>
      <x:c r="I258" s="24"/>
      <x:c r="J258" s="24"/>
      <x:c r="K258" s="24"/>
      <x:c r="L258" s="24"/>
    </x:row>
    <x:row r="259">
      <x:c r="A259" s="24"/>
      <x:c r="B259" s="24" t="str">
        <x:f>IFERROR(XLOOKUP(A259,'01_Компании'!$A$4:$A$103,'01_Компании'!$B$4:$B$103),"")</x:f>
      </x:c>
      <x:c r="C259" s="24"/>
      <x:c r="D259" s="24"/>
      <x:c r="E259" s="24"/>
      <x:c r="F259" s="24"/>
      <x:c r="G259" s="24"/>
      <x:c r="H259" s="34"/>
      <x:c r="I259" s="24"/>
      <x:c r="J259" s="24"/>
      <x:c r="K259" s="24"/>
      <x:c r="L259" s="24"/>
    </x:row>
    <x:row r="260">
      <x:c r="A260" s="24"/>
      <x:c r="B260" s="24" t="str">
        <x:f>IFERROR(XLOOKUP(A260,'01_Компании'!$A$4:$A$103,'01_Компании'!$B$4:$B$103),"")</x:f>
      </x:c>
      <x:c r="C260" s="24"/>
      <x:c r="D260" s="24"/>
      <x:c r="E260" s="24"/>
      <x:c r="F260" s="24"/>
      <x:c r="G260" s="24"/>
      <x:c r="H260" s="34"/>
      <x:c r="I260" s="24"/>
      <x:c r="J260" s="24"/>
      <x:c r="K260" s="24"/>
      <x:c r="L260" s="24"/>
    </x:row>
    <x:row r="261">
      <x:c r="A261" s="24"/>
      <x:c r="B261" s="24" t="str">
        <x:f>IFERROR(XLOOKUP(A261,'01_Компании'!$A$4:$A$103,'01_Компании'!$B$4:$B$103),"")</x:f>
      </x:c>
      <x:c r="C261" s="24"/>
      <x:c r="D261" s="24"/>
      <x:c r="E261" s="24"/>
      <x:c r="F261" s="24"/>
      <x:c r="G261" s="24"/>
      <x:c r="H261" s="34"/>
      <x:c r="I261" s="24"/>
      <x:c r="J261" s="24"/>
      <x:c r="K261" s="24"/>
      <x:c r="L261" s="24"/>
    </x:row>
    <x:row r="262">
      <x:c r="A262" s="24"/>
      <x:c r="B262" s="24" t="str">
        <x:f>IFERROR(XLOOKUP(A262,'01_Компании'!$A$4:$A$103,'01_Компании'!$B$4:$B$103),"")</x:f>
      </x:c>
      <x:c r="C262" s="24"/>
      <x:c r="D262" s="24"/>
      <x:c r="E262" s="24"/>
      <x:c r="F262" s="24"/>
      <x:c r="G262" s="24"/>
      <x:c r="H262" s="34"/>
      <x:c r="I262" s="24"/>
      <x:c r="J262" s="24"/>
      <x:c r="K262" s="24"/>
      <x:c r="L262" s="24"/>
    </x:row>
    <x:row r="263">
      <x:c r="A263" s="24"/>
      <x:c r="B263" s="24" t="str">
        <x:f>IFERROR(XLOOKUP(A263,'01_Компании'!$A$4:$A$103,'01_Компании'!$B$4:$B$103),"")</x:f>
      </x:c>
      <x:c r="C263" s="24"/>
      <x:c r="D263" s="24"/>
      <x:c r="E263" s="24"/>
      <x:c r="F263" s="24"/>
      <x:c r="G263" s="24"/>
      <x:c r="H263" s="34"/>
      <x:c r="I263" s="24"/>
      <x:c r="J263" s="24"/>
      <x:c r="K263" s="24"/>
      <x:c r="L263" s="24"/>
    </x:row>
    <x:row r="264">
      <x:c r="A264" s="24"/>
      <x:c r="B264" s="24" t="str">
        <x:f>IFERROR(XLOOKUP(A264,'01_Компании'!$A$4:$A$103,'01_Компании'!$B$4:$B$103),"")</x:f>
      </x:c>
      <x:c r="C264" s="24"/>
      <x:c r="D264" s="24"/>
      <x:c r="E264" s="24"/>
      <x:c r="F264" s="24"/>
      <x:c r="G264" s="24"/>
      <x:c r="H264" s="34"/>
      <x:c r="I264" s="24"/>
      <x:c r="J264" s="24"/>
      <x:c r="K264" s="24"/>
      <x:c r="L264" s="24"/>
    </x:row>
    <x:row r="265">
      <x:c r="A265" s="24"/>
      <x:c r="B265" s="24" t="str">
        <x:f>IFERROR(XLOOKUP(A265,'01_Компании'!$A$4:$A$103,'01_Компании'!$B$4:$B$103),"")</x:f>
      </x:c>
      <x:c r="C265" s="24"/>
      <x:c r="D265" s="24"/>
      <x:c r="E265" s="24"/>
      <x:c r="F265" s="24"/>
      <x:c r="G265" s="24"/>
      <x:c r="H265" s="34"/>
      <x:c r="I265" s="24"/>
      <x:c r="J265" s="24"/>
      <x:c r="K265" s="24"/>
      <x:c r="L265" s="24"/>
    </x:row>
    <x:row r="266">
      <x:c r="A266" s="24"/>
      <x:c r="B266" s="24" t="str">
        <x:f>IFERROR(XLOOKUP(A266,'01_Компании'!$A$4:$A$103,'01_Компании'!$B$4:$B$103),"")</x:f>
      </x:c>
      <x:c r="C266" s="24"/>
      <x:c r="D266" s="24"/>
      <x:c r="E266" s="24"/>
      <x:c r="F266" s="24"/>
      <x:c r="G266" s="24"/>
      <x:c r="H266" s="34"/>
      <x:c r="I266" s="24"/>
      <x:c r="J266" s="24"/>
      <x:c r="K266" s="24"/>
      <x:c r="L266" s="24"/>
    </x:row>
    <x:row r="267">
      <x:c r="A267" s="24"/>
      <x:c r="B267" s="24" t="str">
        <x:f>IFERROR(XLOOKUP(A267,'01_Компании'!$A$4:$A$103,'01_Компании'!$B$4:$B$103),"")</x:f>
      </x:c>
      <x:c r="C267" s="24"/>
      <x:c r="D267" s="24"/>
      <x:c r="E267" s="24"/>
      <x:c r="F267" s="24"/>
      <x:c r="G267" s="24"/>
      <x:c r="H267" s="34"/>
      <x:c r="I267" s="24"/>
      <x:c r="J267" s="24"/>
      <x:c r="K267" s="24"/>
      <x:c r="L267" s="24"/>
    </x:row>
    <x:row r="268">
      <x:c r="A268" s="24"/>
      <x:c r="B268" s="24" t="str">
        <x:f>IFERROR(XLOOKUP(A268,'01_Компании'!$A$4:$A$103,'01_Компании'!$B$4:$B$103),"")</x:f>
      </x:c>
      <x:c r="C268" s="24"/>
      <x:c r="D268" s="24"/>
      <x:c r="E268" s="24"/>
      <x:c r="F268" s="24"/>
      <x:c r="G268" s="24"/>
      <x:c r="H268" s="34"/>
      <x:c r="I268" s="24"/>
      <x:c r="J268" s="24"/>
      <x:c r="K268" s="24"/>
      <x:c r="L268" s="24"/>
    </x:row>
    <x:row r="269">
      <x:c r="A269" s="24"/>
      <x:c r="B269" s="24" t="str">
        <x:f>IFERROR(XLOOKUP(A269,'01_Компании'!$A$4:$A$103,'01_Компании'!$B$4:$B$103),"")</x:f>
      </x:c>
      <x:c r="C269" s="24"/>
      <x:c r="D269" s="24"/>
      <x:c r="E269" s="24"/>
      <x:c r="F269" s="24"/>
      <x:c r="G269" s="24"/>
      <x:c r="H269" s="34"/>
      <x:c r="I269" s="24"/>
      <x:c r="J269" s="24"/>
      <x:c r="K269" s="24"/>
      <x:c r="L269" s="24"/>
    </x:row>
    <x:row r="270">
      <x:c r="A270" s="24"/>
      <x:c r="B270" s="24" t="str">
        <x:f>IFERROR(XLOOKUP(A270,'01_Компании'!$A$4:$A$103,'01_Компании'!$B$4:$B$103),"")</x:f>
      </x:c>
      <x:c r="C270" s="24"/>
      <x:c r="D270" s="24"/>
      <x:c r="E270" s="24"/>
      <x:c r="F270" s="24"/>
      <x:c r="G270" s="24"/>
      <x:c r="H270" s="34"/>
      <x:c r="I270" s="24"/>
      <x:c r="J270" s="24"/>
      <x:c r="K270" s="24"/>
      <x:c r="L270" s="24"/>
    </x:row>
    <x:row r="271">
      <x:c r="A271" s="24"/>
      <x:c r="B271" s="24" t="str">
        <x:f>IFERROR(XLOOKUP(A271,'01_Компании'!$A$4:$A$103,'01_Компании'!$B$4:$B$103),"")</x:f>
      </x:c>
      <x:c r="C271" s="24"/>
      <x:c r="D271" s="24"/>
      <x:c r="E271" s="24"/>
      <x:c r="F271" s="24"/>
      <x:c r="G271" s="24"/>
      <x:c r="H271" s="34"/>
      <x:c r="I271" s="24"/>
      <x:c r="J271" s="24"/>
      <x:c r="K271" s="24"/>
      <x:c r="L271" s="24"/>
    </x:row>
    <x:row r="272">
      <x:c r="A272" s="24"/>
      <x:c r="B272" s="24" t="str">
        <x:f>IFERROR(XLOOKUP(A272,'01_Компании'!$A$4:$A$103,'01_Компании'!$B$4:$B$103),"")</x:f>
      </x:c>
      <x:c r="C272" s="24"/>
      <x:c r="D272" s="24"/>
      <x:c r="E272" s="24"/>
      <x:c r="F272" s="24"/>
      <x:c r="G272" s="24"/>
      <x:c r="H272" s="34"/>
      <x:c r="I272" s="24"/>
      <x:c r="J272" s="24"/>
      <x:c r="K272" s="24"/>
      <x:c r="L272" s="24"/>
    </x:row>
    <x:row r="273">
      <x:c r="A273" s="24"/>
      <x:c r="B273" s="24" t="str">
        <x:f>IFERROR(XLOOKUP(A273,'01_Компании'!$A$4:$A$103,'01_Компании'!$B$4:$B$103),"")</x:f>
      </x:c>
      <x:c r="C273" s="24"/>
      <x:c r="D273" s="24"/>
      <x:c r="E273" s="24"/>
      <x:c r="F273" s="24"/>
      <x:c r="G273" s="24"/>
      <x:c r="H273" s="34"/>
      <x:c r="I273" s="24"/>
      <x:c r="J273" s="24"/>
      <x:c r="K273" s="24"/>
      <x:c r="L273" s="24"/>
    </x:row>
    <x:row r="274">
      <x:c r="A274" s="24"/>
      <x:c r="B274" s="24" t="str">
        <x:f>IFERROR(XLOOKUP(A274,'01_Компании'!$A$4:$A$103,'01_Компании'!$B$4:$B$103),"")</x:f>
      </x:c>
      <x:c r="C274" s="24"/>
      <x:c r="D274" s="24"/>
      <x:c r="E274" s="24"/>
      <x:c r="F274" s="24"/>
      <x:c r="G274" s="24"/>
      <x:c r="H274" s="34"/>
      <x:c r="I274" s="24"/>
      <x:c r="J274" s="24"/>
      <x:c r="K274" s="24"/>
      <x:c r="L274" s="24"/>
    </x:row>
    <x:row r="275">
      <x:c r="A275" s="24"/>
      <x:c r="B275" s="24" t="str">
        <x:f>IFERROR(XLOOKUP(A275,'01_Компании'!$A$4:$A$103,'01_Компании'!$B$4:$B$103),"")</x:f>
      </x:c>
      <x:c r="C275" s="24"/>
      <x:c r="D275" s="24"/>
      <x:c r="E275" s="24"/>
      <x:c r="F275" s="24"/>
      <x:c r="G275" s="24"/>
      <x:c r="H275" s="34"/>
      <x:c r="I275" s="24"/>
      <x:c r="J275" s="24"/>
      <x:c r="K275" s="24"/>
      <x:c r="L275" s="24"/>
    </x:row>
    <x:row r="276">
      <x:c r="A276" s="24"/>
      <x:c r="B276" s="24" t="str">
        <x:f>IFERROR(XLOOKUP(A276,'01_Компании'!$A$4:$A$103,'01_Компании'!$B$4:$B$103),"")</x:f>
      </x:c>
      <x:c r="C276" s="24"/>
      <x:c r="D276" s="24"/>
      <x:c r="E276" s="24"/>
      <x:c r="F276" s="24"/>
      <x:c r="G276" s="24"/>
      <x:c r="H276" s="34"/>
      <x:c r="I276" s="24"/>
      <x:c r="J276" s="24"/>
      <x:c r="K276" s="24"/>
      <x:c r="L276" s="24"/>
    </x:row>
    <x:row r="277">
      <x:c r="A277" s="24"/>
      <x:c r="B277" s="24" t="str">
        <x:f>IFERROR(XLOOKUP(A277,'01_Компании'!$A$4:$A$103,'01_Компании'!$B$4:$B$103),"")</x:f>
      </x:c>
      <x:c r="C277" s="24"/>
      <x:c r="D277" s="24"/>
      <x:c r="E277" s="24"/>
      <x:c r="F277" s="24"/>
      <x:c r="G277" s="24"/>
      <x:c r="H277" s="34"/>
      <x:c r="I277" s="24"/>
      <x:c r="J277" s="24"/>
      <x:c r="K277" s="24"/>
      <x:c r="L277" s="24"/>
    </x:row>
    <x:row r="278">
      <x:c r="A278" s="24"/>
      <x:c r="B278" s="24" t="str">
        <x:f>IFERROR(XLOOKUP(A278,'01_Компании'!$A$4:$A$103,'01_Компании'!$B$4:$B$103),"")</x:f>
      </x:c>
      <x:c r="C278" s="24"/>
      <x:c r="D278" s="24"/>
      <x:c r="E278" s="24"/>
      <x:c r="F278" s="24"/>
      <x:c r="G278" s="24"/>
      <x:c r="H278" s="34"/>
      <x:c r="I278" s="24"/>
      <x:c r="J278" s="24"/>
      <x:c r="K278" s="24"/>
      <x:c r="L278" s="24"/>
    </x:row>
    <x:row r="279">
      <x:c r="A279" s="24"/>
      <x:c r="B279" s="24" t="str">
        <x:f>IFERROR(XLOOKUP(A279,'01_Компании'!$A$4:$A$103,'01_Компании'!$B$4:$B$103),"")</x:f>
      </x:c>
      <x:c r="C279" s="24"/>
      <x:c r="D279" s="24"/>
      <x:c r="E279" s="24"/>
      <x:c r="F279" s="24"/>
      <x:c r="G279" s="24"/>
      <x:c r="H279" s="34"/>
      <x:c r="I279" s="24"/>
      <x:c r="J279" s="24"/>
      <x:c r="K279" s="24"/>
      <x:c r="L279" s="24"/>
    </x:row>
    <x:row r="280">
      <x:c r="A280" s="24"/>
      <x:c r="B280" s="24" t="str">
        <x:f>IFERROR(XLOOKUP(A280,'01_Компании'!$A$4:$A$103,'01_Компании'!$B$4:$B$103),"")</x:f>
      </x:c>
      <x:c r="C280" s="24"/>
      <x:c r="D280" s="24"/>
      <x:c r="E280" s="24"/>
      <x:c r="F280" s="24"/>
      <x:c r="G280" s="24"/>
      <x:c r="H280" s="34"/>
      <x:c r="I280" s="24"/>
      <x:c r="J280" s="24"/>
      <x:c r="K280" s="24"/>
      <x:c r="L280" s="24"/>
    </x:row>
    <x:row r="281">
      <x:c r="A281" s="24"/>
      <x:c r="B281" s="24" t="str">
        <x:f>IFERROR(XLOOKUP(A281,'01_Компании'!$A$4:$A$103,'01_Компании'!$B$4:$B$103),"")</x:f>
      </x:c>
      <x:c r="C281" s="24"/>
      <x:c r="D281" s="24"/>
      <x:c r="E281" s="24"/>
      <x:c r="F281" s="24"/>
      <x:c r="G281" s="24"/>
      <x:c r="H281" s="34"/>
      <x:c r="I281" s="24"/>
      <x:c r="J281" s="24"/>
      <x:c r="K281" s="24"/>
      <x:c r="L281" s="24"/>
    </x:row>
    <x:row r="282">
      <x:c r="A282" s="24"/>
      <x:c r="B282" s="24" t="str">
        <x:f>IFERROR(XLOOKUP(A282,'01_Компании'!$A$4:$A$103,'01_Компании'!$B$4:$B$103),"")</x:f>
      </x:c>
      <x:c r="C282" s="24"/>
      <x:c r="D282" s="24"/>
      <x:c r="E282" s="24"/>
      <x:c r="F282" s="24"/>
      <x:c r="G282" s="24"/>
      <x:c r="H282" s="34"/>
      <x:c r="I282" s="24"/>
      <x:c r="J282" s="24"/>
      <x:c r="K282" s="24"/>
      <x:c r="L282" s="24"/>
    </x:row>
    <x:row r="283">
      <x:c r="A283" s="24"/>
      <x:c r="B283" s="24" t="str">
        <x:f>IFERROR(XLOOKUP(A283,'01_Компании'!$A$4:$A$103,'01_Компании'!$B$4:$B$103),"")</x:f>
      </x:c>
      <x:c r="C283" s="24"/>
      <x:c r="D283" s="24"/>
      <x:c r="E283" s="24"/>
      <x:c r="F283" s="24"/>
      <x:c r="G283" s="24"/>
      <x:c r="H283" s="34"/>
      <x:c r="I283" s="24"/>
      <x:c r="J283" s="24"/>
      <x:c r="K283" s="24"/>
      <x:c r="L283" s="24"/>
    </x:row>
    <x:row r="284">
      <x:c r="A284" s="24"/>
      <x:c r="B284" s="24" t="str">
        <x:f>IFERROR(XLOOKUP(A284,'01_Компании'!$A$4:$A$103,'01_Компании'!$B$4:$B$103),"")</x:f>
      </x:c>
      <x:c r="C284" s="24"/>
      <x:c r="D284" s="24"/>
      <x:c r="E284" s="24"/>
      <x:c r="F284" s="24"/>
      <x:c r="G284" s="24"/>
      <x:c r="H284" s="34"/>
      <x:c r="I284" s="24"/>
      <x:c r="J284" s="24"/>
      <x:c r="K284" s="24"/>
      <x:c r="L284" s="24"/>
    </x:row>
    <x:row r="285">
      <x:c r="A285" s="24"/>
      <x:c r="B285" s="24" t="str">
        <x:f>IFERROR(XLOOKUP(A285,'01_Компании'!$A$4:$A$103,'01_Компании'!$B$4:$B$103),"")</x:f>
      </x:c>
      <x:c r="C285" s="24"/>
      <x:c r="D285" s="24"/>
      <x:c r="E285" s="24"/>
      <x:c r="F285" s="24"/>
      <x:c r="G285" s="24"/>
      <x:c r="H285" s="34"/>
      <x:c r="I285" s="24"/>
      <x:c r="J285" s="24"/>
      <x:c r="K285" s="24"/>
      <x:c r="L285" s="24"/>
    </x:row>
    <x:row r="286">
      <x:c r="A286" s="24"/>
      <x:c r="B286" s="24" t="str">
        <x:f>IFERROR(XLOOKUP(A286,'01_Компании'!$A$4:$A$103,'01_Компании'!$B$4:$B$103),"")</x:f>
      </x:c>
      <x:c r="C286" s="24"/>
      <x:c r="D286" s="24"/>
      <x:c r="E286" s="24"/>
      <x:c r="F286" s="24"/>
      <x:c r="G286" s="24"/>
      <x:c r="H286" s="34"/>
      <x:c r="I286" s="24"/>
      <x:c r="J286" s="24"/>
      <x:c r="K286" s="24"/>
      <x:c r="L286" s="24"/>
    </x:row>
    <x:row r="287">
      <x:c r="A287" s="24"/>
      <x:c r="B287" s="24" t="str">
        <x:f>IFERROR(XLOOKUP(A287,'01_Компании'!$A$4:$A$103,'01_Компании'!$B$4:$B$103),"")</x:f>
      </x:c>
      <x:c r="C287" s="24"/>
      <x:c r="D287" s="24"/>
      <x:c r="E287" s="24"/>
      <x:c r="F287" s="24"/>
      <x:c r="G287" s="24"/>
      <x:c r="H287" s="34"/>
      <x:c r="I287" s="24"/>
      <x:c r="J287" s="24"/>
      <x:c r="K287" s="24"/>
      <x:c r="L287" s="24"/>
    </x:row>
    <x:row r="288">
      <x:c r="A288" s="24"/>
      <x:c r="B288" s="24" t="str">
        <x:f>IFERROR(XLOOKUP(A288,'01_Компании'!$A$4:$A$103,'01_Компании'!$B$4:$B$103),"")</x:f>
      </x:c>
      <x:c r="C288" s="24"/>
      <x:c r="D288" s="24"/>
      <x:c r="E288" s="24"/>
      <x:c r="F288" s="24"/>
      <x:c r="G288" s="24"/>
      <x:c r="H288" s="34"/>
      <x:c r="I288" s="24"/>
      <x:c r="J288" s="24"/>
      <x:c r="K288" s="24"/>
      <x:c r="L288" s="24"/>
    </x:row>
    <x:row r="289">
      <x:c r="A289" s="24"/>
      <x:c r="B289" s="24" t="str">
        <x:f>IFERROR(XLOOKUP(A289,'01_Компании'!$A$4:$A$103,'01_Компании'!$B$4:$B$103),"")</x:f>
      </x:c>
      <x:c r="C289" s="24"/>
      <x:c r="D289" s="24"/>
      <x:c r="E289" s="24"/>
      <x:c r="F289" s="24"/>
      <x:c r="G289" s="24"/>
      <x:c r="H289" s="34"/>
      <x:c r="I289" s="24"/>
      <x:c r="J289" s="24"/>
      <x:c r="K289" s="24"/>
      <x:c r="L289" s="24"/>
    </x:row>
    <x:row r="290">
      <x:c r="A290" s="24"/>
      <x:c r="B290" s="24" t="str">
        <x:f>IFERROR(XLOOKUP(A290,'01_Компании'!$A$4:$A$103,'01_Компании'!$B$4:$B$103),"")</x:f>
      </x:c>
      <x:c r="C290" s="24"/>
      <x:c r="D290" s="24"/>
      <x:c r="E290" s="24"/>
      <x:c r="F290" s="24"/>
      <x:c r="G290" s="24"/>
      <x:c r="H290" s="34"/>
      <x:c r="I290" s="24"/>
      <x:c r="J290" s="24"/>
      <x:c r="K290" s="24"/>
      <x:c r="L290" s="24"/>
    </x:row>
    <x:row r="291">
      <x:c r="A291" s="24"/>
      <x:c r="B291" s="24" t="str">
        <x:f>IFERROR(XLOOKUP(A291,'01_Компании'!$A$4:$A$103,'01_Компании'!$B$4:$B$103),"")</x:f>
      </x:c>
      <x:c r="C291" s="24"/>
      <x:c r="D291" s="24"/>
      <x:c r="E291" s="24"/>
      <x:c r="F291" s="24"/>
      <x:c r="G291" s="24"/>
      <x:c r="H291" s="34"/>
      <x:c r="I291" s="24"/>
      <x:c r="J291" s="24"/>
      <x:c r="K291" s="24"/>
      <x:c r="L291" s="24"/>
    </x:row>
    <x:row r="292">
      <x:c r="A292" s="24"/>
      <x:c r="B292" s="24" t="str">
        <x:f>IFERROR(XLOOKUP(A292,'01_Компании'!$A$4:$A$103,'01_Компании'!$B$4:$B$103),"")</x:f>
      </x:c>
      <x:c r="C292" s="24"/>
      <x:c r="D292" s="24"/>
      <x:c r="E292" s="24"/>
      <x:c r="F292" s="24"/>
      <x:c r="G292" s="24"/>
      <x:c r="H292" s="34"/>
      <x:c r="I292" s="24"/>
      <x:c r="J292" s="24"/>
      <x:c r="K292" s="24"/>
      <x:c r="L292" s="24"/>
    </x:row>
    <x:row r="293">
      <x:c r="A293" s="24"/>
      <x:c r="B293" s="24" t="str">
        <x:f>IFERROR(XLOOKUP(A293,'01_Компании'!$A$4:$A$103,'01_Компании'!$B$4:$B$103),"")</x:f>
      </x:c>
      <x:c r="C293" s="24"/>
      <x:c r="D293" s="24"/>
      <x:c r="E293" s="24"/>
      <x:c r="F293" s="24"/>
      <x:c r="G293" s="24"/>
      <x:c r="H293" s="34"/>
      <x:c r="I293" s="24"/>
      <x:c r="J293" s="24"/>
      <x:c r="K293" s="24"/>
      <x:c r="L293" s="24"/>
    </x:row>
    <x:row r="294">
      <x:c r="A294" s="24"/>
      <x:c r="B294" s="24" t="str">
        <x:f>IFERROR(XLOOKUP(A294,'01_Компании'!$A$4:$A$103,'01_Компании'!$B$4:$B$103),"")</x:f>
      </x:c>
      <x:c r="C294" s="24"/>
      <x:c r="D294" s="24"/>
      <x:c r="E294" s="24"/>
      <x:c r="F294" s="24"/>
      <x:c r="G294" s="24"/>
      <x:c r="H294" s="34"/>
      <x:c r="I294" s="24"/>
      <x:c r="J294" s="24"/>
      <x:c r="K294" s="24"/>
      <x:c r="L294" s="24"/>
    </x:row>
    <x:row r="295">
      <x:c r="A295" s="24"/>
      <x:c r="B295" s="24" t="str">
        <x:f>IFERROR(XLOOKUP(A295,'01_Компании'!$A$4:$A$103,'01_Компании'!$B$4:$B$103),"")</x:f>
      </x:c>
      <x:c r="C295" s="24"/>
      <x:c r="D295" s="24"/>
      <x:c r="E295" s="24"/>
      <x:c r="F295" s="24"/>
      <x:c r="G295" s="24"/>
      <x:c r="H295" s="34"/>
      <x:c r="I295" s="24"/>
      <x:c r="J295" s="24"/>
      <x:c r="K295" s="24"/>
      <x:c r="L295" s="24"/>
    </x:row>
    <x:row r="296">
      <x:c r="A296" s="24"/>
      <x:c r="B296" s="24" t="str">
        <x:f>IFERROR(XLOOKUP(A296,'01_Компании'!$A$4:$A$103,'01_Компании'!$B$4:$B$103),"")</x:f>
      </x:c>
      <x:c r="C296" s="24"/>
      <x:c r="D296" s="24"/>
      <x:c r="E296" s="24"/>
      <x:c r="F296" s="24"/>
      <x:c r="G296" s="24"/>
      <x:c r="H296" s="34"/>
      <x:c r="I296" s="24"/>
      <x:c r="J296" s="24"/>
      <x:c r="K296" s="24"/>
      <x:c r="L296" s="24"/>
    </x:row>
    <x:row r="297">
      <x:c r="A297" s="24"/>
      <x:c r="B297" s="24" t="str">
        <x:f>IFERROR(XLOOKUP(A297,'01_Компании'!$A$4:$A$103,'01_Компании'!$B$4:$B$103),"")</x:f>
      </x:c>
      <x:c r="C297" s="24"/>
      <x:c r="D297" s="24"/>
      <x:c r="E297" s="24"/>
      <x:c r="F297" s="24"/>
      <x:c r="G297" s="24"/>
      <x:c r="H297" s="34"/>
      <x:c r="I297" s="24"/>
      <x:c r="J297" s="24"/>
      <x:c r="K297" s="24"/>
      <x:c r="L297" s="24"/>
    </x:row>
    <x:row r="298">
      <x:c r="A298" s="24"/>
      <x:c r="B298" s="24" t="str">
        <x:f>IFERROR(XLOOKUP(A298,'01_Компании'!$A$4:$A$103,'01_Компании'!$B$4:$B$103),"")</x:f>
      </x:c>
      <x:c r="C298" s="24"/>
      <x:c r="D298" s="24"/>
      <x:c r="E298" s="24"/>
      <x:c r="F298" s="24"/>
      <x:c r="G298" s="24"/>
      <x:c r="H298" s="34"/>
      <x:c r="I298" s="24"/>
      <x:c r="J298" s="24"/>
      <x:c r="K298" s="24"/>
      <x:c r="L298" s="24"/>
    </x:row>
    <x:row r="299">
      <x:c r="A299" s="24"/>
      <x:c r="B299" s="24" t="str">
        <x:f>IFERROR(XLOOKUP(A299,'01_Компании'!$A$4:$A$103,'01_Компании'!$B$4:$B$103),"")</x:f>
      </x:c>
      <x:c r="C299" s="24"/>
      <x:c r="D299" s="24"/>
      <x:c r="E299" s="24"/>
      <x:c r="F299" s="24"/>
      <x:c r="G299" s="24"/>
      <x:c r="H299" s="34"/>
      <x:c r="I299" s="24"/>
      <x:c r="J299" s="24"/>
      <x:c r="K299" s="24"/>
      <x:c r="L299" s="24"/>
    </x:row>
    <x:row r="300">
      <x:c r="A300" s="24"/>
      <x:c r="B300" s="24" t="str">
        <x:f>IFERROR(XLOOKUP(A300,'01_Компании'!$A$4:$A$103,'01_Компании'!$B$4:$B$103),"")</x:f>
      </x:c>
      <x:c r="C300" s="24"/>
      <x:c r="D300" s="24"/>
      <x:c r="E300" s="24"/>
      <x:c r="F300" s="24"/>
      <x:c r="G300" s="24"/>
      <x:c r="H300" s="34"/>
      <x:c r="I300" s="24"/>
      <x:c r="J300" s="24"/>
      <x:c r="K300" s="24"/>
      <x:c r="L300" s="24"/>
    </x:row>
    <x:row r="301">
      <x:c r="A301" s="24"/>
      <x:c r="B301" s="24" t="str">
        <x:f>IFERROR(XLOOKUP(A301,'01_Компании'!$A$4:$A$103,'01_Компании'!$B$4:$B$103),"")</x:f>
      </x:c>
      <x:c r="C301" s="24"/>
      <x:c r="D301" s="24"/>
      <x:c r="E301" s="24"/>
      <x:c r="F301" s="24"/>
      <x:c r="G301" s="24"/>
      <x:c r="H301" s="34"/>
      <x:c r="I301" s="24"/>
      <x:c r="J301" s="24"/>
      <x:c r="K301" s="24"/>
      <x:c r="L301" s="24"/>
    </x:row>
    <x:row r="302">
      <x:c r="A302" s="24"/>
      <x:c r="B302" s="24" t="str">
        <x:f>IFERROR(XLOOKUP(A302,'01_Компании'!$A$4:$A$103,'01_Компании'!$B$4:$B$103),"")</x:f>
      </x:c>
      <x:c r="C302" s="24"/>
      <x:c r="D302" s="24"/>
      <x:c r="E302" s="24"/>
      <x:c r="F302" s="24"/>
      <x:c r="G302" s="24"/>
      <x:c r="H302" s="34"/>
      <x:c r="I302" s="24"/>
      <x:c r="J302" s="24"/>
      <x:c r="K302" s="24"/>
      <x:c r="L302" s="24"/>
    </x:row>
    <x:row r="303">
      <x:c r="A303" s="24"/>
      <x:c r="B303" s="24" t="str">
        <x:f>IFERROR(XLOOKUP(A303,'01_Компании'!$A$4:$A$103,'01_Компании'!$B$4:$B$103),"")</x:f>
      </x:c>
      <x:c r="C303" s="24"/>
      <x:c r="D303" s="24"/>
      <x:c r="E303" s="24"/>
      <x:c r="F303" s="24"/>
      <x:c r="G303" s="24"/>
      <x:c r="H303" s="34"/>
      <x:c r="I303" s="24"/>
      <x:c r="J303" s="24"/>
      <x:c r="K303" s="24"/>
      <x:c r="L303" s="24"/>
    </x:row>
  </x:sheetData>
  <x:mergeCells>
    <x:mergeCell ref="A1:L1"/>
  </x:mergeCells>
  <x:dataValidations count="3">
    <x:dataValidation type="list" sqref="F4:F303">
      <x:formula1>'08_Справочники'!$D$2:$D$11</x:formula1>
    </x:dataValidation>
    <x:dataValidation operator="between" sqref="G4:G303">
      <x:formula1>1</x:formula1>
      <x:formula2>5</x:formula2>
    </x:dataValidation>
    <x:dataValidation operator="between" sqref="J4:J30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50db323008245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38" hidden="0" customWidth="1"/>
    <x:col min="4" max="4" width="45" hidden="0" customWidth="1"/>
    <x:col min="5" max="5" width="8" hidden="0" customWidth="1"/>
    <x:col min="6" max="6" width="25" hidden="0" customWidth="1"/>
    <x:col min="7" max="7" width="25" hidden="0" customWidth="1"/>
    <x:col min="8" max="8" width="28" hidden="0" customWidth="1"/>
    <x:col min="9" max="9" width="28" hidden="0" customWidth="1"/>
    <x:col min="10" max="10" width="20" hidden="0" customWidth="1"/>
  </x:cols>
  <x:sheetData>
    <x:row r="1" ht="32" customHeight="1">
      <x:c r="A1" s="56" t="str">
        <x:v>Критерии оценки уровня конкуренции</x:v>
      </x:c>
      <x:c r="B1" s="57" t="str">
        <x:v>Критерии оценки уровня конкуренции</x:v>
      </x:c>
      <x:c r="C1" s="57" t="str">
        <x:v>Критерии оценки уровня конкуренции</x:v>
      </x:c>
      <x:c r="D1" s="57" t="str">
        <x:v>Критерии оценки уровня конкуренции</x:v>
      </x:c>
      <x:c r="E1" s="57" t="str">
        <x:v>Критерии оценки уровня конкуренции</x:v>
      </x:c>
      <x:c r="F1" s="57" t="str">
        <x:v>Критерии оценки уровня конкуренции</x:v>
      </x:c>
      <x:c r="G1" s="57" t="str">
        <x:v>Критерии оценки уровня конкуренции</x:v>
      </x:c>
      <x:c r="H1" s="57" t="str">
        <x:v>Критерии оценки уровня конкуренции</x:v>
      </x:c>
      <x:c r="I1" s="57" t="str">
        <x:v>Критерии оценки уровня конкуренции</x:v>
      </x:c>
      <x:c r="J1" s="57" t="str">
        <x:v>Критерии оценки уровня конкуренции</x:v>
      </x:c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>
      <x:c r="A3" s="18" t="str">
        <x:v>Код</x:v>
      </x:c>
      <x:c r="B3" s="18" t="str">
        <x:v>Критерий</x:v>
      </x:c>
      <x:c r="C3" s="18" t="str">
        <x:v>Что проверяется по сайту</x:v>
      </x:c>
      <x:c r="D3" s="18" t="str">
        <x:v>Индикаторы</x:v>
      </x:c>
      <x:c r="E3" s="18" t="str">
        <x:v>Вес</x:v>
      </x:c>
      <x:c r="F3" s="18" t="str">
        <x:v>0 баллов</x:v>
      </x:c>
      <x:c r="G3" s="18" t="str">
        <x:v>1 балл</x:v>
      </x:c>
      <x:c r="H3" s="18" t="str">
        <x:v>3 балла</x:v>
      </x:c>
      <x:c r="I3" s="18" t="str">
        <x:v>5 баллов</x:v>
      </x:c>
      <x:c r="J3" s="18" t="str">
        <x:v>Обязателен для прямого конкурента</x:v>
      </x:c>
    </x:row>
    <x:row r="4">
      <x:c r="A4" s="24" t="str">
        <x:v>C1</x:v>
      </x:c>
      <x:c r="B4" s="24" t="str">
        <x:v>Потребительская задача</x:v>
      </x:c>
      <x:c r="C4" s="24" t="str">
        <x:v>Какую проблему клиента компания обещает решить.</x:v>
      </x:c>
      <x:c r="D4" s="24" t="str">
        <x:v>Формулировки на главной странице, страницы продукта, выгоды, результаты, случаи применения.</x:v>
      </x:c>
      <x:c r="E4" s="26" t="n">
        <x:v>20</x:v>
      </x:c>
      <x:c r="F4" s="24" t="str">
        <x:v>Задача не совпадает</x:v>
      </x:c>
      <x:c r="G4" s="24" t="str">
        <x:v>Есть общее отраслевое сходство</x:v>
      </x:c>
      <x:c r="H4" s="24" t="str">
        <x:v>Задача в значительной степени совпадает</x:v>
      </x:c>
      <x:c r="I4" s="24" t="str">
        <x:v>Та же задача и тот же ожидаемый результат</x:v>
      </x:c>
      <x:c r="J4" s="24" t="str">
        <x:v>Да</x:v>
      </x:c>
    </x:row>
    <x:row r="5">
      <x:c r="A5" s="24" t="str">
        <x:v>C2</x:v>
      </x:c>
      <x:c r="B5" s="24" t="str">
        <x:v>Целевая аудитория</x:v>
      </x:c>
      <x:c r="C5" s="24" t="str">
        <x:v>Для кого предназначен товар.</x:v>
      </x:c>
      <x:c r="D5" s="24" t="str">
        <x:v>Сегменты, отрасли, роли пользователей, размер клиента, B2B/B2C/B2G.</x:v>
      </x:c>
      <x:c r="E5" s="26" t="n">
        <x:v>15</x:v>
      </x:c>
      <x:c r="F5" s="24" t="str">
        <x:v>Иная аудитория</x:v>
      </x:c>
      <x:c r="G5" s="24" t="str">
        <x:v>Частичное пересечение</x:v>
      </x:c>
      <x:c r="H5" s="24" t="str">
        <x:v>Существенное пересечение</x:v>
      </x:c>
      <x:c r="I5" s="24" t="str">
        <x:v>Та же целевая аудитория</x:v>
      </x:c>
      <x:c r="J5" s="24" t="str">
        <x:v>Да</x:v>
      </x:c>
    </x:row>
    <x:row r="6">
      <x:c r="A6" s="24" t="str">
        <x:v>C3</x:v>
      </x:c>
      <x:c r="B6" s="24" t="str">
        <x:v>Функциональная заменяемость товара</x:v>
      </x:c>
      <x:c r="C6" s="24" t="str">
        <x:v>Может ли товар заменить анализируемое решение.</x:v>
      </x:c>
      <x:c r="D6" s="24" t="str">
        <x:v>Функции, модули, демонстрации, страницы возможностей, интеграции.</x:v>
      </x:c>
      <x:c r="E6" s="26" t="n">
        <x:v>18</x:v>
      </x:c>
      <x:c r="F6" s="24" t="str">
        <x:v>Не заменяет</x:v>
      </x:c>
      <x:c r="G6" s="24" t="str">
        <x:v>Заменяет отдельный участок</x:v>
      </x:c>
      <x:c r="H6" s="24" t="str">
        <x:v>Заменяет значимую часть задачи</x:v>
      </x:c>
      <x:c r="I6" s="24" t="str">
        <x:v>Может полностью заменить товар</x:v>
      </x:c>
      <x:c r="J6" s="24" t="str">
        <x:v>Да</x:v>
      </x:c>
    </x:row>
    <x:row r="7">
      <x:c r="A7" s="24" t="str">
        <x:v>C4</x:v>
      </x:c>
      <x:c r="B7" s="24" t="str">
        <x:v>Сценарий использования</x:v>
      </x:c>
      <x:c r="C7" s="24" t="str">
        <x:v>В каком процессе и в какой ситуации используется товар.</x:v>
      </x:c>
      <x:c r="D7" s="24" t="str">
        <x:v>Путь пользователя, описания внедрения, варианты использования, инструкции.</x:v>
      </x:c>
      <x:c r="E7" s="26" t="n">
        <x:v>10</x:v>
      </x:c>
      <x:c r="F7" s="24" t="str">
        <x:v>Иной сценарий</x:v>
      </x:c>
      <x:c r="G7" s="24" t="str">
        <x:v>Слабое совпадение сценария</x:v>
      </x:c>
      <x:c r="H7" s="24" t="str">
        <x:v>Сценарии близки</x:v>
      </x:c>
      <x:c r="I7" s="24" t="str">
        <x:v>Сценарии практически одинаковы</x:v>
      </x:c>
      <x:c r="J7" s="24" t="str">
        <x:v>Нет</x:v>
      </x:c>
    </x:row>
    <x:row r="8">
      <x:c r="A8" s="24" t="str">
        <x:v>C5</x:v>
      </x:c>
      <x:c r="B8" s="24" t="str">
        <x:v>Ценовой уровень и форма оплаты</x:v>
      </x:c>
      <x:c r="C8" s="24" t="str">
        <x:v>Сопоставима ли экономическая логика покупки.</x:v>
      </x:c>
      <x:c r="D8" s="24" t="str">
        <x:v>Тарифы, подписка, комиссия, пакет, бесплатный период, корпоративный расчет.</x:v>
      </x:c>
      <x:c r="E8" s="26" t="n">
        <x:v>8</x:v>
      </x:c>
      <x:c r="F8" s="24" t="str">
        <x:v>Нет данных/иная экономика</x:v>
      </x:c>
      <x:c r="G8" s="24" t="str">
        <x:v>Частично сопоставимо</x:v>
      </x:c>
      <x:c r="H8" s="24" t="str">
        <x:v>Сопоставимый диапазон</x:v>
      </x:c>
      <x:c r="I8" s="24" t="str">
        <x:v>Почти тот же диапазон и форма оплаты</x:v>
      </x:c>
      <x:c r="J8" s="24" t="str">
        <x:v>Нет</x:v>
      </x:c>
    </x:row>
    <x:row r="9">
      <x:c r="A9" s="24" t="str">
        <x:v>C6</x:v>
      </x:c>
      <x:c r="B9" s="24" t="str">
        <x:v>Каналы продаж и привлечения</x:v>
      </x:c>
      <x:c r="C9" s="24" t="str">
        <x:v>Как клиент приходит к покупке и получает доступ.</x:v>
      </x:c>
      <x:c r="D9" s="24" t="str">
        <x:v>Сайт, приложение, маркетплейсы, партнеры, личные продажи, демонстрация, пробный доступ.</x:v>
      </x:c>
      <x:c r="E9" s="26" t="n">
        <x:v>8</x:v>
      </x:c>
      <x:c r="F9" s="24" t="str">
        <x:v>Каналы не совпадают</x:v>
      </x:c>
      <x:c r="G9" s="24" t="str">
        <x:v>Есть один общий канал</x:v>
      </x:c>
      <x:c r="H9" s="24" t="str">
        <x:v>Несколько общих каналов</x:v>
      </x:c>
      <x:c r="I9" s="24" t="str">
        <x:v>Путь к покупке почти одинаков</x:v>
      </x:c>
      <x:c r="J9" s="24" t="str">
        <x:v>Нет</x:v>
      </x:c>
    </x:row>
    <x:row r="10">
      <x:c r="A10" s="24" t="str">
        <x:v>C7</x:v>
      </x:c>
      <x:c r="B10" s="24" t="str">
        <x:v>География, язык, регулирование</x:v>
      </x:c>
      <x:c r="C10" s="24" t="str">
        <x:v>Работает ли компания на том же рынке в сопоставимых условиях.</x:v>
      </x:c>
      <x:c r="D10" s="24" t="str">
        <x:v>Страны, языки, валюта, юридическая информация, требования отрасли.</x:v>
      </x:c>
      <x:c r="E10" s="26" t="n">
        <x:v>7</x:v>
      </x:c>
      <x:c r="F10" s="24" t="str">
        <x:v>Иной рынок</x:v>
      </x:c>
      <x:c r="G10" s="24" t="str">
        <x:v>Потенциально релевантно</x:v>
      </x:c>
      <x:c r="H10" s="24" t="str">
        <x:v>Рынки частично совпадают</x:v>
      </x:c>
      <x:c r="I10" s="24" t="str">
        <x:v>Тот же рынок и условия</x:v>
      </x:c>
      <x:c r="J10" s="24" t="str">
        <x:v>Нет</x:v>
      </x:c>
    </x:row>
    <x:row r="11">
      <x:c r="A11" s="24" t="str">
        <x:v>C8</x:v>
      </x:c>
      <x:c r="B11" s="24" t="str">
        <x:v>Модель монетизации</x:v>
      </x:c>
      <x:c r="C11" s="24" t="str">
        <x:v>Как компания получает выручку.</x:v>
      </x:c>
      <x:c r="D11" s="24" t="str">
        <x:v>Тарифные планы, комиссия, freemium, лицензия, платные модули, реклама.</x:v>
      </x:c>
      <x:c r="E11" s="26" t="n">
        <x:v>7</x:v>
      </x:c>
      <x:c r="F11" s="24" t="str">
        <x:v>Иная логика выручки</x:v>
      </x:c>
      <x:c r="G11" s="24" t="str">
        <x:v>Есть отдельные сходства</x:v>
      </x:c>
      <x:c r="H11" s="24" t="str">
        <x:v>Модель близка</x:v>
      </x:c>
      <x:c r="I11" s="24" t="str">
        <x:v>Модель практически совпадает</x:v>
      </x:c>
      <x:c r="J11" s="24" t="str">
        <x:v>Нет</x:v>
      </x:c>
    </x:row>
    <x:row r="12">
      <x:c r="A12" s="24" t="str">
        <x:v>C9</x:v>
      </x:c>
      <x:c r="B12" s="24" t="str">
        <x:v>Уровень зрелости и доверия</x:v>
      </x:c>
      <x:c r="C12" s="24" t="str">
        <x:v>Способна ли компания реально конкурировать за выбор клиента.</x:v>
      </x:c>
      <x:c r="D12" s="24" t="str">
        <x:v>Кейсы, клиенты, отзывы, сертификаты, партнеры, история, служба поддержки.</x:v>
      </x:c>
      <x:c r="E12" s="26" t="n">
        <x:v>4</x:v>
      </x:c>
      <x:c r="F12" s="24" t="str">
        <x:v>Слабые признаки зрелости</x:v>
      </x:c>
      <x:c r="G12" s="24" t="str">
        <x:v>Единичные признаки</x:v>
      </x:c>
      <x:c r="H12" s="24" t="str">
        <x:v>Достаточные признаки надежности</x:v>
      </x:c>
      <x:c r="I12" s="24" t="str">
        <x:v>Сильная доказанная рыночная позиция</x:v>
      </x:c>
      <x:c r="J12" s="24" t="str">
        <x:v>Нет</x:v>
      </x:c>
    </x:row>
    <x:row r="13">
      <x:c r="A13" s="24" t="str">
        <x:v>C10</x:v>
      </x:c>
      <x:c r="B13" s="24" t="str">
        <x:v>Вероятность переключения клиента</x:v>
      </x:c>
      <x:c r="C13" s="24" t="str">
        <x:v>Насколько реалистично, что клиент заменит одно решение другим.</x:v>
      </x:c>
      <x:c r="D13" s="24" t="str">
        <x:v>Миграция, импорт данных, интеграции, поддержка перехода, сравнения, обещания простого старта.</x:v>
      </x:c>
      <x:c r="E13" s="26" t="n">
        <x:v>3</x:v>
      </x:c>
      <x:c r="F13" s="24" t="str">
        <x:v>Переключение маловероятно</x:v>
      </x:c>
      <x:c r="G13" s="24" t="str">
        <x:v>Требует значительных усилий</x:v>
      </x:c>
      <x:c r="H13" s="24" t="str">
        <x:v>Переключение возможно</x:v>
      </x:c>
      <x:c r="I13" s="24" t="str">
        <x:v>Переключение явно поддерживается</x:v>
      </x:c>
      <x:c r="J13" s="24" t="str">
        <x:v>Нет</x:v>
      </x:c>
    </x:row>
    <x:row r="15">
      <x:c r="A15" s="30" t="str">
        <x:v>Примечание</x:v>
      </x:c>
      <x:c r="B15" s="30" t="str">
        <x:v>Вес можно изменять под отрасль. Итоговая оценка на листе 04 автоматически пересчитывается по измененным весам.</x:v>
      </x:c>
      <x:c r="C15" s="30"/>
      <x:c r="D15" s="30"/>
      <x:c r="E15" s="30"/>
      <x:c r="F15" s="30"/>
      <x:c r="G15" s="30"/>
      <x:c r="H15" s="30"/>
      <x:c r="I15" s="30"/>
      <x:c r="J15" s="30"/>
    </x:row>
  </x:sheetData>
  <x:mergeCells>
    <x:mergeCell ref="A1:J1"/>
    <x:mergeCell ref="B15:J15"/>
  </x:mergeCells>
  <x:pageMargins left="0.7" right="0.7" top="0.75" bottom="0.75" header="0.3" footer="0.3"/>
  <x:tableParts count="1">
    <x:tablePart xmlns:r="http://schemas.openxmlformats.org/officeDocument/2006/relationships" r:id="R0c5baec9770342e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0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0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4" hidden="0" customWidth="1"/>
    <x:col min="15" max="15" width="24" hidden="0" customWidth="1"/>
    <x:col min="16" max="16" width="32" hidden="0" customWidth="1"/>
    <x:col min="17" max="17" width="32" hidden="0" customWidth="1"/>
    <x:col min="18" max="18" width="32" hidden="0" customWidth="1"/>
    <x:col min="19" max="19" width="18" hidden="0" customWidth="1"/>
    <x:col min="20" max="20" width="42" hidden="0" customWidth="1"/>
    <x:col min="21" max="21" width="36" hidden="0" customWidth="1"/>
    <x:col min="22" max="22" width="14" hidden="0" customWidth="1"/>
  </x:cols>
  <x:sheetData>
    <x:row r="1" ht="32" customHeight="1">
      <x:c r="A1" s="56" t="str">
        <x:v>Матрица оценки и автоматическая классификация уровня конкуренции</x:v>
      </x:c>
      <x:c r="B1" s="57" t="str">
        <x:v>Матрица оценки и автоматическая классификация уровня конкуренции</x:v>
      </x:c>
      <x:c r="C1" s="57" t="str">
        <x:v>Матрица оценки и автоматическая классификация уровня конкуренции</x:v>
      </x:c>
      <x:c r="D1" s="57" t="str">
        <x:v>Матрица оценки и автоматическая классификация уровня конкуренции</x:v>
      </x:c>
      <x:c r="E1" s="57" t="str">
        <x:v>Матрица оценки и автоматическая классификация уровня конкуренции</x:v>
      </x:c>
      <x:c r="F1" s="57" t="str">
        <x:v>Матрица оценки и автоматическая классификация уровня конкуренции</x:v>
      </x:c>
      <x:c r="G1" s="57" t="str">
        <x:v>Матрица оценки и автоматическая классификация уровня конкуренции</x:v>
      </x:c>
      <x:c r="H1" s="57" t="str">
        <x:v>Матрица оценки и автоматическая классификация уровня конкуренции</x:v>
      </x:c>
      <x:c r="I1" s="57" t="str">
        <x:v>Матрица оценки и автоматическая классификация уровня конкуренции</x:v>
      </x:c>
      <x:c r="J1" s="57" t="str">
        <x:v>Матрица оценки и автоматическая классификация уровня конкуренции</x:v>
      </x:c>
      <x:c r="K1" s="57" t="str">
        <x:v>Матрица оценки и автоматическая классификация уровня конкуренции</x:v>
      </x:c>
      <x:c r="L1" s="57" t="str">
        <x:v>Матрица оценки и автоматическая классификация уровня конкуренции</x:v>
      </x:c>
      <x:c r="M1" s="57" t="str">
        <x:v>Матрица оценки и автоматическая классификация уровня конкуренции</x:v>
      </x:c>
      <x:c r="N1" s="57" t="str">
        <x:v>Матрица оценки и автоматическая классификация уровня конкуренции</x:v>
      </x:c>
      <x:c r="O1" s="57" t="str">
        <x:v>Матрица оценки и автоматическая классификация уровня конкуренции</x:v>
      </x:c>
      <x:c r="P1" s="57" t="str">
        <x:v>Матрица оценки и автоматическая классификация уровня конкуренции</x:v>
      </x:c>
      <x:c r="Q1" s="57" t="str">
        <x:v>Матрица оценки и автоматическая классификация уровня конкуренции</x:v>
      </x:c>
      <x:c r="R1" s="57" t="str">
        <x:v>Матрица оценки и автоматическая классификация уровня конкуренции</x:v>
      </x:c>
      <x:c r="S1" s="57" t="str">
        <x:v>Матрица оценки и автоматическая классификация уровня конкуренции</x:v>
      </x:c>
      <x:c r="T1" s="57" t="str">
        <x:v>Матрица оценки и автоматическая классификация уровня конкуренции</x:v>
      </x:c>
      <x:c r="U1" s="57" t="str">
        <x:v>Матрица оценки и автоматическая классификация уровня конкуренции</x:v>
      </x:c>
      <x:c r="V1" s="57" t="str">
        <x:v>Матрица оценки и автоматическая классификация уровня конкуренции</x:v>
      </x:c>
      <x:c r="W1" s="57"/>
      <x:c r="X1" s="57"/>
      <x:c r="Y1" s="57"/>
      <x:c r="Z1" s="57"/>
    </x:row>
    <x:row r="3">
      <x:c r="A3" s="18" t="str">
        <x:v>ID</x:v>
      </x:c>
      <x:c r="B3" s="18" t="str">
        <x:v>Компания</x:v>
      </x:c>
      <x:c r="C3" s="18" t="str">
        <x:v>Сайт</x:v>
      </x:c>
      <x:c r="D3" s="18" t="str">
        <x:v>C1 задача</x:v>
      </x:c>
      <x:c r="E3" s="18" t="str">
        <x:v>C2 аудитория</x:v>
      </x:c>
      <x:c r="F3" s="18" t="str">
        <x:v>C3 заменяемость</x:v>
      </x:c>
      <x:c r="G3" s="18" t="str">
        <x:v>C4 сценарий</x:v>
      </x:c>
      <x:c r="H3" s="18" t="str">
        <x:v>C5 цена</x:v>
      </x:c>
      <x:c r="I3" s="18" t="str">
        <x:v>C6 каналы</x:v>
      </x:c>
      <x:c r="J3" s="18" t="str">
        <x:v>C7 география</x:v>
      </x:c>
      <x:c r="K3" s="18" t="str">
        <x:v>C8 монетизация</x:v>
      </x:c>
      <x:c r="L3" s="18" t="str">
        <x:v>C9 зрелость</x:v>
      </x:c>
      <x:c r="M3" s="18" t="str">
        <x:v>C10 переключение</x:v>
      </x:c>
      <x:c r="N3" s="18" t="str">
        <x:v>Взвешенный балл</x:v>
      </x:c>
      <x:c r="O3" s="18" t="str">
        <x:v>Ограничитель</x:v>
      </x:c>
      <x:c r="P3" s="18" t="str">
        <x:v>Расчетный уровень</x:v>
      </x:c>
      <x:c r="Q3" s="18" t="str">
        <x:v>Экспертная корректировка</x:v>
      </x:c>
      <x:c r="R3" s="18" t="str">
        <x:v>Итоговый уровень</x:v>
      </x:c>
      <x:c r="S3" s="18" t="str">
        <x:v>Статус решения</x:v>
      </x:c>
      <x:c r="T3" s="18" t="str">
        <x:v>Ключевое обоснование</x:v>
      </x:c>
      <x:c r="U3" s="18" t="str">
        <x:v>Ключевые ссылки</x:v>
      </x:c>
      <x:c r="V3" s="18" t="str">
        <x:v>Дата проверки</x:v>
      </x:c>
    </x:row>
    <x:row r="4">
      <x:c r="A4" s="24" t="str">
        <x:v>K001</x:v>
      </x:c>
      <x:c r="B4" s="24" t="str">
        <x:f>IFERROR(XLOOKUP(A4,'01_Компании'!$A$4:$A$103,'01_Компании'!$B$4:$B$103),"")</x:f>
      </x:c>
      <x:c r="C4" s="24" t="str">
        <x:f>IFERROR(XLOOKUP(A4,'01_Компании'!$A$4:$A$103,'01_Компании'!$C$4:$C$103),"")</x:f>
      </x:c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40" t="str">
        <x:f>IF(COUNTA(D4:M4)=0,"",SUMPRODUCT(D4:M4,'03_Критерии'!$E$4:$E$13)/SUM('03_Критерии'!$E$4:$E$13))</x:f>
      </x:c>
      <x:c r="O4" s="24" t="str">
        <x:f>IF(N4="","",IF(COUNTA(D4:M4)&lt;6,"Недостаточно данных",IF(D4&lt;3,"Низкое совпадение задачи",IF(F4&lt;3,"Низкая товарная заменяемость","Нет"))))</x:f>
      </x:c>
      <x:c r="P4" s="24" t="str">
        <x:f>IF(N4="","",IF(O4="Недостаточно данных","Недостаточно данных",IF(OR(D4&lt;3,F4&lt;3),IF(N4&gt;=2.5,"Косвенный конкурент / заменитель",IF(N4&gt;=1.6,"Смежная или потенциальная конкуренция","Не конкурент / объект наблюдения")),IF(N4&gt;=4.2,"Прямой конкурент",IF(N4&gt;=3.4,"Близкий альтернативный конкурент",IF(N4&gt;=2.5,"Косвенный конкурент / заменитель",IF(N4&gt;=1.6,"Смежная или потенциальная конкуренция","Не конкурент / объект наблюдения")))))))</x:f>
      </x:c>
      <x:c r="Q4" s="24"/>
      <x:c r="R4" s="24" t="str">
        <x:f>IF(Q4="",P4,Q4)</x:f>
      </x:c>
      <x:c r="S4" s="24"/>
      <x:c r="T4" s="24"/>
      <x:c r="U4" s="24"/>
      <x:c r="V4" s="34"/>
    </x:row>
    <x:row r="5">
      <x:c r="A5" s="24" t="str">
        <x:v>K002</x:v>
      </x:c>
      <x:c r="B5" s="24" t="str">
        <x:f>IFERROR(XLOOKUP(A5,'01_Компании'!$A$4:$A$103,'01_Компании'!$B$4:$B$103),"")</x:f>
      </x:c>
      <x:c r="C5" s="24" t="str">
        <x:f>IFERROR(XLOOKUP(A5,'01_Компании'!$A$4:$A$103,'01_Компании'!$C$4:$C$103),"")</x:f>
      </x:c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40" t="str">
        <x:f>IF(COUNTA(D5:M5)=0,"",SUMPRODUCT(D5:M5,'03_Критерии'!$E$4:$E$13)/SUM('03_Критерии'!$E$4:$E$13))</x:f>
      </x:c>
      <x:c r="O5" s="24" t="str">
        <x:f>IF(N5="","",IF(COUNTA(D5:M5)&lt;6,"Недостаточно данных",IF(D5&lt;3,"Низкое совпадение задачи",IF(F5&lt;3,"Низкая товарная заменяемость","Нет"))))</x:f>
      </x:c>
      <x:c r="P5" s="24" t="str">
        <x:f>IF(N5="","",IF(O5="Недостаточно данных","Недостаточно данных",IF(OR(D5&lt;3,F5&lt;3),IF(N5&gt;=2.5,"Косвенный конкурент / заменитель",IF(N5&gt;=1.6,"Смежная или потенциальная конкуренция","Не конкурент / объект наблюдения")),IF(N5&gt;=4.2,"Прямой конкурент",IF(N5&gt;=3.4,"Близкий альтернативный конкурент",IF(N5&gt;=2.5,"Косвенный конкурент / заменитель",IF(N5&gt;=1.6,"Смежная или потенциальная конкуренция","Не конкурент / объект наблюдения")))))))</x:f>
      </x:c>
      <x:c r="Q5" s="24"/>
      <x:c r="R5" s="24" t="str">
        <x:f>IF(Q5="",P5,Q5)</x:f>
      </x:c>
      <x:c r="S5" s="24"/>
      <x:c r="T5" s="24"/>
      <x:c r="U5" s="24"/>
      <x:c r="V5" s="34"/>
    </x:row>
    <x:row r="6">
      <x:c r="A6" s="24" t="str">
        <x:v>K003</x:v>
      </x:c>
      <x:c r="B6" s="24" t="str">
        <x:f>IFERROR(XLOOKUP(A6,'01_Компании'!$A$4:$A$103,'01_Компании'!$B$4:$B$103),"")</x:f>
      </x:c>
      <x:c r="C6" s="24" t="str">
        <x:f>IFERROR(XLOOKUP(A6,'01_Компании'!$A$4:$A$103,'01_Компании'!$C$4:$C$103),"")</x:f>
      </x:c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40" t="str">
        <x:f>IF(COUNTA(D6:M6)=0,"",SUMPRODUCT(D6:M6,'03_Критерии'!$E$4:$E$13)/SUM('03_Критерии'!$E$4:$E$13))</x:f>
      </x:c>
      <x:c r="O6" s="24" t="str">
        <x:f>IF(N6="","",IF(COUNTA(D6:M6)&lt;6,"Недостаточно данных",IF(D6&lt;3,"Низкое совпадение задачи",IF(F6&lt;3,"Низкая товарная заменяемость","Нет"))))</x:f>
      </x:c>
      <x:c r="P6" s="24" t="str">
        <x:f>IF(N6="","",IF(O6="Недостаточно данных","Недостаточно данных",IF(OR(D6&lt;3,F6&lt;3),IF(N6&gt;=2.5,"Косвенный конкурент / заменитель",IF(N6&gt;=1.6,"Смежная или потенциальная конкуренция","Не конкурент / объект наблюдения")),IF(N6&gt;=4.2,"Прямой конкурент",IF(N6&gt;=3.4,"Близкий альтернативный конкурент",IF(N6&gt;=2.5,"Косвенный конкурент / заменитель",IF(N6&gt;=1.6,"Смежная или потенциальная конкуренция","Не конкурент / объект наблюдения")))))))</x:f>
      </x:c>
      <x:c r="Q6" s="24"/>
      <x:c r="R6" s="24" t="str">
        <x:f>IF(Q6="",P6,Q6)</x:f>
      </x:c>
      <x:c r="S6" s="24"/>
      <x:c r="T6" s="24"/>
      <x:c r="U6" s="24"/>
      <x:c r="V6" s="34"/>
    </x:row>
    <x:row r="7">
      <x:c r="A7" s="24" t="str">
        <x:v>K004</x:v>
      </x:c>
      <x:c r="B7" s="24" t="str">
        <x:f>IFERROR(XLOOKUP(A7,'01_Компании'!$A$4:$A$103,'01_Компании'!$B$4:$B$103),"")</x:f>
      </x:c>
      <x:c r="C7" s="24" t="str">
        <x:f>IFERROR(XLOOKUP(A7,'01_Компании'!$A$4:$A$103,'01_Компании'!$C$4:$C$103),"")</x:f>
      </x:c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40" t="str">
        <x:f>IF(COUNTA(D7:M7)=0,"",SUMPRODUCT(D7:M7,'03_Критерии'!$E$4:$E$13)/SUM('03_Критерии'!$E$4:$E$13))</x:f>
      </x:c>
      <x:c r="O7" s="24" t="str">
        <x:f>IF(N7="","",IF(COUNTA(D7:M7)&lt;6,"Недостаточно данных",IF(D7&lt;3,"Низкое совпадение задачи",IF(F7&lt;3,"Низкая товарная заменяемость","Нет"))))</x:f>
      </x:c>
      <x:c r="P7" s="24" t="str">
        <x:f>IF(N7="","",IF(O7="Недостаточно данных","Недостаточно данных",IF(OR(D7&lt;3,F7&lt;3),IF(N7&gt;=2.5,"Косвенный конкурент / заменитель",IF(N7&gt;=1.6,"Смежная или потенциальная конкуренция","Не конкурент / объект наблюдения")),IF(N7&gt;=4.2,"Прямой конкурент",IF(N7&gt;=3.4,"Близкий альтернативный конкурент",IF(N7&gt;=2.5,"Косвенный конкурент / заменитель",IF(N7&gt;=1.6,"Смежная или потенциальная конкуренция","Не конкурент / объект наблюдения")))))))</x:f>
      </x:c>
      <x:c r="Q7" s="24"/>
      <x:c r="R7" s="24" t="str">
        <x:f>IF(Q7="",P7,Q7)</x:f>
      </x:c>
      <x:c r="S7" s="24"/>
      <x:c r="T7" s="24"/>
      <x:c r="U7" s="24"/>
      <x:c r="V7" s="34"/>
    </x:row>
    <x:row r="8">
      <x:c r="A8" s="24" t="str">
        <x:v>K005</x:v>
      </x:c>
      <x:c r="B8" s="24" t="str">
        <x:f>IFERROR(XLOOKUP(A8,'01_Компании'!$A$4:$A$103,'01_Компании'!$B$4:$B$103),"")</x:f>
      </x:c>
      <x:c r="C8" s="24" t="str">
        <x:f>IFERROR(XLOOKUP(A8,'01_Компании'!$A$4:$A$103,'01_Компании'!$C$4:$C$103),"")</x:f>
      </x:c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40" t="str">
        <x:f>IF(COUNTA(D8:M8)=0,"",SUMPRODUCT(D8:M8,'03_Критерии'!$E$4:$E$13)/SUM('03_Критерии'!$E$4:$E$13))</x:f>
      </x:c>
      <x:c r="O8" s="24" t="str">
        <x:f>IF(N8="","",IF(COUNTA(D8:M8)&lt;6,"Недостаточно данных",IF(D8&lt;3,"Низкое совпадение задачи",IF(F8&lt;3,"Низкая товарная заменяемость","Нет"))))</x:f>
      </x:c>
      <x:c r="P8" s="24" t="str">
        <x:f>IF(N8="","",IF(O8="Недостаточно данных","Недостаточно данных",IF(OR(D8&lt;3,F8&lt;3),IF(N8&gt;=2.5,"Косвенный конкурент / заменитель",IF(N8&gt;=1.6,"Смежная или потенциальная конкуренция","Не конкурент / объект наблюдения")),IF(N8&gt;=4.2,"Прямой конкурент",IF(N8&gt;=3.4,"Близкий альтернативный конкурент",IF(N8&gt;=2.5,"Косвенный конкурент / заменитель",IF(N8&gt;=1.6,"Смежная или потенциальная конкуренция","Не конкурент / объект наблюдения")))))))</x:f>
      </x:c>
      <x:c r="Q8" s="24"/>
      <x:c r="R8" s="24" t="str">
        <x:f>IF(Q8="",P8,Q8)</x:f>
      </x:c>
      <x:c r="S8" s="24"/>
      <x:c r="T8" s="24"/>
      <x:c r="U8" s="24"/>
      <x:c r="V8" s="34"/>
    </x:row>
    <x:row r="9">
      <x:c r="A9" s="24" t="str">
        <x:v>K006</x:v>
      </x:c>
      <x:c r="B9" s="24" t="str">
        <x:f>IFERROR(XLOOKUP(A9,'01_Компании'!$A$4:$A$103,'01_Компании'!$B$4:$B$103),"")</x:f>
      </x:c>
      <x:c r="C9" s="24" t="str">
        <x:f>IFERROR(XLOOKUP(A9,'01_Компании'!$A$4:$A$103,'01_Компании'!$C$4:$C$103),"")</x:f>
      </x:c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40" t="str">
        <x:f>IF(COUNTA(D9:M9)=0,"",SUMPRODUCT(D9:M9,'03_Критерии'!$E$4:$E$13)/SUM('03_Критерии'!$E$4:$E$13))</x:f>
      </x:c>
      <x:c r="O9" s="24" t="str">
        <x:f>IF(N9="","",IF(COUNTA(D9:M9)&lt;6,"Недостаточно данных",IF(D9&lt;3,"Низкое совпадение задачи",IF(F9&lt;3,"Низкая товарная заменяемость","Нет"))))</x:f>
      </x:c>
      <x:c r="P9" s="24" t="str">
        <x:f>IF(N9="","",IF(O9="Недостаточно данных","Недостаточно данных",IF(OR(D9&lt;3,F9&lt;3),IF(N9&gt;=2.5,"Косвенный конкурент / заменитель",IF(N9&gt;=1.6,"Смежная или потенциальная конкуренция","Не конкурент / объект наблюдения")),IF(N9&gt;=4.2,"Прямой конкурент",IF(N9&gt;=3.4,"Близкий альтернативный конкурент",IF(N9&gt;=2.5,"Косвенный конкурент / заменитель",IF(N9&gt;=1.6,"Смежная или потенциальная конкуренция","Не конкурент / объект наблюдения")))))))</x:f>
      </x:c>
      <x:c r="Q9" s="24"/>
      <x:c r="R9" s="24" t="str">
        <x:f>IF(Q9="",P9,Q9)</x:f>
      </x:c>
      <x:c r="S9" s="24"/>
      <x:c r="T9" s="24"/>
      <x:c r="U9" s="24"/>
      <x:c r="V9" s="34"/>
    </x:row>
    <x:row r="10">
      <x:c r="A10" s="24" t="str">
        <x:v>K007</x:v>
      </x:c>
      <x:c r="B10" s="24" t="str">
        <x:f>IFERROR(XLOOKUP(A10,'01_Компании'!$A$4:$A$103,'01_Компании'!$B$4:$B$103),"")</x:f>
      </x:c>
      <x:c r="C10" s="24" t="str">
        <x:f>IFERROR(XLOOKUP(A10,'01_Компании'!$A$4:$A$103,'01_Компании'!$C$4:$C$103),"")</x:f>
      </x:c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40" t="str">
        <x:f>IF(COUNTA(D10:M10)=0,"",SUMPRODUCT(D10:M10,'03_Критерии'!$E$4:$E$13)/SUM('03_Критерии'!$E$4:$E$13))</x:f>
      </x:c>
      <x:c r="O10" s="24" t="str">
        <x:f>IF(N10="","",IF(COUNTA(D10:M10)&lt;6,"Недостаточно данных",IF(D10&lt;3,"Низкое совпадение задачи",IF(F10&lt;3,"Низкая товарная заменяемость","Нет"))))</x:f>
      </x:c>
      <x:c r="P10" s="24" t="str">
        <x:f>IF(N10="","",IF(O10="Недостаточно данных","Недостаточно данных",IF(OR(D10&lt;3,F10&lt;3),IF(N10&gt;=2.5,"Косвенный конкурент / заменитель",IF(N10&gt;=1.6,"Смежная или потенциальная конкуренция","Не конкурент / объект наблюдения")),IF(N10&gt;=4.2,"Прямой конкурент",IF(N10&gt;=3.4,"Близкий альтернативный конкурент",IF(N10&gt;=2.5,"Косвенный конкурент / заменитель",IF(N10&gt;=1.6,"Смежная или потенциальная конкуренция","Не конкурент / объект наблюдения")))))))</x:f>
      </x:c>
      <x:c r="Q10" s="24"/>
      <x:c r="R10" s="24" t="str">
        <x:f>IF(Q10="",P10,Q10)</x:f>
      </x:c>
      <x:c r="S10" s="24"/>
      <x:c r="T10" s="24"/>
      <x:c r="U10" s="24"/>
      <x:c r="V10" s="34"/>
    </x:row>
    <x:row r="11">
      <x:c r="A11" s="24" t="str">
        <x:v>K008</x:v>
      </x:c>
      <x:c r="B11" s="24" t="str">
        <x:f>IFERROR(XLOOKUP(A11,'01_Компании'!$A$4:$A$103,'01_Компании'!$B$4:$B$103),"")</x:f>
      </x:c>
      <x:c r="C11" s="24" t="str">
        <x:f>IFERROR(XLOOKUP(A11,'01_Компании'!$A$4:$A$103,'01_Компании'!$C$4:$C$103),"")</x:f>
      </x:c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40" t="str">
        <x:f>IF(COUNTA(D11:M11)=0,"",SUMPRODUCT(D11:M11,'03_Критерии'!$E$4:$E$13)/SUM('03_Критерии'!$E$4:$E$13))</x:f>
      </x:c>
      <x:c r="O11" s="24" t="str">
        <x:f>IF(N11="","",IF(COUNTA(D11:M11)&lt;6,"Недостаточно данных",IF(D11&lt;3,"Низкое совпадение задачи",IF(F11&lt;3,"Низкая товарная заменяемость","Нет"))))</x:f>
      </x:c>
      <x:c r="P11" s="24" t="str">
        <x:f>IF(N11="","",IF(O11="Недостаточно данных","Недостаточно данных",IF(OR(D11&lt;3,F11&lt;3),IF(N11&gt;=2.5,"Косвенный конкурент / заменитель",IF(N11&gt;=1.6,"Смежная или потенциальная конкуренция","Не конкурент / объект наблюдения")),IF(N11&gt;=4.2,"Прямой конкурент",IF(N11&gt;=3.4,"Близкий альтернативный конкурент",IF(N11&gt;=2.5,"Косвенный конкурент / заменитель",IF(N11&gt;=1.6,"Смежная или потенциальная конкуренция","Не конкурент / объект наблюдения")))))))</x:f>
      </x:c>
      <x:c r="Q11" s="24"/>
      <x:c r="R11" s="24" t="str">
        <x:f>IF(Q11="",P11,Q11)</x:f>
      </x:c>
      <x:c r="S11" s="24"/>
      <x:c r="T11" s="24"/>
      <x:c r="U11" s="24"/>
      <x:c r="V11" s="34"/>
    </x:row>
    <x:row r="12">
      <x:c r="A12" s="24" t="str">
        <x:v>K009</x:v>
      </x:c>
      <x:c r="B12" s="24" t="str">
        <x:f>IFERROR(XLOOKUP(A12,'01_Компании'!$A$4:$A$103,'01_Компании'!$B$4:$B$103),"")</x:f>
      </x:c>
      <x:c r="C12" s="24" t="str">
        <x:f>IFERROR(XLOOKUP(A12,'01_Компании'!$A$4:$A$103,'01_Компании'!$C$4:$C$103),"")</x:f>
      </x:c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40" t="str">
        <x:f>IF(COUNTA(D12:M12)=0,"",SUMPRODUCT(D12:M12,'03_Критерии'!$E$4:$E$13)/SUM('03_Критерии'!$E$4:$E$13))</x:f>
      </x:c>
      <x:c r="O12" s="24" t="str">
        <x:f>IF(N12="","",IF(COUNTA(D12:M12)&lt;6,"Недостаточно данных",IF(D12&lt;3,"Низкое совпадение задачи",IF(F12&lt;3,"Низкая товарная заменяемость","Нет"))))</x:f>
      </x:c>
      <x:c r="P12" s="24" t="str">
        <x:f>IF(N12="","",IF(O12="Недостаточно данных","Недостаточно данных",IF(OR(D12&lt;3,F12&lt;3),IF(N12&gt;=2.5,"Косвенный конкурент / заменитель",IF(N12&gt;=1.6,"Смежная или потенциальная конкуренция","Не конкурент / объект наблюдения")),IF(N12&gt;=4.2,"Прямой конкурент",IF(N12&gt;=3.4,"Близкий альтернативный конкурент",IF(N12&gt;=2.5,"Косвенный конкурент / заменитель",IF(N12&gt;=1.6,"Смежная или потенциальная конкуренция","Не конкурент / объект наблюдения")))))))</x:f>
      </x:c>
      <x:c r="Q12" s="24"/>
      <x:c r="R12" s="24" t="str">
        <x:f>IF(Q12="",P12,Q12)</x:f>
      </x:c>
      <x:c r="S12" s="24"/>
      <x:c r="T12" s="24"/>
      <x:c r="U12" s="24"/>
      <x:c r="V12" s="34"/>
    </x:row>
    <x:row r="13">
      <x:c r="A13" s="24" t="str">
        <x:v>K010</x:v>
      </x:c>
      <x:c r="B13" s="24" t="str">
        <x:f>IFERROR(XLOOKUP(A13,'01_Компании'!$A$4:$A$103,'01_Компании'!$B$4:$B$103),"")</x:f>
      </x:c>
      <x:c r="C13" s="24" t="str">
        <x:f>IFERROR(XLOOKUP(A13,'01_Компании'!$A$4:$A$103,'01_Компании'!$C$4:$C$103),"")</x:f>
      </x:c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40" t="str">
        <x:f>IF(COUNTA(D13:M13)=0,"",SUMPRODUCT(D13:M13,'03_Критерии'!$E$4:$E$13)/SUM('03_Критерии'!$E$4:$E$13))</x:f>
      </x:c>
      <x:c r="O13" s="24" t="str">
        <x:f>IF(N13="","",IF(COUNTA(D13:M13)&lt;6,"Недостаточно данных",IF(D13&lt;3,"Низкое совпадение задачи",IF(F13&lt;3,"Низкая товарная заменяемость","Нет"))))</x:f>
      </x:c>
      <x:c r="P13" s="24" t="str">
        <x:f>IF(N13="","",IF(O13="Недостаточно данных","Недостаточно данных",IF(OR(D13&lt;3,F13&lt;3),IF(N13&gt;=2.5,"Косвенный конкурент / заменитель",IF(N13&gt;=1.6,"Смежная или потенциальная конкуренция","Не конкурент / объект наблюдения")),IF(N13&gt;=4.2,"Прямой конкурент",IF(N13&gt;=3.4,"Близкий альтернативный конкурент",IF(N13&gt;=2.5,"Косвенный конкурент / заменитель",IF(N13&gt;=1.6,"Смежная или потенциальная конкуренция","Не конкурент / объект наблюдения")))))))</x:f>
      </x:c>
      <x:c r="Q13" s="24"/>
      <x:c r="R13" s="24" t="str">
        <x:f>IF(Q13="",P13,Q13)</x:f>
      </x:c>
      <x:c r="S13" s="24"/>
      <x:c r="T13" s="24"/>
      <x:c r="U13" s="24"/>
      <x:c r="V13" s="34"/>
    </x:row>
    <x:row r="14">
      <x:c r="A14" s="24" t="str">
        <x:v>K011</x:v>
      </x:c>
      <x:c r="B14" s="24" t="str">
        <x:f>IFERROR(XLOOKUP(A14,'01_Компании'!$A$4:$A$103,'01_Компании'!$B$4:$B$103),"")</x:f>
      </x:c>
      <x:c r="C14" s="24" t="str">
        <x:f>IFERROR(XLOOKUP(A14,'01_Компании'!$A$4:$A$103,'01_Компании'!$C$4:$C$103),"")</x:f>
      </x:c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40" t="str">
        <x:f>IF(COUNTA(D14:M14)=0,"",SUMPRODUCT(D14:M14,'03_Критерии'!$E$4:$E$13)/SUM('03_Критерии'!$E$4:$E$13))</x:f>
      </x:c>
      <x:c r="O14" s="24" t="str">
        <x:f>IF(N14="","",IF(COUNTA(D14:M14)&lt;6,"Недостаточно данных",IF(D14&lt;3,"Низкое совпадение задачи",IF(F14&lt;3,"Низкая товарная заменяемость","Нет"))))</x:f>
      </x:c>
      <x:c r="P14" s="24" t="str">
        <x:f>IF(N14="","",IF(O14="Недостаточно данных","Недостаточно данных",IF(OR(D14&lt;3,F14&lt;3),IF(N14&gt;=2.5,"Косвенный конкурент / заменитель",IF(N14&gt;=1.6,"Смежная или потенциальная конкуренция","Не конкурент / объект наблюдения")),IF(N14&gt;=4.2,"Прямой конкурент",IF(N14&gt;=3.4,"Близкий альтернативный конкурент",IF(N14&gt;=2.5,"Косвенный конкурент / заменитель",IF(N14&gt;=1.6,"Смежная или потенциальная конкуренция","Не конкурент / объект наблюдения")))))))</x:f>
      </x:c>
      <x:c r="Q14" s="24"/>
      <x:c r="R14" s="24" t="str">
        <x:f>IF(Q14="",P14,Q14)</x:f>
      </x:c>
      <x:c r="S14" s="24"/>
      <x:c r="T14" s="24"/>
      <x:c r="U14" s="24"/>
      <x:c r="V14" s="34"/>
    </x:row>
    <x:row r="15">
      <x:c r="A15" s="24" t="str">
        <x:v>K012</x:v>
      </x:c>
      <x:c r="B15" s="24" t="str">
        <x:f>IFERROR(XLOOKUP(A15,'01_Компании'!$A$4:$A$103,'01_Компании'!$B$4:$B$103),"")</x:f>
      </x:c>
      <x:c r="C15" s="24" t="str">
        <x:f>IFERROR(XLOOKUP(A15,'01_Компании'!$A$4:$A$103,'01_Компании'!$C$4:$C$103),"")</x:f>
      </x:c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40" t="str">
        <x:f>IF(COUNTA(D15:M15)=0,"",SUMPRODUCT(D15:M15,'03_Критерии'!$E$4:$E$13)/SUM('03_Критерии'!$E$4:$E$13))</x:f>
      </x:c>
      <x:c r="O15" s="24" t="str">
        <x:f>IF(N15="","",IF(COUNTA(D15:M15)&lt;6,"Недостаточно данных",IF(D15&lt;3,"Низкое совпадение задачи",IF(F15&lt;3,"Низкая товарная заменяемость","Нет"))))</x:f>
      </x:c>
      <x:c r="P15" s="24" t="str">
        <x:f>IF(N15="","",IF(O15="Недостаточно данных","Недостаточно данных",IF(OR(D15&lt;3,F15&lt;3),IF(N15&gt;=2.5,"Косвенный конкурент / заменитель",IF(N15&gt;=1.6,"Смежная или потенциальная конкуренция","Не конкурент / объект наблюдения")),IF(N15&gt;=4.2,"Прямой конкурент",IF(N15&gt;=3.4,"Близкий альтернативный конкурент",IF(N15&gt;=2.5,"Косвенный конкурент / заменитель",IF(N15&gt;=1.6,"Смежная или потенциальная конкуренция","Не конкурент / объект наблюдения")))))))</x:f>
      </x:c>
      <x:c r="Q15" s="24"/>
      <x:c r="R15" s="24" t="str">
        <x:f>IF(Q15="",P15,Q15)</x:f>
      </x:c>
      <x:c r="S15" s="24"/>
      <x:c r="T15" s="24"/>
      <x:c r="U15" s="24"/>
      <x:c r="V15" s="34"/>
    </x:row>
    <x:row r="16">
      <x:c r="A16" s="24" t="str">
        <x:v>K013</x:v>
      </x:c>
      <x:c r="B16" s="24" t="str">
        <x:f>IFERROR(XLOOKUP(A16,'01_Компании'!$A$4:$A$103,'01_Компании'!$B$4:$B$103),"")</x:f>
      </x:c>
      <x:c r="C16" s="24" t="str">
        <x:f>IFERROR(XLOOKUP(A16,'01_Компании'!$A$4:$A$103,'01_Компании'!$C$4:$C$103),"")</x:f>
      </x:c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40" t="str">
        <x:f>IF(COUNTA(D16:M16)=0,"",SUMPRODUCT(D16:M16,'03_Критерии'!$E$4:$E$13)/SUM('03_Критерии'!$E$4:$E$13))</x:f>
      </x:c>
      <x:c r="O16" s="24" t="str">
        <x:f>IF(N16="","",IF(COUNTA(D16:M16)&lt;6,"Недостаточно данных",IF(D16&lt;3,"Низкое совпадение задачи",IF(F16&lt;3,"Низкая товарная заменяемость","Нет"))))</x:f>
      </x:c>
      <x:c r="P16" s="24" t="str">
        <x:f>IF(N16="","",IF(O16="Недостаточно данных","Недостаточно данных",IF(OR(D16&lt;3,F16&lt;3),IF(N16&gt;=2.5,"Косвенный конкурент / заменитель",IF(N16&gt;=1.6,"Смежная или потенциальная конкуренция","Не конкурент / объект наблюдения")),IF(N16&gt;=4.2,"Прямой конкурент",IF(N16&gt;=3.4,"Близкий альтернативный конкурент",IF(N16&gt;=2.5,"Косвенный конкурент / заменитель",IF(N16&gt;=1.6,"Смежная или потенциальная конкуренция","Не конкурент / объект наблюдения")))))))</x:f>
      </x:c>
      <x:c r="Q16" s="24"/>
      <x:c r="R16" s="24" t="str">
        <x:f>IF(Q16="",P16,Q16)</x:f>
      </x:c>
      <x:c r="S16" s="24"/>
      <x:c r="T16" s="24"/>
      <x:c r="U16" s="24"/>
      <x:c r="V16" s="34"/>
    </x:row>
    <x:row r="17">
      <x:c r="A17" s="24" t="str">
        <x:v>K014</x:v>
      </x:c>
      <x:c r="B17" s="24" t="str">
        <x:f>IFERROR(XLOOKUP(A17,'01_Компании'!$A$4:$A$103,'01_Компании'!$B$4:$B$103),"")</x:f>
      </x:c>
      <x:c r="C17" s="24" t="str">
        <x:f>IFERROR(XLOOKUP(A17,'01_Компании'!$A$4:$A$103,'01_Компании'!$C$4:$C$103),"")</x:f>
      </x:c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40" t="str">
        <x:f>IF(COUNTA(D17:M17)=0,"",SUMPRODUCT(D17:M17,'03_Критерии'!$E$4:$E$13)/SUM('03_Критерии'!$E$4:$E$13))</x:f>
      </x:c>
      <x:c r="O17" s="24" t="str">
        <x:f>IF(N17="","",IF(COUNTA(D17:M17)&lt;6,"Недостаточно данных",IF(D17&lt;3,"Низкое совпадение задачи",IF(F17&lt;3,"Низкая товарная заменяемость","Нет"))))</x:f>
      </x:c>
      <x:c r="P17" s="24" t="str">
        <x:f>IF(N17="","",IF(O17="Недостаточно данных","Недостаточно данных",IF(OR(D17&lt;3,F17&lt;3),IF(N17&gt;=2.5,"Косвенный конкурент / заменитель",IF(N17&gt;=1.6,"Смежная или потенциальная конкуренция","Не конкурент / объект наблюдения")),IF(N17&gt;=4.2,"Прямой конкурент",IF(N17&gt;=3.4,"Близкий альтернативный конкурент",IF(N17&gt;=2.5,"Косвенный конкурент / заменитель",IF(N17&gt;=1.6,"Смежная или потенциальная конкуренция","Не конкурент / объект наблюдения")))))))</x:f>
      </x:c>
      <x:c r="Q17" s="24"/>
      <x:c r="R17" s="24" t="str">
        <x:f>IF(Q17="",P17,Q17)</x:f>
      </x:c>
      <x:c r="S17" s="24"/>
      <x:c r="T17" s="24"/>
      <x:c r="U17" s="24"/>
      <x:c r="V17" s="34"/>
    </x:row>
    <x:row r="18">
      <x:c r="A18" s="24" t="str">
        <x:v>K015</x:v>
      </x:c>
      <x:c r="B18" s="24" t="str">
        <x:f>IFERROR(XLOOKUP(A18,'01_Компании'!$A$4:$A$103,'01_Компании'!$B$4:$B$103),"")</x:f>
      </x:c>
      <x:c r="C18" s="24" t="str">
        <x:f>IFERROR(XLOOKUP(A18,'01_Компании'!$A$4:$A$103,'01_Компании'!$C$4:$C$103),"")</x:f>
      </x:c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40" t="str">
        <x:f>IF(COUNTA(D18:M18)=0,"",SUMPRODUCT(D18:M18,'03_Критерии'!$E$4:$E$13)/SUM('03_Критерии'!$E$4:$E$13))</x:f>
      </x:c>
      <x:c r="O18" s="24" t="str">
        <x:f>IF(N18="","",IF(COUNTA(D18:M18)&lt;6,"Недостаточно данных",IF(D18&lt;3,"Низкое совпадение задачи",IF(F18&lt;3,"Низкая товарная заменяемость","Нет"))))</x:f>
      </x:c>
      <x:c r="P18" s="24" t="str">
        <x:f>IF(N18="","",IF(O18="Недостаточно данных","Недостаточно данных",IF(OR(D18&lt;3,F18&lt;3),IF(N18&gt;=2.5,"Косвенный конкурент / заменитель",IF(N18&gt;=1.6,"Смежная или потенциальная конкуренция","Не конкурент / объект наблюдения")),IF(N18&gt;=4.2,"Прямой конкурент",IF(N18&gt;=3.4,"Близкий альтернативный конкурент",IF(N18&gt;=2.5,"Косвенный конкурент / заменитель",IF(N18&gt;=1.6,"Смежная или потенциальная конкуренция","Не конкурент / объект наблюдения")))))))</x:f>
      </x:c>
      <x:c r="Q18" s="24"/>
      <x:c r="R18" s="24" t="str">
        <x:f>IF(Q18="",P18,Q18)</x:f>
      </x:c>
      <x:c r="S18" s="24"/>
      <x:c r="T18" s="24"/>
      <x:c r="U18" s="24"/>
      <x:c r="V18" s="34"/>
    </x:row>
    <x:row r="19">
      <x:c r="A19" s="24" t="str">
        <x:v>K016</x:v>
      </x:c>
      <x:c r="B19" s="24" t="str">
        <x:f>IFERROR(XLOOKUP(A19,'01_Компании'!$A$4:$A$103,'01_Компании'!$B$4:$B$103),"")</x:f>
      </x:c>
      <x:c r="C19" s="24" t="str">
        <x:f>IFERROR(XLOOKUP(A19,'01_Компании'!$A$4:$A$103,'01_Компании'!$C$4:$C$103),"")</x:f>
      </x:c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40" t="str">
        <x:f>IF(COUNTA(D19:M19)=0,"",SUMPRODUCT(D19:M19,'03_Критерии'!$E$4:$E$13)/SUM('03_Критерии'!$E$4:$E$13))</x:f>
      </x:c>
      <x:c r="O19" s="24" t="str">
        <x:f>IF(N19="","",IF(COUNTA(D19:M19)&lt;6,"Недостаточно данных",IF(D19&lt;3,"Низкое совпадение задачи",IF(F19&lt;3,"Низкая товарная заменяемость","Нет"))))</x:f>
      </x:c>
      <x:c r="P19" s="24" t="str">
        <x:f>IF(N19="","",IF(O19="Недостаточно данных","Недостаточно данных",IF(OR(D19&lt;3,F19&lt;3),IF(N19&gt;=2.5,"Косвенный конкурент / заменитель",IF(N19&gt;=1.6,"Смежная или потенциальная конкуренция","Не конкурент / объект наблюдения")),IF(N19&gt;=4.2,"Прямой конкурент",IF(N19&gt;=3.4,"Близкий альтернативный конкурент",IF(N19&gt;=2.5,"Косвенный конкурент / заменитель",IF(N19&gt;=1.6,"Смежная или потенциальная конкуренция","Не конкурент / объект наблюдения")))))))</x:f>
      </x:c>
      <x:c r="Q19" s="24"/>
      <x:c r="R19" s="24" t="str">
        <x:f>IF(Q19="",P19,Q19)</x:f>
      </x:c>
      <x:c r="S19" s="24"/>
      <x:c r="T19" s="24"/>
      <x:c r="U19" s="24"/>
      <x:c r="V19" s="34"/>
    </x:row>
    <x:row r="20">
      <x:c r="A20" s="24" t="str">
        <x:v>K017</x:v>
      </x:c>
      <x:c r="B20" s="24" t="str">
        <x:f>IFERROR(XLOOKUP(A20,'01_Компании'!$A$4:$A$103,'01_Компании'!$B$4:$B$103),"")</x:f>
      </x:c>
      <x:c r="C20" s="24" t="str">
        <x:f>IFERROR(XLOOKUP(A20,'01_Компании'!$A$4:$A$103,'01_Компании'!$C$4:$C$103),"")</x:f>
      </x:c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40" t="str">
        <x:f>IF(COUNTA(D20:M20)=0,"",SUMPRODUCT(D20:M20,'03_Критерии'!$E$4:$E$13)/SUM('03_Критерии'!$E$4:$E$13))</x:f>
      </x:c>
      <x:c r="O20" s="24" t="str">
        <x:f>IF(N20="","",IF(COUNTA(D20:M20)&lt;6,"Недостаточно данных",IF(D20&lt;3,"Низкое совпадение задачи",IF(F20&lt;3,"Низкая товарная заменяемость","Нет"))))</x:f>
      </x:c>
      <x:c r="P20" s="24" t="str">
        <x:f>IF(N20="","",IF(O20="Недостаточно данных","Недостаточно данных",IF(OR(D20&lt;3,F20&lt;3),IF(N20&gt;=2.5,"Косвенный конкурент / заменитель",IF(N20&gt;=1.6,"Смежная или потенциальная конкуренция","Не конкурент / объект наблюдения")),IF(N20&gt;=4.2,"Прямой конкурент",IF(N20&gt;=3.4,"Близкий альтернативный конкурент",IF(N20&gt;=2.5,"Косвенный конкурент / заменитель",IF(N20&gt;=1.6,"Смежная или потенциальная конкуренция","Не конкурент / объект наблюдения")))))))</x:f>
      </x:c>
      <x:c r="Q20" s="24"/>
      <x:c r="R20" s="24" t="str">
        <x:f>IF(Q20="",P20,Q20)</x:f>
      </x:c>
      <x:c r="S20" s="24"/>
      <x:c r="T20" s="24"/>
      <x:c r="U20" s="24"/>
      <x:c r="V20" s="34"/>
    </x:row>
    <x:row r="21">
      <x:c r="A21" s="24" t="str">
        <x:v>K018</x:v>
      </x:c>
      <x:c r="B21" s="24" t="str">
        <x:f>IFERROR(XLOOKUP(A21,'01_Компании'!$A$4:$A$103,'01_Компании'!$B$4:$B$103),"")</x:f>
      </x:c>
      <x:c r="C21" s="24" t="str">
        <x:f>IFERROR(XLOOKUP(A21,'01_Компании'!$A$4:$A$103,'01_Компании'!$C$4:$C$103),"")</x:f>
      </x:c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40" t="str">
        <x:f>IF(COUNTA(D21:M21)=0,"",SUMPRODUCT(D21:M21,'03_Критерии'!$E$4:$E$13)/SUM('03_Критерии'!$E$4:$E$13))</x:f>
      </x:c>
      <x:c r="O21" s="24" t="str">
        <x:f>IF(N21="","",IF(COUNTA(D21:M21)&lt;6,"Недостаточно данных",IF(D21&lt;3,"Низкое совпадение задачи",IF(F21&lt;3,"Низкая товарная заменяемость","Нет"))))</x:f>
      </x:c>
      <x:c r="P21" s="24" t="str">
        <x:f>IF(N21="","",IF(O21="Недостаточно данных","Недостаточно данных",IF(OR(D21&lt;3,F21&lt;3),IF(N21&gt;=2.5,"Косвенный конкурент / заменитель",IF(N21&gt;=1.6,"Смежная или потенциальная конкуренция","Не конкурент / объект наблюдения")),IF(N21&gt;=4.2,"Прямой конкурент",IF(N21&gt;=3.4,"Близкий альтернативный конкурент",IF(N21&gt;=2.5,"Косвенный конкурент / заменитель",IF(N21&gt;=1.6,"Смежная или потенциальная конкуренция","Не конкурент / объект наблюдения")))))))</x:f>
      </x:c>
      <x:c r="Q21" s="24"/>
      <x:c r="R21" s="24" t="str">
        <x:f>IF(Q21="",P21,Q21)</x:f>
      </x:c>
      <x:c r="S21" s="24"/>
      <x:c r="T21" s="24"/>
      <x:c r="U21" s="24"/>
      <x:c r="V21" s="34"/>
    </x:row>
    <x:row r="22">
      <x:c r="A22" s="24" t="str">
        <x:v>K019</x:v>
      </x:c>
      <x:c r="B22" s="24" t="str">
        <x:f>IFERROR(XLOOKUP(A22,'01_Компании'!$A$4:$A$103,'01_Компании'!$B$4:$B$103),"")</x:f>
      </x:c>
      <x:c r="C22" s="24" t="str">
        <x:f>IFERROR(XLOOKUP(A22,'01_Компании'!$A$4:$A$103,'01_Компании'!$C$4:$C$103),"")</x:f>
      </x:c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40" t="str">
        <x:f>IF(COUNTA(D22:M22)=0,"",SUMPRODUCT(D22:M22,'03_Критерии'!$E$4:$E$13)/SUM('03_Критерии'!$E$4:$E$13))</x:f>
      </x:c>
      <x:c r="O22" s="24" t="str">
        <x:f>IF(N22="","",IF(COUNTA(D22:M22)&lt;6,"Недостаточно данных",IF(D22&lt;3,"Низкое совпадение задачи",IF(F22&lt;3,"Низкая товарная заменяемость","Нет"))))</x:f>
      </x:c>
      <x:c r="P22" s="24" t="str">
        <x:f>IF(N22="","",IF(O22="Недостаточно данных","Недостаточно данных",IF(OR(D22&lt;3,F22&lt;3),IF(N22&gt;=2.5,"Косвенный конкурент / заменитель",IF(N22&gt;=1.6,"Смежная или потенциальная конкуренция","Не конкурент / объект наблюдения")),IF(N22&gt;=4.2,"Прямой конкурент",IF(N22&gt;=3.4,"Близкий альтернативный конкурент",IF(N22&gt;=2.5,"Косвенный конкурент / заменитель",IF(N22&gt;=1.6,"Смежная или потенциальная конкуренция","Не конкурент / объект наблюдения")))))))</x:f>
      </x:c>
      <x:c r="Q22" s="24"/>
      <x:c r="R22" s="24" t="str">
        <x:f>IF(Q22="",P22,Q22)</x:f>
      </x:c>
      <x:c r="S22" s="24"/>
      <x:c r="T22" s="24"/>
      <x:c r="U22" s="24"/>
      <x:c r="V22" s="34"/>
    </x:row>
    <x:row r="23">
      <x:c r="A23" s="24" t="str">
        <x:v>K020</x:v>
      </x:c>
      <x:c r="B23" s="24" t="str">
        <x:f>IFERROR(XLOOKUP(A23,'01_Компании'!$A$4:$A$103,'01_Компании'!$B$4:$B$103),"")</x:f>
      </x:c>
      <x:c r="C23" s="24" t="str">
        <x:f>IFERROR(XLOOKUP(A23,'01_Компании'!$A$4:$A$103,'01_Компании'!$C$4:$C$103),"")</x:f>
      </x:c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40" t="str">
        <x:f>IF(COUNTA(D23:M23)=0,"",SUMPRODUCT(D23:M23,'03_Критерии'!$E$4:$E$13)/SUM('03_Критерии'!$E$4:$E$13))</x:f>
      </x:c>
      <x:c r="O23" s="24" t="str">
        <x:f>IF(N23="","",IF(COUNTA(D23:M23)&lt;6,"Недостаточно данных",IF(D23&lt;3,"Низкое совпадение задачи",IF(F23&lt;3,"Низкая товарная заменяемость","Нет"))))</x:f>
      </x:c>
      <x:c r="P23" s="24" t="str">
        <x:f>IF(N23="","",IF(O23="Недостаточно данных","Недостаточно данных",IF(OR(D23&lt;3,F23&lt;3),IF(N23&gt;=2.5,"Косвенный конкурент / заменитель",IF(N23&gt;=1.6,"Смежная или потенциальная конкуренция","Не конкурент / объект наблюдения")),IF(N23&gt;=4.2,"Прямой конкурент",IF(N23&gt;=3.4,"Близкий альтернативный конкурент",IF(N23&gt;=2.5,"Косвенный конкурент / заменитель",IF(N23&gt;=1.6,"Смежная или потенциальная конкуренция","Не конкурент / объект наблюдения")))))))</x:f>
      </x:c>
      <x:c r="Q23" s="24"/>
      <x:c r="R23" s="24" t="str">
        <x:f>IF(Q23="",P23,Q23)</x:f>
      </x:c>
      <x:c r="S23" s="24"/>
      <x:c r="T23" s="24"/>
      <x:c r="U23" s="24"/>
      <x:c r="V23" s="34"/>
    </x:row>
    <x:row r="24">
      <x:c r="A24" s="24" t="str">
        <x:v>K021</x:v>
      </x:c>
      <x:c r="B24" s="24" t="str">
        <x:f>IFERROR(XLOOKUP(A24,'01_Компании'!$A$4:$A$103,'01_Компании'!$B$4:$B$103),"")</x:f>
      </x:c>
      <x:c r="C24" s="24" t="str">
        <x:f>IFERROR(XLOOKUP(A24,'01_Компании'!$A$4:$A$103,'01_Компании'!$C$4:$C$103),"")</x:f>
      </x:c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40" t="str">
        <x:f>IF(COUNTA(D24:M24)=0,"",SUMPRODUCT(D24:M24,'03_Критерии'!$E$4:$E$13)/SUM('03_Критерии'!$E$4:$E$13))</x:f>
      </x:c>
      <x:c r="O24" s="24" t="str">
        <x:f>IF(N24="","",IF(COUNTA(D24:M24)&lt;6,"Недостаточно данных",IF(D24&lt;3,"Низкое совпадение задачи",IF(F24&lt;3,"Низкая товарная заменяемость","Нет"))))</x:f>
      </x:c>
      <x:c r="P24" s="24" t="str">
        <x:f>IF(N24="","",IF(O24="Недостаточно данных","Недостаточно данных",IF(OR(D24&lt;3,F24&lt;3),IF(N24&gt;=2.5,"Косвенный конкурент / заменитель",IF(N24&gt;=1.6,"Смежная или потенциальная конкуренция","Не конкурент / объект наблюдения")),IF(N24&gt;=4.2,"Прямой конкурент",IF(N24&gt;=3.4,"Близкий альтернативный конкурент",IF(N24&gt;=2.5,"Косвенный конкурент / заменитель",IF(N24&gt;=1.6,"Смежная или потенциальная конкуренция","Не конкурент / объект наблюдения")))))))</x:f>
      </x:c>
      <x:c r="Q24" s="24"/>
      <x:c r="R24" s="24" t="str">
        <x:f>IF(Q24="",P24,Q24)</x:f>
      </x:c>
      <x:c r="S24" s="24"/>
      <x:c r="T24" s="24"/>
      <x:c r="U24" s="24"/>
      <x:c r="V24" s="34"/>
    </x:row>
    <x:row r="25">
      <x:c r="A25" s="24" t="str">
        <x:v>K022</x:v>
      </x:c>
      <x:c r="B25" s="24" t="str">
        <x:f>IFERROR(XLOOKUP(A25,'01_Компании'!$A$4:$A$103,'01_Компании'!$B$4:$B$103),"")</x:f>
      </x:c>
      <x:c r="C25" s="24" t="str">
        <x:f>IFERROR(XLOOKUP(A25,'01_Компании'!$A$4:$A$103,'01_Компании'!$C$4:$C$103),"")</x:f>
      </x:c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40" t="str">
        <x:f>IF(COUNTA(D25:M25)=0,"",SUMPRODUCT(D25:M25,'03_Критерии'!$E$4:$E$13)/SUM('03_Критерии'!$E$4:$E$13))</x:f>
      </x:c>
      <x:c r="O25" s="24" t="str">
        <x:f>IF(N25="","",IF(COUNTA(D25:M25)&lt;6,"Недостаточно данных",IF(D25&lt;3,"Низкое совпадение задачи",IF(F25&lt;3,"Низкая товарная заменяемость","Нет"))))</x:f>
      </x:c>
      <x:c r="P25" s="24" t="str">
        <x:f>IF(N25="","",IF(O25="Недостаточно данных","Недостаточно данных",IF(OR(D25&lt;3,F25&lt;3),IF(N25&gt;=2.5,"Косвенный конкурент / заменитель",IF(N25&gt;=1.6,"Смежная или потенциальная конкуренция","Не конкурент / объект наблюдения")),IF(N25&gt;=4.2,"Прямой конкурент",IF(N25&gt;=3.4,"Близкий альтернативный конкурент",IF(N25&gt;=2.5,"Косвенный конкурент / заменитель",IF(N25&gt;=1.6,"Смежная или потенциальная конкуренция","Не конкурент / объект наблюдения")))))))</x:f>
      </x:c>
      <x:c r="Q25" s="24"/>
      <x:c r="R25" s="24" t="str">
        <x:f>IF(Q25="",P25,Q25)</x:f>
      </x:c>
      <x:c r="S25" s="24"/>
      <x:c r="T25" s="24"/>
      <x:c r="U25" s="24"/>
      <x:c r="V25" s="34"/>
    </x:row>
    <x:row r="26">
      <x:c r="A26" s="24" t="str">
        <x:v>K023</x:v>
      </x:c>
      <x:c r="B26" s="24" t="str">
        <x:f>IFERROR(XLOOKUP(A26,'01_Компании'!$A$4:$A$103,'01_Компании'!$B$4:$B$103),"")</x:f>
      </x:c>
      <x:c r="C26" s="24" t="str">
        <x:f>IFERROR(XLOOKUP(A26,'01_Компании'!$A$4:$A$103,'01_Компании'!$C$4:$C$103),"")</x:f>
      </x:c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40" t="str">
        <x:f>IF(COUNTA(D26:M26)=0,"",SUMPRODUCT(D26:M26,'03_Критерии'!$E$4:$E$13)/SUM('03_Критерии'!$E$4:$E$13))</x:f>
      </x:c>
      <x:c r="O26" s="24" t="str">
        <x:f>IF(N26="","",IF(COUNTA(D26:M26)&lt;6,"Недостаточно данных",IF(D26&lt;3,"Низкое совпадение задачи",IF(F26&lt;3,"Низкая товарная заменяемость","Нет"))))</x:f>
      </x:c>
      <x:c r="P26" s="24" t="str">
        <x:f>IF(N26="","",IF(O26="Недостаточно данных","Недостаточно данных",IF(OR(D26&lt;3,F26&lt;3),IF(N26&gt;=2.5,"Косвенный конкурент / заменитель",IF(N26&gt;=1.6,"Смежная или потенциальная конкуренция","Не конкурент / объект наблюдения")),IF(N26&gt;=4.2,"Прямой конкурент",IF(N26&gt;=3.4,"Близкий альтернативный конкурент",IF(N26&gt;=2.5,"Косвенный конкурент / заменитель",IF(N26&gt;=1.6,"Смежная или потенциальная конкуренция","Не конкурент / объект наблюдения")))))))</x:f>
      </x:c>
      <x:c r="Q26" s="24"/>
      <x:c r="R26" s="24" t="str">
        <x:f>IF(Q26="",P26,Q26)</x:f>
      </x:c>
      <x:c r="S26" s="24"/>
      <x:c r="T26" s="24"/>
      <x:c r="U26" s="24"/>
      <x:c r="V26" s="34"/>
    </x:row>
    <x:row r="27">
      <x:c r="A27" s="24" t="str">
        <x:v>K024</x:v>
      </x:c>
      <x:c r="B27" s="24" t="str">
        <x:f>IFERROR(XLOOKUP(A27,'01_Компании'!$A$4:$A$103,'01_Компании'!$B$4:$B$103),"")</x:f>
      </x:c>
      <x:c r="C27" s="24" t="str">
        <x:f>IFERROR(XLOOKUP(A27,'01_Компании'!$A$4:$A$103,'01_Компании'!$C$4:$C$103),"")</x:f>
      </x:c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40" t="str">
        <x:f>IF(COUNTA(D27:M27)=0,"",SUMPRODUCT(D27:M27,'03_Критерии'!$E$4:$E$13)/SUM('03_Критерии'!$E$4:$E$13))</x:f>
      </x:c>
      <x:c r="O27" s="24" t="str">
        <x:f>IF(N27="","",IF(COUNTA(D27:M27)&lt;6,"Недостаточно данных",IF(D27&lt;3,"Низкое совпадение задачи",IF(F27&lt;3,"Низкая товарная заменяемость","Нет"))))</x:f>
      </x:c>
      <x:c r="P27" s="24" t="str">
        <x:f>IF(N27="","",IF(O27="Недостаточно данных","Недостаточно данных",IF(OR(D27&lt;3,F27&lt;3),IF(N27&gt;=2.5,"Косвенный конкурент / заменитель",IF(N27&gt;=1.6,"Смежная или потенциальная конкуренция","Не конкурент / объект наблюдения")),IF(N27&gt;=4.2,"Прямой конкурент",IF(N27&gt;=3.4,"Близкий альтернативный конкурент",IF(N27&gt;=2.5,"Косвенный конкурент / заменитель",IF(N27&gt;=1.6,"Смежная или потенциальная конкуренция","Не конкурент / объект наблюдения")))))))</x:f>
      </x:c>
      <x:c r="Q27" s="24"/>
      <x:c r="R27" s="24" t="str">
        <x:f>IF(Q27="",P27,Q27)</x:f>
      </x:c>
      <x:c r="S27" s="24"/>
      <x:c r="T27" s="24"/>
      <x:c r="U27" s="24"/>
      <x:c r="V27" s="34"/>
    </x:row>
    <x:row r="28">
      <x:c r="A28" s="24" t="str">
        <x:v>K025</x:v>
      </x:c>
      <x:c r="B28" s="24" t="str">
        <x:f>IFERROR(XLOOKUP(A28,'01_Компании'!$A$4:$A$103,'01_Компании'!$B$4:$B$103),"")</x:f>
      </x:c>
      <x:c r="C28" s="24" t="str">
        <x:f>IFERROR(XLOOKUP(A28,'01_Компании'!$A$4:$A$103,'01_Компании'!$C$4:$C$103),"")</x:f>
      </x:c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40" t="str">
        <x:f>IF(COUNTA(D28:M28)=0,"",SUMPRODUCT(D28:M28,'03_Критерии'!$E$4:$E$13)/SUM('03_Критерии'!$E$4:$E$13))</x:f>
      </x:c>
      <x:c r="O28" s="24" t="str">
        <x:f>IF(N28="","",IF(COUNTA(D28:M28)&lt;6,"Недостаточно данных",IF(D28&lt;3,"Низкое совпадение задачи",IF(F28&lt;3,"Низкая товарная заменяемость","Нет"))))</x:f>
      </x:c>
      <x:c r="P28" s="24" t="str">
        <x:f>IF(N28="","",IF(O28="Недостаточно данных","Недостаточно данных",IF(OR(D28&lt;3,F28&lt;3),IF(N28&gt;=2.5,"Косвенный конкурент / заменитель",IF(N28&gt;=1.6,"Смежная или потенциальная конкуренция","Не конкурент / объект наблюдения")),IF(N28&gt;=4.2,"Прямой конкурент",IF(N28&gt;=3.4,"Близкий альтернативный конкурент",IF(N28&gt;=2.5,"Косвенный конкурент / заменитель",IF(N28&gt;=1.6,"Смежная или потенциальная конкуренция","Не конкурент / объект наблюдения")))))))</x:f>
      </x:c>
      <x:c r="Q28" s="24"/>
      <x:c r="R28" s="24" t="str">
        <x:f>IF(Q28="",P28,Q28)</x:f>
      </x:c>
      <x:c r="S28" s="24"/>
      <x:c r="T28" s="24"/>
      <x:c r="U28" s="24"/>
      <x:c r="V28" s="34"/>
    </x:row>
    <x:row r="29">
      <x:c r="A29" s="24" t="str">
        <x:v>K026</x:v>
      </x:c>
      <x:c r="B29" s="24" t="str">
        <x:f>IFERROR(XLOOKUP(A29,'01_Компании'!$A$4:$A$103,'01_Компании'!$B$4:$B$103),"")</x:f>
      </x:c>
      <x:c r="C29" s="24" t="str">
        <x:f>IFERROR(XLOOKUP(A29,'01_Компании'!$A$4:$A$103,'01_Компании'!$C$4:$C$103),"")</x:f>
      </x:c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40" t="str">
        <x:f>IF(COUNTA(D29:M29)=0,"",SUMPRODUCT(D29:M29,'03_Критерии'!$E$4:$E$13)/SUM('03_Критерии'!$E$4:$E$13))</x:f>
      </x:c>
      <x:c r="O29" s="24" t="str">
        <x:f>IF(N29="","",IF(COUNTA(D29:M29)&lt;6,"Недостаточно данных",IF(D29&lt;3,"Низкое совпадение задачи",IF(F29&lt;3,"Низкая товарная заменяемость","Нет"))))</x:f>
      </x:c>
      <x:c r="P29" s="24" t="str">
        <x:f>IF(N29="","",IF(O29="Недостаточно данных","Недостаточно данных",IF(OR(D29&lt;3,F29&lt;3),IF(N29&gt;=2.5,"Косвенный конкурент / заменитель",IF(N29&gt;=1.6,"Смежная или потенциальная конкуренция","Не конкурент / объект наблюдения")),IF(N29&gt;=4.2,"Прямой конкурент",IF(N29&gt;=3.4,"Близкий альтернативный конкурент",IF(N29&gt;=2.5,"Косвенный конкурент / заменитель",IF(N29&gt;=1.6,"Смежная или потенциальная конкуренция","Не конкурент / объект наблюдения")))))))</x:f>
      </x:c>
      <x:c r="Q29" s="24"/>
      <x:c r="R29" s="24" t="str">
        <x:f>IF(Q29="",P29,Q29)</x:f>
      </x:c>
      <x:c r="S29" s="24"/>
      <x:c r="T29" s="24"/>
      <x:c r="U29" s="24"/>
      <x:c r="V29" s="34"/>
    </x:row>
    <x:row r="30">
      <x:c r="A30" s="24" t="str">
        <x:v>K027</x:v>
      </x:c>
      <x:c r="B30" s="24" t="str">
        <x:f>IFERROR(XLOOKUP(A30,'01_Компании'!$A$4:$A$103,'01_Компании'!$B$4:$B$103),"")</x:f>
      </x:c>
      <x:c r="C30" s="24" t="str">
        <x:f>IFERROR(XLOOKUP(A30,'01_Компании'!$A$4:$A$103,'01_Компании'!$C$4:$C$103),"")</x:f>
      </x:c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40" t="str">
        <x:f>IF(COUNTA(D30:M30)=0,"",SUMPRODUCT(D30:M30,'03_Критерии'!$E$4:$E$13)/SUM('03_Критерии'!$E$4:$E$13))</x:f>
      </x:c>
      <x:c r="O30" s="24" t="str">
        <x:f>IF(N30="","",IF(COUNTA(D30:M30)&lt;6,"Недостаточно данных",IF(D30&lt;3,"Низкое совпадение задачи",IF(F30&lt;3,"Низкая товарная заменяемость","Нет"))))</x:f>
      </x:c>
      <x:c r="P30" s="24" t="str">
        <x:f>IF(N30="","",IF(O30="Недостаточно данных","Недостаточно данных",IF(OR(D30&lt;3,F30&lt;3),IF(N30&gt;=2.5,"Косвенный конкурент / заменитель",IF(N30&gt;=1.6,"Смежная или потенциальная конкуренция","Не конкурент / объект наблюдения")),IF(N30&gt;=4.2,"Прямой конкурент",IF(N30&gt;=3.4,"Близкий альтернативный конкурент",IF(N30&gt;=2.5,"Косвенный конкурент / заменитель",IF(N30&gt;=1.6,"Смежная или потенциальная конкуренция","Не конкурент / объект наблюдения")))))))</x:f>
      </x:c>
      <x:c r="Q30" s="24"/>
      <x:c r="R30" s="24" t="str">
        <x:f>IF(Q30="",P30,Q30)</x:f>
      </x:c>
      <x:c r="S30" s="24"/>
      <x:c r="T30" s="24"/>
      <x:c r="U30" s="24"/>
      <x:c r="V30" s="34"/>
    </x:row>
    <x:row r="31">
      <x:c r="A31" s="24" t="str">
        <x:v>K028</x:v>
      </x:c>
      <x:c r="B31" s="24" t="str">
        <x:f>IFERROR(XLOOKUP(A31,'01_Компании'!$A$4:$A$103,'01_Компании'!$B$4:$B$103),"")</x:f>
      </x:c>
      <x:c r="C31" s="24" t="str">
        <x:f>IFERROR(XLOOKUP(A31,'01_Компании'!$A$4:$A$103,'01_Компании'!$C$4:$C$103),"")</x:f>
      </x:c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40" t="str">
        <x:f>IF(COUNTA(D31:M31)=0,"",SUMPRODUCT(D31:M31,'03_Критерии'!$E$4:$E$13)/SUM('03_Критерии'!$E$4:$E$13))</x:f>
      </x:c>
      <x:c r="O31" s="24" t="str">
        <x:f>IF(N31="","",IF(COUNTA(D31:M31)&lt;6,"Недостаточно данных",IF(D31&lt;3,"Низкое совпадение задачи",IF(F31&lt;3,"Низкая товарная заменяемость","Нет"))))</x:f>
      </x:c>
      <x:c r="P31" s="24" t="str">
        <x:f>IF(N31="","",IF(O31="Недостаточно данных","Недостаточно данных",IF(OR(D31&lt;3,F31&lt;3),IF(N31&gt;=2.5,"Косвенный конкурент / заменитель",IF(N31&gt;=1.6,"Смежная или потенциальная конкуренция","Не конкурент / объект наблюдения")),IF(N31&gt;=4.2,"Прямой конкурент",IF(N31&gt;=3.4,"Близкий альтернативный конкурент",IF(N31&gt;=2.5,"Косвенный конкурент / заменитель",IF(N31&gt;=1.6,"Смежная или потенциальная конкуренция","Не конкурент / объект наблюдения")))))))</x:f>
      </x:c>
      <x:c r="Q31" s="24"/>
      <x:c r="R31" s="24" t="str">
        <x:f>IF(Q31="",P31,Q31)</x:f>
      </x:c>
      <x:c r="S31" s="24"/>
      <x:c r="T31" s="24"/>
      <x:c r="U31" s="24"/>
      <x:c r="V31" s="34"/>
    </x:row>
    <x:row r="32">
      <x:c r="A32" s="24" t="str">
        <x:v>K029</x:v>
      </x:c>
      <x:c r="B32" s="24" t="str">
        <x:f>IFERROR(XLOOKUP(A32,'01_Компании'!$A$4:$A$103,'01_Компании'!$B$4:$B$103),"")</x:f>
      </x:c>
      <x:c r="C32" s="24" t="str">
        <x:f>IFERROR(XLOOKUP(A32,'01_Компании'!$A$4:$A$103,'01_Компании'!$C$4:$C$103),"")</x:f>
      </x:c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40" t="str">
        <x:f>IF(COUNTA(D32:M32)=0,"",SUMPRODUCT(D32:M32,'03_Критерии'!$E$4:$E$13)/SUM('03_Критерии'!$E$4:$E$13))</x:f>
      </x:c>
      <x:c r="O32" s="24" t="str">
        <x:f>IF(N32="","",IF(COUNTA(D32:M32)&lt;6,"Недостаточно данных",IF(D32&lt;3,"Низкое совпадение задачи",IF(F32&lt;3,"Низкая товарная заменяемость","Нет"))))</x:f>
      </x:c>
      <x:c r="P32" s="24" t="str">
        <x:f>IF(N32="","",IF(O32="Недостаточно данных","Недостаточно данных",IF(OR(D32&lt;3,F32&lt;3),IF(N32&gt;=2.5,"Косвенный конкурент / заменитель",IF(N32&gt;=1.6,"Смежная или потенциальная конкуренция","Не конкурент / объект наблюдения")),IF(N32&gt;=4.2,"Прямой конкурент",IF(N32&gt;=3.4,"Близкий альтернативный конкурент",IF(N32&gt;=2.5,"Косвенный конкурент / заменитель",IF(N32&gt;=1.6,"Смежная или потенциальная конкуренция","Не конкурент / объект наблюдения")))))))</x:f>
      </x:c>
      <x:c r="Q32" s="24"/>
      <x:c r="R32" s="24" t="str">
        <x:f>IF(Q32="",P32,Q32)</x:f>
      </x:c>
      <x:c r="S32" s="24"/>
      <x:c r="T32" s="24"/>
      <x:c r="U32" s="24"/>
      <x:c r="V32" s="34"/>
    </x:row>
    <x:row r="33">
      <x:c r="A33" s="24" t="str">
        <x:v>K030</x:v>
      </x:c>
      <x:c r="B33" s="24" t="str">
        <x:f>IFERROR(XLOOKUP(A33,'01_Компании'!$A$4:$A$103,'01_Компании'!$B$4:$B$103),"")</x:f>
      </x:c>
      <x:c r="C33" s="24" t="str">
        <x:f>IFERROR(XLOOKUP(A33,'01_Компании'!$A$4:$A$103,'01_Компании'!$C$4:$C$103),"")</x:f>
      </x:c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40" t="str">
        <x:f>IF(COUNTA(D33:M33)=0,"",SUMPRODUCT(D33:M33,'03_Критерии'!$E$4:$E$13)/SUM('03_Критерии'!$E$4:$E$13))</x:f>
      </x:c>
      <x:c r="O33" s="24" t="str">
        <x:f>IF(N33="","",IF(COUNTA(D33:M33)&lt;6,"Недостаточно данных",IF(D33&lt;3,"Низкое совпадение задачи",IF(F33&lt;3,"Низкая товарная заменяемость","Нет"))))</x:f>
      </x:c>
      <x:c r="P33" s="24" t="str">
        <x:f>IF(N33="","",IF(O33="Недостаточно данных","Недостаточно данных",IF(OR(D33&lt;3,F33&lt;3),IF(N33&gt;=2.5,"Косвенный конкурент / заменитель",IF(N33&gt;=1.6,"Смежная или потенциальная конкуренция","Не конкурент / объект наблюдения")),IF(N33&gt;=4.2,"Прямой конкурент",IF(N33&gt;=3.4,"Близкий альтернативный конкурент",IF(N33&gt;=2.5,"Косвенный конкурент / заменитель",IF(N33&gt;=1.6,"Смежная или потенциальная конкуренция","Не конкурент / объект наблюдения")))))))</x:f>
      </x:c>
      <x:c r="Q33" s="24"/>
      <x:c r="R33" s="24" t="str">
        <x:f>IF(Q33="",P33,Q33)</x:f>
      </x:c>
      <x:c r="S33" s="24"/>
      <x:c r="T33" s="24"/>
      <x:c r="U33" s="24"/>
      <x:c r="V33" s="34"/>
    </x:row>
    <x:row r="34">
      <x:c r="A34" s="24" t="str">
        <x:v>K031</x:v>
      </x:c>
      <x:c r="B34" s="24" t="str">
        <x:f>IFERROR(XLOOKUP(A34,'01_Компании'!$A$4:$A$103,'01_Компании'!$B$4:$B$103),"")</x:f>
      </x:c>
      <x:c r="C34" s="24" t="str">
        <x:f>IFERROR(XLOOKUP(A34,'01_Компании'!$A$4:$A$103,'01_Компании'!$C$4:$C$103),"")</x:f>
      </x:c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40" t="str">
        <x:f>IF(COUNTA(D34:M34)=0,"",SUMPRODUCT(D34:M34,'03_Критерии'!$E$4:$E$13)/SUM('03_Критерии'!$E$4:$E$13))</x:f>
      </x:c>
      <x:c r="O34" s="24" t="str">
        <x:f>IF(N34="","",IF(COUNTA(D34:M34)&lt;6,"Недостаточно данных",IF(D34&lt;3,"Низкое совпадение задачи",IF(F34&lt;3,"Низкая товарная заменяемость","Нет"))))</x:f>
      </x:c>
      <x:c r="P34" s="24" t="str">
        <x:f>IF(N34="","",IF(O34="Недостаточно данных","Недостаточно данных",IF(OR(D34&lt;3,F34&lt;3),IF(N34&gt;=2.5,"Косвенный конкурент / заменитель",IF(N34&gt;=1.6,"Смежная или потенциальная конкуренция","Не конкурент / объект наблюдения")),IF(N34&gt;=4.2,"Прямой конкурент",IF(N34&gt;=3.4,"Близкий альтернативный конкурент",IF(N34&gt;=2.5,"Косвенный конкурент / заменитель",IF(N34&gt;=1.6,"Смежная или потенциальная конкуренция","Не конкурент / объект наблюдения")))))))</x:f>
      </x:c>
      <x:c r="Q34" s="24"/>
      <x:c r="R34" s="24" t="str">
        <x:f>IF(Q34="",P34,Q34)</x:f>
      </x:c>
      <x:c r="S34" s="24"/>
      <x:c r="T34" s="24"/>
      <x:c r="U34" s="24"/>
      <x:c r="V34" s="34"/>
    </x:row>
    <x:row r="35">
      <x:c r="A35" s="24" t="str">
        <x:v>K032</x:v>
      </x:c>
      <x:c r="B35" s="24" t="str">
        <x:f>IFERROR(XLOOKUP(A35,'01_Компании'!$A$4:$A$103,'01_Компании'!$B$4:$B$103),"")</x:f>
      </x:c>
      <x:c r="C35" s="24" t="str">
        <x:f>IFERROR(XLOOKUP(A35,'01_Компании'!$A$4:$A$103,'01_Компании'!$C$4:$C$103),"")</x:f>
      </x:c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40" t="str">
        <x:f>IF(COUNTA(D35:M35)=0,"",SUMPRODUCT(D35:M35,'03_Критерии'!$E$4:$E$13)/SUM('03_Критерии'!$E$4:$E$13))</x:f>
      </x:c>
      <x:c r="O35" s="24" t="str">
        <x:f>IF(N35="","",IF(COUNTA(D35:M35)&lt;6,"Недостаточно данных",IF(D35&lt;3,"Низкое совпадение задачи",IF(F35&lt;3,"Низкая товарная заменяемость","Нет"))))</x:f>
      </x:c>
      <x:c r="P35" s="24" t="str">
        <x:f>IF(N35="","",IF(O35="Недостаточно данных","Недостаточно данных",IF(OR(D35&lt;3,F35&lt;3),IF(N35&gt;=2.5,"Косвенный конкурент / заменитель",IF(N35&gt;=1.6,"Смежная или потенциальная конкуренция","Не конкурент / объект наблюдения")),IF(N35&gt;=4.2,"Прямой конкурент",IF(N35&gt;=3.4,"Близкий альтернативный конкурент",IF(N35&gt;=2.5,"Косвенный конкурент / заменитель",IF(N35&gt;=1.6,"Смежная или потенциальная конкуренция","Не конкурент / объект наблюдения")))))))</x:f>
      </x:c>
      <x:c r="Q35" s="24"/>
      <x:c r="R35" s="24" t="str">
        <x:f>IF(Q35="",P35,Q35)</x:f>
      </x:c>
      <x:c r="S35" s="24"/>
      <x:c r="T35" s="24"/>
      <x:c r="U35" s="24"/>
      <x:c r="V35" s="34"/>
    </x:row>
    <x:row r="36">
      <x:c r="A36" s="24" t="str">
        <x:v>K033</x:v>
      </x:c>
      <x:c r="B36" s="24" t="str">
        <x:f>IFERROR(XLOOKUP(A36,'01_Компании'!$A$4:$A$103,'01_Компании'!$B$4:$B$103),"")</x:f>
      </x:c>
      <x:c r="C36" s="24" t="str">
        <x:f>IFERROR(XLOOKUP(A36,'01_Компании'!$A$4:$A$103,'01_Компании'!$C$4:$C$103),"")</x:f>
      </x:c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40" t="str">
        <x:f>IF(COUNTA(D36:M36)=0,"",SUMPRODUCT(D36:M36,'03_Критерии'!$E$4:$E$13)/SUM('03_Критерии'!$E$4:$E$13))</x:f>
      </x:c>
      <x:c r="O36" s="24" t="str">
        <x:f>IF(N36="","",IF(COUNTA(D36:M36)&lt;6,"Недостаточно данных",IF(D36&lt;3,"Низкое совпадение задачи",IF(F36&lt;3,"Низкая товарная заменяемость","Нет"))))</x:f>
      </x:c>
      <x:c r="P36" s="24" t="str">
        <x:f>IF(N36="","",IF(O36="Недостаточно данных","Недостаточно данных",IF(OR(D36&lt;3,F36&lt;3),IF(N36&gt;=2.5,"Косвенный конкурент / заменитель",IF(N36&gt;=1.6,"Смежная или потенциальная конкуренция","Не конкурент / объект наблюдения")),IF(N36&gt;=4.2,"Прямой конкурент",IF(N36&gt;=3.4,"Близкий альтернативный конкурент",IF(N36&gt;=2.5,"Косвенный конкурент / заменитель",IF(N36&gt;=1.6,"Смежная или потенциальная конкуренция","Не конкурент / объект наблюдения")))))))</x:f>
      </x:c>
      <x:c r="Q36" s="24"/>
      <x:c r="R36" s="24" t="str">
        <x:f>IF(Q36="",P36,Q36)</x:f>
      </x:c>
      <x:c r="S36" s="24"/>
      <x:c r="T36" s="24"/>
      <x:c r="U36" s="24"/>
      <x:c r="V36" s="34"/>
    </x:row>
    <x:row r="37">
      <x:c r="A37" s="24" t="str">
        <x:v>K034</x:v>
      </x:c>
      <x:c r="B37" s="24" t="str">
        <x:f>IFERROR(XLOOKUP(A37,'01_Компании'!$A$4:$A$103,'01_Компании'!$B$4:$B$103),"")</x:f>
      </x:c>
      <x:c r="C37" s="24" t="str">
        <x:f>IFERROR(XLOOKUP(A37,'01_Компании'!$A$4:$A$103,'01_Компании'!$C$4:$C$103),"")</x:f>
      </x:c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40" t="str">
        <x:f>IF(COUNTA(D37:M37)=0,"",SUMPRODUCT(D37:M37,'03_Критерии'!$E$4:$E$13)/SUM('03_Критерии'!$E$4:$E$13))</x:f>
      </x:c>
      <x:c r="O37" s="24" t="str">
        <x:f>IF(N37="","",IF(COUNTA(D37:M37)&lt;6,"Недостаточно данных",IF(D37&lt;3,"Низкое совпадение задачи",IF(F37&lt;3,"Низкая товарная заменяемость","Нет"))))</x:f>
      </x:c>
      <x:c r="P37" s="24" t="str">
        <x:f>IF(N37="","",IF(O37="Недостаточно данных","Недостаточно данных",IF(OR(D37&lt;3,F37&lt;3),IF(N37&gt;=2.5,"Косвенный конкурент / заменитель",IF(N37&gt;=1.6,"Смежная или потенциальная конкуренция","Не конкурент / объект наблюдения")),IF(N37&gt;=4.2,"Прямой конкурент",IF(N37&gt;=3.4,"Близкий альтернативный конкурент",IF(N37&gt;=2.5,"Косвенный конкурент / заменитель",IF(N37&gt;=1.6,"Смежная или потенциальная конкуренция","Не конкурент / объект наблюдения")))))))</x:f>
      </x:c>
      <x:c r="Q37" s="24"/>
      <x:c r="R37" s="24" t="str">
        <x:f>IF(Q37="",P37,Q37)</x:f>
      </x:c>
      <x:c r="S37" s="24"/>
      <x:c r="T37" s="24"/>
      <x:c r="U37" s="24"/>
      <x:c r="V37" s="34"/>
    </x:row>
    <x:row r="38">
      <x:c r="A38" s="24" t="str">
        <x:v>K035</x:v>
      </x:c>
      <x:c r="B38" s="24" t="str">
        <x:f>IFERROR(XLOOKUP(A38,'01_Компании'!$A$4:$A$103,'01_Компании'!$B$4:$B$103),"")</x:f>
      </x:c>
      <x:c r="C38" s="24" t="str">
        <x:f>IFERROR(XLOOKUP(A38,'01_Компании'!$A$4:$A$103,'01_Компании'!$C$4:$C$103),"")</x:f>
      </x:c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40" t="str">
        <x:f>IF(COUNTA(D38:M38)=0,"",SUMPRODUCT(D38:M38,'03_Критерии'!$E$4:$E$13)/SUM('03_Критерии'!$E$4:$E$13))</x:f>
      </x:c>
      <x:c r="O38" s="24" t="str">
        <x:f>IF(N38="","",IF(COUNTA(D38:M38)&lt;6,"Недостаточно данных",IF(D38&lt;3,"Низкое совпадение задачи",IF(F38&lt;3,"Низкая товарная заменяемость","Нет"))))</x:f>
      </x:c>
      <x:c r="P38" s="24" t="str">
        <x:f>IF(N38="","",IF(O38="Недостаточно данных","Недостаточно данных",IF(OR(D38&lt;3,F38&lt;3),IF(N38&gt;=2.5,"Косвенный конкурент / заменитель",IF(N38&gt;=1.6,"Смежная или потенциальная конкуренция","Не конкурент / объект наблюдения")),IF(N38&gt;=4.2,"Прямой конкурент",IF(N38&gt;=3.4,"Близкий альтернативный конкурент",IF(N38&gt;=2.5,"Косвенный конкурент / заменитель",IF(N38&gt;=1.6,"Смежная или потенциальная конкуренция","Не конкурент / объект наблюдения")))))))</x:f>
      </x:c>
      <x:c r="Q38" s="24"/>
      <x:c r="R38" s="24" t="str">
        <x:f>IF(Q38="",P38,Q38)</x:f>
      </x:c>
      <x:c r="S38" s="24"/>
      <x:c r="T38" s="24"/>
      <x:c r="U38" s="24"/>
      <x:c r="V38" s="34"/>
    </x:row>
    <x:row r="39">
      <x:c r="A39" s="24" t="str">
        <x:v>K036</x:v>
      </x:c>
      <x:c r="B39" s="24" t="str">
        <x:f>IFERROR(XLOOKUP(A39,'01_Компании'!$A$4:$A$103,'01_Компании'!$B$4:$B$103),"")</x:f>
      </x:c>
      <x:c r="C39" s="24" t="str">
        <x:f>IFERROR(XLOOKUP(A39,'01_Компании'!$A$4:$A$103,'01_Компании'!$C$4:$C$103),"")</x:f>
      </x:c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40" t="str">
        <x:f>IF(COUNTA(D39:M39)=0,"",SUMPRODUCT(D39:M39,'03_Критерии'!$E$4:$E$13)/SUM('03_Критерии'!$E$4:$E$13))</x:f>
      </x:c>
      <x:c r="O39" s="24" t="str">
        <x:f>IF(N39="","",IF(COUNTA(D39:M39)&lt;6,"Недостаточно данных",IF(D39&lt;3,"Низкое совпадение задачи",IF(F39&lt;3,"Низкая товарная заменяемость","Нет"))))</x:f>
      </x:c>
      <x:c r="P39" s="24" t="str">
        <x:f>IF(N39="","",IF(O39="Недостаточно данных","Недостаточно данных",IF(OR(D39&lt;3,F39&lt;3),IF(N39&gt;=2.5,"Косвенный конкурент / заменитель",IF(N39&gt;=1.6,"Смежная или потенциальная конкуренция","Не конкурент / объект наблюдения")),IF(N39&gt;=4.2,"Прямой конкурент",IF(N39&gt;=3.4,"Близкий альтернативный конкурент",IF(N39&gt;=2.5,"Косвенный конкурент / заменитель",IF(N39&gt;=1.6,"Смежная или потенциальная конкуренция","Не конкурент / объект наблюдения")))))))</x:f>
      </x:c>
      <x:c r="Q39" s="24"/>
      <x:c r="R39" s="24" t="str">
        <x:f>IF(Q39="",P39,Q39)</x:f>
      </x:c>
      <x:c r="S39" s="24"/>
      <x:c r="T39" s="24"/>
      <x:c r="U39" s="24"/>
      <x:c r="V39" s="34"/>
    </x:row>
    <x:row r="40">
      <x:c r="A40" s="24" t="str">
        <x:v>K037</x:v>
      </x:c>
      <x:c r="B40" s="24" t="str">
        <x:f>IFERROR(XLOOKUP(A40,'01_Компании'!$A$4:$A$103,'01_Компании'!$B$4:$B$103),"")</x:f>
      </x:c>
      <x:c r="C40" s="24" t="str">
        <x:f>IFERROR(XLOOKUP(A40,'01_Компании'!$A$4:$A$103,'01_Компании'!$C$4:$C$103),"")</x:f>
      </x:c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40" t="str">
        <x:f>IF(COUNTA(D40:M40)=0,"",SUMPRODUCT(D40:M40,'03_Критерии'!$E$4:$E$13)/SUM('03_Критерии'!$E$4:$E$13))</x:f>
      </x:c>
      <x:c r="O40" s="24" t="str">
        <x:f>IF(N40="","",IF(COUNTA(D40:M40)&lt;6,"Недостаточно данных",IF(D40&lt;3,"Низкое совпадение задачи",IF(F40&lt;3,"Низкая товарная заменяемость","Нет"))))</x:f>
      </x:c>
      <x:c r="P40" s="24" t="str">
        <x:f>IF(N40="","",IF(O40="Недостаточно данных","Недостаточно данных",IF(OR(D40&lt;3,F40&lt;3),IF(N40&gt;=2.5,"Косвенный конкурент / заменитель",IF(N40&gt;=1.6,"Смежная или потенциальная конкуренция","Не конкурент / объект наблюдения")),IF(N40&gt;=4.2,"Прямой конкурент",IF(N40&gt;=3.4,"Близкий альтернативный конкурент",IF(N40&gt;=2.5,"Косвенный конкурент / заменитель",IF(N40&gt;=1.6,"Смежная или потенциальная конкуренция","Не конкурент / объект наблюдения")))))))</x:f>
      </x:c>
      <x:c r="Q40" s="24"/>
      <x:c r="R40" s="24" t="str">
        <x:f>IF(Q40="",P40,Q40)</x:f>
      </x:c>
      <x:c r="S40" s="24"/>
      <x:c r="T40" s="24"/>
      <x:c r="U40" s="24"/>
      <x:c r="V40" s="34"/>
    </x:row>
    <x:row r="41">
      <x:c r="A41" s="24" t="str">
        <x:v>K038</x:v>
      </x:c>
      <x:c r="B41" s="24" t="str">
        <x:f>IFERROR(XLOOKUP(A41,'01_Компании'!$A$4:$A$103,'01_Компании'!$B$4:$B$103),"")</x:f>
      </x:c>
      <x:c r="C41" s="24" t="str">
        <x:f>IFERROR(XLOOKUP(A41,'01_Компании'!$A$4:$A$103,'01_Компании'!$C$4:$C$103),"")</x:f>
      </x:c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40" t="str">
        <x:f>IF(COUNTA(D41:M41)=0,"",SUMPRODUCT(D41:M41,'03_Критерии'!$E$4:$E$13)/SUM('03_Критерии'!$E$4:$E$13))</x:f>
      </x:c>
      <x:c r="O41" s="24" t="str">
        <x:f>IF(N41="","",IF(COUNTA(D41:M41)&lt;6,"Недостаточно данных",IF(D41&lt;3,"Низкое совпадение задачи",IF(F41&lt;3,"Низкая товарная заменяемость","Нет"))))</x:f>
      </x:c>
      <x:c r="P41" s="24" t="str">
        <x:f>IF(N41="","",IF(O41="Недостаточно данных","Недостаточно данных",IF(OR(D41&lt;3,F41&lt;3),IF(N41&gt;=2.5,"Косвенный конкурент / заменитель",IF(N41&gt;=1.6,"Смежная или потенциальная конкуренция","Не конкурент / объект наблюдения")),IF(N41&gt;=4.2,"Прямой конкурент",IF(N41&gt;=3.4,"Близкий альтернативный конкурент",IF(N41&gt;=2.5,"Косвенный конкурент / заменитель",IF(N41&gt;=1.6,"Смежная или потенциальная конкуренция","Не конкурент / объект наблюдения")))))))</x:f>
      </x:c>
      <x:c r="Q41" s="24"/>
      <x:c r="R41" s="24" t="str">
        <x:f>IF(Q41="",P41,Q41)</x:f>
      </x:c>
      <x:c r="S41" s="24"/>
      <x:c r="T41" s="24"/>
      <x:c r="U41" s="24"/>
      <x:c r="V41" s="34"/>
    </x:row>
    <x:row r="42">
      <x:c r="A42" s="24" t="str">
        <x:v>K039</x:v>
      </x:c>
      <x:c r="B42" s="24" t="str">
        <x:f>IFERROR(XLOOKUP(A42,'01_Компании'!$A$4:$A$103,'01_Компании'!$B$4:$B$103),"")</x:f>
      </x:c>
      <x:c r="C42" s="24" t="str">
        <x:f>IFERROR(XLOOKUP(A42,'01_Компании'!$A$4:$A$103,'01_Компании'!$C$4:$C$103),"")</x:f>
      </x:c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40" t="str">
        <x:f>IF(COUNTA(D42:M42)=0,"",SUMPRODUCT(D42:M42,'03_Критерии'!$E$4:$E$13)/SUM('03_Критерии'!$E$4:$E$13))</x:f>
      </x:c>
      <x:c r="O42" s="24" t="str">
        <x:f>IF(N42="","",IF(COUNTA(D42:M42)&lt;6,"Недостаточно данных",IF(D42&lt;3,"Низкое совпадение задачи",IF(F42&lt;3,"Низкая товарная заменяемость","Нет"))))</x:f>
      </x:c>
      <x:c r="P42" s="24" t="str">
        <x:f>IF(N42="","",IF(O42="Недостаточно данных","Недостаточно данных",IF(OR(D42&lt;3,F42&lt;3),IF(N42&gt;=2.5,"Косвенный конкурент / заменитель",IF(N42&gt;=1.6,"Смежная или потенциальная конкуренция","Не конкурент / объект наблюдения")),IF(N42&gt;=4.2,"Прямой конкурент",IF(N42&gt;=3.4,"Близкий альтернативный конкурент",IF(N42&gt;=2.5,"Косвенный конкурент / заменитель",IF(N42&gt;=1.6,"Смежная или потенциальная конкуренция","Не конкурент / объект наблюдения")))))))</x:f>
      </x:c>
      <x:c r="Q42" s="24"/>
      <x:c r="R42" s="24" t="str">
        <x:f>IF(Q42="",P42,Q42)</x:f>
      </x:c>
      <x:c r="S42" s="24"/>
      <x:c r="T42" s="24"/>
      <x:c r="U42" s="24"/>
      <x:c r="V42" s="34"/>
    </x:row>
    <x:row r="43">
      <x:c r="A43" s="24" t="str">
        <x:v>K040</x:v>
      </x:c>
      <x:c r="B43" s="24" t="str">
        <x:f>IFERROR(XLOOKUP(A43,'01_Компании'!$A$4:$A$103,'01_Компании'!$B$4:$B$103),"")</x:f>
      </x:c>
      <x:c r="C43" s="24" t="str">
        <x:f>IFERROR(XLOOKUP(A43,'01_Компании'!$A$4:$A$103,'01_Компании'!$C$4:$C$103),"")</x:f>
      </x:c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40" t="str">
        <x:f>IF(COUNTA(D43:M43)=0,"",SUMPRODUCT(D43:M43,'03_Критерии'!$E$4:$E$13)/SUM('03_Критерии'!$E$4:$E$13))</x:f>
      </x:c>
      <x:c r="O43" s="24" t="str">
        <x:f>IF(N43="","",IF(COUNTA(D43:M43)&lt;6,"Недостаточно данных",IF(D43&lt;3,"Низкое совпадение задачи",IF(F43&lt;3,"Низкая товарная заменяемость","Нет"))))</x:f>
      </x:c>
      <x:c r="P43" s="24" t="str">
        <x:f>IF(N43="","",IF(O43="Недостаточно данных","Недостаточно данных",IF(OR(D43&lt;3,F43&lt;3),IF(N43&gt;=2.5,"Косвенный конкурент / заменитель",IF(N43&gt;=1.6,"Смежная или потенциальная конкуренция","Не конкурент / объект наблюдения")),IF(N43&gt;=4.2,"Прямой конкурент",IF(N43&gt;=3.4,"Близкий альтернативный конкурент",IF(N43&gt;=2.5,"Косвенный конкурент / заменитель",IF(N43&gt;=1.6,"Смежная или потенциальная конкуренция","Не конкурент / объект наблюдения")))))))</x:f>
      </x:c>
      <x:c r="Q43" s="24"/>
      <x:c r="R43" s="24" t="str">
        <x:f>IF(Q43="",P43,Q43)</x:f>
      </x:c>
      <x:c r="S43" s="24"/>
      <x:c r="T43" s="24"/>
      <x:c r="U43" s="24"/>
      <x:c r="V43" s="34"/>
    </x:row>
    <x:row r="44">
      <x:c r="A44" s="24" t="str">
        <x:v>K041</x:v>
      </x:c>
      <x:c r="B44" s="24" t="str">
        <x:f>IFERROR(XLOOKUP(A44,'01_Компании'!$A$4:$A$103,'01_Компании'!$B$4:$B$103),"")</x:f>
      </x:c>
      <x:c r="C44" s="24" t="str">
        <x:f>IFERROR(XLOOKUP(A44,'01_Компании'!$A$4:$A$103,'01_Компании'!$C$4:$C$103),"")</x:f>
      </x:c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40" t="str">
        <x:f>IF(COUNTA(D44:M44)=0,"",SUMPRODUCT(D44:M44,'03_Критерии'!$E$4:$E$13)/SUM('03_Критерии'!$E$4:$E$13))</x:f>
      </x:c>
      <x:c r="O44" s="24" t="str">
        <x:f>IF(N44="","",IF(COUNTA(D44:M44)&lt;6,"Недостаточно данных",IF(D44&lt;3,"Низкое совпадение задачи",IF(F44&lt;3,"Низкая товарная заменяемость","Нет"))))</x:f>
      </x:c>
      <x:c r="P44" s="24" t="str">
        <x:f>IF(N44="","",IF(O44="Недостаточно данных","Недостаточно данных",IF(OR(D44&lt;3,F44&lt;3),IF(N44&gt;=2.5,"Косвенный конкурент / заменитель",IF(N44&gt;=1.6,"Смежная или потенциальная конкуренция","Не конкурент / объект наблюдения")),IF(N44&gt;=4.2,"Прямой конкурент",IF(N44&gt;=3.4,"Близкий альтернативный конкурент",IF(N44&gt;=2.5,"Косвенный конкурент / заменитель",IF(N44&gt;=1.6,"Смежная или потенциальная конкуренция","Не конкурент / объект наблюдения")))))))</x:f>
      </x:c>
      <x:c r="Q44" s="24"/>
      <x:c r="R44" s="24" t="str">
        <x:f>IF(Q44="",P44,Q44)</x:f>
      </x:c>
      <x:c r="S44" s="24"/>
      <x:c r="T44" s="24"/>
      <x:c r="U44" s="24"/>
      <x:c r="V44" s="34"/>
    </x:row>
    <x:row r="45">
      <x:c r="A45" s="24" t="str">
        <x:v>K042</x:v>
      </x:c>
      <x:c r="B45" s="24" t="str">
        <x:f>IFERROR(XLOOKUP(A45,'01_Компании'!$A$4:$A$103,'01_Компании'!$B$4:$B$103),"")</x:f>
      </x:c>
      <x:c r="C45" s="24" t="str">
        <x:f>IFERROR(XLOOKUP(A45,'01_Компании'!$A$4:$A$103,'01_Компании'!$C$4:$C$103),"")</x:f>
      </x:c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40" t="str">
        <x:f>IF(COUNTA(D45:M45)=0,"",SUMPRODUCT(D45:M45,'03_Критерии'!$E$4:$E$13)/SUM('03_Критерии'!$E$4:$E$13))</x:f>
      </x:c>
      <x:c r="O45" s="24" t="str">
        <x:f>IF(N45="","",IF(COUNTA(D45:M45)&lt;6,"Недостаточно данных",IF(D45&lt;3,"Низкое совпадение задачи",IF(F45&lt;3,"Низкая товарная заменяемость","Нет"))))</x:f>
      </x:c>
      <x:c r="P45" s="24" t="str">
        <x:f>IF(N45="","",IF(O45="Недостаточно данных","Недостаточно данных",IF(OR(D45&lt;3,F45&lt;3),IF(N45&gt;=2.5,"Косвенный конкурент / заменитель",IF(N45&gt;=1.6,"Смежная или потенциальная конкуренция","Не конкурент / объект наблюдения")),IF(N45&gt;=4.2,"Прямой конкурент",IF(N45&gt;=3.4,"Близкий альтернативный конкурент",IF(N45&gt;=2.5,"Косвенный конкурент / заменитель",IF(N45&gt;=1.6,"Смежная или потенциальная конкуренция","Не конкурент / объект наблюдения")))))))</x:f>
      </x:c>
      <x:c r="Q45" s="24"/>
      <x:c r="R45" s="24" t="str">
        <x:f>IF(Q45="",P45,Q45)</x:f>
      </x:c>
      <x:c r="S45" s="24"/>
      <x:c r="T45" s="24"/>
      <x:c r="U45" s="24"/>
      <x:c r="V45" s="34"/>
    </x:row>
    <x:row r="46">
      <x:c r="A46" s="24" t="str">
        <x:v>K043</x:v>
      </x:c>
      <x:c r="B46" s="24" t="str">
        <x:f>IFERROR(XLOOKUP(A46,'01_Компании'!$A$4:$A$103,'01_Компании'!$B$4:$B$103),"")</x:f>
      </x:c>
      <x:c r="C46" s="24" t="str">
        <x:f>IFERROR(XLOOKUP(A46,'01_Компании'!$A$4:$A$103,'01_Компании'!$C$4:$C$103),"")</x:f>
      </x:c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40" t="str">
        <x:f>IF(COUNTA(D46:M46)=0,"",SUMPRODUCT(D46:M46,'03_Критерии'!$E$4:$E$13)/SUM('03_Критерии'!$E$4:$E$13))</x:f>
      </x:c>
      <x:c r="O46" s="24" t="str">
        <x:f>IF(N46="","",IF(COUNTA(D46:M46)&lt;6,"Недостаточно данных",IF(D46&lt;3,"Низкое совпадение задачи",IF(F46&lt;3,"Низкая товарная заменяемость","Нет"))))</x:f>
      </x:c>
      <x:c r="P46" s="24" t="str">
        <x:f>IF(N46="","",IF(O46="Недостаточно данных","Недостаточно данных",IF(OR(D46&lt;3,F46&lt;3),IF(N46&gt;=2.5,"Косвенный конкурент / заменитель",IF(N46&gt;=1.6,"Смежная или потенциальная конкуренция","Не конкурент / объект наблюдения")),IF(N46&gt;=4.2,"Прямой конкурент",IF(N46&gt;=3.4,"Близкий альтернативный конкурент",IF(N46&gt;=2.5,"Косвенный конкурент / заменитель",IF(N46&gt;=1.6,"Смежная или потенциальная конкуренция","Не конкурент / объект наблюдения")))))))</x:f>
      </x:c>
      <x:c r="Q46" s="24"/>
      <x:c r="R46" s="24" t="str">
        <x:f>IF(Q46="",P46,Q46)</x:f>
      </x:c>
      <x:c r="S46" s="24"/>
      <x:c r="T46" s="24"/>
      <x:c r="U46" s="24"/>
      <x:c r="V46" s="34"/>
    </x:row>
    <x:row r="47">
      <x:c r="A47" s="24" t="str">
        <x:v>K044</x:v>
      </x:c>
      <x:c r="B47" s="24" t="str">
        <x:f>IFERROR(XLOOKUP(A47,'01_Компании'!$A$4:$A$103,'01_Компании'!$B$4:$B$103),"")</x:f>
      </x:c>
      <x:c r="C47" s="24" t="str">
        <x:f>IFERROR(XLOOKUP(A47,'01_Компании'!$A$4:$A$103,'01_Компании'!$C$4:$C$103),"")</x:f>
      </x:c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40" t="str">
        <x:f>IF(COUNTA(D47:M47)=0,"",SUMPRODUCT(D47:M47,'03_Критерии'!$E$4:$E$13)/SUM('03_Критерии'!$E$4:$E$13))</x:f>
      </x:c>
      <x:c r="O47" s="24" t="str">
        <x:f>IF(N47="","",IF(COUNTA(D47:M47)&lt;6,"Недостаточно данных",IF(D47&lt;3,"Низкое совпадение задачи",IF(F47&lt;3,"Низкая товарная заменяемость","Нет"))))</x:f>
      </x:c>
      <x:c r="P47" s="24" t="str">
        <x:f>IF(N47="","",IF(O47="Недостаточно данных","Недостаточно данных",IF(OR(D47&lt;3,F47&lt;3),IF(N47&gt;=2.5,"Косвенный конкурент / заменитель",IF(N47&gt;=1.6,"Смежная или потенциальная конкуренция","Не конкурент / объект наблюдения")),IF(N47&gt;=4.2,"Прямой конкурент",IF(N47&gt;=3.4,"Близкий альтернативный конкурент",IF(N47&gt;=2.5,"Косвенный конкурент / заменитель",IF(N47&gt;=1.6,"Смежная или потенциальная конкуренция","Не конкурент / объект наблюдения")))))))</x:f>
      </x:c>
      <x:c r="Q47" s="24"/>
      <x:c r="R47" s="24" t="str">
        <x:f>IF(Q47="",P47,Q47)</x:f>
      </x:c>
      <x:c r="S47" s="24"/>
      <x:c r="T47" s="24"/>
      <x:c r="U47" s="24"/>
      <x:c r="V47" s="34"/>
    </x:row>
    <x:row r="48">
      <x:c r="A48" s="24" t="str">
        <x:v>K045</x:v>
      </x:c>
      <x:c r="B48" s="24" t="str">
        <x:f>IFERROR(XLOOKUP(A48,'01_Компании'!$A$4:$A$103,'01_Компании'!$B$4:$B$103),"")</x:f>
      </x:c>
      <x:c r="C48" s="24" t="str">
        <x:f>IFERROR(XLOOKUP(A48,'01_Компании'!$A$4:$A$103,'01_Компании'!$C$4:$C$103),"")</x:f>
      </x:c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40" t="str">
        <x:f>IF(COUNTA(D48:M48)=0,"",SUMPRODUCT(D48:M48,'03_Критерии'!$E$4:$E$13)/SUM('03_Критерии'!$E$4:$E$13))</x:f>
      </x:c>
      <x:c r="O48" s="24" t="str">
        <x:f>IF(N48="","",IF(COUNTA(D48:M48)&lt;6,"Недостаточно данных",IF(D48&lt;3,"Низкое совпадение задачи",IF(F48&lt;3,"Низкая товарная заменяемость","Нет"))))</x:f>
      </x:c>
      <x:c r="P48" s="24" t="str">
        <x:f>IF(N48="","",IF(O48="Недостаточно данных","Недостаточно данных",IF(OR(D48&lt;3,F48&lt;3),IF(N48&gt;=2.5,"Косвенный конкурент / заменитель",IF(N48&gt;=1.6,"Смежная или потенциальная конкуренция","Не конкурент / объект наблюдения")),IF(N48&gt;=4.2,"Прямой конкурент",IF(N48&gt;=3.4,"Близкий альтернативный конкурент",IF(N48&gt;=2.5,"Косвенный конкурент / заменитель",IF(N48&gt;=1.6,"Смежная или потенциальная конкуренция","Не конкурент / объект наблюдения")))))))</x:f>
      </x:c>
      <x:c r="Q48" s="24"/>
      <x:c r="R48" s="24" t="str">
        <x:f>IF(Q48="",P48,Q48)</x:f>
      </x:c>
      <x:c r="S48" s="24"/>
      <x:c r="T48" s="24"/>
      <x:c r="U48" s="24"/>
      <x:c r="V48" s="34"/>
    </x:row>
    <x:row r="49">
      <x:c r="A49" s="24" t="str">
        <x:v>K046</x:v>
      </x:c>
      <x:c r="B49" s="24" t="str">
        <x:f>IFERROR(XLOOKUP(A49,'01_Компании'!$A$4:$A$103,'01_Компании'!$B$4:$B$103),"")</x:f>
      </x:c>
      <x:c r="C49" s="24" t="str">
        <x:f>IFERROR(XLOOKUP(A49,'01_Компании'!$A$4:$A$103,'01_Компании'!$C$4:$C$103),"")</x:f>
      </x:c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40" t="str">
        <x:f>IF(COUNTA(D49:M49)=0,"",SUMPRODUCT(D49:M49,'03_Критерии'!$E$4:$E$13)/SUM('03_Критерии'!$E$4:$E$13))</x:f>
      </x:c>
      <x:c r="O49" s="24" t="str">
        <x:f>IF(N49="","",IF(COUNTA(D49:M49)&lt;6,"Недостаточно данных",IF(D49&lt;3,"Низкое совпадение задачи",IF(F49&lt;3,"Низкая товарная заменяемость","Нет"))))</x:f>
      </x:c>
      <x:c r="P49" s="24" t="str">
        <x:f>IF(N49="","",IF(O49="Недостаточно данных","Недостаточно данных",IF(OR(D49&lt;3,F49&lt;3),IF(N49&gt;=2.5,"Косвенный конкурент / заменитель",IF(N49&gt;=1.6,"Смежная или потенциальная конкуренция","Не конкурент / объект наблюдения")),IF(N49&gt;=4.2,"Прямой конкурент",IF(N49&gt;=3.4,"Близкий альтернативный конкурент",IF(N49&gt;=2.5,"Косвенный конкурент / заменитель",IF(N49&gt;=1.6,"Смежная или потенциальная конкуренция","Не конкурент / объект наблюдения")))))))</x:f>
      </x:c>
      <x:c r="Q49" s="24"/>
      <x:c r="R49" s="24" t="str">
        <x:f>IF(Q49="",P49,Q49)</x:f>
      </x:c>
      <x:c r="S49" s="24"/>
      <x:c r="T49" s="24"/>
      <x:c r="U49" s="24"/>
      <x:c r="V49" s="34"/>
    </x:row>
    <x:row r="50">
      <x:c r="A50" s="24" t="str">
        <x:v>K047</x:v>
      </x:c>
      <x:c r="B50" s="24" t="str">
        <x:f>IFERROR(XLOOKUP(A50,'01_Компании'!$A$4:$A$103,'01_Компании'!$B$4:$B$103),"")</x:f>
      </x:c>
      <x:c r="C50" s="24" t="str">
        <x:f>IFERROR(XLOOKUP(A50,'01_Компании'!$A$4:$A$103,'01_Компании'!$C$4:$C$103),"")</x:f>
      </x:c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40" t="str">
        <x:f>IF(COUNTA(D50:M50)=0,"",SUMPRODUCT(D50:M50,'03_Критерии'!$E$4:$E$13)/SUM('03_Критерии'!$E$4:$E$13))</x:f>
      </x:c>
      <x:c r="O50" s="24" t="str">
        <x:f>IF(N50="","",IF(COUNTA(D50:M50)&lt;6,"Недостаточно данных",IF(D50&lt;3,"Низкое совпадение задачи",IF(F50&lt;3,"Низкая товарная заменяемость","Нет"))))</x:f>
      </x:c>
      <x:c r="P50" s="24" t="str">
        <x:f>IF(N50="","",IF(O50="Недостаточно данных","Недостаточно данных",IF(OR(D50&lt;3,F50&lt;3),IF(N50&gt;=2.5,"Косвенный конкурент / заменитель",IF(N50&gt;=1.6,"Смежная или потенциальная конкуренция","Не конкурент / объект наблюдения")),IF(N50&gt;=4.2,"Прямой конкурент",IF(N50&gt;=3.4,"Близкий альтернативный конкурент",IF(N50&gt;=2.5,"Косвенный конкурент / заменитель",IF(N50&gt;=1.6,"Смежная или потенциальная конкуренция","Не конкурент / объект наблюдения")))))))</x:f>
      </x:c>
      <x:c r="Q50" s="24"/>
      <x:c r="R50" s="24" t="str">
        <x:f>IF(Q50="",P50,Q50)</x:f>
      </x:c>
      <x:c r="S50" s="24"/>
      <x:c r="T50" s="24"/>
      <x:c r="U50" s="24"/>
      <x:c r="V50" s="34"/>
    </x:row>
    <x:row r="51">
      <x:c r="A51" s="24" t="str">
        <x:v>K048</x:v>
      </x:c>
      <x:c r="B51" s="24" t="str">
        <x:f>IFERROR(XLOOKUP(A51,'01_Компании'!$A$4:$A$103,'01_Компании'!$B$4:$B$103),"")</x:f>
      </x:c>
      <x:c r="C51" s="24" t="str">
        <x:f>IFERROR(XLOOKUP(A51,'01_Компании'!$A$4:$A$103,'01_Компании'!$C$4:$C$103),"")</x:f>
      </x:c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40" t="str">
        <x:f>IF(COUNTA(D51:M51)=0,"",SUMPRODUCT(D51:M51,'03_Критерии'!$E$4:$E$13)/SUM('03_Критерии'!$E$4:$E$13))</x:f>
      </x:c>
      <x:c r="O51" s="24" t="str">
        <x:f>IF(N51="","",IF(COUNTA(D51:M51)&lt;6,"Недостаточно данных",IF(D51&lt;3,"Низкое совпадение задачи",IF(F51&lt;3,"Низкая товарная заменяемость","Нет"))))</x:f>
      </x:c>
      <x:c r="P51" s="24" t="str">
        <x:f>IF(N51="","",IF(O51="Недостаточно данных","Недостаточно данных",IF(OR(D51&lt;3,F51&lt;3),IF(N51&gt;=2.5,"Косвенный конкурент / заменитель",IF(N51&gt;=1.6,"Смежная или потенциальная конкуренция","Не конкурент / объект наблюдения")),IF(N51&gt;=4.2,"Прямой конкурент",IF(N51&gt;=3.4,"Близкий альтернативный конкурент",IF(N51&gt;=2.5,"Косвенный конкурент / заменитель",IF(N51&gt;=1.6,"Смежная или потенциальная конкуренция","Не конкурент / объект наблюдения")))))))</x:f>
      </x:c>
      <x:c r="Q51" s="24"/>
      <x:c r="R51" s="24" t="str">
        <x:f>IF(Q51="",P51,Q51)</x:f>
      </x:c>
      <x:c r="S51" s="24"/>
      <x:c r="T51" s="24"/>
      <x:c r="U51" s="24"/>
      <x:c r="V51" s="34"/>
    </x:row>
    <x:row r="52">
      <x:c r="A52" s="24" t="str">
        <x:v>K049</x:v>
      </x:c>
      <x:c r="B52" s="24" t="str">
        <x:f>IFERROR(XLOOKUP(A52,'01_Компании'!$A$4:$A$103,'01_Компании'!$B$4:$B$103),"")</x:f>
      </x:c>
      <x:c r="C52" s="24" t="str">
        <x:f>IFERROR(XLOOKUP(A52,'01_Компании'!$A$4:$A$103,'01_Компании'!$C$4:$C$103),"")</x:f>
      </x:c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40" t="str">
        <x:f>IF(COUNTA(D52:M52)=0,"",SUMPRODUCT(D52:M52,'03_Критерии'!$E$4:$E$13)/SUM('03_Критерии'!$E$4:$E$13))</x:f>
      </x:c>
      <x:c r="O52" s="24" t="str">
        <x:f>IF(N52="","",IF(COUNTA(D52:M52)&lt;6,"Недостаточно данных",IF(D52&lt;3,"Низкое совпадение задачи",IF(F52&lt;3,"Низкая товарная заменяемость","Нет"))))</x:f>
      </x:c>
      <x:c r="P52" s="24" t="str">
        <x:f>IF(N52="","",IF(O52="Недостаточно данных","Недостаточно данных",IF(OR(D52&lt;3,F52&lt;3),IF(N52&gt;=2.5,"Косвенный конкурент / заменитель",IF(N52&gt;=1.6,"Смежная или потенциальная конкуренция","Не конкурент / объект наблюдения")),IF(N52&gt;=4.2,"Прямой конкурент",IF(N52&gt;=3.4,"Близкий альтернативный конкурент",IF(N52&gt;=2.5,"Косвенный конкурент / заменитель",IF(N52&gt;=1.6,"Смежная или потенциальная конкуренция","Не конкурент / объект наблюдения")))))))</x:f>
      </x:c>
      <x:c r="Q52" s="24"/>
      <x:c r="R52" s="24" t="str">
        <x:f>IF(Q52="",P52,Q52)</x:f>
      </x:c>
      <x:c r="S52" s="24"/>
      <x:c r="T52" s="24"/>
      <x:c r="U52" s="24"/>
      <x:c r="V52" s="34"/>
    </x:row>
    <x:row r="53">
      <x:c r="A53" s="24" t="str">
        <x:v>K050</x:v>
      </x:c>
      <x:c r="B53" s="24" t="str">
        <x:f>IFERROR(XLOOKUP(A53,'01_Компании'!$A$4:$A$103,'01_Компании'!$B$4:$B$103),"")</x:f>
      </x:c>
      <x:c r="C53" s="24" t="str">
        <x:f>IFERROR(XLOOKUP(A53,'01_Компании'!$A$4:$A$103,'01_Компании'!$C$4:$C$103),"")</x:f>
      </x:c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40" t="str">
        <x:f>IF(COUNTA(D53:M53)=0,"",SUMPRODUCT(D53:M53,'03_Критерии'!$E$4:$E$13)/SUM('03_Критерии'!$E$4:$E$13))</x:f>
      </x:c>
      <x:c r="O53" s="24" t="str">
        <x:f>IF(N53="","",IF(COUNTA(D53:M53)&lt;6,"Недостаточно данных",IF(D53&lt;3,"Низкое совпадение задачи",IF(F53&lt;3,"Низкая товарная заменяемость","Нет"))))</x:f>
      </x:c>
      <x:c r="P53" s="24" t="str">
        <x:f>IF(N53="","",IF(O53="Недостаточно данных","Недостаточно данных",IF(OR(D53&lt;3,F53&lt;3),IF(N53&gt;=2.5,"Косвенный конкурент / заменитель",IF(N53&gt;=1.6,"Смежная или потенциальная конкуренция","Не конкурент / объект наблюдения")),IF(N53&gt;=4.2,"Прямой конкурент",IF(N53&gt;=3.4,"Близкий альтернативный конкурент",IF(N53&gt;=2.5,"Косвенный конкурент / заменитель",IF(N53&gt;=1.6,"Смежная или потенциальная конкуренция","Не конкурент / объект наблюдения")))))))</x:f>
      </x:c>
      <x:c r="Q53" s="24"/>
      <x:c r="R53" s="24" t="str">
        <x:f>IF(Q53="",P53,Q53)</x:f>
      </x:c>
      <x:c r="S53" s="24"/>
      <x:c r="T53" s="24"/>
      <x:c r="U53" s="24"/>
      <x:c r="V53" s="34"/>
    </x:row>
    <x:row r="54">
      <x:c r="A54" s="24" t="str">
        <x:v>K051</x:v>
      </x:c>
      <x:c r="B54" s="24" t="str">
        <x:f>IFERROR(XLOOKUP(A54,'01_Компании'!$A$4:$A$103,'01_Компании'!$B$4:$B$103),"")</x:f>
      </x:c>
      <x:c r="C54" s="24" t="str">
        <x:f>IFERROR(XLOOKUP(A54,'01_Компании'!$A$4:$A$103,'01_Компании'!$C$4:$C$103),"")</x:f>
      </x:c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40" t="str">
        <x:f>IF(COUNTA(D54:M54)=0,"",SUMPRODUCT(D54:M54,'03_Критерии'!$E$4:$E$13)/SUM('03_Критерии'!$E$4:$E$13))</x:f>
      </x:c>
      <x:c r="O54" s="24" t="str">
        <x:f>IF(N54="","",IF(COUNTA(D54:M54)&lt;6,"Недостаточно данных",IF(D54&lt;3,"Низкое совпадение задачи",IF(F54&lt;3,"Низкая товарная заменяемость","Нет"))))</x:f>
      </x:c>
      <x:c r="P54" s="24" t="str">
        <x:f>IF(N54="","",IF(O54="Недостаточно данных","Недостаточно данных",IF(OR(D54&lt;3,F54&lt;3),IF(N54&gt;=2.5,"Косвенный конкурент / заменитель",IF(N54&gt;=1.6,"Смежная или потенциальная конкуренция","Не конкурент / объект наблюдения")),IF(N54&gt;=4.2,"Прямой конкурент",IF(N54&gt;=3.4,"Близкий альтернативный конкурент",IF(N54&gt;=2.5,"Косвенный конкурент / заменитель",IF(N54&gt;=1.6,"Смежная или потенциальная конкуренция","Не конкурент / объект наблюдения")))))))</x:f>
      </x:c>
      <x:c r="Q54" s="24"/>
      <x:c r="R54" s="24" t="str">
        <x:f>IF(Q54="",P54,Q54)</x:f>
      </x:c>
      <x:c r="S54" s="24"/>
      <x:c r="T54" s="24"/>
      <x:c r="U54" s="24"/>
      <x:c r="V54" s="34"/>
    </x:row>
    <x:row r="55">
      <x:c r="A55" s="24" t="str">
        <x:v>K052</x:v>
      </x:c>
      <x:c r="B55" s="24" t="str">
        <x:f>IFERROR(XLOOKUP(A55,'01_Компании'!$A$4:$A$103,'01_Компании'!$B$4:$B$103),"")</x:f>
      </x:c>
      <x:c r="C55" s="24" t="str">
        <x:f>IFERROR(XLOOKUP(A55,'01_Компании'!$A$4:$A$103,'01_Компании'!$C$4:$C$103),"")</x:f>
      </x:c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40" t="str">
        <x:f>IF(COUNTA(D55:M55)=0,"",SUMPRODUCT(D55:M55,'03_Критерии'!$E$4:$E$13)/SUM('03_Критерии'!$E$4:$E$13))</x:f>
      </x:c>
      <x:c r="O55" s="24" t="str">
        <x:f>IF(N55="","",IF(COUNTA(D55:M55)&lt;6,"Недостаточно данных",IF(D55&lt;3,"Низкое совпадение задачи",IF(F55&lt;3,"Низкая товарная заменяемость","Нет"))))</x:f>
      </x:c>
      <x:c r="P55" s="24" t="str">
        <x:f>IF(N55="","",IF(O55="Недостаточно данных","Недостаточно данных",IF(OR(D55&lt;3,F55&lt;3),IF(N55&gt;=2.5,"Косвенный конкурент / заменитель",IF(N55&gt;=1.6,"Смежная или потенциальная конкуренция","Не конкурент / объект наблюдения")),IF(N55&gt;=4.2,"Прямой конкурент",IF(N55&gt;=3.4,"Близкий альтернативный конкурент",IF(N55&gt;=2.5,"Косвенный конкурент / заменитель",IF(N55&gt;=1.6,"Смежная или потенциальная конкуренция","Не конкурент / объект наблюдения")))))))</x:f>
      </x:c>
      <x:c r="Q55" s="24"/>
      <x:c r="R55" s="24" t="str">
        <x:f>IF(Q55="",P55,Q55)</x:f>
      </x:c>
      <x:c r="S55" s="24"/>
      <x:c r="T55" s="24"/>
      <x:c r="U55" s="24"/>
      <x:c r="V55" s="34"/>
    </x:row>
    <x:row r="56">
      <x:c r="A56" s="24" t="str">
        <x:v>K053</x:v>
      </x:c>
      <x:c r="B56" s="24" t="str">
        <x:f>IFERROR(XLOOKUP(A56,'01_Компании'!$A$4:$A$103,'01_Компании'!$B$4:$B$103),"")</x:f>
      </x:c>
      <x:c r="C56" s="24" t="str">
        <x:f>IFERROR(XLOOKUP(A56,'01_Компании'!$A$4:$A$103,'01_Компании'!$C$4:$C$103),"")</x:f>
      </x:c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40" t="str">
        <x:f>IF(COUNTA(D56:M56)=0,"",SUMPRODUCT(D56:M56,'03_Критерии'!$E$4:$E$13)/SUM('03_Критерии'!$E$4:$E$13))</x:f>
      </x:c>
      <x:c r="O56" s="24" t="str">
        <x:f>IF(N56="","",IF(COUNTA(D56:M56)&lt;6,"Недостаточно данных",IF(D56&lt;3,"Низкое совпадение задачи",IF(F56&lt;3,"Низкая товарная заменяемость","Нет"))))</x:f>
      </x:c>
      <x:c r="P56" s="24" t="str">
        <x:f>IF(N56="","",IF(O56="Недостаточно данных","Недостаточно данных",IF(OR(D56&lt;3,F56&lt;3),IF(N56&gt;=2.5,"Косвенный конкурент / заменитель",IF(N56&gt;=1.6,"Смежная или потенциальная конкуренция","Не конкурент / объект наблюдения")),IF(N56&gt;=4.2,"Прямой конкурент",IF(N56&gt;=3.4,"Близкий альтернативный конкурент",IF(N56&gt;=2.5,"Косвенный конкурент / заменитель",IF(N56&gt;=1.6,"Смежная или потенциальная конкуренция","Не конкурент / объект наблюдения")))))))</x:f>
      </x:c>
      <x:c r="Q56" s="24"/>
      <x:c r="R56" s="24" t="str">
        <x:f>IF(Q56="",P56,Q56)</x:f>
      </x:c>
      <x:c r="S56" s="24"/>
      <x:c r="T56" s="24"/>
      <x:c r="U56" s="24"/>
      <x:c r="V56" s="34"/>
    </x:row>
    <x:row r="57">
      <x:c r="A57" s="24" t="str">
        <x:v>K054</x:v>
      </x:c>
      <x:c r="B57" s="24" t="str">
        <x:f>IFERROR(XLOOKUP(A57,'01_Компании'!$A$4:$A$103,'01_Компании'!$B$4:$B$103),"")</x:f>
      </x:c>
      <x:c r="C57" s="24" t="str">
        <x:f>IFERROR(XLOOKUP(A57,'01_Компании'!$A$4:$A$103,'01_Компании'!$C$4:$C$103),"")</x:f>
      </x:c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40" t="str">
        <x:f>IF(COUNTA(D57:M57)=0,"",SUMPRODUCT(D57:M57,'03_Критерии'!$E$4:$E$13)/SUM('03_Критерии'!$E$4:$E$13))</x:f>
      </x:c>
      <x:c r="O57" s="24" t="str">
        <x:f>IF(N57="","",IF(COUNTA(D57:M57)&lt;6,"Недостаточно данных",IF(D57&lt;3,"Низкое совпадение задачи",IF(F57&lt;3,"Низкая товарная заменяемость","Нет"))))</x:f>
      </x:c>
      <x:c r="P57" s="24" t="str">
        <x:f>IF(N57="","",IF(O57="Недостаточно данных","Недостаточно данных",IF(OR(D57&lt;3,F57&lt;3),IF(N57&gt;=2.5,"Косвенный конкурент / заменитель",IF(N57&gt;=1.6,"Смежная или потенциальная конкуренция","Не конкурент / объект наблюдения")),IF(N57&gt;=4.2,"Прямой конкурент",IF(N57&gt;=3.4,"Близкий альтернативный конкурент",IF(N57&gt;=2.5,"Косвенный конкурент / заменитель",IF(N57&gt;=1.6,"Смежная или потенциальная конкуренция","Не конкурент / объект наблюдения")))))))</x:f>
      </x:c>
      <x:c r="Q57" s="24"/>
      <x:c r="R57" s="24" t="str">
        <x:f>IF(Q57="",P57,Q57)</x:f>
      </x:c>
      <x:c r="S57" s="24"/>
      <x:c r="T57" s="24"/>
      <x:c r="U57" s="24"/>
      <x:c r="V57" s="34"/>
    </x:row>
    <x:row r="58">
      <x:c r="A58" s="24" t="str">
        <x:v>K055</x:v>
      </x:c>
      <x:c r="B58" s="24" t="str">
        <x:f>IFERROR(XLOOKUP(A58,'01_Компании'!$A$4:$A$103,'01_Компании'!$B$4:$B$103),"")</x:f>
      </x:c>
      <x:c r="C58" s="24" t="str">
        <x:f>IFERROR(XLOOKUP(A58,'01_Компании'!$A$4:$A$103,'01_Компании'!$C$4:$C$103),"")</x:f>
      </x:c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40" t="str">
        <x:f>IF(COUNTA(D58:M58)=0,"",SUMPRODUCT(D58:M58,'03_Критерии'!$E$4:$E$13)/SUM('03_Критерии'!$E$4:$E$13))</x:f>
      </x:c>
      <x:c r="O58" s="24" t="str">
        <x:f>IF(N58="","",IF(COUNTA(D58:M58)&lt;6,"Недостаточно данных",IF(D58&lt;3,"Низкое совпадение задачи",IF(F58&lt;3,"Низкая товарная заменяемость","Нет"))))</x:f>
      </x:c>
      <x:c r="P58" s="24" t="str">
        <x:f>IF(N58="","",IF(O58="Недостаточно данных","Недостаточно данных",IF(OR(D58&lt;3,F58&lt;3),IF(N58&gt;=2.5,"Косвенный конкурент / заменитель",IF(N58&gt;=1.6,"Смежная или потенциальная конкуренция","Не конкурент / объект наблюдения")),IF(N58&gt;=4.2,"Прямой конкурент",IF(N58&gt;=3.4,"Близкий альтернативный конкурент",IF(N58&gt;=2.5,"Косвенный конкурент / заменитель",IF(N58&gt;=1.6,"Смежная или потенциальная конкуренция","Не конкурент / объект наблюдения")))))))</x:f>
      </x:c>
      <x:c r="Q58" s="24"/>
      <x:c r="R58" s="24" t="str">
        <x:f>IF(Q58="",P58,Q58)</x:f>
      </x:c>
      <x:c r="S58" s="24"/>
      <x:c r="T58" s="24"/>
      <x:c r="U58" s="24"/>
      <x:c r="V58" s="34"/>
    </x:row>
    <x:row r="59">
      <x:c r="A59" s="24" t="str">
        <x:v>K056</x:v>
      </x:c>
      <x:c r="B59" s="24" t="str">
        <x:f>IFERROR(XLOOKUP(A59,'01_Компании'!$A$4:$A$103,'01_Компании'!$B$4:$B$103),"")</x:f>
      </x:c>
      <x:c r="C59" s="24" t="str">
        <x:f>IFERROR(XLOOKUP(A59,'01_Компании'!$A$4:$A$103,'01_Компании'!$C$4:$C$103),"")</x:f>
      </x:c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40" t="str">
        <x:f>IF(COUNTA(D59:M59)=0,"",SUMPRODUCT(D59:M59,'03_Критерии'!$E$4:$E$13)/SUM('03_Критерии'!$E$4:$E$13))</x:f>
      </x:c>
      <x:c r="O59" s="24" t="str">
        <x:f>IF(N59="","",IF(COUNTA(D59:M59)&lt;6,"Недостаточно данных",IF(D59&lt;3,"Низкое совпадение задачи",IF(F59&lt;3,"Низкая товарная заменяемость","Нет"))))</x:f>
      </x:c>
      <x:c r="P59" s="24" t="str">
        <x:f>IF(N59="","",IF(O59="Недостаточно данных","Недостаточно данных",IF(OR(D59&lt;3,F59&lt;3),IF(N59&gt;=2.5,"Косвенный конкурент / заменитель",IF(N59&gt;=1.6,"Смежная или потенциальная конкуренция","Не конкурент / объект наблюдения")),IF(N59&gt;=4.2,"Прямой конкурент",IF(N59&gt;=3.4,"Близкий альтернативный конкурент",IF(N59&gt;=2.5,"Косвенный конкурент / заменитель",IF(N59&gt;=1.6,"Смежная или потенциальная конкуренция","Не конкурент / объект наблюдения")))))))</x:f>
      </x:c>
      <x:c r="Q59" s="24"/>
      <x:c r="R59" s="24" t="str">
        <x:f>IF(Q59="",P59,Q59)</x:f>
      </x:c>
      <x:c r="S59" s="24"/>
      <x:c r="T59" s="24"/>
      <x:c r="U59" s="24"/>
      <x:c r="V59" s="34"/>
    </x:row>
    <x:row r="60">
      <x:c r="A60" s="24" t="str">
        <x:v>K057</x:v>
      </x:c>
      <x:c r="B60" s="24" t="str">
        <x:f>IFERROR(XLOOKUP(A60,'01_Компании'!$A$4:$A$103,'01_Компании'!$B$4:$B$103),"")</x:f>
      </x:c>
      <x:c r="C60" s="24" t="str">
        <x:f>IFERROR(XLOOKUP(A60,'01_Компании'!$A$4:$A$103,'01_Компании'!$C$4:$C$103),"")</x:f>
      </x:c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40" t="str">
        <x:f>IF(COUNTA(D60:M60)=0,"",SUMPRODUCT(D60:M60,'03_Критерии'!$E$4:$E$13)/SUM('03_Критерии'!$E$4:$E$13))</x:f>
      </x:c>
      <x:c r="O60" s="24" t="str">
        <x:f>IF(N60="","",IF(COUNTA(D60:M60)&lt;6,"Недостаточно данных",IF(D60&lt;3,"Низкое совпадение задачи",IF(F60&lt;3,"Низкая товарная заменяемость","Нет"))))</x:f>
      </x:c>
      <x:c r="P60" s="24" t="str">
        <x:f>IF(N60="","",IF(O60="Недостаточно данных","Недостаточно данных",IF(OR(D60&lt;3,F60&lt;3),IF(N60&gt;=2.5,"Косвенный конкурент / заменитель",IF(N60&gt;=1.6,"Смежная или потенциальная конкуренция","Не конкурент / объект наблюдения")),IF(N60&gt;=4.2,"Прямой конкурент",IF(N60&gt;=3.4,"Близкий альтернативный конкурент",IF(N60&gt;=2.5,"Косвенный конкурент / заменитель",IF(N60&gt;=1.6,"Смежная или потенциальная конкуренция","Не конкурент / объект наблюдения")))))))</x:f>
      </x:c>
      <x:c r="Q60" s="24"/>
      <x:c r="R60" s="24" t="str">
        <x:f>IF(Q60="",P60,Q60)</x:f>
      </x:c>
      <x:c r="S60" s="24"/>
      <x:c r="T60" s="24"/>
      <x:c r="U60" s="24"/>
      <x:c r="V60" s="34"/>
    </x:row>
    <x:row r="61">
      <x:c r="A61" s="24" t="str">
        <x:v>K058</x:v>
      </x:c>
      <x:c r="B61" s="24" t="str">
        <x:f>IFERROR(XLOOKUP(A61,'01_Компании'!$A$4:$A$103,'01_Компании'!$B$4:$B$103),"")</x:f>
      </x:c>
      <x:c r="C61" s="24" t="str">
        <x:f>IFERROR(XLOOKUP(A61,'01_Компании'!$A$4:$A$103,'01_Компании'!$C$4:$C$103),"")</x:f>
      </x:c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40" t="str">
        <x:f>IF(COUNTA(D61:M61)=0,"",SUMPRODUCT(D61:M61,'03_Критерии'!$E$4:$E$13)/SUM('03_Критерии'!$E$4:$E$13))</x:f>
      </x:c>
      <x:c r="O61" s="24" t="str">
        <x:f>IF(N61="","",IF(COUNTA(D61:M61)&lt;6,"Недостаточно данных",IF(D61&lt;3,"Низкое совпадение задачи",IF(F61&lt;3,"Низкая товарная заменяемость","Нет"))))</x:f>
      </x:c>
      <x:c r="P61" s="24" t="str">
        <x:f>IF(N61="","",IF(O61="Недостаточно данных","Недостаточно данных",IF(OR(D61&lt;3,F61&lt;3),IF(N61&gt;=2.5,"Косвенный конкурент / заменитель",IF(N61&gt;=1.6,"Смежная или потенциальная конкуренция","Не конкурент / объект наблюдения")),IF(N61&gt;=4.2,"Прямой конкурент",IF(N61&gt;=3.4,"Близкий альтернативный конкурент",IF(N61&gt;=2.5,"Косвенный конкурент / заменитель",IF(N61&gt;=1.6,"Смежная или потенциальная конкуренция","Не конкурент / объект наблюдения")))))))</x:f>
      </x:c>
      <x:c r="Q61" s="24"/>
      <x:c r="R61" s="24" t="str">
        <x:f>IF(Q61="",P61,Q61)</x:f>
      </x:c>
      <x:c r="S61" s="24"/>
      <x:c r="T61" s="24"/>
      <x:c r="U61" s="24"/>
      <x:c r="V61" s="34"/>
    </x:row>
    <x:row r="62">
      <x:c r="A62" s="24" t="str">
        <x:v>K059</x:v>
      </x:c>
      <x:c r="B62" s="24" t="str">
        <x:f>IFERROR(XLOOKUP(A62,'01_Компании'!$A$4:$A$103,'01_Компании'!$B$4:$B$103),"")</x:f>
      </x:c>
      <x:c r="C62" s="24" t="str">
        <x:f>IFERROR(XLOOKUP(A62,'01_Компании'!$A$4:$A$103,'01_Компании'!$C$4:$C$103),"")</x:f>
      </x:c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40" t="str">
        <x:f>IF(COUNTA(D62:M62)=0,"",SUMPRODUCT(D62:M62,'03_Критерии'!$E$4:$E$13)/SUM('03_Критерии'!$E$4:$E$13))</x:f>
      </x:c>
      <x:c r="O62" s="24" t="str">
        <x:f>IF(N62="","",IF(COUNTA(D62:M62)&lt;6,"Недостаточно данных",IF(D62&lt;3,"Низкое совпадение задачи",IF(F62&lt;3,"Низкая товарная заменяемость","Нет"))))</x:f>
      </x:c>
      <x:c r="P62" s="24" t="str">
        <x:f>IF(N62="","",IF(O62="Недостаточно данных","Недостаточно данных",IF(OR(D62&lt;3,F62&lt;3),IF(N62&gt;=2.5,"Косвенный конкурент / заменитель",IF(N62&gt;=1.6,"Смежная или потенциальная конкуренция","Не конкурент / объект наблюдения")),IF(N62&gt;=4.2,"Прямой конкурент",IF(N62&gt;=3.4,"Близкий альтернативный конкурент",IF(N62&gt;=2.5,"Косвенный конкурент / заменитель",IF(N62&gt;=1.6,"Смежная или потенциальная конкуренция","Не конкурент / объект наблюдения")))))))</x:f>
      </x:c>
      <x:c r="Q62" s="24"/>
      <x:c r="R62" s="24" t="str">
        <x:f>IF(Q62="",P62,Q62)</x:f>
      </x:c>
      <x:c r="S62" s="24"/>
      <x:c r="T62" s="24"/>
      <x:c r="U62" s="24"/>
      <x:c r="V62" s="34"/>
    </x:row>
    <x:row r="63">
      <x:c r="A63" s="24" t="str">
        <x:v>K060</x:v>
      </x:c>
      <x:c r="B63" s="24" t="str">
        <x:f>IFERROR(XLOOKUP(A63,'01_Компании'!$A$4:$A$103,'01_Компании'!$B$4:$B$103),"")</x:f>
      </x:c>
      <x:c r="C63" s="24" t="str">
        <x:f>IFERROR(XLOOKUP(A63,'01_Компании'!$A$4:$A$103,'01_Компании'!$C$4:$C$103),"")</x:f>
      </x:c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40" t="str">
        <x:f>IF(COUNTA(D63:M63)=0,"",SUMPRODUCT(D63:M63,'03_Критерии'!$E$4:$E$13)/SUM('03_Критерии'!$E$4:$E$13))</x:f>
      </x:c>
      <x:c r="O63" s="24" t="str">
        <x:f>IF(N63="","",IF(COUNTA(D63:M63)&lt;6,"Недостаточно данных",IF(D63&lt;3,"Низкое совпадение задачи",IF(F63&lt;3,"Низкая товарная заменяемость","Нет"))))</x:f>
      </x:c>
      <x:c r="P63" s="24" t="str">
        <x:f>IF(N63="","",IF(O63="Недостаточно данных","Недостаточно данных",IF(OR(D63&lt;3,F63&lt;3),IF(N63&gt;=2.5,"Косвенный конкурент / заменитель",IF(N63&gt;=1.6,"Смежная или потенциальная конкуренция","Не конкурент / объект наблюдения")),IF(N63&gt;=4.2,"Прямой конкурент",IF(N63&gt;=3.4,"Близкий альтернативный конкурент",IF(N63&gt;=2.5,"Косвенный конкурент / заменитель",IF(N63&gt;=1.6,"Смежная или потенциальная конкуренция","Не конкурент / объект наблюдения")))))))</x:f>
      </x:c>
      <x:c r="Q63" s="24"/>
      <x:c r="R63" s="24" t="str">
        <x:f>IF(Q63="",P63,Q63)</x:f>
      </x:c>
      <x:c r="S63" s="24"/>
      <x:c r="T63" s="24"/>
      <x:c r="U63" s="24"/>
      <x:c r="V63" s="34"/>
    </x:row>
    <x:row r="64">
      <x:c r="A64" s="24" t="str">
        <x:v>K061</x:v>
      </x:c>
      <x:c r="B64" s="24" t="str">
        <x:f>IFERROR(XLOOKUP(A64,'01_Компании'!$A$4:$A$103,'01_Компании'!$B$4:$B$103),"")</x:f>
      </x:c>
      <x:c r="C64" s="24" t="str">
        <x:f>IFERROR(XLOOKUP(A64,'01_Компании'!$A$4:$A$103,'01_Компании'!$C$4:$C$103),"")</x:f>
      </x:c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40" t="str">
        <x:f>IF(COUNTA(D64:M64)=0,"",SUMPRODUCT(D64:M64,'03_Критерии'!$E$4:$E$13)/SUM('03_Критерии'!$E$4:$E$13))</x:f>
      </x:c>
      <x:c r="O64" s="24" t="str">
        <x:f>IF(N64="","",IF(COUNTA(D64:M64)&lt;6,"Недостаточно данных",IF(D64&lt;3,"Низкое совпадение задачи",IF(F64&lt;3,"Низкая товарная заменяемость","Нет"))))</x:f>
      </x:c>
      <x:c r="P64" s="24" t="str">
        <x:f>IF(N64="","",IF(O64="Недостаточно данных","Недостаточно данных",IF(OR(D64&lt;3,F64&lt;3),IF(N64&gt;=2.5,"Косвенный конкурент / заменитель",IF(N64&gt;=1.6,"Смежная или потенциальная конкуренция","Не конкурент / объект наблюдения")),IF(N64&gt;=4.2,"Прямой конкурент",IF(N64&gt;=3.4,"Близкий альтернативный конкурент",IF(N64&gt;=2.5,"Косвенный конкурент / заменитель",IF(N64&gt;=1.6,"Смежная или потенциальная конкуренция","Не конкурент / объект наблюдения")))))))</x:f>
      </x:c>
      <x:c r="Q64" s="24"/>
      <x:c r="R64" s="24" t="str">
        <x:f>IF(Q64="",P64,Q64)</x:f>
      </x:c>
      <x:c r="S64" s="24"/>
      <x:c r="T64" s="24"/>
      <x:c r="U64" s="24"/>
      <x:c r="V64" s="34"/>
    </x:row>
    <x:row r="65">
      <x:c r="A65" s="24" t="str">
        <x:v>K062</x:v>
      </x:c>
      <x:c r="B65" s="24" t="str">
        <x:f>IFERROR(XLOOKUP(A65,'01_Компании'!$A$4:$A$103,'01_Компании'!$B$4:$B$103),"")</x:f>
      </x:c>
      <x:c r="C65" s="24" t="str">
        <x:f>IFERROR(XLOOKUP(A65,'01_Компании'!$A$4:$A$103,'01_Компании'!$C$4:$C$103),"")</x:f>
      </x:c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40" t="str">
        <x:f>IF(COUNTA(D65:M65)=0,"",SUMPRODUCT(D65:M65,'03_Критерии'!$E$4:$E$13)/SUM('03_Критерии'!$E$4:$E$13))</x:f>
      </x:c>
      <x:c r="O65" s="24" t="str">
        <x:f>IF(N65="","",IF(COUNTA(D65:M65)&lt;6,"Недостаточно данных",IF(D65&lt;3,"Низкое совпадение задачи",IF(F65&lt;3,"Низкая товарная заменяемость","Нет"))))</x:f>
      </x:c>
      <x:c r="P65" s="24" t="str">
        <x:f>IF(N65="","",IF(O65="Недостаточно данных","Недостаточно данных",IF(OR(D65&lt;3,F65&lt;3),IF(N65&gt;=2.5,"Косвенный конкурент / заменитель",IF(N65&gt;=1.6,"Смежная или потенциальная конкуренция","Не конкурент / объект наблюдения")),IF(N65&gt;=4.2,"Прямой конкурент",IF(N65&gt;=3.4,"Близкий альтернативный конкурент",IF(N65&gt;=2.5,"Косвенный конкурент / заменитель",IF(N65&gt;=1.6,"Смежная или потенциальная конкуренция","Не конкурент / объект наблюдения")))))))</x:f>
      </x:c>
      <x:c r="Q65" s="24"/>
      <x:c r="R65" s="24" t="str">
        <x:f>IF(Q65="",P65,Q65)</x:f>
      </x:c>
      <x:c r="S65" s="24"/>
      <x:c r="T65" s="24"/>
      <x:c r="U65" s="24"/>
      <x:c r="V65" s="34"/>
    </x:row>
    <x:row r="66">
      <x:c r="A66" s="24" t="str">
        <x:v>K063</x:v>
      </x:c>
      <x:c r="B66" s="24" t="str">
        <x:f>IFERROR(XLOOKUP(A66,'01_Компании'!$A$4:$A$103,'01_Компании'!$B$4:$B$103),"")</x:f>
      </x:c>
      <x:c r="C66" s="24" t="str">
        <x:f>IFERROR(XLOOKUP(A66,'01_Компании'!$A$4:$A$103,'01_Компании'!$C$4:$C$103),"")</x:f>
      </x:c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40" t="str">
        <x:f>IF(COUNTA(D66:M66)=0,"",SUMPRODUCT(D66:M66,'03_Критерии'!$E$4:$E$13)/SUM('03_Критерии'!$E$4:$E$13))</x:f>
      </x:c>
      <x:c r="O66" s="24" t="str">
        <x:f>IF(N66="","",IF(COUNTA(D66:M66)&lt;6,"Недостаточно данных",IF(D66&lt;3,"Низкое совпадение задачи",IF(F66&lt;3,"Низкая товарная заменяемость","Нет"))))</x:f>
      </x:c>
      <x:c r="P66" s="24" t="str">
        <x:f>IF(N66="","",IF(O66="Недостаточно данных","Недостаточно данных",IF(OR(D66&lt;3,F66&lt;3),IF(N66&gt;=2.5,"Косвенный конкурент / заменитель",IF(N66&gt;=1.6,"Смежная или потенциальная конкуренция","Не конкурент / объект наблюдения")),IF(N66&gt;=4.2,"Прямой конкурент",IF(N66&gt;=3.4,"Близкий альтернативный конкурент",IF(N66&gt;=2.5,"Косвенный конкурент / заменитель",IF(N66&gt;=1.6,"Смежная или потенциальная конкуренция","Не конкурент / объект наблюдения")))))))</x:f>
      </x:c>
      <x:c r="Q66" s="24"/>
      <x:c r="R66" s="24" t="str">
        <x:f>IF(Q66="",P66,Q66)</x:f>
      </x:c>
      <x:c r="S66" s="24"/>
      <x:c r="T66" s="24"/>
      <x:c r="U66" s="24"/>
      <x:c r="V66" s="34"/>
    </x:row>
    <x:row r="67">
      <x:c r="A67" s="24" t="str">
        <x:v>K064</x:v>
      </x:c>
      <x:c r="B67" s="24" t="str">
        <x:f>IFERROR(XLOOKUP(A67,'01_Компании'!$A$4:$A$103,'01_Компании'!$B$4:$B$103),"")</x:f>
      </x:c>
      <x:c r="C67" s="24" t="str">
        <x:f>IFERROR(XLOOKUP(A67,'01_Компании'!$A$4:$A$103,'01_Компании'!$C$4:$C$103),"")</x:f>
      </x:c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40" t="str">
        <x:f>IF(COUNTA(D67:M67)=0,"",SUMPRODUCT(D67:M67,'03_Критерии'!$E$4:$E$13)/SUM('03_Критерии'!$E$4:$E$13))</x:f>
      </x:c>
      <x:c r="O67" s="24" t="str">
        <x:f>IF(N67="","",IF(COUNTA(D67:M67)&lt;6,"Недостаточно данных",IF(D67&lt;3,"Низкое совпадение задачи",IF(F67&lt;3,"Низкая товарная заменяемость","Нет"))))</x:f>
      </x:c>
      <x:c r="P67" s="24" t="str">
        <x:f>IF(N67="","",IF(O67="Недостаточно данных","Недостаточно данных",IF(OR(D67&lt;3,F67&lt;3),IF(N67&gt;=2.5,"Косвенный конкурент / заменитель",IF(N67&gt;=1.6,"Смежная или потенциальная конкуренция","Не конкурент / объект наблюдения")),IF(N67&gt;=4.2,"Прямой конкурент",IF(N67&gt;=3.4,"Близкий альтернативный конкурент",IF(N67&gt;=2.5,"Косвенный конкурент / заменитель",IF(N67&gt;=1.6,"Смежная или потенциальная конкуренция","Не конкурент / объект наблюдения")))))))</x:f>
      </x:c>
      <x:c r="Q67" s="24"/>
      <x:c r="R67" s="24" t="str">
        <x:f>IF(Q67="",P67,Q67)</x:f>
      </x:c>
      <x:c r="S67" s="24"/>
      <x:c r="T67" s="24"/>
      <x:c r="U67" s="24"/>
      <x:c r="V67" s="34"/>
    </x:row>
    <x:row r="68">
      <x:c r="A68" s="24" t="str">
        <x:v>K065</x:v>
      </x:c>
      <x:c r="B68" s="24" t="str">
        <x:f>IFERROR(XLOOKUP(A68,'01_Компании'!$A$4:$A$103,'01_Компании'!$B$4:$B$103),"")</x:f>
      </x:c>
      <x:c r="C68" s="24" t="str">
        <x:f>IFERROR(XLOOKUP(A68,'01_Компании'!$A$4:$A$103,'01_Компании'!$C$4:$C$103),"")</x:f>
      </x:c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40" t="str">
        <x:f>IF(COUNTA(D68:M68)=0,"",SUMPRODUCT(D68:M68,'03_Критерии'!$E$4:$E$13)/SUM('03_Критерии'!$E$4:$E$13))</x:f>
      </x:c>
      <x:c r="O68" s="24" t="str">
        <x:f>IF(N68="","",IF(COUNTA(D68:M68)&lt;6,"Недостаточно данных",IF(D68&lt;3,"Низкое совпадение задачи",IF(F68&lt;3,"Низкая товарная заменяемость","Нет"))))</x:f>
      </x:c>
      <x:c r="P68" s="24" t="str">
        <x:f>IF(N68="","",IF(O68="Недостаточно данных","Недостаточно данных",IF(OR(D68&lt;3,F68&lt;3),IF(N68&gt;=2.5,"Косвенный конкурент / заменитель",IF(N68&gt;=1.6,"Смежная или потенциальная конкуренция","Не конкурент / объект наблюдения")),IF(N68&gt;=4.2,"Прямой конкурент",IF(N68&gt;=3.4,"Близкий альтернативный конкурент",IF(N68&gt;=2.5,"Косвенный конкурент / заменитель",IF(N68&gt;=1.6,"Смежная или потенциальная конкуренция","Не конкурент / объект наблюдения")))))))</x:f>
      </x:c>
      <x:c r="Q68" s="24"/>
      <x:c r="R68" s="24" t="str">
        <x:f>IF(Q68="",P68,Q68)</x:f>
      </x:c>
      <x:c r="S68" s="24"/>
      <x:c r="T68" s="24"/>
      <x:c r="U68" s="24"/>
      <x:c r="V68" s="34"/>
    </x:row>
    <x:row r="69">
      <x:c r="A69" s="24" t="str">
        <x:v>K066</x:v>
      </x:c>
      <x:c r="B69" s="24" t="str">
        <x:f>IFERROR(XLOOKUP(A69,'01_Компании'!$A$4:$A$103,'01_Компании'!$B$4:$B$103),"")</x:f>
      </x:c>
      <x:c r="C69" s="24" t="str">
        <x:f>IFERROR(XLOOKUP(A69,'01_Компании'!$A$4:$A$103,'01_Компании'!$C$4:$C$103),"")</x:f>
      </x:c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40" t="str">
        <x:f>IF(COUNTA(D69:M69)=0,"",SUMPRODUCT(D69:M69,'03_Критерии'!$E$4:$E$13)/SUM('03_Критерии'!$E$4:$E$13))</x:f>
      </x:c>
      <x:c r="O69" s="24" t="str">
        <x:f>IF(N69="","",IF(COUNTA(D69:M69)&lt;6,"Недостаточно данных",IF(D69&lt;3,"Низкое совпадение задачи",IF(F69&lt;3,"Низкая товарная заменяемость","Нет"))))</x:f>
      </x:c>
      <x:c r="P69" s="24" t="str">
        <x:f>IF(N69="","",IF(O69="Недостаточно данных","Недостаточно данных",IF(OR(D69&lt;3,F69&lt;3),IF(N69&gt;=2.5,"Косвенный конкурент / заменитель",IF(N69&gt;=1.6,"Смежная или потенциальная конкуренция","Не конкурент / объект наблюдения")),IF(N69&gt;=4.2,"Прямой конкурент",IF(N69&gt;=3.4,"Близкий альтернативный конкурент",IF(N69&gt;=2.5,"Косвенный конкурент / заменитель",IF(N69&gt;=1.6,"Смежная или потенциальная конкуренция","Не конкурент / объект наблюдения")))))))</x:f>
      </x:c>
      <x:c r="Q69" s="24"/>
      <x:c r="R69" s="24" t="str">
        <x:f>IF(Q69="",P69,Q69)</x:f>
      </x:c>
      <x:c r="S69" s="24"/>
      <x:c r="T69" s="24"/>
      <x:c r="U69" s="24"/>
      <x:c r="V69" s="34"/>
    </x:row>
    <x:row r="70">
      <x:c r="A70" s="24" t="str">
        <x:v>K067</x:v>
      </x:c>
      <x:c r="B70" s="24" t="str">
        <x:f>IFERROR(XLOOKUP(A70,'01_Компании'!$A$4:$A$103,'01_Компании'!$B$4:$B$103),"")</x:f>
      </x:c>
      <x:c r="C70" s="24" t="str">
        <x:f>IFERROR(XLOOKUP(A70,'01_Компании'!$A$4:$A$103,'01_Компании'!$C$4:$C$103),"")</x:f>
      </x:c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40" t="str">
        <x:f>IF(COUNTA(D70:M70)=0,"",SUMPRODUCT(D70:M70,'03_Критерии'!$E$4:$E$13)/SUM('03_Критерии'!$E$4:$E$13))</x:f>
      </x:c>
      <x:c r="O70" s="24" t="str">
        <x:f>IF(N70="","",IF(COUNTA(D70:M70)&lt;6,"Недостаточно данных",IF(D70&lt;3,"Низкое совпадение задачи",IF(F70&lt;3,"Низкая товарная заменяемость","Нет"))))</x:f>
      </x:c>
      <x:c r="P70" s="24" t="str">
        <x:f>IF(N70="","",IF(O70="Недостаточно данных","Недостаточно данных",IF(OR(D70&lt;3,F70&lt;3),IF(N70&gt;=2.5,"Косвенный конкурент / заменитель",IF(N70&gt;=1.6,"Смежная или потенциальная конкуренция","Не конкурент / объект наблюдения")),IF(N70&gt;=4.2,"Прямой конкурент",IF(N70&gt;=3.4,"Близкий альтернативный конкурент",IF(N70&gt;=2.5,"Косвенный конкурент / заменитель",IF(N70&gt;=1.6,"Смежная или потенциальная конкуренция","Не конкурент / объект наблюдения")))))))</x:f>
      </x:c>
      <x:c r="Q70" s="24"/>
      <x:c r="R70" s="24" t="str">
        <x:f>IF(Q70="",P70,Q70)</x:f>
      </x:c>
      <x:c r="S70" s="24"/>
      <x:c r="T70" s="24"/>
      <x:c r="U70" s="24"/>
      <x:c r="V70" s="34"/>
    </x:row>
    <x:row r="71">
      <x:c r="A71" s="24" t="str">
        <x:v>K068</x:v>
      </x:c>
      <x:c r="B71" s="24" t="str">
        <x:f>IFERROR(XLOOKUP(A71,'01_Компании'!$A$4:$A$103,'01_Компании'!$B$4:$B$103),"")</x:f>
      </x:c>
      <x:c r="C71" s="24" t="str">
        <x:f>IFERROR(XLOOKUP(A71,'01_Компании'!$A$4:$A$103,'01_Компании'!$C$4:$C$103),"")</x:f>
      </x:c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40" t="str">
        <x:f>IF(COUNTA(D71:M71)=0,"",SUMPRODUCT(D71:M71,'03_Критерии'!$E$4:$E$13)/SUM('03_Критерии'!$E$4:$E$13))</x:f>
      </x:c>
      <x:c r="O71" s="24" t="str">
        <x:f>IF(N71="","",IF(COUNTA(D71:M71)&lt;6,"Недостаточно данных",IF(D71&lt;3,"Низкое совпадение задачи",IF(F71&lt;3,"Низкая товарная заменяемость","Нет"))))</x:f>
      </x:c>
      <x:c r="P71" s="24" t="str">
        <x:f>IF(N71="","",IF(O71="Недостаточно данных","Недостаточно данных",IF(OR(D71&lt;3,F71&lt;3),IF(N71&gt;=2.5,"Косвенный конкурент / заменитель",IF(N71&gt;=1.6,"Смежная или потенциальная конкуренция","Не конкурент / объект наблюдения")),IF(N71&gt;=4.2,"Прямой конкурент",IF(N71&gt;=3.4,"Близкий альтернативный конкурент",IF(N71&gt;=2.5,"Косвенный конкурент / заменитель",IF(N71&gt;=1.6,"Смежная или потенциальная конкуренция","Не конкурент / объект наблюдения")))))))</x:f>
      </x:c>
      <x:c r="Q71" s="24"/>
      <x:c r="R71" s="24" t="str">
        <x:f>IF(Q71="",P71,Q71)</x:f>
      </x:c>
      <x:c r="S71" s="24"/>
      <x:c r="T71" s="24"/>
      <x:c r="U71" s="24"/>
      <x:c r="V71" s="34"/>
    </x:row>
    <x:row r="72">
      <x:c r="A72" s="24" t="str">
        <x:v>K069</x:v>
      </x:c>
      <x:c r="B72" s="24" t="str">
        <x:f>IFERROR(XLOOKUP(A72,'01_Компании'!$A$4:$A$103,'01_Компании'!$B$4:$B$103),"")</x:f>
      </x:c>
      <x:c r="C72" s="24" t="str">
        <x:f>IFERROR(XLOOKUP(A72,'01_Компании'!$A$4:$A$103,'01_Компании'!$C$4:$C$103),"")</x:f>
      </x:c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40" t="str">
        <x:f>IF(COUNTA(D72:M72)=0,"",SUMPRODUCT(D72:M72,'03_Критерии'!$E$4:$E$13)/SUM('03_Критерии'!$E$4:$E$13))</x:f>
      </x:c>
      <x:c r="O72" s="24" t="str">
        <x:f>IF(N72="","",IF(COUNTA(D72:M72)&lt;6,"Недостаточно данных",IF(D72&lt;3,"Низкое совпадение задачи",IF(F72&lt;3,"Низкая товарная заменяемость","Нет"))))</x:f>
      </x:c>
      <x:c r="P72" s="24" t="str">
        <x:f>IF(N72="","",IF(O72="Недостаточно данных","Недостаточно данных",IF(OR(D72&lt;3,F72&lt;3),IF(N72&gt;=2.5,"Косвенный конкурент / заменитель",IF(N72&gt;=1.6,"Смежная или потенциальная конкуренция","Не конкурент / объект наблюдения")),IF(N72&gt;=4.2,"Прямой конкурент",IF(N72&gt;=3.4,"Близкий альтернативный конкурент",IF(N72&gt;=2.5,"Косвенный конкурент / заменитель",IF(N72&gt;=1.6,"Смежная или потенциальная конкуренция","Не конкурент / объект наблюдения")))))))</x:f>
      </x:c>
      <x:c r="Q72" s="24"/>
      <x:c r="R72" s="24" t="str">
        <x:f>IF(Q72="",P72,Q72)</x:f>
      </x:c>
      <x:c r="S72" s="24"/>
      <x:c r="T72" s="24"/>
      <x:c r="U72" s="24"/>
      <x:c r="V72" s="34"/>
    </x:row>
    <x:row r="73">
      <x:c r="A73" s="24" t="str">
        <x:v>K070</x:v>
      </x:c>
      <x:c r="B73" s="24" t="str">
        <x:f>IFERROR(XLOOKUP(A73,'01_Компании'!$A$4:$A$103,'01_Компании'!$B$4:$B$103),"")</x:f>
      </x:c>
      <x:c r="C73" s="24" t="str">
        <x:f>IFERROR(XLOOKUP(A73,'01_Компании'!$A$4:$A$103,'01_Компании'!$C$4:$C$103),"")</x:f>
      </x:c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40" t="str">
        <x:f>IF(COUNTA(D73:M73)=0,"",SUMPRODUCT(D73:M73,'03_Критерии'!$E$4:$E$13)/SUM('03_Критерии'!$E$4:$E$13))</x:f>
      </x:c>
      <x:c r="O73" s="24" t="str">
        <x:f>IF(N73="","",IF(COUNTA(D73:M73)&lt;6,"Недостаточно данных",IF(D73&lt;3,"Низкое совпадение задачи",IF(F73&lt;3,"Низкая товарная заменяемость","Нет"))))</x:f>
      </x:c>
      <x:c r="P73" s="24" t="str">
        <x:f>IF(N73="","",IF(O73="Недостаточно данных","Недостаточно данных",IF(OR(D73&lt;3,F73&lt;3),IF(N73&gt;=2.5,"Косвенный конкурент / заменитель",IF(N73&gt;=1.6,"Смежная или потенциальная конкуренция","Не конкурент / объект наблюдения")),IF(N73&gt;=4.2,"Прямой конкурент",IF(N73&gt;=3.4,"Близкий альтернативный конкурент",IF(N73&gt;=2.5,"Косвенный конкурент / заменитель",IF(N73&gt;=1.6,"Смежная или потенциальная конкуренция","Не конкурент / объект наблюдения")))))))</x:f>
      </x:c>
      <x:c r="Q73" s="24"/>
      <x:c r="R73" s="24" t="str">
        <x:f>IF(Q73="",P73,Q73)</x:f>
      </x:c>
      <x:c r="S73" s="24"/>
      <x:c r="T73" s="24"/>
      <x:c r="U73" s="24"/>
      <x:c r="V73" s="34"/>
    </x:row>
    <x:row r="74">
      <x:c r="A74" s="24" t="str">
        <x:v>K071</x:v>
      </x:c>
      <x:c r="B74" s="24" t="str">
        <x:f>IFERROR(XLOOKUP(A74,'01_Компании'!$A$4:$A$103,'01_Компании'!$B$4:$B$103),"")</x:f>
      </x:c>
      <x:c r="C74" s="24" t="str">
        <x:f>IFERROR(XLOOKUP(A74,'01_Компании'!$A$4:$A$103,'01_Компании'!$C$4:$C$103),"")</x:f>
      </x:c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40" t="str">
        <x:f>IF(COUNTA(D74:M74)=0,"",SUMPRODUCT(D74:M74,'03_Критерии'!$E$4:$E$13)/SUM('03_Критерии'!$E$4:$E$13))</x:f>
      </x:c>
      <x:c r="O74" s="24" t="str">
        <x:f>IF(N74="","",IF(COUNTA(D74:M74)&lt;6,"Недостаточно данных",IF(D74&lt;3,"Низкое совпадение задачи",IF(F74&lt;3,"Низкая товарная заменяемость","Нет"))))</x:f>
      </x:c>
      <x:c r="P74" s="24" t="str">
        <x:f>IF(N74="","",IF(O74="Недостаточно данных","Недостаточно данных",IF(OR(D74&lt;3,F74&lt;3),IF(N74&gt;=2.5,"Косвенный конкурент / заменитель",IF(N74&gt;=1.6,"Смежная или потенциальная конкуренция","Не конкурент / объект наблюдения")),IF(N74&gt;=4.2,"Прямой конкурент",IF(N74&gt;=3.4,"Близкий альтернативный конкурент",IF(N74&gt;=2.5,"Косвенный конкурент / заменитель",IF(N74&gt;=1.6,"Смежная или потенциальная конкуренция","Не конкурент / объект наблюдения")))))))</x:f>
      </x:c>
      <x:c r="Q74" s="24"/>
      <x:c r="R74" s="24" t="str">
        <x:f>IF(Q74="",P74,Q74)</x:f>
      </x:c>
      <x:c r="S74" s="24"/>
      <x:c r="T74" s="24"/>
      <x:c r="U74" s="24"/>
      <x:c r="V74" s="34"/>
    </x:row>
    <x:row r="75">
      <x:c r="A75" s="24" t="str">
        <x:v>K072</x:v>
      </x:c>
      <x:c r="B75" s="24" t="str">
        <x:f>IFERROR(XLOOKUP(A75,'01_Компании'!$A$4:$A$103,'01_Компании'!$B$4:$B$103),"")</x:f>
      </x:c>
      <x:c r="C75" s="24" t="str">
        <x:f>IFERROR(XLOOKUP(A75,'01_Компании'!$A$4:$A$103,'01_Компании'!$C$4:$C$103),"")</x:f>
      </x:c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40" t="str">
        <x:f>IF(COUNTA(D75:M75)=0,"",SUMPRODUCT(D75:M75,'03_Критерии'!$E$4:$E$13)/SUM('03_Критерии'!$E$4:$E$13))</x:f>
      </x:c>
      <x:c r="O75" s="24" t="str">
        <x:f>IF(N75="","",IF(COUNTA(D75:M75)&lt;6,"Недостаточно данных",IF(D75&lt;3,"Низкое совпадение задачи",IF(F75&lt;3,"Низкая товарная заменяемость","Нет"))))</x:f>
      </x:c>
      <x:c r="P75" s="24" t="str">
        <x:f>IF(N75="","",IF(O75="Недостаточно данных","Недостаточно данных",IF(OR(D75&lt;3,F75&lt;3),IF(N75&gt;=2.5,"Косвенный конкурент / заменитель",IF(N75&gt;=1.6,"Смежная или потенциальная конкуренция","Не конкурент / объект наблюдения")),IF(N75&gt;=4.2,"Прямой конкурент",IF(N75&gt;=3.4,"Близкий альтернативный конкурент",IF(N75&gt;=2.5,"Косвенный конкурент / заменитель",IF(N75&gt;=1.6,"Смежная или потенциальная конкуренция","Не конкурент / объект наблюдения")))))))</x:f>
      </x:c>
      <x:c r="Q75" s="24"/>
      <x:c r="R75" s="24" t="str">
        <x:f>IF(Q75="",P75,Q75)</x:f>
      </x:c>
      <x:c r="S75" s="24"/>
      <x:c r="T75" s="24"/>
      <x:c r="U75" s="24"/>
      <x:c r="V75" s="34"/>
    </x:row>
    <x:row r="76">
      <x:c r="A76" s="24" t="str">
        <x:v>K073</x:v>
      </x:c>
      <x:c r="B76" s="24" t="str">
        <x:f>IFERROR(XLOOKUP(A76,'01_Компании'!$A$4:$A$103,'01_Компании'!$B$4:$B$103),"")</x:f>
      </x:c>
      <x:c r="C76" s="24" t="str">
        <x:f>IFERROR(XLOOKUP(A76,'01_Компании'!$A$4:$A$103,'01_Компании'!$C$4:$C$103),"")</x:f>
      </x:c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40" t="str">
        <x:f>IF(COUNTA(D76:M76)=0,"",SUMPRODUCT(D76:M76,'03_Критерии'!$E$4:$E$13)/SUM('03_Критерии'!$E$4:$E$13))</x:f>
      </x:c>
      <x:c r="O76" s="24" t="str">
        <x:f>IF(N76="","",IF(COUNTA(D76:M76)&lt;6,"Недостаточно данных",IF(D76&lt;3,"Низкое совпадение задачи",IF(F76&lt;3,"Низкая товарная заменяемость","Нет"))))</x:f>
      </x:c>
      <x:c r="P76" s="24" t="str">
        <x:f>IF(N76="","",IF(O76="Недостаточно данных","Недостаточно данных",IF(OR(D76&lt;3,F76&lt;3),IF(N76&gt;=2.5,"Косвенный конкурент / заменитель",IF(N76&gt;=1.6,"Смежная или потенциальная конкуренция","Не конкурент / объект наблюдения")),IF(N76&gt;=4.2,"Прямой конкурент",IF(N76&gt;=3.4,"Близкий альтернативный конкурент",IF(N76&gt;=2.5,"Косвенный конкурент / заменитель",IF(N76&gt;=1.6,"Смежная или потенциальная конкуренция","Не конкурент / объект наблюдения")))))))</x:f>
      </x:c>
      <x:c r="Q76" s="24"/>
      <x:c r="R76" s="24" t="str">
        <x:f>IF(Q76="",P76,Q76)</x:f>
      </x:c>
      <x:c r="S76" s="24"/>
      <x:c r="T76" s="24"/>
      <x:c r="U76" s="24"/>
      <x:c r="V76" s="34"/>
    </x:row>
    <x:row r="77">
      <x:c r="A77" s="24" t="str">
        <x:v>K074</x:v>
      </x:c>
      <x:c r="B77" s="24" t="str">
        <x:f>IFERROR(XLOOKUP(A77,'01_Компании'!$A$4:$A$103,'01_Компании'!$B$4:$B$103),"")</x:f>
      </x:c>
      <x:c r="C77" s="24" t="str">
        <x:f>IFERROR(XLOOKUP(A77,'01_Компании'!$A$4:$A$103,'01_Компании'!$C$4:$C$103),"")</x:f>
      </x:c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40" t="str">
        <x:f>IF(COUNTA(D77:M77)=0,"",SUMPRODUCT(D77:M77,'03_Критерии'!$E$4:$E$13)/SUM('03_Критерии'!$E$4:$E$13))</x:f>
      </x:c>
      <x:c r="O77" s="24" t="str">
        <x:f>IF(N77="","",IF(COUNTA(D77:M77)&lt;6,"Недостаточно данных",IF(D77&lt;3,"Низкое совпадение задачи",IF(F77&lt;3,"Низкая товарная заменяемость","Нет"))))</x:f>
      </x:c>
      <x:c r="P77" s="24" t="str">
        <x:f>IF(N77="","",IF(O77="Недостаточно данных","Недостаточно данных",IF(OR(D77&lt;3,F77&lt;3),IF(N77&gt;=2.5,"Косвенный конкурент / заменитель",IF(N77&gt;=1.6,"Смежная или потенциальная конкуренция","Не конкурент / объект наблюдения")),IF(N77&gt;=4.2,"Прямой конкурент",IF(N77&gt;=3.4,"Близкий альтернативный конкурент",IF(N77&gt;=2.5,"Косвенный конкурент / заменитель",IF(N77&gt;=1.6,"Смежная или потенциальная конкуренция","Не конкурент / объект наблюдения")))))))</x:f>
      </x:c>
      <x:c r="Q77" s="24"/>
      <x:c r="R77" s="24" t="str">
        <x:f>IF(Q77="",P77,Q77)</x:f>
      </x:c>
      <x:c r="S77" s="24"/>
      <x:c r="T77" s="24"/>
      <x:c r="U77" s="24"/>
      <x:c r="V77" s="34"/>
    </x:row>
    <x:row r="78">
      <x:c r="A78" s="24" t="str">
        <x:v>K075</x:v>
      </x:c>
      <x:c r="B78" s="24" t="str">
        <x:f>IFERROR(XLOOKUP(A78,'01_Компании'!$A$4:$A$103,'01_Компании'!$B$4:$B$103),"")</x:f>
      </x:c>
      <x:c r="C78" s="24" t="str">
        <x:f>IFERROR(XLOOKUP(A78,'01_Компании'!$A$4:$A$103,'01_Компании'!$C$4:$C$103),"")</x:f>
      </x:c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40" t="str">
        <x:f>IF(COUNTA(D78:M78)=0,"",SUMPRODUCT(D78:M78,'03_Критерии'!$E$4:$E$13)/SUM('03_Критерии'!$E$4:$E$13))</x:f>
      </x:c>
      <x:c r="O78" s="24" t="str">
        <x:f>IF(N78="","",IF(COUNTA(D78:M78)&lt;6,"Недостаточно данных",IF(D78&lt;3,"Низкое совпадение задачи",IF(F78&lt;3,"Низкая товарная заменяемость","Нет"))))</x:f>
      </x:c>
      <x:c r="P78" s="24" t="str">
        <x:f>IF(N78="","",IF(O78="Недостаточно данных","Недостаточно данных",IF(OR(D78&lt;3,F78&lt;3),IF(N78&gt;=2.5,"Косвенный конкурент / заменитель",IF(N78&gt;=1.6,"Смежная или потенциальная конкуренция","Не конкурент / объект наблюдения")),IF(N78&gt;=4.2,"Прямой конкурент",IF(N78&gt;=3.4,"Близкий альтернативный конкурент",IF(N78&gt;=2.5,"Косвенный конкурент / заменитель",IF(N78&gt;=1.6,"Смежная или потенциальная конкуренция","Не конкурент / объект наблюдения")))))))</x:f>
      </x:c>
      <x:c r="Q78" s="24"/>
      <x:c r="R78" s="24" t="str">
        <x:f>IF(Q78="",P78,Q78)</x:f>
      </x:c>
      <x:c r="S78" s="24"/>
      <x:c r="T78" s="24"/>
      <x:c r="U78" s="24"/>
      <x:c r="V78" s="34"/>
    </x:row>
    <x:row r="79">
      <x:c r="A79" s="24" t="str">
        <x:v>K076</x:v>
      </x:c>
      <x:c r="B79" s="24" t="str">
        <x:f>IFERROR(XLOOKUP(A79,'01_Компании'!$A$4:$A$103,'01_Компании'!$B$4:$B$103),"")</x:f>
      </x:c>
      <x:c r="C79" s="24" t="str">
        <x:f>IFERROR(XLOOKUP(A79,'01_Компании'!$A$4:$A$103,'01_Компании'!$C$4:$C$103),"")</x:f>
      </x:c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40" t="str">
        <x:f>IF(COUNTA(D79:M79)=0,"",SUMPRODUCT(D79:M79,'03_Критерии'!$E$4:$E$13)/SUM('03_Критерии'!$E$4:$E$13))</x:f>
      </x:c>
      <x:c r="O79" s="24" t="str">
        <x:f>IF(N79="","",IF(COUNTA(D79:M79)&lt;6,"Недостаточно данных",IF(D79&lt;3,"Низкое совпадение задачи",IF(F79&lt;3,"Низкая товарная заменяемость","Нет"))))</x:f>
      </x:c>
      <x:c r="P79" s="24" t="str">
        <x:f>IF(N79="","",IF(O79="Недостаточно данных","Недостаточно данных",IF(OR(D79&lt;3,F79&lt;3),IF(N79&gt;=2.5,"Косвенный конкурент / заменитель",IF(N79&gt;=1.6,"Смежная или потенциальная конкуренция","Не конкурент / объект наблюдения")),IF(N79&gt;=4.2,"Прямой конкурент",IF(N79&gt;=3.4,"Близкий альтернативный конкурент",IF(N79&gt;=2.5,"Косвенный конкурент / заменитель",IF(N79&gt;=1.6,"Смежная или потенциальная конкуренция","Не конкурент / объект наблюдения")))))))</x:f>
      </x:c>
      <x:c r="Q79" s="24"/>
      <x:c r="R79" s="24" t="str">
        <x:f>IF(Q79="",P79,Q79)</x:f>
      </x:c>
      <x:c r="S79" s="24"/>
      <x:c r="T79" s="24"/>
      <x:c r="U79" s="24"/>
      <x:c r="V79" s="34"/>
    </x:row>
    <x:row r="80">
      <x:c r="A80" s="24" t="str">
        <x:v>K077</x:v>
      </x:c>
      <x:c r="B80" s="24" t="str">
        <x:f>IFERROR(XLOOKUP(A80,'01_Компании'!$A$4:$A$103,'01_Компании'!$B$4:$B$103),"")</x:f>
      </x:c>
      <x:c r="C80" s="24" t="str">
        <x:f>IFERROR(XLOOKUP(A80,'01_Компании'!$A$4:$A$103,'01_Компании'!$C$4:$C$103),"")</x:f>
      </x:c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40" t="str">
        <x:f>IF(COUNTA(D80:M80)=0,"",SUMPRODUCT(D80:M80,'03_Критерии'!$E$4:$E$13)/SUM('03_Критерии'!$E$4:$E$13))</x:f>
      </x:c>
      <x:c r="O80" s="24" t="str">
        <x:f>IF(N80="","",IF(COUNTA(D80:M80)&lt;6,"Недостаточно данных",IF(D80&lt;3,"Низкое совпадение задачи",IF(F80&lt;3,"Низкая товарная заменяемость","Нет"))))</x:f>
      </x:c>
      <x:c r="P80" s="24" t="str">
        <x:f>IF(N80="","",IF(O80="Недостаточно данных","Недостаточно данных",IF(OR(D80&lt;3,F80&lt;3),IF(N80&gt;=2.5,"Косвенный конкурент / заменитель",IF(N80&gt;=1.6,"Смежная или потенциальная конкуренция","Не конкурент / объект наблюдения")),IF(N80&gt;=4.2,"Прямой конкурент",IF(N80&gt;=3.4,"Близкий альтернативный конкурент",IF(N80&gt;=2.5,"Косвенный конкурент / заменитель",IF(N80&gt;=1.6,"Смежная или потенциальная конкуренция","Не конкурент / объект наблюдения")))))))</x:f>
      </x:c>
      <x:c r="Q80" s="24"/>
      <x:c r="R80" s="24" t="str">
        <x:f>IF(Q80="",P80,Q80)</x:f>
      </x:c>
      <x:c r="S80" s="24"/>
      <x:c r="T80" s="24"/>
      <x:c r="U80" s="24"/>
      <x:c r="V80" s="34"/>
    </x:row>
    <x:row r="81">
      <x:c r="A81" s="24" t="str">
        <x:v>K078</x:v>
      </x:c>
      <x:c r="B81" s="24" t="str">
        <x:f>IFERROR(XLOOKUP(A81,'01_Компании'!$A$4:$A$103,'01_Компании'!$B$4:$B$103),"")</x:f>
      </x:c>
      <x:c r="C81" s="24" t="str">
        <x:f>IFERROR(XLOOKUP(A81,'01_Компании'!$A$4:$A$103,'01_Компании'!$C$4:$C$103),"")</x:f>
      </x:c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40" t="str">
        <x:f>IF(COUNTA(D81:M81)=0,"",SUMPRODUCT(D81:M81,'03_Критерии'!$E$4:$E$13)/SUM('03_Критерии'!$E$4:$E$13))</x:f>
      </x:c>
      <x:c r="O81" s="24" t="str">
        <x:f>IF(N81="","",IF(COUNTA(D81:M81)&lt;6,"Недостаточно данных",IF(D81&lt;3,"Низкое совпадение задачи",IF(F81&lt;3,"Низкая товарная заменяемость","Нет"))))</x:f>
      </x:c>
      <x:c r="P81" s="24" t="str">
        <x:f>IF(N81="","",IF(O81="Недостаточно данных","Недостаточно данных",IF(OR(D81&lt;3,F81&lt;3),IF(N81&gt;=2.5,"Косвенный конкурент / заменитель",IF(N81&gt;=1.6,"Смежная или потенциальная конкуренция","Не конкурент / объект наблюдения")),IF(N81&gt;=4.2,"Прямой конкурент",IF(N81&gt;=3.4,"Близкий альтернативный конкурент",IF(N81&gt;=2.5,"Косвенный конкурент / заменитель",IF(N81&gt;=1.6,"Смежная или потенциальная конкуренция","Не конкурент / объект наблюдения")))))))</x:f>
      </x:c>
      <x:c r="Q81" s="24"/>
      <x:c r="R81" s="24" t="str">
        <x:f>IF(Q81="",P81,Q81)</x:f>
      </x:c>
      <x:c r="S81" s="24"/>
      <x:c r="T81" s="24"/>
      <x:c r="U81" s="24"/>
      <x:c r="V81" s="34"/>
    </x:row>
    <x:row r="82">
      <x:c r="A82" s="24" t="str">
        <x:v>K079</x:v>
      </x:c>
      <x:c r="B82" s="24" t="str">
        <x:f>IFERROR(XLOOKUP(A82,'01_Компании'!$A$4:$A$103,'01_Компании'!$B$4:$B$103),"")</x:f>
      </x:c>
      <x:c r="C82" s="24" t="str">
        <x:f>IFERROR(XLOOKUP(A82,'01_Компании'!$A$4:$A$103,'01_Компании'!$C$4:$C$103),"")</x:f>
      </x:c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40" t="str">
        <x:f>IF(COUNTA(D82:M82)=0,"",SUMPRODUCT(D82:M82,'03_Критерии'!$E$4:$E$13)/SUM('03_Критерии'!$E$4:$E$13))</x:f>
      </x:c>
      <x:c r="O82" s="24" t="str">
        <x:f>IF(N82="","",IF(COUNTA(D82:M82)&lt;6,"Недостаточно данных",IF(D82&lt;3,"Низкое совпадение задачи",IF(F82&lt;3,"Низкая товарная заменяемость","Нет"))))</x:f>
      </x:c>
      <x:c r="P82" s="24" t="str">
        <x:f>IF(N82="","",IF(O82="Недостаточно данных","Недостаточно данных",IF(OR(D82&lt;3,F82&lt;3),IF(N82&gt;=2.5,"Косвенный конкурент / заменитель",IF(N82&gt;=1.6,"Смежная или потенциальная конкуренция","Не конкурент / объект наблюдения")),IF(N82&gt;=4.2,"Прямой конкурент",IF(N82&gt;=3.4,"Близкий альтернативный конкурент",IF(N82&gt;=2.5,"Косвенный конкурент / заменитель",IF(N82&gt;=1.6,"Смежная или потенциальная конкуренция","Не конкурент / объект наблюдения")))))))</x:f>
      </x:c>
      <x:c r="Q82" s="24"/>
      <x:c r="R82" s="24" t="str">
        <x:f>IF(Q82="",P82,Q82)</x:f>
      </x:c>
      <x:c r="S82" s="24"/>
      <x:c r="T82" s="24"/>
      <x:c r="U82" s="24"/>
      <x:c r="V82" s="34"/>
    </x:row>
    <x:row r="83">
      <x:c r="A83" s="24" t="str">
        <x:v>K080</x:v>
      </x:c>
      <x:c r="B83" s="24" t="str">
        <x:f>IFERROR(XLOOKUP(A83,'01_Компании'!$A$4:$A$103,'01_Компании'!$B$4:$B$103),"")</x:f>
      </x:c>
      <x:c r="C83" s="24" t="str">
        <x:f>IFERROR(XLOOKUP(A83,'01_Компании'!$A$4:$A$103,'01_Компании'!$C$4:$C$103),"")</x:f>
      </x:c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40" t="str">
        <x:f>IF(COUNTA(D83:M83)=0,"",SUMPRODUCT(D83:M83,'03_Критерии'!$E$4:$E$13)/SUM('03_Критерии'!$E$4:$E$13))</x:f>
      </x:c>
      <x:c r="O83" s="24" t="str">
        <x:f>IF(N83="","",IF(COUNTA(D83:M83)&lt;6,"Недостаточно данных",IF(D83&lt;3,"Низкое совпадение задачи",IF(F83&lt;3,"Низкая товарная заменяемость","Нет"))))</x:f>
      </x:c>
      <x:c r="P83" s="24" t="str">
        <x:f>IF(N83="","",IF(O83="Недостаточно данных","Недостаточно данных",IF(OR(D83&lt;3,F83&lt;3),IF(N83&gt;=2.5,"Косвенный конкурент / заменитель",IF(N83&gt;=1.6,"Смежная или потенциальная конкуренция","Не конкурент / объект наблюдения")),IF(N83&gt;=4.2,"Прямой конкурент",IF(N83&gt;=3.4,"Близкий альтернативный конкурент",IF(N83&gt;=2.5,"Косвенный конкурент / заменитель",IF(N83&gt;=1.6,"Смежная или потенциальная конкуренция","Не конкурент / объект наблюдения")))))))</x:f>
      </x:c>
      <x:c r="Q83" s="24"/>
      <x:c r="R83" s="24" t="str">
        <x:f>IF(Q83="",P83,Q83)</x:f>
      </x:c>
      <x:c r="S83" s="24"/>
      <x:c r="T83" s="24"/>
      <x:c r="U83" s="24"/>
      <x:c r="V83" s="34"/>
    </x:row>
    <x:row r="84">
      <x:c r="A84" s="24" t="str">
        <x:v>K081</x:v>
      </x:c>
      <x:c r="B84" s="24" t="str">
        <x:f>IFERROR(XLOOKUP(A84,'01_Компании'!$A$4:$A$103,'01_Компании'!$B$4:$B$103),"")</x:f>
      </x:c>
      <x:c r="C84" s="24" t="str">
        <x:f>IFERROR(XLOOKUP(A84,'01_Компании'!$A$4:$A$103,'01_Компании'!$C$4:$C$103),"")</x:f>
      </x:c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40" t="str">
        <x:f>IF(COUNTA(D84:M84)=0,"",SUMPRODUCT(D84:M84,'03_Критерии'!$E$4:$E$13)/SUM('03_Критерии'!$E$4:$E$13))</x:f>
      </x:c>
      <x:c r="O84" s="24" t="str">
        <x:f>IF(N84="","",IF(COUNTA(D84:M84)&lt;6,"Недостаточно данных",IF(D84&lt;3,"Низкое совпадение задачи",IF(F84&lt;3,"Низкая товарная заменяемость","Нет"))))</x:f>
      </x:c>
      <x:c r="P84" s="24" t="str">
        <x:f>IF(N84="","",IF(O84="Недостаточно данных","Недостаточно данных",IF(OR(D84&lt;3,F84&lt;3),IF(N84&gt;=2.5,"Косвенный конкурент / заменитель",IF(N84&gt;=1.6,"Смежная или потенциальная конкуренция","Не конкурент / объект наблюдения")),IF(N84&gt;=4.2,"Прямой конкурент",IF(N84&gt;=3.4,"Близкий альтернативный конкурент",IF(N84&gt;=2.5,"Косвенный конкурент / заменитель",IF(N84&gt;=1.6,"Смежная или потенциальная конкуренция","Не конкурент / объект наблюдения")))))))</x:f>
      </x:c>
      <x:c r="Q84" s="24"/>
      <x:c r="R84" s="24" t="str">
        <x:f>IF(Q84="",P84,Q84)</x:f>
      </x:c>
      <x:c r="S84" s="24"/>
      <x:c r="T84" s="24"/>
      <x:c r="U84" s="24"/>
      <x:c r="V84" s="34"/>
    </x:row>
    <x:row r="85">
      <x:c r="A85" s="24" t="str">
        <x:v>K082</x:v>
      </x:c>
      <x:c r="B85" s="24" t="str">
        <x:f>IFERROR(XLOOKUP(A85,'01_Компании'!$A$4:$A$103,'01_Компании'!$B$4:$B$103),"")</x:f>
      </x:c>
      <x:c r="C85" s="24" t="str">
        <x:f>IFERROR(XLOOKUP(A85,'01_Компании'!$A$4:$A$103,'01_Компании'!$C$4:$C$103),"")</x:f>
      </x:c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40" t="str">
        <x:f>IF(COUNTA(D85:M85)=0,"",SUMPRODUCT(D85:M85,'03_Критерии'!$E$4:$E$13)/SUM('03_Критерии'!$E$4:$E$13))</x:f>
      </x:c>
      <x:c r="O85" s="24" t="str">
        <x:f>IF(N85="","",IF(COUNTA(D85:M85)&lt;6,"Недостаточно данных",IF(D85&lt;3,"Низкое совпадение задачи",IF(F85&lt;3,"Низкая товарная заменяемость","Нет"))))</x:f>
      </x:c>
      <x:c r="P85" s="24" t="str">
        <x:f>IF(N85="","",IF(O85="Недостаточно данных","Недостаточно данных",IF(OR(D85&lt;3,F85&lt;3),IF(N85&gt;=2.5,"Косвенный конкурент / заменитель",IF(N85&gt;=1.6,"Смежная или потенциальная конкуренция","Не конкурент / объект наблюдения")),IF(N85&gt;=4.2,"Прямой конкурент",IF(N85&gt;=3.4,"Близкий альтернативный конкурент",IF(N85&gt;=2.5,"Косвенный конкурент / заменитель",IF(N85&gt;=1.6,"Смежная или потенциальная конкуренция","Не конкурент / объект наблюдения")))))))</x:f>
      </x:c>
      <x:c r="Q85" s="24"/>
      <x:c r="R85" s="24" t="str">
        <x:f>IF(Q85="",P85,Q85)</x:f>
      </x:c>
      <x:c r="S85" s="24"/>
      <x:c r="T85" s="24"/>
      <x:c r="U85" s="24"/>
      <x:c r="V85" s="34"/>
    </x:row>
    <x:row r="86">
      <x:c r="A86" s="24" t="str">
        <x:v>K083</x:v>
      </x:c>
      <x:c r="B86" s="24" t="str">
        <x:f>IFERROR(XLOOKUP(A86,'01_Компании'!$A$4:$A$103,'01_Компании'!$B$4:$B$103),"")</x:f>
      </x:c>
      <x:c r="C86" s="24" t="str">
        <x:f>IFERROR(XLOOKUP(A86,'01_Компании'!$A$4:$A$103,'01_Компании'!$C$4:$C$103),"")</x:f>
      </x:c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40" t="str">
        <x:f>IF(COUNTA(D86:M86)=0,"",SUMPRODUCT(D86:M86,'03_Критерии'!$E$4:$E$13)/SUM('03_Критерии'!$E$4:$E$13))</x:f>
      </x:c>
      <x:c r="O86" s="24" t="str">
        <x:f>IF(N86="","",IF(COUNTA(D86:M86)&lt;6,"Недостаточно данных",IF(D86&lt;3,"Низкое совпадение задачи",IF(F86&lt;3,"Низкая товарная заменяемость","Нет"))))</x:f>
      </x:c>
      <x:c r="P86" s="24" t="str">
        <x:f>IF(N86="","",IF(O86="Недостаточно данных","Недостаточно данных",IF(OR(D86&lt;3,F86&lt;3),IF(N86&gt;=2.5,"Косвенный конкурент / заменитель",IF(N86&gt;=1.6,"Смежная или потенциальная конкуренция","Не конкурент / объект наблюдения")),IF(N86&gt;=4.2,"Прямой конкурент",IF(N86&gt;=3.4,"Близкий альтернативный конкурент",IF(N86&gt;=2.5,"Косвенный конкурент / заменитель",IF(N86&gt;=1.6,"Смежная или потенциальная конкуренция","Не конкурент / объект наблюдения")))))))</x:f>
      </x:c>
      <x:c r="Q86" s="24"/>
      <x:c r="R86" s="24" t="str">
        <x:f>IF(Q86="",P86,Q86)</x:f>
      </x:c>
      <x:c r="S86" s="24"/>
      <x:c r="T86" s="24"/>
      <x:c r="U86" s="24"/>
      <x:c r="V86" s="34"/>
    </x:row>
    <x:row r="87">
      <x:c r="A87" s="24" t="str">
        <x:v>K084</x:v>
      </x:c>
      <x:c r="B87" s="24" t="str">
        <x:f>IFERROR(XLOOKUP(A87,'01_Компании'!$A$4:$A$103,'01_Компании'!$B$4:$B$103),"")</x:f>
      </x:c>
      <x:c r="C87" s="24" t="str">
        <x:f>IFERROR(XLOOKUP(A87,'01_Компании'!$A$4:$A$103,'01_Компании'!$C$4:$C$103),"")</x:f>
      </x:c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40" t="str">
        <x:f>IF(COUNTA(D87:M87)=0,"",SUMPRODUCT(D87:M87,'03_Критерии'!$E$4:$E$13)/SUM('03_Критерии'!$E$4:$E$13))</x:f>
      </x:c>
      <x:c r="O87" s="24" t="str">
        <x:f>IF(N87="","",IF(COUNTA(D87:M87)&lt;6,"Недостаточно данных",IF(D87&lt;3,"Низкое совпадение задачи",IF(F87&lt;3,"Низкая товарная заменяемость","Нет"))))</x:f>
      </x:c>
      <x:c r="P87" s="24" t="str">
        <x:f>IF(N87="","",IF(O87="Недостаточно данных","Недостаточно данных",IF(OR(D87&lt;3,F87&lt;3),IF(N87&gt;=2.5,"Косвенный конкурент / заменитель",IF(N87&gt;=1.6,"Смежная или потенциальная конкуренция","Не конкурент / объект наблюдения")),IF(N87&gt;=4.2,"Прямой конкурент",IF(N87&gt;=3.4,"Близкий альтернативный конкурент",IF(N87&gt;=2.5,"Косвенный конкурент / заменитель",IF(N87&gt;=1.6,"Смежная или потенциальная конкуренция","Не конкурент / объект наблюдения")))))))</x:f>
      </x:c>
      <x:c r="Q87" s="24"/>
      <x:c r="R87" s="24" t="str">
        <x:f>IF(Q87="",P87,Q87)</x:f>
      </x:c>
      <x:c r="S87" s="24"/>
      <x:c r="T87" s="24"/>
      <x:c r="U87" s="24"/>
      <x:c r="V87" s="34"/>
    </x:row>
    <x:row r="88">
      <x:c r="A88" s="24" t="str">
        <x:v>K085</x:v>
      </x:c>
      <x:c r="B88" s="24" t="str">
        <x:f>IFERROR(XLOOKUP(A88,'01_Компании'!$A$4:$A$103,'01_Компании'!$B$4:$B$103),"")</x:f>
      </x:c>
      <x:c r="C88" s="24" t="str">
        <x:f>IFERROR(XLOOKUP(A88,'01_Компании'!$A$4:$A$103,'01_Компании'!$C$4:$C$103),"")</x:f>
      </x:c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40" t="str">
        <x:f>IF(COUNTA(D88:M88)=0,"",SUMPRODUCT(D88:M88,'03_Критерии'!$E$4:$E$13)/SUM('03_Критерии'!$E$4:$E$13))</x:f>
      </x:c>
      <x:c r="O88" s="24" t="str">
        <x:f>IF(N88="","",IF(COUNTA(D88:M88)&lt;6,"Недостаточно данных",IF(D88&lt;3,"Низкое совпадение задачи",IF(F88&lt;3,"Низкая товарная заменяемость","Нет"))))</x:f>
      </x:c>
      <x:c r="P88" s="24" t="str">
        <x:f>IF(N88="","",IF(O88="Недостаточно данных","Недостаточно данных",IF(OR(D88&lt;3,F88&lt;3),IF(N88&gt;=2.5,"Косвенный конкурент / заменитель",IF(N88&gt;=1.6,"Смежная или потенциальная конкуренция","Не конкурент / объект наблюдения")),IF(N88&gt;=4.2,"Прямой конкурент",IF(N88&gt;=3.4,"Близкий альтернативный конкурент",IF(N88&gt;=2.5,"Косвенный конкурент / заменитель",IF(N88&gt;=1.6,"Смежная или потенциальная конкуренция","Не конкурент / объект наблюдения")))))))</x:f>
      </x:c>
      <x:c r="Q88" s="24"/>
      <x:c r="R88" s="24" t="str">
        <x:f>IF(Q88="",P88,Q88)</x:f>
      </x:c>
      <x:c r="S88" s="24"/>
      <x:c r="T88" s="24"/>
      <x:c r="U88" s="24"/>
      <x:c r="V88" s="34"/>
    </x:row>
    <x:row r="89">
      <x:c r="A89" s="24" t="str">
        <x:v>K086</x:v>
      </x:c>
      <x:c r="B89" s="24" t="str">
        <x:f>IFERROR(XLOOKUP(A89,'01_Компании'!$A$4:$A$103,'01_Компании'!$B$4:$B$103),"")</x:f>
      </x:c>
      <x:c r="C89" s="24" t="str">
        <x:f>IFERROR(XLOOKUP(A89,'01_Компании'!$A$4:$A$103,'01_Компании'!$C$4:$C$103),"")</x:f>
      </x:c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40" t="str">
        <x:f>IF(COUNTA(D89:M89)=0,"",SUMPRODUCT(D89:M89,'03_Критерии'!$E$4:$E$13)/SUM('03_Критерии'!$E$4:$E$13))</x:f>
      </x:c>
      <x:c r="O89" s="24" t="str">
        <x:f>IF(N89="","",IF(COUNTA(D89:M89)&lt;6,"Недостаточно данных",IF(D89&lt;3,"Низкое совпадение задачи",IF(F89&lt;3,"Низкая товарная заменяемость","Нет"))))</x:f>
      </x:c>
      <x:c r="P89" s="24" t="str">
        <x:f>IF(N89="","",IF(O89="Недостаточно данных","Недостаточно данных",IF(OR(D89&lt;3,F89&lt;3),IF(N89&gt;=2.5,"Косвенный конкурент / заменитель",IF(N89&gt;=1.6,"Смежная или потенциальная конкуренция","Не конкурент / объект наблюдения")),IF(N89&gt;=4.2,"Прямой конкурент",IF(N89&gt;=3.4,"Близкий альтернативный конкурент",IF(N89&gt;=2.5,"Косвенный конкурент / заменитель",IF(N89&gt;=1.6,"Смежная или потенциальная конкуренция","Не конкурент / объект наблюдения")))))))</x:f>
      </x:c>
      <x:c r="Q89" s="24"/>
      <x:c r="R89" s="24" t="str">
        <x:f>IF(Q89="",P89,Q89)</x:f>
      </x:c>
      <x:c r="S89" s="24"/>
      <x:c r="T89" s="24"/>
      <x:c r="U89" s="24"/>
      <x:c r="V89" s="34"/>
    </x:row>
    <x:row r="90">
      <x:c r="A90" s="24" t="str">
        <x:v>K087</x:v>
      </x:c>
      <x:c r="B90" s="24" t="str">
        <x:f>IFERROR(XLOOKUP(A90,'01_Компании'!$A$4:$A$103,'01_Компании'!$B$4:$B$103),"")</x:f>
      </x:c>
      <x:c r="C90" s="24" t="str">
        <x:f>IFERROR(XLOOKUP(A90,'01_Компании'!$A$4:$A$103,'01_Компании'!$C$4:$C$103),"")</x:f>
      </x:c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40" t="str">
        <x:f>IF(COUNTA(D90:M90)=0,"",SUMPRODUCT(D90:M90,'03_Критерии'!$E$4:$E$13)/SUM('03_Критерии'!$E$4:$E$13))</x:f>
      </x:c>
      <x:c r="O90" s="24" t="str">
        <x:f>IF(N90="","",IF(COUNTA(D90:M90)&lt;6,"Недостаточно данных",IF(D90&lt;3,"Низкое совпадение задачи",IF(F90&lt;3,"Низкая товарная заменяемость","Нет"))))</x:f>
      </x:c>
      <x:c r="P90" s="24" t="str">
        <x:f>IF(N90="","",IF(O90="Недостаточно данных","Недостаточно данных",IF(OR(D90&lt;3,F90&lt;3),IF(N90&gt;=2.5,"Косвенный конкурент / заменитель",IF(N90&gt;=1.6,"Смежная или потенциальная конкуренция","Не конкурент / объект наблюдения")),IF(N90&gt;=4.2,"Прямой конкурент",IF(N90&gt;=3.4,"Близкий альтернативный конкурент",IF(N90&gt;=2.5,"Косвенный конкурент / заменитель",IF(N90&gt;=1.6,"Смежная или потенциальная конкуренция","Не конкурент / объект наблюдения")))))))</x:f>
      </x:c>
      <x:c r="Q90" s="24"/>
      <x:c r="R90" s="24" t="str">
        <x:f>IF(Q90="",P90,Q90)</x:f>
      </x:c>
      <x:c r="S90" s="24"/>
      <x:c r="T90" s="24"/>
      <x:c r="U90" s="24"/>
      <x:c r="V90" s="34"/>
    </x:row>
    <x:row r="91">
      <x:c r="A91" s="24" t="str">
        <x:v>K088</x:v>
      </x:c>
      <x:c r="B91" s="24" t="str">
        <x:f>IFERROR(XLOOKUP(A91,'01_Компании'!$A$4:$A$103,'01_Компании'!$B$4:$B$103),"")</x:f>
      </x:c>
      <x:c r="C91" s="24" t="str">
        <x:f>IFERROR(XLOOKUP(A91,'01_Компании'!$A$4:$A$103,'01_Компании'!$C$4:$C$103),"")</x:f>
      </x:c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40" t="str">
        <x:f>IF(COUNTA(D91:M91)=0,"",SUMPRODUCT(D91:M91,'03_Критерии'!$E$4:$E$13)/SUM('03_Критерии'!$E$4:$E$13))</x:f>
      </x:c>
      <x:c r="O91" s="24" t="str">
        <x:f>IF(N91="","",IF(COUNTA(D91:M91)&lt;6,"Недостаточно данных",IF(D91&lt;3,"Низкое совпадение задачи",IF(F91&lt;3,"Низкая товарная заменяемость","Нет"))))</x:f>
      </x:c>
      <x:c r="P91" s="24" t="str">
        <x:f>IF(N91="","",IF(O91="Недостаточно данных","Недостаточно данных",IF(OR(D91&lt;3,F91&lt;3),IF(N91&gt;=2.5,"Косвенный конкурент / заменитель",IF(N91&gt;=1.6,"Смежная или потенциальная конкуренция","Не конкурент / объект наблюдения")),IF(N91&gt;=4.2,"Прямой конкурент",IF(N91&gt;=3.4,"Близкий альтернативный конкурент",IF(N91&gt;=2.5,"Косвенный конкурент / заменитель",IF(N91&gt;=1.6,"Смежная или потенциальная конкуренция","Не конкурент / объект наблюдения")))))))</x:f>
      </x:c>
      <x:c r="Q91" s="24"/>
      <x:c r="R91" s="24" t="str">
        <x:f>IF(Q91="",P91,Q91)</x:f>
      </x:c>
      <x:c r="S91" s="24"/>
      <x:c r="T91" s="24"/>
      <x:c r="U91" s="24"/>
      <x:c r="V91" s="34"/>
    </x:row>
    <x:row r="92">
      <x:c r="A92" s="24" t="str">
        <x:v>K089</x:v>
      </x:c>
      <x:c r="B92" s="24" t="str">
        <x:f>IFERROR(XLOOKUP(A92,'01_Компании'!$A$4:$A$103,'01_Компании'!$B$4:$B$103),"")</x:f>
      </x:c>
      <x:c r="C92" s="24" t="str">
        <x:f>IFERROR(XLOOKUP(A92,'01_Компании'!$A$4:$A$103,'01_Компании'!$C$4:$C$103),"")</x:f>
      </x:c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40" t="str">
        <x:f>IF(COUNTA(D92:M92)=0,"",SUMPRODUCT(D92:M92,'03_Критерии'!$E$4:$E$13)/SUM('03_Критерии'!$E$4:$E$13))</x:f>
      </x:c>
      <x:c r="O92" s="24" t="str">
        <x:f>IF(N92="","",IF(COUNTA(D92:M92)&lt;6,"Недостаточно данных",IF(D92&lt;3,"Низкое совпадение задачи",IF(F92&lt;3,"Низкая товарная заменяемость","Нет"))))</x:f>
      </x:c>
      <x:c r="P92" s="24" t="str">
        <x:f>IF(N92="","",IF(O92="Недостаточно данных","Недостаточно данных",IF(OR(D92&lt;3,F92&lt;3),IF(N92&gt;=2.5,"Косвенный конкурент / заменитель",IF(N92&gt;=1.6,"Смежная или потенциальная конкуренция","Не конкурент / объект наблюдения")),IF(N92&gt;=4.2,"Прямой конкурент",IF(N92&gt;=3.4,"Близкий альтернативный конкурент",IF(N92&gt;=2.5,"Косвенный конкурент / заменитель",IF(N92&gt;=1.6,"Смежная или потенциальная конкуренция","Не конкурент / объект наблюдения")))))))</x:f>
      </x:c>
      <x:c r="Q92" s="24"/>
      <x:c r="R92" s="24" t="str">
        <x:f>IF(Q92="",P92,Q92)</x:f>
      </x:c>
      <x:c r="S92" s="24"/>
      <x:c r="T92" s="24"/>
      <x:c r="U92" s="24"/>
      <x:c r="V92" s="34"/>
    </x:row>
    <x:row r="93">
      <x:c r="A93" s="24" t="str">
        <x:v>K090</x:v>
      </x:c>
      <x:c r="B93" s="24" t="str">
        <x:f>IFERROR(XLOOKUP(A93,'01_Компании'!$A$4:$A$103,'01_Компании'!$B$4:$B$103),"")</x:f>
      </x:c>
      <x:c r="C93" s="24" t="str">
        <x:f>IFERROR(XLOOKUP(A93,'01_Компании'!$A$4:$A$103,'01_Компании'!$C$4:$C$103),"")</x:f>
      </x:c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40" t="str">
        <x:f>IF(COUNTA(D93:M93)=0,"",SUMPRODUCT(D93:M93,'03_Критерии'!$E$4:$E$13)/SUM('03_Критерии'!$E$4:$E$13))</x:f>
      </x:c>
      <x:c r="O93" s="24" t="str">
        <x:f>IF(N93="","",IF(COUNTA(D93:M93)&lt;6,"Недостаточно данных",IF(D93&lt;3,"Низкое совпадение задачи",IF(F93&lt;3,"Низкая товарная заменяемость","Нет"))))</x:f>
      </x:c>
      <x:c r="P93" s="24" t="str">
        <x:f>IF(N93="","",IF(O93="Недостаточно данных","Недостаточно данных",IF(OR(D93&lt;3,F93&lt;3),IF(N93&gt;=2.5,"Косвенный конкурент / заменитель",IF(N93&gt;=1.6,"Смежная или потенциальная конкуренция","Не конкурент / объект наблюдения")),IF(N93&gt;=4.2,"Прямой конкурент",IF(N93&gt;=3.4,"Близкий альтернативный конкурент",IF(N93&gt;=2.5,"Косвенный конкурент / заменитель",IF(N93&gt;=1.6,"Смежная или потенциальная конкуренция","Не конкурент / объект наблюдения")))))))</x:f>
      </x:c>
      <x:c r="Q93" s="24"/>
      <x:c r="R93" s="24" t="str">
        <x:f>IF(Q93="",P93,Q93)</x:f>
      </x:c>
      <x:c r="S93" s="24"/>
      <x:c r="T93" s="24"/>
      <x:c r="U93" s="24"/>
      <x:c r="V93" s="34"/>
    </x:row>
    <x:row r="94">
      <x:c r="A94" s="24" t="str">
        <x:v>K091</x:v>
      </x:c>
      <x:c r="B94" s="24" t="str">
        <x:f>IFERROR(XLOOKUP(A94,'01_Компании'!$A$4:$A$103,'01_Компании'!$B$4:$B$103),"")</x:f>
      </x:c>
      <x:c r="C94" s="24" t="str">
        <x:f>IFERROR(XLOOKUP(A94,'01_Компании'!$A$4:$A$103,'01_Компании'!$C$4:$C$103),"")</x:f>
      </x:c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40" t="str">
        <x:f>IF(COUNTA(D94:M94)=0,"",SUMPRODUCT(D94:M94,'03_Критерии'!$E$4:$E$13)/SUM('03_Критерии'!$E$4:$E$13))</x:f>
      </x:c>
      <x:c r="O94" s="24" t="str">
        <x:f>IF(N94="","",IF(COUNTA(D94:M94)&lt;6,"Недостаточно данных",IF(D94&lt;3,"Низкое совпадение задачи",IF(F94&lt;3,"Низкая товарная заменяемость","Нет"))))</x:f>
      </x:c>
      <x:c r="P94" s="24" t="str">
        <x:f>IF(N94="","",IF(O94="Недостаточно данных","Недостаточно данных",IF(OR(D94&lt;3,F94&lt;3),IF(N94&gt;=2.5,"Косвенный конкурент / заменитель",IF(N94&gt;=1.6,"Смежная или потенциальная конкуренция","Не конкурент / объект наблюдения")),IF(N94&gt;=4.2,"Прямой конкурент",IF(N94&gt;=3.4,"Близкий альтернативный конкурент",IF(N94&gt;=2.5,"Косвенный конкурент / заменитель",IF(N94&gt;=1.6,"Смежная или потенциальная конкуренция","Не конкурент / объект наблюдения")))))))</x:f>
      </x:c>
      <x:c r="Q94" s="24"/>
      <x:c r="R94" s="24" t="str">
        <x:f>IF(Q94="",P94,Q94)</x:f>
      </x:c>
      <x:c r="S94" s="24"/>
      <x:c r="T94" s="24"/>
      <x:c r="U94" s="24"/>
      <x:c r="V94" s="34"/>
    </x:row>
    <x:row r="95">
      <x:c r="A95" s="24" t="str">
        <x:v>K092</x:v>
      </x:c>
      <x:c r="B95" s="24" t="str">
        <x:f>IFERROR(XLOOKUP(A95,'01_Компании'!$A$4:$A$103,'01_Компании'!$B$4:$B$103),"")</x:f>
      </x:c>
      <x:c r="C95" s="24" t="str">
        <x:f>IFERROR(XLOOKUP(A95,'01_Компании'!$A$4:$A$103,'01_Компании'!$C$4:$C$103),"")</x:f>
      </x:c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40" t="str">
        <x:f>IF(COUNTA(D95:M95)=0,"",SUMPRODUCT(D95:M95,'03_Критерии'!$E$4:$E$13)/SUM('03_Критерии'!$E$4:$E$13))</x:f>
      </x:c>
      <x:c r="O95" s="24" t="str">
        <x:f>IF(N95="","",IF(COUNTA(D95:M95)&lt;6,"Недостаточно данных",IF(D95&lt;3,"Низкое совпадение задачи",IF(F95&lt;3,"Низкая товарная заменяемость","Нет"))))</x:f>
      </x:c>
      <x:c r="P95" s="24" t="str">
        <x:f>IF(N95="","",IF(O95="Недостаточно данных","Недостаточно данных",IF(OR(D95&lt;3,F95&lt;3),IF(N95&gt;=2.5,"Косвенный конкурент / заменитель",IF(N95&gt;=1.6,"Смежная или потенциальная конкуренция","Не конкурент / объект наблюдения")),IF(N95&gt;=4.2,"Прямой конкурент",IF(N95&gt;=3.4,"Близкий альтернативный конкурент",IF(N95&gt;=2.5,"Косвенный конкурент / заменитель",IF(N95&gt;=1.6,"Смежная или потенциальная конкуренция","Не конкурент / объект наблюдения")))))))</x:f>
      </x:c>
      <x:c r="Q95" s="24"/>
      <x:c r="R95" s="24" t="str">
        <x:f>IF(Q95="",P95,Q95)</x:f>
      </x:c>
      <x:c r="S95" s="24"/>
      <x:c r="T95" s="24"/>
      <x:c r="U95" s="24"/>
      <x:c r="V95" s="34"/>
    </x:row>
    <x:row r="96">
      <x:c r="A96" s="24" t="str">
        <x:v>K093</x:v>
      </x:c>
      <x:c r="B96" s="24" t="str">
        <x:f>IFERROR(XLOOKUP(A96,'01_Компании'!$A$4:$A$103,'01_Компании'!$B$4:$B$103),"")</x:f>
      </x:c>
      <x:c r="C96" s="24" t="str">
        <x:f>IFERROR(XLOOKUP(A96,'01_Компании'!$A$4:$A$103,'01_Компании'!$C$4:$C$103),"")</x:f>
      </x:c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40" t="str">
        <x:f>IF(COUNTA(D96:M96)=0,"",SUMPRODUCT(D96:M96,'03_Критерии'!$E$4:$E$13)/SUM('03_Критерии'!$E$4:$E$13))</x:f>
      </x:c>
      <x:c r="O96" s="24" t="str">
        <x:f>IF(N96="","",IF(COUNTA(D96:M96)&lt;6,"Недостаточно данных",IF(D96&lt;3,"Низкое совпадение задачи",IF(F96&lt;3,"Низкая товарная заменяемость","Нет"))))</x:f>
      </x:c>
      <x:c r="P96" s="24" t="str">
        <x:f>IF(N96="","",IF(O96="Недостаточно данных","Недостаточно данных",IF(OR(D96&lt;3,F96&lt;3),IF(N96&gt;=2.5,"Косвенный конкурент / заменитель",IF(N96&gt;=1.6,"Смежная или потенциальная конкуренция","Не конкурент / объект наблюдения")),IF(N96&gt;=4.2,"Прямой конкурент",IF(N96&gt;=3.4,"Близкий альтернативный конкурент",IF(N96&gt;=2.5,"Косвенный конкурент / заменитель",IF(N96&gt;=1.6,"Смежная или потенциальная конкуренция","Не конкурент / объект наблюдения")))))))</x:f>
      </x:c>
      <x:c r="Q96" s="24"/>
      <x:c r="R96" s="24" t="str">
        <x:f>IF(Q96="",P96,Q96)</x:f>
      </x:c>
      <x:c r="S96" s="24"/>
      <x:c r="T96" s="24"/>
      <x:c r="U96" s="24"/>
      <x:c r="V96" s="34"/>
    </x:row>
    <x:row r="97">
      <x:c r="A97" s="24" t="str">
        <x:v>K094</x:v>
      </x:c>
      <x:c r="B97" s="24" t="str">
        <x:f>IFERROR(XLOOKUP(A97,'01_Компании'!$A$4:$A$103,'01_Компании'!$B$4:$B$103),"")</x:f>
      </x:c>
      <x:c r="C97" s="24" t="str">
        <x:f>IFERROR(XLOOKUP(A97,'01_Компании'!$A$4:$A$103,'01_Компании'!$C$4:$C$103),"")</x:f>
      </x:c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40" t="str">
        <x:f>IF(COUNTA(D97:M97)=0,"",SUMPRODUCT(D97:M97,'03_Критерии'!$E$4:$E$13)/SUM('03_Критерии'!$E$4:$E$13))</x:f>
      </x:c>
      <x:c r="O97" s="24" t="str">
        <x:f>IF(N97="","",IF(COUNTA(D97:M97)&lt;6,"Недостаточно данных",IF(D97&lt;3,"Низкое совпадение задачи",IF(F97&lt;3,"Низкая товарная заменяемость","Нет"))))</x:f>
      </x:c>
      <x:c r="P97" s="24" t="str">
        <x:f>IF(N97="","",IF(O97="Недостаточно данных","Недостаточно данных",IF(OR(D97&lt;3,F97&lt;3),IF(N97&gt;=2.5,"Косвенный конкурент / заменитель",IF(N97&gt;=1.6,"Смежная или потенциальная конкуренция","Не конкурент / объект наблюдения")),IF(N97&gt;=4.2,"Прямой конкурент",IF(N97&gt;=3.4,"Близкий альтернативный конкурент",IF(N97&gt;=2.5,"Косвенный конкурент / заменитель",IF(N97&gt;=1.6,"Смежная или потенциальная конкуренция","Не конкурент / объект наблюдения")))))))</x:f>
      </x:c>
      <x:c r="Q97" s="24"/>
      <x:c r="R97" s="24" t="str">
        <x:f>IF(Q97="",P97,Q97)</x:f>
      </x:c>
      <x:c r="S97" s="24"/>
      <x:c r="T97" s="24"/>
      <x:c r="U97" s="24"/>
      <x:c r="V97" s="34"/>
    </x:row>
    <x:row r="98">
      <x:c r="A98" s="24" t="str">
        <x:v>K095</x:v>
      </x:c>
      <x:c r="B98" s="24" t="str">
        <x:f>IFERROR(XLOOKUP(A98,'01_Компании'!$A$4:$A$103,'01_Компании'!$B$4:$B$103),"")</x:f>
      </x:c>
      <x:c r="C98" s="24" t="str">
        <x:f>IFERROR(XLOOKUP(A98,'01_Компании'!$A$4:$A$103,'01_Компании'!$C$4:$C$103),"")</x:f>
      </x:c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40" t="str">
        <x:f>IF(COUNTA(D98:M98)=0,"",SUMPRODUCT(D98:M98,'03_Критерии'!$E$4:$E$13)/SUM('03_Критерии'!$E$4:$E$13))</x:f>
      </x:c>
      <x:c r="O98" s="24" t="str">
        <x:f>IF(N98="","",IF(COUNTA(D98:M98)&lt;6,"Недостаточно данных",IF(D98&lt;3,"Низкое совпадение задачи",IF(F98&lt;3,"Низкая товарная заменяемость","Нет"))))</x:f>
      </x:c>
      <x:c r="P98" s="24" t="str">
        <x:f>IF(N98="","",IF(O98="Недостаточно данных","Недостаточно данных",IF(OR(D98&lt;3,F98&lt;3),IF(N98&gt;=2.5,"Косвенный конкурент / заменитель",IF(N98&gt;=1.6,"Смежная или потенциальная конкуренция","Не конкурент / объект наблюдения")),IF(N98&gt;=4.2,"Прямой конкурент",IF(N98&gt;=3.4,"Близкий альтернативный конкурент",IF(N98&gt;=2.5,"Косвенный конкурент / заменитель",IF(N98&gt;=1.6,"Смежная или потенциальная конкуренция","Не конкурент / объект наблюдения")))))))</x:f>
      </x:c>
      <x:c r="Q98" s="24"/>
      <x:c r="R98" s="24" t="str">
        <x:f>IF(Q98="",P98,Q98)</x:f>
      </x:c>
      <x:c r="S98" s="24"/>
      <x:c r="T98" s="24"/>
      <x:c r="U98" s="24"/>
      <x:c r="V98" s="34"/>
    </x:row>
    <x:row r="99">
      <x:c r="A99" s="24" t="str">
        <x:v>K096</x:v>
      </x:c>
      <x:c r="B99" s="24" t="str">
        <x:f>IFERROR(XLOOKUP(A99,'01_Компании'!$A$4:$A$103,'01_Компании'!$B$4:$B$103),"")</x:f>
      </x:c>
      <x:c r="C99" s="24" t="str">
        <x:f>IFERROR(XLOOKUP(A99,'01_Компании'!$A$4:$A$103,'01_Компании'!$C$4:$C$103),"")</x:f>
      </x:c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40" t="str">
        <x:f>IF(COUNTA(D99:M99)=0,"",SUMPRODUCT(D99:M99,'03_Критерии'!$E$4:$E$13)/SUM('03_Критерии'!$E$4:$E$13))</x:f>
      </x:c>
      <x:c r="O99" s="24" t="str">
        <x:f>IF(N99="","",IF(COUNTA(D99:M99)&lt;6,"Недостаточно данных",IF(D99&lt;3,"Низкое совпадение задачи",IF(F99&lt;3,"Низкая товарная заменяемость","Нет"))))</x:f>
      </x:c>
      <x:c r="P99" s="24" t="str">
        <x:f>IF(N99="","",IF(O99="Недостаточно данных","Недостаточно данных",IF(OR(D99&lt;3,F99&lt;3),IF(N99&gt;=2.5,"Косвенный конкурент / заменитель",IF(N99&gt;=1.6,"Смежная или потенциальная конкуренция","Не конкурент / объект наблюдения")),IF(N99&gt;=4.2,"Прямой конкурент",IF(N99&gt;=3.4,"Близкий альтернативный конкурент",IF(N99&gt;=2.5,"Косвенный конкурент / заменитель",IF(N99&gt;=1.6,"Смежная или потенциальная конкуренция","Не конкурент / объект наблюдения")))))))</x:f>
      </x:c>
      <x:c r="Q99" s="24"/>
      <x:c r="R99" s="24" t="str">
        <x:f>IF(Q99="",P99,Q99)</x:f>
      </x:c>
      <x:c r="S99" s="24"/>
      <x:c r="T99" s="24"/>
      <x:c r="U99" s="24"/>
      <x:c r="V99" s="34"/>
    </x:row>
    <x:row r="100">
      <x:c r="A100" s="24" t="str">
        <x:v>K097</x:v>
      </x:c>
      <x:c r="B100" s="24" t="str">
        <x:f>IFERROR(XLOOKUP(A100,'01_Компании'!$A$4:$A$103,'01_Компании'!$B$4:$B$103),"")</x:f>
      </x:c>
      <x:c r="C100" s="24" t="str">
        <x:f>IFERROR(XLOOKUP(A100,'01_Компании'!$A$4:$A$103,'01_Компании'!$C$4:$C$103),"")</x:f>
      </x:c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40" t="str">
        <x:f>IF(COUNTA(D100:M100)=0,"",SUMPRODUCT(D100:M100,'03_Критерии'!$E$4:$E$13)/SUM('03_Критерии'!$E$4:$E$13))</x:f>
      </x:c>
      <x:c r="O100" s="24" t="str">
        <x:f>IF(N100="","",IF(COUNTA(D100:M100)&lt;6,"Недостаточно данных",IF(D100&lt;3,"Низкое совпадение задачи",IF(F100&lt;3,"Низкая товарная заменяемость","Нет"))))</x:f>
      </x:c>
      <x:c r="P100" s="24" t="str">
        <x:f>IF(N100="","",IF(O100="Недостаточно данных","Недостаточно данных",IF(OR(D100&lt;3,F100&lt;3),IF(N100&gt;=2.5,"Косвенный конкурент / заменитель",IF(N100&gt;=1.6,"Смежная или потенциальная конкуренция","Не конкурент / объект наблюдения")),IF(N100&gt;=4.2,"Прямой конкурент",IF(N100&gt;=3.4,"Близкий альтернативный конкурент",IF(N100&gt;=2.5,"Косвенный конкурент / заменитель",IF(N100&gt;=1.6,"Смежная или потенциальная конкуренция","Не конкурент / объект наблюдения")))))))</x:f>
      </x:c>
      <x:c r="Q100" s="24"/>
      <x:c r="R100" s="24" t="str">
        <x:f>IF(Q100="",P100,Q100)</x:f>
      </x:c>
      <x:c r="S100" s="24"/>
      <x:c r="T100" s="24"/>
      <x:c r="U100" s="24"/>
      <x:c r="V100" s="34"/>
    </x:row>
    <x:row r="101">
      <x:c r="A101" s="24" t="str">
        <x:v>K098</x:v>
      </x:c>
      <x:c r="B101" s="24" t="str">
        <x:f>IFERROR(XLOOKUP(A101,'01_Компании'!$A$4:$A$103,'01_Компании'!$B$4:$B$103),"")</x:f>
      </x:c>
      <x:c r="C101" s="24" t="str">
        <x:f>IFERROR(XLOOKUP(A101,'01_Компании'!$A$4:$A$103,'01_Компании'!$C$4:$C$103),"")</x:f>
      </x:c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40" t="str">
        <x:f>IF(COUNTA(D101:M101)=0,"",SUMPRODUCT(D101:M101,'03_Критерии'!$E$4:$E$13)/SUM('03_Критерии'!$E$4:$E$13))</x:f>
      </x:c>
      <x:c r="O101" s="24" t="str">
        <x:f>IF(N101="","",IF(COUNTA(D101:M101)&lt;6,"Недостаточно данных",IF(D101&lt;3,"Низкое совпадение задачи",IF(F101&lt;3,"Низкая товарная заменяемость","Нет"))))</x:f>
      </x:c>
      <x:c r="P101" s="24" t="str">
        <x:f>IF(N101="","",IF(O101="Недостаточно данных","Недостаточно данных",IF(OR(D101&lt;3,F101&lt;3),IF(N101&gt;=2.5,"Косвенный конкурент / заменитель",IF(N101&gt;=1.6,"Смежная или потенциальная конкуренция","Не конкурент / объект наблюдения")),IF(N101&gt;=4.2,"Прямой конкурент",IF(N101&gt;=3.4,"Близкий альтернативный конкурент",IF(N101&gt;=2.5,"Косвенный конкурент / заменитель",IF(N101&gt;=1.6,"Смежная или потенциальная конкуренция","Не конкурент / объект наблюдения")))))))</x:f>
      </x:c>
      <x:c r="Q101" s="24"/>
      <x:c r="R101" s="24" t="str">
        <x:f>IF(Q101="",P101,Q101)</x:f>
      </x:c>
      <x:c r="S101" s="24"/>
      <x:c r="T101" s="24"/>
      <x:c r="U101" s="24"/>
      <x:c r="V101" s="34"/>
    </x:row>
    <x:row r="102">
      <x:c r="A102" s="24" t="str">
        <x:v>K099</x:v>
      </x:c>
      <x:c r="B102" s="24" t="str">
        <x:f>IFERROR(XLOOKUP(A102,'01_Компании'!$A$4:$A$103,'01_Компании'!$B$4:$B$103),"")</x:f>
      </x:c>
      <x:c r="C102" s="24" t="str">
        <x:f>IFERROR(XLOOKUP(A102,'01_Компании'!$A$4:$A$103,'01_Компании'!$C$4:$C$103),"")</x:f>
      </x:c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40" t="str">
        <x:f>IF(COUNTA(D102:M102)=0,"",SUMPRODUCT(D102:M102,'03_Критерии'!$E$4:$E$13)/SUM('03_Критерии'!$E$4:$E$13))</x:f>
      </x:c>
      <x:c r="O102" s="24" t="str">
        <x:f>IF(N102="","",IF(COUNTA(D102:M102)&lt;6,"Недостаточно данных",IF(D102&lt;3,"Низкое совпадение задачи",IF(F102&lt;3,"Низкая товарная заменяемость","Нет"))))</x:f>
      </x:c>
      <x:c r="P102" s="24" t="str">
        <x:f>IF(N102="","",IF(O102="Недостаточно данных","Недостаточно данных",IF(OR(D102&lt;3,F102&lt;3),IF(N102&gt;=2.5,"Косвенный конкурент / заменитель",IF(N102&gt;=1.6,"Смежная или потенциальная конкуренция","Не конкурент / объект наблюдения")),IF(N102&gt;=4.2,"Прямой конкурент",IF(N102&gt;=3.4,"Близкий альтернативный конкурент",IF(N102&gt;=2.5,"Косвенный конкурент / заменитель",IF(N102&gt;=1.6,"Смежная или потенциальная конкуренция","Не конкурент / объект наблюдения")))))))</x:f>
      </x:c>
      <x:c r="Q102" s="24"/>
      <x:c r="R102" s="24" t="str">
        <x:f>IF(Q102="",P102,Q102)</x:f>
      </x:c>
      <x:c r="S102" s="24"/>
      <x:c r="T102" s="24"/>
      <x:c r="U102" s="24"/>
      <x:c r="V102" s="34"/>
    </x:row>
    <x:row r="103">
      <x:c r="A103" s="24" t="str">
        <x:v>K100</x:v>
      </x:c>
      <x:c r="B103" s="24" t="str">
        <x:f>IFERROR(XLOOKUP(A103,'01_Компании'!$A$4:$A$103,'01_Компании'!$B$4:$B$103),"")</x:f>
      </x:c>
      <x:c r="C103" s="24" t="str">
        <x:f>IFERROR(XLOOKUP(A103,'01_Компании'!$A$4:$A$103,'01_Компании'!$C$4:$C$103),"")</x:f>
      </x:c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40" t="str">
        <x:f>IF(COUNTA(D103:M103)=0,"",SUMPRODUCT(D103:M103,'03_Критерии'!$E$4:$E$13)/SUM('03_Критерии'!$E$4:$E$13))</x:f>
      </x:c>
      <x:c r="O103" s="24" t="str">
        <x:f>IF(N103="","",IF(COUNTA(D103:M103)&lt;6,"Недостаточно данных",IF(D103&lt;3,"Низкое совпадение задачи",IF(F103&lt;3,"Низкая товарная заменяемость","Нет"))))</x:f>
      </x:c>
      <x:c r="P103" s="24" t="str">
        <x:f>IF(N103="","",IF(O103="Недостаточно данных","Недостаточно данных",IF(OR(D103&lt;3,F103&lt;3),IF(N103&gt;=2.5,"Косвенный конкурент / заменитель",IF(N103&gt;=1.6,"Смежная или потенциальная конкуренция","Не конкурент / объект наблюдения")),IF(N103&gt;=4.2,"Прямой конкурент",IF(N103&gt;=3.4,"Близкий альтернативный конкурент",IF(N103&gt;=2.5,"Косвенный конкурент / заменитель",IF(N103&gt;=1.6,"Смежная или потенциальная конкуренция","Не конкурент / объект наблюдения")))))))</x:f>
      </x:c>
      <x:c r="Q103" s="24"/>
      <x:c r="R103" s="24" t="str">
        <x:f>IF(Q103="",P103,Q103)</x:f>
      </x:c>
      <x:c r="S103" s="24"/>
      <x:c r="T103" s="24"/>
      <x:c r="U103" s="24"/>
      <x:c r="V103" s="34"/>
    </x:row>
  </x:sheetData>
  <x:mergeCells>
    <x:mergeCell ref="A1:V1"/>
  </x:mergeCells>
  <x:conditionalFormatting sqref="N4:N103">
    <x:cfRule type="colorScale" priority="1">
      <x:colorScale>
        <x:cfvo type="min"/>
        <x:cfvo type="percentile" val="50"/>
        <x:cfvo type="max"/>
        <x:color rgb="FCE4D6"/>
        <x:color rgb="FFF2CC"/>
        <x:color rgb="DDEEDC"/>
      </x:colorScale>
    </x:cfRule>
  </x:conditionalFormatting>
  <x:conditionalFormatting sqref="R4:R103">
    <x:cfRule type="expression" dxfId="0" priority="2">
      <x:formula>R4="Прямой конкурент"</x:formula>
    </x:cfRule>
    <x:cfRule type="expression" dxfId="1" priority="3">
      <x:formula>R4="Близкий альтернативный конкурент"</x:formula>
    </x:cfRule>
    <x:cfRule type="expression" dxfId="2" priority="4">
      <x:formula>R4="Косвенный конкурент / заменитель"</x:formula>
    </x:cfRule>
    <x:cfRule type="expression" dxfId="3" priority="5">
      <x:formula>R4="Не конкурент / объект наблюдения"</x:formula>
    </x:cfRule>
  </x:conditionalFormatting>
  <x:conditionalFormatting sqref="S4:S103">
    <x:cfRule type="expression" dxfId="7" priority="6">
      <x:formula>S4="Проверено"</x:formula>
    </x:cfRule>
    <x:cfRule type="expression" dxfId="8" priority="7">
      <x:formula>S4="Требует уточнения"</x:formula>
    </x:cfRule>
  </x:conditionalFormatting>
  <x:dataValidations count="4">
    <x:dataValidation operator="between" sqref="D4:M103">
      <x:formula1>0</x:formula1>
      <x:formula2>5</x:formula2>
    </x:dataValidation>
    <x:dataValidation type="list" sqref="Q4:Q103">
      <x:formula1>'08_Справочники'!$A$2:$A$7</x:formula1>
    </x:dataValidation>
    <x:dataValidation type="list" sqref="R4:R103">
      <x:formula1>'08_Справочники'!$A$2:$A$7</x:formula1>
    </x:dataValidation>
    <x:dataValidation type="list" sqref="S4:S103">
      <x:formula1>'08_Справочники'!$B$2:$B$6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109a43734140a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  <x:col min="3" max="3" width="34" hidden="0" customWidth="1"/>
    <x:col min="4" max="4" width="16" hidden="0" customWidth="1"/>
    <x:col min="5" max="5" width="32" hidden="0" customWidth="1"/>
    <x:col min="6" max="6" width="45" hidden="0" customWidth="1"/>
    <x:col min="7" max="7" width="34" hidden="0" customWidth="1"/>
  </x:cols>
  <x:sheetData>
    <x:row r="1" ht="32" customHeight="1">
      <x:c r="A1" s="56" t="str">
        <x:v>Классификация компаний по уровням конкуренции</x:v>
      </x:c>
      <x:c r="B1" s="57" t="str">
        <x:v>Классификация компаний по уровням конкуренции</x:v>
      </x:c>
      <x:c r="C1" s="57" t="str">
        <x:v>Классификация компаний по уровням конкуренции</x:v>
      </x:c>
      <x:c r="D1" s="57" t="str">
        <x:v>Классификация компаний по уровням конкуренции</x:v>
      </x:c>
      <x:c r="E1" s="57" t="str">
        <x:v>Классификация компаний по уровням конкуренции</x:v>
      </x:c>
      <x:c r="F1" s="57" t="str">
        <x:v>Классификация компаний по уровням конкуренции</x:v>
      </x:c>
      <x:c r="G1" s="57" t="str">
        <x:v>Классификация компаний по уровням конкуренции</x:v>
      </x:c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>
      <x:c r="A3" s="18" t="str">
        <x:v>Уровень</x:v>
      </x:c>
      <x:c r="B3" s="18" t="str">
        <x:v>Определение</x:v>
      </x:c>
      <x:c r="C3" s="18" t="str">
        <x:v>Ключевой критерий</x:v>
      </x:c>
      <x:c r="D3" s="18" t="str">
        <x:v>Порог по баллу</x:v>
      </x:c>
      <x:c r="E3" s="18" t="str">
        <x:v>Обязательные условия</x:v>
      </x:c>
      <x:c r="F3" s="18" t="str">
        <x:v>Типовые признаки на сайте</x:v>
      </x:c>
      <x:c r="G3" s="18" t="str">
        <x:v>Решение аналитика</x:v>
      </x:c>
    </x:row>
    <x:row r="4">
      <x:c r="A4" s="24" t="str">
        <x:v>Прямой конкурент</x:v>
      </x:c>
      <x:c r="B4" s="24" t="str">
        <x:v>Компания удовлетворяет ту же потребительскую задачу для той же или близкой аудитории сопоставимым цифровым товаром.</x:v>
      </x:c>
      <x:c r="C4" s="24" t="str">
        <x:v>Высокая заменяемость товара и совпадение целевого сегмента.</x:v>
      </x:c>
      <x:c r="D4" s="24" t="str">
        <x:v>4,20–5,00</x:v>
      </x:c>
      <x:c r="E4" s="24" t="str">
        <x:v>Потребительская задача ≥ 3; функциональная заменяемость ≥ 3.</x:v>
      </x:c>
      <x:c r="F4" s="24" t="str">
        <x:v>Сходные тарифы, сценарии использования, обещания результата, демонстрации товара, одинаковые категории клиентов.</x:v>
      </x:c>
      <x:c r="G4" s="24" t="str">
        <x:v>Включить в постоянный конкурентный мониторинг.</x:v>
      </x:c>
    </x:row>
    <x:row r="5">
      <x:c r="A5" s="24" t="str">
        <x:v>Близкий альтернативный конкурент</x:v>
      </x:c>
      <x:c r="B5" s="24" t="str">
        <x:v>Компания решает ту же или близкую задачу, но делает это через иной формат товара, канал, сегмент или модель оплаты.</x:v>
      </x:c>
      <x:c r="C5" s="24" t="str">
        <x:v>Клиент может рассматривать решение как практическую альтернативу.</x:v>
      </x:c>
      <x:c r="D5" s="24" t="str">
        <x:v>3,40–4,19</x:v>
      </x:c>
      <x:c r="E5" s="24" t="str">
        <x:v>Нет критического расхождения по потребительской задаче.</x:v>
      </x:c>
      <x:c r="F5" s="24" t="str">
        <x:v>Похожие выгоды, частично отличающаяся функциональность, иной формат доступа, другая тарифная логика.</x:v>
      </x:c>
      <x:c r="G5" s="24" t="str">
        <x:v>Сравнивать по ценностному предложению и причинам выбора.</x:v>
      </x:c>
    </x:row>
    <x:row r="6">
      <x:c r="A6" s="24" t="str">
        <x:v>Косвенный конкурент / заменитель</x:v>
      </x:c>
      <x:c r="B6" s="24" t="str">
        <x:v>Компания закрывает ту же потребность и может заменить покупку, но товарная категория или способ решения заметно отличаются.</x:v>
      </x:c>
      <x:c r="C6" s="24" t="str">
        <x:v>Есть конкуренция за бюджет, внимание или способ выполнения задачи.</x:v>
      </x:c>
      <x:c r="D6" s="24" t="str">
        <x:v>2,50–3,39</x:v>
      </x:c>
      <x:c r="E6" s="24" t="str">
        <x:v>Достаточно доказательств заменяемости.</x:v>
      </x:c>
      <x:c r="F6" s="24" t="str">
        <x:v>Иные продукты, услуги или платформы, которые дают сходный конечный результат.</x:v>
      </x:c>
      <x:c r="G6" s="24" t="str">
        <x:v>Анализировать как угрозу замещения.</x:v>
      </x:c>
    </x:row>
    <x:row r="7">
      <x:c r="A7" s="24" t="str">
        <x:v>Смежная или потенциальная конкуренция</x:v>
      </x:c>
      <x:c r="B7" s="24" t="str">
        <x:v>Компания пока не является прямым конкурентом, но имеет близкую аудиторию, смежный товар, инфраструктуру или возможность расшириться в рассматриваемый рынок.</x:v>
      </x:c>
      <x:c r="C7" s="24" t="str">
        <x:v>Вероятность входа в рынок или расширения товарной линейки.</x:v>
      </x:c>
      <x:c r="D7" s="24" t="str">
        <x:v>1,60–2,49</x:v>
      </x:c>
      <x:c r="E7" s="24" t="str">
        <x:v>Наличие хотя бы одного сильного сигнала пересечения.</x:v>
      </x:c>
      <x:c r="F7" s="24" t="str">
        <x:v>Смежные разделы сайта, близкие категории клиентов, партнерства, вакансии, дорожная карта, упоминания планов развития.</x:v>
      </x:c>
      <x:c r="G7" s="24" t="str">
        <x:v>Наблюдать периодически; не смешивать с прямыми конкурентами.</x:v>
      </x:c>
    </x:row>
    <x:row r="8">
      <x:c r="A8" s="24" t="str">
        <x:v>Не конкурент / объект наблюдения</x:v>
      </x:c>
      <x:c r="B8" s="24" t="str">
        <x:v>Компания не показывает значимого пересечения по задаче, аудитории, товару и заменяемости.</x:v>
      </x:c>
      <x:c r="C8" s="24" t="str">
        <x:v>Недостаточная рыночная и товарная близость.</x:v>
      </x:c>
      <x:c r="D8" s="24" t="str">
        <x:v>0,00–1,59</x:v>
      </x:c>
      <x:c r="E8" s="24" t="str">
        <x:v>Нет значимых доказательств конкуренции.</x:v>
      </x:c>
      <x:c r="F8" s="24" t="str">
        <x:v>Общее сходство отрасли без совпадения задачи и товара.</x:v>
      </x:c>
      <x:c r="G8" s="24" t="str">
        <x:v>Исключить из основной матрицы, оставить только при методической необходимости.</x:v>
      </x:c>
    </x:row>
    <x:row r="9">
      <x:c r="A9" s="24" t="str">
        <x:v>Недостаточно данных</x:v>
      </x:c>
      <x:c r="B9" s="24" t="str">
        <x:v>По сайту невозможно надежно установить уровень конкуренции.</x:v>
      </x:c>
      <x:c r="C9" s="24" t="str">
        <x:v>Недостаток фактов или противоречивые сигналы.</x:v>
      </x:c>
      <x:c r="D9" s="24" t="str">
        <x:v>не применяется</x:v>
      </x:c>
      <x:c r="E9" s="24" t="str">
        <x:v>Менее трех содержательных доказательств.</x:v>
      </x:c>
      <x:c r="F9" s="24" t="str">
        <x:v>Закрытые тарифы, неполные описания, отсутствие страниц товара, нет сегментации клиентов.</x:v>
      </x:c>
      <x:c r="G9" s="24" t="str">
        <x:v>Вернуться к анализу после сбора дополнительных источников.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4d1e7d243e24fc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34" hidden="0" customWidth="1"/>
    <x:col min="4" max="4" width="12" hidden="0" customWidth="1"/>
    <x:col min="5" max="5" width="34" hidden="0" customWidth="1"/>
    <x:col min="6" max="6" width="48" hidden="0" customWidth="1"/>
  </x:cols>
  <x:sheetData>
    <x:row r="1" ht="32" customHeight="1">
      <x:c r="A1" s="56" t="str">
        <x:v>Сводка классификации компаний по уровням конкуренции</x:v>
      </x:c>
      <x:c r="B1" s="57" t="str">
        <x:v>Сводка классификации компаний по уровням конкуренции</x:v>
      </x:c>
      <x:c r="C1" s="57" t="str">
        <x:v>Сводка классификации компаний по уровням конкуренции</x:v>
      </x:c>
      <x:c r="D1" s="57" t="str">
        <x:v>Сводка классификации компаний по уровням конкуренции</x:v>
      </x:c>
      <x:c r="E1" s="57" t="str">
        <x:v>Сводка классификации компаний по уровням конкуренции</x:v>
      </x:c>
      <x:c r="F1" s="57" t="str">
        <x:v>Сводка классификации компаний по уровням конкуренции</x:v>
      </x:c>
      <x:c r="G1" s="57" t="str">
        <x:v>Сводка классификации компаний по уровням конкуренции</x:v>
      </x:c>
      <x:c r="H1" s="57" t="str">
        <x:v>Сводка классификации компаний по уровням конкуренции</x:v>
      </x:c>
      <x:c r="I1" s="57" t="str">
        <x:v>Сводка классификации компаний по уровням конкуренции</x:v>
      </x:c>
      <x:c r="J1" s="57" t="str">
        <x:v>Сводка классификации компаний по уровням конкуренции</x:v>
      </x:c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>
      <x:c r="A3" s="18" t="str">
        <x:v>Показатель</x:v>
      </x:c>
      <x:c r="B3" s="18" t="str">
        <x:v>Значение</x:v>
      </x:c>
      <x:c r="C3" s="24"/>
      <x:c r="D3" s="24"/>
      <x:c r="E3" s="24"/>
      <x:c r="F3" s="24"/>
    </x:row>
    <x:row r="4">
      <x:c r="A4" s="24" t="str">
        <x:v>Всего компаний в реестре</x:v>
      </x:c>
      <x:c r="B4" s="24" t="n">
        <x:f>COUNTA('01_Компании'!$B$4:$B$103)</x:f>
        <x:v>0</x:v>
      </x:c>
      <x:c r="C4" s="24"/>
      <x:c r="D4" s="24"/>
      <x:c r="E4" s="24"/>
      <x:c r="F4" s="24"/>
    </x:row>
    <x:row r="5">
      <x:c r="A5" s="24" t="str">
        <x:v>Компаний с заполненной оценкой</x:v>
      </x:c>
      <x:c r="B5" s="24" t="n">
        <x:f>COUNT('04_Оценка'!$N$4:$N$103)</x:f>
        <x:v>0</x:v>
      </x:c>
      <x:c r="C5" s="24"/>
      <x:c r="D5" s="24"/>
      <x:c r="E5" s="24"/>
      <x:c r="F5" s="24"/>
    </x:row>
    <x:row r="6">
      <x:c r="A6" s="24" t="str">
        <x:v>Средний взвешенный балл</x:v>
      </x:c>
      <x:c r="B6" s="40" t="str">
        <x:f>IFERROR(AVERAGE('04_Оценка'!$N$4:$N$103),"")</x:f>
      </x:c>
      <x:c r="C6" s="24"/>
      <x:c r="D6" s="24"/>
      <x:c r="E6" s="24"/>
      <x:c r="F6" s="24"/>
    </x:row>
    <x:row r="7">
      <x:c r="A7" s="24" t="str">
        <x:v>Компаний с уровнем «Прямой конкурент»</x:v>
      </x:c>
      <x:c r="B7" s="24" t="n">
        <x:f>COUNTIF('04_Оценка'!$R$4:$R$103,"Прямой конкурент")</x:f>
        <x:v>0</x:v>
      </x:c>
      <x:c r="C7" s="24"/>
      <x:c r="D7" s="24"/>
      <x:c r="E7" s="24"/>
      <x:c r="F7" s="24"/>
    </x:row>
    <x:row r="8">
      <x:c r="A8" s="24" t="str">
        <x:v>Компаний с уровнем «Близкий альтернативный конкурент»</x:v>
      </x:c>
      <x:c r="B8" s="24" t="n">
        <x:f>COUNTIF('04_Оценка'!$R$4:$R$103,"Близкий альтернативный конкурент")</x:f>
        <x:v>0</x:v>
      </x:c>
      <x:c r="C8" s="24"/>
      <x:c r="D8" s="24"/>
      <x:c r="E8" s="24"/>
      <x:c r="F8" s="24"/>
    </x:row>
    <x:row r="9">
      <x:c r="A9" s="24"/>
      <x:c r="B9" s="24"/>
      <x:c r="C9" s="24"/>
      <x:c r="D9" s="24"/>
      <x:c r="E9" s="24"/>
      <x:c r="F9" s="24"/>
    </x:row>
    <x:row r="10">
      <x:c r="A10" s="18" t="str">
        <x:v>Уровень конкуренции</x:v>
      </x:c>
      <x:c r="B10" s="18" t="str">
        <x:v>Количество</x:v>
      </x:c>
      <x:c r="C10" s="18" t="str">
        <x:v>Доля</x:v>
      </x:c>
      <x:c r="D10" s="18" t="str">
        <x:v>Методическое действие</x:v>
      </x:c>
      <x:c r="E10" s="24"/>
      <x:c r="F10" s="24"/>
    </x:row>
    <x:row r="11">
      <x:c r="A11" s="24" t="str">
        <x:v>Прямой конкурент</x:v>
      </x:c>
      <x:c r="B11" s="24" t="n">
        <x:f>COUNTIF('04_Оценка'!$R$4:$R$103,A11)</x:f>
        <x:v>0</x:v>
      </x:c>
      <x:c r="C11" s="44" t="n">
        <x:f>IFERROR(B11/SUM($B$11:$B$16),0)</x:f>
        <x:v>0</x:v>
      </x:c>
      <x:c r="D11" s="24" t="str">
        <x:v>Включить в основной бенчмарк и регулярный мониторинг</x:v>
      </x:c>
      <x:c r="E11" s="24"/>
      <x:c r="F11" s="24"/>
    </x:row>
    <x:row r="12">
      <x:c r="A12" s="24" t="str">
        <x:v>Близкий альтернативный конкурент</x:v>
      </x:c>
      <x:c r="B12" s="24" t="n">
        <x:f>COUNTIF('04_Оценка'!$R$4:$R$103,A12)</x:f>
        <x:v>0</x:v>
      </x:c>
      <x:c r="C12" s="44" t="n">
        <x:f>IFERROR(B12/SUM($B$11:$B$16),0)</x:f>
        <x:v>0</x:v>
      </x:c>
      <x:c r="D12" s="24" t="str">
        <x:v>Сравнивать по причинам выбора и формату ценности</x:v>
      </x:c>
      <x:c r="E12" s="24"/>
      <x:c r="F12" s="24"/>
    </x:row>
    <x:row r="13">
      <x:c r="A13" s="24" t="str">
        <x:v>Косвенный конкурент / заменитель</x:v>
      </x:c>
      <x:c r="B13" s="24" t="n">
        <x:f>COUNTIF('04_Оценка'!$R$4:$R$103,A13)</x:f>
        <x:v>0</x:v>
      </x:c>
      <x:c r="C13" s="44" t="n">
        <x:f>IFERROR(B13/SUM($B$11:$B$16),0)</x:f>
        <x:v>0</x:v>
      </x:c>
      <x:c r="D13" s="24" t="str">
        <x:v>Оценивать угрозу замещения и конкуренцию за бюджет</x:v>
      </x:c>
      <x:c r="E13" s="24"/>
      <x:c r="F13" s="24"/>
    </x:row>
    <x:row r="14">
      <x:c r="A14" s="24" t="str">
        <x:v>Смежная или потенциальная конкуренция</x:v>
      </x:c>
      <x:c r="B14" s="24" t="n">
        <x:f>COUNTIF('04_Оценка'!$R$4:$R$103,A14)</x:f>
        <x:v>0</x:v>
      </x:c>
      <x:c r="C14" s="44" t="n">
        <x:f>IFERROR(B14/SUM($B$11:$B$16),0)</x:f>
        <x:v>0</x:v>
      </x:c>
      <x:c r="D14" s="24" t="str">
        <x:v>Наблюдать по сигналам расширения</x:v>
      </x:c>
      <x:c r="E14" s="24"/>
      <x:c r="F14" s="24"/>
    </x:row>
    <x:row r="15">
      <x:c r="A15" s="24" t="str">
        <x:v>Не конкурент / объект наблюдения</x:v>
      </x:c>
      <x:c r="B15" s="24" t="n">
        <x:f>COUNTIF('04_Оценка'!$R$4:$R$103,A15)</x:f>
        <x:v>0</x:v>
      </x:c>
      <x:c r="C15" s="44" t="n">
        <x:f>IFERROR(B15/SUM($B$11:$B$16),0)</x:f>
        <x:v>0</x:v>
      </x:c>
      <x:c r="D15" s="24" t="str">
        <x:v>Исключить из основной матрицы</x:v>
      </x:c>
      <x:c r="E15" s="24"/>
      <x:c r="F15" s="24"/>
    </x:row>
    <x:row r="16">
      <x:c r="A16" s="24" t="str">
        <x:v>Недостаточно данных</x:v>
      </x:c>
      <x:c r="B16" s="24" t="n">
        <x:f>COUNTIF('04_Оценка'!$R$4:$R$103,A16)</x:f>
        <x:v>0</x:v>
      </x:c>
      <x:c r="C16" s="44" t="n">
        <x:f>IFERROR(B16/SUM($B$11:$B$16),0)</x:f>
        <x:v>0</x:v>
      </x:c>
      <x:c r="D16" s="24" t="str">
        <x:v>Дособрать доказательства</x:v>
      </x:c>
      <x:c r="E16" s="24"/>
      <x:c r="F16" s="24"/>
    </x:row>
    <x:row r="17">
      <x:c r="A17" s="24"/>
      <x:c r="B17" s="24"/>
      <x:c r="C17" s="24"/>
      <x:c r="D17" s="24"/>
      <x:c r="E17" s="24"/>
      <x:c r="F17" s="24"/>
    </x:row>
    <x:row r="18">
      <x:c r="A18" s="18" t="str">
        <x:v>Топ компаний по близости к прямой конкуренции</x:v>
      </x:c>
      <x:c r="B18" s="18" t="str">
        <x:v>Компания</x:v>
      </x:c>
      <x:c r="C18" s="18" t="str">
        <x:v>Сайт</x:v>
      </x:c>
      <x:c r="D18" s="18" t="str">
        <x:v>Бал</x:v>
      </x:c>
      <x:c r="E18" s="18" t="str">
        <x:v>Итоговый уровень</x:v>
      </x:c>
      <x:c r="F18" s="18" t="str">
        <x:v>Обоснование</x:v>
      </x:c>
    </x:row>
    <x:row r="19">
      <x:c r="A19" s="24" t="n">
        <x:v>1</x:v>
      </x:c>
      <x:c r="B19" s="24" t="str">
        <x:f>IF(D19="","",INDEX('04_Оценка'!$B$4:$B$103,MATCH(D19,'04_Оценка'!$N$4:$N$103,0)))</x:f>
      </x:c>
      <x:c r="C19" s="24" t="str">
        <x:f>IF(D19="","",INDEX('04_Оценка'!$C$4:$C$103,MATCH(D19,'04_Оценка'!$N$4:$N$103,0)))</x:f>
      </x:c>
      <x:c r="D19" s="40" t="str">
        <x:f>IFERROR(LARGE('04_Оценка'!$N$4:$N$103,A19),"")</x:f>
      </x:c>
      <x:c r="E19" s="24" t="str">
        <x:f>IF(D19="","",INDEX('04_Оценка'!$R$4:$R$103,MATCH(D19,'04_Оценка'!$N$4:$N$103,0)))</x:f>
      </x:c>
      <x:c r="F19" s="24" t="str">
        <x:f>IF(D19="","",INDEX('04_Оценка'!$T$4:$T$103,MATCH(D19,'04_Оценка'!$N$4:$N$103,0)))</x:f>
      </x:c>
    </x:row>
    <x:row r="20">
      <x:c r="A20" s="24" t="n">
        <x:v>2</x:v>
      </x:c>
      <x:c r="B20" s="24" t="str">
        <x:f>IF(D20="","",INDEX('04_Оценка'!$B$4:$B$103,MATCH(D20,'04_Оценка'!$N$4:$N$103,0)))</x:f>
      </x:c>
      <x:c r="C20" s="24" t="str">
        <x:f>IF(D20="","",INDEX('04_Оценка'!$C$4:$C$103,MATCH(D20,'04_Оценка'!$N$4:$N$103,0)))</x:f>
      </x:c>
      <x:c r="D20" s="40" t="str">
        <x:f>IFERROR(LARGE('04_Оценка'!$N$4:$N$103,A20),"")</x:f>
      </x:c>
      <x:c r="E20" s="24" t="str">
        <x:f>IF(D20="","",INDEX('04_Оценка'!$R$4:$R$103,MATCH(D20,'04_Оценка'!$N$4:$N$103,0)))</x:f>
      </x:c>
      <x:c r="F20" s="24" t="str">
        <x:f>IF(D20="","",INDEX('04_Оценка'!$T$4:$T$103,MATCH(D20,'04_Оценка'!$N$4:$N$103,0)))</x:f>
      </x:c>
    </x:row>
    <x:row r="21">
      <x:c r="A21" s="24" t="n">
        <x:v>3</x:v>
      </x:c>
      <x:c r="B21" s="24" t="str">
        <x:f>IF(D21="","",INDEX('04_Оценка'!$B$4:$B$103,MATCH(D21,'04_Оценка'!$N$4:$N$103,0)))</x:f>
      </x:c>
      <x:c r="C21" s="24" t="str">
        <x:f>IF(D21="","",INDEX('04_Оценка'!$C$4:$C$103,MATCH(D21,'04_Оценка'!$N$4:$N$103,0)))</x:f>
      </x:c>
      <x:c r="D21" s="40" t="str">
        <x:f>IFERROR(LARGE('04_Оценка'!$N$4:$N$103,A21),"")</x:f>
      </x:c>
      <x:c r="E21" s="24" t="str">
        <x:f>IF(D21="","",INDEX('04_Оценка'!$R$4:$R$103,MATCH(D21,'04_Оценка'!$N$4:$N$103,0)))</x:f>
      </x:c>
      <x:c r="F21" s="24" t="str">
        <x:f>IF(D21="","",INDEX('04_Оценка'!$T$4:$T$103,MATCH(D21,'04_Оценка'!$N$4:$N$103,0)))</x:f>
      </x:c>
    </x:row>
    <x:row r="22">
      <x:c r="A22" s="24" t="n">
        <x:v>4</x:v>
      </x:c>
      <x:c r="B22" s="24" t="str">
        <x:f>IF(D22="","",INDEX('04_Оценка'!$B$4:$B$103,MATCH(D22,'04_Оценка'!$N$4:$N$103,0)))</x:f>
      </x:c>
      <x:c r="C22" s="24" t="str">
        <x:f>IF(D22="","",INDEX('04_Оценка'!$C$4:$C$103,MATCH(D22,'04_Оценка'!$N$4:$N$103,0)))</x:f>
      </x:c>
      <x:c r="D22" s="40" t="str">
        <x:f>IFERROR(LARGE('04_Оценка'!$N$4:$N$103,A22),"")</x:f>
      </x:c>
      <x:c r="E22" s="24" t="str">
        <x:f>IF(D22="","",INDEX('04_Оценка'!$R$4:$R$103,MATCH(D22,'04_Оценка'!$N$4:$N$103,0)))</x:f>
      </x:c>
      <x:c r="F22" s="24" t="str">
        <x:f>IF(D22="","",INDEX('04_Оценка'!$T$4:$T$103,MATCH(D22,'04_Оценка'!$N$4:$N$103,0)))</x:f>
      </x:c>
    </x:row>
    <x:row r="23">
      <x:c r="A23" s="24" t="n">
        <x:v>5</x:v>
      </x:c>
      <x:c r="B23" s="24" t="str">
        <x:f>IF(D23="","",INDEX('04_Оценка'!$B$4:$B$103,MATCH(D23,'04_Оценка'!$N$4:$N$103,0)))</x:f>
      </x:c>
      <x:c r="C23" s="24" t="str">
        <x:f>IF(D23="","",INDEX('04_Оценка'!$C$4:$C$103,MATCH(D23,'04_Оценка'!$N$4:$N$103,0)))</x:f>
      </x:c>
      <x:c r="D23" s="40" t="str">
        <x:f>IFERROR(LARGE('04_Оценка'!$N$4:$N$103,A23),"")</x:f>
      </x:c>
      <x:c r="E23" s="24" t="str">
        <x:f>IF(D23="","",INDEX('04_Оценка'!$R$4:$R$103,MATCH(D23,'04_Оценка'!$N$4:$N$103,0)))</x:f>
      </x:c>
      <x:c r="F23" s="24" t="str">
        <x:f>IF(D23="","",INDEX('04_Оценка'!$T$4:$T$103,MATCH(D23,'04_Оценка'!$N$4:$N$103,0)))</x:f>
      </x:c>
    </x:row>
    <x:row r="24">
      <x:c r="A24" s="24" t="n">
        <x:v>6</x:v>
      </x:c>
      <x:c r="B24" s="24" t="str">
        <x:f>IF(D24="","",INDEX('04_Оценка'!$B$4:$B$103,MATCH(D24,'04_Оценка'!$N$4:$N$103,0)))</x:f>
      </x:c>
      <x:c r="C24" s="24" t="str">
        <x:f>IF(D24="","",INDEX('04_Оценка'!$C$4:$C$103,MATCH(D24,'04_Оценка'!$N$4:$N$103,0)))</x:f>
      </x:c>
      <x:c r="D24" s="40" t="str">
        <x:f>IFERROR(LARGE('04_Оценка'!$N$4:$N$103,A24),"")</x:f>
      </x:c>
      <x:c r="E24" s="24" t="str">
        <x:f>IF(D24="","",INDEX('04_Оценка'!$R$4:$R$103,MATCH(D24,'04_Оценка'!$N$4:$N$103,0)))</x:f>
      </x:c>
      <x:c r="F24" s="24" t="str">
        <x:f>IF(D24="","",INDEX('04_Оценка'!$T$4:$T$103,MATCH(D24,'04_Оценка'!$N$4:$N$103,0)))</x:f>
      </x:c>
    </x:row>
    <x:row r="25">
      <x:c r="A25" s="24" t="n">
        <x:v>7</x:v>
      </x:c>
      <x:c r="B25" s="24" t="str">
        <x:f>IF(D25="","",INDEX('04_Оценка'!$B$4:$B$103,MATCH(D25,'04_Оценка'!$N$4:$N$103,0)))</x:f>
      </x:c>
      <x:c r="C25" s="24" t="str">
        <x:f>IF(D25="","",INDEX('04_Оценка'!$C$4:$C$103,MATCH(D25,'04_Оценка'!$N$4:$N$103,0)))</x:f>
      </x:c>
      <x:c r="D25" s="40" t="str">
        <x:f>IFERROR(LARGE('04_Оценка'!$N$4:$N$103,A25),"")</x:f>
      </x:c>
      <x:c r="E25" s="24" t="str">
        <x:f>IF(D25="","",INDEX('04_Оценка'!$R$4:$R$103,MATCH(D25,'04_Оценка'!$N$4:$N$103,0)))</x:f>
      </x:c>
      <x:c r="F25" s="24" t="str">
        <x:f>IF(D25="","",INDEX('04_Оценка'!$T$4:$T$103,MATCH(D25,'04_Оценка'!$N$4:$N$103,0)))</x:f>
      </x:c>
    </x:row>
    <x:row r="26">
      <x:c r="A26" s="24" t="n">
        <x:v>8</x:v>
      </x:c>
      <x:c r="B26" s="24" t="str">
        <x:f>IF(D26="","",INDEX('04_Оценка'!$B$4:$B$103,MATCH(D26,'04_Оценка'!$N$4:$N$103,0)))</x:f>
      </x:c>
      <x:c r="C26" s="24" t="str">
        <x:f>IF(D26="","",INDEX('04_Оценка'!$C$4:$C$103,MATCH(D26,'04_Оценка'!$N$4:$N$103,0)))</x:f>
      </x:c>
      <x:c r="D26" s="40" t="str">
        <x:f>IFERROR(LARGE('04_Оценка'!$N$4:$N$103,A26),"")</x:f>
      </x:c>
      <x:c r="E26" s="24" t="str">
        <x:f>IF(D26="","",INDEX('04_Оценка'!$R$4:$R$103,MATCH(D26,'04_Оценка'!$N$4:$N$103,0)))</x:f>
      </x:c>
      <x:c r="F26" s="24" t="str">
        <x:f>IF(D26="","",INDEX('04_Оценка'!$T$4:$T$103,MATCH(D26,'04_Оценка'!$N$4:$N$103,0)))</x:f>
      </x:c>
    </x:row>
    <x:row r="27">
      <x:c r="A27" s="24" t="n">
        <x:v>9</x:v>
      </x:c>
      <x:c r="B27" s="24" t="str">
        <x:f>IF(D27="","",INDEX('04_Оценка'!$B$4:$B$103,MATCH(D27,'04_Оценка'!$N$4:$N$103,0)))</x:f>
      </x:c>
      <x:c r="C27" s="24" t="str">
        <x:f>IF(D27="","",INDEX('04_Оценка'!$C$4:$C$103,MATCH(D27,'04_Оценка'!$N$4:$N$103,0)))</x:f>
      </x:c>
      <x:c r="D27" s="40" t="str">
        <x:f>IFERROR(LARGE('04_Оценка'!$N$4:$N$103,A27),"")</x:f>
      </x:c>
      <x:c r="E27" s="24" t="str">
        <x:f>IF(D27="","",INDEX('04_Оценка'!$R$4:$R$103,MATCH(D27,'04_Оценка'!$N$4:$N$103,0)))</x:f>
      </x:c>
      <x:c r="F27" s="24" t="str">
        <x:f>IF(D27="","",INDEX('04_Оценка'!$T$4:$T$103,MATCH(D27,'04_Оценка'!$N$4:$N$103,0)))</x:f>
      </x:c>
    </x:row>
    <x:row r="28">
      <x:c r="A28" s="24" t="n">
        <x:v>10</x:v>
      </x:c>
      <x:c r="B28" s="24" t="str">
        <x:f>IF(D28="","",INDEX('04_Оценка'!$B$4:$B$103,MATCH(D28,'04_Оценка'!$N$4:$N$103,0)))</x:f>
      </x:c>
      <x:c r="C28" s="24" t="str">
        <x:f>IF(D28="","",INDEX('04_Оценка'!$C$4:$C$103,MATCH(D28,'04_Оценка'!$N$4:$N$103,0)))</x:f>
      </x:c>
      <x:c r="D28" s="40" t="str">
        <x:f>IFERROR(LARGE('04_Оценка'!$N$4:$N$103,A28),"")</x:f>
      </x:c>
      <x:c r="E28" s="24" t="str">
        <x:f>IF(D28="","",INDEX('04_Оценка'!$R$4:$R$103,MATCH(D28,'04_Оценка'!$N$4:$N$103,0)))</x:f>
      </x:c>
      <x:c r="F28" s="24" t="str">
        <x:f>IF(D28="","",INDEX('04_Оценка'!$T$4:$T$103,MATCH(D28,'04_Оценка'!$N$4:$N$103,0)))</x:f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5311127b4c8d4065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2" hidden="0" customWidth="1"/>
    <x:col min="4" max="4" width="22" hidden="0" customWidth="1"/>
    <x:col min="5" max="5" width="14" hidden="0" customWidth="1"/>
    <x:col min="6" max="6" width="34" hidden="0" customWidth="1"/>
    <x:col min="7" max="7" width="30" hidden="0" customWidth="1"/>
    <x:col min="8" max="8" width="34" hidden="0" customWidth="1"/>
    <x:col min="9" max="9" width="34" hidden="0" customWidth="1"/>
    <x:col min="10" max="10" width="14" hidden="0" customWidth="1"/>
    <x:col min="11" max="11" width="18" hidden="0" customWidth="1"/>
  </x:cols>
  <x:sheetData>
    <x:row r="1" ht="32" customHeight="1">
      <x:c r="A1" s="56" t="str">
        <x:v>Карта конкурентной близости</x:v>
      </x:c>
      <x:c r="B1" s="57" t="str">
        <x:v>Карта конкурентной близости</x:v>
      </x:c>
      <x:c r="C1" s="57" t="str">
        <x:v>Карта конкурентной близости</x:v>
      </x:c>
      <x:c r="D1" s="57" t="str">
        <x:v>Карта конкурентной близости</x:v>
      </x:c>
      <x:c r="E1" s="57" t="str">
        <x:v>Карта конкурентной близости</x:v>
      </x:c>
      <x:c r="F1" s="57" t="str">
        <x:v>Карта конкурентной близости</x:v>
      </x:c>
      <x:c r="G1" s="57" t="str">
        <x:v>Карта конкурентной близости</x:v>
      </x:c>
      <x:c r="H1" s="57" t="str">
        <x:v>Карта конкурентной близости</x:v>
      </x:c>
      <x:c r="I1" s="57" t="str">
        <x:v>Карта конкурентной близости</x:v>
      </x:c>
      <x:c r="J1" s="57" t="str">
        <x:v>Карта конкурентной близости</x:v>
      </x:c>
      <x:c r="K1" s="57" t="str">
        <x:v>Карта конкурентной близости</x:v>
      </x:c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>
      <x:c r="A3" s="18" t="str">
        <x:v>ID</x:v>
      </x:c>
      <x:c r="B3" s="18" t="str">
        <x:v>Компания</x:v>
      </x:c>
      <x:c r="C3" s="18" t="str">
        <x:v>X: задача + заменяемость</x:v>
      </x:c>
      <x:c r="D3" s="18" t="str">
        <x:v>Y: аудитория + рынок</x:v>
      </x:c>
      <x:c r="E3" s="18" t="str">
        <x:v>Взвешенный балл</x:v>
      </x:c>
      <x:c r="F3" s="18" t="str">
        <x:v>Итоговый уровень</x:v>
      </x:c>
      <x:c r="G3" s="18" t="str">
        <x:v>Зона карты</x:v>
      </x:c>
      <x:c r="H3" s="18" t="str">
        <x:v>Комментарий</x:v>
      </x:c>
      <x:c r="I3" s="18" t="str">
        <x:v>Доказательства</x:v>
      </x:c>
      <x:c r="J3" s="18" t="str">
        <x:v>Приоритет</x:v>
      </x:c>
      <x:c r="K3" s="18" t="str">
        <x:v>Статус</x:v>
      </x:c>
    </x:row>
    <x:row r="4">
      <x:c r="A4" s="24" t="str">
        <x:v>K001</x:v>
      </x:c>
      <x:c r="B4" s="24" t="str">
        <x:f>IFERROR(XLOOKUP(A4,'04_Оценка'!$A$4:$A$103,'04_Оценка'!$B$4:$B$103),"")</x:f>
      </x:c>
      <x:c r="C4" s="40" t="n">
        <x:f>IFERROR(AVERAGE('04_Оценка'!D4,'04_Оценка'!F4),"")</x:f>
        <x:v>0</x:v>
      </x:c>
      <x:c r="D4" s="40" t="n">
        <x:f>IFERROR(AVERAGE('04_Оценка'!E4,'04_Оценка'!J4),"")</x:f>
        <x:v>0</x:v>
      </x:c>
      <x:c r="E4" s="40" t="str">
        <x:f>IFERROR('04_Оценка'!N4,"")</x:f>
      </x:c>
      <x:c r="F4" s="24" t="str">
        <x:f>IFERROR('04_Оценка'!R4,"")</x:f>
      </x:c>
      <x:c r="G4" s="24" t="str">
        <x:f>IF(E4="","",IF(AND(C4&gt;=4,D4&gt;=4),"Ядро прямой конкуренции",IF(AND(C4&gt;=3,D4&gt;=3),"Близкая альтернатива",IF(C4&gt;=3,"Функциональный заменитель",IF(D4&gt;=3,"Аудиторное пересечение","Периферия")))))</x:f>
      </x:c>
      <x:c r="H4" s="24"/>
      <x:c r="I4" s="24"/>
      <x:c r="J4" s="24" t="str">
        <x:f>IFERROR(XLOOKUP(A4,'01_Компании'!$A$4:$A$103,'01_Компании'!$I$4:$I$103),"")</x:f>
      </x:c>
      <x:c r="K4" s="24" t="str">
        <x:f>IFERROR(XLOOKUP(A4,'04_Оценка'!$A$4:$A$103,'04_Оценка'!$S$4:$S$103),"")</x:f>
      </x:c>
    </x:row>
    <x:row r="5">
      <x:c r="A5" s="24" t="str">
        <x:v>K002</x:v>
      </x:c>
      <x:c r="B5" s="24" t="str">
        <x:f>IFERROR(XLOOKUP(A5,'04_Оценка'!$A$4:$A$103,'04_Оценка'!$B$4:$B$103),"")</x:f>
      </x:c>
      <x:c r="C5" s="40" t="n">
        <x:f>IFERROR(AVERAGE('04_Оценка'!D5,'04_Оценка'!F5),"")</x:f>
        <x:v>0</x:v>
      </x:c>
      <x:c r="D5" s="40" t="n">
        <x:f>IFERROR(AVERAGE('04_Оценка'!E5,'04_Оценка'!J5),"")</x:f>
        <x:v>0</x:v>
      </x:c>
      <x:c r="E5" s="40" t="str">
        <x:f>IFERROR('04_Оценка'!N5,"")</x:f>
      </x:c>
      <x:c r="F5" s="24" t="str">
        <x:f>IFERROR('04_Оценка'!R5,"")</x:f>
      </x:c>
      <x:c r="G5" s="24" t="str">
        <x:f>IF(E5="","",IF(AND(C5&gt;=4,D5&gt;=4),"Ядро прямой конкуренции",IF(AND(C5&gt;=3,D5&gt;=3),"Близкая альтернатива",IF(C5&gt;=3,"Функциональный заменитель",IF(D5&gt;=3,"Аудиторное пересечение","Периферия")))))</x:f>
      </x:c>
      <x:c r="H5" s="24"/>
      <x:c r="I5" s="24"/>
      <x:c r="J5" s="24" t="str">
        <x:f>IFERROR(XLOOKUP(A5,'01_Компании'!$A$4:$A$103,'01_Компании'!$I$4:$I$103),"")</x:f>
      </x:c>
      <x:c r="K5" s="24" t="str">
        <x:f>IFERROR(XLOOKUP(A5,'04_Оценка'!$A$4:$A$103,'04_Оценка'!$S$4:$S$103),"")</x:f>
      </x:c>
    </x:row>
    <x:row r="6">
      <x:c r="A6" s="24" t="str">
        <x:v>K003</x:v>
      </x:c>
      <x:c r="B6" s="24" t="str">
        <x:f>IFERROR(XLOOKUP(A6,'04_Оценка'!$A$4:$A$103,'04_Оценка'!$B$4:$B$103),"")</x:f>
      </x:c>
      <x:c r="C6" s="40" t="n">
        <x:f>IFERROR(AVERAGE('04_Оценка'!D6,'04_Оценка'!F6),"")</x:f>
        <x:v>0</x:v>
      </x:c>
      <x:c r="D6" s="40" t="n">
        <x:f>IFERROR(AVERAGE('04_Оценка'!E6,'04_Оценка'!J6),"")</x:f>
        <x:v>0</x:v>
      </x:c>
      <x:c r="E6" s="40" t="str">
        <x:f>IFERROR('04_Оценка'!N6,"")</x:f>
      </x:c>
      <x:c r="F6" s="24" t="str">
        <x:f>IFERROR('04_Оценка'!R6,"")</x:f>
      </x:c>
      <x:c r="G6" s="24" t="str">
        <x:f>IF(E6="","",IF(AND(C6&gt;=4,D6&gt;=4),"Ядро прямой конкуренции",IF(AND(C6&gt;=3,D6&gt;=3),"Близкая альтернатива",IF(C6&gt;=3,"Функциональный заменитель",IF(D6&gt;=3,"Аудиторное пересечение","Периферия")))))</x:f>
      </x:c>
      <x:c r="H6" s="24"/>
      <x:c r="I6" s="24"/>
      <x:c r="J6" s="24" t="str">
        <x:f>IFERROR(XLOOKUP(A6,'01_Компании'!$A$4:$A$103,'01_Компании'!$I$4:$I$103),"")</x:f>
      </x:c>
      <x:c r="K6" s="24" t="str">
        <x:f>IFERROR(XLOOKUP(A6,'04_Оценка'!$A$4:$A$103,'04_Оценка'!$S$4:$S$103),"")</x:f>
      </x:c>
    </x:row>
    <x:row r="7">
      <x:c r="A7" s="24" t="str">
        <x:v>K004</x:v>
      </x:c>
      <x:c r="B7" s="24" t="str">
        <x:f>IFERROR(XLOOKUP(A7,'04_Оценка'!$A$4:$A$103,'04_Оценка'!$B$4:$B$103),"")</x:f>
      </x:c>
      <x:c r="C7" s="40" t="n">
        <x:f>IFERROR(AVERAGE('04_Оценка'!D7,'04_Оценка'!F7),"")</x:f>
        <x:v>0</x:v>
      </x:c>
      <x:c r="D7" s="40" t="n">
        <x:f>IFERROR(AVERAGE('04_Оценка'!E7,'04_Оценка'!J7),"")</x:f>
        <x:v>0</x:v>
      </x:c>
      <x:c r="E7" s="40" t="str">
        <x:f>IFERROR('04_Оценка'!N7,"")</x:f>
      </x:c>
      <x:c r="F7" s="24" t="str">
        <x:f>IFERROR('04_Оценка'!R7,"")</x:f>
      </x:c>
      <x:c r="G7" s="24" t="str">
        <x:f>IF(E7="","",IF(AND(C7&gt;=4,D7&gt;=4),"Ядро прямой конкуренции",IF(AND(C7&gt;=3,D7&gt;=3),"Близкая альтернатива",IF(C7&gt;=3,"Функциональный заменитель",IF(D7&gt;=3,"Аудиторное пересечение","Периферия")))))</x:f>
      </x:c>
      <x:c r="H7" s="24"/>
      <x:c r="I7" s="24"/>
      <x:c r="J7" s="24" t="str">
        <x:f>IFERROR(XLOOKUP(A7,'01_Компании'!$A$4:$A$103,'01_Компании'!$I$4:$I$103),"")</x:f>
      </x:c>
      <x:c r="K7" s="24" t="str">
        <x:f>IFERROR(XLOOKUP(A7,'04_Оценка'!$A$4:$A$103,'04_Оценка'!$S$4:$S$103),"")</x:f>
      </x:c>
    </x:row>
    <x:row r="8">
      <x:c r="A8" s="24" t="str">
        <x:v>K005</x:v>
      </x:c>
      <x:c r="B8" s="24" t="str">
        <x:f>IFERROR(XLOOKUP(A8,'04_Оценка'!$A$4:$A$103,'04_Оценка'!$B$4:$B$103),"")</x:f>
      </x:c>
      <x:c r="C8" s="40" t="n">
        <x:f>IFERROR(AVERAGE('04_Оценка'!D8,'04_Оценка'!F8),"")</x:f>
        <x:v>0</x:v>
      </x:c>
      <x:c r="D8" s="40" t="n">
        <x:f>IFERROR(AVERAGE('04_Оценка'!E8,'04_Оценка'!J8),"")</x:f>
        <x:v>0</x:v>
      </x:c>
      <x:c r="E8" s="40" t="str">
        <x:f>IFERROR('04_Оценка'!N8,"")</x:f>
      </x:c>
      <x:c r="F8" s="24" t="str">
        <x:f>IFERROR('04_Оценка'!R8,"")</x:f>
      </x:c>
      <x:c r="G8" s="24" t="str">
        <x:f>IF(E8="","",IF(AND(C8&gt;=4,D8&gt;=4),"Ядро прямой конкуренции",IF(AND(C8&gt;=3,D8&gt;=3),"Близкая альтернатива",IF(C8&gt;=3,"Функциональный заменитель",IF(D8&gt;=3,"Аудиторное пересечение","Периферия")))))</x:f>
      </x:c>
      <x:c r="H8" s="24"/>
      <x:c r="I8" s="24"/>
      <x:c r="J8" s="24" t="str">
        <x:f>IFERROR(XLOOKUP(A8,'01_Компании'!$A$4:$A$103,'01_Компании'!$I$4:$I$103),"")</x:f>
      </x:c>
      <x:c r="K8" s="24" t="str">
        <x:f>IFERROR(XLOOKUP(A8,'04_Оценка'!$A$4:$A$103,'04_Оценка'!$S$4:$S$103),"")</x:f>
      </x:c>
    </x:row>
    <x:row r="9">
      <x:c r="A9" s="24" t="str">
        <x:v>K006</x:v>
      </x:c>
      <x:c r="B9" s="24" t="str">
        <x:f>IFERROR(XLOOKUP(A9,'04_Оценка'!$A$4:$A$103,'04_Оценка'!$B$4:$B$103),"")</x:f>
      </x:c>
      <x:c r="C9" s="40" t="n">
        <x:f>IFERROR(AVERAGE('04_Оценка'!D9,'04_Оценка'!F9),"")</x:f>
        <x:v>0</x:v>
      </x:c>
      <x:c r="D9" s="40" t="n">
        <x:f>IFERROR(AVERAGE('04_Оценка'!E9,'04_Оценка'!J9),"")</x:f>
        <x:v>0</x:v>
      </x:c>
      <x:c r="E9" s="40" t="str">
        <x:f>IFERROR('04_Оценка'!N9,"")</x:f>
      </x:c>
      <x:c r="F9" s="24" t="str">
        <x:f>IFERROR('04_Оценка'!R9,"")</x:f>
      </x:c>
      <x:c r="G9" s="24" t="str">
        <x:f>IF(E9="","",IF(AND(C9&gt;=4,D9&gt;=4),"Ядро прямой конкуренции",IF(AND(C9&gt;=3,D9&gt;=3),"Близкая альтернатива",IF(C9&gt;=3,"Функциональный заменитель",IF(D9&gt;=3,"Аудиторное пересечение","Периферия")))))</x:f>
      </x:c>
      <x:c r="H9" s="24"/>
      <x:c r="I9" s="24"/>
      <x:c r="J9" s="24" t="str">
        <x:f>IFERROR(XLOOKUP(A9,'01_Компании'!$A$4:$A$103,'01_Компании'!$I$4:$I$103),"")</x:f>
      </x:c>
      <x:c r="K9" s="24" t="str">
        <x:f>IFERROR(XLOOKUP(A9,'04_Оценка'!$A$4:$A$103,'04_Оценка'!$S$4:$S$103),"")</x:f>
      </x:c>
    </x:row>
    <x:row r="10">
      <x:c r="A10" s="24" t="str">
        <x:v>K007</x:v>
      </x:c>
      <x:c r="B10" s="24" t="str">
        <x:f>IFERROR(XLOOKUP(A10,'04_Оценка'!$A$4:$A$103,'04_Оценка'!$B$4:$B$103),"")</x:f>
      </x:c>
      <x:c r="C10" s="40" t="n">
        <x:f>IFERROR(AVERAGE('04_Оценка'!D10,'04_Оценка'!F10),"")</x:f>
        <x:v>0</x:v>
      </x:c>
      <x:c r="D10" s="40" t="n">
        <x:f>IFERROR(AVERAGE('04_Оценка'!E10,'04_Оценка'!J10),"")</x:f>
        <x:v>0</x:v>
      </x:c>
      <x:c r="E10" s="40" t="str">
        <x:f>IFERROR('04_Оценка'!N10,"")</x:f>
      </x:c>
      <x:c r="F10" s="24" t="str">
        <x:f>IFERROR('04_Оценка'!R10,"")</x:f>
      </x:c>
      <x:c r="G10" s="24" t="str">
        <x:f>IF(E10="","",IF(AND(C10&gt;=4,D10&gt;=4),"Ядро прямой конкуренции",IF(AND(C10&gt;=3,D10&gt;=3),"Близкая альтернатива",IF(C10&gt;=3,"Функциональный заменитель",IF(D10&gt;=3,"Аудиторное пересечение","Периферия")))))</x:f>
      </x:c>
      <x:c r="H10" s="24"/>
      <x:c r="I10" s="24"/>
      <x:c r="J10" s="24" t="str">
        <x:f>IFERROR(XLOOKUP(A10,'01_Компании'!$A$4:$A$103,'01_Компании'!$I$4:$I$103),"")</x:f>
      </x:c>
      <x:c r="K10" s="24" t="str">
        <x:f>IFERROR(XLOOKUP(A10,'04_Оценка'!$A$4:$A$103,'04_Оценка'!$S$4:$S$103),"")</x:f>
      </x:c>
    </x:row>
    <x:row r="11">
      <x:c r="A11" s="24" t="str">
        <x:v>K008</x:v>
      </x:c>
      <x:c r="B11" s="24" t="str">
        <x:f>IFERROR(XLOOKUP(A11,'04_Оценка'!$A$4:$A$103,'04_Оценка'!$B$4:$B$103),"")</x:f>
      </x:c>
      <x:c r="C11" s="40" t="n">
        <x:f>IFERROR(AVERAGE('04_Оценка'!D11,'04_Оценка'!F11),"")</x:f>
        <x:v>0</x:v>
      </x:c>
      <x:c r="D11" s="40" t="n">
        <x:f>IFERROR(AVERAGE('04_Оценка'!E11,'04_Оценка'!J11),"")</x:f>
        <x:v>0</x:v>
      </x:c>
      <x:c r="E11" s="40" t="str">
        <x:f>IFERROR('04_Оценка'!N11,"")</x:f>
      </x:c>
      <x:c r="F11" s="24" t="str">
        <x:f>IFERROR('04_Оценка'!R11,"")</x:f>
      </x:c>
      <x:c r="G11" s="24" t="str">
        <x:f>IF(E11="","",IF(AND(C11&gt;=4,D11&gt;=4),"Ядро прямой конкуренции",IF(AND(C11&gt;=3,D11&gt;=3),"Близкая альтернатива",IF(C11&gt;=3,"Функциональный заменитель",IF(D11&gt;=3,"Аудиторное пересечение","Периферия")))))</x:f>
      </x:c>
      <x:c r="H11" s="24"/>
      <x:c r="I11" s="24"/>
      <x:c r="J11" s="24" t="str">
        <x:f>IFERROR(XLOOKUP(A11,'01_Компании'!$A$4:$A$103,'01_Компании'!$I$4:$I$103),"")</x:f>
      </x:c>
      <x:c r="K11" s="24" t="str">
        <x:f>IFERROR(XLOOKUP(A11,'04_Оценка'!$A$4:$A$103,'04_Оценка'!$S$4:$S$103),"")</x:f>
      </x:c>
    </x:row>
    <x:row r="12">
      <x:c r="A12" s="24" t="str">
        <x:v>K009</x:v>
      </x:c>
      <x:c r="B12" s="24" t="str">
        <x:f>IFERROR(XLOOKUP(A12,'04_Оценка'!$A$4:$A$103,'04_Оценка'!$B$4:$B$103),"")</x:f>
      </x:c>
      <x:c r="C12" s="40" t="n">
        <x:f>IFERROR(AVERAGE('04_Оценка'!D12,'04_Оценка'!F12),"")</x:f>
        <x:v>0</x:v>
      </x:c>
      <x:c r="D12" s="40" t="n">
        <x:f>IFERROR(AVERAGE('04_Оценка'!E12,'04_Оценка'!J12),"")</x:f>
        <x:v>0</x:v>
      </x:c>
      <x:c r="E12" s="40" t="str">
        <x:f>IFERROR('04_Оценка'!N12,"")</x:f>
      </x:c>
      <x:c r="F12" s="24" t="str">
        <x:f>IFERROR('04_Оценка'!R12,"")</x:f>
      </x:c>
      <x:c r="G12" s="24" t="str">
        <x:f>IF(E12="","",IF(AND(C12&gt;=4,D12&gt;=4),"Ядро прямой конкуренции",IF(AND(C12&gt;=3,D12&gt;=3),"Близкая альтернатива",IF(C12&gt;=3,"Функциональный заменитель",IF(D12&gt;=3,"Аудиторное пересечение","Периферия")))))</x:f>
      </x:c>
      <x:c r="H12" s="24"/>
      <x:c r="I12" s="24"/>
      <x:c r="J12" s="24" t="str">
        <x:f>IFERROR(XLOOKUP(A12,'01_Компании'!$A$4:$A$103,'01_Компании'!$I$4:$I$103),"")</x:f>
      </x:c>
      <x:c r="K12" s="24" t="str">
        <x:f>IFERROR(XLOOKUP(A12,'04_Оценка'!$A$4:$A$103,'04_Оценка'!$S$4:$S$103),"")</x:f>
      </x:c>
    </x:row>
    <x:row r="13">
      <x:c r="A13" s="24" t="str">
        <x:v>K010</x:v>
      </x:c>
      <x:c r="B13" s="24" t="str">
        <x:f>IFERROR(XLOOKUP(A13,'04_Оценка'!$A$4:$A$103,'04_Оценка'!$B$4:$B$103),"")</x:f>
      </x:c>
      <x:c r="C13" s="40" t="n">
        <x:f>IFERROR(AVERAGE('04_Оценка'!D13,'04_Оценка'!F13),"")</x:f>
        <x:v>0</x:v>
      </x:c>
      <x:c r="D13" s="40" t="n">
        <x:f>IFERROR(AVERAGE('04_Оценка'!E13,'04_Оценка'!J13),"")</x:f>
        <x:v>0</x:v>
      </x:c>
      <x:c r="E13" s="40" t="str">
        <x:f>IFERROR('04_Оценка'!N13,"")</x:f>
      </x:c>
      <x:c r="F13" s="24" t="str">
        <x:f>IFERROR('04_Оценка'!R13,"")</x:f>
      </x:c>
      <x:c r="G13" s="24" t="str">
        <x:f>IF(E13="","",IF(AND(C13&gt;=4,D13&gt;=4),"Ядро прямой конкуренции",IF(AND(C13&gt;=3,D13&gt;=3),"Близкая альтернатива",IF(C13&gt;=3,"Функциональный заменитель",IF(D13&gt;=3,"Аудиторное пересечение","Периферия")))))</x:f>
      </x:c>
      <x:c r="H13" s="24"/>
      <x:c r="I13" s="24"/>
      <x:c r="J13" s="24" t="str">
        <x:f>IFERROR(XLOOKUP(A13,'01_Компании'!$A$4:$A$103,'01_Компании'!$I$4:$I$103),"")</x:f>
      </x:c>
      <x:c r="K13" s="24" t="str">
        <x:f>IFERROR(XLOOKUP(A13,'04_Оценка'!$A$4:$A$103,'04_Оценка'!$S$4:$S$103),"")</x:f>
      </x:c>
    </x:row>
    <x:row r="14">
      <x:c r="A14" s="24" t="str">
        <x:v>K011</x:v>
      </x:c>
      <x:c r="B14" s="24" t="str">
        <x:f>IFERROR(XLOOKUP(A14,'04_Оценка'!$A$4:$A$103,'04_Оценка'!$B$4:$B$103),"")</x:f>
      </x:c>
      <x:c r="C14" s="40" t="n">
        <x:f>IFERROR(AVERAGE('04_Оценка'!D14,'04_Оценка'!F14),"")</x:f>
        <x:v>0</x:v>
      </x:c>
      <x:c r="D14" s="40" t="n">
        <x:f>IFERROR(AVERAGE('04_Оценка'!E14,'04_Оценка'!J14),"")</x:f>
        <x:v>0</x:v>
      </x:c>
      <x:c r="E14" s="40" t="str">
        <x:f>IFERROR('04_Оценка'!N14,"")</x:f>
      </x:c>
      <x:c r="F14" s="24" t="str">
        <x:f>IFERROR('04_Оценка'!R14,"")</x:f>
      </x:c>
      <x:c r="G14" s="24" t="str">
        <x:f>IF(E14="","",IF(AND(C14&gt;=4,D14&gt;=4),"Ядро прямой конкуренции",IF(AND(C14&gt;=3,D14&gt;=3),"Близкая альтернатива",IF(C14&gt;=3,"Функциональный заменитель",IF(D14&gt;=3,"Аудиторное пересечение","Периферия")))))</x:f>
      </x:c>
      <x:c r="H14" s="24"/>
      <x:c r="I14" s="24"/>
      <x:c r="J14" s="24" t="str">
        <x:f>IFERROR(XLOOKUP(A14,'01_Компании'!$A$4:$A$103,'01_Компании'!$I$4:$I$103),"")</x:f>
      </x:c>
      <x:c r="K14" s="24" t="str">
        <x:f>IFERROR(XLOOKUP(A14,'04_Оценка'!$A$4:$A$103,'04_Оценка'!$S$4:$S$103),"")</x:f>
      </x:c>
    </x:row>
    <x:row r="15">
      <x:c r="A15" s="24" t="str">
        <x:v>K012</x:v>
      </x:c>
      <x:c r="B15" s="24" t="str">
        <x:f>IFERROR(XLOOKUP(A15,'04_Оценка'!$A$4:$A$103,'04_Оценка'!$B$4:$B$103),"")</x:f>
      </x:c>
      <x:c r="C15" s="40" t="n">
        <x:f>IFERROR(AVERAGE('04_Оценка'!D15,'04_Оценка'!F15),"")</x:f>
        <x:v>0</x:v>
      </x:c>
      <x:c r="D15" s="40" t="n">
        <x:f>IFERROR(AVERAGE('04_Оценка'!E15,'04_Оценка'!J15),"")</x:f>
        <x:v>0</x:v>
      </x:c>
      <x:c r="E15" s="40" t="str">
        <x:f>IFERROR('04_Оценка'!N15,"")</x:f>
      </x:c>
      <x:c r="F15" s="24" t="str">
        <x:f>IFERROR('04_Оценка'!R15,"")</x:f>
      </x:c>
      <x:c r="G15" s="24" t="str">
        <x:f>IF(E15="","",IF(AND(C15&gt;=4,D15&gt;=4),"Ядро прямой конкуренции",IF(AND(C15&gt;=3,D15&gt;=3),"Близкая альтернатива",IF(C15&gt;=3,"Функциональный заменитель",IF(D15&gt;=3,"Аудиторное пересечение","Периферия")))))</x:f>
      </x:c>
      <x:c r="H15" s="24"/>
      <x:c r="I15" s="24"/>
      <x:c r="J15" s="24" t="str">
        <x:f>IFERROR(XLOOKUP(A15,'01_Компании'!$A$4:$A$103,'01_Компании'!$I$4:$I$103),"")</x:f>
      </x:c>
      <x:c r="K15" s="24" t="str">
        <x:f>IFERROR(XLOOKUP(A15,'04_Оценка'!$A$4:$A$103,'04_Оценка'!$S$4:$S$103),"")</x:f>
      </x:c>
    </x:row>
    <x:row r="16">
      <x:c r="A16" s="24" t="str">
        <x:v>K013</x:v>
      </x:c>
      <x:c r="B16" s="24" t="str">
        <x:f>IFERROR(XLOOKUP(A16,'04_Оценка'!$A$4:$A$103,'04_Оценка'!$B$4:$B$103),"")</x:f>
      </x:c>
      <x:c r="C16" s="40" t="n">
        <x:f>IFERROR(AVERAGE('04_Оценка'!D16,'04_Оценка'!F16),"")</x:f>
        <x:v>0</x:v>
      </x:c>
      <x:c r="D16" s="40" t="n">
        <x:f>IFERROR(AVERAGE('04_Оценка'!E16,'04_Оценка'!J16),"")</x:f>
        <x:v>0</x:v>
      </x:c>
      <x:c r="E16" s="40" t="str">
        <x:f>IFERROR('04_Оценка'!N16,"")</x:f>
      </x:c>
      <x:c r="F16" s="24" t="str">
        <x:f>IFERROR('04_Оценка'!R16,"")</x:f>
      </x:c>
      <x:c r="G16" s="24" t="str">
        <x:f>IF(E16="","",IF(AND(C16&gt;=4,D16&gt;=4),"Ядро прямой конкуренции",IF(AND(C16&gt;=3,D16&gt;=3),"Близкая альтернатива",IF(C16&gt;=3,"Функциональный заменитель",IF(D16&gt;=3,"Аудиторное пересечение","Периферия")))))</x:f>
      </x:c>
      <x:c r="H16" s="24"/>
      <x:c r="I16" s="24"/>
      <x:c r="J16" s="24" t="str">
        <x:f>IFERROR(XLOOKUP(A16,'01_Компании'!$A$4:$A$103,'01_Компании'!$I$4:$I$103),"")</x:f>
      </x:c>
      <x:c r="K16" s="24" t="str">
        <x:f>IFERROR(XLOOKUP(A16,'04_Оценка'!$A$4:$A$103,'04_Оценка'!$S$4:$S$103),"")</x:f>
      </x:c>
    </x:row>
    <x:row r="17">
      <x:c r="A17" s="24" t="str">
        <x:v>K014</x:v>
      </x:c>
      <x:c r="B17" s="24" t="str">
        <x:f>IFERROR(XLOOKUP(A17,'04_Оценка'!$A$4:$A$103,'04_Оценка'!$B$4:$B$103),"")</x:f>
      </x:c>
      <x:c r="C17" s="40" t="n">
        <x:f>IFERROR(AVERAGE('04_Оценка'!D17,'04_Оценка'!F17),"")</x:f>
        <x:v>0</x:v>
      </x:c>
      <x:c r="D17" s="40" t="n">
        <x:f>IFERROR(AVERAGE('04_Оценка'!E17,'04_Оценка'!J17),"")</x:f>
        <x:v>0</x:v>
      </x:c>
      <x:c r="E17" s="40" t="str">
        <x:f>IFERROR('04_Оценка'!N17,"")</x:f>
      </x:c>
      <x:c r="F17" s="24" t="str">
        <x:f>IFERROR('04_Оценка'!R17,"")</x:f>
      </x:c>
      <x:c r="G17" s="24" t="str">
        <x:f>IF(E17="","",IF(AND(C17&gt;=4,D17&gt;=4),"Ядро прямой конкуренции",IF(AND(C17&gt;=3,D17&gt;=3),"Близкая альтернатива",IF(C17&gt;=3,"Функциональный заменитель",IF(D17&gt;=3,"Аудиторное пересечение","Периферия")))))</x:f>
      </x:c>
      <x:c r="H17" s="24"/>
      <x:c r="I17" s="24"/>
      <x:c r="J17" s="24" t="str">
        <x:f>IFERROR(XLOOKUP(A17,'01_Компании'!$A$4:$A$103,'01_Компании'!$I$4:$I$103),"")</x:f>
      </x:c>
      <x:c r="K17" s="24" t="str">
        <x:f>IFERROR(XLOOKUP(A17,'04_Оценка'!$A$4:$A$103,'04_Оценка'!$S$4:$S$103),"")</x:f>
      </x:c>
    </x:row>
    <x:row r="18">
      <x:c r="A18" s="24" t="str">
        <x:v>K015</x:v>
      </x:c>
      <x:c r="B18" s="24" t="str">
        <x:f>IFERROR(XLOOKUP(A18,'04_Оценка'!$A$4:$A$103,'04_Оценка'!$B$4:$B$103),"")</x:f>
      </x:c>
      <x:c r="C18" s="40" t="n">
        <x:f>IFERROR(AVERAGE('04_Оценка'!D18,'04_Оценка'!F18),"")</x:f>
        <x:v>0</x:v>
      </x:c>
      <x:c r="D18" s="40" t="n">
        <x:f>IFERROR(AVERAGE('04_Оценка'!E18,'04_Оценка'!J18),"")</x:f>
        <x:v>0</x:v>
      </x:c>
      <x:c r="E18" s="40" t="str">
        <x:f>IFERROR('04_Оценка'!N18,"")</x:f>
      </x:c>
      <x:c r="F18" s="24" t="str">
        <x:f>IFERROR('04_Оценка'!R18,"")</x:f>
      </x:c>
      <x:c r="G18" s="24" t="str">
        <x:f>IF(E18="","",IF(AND(C18&gt;=4,D18&gt;=4),"Ядро прямой конкуренции",IF(AND(C18&gt;=3,D18&gt;=3),"Близкая альтернатива",IF(C18&gt;=3,"Функциональный заменитель",IF(D18&gt;=3,"Аудиторное пересечение","Периферия")))))</x:f>
      </x:c>
      <x:c r="H18" s="24"/>
      <x:c r="I18" s="24"/>
      <x:c r="J18" s="24" t="str">
        <x:f>IFERROR(XLOOKUP(A18,'01_Компании'!$A$4:$A$103,'01_Компании'!$I$4:$I$103),"")</x:f>
      </x:c>
      <x:c r="K18" s="24" t="str">
        <x:f>IFERROR(XLOOKUP(A18,'04_Оценка'!$A$4:$A$103,'04_Оценка'!$S$4:$S$103),"")</x:f>
      </x:c>
    </x:row>
    <x:row r="19">
      <x:c r="A19" s="24" t="str">
        <x:v>K016</x:v>
      </x:c>
      <x:c r="B19" s="24" t="str">
        <x:f>IFERROR(XLOOKUP(A19,'04_Оценка'!$A$4:$A$103,'04_Оценка'!$B$4:$B$103),"")</x:f>
      </x:c>
      <x:c r="C19" s="40" t="n">
        <x:f>IFERROR(AVERAGE('04_Оценка'!D19,'04_Оценка'!F19),"")</x:f>
        <x:v>0</x:v>
      </x:c>
      <x:c r="D19" s="40" t="n">
        <x:f>IFERROR(AVERAGE('04_Оценка'!E19,'04_Оценка'!J19),"")</x:f>
        <x:v>0</x:v>
      </x:c>
      <x:c r="E19" s="40" t="str">
        <x:f>IFERROR('04_Оценка'!N19,"")</x:f>
      </x:c>
      <x:c r="F19" s="24" t="str">
        <x:f>IFERROR('04_Оценка'!R19,"")</x:f>
      </x:c>
      <x:c r="G19" s="24" t="str">
        <x:f>IF(E19="","",IF(AND(C19&gt;=4,D19&gt;=4),"Ядро прямой конкуренции",IF(AND(C19&gt;=3,D19&gt;=3),"Близкая альтернатива",IF(C19&gt;=3,"Функциональный заменитель",IF(D19&gt;=3,"Аудиторное пересечение","Периферия")))))</x:f>
      </x:c>
      <x:c r="H19" s="24"/>
      <x:c r="I19" s="24"/>
      <x:c r="J19" s="24" t="str">
        <x:f>IFERROR(XLOOKUP(A19,'01_Компании'!$A$4:$A$103,'01_Компании'!$I$4:$I$103),"")</x:f>
      </x:c>
      <x:c r="K19" s="24" t="str">
        <x:f>IFERROR(XLOOKUP(A19,'04_Оценка'!$A$4:$A$103,'04_Оценка'!$S$4:$S$103),"")</x:f>
      </x:c>
    </x:row>
    <x:row r="20">
      <x:c r="A20" s="24" t="str">
        <x:v>K017</x:v>
      </x:c>
      <x:c r="B20" s="24" t="str">
        <x:f>IFERROR(XLOOKUP(A20,'04_Оценка'!$A$4:$A$103,'04_Оценка'!$B$4:$B$103),"")</x:f>
      </x:c>
      <x:c r="C20" s="40" t="n">
        <x:f>IFERROR(AVERAGE('04_Оценка'!D20,'04_Оценка'!F20),"")</x:f>
        <x:v>0</x:v>
      </x:c>
      <x:c r="D20" s="40" t="n">
        <x:f>IFERROR(AVERAGE('04_Оценка'!E20,'04_Оценка'!J20),"")</x:f>
        <x:v>0</x:v>
      </x:c>
      <x:c r="E20" s="40" t="str">
        <x:f>IFERROR('04_Оценка'!N20,"")</x:f>
      </x:c>
      <x:c r="F20" s="24" t="str">
        <x:f>IFERROR('04_Оценка'!R20,"")</x:f>
      </x:c>
      <x:c r="G20" s="24" t="str">
        <x:f>IF(E20="","",IF(AND(C20&gt;=4,D20&gt;=4),"Ядро прямой конкуренции",IF(AND(C20&gt;=3,D20&gt;=3),"Близкая альтернатива",IF(C20&gt;=3,"Функциональный заменитель",IF(D20&gt;=3,"Аудиторное пересечение","Периферия")))))</x:f>
      </x:c>
      <x:c r="H20" s="24"/>
      <x:c r="I20" s="24"/>
      <x:c r="J20" s="24" t="str">
        <x:f>IFERROR(XLOOKUP(A20,'01_Компании'!$A$4:$A$103,'01_Компании'!$I$4:$I$103),"")</x:f>
      </x:c>
      <x:c r="K20" s="24" t="str">
        <x:f>IFERROR(XLOOKUP(A20,'04_Оценка'!$A$4:$A$103,'04_Оценка'!$S$4:$S$103),"")</x:f>
      </x:c>
    </x:row>
    <x:row r="21">
      <x:c r="A21" s="24" t="str">
        <x:v>K018</x:v>
      </x:c>
      <x:c r="B21" s="24" t="str">
        <x:f>IFERROR(XLOOKUP(A21,'04_Оценка'!$A$4:$A$103,'04_Оценка'!$B$4:$B$103),"")</x:f>
      </x:c>
      <x:c r="C21" s="40" t="n">
        <x:f>IFERROR(AVERAGE('04_Оценка'!D21,'04_Оценка'!F21),"")</x:f>
        <x:v>0</x:v>
      </x:c>
      <x:c r="D21" s="40" t="n">
        <x:f>IFERROR(AVERAGE('04_Оценка'!E21,'04_Оценка'!J21),"")</x:f>
        <x:v>0</x:v>
      </x:c>
      <x:c r="E21" s="40" t="str">
        <x:f>IFERROR('04_Оценка'!N21,"")</x:f>
      </x:c>
      <x:c r="F21" s="24" t="str">
        <x:f>IFERROR('04_Оценка'!R21,"")</x:f>
      </x:c>
      <x:c r="G21" s="24" t="str">
        <x:f>IF(E21="","",IF(AND(C21&gt;=4,D21&gt;=4),"Ядро прямой конкуренции",IF(AND(C21&gt;=3,D21&gt;=3),"Близкая альтернатива",IF(C21&gt;=3,"Функциональный заменитель",IF(D21&gt;=3,"Аудиторное пересечение","Периферия")))))</x:f>
      </x:c>
      <x:c r="H21" s="24"/>
      <x:c r="I21" s="24"/>
      <x:c r="J21" s="24" t="str">
        <x:f>IFERROR(XLOOKUP(A21,'01_Компании'!$A$4:$A$103,'01_Компании'!$I$4:$I$103),"")</x:f>
      </x:c>
      <x:c r="K21" s="24" t="str">
        <x:f>IFERROR(XLOOKUP(A21,'04_Оценка'!$A$4:$A$103,'04_Оценка'!$S$4:$S$103),"")</x:f>
      </x:c>
    </x:row>
    <x:row r="22">
      <x:c r="A22" s="24" t="str">
        <x:v>K019</x:v>
      </x:c>
      <x:c r="B22" s="24" t="str">
        <x:f>IFERROR(XLOOKUP(A22,'04_Оценка'!$A$4:$A$103,'04_Оценка'!$B$4:$B$103),"")</x:f>
      </x:c>
      <x:c r="C22" s="40" t="n">
        <x:f>IFERROR(AVERAGE('04_Оценка'!D22,'04_Оценка'!F22),"")</x:f>
        <x:v>0</x:v>
      </x:c>
      <x:c r="D22" s="40" t="n">
        <x:f>IFERROR(AVERAGE('04_Оценка'!E22,'04_Оценка'!J22),"")</x:f>
        <x:v>0</x:v>
      </x:c>
      <x:c r="E22" s="40" t="str">
        <x:f>IFERROR('04_Оценка'!N22,"")</x:f>
      </x:c>
      <x:c r="F22" s="24" t="str">
        <x:f>IFERROR('04_Оценка'!R22,"")</x:f>
      </x:c>
      <x:c r="G22" s="24" t="str">
        <x:f>IF(E22="","",IF(AND(C22&gt;=4,D22&gt;=4),"Ядро прямой конкуренции",IF(AND(C22&gt;=3,D22&gt;=3),"Близкая альтернатива",IF(C22&gt;=3,"Функциональный заменитель",IF(D22&gt;=3,"Аудиторное пересечение","Периферия")))))</x:f>
      </x:c>
      <x:c r="H22" s="24"/>
      <x:c r="I22" s="24"/>
      <x:c r="J22" s="24" t="str">
        <x:f>IFERROR(XLOOKUP(A22,'01_Компании'!$A$4:$A$103,'01_Компании'!$I$4:$I$103),"")</x:f>
      </x:c>
      <x:c r="K22" s="24" t="str">
        <x:f>IFERROR(XLOOKUP(A22,'04_Оценка'!$A$4:$A$103,'04_Оценка'!$S$4:$S$103),"")</x:f>
      </x:c>
    </x:row>
    <x:row r="23">
      <x:c r="A23" s="24" t="str">
        <x:v>K020</x:v>
      </x:c>
      <x:c r="B23" s="24" t="str">
        <x:f>IFERROR(XLOOKUP(A23,'04_Оценка'!$A$4:$A$103,'04_Оценка'!$B$4:$B$103),"")</x:f>
      </x:c>
      <x:c r="C23" s="40" t="n">
        <x:f>IFERROR(AVERAGE('04_Оценка'!D23,'04_Оценка'!F23),"")</x:f>
        <x:v>0</x:v>
      </x:c>
      <x:c r="D23" s="40" t="n">
        <x:f>IFERROR(AVERAGE('04_Оценка'!E23,'04_Оценка'!J23),"")</x:f>
        <x:v>0</x:v>
      </x:c>
      <x:c r="E23" s="40" t="str">
        <x:f>IFERROR('04_Оценка'!N23,"")</x:f>
      </x:c>
      <x:c r="F23" s="24" t="str">
        <x:f>IFERROR('04_Оценка'!R23,"")</x:f>
      </x:c>
      <x:c r="G23" s="24" t="str">
        <x:f>IF(E23="","",IF(AND(C23&gt;=4,D23&gt;=4),"Ядро прямой конкуренции",IF(AND(C23&gt;=3,D23&gt;=3),"Близкая альтернатива",IF(C23&gt;=3,"Функциональный заменитель",IF(D23&gt;=3,"Аудиторное пересечение","Периферия")))))</x:f>
      </x:c>
      <x:c r="H23" s="24"/>
      <x:c r="I23" s="24"/>
      <x:c r="J23" s="24" t="str">
        <x:f>IFERROR(XLOOKUP(A23,'01_Компании'!$A$4:$A$103,'01_Компании'!$I$4:$I$103),"")</x:f>
      </x:c>
      <x:c r="K23" s="24" t="str">
        <x:f>IFERROR(XLOOKUP(A23,'04_Оценка'!$A$4:$A$103,'04_Оценка'!$S$4:$S$103),"")</x:f>
      </x:c>
    </x:row>
    <x:row r="24">
      <x:c r="A24" s="24" t="str">
        <x:v>K021</x:v>
      </x:c>
      <x:c r="B24" s="24" t="str">
        <x:f>IFERROR(XLOOKUP(A24,'04_Оценка'!$A$4:$A$103,'04_Оценка'!$B$4:$B$103),"")</x:f>
      </x:c>
      <x:c r="C24" s="40" t="n">
        <x:f>IFERROR(AVERAGE('04_Оценка'!D24,'04_Оценка'!F24),"")</x:f>
        <x:v>0</x:v>
      </x:c>
      <x:c r="D24" s="40" t="n">
        <x:f>IFERROR(AVERAGE('04_Оценка'!E24,'04_Оценка'!J24),"")</x:f>
        <x:v>0</x:v>
      </x:c>
      <x:c r="E24" s="40" t="str">
        <x:f>IFERROR('04_Оценка'!N24,"")</x:f>
      </x:c>
      <x:c r="F24" s="24" t="str">
        <x:f>IFERROR('04_Оценка'!R24,"")</x:f>
      </x:c>
      <x:c r="G24" s="24" t="str">
        <x:f>IF(E24="","",IF(AND(C24&gt;=4,D24&gt;=4),"Ядро прямой конкуренции",IF(AND(C24&gt;=3,D24&gt;=3),"Близкая альтернатива",IF(C24&gt;=3,"Функциональный заменитель",IF(D24&gt;=3,"Аудиторное пересечение","Периферия")))))</x:f>
      </x:c>
      <x:c r="H24" s="24"/>
      <x:c r="I24" s="24"/>
      <x:c r="J24" s="24" t="str">
        <x:f>IFERROR(XLOOKUP(A24,'01_Компании'!$A$4:$A$103,'01_Компании'!$I$4:$I$103),"")</x:f>
      </x:c>
      <x:c r="K24" s="24" t="str">
        <x:f>IFERROR(XLOOKUP(A24,'04_Оценка'!$A$4:$A$103,'04_Оценка'!$S$4:$S$103),"")</x:f>
      </x:c>
    </x:row>
    <x:row r="25">
      <x:c r="A25" s="24" t="str">
        <x:v>K022</x:v>
      </x:c>
      <x:c r="B25" s="24" t="str">
        <x:f>IFERROR(XLOOKUP(A25,'04_Оценка'!$A$4:$A$103,'04_Оценка'!$B$4:$B$103),"")</x:f>
      </x:c>
      <x:c r="C25" s="40" t="n">
        <x:f>IFERROR(AVERAGE('04_Оценка'!D25,'04_Оценка'!F25),"")</x:f>
        <x:v>0</x:v>
      </x:c>
      <x:c r="D25" s="40" t="n">
        <x:f>IFERROR(AVERAGE('04_Оценка'!E25,'04_Оценка'!J25),"")</x:f>
        <x:v>0</x:v>
      </x:c>
      <x:c r="E25" s="40" t="str">
        <x:f>IFERROR('04_Оценка'!N25,"")</x:f>
      </x:c>
      <x:c r="F25" s="24" t="str">
        <x:f>IFERROR('04_Оценка'!R25,"")</x:f>
      </x:c>
      <x:c r="G25" s="24" t="str">
        <x:f>IF(E25="","",IF(AND(C25&gt;=4,D25&gt;=4),"Ядро прямой конкуренции",IF(AND(C25&gt;=3,D25&gt;=3),"Близкая альтернатива",IF(C25&gt;=3,"Функциональный заменитель",IF(D25&gt;=3,"Аудиторное пересечение","Периферия")))))</x:f>
      </x:c>
      <x:c r="H25" s="24"/>
      <x:c r="I25" s="24"/>
      <x:c r="J25" s="24" t="str">
        <x:f>IFERROR(XLOOKUP(A25,'01_Компании'!$A$4:$A$103,'01_Компании'!$I$4:$I$103),"")</x:f>
      </x:c>
      <x:c r="K25" s="24" t="str">
        <x:f>IFERROR(XLOOKUP(A25,'04_Оценка'!$A$4:$A$103,'04_Оценка'!$S$4:$S$103),"")</x:f>
      </x:c>
    </x:row>
    <x:row r="26">
      <x:c r="A26" s="24" t="str">
        <x:v>K023</x:v>
      </x:c>
      <x:c r="B26" s="24" t="str">
        <x:f>IFERROR(XLOOKUP(A26,'04_Оценка'!$A$4:$A$103,'04_Оценка'!$B$4:$B$103),"")</x:f>
      </x:c>
      <x:c r="C26" s="40" t="n">
        <x:f>IFERROR(AVERAGE('04_Оценка'!D26,'04_Оценка'!F26),"")</x:f>
        <x:v>0</x:v>
      </x:c>
      <x:c r="D26" s="40" t="n">
        <x:f>IFERROR(AVERAGE('04_Оценка'!E26,'04_Оценка'!J26),"")</x:f>
        <x:v>0</x:v>
      </x:c>
      <x:c r="E26" s="40" t="str">
        <x:f>IFERROR('04_Оценка'!N26,"")</x:f>
      </x:c>
      <x:c r="F26" s="24" t="str">
        <x:f>IFERROR('04_Оценка'!R26,"")</x:f>
      </x:c>
      <x:c r="G26" s="24" t="str">
        <x:f>IF(E26="","",IF(AND(C26&gt;=4,D26&gt;=4),"Ядро прямой конкуренции",IF(AND(C26&gt;=3,D26&gt;=3),"Близкая альтернатива",IF(C26&gt;=3,"Функциональный заменитель",IF(D26&gt;=3,"Аудиторное пересечение","Периферия")))))</x:f>
      </x:c>
      <x:c r="H26" s="24"/>
      <x:c r="I26" s="24"/>
      <x:c r="J26" s="24" t="str">
        <x:f>IFERROR(XLOOKUP(A26,'01_Компании'!$A$4:$A$103,'01_Компании'!$I$4:$I$103),"")</x:f>
      </x:c>
      <x:c r="K26" s="24" t="str">
        <x:f>IFERROR(XLOOKUP(A26,'04_Оценка'!$A$4:$A$103,'04_Оценка'!$S$4:$S$103),"")</x:f>
      </x:c>
    </x:row>
    <x:row r="27">
      <x:c r="A27" s="24" t="str">
        <x:v>K024</x:v>
      </x:c>
      <x:c r="B27" s="24" t="str">
        <x:f>IFERROR(XLOOKUP(A27,'04_Оценка'!$A$4:$A$103,'04_Оценка'!$B$4:$B$103),"")</x:f>
      </x:c>
      <x:c r="C27" s="40" t="n">
        <x:f>IFERROR(AVERAGE('04_Оценка'!D27,'04_Оценка'!F27),"")</x:f>
        <x:v>0</x:v>
      </x:c>
      <x:c r="D27" s="40" t="n">
        <x:f>IFERROR(AVERAGE('04_Оценка'!E27,'04_Оценка'!J27),"")</x:f>
        <x:v>0</x:v>
      </x:c>
      <x:c r="E27" s="40" t="str">
        <x:f>IFERROR('04_Оценка'!N27,"")</x:f>
      </x:c>
      <x:c r="F27" s="24" t="str">
        <x:f>IFERROR('04_Оценка'!R27,"")</x:f>
      </x:c>
      <x:c r="G27" s="24" t="str">
        <x:f>IF(E27="","",IF(AND(C27&gt;=4,D27&gt;=4),"Ядро прямой конкуренции",IF(AND(C27&gt;=3,D27&gt;=3),"Близкая альтернатива",IF(C27&gt;=3,"Функциональный заменитель",IF(D27&gt;=3,"Аудиторное пересечение","Периферия")))))</x:f>
      </x:c>
      <x:c r="H27" s="24"/>
      <x:c r="I27" s="24"/>
      <x:c r="J27" s="24" t="str">
        <x:f>IFERROR(XLOOKUP(A27,'01_Компании'!$A$4:$A$103,'01_Компании'!$I$4:$I$103),"")</x:f>
      </x:c>
      <x:c r="K27" s="24" t="str">
        <x:f>IFERROR(XLOOKUP(A27,'04_Оценка'!$A$4:$A$103,'04_Оценка'!$S$4:$S$103),"")</x:f>
      </x:c>
    </x:row>
    <x:row r="28">
      <x:c r="A28" s="24" t="str">
        <x:v>K025</x:v>
      </x:c>
      <x:c r="B28" s="24" t="str">
        <x:f>IFERROR(XLOOKUP(A28,'04_Оценка'!$A$4:$A$103,'04_Оценка'!$B$4:$B$103),"")</x:f>
      </x:c>
      <x:c r="C28" s="40" t="n">
        <x:f>IFERROR(AVERAGE('04_Оценка'!D28,'04_Оценка'!F28),"")</x:f>
        <x:v>0</x:v>
      </x:c>
      <x:c r="D28" s="40" t="n">
        <x:f>IFERROR(AVERAGE('04_Оценка'!E28,'04_Оценка'!J28),"")</x:f>
        <x:v>0</x:v>
      </x:c>
      <x:c r="E28" s="40" t="str">
        <x:f>IFERROR('04_Оценка'!N28,"")</x:f>
      </x:c>
      <x:c r="F28" s="24" t="str">
        <x:f>IFERROR('04_Оценка'!R28,"")</x:f>
      </x:c>
      <x:c r="G28" s="24" t="str">
        <x:f>IF(E28="","",IF(AND(C28&gt;=4,D28&gt;=4),"Ядро прямой конкуренции",IF(AND(C28&gt;=3,D28&gt;=3),"Близкая альтернатива",IF(C28&gt;=3,"Функциональный заменитель",IF(D28&gt;=3,"Аудиторное пересечение","Периферия")))))</x:f>
      </x:c>
      <x:c r="H28" s="24"/>
      <x:c r="I28" s="24"/>
      <x:c r="J28" s="24" t="str">
        <x:f>IFERROR(XLOOKUP(A28,'01_Компании'!$A$4:$A$103,'01_Компании'!$I$4:$I$103),"")</x:f>
      </x:c>
      <x:c r="K28" s="24" t="str">
        <x:f>IFERROR(XLOOKUP(A28,'04_Оценка'!$A$4:$A$103,'04_Оценка'!$S$4:$S$103),"")</x:f>
      </x:c>
    </x:row>
    <x:row r="29">
      <x:c r="A29" s="24" t="str">
        <x:v>K026</x:v>
      </x:c>
      <x:c r="B29" s="24" t="str">
        <x:f>IFERROR(XLOOKUP(A29,'04_Оценка'!$A$4:$A$103,'04_Оценка'!$B$4:$B$103),"")</x:f>
      </x:c>
      <x:c r="C29" s="40" t="n">
        <x:f>IFERROR(AVERAGE('04_Оценка'!D29,'04_Оценка'!F29),"")</x:f>
        <x:v>0</x:v>
      </x:c>
      <x:c r="D29" s="40" t="n">
        <x:f>IFERROR(AVERAGE('04_Оценка'!E29,'04_Оценка'!J29),"")</x:f>
        <x:v>0</x:v>
      </x:c>
      <x:c r="E29" s="40" t="str">
        <x:f>IFERROR('04_Оценка'!N29,"")</x:f>
      </x:c>
      <x:c r="F29" s="24" t="str">
        <x:f>IFERROR('04_Оценка'!R29,"")</x:f>
      </x:c>
      <x:c r="G29" s="24" t="str">
        <x:f>IF(E29="","",IF(AND(C29&gt;=4,D29&gt;=4),"Ядро прямой конкуренции",IF(AND(C29&gt;=3,D29&gt;=3),"Близкая альтернатива",IF(C29&gt;=3,"Функциональный заменитель",IF(D29&gt;=3,"Аудиторное пересечение","Периферия")))))</x:f>
      </x:c>
      <x:c r="H29" s="24"/>
      <x:c r="I29" s="24"/>
      <x:c r="J29" s="24" t="str">
        <x:f>IFERROR(XLOOKUP(A29,'01_Компании'!$A$4:$A$103,'01_Компании'!$I$4:$I$103),"")</x:f>
      </x:c>
      <x:c r="K29" s="24" t="str">
        <x:f>IFERROR(XLOOKUP(A29,'04_Оценка'!$A$4:$A$103,'04_Оценка'!$S$4:$S$103),"")</x:f>
      </x:c>
    </x:row>
    <x:row r="30">
      <x:c r="A30" s="24" t="str">
        <x:v>K027</x:v>
      </x:c>
      <x:c r="B30" s="24" t="str">
        <x:f>IFERROR(XLOOKUP(A30,'04_Оценка'!$A$4:$A$103,'04_Оценка'!$B$4:$B$103),"")</x:f>
      </x:c>
      <x:c r="C30" s="40" t="n">
        <x:f>IFERROR(AVERAGE('04_Оценка'!D30,'04_Оценка'!F30),"")</x:f>
        <x:v>0</x:v>
      </x:c>
      <x:c r="D30" s="40" t="n">
        <x:f>IFERROR(AVERAGE('04_Оценка'!E30,'04_Оценка'!J30),"")</x:f>
        <x:v>0</x:v>
      </x:c>
      <x:c r="E30" s="40" t="str">
        <x:f>IFERROR('04_Оценка'!N30,"")</x:f>
      </x:c>
      <x:c r="F30" s="24" t="str">
        <x:f>IFERROR('04_Оценка'!R30,"")</x:f>
      </x:c>
      <x:c r="G30" s="24" t="str">
        <x:f>IF(E30="","",IF(AND(C30&gt;=4,D30&gt;=4),"Ядро прямой конкуренции",IF(AND(C30&gt;=3,D30&gt;=3),"Близкая альтернатива",IF(C30&gt;=3,"Функциональный заменитель",IF(D30&gt;=3,"Аудиторное пересечение","Периферия")))))</x:f>
      </x:c>
      <x:c r="H30" s="24"/>
      <x:c r="I30" s="24"/>
      <x:c r="J30" s="24" t="str">
        <x:f>IFERROR(XLOOKUP(A30,'01_Компании'!$A$4:$A$103,'01_Компании'!$I$4:$I$103),"")</x:f>
      </x:c>
      <x:c r="K30" s="24" t="str">
        <x:f>IFERROR(XLOOKUP(A30,'04_Оценка'!$A$4:$A$103,'04_Оценка'!$S$4:$S$103),"")</x:f>
      </x:c>
    </x:row>
    <x:row r="31">
      <x:c r="A31" s="24" t="str">
        <x:v>K028</x:v>
      </x:c>
      <x:c r="B31" s="24" t="str">
        <x:f>IFERROR(XLOOKUP(A31,'04_Оценка'!$A$4:$A$103,'04_Оценка'!$B$4:$B$103),"")</x:f>
      </x:c>
      <x:c r="C31" s="40" t="n">
        <x:f>IFERROR(AVERAGE('04_Оценка'!D31,'04_Оценка'!F31),"")</x:f>
        <x:v>0</x:v>
      </x:c>
      <x:c r="D31" s="40" t="n">
        <x:f>IFERROR(AVERAGE('04_Оценка'!E31,'04_Оценка'!J31),"")</x:f>
        <x:v>0</x:v>
      </x:c>
      <x:c r="E31" s="40" t="str">
        <x:f>IFERROR('04_Оценка'!N31,"")</x:f>
      </x:c>
      <x:c r="F31" s="24" t="str">
        <x:f>IFERROR('04_Оценка'!R31,"")</x:f>
      </x:c>
      <x:c r="G31" s="24" t="str">
        <x:f>IF(E31="","",IF(AND(C31&gt;=4,D31&gt;=4),"Ядро прямой конкуренции",IF(AND(C31&gt;=3,D31&gt;=3),"Близкая альтернатива",IF(C31&gt;=3,"Функциональный заменитель",IF(D31&gt;=3,"Аудиторное пересечение","Периферия")))))</x:f>
      </x:c>
      <x:c r="H31" s="24"/>
      <x:c r="I31" s="24"/>
      <x:c r="J31" s="24" t="str">
        <x:f>IFERROR(XLOOKUP(A31,'01_Компании'!$A$4:$A$103,'01_Компании'!$I$4:$I$103),"")</x:f>
      </x:c>
      <x:c r="K31" s="24" t="str">
        <x:f>IFERROR(XLOOKUP(A31,'04_Оценка'!$A$4:$A$103,'04_Оценка'!$S$4:$S$103),"")</x:f>
      </x:c>
    </x:row>
    <x:row r="32">
      <x:c r="A32" s="24" t="str">
        <x:v>K029</x:v>
      </x:c>
      <x:c r="B32" s="24" t="str">
        <x:f>IFERROR(XLOOKUP(A32,'04_Оценка'!$A$4:$A$103,'04_Оценка'!$B$4:$B$103),"")</x:f>
      </x:c>
      <x:c r="C32" s="40" t="n">
        <x:f>IFERROR(AVERAGE('04_Оценка'!D32,'04_Оценка'!F32),"")</x:f>
        <x:v>0</x:v>
      </x:c>
      <x:c r="D32" s="40" t="n">
        <x:f>IFERROR(AVERAGE('04_Оценка'!E32,'04_Оценка'!J32),"")</x:f>
        <x:v>0</x:v>
      </x:c>
      <x:c r="E32" s="40" t="str">
        <x:f>IFERROR('04_Оценка'!N32,"")</x:f>
      </x:c>
      <x:c r="F32" s="24" t="str">
        <x:f>IFERROR('04_Оценка'!R32,"")</x:f>
      </x:c>
      <x:c r="G32" s="24" t="str">
        <x:f>IF(E32="","",IF(AND(C32&gt;=4,D32&gt;=4),"Ядро прямой конкуренции",IF(AND(C32&gt;=3,D32&gt;=3),"Близкая альтернатива",IF(C32&gt;=3,"Функциональный заменитель",IF(D32&gt;=3,"Аудиторное пересечение","Периферия")))))</x:f>
      </x:c>
      <x:c r="H32" s="24"/>
      <x:c r="I32" s="24"/>
      <x:c r="J32" s="24" t="str">
        <x:f>IFERROR(XLOOKUP(A32,'01_Компании'!$A$4:$A$103,'01_Компании'!$I$4:$I$103),"")</x:f>
      </x:c>
      <x:c r="K32" s="24" t="str">
        <x:f>IFERROR(XLOOKUP(A32,'04_Оценка'!$A$4:$A$103,'04_Оценка'!$S$4:$S$103),"")</x:f>
      </x:c>
    </x:row>
    <x:row r="33">
      <x:c r="A33" s="24" t="str">
        <x:v>K030</x:v>
      </x:c>
      <x:c r="B33" s="24" t="str">
        <x:f>IFERROR(XLOOKUP(A33,'04_Оценка'!$A$4:$A$103,'04_Оценка'!$B$4:$B$103),"")</x:f>
      </x:c>
      <x:c r="C33" s="40" t="n">
        <x:f>IFERROR(AVERAGE('04_Оценка'!D33,'04_Оценка'!F33),"")</x:f>
        <x:v>0</x:v>
      </x:c>
      <x:c r="D33" s="40" t="n">
        <x:f>IFERROR(AVERAGE('04_Оценка'!E33,'04_Оценка'!J33),"")</x:f>
        <x:v>0</x:v>
      </x:c>
      <x:c r="E33" s="40" t="str">
        <x:f>IFERROR('04_Оценка'!N33,"")</x:f>
      </x:c>
      <x:c r="F33" s="24" t="str">
        <x:f>IFERROR('04_Оценка'!R33,"")</x:f>
      </x:c>
      <x:c r="G33" s="24" t="str">
        <x:f>IF(E33="","",IF(AND(C33&gt;=4,D33&gt;=4),"Ядро прямой конкуренции",IF(AND(C33&gt;=3,D33&gt;=3),"Близкая альтернатива",IF(C33&gt;=3,"Функциональный заменитель",IF(D33&gt;=3,"Аудиторное пересечение","Периферия")))))</x:f>
      </x:c>
      <x:c r="H33" s="24"/>
      <x:c r="I33" s="24"/>
      <x:c r="J33" s="24" t="str">
        <x:f>IFERROR(XLOOKUP(A33,'01_Компании'!$A$4:$A$103,'01_Компании'!$I$4:$I$103),"")</x:f>
      </x:c>
      <x:c r="K33" s="24" t="str">
        <x:f>IFERROR(XLOOKUP(A33,'04_Оценка'!$A$4:$A$103,'04_Оценка'!$S$4:$S$103),"")</x:f>
      </x:c>
    </x:row>
    <x:row r="34">
      <x:c r="A34" s="24" t="str">
        <x:v>K031</x:v>
      </x:c>
      <x:c r="B34" s="24" t="str">
        <x:f>IFERROR(XLOOKUP(A34,'04_Оценка'!$A$4:$A$103,'04_Оценка'!$B$4:$B$103),"")</x:f>
      </x:c>
      <x:c r="C34" s="40" t="n">
        <x:f>IFERROR(AVERAGE('04_Оценка'!D34,'04_Оценка'!F34),"")</x:f>
        <x:v>0</x:v>
      </x:c>
      <x:c r="D34" s="40" t="n">
        <x:f>IFERROR(AVERAGE('04_Оценка'!E34,'04_Оценка'!J34),"")</x:f>
        <x:v>0</x:v>
      </x:c>
      <x:c r="E34" s="40" t="str">
        <x:f>IFERROR('04_Оценка'!N34,"")</x:f>
      </x:c>
      <x:c r="F34" s="24" t="str">
        <x:f>IFERROR('04_Оценка'!R34,"")</x:f>
      </x:c>
      <x:c r="G34" s="24" t="str">
        <x:f>IF(E34="","",IF(AND(C34&gt;=4,D34&gt;=4),"Ядро прямой конкуренции",IF(AND(C34&gt;=3,D34&gt;=3),"Близкая альтернатива",IF(C34&gt;=3,"Функциональный заменитель",IF(D34&gt;=3,"Аудиторное пересечение","Периферия")))))</x:f>
      </x:c>
      <x:c r="H34" s="24"/>
      <x:c r="I34" s="24"/>
      <x:c r="J34" s="24" t="str">
        <x:f>IFERROR(XLOOKUP(A34,'01_Компании'!$A$4:$A$103,'01_Компании'!$I$4:$I$103),"")</x:f>
      </x:c>
      <x:c r="K34" s="24" t="str">
        <x:f>IFERROR(XLOOKUP(A34,'04_Оценка'!$A$4:$A$103,'04_Оценка'!$S$4:$S$103),"")</x:f>
      </x:c>
    </x:row>
    <x:row r="35">
      <x:c r="A35" s="24" t="str">
        <x:v>K032</x:v>
      </x:c>
      <x:c r="B35" s="24" t="str">
        <x:f>IFERROR(XLOOKUP(A35,'04_Оценка'!$A$4:$A$103,'04_Оценка'!$B$4:$B$103),"")</x:f>
      </x:c>
      <x:c r="C35" s="40" t="n">
        <x:f>IFERROR(AVERAGE('04_Оценка'!D35,'04_Оценка'!F35),"")</x:f>
        <x:v>0</x:v>
      </x:c>
      <x:c r="D35" s="40" t="n">
        <x:f>IFERROR(AVERAGE('04_Оценка'!E35,'04_Оценка'!J35),"")</x:f>
        <x:v>0</x:v>
      </x:c>
      <x:c r="E35" s="40" t="str">
        <x:f>IFERROR('04_Оценка'!N35,"")</x:f>
      </x:c>
      <x:c r="F35" s="24" t="str">
        <x:f>IFERROR('04_Оценка'!R35,"")</x:f>
      </x:c>
      <x:c r="G35" s="24" t="str">
        <x:f>IF(E35="","",IF(AND(C35&gt;=4,D35&gt;=4),"Ядро прямой конкуренции",IF(AND(C35&gt;=3,D35&gt;=3),"Близкая альтернатива",IF(C35&gt;=3,"Функциональный заменитель",IF(D35&gt;=3,"Аудиторное пересечение","Периферия")))))</x:f>
      </x:c>
      <x:c r="H35" s="24"/>
      <x:c r="I35" s="24"/>
      <x:c r="J35" s="24" t="str">
        <x:f>IFERROR(XLOOKUP(A35,'01_Компании'!$A$4:$A$103,'01_Компании'!$I$4:$I$103),"")</x:f>
      </x:c>
      <x:c r="K35" s="24" t="str">
        <x:f>IFERROR(XLOOKUP(A35,'04_Оценка'!$A$4:$A$103,'04_Оценка'!$S$4:$S$103),"")</x:f>
      </x:c>
    </x:row>
    <x:row r="36">
      <x:c r="A36" s="24" t="str">
        <x:v>K033</x:v>
      </x:c>
      <x:c r="B36" s="24" t="str">
        <x:f>IFERROR(XLOOKUP(A36,'04_Оценка'!$A$4:$A$103,'04_Оценка'!$B$4:$B$103),"")</x:f>
      </x:c>
      <x:c r="C36" s="40" t="n">
        <x:f>IFERROR(AVERAGE('04_Оценка'!D36,'04_Оценка'!F36),"")</x:f>
        <x:v>0</x:v>
      </x:c>
      <x:c r="D36" s="40" t="n">
        <x:f>IFERROR(AVERAGE('04_Оценка'!E36,'04_Оценка'!J36),"")</x:f>
        <x:v>0</x:v>
      </x:c>
      <x:c r="E36" s="40" t="str">
        <x:f>IFERROR('04_Оценка'!N36,"")</x:f>
      </x:c>
      <x:c r="F36" s="24" t="str">
        <x:f>IFERROR('04_Оценка'!R36,"")</x:f>
      </x:c>
      <x:c r="G36" s="24" t="str">
        <x:f>IF(E36="","",IF(AND(C36&gt;=4,D36&gt;=4),"Ядро прямой конкуренции",IF(AND(C36&gt;=3,D36&gt;=3),"Близкая альтернатива",IF(C36&gt;=3,"Функциональный заменитель",IF(D36&gt;=3,"Аудиторное пересечение","Периферия")))))</x:f>
      </x:c>
      <x:c r="H36" s="24"/>
      <x:c r="I36" s="24"/>
      <x:c r="J36" s="24" t="str">
        <x:f>IFERROR(XLOOKUP(A36,'01_Компании'!$A$4:$A$103,'01_Компании'!$I$4:$I$103),"")</x:f>
      </x:c>
      <x:c r="K36" s="24" t="str">
        <x:f>IFERROR(XLOOKUP(A36,'04_Оценка'!$A$4:$A$103,'04_Оценка'!$S$4:$S$103),"")</x:f>
      </x:c>
    </x:row>
    <x:row r="37">
      <x:c r="A37" s="24" t="str">
        <x:v>K034</x:v>
      </x:c>
      <x:c r="B37" s="24" t="str">
        <x:f>IFERROR(XLOOKUP(A37,'04_Оценка'!$A$4:$A$103,'04_Оценка'!$B$4:$B$103),"")</x:f>
      </x:c>
      <x:c r="C37" s="40" t="n">
        <x:f>IFERROR(AVERAGE('04_Оценка'!D37,'04_Оценка'!F37),"")</x:f>
        <x:v>0</x:v>
      </x:c>
      <x:c r="D37" s="40" t="n">
        <x:f>IFERROR(AVERAGE('04_Оценка'!E37,'04_Оценка'!J37),"")</x:f>
        <x:v>0</x:v>
      </x:c>
      <x:c r="E37" s="40" t="str">
        <x:f>IFERROR('04_Оценка'!N37,"")</x:f>
      </x:c>
      <x:c r="F37" s="24" t="str">
        <x:f>IFERROR('04_Оценка'!R37,"")</x:f>
      </x:c>
      <x:c r="G37" s="24" t="str">
        <x:f>IF(E37="","",IF(AND(C37&gt;=4,D37&gt;=4),"Ядро прямой конкуренции",IF(AND(C37&gt;=3,D37&gt;=3),"Близкая альтернатива",IF(C37&gt;=3,"Функциональный заменитель",IF(D37&gt;=3,"Аудиторное пересечение","Периферия")))))</x:f>
      </x:c>
      <x:c r="H37" s="24"/>
      <x:c r="I37" s="24"/>
      <x:c r="J37" s="24" t="str">
        <x:f>IFERROR(XLOOKUP(A37,'01_Компании'!$A$4:$A$103,'01_Компании'!$I$4:$I$103),"")</x:f>
      </x:c>
      <x:c r="K37" s="24" t="str">
        <x:f>IFERROR(XLOOKUP(A37,'04_Оценка'!$A$4:$A$103,'04_Оценка'!$S$4:$S$103),"")</x:f>
      </x:c>
    </x:row>
    <x:row r="38">
      <x:c r="A38" s="24" t="str">
        <x:v>K035</x:v>
      </x:c>
      <x:c r="B38" s="24" t="str">
        <x:f>IFERROR(XLOOKUP(A38,'04_Оценка'!$A$4:$A$103,'04_Оценка'!$B$4:$B$103),"")</x:f>
      </x:c>
      <x:c r="C38" s="40" t="n">
        <x:f>IFERROR(AVERAGE('04_Оценка'!D38,'04_Оценка'!F38),"")</x:f>
        <x:v>0</x:v>
      </x:c>
      <x:c r="D38" s="40" t="n">
        <x:f>IFERROR(AVERAGE('04_Оценка'!E38,'04_Оценка'!J38),"")</x:f>
        <x:v>0</x:v>
      </x:c>
      <x:c r="E38" s="40" t="str">
        <x:f>IFERROR('04_Оценка'!N38,"")</x:f>
      </x:c>
      <x:c r="F38" s="24" t="str">
        <x:f>IFERROR('04_Оценка'!R38,"")</x:f>
      </x:c>
      <x:c r="G38" s="24" t="str">
        <x:f>IF(E38="","",IF(AND(C38&gt;=4,D38&gt;=4),"Ядро прямой конкуренции",IF(AND(C38&gt;=3,D38&gt;=3),"Близкая альтернатива",IF(C38&gt;=3,"Функциональный заменитель",IF(D38&gt;=3,"Аудиторное пересечение","Периферия")))))</x:f>
      </x:c>
      <x:c r="H38" s="24"/>
      <x:c r="I38" s="24"/>
      <x:c r="J38" s="24" t="str">
        <x:f>IFERROR(XLOOKUP(A38,'01_Компании'!$A$4:$A$103,'01_Компании'!$I$4:$I$103),"")</x:f>
      </x:c>
      <x:c r="K38" s="24" t="str">
        <x:f>IFERROR(XLOOKUP(A38,'04_Оценка'!$A$4:$A$103,'04_Оценка'!$S$4:$S$103),"")</x:f>
      </x:c>
    </x:row>
    <x:row r="39">
      <x:c r="A39" s="24" t="str">
        <x:v>K036</x:v>
      </x:c>
      <x:c r="B39" s="24" t="str">
        <x:f>IFERROR(XLOOKUP(A39,'04_Оценка'!$A$4:$A$103,'04_Оценка'!$B$4:$B$103),"")</x:f>
      </x:c>
      <x:c r="C39" s="40" t="n">
        <x:f>IFERROR(AVERAGE('04_Оценка'!D39,'04_Оценка'!F39),"")</x:f>
        <x:v>0</x:v>
      </x:c>
      <x:c r="D39" s="40" t="n">
        <x:f>IFERROR(AVERAGE('04_Оценка'!E39,'04_Оценка'!J39),"")</x:f>
        <x:v>0</x:v>
      </x:c>
      <x:c r="E39" s="40" t="str">
        <x:f>IFERROR('04_Оценка'!N39,"")</x:f>
      </x:c>
      <x:c r="F39" s="24" t="str">
        <x:f>IFERROR('04_Оценка'!R39,"")</x:f>
      </x:c>
      <x:c r="G39" s="24" t="str">
        <x:f>IF(E39="","",IF(AND(C39&gt;=4,D39&gt;=4),"Ядро прямой конкуренции",IF(AND(C39&gt;=3,D39&gt;=3),"Близкая альтернатива",IF(C39&gt;=3,"Функциональный заменитель",IF(D39&gt;=3,"Аудиторное пересечение","Периферия")))))</x:f>
      </x:c>
      <x:c r="H39" s="24"/>
      <x:c r="I39" s="24"/>
      <x:c r="J39" s="24" t="str">
        <x:f>IFERROR(XLOOKUP(A39,'01_Компании'!$A$4:$A$103,'01_Компании'!$I$4:$I$103),"")</x:f>
      </x:c>
      <x:c r="K39" s="24" t="str">
        <x:f>IFERROR(XLOOKUP(A39,'04_Оценка'!$A$4:$A$103,'04_Оценка'!$S$4:$S$103),"")</x:f>
      </x:c>
    </x:row>
    <x:row r="40">
      <x:c r="A40" s="24" t="str">
        <x:v>K037</x:v>
      </x:c>
      <x:c r="B40" s="24" t="str">
        <x:f>IFERROR(XLOOKUP(A40,'04_Оценка'!$A$4:$A$103,'04_Оценка'!$B$4:$B$103),"")</x:f>
      </x:c>
      <x:c r="C40" s="40" t="n">
        <x:f>IFERROR(AVERAGE('04_Оценка'!D40,'04_Оценка'!F40),"")</x:f>
        <x:v>0</x:v>
      </x:c>
      <x:c r="D40" s="40" t="n">
        <x:f>IFERROR(AVERAGE('04_Оценка'!E40,'04_Оценка'!J40),"")</x:f>
        <x:v>0</x:v>
      </x:c>
      <x:c r="E40" s="40" t="str">
        <x:f>IFERROR('04_Оценка'!N40,"")</x:f>
      </x:c>
      <x:c r="F40" s="24" t="str">
        <x:f>IFERROR('04_Оценка'!R40,"")</x:f>
      </x:c>
      <x:c r="G40" s="24" t="str">
        <x:f>IF(E40="","",IF(AND(C40&gt;=4,D40&gt;=4),"Ядро прямой конкуренции",IF(AND(C40&gt;=3,D40&gt;=3),"Близкая альтернатива",IF(C40&gt;=3,"Функциональный заменитель",IF(D40&gt;=3,"Аудиторное пересечение","Периферия")))))</x:f>
      </x:c>
      <x:c r="H40" s="24"/>
      <x:c r="I40" s="24"/>
      <x:c r="J40" s="24" t="str">
        <x:f>IFERROR(XLOOKUP(A40,'01_Компании'!$A$4:$A$103,'01_Компании'!$I$4:$I$103),"")</x:f>
      </x:c>
      <x:c r="K40" s="24" t="str">
        <x:f>IFERROR(XLOOKUP(A40,'04_Оценка'!$A$4:$A$103,'04_Оценка'!$S$4:$S$103),"")</x:f>
      </x:c>
    </x:row>
    <x:row r="41">
      <x:c r="A41" s="24" t="str">
        <x:v>K038</x:v>
      </x:c>
      <x:c r="B41" s="24" t="str">
        <x:f>IFERROR(XLOOKUP(A41,'04_Оценка'!$A$4:$A$103,'04_Оценка'!$B$4:$B$103),"")</x:f>
      </x:c>
      <x:c r="C41" s="40" t="n">
        <x:f>IFERROR(AVERAGE('04_Оценка'!D41,'04_Оценка'!F41),"")</x:f>
        <x:v>0</x:v>
      </x:c>
      <x:c r="D41" s="40" t="n">
        <x:f>IFERROR(AVERAGE('04_Оценка'!E41,'04_Оценка'!J41),"")</x:f>
        <x:v>0</x:v>
      </x:c>
      <x:c r="E41" s="40" t="str">
        <x:f>IFERROR('04_Оценка'!N41,"")</x:f>
      </x:c>
      <x:c r="F41" s="24" t="str">
        <x:f>IFERROR('04_Оценка'!R41,"")</x:f>
      </x:c>
      <x:c r="G41" s="24" t="str">
        <x:f>IF(E41="","",IF(AND(C41&gt;=4,D41&gt;=4),"Ядро прямой конкуренции",IF(AND(C41&gt;=3,D41&gt;=3),"Близкая альтернатива",IF(C41&gt;=3,"Функциональный заменитель",IF(D41&gt;=3,"Аудиторное пересечение","Периферия")))))</x:f>
      </x:c>
      <x:c r="H41" s="24"/>
      <x:c r="I41" s="24"/>
      <x:c r="J41" s="24" t="str">
        <x:f>IFERROR(XLOOKUP(A41,'01_Компании'!$A$4:$A$103,'01_Компании'!$I$4:$I$103),"")</x:f>
      </x:c>
      <x:c r="K41" s="24" t="str">
        <x:f>IFERROR(XLOOKUP(A41,'04_Оценка'!$A$4:$A$103,'04_Оценка'!$S$4:$S$103),"")</x:f>
      </x:c>
    </x:row>
    <x:row r="42">
      <x:c r="A42" s="24" t="str">
        <x:v>K039</x:v>
      </x:c>
      <x:c r="B42" s="24" t="str">
        <x:f>IFERROR(XLOOKUP(A42,'04_Оценка'!$A$4:$A$103,'04_Оценка'!$B$4:$B$103),"")</x:f>
      </x:c>
      <x:c r="C42" s="40" t="n">
        <x:f>IFERROR(AVERAGE('04_Оценка'!D42,'04_Оценка'!F42),"")</x:f>
        <x:v>0</x:v>
      </x:c>
      <x:c r="D42" s="40" t="n">
        <x:f>IFERROR(AVERAGE('04_Оценка'!E42,'04_Оценка'!J42),"")</x:f>
        <x:v>0</x:v>
      </x:c>
      <x:c r="E42" s="40" t="str">
        <x:f>IFERROR('04_Оценка'!N42,"")</x:f>
      </x:c>
      <x:c r="F42" s="24" t="str">
        <x:f>IFERROR('04_Оценка'!R42,"")</x:f>
      </x:c>
      <x:c r="G42" s="24" t="str">
        <x:f>IF(E42="","",IF(AND(C42&gt;=4,D42&gt;=4),"Ядро прямой конкуренции",IF(AND(C42&gt;=3,D42&gt;=3),"Близкая альтернатива",IF(C42&gt;=3,"Функциональный заменитель",IF(D42&gt;=3,"Аудиторное пересечение","Периферия")))))</x:f>
      </x:c>
      <x:c r="H42" s="24"/>
      <x:c r="I42" s="24"/>
      <x:c r="J42" s="24" t="str">
        <x:f>IFERROR(XLOOKUP(A42,'01_Компании'!$A$4:$A$103,'01_Компании'!$I$4:$I$103),"")</x:f>
      </x:c>
      <x:c r="K42" s="24" t="str">
        <x:f>IFERROR(XLOOKUP(A42,'04_Оценка'!$A$4:$A$103,'04_Оценка'!$S$4:$S$103),"")</x:f>
      </x:c>
    </x:row>
    <x:row r="43">
      <x:c r="A43" s="24" t="str">
        <x:v>K040</x:v>
      </x:c>
      <x:c r="B43" s="24" t="str">
        <x:f>IFERROR(XLOOKUP(A43,'04_Оценка'!$A$4:$A$103,'04_Оценка'!$B$4:$B$103),"")</x:f>
      </x:c>
      <x:c r="C43" s="40" t="n">
        <x:f>IFERROR(AVERAGE('04_Оценка'!D43,'04_Оценка'!F43),"")</x:f>
        <x:v>0</x:v>
      </x:c>
      <x:c r="D43" s="40" t="n">
        <x:f>IFERROR(AVERAGE('04_Оценка'!E43,'04_Оценка'!J43),"")</x:f>
        <x:v>0</x:v>
      </x:c>
      <x:c r="E43" s="40" t="str">
        <x:f>IFERROR('04_Оценка'!N43,"")</x:f>
      </x:c>
      <x:c r="F43" s="24" t="str">
        <x:f>IFERROR('04_Оценка'!R43,"")</x:f>
      </x:c>
      <x:c r="G43" s="24" t="str">
        <x:f>IF(E43="","",IF(AND(C43&gt;=4,D43&gt;=4),"Ядро прямой конкуренции",IF(AND(C43&gt;=3,D43&gt;=3),"Близкая альтернатива",IF(C43&gt;=3,"Функциональный заменитель",IF(D43&gt;=3,"Аудиторное пересечение","Периферия")))))</x:f>
      </x:c>
      <x:c r="H43" s="24"/>
      <x:c r="I43" s="24"/>
      <x:c r="J43" s="24" t="str">
        <x:f>IFERROR(XLOOKUP(A43,'01_Компании'!$A$4:$A$103,'01_Компании'!$I$4:$I$103),"")</x:f>
      </x:c>
      <x:c r="K43" s="24" t="str">
        <x:f>IFERROR(XLOOKUP(A43,'04_Оценка'!$A$4:$A$103,'04_Оценка'!$S$4:$S$103),"")</x:f>
      </x:c>
    </x:row>
    <x:row r="44">
      <x:c r="A44" s="24" t="str">
        <x:v>K041</x:v>
      </x:c>
      <x:c r="B44" s="24" t="str">
        <x:f>IFERROR(XLOOKUP(A44,'04_Оценка'!$A$4:$A$103,'04_Оценка'!$B$4:$B$103),"")</x:f>
      </x:c>
      <x:c r="C44" s="40" t="n">
        <x:f>IFERROR(AVERAGE('04_Оценка'!D44,'04_Оценка'!F44),"")</x:f>
        <x:v>0</x:v>
      </x:c>
      <x:c r="D44" s="40" t="n">
        <x:f>IFERROR(AVERAGE('04_Оценка'!E44,'04_Оценка'!J44),"")</x:f>
        <x:v>0</x:v>
      </x:c>
      <x:c r="E44" s="40" t="str">
        <x:f>IFERROR('04_Оценка'!N44,"")</x:f>
      </x:c>
      <x:c r="F44" s="24" t="str">
        <x:f>IFERROR('04_Оценка'!R44,"")</x:f>
      </x:c>
      <x:c r="G44" s="24" t="str">
        <x:f>IF(E44="","",IF(AND(C44&gt;=4,D44&gt;=4),"Ядро прямой конкуренции",IF(AND(C44&gt;=3,D44&gt;=3),"Близкая альтернатива",IF(C44&gt;=3,"Функциональный заменитель",IF(D44&gt;=3,"Аудиторное пересечение","Периферия")))))</x:f>
      </x:c>
      <x:c r="H44" s="24"/>
      <x:c r="I44" s="24"/>
      <x:c r="J44" s="24" t="str">
        <x:f>IFERROR(XLOOKUP(A44,'01_Компании'!$A$4:$A$103,'01_Компании'!$I$4:$I$103),"")</x:f>
      </x:c>
      <x:c r="K44" s="24" t="str">
        <x:f>IFERROR(XLOOKUP(A44,'04_Оценка'!$A$4:$A$103,'04_Оценка'!$S$4:$S$103),"")</x:f>
      </x:c>
    </x:row>
    <x:row r="45">
      <x:c r="A45" s="24" t="str">
        <x:v>K042</x:v>
      </x:c>
      <x:c r="B45" s="24" t="str">
        <x:f>IFERROR(XLOOKUP(A45,'04_Оценка'!$A$4:$A$103,'04_Оценка'!$B$4:$B$103),"")</x:f>
      </x:c>
      <x:c r="C45" s="40" t="n">
        <x:f>IFERROR(AVERAGE('04_Оценка'!D45,'04_Оценка'!F45),"")</x:f>
        <x:v>0</x:v>
      </x:c>
      <x:c r="D45" s="40" t="n">
        <x:f>IFERROR(AVERAGE('04_Оценка'!E45,'04_Оценка'!J45),"")</x:f>
        <x:v>0</x:v>
      </x:c>
      <x:c r="E45" s="40" t="str">
        <x:f>IFERROR('04_Оценка'!N45,"")</x:f>
      </x:c>
      <x:c r="F45" s="24" t="str">
        <x:f>IFERROR('04_Оценка'!R45,"")</x:f>
      </x:c>
      <x:c r="G45" s="24" t="str">
        <x:f>IF(E45="","",IF(AND(C45&gt;=4,D45&gt;=4),"Ядро прямой конкуренции",IF(AND(C45&gt;=3,D45&gt;=3),"Близкая альтернатива",IF(C45&gt;=3,"Функциональный заменитель",IF(D45&gt;=3,"Аудиторное пересечение","Периферия")))))</x:f>
      </x:c>
      <x:c r="H45" s="24"/>
      <x:c r="I45" s="24"/>
      <x:c r="J45" s="24" t="str">
        <x:f>IFERROR(XLOOKUP(A45,'01_Компании'!$A$4:$A$103,'01_Компании'!$I$4:$I$103),"")</x:f>
      </x:c>
      <x:c r="K45" s="24" t="str">
        <x:f>IFERROR(XLOOKUP(A45,'04_Оценка'!$A$4:$A$103,'04_Оценка'!$S$4:$S$103),"")</x:f>
      </x:c>
    </x:row>
    <x:row r="46">
      <x:c r="A46" s="24" t="str">
        <x:v>K043</x:v>
      </x:c>
      <x:c r="B46" s="24" t="str">
        <x:f>IFERROR(XLOOKUP(A46,'04_Оценка'!$A$4:$A$103,'04_Оценка'!$B$4:$B$103),"")</x:f>
      </x:c>
      <x:c r="C46" s="40" t="n">
        <x:f>IFERROR(AVERAGE('04_Оценка'!D46,'04_Оценка'!F46),"")</x:f>
        <x:v>0</x:v>
      </x:c>
      <x:c r="D46" s="40" t="n">
        <x:f>IFERROR(AVERAGE('04_Оценка'!E46,'04_Оценка'!J46),"")</x:f>
        <x:v>0</x:v>
      </x:c>
      <x:c r="E46" s="40" t="str">
        <x:f>IFERROR('04_Оценка'!N46,"")</x:f>
      </x:c>
      <x:c r="F46" s="24" t="str">
        <x:f>IFERROR('04_Оценка'!R46,"")</x:f>
      </x:c>
      <x:c r="G46" s="24" t="str">
        <x:f>IF(E46="","",IF(AND(C46&gt;=4,D46&gt;=4),"Ядро прямой конкуренции",IF(AND(C46&gt;=3,D46&gt;=3),"Близкая альтернатива",IF(C46&gt;=3,"Функциональный заменитель",IF(D46&gt;=3,"Аудиторное пересечение","Периферия")))))</x:f>
      </x:c>
      <x:c r="H46" s="24"/>
      <x:c r="I46" s="24"/>
      <x:c r="J46" s="24" t="str">
        <x:f>IFERROR(XLOOKUP(A46,'01_Компании'!$A$4:$A$103,'01_Компании'!$I$4:$I$103),"")</x:f>
      </x:c>
      <x:c r="K46" s="24" t="str">
        <x:f>IFERROR(XLOOKUP(A46,'04_Оценка'!$A$4:$A$103,'04_Оценка'!$S$4:$S$103),"")</x:f>
      </x:c>
    </x:row>
    <x:row r="47">
      <x:c r="A47" s="24" t="str">
        <x:v>K044</x:v>
      </x:c>
      <x:c r="B47" s="24" t="str">
        <x:f>IFERROR(XLOOKUP(A47,'04_Оценка'!$A$4:$A$103,'04_Оценка'!$B$4:$B$103),"")</x:f>
      </x:c>
      <x:c r="C47" s="40" t="n">
        <x:f>IFERROR(AVERAGE('04_Оценка'!D47,'04_Оценка'!F47),"")</x:f>
        <x:v>0</x:v>
      </x:c>
      <x:c r="D47" s="40" t="n">
        <x:f>IFERROR(AVERAGE('04_Оценка'!E47,'04_Оценка'!J47),"")</x:f>
        <x:v>0</x:v>
      </x:c>
      <x:c r="E47" s="40" t="str">
        <x:f>IFERROR('04_Оценка'!N47,"")</x:f>
      </x:c>
      <x:c r="F47" s="24" t="str">
        <x:f>IFERROR('04_Оценка'!R47,"")</x:f>
      </x:c>
      <x:c r="G47" s="24" t="str">
        <x:f>IF(E47="","",IF(AND(C47&gt;=4,D47&gt;=4),"Ядро прямой конкуренции",IF(AND(C47&gt;=3,D47&gt;=3),"Близкая альтернатива",IF(C47&gt;=3,"Функциональный заменитель",IF(D47&gt;=3,"Аудиторное пересечение","Периферия")))))</x:f>
      </x:c>
      <x:c r="H47" s="24"/>
      <x:c r="I47" s="24"/>
      <x:c r="J47" s="24" t="str">
        <x:f>IFERROR(XLOOKUP(A47,'01_Компании'!$A$4:$A$103,'01_Компании'!$I$4:$I$103),"")</x:f>
      </x:c>
      <x:c r="K47" s="24" t="str">
        <x:f>IFERROR(XLOOKUP(A47,'04_Оценка'!$A$4:$A$103,'04_Оценка'!$S$4:$S$103),"")</x:f>
      </x:c>
    </x:row>
    <x:row r="48">
      <x:c r="A48" s="24" t="str">
        <x:v>K045</x:v>
      </x:c>
      <x:c r="B48" s="24" t="str">
        <x:f>IFERROR(XLOOKUP(A48,'04_Оценка'!$A$4:$A$103,'04_Оценка'!$B$4:$B$103),"")</x:f>
      </x:c>
      <x:c r="C48" s="40" t="n">
        <x:f>IFERROR(AVERAGE('04_Оценка'!D48,'04_Оценка'!F48),"")</x:f>
        <x:v>0</x:v>
      </x:c>
      <x:c r="D48" s="40" t="n">
        <x:f>IFERROR(AVERAGE('04_Оценка'!E48,'04_Оценка'!J48),"")</x:f>
        <x:v>0</x:v>
      </x:c>
      <x:c r="E48" s="40" t="str">
        <x:f>IFERROR('04_Оценка'!N48,"")</x:f>
      </x:c>
      <x:c r="F48" s="24" t="str">
        <x:f>IFERROR('04_Оценка'!R48,"")</x:f>
      </x:c>
      <x:c r="G48" s="24" t="str">
        <x:f>IF(E48="","",IF(AND(C48&gt;=4,D48&gt;=4),"Ядро прямой конкуренции",IF(AND(C48&gt;=3,D48&gt;=3),"Близкая альтернатива",IF(C48&gt;=3,"Функциональный заменитель",IF(D48&gt;=3,"Аудиторное пересечение","Периферия")))))</x:f>
      </x:c>
      <x:c r="H48" s="24"/>
      <x:c r="I48" s="24"/>
      <x:c r="J48" s="24" t="str">
        <x:f>IFERROR(XLOOKUP(A48,'01_Компании'!$A$4:$A$103,'01_Компании'!$I$4:$I$103),"")</x:f>
      </x:c>
      <x:c r="K48" s="24" t="str">
        <x:f>IFERROR(XLOOKUP(A48,'04_Оценка'!$A$4:$A$103,'04_Оценка'!$S$4:$S$103),"")</x:f>
      </x:c>
    </x:row>
    <x:row r="49">
      <x:c r="A49" s="24" t="str">
        <x:v>K046</x:v>
      </x:c>
      <x:c r="B49" s="24" t="str">
        <x:f>IFERROR(XLOOKUP(A49,'04_Оценка'!$A$4:$A$103,'04_Оценка'!$B$4:$B$103),"")</x:f>
      </x:c>
      <x:c r="C49" s="40" t="n">
        <x:f>IFERROR(AVERAGE('04_Оценка'!D49,'04_Оценка'!F49),"")</x:f>
        <x:v>0</x:v>
      </x:c>
      <x:c r="D49" s="40" t="n">
        <x:f>IFERROR(AVERAGE('04_Оценка'!E49,'04_Оценка'!J49),"")</x:f>
        <x:v>0</x:v>
      </x:c>
      <x:c r="E49" s="40" t="str">
        <x:f>IFERROR('04_Оценка'!N49,"")</x:f>
      </x:c>
      <x:c r="F49" s="24" t="str">
        <x:f>IFERROR('04_Оценка'!R49,"")</x:f>
      </x:c>
      <x:c r="G49" s="24" t="str">
        <x:f>IF(E49="","",IF(AND(C49&gt;=4,D49&gt;=4),"Ядро прямой конкуренции",IF(AND(C49&gt;=3,D49&gt;=3),"Близкая альтернатива",IF(C49&gt;=3,"Функциональный заменитель",IF(D49&gt;=3,"Аудиторное пересечение","Периферия")))))</x:f>
      </x:c>
      <x:c r="H49" s="24"/>
      <x:c r="I49" s="24"/>
      <x:c r="J49" s="24" t="str">
        <x:f>IFERROR(XLOOKUP(A49,'01_Компании'!$A$4:$A$103,'01_Компании'!$I$4:$I$103),"")</x:f>
      </x:c>
      <x:c r="K49" s="24" t="str">
        <x:f>IFERROR(XLOOKUP(A49,'04_Оценка'!$A$4:$A$103,'04_Оценка'!$S$4:$S$103),"")</x:f>
      </x:c>
    </x:row>
    <x:row r="50">
      <x:c r="A50" s="24" t="str">
        <x:v>K047</x:v>
      </x:c>
      <x:c r="B50" s="24" t="str">
        <x:f>IFERROR(XLOOKUP(A50,'04_Оценка'!$A$4:$A$103,'04_Оценка'!$B$4:$B$103),"")</x:f>
      </x:c>
      <x:c r="C50" s="40" t="n">
        <x:f>IFERROR(AVERAGE('04_Оценка'!D50,'04_Оценка'!F50),"")</x:f>
        <x:v>0</x:v>
      </x:c>
      <x:c r="D50" s="40" t="n">
        <x:f>IFERROR(AVERAGE('04_Оценка'!E50,'04_Оценка'!J50),"")</x:f>
        <x:v>0</x:v>
      </x:c>
      <x:c r="E50" s="40" t="str">
        <x:f>IFERROR('04_Оценка'!N50,"")</x:f>
      </x:c>
      <x:c r="F50" s="24" t="str">
        <x:f>IFERROR('04_Оценка'!R50,"")</x:f>
      </x:c>
      <x:c r="G50" s="24" t="str">
        <x:f>IF(E50="","",IF(AND(C50&gt;=4,D50&gt;=4),"Ядро прямой конкуренции",IF(AND(C50&gt;=3,D50&gt;=3),"Близкая альтернатива",IF(C50&gt;=3,"Функциональный заменитель",IF(D50&gt;=3,"Аудиторное пересечение","Периферия")))))</x:f>
      </x:c>
      <x:c r="H50" s="24"/>
      <x:c r="I50" s="24"/>
      <x:c r="J50" s="24" t="str">
        <x:f>IFERROR(XLOOKUP(A50,'01_Компании'!$A$4:$A$103,'01_Компании'!$I$4:$I$103),"")</x:f>
      </x:c>
      <x:c r="K50" s="24" t="str">
        <x:f>IFERROR(XLOOKUP(A50,'04_Оценка'!$A$4:$A$103,'04_Оценка'!$S$4:$S$103),"")</x:f>
      </x:c>
    </x:row>
    <x:row r="51">
      <x:c r="A51" s="24" t="str">
        <x:v>K048</x:v>
      </x:c>
      <x:c r="B51" s="24" t="str">
        <x:f>IFERROR(XLOOKUP(A51,'04_Оценка'!$A$4:$A$103,'04_Оценка'!$B$4:$B$103),"")</x:f>
      </x:c>
      <x:c r="C51" s="40" t="n">
        <x:f>IFERROR(AVERAGE('04_Оценка'!D51,'04_Оценка'!F51),"")</x:f>
        <x:v>0</x:v>
      </x:c>
      <x:c r="D51" s="40" t="n">
        <x:f>IFERROR(AVERAGE('04_Оценка'!E51,'04_Оценка'!J51),"")</x:f>
        <x:v>0</x:v>
      </x:c>
      <x:c r="E51" s="40" t="str">
        <x:f>IFERROR('04_Оценка'!N51,"")</x:f>
      </x:c>
      <x:c r="F51" s="24" t="str">
        <x:f>IFERROR('04_Оценка'!R51,"")</x:f>
      </x:c>
      <x:c r="G51" s="24" t="str">
        <x:f>IF(E51="","",IF(AND(C51&gt;=4,D51&gt;=4),"Ядро прямой конкуренции",IF(AND(C51&gt;=3,D51&gt;=3),"Близкая альтернатива",IF(C51&gt;=3,"Функциональный заменитель",IF(D51&gt;=3,"Аудиторное пересечение","Периферия")))))</x:f>
      </x:c>
      <x:c r="H51" s="24"/>
      <x:c r="I51" s="24"/>
      <x:c r="J51" s="24" t="str">
        <x:f>IFERROR(XLOOKUP(A51,'01_Компании'!$A$4:$A$103,'01_Компании'!$I$4:$I$103),"")</x:f>
      </x:c>
      <x:c r="K51" s="24" t="str">
        <x:f>IFERROR(XLOOKUP(A51,'04_Оценка'!$A$4:$A$103,'04_Оценка'!$S$4:$S$103),"")</x:f>
      </x:c>
    </x:row>
    <x:row r="52">
      <x:c r="A52" s="24" t="str">
        <x:v>K049</x:v>
      </x:c>
      <x:c r="B52" s="24" t="str">
        <x:f>IFERROR(XLOOKUP(A52,'04_Оценка'!$A$4:$A$103,'04_Оценка'!$B$4:$B$103),"")</x:f>
      </x:c>
      <x:c r="C52" s="40" t="n">
        <x:f>IFERROR(AVERAGE('04_Оценка'!D52,'04_Оценка'!F52),"")</x:f>
        <x:v>0</x:v>
      </x:c>
      <x:c r="D52" s="40" t="n">
        <x:f>IFERROR(AVERAGE('04_Оценка'!E52,'04_Оценка'!J52),"")</x:f>
        <x:v>0</x:v>
      </x:c>
      <x:c r="E52" s="40" t="str">
        <x:f>IFERROR('04_Оценка'!N52,"")</x:f>
      </x:c>
      <x:c r="F52" s="24" t="str">
        <x:f>IFERROR('04_Оценка'!R52,"")</x:f>
      </x:c>
      <x:c r="G52" s="24" t="str">
        <x:f>IF(E52="","",IF(AND(C52&gt;=4,D52&gt;=4),"Ядро прямой конкуренции",IF(AND(C52&gt;=3,D52&gt;=3),"Близкая альтернатива",IF(C52&gt;=3,"Функциональный заменитель",IF(D52&gt;=3,"Аудиторное пересечение","Периферия")))))</x:f>
      </x:c>
      <x:c r="H52" s="24"/>
      <x:c r="I52" s="24"/>
      <x:c r="J52" s="24" t="str">
        <x:f>IFERROR(XLOOKUP(A52,'01_Компании'!$A$4:$A$103,'01_Компании'!$I$4:$I$103),"")</x:f>
      </x:c>
      <x:c r="K52" s="24" t="str">
        <x:f>IFERROR(XLOOKUP(A52,'04_Оценка'!$A$4:$A$103,'04_Оценка'!$S$4:$S$103),"")</x:f>
      </x:c>
    </x:row>
    <x:row r="53">
      <x:c r="A53" s="24" t="str">
        <x:v>K050</x:v>
      </x:c>
      <x:c r="B53" s="24" t="str">
        <x:f>IFERROR(XLOOKUP(A53,'04_Оценка'!$A$4:$A$103,'04_Оценка'!$B$4:$B$103),"")</x:f>
      </x:c>
      <x:c r="C53" s="40" t="n">
        <x:f>IFERROR(AVERAGE('04_Оценка'!D53,'04_Оценка'!F53),"")</x:f>
        <x:v>0</x:v>
      </x:c>
      <x:c r="D53" s="40" t="n">
        <x:f>IFERROR(AVERAGE('04_Оценка'!E53,'04_Оценка'!J53),"")</x:f>
        <x:v>0</x:v>
      </x:c>
      <x:c r="E53" s="40" t="str">
        <x:f>IFERROR('04_Оценка'!N53,"")</x:f>
      </x:c>
      <x:c r="F53" s="24" t="str">
        <x:f>IFERROR('04_Оценка'!R53,"")</x:f>
      </x:c>
      <x:c r="G53" s="24" t="str">
        <x:f>IF(E53="","",IF(AND(C53&gt;=4,D53&gt;=4),"Ядро прямой конкуренции",IF(AND(C53&gt;=3,D53&gt;=3),"Близкая альтернатива",IF(C53&gt;=3,"Функциональный заменитель",IF(D53&gt;=3,"Аудиторное пересечение","Периферия")))))</x:f>
      </x:c>
      <x:c r="H53" s="24"/>
      <x:c r="I53" s="24"/>
      <x:c r="J53" s="24" t="str">
        <x:f>IFERROR(XLOOKUP(A53,'01_Компании'!$A$4:$A$103,'01_Компании'!$I$4:$I$103),"")</x:f>
      </x:c>
      <x:c r="K53" s="24" t="str">
        <x:f>IFERROR(XLOOKUP(A53,'04_Оценка'!$A$4:$A$103,'04_Оценка'!$S$4:$S$103),"")</x:f>
      </x:c>
    </x:row>
    <x:row r="54">
      <x:c r="A54" s="24" t="str">
        <x:v>K051</x:v>
      </x:c>
      <x:c r="B54" s="24" t="str">
        <x:f>IFERROR(XLOOKUP(A54,'04_Оценка'!$A$4:$A$103,'04_Оценка'!$B$4:$B$103),"")</x:f>
      </x:c>
      <x:c r="C54" s="40" t="n">
        <x:f>IFERROR(AVERAGE('04_Оценка'!D54,'04_Оценка'!F54),"")</x:f>
        <x:v>0</x:v>
      </x:c>
      <x:c r="D54" s="40" t="n">
        <x:f>IFERROR(AVERAGE('04_Оценка'!E54,'04_Оценка'!J54),"")</x:f>
        <x:v>0</x:v>
      </x:c>
      <x:c r="E54" s="40" t="str">
        <x:f>IFERROR('04_Оценка'!N54,"")</x:f>
      </x:c>
      <x:c r="F54" s="24" t="str">
        <x:f>IFERROR('04_Оценка'!R54,"")</x:f>
      </x:c>
      <x:c r="G54" s="24" t="str">
        <x:f>IF(E54="","",IF(AND(C54&gt;=4,D54&gt;=4),"Ядро прямой конкуренции",IF(AND(C54&gt;=3,D54&gt;=3),"Близкая альтернатива",IF(C54&gt;=3,"Функциональный заменитель",IF(D54&gt;=3,"Аудиторное пересечение","Периферия")))))</x:f>
      </x:c>
      <x:c r="H54" s="24"/>
      <x:c r="I54" s="24"/>
      <x:c r="J54" s="24" t="str">
        <x:f>IFERROR(XLOOKUP(A54,'01_Компании'!$A$4:$A$103,'01_Компании'!$I$4:$I$103),"")</x:f>
      </x:c>
      <x:c r="K54" s="24" t="str">
        <x:f>IFERROR(XLOOKUP(A54,'04_Оценка'!$A$4:$A$103,'04_Оценка'!$S$4:$S$103),"")</x:f>
      </x:c>
    </x:row>
    <x:row r="55">
      <x:c r="A55" s="24" t="str">
        <x:v>K052</x:v>
      </x:c>
      <x:c r="B55" s="24" t="str">
        <x:f>IFERROR(XLOOKUP(A55,'04_Оценка'!$A$4:$A$103,'04_Оценка'!$B$4:$B$103),"")</x:f>
      </x:c>
      <x:c r="C55" s="40" t="n">
        <x:f>IFERROR(AVERAGE('04_Оценка'!D55,'04_Оценка'!F55),"")</x:f>
        <x:v>0</x:v>
      </x:c>
      <x:c r="D55" s="40" t="n">
        <x:f>IFERROR(AVERAGE('04_Оценка'!E55,'04_Оценка'!J55),"")</x:f>
        <x:v>0</x:v>
      </x:c>
      <x:c r="E55" s="40" t="str">
        <x:f>IFERROR('04_Оценка'!N55,"")</x:f>
      </x:c>
      <x:c r="F55" s="24" t="str">
        <x:f>IFERROR('04_Оценка'!R55,"")</x:f>
      </x:c>
      <x:c r="G55" s="24" t="str">
        <x:f>IF(E55="","",IF(AND(C55&gt;=4,D55&gt;=4),"Ядро прямой конкуренции",IF(AND(C55&gt;=3,D55&gt;=3),"Близкая альтернатива",IF(C55&gt;=3,"Функциональный заменитель",IF(D55&gt;=3,"Аудиторное пересечение","Периферия")))))</x:f>
      </x:c>
      <x:c r="H55" s="24"/>
      <x:c r="I55" s="24"/>
      <x:c r="J55" s="24" t="str">
        <x:f>IFERROR(XLOOKUP(A55,'01_Компании'!$A$4:$A$103,'01_Компании'!$I$4:$I$103),"")</x:f>
      </x:c>
      <x:c r="K55" s="24" t="str">
        <x:f>IFERROR(XLOOKUP(A55,'04_Оценка'!$A$4:$A$103,'04_Оценка'!$S$4:$S$103),"")</x:f>
      </x:c>
    </x:row>
    <x:row r="56">
      <x:c r="A56" s="24" t="str">
        <x:v>K053</x:v>
      </x:c>
      <x:c r="B56" s="24" t="str">
        <x:f>IFERROR(XLOOKUP(A56,'04_Оценка'!$A$4:$A$103,'04_Оценка'!$B$4:$B$103),"")</x:f>
      </x:c>
      <x:c r="C56" s="40" t="n">
        <x:f>IFERROR(AVERAGE('04_Оценка'!D56,'04_Оценка'!F56),"")</x:f>
        <x:v>0</x:v>
      </x:c>
      <x:c r="D56" s="40" t="n">
        <x:f>IFERROR(AVERAGE('04_Оценка'!E56,'04_Оценка'!J56),"")</x:f>
        <x:v>0</x:v>
      </x:c>
      <x:c r="E56" s="40" t="str">
        <x:f>IFERROR('04_Оценка'!N56,"")</x:f>
      </x:c>
      <x:c r="F56" s="24" t="str">
        <x:f>IFERROR('04_Оценка'!R56,"")</x:f>
      </x:c>
      <x:c r="G56" s="24" t="str">
        <x:f>IF(E56="","",IF(AND(C56&gt;=4,D56&gt;=4),"Ядро прямой конкуренции",IF(AND(C56&gt;=3,D56&gt;=3),"Близкая альтернатива",IF(C56&gt;=3,"Функциональный заменитель",IF(D56&gt;=3,"Аудиторное пересечение","Периферия")))))</x:f>
      </x:c>
      <x:c r="H56" s="24"/>
      <x:c r="I56" s="24"/>
      <x:c r="J56" s="24" t="str">
        <x:f>IFERROR(XLOOKUP(A56,'01_Компании'!$A$4:$A$103,'01_Компании'!$I$4:$I$103),"")</x:f>
      </x:c>
      <x:c r="K56" s="24" t="str">
        <x:f>IFERROR(XLOOKUP(A56,'04_Оценка'!$A$4:$A$103,'04_Оценка'!$S$4:$S$103),"")</x:f>
      </x:c>
    </x:row>
    <x:row r="57">
      <x:c r="A57" s="24" t="str">
        <x:v>K054</x:v>
      </x:c>
      <x:c r="B57" s="24" t="str">
        <x:f>IFERROR(XLOOKUP(A57,'04_Оценка'!$A$4:$A$103,'04_Оценка'!$B$4:$B$103),"")</x:f>
      </x:c>
      <x:c r="C57" s="40" t="n">
        <x:f>IFERROR(AVERAGE('04_Оценка'!D57,'04_Оценка'!F57),"")</x:f>
        <x:v>0</x:v>
      </x:c>
      <x:c r="D57" s="40" t="n">
        <x:f>IFERROR(AVERAGE('04_Оценка'!E57,'04_Оценка'!J57),"")</x:f>
        <x:v>0</x:v>
      </x:c>
      <x:c r="E57" s="40" t="str">
        <x:f>IFERROR('04_Оценка'!N57,"")</x:f>
      </x:c>
      <x:c r="F57" s="24" t="str">
        <x:f>IFERROR('04_Оценка'!R57,"")</x:f>
      </x:c>
      <x:c r="G57" s="24" t="str">
        <x:f>IF(E57="","",IF(AND(C57&gt;=4,D57&gt;=4),"Ядро прямой конкуренции",IF(AND(C57&gt;=3,D57&gt;=3),"Близкая альтернатива",IF(C57&gt;=3,"Функциональный заменитель",IF(D57&gt;=3,"Аудиторное пересечение","Периферия")))))</x:f>
      </x:c>
      <x:c r="H57" s="24"/>
      <x:c r="I57" s="24"/>
      <x:c r="J57" s="24" t="str">
        <x:f>IFERROR(XLOOKUP(A57,'01_Компании'!$A$4:$A$103,'01_Компании'!$I$4:$I$103),"")</x:f>
      </x:c>
      <x:c r="K57" s="24" t="str">
        <x:f>IFERROR(XLOOKUP(A57,'04_Оценка'!$A$4:$A$103,'04_Оценка'!$S$4:$S$103),"")</x:f>
      </x:c>
    </x:row>
    <x:row r="58">
      <x:c r="A58" s="24" t="str">
        <x:v>K055</x:v>
      </x:c>
      <x:c r="B58" s="24" t="str">
        <x:f>IFERROR(XLOOKUP(A58,'04_Оценка'!$A$4:$A$103,'04_Оценка'!$B$4:$B$103),"")</x:f>
      </x:c>
      <x:c r="C58" s="40" t="n">
        <x:f>IFERROR(AVERAGE('04_Оценка'!D58,'04_Оценка'!F58),"")</x:f>
        <x:v>0</x:v>
      </x:c>
      <x:c r="D58" s="40" t="n">
        <x:f>IFERROR(AVERAGE('04_Оценка'!E58,'04_Оценка'!J58),"")</x:f>
        <x:v>0</x:v>
      </x:c>
      <x:c r="E58" s="40" t="str">
        <x:f>IFERROR('04_Оценка'!N58,"")</x:f>
      </x:c>
      <x:c r="F58" s="24" t="str">
        <x:f>IFERROR('04_Оценка'!R58,"")</x:f>
      </x:c>
      <x:c r="G58" s="24" t="str">
        <x:f>IF(E58="","",IF(AND(C58&gt;=4,D58&gt;=4),"Ядро прямой конкуренции",IF(AND(C58&gt;=3,D58&gt;=3),"Близкая альтернатива",IF(C58&gt;=3,"Функциональный заменитель",IF(D58&gt;=3,"Аудиторное пересечение","Периферия")))))</x:f>
      </x:c>
      <x:c r="H58" s="24"/>
      <x:c r="I58" s="24"/>
      <x:c r="J58" s="24" t="str">
        <x:f>IFERROR(XLOOKUP(A58,'01_Компании'!$A$4:$A$103,'01_Компании'!$I$4:$I$103),"")</x:f>
      </x:c>
      <x:c r="K58" s="24" t="str">
        <x:f>IFERROR(XLOOKUP(A58,'04_Оценка'!$A$4:$A$103,'04_Оценка'!$S$4:$S$103),"")</x:f>
      </x:c>
    </x:row>
    <x:row r="59">
      <x:c r="A59" s="24" t="str">
        <x:v>K056</x:v>
      </x:c>
      <x:c r="B59" s="24" t="str">
        <x:f>IFERROR(XLOOKUP(A59,'04_Оценка'!$A$4:$A$103,'04_Оценка'!$B$4:$B$103),"")</x:f>
      </x:c>
      <x:c r="C59" s="40" t="n">
        <x:f>IFERROR(AVERAGE('04_Оценка'!D59,'04_Оценка'!F59),"")</x:f>
        <x:v>0</x:v>
      </x:c>
      <x:c r="D59" s="40" t="n">
        <x:f>IFERROR(AVERAGE('04_Оценка'!E59,'04_Оценка'!J59),"")</x:f>
        <x:v>0</x:v>
      </x:c>
      <x:c r="E59" s="40" t="str">
        <x:f>IFERROR('04_Оценка'!N59,"")</x:f>
      </x:c>
      <x:c r="F59" s="24" t="str">
        <x:f>IFERROR('04_Оценка'!R59,"")</x:f>
      </x:c>
      <x:c r="G59" s="24" t="str">
        <x:f>IF(E59="","",IF(AND(C59&gt;=4,D59&gt;=4),"Ядро прямой конкуренции",IF(AND(C59&gt;=3,D59&gt;=3),"Близкая альтернатива",IF(C59&gt;=3,"Функциональный заменитель",IF(D59&gt;=3,"Аудиторное пересечение","Периферия")))))</x:f>
      </x:c>
      <x:c r="H59" s="24"/>
      <x:c r="I59" s="24"/>
      <x:c r="J59" s="24" t="str">
        <x:f>IFERROR(XLOOKUP(A59,'01_Компании'!$A$4:$A$103,'01_Компании'!$I$4:$I$103),"")</x:f>
      </x:c>
      <x:c r="K59" s="24" t="str">
        <x:f>IFERROR(XLOOKUP(A59,'04_Оценка'!$A$4:$A$103,'04_Оценка'!$S$4:$S$103),"")</x:f>
      </x:c>
    </x:row>
    <x:row r="60">
      <x:c r="A60" s="24" t="str">
        <x:v>K057</x:v>
      </x:c>
      <x:c r="B60" s="24" t="str">
        <x:f>IFERROR(XLOOKUP(A60,'04_Оценка'!$A$4:$A$103,'04_Оценка'!$B$4:$B$103),"")</x:f>
      </x:c>
      <x:c r="C60" s="40" t="n">
        <x:f>IFERROR(AVERAGE('04_Оценка'!D60,'04_Оценка'!F60),"")</x:f>
        <x:v>0</x:v>
      </x:c>
      <x:c r="D60" s="40" t="n">
        <x:f>IFERROR(AVERAGE('04_Оценка'!E60,'04_Оценка'!J60),"")</x:f>
        <x:v>0</x:v>
      </x:c>
      <x:c r="E60" s="40" t="str">
        <x:f>IFERROR('04_Оценка'!N60,"")</x:f>
      </x:c>
      <x:c r="F60" s="24" t="str">
        <x:f>IFERROR('04_Оценка'!R60,"")</x:f>
      </x:c>
      <x:c r="G60" s="24" t="str">
        <x:f>IF(E60="","",IF(AND(C60&gt;=4,D60&gt;=4),"Ядро прямой конкуренции",IF(AND(C60&gt;=3,D60&gt;=3),"Близкая альтернатива",IF(C60&gt;=3,"Функциональный заменитель",IF(D60&gt;=3,"Аудиторное пересечение","Периферия")))))</x:f>
      </x:c>
      <x:c r="H60" s="24"/>
      <x:c r="I60" s="24"/>
      <x:c r="J60" s="24" t="str">
        <x:f>IFERROR(XLOOKUP(A60,'01_Компании'!$A$4:$A$103,'01_Компании'!$I$4:$I$103),"")</x:f>
      </x:c>
      <x:c r="K60" s="24" t="str">
        <x:f>IFERROR(XLOOKUP(A60,'04_Оценка'!$A$4:$A$103,'04_Оценка'!$S$4:$S$103),"")</x:f>
      </x:c>
    </x:row>
    <x:row r="61">
      <x:c r="A61" s="24" t="str">
        <x:v>K058</x:v>
      </x:c>
      <x:c r="B61" s="24" t="str">
        <x:f>IFERROR(XLOOKUP(A61,'04_Оценка'!$A$4:$A$103,'04_Оценка'!$B$4:$B$103),"")</x:f>
      </x:c>
      <x:c r="C61" s="40" t="n">
        <x:f>IFERROR(AVERAGE('04_Оценка'!D61,'04_Оценка'!F61),"")</x:f>
        <x:v>0</x:v>
      </x:c>
      <x:c r="D61" s="40" t="n">
        <x:f>IFERROR(AVERAGE('04_Оценка'!E61,'04_Оценка'!J61),"")</x:f>
        <x:v>0</x:v>
      </x:c>
      <x:c r="E61" s="40" t="str">
        <x:f>IFERROR('04_Оценка'!N61,"")</x:f>
      </x:c>
      <x:c r="F61" s="24" t="str">
        <x:f>IFERROR('04_Оценка'!R61,"")</x:f>
      </x:c>
      <x:c r="G61" s="24" t="str">
        <x:f>IF(E61="","",IF(AND(C61&gt;=4,D61&gt;=4),"Ядро прямой конкуренции",IF(AND(C61&gt;=3,D61&gt;=3),"Близкая альтернатива",IF(C61&gt;=3,"Функциональный заменитель",IF(D61&gt;=3,"Аудиторное пересечение","Периферия")))))</x:f>
      </x:c>
      <x:c r="H61" s="24"/>
      <x:c r="I61" s="24"/>
      <x:c r="J61" s="24" t="str">
        <x:f>IFERROR(XLOOKUP(A61,'01_Компании'!$A$4:$A$103,'01_Компании'!$I$4:$I$103),"")</x:f>
      </x:c>
      <x:c r="K61" s="24" t="str">
        <x:f>IFERROR(XLOOKUP(A61,'04_Оценка'!$A$4:$A$103,'04_Оценка'!$S$4:$S$103),"")</x:f>
      </x:c>
    </x:row>
    <x:row r="62">
      <x:c r="A62" s="24" t="str">
        <x:v>K059</x:v>
      </x:c>
      <x:c r="B62" s="24" t="str">
        <x:f>IFERROR(XLOOKUP(A62,'04_Оценка'!$A$4:$A$103,'04_Оценка'!$B$4:$B$103),"")</x:f>
      </x:c>
      <x:c r="C62" s="40" t="n">
        <x:f>IFERROR(AVERAGE('04_Оценка'!D62,'04_Оценка'!F62),"")</x:f>
        <x:v>0</x:v>
      </x:c>
      <x:c r="D62" s="40" t="n">
        <x:f>IFERROR(AVERAGE('04_Оценка'!E62,'04_Оценка'!J62),"")</x:f>
        <x:v>0</x:v>
      </x:c>
      <x:c r="E62" s="40" t="str">
        <x:f>IFERROR('04_Оценка'!N62,"")</x:f>
      </x:c>
      <x:c r="F62" s="24" t="str">
        <x:f>IFERROR('04_Оценка'!R62,"")</x:f>
      </x:c>
      <x:c r="G62" s="24" t="str">
        <x:f>IF(E62="","",IF(AND(C62&gt;=4,D62&gt;=4),"Ядро прямой конкуренции",IF(AND(C62&gt;=3,D62&gt;=3),"Близкая альтернатива",IF(C62&gt;=3,"Функциональный заменитель",IF(D62&gt;=3,"Аудиторное пересечение","Периферия")))))</x:f>
      </x:c>
      <x:c r="H62" s="24"/>
      <x:c r="I62" s="24"/>
      <x:c r="J62" s="24" t="str">
        <x:f>IFERROR(XLOOKUP(A62,'01_Компании'!$A$4:$A$103,'01_Компании'!$I$4:$I$103),"")</x:f>
      </x:c>
      <x:c r="K62" s="24" t="str">
        <x:f>IFERROR(XLOOKUP(A62,'04_Оценка'!$A$4:$A$103,'04_Оценка'!$S$4:$S$103),"")</x:f>
      </x:c>
    </x:row>
    <x:row r="63">
      <x:c r="A63" s="24" t="str">
        <x:v>K060</x:v>
      </x:c>
      <x:c r="B63" s="24" t="str">
        <x:f>IFERROR(XLOOKUP(A63,'04_Оценка'!$A$4:$A$103,'04_Оценка'!$B$4:$B$103),"")</x:f>
      </x:c>
      <x:c r="C63" s="40" t="n">
        <x:f>IFERROR(AVERAGE('04_Оценка'!D63,'04_Оценка'!F63),"")</x:f>
        <x:v>0</x:v>
      </x:c>
      <x:c r="D63" s="40" t="n">
        <x:f>IFERROR(AVERAGE('04_Оценка'!E63,'04_Оценка'!J63),"")</x:f>
        <x:v>0</x:v>
      </x:c>
      <x:c r="E63" s="40" t="str">
        <x:f>IFERROR('04_Оценка'!N63,"")</x:f>
      </x:c>
      <x:c r="F63" s="24" t="str">
        <x:f>IFERROR('04_Оценка'!R63,"")</x:f>
      </x:c>
      <x:c r="G63" s="24" t="str">
        <x:f>IF(E63="","",IF(AND(C63&gt;=4,D63&gt;=4),"Ядро прямой конкуренции",IF(AND(C63&gt;=3,D63&gt;=3),"Близкая альтернатива",IF(C63&gt;=3,"Функциональный заменитель",IF(D63&gt;=3,"Аудиторное пересечение","Периферия")))))</x:f>
      </x:c>
      <x:c r="H63" s="24"/>
      <x:c r="I63" s="24"/>
      <x:c r="J63" s="24" t="str">
        <x:f>IFERROR(XLOOKUP(A63,'01_Компании'!$A$4:$A$103,'01_Компании'!$I$4:$I$103),"")</x:f>
      </x:c>
      <x:c r="K63" s="24" t="str">
        <x:f>IFERROR(XLOOKUP(A63,'04_Оценка'!$A$4:$A$103,'04_Оценка'!$S$4:$S$103),"")</x:f>
      </x:c>
    </x:row>
    <x:row r="64">
      <x:c r="A64" s="24" t="str">
        <x:v>K061</x:v>
      </x:c>
      <x:c r="B64" s="24" t="str">
        <x:f>IFERROR(XLOOKUP(A64,'04_Оценка'!$A$4:$A$103,'04_Оценка'!$B$4:$B$103),"")</x:f>
      </x:c>
      <x:c r="C64" s="40" t="n">
        <x:f>IFERROR(AVERAGE('04_Оценка'!D64,'04_Оценка'!F64),"")</x:f>
        <x:v>0</x:v>
      </x:c>
      <x:c r="D64" s="40" t="n">
        <x:f>IFERROR(AVERAGE('04_Оценка'!E64,'04_Оценка'!J64),"")</x:f>
        <x:v>0</x:v>
      </x:c>
      <x:c r="E64" s="40" t="str">
        <x:f>IFERROR('04_Оценка'!N64,"")</x:f>
      </x:c>
      <x:c r="F64" s="24" t="str">
        <x:f>IFERROR('04_Оценка'!R64,"")</x:f>
      </x:c>
      <x:c r="G64" s="24" t="str">
        <x:f>IF(E64="","",IF(AND(C64&gt;=4,D64&gt;=4),"Ядро прямой конкуренции",IF(AND(C64&gt;=3,D64&gt;=3),"Близкая альтернатива",IF(C64&gt;=3,"Функциональный заменитель",IF(D64&gt;=3,"Аудиторное пересечение","Периферия")))))</x:f>
      </x:c>
      <x:c r="H64" s="24"/>
      <x:c r="I64" s="24"/>
      <x:c r="J64" s="24" t="str">
        <x:f>IFERROR(XLOOKUP(A64,'01_Компании'!$A$4:$A$103,'01_Компании'!$I$4:$I$103),"")</x:f>
      </x:c>
      <x:c r="K64" s="24" t="str">
        <x:f>IFERROR(XLOOKUP(A64,'04_Оценка'!$A$4:$A$103,'04_Оценка'!$S$4:$S$103),"")</x:f>
      </x:c>
    </x:row>
    <x:row r="65">
      <x:c r="A65" s="24" t="str">
        <x:v>K062</x:v>
      </x:c>
      <x:c r="B65" s="24" t="str">
        <x:f>IFERROR(XLOOKUP(A65,'04_Оценка'!$A$4:$A$103,'04_Оценка'!$B$4:$B$103),"")</x:f>
      </x:c>
      <x:c r="C65" s="40" t="n">
        <x:f>IFERROR(AVERAGE('04_Оценка'!D65,'04_Оценка'!F65),"")</x:f>
        <x:v>0</x:v>
      </x:c>
      <x:c r="D65" s="40" t="n">
        <x:f>IFERROR(AVERAGE('04_Оценка'!E65,'04_Оценка'!J65),"")</x:f>
        <x:v>0</x:v>
      </x:c>
      <x:c r="E65" s="40" t="str">
        <x:f>IFERROR('04_Оценка'!N65,"")</x:f>
      </x:c>
      <x:c r="F65" s="24" t="str">
        <x:f>IFERROR('04_Оценка'!R65,"")</x:f>
      </x:c>
      <x:c r="G65" s="24" t="str">
        <x:f>IF(E65="","",IF(AND(C65&gt;=4,D65&gt;=4),"Ядро прямой конкуренции",IF(AND(C65&gt;=3,D65&gt;=3),"Близкая альтернатива",IF(C65&gt;=3,"Функциональный заменитель",IF(D65&gt;=3,"Аудиторное пересечение","Периферия")))))</x:f>
      </x:c>
      <x:c r="H65" s="24"/>
      <x:c r="I65" s="24"/>
      <x:c r="J65" s="24" t="str">
        <x:f>IFERROR(XLOOKUP(A65,'01_Компании'!$A$4:$A$103,'01_Компании'!$I$4:$I$103),"")</x:f>
      </x:c>
      <x:c r="K65" s="24" t="str">
        <x:f>IFERROR(XLOOKUP(A65,'04_Оценка'!$A$4:$A$103,'04_Оценка'!$S$4:$S$103),"")</x:f>
      </x:c>
    </x:row>
    <x:row r="66">
      <x:c r="A66" s="24" t="str">
        <x:v>K063</x:v>
      </x:c>
      <x:c r="B66" s="24" t="str">
        <x:f>IFERROR(XLOOKUP(A66,'04_Оценка'!$A$4:$A$103,'04_Оценка'!$B$4:$B$103),"")</x:f>
      </x:c>
      <x:c r="C66" s="40" t="n">
        <x:f>IFERROR(AVERAGE('04_Оценка'!D66,'04_Оценка'!F66),"")</x:f>
        <x:v>0</x:v>
      </x:c>
      <x:c r="D66" s="40" t="n">
        <x:f>IFERROR(AVERAGE('04_Оценка'!E66,'04_Оценка'!J66),"")</x:f>
        <x:v>0</x:v>
      </x:c>
      <x:c r="E66" s="40" t="str">
        <x:f>IFERROR('04_Оценка'!N66,"")</x:f>
      </x:c>
      <x:c r="F66" s="24" t="str">
        <x:f>IFERROR('04_Оценка'!R66,"")</x:f>
      </x:c>
      <x:c r="G66" s="24" t="str">
        <x:f>IF(E66="","",IF(AND(C66&gt;=4,D66&gt;=4),"Ядро прямой конкуренции",IF(AND(C66&gt;=3,D66&gt;=3),"Близкая альтернатива",IF(C66&gt;=3,"Функциональный заменитель",IF(D66&gt;=3,"Аудиторное пересечение","Периферия")))))</x:f>
      </x:c>
      <x:c r="H66" s="24"/>
      <x:c r="I66" s="24"/>
      <x:c r="J66" s="24" t="str">
        <x:f>IFERROR(XLOOKUP(A66,'01_Компании'!$A$4:$A$103,'01_Компании'!$I$4:$I$103),"")</x:f>
      </x:c>
      <x:c r="K66" s="24" t="str">
        <x:f>IFERROR(XLOOKUP(A66,'04_Оценка'!$A$4:$A$103,'04_Оценка'!$S$4:$S$103),"")</x:f>
      </x:c>
    </x:row>
    <x:row r="67">
      <x:c r="A67" s="24" t="str">
        <x:v>K064</x:v>
      </x:c>
      <x:c r="B67" s="24" t="str">
        <x:f>IFERROR(XLOOKUP(A67,'04_Оценка'!$A$4:$A$103,'04_Оценка'!$B$4:$B$103),"")</x:f>
      </x:c>
      <x:c r="C67" s="40" t="n">
        <x:f>IFERROR(AVERAGE('04_Оценка'!D67,'04_Оценка'!F67),"")</x:f>
        <x:v>0</x:v>
      </x:c>
      <x:c r="D67" s="40" t="n">
        <x:f>IFERROR(AVERAGE('04_Оценка'!E67,'04_Оценка'!J67),"")</x:f>
        <x:v>0</x:v>
      </x:c>
      <x:c r="E67" s="40" t="str">
        <x:f>IFERROR('04_Оценка'!N67,"")</x:f>
      </x:c>
      <x:c r="F67" s="24" t="str">
        <x:f>IFERROR('04_Оценка'!R67,"")</x:f>
      </x:c>
      <x:c r="G67" s="24" t="str">
        <x:f>IF(E67="","",IF(AND(C67&gt;=4,D67&gt;=4),"Ядро прямой конкуренции",IF(AND(C67&gt;=3,D67&gt;=3),"Близкая альтернатива",IF(C67&gt;=3,"Функциональный заменитель",IF(D67&gt;=3,"Аудиторное пересечение","Периферия")))))</x:f>
      </x:c>
      <x:c r="H67" s="24"/>
      <x:c r="I67" s="24"/>
      <x:c r="J67" s="24" t="str">
        <x:f>IFERROR(XLOOKUP(A67,'01_Компании'!$A$4:$A$103,'01_Компании'!$I$4:$I$103),"")</x:f>
      </x:c>
      <x:c r="K67" s="24" t="str">
        <x:f>IFERROR(XLOOKUP(A67,'04_Оценка'!$A$4:$A$103,'04_Оценка'!$S$4:$S$103),"")</x:f>
      </x:c>
    </x:row>
    <x:row r="68">
      <x:c r="A68" s="24" t="str">
        <x:v>K065</x:v>
      </x:c>
      <x:c r="B68" s="24" t="str">
        <x:f>IFERROR(XLOOKUP(A68,'04_Оценка'!$A$4:$A$103,'04_Оценка'!$B$4:$B$103),"")</x:f>
      </x:c>
      <x:c r="C68" s="40" t="n">
        <x:f>IFERROR(AVERAGE('04_Оценка'!D68,'04_Оценка'!F68),"")</x:f>
        <x:v>0</x:v>
      </x:c>
      <x:c r="D68" s="40" t="n">
        <x:f>IFERROR(AVERAGE('04_Оценка'!E68,'04_Оценка'!J68),"")</x:f>
        <x:v>0</x:v>
      </x:c>
      <x:c r="E68" s="40" t="str">
        <x:f>IFERROR('04_Оценка'!N68,"")</x:f>
      </x:c>
      <x:c r="F68" s="24" t="str">
        <x:f>IFERROR('04_Оценка'!R68,"")</x:f>
      </x:c>
      <x:c r="G68" s="24" t="str">
        <x:f>IF(E68="","",IF(AND(C68&gt;=4,D68&gt;=4),"Ядро прямой конкуренции",IF(AND(C68&gt;=3,D68&gt;=3),"Близкая альтернатива",IF(C68&gt;=3,"Функциональный заменитель",IF(D68&gt;=3,"Аудиторное пересечение","Периферия")))))</x:f>
      </x:c>
      <x:c r="H68" s="24"/>
      <x:c r="I68" s="24"/>
      <x:c r="J68" s="24" t="str">
        <x:f>IFERROR(XLOOKUP(A68,'01_Компании'!$A$4:$A$103,'01_Компании'!$I$4:$I$103),"")</x:f>
      </x:c>
      <x:c r="K68" s="24" t="str">
        <x:f>IFERROR(XLOOKUP(A68,'04_Оценка'!$A$4:$A$103,'04_Оценка'!$S$4:$S$103),"")</x:f>
      </x:c>
    </x:row>
    <x:row r="69">
      <x:c r="A69" s="24" t="str">
        <x:v>K066</x:v>
      </x:c>
      <x:c r="B69" s="24" t="str">
        <x:f>IFERROR(XLOOKUP(A69,'04_Оценка'!$A$4:$A$103,'04_Оценка'!$B$4:$B$103),"")</x:f>
      </x:c>
      <x:c r="C69" s="40" t="n">
        <x:f>IFERROR(AVERAGE('04_Оценка'!D69,'04_Оценка'!F69),"")</x:f>
        <x:v>0</x:v>
      </x:c>
      <x:c r="D69" s="40" t="n">
        <x:f>IFERROR(AVERAGE('04_Оценка'!E69,'04_Оценка'!J69),"")</x:f>
        <x:v>0</x:v>
      </x:c>
      <x:c r="E69" s="40" t="str">
        <x:f>IFERROR('04_Оценка'!N69,"")</x:f>
      </x:c>
      <x:c r="F69" s="24" t="str">
        <x:f>IFERROR('04_Оценка'!R69,"")</x:f>
      </x:c>
      <x:c r="G69" s="24" t="str">
        <x:f>IF(E69="","",IF(AND(C69&gt;=4,D69&gt;=4),"Ядро прямой конкуренции",IF(AND(C69&gt;=3,D69&gt;=3),"Близкая альтернатива",IF(C69&gt;=3,"Функциональный заменитель",IF(D69&gt;=3,"Аудиторное пересечение","Периферия")))))</x:f>
      </x:c>
      <x:c r="H69" s="24"/>
      <x:c r="I69" s="24"/>
      <x:c r="J69" s="24" t="str">
        <x:f>IFERROR(XLOOKUP(A69,'01_Компании'!$A$4:$A$103,'01_Компании'!$I$4:$I$103),"")</x:f>
      </x:c>
      <x:c r="K69" s="24" t="str">
        <x:f>IFERROR(XLOOKUP(A69,'04_Оценка'!$A$4:$A$103,'04_Оценка'!$S$4:$S$103),"")</x:f>
      </x:c>
    </x:row>
    <x:row r="70">
      <x:c r="A70" s="24" t="str">
        <x:v>K067</x:v>
      </x:c>
      <x:c r="B70" s="24" t="str">
        <x:f>IFERROR(XLOOKUP(A70,'04_Оценка'!$A$4:$A$103,'04_Оценка'!$B$4:$B$103),"")</x:f>
      </x:c>
      <x:c r="C70" s="40" t="n">
        <x:f>IFERROR(AVERAGE('04_Оценка'!D70,'04_Оценка'!F70),"")</x:f>
        <x:v>0</x:v>
      </x:c>
      <x:c r="D70" s="40" t="n">
        <x:f>IFERROR(AVERAGE('04_Оценка'!E70,'04_Оценка'!J70),"")</x:f>
        <x:v>0</x:v>
      </x:c>
      <x:c r="E70" s="40" t="str">
        <x:f>IFERROR('04_Оценка'!N70,"")</x:f>
      </x:c>
      <x:c r="F70" s="24" t="str">
        <x:f>IFERROR('04_Оценка'!R70,"")</x:f>
      </x:c>
      <x:c r="G70" s="24" t="str">
        <x:f>IF(E70="","",IF(AND(C70&gt;=4,D70&gt;=4),"Ядро прямой конкуренции",IF(AND(C70&gt;=3,D70&gt;=3),"Близкая альтернатива",IF(C70&gt;=3,"Функциональный заменитель",IF(D70&gt;=3,"Аудиторное пересечение","Периферия")))))</x:f>
      </x:c>
      <x:c r="H70" s="24"/>
      <x:c r="I70" s="24"/>
      <x:c r="J70" s="24" t="str">
        <x:f>IFERROR(XLOOKUP(A70,'01_Компании'!$A$4:$A$103,'01_Компании'!$I$4:$I$103),"")</x:f>
      </x:c>
      <x:c r="K70" s="24" t="str">
        <x:f>IFERROR(XLOOKUP(A70,'04_Оценка'!$A$4:$A$103,'04_Оценка'!$S$4:$S$103),"")</x:f>
      </x:c>
    </x:row>
    <x:row r="71">
      <x:c r="A71" s="24" t="str">
        <x:v>K068</x:v>
      </x:c>
      <x:c r="B71" s="24" t="str">
        <x:f>IFERROR(XLOOKUP(A71,'04_Оценка'!$A$4:$A$103,'04_Оценка'!$B$4:$B$103),"")</x:f>
      </x:c>
      <x:c r="C71" s="40" t="n">
        <x:f>IFERROR(AVERAGE('04_Оценка'!D71,'04_Оценка'!F71),"")</x:f>
        <x:v>0</x:v>
      </x:c>
      <x:c r="D71" s="40" t="n">
        <x:f>IFERROR(AVERAGE('04_Оценка'!E71,'04_Оценка'!J71),"")</x:f>
        <x:v>0</x:v>
      </x:c>
      <x:c r="E71" s="40" t="str">
        <x:f>IFERROR('04_Оценка'!N71,"")</x:f>
      </x:c>
      <x:c r="F71" s="24" t="str">
        <x:f>IFERROR('04_Оценка'!R71,"")</x:f>
      </x:c>
      <x:c r="G71" s="24" t="str">
        <x:f>IF(E71="","",IF(AND(C71&gt;=4,D71&gt;=4),"Ядро прямой конкуренции",IF(AND(C71&gt;=3,D71&gt;=3),"Близкая альтернатива",IF(C71&gt;=3,"Функциональный заменитель",IF(D71&gt;=3,"Аудиторное пересечение","Периферия")))))</x:f>
      </x:c>
      <x:c r="H71" s="24"/>
      <x:c r="I71" s="24"/>
      <x:c r="J71" s="24" t="str">
        <x:f>IFERROR(XLOOKUP(A71,'01_Компании'!$A$4:$A$103,'01_Компании'!$I$4:$I$103),"")</x:f>
      </x:c>
      <x:c r="K71" s="24" t="str">
        <x:f>IFERROR(XLOOKUP(A71,'04_Оценка'!$A$4:$A$103,'04_Оценка'!$S$4:$S$103),"")</x:f>
      </x:c>
    </x:row>
    <x:row r="72">
      <x:c r="A72" s="24" t="str">
        <x:v>K069</x:v>
      </x:c>
      <x:c r="B72" s="24" t="str">
        <x:f>IFERROR(XLOOKUP(A72,'04_Оценка'!$A$4:$A$103,'04_Оценка'!$B$4:$B$103),"")</x:f>
      </x:c>
      <x:c r="C72" s="40" t="n">
        <x:f>IFERROR(AVERAGE('04_Оценка'!D72,'04_Оценка'!F72),"")</x:f>
        <x:v>0</x:v>
      </x:c>
      <x:c r="D72" s="40" t="n">
        <x:f>IFERROR(AVERAGE('04_Оценка'!E72,'04_Оценка'!J72),"")</x:f>
        <x:v>0</x:v>
      </x:c>
      <x:c r="E72" s="40" t="str">
        <x:f>IFERROR('04_Оценка'!N72,"")</x:f>
      </x:c>
      <x:c r="F72" s="24" t="str">
        <x:f>IFERROR('04_Оценка'!R72,"")</x:f>
      </x:c>
      <x:c r="G72" s="24" t="str">
        <x:f>IF(E72="","",IF(AND(C72&gt;=4,D72&gt;=4),"Ядро прямой конкуренции",IF(AND(C72&gt;=3,D72&gt;=3),"Близкая альтернатива",IF(C72&gt;=3,"Функциональный заменитель",IF(D72&gt;=3,"Аудиторное пересечение","Периферия")))))</x:f>
      </x:c>
      <x:c r="H72" s="24"/>
      <x:c r="I72" s="24"/>
      <x:c r="J72" s="24" t="str">
        <x:f>IFERROR(XLOOKUP(A72,'01_Компании'!$A$4:$A$103,'01_Компании'!$I$4:$I$103),"")</x:f>
      </x:c>
      <x:c r="K72" s="24" t="str">
        <x:f>IFERROR(XLOOKUP(A72,'04_Оценка'!$A$4:$A$103,'04_Оценка'!$S$4:$S$103),"")</x:f>
      </x:c>
    </x:row>
    <x:row r="73">
      <x:c r="A73" s="24" t="str">
        <x:v>K070</x:v>
      </x:c>
      <x:c r="B73" s="24" t="str">
        <x:f>IFERROR(XLOOKUP(A73,'04_Оценка'!$A$4:$A$103,'04_Оценка'!$B$4:$B$103),"")</x:f>
      </x:c>
      <x:c r="C73" s="40" t="n">
        <x:f>IFERROR(AVERAGE('04_Оценка'!D73,'04_Оценка'!F73),"")</x:f>
        <x:v>0</x:v>
      </x:c>
      <x:c r="D73" s="40" t="n">
        <x:f>IFERROR(AVERAGE('04_Оценка'!E73,'04_Оценка'!J73),"")</x:f>
        <x:v>0</x:v>
      </x:c>
      <x:c r="E73" s="40" t="str">
        <x:f>IFERROR('04_Оценка'!N73,"")</x:f>
      </x:c>
      <x:c r="F73" s="24" t="str">
        <x:f>IFERROR('04_Оценка'!R73,"")</x:f>
      </x:c>
      <x:c r="G73" s="24" t="str">
        <x:f>IF(E73="","",IF(AND(C73&gt;=4,D73&gt;=4),"Ядро прямой конкуренции",IF(AND(C73&gt;=3,D73&gt;=3),"Близкая альтернатива",IF(C73&gt;=3,"Функциональный заменитель",IF(D73&gt;=3,"Аудиторное пересечение","Периферия")))))</x:f>
      </x:c>
      <x:c r="H73" s="24"/>
      <x:c r="I73" s="24"/>
      <x:c r="J73" s="24" t="str">
        <x:f>IFERROR(XLOOKUP(A73,'01_Компании'!$A$4:$A$103,'01_Компании'!$I$4:$I$103),"")</x:f>
      </x:c>
      <x:c r="K73" s="24" t="str">
        <x:f>IFERROR(XLOOKUP(A73,'04_Оценка'!$A$4:$A$103,'04_Оценка'!$S$4:$S$103),"")</x:f>
      </x:c>
    </x:row>
    <x:row r="74">
      <x:c r="A74" s="24" t="str">
        <x:v>K071</x:v>
      </x:c>
      <x:c r="B74" s="24" t="str">
        <x:f>IFERROR(XLOOKUP(A74,'04_Оценка'!$A$4:$A$103,'04_Оценка'!$B$4:$B$103),"")</x:f>
      </x:c>
      <x:c r="C74" s="40" t="n">
        <x:f>IFERROR(AVERAGE('04_Оценка'!D74,'04_Оценка'!F74),"")</x:f>
        <x:v>0</x:v>
      </x:c>
      <x:c r="D74" s="40" t="n">
        <x:f>IFERROR(AVERAGE('04_Оценка'!E74,'04_Оценка'!J74),"")</x:f>
        <x:v>0</x:v>
      </x:c>
      <x:c r="E74" s="40" t="str">
        <x:f>IFERROR('04_Оценка'!N74,"")</x:f>
      </x:c>
      <x:c r="F74" s="24" t="str">
        <x:f>IFERROR('04_Оценка'!R74,"")</x:f>
      </x:c>
      <x:c r="G74" s="24" t="str">
        <x:f>IF(E74="","",IF(AND(C74&gt;=4,D74&gt;=4),"Ядро прямой конкуренции",IF(AND(C74&gt;=3,D74&gt;=3),"Близкая альтернатива",IF(C74&gt;=3,"Функциональный заменитель",IF(D74&gt;=3,"Аудиторное пересечение","Периферия")))))</x:f>
      </x:c>
      <x:c r="H74" s="24"/>
      <x:c r="I74" s="24"/>
      <x:c r="J74" s="24" t="str">
        <x:f>IFERROR(XLOOKUP(A74,'01_Компании'!$A$4:$A$103,'01_Компании'!$I$4:$I$103),"")</x:f>
      </x:c>
      <x:c r="K74" s="24" t="str">
        <x:f>IFERROR(XLOOKUP(A74,'04_Оценка'!$A$4:$A$103,'04_Оценка'!$S$4:$S$103),"")</x:f>
      </x:c>
    </x:row>
    <x:row r="75">
      <x:c r="A75" s="24" t="str">
        <x:v>K072</x:v>
      </x:c>
      <x:c r="B75" s="24" t="str">
        <x:f>IFERROR(XLOOKUP(A75,'04_Оценка'!$A$4:$A$103,'04_Оценка'!$B$4:$B$103),"")</x:f>
      </x:c>
      <x:c r="C75" s="40" t="n">
        <x:f>IFERROR(AVERAGE('04_Оценка'!D75,'04_Оценка'!F75),"")</x:f>
        <x:v>0</x:v>
      </x:c>
      <x:c r="D75" s="40" t="n">
        <x:f>IFERROR(AVERAGE('04_Оценка'!E75,'04_Оценка'!J75),"")</x:f>
        <x:v>0</x:v>
      </x:c>
      <x:c r="E75" s="40" t="str">
        <x:f>IFERROR('04_Оценка'!N75,"")</x:f>
      </x:c>
      <x:c r="F75" s="24" t="str">
        <x:f>IFERROR('04_Оценка'!R75,"")</x:f>
      </x:c>
      <x:c r="G75" s="24" t="str">
        <x:f>IF(E75="","",IF(AND(C75&gt;=4,D75&gt;=4),"Ядро прямой конкуренции",IF(AND(C75&gt;=3,D75&gt;=3),"Близкая альтернатива",IF(C75&gt;=3,"Функциональный заменитель",IF(D75&gt;=3,"Аудиторное пересечение","Периферия")))))</x:f>
      </x:c>
      <x:c r="H75" s="24"/>
      <x:c r="I75" s="24"/>
      <x:c r="J75" s="24" t="str">
        <x:f>IFERROR(XLOOKUP(A75,'01_Компании'!$A$4:$A$103,'01_Компании'!$I$4:$I$103),"")</x:f>
      </x:c>
      <x:c r="K75" s="24" t="str">
        <x:f>IFERROR(XLOOKUP(A75,'04_Оценка'!$A$4:$A$103,'04_Оценка'!$S$4:$S$103),"")</x:f>
      </x:c>
    </x:row>
    <x:row r="76">
      <x:c r="A76" s="24" t="str">
        <x:v>K073</x:v>
      </x:c>
      <x:c r="B76" s="24" t="str">
        <x:f>IFERROR(XLOOKUP(A76,'04_Оценка'!$A$4:$A$103,'04_Оценка'!$B$4:$B$103),"")</x:f>
      </x:c>
      <x:c r="C76" s="40" t="n">
        <x:f>IFERROR(AVERAGE('04_Оценка'!D76,'04_Оценка'!F76),"")</x:f>
        <x:v>0</x:v>
      </x:c>
      <x:c r="D76" s="40" t="n">
        <x:f>IFERROR(AVERAGE('04_Оценка'!E76,'04_Оценка'!J76),"")</x:f>
        <x:v>0</x:v>
      </x:c>
      <x:c r="E76" s="40" t="str">
        <x:f>IFERROR('04_Оценка'!N76,"")</x:f>
      </x:c>
      <x:c r="F76" s="24" t="str">
        <x:f>IFERROR('04_Оценка'!R76,"")</x:f>
      </x:c>
      <x:c r="G76" s="24" t="str">
        <x:f>IF(E76="","",IF(AND(C76&gt;=4,D76&gt;=4),"Ядро прямой конкуренции",IF(AND(C76&gt;=3,D76&gt;=3),"Близкая альтернатива",IF(C76&gt;=3,"Функциональный заменитель",IF(D76&gt;=3,"Аудиторное пересечение","Периферия")))))</x:f>
      </x:c>
      <x:c r="H76" s="24"/>
      <x:c r="I76" s="24"/>
      <x:c r="J76" s="24" t="str">
        <x:f>IFERROR(XLOOKUP(A76,'01_Компании'!$A$4:$A$103,'01_Компании'!$I$4:$I$103),"")</x:f>
      </x:c>
      <x:c r="K76" s="24" t="str">
        <x:f>IFERROR(XLOOKUP(A76,'04_Оценка'!$A$4:$A$103,'04_Оценка'!$S$4:$S$103),"")</x:f>
      </x:c>
    </x:row>
    <x:row r="77">
      <x:c r="A77" s="24" t="str">
        <x:v>K074</x:v>
      </x:c>
      <x:c r="B77" s="24" t="str">
        <x:f>IFERROR(XLOOKUP(A77,'04_Оценка'!$A$4:$A$103,'04_Оценка'!$B$4:$B$103),"")</x:f>
      </x:c>
      <x:c r="C77" s="40" t="n">
        <x:f>IFERROR(AVERAGE('04_Оценка'!D77,'04_Оценка'!F77),"")</x:f>
        <x:v>0</x:v>
      </x:c>
      <x:c r="D77" s="40" t="n">
        <x:f>IFERROR(AVERAGE('04_Оценка'!E77,'04_Оценка'!J77),"")</x:f>
        <x:v>0</x:v>
      </x:c>
      <x:c r="E77" s="40" t="str">
        <x:f>IFERROR('04_Оценка'!N77,"")</x:f>
      </x:c>
      <x:c r="F77" s="24" t="str">
        <x:f>IFERROR('04_Оценка'!R77,"")</x:f>
      </x:c>
      <x:c r="G77" s="24" t="str">
        <x:f>IF(E77="","",IF(AND(C77&gt;=4,D77&gt;=4),"Ядро прямой конкуренции",IF(AND(C77&gt;=3,D77&gt;=3),"Близкая альтернатива",IF(C77&gt;=3,"Функциональный заменитель",IF(D77&gt;=3,"Аудиторное пересечение","Периферия")))))</x:f>
      </x:c>
      <x:c r="H77" s="24"/>
      <x:c r="I77" s="24"/>
      <x:c r="J77" s="24" t="str">
        <x:f>IFERROR(XLOOKUP(A77,'01_Компании'!$A$4:$A$103,'01_Компании'!$I$4:$I$103),"")</x:f>
      </x:c>
      <x:c r="K77" s="24" t="str">
        <x:f>IFERROR(XLOOKUP(A77,'04_Оценка'!$A$4:$A$103,'04_Оценка'!$S$4:$S$103),"")</x:f>
      </x:c>
    </x:row>
    <x:row r="78">
      <x:c r="A78" s="24" t="str">
        <x:v>K075</x:v>
      </x:c>
      <x:c r="B78" s="24" t="str">
        <x:f>IFERROR(XLOOKUP(A78,'04_Оценка'!$A$4:$A$103,'04_Оценка'!$B$4:$B$103),"")</x:f>
      </x:c>
      <x:c r="C78" s="40" t="n">
        <x:f>IFERROR(AVERAGE('04_Оценка'!D78,'04_Оценка'!F78),"")</x:f>
        <x:v>0</x:v>
      </x:c>
      <x:c r="D78" s="40" t="n">
        <x:f>IFERROR(AVERAGE('04_Оценка'!E78,'04_Оценка'!J78),"")</x:f>
        <x:v>0</x:v>
      </x:c>
      <x:c r="E78" s="40" t="str">
        <x:f>IFERROR('04_Оценка'!N78,"")</x:f>
      </x:c>
      <x:c r="F78" s="24" t="str">
        <x:f>IFERROR('04_Оценка'!R78,"")</x:f>
      </x:c>
      <x:c r="G78" s="24" t="str">
        <x:f>IF(E78="","",IF(AND(C78&gt;=4,D78&gt;=4),"Ядро прямой конкуренции",IF(AND(C78&gt;=3,D78&gt;=3),"Близкая альтернатива",IF(C78&gt;=3,"Функциональный заменитель",IF(D78&gt;=3,"Аудиторное пересечение","Периферия")))))</x:f>
      </x:c>
      <x:c r="H78" s="24"/>
      <x:c r="I78" s="24"/>
      <x:c r="J78" s="24" t="str">
        <x:f>IFERROR(XLOOKUP(A78,'01_Компании'!$A$4:$A$103,'01_Компании'!$I$4:$I$103),"")</x:f>
      </x:c>
      <x:c r="K78" s="24" t="str">
        <x:f>IFERROR(XLOOKUP(A78,'04_Оценка'!$A$4:$A$103,'04_Оценка'!$S$4:$S$103),"")</x:f>
      </x:c>
    </x:row>
    <x:row r="79">
      <x:c r="A79" s="24" t="str">
        <x:v>K076</x:v>
      </x:c>
      <x:c r="B79" s="24" t="str">
        <x:f>IFERROR(XLOOKUP(A79,'04_Оценка'!$A$4:$A$103,'04_Оценка'!$B$4:$B$103),"")</x:f>
      </x:c>
      <x:c r="C79" s="40" t="n">
        <x:f>IFERROR(AVERAGE('04_Оценка'!D79,'04_Оценка'!F79),"")</x:f>
        <x:v>0</x:v>
      </x:c>
      <x:c r="D79" s="40" t="n">
        <x:f>IFERROR(AVERAGE('04_Оценка'!E79,'04_Оценка'!J79),"")</x:f>
        <x:v>0</x:v>
      </x:c>
      <x:c r="E79" s="40" t="str">
        <x:f>IFERROR('04_Оценка'!N79,"")</x:f>
      </x:c>
      <x:c r="F79" s="24" t="str">
        <x:f>IFERROR('04_Оценка'!R79,"")</x:f>
      </x:c>
      <x:c r="G79" s="24" t="str">
        <x:f>IF(E79="","",IF(AND(C79&gt;=4,D79&gt;=4),"Ядро прямой конкуренции",IF(AND(C79&gt;=3,D79&gt;=3),"Близкая альтернатива",IF(C79&gt;=3,"Функциональный заменитель",IF(D79&gt;=3,"Аудиторное пересечение","Периферия")))))</x:f>
      </x:c>
      <x:c r="H79" s="24"/>
      <x:c r="I79" s="24"/>
      <x:c r="J79" s="24" t="str">
        <x:f>IFERROR(XLOOKUP(A79,'01_Компании'!$A$4:$A$103,'01_Компании'!$I$4:$I$103),"")</x:f>
      </x:c>
      <x:c r="K79" s="24" t="str">
        <x:f>IFERROR(XLOOKUP(A79,'04_Оценка'!$A$4:$A$103,'04_Оценка'!$S$4:$S$103),"")</x:f>
      </x:c>
    </x:row>
    <x:row r="80">
      <x:c r="A80" s="24" t="str">
        <x:v>K077</x:v>
      </x:c>
      <x:c r="B80" s="24" t="str">
        <x:f>IFERROR(XLOOKUP(A80,'04_Оценка'!$A$4:$A$103,'04_Оценка'!$B$4:$B$103),"")</x:f>
      </x:c>
      <x:c r="C80" s="40" t="n">
        <x:f>IFERROR(AVERAGE('04_Оценка'!D80,'04_Оценка'!F80),"")</x:f>
        <x:v>0</x:v>
      </x:c>
      <x:c r="D80" s="40" t="n">
        <x:f>IFERROR(AVERAGE('04_Оценка'!E80,'04_Оценка'!J80),"")</x:f>
        <x:v>0</x:v>
      </x:c>
      <x:c r="E80" s="40" t="str">
        <x:f>IFERROR('04_Оценка'!N80,"")</x:f>
      </x:c>
      <x:c r="F80" s="24" t="str">
        <x:f>IFERROR('04_Оценка'!R80,"")</x:f>
      </x:c>
      <x:c r="G80" s="24" t="str">
        <x:f>IF(E80="","",IF(AND(C80&gt;=4,D80&gt;=4),"Ядро прямой конкуренции",IF(AND(C80&gt;=3,D80&gt;=3),"Близкая альтернатива",IF(C80&gt;=3,"Функциональный заменитель",IF(D80&gt;=3,"Аудиторное пересечение","Периферия")))))</x:f>
      </x:c>
      <x:c r="H80" s="24"/>
      <x:c r="I80" s="24"/>
      <x:c r="J80" s="24" t="str">
        <x:f>IFERROR(XLOOKUP(A80,'01_Компании'!$A$4:$A$103,'01_Компании'!$I$4:$I$103),"")</x:f>
      </x:c>
      <x:c r="K80" s="24" t="str">
        <x:f>IFERROR(XLOOKUP(A80,'04_Оценка'!$A$4:$A$103,'04_Оценка'!$S$4:$S$103),"")</x:f>
      </x:c>
    </x:row>
    <x:row r="81">
      <x:c r="A81" s="24" t="str">
        <x:v>K078</x:v>
      </x:c>
      <x:c r="B81" s="24" t="str">
        <x:f>IFERROR(XLOOKUP(A81,'04_Оценка'!$A$4:$A$103,'04_Оценка'!$B$4:$B$103),"")</x:f>
      </x:c>
      <x:c r="C81" s="40" t="n">
        <x:f>IFERROR(AVERAGE('04_Оценка'!D81,'04_Оценка'!F81),"")</x:f>
        <x:v>0</x:v>
      </x:c>
      <x:c r="D81" s="40" t="n">
        <x:f>IFERROR(AVERAGE('04_Оценка'!E81,'04_Оценка'!J81),"")</x:f>
        <x:v>0</x:v>
      </x:c>
      <x:c r="E81" s="40" t="str">
        <x:f>IFERROR('04_Оценка'!N81,"")</x:f>
      </x:c>
      <x:c r="F81" s="24" t="str">
        <x:f>IFERROR('04_Оценка'!R81,"")</x:f>
      </x:c>
      <x:c r="G81" s="24" t="str">
        <x:f>IF(E81="","",IF(AND(C81&gt;=4,D81&gt;=4),"Ядро прямой конкуренции",IF(AND(C81&gt;=3,D81&gt;=3),"Близкая альтернатива",IF(C81&gt;=3,"Функциональный заменитель",IF(D81&gt;=3,"Аудиторное пересечение","Периферия")))))</x:f>
      </x:c>
      <x:c r="H81" s="24"/>
      <x:c r="I81" s="24"/>
      <x:c r="J81" s="24" t="str">
        <x:f>IFERROR(XLOOKUP(A81,'01_Компании'!$A$4:$A$103,'01_Компании'!$I$4:$I$103),"")</x:f>
      </x:c>
      <x:c r="K81" s="24" t="str">
        <x:f>IFERROR(XLOOKUP(A81,'04_Оценка'!$A$4:$A$103,'04_Оценка'!$S$4:$S$103),"")</x:f>
      </x:c>
    </x:row>
    <x:row r="82">
      <x:c r="A82" s="24" t="str">
        <x:v>K079</x:v>
      </x:c>
      <x:c r="B82" s="24" t="str">
        <x:f>IFERROR(XLOOKUP(A82,'04_Оценка'!$A$4:$A$103,'04_Оценка'!$B$4:$B$103),"")</x:f>
      </x:c>
      <x:c r="C82" s="40" t="n">
        <x:f>IFERROR(AVERAGE('04_Оценка'!D82,'04_Оценка'!F82),"")</x:f>
        <x:v>0</x:v>
      </x:c>
      <x:c r="D82" s="40" t="n">
        <x:f>IFERROR(AVERAGE('04_Оценка'!E82,'04_Оценка'!J82),"")</x:f>
        <x:v>0</x:v>
      </x:c>
      <x:c r="E82" s="40" t="str">
        <x:f>IFERROR('04_Оценка'!N82,"")</x:f>
      </x:c>
      <x:c r="F82" s="24" t="str">
        <x:f>IFERROR('04_Оценка'!R82,"")</x:f>
      </x:c>
      <x:c r="G82" s="24" t="str">
        <x:f>IF(E82="","",IF(AND(C82&gt;=4,D82&gt;=4),"Ядро прямой конкуренции",IF(AND(C82&gt;=3,D82&gt;=3),"Близкая альтернатива",IF(C82&gt;=3,"Функциональный заменитель",IF(D82&gt;=3,"Аудиторное пересечение","Периферия")))))</x:f>
      </x:c>
      <x:c r="H82" s="24"/>
      <x:c r="I82" s="24"/>
      <x:c r="J82" s="24" t="str">
        <x:f>IFERROR(XLOOKUP(A82,'01_Компании'!$A$4:$A$103,'01_Компании'!$I$4:$I$103),"")</x:f>
      </x:c>
      <x:c r="K82" s="24" t="str">
        <x:f>IFERROR(XLOOKUP(A82,'04_Оценка'!$A$4:$A$103,'04_Оценка'!$S$4:$S$103),"")</x:f>
      </x:c>
    </x:row>
    <x:row r="83">
      <x:c r="A83" s="24" t="str">
        <x:v>K080</x:v>
      </x:c>
      <x:c r="B83" s="24" t="str">
        <x:f>IFERROR(XLOOKUP(A83,'04_Оценка'!$A$4:$A$103,'04_Оценка'!$B$4:$B$103),"")</x:f>
      </x:c>
      <x:c r="C83" s="40" t="n">
        <x:f>IFERROR(AVERAGE('04_Оценка'!D83,'04_Оценка'!F83),"")</x:f>
        <x:v>0</x:v>
      </x:c>
      <x:c r="D83" s="40" t="n">
        <x:f>IFERROR(AVERAGE('04_Оценка'!E83,'04_Оценка'!J83),"")</x:f>
        <x:v>0</x:v>
      </x:c>
      <x:c r="E83" s="40" t="str">
        <x:f>IFERROR('04_Оценка'!N83,"")</x:f>
      </x:c>
      <x:c r="F83" s="24" t="str">
        <x:f>IFERROR('04_Оценка'!R83,"")</x:f>
      </x:c>
      <x:c r="G83" s="24" t="str">
        <x:f>IF(E83="","",IF(AND(C83&gt;=4,D83&gt;=4),"Ядро прямой конкуренции",IF(AND(C83&gt;=3,D83&gt;=3),"Близкая альтернатива",IF(C83&gt;=3,"Функциональный заменитель",IF(D83&gt;=3,"Аудиторное пересечение","Периферия")))))</x:f>
      </x:c>
      <x:c r="H83" s="24"/>
      <x:c r="I83" s="24"/>
      <x:c r="J83" s="24" t="str">
        <x:f>IFERROR(XLOOKUP(A83,'01_Компании'!$A$4:$A$103,'01_Компании'!$I$4:$I$103),"")</x:f>
      </x:c>
      <x:c r="K83" s="24" t="str">
        <x:f>IFERROR(XLOOKUP(A83,'04_Оценка'!$A$4:$A$103,'04_Оценка'!$S$4:$S$103),"")</x:f>
      </x:c>
    </x:row>
    <x:row r="84">
      <x:c r="A84" s="24" t="str">
        <x:v>K081</x:v>
      </x:c>
      <x:c r="B84" s="24" t="str">
        <x:f>IFERROR(XLOOKUP(A84,'04_Оценка'!$A$4:$A$103,'04_Оценка'!$B$4:$B$103),"")</x:f>
      </x:c>
      <x:c r="C84" s="40" t="n">
        <x:f>IFERROR(AVERAGE('04_Оценка'!D84,'04_Оценка'!F84),"")</x:f>
        <x:v>0</x:v>
      </x:c>
      <x:c r="D84" s="40" t="n">
        <x:f>IFERROR(AVERAGE('04_Оценка'!E84,'04_Оценка'!J84),"")</x:f>
        <x:v>0</x:v>
      </x:c>
      <x:c r="E84" s="40" t="str">
        <x:f>IFERROR('04_Оценка'!N84,"")</x:f>
      </x:c>
      <x:c r="F84" s="24" t="str">
        <x:f>IFERROR('04_Оценка'!R84,"")</x:f>
      </x:c>
      <x:c r="G84" s="24" t="str">
        <x:f>IF(E84="","",IF(AND(C84&gt;=4,D84&gt;=4),"Ядро прямой конкуренции",IF(AND(C84&gt;=3,D84&gt;=3),"Близкая альтернатива",IF(C84&gt;=3,"Функциональный заменитель",IF(D84&gt;=3,"Аудиторное пересечение","Периферия")))))</x:f>
      </x:c>
      <x:c r="H84" s="24"/>
      <x:c r="I84" s="24"/>
      <x:c r="J84" s="24" t="str">
        <x:f>IFERROR(XLOOKUP(A84,'01_Компании'!$A$4:$A$103,'01_Компании'!$I$4:$I$103),"")</x:f>
      </x:c>
      <x:c r="K84" s="24" t="str">
        <x:f>IFERROR(XLOOKUP(A84,'04_Оценка'!$A$4:$A$103,'04_Оценка'!$S$4:$S$103),"")</x:f>
      </x:c>
    </x:row>
    <x:row r="85">
      <x:c r="A85" s="24" t="str">
        <x:v>K082</x:v>
      </x:c>
      <x:c r="B85" s="24" t="str">
        <x:f>IFERROR(XLOOKUP(A85,'04_Оценка'!$A$4:$A$103,'04_Оценка'!$B$4:$B$103),"")</x:f>
      </x:c>
      <x:c r="C85" s="40" t="n">
        <x:f>IFERROR(AVERAGE('04_Оценка'!D85,'04_Оценка'!F85),"")</x:f>
        <x:v>0</x:v>
      </x:c>
      <x:c r="D85" s="40" t="n">
        <x:f>IFERROR(AVERAGE('04_Оценка'!E85,'04_Оценка'!J85),"")</x:f>
        <x:v>0</x:v>
      </x:c>
      <x:c r="E85" s="40" t="str">
        <x:f>IFERROR('04_Оценка'!N85,"")</x:f>
      </x:c>
      <x:c r="F85" s="24" t="str">
        <x:f>IFERROR('04_Оценка'!R85,"")</x:f>
      </x:c>
      <x:c r="G85" s="24" t="str">
        <x:f>IF(E85="","",IF(AND(C85&gt;=4,D85&gt;=4),"Ядро прямой конкуренции",IF(AND(C85&gt;=3,D85&gt;=3),"Близкая альтернатива",IF(C85&gt;=3,"Функциональный заменитель",IF(D85&gt;=3,"Аудиторное пересечение","Периферия")))))</x:f>
      </x:c>
      <x:c r="H85" s="24"/>
      <x:c r="I85" s="24"/>
      <x:c r="J85" s="24" t="str">
        <x:f>IFERROR(XLOOKUP(A85,'01_Компании'!$A$4:$A$103,'01_Компании'!$I$4:$I$103),"")</x:f>
      </x:c>
      <x:c r="K85" s="24" t="str">
        <x:f>IFERROR(XLOOKUP(A85,'04_Оценка'!$A$4:$A$103,'04_Оценка'!$S$4:$S$103),"")</x:f>
      </x:c>
    </x:row>
    <x:row r="86">
      <x:c r="A86" s="24" t="str">
        <x:v>K083</x:v>
      </x:c>
      <x:c r="B86" s="24" t="str">
        <x:f>IFERROR(XLOOKUP(A86,'04_Оценка'!$A$4:$A$103,'04_Оценка'!$B$4:$B$103),"")</x:f>
      </x:c>
      <x:c r="C86" s="40" t="n">
        <x:f>IFERROR(AVERAGE('04_Оценка'!D86,'04_Оценка'!F86),"")</x:f>
        <x:v>0</x:v>
      </x:c>
      <x:c r="D86" s="40" t="n">
        <x:f>IFERROR(AVERAGE('04_Оценка'!E86,'04_Оценка'!J86),"")</x:f>
        <x:v>0</x:v>
      </x:c>
      <x:c r="E86" s="40" t="str">
        <x:f>IFERROR('04_Оценка'!N86,"")</x:f>
      </x:c>
      <x:c r="F86" s="24" t="str">
        <x:f>IFERROR('04_Оценка'!R86,"")</x:f>
      </x:c>
      <x:c r="G86" s="24" t="str">
        <x:f>IF(E86="","",IF(AND(C86&gt;=4,D86&gt;=4),"Ядро прямой конкуренции",IF(AND(C86&gt;=3,D86&gt;=3),"Близкая альтернатива",IF(C86&gt;=3,"Функциональный заменитель",IF(D86&gt;=3,"Аудиторное пересечение","Периферия")))))</x:f>
      </x:c>
      <x:c r="H86" s="24"/>
      <x:c r="I86" s="24"/>
      <x:c r="J86" s="24" t="str">
        <x:f>IFERROR(XLOOKUP(A86,'01_Компании'!$A$4:$A$103,'01_Компании'!$I$4:$I$103),"")</x:f>
      </x:c>
      <x:c r="K86" s="24" t="str">
        <x:f>IFERROR(XLOOKUP(A86,'04_Оценка'!$A$4:$A$103,'04_Оценка'!$S$4:$S$103),"")</x:f>
      </x:c>
    </x:row>
    <x:row r="87">
      <x:c r="A87" s="24" t="str">
        <x:v>K084</x:v>
      </x:c>
      <x:c r="B87" s="24" t="str">
        <x:f>IFERROR(XLOOKUP(A87,'04_Оценка'!$A$4:$A$103,'04_Оценка'!$B$4:$B$103),"")</x:f>
      </x:c>
      <x:c r="C87" s="40" t="n">
        <x:f>IFERROR(AVERAGE('04_Оценка'!D87,'04_Оценка'!F87),"")</x:f>
        <x:v>0</x:v>
      </x:c>
      <x:c r="D87" s="40" t="n">
        <x:f>IFERROR(AVERAGE('04_Оценка'!E87,'04_Оценка'!J87),"")</x:f>
        <x:v>0</x:v>
      </x:c>
      <x:c r="E87" s="40" t="str">
        <x:f>IFERROR('04_Оценка'!N87,"")</x:f>
      </x:c>
      <x:c r="F87" s="24" t="str">
        <x:f>IFERROR('04_Оценка'!R87,"")</x:f>
      </x:c>
      <x:c r="G87" s="24" t="str">
        <x:f>IF(E87="","",IF(AND(C87&gt;=4,D87&gt;=4),"Ядро прямой конкуренции",IF(AND(C87&gt;=3,D87&gt;=3),"Близкая альтернатива",IF(C87&gt;=3,"Функциональный заменитель",IF(D87&gt;=3,"Аудиторное пересечение","Периферия")))))</x:f>
      </x:c>
      <x:c r="H87" s="24"/>
      <x:c r="I87" s="24"/>
      <x:c r="J87" s="24" t="str">
        <x:f>IFERROR(XLOOKUP(A87,'01_Компании'!$A$4:$A$103,'01_Компании'!$I$4:$I$103),"")</x:f>
      </x:c>
      <x:c r="K87" s="24" t="str">
        <x:f>IFERROR(XLOOKUP(A87,'04_Оценка'!$A$4:$A$103,'04_Оценка'!$S$4:$S$103),"")</x:f>
      </x:c>
    </x:row>
    <x:row r="88">
      <x:c r="A88" s="24" t="str">
        <x:v>K085</x:v>
      </x:c>
      <x:c r="B88" s="24" t="str">
        <x:f>IFERROR(XLOOKUP(A88,'04_Оценка'!$A$4:$A$103,'04_Оценка'!$B$4:$B$103),"")</x:f>
      </x:c>
      <x:c r="C88" s="40" t="n">
        <x:f>IFERROR(AVERAGE('04_Оценка'!D88,'04_Оценка'!F88),"")</x:f>
        <x:v>0</x:v>
      </x:c>
      <x:c r="D88" s="40" t="n">
        <x:f>IFERROR(AVERAGE('04_Оценка'!E88,'04_Оценка'!J88),"")</x:f>
        <x:v>0</x:v>
      </x:c>
      <x:c r="E88" s="40" t="str">
        <x:f>IFERROR('04_Оценка'!N88,"")</x:f>
      </x:c>
      <x:c r="F88" s="24" t="str">
        <x:f>IFERROR('04_Оценка'!R88,"")</x:f>
      </x:c>
      <x:c r="G88" s="24" t="str">
        <x:f>IF(E88="","",IF(AND(C88&gt;=4,D88&gt;=4),"Ядро прямой конкуренции",IF(AND(C88&gt;=3,D88&gt;=3),"Близкая альтернатива",IF(C88&gt;=3,"Функциональный заменитель",IF(D88&gt;=3,"Аудиторное пересечение","Периферия")))))</x:f>
      </x:c>
      <x:c r="H88" s="24"/>
      <x:c r="I88" s="24"/>
      <x:c r="J88" s="24" t="str">
        <x:f>IFERROR(XLOOKUP(A88,'01_Компании'!$A$4:$A$103,'01_Компании'!$I$4:$I$103),"")</x:f>
      </x:c>
      <x:c r="K88" s="24" t="str">
        <x:f>IFERROR(XLOOKUP(A88,'04_Оценка'!$A$4:$A$103,'04_Оценка'!$S$4:$S$103),"")</x:f>
      </x:c>
    </x:row>
    <x:row r="89">
      <x:c r="A89" s="24" t="str">
        <x:v>K086</x:v>
      </x:c>
      <x:c r="B89" s="24" t="str">
        <x:f>IFERROR(XLOOKUP(A89,'04_Оценка'!$A$4:$A$103,'04_Оценка'!$B$4:$B$103),"")</x:f>
      </x:c>
      <x:c r="C89" s="40" t="n">
        <x:f>IFERROR(AVERAGE('04_Оценка'!D89,'04_Оценка'!F89),"")</x:f>
        <x:v>0</x:v>
      </x:c>
      <x:c r="D89" s="40" t="n">
        <x:f>IFERROR(AVERAGE('04_Оценка'!E89,'04_Оценка'!J89),"")</x:f>
        <x:v>0</x:v>
      </x:c>
      <x:c r="E89" s="40" t="str">
        <x:f>IFERROR('04_Оценка'!N89,"")</x:f>
      </x:c>
      <x:c r="F89" s="24" t="str">
        <x:f>IFERROR('04_Оценка'!R89,"")</x:f>
      </x:c>
      <x:c r="G89" s="24" t="str">
        <x:f>IF(E89="","",IF(AND(C89&gt;=4,D89&gt;=4),"Ядро прямой конкуренции",IF(AND(C89&gt;=3,D89&gt;=3),"Близкая альтернатива",IF(C89&gt;=3,"Функциональный заменитель",IF(D89&gt;=3,"Аудиторное пересечение","Периферия")))))</x:f>
      </x:c>
      <x:c r="H89" s="24"/>
      <x:c r="I89" s="24"/>
      <x:c r="J89" s="24" t="str">
        <x:f>IFERROR(XLOOKUP(A89,'01_Компании'!$A$4:$A$103,'01_Компании'!$I$4:$I$103),"")</x:f>
      </x:c>
      <x:c r="K89" s="24" t="str">
        <x:f>IFERROR(XLOOKUP(A89,'04_Оценка'!$A$4:$A$103,'04_Оценка'!$S$4:$S$103),"")</x:f>
      </x:c>
    </x:row>
    <x:row r="90">
      <x:c r="A90" s="24" t="str">
        <x:v>K087</x:v>
      </x:c>
      <x:c r="B90" s="24" t="str">
        <x:f>IFERROR(XLOOKUP(A90,'04_Оценка'!$A$4:$A$103,'04_Оценка'!$B$4:$B$103),"")</x:f>
      </x:c>
      <x:c r="C90" s="40" t="n">
        <x:f>IFERROR(AVERAGE('04_Оценка'!D90,'04_Оценка'!F90),"")</x:f>
        <x:v>0</x:v>
      </x:c>
      <x:c r="D90" s="40" t="n">
        <x:f>IFERROR(AVERAGE('04_Оценка'!E90,'04_Оценка'!J90),"")</x:f>
        <x:v>0</x:v>
      </x:c>
      <x:c r="E90" s="40" t="str">
        <x:f>IFERROR('04_Оценка'!N90,"")</x:f>
      </x:c>
      <x:c r="F90" s="24" t="str">
        <x:f>IFERROR('04_Оценка'!R90,"")</x:f>
      </x:c>
      <x:c r="G90" s="24" t="str">
        <x:f>IF(E90="","",IF(AND(C90&gt;=4,D90&gt;=4),"Ядро прямой конкуренции",IF(AND(C90&gt;=3,D90&gt;=3),"Близкая альтернатива",IF(C90&gt;=3,"Функциональный заменитель",IF(D90&gt;=3,"Аудиторное пересечение","Периферия")))))</x:f>
      </x:c>
      <x:c r="H90" s="24"/>
      <x:c r="I90" s="24"/>
      <x:c r="J90" s="24" t="str">
        <x:f>IFERROR(XLOOKUP(A90,'01_Компании'!$A$4:$A$103,'01_Компании'!$I$4:$I$103),"")</x:f>
      </x:c>
      <x:c r="K90" s="24" t="str">
        <x:f>IFERROR(XLOOKUP(A90,'04_Оценка'!$A$4:$A$103,'04_Оценка'!$S$4:$S$103),"")</x:f>
      </x:c>
    </x:row>
    <x:row r="91">
      <x:c r="A91" s="24" t="str">
        <x:v>K088</x:v>
      </x:c>
      <x:c r="B91" s="24" t="str">
        <x:f>IFERROR(XLOOKUP(A91,'04_Оценка'!$A$4:$A$103,'04_Оценка'!$B$4:$B$103),"")</x:f>
      </x:c>
      <x:c r="C91" s="40" t="n">
        <x:f>IFERROR(AVERAGE('04_Оценка'!D91,'04_Оценка'!F91),"")</x:f>
        <x:v>0</x:v>
      </x:c>
      <x:c r="D91" s="40" t="n">
        <x:f>IFERROR(AVERAGE('04_Оценка'!E91,'04_Оценка'!J91),"")</x:f>
        <x:v>0</x:v>
      </x:c>
      <x:c r="E91" s="40" t="str">
        <x:f>IFERROR('04_Оценка'!N91,"")</x:f>
      </x:c>
      <x:c r="F91" s="24" t="str">
        <x:f>IFERROR('04_Оценка'!R91,"")</x:f>
      </x:c>
      <x:c r="G91" s="24" t="str">
        <x:f>IF(E91="","",IF(AND(C91&gt;=4,D91&gt;=4),"Ядро прямой конкуренции",IF(AND(C91&gt;=3,D91&gt;=3),"Близкая альтернатива",IF(C91&gt;=3,"Функциональный заменитель",IF(D91&gt;=3,"Аудиторное пересечение","Периферия")))))</x:f>
      </x:c>
      <x:c r="H91" s="24"/>
      <x:c r="I91" s="24"/>
      <x:c r="J91" s="24" t="str">
        <x:f>IFERROR(XLOOKUP(A91,'01_Компании'!$A$4:$A$103,'01_Компании'!$I$4:$I$103),"")</x:f>
      </x:c>
      <x:c r="K91" s="24" t="str">
        <x:f>IFERROR(XLOOKUP(A91,'04_Оценка'!$A$4:$A$103,'04_Оценка'!$S$4:$S$103),"")</x:f>
      </x:c>
    </x:row>
    <x:row r="92">
      <x:c r="A92" s="24" t="str">
        <x:v>K089</x:v>
      </x:c>
      <x:c r="B92" s="24" t="str">
        <x:f>IFERROR(XLOOKUP(A92,'04_Оценка'!$A$4:$A$103,'04_Оценка'!$B$4:$B$103),"")</x:f>
      </x:c>
      <x:c r="C92" s="40" t="n">
        <x:f>IFERROR(AVERAGE('04_Оценка'!D92,'04_Оценка'!F92),"")</x:f>
        <x:v>0</x:v>
      </x:c>
      <x:c r="D92" s="40" t="n">
        <x:f>IFERROR(AVERAGE('04_Оценка'!E92,'04_Оценка'!J92),"")</x:f>
        <x:v>0</x:v>
      </x:c>
      <x:c r="E92" s="40" t="str">
        <x:f>IFERROR('04_Оценка'!N92,"")</x:f>
      </x:c>
      <x:c r="F92" s="24" t="str">
        <x:f>IFERROR('04_Оценка'!R92,"")</x:f>
      </x:c>
      <x:c r="G92" s="24" t="str">
        <x:f>IF(E92="","",IF(AND(C92&gt;=4,D92&gt;=4),"Ядро прямой конкуренции",IF(AND(C92&gt;=3,D92&gt;=3),"Близкая альтернатива",IF(C92&gt;=3,"Функциональный заменитель",IF(D92&gt;=3,"Аудиторное пересечение","Периферия")))))</x:f>
      </x:c>
      <x:c r="H92" s="24"/>
      <x:c r="I92" s="24"/>
      <x:c r="J92" s="24" t="str">
        <x:f>IFERROR(XLOOKUP(A92,'01_Компании'!$A$4:$A$103,'01_Компании'!$I$4:$I$103),"")</x:f>
      </x:c>
      <x:c r="K92" s="24" t="str">
        <x:f>IFERROR(XLOOKUP(A92,'04_Оценка'!$A$4:$A$103,'04_Оценка'!$S$4:$S$103),"")</x:f>
      </x:c>
    </x:row>
    <x:row r="93">
      <x:c r="A93" s="24" t="str">
        <x:v>K090</x:v>
      </x:c>
      <x:c r="B93" s="24" t="str">
        <x:f>IFERROR(XLOOKUP(A93,'04_Оценка'!$A$4:$A$103,'04_Оценка'!$B$4:$B$103),"")</x:f>
      </x:c>
      <x:c r="C93" s="40" t="n">
        <x:f>IFERROR(AVERAGE('04_Оценка'!D93,'04_Оценка'!F93),"")</x:f>
        <x:v>0</x:v>
      </x:c>
      <x:c r="D93" s="40" t="n">
        <x:f>IFERROR(AVERAGE('04_Оценка'!E93,'04_Оценка'!J93),"")</x:f>
        <x:v>0</x:v>
      </x:c>
      <x:c r="E93" s="40" t="str">
        <x:f>IFERROR('04_Оценка'!N93,"")</x:f>
      </x:c>
      <x:c r="F93" s="24" t="str">
        <x:f>IFERROR('04_Оценка'!R93,"")</x:f>
      </x:c>
      <x:c r="G93" s="24" t="str">
        <x:f>IF(E93="","",IF(AND(C93&gt;=4,D93&gt;=4),"Ядро прямой конкуренции",IF(AND(C93&gt;=3,D93&gt;=3),"Близкая альтернатива",IF(C93&gt;=3,"Функциональный заменитель",IF(D93&gt;=3,"Аудиторное пересечение","Периферия")))))</x:f>
      </x:c>
      <x:c r="H93" s="24"/>
      <x:c r="I93" s="24"/>
      <x:c r="J93" s="24" t="str">
        <x:f>IFERROR(XLOOKUP(A93,'01_Компании'!$A$4:$A$103,'01_Компании'!$I$4:$I$103),"")</x:f>
      </x:c>
      <x:c r="K93" s="24" t="str">
        <x:f>IFERROR(XLOOKUP(A93,'04_Оценка'!$A$4:$A$103,'04_Оценка'!$S$4:$S$103),"")</x:f>
      </x:c>
    </x:row>
    <x:row r="94">
      <x:c r="A94" s="24" t="str">
        <x:v>K091</x:v>
      </x:c>
      <x:c r="B94" s="24" t="str">
        <x:f>IFERROR(XLOOKUP(A94,'04_Оценка'!$A$4:$A$103,'04_Оценка'!$B$4:$B$103),"")</x:f>
      </x:c>
      <x:c r="C94" s="40" t="n">
        <x:f>IFERROR(AVERAGE('04_Оценка'!D94,'04_Оценка'!F94),"")</x:f>
        <x:v>0</x:v>
      </x:c>
      <x:c r="D94" s="40" t="n">
        <x:f>IFERROR(AVERAGE('04_Оценка'!E94,'04_Оценка'!J94),"")</x:f>
        <x:v>0</x:v>
      </x:c>
      <x:c r="E94" s="40" t="str">
        <x:f>IFERROR('04_Оценка'!N94,"")</x:f>
      </x:c>
      <x:c r="F94" s="24" t="str">
        <x:f>IFERROR('04_Оценка'!R94,"")</x:f>
      </x:c>
      <x:c r="G94" s="24" t="str">
        <x:f>IF(E94="","",IF(AND(C94&gt;=4,D94&gt;=4),"Ядро прямой конкуренции",IF(AND(C94&gt;=3,D94&gt;=3),"Близкая альтернатива",IF(C94&gt;=3,"Функциональный заменитель",IF(D94&gt;=3,"Аудиторное пересечение","Периферия")))))</x:f>
      </x:c>
      <x:c r="H94" s="24"/>
      <x:c r="I94" s="24"/>
      <x:c r="J94" s="24" t="str">
        <x:f>IFERROR(XLOOKUP(A94,'01_Компании'!$A$4:$A$103,'01_Компании'!$I$4:$I$103),"")</x:f>
      </x:c>
      <x:c r="K94" s="24" t="str">
        <x:f>IFERROR(XLOOKUP(A94,'04_Оценка'!$A$4:$A$103,'04_Оценка'!$S$4:$S$103),"")</x:f>
      </x:c>
    </x:row>
    <x:row r="95">
      <x:c r="A95" s="24" t="str">
        <x:v>K092</x:v>
      </x:c>
      <x:c r="B95" s="24" t="str">
        <x:f>IFERROR(XLOOKUP(A95,'04_Оценка'!$A$4:$A$103,'04_Оценка'!$B$4:$B$103),"")</x:f>
      </x:c>
      <x:c r="C95" s="40" t="n">
        <x:f>IFERROR(AVERAGE('04_Оценка'!D95,'04_Оценка'!F95),"")</x:f>
        <x:v>0</x:v>
      </x:c>
      <x:c r="D95" s="40" t="n">
        <x:f>IFERROR(AVERAGE('04_Оценка'!E95,'04_Оценка'!J95),"")</x:f>
        <x:v>0</x:v>
      </x:c>
      <x:c r="E95" s="40" t="str">
        <x:f>IFERROR('04_Оценка'!N95,"")</x:f>
      </x:c>
      <x:c r="F95" s="24" t="str">
        <x:f>IFERROR('04_Оценка'!R95,"")</x:f>
      </x:c>
      <x:c r="G95" s="24" t="str">
        <x:f>IF(E95="","",IF(AND(C95&gt;=4,D95&gt;=4),"Ядро прямой конкуренции",IF(AND(C95&gt;=3,D95&gt;=3),"Близкая альтернатива",IF(C95&gt;=3,"Функциональный заменитель",IF(D95&gt;=3,"Аудиторное пересечение","Периферия")))))</x:f>
      </x:c>
      <x:c r="H95" s="24"/>
      <x:c r="I95" s="24"/>
      <x:c r="J95" s="24" t="str">
        <x:f>IFERROR(XLOOKUP(A95,'01_Компании'!$A$4:$A$103,'01_Компании'!$I$4:$I$103),"")</x:f>
      </x:c>
      <x:c r="K95" s="24" t="str">
        <x:f>IFERROR(XLOOKUP(A95,'04_Оценка'!$A$4:$A$103,'04_Оценка'!$S$4:$S$103),"")</x:f>
      </x:c>
    </x:row>
    <x:row r="96">
      <x:c r="A96" s="24" t="str">
        <x:v>K093</x:v>
      </x:c>
      <x:c r="B96" s="24" t="str">
        <x:f>IFERROR(XLOOKUP(A96,'04_Оценка'!$A$4:$A$103,'04_Оценка'!$B$4:$B$103),"")</x:f>
      </x:c>
      <x:c r="C96" s="40" t="n">
        <x:f>IFERROR(AVERAGE('04_Оценка'!D96,'04_Оценка'!F96),"")</x:f>
        <x:v>0</x:v>
      </x:c>
      <x:c r="D96" s="40" t="n">
        <x:f>IFERROR(AVERAGE('04_Оценка'!E96,'04_Оценка'!J96),"")</x:f>
        <x:v>0</x:v>
      </x:c>
      <x:c r="E96" s="40" t="str">
        <x:f>IFERROR('04_Оценка'!N96,"")</x:f>
      </x:c>
      <x:c r="F96" s="24" t="str">
        <x:f>IFERROR('04_Оценка'!R96,"")</x:f>
      </x:c>
      <x:c r="G96" s="24" t="str">
        <x:f>IF(E96="","",IF(AND(C96&gt;=4,D96&gt;=4),"Ядро прямой конкуренции",IF(AND(C96&gt;=3,D96&gt;=3),"Близкая альтернатива",IF(C96&gt;=3,"Функциональный заменитель",IF(D96&gt;=3,"Аудиторное пересечение","Периферия")))))</x:f>
      </x:c>
      <x:c r="H96" s="24"/>
      <x:c r="I96" s="24"/>
      <x:c r="J96" s="24" t="str">
        <x:f>IFERROR(XLOOKUP(A96,'01_Компании'!$A$4:$A$103,'01_Компании'!$I$4:$I$103),"")</x:f>
      </x:c>
      <x:c r="K96" s="24" t="str">
        <x:f>IFERROR(XLOOKUP(A96,'04_Оценка'!$A$4:$A$103,'04_Оценка'!$S$4:$S$103),"")</x:f>
      </x:c>
    </x:row>
    <x:row r="97">
      <x:c r="A97" s="24" t="str">
        <x:v>K094</x:v>
      </x:c>
      <x:c r="B97" s="24" t="str">
        <x:f>IFERROR(XLOOKUP(A97,'04_Оценка'!$A$4:$A$103,'04_Оценка'!$B$4:$B$103),"")</x:f>
      </x:c>
      <x:c r="C97" s="40" t="n">
        <x:f>IFERROR(AVERAGE('04_Оценка'!D97,'04_Оценка'!F97),"")</x:f>
        <x:v>0</x:v>
      </x:c>
      <x:c r="D97" s="40" t="n">
        <x:f>IFERROR(AVERAGE('04_Оценка'!E97,'04_Оценка'!J97),"")</x:f>
        <x:v>0</x:v>
      </x:c>
      <x:c r="E97" s="40" t="str">
        <x:f>IFERROR('04_Оценка'!N97,"")</x:f>
      </x:c>
      <x:c r="F97" s="24" t="str">
        <x:f>IFERROR('04_Оценка'!R97,"")</x:f>
      </x:c>
      <x:c r="G97" s="24" t="str">
        <x:f>IF(E97="","",IF(AND(C97&gt;=4,D97&gt;=4),"Ядро прямой конкуренции",IF(AND(C97&gt;=3,D97&gt;=3),"Близкая альтернатива",IF(C97&gt;=3,"Функциональный заменитель",IF(D97&gt;=3,"Аудиторное пересечение","Периферия")))))</x:f>
      </x:c>
      <x:c r="H97" s="24"/>
      <x:c r="I97" s="24"/>
      <x:c r="J97" s="24" t="str">
        <x:f>IFERROR(XLOOKUP(A97,'01_Компании'!$A$4:$A$103,'01_Компании'!$I$4:$I$103),"")</x:f>
      </x:c>
      <x:c r="K97" s="24" t="str">
        <x:f>IFERROR(XLOOKUP(A97,'04_Оценка'!$A$4:$A$103,'04_Оценка'!$S$4:$S$103),"")</x:f>
      </x:c>
    </x:row>
    <x:row r="98">
      <x:c r="A98" s="24" t="str">
        <x:v>K095</x:v>
      </x:c>
      <x:c r="B98" s="24" t="str">
        <x:f>IFERROR(XLOOKUP(A98,'04_Оценка'!$A$4:$A$103,'04_Оценка'!$B$4:$B$103),"")</x:f>
      </x:c>
      <x:c r="C98" s="40" t="n">
        <x:f>IFERROR(AVERAGE('04_Оценка'!D98,'04_Оценка'!F98),"")</x:f>
        <x:v>0</x:v>
      </x:c>
      <x:c r="D98" s="40" t="n">
        <x:f>IFERROR(AVERAGE('04_Оценка'!E98,'04_Оценка'!J98),"")</x:f>
        <x:v>0</x:v>
      </x:c>
      <x:c r="E98" s="40" t="str">
        <x:f>IFERROR('04_Оценка'!N98,"")</x:f>
      </x:c>
      <x:c r="F98" s="24" t="str">
        <x:f>IFERROR('04_Оценка'!R98,"")</x:f>
      </x:c>
      <x:c r="G98" s="24" t="str">
        <x:f>IF(E98="","",IF(AND(C98&gt;=4,D98&gt;=4),"Ядро прямой конкуренции",IF(AND(C98&gt;=3,D98&gt;=3),"Близкая альтернатива",IF(C98&gt;=3,"Функциональный заменитель",IF(D98&gt;=3,"Аудиторное пересечение","Периферия")))))</x:f>
      </x:c>
      <x:c r="H98" s="24"/>
      <x:c r="I98" s="24"/>
      <x:c r="J98" s="24" t="str">
        <x:f>IFERROR(XLOOKUP(A98,'01_Компании'!$A$4:$A$103,'01_Компании'!$I$4:$I$103),"")</x:f>
      </x:c>
      <x:c r="K98" s="24" t="str">
        <x:f>IFERROR(XLOOKUP(A98,'04_Оценка'!$A$4:$A$103,'04_Оценка'!$S$4:$S$103),"")</x:f>
      </x:c>
    </x:row>
    <x:row r="99">
      <x:c r="A99" s="24" t="str">
        <x:v>K096</x:v>
      </x:c>
      <x:c r="B99" s="24" t="str">
        <x:f>IFERROR(XLOOKUP(A99,'04_Оценка'!$A$4:$A$103,'04_Оценка'!$B$4:$B$103),"")</x:f>
      </x:c>
      <x:c r="C99" s="40" t="n">
        <x:f>IFERROR(AVERAGE('04_Оценка'!D99,'04_Оценка'!F99),"")</x:f>
        <x:v>0</x:v>
      </x:c>
      <x:c r="D99" s="40" t="n">
        <x:f>IFERROR(AVERAGE('04_Оценка'!E99,'04_Оценка'!J99),"")</x:f>
        <x:v>0</x:v>
      </x:c>
      <x:c r="E99" s="40" t="str">
        <x:f>IFERROR('04_Оценка'!N99,"")</x:f>
      </x:c>
      <x:c r="F99" s="24" t="str">
        <x:f>IFERROR('04_Оценка'!R99,"")</x:f>
      </x:c>
      <x:c r="G99" s="24" t="str">
        <x:f>IF(E99="","",IF(AND(C99&gt;=4,D99&gt;=4),"Ядро прямой конкуренции",IF(AND(C99&gt;=3,D99&gt;=3),"Близкая альтернатива",IF(C99&gt;=3,"Функциональный заменитель",IF(D99&gt;=3,"Аудиторное пересечение","Периферия")))))</x:f>
      </x:c>
      <x:c r="H99" s="24"/>
      <x:c r="I99" s="24"/>
      <x:c r="J99" s="24" t="str">
        <x:f>IFERROR(XLOOKUP(A99,'01_Компании'!$A$4:$A$103,'01_Компании'!$I$4:$I$103),"")</x:f>
      </x:c>
      <x:c r="K99" s="24" t="str">
        <x:f>IFERROR(XLOOKUP(A99,'04_Оценка'!$A$4:$A$103,'04_Оценка'!$S$4:$S$103),"")</x:f>
      </x:c>
    </x:row>
    <x:row r="100">
      <x:c r="A100" s="24" t="str">
        <x:v>K097</x:v>
      </x:c>
      <x:c r="B100" s="24" t="str">
        <x:f>IFERROR(XLOOKUP(A100,'04_Оценка'!$A$4:$A$103,'04_Оценка'!$B$4:$B$103),"")</x:f>
      </x:c>
      <x:c r="C100" s="40" t="n">
        <x:f>IFERROR(AVERAGE('04_Оценка'!D100,'04_Оценка'!F100),"")</x:f>
        <x:v>0</x:v>
      </x:c>
      <x:c r="D100" s="40" t="n">
        <x:f>IFERROR(AVERAGE('04_Оценка'!E100,'04_Оценка'!J100),"")</x:f>
        <x:v>0</x:v>
      </x:c>
      <x:c r="E100" s="40" t="str">
        <x:f>IFERROR('04_Оценка'!N100,"")</x:f>
      </x:c>
      <x:c r="F100" s="24" t="str">
        <x:f>IFERROR('04_Оценка'!R100,"")</x:f>
      </x:c>
      <x:c r="G100" s="24" t="str">
        <x:f>IF(E100="","",IF(AND(C100&gt;=4,D100&gt;=4),"Ядро прямой конкуренции",IF(AND(C100&gt;=3,D100&gt;=3),"Близкая альтернатива",IF(C100&gt;=3,"Функциональный заменитель",IF(D100&gt;=3,"Аудиторное пересечение","Периферия")))))</x:f>
      </x:c>
      <x:c r="H100" s="24"/>
      <x:c r="I100" s="24"/>
      <x:c r="J100" s="24" t="str">
        <x:f>IFERROR(XLOOKUP(A100,'01_Компании'!$A$4:$A$103,'01_Компании'!$I$4:$I$103),"")</x:f>
      </x:c>
      <x:c r="K100" s="24" t="str">
        <x:f>IFERROR(XLOOKUP(A100,'04_Оценка'!$A$4:$A$103,'04_Оценка'!$S$4:$S$103),"")</x:f>
      </x:c>
    </x:row>
    <x:row r="101">
      <x:c r="A101" s="24" t="str">
        <x:v>K098</x:v>
      </x:c>
      <x:c r="B101" s="24" t="str">
        <x:f>IFERROR(XLOOKUP(A101,'04_Оценка'!$A$4:$A$103,'04_Оценка'!$B$4:$B$103),"")</x:f>
      </x:c>
      <x:c r="C101" s="40" t="n">
        <x:f>IFERROR(AVERAGE('04_Оценка'!D101,'04_Оценка'!F101),"")</x:f>
        <x:v>0</x:v>
      </x:c>
      <x:c r="D101" s="40" t="n">
        <x:f>IFERROR(AVERAGE('04_Оценка'!E101,'04_Оценка'!J101),"")</x:f>
        <x:v>0</x:v>
      </x:c>
      <x:c r="E101" s="40" t="str">
        <x:f>IFERROR('04_Оценка'!N101,"")</x:f>
      </x:c>
      <x:c r="F101" s="24" t="str">
        <x:f>IFERROR('04_Оценка'!R101,"")</x:f>
      </x:c>
      <x:c r="G101" s="24" t="str">
        <x:f>IF(E101="","",IF(AND(C101&gt;=4,D101&gt;=4),"Ядро прямой конкуренции",IF(AND(C101&gt;=3,D101&gt;=3),"Близкая альтернатива",IF(C101&gt;=3,"Функциональный заменитель",IF(D101&gt;=3,"Аудиторное пересечение","Периферия")))))</x:f>
      </x:c>
      <x:c r="H101" s="24"/>
      <x:c r="I101" s="24"/>
      <x:c r="J101" s="24" t="str">
        <x:f>IFERROR(XLOOKUP(A101,'01_Компании'!$A$4:$A$103,'01_Компании'!$I$4:$I$103),"")</x:f>
      </x:c>
      <x:c r="K101" s="24" t="str">
        <x:f>IFERROR(XLOOKUP(A101,'04_Оценка'!$A$4:$A$103,'04_Оценка'!$S$4:$S$103),"")</x:f>
      </x:c>
    </x:row>
    <x:row r="102">
      <x:c r="A102" s="24" t="str">
        <x:v>K099</x:v>
      </x:c>
      <x:c r="B102" s="24" t="str">
        <x:f>IFERROR(XLOOKUP(A102,'04_Оценка'!$A$4:$A$103,'04_Оценка'!$B$4:$B$103),"")</x:f>
      </x:c>
      <x:c r="C102" s="40" t="n">
        <x:f>IFERROR(AVERAGE('04_Оценка'!D102,'04_Оценка'!F102),"")</x:f>
        <x:v>0</x:v>
      </x:c>
      <x:c r="D102" s="40" t="n">
        <x:f>IFERROR(AVERAGE('04_Оценка'!E102,'04_Оценка'!J102),"")</x:f>
        <x:v>0</x:v>
      </x:c>
      <x:c r="E102" s="40" t="str">
        <x:f>IFERROR('04_Оценка'!N102,"")</x:f>
      </x:c>
      <x:c r="F102" s="24" t="str">
        <x:f>IFERROR('04_Оценка'!R102,"")</x:f>
      </x:c>
      <x:c r="G102" s="24" t="str">
        <x:f>IF(E102="","",IF(AND(C102&gt;=4,D102&gt;=4),"Ядро прямой конкуренции",IF(AND(C102&gt;=3,D102&gt;=3),"Близкая альтернатива",IF(C102&gt;=3,"Функциональный заменитель",IF(D102&gt;=3,"Аудиторное пересечение","Периферия")))))</x:f>
      </x:c>
      <x:c r="H102" s="24"/>
      <x:c r="I102" s="24"/>
      <x:c r="J102" s="24" t="str">
        <x:f>IFERROR(XLOOKUP(A102,'01_Компании'!$A$4:$A$103,'01_Компании'!$I$4:$I$103),"")</x:f>
      </x:c>
      <x:c r="K102" s="24" t="str">
        <x:f>IFERROR(XLOOKUP(A102,'04_Оценка'!$A$4:$A$103,'04_Оценка'!$S$4:$S$103),"")</x:f>
      </x:c>
    </x:row>
    <x:row r="103">
      <x:c r="A103" s="24" t="str">
        <x:v>K100</x:v>
      </x:c>
      <x:c r="B103" s="24" t="str">
        <x:f>IFERROR(XLOOKUP(A103,'04_Оценка'!$A$4:$A$103,'04_Оценка'!$B$4:$B$103),"")</x:f>
      </x:c>
      <x:c r="C103" s="40" t="n">
        <x:f>IFERROR(AVERAGE('04_Оценка'!D103,'04_Оценка'!F103),"")</x:f>
        <x:v>0</x:v>
      </x:c>
      <x:c r="D103" s="40" t="n">
        <x:f>IFERROR(AVERAGE('04_Оценка'!E103,'04_Оценка'!J103),"")</x:f>
        <x:v>0</x:v>
      </x:c>
      <x:c r="E103" s="40" t="str">
        <x:f>IFERROR('04_Оценка'!N103,"")</x:f>
      </x:c>
      <x:c r="F103" s="24" t="str">
        <x:f>IFERROR('04_Оценка'!R103,"")</x:f>
      </x:c>
      <x:c r="G103" s="24" t="str">
        <x:f>IF(E103="","",IF(AND(C103&gt;=4,D103&gt;=4),"Ядро прямой конкуренции",IF(AND(C103&gt;=3,D103&gt;=3),"Близкая альтернатива",IF(C103&gt;=3,"Функциональный заменитель",IF(D103&gt;=3,"Аудиторное пересечение","Периферия")))))</x:f>
      </x:c>
      <x:c r="H103" s="24"/>
      <x:c r="I103" s="24"/>
      <x:c r="J103" s="24" t="str">
        <x:f>IFERROR(XLOOKUP(A103,'01_Компании'!$A$4:$A$103,'01_Компании'!$I$4:$I$103),"")</x:f>
      </x:c>
      <x:c r="K103" s="24" t="str">
        <x:f>IFERROR(XLOOKUP(A103,'04_Оценка'!$A$4:$A$103,'04_Оценка'!$S$4:$S$103),"")</x:f>
      </x:c>
    </x:row>
  </x:sheetData>
  <x:mergeCells>
    <x:mergeCell ref="A1:K1"/>
  </x:mergeCells>
  <x:conditionalFormatting sqref="C4:E103">
    <x:cfRule type="colorScale" priority="1">
      <x:colorScale>
        <x:cfvo type="min"/>
        <x:cfvo type="percentile" val="50"/>
        <x:cfvo type="max"/>
        <x:color rgb="FCE4D6"/>
        <x:color rgb="FFF2CC"/>
        <x:color rgb="DDEEDC"/>
      </x:colorScale>
    </x:cfRule>
  </x:conditionalFormatting>
  <x:pageMargins left="0.7" right="0.7" top="0.75" bottom="0.75" header="0.3" footer="0.3"/>
  <x:drawing xmlns:r="http://schemas.openxmlformats.org/officeDocument/2006/relationships" r:id="R2e4f7c6f028844ad"/>
  <x:tableParts count="1">
    <x:tablePart xmlns:r="http://schemas.openxmlformats.org/officeDocument/2006/relationships" r:id="R9da7f95eb9da41f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4" hidden="0" customWidth="1"/>
    <x:col min="4" max="4" width="28" hidden="0" customWidth="1"/>
    <x:col min="6" max="6" width="12" hidden="0" customWidth="1"/>
    <x:col min="7" max="7" width="36" hidden="0" customWidth="1"/>
  </x:cols>
  <x:sheetData>
    <x:row r="1" ht="32" customHeight="1">
      <x:c r="A1" s="60" t="str">
        <x:v>Уровни конкуренции</x:v>
      </x:c>
      <x:c r="B1" s="60" t="str">
        <x:v>Статусы</x:v>
      </x:c>
      <x:c r="C1" s="60" t="str">
        <x:v>Приоритеты</x:v>
      </x:c>
      <x:c r="D1" s="60" t="str">
        <x:v>Типы сигналов с сайта</x:v>
      </x:c>
      <x:c r="E1" s="57" t="str">
        <x:v>Справочники для выпадающих списков</x:v>
      </x:c>
      <x:c r="F1" s="60" t="str">
        <x:v>Шкала оценки</x:v>
      </x:c>
      <x:c r="G1" s="60" t="str">
        <x:v>Интерпретация</x:v>
      </x:c>
      <x:c r="H1" s="57" t="str">
        <x:v>Справочники для выпадающих списков</x:v>
      </x:c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24" t="str">
        <x:v>Прямой конкурент</x:v>
      </x:c>
      <x:c r="B2" s="24" t="str">
        <x:v>Не начато</x:v>
      </x:c>
      <x:c r="C2" s="24" t="str">
        <x:v>Высокий</x:v>
      </x:c>
      <x:c r="D2" s="24" t="str">
        <x:v>Потребительская задача</x:v>
      </x:c>
      <x:c r="E2" s="24"/>
      <x:c r="F2" s="24" t="str">
        <x:v>Балл</x:v>
      </x:c>
      <x:c r="G2" s="24" t="str">
        <x:v>Смысл</x:v>
      </x:c>
    </x:row>
    <x:row r="3">
      <x:c r="A3" s="24" t="str">
        <x:v>Близкий альтернативный конкурент</x:v>
      </x:c>
      <x:c r="B3" s="24" t="str">
        <x:v>В работе</x:v>
      </x:c>
      <x:c r="C3" s="24" t="str">
        <x:v>Средний</x:v>
      </x:c>
      <x:c r="D3" s="24" t="str">
        <x:v>Целевая аудитория</x:v>
      </x:c>
      <x:c r="E3" s="24"/>
      <x:c r="F3" s="24" t="n">
        <x:v>0</x:v>
      </x:c>
      <x:c r="G3" s="24" t="str">
        <x:v>нет признака / данных</x:v>
      </x:c>
    </x:row>
    <x:row r="4">
      <x:c r="A4" s="24" t="str">
        <x:v>Косвенный конкурент / заменитель</x:v>
      </x:c>
      <x:c r="B4" s="24" t="str">
        <x:v>Проверено</x:v>
      </x:c>
      <x:c r="C4" s="24" t="str">
        <x:v>Низкий</x:v>
      </x:c>
      <x:c r="D4" s="24" t="str">
        <x:v>Цифровой товар</x:v>
      </x:c>
      <x:c r="E4" s="24"/>
      <x:c r="F4" s="24" t="n">
        <x:v>1</x:v>
      </x:c>
      <x:c r="G4" s="24" t="str">
        <x:v>слабое или косвенное совпадение</x:v>
      </x:c>
    </x:row>
    <x:row r="5">
      <x:c r="A5" s="24" t="str">
        <x:v>Смежная или потенциальная конкуренция</x:v>
      </x:c>
      <x:c r="B5" s="24" t="str">
        <x:v>Требует уточнения</x:v>
      </x:c>
      <x:c r="C5" s="24"/>
      <x:c r="D5" s="24" t="str">
        <x:v>Функциональность</x:v>
      </x:c>
      <x:c r="E5" s="24"/>
      <x:c r="F5" s="24" t="n">
        <x:v>2</x:v>
      </x:c>
      <x:c r="G5" s="24" t="str">
        <x:v>частичное совпадение</x:v>
      </x:c>
    </x:row>
    <x:row r="6">
      <x:c r="A6" s="24" t="str">
        <x:v>Не конкурент / объект наблюдения</x:v>
      </x:c>
      <x:c r="B6" s="24" t="str">
        <x:v>Исключено</x:v>
      </x:c>
      <x:c r="C6" s="24"/>
      <x:c r="D6" s="24" t="str">
        <x:v>Цена и тарифы</x:v>
      </x:c>
      <x:c r="E6" s="24"/>
      <x:c r="F6" s="24" t="n">
        <x:v>3</x:v>
      </x:c>
      <x:c r="G6" s="24" t="str">
        <x:v>существенное совпадение</x:v>
      </x:c>
    </x:row>
    <x:row r="7">
      <x:c r="A7" s="24" t="str">
        <x:v>Недостаточно данных</x:v>
      </x:c>
      <x:c r="B7" s="24"/>
      <x:c r="C7" s="24"/>
      <x:c r="D7" s="24" t="str">
        <x:v>Монетизация</x:v>
      </x:c>
      <x:c r="E7" s="24"/>
      <x:c r="F7" s="24" t="n">
        <x:v>4</x:v>
      </x:c>
      <x:c r="G7" s="24" t="str">
        <x:v>высокое совпадение</x:v>
      </x:c>
    </x:row>
    <x:row r="8">
      <x:c r="A8" s="24"/>
      <x:c r="B8" s="24"/>
      <x:c r="C8" s="24"/>
      <x:c r="D8" s="24" t="str">
        <x:v>Каналы продаж</x:v>
      </x:c>
      <x:c r="E8" s="24"/>
      <x:c r="F8" s="24" t="n">
        <x:v>5</x:v>
      </x:c>
      <x:c r="G8" s="24" t="str">
        <x:v>полное совпадение</x:v>
      </x:c>
    </x:row>
    <x:row r="9">
      <x:c r="A9" s="24"/>
      <x:c r="B9" s="24"/>
      <x:c r="C9" s="24"/>
      <x:c r="D9" s="24" t="str">
        <x:v>География и язык</x:v>
      </x:c>
      <x:c r="E9" s="24"/>
      <x:c r="F9" s="24"/>
      <x:c r="G9" s="24"/>
    </x:row>
    <x:row r="10">
      <x:c r="A10" s="24"/>
      <x:c r="B10" s="24"/>
      <x:c r="C10" s="24"/>
      <x:c r="D10" s="24" t="str">
        <x:v>Доверие и зрелость</x:v>
      </x:c>
      <x:c r="E10" s="24"/>
      <x:c r="F10" s="24"/>
      <x:c r="G10" s="24"/>
    </x:row>
    <x:row r="11">
      <x:c r="A11" s="24"/>
      <x:c r="B11" s="24"/>
      <x:c r="C11" s="24"/>
      <x:c r="D11" s="24" t="str">
        <x:v>Замена и переключение</x:v>
      </x:c>
      <x:c r="E11" s="24"/>
      <x:c r="F11" s="24"/>
      <x:c r="G11" s="24"/>
    </x:row>
    <x:row r="12">
      <x:c r="A12" s="24"/>
      <x:c r="B12" s="24"/>
      <x:c r="C12" s="24"/>
      <x:c r="D12" s="24"/>
      <x:c r="E12" s="24"/>
      <x:c r="F12" s="24"/>
      <x:c r="G12" s="24"/>
    </x:row>
    <x:row r="13">
      <x:c r="A13" s="24"/>
      <x:c r="B13" s="24"/>
      <x:c r="C13" s="24"/>
      <x:c r="D13" s="24"/>
      <x:c r="E13" s="24"/>
      <x:c r="F13" s="24"/>
      <x:c r="G13" s="24"/>
    </x:row>
    <x:row r="14">
      <x:c r="A14" s="24"/>
      <x:c r="B14" s="24"/>
      <x:c r="C14" s="24"/>
      <x:c r="D14" s="24"/>
      <x:c r="E14" s="24"/>
      <x:c r="F14" s="24"/>
      <x:c r="G14" s="24"/>
    </x:row>
    <x:row r="15">
      <x:c r="A15" s="24"/>
      <x:c r="B15" s="24"/>
      <x:c r="C15" s="24"/>
      <x:c r="D15" s="24"/>
      <x:c r="E15" s="24"/>
      <x:c r="F15" s="24"/>
      <x:c r="G15" s="24"/>
    </x:row>
    <x:row r="16">
      <x:c r="A16" s="24"/>
      <x:c r="B16" s="24"/>
      <x:c r="C16" s="24"/>
      <x:c r="D16" s="24"/>
      <x:c r="E16" s="24"/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24"/>
      <x:c r="B19" s="24"/>
      <x:c r="C19" s="24"/>
      <x:c r="D19" s="24"/>
      <x:c r="E19" s="24"/>
      <x:c r="F19" s="24"/>
      <x:c r="G19" s="24"/>
    </x:row>
    <x:row r="20">
      <x:c r="A20" s="24"/>
      <x:c r="B20" s="24"/>
      <x:c r="C20" s="24"/>
      <x:c r="D20" s="24"/>
      <x:c r="E20" s="24"/>
      <x:c r="F20" s="24"/>
      <x:c r="G20" s="24"/>
    </x:row>
  </x:sheetData>
  <x:mergeCells>
    <x:mergeCell ref="A1:H1"/>
  </x:mergeCells>
  <x:pageMargins left="0.7" right="0.7" top="0.75" bottom="0.75" header="0.3" footer="0.3"/>
</x:worksheet>
</file>