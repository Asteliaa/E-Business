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c1d9b0436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нструкция" sheetId="1" r:id="R9b80961a32624210"/>
    <x:sheet xmlns:r="http://schemas.openxmlformats.org/officeDocument/2006/relationships" name="01_Конкуренты" sheetId="2" r:id="R5dc8d55ff9754eac"/>
    <x:sheet xmlns:r="http://schemas.openxmlformats.org/officeDocument/2006/relationships" name="02_Карта_сайтов" sheetId="3" r:id="R9e9db2bea2bc42d8"/>
    <x:sheet xmlns:r="http://schemas.openxmlformats.org/officeDocument/2006/relationships" name="03_Левитт" sheetId="4" r:id="R004689f4f68c4803"/>
    <x:sheet xmlns:r="http://schemas.openxmlformats.org/officeDocument/2006/relationships" name="04_Кано" sheetId="5" r:id="Rbe32a894b4094694"/>
    <x:sheet xmlns:r="http://schemas.openxmlformats.org/officeDocument/2006/relationships" name="05_Матрица_товара" sheetId="6" r:id="R5b22499008ae4525"/>
    <x:sheet xmlns:r="http://schemas.openxmlformats.org/officeDocument/2006/relationships" name="06_Сравнение" sheetId="7" r:id="R90b1697048a74318"/>
    <x:sheet xmlns:r="http://schemas.openxmlformats.org/officeDocument/2006/relationships" name="07_Стандарт_рынка" sheetId="8" r:id="R0eff9d17306a4a90"/>
    <x:sheet xmlns:r="http://schemas.openxmlformats.org/officeDocument/2006/relationships" name="08_Преимущества" sheetId="9" r:id="Rfe12002f3d6d4dcf"/>
    <x:sheet xmlns:r="http://schemas.openxmlformats.org/officeDocument/2006/relationships" name="09_Дашборд" sheetId="10" r:id="Rc503b6c48d7b4812"/>
    <x:sheet xmlns:r="http://schemas.openxmlformats.org/officeDocument/2006/relationships" name="99_Справочники" sheetId="11" r:id="R7840a3bd14f1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1">
    <x:font>
      <x:sz val="11"/>
      <x:name val="Carlito"/>
    </x:font>
    <x:font>
      <x:b/>
      <x:sz val="16"/>
      <x:color rgb="FFFFFF"/>
      <x:name val="Carlito"/>
    </x:font>
    <x:font>
      <x:sz val="10"/>
      <x:color rgb="111827"/>
      <x:name val="Carlito"/>
    </x:font>
    <x:font>
      <x:b/>
      <x:sz val="10"/>
      <x:color rgb="FFFFFF"/>
      <x:name val="Carlito"/>
    </x:font>
    <x:font>
      <x:sz val="10"/>
      <x:color rgb="111827"/>
      <x:name val="Carlito"/>
    </x:font>
    <x:font>
      <x:b/>
      <x:sz val="11"/>
      <x:color rgb="FFFFFF"/>
      <x:name val="Carlito"/>
    </x:font>
    <x:font>
      <x:b/>
      <x:sz val="10"/>
      <x:color rgb="1E3A8A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sz val="10"/>
      <x:name val="Carlito"/>
    </x:font>
    <x:font>
      <x:b/>
      <x:sz val="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  <x:fill>
      <x:patternFill patternType="solid">
        <x:fgColor rgb="EEF2FF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AFAFA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/>
    <x:xf numFmtId="201" fontId="4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wrapText="1"/>
    </x:xf>
    <x:xf numFmtId="0" fontId="9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ed9a1f8344ed7" /><Relationship Type="http://schemas.openxmlformats.org/officeDocument/2006/relationships/theme" Target="/xl/theme/theme1.xml" Id="R95f9bb44915f4de0" /><Relationship Type="http://schemas.openxmlformats.org/officeDocument/2006/relationships/sharedStrings" Target="/xl/sharedStrings.xml" Id="R3fe69598057e4812" /><Relationship Type="http://schemas.openxmlformats.org/officeDocument/2006/relationships/worksheet" Target="/xl/worksheets/sheet1.xml" Id="R9b80961a32624210" /><Relationship Type="http://schemas.openxmlformats.org/officeDocument/2006/relationships/worksheet" Target="/xl/worksheets/sheet2.xml" Id="R5dc8d55ff9754eac" /><Relationship Type="http://schemas.openxmlformats.org/officeDocument/2006/relationships/worksheet" Target="/xl/worksheets/sheet3.xml" Id="R9e9db2bea2bc42d8" /><Relationship Type="http://schemas.openxmlformats.org/officeDocument/2006/relationships/worksheet" Target="/xl/worksheets/sheet4.xml" Id="R004689f4f68c4803" /><Relationship Type="http://schemas.openxmlformats.org/officeDocument/2006/relationships/worksheet" Target="/xl/worksheets/sheet5.xml" Id="Rbe32a894b4094694" /><Relationship Type="http://schemas.openxmlformats.org/officeDocument/2006/relationships/worksheet" Target="/xl/worksheets/sheet6.xml" Id="R5b22499008ae4525" /><Relationship Type="http://schemas.openxmlformats.org/officeDocument/2006/relationships/worksheet" Target="/xl/worksheets/sheet7.xml" Id="R90b1697048a74318" /><Relationship Type="http://schemas.openxmlformats.org/officeDocument/2006/relationships/worksheet" Target="/xl/worksheets/sheet8.xml" Id="R0eff9d17306a4a90" /><Relationship Type="http://schemas.openxmlformats.org/officeDocument/2006/relationships/worksheet" Target="/xl/worksheets/sheet9.xml" Id="Rfe12002f3d6d4dcf" /><Relationship Type="http://schemas.openxmlformats.org/officeDocument/2006/relationships/worksheet" Target="/xl/worksheets/sheet10.xml" Id="Rc503b6c48d7b4812" /><Relationship Type="http://schemas.openxmlformats.org/officeDocument/2006/relationships/worksheet" Target="/xl/worksheets/sheet11.xml" Id="R7840a3bd14f144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fc315fb396415d" /><Relationship Type="http://schemas.openxmlformats.org/officeDocument/2006/relationships/chart" Target="/xl/drawings/charts/chart2.xml" Id="R67eacc193d2b42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Распределение требований по Кано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'09_Дашборд'!$F$5:$F$10</c:f>
              <c:strCache>
                <c:ptCount val="0"/>
              </c:strCache>
            </c:strRef>
          </c:cat>
          <c:val>
            <c:numRef>
              <c:f>'09_Дашборд'!$G$5:$G$10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Итоговые баллы конкурентов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C02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C03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'09_Дашборд'!$C$16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C04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'09_Дашборд'!$D$16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C05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'09_Дашборд'!$E$16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C06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'09_Дашборд'!$F$16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C07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'09_Дашборд'!$G$16</c:f>
              <c:numCache>
                <c:formatCode/>
                <c:ptCount val="0"/>
              </c:numCache>
            </c:numRef>
          </c:val>
        </c:ser>
        <c:ser>
          <c:idx val="6"/>
          <c:order val="6"/>
          <c:tx>
            <c:v>C08</c:v>
          </c:tx>
          <c:cat>
            <c:strRef>
              <c:f>'09_Дашборд'!$A$16</c:f>
              <c:strCache>
                <c:ptCount val="0"/>
              </c:strCache>
            </c:strRef>
          </c:cat>
          <c:val>
            <c:numRef>
              <c:f>'09_Дашборд'!$H$16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fc315fb396415d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eacc193d2b42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orsTable" displayName="CompetitorsTable" ref="A6:K36" headerRowCount="1">
  <x:tableColumns count="11">
    <x:tableColumn id="1" name="ID"/>
    <x:tableColumn id="2" name="Наименование конкурента"/>
    <x:tableColumn id="3" name="Сайт"/>
    <x:tableColumn id="4" name="Страна/рынок"/>
    <x:tableColumn id="5" name="Тип конкурента"/>
    <x:tableColumn id="6" name="Сегмент аудитории"/>
    <x:tableColumn id="7" name="Модель монетизации"/>
    <x:tableColumn id="8" name="Цифровой товар по сайту"/>
    <x:tableColumn id="9" name="Приоритет анализа"/>
    <x:tableColumn id="10" name="Статус"/>
    <x:tableColumn id="11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SiteMapTable" displayName="SiteMapTable" ref="A6:J206" headerRowCount="1">
  <x:tableColumns count="10">
    <x:tableColumn id="1" name="ID конкурента"/>
    <x:tableColumn id="2" name="Раздел/страница"/>
    <x:tableColumn id="3" name="URL"/>
    <x:tableColumn id="4" name="Тип страницы"/>
    <x:tableColumn id="5" name="Цель анализа"/>
    <x:tableColumn id="6" name="Что извлекаем"/>
    <x:tableColumn id="7" name="Дата просмотра"/>
    <x:tableColumn id="8" name="Скриншот/архив"/>
    <x:tableColumn id="9" name="Достоверность 1–5"/>
    <x:tableColumn id="10" name="Краткий вывод"/>
  </x:tableColumns>
  <x:tableStyleInfo name="TableStyleMedium2" showRowStripes="1"/>
</x:table>
</file>

<file path=xl/tables/table3.xml><?xml version="1.0" encoding="utf-8"?>
<x:table xmlns:x="http://schemas.openxmlformats.org/spreadsheetml/2006/main" id="3" name="LevittTable" displayName="LevittTable" ref="A6:N306" headerRowCount="1">
  <x:tableColumns count="14">
    <x:tableColumn id="1" name="ID конкурента"/>
    <x:tableColumn id="2" name="Товар/предложение"/>
    <x:tableColumn id="3" name="URL/страница"/>
    <x:tableColumn id="4" name="Уровень товара по Левитту"/>
    <x:tableColumn id="5" name="Элемент товара / признак"/>
    <x:tableColumn id="6" name="Как проявлен на сайте"/>
    <x:tableColumn id="7" name="Доказательство"/>
    <x:tableColumn id="8" name="Наличие 0/1"/>
    <x:tableColumn id="9" name="Сила реализации 0–3"/>
    <x:tableColumn id="10" name="Понятность 0–3"/>
    <x:tableColumn id="11" name="Влияние на ценность 1–5"/>
    <x:tableColumn id="12" name="Оценка признака"/>
    <x:tableColumn id="13" name="Роль признака"/>
    <x:tableColumn id="14" name="Примечание"/>
  </x:tableColumns>
  <x:tableStyleInfo name="TableStyleMedium2" showRowStripes="1"/>
</x:table>
</file>

<file path=xl/tables/table4.xml><?xml version="1.0" encoding="utf-8"?>
<x:table xmlns:x="http://schemas.openxmlformats.org/spreadsheetml/2006/main" id="4" name="KanoTable" displayName="KanoTable" ref="A6:M206" headerRowCount="1">
  <x:tableColumns count="13">
    <x:tableColumn id="1" name="ID требования"/>
    <x:tableColumn id="2" name="Функция / признак товара"/>
    <x:tableColumn id="3" name="Пользовательская задача"/>
    <x:tableColumn id="4" name="Доказательства с сайтов"/>
    <x:tableColumn id="5" name="Категория Кано"/>
    <x:tableColumn id="6" name="Вес 1–5"/>
    <x:tableColumn id="7" name="Кол-во конкурентов с признаком"/>
    <x:tableColumn id="8" name="Доля конкурентов"/>
    <x:tableColumn id="9" name="Средняя сила реализации 0–5"/>
    <x:tableColumn id="10" name="Интерпретация"/>
    <x:tableColumn id="11" name="Решение для своего товара"/>
    <x:tableColumn id="12" name="Ответственный"/>
    <x:tableColumn id="13" name="Примечание"/>
  </x:tableColumns>
  <x:tableStyleInfo name="TableStyleMedium2" showRowStripes="1"/>
</x:table>
</file>

<file path=xl/tables/table5.xml><?xml version="1.0" encoding="utf-8"?>
<x:table xmlns:x="http://schemas.openxmlformats.org/spreadsheetml/2006/main" id="5" name="ProductMatrixTable" displayName="ProductMatrixTable" ref="A6:L56" headerRowCount="1">
  <x:tableColumns count="12">
    <x:tableColumn id="1" name="Блок определения"/>
    <x:tableColumn id="2" name="Вопрос для анализа"/>
    <x:tableColumn id="3" name="Вывод по рынку"/>
    <x:tableColumn id="4" name="Доказательства"/>
    <x:tableColumn id="5" name="Связь с Левиттом"/>
    <x:tableColumn id="6" name="Связь с Кано"/>
    <x:tableColumn id="7" name="Статус для своего товара"/>
    <x:tableColumn id="8" name="Минимальная реализация"/>
    <x:tableColumn id="9" name="Расширенная реализация"/>
    <x:tableColumn id="10" name="Риск исключения"/>
    <x:tableColumn id="11" name="Решение"/>
    <x:tableColumn id="12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ComparisonTable" displayName="ComparisonTable" ref="A6:O86" headerRowCount="1">
  <x:tableColumns count="15">
    <x:tableColumn id="1" name="ID критерия"/>
    <x:tableColumn id="2" name="Группа"/>
    <x:tableColumn id="3" name="Критерий"/>
    <x:tableColumn id="4" name="Вес"/>
    <x:tableColumn id="5" name="C01"/>
    <x:tableColumn id="6" name="C02"/>
    <x:tableColumn id="7" name="C03"/>
    <x:tableColumn id="8" name="C04"/>
    <x:tableColumn id="9" name="C05"/>
    <x:tableColumn id="10" name="C06"/>
    <x:tableColumn id="11" name="C07"/>
    <x:tableColumn id="12" name="C08"/>
    <x:tableColumn id="13" name="Среднее"/>
    <x:tableColumn id="14" name="Лучший балл"/>
    <x:tableColumn id="15" name="Лидер"/>
  </x:tableColumns>
  <x:tableStyleInfo name="TableStyleMedium2" showRowStripes="1"/>
</x:table>
</file>

<file path=xl/tables/table7.xml><?xml version="1.0" encoding="utf-8"?>
<x:table xmlns:x="http://schemas.openxmlformats.org/spreadsheetml/2006/main" id="7" name="MarketStandardTable" displayName="MarketStandardTable" ref="A6:L206" headerRowCount="1">
  <x:tableColumns count="12">
    <x:tableColumn id="1" name="ID признака"/>
    <x:tableColumn id="2" name="Признак / требование"/>
    <x:tableColumn id="3" name="Источник"/>
    <x:tableColumn id="4" name="Уровень Левитта"/>
    <x:tableColumn id="5" name="Категория Кано"/>
    <x:tableColumn id="6" name="Кол-во конкурентов"/>
    <x:tableColumn id="7" name="Доля конкурентов"/>
    <x:tableColumn id="8" name="Средняя сила 0–5"/>
    <x:tableColumn id="9" name="Статус"/>
    <x:tableColumn id="10" name="Минимальная формулировка стандарта"/>
    <x:tableColumn id="11" name="Что проверить дополнительно"/>
    <x:tableColumn id="12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AdvantageTable" displayName="AdvantageTable" ref="A6:N206" headerRowCount="1">
  <x:tableColumns count="14">
    <x:tableColumn id="1" name="ID"/>
    <x:tableColumn id="2" name="ID конкурента"/>
    <x:tableColumn id="3" name="Признак преимущества"/>
    <x:tableColumn id="4" name="Доказательство / URL"/>
    <x:tableColumn id="5" name="Уровень Левитта"/>
    <x:tableColumn id="6" name="Категория Кано"/>
    <x:tableColumn id="7" name="Тип преимущества"/>
    <x:tableColumn id="8" name="Редкость 1–5"/>
    <x:tableColumn id="9" name="Сила 1–5"/>
    <x:tableColumn id="10" name="Пользовательская ценность 1–5"/>
    <x:tableColumn id="11" name="Качество доказательства 1–5"/>
    <x:tableColumn id="12" name="Индекс преимущества"/>
    <x:tableColumn id="13" name="Вывод"/>
    <x:tableColumn id="14" name="Как использовать для своего товар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6a8ee1ef27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b836ce07a44d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8199fadce2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52e67598de4f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b5cdecaa54b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9bc3763a084f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efd33bd45542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28544c82cd48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4888788b4e746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42" hidden="0" customWidth="1"/>
  </x:cols>
  <x:sheetData>
    <x:row r="1" ht="32" customHeight="1">
      <x:c r="A1" s="82" t="str">
        <x:v>Excel-шаблон анализа конкурентов по сайтам</x:v>
      </x:c>
      <x:c r="B1" s="5"/>
      <x:c r="C1" s="5"/>
      <x:c r="D1" s="5"/>
      <x:c r="E1" s="5"/>
      <x:c r="F1" s="5"/>
      <x:c r="G1" s="5"/>
      <x:c r="H1" s="5"/>
      <x:c r="I1" s="5"/>
    </x:row>
    <x:row r="2" ht="42" customHeight="1">
      <x:c r="A2" s="14" t="str">
        <x:v>Назначение: определить рыночный стандарт цифрового товара, выделить конкурентные преимущества по товару и сформулировать сам цифровой товар через модель Левитта и модель Кано.</x:v>
      </x:c>
      <x:c r="B2" s="14"/>
      <x:c r="C2" s="14"/>
      <x:c r="D2" s="14"/>
      <x:c r="E2" s="14"/>
      <x:c r="F2" s="14"/>
      <x:c r="G2" s="14"/>
      <x:c r="H2" s="14"/>
      <x:c r="I2" s="14"/>
    </x:row>
    <x:row r="4" ht="34" customHeight="1">
      <x:c r="A4" s="24" t="str">
        <x:v>Раздел</x:v>
      </x:c>
      <x:c r="B4" s="24" t="str">
        <x:v>Что делать</x:v>
      </x:c>
      <x:c r="C4" s="24" t="str">
        <x:v>Результат</x:v>
      </x:c>
    </x:row>
    <x:row r="5">
      <x:c r="A5" s="32" t="str">
        <x:v>1. Реестр конкурентов</x:v>
      </x:c>
      <x:c r="B5" s="32" t="str">
        <x:v>Заполнить лист «01_Конкуренты»: прямые конкуренты, косвенные конкуренты, эталонные сайты для наблюдения за лучшей практикой.</x:v>
      </x:c>
      <x:c r="C5" s="32" t="str">
        <x:v>Сформирован сопоставимый контур анализа.</x:v>
      </x:c>
    </x:row>
    <x:row r="6">
      <x:c r="A6" s="32" t="str">
        <x:v>2. Карта сайта</x:v>
      </x:c>
      <x:c r="B6" s="32" t="str">
        <x:v>Зафиксировать проверенные страницы: главная, лендинг товара, тарифы, функциональные страницы, личный кабинет, поддержка, вопросы и ответы, блог, документация.</x:v>
      </x:c>
      <x:c r="C6" s="32" t="str">
        <x:v>Появляется проверяемая база доказательств, а не субъективное впечатление.</x:v>
      </x:c>
    </x:row>
    <x:row r="7">
      <x:c r="A7" s="32" t="str">
        <x:v>3. Модель Левитта</x:v>
      </x:c>
      <x:c r="B7" s="32" t="str">
        <x:v>Разложить цифровой товар на уровни: базовая выгода, родовой товар, ожидаемый товар, расширенный товар, потенциальный товар.</x:v>
      </x:c>
      <x:c r="C7" s="32" t="str">
        <x:v>Понятно, что именно продает конкурент и за счет каких уровней формируется ценность.</x:v>
      </x:c>
    </x:row>
    <x:row r="8">
      <x:c r="A8" s="32" t="str">
        <x:v>4. Модель Кано</x:v>
      </x:c>
      <x:c r="B8" s="32" t="str">
        <x:v>Классифицировать функции и признаки товара: обязательные, линейные, привлекательные, безразличные, обратные, неясные.</x:v>
      </x:c>
      <x:c r="C8" s="32" t="str">
        <x:v>Понятно, какие признаки должны быть обязательно, какие повышают удовлетворенность, а какие создают отличие.</x:v>
      </x:c>
    </x:row>
    <x:row r="9">
      <x:c r="A9" s="32" t="str">
        <x:v>5. Сравнение</x:v>
      </x:c>
      <x:c r="B9" s="32" t="str">
        <x:v>Оценить конкурентов по критериям товара, сайта и цифрового сервиса по шкале 0–5.</x:v>
      </x:c>
      <x:c r="C9" s="32" t="str">
        <x:v>Получается количественная карта сильных и слабых сторон.</x:v>
      </x:c>
    </x:row>
    <x:row r="10">
      <x:c r="A10" s="32" t="str">
        <x:v>6. Рыночный стандарт</x:v>
      </x:c>
      <x:c r="B10" s="32" t="str">
        <x:v>Определить признаки, встречающиеся у большинства конкурентов, особенно если они относятся к обязательным или линейным требованиям Кано.</x:v>
      </x:c>
      <x:c r="C10" s="32" t="str">
        <x:v>Сформулирован минимально приемлемый состав цифрового товара на рынке.</x:v>
      </x:c>
    </x:row>
    <x:row r="11">
      <x:c r="A11" s="32" t="str">
        <x:v>7. Преимущества</x:v>
      </x:c>
      <x:c r="B11" s="32" t="str">
        <x:v>Выделить признаки, которые редки, хорошо реализованы, заметны пользователю и повышают воспринимаемую ценность.</x:v>
      </x:c>
      <x:c r="C11" s="32" t="str">
        <x:v>Сформирован список конкурентных преимуществ и гипотез дифференциации.</x:v>
      </x:c>
    </x:row>
    <x:row r="12">
      <x:c r="A12" s="32" t="str">
        <x:v>8. Итоговая формулировка товара</x:v>
      </x:c>
      <x:c r="B12" s="32" t="str">
        <x:v>На листе «05_Матрица_товара» собрать описание целевого цифрового товара: для кого, какую задачу решает, какие функции включает, где границы продукта.</x:v>
      </x:c>
      <x:c r="C12" s="32" t="str">
        <x:v>Получено предметное определение цифрового товара и требований к его составу.</x:v>
      </x:c>
    </x:row>
    <x:row r="14" ht="24" customHeight="1">
      <x:c r="A14" s="36" t="str">
        <x:v>Шкалы оценки</x:v>
      </x:c>
      <x:c r="B14" s="36"/>
      <x:c r="C14" s="36"/>
      <x:c r="D14" s="36"/>
      <x:c r="E14" s="36"/>
      <x:c r="F14" s="36"/>
      <x:c r="G14" s="36"/>
      <x:c r="H14" s="36"/>
      <x:c r="I14" s="36"/>
    </x:row>
    <x:row r="15" ht="34" customHeight="1">
      <x:c r="A15" s="24" t="str">
        <x:v>Шкала</x:v>
      </x:c>
      <x:c r="B15" s="24" t="str">
        <x:v>0</x:v>
      </x:c>
      <x:c r="C15" s="24" t="str">
        <x:v>1</x:v>
      </x:c>
      <x:c r="D15" s="24" t="str">
        <x:v>2</x:v>
      </x:c>
      <x:c r="E15" s="24" t="str">
        <x:v>3</x:v>
      </x:c>
      <x:c r="F15" s="24" t="str">
        <x:v>4</x:v>
      </x:c>
      <x:c r="G15" s="24" t="str">
        <x:v>5</x:v>
      </x:c>
      <x:c r="H15" s="24" t="str">
        <x:v>Когда применять</x:v>
      </x:c>
      <x:c r="I15" s="24" t="str">
        <x:v>Интерпретация</x:v>
      </x:c>
    </x:row>
    <x:row r="16">
      <x:c r="A16" s="32" t="str">
        <x:v>Наличие признака</x:v>
      </x:c>
      <x:c r="B16" s="32" t="str">
        <x:v>Нет</x:v>
      </x:c>
      <x:c r="C16" s="32" t="str">
        <x:v>Есть частично</x:v>
      </x:c>
      <x:c r="D16" s="32" t="str">
        <x:v>Есть явно</x:v>
      </x:c>
      <x:c r="E16" s="32" t="str">
        <x:v>Есть полно</x:v>
      </x:c>
      <x:c r="F16" s="32" t="str"/>
      <x:c r="G16" s="32" t="str"/>
      <x:c r="H16" s="32" t="str">
        <x:v>Для бинарных и полуколичественных признаков</x:v>
      </x:c>
      <x:c r="I16" s="32" t="str">
        <x:v>0 — отсутствует; 1–3 — степень проявления.</x:v>
      </x:c>
    </x:row>
    <x:row r="17">
      <x:c r="A17" s="32" t="str">
        <x:v>Сила реализации</x:v>
      </x:c>
      <x:c r="B17" s="32" t="str">
        <x:v>Нет</x:v>
      </x:c>
      <x:c r="C17" s="32" t="str">
        <x:v>Слабая</x:v>
      </x:c>
      <x:c r="D17" s="32" t="str">
        <x:v>Средняя</x:v>
      </x:c>
      <x:c r="E17" s="32" t="str">
        <x:v>Сильная</x:v>
      </x:c>
      <x:c r="F17" s="32" t="str"/>
      <x:c r="G17" s="32" t="str"/>
      <x:c r="H17" s="32" t="str">
        <x:v>Для уровня Левитта и качества функции</x:v>
      </x:c>
      <x:c r="I17" s="32" t="str">
        <x:v>3 означает, что признак хорошо заметен и функционально раскрыт.</x:v>
      </x:c>
    </x:row>
    <x:row r="18">
      <x:c r="A18" s="32" t="str">
        <x:v>Пользовательская ценность</x:v>
      </x:c>
      <x:c r="B18" s="32" t="str">
        <x:v>Нет</x:v>
      </x:c>
      <x:c r="C18" s="32" t="str">
        <x:v>Низкая</x:v>
      </x:c>
      <x:c r="D18" s="32" t="str">
        <x:v>Умеренная</x:v>
      </x:c>
      <x:c r="E18" s="32" t="str">
        <x:v>Высокая</x:v>
      </x:c>
      <x:c r="F18" s="32" t="str">
        <x:v>Очень высокая</x:v>
      </x:c>
      <x:c r="G18" s="32" t="str">
        <x:v>Критическая</x:v>
      </x:c>
      <x:c r="H18" s="32" t="str">
        <x:v>Для оценки влияния на решение о покупке/регистрации/использовании</x:v>
      </x:c>
      <x:c r="I18" s="32" t="str">
        <x:v>4–5 — признак способен влиять на выбор товара.</x:v>
      </x:c>
    </x:row>
    <x:row r="19">
      <x:c r="A19" s="32" t="str">
        <x:v>Сравнение конкурентов</x:v>
      </x:c>
      <x:c r="B19" s="32" t="str">
        <x:v>Нет</x:v>
      </x:c>
      <x:c r="C19" s="32" t="str">
        <x:v>Очень слабо</x:v>
      </x:c>
      <x:c r="D19" s="32" t="str">
        <x:v>Слабо</x:v>
      </x:c>
      <x:c r="E19" s="32" t="str">
        <x:v>Средне</x:v>
      </x:c>
      <x:c r="F19" s="32" t="str">
        <x:v>Сильно</x:v>
      </x:c>
      <x:c r="G19" s="32" t="str">
        <x:v>Лучший уровень</x:v>
      </x:c>
      <x:c r="H19" s="32" t="str">
        <x:v>Для листа «06_Сравнение»</x:v>
      </x:c>
      <x:c r="I19" s="32" t="str">
        <x:v>Оценки сопоставимы только при одинаковой логике анализа.</x:v>
      </x:c>
    </x:row>
  </x:sheetData>
  <x:mergeCells>
    <x:mergeCell ref="A1:I1"/>
    <x:mergeCell ref="A2:I2"/>
    <x:mergeCell ref="A14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22" hidden="0" customWidth="1"/>
    <x:col min="6" max="6" width="28" hidden="0" customWidth="1"/>
    <x:col min="7" max="7" width="26" hidden="0" customWidth="1"/>
    <x:col min="8" max="8" width="36" hidden="0" customWidth="1"/>
    <x:col min="9" max="9" width="16" hidden="0" customWidth="1"/>
    <x:col min="10" max="10" width="18" hidden="0" customWidth="1"/>
    <x:col min="11" max="11" width="38" hidden="0" customWidth="1"/>
  </x:cols>
  <x:sheetData>
    <x:row r="1" ht="32" customHeight="1">
      <x:c r="A1" s="82" t="str">
        <x:v>01. Реестр конкурентов и сайтов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2" customHeight="1">
      <x:c r="A2" s="14" t="str">
        <x:v>Заполните список конкурентов и базовые параметры. ID конкурента используется в остальных листах для связки данных.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6" ht="34" customHeight="1">
      <x:c r="A6" s="24" t="str">
        <x:v>ID</x:v>
      </x:c>
      <x:c r="B6" s="24" t="str">
        <x:v>Наименование конкурента</x:v>
      </x:c>
      <x:c r="C6" s="24" t="str">
        <x:v>Сайт</x:v>
      </x:c>
      <x:c r="D6" s="24" t="str">
        <x:v>Страна/рынок</x:v>
      </x:c>
      <x:c r="E6" s="24" t="str">
        <x:v>Тип конкурента</x:v>
      </x:c>
      <x:c r="F6" s="24" t="str">
        <x:v>Сегмент аудитории</x:v>
      </x:c>
      <x:c r="G6" s="24" t="str">
        <x:v>Модель монетизации</x:v>
      </x:c>
      <x:c r="H6" s="24" t="str">
        <x:v>Цифровой товар по сайту</x:v>
      </x:c>
      <x:c r="I6" s="24" t="str">
        <x:v>Приоритет анализа</x:v>
      </x:c>
      <x:c r="J6" s="24" t="str">
        <x:v>Статус</x:v>
      </x:c>
      <x:c r="K6" s="24" t="str">
        <x:v>Комментарий</x:v>
      </x:c>
    </x:row>
    <x:row r="7">
      <x:c r="A7" s="39" t="str">
        <x:v>C01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>
        <x:v>Не начато</x:v>
      </x:c>
      <x:c r="K7" s="32" t="str"/>
    </x:row>
    <x:row r="8">
      <x:c r="A8" s="39" t="str">
        <x:v>C02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>
        <x:v>Не начато</x:v>
      </x:c>
      <x:c r="K8" s="32" t="str"/>
    </x:row>
    <x:row r="9">
      <x:c r="A9" s="39" t="str">
        <x:v>C03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>
        <x:v>Не начато</x:v>
      </x:c>
      <x:c r="K9" s="32" t="str"/>
    </x:row>
    <x:row r="10">
      <x:c r="A10" s="39" t="str">
        <x:v>C04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>
        <x:v>Не начато</x:v>
      </x:c>
      <x:c r="K10" s="32" t="str"/>
    </x:row>
    <x:row r="11">
      <x:c r="A11" s="39" t="str">
        <x:v>C05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>
        <x:v>Не начато</x:v>
      </x:c>
      <x:c r="K11" s="32" t="str"/>
    </x:row>
    <x:row r="12">
      <x:c r="A12" s="39" t="str">
        <x:v>C06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>
        <x:v>Не начато</x:v>
      </x:c>
      <x:c r="K12" s="32" t="str"/>
    </x:row>
    <x:row r="13">
      <x:c r="A13" s="39" t="str">
        <x:v>C07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>
        <x:v>Не начато</x:v>
      </x:c>
      <x:c r="K13" s="32" t="str"/>
    </x:row>
    <x:row r="14">
      <x:c r="A14" s="39" t="str">
        <x:v>C08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>
        <x:v>Не начато</x:v>
      </x:c>
      <x:c r="K14" s="32" t="str"/>
    </x:row>
    <x:row r="15">
      <x:c r="A15" s="39" t="str">
        <x:v>C09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>
        <x:v>Не начато</x:v>
      </x:c>
      <x:c r="K15" s="32" t="str"/>
    </x:row>
    <x:row r="16">
      <x:c r="A16" s="39" t="str">
        <x:v>C10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>
        <x:v>Не начато</x:v>
      </x:c>
      <x:c r="K16" s="32" t="str"/>
    </x:row>
    <x:row r="17">
      <x:c r="A17" s="39" t="str">
        <x:v>C11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>
        <x:v>Не начато</x:v>
      </x:c>
      <x:c r="K17" s="32" t="str"/>
    </x:row>
    <x:row r="18">
      <x:c r="A18" s="39" t="str">
        <x:v>C12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>
        <x:v>Не начато</x:v>
      </x:c>
      <x:c r="K18" s="32" t="str"/>
    </x:row>
    <x:row r="19">
      <x:c r="A19" s="39" t="str">
        <x:v>C13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>
        <x:v>Не начато</x:v>
      </x:c>
      <x:c r="K19" s="32" t="str"/>
    </x:row>
    <x:row r="20">
      <x:c r="A20" s="39" t="str">
        <x:v>C14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>
        <x:v>Не начато</x:v>
      </x:c>
      <x:c r="K20" s="32" t="str"/>
    </x:row>
    <x:row r="21">
      <x:c r="A21" s="39" t="str">
        <x:v>C15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>
        <x:v>Не начато</x:v>
      </x:c>
      <x:c r="K21" s="32" t="str"/>
    </x:row>
    <x:row r="22">
      <x:c r="A22" s="39" t="str">
        <x:v>C16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>
        <x:v>Не начато</x:v>
      </x:c>
      <x:c r="K22" s="32" t="str"/>
    </x:row>
    <x:row r="23">
      <x:c r="A23" s="39" t="str">
        <x:v>C17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>
        <x:v>Не начато</x:v>
      </x:c>
      <x:c r="K23" s="32" t="str"/>
    </x:row>
    <x:row r="24">
      <x:c r="A24" s="39" t="str">
        <x:v>C18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>
        <x:v>Не начато</x:v>
      </x:c>
      <x:c r="K24" s="32" t="str"/>
    </x:row>
    <x:row r="25">
      <x:c r="A25" s="39" t="str">
        <x:v>C19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>
        <x:v>Не начато</x:v>
      </x:c>
      <x:c r="K25" s="32" t="str"/>
    </x:row>
    <x:row r="26">
      <x:c r="A26" s="39" t="str">
        <x:v>C20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>
        <x:v>Не начато</x:v>
      </x:c>
      <x:c r="K26" s="32" t="str"/>
    </x:row>
    <x:row r="27">
      <x:c r="A27" s="39" t="str">
        <x:v>C21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>
        <x:v>Не начато</x:v>
      </x:c>
      <x:c r="K27" s="32" t="str"/>
    </x:row>
    <x:row r="28">
      <x:c r="A28" s="39" t="str">
        <x:v>C22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>
        <x:v>Не начато</x:v>
      </x:c>
      <x:c r="K28" s="32" t="str"/>
    </x:row>
    <x:row r="29">
      <x:c r="A29" s="39" t="str">
        <x:v>C23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>
        <x:v>Не начато</x:v>
      </x:c>
      <x:c r="K29" s="32" t="str"/>
    </x:row>
    <x:row r="30">
      <x:c r="A30" s="39" t="str">
        <x:v>C24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>
        <x:v>Не начато</x:v>
      </x:c>
      <x:c r="K30" s="32" t="str"/>
    </x:row>
    <x:row r="31">
      <x:c r="A31" s="39" t="str">
        <x:v>C25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>
        <x:v>Не начато</x:v>
      </x:c>
      <x:c r="K31" s="32" t="str"/>
    </x:row>
    <x:row r="32">
      <x:c r="A32" s="39" t="str">
        <x:v>C26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>
        <x:v>Не начато</x:v>
      </x:c>
      <x:c r="K32" s="32" t="str"/>
    </x:row>
    <x:row r="33">
      <x:c r="A33" s="39" t="str">
        <x:v>C27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>
        <x:v>Не начато</x:v>
      </x:c>
      <x:c r="K33" s="32" t="str"/>
    </x:row>
    <x:row r="34">
      <x:c r="A34" s="39" t="str">
        <x:v>C28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>
        <x:v>Не начато</x:v>
      </x:c>
      <x:c r="K34" s="32" t="str"/>
    </x:row>
    <x:row r="35">
      <x:c r="A35" s="39" t="str">
        <x:v>C29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>
        <x:v>Не начато</x:v>
      </x:c>
      <x:c r="K35" s="32" t="str"/>
    </x:row>
    <x:row r="36">
      <x:c r="A36" s="39" t="str">
        <x:v>C30</x:v>
      </x:c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>
        <x:v>Не начато</x:v>
      </x:c>
      <x:c r="K36" s="32" t="str"/>
    </x:row>
  </x:sheetData>
  <x:mergeCells>
    <x:mergeCell ref="A1:K1"/>
    <x:mergeCell ref="A2:K2"/>
  </x:mergeCells>
  <x:dataValidations count="4">
    <x:dataValidation type="list" sqref="E7:E36">
      <x:formula1>"Прямой конкурент,Косвенный конкурент,Заменитель,Эталон лучшей практики,Смежный рынок"</x:formula1>
    </x:dataValidation>
    <x:dataValidation type="list" sqref="G7:G36">
      <x:formula1>"Разовая покупка,Подписка,Комиссия,Бесплатно + платные функции,Реклама,Лидогенерация,Корпоративная лицензия,Смешанная модель"</x:formula1>
    </x:dataValidation>
    <x:dataValidation type="list" sqref="I7:I36">
      <x:formula1>"1,2,3,4,5"</x:formula1>
    </x:dataValidation>
    <x:dataValidation type="list" sqref="J7:J36">
      <x:formula1>"Не начато,В работе,Проверено,Исключено"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6a8ee1ef2744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24" hidden="0" customWidth="1"/>
    <x:col min="5" max="5" width="36" hidden="0" customWidth="1"/>
    <x:col min="6" max="6" width="38" hidden="0" customWidth="1"/>
    <x:col min="7" max="7" width="16" hidden="0" customWidth="1"/>
    <x:col min="8" max="8" width="30" hidden="0" customWidth="1"/>
    <x:col min="9" max="9" width="16" hidden="0" customWidth="1"/>
    <x:col min="10" max="10" width="44" hidden="0" customWidth="1"/>
  </x:cols>
  <x:sheetData>
    <x:row r="1" ht="32" customHeight="1">
      <x:c r="A1" s="82" t="str">
        <x:v>02. Карта страниц сайта конкурента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4" t="str">
        <x:v>Фиксируйте каждую страницу, которая стала источником вывода. Это повышает воспроизводимость анализа и качество итоговых решений.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6" ht="34" customHeight="1">
      <x:c r="A6" s="24" t="str">
        <x:v>ID конкурента</x:v>
      </x:c>
      <x:c r="B6" s="24" t="str">
        <x:v>Раздел/страница</x:v>
      </x:c>
      <x:c r="C6" s="24" t="str">
        <x:v>URL</x:v>
      </x:c>
      <x:c r="D6" s="24" t="str">
        <x:v>Тип страницы</x:v>
      </x:c>
      <x:c r="E6" s="24" t="str">
        <x:v>Цель анализа</x:v>
      </x:c>
      <x:c r="F6" s="24" t="str">
        <x:v>Что извлекаем</x:v>
      </x:c>
      <x:c r="G6" s="24" t="str">
        <x:v>Дата просмотра</x:v>
      </x:c>
      <x:c r="H6" s="24" t="str">
        <x:v>Скриншот/архив</x:v>
      </x:c>
      <x:c r="I6" s="24" t="str">
        <x:v>Достоверность 1–5</x:v>
      </x:c>
      <x:c r="J6" s="24" t="str">
        <x:v>Краткий вывод</x:v>
      </x:c>
    </x:row>
    <x:row r="7">
      <x:c r="A7" s="32" t="str"/>
      <x:c r="B7" s="32" t="str"/>
      <x:c r="C7" s="32" t="str"/>
      <x:c r="D7" s="32" t="str"/>
      <x:c r="E7" s="32" t="str"/>
      <x:c r="F7" s="32" t="str"/>
      <x:c r="G7" s="42"/>
      <x:c r="H7" s="32" t="str"/>
      <x:c r="I7" s="32" t="str"/>
      <x:c r="J7" s="32" t="str"/>
    </x:row>
    <x:row r="8">
      <x:c r="A8" s="32" t="str"/>
      <x:c r="B8" s="32" t="str"/>
      <x:c r="C8" s="32" t="str"/>
      <x:c r="D8" s="32" t="str"/>
      <x:c r="E8" s="32" t="str"/>
      <x:c r="F8" s="32" t="str"/>
      <x:c r="G8" s="42"/>
      <x:c r="H8" s="32" t="str"/>
      <x:c r="I8" s="32" t="str"/>
      <x:c r="J8" s="32" t="str"/>
    </x:row>
    <x:row r="9">
      <x:c r="A9" s="32" t="str"/>
      <x:c r="B9" s="32" t="str"/>
      <x:c r="C9" s="32" t="str"/>
      <x:c r="D9" s="32" t="str"/>
      <x:c r="E9" s="32" t="str"/>
      <x:c r="F9" s="32" t="str"/>
      <x:c r="G9" s="42"/>
      <x:c r="H9" s="32" t="str"/>
      <x:c r="I9" s="32" t="str"/>
      <x:c r="J9" s="32" t="str"/>
    </x:row>
    <x:row r="10">
      <x:c r="A10" s="32" t="str"/>
      <x:c r="B10" s="32" t="str"/>
      <x:c r="C10" s="32" t="str"/>
      <x:c r="D10" s="32" t="str"/>
      <x:c r="E10" s="32" t="str"/>
      <x:c r="F10" s="32" t="str"/>
      <x:c r="G10" s="42"/>
      <x:c r="H10" s="32" t="str"/>
      <x:c r="I10" s="32" t="str"/>
      <x:c r="J10" s="32" t="str"/>
    </x:row>
    <x:row r="11">
      <x:c r="A11" s="32" t="str"/>
      <x:c r="B11" s="32" t="str"/>
      <x:c r="C11" s="32" t="str"/>
      <x:c r="D11" s="32" t="str"/>
      <x:c r="E11" s="32" t="str"/>
      <x:c r="F11" s="32" t="str"/>
      <x:c r="G11" s="42"/>
      <x:c r="H11" s="32" t="str"/>
      <x:c r="I11" s="32" t="str"/>
      <x:c r="J11" s="32" t="str"/>
    </x:row>
    <x:row r="12">
      <x:c r="A12" s="32" t="str"/>
      <x:c r="B12" s="32" t="str"/>
      <x:c r="C12" s="32" t="str"/>
      <x:c r="D12" s="32" t="str"/>
      <x:c r="E12" s="32" t="str"/>
      <x:c r="F12" s="32" t="str"/>
      <x:c r="G12" s="42"/>
      <x:c r="H12" s="32" t="str"/>
      <x:c r="I12" s="32" t="str"/>
      <x:c r="J12" s="32" t="str"/>
    </x:row>
    <x:row r="13">
      <x:c r="A13" s="32" t="str"/>
      <x:c r="B13" s="32" t="str"/>
      <x:c r="C13" s="32" t="str"/>
      <x:c r="D13" s="32" t="str"/>
      <x:c r="E13" s="32" t="str"/>
      <x:c r="F13" s="32" t="str"/>
      <x:c r="G13" s="42"/>
      <x:c r="H13" s="32" t="str"/>
      <x:c r="I13" s="32" t="str"/>
      <x:c r="J13" s="32" t="str"/>
    </x:row>
    <x:row r="14">
      <x:c r="A14" s="32" t="str"/>
      <x:c r="B14" s="32" t="str"/>
      <x:c r="C14" s="32" t="str"/>
      <x:c r="D14" s="32" t="str"/>
      <x:c r="E14" s="32" t="str"/>
      <x:c r="F14" s="32" t="str"/>
      <x:c r="G14" s="42"/>
      <x:c r="H14" s="32" t="str"/>
      <x:c r="I14" s="32" t="str"/>
      <x:c r="J14" s="32" t="str"/>
    </x:row>
    <x:row r="15">
      <x:c r="A15" s="32" t="str"/>
      <x:c r="B15" s="32" t="str"/>
      <x:c r="C15" s="32" t="str"/>
      <x:c r="D15" s="32" t="str"/>
      <x:c r="E15" s="32" t="str"/>
      <x:c r="F15" s="32" t="str"/>
      <x:c r="G15" s="42"/>
      <x:c r="H15" s="32" t="str"/>
      <x:c r="I15" s="32" t="str"/>
      <x:c r="J15" s="32" t="str"/>
    </x:row>
    <x:row r="16">
      <x:c r="A16" s="32" t="str"/>
      <x:c r="B16" s="32" t="str"/>
      <x:c r="C16" s="32" t="str"/>
      <x:c r="D16" s="32" t="str"/>
      <x:c r="E16" s="32" t="str"/>
      <x:c r="F16" s="32" t="str"/>
      <x:c r="G16" s="42"/>
      <x:c r="H16" s="32" t="str"/>
      <x:c r="I16" s="32" t="str"/>
      <x:c r="J16" s="32" t="str"/>
    </x:row>
    <x:row r="17">
      <x:c r="A17" s="32" t="str"/>
      <x:c r="B17" s="32" t="str"/>
      <x:c r="C17" s="32" t="str"/>
      <x:c r="D17" s="32" t="str"/>
      <x:c r="E17" s="32" t="str"/>
      <x:c r="F17" s="32" t="str"/>
      <x:c r="G17" s="42"/>
      <x:c r="H17" s="32" t="str"/>
      <x:c r="I17" s="32" t="str"/>
      <x:c r="J17" s="32" t="str"/>
    </x:row>
    <x:row r="18">
      <x:c r="A18" s="32" t="str"/>
      <x:c r="B18" s="32" t="str"/>
      <x:c r="C18" s="32" t="str"/>
      <x:c r="D18" s="32" t="str"/>
      <x:c r="E18" s="32" t="str"/>
      <x:c r="F18" s="32" t="str"/>
      <x:c r="G18" s="42"/>
      <x:c r="H18" s="32" t="str"/>
      <x:c r="I18" s="32" t="str"/>
      <x:c r="J18" s="32" t="str"/>
    </x:row>
    <x:row r="19">
      <x:c r="A19" s="32" t="str"/>
      <x:c r="B19" s="32" t="str"/>
      <x:c r="C19" s="32" t="str"/>
      <x:c r="D19" s="32" t="str"/>
      <x:c r="E19" s="32" t="str"/>
      <x:c r="F19" s="32" t="str"/>
      <x:c r="G19" s="42"/>
      <x:c r="H19" s="32" t="str"/>
      <x:c r="I19" s="32" t="str"/>
      <x:c r="J19" s="32" t="str"/>
    </x:row>
    <x:row r="20">
      <x:c r="A20" s="32" t="str"/>
      <x:c r="B20" s="32" t="str"/>
      <x:c r="C20" s="32" t="str"/>
      <x:c r="D20" s="32" t="str"/>
      <x:c r="E20" s="32" t="str"/>
      <x:c r="F20" s="32" t="str"/>
      <x:c r="G20" s="42"/>
      <x:c r="H20" s="32" t="str"/>
      <x:c r="I20" s="32" t="str"/>
      <x:c r="J20" s="32" t="str"/>
    </x:row>
    <x:row r="21">
      <x:c r="A21" s="32" t="str"/>
      <x:c r="B21" s="32" t="str"/>
      <x:c r="C21" s="32" t="str"/>
      <x:c r="D21" s="32" t="str"/>
      <x:c r="E21" s="32" t="str"/>
      <x:c r="F21" s="32" t="str"/>
      <x:c r="G21" s="42"/>
      <x:c r="H21" s="32" t="str"/>
      <x:c r="I21" s="32" t="str"/>
      <x:c r="J21" s="32" t="str"/>
    </x:row>
    <x:row r="22">
      <x:c r="A22" s="32" t="str"/>
      <x:c r="B22" s="32" t="str"/>
      <x:c r="C22" s="32" t="str"/>
      <x:c r="D22" s="32" t="str"/>
      <x:c r="E22" s="32" t="str"/>
      <x:c r="F22" s="32" t="str"/>
      <x:c r="G22" s="42"/>
      <x:c r="H22" s="32" t="str"/>
      <x:c r="I22" s="32" t="str"/>
      <x:c r="J22" s="32" t="str"/>
    </x:row>
    <x:row r="23">
      <x:c r="A23" s="32" t="str"/>
      <x:c r="B23" s="32" t="str"/>
      <x:c r="C23" s="32" t="str"/>
      <x:c r="D23" s="32" t="str"/>
      <x:c r="E23" s="32" t="str"/>
      <x:c r="F23" s="32" t="str"/>
      <x:c r="G23" s="42"/>
      <x:c r="H23" s="32" t="str"/>
      <x:c r="I23" s="32" t="str"/>
      <x:c r="J23" s="32" t="str"/>
    </x:row>
    <x:row r="24">
      <x:c r="A24" s="32" t="str"/>
      <x:c r="B24" s="32" t="str"/>
      <x:c r="C24" s="32" t="str"/>
      <x:c r="D24" s="32" t="str"/>
      <x:c r="E24" s="32" t="str"/>
      <x:c r="F24" s="32" t="str"/>
      <x:c r="G24" s="42"/>
      <x:c r="H24" s="32" t="str"/>
      <x:c r="I24" s="32" t="str"/>
      <x:c r="J24" s="32" t="str"/>
    </x:row>
    <x:row r="25">
      <x:c r="A25" s="32" t="str"/>
      <x:c r="B25" s="32" t="str"/>
      <x:c r="C25" s="32" t="str"/>
      <x:c r="D25" s="32" t="str"/>
      <x:c r="E25" s="32" t="str"/>
      <x:c r="F25" s="32" t="str"/>
      <x:c r="G25" s="42"/>
      <x:c r="H25" s="32" t="str"/>
      <x:c r="I25" s="32" t="str"/>
      <x:c r="J25" s="32" t="str"/>
    </x:row>
    <x:row r="26">
      <x:c r="A26" s="32" t="str"/>
      <x:c r="B26" s="32" t="str"/>
      <x:c r="C26" s="32" t="str"/>
      <x:c r="D26" s="32" t="str"/>
      <x:c r="E26" s="32" t="str"/>
      <x:c r="F26" s="32" t="str"/>
      <x:c r="G26" s="42"/>
      <x:c r="H26" s="32" t="str"/>
      <x:c r="I26" s="32" t="str"/>
      <x:c r="J26" s="32" t="str"/>
    </x:row>
    <x:row r="27">
      <x:c r="A27" s="32" t="str"/>
      <x:c r="B27" s="32" t="str"/>
      <x:c r="C27" s="32" t="str"/>
      <x:c r="D27" s="32" t="str"/>
      <x:c r="E27" s="32" t="str"/>
      <x:c r="F27" s="32" t="str"/>
      <x:c r="G27" s="42"/>
      <x:c r="H27" s="32" t="str"/>
      <x:c r="I27" s="32" t="str"/>
      <x:c r="J27" s="32" t="str"/>
    </x:row>
    <x:row r="28">
      <x:c r="A28" s="32" t="str"/>
      <x:c r="B28" s="32" t="str"/>
      <x:c r="C28" s="32" t="str"/>
      <x:c r="D28" s="32" t="str"/>
      <x:c r="E28" s="32" t="str"/>
      <x:c r="F28" s="32" t="str"/>
      <x:c r="G28" s="42"/>
      <x:c r="H28" s="32" t="str"/>
      <x:c r="I28" s="32" t="str"/>
      <x:c r="J28" s="32" t="str"/>
    </x:row>
    <x:row r="29">
      <x:c r="A29" s="32" t="str"/>
      <x:c r="B29" s="32" t="str"/>
      <x:c r="C29" s="32" t="str"/>
      <x:c r="D29" s="32" t="str"/>
      <x:c r="E29" s="32" t="str"/>
      <x:c r="F29" s="32" t="str"/>
      <x:c r="G29" s="42"/>
      <x:c r="H29" s="32" t="str"/>
      <x:c r="I29" s="32" t="str"/>
      <x:c r="J29" s="32" t="str"/>
    </x:row>
    <x:row r="30">
      <x:c r="A30" s="32" t="str"/>
      <x:c r="B30" s="32" t="str"/>
      <x:c r="C30" s="32" t="str"/>
      <x:c r="D30" s="32" t="str"/>
      <x:c r="E30" s="32" t="str"/>
      <x:c r="F30" s="32" t="str"/>
      <x:c r="G30" s="42"/>
      <x:c r="H30" s="32" t="str"/>
      <x:c r="I30" s="32" t="str"/>
      <x:c r="J30" s="32" t="str"/>
    </x:row>
    <x:row r="31">
      <x:c r="A31" s="32" t="str"/>
      <x:c r="B31" s="32" t="str"/>
      <x:c r="C31" s="32" t="str"/>
      <x:c r="D31" s="32" t="str"/>
      <x:c r="E31" s="32" t="str"/>
      <x:c r="F31" s="32" t="str"/>
      <x:c r="G31" s="42"/>
      <x:c r="H31" s="32" t="str"/>
      <x:c r="I31" s="32" t="str"/>
      <x:c r="J31" s="32" t="str"/>
    </x:row>
    <x:row r="32">
      <x:c r="A32" s="32" t="str"/>
      <x:c r="B32" s="32" t="str"/>
      <x:c r="C32" s="32" t="str"/>
      <x:c r="D32" s="32" t="str"/>
      <x:c r="E32" s="32" t="str"/>
      <x:c r="F32" s="32" t="str"/>
      <x:c r="G32" s="42"/>
      <x:c r="H32" s="32" t="str"/>
      <x:c r="I32" s="32" t="str"/>
      <x:c r="J32" s="32" t="str"/>
    </x:row>
    <x:row r="33">
      <x:c r="A33" s="32" t="str"/>
      <x:c r="B33" s="32" t="str"/>
      <x:c r="C33" s="32" t="str"/>
      <x:c r="D33" s="32" t="str"/>
      <x:c r="E33" s="32" t="str"/>
      <x:c r="F33" s="32" t="str"/>
      <x:c r="G33" s="42"/>
      <x:c r="H33" s="32" t="str"/>
      <x:c r="I33" s="32" t="str"/>
      <x:c r="J33" s="32" t="str"/>
    </x:row>
    <x:row r="34">
      <x:c r="A34" s="32" t="str"/>
      <x:c r="B34" s="32" t="str"/>
      <x:c r="C34" s="32" t="str"/>
      <x:c r="D34" s="32" t="str"/>
      <x:c r="E34" s="32" t="str"/>
      <x:c r="F34" s="32" t="str"/>
      <x:c r="G34" s="42"/>
      <x:c r="H34" s="32" t="str"/>
      <x:c r="I34" s="32" t="str"/>
      <x:c r="J34" s="32" t="str"/>
    </x:row>
    <x:row r="35">
      <x:c r="A35" s="32" t="str"/>
      <x:c r="B35" s="32" t="str"/>
      <x:c r="C35" s="32" t="str"/>
      <x:c r="D35" s="32" t="str"/>
      <x:c r="E35" s="32" t="str"/>
      <x:c r="F35" s="32" t="str"/>
      <x:c r="G35" s="42"/>
      <x:c r="H35" s="32" t="str"/>
      <x:c r="I35" s="32" t="str"/>
      <x:c r="J35" s="32" t="str"/>
    </x:row>
    <x:row r="36">
      <x:c r="A36" s="32" t="str"/>
      <x:c r="B36" s="32" t="str"/>
      <x:c r="C36" s="32" t="str"/>
      <x:c r="D36" s="32" t="str"/>
      <x:c r="E36" s="32" t="str"/>
      <x:c r="F36" s="32" t="str"/>
      <x:c r="G36" s="42"/>
      <x:c r="H36" s="32" t="str"/>
      <x:c r="I36" s="32" t="str"/>
      <x:c r="J36" s="32" t="str"/>
    </x:row>
    <x:row r="37">
      <x:c r="A37" s="32" t="str"/>
      <x:c r="B37" s="32" t="str"/>
      <x:c r="C37" s="32" t="str"/>
      <x:c r="D37" s="32" t="str"/>
      <x:c r="E37" s="32" t="str"/>
      <x:c r="F37" s="32" t="str"/>
      <x:c r="G37" s="42"/>
      <x:c r="H37" s="32" t="str"/>
      <x:c r="I37" s="32" t="str"/>
      <x:c r="J37" s="32" t="str"/>
    </x:row>
    <x:row r="38">
      <x:c r="A38" s="32" t="str"/>
      <x:c r="B38" s="32" t="str"/>
      <x:c r="C38" s="32" t="str"/>
      <x:c r="D38" s="32" t="str"/>
      <x:c r="E38" s="32" t="str"/>
      <x:c r="F38" s="32" t="str"/>
      <x:c r="G38" s="42"/>
      <x:c r="H38" s="32" t="str"/>
      <x:c r="I38" s="32" t="str"/>
      <x:c r="J38" s="32" t="str"/>
    </x:row>
    <x:row r="39">
      <x:c r="A39" s="32" t="str"/>
      <x:c r="B39" s="32" t="str"/>
      <x:c r="C39" s="32" t="str"/>
      <x:c r="D39" s="32" t="str"/>
      <x:c r="E39" s="32" t="str"/>
      <x:c r="F39" s="32" t="str"/>
      <x:c r="G39" s="42"/>
      <x:c r="H39" s="32" t="str"/>
      <x:c r="I39" s="32" t="str"/>
      <x:c r="J39" s="32" t="str"/>
    </x:row>
    <x:row r="40">
      <x:c r="A40" s="32" t="str"/>
      <x:c r="B40" s="32" t="str"/>
      <x:c r="C40" s="32" t="str"/>
      <x:c r="D40" s="32" t="str"/>
      <x:c r="E40" s="32" t="str"/>
      <x:c r="F40" s="32" t="str"/>
      <x:c r="G40" s="42"/>
      <x:c r="H40" s="32" t="str"/>
      <x:c r="I40" s="32" t="str"/>
      <x:c r="J40" s="32" t="str"/>
    </x:row>
    <x:row r="41">
      <x:c r="A41" s="32" t="str"/>
      <x:c r="B41" s="32" t="str"/>
      <x:c r="C41" s="32" t="str"/>
      <x:c r="D41" s="32" t="str"/>
      <x:c r="E41" s="32" t="str"/>
      <x:c r="F41" s="32" t="str"/>
      <x:c r="G41" s="42"/>
      <x:c r="H41" s="32" t="str"/>
      <x:c r="I41" s="32" t="str"/>
      <x:c r="J41" s="32" t="str"/>
    </x:row>
    <x:row r="42">
      <x:c r="A42" s="32" t="str"/>
      <x:c r="B42" s="32" t="str"/>
      <x:c r="C42" s="32" t="str"/>
      <x:c r="D42" s="32" t="str"/>
      <x:c r="E42" s="32" t="str"/>
      <x:c r="F42" s="32" t="str"/>
      <x:c r="G42" s="42"/>
      <x:c r="H42" s="32" t="str"/>
      <x:c r="I42" s="32" t="str"/>
      <x:c r="J42" s="32" t="str"/>
    </x:row>
    <x:row r="43">
      <x:c r="A43" s="32" t="str"/>
      <x:c r="B43" s="32" t="str"/>
      <x:c r="C43" s="32" t="str"/>
      <x:c r="D43" s="32" t="str"/>
      <x:c r="E43" s="32" t="str"/>
      <x:c r="F43" s="32" t="str"/>
      <x:c r="G43" s="42"/>
      <x:c r="H43" s="32" t="str"/>
      <x:c r="I43" s="32" t="str"/>
      <x:c r="J43" s="32" t="str"/>
    </x:row>
    <x:row r="44">
      <x:c r="A44" s="32" t="str"/>
      <x:c r="B44" s="32" t="str"/>
      <x:c r="C44" s="32" t="str"/>
      <x:c r="D44" s="32" t="str"/>
      <x:c r="E44" s="32" t="str"/>
      <x:c r="F44" s="32" t="str"/>
      <x:c r="G44" s="42"/>
      <x:c r="H44" s="32" t="str"/>
      <x:c r="I44" s="32" t="str"/>
      <x:c r="J44" s="32" t="str"/>
    </x:row>
    <x:row r="45">
      <x:c r="A45" s="32" t="str"/>
      <x:c r="B45" s="32" t="str"/>
      <x:c r="C45" s="32" t="str"/>
      <x:c r="D45" s="32" t="str"/>
      <x:c r="E45" s="32" t="str"/>
      <x:c r="F45" s="32" t="str"/>
      <x:c r="G45" s="42"/>
      <x:c r="H45" s="32" t="str"/>
      <x:c r="I45" s="32" t="str"/>
      <x:c r="J45" s="32" t="str"/>
    </x:row>
    <x:row r="46">
      <x:c r="A46" s="32" t="str"/>
      <x:c r="B46" s="32" t="str"/>
      <x:c r="C46" s="32" t="str"/>
      <x:c r="D46" s="32" t="str"/>
      <x:c r="E46" s="32" t="str"/>
      <x:c r="F46" s="32" t="str"/>
      <x:c r="G46" s="42"/>
      <x:c r="H46" s="32" t="str"/>
      <x:c r="I46" s="32" t="str"/>
      <x:c r="J46" s="32" t="str"/>
    </x:row>
    <x:row r="47">
      <x:c r="A47" s="32" t="str"/>
      <x:c r="B47" s="32" t="str"/>
      <x:c r="C47" s="32" t="str"/>
      <x:c r="D47" s="32" t="str"/>
      <x:c r="E47" s="32" t="str"/>
      <x:c r="F47" s="32" t="str"/>
      <x:c r="G47" s="42"/>
      <x:c r="H47" s="32" t="str"/>
      <x:c r="I47" s="32" t="str"/>
      <x:c r="J47" s="32" t="str"/>
    </x:row>
    <x:row r="48">
      <x:c r="A48" s="32" t="str"/>
      <x:c r="B48" s="32" t="str"/>
      <x:c r="C48" s="32" t="str"/>
      <x:c r="D48" s="32" t="str"/>
      <x:c r="E48" s="32" t="str"/>
      <x:c r="F48" s="32" t="str"/>
      <x:c r="G48" s="42"/>
      <x:c r="H48" s="32" t="str"/>
      <x:c r="I48" s="32" t="str"/>
      <x:c r="J48" s="32" t="str"/>
    </x:row>
    <x:row r="49">
      <x:c r="A49" s="32" t="str"/>
      <x:c r="B49" s="32" t="str"/>
      <x:c r="C49" s="32" t="str"/>
      <x:c r="D49" s="32" t="str"/>
      <x:c r="E49" s="32" t="str"/>
      <x:c r="F49" s="32" t="str"/>
      <x:c r="G49" s="42"/>
      <x:c r="H49" s="32" t="str"/>
      <x:c r="I49" s="32" t="str"/>
      <x:c r="J49" s="32" t="str"/>
    </x:row>
    <x:row r="50">
      <x:c r="A50" s="32" t="str"/>
      <x:c r="B50" s="32" t="str"/>
      <x:c r="C50" s="32" t="str"/>
      <x:c r="D50" s="32" t="str"/>
      <x:c r="E50" s="32" t="str"/>
      <x:c r="F50" s="32" t="str"/>
      <x:c r="G50" s="42"/>
      <x:c r="H50" s="32" t="str"/>
      <x:c r="I50" s="32" t="str"/>
      <x:c r="J50" s="32" t="str"/>
    </x:row>
    <x:row r="51">
      <x:c r="A51" s="32" t="str"/>
      <x:c r="B51" s="32" t="str"/>
      <x:c r="C51" s="32" t="str"/>
      <x:c r="D51" s="32" t="str"/>
      <x:c r="E51" s="32" t="str"/>
      <x:c r="F51" s="32" t="str"/>
      <x:c r="G51" s="42"/>
      <x:c r="H51" s="32" t="str"/>
      <x:c r="I51" s="32" t="str"/>
      <x:c r="J51" s="32" t="str"/>
    </x:row>
    <x:row r="52">
      <x:c r="A52" s="32" t="str"/>
      <x:c r="B52" s="32" t="str"/>
      <x:c r="C52" s="32" t="str"/>
      <x:c r="D52" s="32" t="str"/>
      <x:c r="E52" s="32" t="str"/>
      <x:c r="F52" s="32" t="str"/>
      <x:c r="G52" s="42"/>
      <x:c r="H52" s="32" t="str"/>
      <x:c r="I52" s="32" t="str"/>
      <x:c r="J52" s="32" t="str"/>
    </x:row>
    <x:row r="53">
      <x:c r="A53" s="32" t="str"/>
      <x:c r="B53" s="32" t="str"/>
      <x:c r="C53" s="32" t="str"/>
      <x:c r="D53" s="32" t="str"/>
      <x:c r="E53" s="32" t="str"/>
      <x:c r="F53" s="32" t="str"/>
      <x:c r="G53" s="42"/>
      <x:c r="H53" s="32" t="str"/>
      <x:c r="I53" s="32" t="str"/>
      <x:c r="J53" s="32" t="str"/>
    </x:row>
    <x:row r="54">
      <x:c r="A54" s="32" t="str"/>
      <x:c r="B54" s="32" t="str"/>
      <x:c r="C54" s="32" t="str"/>
      <x:c r="D54" s="32" t="str"/>
      <x:c r="E54" s="32" t="str"/>
      <x:c r="F54" s="32" t="str"/>
      <x:c r="G54" s="42"/>
      <x:c r="H54" s="32" t="str"/>
      <x:c r="I54" s="32" t="str"/>
      <x:c r="J54" s="32" t="str"/>
    </x:row>
    <x:row r="55">
      <x:c r="A55" s="32" t="str"/>
      <x:c r="B55" s="32" t="str"/>
      <x:c r="C55" s="32" t="str"/>
      <x:c r="D55" s="32" t="str"/>
      <x:c r="E55" s="32" t="str"/>
      <x:c r="F55" s="32" t="str"/>
      <x:c r="G55" s="42"/>
      <x:c r="H55" s="32" t="str"/>
      <x:c r="I55" s="32" t="str"/>
      <x:c r="J55" s="32" t="str"/>
    </x:row>
    <x:row r="56">
      <x:c r="A56" s="32" t="str"/>
      <x:c r="B56" s="32" t="str"/>
      <x:c r="C56" s="32" t="str"/>
      <x:c r="D56" s="32" t="str"/>
      <x:c r="E56" s="32" t="str"/>
      <x:c r="F56" s="32" t="str"/>
      <x:c r="G56" s="42"/>
      <x:c r="H56" s="32" t="str"/>
      <x:c r="I56" s="32" t="str"/>
      <x:c r="J56" s="32" t="str"/>
    </x:row>
    <x:row r="57">
      <x:c r="A57" s="32" t="str"/>
      <x:c r="B57" s="32" t="str"/>
      <x:c r="C57" s="32" t="str"/>
      <x:c r="D57" s="32" t="str"/>
      <x:c r="E57" s="32" t="str"/>
      <x:c r="F57" s="32" t="str"/>
      <x:c r="G57" s="42"/>
      <x:c r="H57" s="32" t="str"/>
      <x:c r="I57" s="32" t="str"/>
      <x:c r="J57" s="32" t="str"/>
    </x:row>
    <x:row r="58">
      <x:c r="A58" s="32" t="str"/>
      <x:c r="B58" s="32" t="str"/>
      <x:c r="C58" s="32" t="str"/>
      <x:c r="D58" s="32" t="str"/>
      <x:c r="E58" s="32" t="str"/>
      <x:c r="F58" s="32" t="str"/>
      <x:c r="G58" s="42"/>
      <x:c r="H58" s="32" t="str"/>
      <x:c r="I58" s="32" t="str"/>
      <x:c r="J58" s="32" t="str"/>
    </x:row>
    <x:row r="59">
      <x:c r="A59" s="32" t="str"/>
      <x:c r="B59" s="32" t="str"/>
      <x:c r="C59" s="32" t="str"/>
      <x:c r="D59" s="32" t="str"/>
      <x:c r="E59" s="32" t="str"/>
      <x:c r="F59" s="32" t="str"/>
      <x:c r="G59" s="42"/>
      <x:c r="H59" s="32" t="str"/>
      <x:c r="I59" s="32" t="str"/>
      <x:c r="J59" s="32" t="str"/>
    </x:row>
    <x:row r="60">
      <x:c r="A60" s="32" t="str"/>
      <x:c r="B60" s="32" t="str"/>
      <x:c r="C60" s="32" t="str"/>
      <x:c r="D60" s="32" t="str"/>
      <x:c r="E60" s="32" t="str"/>
      <x:c r="F60" s="32" t="str"/>
      <x:c r="G60" s="42"/>
      <x:c r="H60" s="32" t="str"/>
      <x:c r="I60" s="32" t="str"/>
      <x:c r="J60" s="32" t="str"/>
    </x:row>
    <x:row r="61">
      <x:c r="A61" s="32" t="str"/>
      <x:c r="B61" s="32" t="str"/>
      <x:c r="C61" s="32" t="str"/>
      <x:c r="D61" s="32" t="str"/>
      <x:c r="E61" s="32" t="str"/>
      <x:c r="F61" s="32" t="str"/>
      <x:c r="G61" s="42"/>
      <x:c r="H61" s="32" t="str"/>
      <x:c r="I61" s="32" t="str"/>
      <x:c r="J61" s="32" t="str"/>
    </x:row>
    <x:row r="62">
      <x:c r="A62" s="32" t="str"/>
      <x:c r="B62" s="32" t="str"/>
      <x:c r="C62" s="32" t="str"/>
      <x:c r="D62" s="32" t="str"/>
      <x:c r="E62" s="32" t="str"/>
      <x:c r="F62" s="32" t="str"/>
      <x:c r="G62" s="42"/>
      <x:c r="H62" s="32" t="str"/>
      <x:c r="I62" s="32" t="str"/>
      <x:c r="J62" s="32" t="str"/>
    </x:row>
    <x:row r="63">
      <x:c r="A63" s="32" t="str"/>
      <x:c r="B63" s="32" t="str"/>
      <x:c r="C63" s="32" t="str"/>
      <x:c r="D63" s="32" t="str"/>
      <x:c r="E63" s="32" t="str"/>
      <x:c r="F63" s="32" t="str"/>
      <x:c r="G63" s="42"/>
      <x:c r="H63" s="32" t="str"/>
      <x:c r="I63" s="32" t="str"/>
      <x:c r="J63" s="32" t="str"/>
    </x:row>
    <x:row r="64">
      <x:c r="A64" s="32" t="str"/>
      <x:c r="B64" s="32" t="str"/>
      <x:c r="C64" s="32" t="str"/>
      <x:c r="D64" s="32" t="str"/>
      <x:c r="E64" s="32" t="str"/>
      <x:c r="F64" s="32" t="str"/>
      <x:c r="G64" s="42"/>
      <x:c r="H64" s="32" t="str"/>
      <x:c r="I64" s="32" t="str"/>
      <x:c r="J64" s="32" t="str"/>
    </x:row>
    <x:row r="65">
      <x:c r="A65" s="32" t="str"/>
      <x:c r="B65" s="32" t="str"/>
      <x:c r="C65" s="32" t="str"/>
      <x:c r="D65" s="32" t="str"/>
      <x:c r="E65" s="32" t="str"/>
      <x:c r="F65" s="32" t="str"/>
      <x:c r="G65" s="42"/>
      <x:c r="H65" s="32" t="str"/>
      <x:c r="I65" s="32" t="str"/>
      <x:c r="J65" s="32" t="str"/>
    </x:row>
    <x:row r="66">
      <x:c r="A66" s="32" t="str"/>
      <x:c r="B66" s="32" t="str"/>
      <x:c r="C66" s="32" t="str"/>
      <x:c r="D66" s="32" t="str"/>
      <x:c r="E66" s="32" t="str"/>
      <x:c r="F66" s="32" t="str"/>
      <x:c r="G66" s="42"/>
      <x:c r="H66" s="32" t="str"/>
      <x:c r="I66" s="32" t="str"/>
      <x:c r="J66" s="32" t="str"/>
    </x:row>
    <x:row r="67">
      <x:c r="A67" s="32" t="str"/>
      <x:c r="B67" s="32" t="str"/>
      <x:c r="C67" s="32" t="str"/>
      <x:c r="D67" s="32" t="str"/>
      <x:c r="E67" s="32" t="str"/>
      <x:c r="F67" s="32" t="str"/>
      <x:c r="G67" s="42"/>
      <x:c r="H67" s="32" t="str"/>
      <x:c r="I67" s="32" t="str"/>
      <x:c r="J67" s="32" t="str"/>
    </x:row>
    <x:row r="68">
      <x:c r="A68" s="32" t="str"/>
      <x:c r="B68" s="32" t="str"/>
      <x:c r="C68" s="32" t="str"/>
      <x:c r="D68" s="32" t="str"/>
      <x:c r="E68" s="32" t="str"/>
      <x:c r="F68" s="32" t="str"/>
      <x:c r="G68" s="42"/>
      <x:c r="H68" s="32" t="str"/>
      <x:c r="I68" s="32" t="str"/>
      <x:c r="J68" s="32" t="str"/>
    </x:row>
    <x:row r="69">
      <x:c r="A69" s="32" t="str"/>
      <x:c r="B69" s="32" t="str"/>
      <x:c r="C69" s="32" t="str"/>
      <x:c r="D69" s="32" t="str"/>
      <x:c r="E69" s="32" t="str"/>
      <x:c r="F69" s="32" t="str"/>
      <x:c r="G69" s="42"/>
      <x:c r="H69" s="32" t="str"/>
      <x:c r="I69" s="32" t="str"/>
      <x:c r="J69" s="32" t="str"/>
    </x:row>
    <x:row r="70">
      <x:c r="A70" s="32" t="str"/>
      <x:c r="B70" s="32" t="str"/>
      <x:c r="C70" s="32" t="str"/>
      <x:c r="D70" s="32" t="str"/>
      <x:c r="E70" s="32" t="str"/>
      <x:c r="F70" s="32" t="str"/>
      <x:c r="G70" s="42"/>
      <x:c r="H70" s="32" t="str"/>
      <x:c r="I70" s="32" t="str"/>
      <x:c r="J70" s="32" t="str"/>
    </x:row>
    <x:row r="71">
      <x:c r="A71" s="32" t="str"/>
      <x:c r="B71" s="32" t="str"/>
      <x:c r="C71" s="32" t="str"/>
      <x:c r="D71" s="32" t="str"/>
      <x:c r="E71" s="32" t="str"/>
      <x:c r="F71" s="32" t="str"/>
      <x:c r="G71" s="42"/>
      <x:c r="H71" s="32" t="str"/>
      <x:c r="I71" s="32" t="str"/>
      <x:c r="J71" s="32" t="str"/>
    </x:row>
    <x:row r="72">
      <x:c r="A72" s="32" t="str"/>
      <x:c r="B72" s="32" t="str"/>
      <x:c r="C72" s="32" t="str"/>
      <x:c r="D72" s="32" t="str"/>
      <x:c r="E72" s="32" t="str"/>
      <x:c r="F72" s="32" t="str"/>
      <x:c r="G72" s="42"/>
      <x:c r="H72" s="32" t="str"/>
      <x:c r="I72" s="32" t="str"/>
      <x:c r="J72" s="32" t="str"/>
    </x:row>
    <x:row r="73">
      <x:c r="A73" s="32" t="str"/>
      <x:c r="B73" s="32" t="str"/>
      <x:c r="C73" s="32" t="str"/>
      <x:c r="D73" s="32" t="str"/>
      <x:c r="E73" s="32" t="str"/>
      <x:c r="F73" s="32" t="str"/>
      <x:c r="G73" s="42"/>
      <x:c r="H73" s="32" t="str"/>
      <x:c r="I73" s="32" t="str"/>
      <x:c r="J73" s="32" t="str"/>
    </x:row>
    <x:row r="74">
      <x:c r="A74" s="32" t="str"/>
      <x:c r="B74" s="32" t="str"/>
      <x:c r="C74" s="32" t="str"/>
      <x:c r="D74" s="32" t="str"/>
      <x:c r="E74" s="32" t="str"/>
      <x:c r="F74" s="32" t="str"/>
      <x:c r="G74" s="42"/>
      <x:c r="H74" s="32" t="str"/>
      <x:c r="I74" s="32" t="str"/>
      <x:c r="J74" s="32" t="str"/>
    </x:row>
    <x:row r="75">
      <x:c r="A75" s="32" t="str"/>
      <x:c r="B75" s="32" t="str"/>
      <x:c r="C75" s="32" t="str"/>
      <x:c r="D75" s="32" t="str"/>
      <x:c r="E75" s="32" t="str"/>
      <x:c r="F75" s="32" t="str"/>
      <x:c r="G75" s="42"/>
      <x:c r="H75" s="32" t="str"/>
      <x:c r="I75" s="32" t="str"/>
      <x:c r="J75" s="32" t="str"/>
    </x:row>
    <x:row r="76">
      <x:c r="A76" s="32" t="str"/>
      <x:c r="B76" s="32" t="str"/>
      <x:c r="C76" s="32" t="str"/>
      <x:c r="D76" s="32" t="str"/>
      <x:c r="E76" s="32" t="str"/>
      <x:c r="F76" s="32" t="str"/>
      <x:c r="G76" s="42"/>
      <x:c r="H76" s="32" t="str"/>
      <x:c r="I76" s="32" t="str"/>
      <x:c r="J76" s="32" t="str"/>
    </x:row>
    <x:row r="77">
      <x:c r="A77" s="32" t="str"/>
      <x:c r="B77" s="32" t="str"/>
      <x:c r="C77" s="32" t="str"/>
      <x:c r="D77" s="32" t="str"/>
      <x:c r="E77" s="32" t="str"/>
      <x:c r="F77" s="32" t="str"/>
      <x:c r="G77" s="42"/>
      <x:c r="H77" s="32" t="str"/>
      <x:c r="I77" s="32" t="str"/>
      <x:c r="J77" s="32" t="str"/>
    </x:row>
    <x:row r="78">
      <x:c r="A78" s="32" t="str"/>
      <x:c r="B78" s="32" t="str"/>
      <x:c r="C78" s="32" t="str"/>
      <x:c r="D78" s="32" t="str"/>
      <x:c r="E78" s="32" t="str"/>
      <x:c r="F78" s="32" t="str"/>
      <x:c r="G78" s="42"/>
      <x:c r="H78" s="32" t="str"/>
      <x:c r="I78" s="32" t="str"/>
      <x:c r="J78" s="32" t="str"/>
    </x:row>
    <x:row r="79">
      <x:c r="A79" s="32" t="str"/>
      <x:c r="B79" s="32" t="str"/>
      <x:c r="C79" s="32" t="str"/>
      <x:c r="D79" s="32" t="str"/>
      <x:c r="E79" s="32" t="str"/>
      <x:c r="F79" s="32" t="str"/>
      <x:c r="G79" s="42"/>
      <x:c r="H79" s="32" t="str"/>
      <x:c r="I79" s="32" t="str"/>
      <x:c r="J79" s="32" t="str"/>
    </x:row>
    <x:row r="80">
      <x:c r="A80" s="32" t="str"/>
      <x:c r="B80" s="32" t="str"/>
      <x:c r="C80" s="32" t="str"/>
      <x:c r="D80" s="32" t="str"/>
      <x:c r="E80" s="32" t="str"/>
      <x:c r="F80" s="32" t="str"/>
      <x:c r="G80" s="42"/>
      <x:c r="H80" s="32" t="str"/>
      <x:c r="I80" s="32" t="str"/>
      <x:c r="J80" s="32" t="str"/>
    </x:row>
    <x:row r="81">
      <x:c r="A81" s="32" t="str"/>
      <x:c r="B81" s="32" t="str"/>
      <x:c r="C81" s="32" t="str"/>
      <x:c r="D81" s="32" t="str"/>
      <x:c r="E81" s="32" t="str"/>
      <x:c r="F81" s="32" t="str"/>
      <x:c r="G81" s="42"/>
      <x:c r="H81" s="32" t="str"/>
      <x:c r="I81" s="32" t="str"/>
      <x:c r="J81" s="32" t="str"/>
    </x:row>
    <x:row r="82">
      <x:c r="A82" s="32" t="str"/>
      <x:c r="B82" s="32" t="str"/>
      <x:c r="C82" s="32" t="str"/>
      <x:c r="D82" s="32" t="str"/>
      <x:c r="E82" s="32" t="str"/>
      <x:c r="F82" s="32" t="str"/>
      <x:c r="G82" s="42"/>
      <x:c r="H82" s="32" t="str"/>
      <x:c r="I82" s="32" t="str"/>
      <x:c r="J82" s="32" t="str"/>
    </x:row>
    <x:row r="83">
      <x:c r="A83" s="32" t="str"/>
      <x:c r="B83" s="32" t="str"/>
      <x:c r="C83" s="32" t="str"/>
      <x:c r="D83" s="32" t="str"/>
      <x:c r="E83" s="32" t="str"/>
      <x:c r="F83" s="32" t="str"/>
      <x:c r="G83" s="42"/>
      <x:c r="H83" s="32" t="str"/>
      <x:c r="I83" s="32" t="str"/>
      <x:c r="J83" s="32" t="str"/>
    </x:row>
    <x:row r="84">
      <x:c r="A84" s="32" t="str"/>
      <x:c r="B84" s="32" t="str"/>
      <x:c r="C84" s="32" t="str"/>
      <x:c r="D84" s="32" t="str"/>
      <x:c r="E84" s="32" t="str"/>
      <x:c r="F84" s="32" t="str"/>
      <x:c r="G84" s="42"/>
      <x:c r="H84" s="32" t="str"/>
      <x:c r="I84" s="32" t="str"/>
      <x:c r="J84" s="32" t="str"/>
    </x:row>
    <x:row r="85">
      <x:c r="A85" s="32" t="str"/>
      <x:c r="B85" s="32" t="str"/>
      <x:c r="C85" s="32" t="str"/>
      <x:c r="D85" s="32" t="str"/>
      <x:c r="E85" s="32" t="str"/>
      <x:c r="F85" s="32" t="str"/>
      <x:c r="G85" s="42"/>
      <x:c r="H85" s="32" t="str"/>
      <x:c r="I85" s="32" t="str"/>
      <x:c r="J85" s="32" t="str"/>
    </x:row>
    <x:row r="86">
      <x:c r="A86" s="32" t="str"/>
      <x:c r="B86" s="32" t="str"/>
      <x:c r="C86" s="32" t="str"/>
      <x:c r="D86" s="32" t="str"/>
      <x:c r="E86" s="32" t="str"/>
      <x:c r="F86" s="32" t="str"/>
      <x:c r="G86" s="42"/>
      <x:c r="H86" s="32" t="str"/>
      <x:c r="I86" s="32" t="str"/>
      <x:c r="J86" s="32" t="str"/>
    </x:row>
    <x:row r="87">
      <x:c r="A87" s="32" t="str"/>
      <x:c r="B87" s="32" t="str"/>
      <x:c r="C87" s="32" t="str"/>
      <x:c r="D87" s="32" t="str"/>
      <x:c r="E87" s="32" t="str"/>
      <x:c r="F87" s="32" t="str"/>
      <x:c r="G87" s="42"/>
      <x:c r="H87" s="32" t="str"/>
      <x:c r="I87" s="32" t="str"/>
      <x:c r="J87" s="32" t="str"/>
    </x:row>
    <x:row r="88">
      <x:c r="A88" s="32" t="str"/>
      <x:c r="B88" s="32" t="str"/>
      <x:c r="C88" s="32" t="str"/>
      <x:c r="D88" s="32" t="str"/>
      <x:c r="E88" s="32" t="str"/>
      <x:c r="F88" s="32" t="str"/>
      <x:c r="G88" s="42"/>
      <x:c r="H88" s="32" t="str"/>
      <x:c r="I88" s="32" t="str"/>
      <x:c r="J88" s="32" t="str"/>
    </x:row>
    <x:row r="89">
      <x:c r="A89" s="32" t="str"/>
      <x:c r="B89" s="32" t="str"/>
      <x:c r="C89" s="32" t="str"/>
      <x:c r="D89" s="32" t="str"/>
      <x:c r="E89" s="32" t="str"/>
      <x:c r="F89" s="32" t="str"/>
      <x:c r="G89" s="42"/>
      <x:c r="H89" s="32" t="str"/>
      <x:c r="I89" s="32" t="str"/>
      <x:c r="J89" s="32" t="str"/>
    </x:row>
    <x:row r="90">
      <x:c r="A90" s="32" t="str"/>
      <x:c r="B90" s="32" t="str"/>
      <x:c r="C90" s="32" t="str"/>
      <x:c r="D90" s="32" t="str"/>
      <x:c r="E90" s="32" t="str"/>
      <x:c r="F90" s="32" t="str"/>
      <x:c r="G90" s="42"/>
      <x:c r="H90" s="32" t="str"/>
      <x:c r="I90" s="32" t="str"/>
      <x:c r="J90" s="32" t="str"/>
    </x:row>
    <x:row r="91">
      <x:c r="A91" s="32" t="str"/>
      <x:c r="B91" s="32" t="str"/>
      <x:c r="C91" s="32" t="str"/>
      <x:c r="D91" s="32" t="str"/>
      <x:c r="E91" s="32" t="str"/>
      <x:c r="F91" s="32" t="str"/>
      <x:c r="G91" s="42"/>
      <x:c r="H91" s="32" t="str"/>
      <x:c r="I91" s="32" t="str"/>
      <x:c r="J91" s="32" t="str"/>
    </x:row>
    <x:row r="92">
      <x:c r="A92" s="32" t="str"/>
      <x:c r="B92" s="32" t="str"/>
      <x:c r="C92" s="32" t="str"/>
      <x:c r="D92" s="32" t="str"/>
      <x:c r="E92" s="32" t="str"/>
      <x:c r="F92" s="32" t="str"/>
      <x:c r="G92" s="42"/>
      <x:c r="H92" s="32" t="str"/>
      <x:c r="I92" s="32" t="str"/>
      <x:c r="J92" s="32" t="str"/>
    </x:row>
    <x:row r="93">
      <x:c r="A93" s="32" t="str"/>
      <x:c r="B93" s="32" t="str"/>
      <x:c r="C93" s="32" t="str"/>
      <x:c r="D93" s="32" t="str"/>
      <x:c r="E93" s="32" t="str"/>
      <x:c r="F93" s="32" t="str"/>
      <x:c r="G93" s="42"/>
      <x:c r="H93" s="32" t="str"/>
      <x:c r="I93" s="32" t="str"/>
      <x:c r="J93" s="32" t="str"/>
    </x:row>
    <x:row r="94">
      <x:c r="A94" s="32" t="str"/>
      <x:c r="B94" s="32" t="str"/>
      <x:c r="C94" s="32" t="str"/>
      <x:c r="D94" s="32" t="str"/>
      <x:c r="E94" s="32" t="str"/>
      <x:c r="F94" s="32" t="str"/>
      <x:c r="G94" s="42"/>
      <x:c r="H94" s="32" t="str"/>
      <x:c r="I94" s="32" t="str"/>
      <x:c r="J94" s="32" t="str"/>
    </x:row>
    <x:row r="95">
      <x:c r="A95" s="32" t="str"/>
      <x:c r="B95" s="32" t="str"/>
      <x:c r="C95" s="32" t="str"/>
      <x:c r="D95" s="32" t="str"/>
      <x:c r="E95" s="32" t="str"/>
      <x:c r="F95" s="32" t="str"/>
      <x:c r="G95" s="42"/>
      <x:c r="H95" s="32" t="str"/>
      <x:c r="I95" s="32" t="str"/>
      <x:c r="J95" s="32" t="str"/>
    </x:row>
    <x:row r="96">
      <x:c r="A96" s="32" t="str"/>
      <x:c r="B96" s="32" t="str"/>
      <x:c r="C96" s="32" t="str"/>
      <x:c r="D96" s="32" t="str"/>
      <x:c r="E96" s="32" t="str"/>
      <x:c r="F96" s="32" t="str"/>
      <x:c r="G96" s="42"/>
      <x:c r="H96" s="32" t="str"/>
      <x:c r="I96" s="32" t="str"/>
      <x:c r="J96" s="32" t="str"/>
    </x:row>
    <x:row r="97">
      <x:c r="A97" s="32" t="str"/>
      <x:c r="B97" s="32" t="str"/>
      <x:c r="C97" s="32" t="str"/>
      <x:c r="D97" s="32" t="str"/>
      <x:c r="E97" s="32" t="str"/>
      <x:c r="F97" s="32" t="str"/>
      <x:c r="G97" s="42"/>
      <x:c r="H97" s="32" t="str"/>
      <x:c r="I97" s="32" t="str"/>
      <x:c r="J97" s="32" t="str"/>
    </x:row>
    <x:row r="98">
      <x:c r="A98" s="32" t="str"/>
      <x:c r="B98" s="32" t="str"/>
      <x:c r="C98" s="32" t="str"/>
      <x:c r="D98" s="32" t="str"/>
      <x:c r="E98" s="32" t="str"/>
      <x:c r="F98" s="32" t="str"/>
      <x:c r="G98" s="42"/>
      <x:c r="H98" s="32" t="str"/>
      <x:c r="I98" s="32" t="str"/>
      <x:c r="J98" s="32" t="str"/>
    </x:row>
    <x:row r="99">
      <x:c r="A99" s="32" t="str"/>
      <x:c r="B99" s="32" t="str"/>
      <x:c r="C99" s="32" t="str"/>
      <x:c r="D99" s="32" t="str"/>
      <x:c r="E99" s="32" t="str"/>
      <x:c r="F99" s="32" t="str"/>
      <x:c r="G99" s="42"/>
      <x:c r="H99" s="32" t="str"/>
      <x:c r="I99" s="32" t="str"/>
      <x:c r="J99" s="32" t="str"/>
    </x:row>
    <x:row r="100">
      <x:c r="A100" s="32" t="str"/>
      <x:c r="B100" s="32" t="str"/>
      <x:c r="C100" s="32" t="str"/>
      <x:c r="D100" s="32" t="str"/>
      <x:c r="E100" s="32" t="str"/>
      <x:c r="F100" s="32" t="str"/>
      <x:c r="G100" s="42"/>
      <x:c r="H100" s="32" t="str"/>
      <x:c r="I100" s="32" t="str"/>
      <x:c r="J100" s="32" t="str"/>
    </x:row>
    <x:row r="101">
      <x:c r="A101" s="32" t="str"/>
      <x:c r="B101" s="32" t="str"/>
      <x:c r="C101" s="32" t="str"/>
      <x:c r="D101" s="32" t="str"/>
      <x:c r="E101" s="32" t="str"/>
      <x:c r="F101" s="32" t="str"/>
      <x:c r="G101" s="42"/>
      <x:c r="H101" s="32" t="str"/>
      <x:c r="I101" s="32" t="str"/>
      <x:c r="J101" s="32" t="str"/>
    </x:row>
    <x:row r="102">
      <x:c r="A102" s="32" t="str"/>
      <x:c r="B102" s="32" t="str"/>
      <x:c r="C102" s="32" t="str"/>
      <x:c r="D102" s="32" t="str"/>
      <x:c r="E102" s="32" t="str"/>
      <x:c r="F102" s="32" t="str"/>
      <x:c r="G102" s="42"/>
      <x:c r="H102" s="32" t="str"/>
      <x:c r="I102" s="32" t="str"/>
      <x:c r="J102" s="32" t="str"/>
    </x:row>
    <x:row r="103">
      <x:c r="A103" s="32" t="str"/>
      <x:c r="B103" s="32" t="str"/>
      <x:c r="C103" s="32" t="str"/>
      <x:c r="D103" s="32" t="str"/>
      <x:c r="E103" s="32" t="str"/>
      <x:c r="F103" s="32" t="str"/>
      <x:c r="G103" s="42"/>
      <x:c r="H103" s="32" t="str"/>
      <x:c r="I103" s="32" t="str"/>
      <x:c r="J103" s="32" t="str"/>
    </x:row>
    <x:row r="104">
      <x:c r="A104" s="32" t="str"/>
      <x:c r="B104" s="32" t="str"/>
      <x:c r="C104" s="32" t="str"/>
      <x:c r="D104" s="32" t="str"/>
      <x:c r="E104" s="32" t="str"/>
      <x:c r="F104" s="32" t="str"/>
      <x:c r="G104" s="42"/>
      <x:c r="H104" s="32" t="str"/>
      <x:c r="I104" s="32" t="str"/>
      <x:c r="J104" s="32" t="str"/>
    </x:row>
    <x:row r="105">
      <x:c r="A105" s="32" t="str"/>
      <x:c r="B105" s="32" t="str"/>
      <x:c r="C105" s="32" t="str"/>
      <x:c r="D105" s="32" t="str"/>
      <x:c r="E105" s="32" t="str"/>
      <x:c r="F105" s="32" t="str"/>
      <x:c r="G105" s="42"/>
      <x:c r="H105" s="32" t="str"/>
      <x:c r="I105" s="32" t="str"/>
      <x:c r="J105" s="32" t="str"/>
    </x:row>
    <x:row r="106">
      <x:c r="A106" s="32" t="str"/>
      <x:c r="B106" s="32" t="str"/>
      <x:c r="C106" s="32" t="str"/>
      <x:c r="D106" s="32" t="str"/>
      <x:c r="E106" s="32" t="str"/>
      <x:c r="F106" s="32" t="str"/>
      <x:c r="G106" s="42"/>
      <x:c r="H106" s="32" t="str"/>
      <x:c r="I106" s="32" t="str"/>
      <x:c r="J106" s="32" t="str"/>
    </x:row>
    <x:row r="107">
      <x:c r="A107" s="32" t="str"/>
      <x:c r="B107" s="32" t="str"/>
      <x:c r="C107" s="32" t="str"/>
      <x:c r="D107" s="32" t="str"/>
      <x:c r="E107" s="32" t="str"/>
      <x:c r="F107" s="32" t="str"/>
      <x:c r="G107" s="42"/>
      <x:c r="H107" s="32" t="str"/>
      <x:c r="I107" s="32" t="str"/>
      <x:c r="J107" s="32" t="str"/>
    </x:row>
    <x:row r="108">
      <x:c r="A108" s="32" t="str"/>
      <x:c r="B108" s="32" t="str"/>
      <x:c r="C108" s="32" t="str"/>
      <x:c r="D108" s="32" t="str"/>
      <x:c r="E108" s="32" t="str"/>
      <x:c r="F108" s="32" t="str"/>
      <x:c r="G108" s="42"/>
      <x:c r="H108" s="32" t="str"/>
      <x:c r="I108" s="32" t="str"/>
      <x:c r="J108" s="32" t="str"/>
    </x:row>
    <x:row r="109">
      <x:c r="A109" s="32" t="str"/>
      <x:c r="B109" s="32" t="str"/>
      <x:c r="C109" s="32" t="str"/>
      <x:c r="D109" s="32" t="str"/>
      <x:c r="E109" s="32" t="str"/>
      <x:c r="F109" s="32" t="str"/>
      <x:c r="G109" s="42"/>
      <x:c r="H109" s="32" t="str"/>
      <x:c r="I109" s="32" t="str"/>
      <x:c r="J109" s="32" t="str"/>
    </x:row>
    <x:row r="110">
      <x:c r="A110" s="32" t="str"/>
      <x:c r="B110" s="32" t="str"/>
      <x:c r="C110" s="32" t="str"/>
      <x:c r="D110" s="32" t="str"/>
      <x:c r="E110" s="32" t="str"/>
      <x:c r="F110" s="32" t="str"/>
      <x:c r="G110" s="42"/>
      <x:c r="H110" s="32" t="str"/>
      <x:c r="I110" s="32" t="str"/>
      <x:c r="J110" s="32" t="str"/>
    </x:row>
    <x:row r="111">
      <x:c r="A111" s="32" t="str"/>
      <x:c r="B111" s="32" t="str"/>
      <x:c r="C111" s="32" t="str"/>
      <x:c r="D111" s="32" t="str"/>
      <x:c r="E111" s="32" t="str"/>
      <x:c r="F111" s="32" t="str"/>
      <x:c r="G111" s="42"/>
      <x:c r="H111" s="32" t="str"/>
      <x:c r="I111" s="32" t="str"/>
      <x:c r="J111" s="32" t="str"/>
    </x:row>
    <x:row r="112">
      <x:c r="A112" s="32" t="str"/>
      <x:c r="B112" s="32" t="str"/>
      <x:c r="C112" s="32" t="str"/>
      <x:c r="D112" s="32" t="str"/>
      <x:c r="E112" s="32" t="str"/>
      <x:c r="F112" s="32" t="str"/>
      <x:c r="G112" s="42"/>
      <x:c r="H112" s="32" t="str"/>
      <x:c r="I112" s="32" t="str"/>
      <x:c r="J112" s="32" t="str"/>
    </x:row>
    <x:row r="113">
      <x:c r="A113" s="32" t="str"/>
      <x:c r="B113" s="32" t="str"/>
      <x:c r="C113" s="32" t="str"/>
      <x:c r="D113" s="32" t="str"/>
      <x:c r="E113" s="32" t="str"/>
      <x:c r="F113" s="32" t="str"/>
      <x:c r="G113" s="42"/>
      <x:c r="H113" s="32" t="str"/>
      <x:c r="I113" s="32" t="str"/>
      <x:c r="J113" s="32" t="str"/>
    </x:row>
    <x:row r="114">
      <x:c r="A114" s="32" t="str"/>
      <x:c r="B114" s="32" t="str"/>
      <x:c r="C114" s="32" t="str"/>
      <x:c r="D114" s="32" t="str"/>
      <x:c r="E114" s="32" t="str"/>
      <x:c r="F114" s="32" t="str"/>
      <x:c r="G114" s="42"/>
      <x:c r="H114" s="32" t="str"/>
      <x:c r="I114" s="32" t="str"/>
      <x:c r="J114" s="32" t="str"/>
    </x:row>
    <x:row r="115">
      <x:c r="A115" s="32" t="str"/>
      <x:c r="B115" s="32" t="str"/>
      <x:c r="C115" s="32" t="str"/>
      <x:c r="D115" s="32" t="str"/>
      <x:c r="E115" s="32" t="str"/>
      <x:c r="F115" s="32" t="str"/>
      <x:c r="G115" s="42"/>
      <x:c r="H115" s="32" t="str"/>
      <x:c r="I115" s="32" t="str"/>
      <x:c r="J115" s="32" t="str"/>
    </x:row>
    <x:row r="116">
      <x:c r="A116" s="32" t="str"/>
      <x:c r="B116" s="32" t="str"/>
      <x:c r="C116" s="32" t="str"/>
      <x:c r="D116" s="32" t="str"/>
      <x:c r="E116" s="32" t="str"/>
      <x:c r="F116" s="32" t="str"/>
      <x:c r="G116" s="42"/>
      <x:c r="H116" s="32" t="str"/>
      <x:c r="I116" s="32" t="str"/>
      <x:c r="J116" s="32" t="str"/>
    </x:row>
    <x:row r="117">
      <x:c r="A117" s="32" t="str"/>
      <x:c r="B117" s="32" t="str"/>
      <x:c r="C117" s="32" t="str"/>
      <x:c r="D117" s="32" t="str"/>
      <x:c r="E117" s="32" t="str"/>
      <x:c r="F117" s="32" t="str"/>
      <x:c r="G117" s="42"/>
      <x:c r="H117" s="32" t="str"/>
      <x:c r="I117" s="32" t="str"/>
      <x:c r="J117" s="32" t="str"/>
    </x:row>
    <x:row r="118">
      <x:c r="A118" s="32" t="str"/>
      <x:c r="B118" s="32" t="str"/>
      <x:c r="C118" s="32" t="str"/>
      <x:c r="D118" s="32" t="str"/>
      <x:c r="E118" s="32" t="str"/>
      <x:c r="F118" s="32" t="str"/>
      <x:c r="G118" s="42"/>
      <x:c r="H118" s="32" t="str"/>
      <x:c r="I118" s="32" t="str"/>
      <x:c r="J118" s="32" t="str"/>
    </x:row>
    <x:row r="119">
      <x:c r="A119" s="32" t="str"/>
      <x:c r="B119" s="32" t="str"/>
      <x:c r="C119" s="32" t="str"/>
      <x:c r="D119" s="32" t="str"/>
      <x:c r="E119" s="32" t="str"/>
      <x:c r="F119" s="32" t="str"/>
      <x:c r="G119" s="42"/>
      <x:c r="H119" s="32" t="str"/>
      <x:c r="I119" s="32" t="str"/>
      <x:c r="J119" s="32" t="str"/>
    </x:row>
    <x:row r="120">
      <x:c r="A120" s="32" t="str"/>
      <x:c r="B120" s="32" t="str"/>
      <x:c r="C120" s="32" t="str"/>
      <x:c r="D120" s="32" t="str"/>
      <x:c r="E120" s="32" t="str"/>
      <x:c r="F120" s="32" t="str"/>
      <x:c r="G120" s="42"/>
      <x:c r="H120" s="32" t="str"/>
      <x:c r="I120" s="32" t="str"/>
      <x:c r="J120" s="32" t="str"/>
    </x:row>
    <x:row r="121">
      <x:c r="A121" s="32" t="str"/>
      <x:c r="B121" s="32" t="str"/>
      <x:c r="C121" s="32" t="str"/>
      <x:c r="D121" s="32" t="str"/>
      <x:c r="E121" s="32" t="str"/>
      <x:c r="F121" s="32" t="str"/>
      <x:c r="G121" s="42"/>
      <x:c r="H121" s="32" t="str"/>
      <x:c r="I121" s="32" t="str"/>
      <x:c r="J121" s="32" t="str"/>
    </x:row>
    <x:row r="122">
      <x:c r="A122" s="32" t="str"/>
      <x:c r="B122" s="32" t="str"/>
      <x:c r="C122" s="32" t="str"/>
      <x:c r="D122" s="32" t="str"/>
      <x:c r="E122" s="32" t="str"/>
      <x:c r="F122" s="32" t="str"/>
      <x:c r="G122" s="42"/>
      <x:c r="H122" s="32" t="str"/>
      <x:c r="I122" s="32" t="str"/>
      <x:c r="J122" s="32" t="str"/>
    </x:row>
    <x:row r="123">
      <x:c r="A123" s="32" t="str"/>
      <x:c r="B123" s="32" t="str"/>
      <x:c r="C123" s="32" t="str"/>
      <x:c r="D123" s="32" t="str"/>
      <x:c r="E123" s="32" t="str"/>
      <x:c r="F123" s="32" t="str"/>
      <x:c r="G123" s="42"/>
      <x:c r="H123" s="32" t="str"/>
      <x:c r="I123" s="32" t="str"/>
      <x:c r="J123" s="32" t="str"/>
    </x:row>
    <x:row r="124">
      <x:c r="A124" s="32" t="str"/>
      <x:c r="B124" s="32" t="str"/>
      <x:c r="C124" s="32" t="str"/>
      <x:c r="D124" s="32" t="str"/>
      <x:c r="E124" s="32" t="str"/>
      <x:c r="F124" s="32" t="str"/>
      <x:c r="G124" s="42"/>
      <x:c r="H124" s="32" t="str"/>
      <x:c r="I124" s="32" t="str"/>
      <x:c r="J124" s="32" t="str"/>
    </x:row>
    <x:row r="125">
      <x:c r="A125" s="32" t="str"/>
      <x:c r="B125" s="32" t="str"/>
      <x:c r="C125" s="32" t="str"/>
      <x:c r="D125" s="32" t="str"/>
      <x:c r="E125" s="32" t="str"/>
      <x:c r="F125" s="32" t="str"/>
      <x:c r="G125" s="42"/>
      <x:c r="H125" s="32" t="str"/>
      <x:c r="I125" s="32" t="str"/>
      <x:c r="J125" s="32" t="str"/>
    </x:row>
    <x:row r="126">
      <x:c r="A126" s="32" t="str"/>
      <x:c r="B126" s="32" t="str"/>
      <x:c r="C126" s="32" t="str"/>
      <x:c r="D126" s="32" t="str"/>
      <x:c r="E126" s="32" t="str"/>
      <x:c r="F126" s="32" t="str"/>
      <x:c r="G126" s="42"/>
      <x:c r="H126" s="32" t="str"/>
      <x:c r="I126" s="32" t="str"/>
      <x:c r="J126" s="32" t="str"/>
    </x:row>
    <x:row r="127">
      <x:c r="A127" s="32" t="str"/>
      <x:c r="B127" s="32" t="str"/>
      <x:c r="C127" s="32" t="str"/>
      <x:c r="D127" s="32" t="str"/>
      <x:c r="E127" s="32" t="str"/>
      <x:c r="F127" s="32" t="str"/>
      <x:c r="G127" s="42"/>
      <x:c r="H127" s="32" t="str"/>
      <x:c r="I127" s="32" t="str"/>
      <x:c r="J127" s="32" t="str"/>
    </x:row>
    <x:row r="128">
      <x:c r="A128" s="32" t="str"/>
      <x:c r="B128" s="32" t="str"/>
      <x:c r="C128" s="32" t="str"/>
      <x:c r="D128" s="32" t="str"/>
      <x:c r="E128" s="32" t="str"/>
      <x:c r="F128" s="32" t="str"/>
      <x:c r="G128" s="42"/>
      <x:c r="H128" s="32" t="str"/>
      <x:c r="I128" s="32" t="str"/>
      <x:c r="J128" s="32" t="str"/>
    </x:row>
    <x:row r="129">
      <x:c r="A129" s="32" t="str"/>
      <x:c r="B129" s="32" t="str"/>
      <x:c r="C129" s="32" t="str"/>
      <x:c r="D129" s="32" t="str"/>
      <x:c r="E129" s="32" t="str"/>
      <x:c r="F129" s="32" t="str"/>
      <x:c r="G129" s="42"/>
      <x:c r="H129" s="32" t="str"/>
      <x:c r="I129" s="32" t="str"/>
      <x:c r="J129" s="32" t="str"/>
    </x:row>
    <x:row r="130">
      <x:c r="A130" s="32" t="str"/>
      <x:c r="B130" s="32" t="str"/>
      <x:c r="C130" s="32" t="str"/>
      <x:c r="D130" s="32" t="str"/>
      <x:c r="E130" s="32" t="str"/>
      <x:c r="F130" s="32" t="str"/>
      <x:c r="G130" s="42"/>
      <x:c r="H130" s="32" t="str"/>
      <x:c r="I130" s="32" t="str"/>
      <x:c r="J130" s="32" t="str"/>
    </x:row>
    <x:row r="131">
      <x:c r="A131" s="32" t="str"/>
      <x:c r="B131" s="32" t="str"/>
      <x:c r="C131" s="32" t="str"/>
      <x:c r="D131" s="32" t="str"/>
      <x:c r="E131" s="32" t="str"/>
      <x:c r="F131" s="32" t="str"/>
      <x:c r="G131" s="42"/>
      <x:c r="H131" s="32" t="str"/>
      <x:c r="I131" s="32" t="str"/>
      <x:c r="J131" s="32" t="str"/>
    </x:row>
    <x:row r="132">
      <x:c r="A132" s="32" t="str"/>
      <x:c r="B132" s="32" t="str"/>
      <x:c r="C132" s="32" t="str"/>
      <x:c r="D132" s="32" t="str"/>
      <x:c r="E132" s="32" t="str"/>
      <x:c r="F132" s="32" t="str"/>
      <x:c r="G132" s="42"/>
      <x:c r="H132" s="32" t="str"/>
      <x:c r="I132" s="32" t="str"/>
      <x:c r="J132" s="32" t="str"/>
    </x:row>
    <x:row r="133">
      <x:c r="A133" s="32" t="str"/>
      <x:c r="B133" s="32" t="str"/>
      <x:c r="C133" s="32" t="str"/>
      <x:c r="D133" s="32" t="str"/>
      <x:c r="E133" s="32" t="str"/>
      <x:c r="F133" s="32" t="str"/>
      <x:c r="G133" s="42"/>
      <x:c r="H133" s="32" t="str"/>
      <x:c r="I133" s="32" t="str"/>
      <x:c r="J133" s="32" t="str"/>
    </x:row>
    <x:row r="134">
      <x:c r="A134" s="32" t="str"/>
      <x:c r="B134" s="32" t="str"/>
      <x:c r="C134" s="32" t="str"/>
      <x:c r="D134" s="32" t="str"/>
      <x:c r="E134" s="32" t="str"/>
      <x:c r="F134" s="32" t="str"/>
      <x:c r="G134" s="42"/>
      <x:c r="H134" s="32" t="str"/>
      <x:c r="I134" s="32" t="str"/>
      <x:c r="J134" s="32" t="str"/>
    </x:row>
    <x:row r="135">
      <x:c r="A135" s="32" t="str"/>
      <x:c r="B135" s="32" t="str"/>
      <x:c r="C135" s="32" t="str"/>
      <x:c r="D135" s="32" t="str"/>
      <x:c r="E135" s="32" t="str"/>
      <x:c r="F135" s="32" t="str"/>
      <x:c r="G135" s="42"/>
      <x:c r="H135" s="32" t="str"/>
      <x:c r="I135" s="32" t="str"/>
      <x:c r="J135" s="32" t="str"/>
    </x:row>
    <x:row r="136">
      <x:c r="A136" s="32" t="str"/>
      <x:c r="B136" s="32" t="str"/>
      <x:c r="C136" s="32" t="str"/>
      <x:c r="D136" s="32" t="str"/>
      <x:c r="E136" s="32" t="str"/>
      <x:c r="F136" s="32" t="str"/>
      <x:c r="G136" s="42"/>
      <x:c r="H136" s="32" t="str"/>
      <x:c r="I136" s="32" t="str"/>
      <x:c r="J136" s="32" t="str"/>
    </x:row>
    <x:row r="137">
      <x:c r="A137" s="32" t="str"/>
      <x:c r="B137" s="32" t="str"/>
      <x:c r="C137" s="32" t="str"/>
      <x:c r="D137" s="32" t="str"/>
      <x:c r="E137" s="32" t="str"/>
      <x:c r="F137" s="32" t="str"/>
      <x:c r="G137" s="42"/>
      <x:c r="H137" s="32" t="str"/>
      <x:c r="I137" s="32" t="str"/>
      <x:c r="J137" s="32" t="str"/>
    </x:row>
    <x:row r="138">
      <x:c r="A138" s="32" t="str"/>
      <x:c r="B138" s="32" t="str"/>
      <x:c r="C138" s="32" t="str"/>
      <x:c r="D138" s="32" t="str"/>
      <x:c r="E138" s="32" t="str"/>
      <x:c r="F138" s="32" t="str"/>
      <x:c r="G138" s="42"/>
      <x:c r="H138" s="32" t="str"/>
      <x:c r="I138" s="32" t="str"/>
      <x:c r="J138" s="32" t="str"/>
    </x:row>
    <x:row r="139">
      <x:c r="A139" s="32" t="str"/>
      <x:c r="B139" s="32" t="str"/>
      <x:c r="C139" s="32" t="str"/>
      <x:c r="D139" s="32" t="str"/>
      <x:c r="E139" s="32" t="str"/>
      <x:c r="F139" s="32" t="str"/>
      <x:c r="G139" s="42"/>
      <x:c r="H139" s="32" t="str"/>
      <x:c r="I139" s="32" t="str"/>
      <x:c r="J139" s="32" t="str"/>
    </x:row>
    <x:row r="140">
      <x:c r="A140" s="32" t="str"/>
      <x:c r="B140" s="32" t="str"/>
      <x:c r="C140" s="32" t="str"/>
      <x:c r="D140" s="32" t="str"/>
      <x:c r="E140" s="32" t="str"/>
      <x:c r="F140" s="32" t="str"/>
      <x:c r="G140" s="42"/>
      <x:c r="H140" s="32" t="str"/>
      <x:c r="I140" s="32" t="str"/>
      <x:c r="J140" s="32" t="str"/>
    </x:row>
    <x:row r="141">
      <x:c r="A141" s="32" t="str"/>
      <x:c r="B141" s="32" t="str"/>
      <x:c r="C141" s="32" t="str"/>
      <x:c r="D141" s="32" t="str"/>
      <x:c r="E141" s="32" t="str"/>
      <x:c r="F141" s="32" t="str"/>
      <x:c r="G141" s="42"/>
      <x:c r="H141" s="32" t="str"/>
      <x:c r="I141" s="32" t="str"/>
      <x:c r="J141" s="32" t="str"/>
    </x:row>
    <x:row r="142">
      <x:c r="A142" s="32" t="str"/>
      <x:c r="B142" s="32" t="str"/>
      <x:c r="C142" s="32" t="str"/>
      <x:c r="D142" s="32" t="str"/>
      <x:c r="E142" s="32" t="str"/>
      <x:c r="F142" s="32" t="str"/>
      <x:c r="G142" s="42"/>
      <x:c r="H142" s="32" t="str"/>
      <x:c r="I142" s="32" t="str"/>
      <x:c r="J142" s="32" t="str"/>
    </x:row>
    <x:row r="143">
      <x:c r="A143" s="32" t="str"/>
      <x:c r="B143" s="32" t="str"/>
      <x:c r="C143" s="32" t="str"/>
      <x:c r="D143" s="32" t="str"/>
      <x:c r="E143" s="32" t="str"/>
      <x:c r="F143" s="32" t="str"/>
      <x:c r="G143" s="42"/>
      <x:c r="H143" s="32" t="str"/>
      <x:c r="I143" s="32" t="str"/>
      <x:c r="J143" s="32" t="str"/>
    </x:row>
    <x:row r="144">
      <x:c r="A144" s="32" t="str"/>
      <x:c r="B144" s="32" t="str"/>
      <x:c r="C144" s="32" t="str"/>
      <x:c r="D144" s="32" t="str"/>
      <x:c r="E144" s="32" t="str"/>
      <x:c r="F144" s="32" t="str"/>
      <x:c r="G144" s="42"/>
      <x:c r="H144" s="32" t="str"/>
      <x:c r="I144" s="32" t="str"/>
      <x:c r="J144" s="32" t="str"/>
    </x:row>
    <x:row r="145">
      <x:c r="A145" s="32" t="str"/>
      <x:c r="B145" s="32" t="str"/>
      <x:c r="C145" s="32" t="str"/>
      <x:c r="D145" s="32" t="str"/>
      <x:c r="E145" s="32" t="str"/>
      <x:c r="F145" s="32" t="str"/>
      <x:c r="G145" s="42"/>
      <x:c r="H145" s="32" t="str"/>
      <x:c r="I145" s="32" t="str"/>
      <x:c r="J145" s="32" t="str"/>
    </x:row>
    <x:row r="146">
      <x:c r="A146" s="32" t="str"/>
      <x:c r="B146" s="32" t="str"/>
      <x:c r="C146" s="32" t="str"/>
      <x:c r="D146" s="32" t="str"/>
      <x:c r="E146" s="32" t="str"/>
      <x:c r="F146" s="32" t="str"/>
      <x:c r="G146" s="42"/>
      <x:c r="H146" s="32" t="str"/>
      <x:c r="I146" s="32" t="str"/>
      <x:c r="J146" s="32" t="str"/>
    </x:row>
    <x:row r="147">
      <x:c r="A147" s="32" t="str"/>
      <x:c r="B147" s="32" t="str"/>
      <x:c r="C147" s="32" t="str"/>
      <x:c r="D147" s="32" t="str"/>
      <x:c r="E147" s="32" t="str"/>
      <x:c r="F147" s="32" t="str"/>
      <x:c r="G147" s="42"/>
      <x:c r="H147" s="32" t="str"/>
      <x:c r="I147" s="32" t="str"/>
      <x:c r="J147" s="32" t="str"/>
    </x:row>
    <x:row r="148">
      <x:c r="A148" s="32" t="str"/>
      <x:c r="B148" s="32" t="str"/>
      <x:c r="C148" s="32" t="str"/>
      <x:c r="D148" s="32" t="str"/>
      <x:c r="E148" s="32" t="str"/>
      <x:c r="F148" s="32" t="str"/>
      <x:c r="G148" s="42"/>
      <x:c r="H148" s="32" t="str"/>
      <x:c r="I148" s="32" t="str"/>
      <x:c r="J148" s="32" t="str"/>
    </x:row>
    <x:row r="149">
      <x:c r="A149" s="32" t="str"/>
      <x:c r="B149" s="32" t="str"/>
      <x:c r="C149" s="32" t="str"/>
      <x:c r="D149" s="32" t="str"/>
      <x:c r="E149" s="32" t="str"/>
      <x:c r="F149" s="32" t="str"/>
      <x:c r="G149" s="42"/>
      <x:c r="H149" s="32" t="str"/>
      <x:c r="I149" s="32" t="str"/>
      <x:c r="J149" s="32" t="str"/>
    </x:row>
    <x:row r="150">
      <x:c r="A150" s="32" t="str"/>
      <x:c r="B150" s="32" t="str"/>
      <x:c r="C150" s="32" t="str"/>
      <x:c r="D150" s="32" t="str"/>
      <x:c r="E150" s="32" t="str"/>
      <x:c r="F150" s="32" t="str"/>
      <x:c r="G150" s="42"/>
      <x:c r="H150" s="32" t="str"/>
      <x:c r="I150" s="32" t="str"/>
      <x:c r="J150" s="32" t="str"/>
    </x:row>
    <x:row r="151">
      <x:c r="A151" s="32" t="str"/>
      <x:c r="B151" s="32" t="str"/>
      <x:c r="C151" s="32" t="str"/>
      <x:c r="D151" s="32" t="str"/>
      <x:c r="E151" s="32" t="str"/>
      <x:c r="F151" s="32" t="str"/>
      <x:c r="G151" s="42"/>
      <x:c r="H151" s="32" t="str"/>
      <x:c r="I151" s="32" t="str"/>
      <x:c r="J151" s="32" t="str"/>
    </x:row>
    <x:row r="152">
      <x:c r="A152" s="32" t="str"/>
      <x:c r="B152" s="32" t="str"/>
      <x:c r="C152" s="32" t="str"/>
      <x:c r="D152" s="32" t="str"/>
      <x:c r="E152" s="32" t="str"/>
      <x:c r="F152" s="32" t="str"/>
      <x:c r="G152" s="42"/>
      <x:c r="H152" s="32" t="str"/>
      <x:c r="I152" s="32" t="str"/>
      <x:c r="J152" s="32" t="str"/>
    </x:row>
    <x:row r="153">
      <x:c r="A153" s="32" t="str"/>
      <x:c r="B153" s="32" t="str"/>
      <x:c r="C153" s="32" t="str"/>
      <x:c r="D153" s="32" t="str"/>
      <x:c r="E153" s="32" t="str"/>
      <x:c r="F153" s="32" t="str"/>
      <x:c r="G153" s="42"/>
      <x:c r="H153" s="32" t="str"/>
      <x:c r="I153" s="32" t="str"/>
      <x:c r="J153" s="32" t="str"/>
    </x:row>
    <x:row r="154">
      <x:c r="A154" s="32" t="str"/>
      <x:c r="B154" s="32" t="str"/>
      <x:c r="C154" s="32" t="str"/>
      <x:c r="D154" s="32" t="str"/>
      <x:c r="E154" s="32" t="str"/>
      <x:c r="F154" s="32" t="str"/>
      <x:c r="G154" s="42"/>
      <x:c r="H154" s="32" t="str"/>
      <x:c r="I154" s="32" t="str"/>
      <x:c r="J154" s="32" t="str"/>
    </x:row>
    <x:row r="155">
      <x:c r="A155" s="32" t="str"/>
      <x:c r="B155" s="32" t="str"/>
      <x:c r="C155" s="32" t="str"/>
      <x:c r="D155" s="32" t="str"/>
      <x:c r="E155" s="32" t="str"/>
      <x:c r="F155" s="32" t="str"/>
      <x:c r="G155" s="42"/>
      <x:c r="H155" s="32" t="str"/>
      <x:c r="I155" s="32" t="str"/>
      <x:c r="J155" s="32" t="str"/>
    </x:row>
    <x:row r="156">
      <x:c r="A156" s="32" t="str"/>
      <x:c r="B156" s="32" t="str"/>
      <x:c r="C156" s="32" t="str"/>
      <x:c r="D156" s="32" t="str"/>
      <x:c r="E156" s="32" t="str"/>
      <x:c r="F156" s="32" t="str"/>
      <x:c r="G156" s="42"/>
      <x:c r="H156" s="32" t="str"/>
      <x:c r="I156" s="32" t="str"/>
      <x:c r="J156" s="32" t="str"/>
    </x:row>
    <x:row r="157">
      <x:c r="A157" s="32" t="str"/>
      <x:c r="B157" s="32" t="str"/>
      <x:c r="C157" s="32" t="str"/>
      <x:c r="D157" s="32" t="str"/>
      <x:c r="E157" s="32" t="str"/>
      <x:c r="F157" s="32" t="str"/>
      <x:c r="G157" s="42"/>
      <x:c r="H157" s="32" t="str"/>
      <x:c r="I157" s="32" t="str"/>
      <x:c r="J157" s="32" t="str"/>
    </x:row>
    <x:row r="158">
      <x:c r="A158" s="32" t="str"/>
      <x:c r="B158" s="32" t="str"/>
      <x:c r="C158" s="32" t="str"/>
      <x:c r="D158" s="32" t="str"/>
      <x:c r="E158" s="32" t="str"/>
      <x:c r="F158" s="32" t="str"/>
      <x:c r="G158" s="42"/>
      <x:c r="H158" s="32" t="str"/>
      <x:c r="I158" s="32" t="str"/>
      <x:c r="J158" s="32" t="str"/>
    </x:row>
    <x:row r="159">
      <x:c r="A159" s="32" t="str"/>
      <x:c r="B159" s="32" t="str"/>
      <x:c r="C159" s="32" t="str"/>
      <x:c r="D159" s="32" t="str"/>
      <x:c r="E159" s="32" t="str"/>
      <x:c r="F159" s="32" t="str"/>
      <x:c r="G159" s="42"/>
      <x:c r="H159" s="32" t="str"/>
      <x:c r="I159" s="32" t="str"/>
      <x:c r="J159" s="32" t="str"/>
    </x:row>
    <x:row r="160">
      <x:c r="A160" s="32" t="str"/>
      <x:c r="B160" s="32" t="str"/>
      <x:c r="C160" s="32" t="str"/>
      <x:c r="D160" s="32" t="str"/>
      <x:c r="E160" s="32" t="str"/>
      <x:c r="F160" s="32" t="str"/>
      <x:c r="G160" s="42"/>
      <x:c r="H160" s="32" t="str"/>
      <x:c r="I160" s="32" t="str"/>
      <x:c r="J160" s="32" t="str"/>
    </x:row>
    <x:row r="161">
      <x:c r="A161" s="32" t="str"/>
      <x:c r="B161" s="32" t="str"/>
      <x:c r="C161" s="32" t="str"/>
      <x:c r="D161" s="32" t="str"/>
      <x:c r="E161" s="32" t="str"/>
      <x:c r="F161" s="32" t="str"/>
      <x:c r="G161" s="42"/>
      <x:c r="H161" s="32" t="str"/>
      <x:c r="I161" s="32" t="str"/>
      <x:c r="J161" s="32" t="str"/>
    </x:row>
    <x:row r="162">
      <x:c r="A162" s="32" t="str"/>
      <x:c r="B162" s="32" t="str"/>
      <x:c r="C162" s="32" t="str"/>
      <x:c r="D162" s="32" t="str"/>
      <x:c r="E162" s="32" t="str"/>
      <x:c r="F162" s="32" t="str"/>
      <x:c r="G162" s="42"/>
      <x:c r="H162" s="32" t="str"/>
      <x:c r="I162" s="32" t="str"/>
      <x:c r="J162" s="32" t="str"/>
    </x:row>
    <x:row r="163">
      <x:c r="A163" s="32" t="str"/>
      <x:c r="B163" s="32" t="str"/>
      <x:c r="C163" s="32" t="str"/>
      <x:c r="D163" s="32" t="str"/>
      <x:c r="E163" s="32" t="str"/>
      <x:c r="F163" s="32" t="str"/>
      <x:c r="G163" s="42"/>
      <x:c r="H163" s="32" t="str"/>
      <x:c r="I163" s="32" t="str"/>
      <x:c r="J163" s="32" t="str"/>
    </x:row>
    <x:row r="164">
      <x:c r="A164" s="32" t="str"/>
      <x:c r="B164" s="32" t="str"/>
      <x:c r="C164" s="32" t="str"/>
      <x:c r="D164" s="32" t="str"/>
      <x:c r="E164" s="32" t="str"/>
      <x:c r="F164" s="32" t="str"/>
      <x:c r="G164" s="42"/>
      <x:c r="H164" s="32" t="str"/>
      <x:c r="I164" s="32" t="str"/>
      <x:c r="J164" s="32" t="str"/>
    </x:row>
    <x:row r="165">
      <x:c r="A165" s="32" t="str"/>
      <x:c r="B165" s="32" t="str"/>
      <x:c r="C165" s="32" t="str"/>
      <x:c r="D165" s="32" t="str"/>
      <x:c r="E165" s="32" t="str"/>
      <x:c r="F165" s="32" t="str"/>
      <x:c r="G165" s="42"/>
      <x:c r="H165" s="32" t="str"/>
      <x:c r="I165" s="32" t="str"/>
      <x:c r="J165" s="32" t="str"/>
    </x:row>
    <x:row r="166">
      <x:c r="A166" s="32" t="str"/>
      <x:c r="B166" s="32" t="str"/>
      <x:c r="C166" s="32" t="str"/>
      <x:c r="D166" s="32" t="str"/>
      <x:c r="E166" s="32" t="str"/>
      <x:c r="F166" s="32" t="str"/>
      <x:c r="G166" s="42"/>
      <x:c r="H166" s="32" t="str"/>
      <x:c r="I166" s="32" t="str"/>
      <x:c r="J166" s="32" t="str"/>
    </x:row>
    <x:row r="167">
      <x:c r="A167" s="32" t="str"/>
      <x:c r="B167" s="32" t="str"/>
      <x:c r="C167" s="32" t="str"/>
      <x:c r="D167" s="32" t="str"/>
      <x:c r="E167" s="32" t="str"/>
      <x:c r="F167" s="32" t="str"/>
      <x:c r="G167" s="42"/>
      <x:c r="H167" s="32" t="str"/>
      <x:c r="I167" s="32" t="str"/>
      <x:c r="J167" s="32" t="str"/>
    </x:row>
    <x:row r="168">
      <x:c r="A168" s="32" t="str"/>
      <x:c r="B168" s="32" t="str"/>
      <x:c r="C168" s="32" t="str"/>
      <x:c r="D168" s="32" t="str"/>
      <x:c r="E168" s="32" t="str"/>
      <x:c r="F168" s="32" t="str"/>
      <x:c r="G168" s="42"/>
      <x:c r="H168" s="32" t="str"/>
      <x:c r="I168" s="32" t="str"/>
      <x:c r="J168" s="32" t="str"/>
    </x:row>
    <x:row r="169">
      <x:c r="A169" s="32" t="str"/>
      <x:c r="B169" s="32" t="str"/>
      <x:c r="C169" s="32" t="str"/>
      <x:c r="D169" s="32" t="str"/>
      <x:c r="E169" s="32" t="str"/>
      <x:c r="F169" s="32" t="str"/>
      <x:c r="G169" s="42"/>
      <x:c r="H169" s="32" t="str"/>
      <x:c r="I169" s="32" t="str"/>
      <x:c r="J169" s="32" t="str"/>
    </x:row>
    <x:row r="170">
      <x:c r="A170" s="32" t="str"/>
      <x:c r="B170" s="32" t="str"/>
      <x:c r="C170" s="32" t="str"/>
      <x:c r="D170" s="32" t="str"/>
      <x:c r="E170" s="32" t="str"/>
      <x:c r="F170" s="32" t="str"/>
      <x:c r="G170" s="42"/>
      <x:c r="H170" s="32" t="str"/>
      <x:c r="I170" s="32" t="str"/>
      <x:c r="J170" s="32" t="str"/>
    </x:row>
    <x:row r="171">
      <x:c r="A171" s="32" t="str"/>
      <x:c r="B171" s="32" t="str"/>
      <x:c r="C171" s="32" t="str"/>
      <x:c r="D171" s="32" t="str"/>
      <x:c r="E171" s="32" t="str"/>
      <x:c r="F171" s="32" t="str"/>
      <x:c r="G171" s="42"/>
      <x:c r="H171" s="32" t="str"/>
      <x:c r="I171" s="32" t="str"/>
      <x:c r="J171" s="32" t="str"/>
    </x:row>
    <x:row r="172">
      <x:c r="A172" s="32" t="str"/>
      <x:c r="B172" s="32" t="str"/>
      <x:c r="C172" s="32" t="str"/>
      <x:c r="D172" s="32" t="str"/>
      <x:c r="E172" s="32" t="str"/>
      <x:c r="F172" s="32" t="str"/>
      <x:c r="G172" s="42"/>
      <x:c r="H172" s="32" t="str"/>
      <x:c r="I172" s="32" t="str"/>
      <x:c r="J172" s="32" t="str"/>
    </x:row>
    <x:row r="173">
      <x:c r="A173" s="32" t="str"/>
      <x:c r="B173" s="32" t="str"/>
      <x:c r="C173" s="32" t="str"/>
      <x:c r="D173" s="32" t="str"/>
      <x:c r="E173" s="32" t="str"/>
      <x:c r="F173" s="32" t="str"/>
      <x:c r="G173" s="42"/>
      <x:c r="H173" s="32" t="str"/>
      <x:c r="I173" s="32" t="str"/>
      <x:c r="J173" s="32" t="str"/>
    </x:row>
    <x:row r="174">
      <x:c r="A174" s="32" t="str"/>
      <x:c r="B174" s="32" t="str"/>
      <x:c r="C174" s="32" t="str"/>
      <x:c r="D174" s="32" t="str"/>
      <x:c r="E174" s="32" t="str"/>
      <x:c r="F174" s="32" t="str"/>
      <x:c r="G174" s="42"/>
      <x:c r="H174" s="32" t="str"/>
      <x:c r="I174" s="32" t="str"/>
      <x:c r="J174" s="32" t="str"/>
    </x:row>
    <x:row r="175">
      <x:c r="A175" s="32" t="str"/>
      <x:c r="B175" s="32" t="str"/>
      <x:c r="C175" s="32" t="str"/>
      <x:c r="D175" s="32" t="str"/>
      <x:c r="E175" s="32" t="str"/>
      <x:c r="F175" s="32" t="str"/>
      <x:c r="G175" s="42"/>
      <x:c r="H175" s="32" t="str"/>
      <x:c r="I175" s="32" t="str"/>
      <x:c r="J175" s="32" t="str"/>
    </x:row>
    <x:row r="176">
      <x:c r="A176" s="32" t="str"/>
      <x:c r="B176" s="32" t="str"/>
      <x:c r="C176" s="32" t="str"/>
      <x:c r="D176" s="32" t="str"/>
      <x:c r="E176" s="32" t="str"/>
      <x:c r="F176" s="32" t="str"/>
      <x:c r="G176" s="42"/>
      <x:c r="H176" s="32" t="str"/>
      <x:c r="I176" s="32" t="str"/>
      <x:c r="J176" s="32" t="str"/>
    </x:row>
    <x:row r="177">
      <x:c r="A177" s="32" t="str"/>
      <x:c r="B177" s="32" t="str"/>
      <x:c r="C177" s="32" t="str"/>
      <x:c r="D177" s="32" t="str"/>
      <x:c r="E177" s="32" t="str"/>
      <x:c r="F177" s="32" t="str"/>
      <x:c r="G177" s="42"/>
      <x:c r="H177" s="32" t="str"/>
      <x:c r="I177" s="32" t="str"/>
      <x:c r="J177" s="32" t="str"/>
    </x:row>
    <x:row r="178">
      <x:c r="A178" s="32" t="str"/>
      <x:c r="B178" s="32" t="str"/>
      <x:c r="C178" s="32" t="str"/>
      <x:c r="D178" s="32" t="str"/>
      <x:c r="E178" s="32" t="str"/>
      <x:c r="F178" s="32" t="str"/>
      <x:c r="G178" s="42"/>
      <x:c r="H178" s="32" t="str"/>
      <x:c r="I178" s="32" t="str"/>
      <x:c r="J178" s="32" t="str"/>
    </x:row>
    <x:row r="179">
      <x:c r="A179" s="32" t="str"/>
      <x:c r="B179" s="32" t="str"/>
      <x:c r="C179" s="32" t="str"/>
      <x:c r="D179" s="32" t="str"/>
      <x:c r="E179" s="32" t="str"/>
      <x:c r="F179" s="32" t="str"/>
      <x:c r="G179" s="42"/>
      <x:c r="H179" s="32" t="str"/>
      <x:c r="I179" s="32" t="str"/>
      <x:c r="J179" s="32" t="str"/>
    </x:row>
    <x:row r="180">
      <x:c r="A180" s="32" t="str"/>
      <x:c r="B180" s="32" t="str"/>
      <x:c r="C180" s="32" t="str"/>
      <x:c r="D180" s="32" t="str"/>
      <x:c r="E180" s="32" t="str"/>
      <x:c r="F180" s="32" t="str"/>
      <x:c r="G180" s="42"/>
      <x:c r="H180" s="32" t="str"/>
      <x:c r="I180" s="32" t="str"/>
      <x:c r="J180" s="32" t="str"/>
    </x:row>
    <x:row r="181">
      <x:c r="A181" s="32" t="str"/>
      <x:c r="B181" s="32" t="str"/>
      <x:c r="C181" s="32" t="str"/>
      <x:c r="D181" s="32" t="str"/>
      <x:c r="E181" s="32" t="str"/>
      <x:c r="F181" s="32" t="str"/>
      <x:c r="G181" s="42"/>
      <x:c r="H181" s="32" t="str"/>
      <x:c r="I181" s="32" t="str"/>
      <x:c r="J181" s="32" t="str"/>
    </x:row>
    <x:row r="182">
      <x:c r="A182" s="32" t="str"/>
      <x:c r="B182" s="32" t="str"/>
      <x:c r="C182" s="32" t="str"/>
      <x:c r="D182" s="32" t="str"/>
      <x:c r="E182" s="32" t="str"/>
      <x:c r="F182" s="32" t="str"/>
      <x:c r="G182" s="42"/>
      <x:c r="H182" s="32" t="str"/>
      <x:c r="I182" s="32" t="str"/>
      <x:c r="J182" s="32" t="str"/>
    </x:row>
    <x:row r="183">
      <x:c r="A183" s="32" t="str"/>
      <x:c r="B183" s="32" t="str"/>
      <x:c r="C183" s="32" t="str"/>
      <x:c r="D183" s="32" t="str"/>
      <x:c r="E183" s="32" t="str"/>
      <x:c r="F183" s="32" t="str"/>
      <x:c r="G183" s="42"/>
      <x:c r="H183" s="32" t="str"/>
      <x:c r="I183" s="32" t="str"/>
      <x:c r="J183" s="32" t="str"/>
    </x:row>
    <x:row r="184">
      <x:c r="A184" s="32" t="str"/>
      <x:c r="B184" s="32" t="str"/>
      <x:c r="C184" s="32" t="str"/>
      <x:c r="D184" s="32" t="str"/>
      <x:c r="E184" s="32" t="str"/>
      <x:c r="F184" s="32" t="str"/>
      <x:c r="G184" s="42"/>
      <x:c r="H184" s="32" t="str"/>
      <x:c r="I184" s="32" t="str"/>
      <x:c r="J184" s="32" t="str"/>
    </x:row>
    <x:row r="185">
      <x:c r="A185" s="32" t="str"/>
      <x:c r="B185" s="32" t="str"/>
      <x:c r="C185" s="32" t="str"/>
      <x:c r="D185" s="32" t="str"/>
      <x:c r="E185" s="32" t="str"/>
      <x:c r="F185" s="32" t="str"/>
      <x:c r="G185" s="42"/>
      <x:c r="H185" s="32" t="str"/>
      <x:c r="I185" s="32" t="str"/>
      <x:c r="J185" s="32" t="str"/>
    </x:row>
    <x:row r="186">
      <x:c r="A186" s="32" t="str"/>
      <x:c r="B186" s="32" t="str"/>
      <x:c r="C186" s="32" t="str"/>
      <x:c r="D186" s="32" t="str"/>
      <x:c r="E186" s="32" t="str"/>
      <x:c r="F186" s="32" t="str"/>
      <x:c r="G186" s="42"/>
      <x:c r="H186" s="32" t="str"/>
      <x:c r="I186" s="32" t="str"/>
      <x:c r="J186" s="32" t="str"/>
    </x:row>
    <x:row r="187">
      <x:c r="A187" s="32" t="str"/>
      <x:c r="B187" s="32" t="str"/>
      <x:c r="C187" s="32" t="str"/>
      <x:c r="D187" s="32" t="str"/>
      <x:c r="E187" s="32" t="str"/>
      <x:c r="F187" s="32" t="str"/>
      <x:c r="G187" s="42"/>
      <x:c r="H187" s="32" t="str"/>
      <x:c r="I187" s="32" t="str"/>
      <x:c r="J187" s="32" t="str"/>
    </x:row>
    <x:row r="188">
      <x:c r="A188" s="32" t="str"/>
      <x:c r="B188" s="32" t="str"/>
      <x:c r="C188" s="32" t="str"/>
      <x:c r="D188" s="32" t="str"/>
      <x:c r="E188" s="32" t="str"/>
      <x:c r="F188" s="32" t="str"/>
      <x:c r="G188" s="42"/>
      <x:c r="H188" s="32" t="str"/>
      <x:c r="I188" s="32" t="str"/>
      <x:c r="J188" s="32" t="str"/>
    </x:row>
    <x:row r="189">
      <x:c r="A189" s="32" t="str"/>
      <x:c r="B189" s="32" t="str"/>
      <x:c r="C189" s="32" t="str"/>
      <x:c r="D189" s="32" t="str"/>
      <x:c r="E189" s="32" t="str"/>
      <x:c r="F189" s="32" t="str"/>
      <x:c r="G189" s="42"/>
      <x:c r="H189" s="32" t="str"/>
      <x:c r="I189" s="32" t="str"/>
      <x:c r="J189" s="32" t="str"/>
    </x:row>
    <x:row r="190">
      <x:c r="A190" s="32" t="str"/>
      <x:c r="B190" s="32" t="str"/>
      <x:c r="C190" s="32" t="str"/>
      <x:c r="D190" s="32" t="str"/>
      <x:c r="E190" s="32" t="str"/>
      <x:c r="F190" s="32" t="str"/>
      <x:c r="G190" s="42"/>
      <x:c r="H190" s="32" t="str"/>
      <x:c r="I190" s="32" t="str"/>
      <x:c r="J190" s="32" t="str"/>
    </x:row>
    <x:row r="191">
      <x:c r="A191" s="32" t="str"/>
      <x:c r="B191" s="32" t="str"/>
      <x:c r="C191" s="32" t="str"/>
      <x:c r="D191" s="32" t="str"/>
      <x:c r="E191" s="32" t="str"/>
      <x:c r="F191" s="32" t="str"/>
      <x:c r="G191" s="42"/>
      <x:c r="H191" s="32" t="str"/>
      <x:c r="I191" s="32" t="str"/>
      <x:c r="J191" s="32" t="str"/>
    </x:row>
    <x:row r="192">
      <x:c r="A192" s="32" t="str"/>
      <x:c r="B192" s="32" t="str"/>
      <x:c r="C192" s="32" t="str"/>
      <x:c r="D192" s="32" t="str"/>
      <x:c r="E192" s="32" t="str"/>
      <x:c r="F192" s="32" t="str"/>
      <x:c r="G192" s="42"/>
      <x:c r="H192" s="32" t="str"/>
      <x:c r="I192" s="32" t="str"/>
      <x:c r="J192" s="32" t="str"/>
    </x:row>
    <x:row r="193">
      <x:c r="A193" s="32" t="str"/>
      <x:c r="B193" s="32" t="str"/>
      <x:c r="C193" s="32" t="str"/>
      <x:c r="D193" s="32" t="str"/>
      <x:c r="E193" s="32" t="str"/>
      <x:c r="F193" s="32" t="str"/>
      <x:c r="G193" s="42"/>
      <x:c r="H193" s="32" t="str"/>
      <x:c r="I193" s="32" t="str"/>
      <x:c r="J193" s="32" t="str"/>
    </x:row>
    <x:row r="194">
      <x:c r="A194" s="32" t="str"/>
      <x:c r="B194" s="32" t="str"/>
      <x:c r="C194" s="32" t="str"/>
      <x:c r="D194" s="32" t="str"/>
      <x:c r="E194" s="32" t="str"/>
      <x:c r="F194" s="32" t="str"/>
      <x:c r="G194" s="42"/>
      <x:c r="H194" s="32" t="str"/>
      <x:c r="I194" s="32" t="str"/>
      <x:c r="J194" s="32" t="str"/>
    </x:row>
    <x:row r="195">
      <x:c r="A195" s="32" t="str"/>
      <x:c r="B195" s="32" t="str"/>
      <x:c r="C195" s="32" t="str"/>
      <x:c r="D195" s="32" t="str"/>
      <x:c r="E195" s="32" t="str"/>
      <x:c r="F195" s="32" t="str"/>
      <x:c r="G195" s="42"/>
      <x:c r="H195" s="32" t="str"/>
      <x:c r="I195" s="32" t="str"/>
      <x:c r="J195" s="32" t="str"/>
    </x:row>
    <x:row r="196">
      <x:c r="A196" s="32" t="str"/>
      <x:c r="B196" s="32" t="str"/>
      <x:c r="C196" s="32" t="str"/>
      <x:c r="D196" s="32" t="str"/>
      <x:c r="E196" s="32" t="str"/>
      <x:c r="F196" s="32" t="str"/>
      <x:c r="G196" s="42"/>
      <x:c r="H196" s="32" t="str"/>
      <x:c r="I196" s="32" t="str"/>
      <x:c r="J196" s="32" t="str"/>
    </x:row>
    <x:row r="197">
      <x:c r="A197" s="32" t="str"/>
      <x:c r="B197" s="32" t="str"/>
      <x:c r="C197" s="32" t="str"/>
      <x:c r="D197" s="32" t="str"/>
      <x:c r="E197" s="32" t="str"/>
      <x:c r="F197" s="32" t="str"/>
      <x:c r="G197" s="42"/>
      <x:c r="H197" s="32" t="str"/>
      <x:c r="I197" s="32" t="str"/>
      <x:c r="J197" s="32" t="str"/>
    </x:row>
    <x:row r="198">
      <x:c r="A198" s="32" t="str"/>
      <x:c r="B198" s="32" t="str"/>
      <x:c r="C198" s="32" t="str"/>
      <x:c r="D198" s="32" t="str"/>
      <x:c r="E198" s="32" t="str"/>
      <x:c r="F198" s="32" t="str"/>
      <x:c r="G198" s="42"/>
      <x:c r="H198" s="32" t="str"/>
      <x:c r="I198" s="32" t="str"/>
      <x:c r="J198" s="32" t="str"/>
    </x:row>
    <x:row r="199">
      <x:c r="A199" s="32" t="str"/>
      <x:c r="B199" s="32" t="str"/>
      <x:c r="C199" s="32" t="str"/>
      <x:c r="D199" s="32" t="str"/>
      <x:c r="E199" s="32" t="str"/>
      <x:c r="F199" s="32" t="str"/>
      <x:c r="G199" s="42"/>
      <x:c r="H199" s="32" t="str"/>
      <x:c r="I199" s="32" t="str"/>
      <x:c r="J199" s="32" t="str"/>
    </x:row>
    <x:row r="200">
      <x:c r="A200" s="32" t="str"/>
      <x:c r="B200" s="32" t="str"/>
      <x:c r="C200" s="32" t="str"/>
      <x:c r="D200" s="32" t="str"/>
      <x:c r="E200" s="32" t="str"/>
      <x:c r="F200" s="32" t="str"/>
      <x:c r="G200" s="42"/>
      <x:c r="H200" s="32" t="str"/>
      <x:c r="I200" s="32" t="str"/>
      <x:c r="J200" s="32" t="str"/>
    </x:row>
    <x:row r="201">
      <x:c r="A201" s="32" t="str"/>
      <x:c r="B201" s="32" t="str"/>
      <x:c r="C201" s="32" t="str"/>
      <x:c r="D201" s="32" t="str"/>
      <x:c r="E201" s="32" t="str"/>
      <x:c r="F201" s="32" t="str"/>
      <x:c r="G201" s="42"/>
      <x:c r="H201" s="32" t="str"/>
      <x:c r="I201" s="32" t="str"/>
      <x:c r="J201" s="32" t="str"/>
    </x:row>
    <x:row r="202">
      <x:c r="A202" s="32" t="str"/>
      <x:c r="B202" s="32" t="str"/>
      <x:c r="C202" s="32" t="str"/>
      <x:c r="D202" s="32" t="str"/>
      <x:c r="E202" s="32" t="str"/>
      <x:c r="F202" s="32" t="str"/>
      <x:c r="G202" s="42"/>
      <x:c r="H202" s="32" t="str"/>
      <x:c r="I202" s="32" t="str"/>
      <x:c r="J202" s="32" t="str"/>
    </x:row>
    <x:row r="203">
      <x:c r="A203" s="32" t="str"/>
      <x:c r="B203" s="32" t="str"/>
      <x:c r="C203" s="32" t="str"/>
      <x:c r="D203" s="32" t="str"/>
      <x:c r="E203" s="32" t="str"/>
      <x:c r="F203" s="32" t="str"/>
      <x:c r="G203" s="42"/>
      <x:c r="H203" s="32" t="str"/>
      <x:c r="I203" s="32" t="str"/>
      <x:c r="J203" s="32" t="str"/>
    </x:row>
    <x:row r="204">
      <x:c r="A204" s="32" t="str"/>
      <x:c r="B204" s="32" t="str"/>
      <x:c r="C204" s="32" t="str"/>
      <x:c r="D204" s="32" t="str"/>
      <x:c r="E204" s="32" t="str"/>
      <x:c r="F204" s="32" t="str"/>
      <x:c r="G204" s="42"/>
      <x:c r="H204" s="32" t="str"/>
      <x:c r="I204" s="32" t="str"/>
      <x:c r="J204" s="32" t="str"/>
    </x:row>
    <x:row r="205">
      <x:c r="A205" s="32" t="str"/>
      <x:c r="B205" s="32" t="str"/>
      <x:c r="C205" s="32" t="str"/>
      <x:c r="D205" s="32" t="str"/>
      <x:c r="E205" s="32" t="str"/>
      <x:c r="F205" s="32" t="str"/>
      <x:c r="G205" s="42"/>
      <x:c r="H205" s="32" t="str"/>
      <x:c r="I205" s="32" t="str"/>
      <x:c r="J205" s="32" t="str"/>
    </x:row>
    <x:row r="206">
      <x:c r="A206" s="32" t="str"/>
      <x:c r="B206" s="32" t="str"/>
      <x:c r="C206" s="32" t="str"/>
      <x:c r="D206" s="32" t="str"/>
      <x:c r="E206" s="32" t="str"/>
      <x:c r="F206" s="32" t="str"/>
      <x:c r="G206" s="42"/>
      <x:c r="H206" s="32" t="str"/>
      <x:c r="I206" s="32" t="str"/>
      <x:c r="J206" s="32" t="str"/>
    </x:row>
  </x:sheetData>
  <x:mergeCells>
    <x:mergeCell ref="A1:J1"/>
    <x:mergeCell ref="A2:J2"/>
  </x:mergeCells>
  <x:dataValidations count="2">
    <x:dataValidation type="list" sqref="D7:D206">
      <x:formula1>"Главная страница,Лендинг товара,Тарифы,Функции,Каталог/карточка,Регистрация,Личный кабинет,Оплата,Поддержка,FAQ,Документация,Блог/медиа,Отзывы/кейсы,Правовые документы"</x:formula1>
    </x:dataValidation>
    <x:dataValidation type="list" sqref="I7:I206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b836ce07a44d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6" hidden="0" customWidth="1"/>
    <x:col min="4" max="4" width="30" hidden="0" customWidth="1"/>
    <x:col min="5" max="5" width="34" hidden="0" customWidth="1"/>
    <x:col min="6" max="6" width="40" hidden="0" customWidth="1"/>
    <x:col min="7" max="7" width="42" hidden="0" customWidth="1"/>
    <x:col min="8" max="8" width="13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20" hidden="0" customWidth="1"/>
    <x:col min="14" max="14" width="36" hidden="0" customWidth="1"/>
  </x:cols>
  <x:sheetData>
    <x:row r="1" ht="32" customHeight="1">
      <x:c r="A1" s="82" t="str">
        <x:v>03. Анализ цифрового товара по модели Левитта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2" customHeight="1">
      <x:c r="A2" s="14" t="str">
        <x:v>Разложите товар конкурента на уровни: от базовой выгоды до потенциального развития. Оценка признака рассчитывается автоматически.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6" ht="34" customHeight="1">
      <x:c r="A6" s="24" t="str">
        <x:v>ID конкурента</x:v>
      </x:c>
      <x:c r="B6" s="24" t="str">
        <x:v>Товар/предложение</x:v>
      </x:c>
      <x:c r="C6" s="24" t="str">
        <x:v>URL/страница</x:v>
      </x:c>
      <x:c r="D6" s="24" t="str">
        <x:v>Уровень товара по Левитту</x:v>
      </x:c>
      <x:c r="E6" s="24" t="str">
        <x:v>Элемент товара / признак</x:v>
      </x:c>
      <x:c r="F6" s="24" t="str">
        <x:v>Как проявлен на сайте</x:v>
      </x:c>
      <x:c r="G6" s="24" t="str">
        <x:v>Доказательство</x:v>
      </x:c>
      <x:c r="H6" s="24" t="str">
        <x:v>Наличие 0/1</x:v>
      </x:c>
      <x:c r="I6" s="24" t="str">
        <x:v>Сила реализации 0–3</x:v>
      </x:c>
      <x:c r="J6" s="24" t="str">
        <x:v>Понятность 0–3</x:v>
      </x:c>
      <x:c r="K6" s="24" t="str">
        <x:v>Влияние на ценность 1–5</x:v>
      </x:c>
      <x:c r="L6" s="24" t="str">
        <x:v>Оценка признака</x:v>
      </x:c>
      <x:c r="M6" s="24" t="str">
        <x:v>Роль признака</x:v>
      </x:c>
      <x:c r="N6" s="24" t="str">
        <x:v>Примечание</x:v>
      </x:c>
    </x:row>
    <x:row r="7">
      <x:c r="A7" s="32" t="str"/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>
        <x:f>IF(OR(H7="",I7="",J7="",K7=""),"",ROUND(H7*((I7+J7)/6)*K7,2))</x:f>
      </x:c>
      <x:c r="M7" s="32" t="str">
        <x:f>IF(L7="","",IF(AND(L7&gt;=3.5,H7=1),"Сильный признак",IF(AND(L7&gt;=2,H7=1),"Рабочий признак",IF(H7=1,"Слабый признак","Отсутствует"))))</x:f>
      </x:c>
      <x:c r="N7" s="32" t="str"/>
    </x:row>
    <x:row r="8">
      <x:c r="A8" s="32" t="str"/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>
        <x:f>IF(OR(H8="",I8="",J8="",K8=""),"",ROUND(H8*((I8+J8)/6)*K8,2))</x:f>
      </x:c>
      <x:c r="M8" s="32" t="str">
        <x:f>IF(L8="","",IF(AND(L8&gt;=3.5,H8=1),"Сильный признак",IF(AND(L8&gt;=2,H8=1),"Рабочий признак",IF(H8=1,"Слабый признак","Отсутствует"))))</x:f>
      </x:c>
      <x:c r="N8" s="32" t="str"/>
    </x:row>
    <x:row r="9">
      <x:c r="A9" s="32" t="str"/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>
        <x:f>IF(OR(H9="",I9="",J9="",K9=""),"",ROUND(H9*((I9+J9)/6)*K9,2))</x:f>
      </x:c>
      <x:c r="M9" s="32" t="str">
        <x:f>IF(L9="","",IF(AND(L9&gt;=3.5,H9=1),"Сильный признак",IF(AND(L9&gt;=2,H9=1),"Рабочий признак",IF(H9=1,"Слабый признак","Отсутствует"))))</x:f>
      </x:c>
      <x:c r="N9" s="32" t="str"/>
    </x:row>
    <x:row r="10">
      <x:c r="A10" s="32" t="str"/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>
        <x:f>IF(OR(H10="",I10="",J10="",K10=""),"",ROUND(H10*((I10+J10)/6)*K10,2))</x:f>
      </x:c>
      <x:c r="M10" s="32" t="str">
        <x:f>IF(L10="","",IF(AND(L10&gt;=3.5,H10=1),"Сильный признак",IF(AND(L10&gt;=2,H10=1),"Рабочий признак",IF(H10=1,"Слабый признак","Отсутствует"))))</x:f>
      </x:c>
      <x:c r="N10" s="32" t="str"/>
    </x:row>
    <x:row r="11">
      <x:c r="A11" s="32" t="str"/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>
        <x:f>IF(OR(H11="",I11="",J11="",K11=""),"",ROUND(H11*((I11+J11)/6)*K11,2))</x:f>
      </x:c>
      <x:c r="M11" s="32" t="str">
        <x:f>IF(L11="","",IF(AND(L11&gt;=3.5,H11=1),"Сильный признак",IF(AND(L11&gt;=2,H11=1),"Рабочий признак",IF(H11=1,"Слабый признак","Отсутствует"))))</x:f>
      </x:c>
      <x:c r="N11" s="32" t="str"/>
    </x:row>
    <x:row r="12">
      <x:c r="A12" s="32" t="str"/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>
        <x:f>IF(OR(H12="",I12="",J12="",K12=""),"",ROUND(H12*((I12+J12)/6)*K12,2))</x:f>
      </x:c>
      <x:c r="M12" s="32" t="str">
        <x:f>IF(L12="","",IF(AND(L12&gt;=3.5,H12=1),"Сильный признак",IF(AND(L12&gt;=2,H12=1),"Рабочий признак",IF(H12=1,"Слабый признак","Отсутствует"))))</x:f>
      </x:c>
      <x:c r="N12" s="32" t="str"/>
    </x:row>
    <x:row r="13">
      <x:c r="A13" s="32" t="str"/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>
        <x:f>IF(OR(H13="",I13="",J13="",K13=""),"",ROUND(H13*((I13+J13)/6)*K13,2))</x:f>
      </x:c>
      <x:c r="M13" s="32" t="str">
        <x:f>IF(L13="","",IF(AND(L13&gt;=3.5,H13=1),"Сильный признак",IF(AND(L13&gt;=2,H13=1),"Рабочий признак",IF(H13=1,"Слабый признак","Отсутствует"))))</x:f>
      </x:c>
      <x:c r="N13" s="32" t="str"/>
    </x:row>
    <x:row r="14">
      <x:c r="A14" s="32" t="str"/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>
        <x:f>IF(OR(H14="",I14="",J14="",K14=""),"",ROUND(H14*((I14+J14)/6)*K14,2))</x:f>
      </x:c>
      <x:c r="M14" s="32" t="str">
        <x:f>IF(L14="","",IF(AND(L14&gt;=3.5,H14=1),"Сильный признак",IF(AND(L14&gt;=2,H14=1),"Рабочий признак",IF(H14=1,"Слабый признак","Отсутствует"))))</x:f>
      </x:c>
      <x:c r="N14" s="32" t="str"/>
    </x:row>
    <x:row r="15">
      <x:c r="A15" s="32" t="str"/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>
        <x:f>IF(OR(H15="",I15="",J15="",K15=""),"",ROUND(H15*((I15+J15)/6)*K15,2))</x:f>
      </x:c>
      <x:c r="M15" s="32" t="str">
        <x:f>IF(L15="","",IF(AND(L15&gt;=3.5,H15=1),"Сильный признак",IF(AND(L15&gt;=2,H15=1),"Рабочий признак",IF(H15=1,"Слабый признак","Отсутствует"))))</x:f>
      </x:c>
      <x:c r="N15" s="32" t="str"/>
    </x:row>
    <x:row r="16">
      <x:c r="A16" s="32" t="str"/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>
        <x:f>IF(OR(H16="",I16="",J16="",K16=""),"",ROUND(H16*((I16+J16)/6)*K16,2))</x:f>
      </x:c>
      <x:c r="M16" s="32" t="str">
        <x:f>IF(L16="","",IF(AND(L16&gt;=3.5,H16=1),"Сильный признак",IF(AND(L16&gt;=2,H16=1),"Рабочий признак",IF(H16=1,"Слабый признак","Отсутствует"))))</x:f>
      </x:c>
      <x:c r="N16" s="32" t="str"/>
    </x:row>
    <x:row r="17">
      <x:c r="A17" s="32" t="str"/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>
        <x:f>IF(OR(H17="",I17="",J17="",K17=""),"",ROUND(H17*((I17+J17)/6)*K17,2))</x:f>
      </x:c>
      <x:c r="M17" s="32" t="str">
        <x:f>IF(L17="","",IF(AND(L17&gt;=3.5,H17=1),"Сильный признак",IF(AND(L17&gt;=2,H17=1),"Рабочий признак",IF(H17=1,"Слабый признак","Отсутствует"))))</x:f>
      </x:c>
      <x:c r="N17" s="32" t="str"/>
    </x:row>
    <x:row r="18">
      <x:c r="A18" s="32" t="str"/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>
        <x:f>IF(OR(H18="",I18="",J18="",K18=""),"",ROUND(H18*((I18+J18)/6)*K18,2))</x:f>
      </x:c>
      <x:c r="M18" s="32" t="str">
        <x:f>IF(L18="","",IF(AND(L18&gt;=3.5,H18=1),"Сильный признак",IF(AND(L18&gt;=2,H18=1),"Рабочий признак",IF(H18=1,"Слабый признак","Отсутствует"))))</x:f>
      </x:c>
      <x:c r="N18" s="32" t="str"/>
    </x:row>
    <x:row r="19">
      <x:c r="A19" s="32" t="str"/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>
        <x:f>IF(OR(H19="",I19="",J19="",K19=""),"",ROUND(H19*((I19+J19)/6)*K19,2))</x:f>
      </x:c>
      <x:c r="M19" s="32" t="str">
        <x:f>IF(L19="","",IF(AND(L19&gt;=3.5,H19=1),"Сильный признак",IF(AND(L19&gt;=2,H19=1),"Рабочий признак",IF(H19=1,"Слабый признак","Отсутствует"))))</x:f>
      </x:c>
      <x:c r="N19" s="32" t="str"/>
    </x:row>
    <x:row r="20">
      <x:c r="A20" s="32" t="str"/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>
        <x:f>IF(OR(H20="",I20="",J20="",K20=""),"",ROUND(H20*((I20+J20)/6)*K20,2))</x:f>
      </x:c>
      <x:c r="M20" s="32" t="str">
        <x:f>IF(L20="","",IF(AND(L20&gt;=3.5,H20=1),"Сильный признак",IF(AND(L20&gt;=2,H20=1),"Рабочий признак",IF(H20=1,"Слабый признак","Отсутствует"))))</x:f>
      </x:c>
      <x:c r="N20" s="32" t="str"/>
    </x:row>
    <x:row r="21">
      <x:c r="A21" s="32" t="str"/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>
        <x:f>IF(OR(H21="",I21="",J21="",K21=""),"",ROUND(H21*((I21+J21)/6)*K21,2))</x:f>
      </x:c>
      <x:c r="M21" s="32" t="str">
        <x:f>IF(L21="","",IF(AND(L21&gt;=3.5,H21=1),"Сильный признак",IF(AND(L21&gt;=2,H21=1),"Рабочий признак",IF(H21=1,"Слабый признак","Отсутствует"))))</x:f>
      </x:c>
      <x:c r="N21" s="32" t="str"/>
    </x:row>
    <x:row r="22">
      <x:c r="A22" s="32" t="str"/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>
        <x:f>IF(OR(H22="",I22="",J22="",K22=""),"",ROUND(H22*((I22+J22)/6)*K22,2))</x:f>
      </x:c>
      <x:c r="M22" s="32" t="str">
        <x:f>IF(L22="","",IF(AND(L22&gt;=3.5,H22=1),"Сильный признак",IF(AND(L22&gt;=2,H22=1),"Рабочий признак",IF(H22=1,"Слабый признак","Отсутствует"))))</x:f>
      </x:c>
      <x:c r="N22" s="32" t="str"/>
    </x:row>
    <x:row r="23">
      <x:c r="A23" s="32" t="str"/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>
        <x:f>IF(OR(H23="",I23="",J23="",K23=""),"",ROUND(H23*((I23+J23)/6)*K23,2))</x:f>
      </x:c>
      <x:c r="M23" s="32" t="str">
        <x:f>IF(L23="","",IF(AND(L23&gt;=3.5,H23=1),"Сильный признак",IF(AND(L23&gt;=2,H23=1),"Рабочий признак",IF(H23=1,"Слабый признак","Отсутствует"))))</x:f>
      </x:c>
      <x:c r="N23" s="32" t="str"/>
    </x:row>
    <x:row r="24">
      <x:c r="A24" s="32" t="str"/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>
        <x:f>IF(OR(H24="",I24="",J24="",K24=""),"",ROUND(H24*((I24+J24)/6)*K24,2))</x:f>
      </x:c>
      <x:c r="M24" s="32" t="str">
        <x:f>IF(L24="","",IF(AND(L24&gt;=3.5,H24=1),"Сильный признак",IF(AND(L24&gt;=2,H24=1),"Рабочий признак",IF(H24=1,"Слабый признак","Отсутствует"))))</x:f>
      </x:c>
      <x:c r="N24" s="32" t="str"/>
    </x:row>
    <x:row r="25">
      <x:c r="A25" s="32" t="str"/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>
        <x:f>IF(OR(H25="",I25="",J25="",K25=""),"",ROUND(H25*((I25+J25)/6)*K25,2))</x:f>
      </x:c>
      <x:c r="M25" s="32" t="str">
        <x:f>IF(L25="","",IF(AND(L25&gt;=3.5,H25=1),"Сильный признак",IF(AND(L25&gt;=2,H25=1),"Рабочий признак",IF(H25=1,"Слабый признак","Отсутствует"))))</x:f>
      </x:c>
      <x:c r="N25" s="32" t="str"/>
    </x:row>
    <x:row r="26">
      <x:c r="A26" s="32" t="str"/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>
        <x:f>IF(OR(H26="",I26="",J26="",K26=""),"",ROUND(H26*((I26+J26)/6)*K26,2))</x:f>
      </x:c>
      <x:c r="M26" s="32" t="str">
        <x:f>IF(L26="","",IF(AND(L26&gt;=3.5,H26=1),"Сильный признак",IF(AND(L26&gt;=2,H26=1),"Рабочий признак",IF(H26=1,"Слабый признак","Отсутствует"))))</x:f>
      </x:c>
      <x:c r="N26" s="32" t="str"/>
    </x:row>
    <x:row r="27">
      <x:c r="A27" s="32" t="str"/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>
        <x:f>IF(OR(H27="",I27="",J27="",K27=""),"",ROUND(H27*((I27+J27)/6)*K27,2))</x:f>
      </x:c>
      <x:c r="M27" s="32" t="str">
        <x:f>IF(L27="","",IF(AND(L27&gt;=3.5,H27=1),"Сильный признак",IF(AND(L27&gt;=2,H27=1),"Рабочий признак",IF(H27=1,"Слабый признак","Отсутствует"))))</x:f>
      </x:c>
      <x:c r="N27" s="32" t="str"/>
    </x:row>
    <x:row r="28">
      <x:c r="A28" s="32" t="str"/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>
        <x:f>IF(OR(H28="",I28="",J28="",K28=""),"",ROUND(H28*((I28+J28)/6)*K28,2))</x:f>
      </x:c>
      <x:c r="M28" s="32" t="str">
        <x:f>IF(L28="","",IF(AND(L28&gt;=3.5,H28=1),"Сильный признак",IF(AND(L28&gt;=2,H28=1),"Рабочий признак",IF(H28=1,"Слабый признак","Отсутствует"))))</x:f>
      </x:c>
      <x:c r="N28" s="32" t="str"/>
    </x:row>
    <x:row r="29">
      <x:c r="A29" s="32" t="str"/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>
        <x:f>IF(OR(H29="",I29="",J29="",K29=""),"",ROUND(H29*((I29+J29)/6)*K29,2))</x:f>
      </x:c>
      <x:c r="M29" s="32" t="str">
        <x:f>IF(L29="","",IF(AND(L29&gt;=3.5,H29=1),"Сильный признак",IF(AND(L29&gt;=2,H29=1),"Рабочий признак",IF(H29=1,"Слабый признак","Отсутствует"))))</x:f>
      </x:c>
      <x:c r="N29" s="32" t="str"/>
    </x:row>
    <x:row r="30">
      <x:c r="A30" s="32" t="str"/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>
        <x:f>IF(OR(H30="",I30="",J30="",K30=""),"",ROUND(H30*((I30+J30)/6)*K30,2))</x:f>
      </x:c>
      <x:c r="M30" s="32" t="str">
        <x:f>IF(L30="","",IF(AND(L30&gt;=3.5,H30=1),"Сильный признак",IF(AND(L30&gt;=2,H30=1),"Рабочий признак",IF(H30=1,"Слабый признак","Отсутствует"))))</x:f>
      </x:c>
      <x:c r="N30" s="32" t="str"/>
    </x:row>
    <x:row r="31">
      <x:c r="A31" s="32" t="str"/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>
        <x:f>IF(OR(H31="",I31="",J31="",K31=""),"",ROUND(H31*((I31+J31)/6)*K31,2))</x:f>
      </x:c>
      <x:c r="M31" s="32" t="str">
        <x:f>IF(L31="","",IF(AND(L31&gt;=3.5,H31=1),"Сильный признак",IF(AND(L31&gt;=2,H31=1),"Рабочий признак",IF(H31=1,"Слабый признак","Отсутствует"))))</x:f>
      </x:c>
      <x:c r="N31" s="32" t="str"/>
    </x:row>
    <x:row r="32">
      <x:c r="A32" s="32" t="str"/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>
        <x:f>IF(OR(H32="",I32="",J32="",K32=""),"",ROUND(H32*((I32+J32)/6)*K32,2))</x:f>
      </x:c>
      <x:c r="M32" s="32" t="str">
        <x:f>IF(L32="","",IF(AND(L32&gt;=3.5,H32=1),"Сильный признак",IF(AND(L32&gt;=2,H32=1),"Рабочий признак",IF(H32=1,"Слабый признак","Отсутствует"))))</x:f>
      </x:c>
      <x:c r="N32" s="32" t="str"/>
    </x:row>
    <x:row r="33">
      <x:c r="A33" s="32" t="str"/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>
        <x:f>IF(OR(H33="",I33="",J33="",K33=""),"",ROUND(H33*((I33+J33)/6)*K33,2))</x:f>
      </x:c>
      <x:c r="M33" s="32" t="str">
        <x:f>IF(L33="","",IF(AND(L33&gt;=3.5,H33=1),"Сильный признак",IF(AND(L33&gt;=2,H33=1),"Рабочий признак",IF(H33=1,"Слабый признак","Отсутствует"))))</x:f>
      </x:c>
      <x:c r="N33" s="32" t="str"/>
    </x:row>
    <x:row r="34">
      <x:c r="A34" s="32" t="str"/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>
        <x:f>IF(OR(H34="",I34="",J34="",K34=""),"",ROUND(H34*((I34+J34)/6)*K34,2))</x:f>
      </x:c>
      <x:c r="M34" s="32" t="str">
        <x:f>IF(L34="","",IF(AND(L34&gt;=3.5,H34=1),"Сильный признак",IF(AND(L34&gt;=2,H34=1),"Рабочий признак",IF(H34=1,"Слабый признак","Отсутствует"))))</x:f>
      </x:c>
      <x:c r="N34" s="32" t="str"/>
    </x:row>
    <x:row r="35">
      <x:c r="A35" s="32" t="str"/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/>
      <x:c r="K35" s="32" t="str"/>
      <x:c r="L35" s="32" t="str">
        <x:f>IF(OR(H35="",I35="",J35="",K35=""),"",ROUND(H35*((I35+J35)/6)*K35,2))</x:f>
      </x:c>
      <x:c r="M35" s="32" t="str">
        <x:f>IF(L35="","",IF(AND(L35&gt;=3.5,H35=1),"Сильный признак",IF(AND(L35&gt;=2,H35=1),"Рабочий признак",IF(H35=1,"Слабый признак","Отсутствует"))))</x:f>
      </x:c>
      <x:c r="N35" s="32" t="str"/>
    </x:row>
    <x:row r="36">
      <x:c r="A36" s="32" t="str"/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/>
      <x:c r="K36" s="32" t="str"/>
      <x:c r="L36" s="32" t="str">
        <x:f>IF(OR(H36="",I36="",J36="",K36=""),"",ROUND(H36*((I36+J36)/6)*K36,2))</x:f>
      </x:c>
      <x:c r="M36" s="32" t="str">
        <x:f>IF(L36="","",IF(AND(L36&gt;=3.5,H36=1),"Сильный признак",IF(AND(L36&gt;=2,H36=1),"Рабочий признак",IF(H36=1,"Слабый признак","Отсутствует"))))</x:f>
      </x:c>
      <x:c r="N36" s="32" t="str"/>
    </x:row>
    <x:row r="37">
      <x:c r="A37" s="32" t="str"/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/>
      <x:c r="J37" s="32" t="str"/>
      <x:c r="K37" s="32" t="str"/>
      <x:c r="L37" s="32" t="str">
        <x:f>IF(OR(H37="",I37="",J37="",K37=""),"",ROUND(H37*((I37+J37)/6)*K37,2))</x:f>
      </x:c>
      <x:c r="M37" s="32" t="str">
        <x:f>IF(L37="","",IF(AND(L37&gt;=3.5,H37=1),"Сильный признак",IF(AND(L37&gt;=2,H37=1),"Рабочий признак",IF(H37=1,"Слабый признак","Отсутствует"))))</x:f>
      </x:c>
      <x:c r="N37" s="32" t="str"/>
    </x:row>
    <x:row r="38">
      <x:c r="A38" s="32" t="str"/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/>
      <x:c r="J38" s="32" t="str"/>
      <x:c r="K38" s="32" t="str"/>
      <x:c r="L38" s="32" t="str">
        <x:f>IF(OR(H38="",I38="",J38="",K38=""),"",ROUND(H38*((I38+J38)/6)*K38,2))</x:f>
      </x:c>
      <x:c r="M38" s="32" t="str">
        <x:f>IF(L38="","",IF(AND(L38&gt;=3.5,H38=1),"Сильный признак",IF(AND(L38&gt;=2,H38=1),"Рабочий признак",IF(H38=1,"Слабый признак","Отсутствует"))))</x:f>
      </x:c>
      <x:c r="N38" s="32" t="str"/>
    </x:row>
    <x:row r="39">
      <x:c r="A39" s="32" t="str"/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/>
      <x:c r="J39" s="32" t="str"/>
      <x:c r="K39" s="32" t="str"/>
      <x:c r="L39" s="32" t="str">
        <x:f>IF(OR(H39="",I39="",J39="",K39=""),"",ROUND(H39*((I39+J39)/6)*K39,2))</x:f>
      </x:c>
      <x:c r="M39" s="32" t="str">
        <x:f>IF(L39="","",IF(AND(L39&gt;=3.5,H39=1),"Сильный признак",IF(AND(L39&gt;=2,H39=1),"Рабочий признак",IF(H39=1,"Слабый признак","Отсутствует"))))</x:f>
      </x:c>
      <x:c r="N39" s="32" t="str"/>
    </x:row>
    <x:row r="40">
      <x:c r="A40" s="32" t="str"/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/>
      <x:c r="J40" s="32" t="str"/>
      <x:c r="K40" s="32" t="str"/>
      <x:c r="L40" s="32" t="str">
        <x:f>IF(OR(H40="",I40="",J40="",K40=""),"",ROUND(H40*((I40+J40)/6)*K40,2))</x:f>
      </x:c>
      <x:c r="M40" s="32" t="str">
        <x:f>IF(L40="","",IF(AND(L40&gt;=3.5,H40=1),"Сильный признак",IF(AND(L40&gt;=2,H40=1),"Рабочий признак",IF(H40=1,"Слабый признак","Отсутствует"))))</x:f>
      </x:c>
      <x:c r="N40" s="32" t="str"/>
    </x:row>
    <x:row r="41">
      <x:c r="A41" s="32" t="str"/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/>
      <x:c r="J41" s="32" t="str"/>
      <x:c r="K41" s="32" t="str"/>
      <x:c r="L41" s="32" t="str">
        <x:f>IF(OR(H41="",I41="",J41="",K41=""),"",ROUND(H41*((I41+J41)/6)*K41,2))</x:f>
      </x:c>
      <x:c r="M41" s="32" t="str">
        <x:f>IF(L41="","",IF(AND(L41&gt;=3.5,H41=1),"Сильный признак",IF(AND(L41&gt;=2,H41=1),"Рабочий признак",IF(H41=1,"Слабый признак","Отсутствует"))))</x:f>
      </x:c>
      <x:c r="N41" s="32" t="str"/>
    </x:row>
    <x:row r="42">
      <x:c r="A42" s="32" t="str"/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/>
      <x:c r="J42" s="32" t="str"/>
      <x:c r="K42" s="32" t="str"/>
      <x:c r="L42" s="32" t="str">
        <x:f>IF(OR(H42="",I42="",J42="",K42=""),"",ROUND(H42*((I42+J42)/6)*K42,2))</x:f>
      </x:c>
      <x:c r="M42" s="32" t="str">
        <x:f>IF(L42="","",IF(AND(L42&gt;=3.5,H42=1),"Сильный признак",IF(AND(L42&gt;=2,H42=1),"Рабочий признак",IF(H42=1,"Слабый признак","Отсутствует"))))</x:f>
      </x:c>
      <x:c r="N42" s="32" t="str"/>
    </x:row>
    <x:row r="43">
      <x:c r="A43" s="32" t="str"/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/>
      <x:c r="J43" s="32" t="str"/>
      <x:c r="K43" s="32" t="str"/>
      <x:c r="L43" s="32" t="str">
        <x:f>IF(OR(H43="",I43="",J43="",K43=""),"",ROUND(H43*((I43+J43)/6)*K43,2))</x:f>
      </x:c>
      <x:c r="M43" s="32" t="str">
        <x:f>IF(L43="","",IF(AND(L43&gt;=3.5,H43=1),"Сильный признак",IF(AND(L43&gt;=2,H43=1),"Рабочий признак",IF(H43=1,"Слабый признак","Отсутствует"))))</x:f>
      </x:c>
      <x:c r="N43" s="32" t="str"/>
    </x:row>
    <x:row r="44">
      <x:c r="A44" s="32" t="str"/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/>
      <x:c r="J44" s="32" t="str"/>
      <x:c r="K44" s="32" t="str"/>
      <x:c r="L44" s="32" t="str">
        <x:f>IF(OR(H44="",I44="",J44="",K44=""),"",ROUND(H44*((I44+J44)/6)*K44,2))</x:f>
      </x:c>
      <x:c r="M44" s="32" t="str">
        <x:f>IF(L44="","",IF(AND(L44&gt;=3.5,H44=1),"Сильный признак",IF(AND(L44&gt;=2,H44=1),"Рабочий признак",IF(H44=1,"Слабый признак","Отсутствует"))))</x:f>
      </x:c>
      <x:c r="N44" s="32" t="str"/>
    </x:row>
    <x:row r="45">
      <x:c r="A45" s="32" t="str"/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/>
      <x:c r="J45" s="32" t="str"/>
      <x:c r="K45" s="32" t="str"/>
      <x:c r="L45" s="32" t="str">
        <x:f>IF(OR(H45="",I45="",J45="",K45=""),"",ROUND(H45*((I45+J45)/6)*K45,2))</x:f>
      </x:c>
      <x:c r="M45" s="32" t="str">
        <x:f>IF(L45="","",IF(AND(L45&gt;=3.5,H45=1),"Сильный признак",IF(AND(L45&gt;=2,H45=1),"Рабочий признак",IF(H45=1,"Слабый признак","Отсутствует"))))</x:f>
      </x:c>
      <x:c r="N45" s="32" t="str"/>
    </x:row>
    <x:row r="46">
      <x:c r="A46" s="32" t="str"/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/>
      <x:c r="J46" s="32" t="str"/>
      <x:c r="K46" s="32" t="str"/>
      <x:c r="L46" s="32" t="str">
        <x:f>IF(OR(H46="",I46="",J46="",K46=""),"",ROUND(H46*((I46+J46)/6)*K46,2))</x:f>
      </x:c>
      <x:c r="M46" s="32" t="str">
        <x:f>IF(L46="","",IF(AND(L46&gt;=3.5,H46=1),"Сильный признак",IF(AND(L46&gt;=2,H46=1),"Рабочий признак",IF(H46=1,"Слабый признак","Отсутствует"))))</x:f>
      </x:c>
      <x:c r="N46" s="32" t="str"/>
    </x:row>
    <x:row r="47">
      <x:c r="A47" s="32" t="str"/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/>
      <x:c r="J47" s="32" t="str"/>
      <x:c r="K47" s="32" t="str"/>
      <x:c r="L47" s="32" t="str">
        <x:f>IF(OR(H47="",I47="",J47="",K47=""),"",ROUND(H47*((I47+J47)/6)*K47,2))</x:f>
      </x:c>
      <x:c r="M47" s="32" t="str">
        <x:f>IF(L47="","",IF(AND(L47&gt;=3.5,H47=1),"Сильный признак",IF(AND(L47&gt;=2,H47=1),"Рабочий признак",IF(H47=1,"Слабый признак","Отсутствует"))))</x:f>
      </x:c>
      <x:c r="N47" s="32" t="str"/>
    </x:row>
    <x:row r="48">
      <x:c r="A48" s="32" t="str"/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/>
      <x:c r="J48" s="32" t="str"/>
      <x:c r="K48" s="32" t="str"/>
      <x:c r="L48" s="32" t="str">
        <x:f>IF(OR(H48="",I48="",J48="",K48=""),"",ROUND(H48*((I48+J48)/6)*K48,2))</x:f>
      </x:c>
      <x:c r="M48" s="32" t="str">
        <x:f>IF(L48="","",IF(AND(L48&gt;=3.5,H48=1),"Сильный признак",IF(AND(L48&gt;=2,H48=1),"Рабочий признак",IF(H48=1,"Слабый признак","Отсутствует"))))</x:f>
      </x:c>
      <x:c r="N48" s="32" t="str"/>
    </x:row>
    <x:row r="49">
      <x:c r="A49" s="32" t="str"/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/>
      <x:c r="J49" s="32" t="str"/>
      <x:c r="K49" s="32" t="str"/>
      <x:c r="L49" s="32" t="str">
        <x:f>IF(OR(H49="",I49="",J49="",K49=""),"",ROUND(H49*((I49+J49)/6)*K49,2))</x:f>
      </x:c>
      <x:c r="M49" s="32" t="str">
        <x:f>IF(L49="","",IF(AND(L49&gt;=3.5,H49=1),"Сильный признак",IF(AND(L49&gt;=2,H49=1),"Рабочий признак",IF(H49=1,"Слабый признак","Отсутствует"))))</x:f>
      </x:c>
      <x:c r="N49" s="32" t="str"/>
    </x:row>
    <x:row r="50">
      <x:c r="A50" s="32" t="str"/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/>
      <x:c r="J50" s="32" t="str"/>
      <x:c r="K50" s="32" t="str"/>
      <x:c r="L50" s="32" t="str">
        <x:f>IF(OR(H50="",I50="",J50="",K50=""),"",ROUND(H50*((I50+J50)/6)*K50,2))</x:f>
      </x:c>
      <x:c r="M50" s="32" t="str">
        <x:f>IF(L50="","",IF(AND(L50&gt;=3.5,H50=1),"Сильный признак",IF(AND(L50&gt;=2,H50=1),"Рабочий признак",IF(H50=1,"Слабый признак","Отсутствует"))))</x:f>
      </x:c>
      <x:c r="N50" s="32" t="str"/>
    </x:row>
    <x:row r="51">
      <x:c r="A51" s="32" t="str"/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/>
      <x:c r="J51" s="32" t="str"/>
      <x:c r="K51" s="32" t="str"/>
      <x:c r="L51" s="32" t="str">
        <x:f>IF(OR(H51="",I51="",J51="",K51=""),"",ROUND(H51*((I51+J51)/6)*K51,2))</x:f>
      </x:c>
      <x:c r="M51" s="32" t="str">
        <x:f>IF(L51="","",IF(AND(L51&gt;=3.5,H51=1),"Сильный признак",IF(AND(L51&gt;=2,H51=1),"Рабочий признак",IF(H51=1,"Слабый признак","Отсутствует"))))</x:f>
      </x:c>
      <x:c r="N51" s="32" t="str"/>
    </x:row>
    <x:row r="52">
      <x:c r="A52" s="32" t="str"/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/>
      <x:c r="J52" s="32" t="str"/>
      <x:c r="K52" s="32" t="str"/>
      <x:c r="L52" s="32" t="str">
        <x:f>IF(OR(H52="",I52="",J52="",K52=""),"",ROUND(H52*((I52+J52)/6)*K52,2))</x:f>
      </x:c>
      <x:c r="M52" s="32" t="str">
        <x:f>IF(L52="","",IF(AND(L52&gt;=3.5,H52=1),"Сильный признак",IF(AND(L52&gt;=2,H52=1),"Рабочий признак",IF(H52=1,"Слабый признак","Отсутствует"))))</x:f>
      </x:c>
      <x:c r="N52" s="32" t="str"/>
    </x:row>
    <x:row r="53">
      <x:c r="A53" s="32" t="str"/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/>
      <x:c r="J53" s="32" t="str"/>
      <x:c r="K53" s="32" t="str"/>
      <x:c r="L53" s="32" t="str">
        <x:f>IF(OR(H53="",I53="",J53="",K53=""),"",ROUND(H53*((I53+J53)/6)*K53,2))</x:f>
      </x:c>
      <x:c r="M53" s="32" t="str">
        <x:f>IF(L53="","",IF(AND(L53&gt;=3.5,H53=1),"Сильный признак",IF(AND(L53&gt;=2,H53=1),"Рабочий признак",IF(H53=1,"Слабый признак","Отсутствует"))))</x:f>
      </x:c>
      <x:c r="N53" s="32" t="str"/>
    </x:row>
    <x:row r="54">
      <x:c r="A54" s="32" t="str"/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/>
      <x:c r="J54" s="32" t="str"/>
      <x:c r="K54" s="32" t="str"/>
      <x:c r="L54" s="32" t="str">
        <x:f>IF(OR(H54="",I54="",J54="",K54=""),"",ROUND(H54*((I54+J54)/6)*K54,2))</x:f>
      </x:c>
      <x:c r="M54" s="32" t="str">
        <x:f>IF(L54="","",IF(AND(L54&gt;=3.5,H54=1),"Сильный признак",IF(AND(L54&gt;=2,H54=1),"Рабочий признак",IF(H54=1,"Слабый признак","Отсутствует"))))</x:f>
      </x:c>
      <x:c r="N54" s="32" t="str"/>
    </x:row>
    <x:row r="55">
      <x:c r="A55" s="32" t="str"/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/>
      <x:c r="J55" s="32" t="str"/>
      <x:c r="K55" s="32" t="str"/>
      <x:c r="L55" s="32" t="str">
        <x:f>IF(OR(H55="",I55="",J55="",K55=""),"",ROUND(H55*((I55+J55)/6)*K55,2))</x:f>
      </x:c>
      <x:c r="M55" s="32" t="str">
        <x:f>IF(L55="","",IF(AND(L55&gt;=3.5,H55=1),"Сильный признак",IF(AND(L55&gt;=2,H55=1),"Рабочий признак",IF(H55=1,"Слабый признак","Отсутствует"))))</x:f>
      </x:c>
      <x:c r="N55" s="32" t="str"/>
    </x:row>
    <x:row r="56">
      <x:c r="A56" s="32" t="str"/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/>
      <x:c r="J56" s="32" t="str"/>
      <x:c r="K56" s="32" t="str"/>
      <x:c r="L56" s="32" t="str">
        <x:f>IF(OR(H56="",I56="",J56="",K56=""),"",ROUND(H56*((I56+J56)/6)*K56,2))</x:f>
      </x:c>
      <x:c r="M56" s="32" t="str">
        <x:f>IF(L56="","",IF(AND(L56&gt;=3.5,H56=1),"Сильный признак",IF(AND(L56&gt;=2,H56=1),"Рабочий признак",IF(H56=1,"Слабый признак","Отсутствует"))))</x:f>
      </x:c>
      <x:c r="N56" s="32" t="str"/>
    </x:row>
    <x:row r="57">
      <x:c r="A57" s="32" t="str"/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/>
      <x:c r="J57" s="32" t="str"/>
      <x:c r="K57" s="32" t="str"/>
      <x:c r="L57" s="32" t="str">
        <x:f>IF(OR(H57="",I57="",J57="",K57=""),"",ROUND(H57*((I57+J57)/6)*K57,2))</x:f>
      </x:c>
      <x:c r="M57" s="32" t="str">
        <x:f>IF(L57="","",IF(AND(L57&gt;=3.5,H57=1),"Сильный признак",IF(AND(L57&gt;=2,H57=1),"Рабочий признак",IF(H57=1,"Слабый признак","Отсутствует"))))</x:f>
      </x:c>
      <x:c r="N57" s="32" t="str"/>
    </x:row>
    <x:row r="58">
      <x:c r="A58" s="32" t="str"/>
      <x:c r="B58" s="32" t="str"/>
      <x:c r="C58" s="32" t="str"/>
      <x:c r="D58" s="32" t="str"/>
      <x:c r="E58" s="32" t="str"/>
      <x:c r="F58" s="32" t="str"/>
      <x:c r="G58" s="32" t="str"/>
      <x:c r="H58" s="32" t="str"/>
      <x:c r="I58" s="32" t="str"/>
      <x:c r="J58" s="32" t="str"/>
      <x:c r="K58" s="32" t="str"/>
      <x:c r="L58" s="32" t="str">
        <x:f>IF(OR(H58="",I58="",J58="",K58=""),"",ROUND(H58*((I58+J58)/6)*K58,2))</x:f>
      </x:c>
      <x:c r="M58" s="32" t="str">
        <x:f>IF(L58="","",IF(AND(L58&gt;=3.5,H58=1),"Сильный признак",IF(AND(L58&gt;=2,H58=1),"Рабочий признак",IF(H58=1,"Слабый признак","Отсутствует"))))</x:f>
      </x:c>
      <x:c r="N58" s="32" t="str"/>
    </x:row>
    <x:row r="59">
      <x:c r="A59" s="32" t="str"/>
      <x:c r="B59" s="32" t="str"/>
      <x:c r="C59" s="32" t="str"/>
      <x:c r="D59" s="32" t="str"/>
      <x:c r="E59" s="32" t="str"/>
      <x:c r="F59" s="32" t="str"/>
      <x:c r="G59" s="32" t="str"/>
      <x:c r="H59" s="32" t="str"/>
      <x:c r="I59" s="32" t="str"/>
      <x:c r="J59" s="32" t="str"/>
      <x:c r="K59" s="32" t="str"/>
      <x:c r="L59" s="32" t="str">
        <x:f>IF(OR(H59="",I59="",J59="",K59=""),"",ROUND(H59*((I59+J59)/6)*K59,2))</x:f>
      </x:c>
      <x:c r="M59" s="32" t="str">
        <x:f>IF(L59="","",IF(AND(L59&gt;=3.5,H59=1),"Сильный признак",IF(AND(L59&gt;=2,H59=1),"Рабочий признак",IF(H59=1,"Слабый признак","Отсутствует"))))</x:f>
      </x:c>
      <x:c r="N59" s="32" t="str"/>
    </x:row>
    <x:row r="60">
      <x:c r="A60" s="32" t="str"/>
      <x:c r="B60" s="32" t="str"/>
      <x:c r="C60" s="32" t="str"/>
      <x:c r="D60" s="32" t="str"/>
      <x:c r="E60" s="32" t="str"/>
      <x:c r="F60" s="32" t="str"/>
      <x:c r="G60" s="32" t="str"/>
      <x:c r="H60" s="32" t="str"/>
      <x:c r="I60" s="32" t="str"/>
      <x:c r="J60" s="32" t="str"/>
      <x:c r="K60" s="32" t="str"/>
      <x:c r="L60" s="32" t="str">
        <x:f>IF(OR(H60="",I60="",J60="",K60=""),"",ROUND(H60*((I60+J60)/6)*K60,2))</x:f>
      </x:c>
      <x:c r="M60" s="32" t="str">
        <x:f>IF(L60="","",IF(AND(L60&gt;=3.5,H60=1),"Сильный признак",IF(AND(L60&gt;=2,H60=1),"Рабочий признак",IF(H60=1,"Слабый признак","Отсутствует"))))</x:f>
      </x:c>
      <x:c r="N60" s="32" t="str"/>
    </x:row>
    <x:row r="61">
      <x:c r="A61" s="32" t="str"/>
      <x:c r="B61" s="32" t="str"/>
      <x:c r="C61" s="32" t="str"/>
      <x:c r="D61" s="32" t="str"/>
      <x:c r="E61" s="32" t="str"/>
      <x:c r="F61" s="32" t="str"/>
      <x:c r="G61" s="32" t="str"/>
      <x:c r="H61" s="32" t="str"/>
      <x:c r="I61" s="32" t="str"/>
      <x:c r="J61" s="32" t="str"/>
      <x:c r="K61" s="32" t="str"/>
      <x:c r="L61" s="32" t="str">
        <x:f>IF(OR(H61="",I61="",J61="",K61=""),"",ROUND(H61*((I61+J61)/6)*K61,2))</x:f>
      </x:c>
      <x:c r="M61" s="32" t="str">
        <x:f>IF(L61="","",IF(AND(L61&gt;=3.5,H61=1),"Сильный признак",IF(AND(L61&gt;=2,H61=1),"Рабочий признак",IF(H61=1,"Слабый признак","Отсутствует"))))</x:f>
      </x:c>
      <x:c r="N61" s="32" t="str"/>
    </x:row>
    <x:row r="62">
      <x:c r="A62" s="32" t="str"/>
      <x:c r="B62" s="32" t="str"/>
      <x:c r="C62" s="32" t="str"/>
      <x:c r="D62" s="32" t="str"/>
      <x:c r="E62" s="32" t="str"/>
      <x:c r="F62" s="32" t="str"/>
      <x:c r="G62" s="32" t="str"/>
      <x:c r="H62" s="32" t="str"/>
      <x:c r="I62" s="32" t="str"/>
      <x:c r="J62" s="32" t="str"/>
      <x:c r="K62" s="32" t="str"/>
      <x:c r="L62" s="32" t="str">
        <x:f>IF(OR(H62="",I62="",J62="",K62=""),"",ROUND(H62*((I62+J62)/6)*K62,2))</x:f>
      </x:c>
      <x:c r="M62" s="32" t="str">
        <x:f>IF(L62="","",IF(AND(L62&gt;=3.5,H62=1),"Сильный признак",IF(AND(L62&gt;=2,H62=1),"Рабочий признак",IF(H62=1,"Слабый признак","Отсутствует"))))</x:f>
      </x:c>
      <x:c r="N62" s="32" t="str"/>
    </x:row>
    <x:row r="63">
      <x:c r="A63" s="32" t="str"/>
      <x:c r="B63" s="32" t="str"/>
      <x:c r="C63" s="32" t="str"/>
      <x:c r="D63" s="32" t="str"/>
      <x:c r="E63" s="32" t="str"/>
      <x:c r="F63" s="32" t="str"/>
      <x:c r="G63" s="32" t="str"/>
      <x:c r="H63" s="32" t="str"/>
      <x:c r="I63" s="32" t="str"/>
      <x:c r="J63" s="32" t="str"/>
      <x:c r="K63" s="32" t="str"/>
      <x:c r="L63" s="32" t="str">
        <x:f>IF(OR(H63="",I63="",J63="",K63=""),"",ROUND(H63*((I63+J63)/6)*K63,2))</x:f>
      </x:c>
      <x:c r="M63" s="32" t="str">
        <x:f>IF(L63="","",IF(AND(L63&gt;=3.5,H63=1),"Сильный признак",IF(AND(L63&gt;=2,H63=1),"Рабочий признак",IF(H63=1,"Слабый признак","Отсутствует"))))</x:f>
      </x:c>
      <x:c r="N63" s="32" t="str"/>
    </x:row>
    <x:row r="64">
      <x:c r="A64" s="32" t="str"/>
      <x:c r="B64" s="32" t="str"/>
      <x:c r="C64" s="32" t="str"/>
      <x:c r="D64" s="32" t="str"/>
      <x:c r="E64" s="32" t="str"/>
      <x:c r="F64" s="32" t="str"/>
      <x:c r="G64" s="32" t="str"/>
      <x:c r="H64" s="32" t="str"/>
      <x:c r="I64" s="32" t="str"/>
      <x:c r="J64" s="32" t="str"/>
      <x:c r="K64" s="32" t="str"/>
      <x:c r="L64" s="32" t="str">
        <x:f>IF(OR(H64="",I64="",J64="",K64=""),"",ROUND(H64*((I64+J64)/6)*K64,2))</x:f>
      </x:c>
      <x:c r="M64" s="32" t="str">
        <x:f>IF(L64="","",IF(AND(L64&gt;=3.5,H64=1),"Сильный признак",IF(AND(L64&gt;=2,H64=1),"Рабочий признак",IF(H64=1,"Слабый признак","Отсутствует"))))</x:f>
      </x:c>
      <x:c r="N64" s="32" t="str"/>
    </x:row>
    <x:row r="65">
      <x:c r="A65" s="32" t="str"/>
      <x:c r="B65" s="32" t="str"/>
      <x:c r="C65" s="32" t="str"/>
      <x:c r="D65" s="32" t="str"/>
      <x:c r="E65" s="32" t="str"/>
      <x:c r="F65" s="32" t="str"/>
      <x:c r="G65" s="32" t="str"/>
      <x:c r="H65" s="32" t="str"/>
      <x:c r="I65" s="32" t="str"/>
      <x:c r="J65" s="32" t="str"/>
      <x:c r="K65" s="32" t="str"/>
      <x:c r="L65" s="32" t="str">
        <x:f>IF(OR(H65="",I65="",J65="",K65=""),"",ROUND(H65*((I65+J65)/6)*K65,2))</x:f>
      </x:c>
      <x:c r="M65" s="32" t="str">
        <x:f>IF(L65="","",IF(AND(L65&gt;=3.5,H65=1),"Сильный признак",IF(AND(L65&gt;=2,H65=1),"Рабочий признак",IF(H65=1,"Слабый признак","Отсутствует"))))</x:f>
      </x:c>
      <x:c r="N65" s="32" t="str"/>
    </x:row>
    <x:row r="66">
      <x:c r="A66" s="32" t="str"/>
      <x:c r="B66" s="32" t="str"/>
      <x:c r="C66" s="32" t="str"/>
      <x:c r="D66" s="32" t="str"/>
      <x:c r="E66" s="32" t="str"/>
      <x:c r="F66" s="32" t="str"/>
      <x:c r="G66" s="32" t="str"/>
      <x:c r="H66" s="32" t="str"/>
      <x:c r="I66" s="32" t="str"/>
      <x:c r="J66" s="32" t="str"/>
      <x:c r="K66" s="32" t="str"/>
      <x:c r="L66" s="32" t="str">
        <x:f>IF(OR(H66="",I66="",J66="",K66=""),"",ROUND(H66*((I66+J66)/6)*K66,2))</x:f>
      </x:c>
      <x:c r="M66" s="32" t="str">
        <x:f>IF(L66="","",IF(AND(L66&gt;=3.5,H66=1),"Сильный признак",IF(AND(L66&gt;=2,H66=1),"Рабочий признак",IF(H66=1,"Слабый признак","Отсутствует"))))</x:f>
      </x:c>
      <x:c r="N66" s="32" t="str"/>
    </x:row>
    <x:row r="67">
      <x:c r="A67" s="32" t="str"/>
      <x:c r="B67" s="32" t="str"/>
      <x:c r="C67" s="32" t="str"/>
      <x:c r="D67" s="32" t="str"/>
      <x:c r="E67" s="32" t="str"/>
      <x:c r="F67" s="32" t="str"/>
      <x:c r="G67" s="32" t="str"/>
      <x:c r="H67" s="32" t="str"/>
      <x:c r="I67" s="32" t="str"/>
      <x:c r="J67" s="32" t="str"/>
      <x:c r="K67" s="32" t="str"/>
      <x:c r="L67" s="32" t="str">
        <x:f>IF(OR(H67="",I67="",J67="",K67=""),"",ROUND(H67*((I67+J67)/6)*K67,2))</x:f>
      </x:c>
      <x:c r="M67" s="32" t="str">
        <x:f>IF(L67="","",IF(AND(L67&gt;=3.5,H67=1),"Сильный признак",IF(AND(L67&gt;=2,H67=1),"Рабочий признак",IF(H67=1,"Слабый признак","Отсутствует"))))</x:f>
      </x:c>
      <x:c r="N67" s="32" t="str"/>
    </x:row>
    <x:row r="68">
      <x:c r="A68" s="32" t="str"/>
      <x:c r="B68" s="32" t="str"/>
      <x:c r="C68" s="32" t="str"/>
      <x:c r="D68" s="32" t="str"/>
      <x:c r="E68" s="32" t="str"/>
      <x:c r="F68" s="32" t="str"/>
      <x:c r="G68" s="32" t="str"/>
      <x:c r="H68" s="32" t="str"/>
      <x:c r="I68" s="32" t="str"/>
      <x:c r="J68" s="32" t="str"/>
      <x:c r="K68" s="32" t="str"/>
      <x:c r="L68" s="32" t="str">
        <x:f>IF(OR(H68="",I68="",J68="",K68=""),"",ROUND(H68*((I68+J68)/6)*K68,2))</x:f>
      </x:c>
      <x:c r="M68" s="32" t="str">
        <x:f>IF(L68="","",IF(AND(L68&gt;=3.5,H68=1),"Сильный признак",IF(AND(L68&gt;=2,H68=1),"Рабочий признак",IF(H68=1,"Слабый признак","Отсутствует"))))</x:f>
      </x:c>
      <x:c r="N68" s="32" t="str"/>
    </x:row>
    <x:row r="69">
      <x:c r="A69" s="32" t="str"/>
      <x:c r="B69" s="32" t="str"/>
      <x:c r="C69" s="32" t="str"/>
      <x:c r="D69" s="32" t="str"/>
      <x:c r="E69" s="32" t="str"/>
      <x:c r="F69" s="32" t="str"/>
      <x:c r="G69" s="32" t="str"/>
      <x:c r="H69" s="32" t="str"/>
      <x:c r="I69" s="32" t="str"/>
      <x:c r="J69" s="32" t="str"/>
      <x:c r="K69" s="32" t="str"/>
      <x:c r="L69" s="32" t="str">
        <x:f>IF(OR(H69="",I69="",J69="",K69=""),"",ROUND(H69*((I69+J69)/6)*K69,2))</x:f>
      </x:c>
      <x:c r="M69" s="32" t="str">
        <x:f>IF(L69="","",IF(AND(L69&gt;=3.5,H69=1),"Сильный признак",IF(AND(L69&gt;=2,H69=1),"Рабочий признак",IF(H69=1,"Слабый признак","Отсутствует"))))</x:f>
      </x:c>
      <x:c r="N69" s="32" t="str"/>
    </x:row>
    <x:row r="70">
      <x:c r="A70" s="32" t="str"/>
      <x:c r="B70" s="32" t="str"/>
      <x:c r="C70" s="32" t="str"/>
      <x:c r="D70" s="32" t="str"/>
      <x:c r="E70" s="32" t="str"/>
      <x:c r="F70" s="32" t="str"/>
      <x:c r="G70" s="32" t="str"/>
      <x:c r="H70" s="32" t="str"/>
      <x:c r="I70" s="32" t="str"/>
      <x:c r="J70" s="32" t="str"/>
      <x:c r="K70" s="32" t="str"/>
      <x:c r="L70" s="32" t="str">
        <x:f>IF(OR(H70="",I70="",J70="",K70=""),"",ROUND(H70*((I70+J70)/6)*K70,2))</x:f>
      </x:c>
      <x:c r="M70" s="32" t="str">
        <x:f>IF(L70="","",IF(AND(L70&gt;=3.5,H70=1),"Сильный признак",IF(AND(L70&gt;=2,H70=1),"Рабочий признак",IF(H70=1,"Слабый признак","Отсутствует"))))</x:f>
      </x:c>
      <x:c r="N70" s="32" t="str"/>
    </x:row>
    <x:row r="71">
      <x:c r="A71" s="32" t="str"/>
      <x:c r="B71" s="32" t="str"/>
      <x:c r="C71" s="32" t="str"/>
      <x:c r="D71" s="32" t="str"/>
      <x:c r="E71" s="32" t="str"/>
      <x:c r="F71" s="32" t="str"/>
      <x:c r="G71" s="32" t="str"/>
      <x:c r="H71" s="32" t="str"/>
      <x:c r="I71" s="32" t="str"/>
      <x:c r="J71" s="32" t="str"/>
      <x:c r="K71" s="32" t="str"/>
      <x:c r="L71" s="32" t="str">
        <x:f>IF(OR(H71="",I71="",J71="",K71=""),"",ROUND(H71*((I71+J71)/6)*K71,2))</x:f>
      </x:c>
      <x:c r="M71" s="32" t="str">
        <x:f>IF(L71="","",IF(AND(L71&gt;=3.5,H71=1),"Сильный признак",IF(AND(L71&gt;=2,H71=1),"Рабочий признак",IF(H71=1,"Слабый признак","Отсутствует"))))</x:f>
      </x:c>
      <x:c r="N71" s="32" t="str"/>
    </x:row>
    <x:row r="72">
      <x:c r="A72" s="32" t="str"/>
      <x:c r="B72" s="32" t="str"/>
      <x:c r="C72" s="32" t="str"/>
      <x:c r="D72" s="32" t="str"/>
      <x:c r="E72" s="32" t="str"/>
      <x:c r="F72" s="32" t="str"/>
      <x:c r="G72" s="32" t="str"/>
      <x:c r="H72" s="32" t="str"/>
      <x:c r="I72" s="32" t="str"/>
      <x:c r="J72" s="32" t="str"/>
      <x:c r="K72" s="32" t="str"/>
      <x:c r="L72" s="32" t="str">
        <x:f>IF(OR(H72="",I72="",J72="",K72=""),"",ROUND(H72*((I72+J72)/6)*K72,2))</x:f>
      </x:c>
      <x:c r="M72" s="32" t="str">
        <x:f>IF(L72="","",IF(AND(L72&gt;=3.5,H72=1),"Сильный признак",IF(AND(L72&gt;=2,H72=1),"Рабочий признак",IF(H72=1,"Слабый признак","Отсутствует"))))</x:f>
      </x:c>
      <x:c r="N72" s="32" t="str"/>
    </x:row>
    <x:row r="73">
      <x:c r="A73" s="32" t="str"/>
      <x:c r="B73" s="32" t="str"/>
      <x:c r="C73" s="32" t="str"/>
      <x:c r="D73" s="32" t="str"/>
      <x:c r="E73" s="32" t="str"/>
      <x:c r="F73" s="32" t="str"/>
      <x:c r="G73" s="32" t="str"/>
      <x:c r="H73" s="32" t="str"/>
      <x:c r="I73" s="32" t="str"/>
      <x:c r="J73" s="32" t="str"/>
      <x:c r="K73" s="32" t="str"/>
      <x:c r="L73" s="32" t="str">
        <x:f>IF(OR(H73="",I73="",J73="",K73=""),"",ROUND(H73*((I73+J73)/6)*K73,2))</x:f>
      </x:c>
      <x:c r="M73" s="32" t="str">
        <x:f>IF(L73="","",IF(AND(L73&gt;=3.5,H73=1),"Сильный признак",IF(AND(L73&gt;=2,H73=1),"Рабочий признак",IF(H73=1,"Слабый признак","Отсутствует"))))</x:f>
      </x:c>
      <x:c r="N73" s="32" t="str"/>
    </x:row>
    <x:row r="74">
      <x:c r="A74" s="32" t="str"/>
      <x:c r="B74" s="32" t="str"/>
      <x:c r="C74" s="32" t="str"/>
      <x:c r="D74" s="32" t="str"/>
      <x:c r="E74" s="32" t="str"/>
      <x:c r="F74" s="32" t="str"/>
      <x:c r="G74" s="32" t="str"/>
      <x:c r="H74" s="32" t="str"/>
      <x:c r="I74" s="32" t="str"/>
      <x:c r="J74" s="32" t="str"/>
      <x:c r="K74" s="32" t="str"/>
      <x:c r="L74" s="32" t="str">
        <x:f>IF(OR(H74="",I74="",J74="",K74=""),"",ROUND(H74*((I74+J74)/6)*K74,2))</x:f>
      </x:c>
      <x:c r="M74" s="32" t="str">
        <x:f>IF(L74="","",IF(AND(L74&gt;=3.5,H74=1),"Сильный признак",IF(AND(L74&gt;=2,H74=1),"Рабочий признак",IF(H74=1,"Слабый признак","Отсутствует"))))</x:f>
      </x:c>
      <x:c r="N74" s="32" t="str"/>
    </x:row>
    <x:row r="75">
      <x:c r="A75" s="32" t="str"/>
      <x:c r="B75" s="32" t="str"/>
      <x:c r="C75" s="32" t="str"/>
      <x:c r="D75" s="32" t="str"/>
      <x:c r="E75" s="32" t="str"/>
      <x:c r="F75" s="32" t="str"/>
      <x:c r="G75" s="32" t="str"/>
      <x:c r="H75" s="32" t="str"/>
      <x:c r="I75" s="32" t="str"/>
      <x:c r="J75" s="32" t="str"/>
      <x:c r="K75" s="32" t="str"/>
      <x:c r="L75" s="32" t="str">
        <x:f>IF(OR(H75="",I75="",J75="",K75=""),"",ROUND(H75*((I75+J75)/6)*K75,2))</x:f>
      </x:c>
      <x:c r="M75" s="32" t="str">
        <x:f>IF(L75="","",IF(AND(L75&gt;=3.5,H75=1),"Сильный признак",IF(AND(L75&gt;=2,H75=1),"Рабочий признак",IF(H75=1,"Слабый признак","Отсутствует"))))</x:f>
      </x:c>
      <x:c r="N75" s="32" t="str"/>
    </x:row>
    <x:row r="76">
      <x:c r="A76" s="32" t="str"/>
      <x:c r="B76" s="32" t="str"/>
      <x:c r="C76" s="32" t="str"/>
      <x:c r="D76" s="32" t="str"/>
      <x:c r="E76" s="32" t="str"/>
      <x:c r="F76" s="32" t="str"/>
      <x:c r="G76" s="32" t="str"/>
      <x:c r="H76" s="32" t="str"/>
      <x:c r="I76" s="32" t="str"/>
      <x:c r="J76" s="32" t="str"/>
      <x:c r="K76" s="32" t="str"/>
      <x:c r="L76" s="32" t="str">
        <x:f>IF(OR(H76="",I76="",J76="",K76=""),"",ROUND(H76*((I76+J76)/6)*K76,2))</x:f>
      </x:c>
      <x:c r="M76" s="32" t="str">
        <x:f>IF(L76="","",IF(AND(L76&gt;=3.5,H76=1),"Сильный признак",IF(AND(L76&gt;=2,H76=1),"Рабочий признак",IF(H76=1,"Слабый признак","Отсутствует"))))</x:f>
      </x:c>
      <x:c r="N76" s="32" t="str"/>
    </x:row>
    <x:row r="77">
      <x:c r="A77" s="32" t="str"/>
      <x:c r="B77" s="32" t="str"/>
      <x:c r="C77" s="32" t="str"/>
      <x:c r="D77" s="32" t="str"/>
      <x:c r="E77" s="32" t="str"/>
      <x:c r="F77" s="32" t="str"/>
      <x:c r="G77" s="32" t="str"/>
      <x:c r="H77" s="32" t="str"/>
      <x:c r="I77" s="32" t="str"/>
      <x:c r="J77" s="32" t="str"/>
      <x:c r="K77" s="32" t="str"/>
      <x:c r="L77" s="32" t="str">
        <x:f>IF(OR(H77="",I77="",J77="",K77=""),"",ROUND(H77*((I77+J77)/6)*K77,2))</x:f>
      </x:c>
      <x:c r="M77" s="32" t="str">
        <x:f>IF(L77="","",IF(AND(L77&gt;=3.5,H77=1),"Сильный признак",IF(AND(L77&gt;=2,H77=1),"Рабочий признак",IF(H77=1,"Слабый признак","Отсутствует"))))</x:f>
      </x:c>
      <x:c r="N77" s="32" t="str"/>
    </x:row>
    <x:row r="78">
      <x:c r="A78" s="32" t="str"/>
      <x:c r="B78" s="32" t="str"/>
      <x:c r="C78" s="32" t="str"/>
      <x:c r="D78" s="32" t="str"/>
      <x:c r="E78" s="32" t="str"/>
      <x:c r="F78" s="32" t="str"/>
      <x:c r="G78" s="32" t="str"/>
      <x:c r="H78" s="32" t="str"/>
      <x:c r="I78" s="32" t="str"/>
      <x:c r="J78" s="32" t="str"/>
      <x:c r="K78" s="32" t="str"/>
      <x:c r="L78" s="32" t="str">
        <x:f>IF(OR(H78="",I78="",J78="",K78=""),"",ROUND(H78*((I78+J78)/6)*K78,2))</x:f>
      </x:c>
      <x:c r="M78" s="32" t="str">
        <x:f>IF(L78="","",IF(AND(L78&gt;=3.5,H78=1),"Сильный признак",IF(AND(L78&gt;=2,H78=1),"Рабочий признак",IF(H78=1,"Слабый признак","Отсутствует"))))</x:f>
      </x:c>
      <x:c r="N78" s="32" t="str"/>
    </x:row>
    <x:row r="79">
      <x:c r="A79" s="32" t="str"/>
      <x:c r="B79" s="32" t="str"/>
      <x:c r="C79" s="32" t="str"/>
      <x:c r="D79" s="32" t="str"/>
      <x:c r="E79" s="32" t="str"/>
      <x:c r="F79" s="32" t="str"/>
      <x:c r="G79" s="32" t="str"/>
      <x:c r="H79" s="32" t="str"/>
      <x:c r="I79" s="32" t="str"/>
      <x:c r="J79" s="32" t="str"/>
      <x:c r="K79" s="32" t="str"/>
      <x:c r="L79" s="32" t="str">
        <x:f>IF(OR(H79="",I79="",J79="",K79=""),"",ROUND(H79*((I79+J79)/6)*K79,2))</x:f>
      </x:c>
      <x:c r="M79" s="32" t="str">
        <x:f>IF(L79="","",IF(AND(L79&gt;=3.5,H79=1),"Сильный признак",IF(AND(L79&gt;=2,H79=1),"Рабочий признак",IF(H79=1,"Слабый признак","Отсутствует"))))</x:f>
      </x:c>
      <x:c r="N79" s="32" t="str"/>
    </x:row>
    <x:row r="80">
      <x:c r="A80" s="32" t="str"/>
      <x:c r="B80" s="32" t="str"/>
      <x:c r="C80" s="32" t="str"/>
      <x:c r="D80" s="32" t="str"/>
      <x:c r="E80" s="32" t="str"/>
      <x:c r="F80" s="32" t="str"/>
      <x:c r="G80" s="32" t="str"/>
      <x:c r="H80" s="32" t="str"/>
      <x:c r="I80" s="32" t="str"/>
      <x:c r="J80" s="32" t="str"/>
      <x:c r="K80" s="32" t="str"/>
      <x:c r="L80" s="32" t="str">
        <x:f>IF(OR(H80="",I80="",J80="",K80=""),"",ROUND(H80*((I80+J80)/6)*K80,2))</x:f>
      </x:c>
      <x:c r="M80" s="32" t="str">
        <x:f>IF(L80="","",IF(AND(L80&gt;=3.5,H80=1),"Сильный признак",IF(AND(L80&gt;=2,H80=1),"Рабочий признак",IF(H80=1,"Слабый признак","Отсутствует"))))</x:f>
      </x:c>
      <x:c r="N80" s="32" t="str"/>
    </x:row>
    <x:row r="81">
      <x:c r="A81" s="32" t="str"/>
      <x:c r="B81" s="32" t="str"/>
      <x:c r="C81" s="32" t="str"/>
      <x:c r="D81" s="32" t="str"/>
      <x:c r="E81" s="32" t="str"/>
      <x:c r="F81" s="32" t="str"/>
      <x:c r="G81" s="32" t="str"/>
      <x:c r="H81" s="32" t="str"/>
      <x:c r="I81" s="32" t="str"/>
      <x:c r="J81" s="32" t="str"/>
      <x:c r="K81" s="32" t="str"/>
      <x:c r="L81" s="32" t="str">
        <x:f>IF(OR(H81="",I81="",J81="",K81=""),"",ROUND(H81*((I81+J81)/6)*K81,2))</x:f>
      </x:c>
      <x:c r="M81" s="32" t="str">
        <x:f>IF(L81="","",IF(AND(L81&gt;=3.5,H81=1),"Сильный признак",IF(AND(L81&gt;=2,H81=1),"Рабочий признак",IF(H81=1,"Слабый признак","Отсутствует"))))</x:f>
      </x:c>
      <x:c r="N81" s="32" t="str"/>
    </x:row>
    <x:row r="82">
      <x:c r="A82" s="32" t="str"/>
      <x:c r="B82" s="32" t="str"/>
      <x:c r="C82" s="32" t="str"/>
      <x:c r="D82" s="32" t="str"/>
      <x:c r="E82" s="32" t="str"/>
      <x:c r="F82" s="32" t="str"/>
      <x:c r="G82" s="32" t="str"/>
      <x:c r="H82" s="32" t="str"/>
      <x:c r="I82" s="32" t="str"/>
      <x:c r="J82" s="32" t="str"/>
      <x:c r="K82" s="32" t="str"/>
      <x:c r="L82" s="32" t="str">
        <x:f>IF(OR(H82="",I82="",J82="",K82=""),"",ROUND(H82*((I82+J82)/6)*K82,2))</x:f>
      </x:c>
      <x:c r="M82" s="32" t="str">
        <x:f>IF(L82="","",IF(AND(L82&gt;=3.5,H82=1),"Сильный признак",IF(AND(L82&gt;=2,H82=1),"Рабочий признак",IF(H82=1,"Слабый признак","Отсутствует"))))</x:f>
      </x:c>
      <x:c r="N82" s="32" t="str"/>
    </x:row>
    <x:row r="83">
      <x:c r="A83" s="32" t="str"/>
      <x:c r="B83" s="32" t="str"/>
      <x:c r="C83" s="32" t="str"/>
      <x:c r="D83" s="32" t="str"/>
      <x:c r="E83" s="32" t="str"/>
      <x:c r="F83" s="32" t="str"/>
      <x:c r="G83" s="32" t="str"/>
      <x:c r="H83" s="32" t="str"/>
      <x:c r="I83" s="32" t="str"/>
      <x:c r="J83" s="32" t="str"/>
      <x:c r="K83" s="32" t="str"/>
      <x:c r="L83" s="32" t="str">
        <x:f>IF(OR(H83="",I83="",J83="",K83=""),"",ROUND(H83*((I83+J83)/6)*K83,2))</x:f>
      </x:c>
      <x:c r="M83" s="32" t="str">
        <x:f>IF(L83="","",IF(AND(L83&gt;=3.5,H83=1),"Сильный признак",IF(AND(L83&gt;=2,H83=1),"Рабочий признак",IF(H83=1,"Слабый признак","Отсутствует"))))</x:f>
      </x:c>
      <x:c r="N83" s="32" t="str"/>
    </x:row>
    <x:row r="84">
      <x:c r="A84" s="32" t="str"/>
      <x:c r="B84" s="32" t="str"/>
      <x:c r="C84" s="32" t="str"/>
      <x:c r="D84" s="32" t="str"/>
      <x:c r="E84" s="32" t="str"/>
      <x:c r="F84" s="32" t="str"/>
      <x:c r="G84" s="32" t="str"/>
      <x:c r="H84" s="32" t="str"/>
      <x:c r="I84" s="32" t="str"/>
      <x:c r="J84" s="32" t="str"/>
      <x:c r="K84" s="32" t="str"/>
      <x:c r="L84" s="32" t="str">
        <x:f>IF(OR(H84="",I84="",J84="",K84=""),"",ROUND(H84*((I84+J84)/6)*K84,2))</x:f>
      </x:c>
      <x:c r="M84" s="32" t="str">
        <x:f>IF(L84="","",IF(AND(L84&gt;=3.5,H84=1),"Сильный признак",IF(AND(L84&gt;=2,H84=1),"Рабочий признак",IF(H84=1,"Слабый признак","Отсутствует"))))</x:f>
      </x:c>
      <x:c r="N84" s="32" t="str"/>
    </x:row>
    <x:row r="85">
      <x:c r="A85" s="32" t="str"/>
      <x:c r="B85" s="32" t="str"/>
      <x:c r="C85" s="32" t="str"/>
      <x:c r="D85" s="32" t="str"/>
      <x:c r="E85" s="32" t="str"/>
      <x:c r="F85" s="32" t="str"/>
      <x:c r="G85" s="32" t="str"/>
      <x:c r="H85" s="32" t="str"/>
      <x:c r="I85" s="32" t="str"/>
      <x:c r="J85" s="32" t="str"/>
      <x:c r="K85" s="32" t="str"/>
      <x:c r="L85" s="32" t="str">
        <x:f>IF(OR(H85="",I85="",J85="",K85=""),"",ROUND(H85*((I85+J85)/6)*K85,2))</x:f>
      </x:c>
      <x:c r="M85" s="32" t="str">
        <x:f>IF(L85="","",IF(AND(L85&gt;=3.5,H85=1),"Сильный признак",IF(AND(L85&gt;=2,H85=1),"Рабочий признак",IF(H85=1,"Слабый признак","Отсутствует"))))</x:f>
      </x:c>
      <x:c r="N85" s="32" t="str"/>
    </x:row>
    <x:row r="86">
      <x:c r="A86" s="32" t="str"/>
      <x:c r="B86" s="32" t="str"/>
      <x:c r="C86" s="32" t="str"/>
      <x:c r="D86" s="32" t="str"/>
      <x:c r="E86" s="32" t="str"/>
      <x:c r="F86" s="32" t="str"/>
      <x:c r="G86" s="32" t="str"/>
      <x:c r="H86" s="32" t="str"/>
      <x:c r="I86" s="32" t="str"/>
      <x:c r="J86" s="32" t="str"/>
      <x:c r="K86" s="32" t="str"/>
      <x:c r="L86" s="32" t="str">
        <x:f>IF(OR(H86="",I86="",J86="",K86=""),"",ROUND(H86*((I86+J86)/6)*K86,2))</x:f>
      </x:c>
      <x:c r="M86" s="32" t="str">
        <x:f>IF(L86="","",IF(AND(L86&gt;=3.5,H86=1),"Сильный признак",IF(AND(L86&gt;=2,H86=1),"Рабочий признак",IF(H86=1,"Слабый признак","Отсутствует"))))</x:f>
      </x:c>
      <x:c r="N86" s="32" t="str"/>
    </x:row>
    <x:row r="87">
      <x:c r="A87" s="32" t="str"/>
      <x:c r="B87" s="32" t="str"/>
      <x:c r="C87" s="32" t="str"/>
      <x:c r="D87" s="32" t="str"/>
      <x:c r="E87" s="32" t="str"/>
      <x:c r="F87" s="32" t="str"/>
      <x:c r="G87" s="32" t="str"/>
      <x:c r="H87" s="32" t="str"/>
      <x:c r="I87" s="32" t="str"/>
      <x:c r="J87" s="32" t="str"/>
      <x:c r="K87" s="32" t="str"/>
      <x:c r="L87" s="32" t="str">
        <x:f>IF(OR(H87="",I87="",J87="",K87=""),"",ROUND(H87*((I87+J87)/6)*K87,2))</x:f>
      </x:c>
      <x:c r="M87" s="32" t="str">
        <x:f>IF(L87="","",IF(AND(L87&gt;=3.5,H87=1),"Сильный признак",IF(AND(L87&gt;=2,H87=1),"Рабочий признак",IF(H87=1,"Слабый признак","Отсутствует"))))</x:f>
      </x:c>
      <x:c r="N87" s="32" t="str"/>
    </x:row>
    <x:row r="88">
      <x:c r="A88" s="32" t="str"/>
      <x:c r="B88" s="32" t="str"/>
      <x:c r="C88" s="32" t="str"/>
      <x:c r="D88" s="32" t="str"/>
      <x:c r="E88" s="32" t="str"/>
      <x:c r="F88" s="32" t="str"/>
      <x:c r="G88" s="32" t="str"/>
      <x:c r="H88" s="32" t="str"/>
      <x:c r="I88" s="32" t="str"/>
      <x:c r="J88" s="32" t="str"/>
      <x:c r="K88" s="32" t="str"/>
      <x:c r="L88" s="32" t="str">
        <x:f>IF(OR(H88="",I88="",J88="",K88=""),"",ROUND(H88*((I88+J88)/6)*K88,2))</x:f>
      </x:c>
      <x:c r="M88" s="32" t="str">
        <x:f>IF(L88="","",IF(AND(L88&gt;=3.5,H88=1),"Сильный признак",IF(AND(L88&gt;=2,H88=1),"Рабочий признак",IF(H88=1,"Слабый признак","Отсутствует"))))</x:f>
      </x:c>
      <x:c r="N88" s="32" t="str"/>
    </x:row>
    <x:row r="89">
      <x:c r="A89" s="32" t="str"/>
      <x:c r="B89" s="32" t="str"/>
      <x:c r="C89" s="32" t="str"/>
      <x:c r="D89" s="32" t="str"/>
      <x:c r="E89" s="32" t="str"/>
      <x:c r="F89" s="32" t="str"/>
      <x:c r="G89" s="32" t="str"/>
      <x:c r="H89" s="32" t="str"/>
      <x:c r="I89" s="32" t="str"/>
      <x:c r="J89" s="32" t="str"/>
      <x:c r="K89" s="32" t="str"/>
      <x:c r="L89" s="32" t="str">
        <x:f>IF(OR(H89="",I89="",J89="",K89=""),"",ROUND(H89*((I89+J89)/6)*K89,2))</x:f>
      </x:c>
      <x:c r="M89" s="32" t="str">
        <x:f>IF(L89="","",IF(AND(L89&gt;=3.5,H89=1),"Сильный признак",IF(AND(L89&gt;=2,H89=1),"Рабочий признак",IF(H89=1,"Слабый признак","Отсутствует"))))</x:f>
      </x:c>
      <x:c r="N89" s="32" t="str"/>
    </x:row>
    <x:row r="90">
      <x:c r="A90" s="32" t="str"/>
      <x:c r="B90" s="32" t="str"/>
      <x:c r="C90" s="32" t="str"/>
      <x:c r="D90" s="32" t="str"/>
      <x:c r="E90" s="32" t="str"/>
      <x:c r="F90" s="32" t="str"/>
      <x:c r="G90" s="32" t="str"/>
      <x:c r="H90" s="32" t="str"/>
      <x:c r="I90" s="32" t="str"/>
      <x:c r="J90" s="32" t="str"/>
      <x:c r="K90" s="32" t="str"/>
      <x:c r="L90" s="32" t="str">
        <x:f>IF(OR(H90="",I90="",J90="",K90=""),"",ROUND(H90*((I90+J90)/6)*K90,2))</x:f>
      </x:c>
      <x:c r="M90" s="32" t="str">
        <x:f>IF(L90="","",IF(AND(L90&gt;=3.5,H90=1),"Сильный признак",IF(AND(L90&gt;=2,H90=1),"Рабочий признак",IF(H90=1,"Слабый признак","Отсутствует"))))</x:f>
      </x:c>
      <x:c r="N90" s="32" t="str"/>
    </x:row>
    <x:row r="91">
      <x:c r="A91" s="32" t="str"/>
      <x:c r="B91" s="32" t="str"/>
      <x:c r="C91" s="32" t="str"/>
      <x:c r="D91" s="32" t="str"/>
      <x:c r="E91" s="32" t="str"/>
      <x:c r="F91" s="32" t="str"/>
      <x:c r="G91" s="32" t="str"/>
      <x:c r="H91" s="32" t="str"/>
      <x:c r="I91" s="32" t="str"/>
      <x:c r="J91" s="32" t="str"/>
      <x:c r="K91" s="32" t="str"/>
      <x:c r="L91" s="32" t="str">
        <x:f>IF(OR(H91="",I91="",J91="",K91=""),"",ROUND(H91*((I91+J91)/6)*K91,2))</x:f>
      </x:c>
      <x:c r="M91" s="32" t="str">
        <x:f>IF(L91="","",IF(AND(L91&gt;=3.5,H91=1),"Сильный признак",IF(AND(L91&gt;=2,H91=1),"Рабочий признак",IF(H91=1,"Слабый признак","Отсутствует"))))</x:f>
      </x:c>
      <x:c r="N91" s="32" t="str"/>
    </x:row>
    <x:row r="92">
      <x:c r="A92" s="32" t="str"/>
      <x:c r="B92" s="32" t="str"/>
      <x:c r="C92" s="32" t="str"/>
      <x:c r="D92" s="32" t="str"/>
      <x:c r="E92" s="32" t="str"/>
      <x:c r="F92" s="32" t="str"/>
      <x:c r="G92" s="32" t="str"/>
      <x:c r="H92" s="32" t="str"/>
      <x:c r="I92" s="32" t="str"/>
      <x:c r="J92" s="32" t="str"/>
      <x:c r="K92" s="32" t="str"/>
      <x:c r="L92" s="32" t="str">
        <x:f>IF(OR(H92="",I92="",J92="",K92=""),"",ROUND(H92*((I92+J92)/6)*K92,2))</x:f>
      </x:c>
      <x:c r="M92" s="32" t="str">
        <x:f>IF(L92="","",IF(AND(L92&gt;=3.5,H92=1),"Сильный признак",IF(AND(L92&gt;=2,H92=1),"Рабочий признак",IF(H92=1,"Слабый признак","Отсутствует"))))</x:f>
      </x:c>
      <x:c r="N92" s="32" t="str"/>
    </x:row>
    <x:row r="93">
      <x:c r="A93" s="32" t="str"/>
      <x:c r="B93" s="32" t="str"/>
      <x:c r="C93" s="32" t="str"/>
      <x:c r="D93" s="32" t="str"/>
      <x:c r="E93" s="32" t="str"/>
      <x:c r="F93" s="32" t="str"/>
      <x:c r="G93" s="32" t="str"/>
      <x:c r="H93" s="32" t="str"/>
      <x:c r="I93" s="32" t="str"/>
      <x:c r="J93" s="32" t="str"/>
      <x:c r="K93" s="32" t="str"/>
      <x:c r="L93" s="32" t="str">
        <x:f>IF(OR(H93="",I93="",J93="",K93=""),"",ROUND(H93*((I93+J93)/6)*K93,2))</x:f>
      </x:c>
      <x:c r="M93" s="32" t="str">
        <x:f>IF(L93="","",IF(AND(L93&gt;=3.5,H93=1),"Сильный признак",IF(AND(L93&gt;=2,H93=1),"Рабочий признак",IF(H93=1,"Слабый признак","Отсутствует"))))</x:f>
      </x:c>
      <x:c r="N93" s="32" t="str"/>
    </x:row>
    <x:row r="94">
      <x:c r="A94" s="32" t="str"/>
      <x:c r="B94" s="32" t="str"/>
      <x:c r="C94" s="32" t="str"/>
      <x:c r="D94" s="32" t="str"/>
      <x:c r="E94" s="32" t="str"/>
      <x:c r="F94" s="32" t="str"/>
      <x:c r="G94" s="32" t="str"/>
      <x:c r="H94" s="32" t="str"/>
      <x:c r="I94" s="32" t="str"/>
      <x:c r="J94" s="32" t="str"/>
      <x:c r="K94" s="32" t="str"/>
      <x:c r="L94" s="32" t="str">
        <x:f>IF(OR(H94="",I94="",J94="",K94=""),"",ROUND(H94*((I94+J94)/6)*K94,2))</x:f>
      </x:c>
      <x:c r="M94" s="32" t="str">
        <x:f>IF(L94="","",IF(AND(L94&gt;=3.5,H94=1),"Сильный признак",IF(AND(L94&gt;=2,H94=1),"Рабочий признак",IF(H94=1,"Слабый признак","Отсутствует"))))</x:f>
      </x:c>
      <x:c r="N94" s="32" t="str"/>
    </x:row>
    <x:row r="95">
      <x:c r="A95" s="32" t="str"/>
      <x:c r="B95" s="32" t="str"/>
      <x:c r="C95" s="32" t="str"/>
      <x:c r="D95" s="32" t="str"/>
      <x:c r="E95" s="32" t="str"/>
      <x:c r="F95" s="32" t="str"/>
      <x:c r="G95" s="32" t="str"/>
      <x:c r="H95" s="32" t="str"/>
      <x:c r="I95" s="32" t="str"/>
      <x:c r="J95" s="32" t="str"/>
      <x:c r="K95" s="32" t="str"/>
      <x:c r="L95" s="32" t="str">
        <x:f>IF(OR(H95="",I95="",J95="",K95=""),"",ROUND(H95*((I95+J95)/6)*K95,2))</x:f>
      </x:c>
      <x:c r="M95" s="32" t="str">
        <x:f>IF(L95="","",IF(AND(L95&gt;=3.5,H95=1),"Сильный признак",IF(AND(L95&gt;=2,H95=1),"Рабочий признак",IF(H95=1,"Слабый признак","Отсутствует"))))</x:f>
      </x:c>
      <x:c r="N95" s="32" t="str"/>
    </x:row>
    <x:row r="96">
      <x:c r="A96" s="32" t="str"/>
      <x:c r="B96" s="32" t="str"/>
      <x:c r="C96" s="32" t="str"/>
      <x:c r="D96" s="32" t="str"/>
      <x:c r="E96" s="32" t="str"/>
      <x:c r="F96" s="32" t="str"/>
      <x:c r="G96" s="32" t="str"/>
      <x:c r="H96" s="32" t="str"/>
      <x:c r="I96" s="32" t="str"/>
      <x:c r="J96" s="32" t="str"/>
      <x:c r="K96" s="32" t="str"/>
      <x:c r="L96" s="32" t="str">
        <x:f>IF(OR(H96="",I96="",J96="",K96=""),"",ROUND(H96*((I96+J96)/6)*K96,2))</x:f>
      </x:c>
      <x:c r="M96" s="32" t="str">
        <x:f>IF(L96="","",IF(AND(L96&gt;=3.5,H96=1),"Сильный признак",IF(AND(L96&gt;=2,H96=1),"Рабочий признак",IF(H96=1,"Слабый признак","Отсутствует"))))</x:f>
      </x:c>
      <x:c r="N96" s="32" t="str"/>
    </x:row>
    <x:row r="97">
      <x:c r="A97" s="32" t="str"/>
      <x:c r="B97" s="32" t="str"/>
      <x:c r="C97" s="32" t="str"/>
      <x:c r="D97" s="32" t="str"/>
      <x:c r="E97" s="32" t="str"/>
      <x:c r="F97" s="32" t="str"/>
      <x:c r="G97" s="32" t="str"/>
      <x:c r="H97" s="32" t="str"/>
      <x:c r="I97" s="32" t="str"/>
      <x:c r="J97" s="32" t="str"/>
      <x:c r="K97" s="32" t="str"/>
      <x:c r="L97" s="32" t="str">
        <x:f>IF(OR(H97="",I97="",J97="",K97=""),"",ROUND(H97*((I97+J97)/6)*K97,2))</x:f>
      </x:c>
      <x:c r="M97" s="32" t="str">
        <x:f>IF(L97="","",IF(AND(L97&gt;=3.5,H97=1),"Сильный признак",IF(AND(L97&gt;=2,H97=1),"Рабочий признак",IF(H97=1,"Слабый признак","Отсутствует"))))</x:f>
      </x:c>
      <x:c r="N97" s="32" t="str"/>
    </x:row>
    <x:row r="98">
      <x:c r="A98" s="32" t="str"/>
      <x:c r="B98" s="32" t="str"/>
      <x:c r="C98" s="32" t="str"/>
      <x:c r="D98" s="32" t="str"/>
      <x:c r="E98" s="32" t="str"/>
      <x:c r="F98" s="32" t="str"/>
      <x:c r="G98" s="32" t="str"/>
      <x:c r="H98" s="32" t="str"/>
      <x:c r="I98" s="32" t="str"/>
      <x:c r="J98" s="32" t="str"/>
      <x:c r="K98" s="32" t="str"/>
      <x:c r="L98" s="32" t="str">
        <x:f>IF(OR(H98="",I98="",J98="",K98=""),"",ROUND(H98*((I98+J98)/6)*K98,2))</x:f>
      </x:c>
      <x:c r="M98" s="32" t="str">
        <x:f>IF(L98="","",IF(AND(L98&gt;=3.5,H98=1),"Сильный признак",IF(AND(L98&gt;=2,H98=1),"Рабочий признак",IF(H98=1,"Слабый признак","Отсутствует"))))</x:f>
      </x:c>
      <x:c r="N98" s="32" t="str"/>
    </x:row>
    <x:row r="99">
      <x:c r="A99" s="32" t="str"/>
      <x:c r="B99" s="32" t="str"/>
      <x:c r="C99" s="32" t="str"/>
      <x:c r="D99" s="32" t="str"/>
      <x:c r="E99" s="32" t="str"/>
      <x:c r="F99" s="32" t="str"/>
      <x:c r="G99" s="32" t="str"/>
      <x:c r="H99" s="32" t="str"/>
      <x:c r="I99" s="32" t="str"/>
      <x:c r="J99" s="32" t="str"/>
      <x:c r="K99" s="32" t="str"/>
      <x:c r="L99" s="32" t="str">
        <x:f>IF(OR(H99="",I99="",J99="",K99=""),"",ROUND(H99*((I99+J99)/6)*K99,2))</x:f>
      </x:c>
      <x:c r="M99" s="32" t="str">
        <x:f>IF(L99="","",IF(AND(L99&gt;=3.5,H99=1),"Сильный признак",IF(AND(L99&gt;=2,H99=1),"Рабочий признак",IF(H99=1,"Слабый признак","Отсутствует"))))</x:f>
      </x:c>
      <x:c r="N99" s="32" t="str"/>
    </x:row>
    <x:row r="100">
      <x:c r="A100" s="32" t="str"/>
      <x:c r="B100" s="32" t="str"/>
      <x:c r="C100" s="32" t="str"/>
      <x:c r="D100" s="32" t="str"/>
      <x:c r="E100" s="32" t="str"/>
      <x:c r="F100" s="32" t="str"/>
      <x:c r="G100" s="32" t="str"/>
      <x:c r="H100" s="32" t="str"/>
      <x:c r="I100" s="32" t="str"/>
      <x:c r="J100" s="32" t="str"/>
      <x:c r="K100" s="32" t="str"/>
      <x:c r="L100" s="32" t="str">
        <x:f>IF(OR(H100="",I100="",J100="",K100=""),"",ROUND(H100*((I100+J100)/6)*K100,2))</x:f>
      </x:c>
      <x:c r="M100" s="32" t="str">
        <x:f>IF(L100="","",IF(AND(L100&gt;=3.5,H100=1),"Сильный признак",IF(AND(L100&gt;=2,H100=1),"Рабочий признак",IF(H100=1,"Слабый признак","Отсутствует"))))</x:f>
      </x:c>
      <x:c r="N100" s="32" t="str"/>
    </x:row>
    <x:row r="101">
      <x:c r="A101" s="32" t="str"/>
      <x:c r="B101" s="32" t="str"/>
      <x:c r="C101" s="32" t="str"/>
      <x:c r="D101" s="32" t="str"/>
      <x:c r="E101" s="32" t="str"/>
      <x:c r="F101" s="32" t="str"/>
      <x:c r="G101" s="32" t="str"/>
      <x:c r="H101" s="32" t="str"/>
      <x:c r="I101" s="32" t="str"/>
      <x:c r="J101" s="32" t="str"/>
      <x:c r="K101" s="32" t="str"/>
      <x:c r="L101" s="32" t="str">
        <x:f>IF(OR(H101="",I101="",J101="",K101=""),"",ROUND(H101*((I101+J101)/6)*K101,2))</x:f>
      </x:c>
      <x:c r="M101" s="32" t="str">
        <x:f>IF(L101="","",IF(AND(L101&gt;=3.5,H101=1),"Сильный признак",IF(AND(L101&gt;=2,H101=1),"Рабочий признак",IF(H101=1,"Слабый признак","Отсутствует"))))</x:f>
      </x:c>
      <x:c r="N101" s="32" t="str"/>
    </x:row>
    <x:row r="102">
      <x:c r="A102" s="32" t="str"/>
      <x:c r="B102" s="32" t="str"/>
      <x:c r="C102" s="32" t="str"/>
      <x:c r="D102" s="32" t="str"/>
      <x:c r="E102" s="32" t="str"/>
      <x:c r="F102" s="32" t="str"/>
      <x:c r="G102" s="32" t="str"/>
      <x:c r="H102" s="32" t="str"/>
      <x:c r="I102" s="32" t="str"/>
      <x:c r="J102" s="32" t="str"/>
      <x:c r="K102" s="32" t="str"/>
      <x:c r="L102" s="32" t="str">
        <x:f>IF(OR(H102="",I102="",J102="",K102=""),"",ROUND(H102*((I102+J102)/6)*K102,2))</x:f>
      </x:c>
      <x:c r="M102" s="32" t="str">
        <x:f>IF(L102="","",IF(AND(L102&gt;=3.5,H102=1),"Сильный признак",IF(AND(L102&gt;=2,H102=1),"Рабочий признак",IF(H102=1,"Слабый признак","Отсутствует"))))</x:f>
      </x:c>
      <x:c r="N102" s="32" t="str"/>
    </x:row>
    <x:row r="103">
      <x:c r="A103" s="32" t="str"/>
      <x:c r="B103" s="32" t="str"/>
      <x:c r="C103" s="32" t="str"/>
      <x:c r="D103" s="32" t="str"/>
      <x:c r="E103" s="32" t="str"/>
      <x:c r="F103" s="32" t="str"/>
      <x:c r="G103" s="32" t="str"/>
      <x:c r="H103" s="32" t="str"/>
      <x:c r="I103" s="32" t="str"/>
      <x:c r="J103" s="32" t="str"/>
      <x:c r="K103" s="32" t="str"/>
      <x:c r="L103" s="32" t="str">
        <x:f>IF(OR(H103="",I103="",J103="",K103=""),"",ROUND(H103*((I103+J103)/6)*K103,2))</x:f>
      </x:c>
      <x:c r="M103" s="32" t="str">
        <x:f>IF(L103="","",IF(AND(L103&gt;=3.5,H103=1),"Сильный признак",IF(AND(L103&gt;=2,H103=1),"Рабочий признак",IF(H103=1,"Слабый признак","Отсутствует"))))</x:f>
      </x:c>
      <x:c r="N103" s="32" t="str"/>
    </x:row>
    <x:row r="104">
      <x:c r="A104" s="32" t="str"/>
      <x:c r="B104" s="32" t="str"/>
      <x:c r="C104" s="32" t="str"/>
      <x:c r="D104" s="32" t="str"/>
      <x:c r="E104" s="32" t="str"/>
      <x:c r="F104" s="32" t="str"/>
      <x:c r="G104" s="32" t="str"/>
      <x:c r="H104" s="32" t="str"/>
      <x:c r="I104" s="32" t="str"/>
      <x:c r="J104" s="32" t="str"/>
      <x:c r="K104" s="32" t="str"/>
      <x:c r="L104" s="32" t="str">
        <x:f>IF(OR(H104="",I104="",J104="",K104=""),"",ROUND(H104*((I104+J104)/6)*K104,2))</x:f>
      </x:c>
      <x:c r="M104" s="32" t="str">
        <x:f>IF(L104="","",IF(AND(L104&gt;=3.5,H104=1),"Сильный признак",IF(AND(L104&gt;=2,H104=1),"Рабочий признак",IF(H104=1,"Слабый признак","Отсутствует"))))</x:f>
      </x:c>
      <x:c r="N104" s="32" t="str"/>
    </x:row>
    <x:row r="105">
      <x:c r="A105" s="32" t="str"/>
      <x:c r="B105" s="32" t="str"/>
      <x:c r="C105" s="32" t="str"/>
      <x:c r="D105" s="32" t="str"/>
      <x:c r="E105" s="32" t="str"/>
      <x:c r="F105" s="32" t="str"/>
      <x:c r="G105" s="32" t="str"/>
      <x:c r="H105" s="32" t="str"/>
      <x:c r="I105" s="32" t="str"/>
      <x:c r="J105" s="32" t="str"/>
      <x:c r="K105" s="32" t="str"/>
      <x:c r="L105" s="32" t="str">
        <x:f>IF(OR(H105="",I105="",J105="",K105=""),"",ROUND(H105*((I105+J105)/6)*K105,2))</x:f>
      </x:c>
      <x:c r="M105" s="32" t="str">
        <x:f>IF(L105="","",IF(AND(L105&gt;=3.5,H105=1),"Сильный признак",IF(AND(L105&gt;=2,H105=1),"Рабочий признак",IF(H105=1,"Слабый признак","Отсутствует"))))</x:f>
      </x:c>
      <x:c r="N105" s="32" t="str"/>
    </x:row>
    <x:row r="106">
      <x:c r="A106" s="32" t="str"/>
      <x:c r="B106" s="32" t="str"/>
      <x:c r="C106" s="32" t="str"/>
      <x:c r="D106" s="32" t="str"/>
      <x:c r="E106" s="32" t="str"/>
      <x:c r="F106" s="32" t="str"/>
      <x:c r="G106" s="32" t="str"/>
      <x:c r="H106" s="32" t="str"/>
      <x:c r="I106" s="32" t="str"/>
      <x:c r="J106" s="32" t="str"/>
      <x:c r="K106" s="32" t="str"/>
      <x:c r="L106" s="32" t="str">
        <x:f>IF(OR(H106="",I106="",J106="",K106=""),"",ROUND(H106*((I106+J106)/6)*K106,2))</x:f>
      </x:c>
      <x:c r="M106" s="32" t="str">
        <x:f>IF(L106="","",IF(AND(L106&gt;=3.5,H106=1),"Сильный признак",IF(AND(L106&gt;=2,H106=1),"Рабочий признак",IF(H106=1,"Слабый признак","Отсутствует"))))</x:f>
      </x:c>
      <x:c r="N106" s="32" t="str"/>
    </x:row>
    <x:row r="107">
      <x:c r="A107" s="32" t="str"/>
      <x:c r="B107" s="32" t="str"/>
      <x:c r="C107" s="32" t="str"/>
      <x:c r="D107" s="32" t="str"/>
      <x:c r="E107" s="32" t="str"/>
      <x:c r="F107" s="32" t="str"/>
      <x:c r="G107" s="32" t="str"/>
      <x:c r="H107" s="32" t="str"/>
      <x:c r="I107" s="32" t="str"/>
      <x:c r="J107" s="32" t="str"/>
      <x:c r="K107" s="32" t="str"/>
      <x:c r="L107" s="32" t="str">
        <x:f>IF(OR(H107="",I107="",J107="",K107=""),"",ROUND(H107*((I107+J107)/6)*K107,2))</x:f>
      </x:c>
      <x:c r="M107" s="32" t="str">
        <x:f>IF(L107="","",IF(AND(L107&gt;=3.5,H107=1),"Сильный признак",IF(AND(L107&gt;=2,H107=1),"Рабочий признак",IF(H107=1,"Слабый признак","Отсутствует"))))</x:f>
      </x:c>
      <x:c r="N107" s="32" t="str"/>
    </x:row>
    <x:row r="108">
      <x:c r="A108" s="32" t="str"/>
      <x:c r="B108" s="32" t="str"/>
      <x:c r="C108" s="32" t="str"/>
      <x:c r="D108" s="32" t="str"/>
      <x:c r="E108" s="32" t="str"/>
      <x:c r="F108" s="32" t="str"/>
      <x:c r="G108" s="32" t="str"/>
      <x:c r="H108" s="32" t="str"/>
      <x:c r="I108" s="32" t="str"/>
      <x:c r="J108" s="32" t="str"/>
      <x:c r="K108" s="32" t="str"/>
      <x:c r="L108" s="32" t="str">
        <x:f>IF(OR(H108="",I108="",J108="",K108=""),"",ROUND(H108*((I108+J108)/6)*K108,2))</x:f>
      </x:c>
      <x:c r="M108" s="32" t="str">
        <x:f>IF(L108="","",IF(AND(L108&gt;=3.5,H108=1),"Сильный признак",IF(AND(L108&gt;=2,H108=1),"Рабочий признак",IF(H108=1,"Слабый признак","Отсутствует"))))</x:f>
      </x:c>
      <x:c r="N108" s="32" t="str"/>
    </x:row>
    <x:row r="109">
      <x:c r="A109" s="32" t="str"/>
      <x:c r="B109" s="32" t="str"/>
      <x:c r="C109" s="32" t="str"/>
      <x:c r="D109" s="32" t="str"/>
      <x:c r="E109" s="32" t="str"/>
      <x:c r="F109" s="32" t="str"/>
      <x:c r="G109" s="32" t="str"/>
      <x:c r="H109" s="32" t="str"/>
      <x:c r="I109" s="32" t="str"/>
      <x:c r="J109" s="32" t="str"/>
      <x:c r="K109" s="32" t="str"/>
      <x:c r="L109" s="32" t="str">
        <x:f>IF(OR(H109="",I109="",J109="",K109=""),"",ROUND(H109*((I109+J109)/6)*K109,2))</x:f>
      </x:c>
      <x:c r="M109" s="32" t="str">
        <x:f>IF(L109="","",IF(AND(L109&gt;=3.5,H109=1),"Сильный признак",IF(AND(L109&gt;=2,H109=1),"Рабочий признак",IF(H109=1,"Слабый признак","Отсутствует"))))</x:f>
      </x:c>
      <x:c r="N109" s="32" t="str"/>
    </x:row>
    <x:row r="110">
      <x:c r="A110" s="32" t="str"/>
      <x:c r="B110" s="32" t="str"/>
      <x:c r="C110" s="32" t="str"/>
      <x:c r="D110" s="32" t="str"/>
      <x:c r="E110" s="32" t="str"/>
      <x:c r="F110" s="32" t="str"/>
      <x:c r="G110" s="32" t="str"/>
      <x:c r="H110" s="32" t="str"/>
      <x:c r="I110" s="32" t="str"/>
      <x:c r="J110" s="32" t="str"/>
      <x:c r="K110" s="32" t="str"/>
      <x:c r="L110" s="32" t="str">
        <x:f>IF(OR(H110="",I110="",J110="",K110=""),"",ROUND(H110*((I110+J110)/6)*K110,2))</x:f>
      </x:c>
      <x:c r="M110" s="32" t="str">
        <x:f>IF(L110="","",IF(AND(L110&gt;=3.5,H110=1),"Сильный признак",IF(AND(L110&gt;=2,H110=1),"Рабочий признак",IF(H110=1,"Слабый признак","Отсутствует"))))</x:f>
      </x:c>
      <x:c r="N110" s="32" t="str"/>
    </x:row>
    <x:row r="111">
      <x:c r="A111" s="32" t="str"/>
      <x:c r="B111" s="32" t="str"/>
      <x:c r="C111" s="32" t="str"/>
      <x:c r="D111" s="32" t="str"/>
      <x:c r="E111" s="32" t="str"/>
      <x:c r="F111" s="32" t="str"/>
      <x:c r="G111" s="32" t="str"/>
      <x:c r="H111" s="32" t="str"/>
      <x:c r="I111" s="32" t="str"/>
      <x:c r="J111" s="32" t="str"/>
      <x:c r="K111" s="32" t="str"/>
      <x:c r="L111" s="32" t="str">
        <x:f>IF(OR(H111="",I111="",J111="",K111=""),"",ROUND(H111*((I111+J111)/6)*K111,2))</x:f>
      </x:c>
      <x:c r="M111" s="32" t="str">
        <x:f>IF(L111="","",IF(AND(L111&gt;=3.5,H111=1),"Сильный признак",IF(AND(L111&gt;=2,H111=1),"Рабочий признак",IF(H111=1,"Слабый признак","Отсутствует"))))</x:f>
      </x:c>
      <x:c r="N111" s="32" t="str"/>
    </x:row>
    <x:row r="112">
      <x:c r="A112" s="32" t="str"/>
      <x:c r="B112" s="32" t="str"/>
      <x:c r="C112" s="32" t="str"/>
      <x:c r="D112" s="32" t="str"/>
      <x:c r="E112" s="32" t="str"/>
      <x:c r="F112" s="32" t="str"/>
      <x:c r="G112" s="32" t="str"/>
      <x:c r="H112" s="32" t="str"/>
      <x:c r="I112" s="32" t="str"/>
      <x:c r="J112" s="32" t="str"/>
      <x:c r="K112" s="32" t="str"/>
      <x:c r="L112" s="32" t="str">
        <x:f>IF(OR(H112="",I112="",J112="",K112=""),"",ROUND(H112*((I112+J112)/6)*K112,2))</x:f>
      </x:c>
      <x:c r="M112" s="32" t="str">
        <x:f>IF(L112="","",IF(AND(L112&gt;=3.5,H112=1),"Сильный признак",IF(AND(L112&gt;=2,H112=1),"Рабочий признак",IF(H112=1,"Слабый признак","Отсутствует"))))</x:f>
      </x:c>
      <x:c r="N112" s="32" t="str"/>
    </x:row>
    <x:row r="113">
      <x:c r="A113" s="32" t="str"/>
      <x:c r="B113" s="32" t="str"/>
      <x:c r="C113" s="32" t="str"/>
      <x:c r="D113" s="32" t="str"/>
      <x:c r="E113" s="32" t="str"/>
      <x:c r="F113" s="32" t="str"/>
      <x:c r="G113" s="32" t="str"/>
      <x:c r="H113" s="32" t="str"/>
      <x:c r="I113" s="32" t="str"/>
      <x:c r="J113" s="32" t="str"/>
      <x:c r="K113" s="32" t="str"/>
      <x:c r="L113" s="32" t="str">
        <x:f>IF(OR(H113="",I113="",J113="",K113=""),"",ROUND(H113*((I113+J113)/6)*K113,2))</x:f>
      </x:c>
      <x:c r="M113" s="32" t="str">
        <x:f>IF(L113="","",IF(AND(L113&gt;=3.5,H113=1),"Сильный признак",IF(AND(L113&gt;=2,H113=1),"Рабочий признак",IF(H113=1,"Слабый признак","Отсутствует"))))</x:f>
      </x:c>
      <x:c r="N113" s="32" t="str"/>
    </x:row>
    <x:row r="114">
      <x:c r="A114" s="32" t="str"/>
      <x:c r="B114" s="32" t="str"/>
      <x:c r="C114" s="32" t="str"/>
      <x:c r="D114" s="32" t="str"/>
      <x:c r="E114" s="32" t="str"/>
      <x:c r="F114" s="32" t="str"/>
      <x:c r="G114" s="32" t="str"/>
      <x:c r="H114" s="32" t="str"/>
      <x:c r="I114" s="32" t="str"/>
      <x:c r="J114" s="32" t="str"/>
      <x:c r="K114" s="32" t="str"/>
      <x:c r="L114" s="32" t="str">
        <x:f>IF(OR(H114="",I114="",J114="",K114=""),"",ROUND(H114*((I114+J114)/6)*K114,2))</x:f>
      </x:c>
      <x:c r="M114" s="32" t="str">
        <x:f>IF(L114="","",IF(AND(L114&gt;=3.5,H114=1),"Сильный признак",IF(AND(L114&gt;=2,H114=1),"Рабочий признак",IF(H114=1,"Слабый признак","Отсутствует"))))</x:f>
      </x:c>
      <x:c r="N114" s="32" t="str"/>
    </x:row>
    <x:row r="115">
      <x:c r="A115" s="32" t="str"/>
      <x:c r="B115" s="32" t="str"/>
      <x:c r="C115" s="32" t="str"/>
      <x:c r="D115" s="32" t="str"/>
      <x:c r="E115" s="32" t="str"/>
      <x:c r="F115" s="32" t="str"/>
      <x:c r="G115" s="32" t="str"/>
      <x:c r="H115" s="32" t="str"/>
      <x:c r="I115" s="32" t="str"/>
      <x:c r="J115" s="32" t="str"/>
      <x:c r="K115" s="32" t="str"/>
      <x:c r="L115" s="32" t="str">
        <x:f>IF(OR(H115="",I115="",J115="",K115=""),"",ROUND(H115*((I115+J115)/6)*K115,2))</x:f>
      </x:c>
      <x:c r="M115" s="32" t="str">
        <x:f>IF(L115="","",IF(AND(L115&gt;=3.5,H115=1),"Сильный признак",IF(AND(L115&gt;=2,H115=1),"Рабочий признак",IF(H115=1,"Слабый признак","Отсутствует"))))</x:f>
      </x:c>
      <x:c r="N115" s="32" t="str"/>
    </x:row>
    <x:row r="116">
      <x:c r="A116" s="32" t="str"/>
      <x:c r="B116" s="32" t="str"/>
      <x:c r="C116" s="32" t="str"/>
      <x:c r="D116" s="32" t="str"/>
      <x:c r="E116" s="32" t="str"/>
      <x:c r="F116" s="32" t="str"/>
      <x:c r="G116" s="32" t="str"/>
      <x:c r="H116" s="32" t="str"/>
      <x:c r="I116" s="32" t="str"/>
      <x:c r="J116" s="32" t="str"/>
      <x:c r="K116" s="32" t="str"/>
      <x:c r="L116" s="32" t="str">
        <x:f>IF(OR(H116="",I116="",J116="",K116=""),"",ROUND(H116*((I116+J116)/6)*K116,2))</x:f>
      </x:c>
      <x:c r="M116" s="32" t="str">
        <x:f>IF(L116="","",IF(AND(L116&gt;=3.5,H116=1),"Сильный признак",IF(AND(L116&gt;=2,H116=1),"Рабочий признак",IF(H116=1,"Слабый признак","Отсутствует"))))</x:f>
      </x:c>
      <x:c r="N116" s="32" t="str"/>
    </x:row>
    <x:row r="117">
      <x:c r="A117" s="32" t="str"/>
      <x:c r="B117" s="32" t="str"/>
      <x:c r="C117" s="32" t="str"/>
      <x:c r="D117" s="32" t="str"/>
      <x:c r="E117" s="32" t="str"/>
      <x:c r="F117" s="32" t="str"/>
      <x:c r="G117" s="32" t="str"/>
      <x:c r="H117" s="32" t="str"/>
      <x:c r="I117" s="32" t="str"/>
      <x:c r="J117" s="32" t="str"/>
      <x:c r="K117" s="32" t="str"/>
      <x:c r="L117" s="32" t="str">
        <x:f>IF(OR(H117="",I117="",J117="",K117=""),"",ROUND(H117*((I117+J117)/6)*K117,2))</x:f>
      </x:c>
      <x:c r="M117" s="32" t="str">
        <x:f>IF(L117="","",IF(AND(L117&gt;=3.5,H117=1),"Сильный признак",IF(AND(L117&gt;=2,H117=1),"Рабочий признак",IF(H117=1,"Слабый признак","Отсутствует"))))</x:f>
      </x:c>
      <x:c r="N117" s="32" t="str"/>
    </x:row>
    <x:row r="118">
      <x:c r="A118" s="32" t="str"/>
      <x:c r="B118" s="32" t="str"/>
      <x:c r="C118" s="32" t="str"/>
      <x:c r="D118" s="32" t="str"/>
      <x:c r="E118" s="32" t="str"/>
      <x:c r="F118" s="32" t="str"/>
      <x:c r="G118" s="32" t="str"/>
      <x:c r="H118" s="32" t="str"/>
      <x:c r="I118" s="32" t="str"/>
      <x:c r="J118" s="32" t="str"/>
      <x:c r="K118" s="32" t="str"/>
      <x:c r="L118" s="32" t="str">
        <x:f>IF(OR(H118="",I118="",J118="",K118=""),"",ROUND(H118*((I118+J118)/6)*K118,2))</x:f>
      </x:c>
      <x:c r="M118" s="32" t="str">
        <x:f>IF(L118="","",IF(AND(L118&gt;=3.5,H118=1),"Сильный признак",IF(AND(L118&gt;=2,H118=1),"Рабочий признак",IF(H118=1,"Слабый признак","Отсутствует"))))</x:f>
      </x:c>
      <x:c r="N118" s="32" t="str"/>
    </x:row>
    <x:row r="119">
      <x:c r="A119" s="32" t="str"/>
      <x:c r="B119" s="32" t="str"/>
      <x:c r="C119" s="32" t="str"/>
      <x:c r="D119" s="32" t="str"/>
      <x:c r="E119" s="32" t="str"/>
      <x:c r="F119" s="32" t="str"/>
      <x:c r="G119" s="32" t="str"/>
      <x:c r="H119" s="32" t="str"/>
      <x:c r="I119" s="32" t="str"/>
      <x:c r="J119" s="32" t="str"/>
      <x:c r="K119" s="32" t="str"/>
      <x:c r="L119" s="32" t="str">
        <x:f>IF(OR(H119="",I119="",J119="",K119=""),"",ROUND(H119*((I119+J119)/6)*K119,2))</x:f>
      </x:c>
      <x:c r="M119" s="32" t="str">
        <x:f>IF(L119="","",IF(AND(L119&gt;=3.5,H119=1),"Сильный признак",IF(AND(L119&gt;=2,H119=1),"Рабочий признак",IF(H119=1,"Слабый признак","Отсутствует"))))</x:f>
      </x:c>
      <x:c r="N119" s="32" t="str"/>
    </x:row>
    <x:row r="120">
      <x:c r="A120" s="32" t="str"/>
      <x:c r="B120" s="32" t="str"/>
      <x:c r="C120" s="32" t="str"/>
      <x:c r="D120" s="32" t="str"/>
      <x:c r="E120" s="32" t="str"/>
      <x:c r="F120" s="32" t="str"/>
      <x:c r="G120" s="32" t="str"/>
      <x:c r="H120" s="32" t="str"/>
      <x:c r="I120" s="32" t="str"/>
      <x:c r="J120" s="32" t="str"/>
      <x:c r="K120" s="32" t="str"/>
      <x:c r="L120" s="32" t="str">
        <x:f>IF(OR(H120="",I120="",J120="",K120=""),"",ROUND(H120*((I120+J120)/6)*K120,2))</x:f>
      </x:c>
      <x:c r="M120" s="32" t="str">
        <x:f>IF(L120="","",IF(AND(L120&gt;=3.5,H120=1),"Сильный признак",IF(AND(L120&gt;=2,H120=1),"Рабочий признак",IF(H120=1,"Слабый признак","Отсутствует"))))</x:f>
      </x:c>
      <x:c r="N120" s="32" t="str"/>
    </x:row>
    <x:row r="121">
      <x:c r="A121" s="32" t="str"/>
      <x:c r="B121" s="32" t="str"/>
      <x:c r="C121" s="32" t="str"/>
      <x:c r="D121" s="32" t="str"/>
      <x:c r="E121" s="32" t="str"/>
      <x:c r="F121" s="32" t="str"/>
      <x:c r="G121" s="32" t="str"/>
      <x:c r="H121" s="32" t="str"/>
      <x:c r="I121" s="32" t="str"/>
      <x:c r="J121" s="32" t="str"/>
      <x:c r="K121" s="32" t="str"/>
      <x:c r="L121" s="32" t="str">
        <x:f>IF(OR(H121="",I121="",J121="",K121=""),"",ROUND(H121*((I121+J121)/6)*K121,2))</x:f>
      </x:c>
      <x:c r="M121" s="32" t="str">
        <x:f>IF(L121="","",IF(AND(L121&gt;=3.5,H121=1),"Сильный признак",IF(AND(L121&gt;=2,H121=1),"Рабочий признак",IF(H121=1,"Слабый признак","Отсутствует"))))</x:f>
      </x:c>
      <x:c r="N121" s="32" t="str"/>
    </x:row>
    <x:row r="122">
      <x:c r="A122" s="32" t="str"/>
      <x:c r="B122" s="32" t="str"/>
      <x:c r="C122" s="32" t="str"/>
      <x:c r="D122" s="32" t="str"/>
      <x:c r="E122" s="32" t="str"/>
      <x:c r="F122" s="32" t="str"/>
      <x:c r="G122" s="32" t="str"/>
      <x:c r="H122" s="32" t="str"/>
      <x:c r="I122" s="32" t="str"/>
      <x:c r="J122" s="32" t="str"/>
      <x:c r="K122" s="32" t="str"/>
      <x:c r="L122" s="32" t="str">
        <x:f>IF(OR(H122="",I122="",J122="",K122=""),"",ROUND(H122*((I122+J122)/6)*K122,2))</x:f>
      </x:c>
      <x:c r="M122" s="32" t="str">
        <x:f>IF(L122="","",IF(AND(L122&gt;=3.5,H122=1),"Сильный признак",IF(AND(L122&gt;=2,H122=1),"Рабочий признак",IF(H122=1,"Слабый признак","Отсутствует"))))</x:f>
      </x:c>
      <x:c r="N122" s="32" t="str"/>
    </x:row>
    <x:row r="123">
      <x:c r="A123" s="32" t="str"/>
      <x:c r="B123" s="32" t="str"/>
      <x:c r="C123" s="32" t="str"/>
      <x:c r="D123" s="32" t="str"/>
      <x:c r="E123" s="32" t="str"/>
      <x:c r="F123" s="32" t="str"/>
      <x:c r="G123" s="32" t="str"/>
      <x:c r="H123" s="32" t="str"/>
      <x:c r="I123" s="32" t="str"/>
      <x:c r="J123" s="32" t="str"/>
      <x:c r="K123" s="32" t="str"/>
      <x:c r="L123" s="32" t="str">
        <x:f>IF(OR(H123="",I123="",J123="",K123=""),"",ROUND(H123*((I123+J123)/6)*K123,2))</x:f>
      </x:c>
      <x:c r="M123" s="32" t="str">
        <x:f>IF(L123="","",IF(AND(L123&gt;=3.5,H123=1),"Сильный признак",IF(AND(L123&gt;=2,H123=1),"Рабочий признак",IF(H123=1,"Слабый признак","Отсутствует"))))</x:f>
      </x:c>
      <x:c r="N123" s="32" t="str"/>
    </x:row>
    <x:row r="124">
      <x:c r="A124" s="32" t="str"/>
      <x:c r="B124" s="32" t="str"/>
      <x:c r="C124" s="32" t="str"/>
      <x:c r="D124" s="32" t="str"/>
      <x:c r="E124" s="32" t="str"/>
      <x:c r="F124" s="32" t="str"/>
      <x:c r="G124" s="32" t="str"/>
      <x:c r="H124" s="32" t="str"/>
      <x:c r="I124" s="32" t="str"/>
      <x:c r="J124" s="32" t="str"/>
      <x:c r="K124" s="32" t="str"/>
      <x:c r="L124" s="32" t="str">
        <x:f>IF(OR(H124="",I124="",J124="",K124=""),"",ROUND(H124*((I124+J124)/6)*K124,2))</x:f>
      </x:c>
      <x:c r="M124" s="32" t="str">
        <x:f>IF(L124="","",IF(AND(L124&gt;=3.5,H124=1),"Сильный признак",IF(AND(L124&gt;=2,H124=1),"Рабочий признак",IF(H124=1,"Слабый признак","Отсутствует"))))</x:f>
      </x:c>
      <x:c r="N124" s="32" t="str"/>
    </x:row>
    <x:row r="125">
      <x:c r="A125" s="32" t="str"/>
      <x:c r="B125" s="32" t="str"/>
      <x:c r="C125" s="32" t="str"/>
      <x:c r="D125" s="32" t="str"/>
      <x:c r="E125" s="32" t="str"/>
      <x:c r="F125" s="32" t="str"/>
      <x:c r="G125" s="32" t="str"/>
      <x:c r="H125" s="32" t="str"/>
      <x:c r="I125" s="32" t="str"/>
      <x:c r="J125" s="32" t="str"/>
      <x:c r="K125" s="32" t="str"/>
      <x:c r="L125" s="32" t="str">
        <x:f>IF(OR(H125="",I125="",J125="",K125=""),"",ROUND(H125*((I125+J125)/6)*K125,2))</x:f>
      </x:c>
      <x:c r="M125" s="32" t="str">
        <x:f>IF(L125="","",IF(AND(L125&gt;=3.5,H125=1),"Сильный признак",IF(AND(L125&gt;=2,H125=1),"Рабочий признак",IF(H125=1,"Слабый признак","Отсутствует"))))</x:f>
      </x:c>
      <x:c r="N125" s="32" t="str"/>
    </x:row>
    <x:row r="126">
      <x:c r="A126" s="32" t="str"/>
      <x:c r="B126" s="32" t="str"/>
      <x:c r="C126" s="32" t="str"/>
      <x:c r="D126" s="32" t="str"/>
      <x:c r="E126" s="32" t="str"/>
      <x:c r="F126" s="32" t="str"/>
      <x:c r="G126" s="32" t="str"/>
      <x:c r="H126" s="32" t="str"/>
      <x:c r="I126" s="32" t="str"/>
      <x:c r="J126" s="32" t="str"/>
      <x:c r="K126" s="32" t="str"/>
      <x:c r="L126" s="32" t="str">
        <x:f>IF(OR(H126="",I126="",J126="",K126=""),"",ROUND(H126*((I126+J126)/6)*K126,2))</x:f>
      </x:c>
      <x:c r="M126" s="32" t="str">
        <x:f>IF(L126="","",IF(AND(L126&gt;=3.5,H126=1),"Сильный признак",IF(AND(L126&gt;=2,H126=1),"Рабочий признак",IF(H126=1,"Слабый признак","Отсутствует"))))</x:f>
      </x:c>
      <x:c r="N126" s="32" t="str"/>
    </x:row>
    <x:row r="127">
      <x:c r="A127" s="32" t="str"/>
      <x:c r="B127" s="32" t="str"/>
      <x:c r="C127" s="32" t="str"/>
      <x:c r="D127" s="32" t="str"/>
      <x:c r="E127" s="32" t="str"/>
      <x:c r="F127" s="32" t="str"/>
      <x:c r="G127" s="32" t="str"/>
      <x:c r="H127" s="32" t="str"/>
      <x:c r="I127" s="32" t="str"/>
      <x:c r="J127" s="32" t="str"/>
      <x:c r="K127" s="32" t="str"/>
      <x:c r="L127" s="32" t="str">
        <x:f>IF(OR(H127="",I127="",J127="",K127=""),"",ROUND(H127*((I127+J127)/6)*K127,2))</x:f>
      </x:c>
      <x:c r="M127" s="32" t="str">
        <x:f>IF(L127="","",IF(AND(L127&gt;=3.5,H127=1),"Сильный признак",IF(AND(L127&gt;=2,H127=1),"Рабочий признак",IF(H127=1,"Слабый признак","Отсутствует"))))</x:f>
      </x:c>
      <x:c r="N127" s="32" t="str"/>
    </x:row>
    <x:row r="128">
      <x:c r="A128" s="32" t="str"/>
      <x:c r="B128" s="32" t="str"/>
      <x:c r="C128" s="32" t="str"/>
      <x:c r="D128" s="32" t="str"/>
      <x:c r="E128" s="32" t="str"/>
      <x:c r="F128" s="32" t="str"/>
      <x:c r="G128" s="32" t="str"/>
      <x:c r="H128" s="32" t="str"/>
      <x:c r="I128" s="32" t="str"/>
      <x:c r="J128" s="32" t="str"/>
      <x:c r="K128" s="32" t="str"/>
      <x:c r="L128" s="32" t="str">
        <x:f>IF(OR(H128="",I128="",J128="",K128=""),"",ROUND(H128*((I128+J128)/6)*K128,2))</x:f>
      </x:c>
      <x:c r="M128" s="32" t="str">
        <x:f>IF(L128="","",IF(AND(L128&gt;=3.5,H128=1),"Сильный признак",IF(AND(L128&gt;=2,H128=1),"Рабочий признак",IF(H128=1,"Слабый признак","Отсутствует"))))</x:f>
      </x:c>
      <x:c r="N128" s="32" t="str"/>
    </x:row>
    <x:row r="129">
      <x:c r="A129" s="32" t="str"/>
      <x:c r="B129" s="32" t="str"/>
      <x:c r="C129" s="32" t="str"/>
      <x:c r="D129" s="32" t="str"/>
      <x:c r="E129" s="32" t="str"/>
      <x:c r="F129" s="32" t="str"/>
      <x:c r="G129" s="32" t="str"/>
      <x:c r="H129" s="32" t="str"/>
      <x:c r="I129" s="32" t="str"/>
      <x:c r="J129" s="32" t="str"/>
      <x:c r="K129" s="32" t="str"/>
      <x:c r="L129" s="32" t="str">
        <x:f>IF(OR(H129="",I129="",J129="",K129=""),"",ROUND(H129*((I129+J129)/6)*K129,2))</x:f>
      </x:c>
      <x:c r="M129" s="32" t="str">
        <x:f>IF(L129="","",IF(AND(L129&gt;=3.5,H129=1),"Сильный признак",IF(AND(L129&gt;=2,H129=1),"Рабочий признак",IF(H129=1,"Слабый признак","Отсутствует"))))</x:f>
      </x:c>
      <x:c r="N129" s="32" t="str"/>
    </x:row>
    <x:row r="130">
      <x:c r="A130" s="32" t="str"/>
      <x:c r="B130" s="32" t="str"/>
      <x:c r="C130" s="32" t="str"/>
      <x:c r="D130" s="32" t="str"/>
      <x:c r="E130" s="32" t="str"/>
      <x:c r="F130" s="32" t="str"/>
      <x:c r="G130" s="32" t="str"/>
      <x:c r="H130" s="32" t="str"/>
      <x:c r="I130" s="32" t="str"/>
      <x:c r="J130" s="32" t="str"/>
      <x:c r="K130" s="32" t="str"/>
      <x:c r="L130" s="32" t="str">
        <x:f>IF(OR(H130="",I130="",J130="",K130=""),"",ROUND(H130*((I130+J130)/6)*K130,2))</x:f>
      </x:c>
      <x:c r="M130" s="32" t="str">
        <x:f>IF(L130="","",IF(AND(L130&gt;=3.5,H130=1),"Сильный признак",IF(AND(L130&gt;=2,H130=1),"Рабочий признак",IF(H130=1,"Слабый признак","Отсутствует"))))</x:f>
      </x:c>
      <x:c r="N130" s="32" t="str"/>
    </x:row>
    <x:row r="131">
      <x:c r="A131" s="32" t="str"/>
      <x:c r="B131" s="32" t="str"/>
      <x:c r="C131" s="32" t="str"/>
      <x:c r="D131" s="32" t="str"/>
      <x:c r="E131" s="32" t="str"/>
      <x:c r="F131" s="32" t="str"/>
      <x:c r="G131" s="32" t="str"/>
      <x:c r="H131" s="32" t="str"/>
      <x:c r="I131" s="32" t="str"/>
      <x:c r="J131" s="32" t="str"/>
      <x:c r="K131" s="32" t="str"/>
      <x:c r="L131" s="32" t="str">
        <x:f>IF(OR(H131="",I131="",J131="",K131=""),"",ROUND(H131*((I131+J131)/6)*K131,2))</x:f>
      </x:c>
      <x:c r="M131" s="32" t="str">
        <x:f>IF(L131="","",IF(AND(L131&gt;=3.5,H131=1),"Сильный признак",IF(AND(L131&gt;=2,H131=1),"Рабочий признак",IF(H131=1,"Слабый признак","Отсутствует"))))</x:f>
      </x:c>
      <x:c r="N131" s="32" t="str"/>
    </x:row>
    <x:row r="132">
      <x:c r="A132" s="32" t="str"/>
      <x:c r="B132" s="32" t="str"/>
      <x:c r="C132" s="32" t="str"/>
      <x:c r="D132" s="32" t="str"/>
      <x:c r="E132" s="32" t="str"/>
      <x:c r="F132" s="32" t="str"/>
      <x:c r="G132" s="32" t="str"/>
      <x:c r="H132" s="32" t="str"/>
      <x:c r="I132" s="32" t="str"/>
      <x:c r="J132" s="32" t="str"/>
      <x:c r="K132" s="32" t="str"/>
      <x:c r="L132" s="32" t="str">
        <x:f>IF(OR(H132="",I132="",J132="",K132=""),"",ROUND(H132*((I132+J132)/6)*K132,2))</x:f>
      </x:c>
      <x:c r="M132" s="32" t="str">
        <x:f>IF(L132="","",IF(AND(L132&gt;=3.5,H132=1),"Сильный признак",IF(AND(L132&gt;=2,H132=1),"Рабочий признак",IF(H132=1,"Слабый признак","Отсутствует"))))</x:f>
      </x:c>
      <x:c r="N132" s="32" t="str"/>
    </x:row>
    <x:row r="133">
      <x:c r="A133" s="32" t="str"/>
      <x:c r="B133" s="32" t="str"/>
      <x:c r="C133" s="32" t="str"/>
      <x:c r="D133" s="32" t="str"/>
      <x:c r="E133" s="32" t="str"/>
      <x:c r="F133" s="32" t="str"/>
      <x:c r="G133" s="32" t="str"/>
      <x:c r="H133" s="32" t="str"/>
      <x:c r="I133" s="32" t="str"/>
      <x:c r="J133" s="32" t="str"/>
      <x:c r="K133" s="32" t="str"/>
      <x:c r="L133" s="32" t="str">
        <x:f>IF(OR(H133="",I133="",J133="",K133=""),"",ROUND(H133*((I133+J133)/6)*K133,2))</x:f>
      </x:c>
      <x:c r="M133" s="32" t="str">
        <x:f>IF(L133="","",IF(AND(L133&gt;=3.5,H133=1),"Сильный признак",IF(AND(L133&gt;=2,H133=1),"Рабочий признак",IF(H133=1,"Слабый признак","Отсутствует"))))</x:f>
      </x:c>
      <x:c r="N133" s="32" t="str"/>
    </x:row>
    <x:row r="134">
      <x:c r="A134" s="32" t="str"/>
      <x:c r="B134" s="32" t="str"/>
      <x:c r="C134" s="32" t="str"/>
      <x:c r="D134" s="32" t="str"/>
      <x:c r="E134" s="32" t="str"/>
      <x:c r="F134" s="32" t="str"/>
      <x:c r="G134" s="32" t="str"/>
      <x:c r="H134" s="32" t="str"/>
      <x:c r="I134" s="32" t="str"/>
      <x:c r="J134" s="32" t="str"/>
      <x:c r="K134" s="32" t="str"/>
      <x:c r="L134" s="32" t="str">
        <x:f>IF(OR(H134="",I134="",J134="",K134=""),"",ROUND(H134*((I134+J134)/6)*K134,2))</x:f>
      </x:c>
      <x:c r="M134" s="32" t="str">
        <x:f>IF(L134="","",IF(AND(L134&gt;=3.5,H134=1),"Сильный признак",IF(AND(L134&gt;=2,H134=1),"Рабочий признак",IF(H134=1,"Слабый признак","Отсутствует"))))</x:f>
      </x:c>
      <x:c r="N134" s="32" t="str"/>
    </x:row>
    <x:row r="135">
      <x:c r="A135" s="32" t="str"/>
      <x:c r="B135" s="32" t="str"/>
      <x:c r="C135" s="32" t="str"/>
      <x:c r="D135" s="32" t="str"/>
      <x:c r="E135" s="32" t="str"/>
      <x:c r="F135" s="32" t="str"/>
      <x:c r="G135" s="32" t="str"/>
      <x:c r="H135" s="32" t="str"/>
      <x:c r="I135" s="32" t="str"/>
      <x:c r="J135" s="32" t="str"/>
      <x:c r="K135" s="32" t="str"/>
      <x:c r="L135" s="32" t="str">
        <x:f>IF(OR(H135="",I135="",J135="",K135=""),"",ROUND(H135*((I135+J135)/6)*K135,2))</x:f>
      </x:c>
      <x:c r="M135" s="32" t="str">
        <x:f>IF(L135="","",IF(AND(L135&gt;=3.5,H135=1),"Сильный признак",IF(AND(L135&gt;=2,H135=1),"Рабочий признак",IF(H135=1,"Слабый признак","Отсутствует"))))</x:f>
      </x:c>
      <x:c r="N135" s="32" t="str"/>
    </x:row>
    <x:row r="136">
      <x:c r="A136" s="32" t="str"/>
      <x:c r="B136" s="32" t="str"/>
      <x:c r="C136" s="32" t="str"/>
      <x:c r="D136" s="32" t="str"/>
      <x:c r="E136" s="32" t="str"/>
      <x:c r="F136" s="32" t="str"/>
      <x:c r="G136" s="32" t="str"/>
      <x:c r="H136" s="32" t="str"/>
      <x:c r="I136" s="32" t="str"/>
      <x:c r="J136" s="32" t="str"/>
      <x:c r="K136" s="32" t="str"/>
      <x:c r="L136" s="32" t="str">
        <x:f>IF(OR(H136="",I136="",J136="",K136=""),"",ROUND(H136*((I136+J136)/6)*K136,2))</x:f>
      </x:c>
      <x:c r="M136" s="32" t="str">
        <x:f>IF(L136="","",IF(AND(L136&gt;=3.5,H136=1),"Сильный признак",IF(AND(L136&gt;=2,H136=1),"Рабочий признак",IF(H136=1,"Слабый признак","Отсутствует"))))</x:f>
      </x:c>
      <x:c r="N136" s="32" t="str"/>
    </x:row>
    <x:row r="137">
      <x:c r="A137" s="32" t="str"/>
      <x:c r="B137" s="32" t="str"/>
      <x:c r="C137" s="32" t="str"/>
      <x:c r="D137" s="32" t="str"/>
      <x:c r="E137" s="32" t="str"/>
      <x:c r="F137" s="32" t="str"/>
      <x:c r="G137" s="32" t="str"/>
      <x:c r="H137" s="32" t="str"/>
      <x:c r="I137" s="32" t="str"/>
      <x:c r="J137" s="32" t="str"/>
      <x:c r="K137" s="32" t="str"/>
      <x:c r="L137" s="32" t="str">
        <x:f>IF(OR(H137="",I137="",J137="",K137=""),"",ROUND(H137*((I137+J137)/6)*K137,2))</x:f>
      </x:c>
      <x:c r="M137" s="32" t="str">
        <x:f>IF(L137="","",IF(AND(L137&gt;=3.5,H137=1),"Сильный признак",IF(AND(L137&gt;=2,H137=1),"Рабочий признак",IF(H137=1,"Слабый признак","Отсутствует"))))</x:f>
      </x:c>
      <x:c r="N137" s="32" t="str"/>
    </x:row>
    <x:row r="138">
      <x:c r="A138" s="32" t="str"/>
      <x:c r="B138" s="32" t="str"/>
      <x:c r="C138" s="32" t="str"/>
      <x:c r="D138" s="32" t="str"/>
      <x:c r="E138" s="32" t="str"/>
      <x:c r="F138" s="32" t="str"/>
      <x:c r="G138" s="32" t="str"/>
      <x:c r="H138" s="32" t="str"/>
      <x:c r="I138" s="32" t="str"/>
      <x:c r="J138" s="32" t="str"/>
      <x:c r="K138" s="32" t="str"/>
      <x:c r="L138" s="32" t="str">
        <x:f>IF(OR(H138="",I138="",J138="",K138=""),"",ROUND(H138*((I138+J138)/6)*K138,2))</x:f>
      </x:c>
      <x:c r="M138" s="32" t="str">
        <x:f>IF(L138="","",IF(AND(L138&gt;=3.5,H138=1),"Сильный признак",IF(AND(L138&gt;=2,H138=1),"Рабочий признак",IF(H138=1,"Слабый признак","Отсутствует"))))</x:f>
      </x:c>
      <x:c r="N138" s="32" t="str"/>
    </x:row>
    <x:row r="139">
      <x:c r="A139" s="32" t="str"/>
      <x:c r="B139" s="32" t="str"/>
      <x:c r="C139" s="32" t="str"/>
      <x:c r="D139" s="32" t="str"/>
      <x:c r="E139" s="32" t="str"/>
      <x:c r="F139" s="32" t="str"/>
      <x:c r="G139" s="32" t="str"/>
      <x:c r="H139" s="32" t="str"/>
      <x:c r="I139" s="32" t="str"/>
      <x:c r="J139" s="32" t="str"/>
      <x:c r="K139" s="32" t="str"/>
      <x:c r="L139" s="32" t="str">
        <x:f>IF(OR(H139="",I139="",J139="",K139=""),"",ROUND(H139*((I139+J139)/6)*K139,2))</x:f>
      </x:c>
      <x:c r="M139" s="32" t="str">
        <x:f>IF(L139="","",IF(AND(L139&gt;=3.5,H139=1),"Сильный признак",IF(AND(L139&gt;=2,H139=1),"Рабочий признак",IF(H139=1,"Слабый признак","Отсутствует"))))</x:f>
      </x:c>
      <x:c r="N139" s="32" t="str"/>
    </x:row>
    <x:row r="140">
      <x:c r="A140" s="32" t="str"/>
      <x:c r="B140" s="32" t="str"/>
      <x:c r="C140" s="32" t="str"/>
      <x:c r="D140" s="32" t="str"/>
      <x:c r="E140" s="32" t="str"/>
      <x:c r="F140" s="32" t="str"/>
      <x:c r="G140" s="32" t="str"/>
      <x:c r="H140" s="32" t="str"/>
      <x:c r="I140" s="32" t="str"/>
      <x:c r="J140" s="32" t="str"/>
      <x:c r="K140" s="32" t="str"/>
      <x:c r="L140" s="32" t="str">
        <x:f>IF(OR(H140="",I140="",J140="",K140=""),"",ROUND(H140*((I140+J140)/6)*K140,2))</x:f>
      </x:c>
      <x:c r="M140" s="32" t="str">
        <x:f>IF(L140="","",IF(AND(L140&gt;=3.5,H140=1),"Сильный признак",IF(AND(L140&gt;=2,H140=1),"Рабочий признак",IF(H140=1,"Слабый признак","Отсутствует"))))</x:f>
      </x:c>
      <x:c r="N140" s="32" t="str"/>
    </x:row>
    <x:row r="141">
      <x:c r="A141" s="32" t="str"/>
      <x:c r="B141" s="32" t="str"/>
      <x:c r="C141" s="32" t="str"/>
      <x:c r="D141" s="32" t="str"/>
      <x:c r="E141" s="32" t="str"/>
      <x:c r="F141" s="32" t="str"/>
      <x:c r="G141" s="32" t="str"/>
      <x:c r="H141" s="32" t="str"/>
      <x:c r="I141" s="32" t="str"/>
      <x:c r="J141" s="32" t="str"/>
      <x:c r="K141" s="32" t="str"/>
      <x:c r="L141" s="32" t="str">
        <x:f>IF(OR(H141="",I141="",J141="",K141=""),"",ROUND(H141*((I141+J141)/6)*K141,2))</x:f>
      </x:c>
      <x:c r="M141" s="32" t="str">
        <x:f>IF(L141="","",IF(AND(L141&gt;=3.5,H141=1),"Сильный признак",IF(AND(L141&gt;=2,H141=1),"Рабочий признак",IF(H141=1,"Слабый признак","Отсутствует"))))</x:f>
      </x:c>
      <x:c r="N141" s="32" t="str"/>
    </x:row>
    <x:row r="142">
      <x:c r="A142" s="32" t="str"/>
      <x:c r="B142" s="32" t="str"/>
      <x:c r="C142" s="32" t="str"/>
      <x:c r="D142" s="32" t="str"/>
      <x:c r="E142" s="32" t="str"/>
      <x:c r="F142" s="32" t="str"/>
      <x:c r="G142" s="32" t="str"/>
      <x:c r="H142" s="32" t="str"/>
      <x:c r="I142" s="32" t="str"/>
      <x:c r="J142" s="32" t="str"/>
      <x:c r="K142" s="32" t="str"/>
      <x:c r="L142" s="32" t="str">
        <x:f>IF(OR(H142="",I142="",J142="",K142=""),"",ROUND(H142*((I142+J142)/6)*K142,2))</x:f>
      </x:c>
      <x:c r="M142" s="32" t="str">
        <x:f>IF(L142="","",IF(AND(L142&gt;=3.5,H142=1),"Сильный признак",IF(AND(L142&gt;=2,H142=1),"Рабочий признак",IF(H142=1,"Слабый признак","Отсутствует"))))</x:f>
      </x:c>
      <x:c r="N142" s="32" t="str"/>
    </x:row>
    <x:row r="143">
      <x:c r="A143" s="32" t="str"/>
      <x:c r="B143" s="32" t="str"/>
      <x:c r="C143" s="32" t="str"/>
      <x:c r="D143" s="32" t="str"/>
      <x:c r="E143" s="32" t="str"/>
      <x:c r="F143" s="32" t="str"/>
      <x:c r="G143" s="32" t="str"/>
      <x:c r="H143" s="32" t="str"/>
      <x:c r="I143" s="32" t="str"/>
      <x:c r="J143" s="32" t="str"/>
      <x:c r="K143" s="32" t="str"/>
      <x:c r="L143" s="32" t="str">
        <x:f>IF(OR(H143="",I143="",J143="",K143=""),"",ROUND(H143*((I143+J143)/6)*K143,2))</x:f>
      </x:c>
      <x:c r="M143" s="32" t="str">
        <x:f>IF(L143="","",IF(AND(L143&gt;=3.5,H143=1),"Сильный признак",IF(AND(L143&gt;=2,H143=1),"Рабочий признак",IF(H143=1,"Слабый признак","Отсутствует"))))</x:f>
      </x:c>
      <x:c r="N143" s="32" t="str"/>
    </x:row>
    <x:row r="144">
      <x:c r="A144" s="32" t="str"/>
      <x:c r="B144" s="32" t="str"/>
      <x:c r="C144" s="32" t="str"/>
      <x:c r="D144" s="32" t="str"/>
      <x:c r="E144" s="32" t="str"/>
      <x:c r="F144" s="32" t="str"/>
      <x:c r="G144" s="32" t="str"/>
      <x:c r="H144" s="32" t="str"/>
      <x:c r="I144" s="32" t="str"/>
      <x:c r="J144" s="32" t="str"/>
      <x:c r="K144" s="32" t="str"/>
      <x:c r="L144" s="32" t="str">
        <x:f>IF(OR(H144="",I144="",J144="",K144=""),"",ROUND(H144*((I144+J144)/6)*K144,2))</x:f>
      </x:c>
      <x:c r="M144" s="32" t="str">
        <x:f>IF(L144="","",IF(AND(L144&gt;=3.5,H144=1),"Сильный признак",IF(AND(L144&gt;=2,H144=1),"Рабочий признак",IF(H144=1,"Слабый признак","Отсутствует"))))</x:f>
      </x:c>
      <x:c r="N144" s="32" t="str"/>
    </x:row>
    <x:row r="145">
      <x:c r="A145" s="32" t="str"/>
      <x:c r="B145" s="32" t="str"/>
      <x:c r="C145" s="32" t="str"/>
      <x:c r="D145" s="32" t="str"/>
      <x:c r="E145" s="32" t="str"/>
      <x:c r="F145" s="32" t="str"/>
      <x:c r="G145" s="32" t="str"/>
      <x:c r="H145" s="32" t="str"/>
      <x:c r="I145" s="32" t="str"/>
      <x:c r="J145" s="32" t="str"/>
      <x:c r="K145" s="32" t="str"/>
      <x:c r="L145" s="32" t="str">
        <x:f>IF(OR(H145="",I145="",J145="",K145=""),"",ROUND(H145*((I145+J145)/6)*K145,2))</x:f>
      </x:c>
      <x:c r="M145" s="32" t="str">
        <x:f>IF(L145="","",IF(AND(L145&gt;=3.5,H145=1),"Сильный признак",IF(AND(L145&gt;=2,H145=1),"Рабочий признак",IF(H145=1,"Слабый признак","Отсутствует"))))</x:f>
      </x:c>
      <x:c r="N145" s="32" t="str"/>
    </x:row>
    <x:row r="146">
      <x:c r="A146" s="32" t="str"/>
      <x:c r="B146" s="32" t="str"/>
      <x:c r="C146" s="32" t="str"/>
      <x:c r="D146" s="32" t="str"/>
      <x:c r="E146" s="32" t="str"/>
      <x:c r="F146" s="32" t="str"/>
      <x:c r="G146" s="32" t="str"/>
      <x:c r="H146" s="32" t="str"/>
      <x:c r="I146" s="32" t="str"/>
      <x:c r="J146" s="32" t="str"/>
      <x:c r="K146" s="32" t="str"/>
      <x:c r="L146" s="32" t="str">
        <x:f>IF(OR(H146="",I146="",J146="",K146=""),"",ROUND(H146*((I146+J146)/6)*K146,2))</x:f>
      </x:c>
      <x:c r="M146" s="32" t="str">
        <x:f>IF(L146="","",IF(AND(L146&gt;=3.5,H146=1),"Сильный признак",IF(AND(L146&gt;=2,H146=1),"Рабочий признак",IF(H146=1,"Слабый признак","Отсутствует"))))</x:f>
      </x:c>
      <x:c r="N146" s="32" t="str"/>
    </x:row>
    <x:row r="147">
      <x:c r="A147" s="32" t="str"/>
      <x:c r="B147" s="32" t="str"/>
      <x:c r="C147" s="32" t="str"/>
      <x:c r="D147" s="32" t="str"/>
      <x:c r="E147" s="32" t="str"/>
      <x:c r="F147" s="32" t="str"/>
      <x:c r="G147" s="32" t="str"/>
      <x:c r="H147" s="32" t="str"/>
      <x:c r="I147" s="32" t="str"/>
      <x:c r="J147" s="32" t="str"/>
      <x:c r="K147" s="32" t="str"/>
      <x:c r="L147" s="32" t="str">
        <x:f>IF(OR(H147="",I147="",J147="",K147=""),"",ROUND(H147*((I147+J147)/6)*K147,2))</x:f>
      </x:c>
      <x:c r="M147" s="32" t="str">
        <x:f>IF(L147="","",IF(AND(L147&gt;=3.5,H147=1),"Сильный признак",IF(AND(L147&gt;=2,H147=1),"Рабочий признак",IF(H147=1,"Слабый признак","Отсутствует"))))</x:f>
      </x:c>
      <x:c r="N147" s="32" t="str"/>
    </x:row>
    <x:row r="148">
      <x:c r="A148" s="32" t="str"/>
      <x:c r="B148" s="32" t="str"/>
      <x:c r="C148" s="32" t="str"/>
      <x:c r="D148" s="32" t="str"/>
      <x:c r="E148" s="32" t="str"/>
      <x:c r="F148" s="32" t="str"/>
      <x:c r="G148" s="32" t="str"/>
      <x:c r="H148" s="32" t="str"/>
      <x:c r="I148" s="32" t="str"/>
      <x:c r="J148" s="32" t="str"/>
      <x:c r="K148" s="32" t="str"/>
      <x:c r="L148" s="32" t="str">
        <x:f>IF(OR(H148="",I148="",J148="",K148=""),"",ROUND(H148*((I148+J148)/6)*K148,2))</x:f>
      </x:c>
      <x:c r="M148" s="32" t="str">
        <x:f>IF(L148="","",IF(AND(L148&gt;=3.5,H148=1),"Сильный признак",IF(AND(L148&gt;=2,H148=1),"Рабочий признак",IF(H148=1,"Слабый признак","Отсутствует"))))</x:f>
      </x:c>
      <x:c r="N148" s="32" t="str"/>
    </x:row>
    <x:row r="149">
      <x:c r="A149" s="32" t="str"/>
      <x:c r="B149" s="32" t="str"/>
      <x:c r="C149" s="32" t="str"/>
      <x:c r="D149" s="32" t="str"/>
      <x:c r="E149" s="32" t="str"/>
      <x:c r="F149" s="32" t="str"/>
      <x:c r="G149" s="32" t="str"/>
      <x:c r="H149" s="32" t="str"/>
      <x:c r="I149" s="32" t="str"/>
      <x:c r="J149" s="32" t="str"/>
      <x:c r="K149" s="32" t="str"/>
      <x:c r="L149" s="32" t="str">
        <x:f>IF(OR(H149="",I149="",J149="",K149=""),"",ROUND(H149*((I149+J149)/6)*K149,2))</x:f>
      </x:c>
      <x:c r="M149" s="32" t="str">
        <x:f>IF(L149="","",IF(AND(L149&gt;=3.5,H149=1),"Сильный признак",IF(AND(L149&gt;=2,H149=1),"Рабочий признак",IF(H149=1,"Слабый признак","Отсутствует"))))</x:f>
      </x:c>
      <x:c r="N149" s="32" t="str"/>
    </x:row>
    <x:row r="150">
      <x:c r="A150" s="32" t="str"/>
      <x:c r="B150" s="32" t="str"/>
      <x:c r="C150" s="32" t="str"/>
      <x:c r="D150" s="32" t="str"/>
      <x:c r="E150" s="32" t="str"/>
      <x:c r="F150" s="32" t="str"/>
      <x:c r="G150" s="32" t="str"/>
      <x:c r="H150" s="32" t="str"/>
      <x:c r="I150" s="32" t="str"/>
      <x:c r="J150" s="32" t="str"/>
      <x:c r="K150" s="32" t="str"/>
      <x:c r="L150" s="32" t="str">
        <x:f>IF(OR(H150="",I150="",J150="",K150=""),"",ROUND(H150*((I150+J150)/6)*K150,2))</x:f>
      </x:c>
      <x:c r="M150" s="32" t="str">
        <x:f>IF(L150="","",IF(AND(L150&gt;=3.5,H150=1),"Сильный признак",IF(AND(L150&gt;=2,H150=1),"Рабочий признак",IF(H150=1,"Слабый признак","Отсутствует"))))</x:f>
      </x:c>
      <x:c r="N150" s="32" t="str"/>
    </x:row>
    <x:row r="151">
      <x:c r="A151" s="32" t="str"/>
      <x:c r="B151" s="32" t="str"/>
      <x:c r="C151" s="32" t="str"/>
      <x:c r="D151" s="32" t="str"/>
      <x:c r="E151" s="32" t="str"/>
      <x:c r="F151" s="32" t="str"/>
      <x:c r="G151" s="32" t="str"/>
      <x:c r="H151" s="32" t="str"/>
      <x:c r="I151" s="32" t="str"/>
      <x:c r="J151" s="32" t="str"/>
      <x:c r="K151" s="32" t="str"/>
      <x:c r="L151" s="32" t="str">
        <x:f>IF(OR(H151="",I151="",J151="",K151=""),"",ROUND(H151*((I151+J151)/6)*K151,2))</x:f>
      </x:c>
      <x:c r="M151" s="32" t="str">
        <x:f>IF(L151="","",IF(AND(L151&gt;=3.5,H151=1),"Сильный признак",IF(AND(L151&gt;=2,H151=1),"Рабочий признак",IF(H151=1,"Слабый признак","Отсутствует"))))</x:f>
      </x:c>
      <x:c r="N151" s="32" t="str"/>
    </x:row>
    <x:row r="152">
      <x:c r="A152" s="32" t="str"/>
      <x:c r="B152" s="32" t="str"/>
      <x:c r="C152" s="32" t="str"/>
      <x:c r="D152" s="32" t="str"/>
      <x:c r="E152" s="32" t="str"/>
      <x:c r="F152" s="32" t="str"/>
      <x:c r="G152" s="32" t="str"/>
      <x:c r="H152" s="32" t="str"/>
      <x:c r="I152" s="32" t="str"/>
      <x:c r="J152" s="32" t="str"/>
      <x:c r="K152" s="32" t="str"/>
      <x:c r="L152" s="32" t="str">
        <x:f>IF(OR(H152="",I152="",J152="",K152=""),"",ROUND(H152*((I152+J152)/6)*K152,2))</x:f>
      </x:c>
      <x:c r="M152" s="32" t="str">
        <x:f>IF(L152="","",IF(AND(L152&gt;=3.5,H152=1),"Сильный признак",IF(AND(L152&gt;=2,H152=1),"Рабочий признак",IF(H152=1,"Слабый признак","Отсутствует"))))</x:f>
      </x:c>
      <x:c r="N152" s="32" t="str"/>
    </x:row>
    <x:row r="153">
      <x:c r="A153" s="32" t="str"/>
      <x:c r="B153" s="32" t="str"/>
      <x:c r="C153" s="32" t="str"/>
      <x:c r="D153" s="32" t="str"/>
      <x:c r="E153" s="32" t="str"/>
      <x:c r="F153" s="32" t="str"/>
      <x:c r="G153" s="32" t="str"/>
      <x:c r="H153" s="32" t="str"/>
      <x:c r="I153" s="32" t="str"/>
      <x:c r="J153" s="32" t="str"/>
      <x:c r="K153" s="32" t="str"/>
      <x:c r="L153" s="32" t="str">
        <x:f>IF(OR(H153="",I153="",J153="",K153=""),"",ROUND(H153*((I153+J153)/6)*K153,2))</x:f>
      </x:c>
      <x:c r="M153" s="32" t="str">
        <x:f>IF(L153="","",IF(AND(L153&gt;=3.5,H153=1),"Сильный признак",IF(AND(L153&gt;=2,H153=1),"Рабочий признак",IF(H153=1,"Слабый признак","Отсутствует"))))</x:f>
      </x:c>
      <x:c r="N153" s="32" t="str"/>
    </x:row>
    <x:row r="154">
      <x:c r="A154" s="32" t="str"/>
      <x:c r="B154" s="32" t="str"/>
      <x:c r="C154" s="32" t="str"/>
      <x:c r="D154" s="32" t="str"/>
      <x:c r="E154" s="32" t="str"/>
      <x:c r="F154" s="32" t="str"/>
      <x:c r="G154" s="32" t="str"/>
      <x:c r="H154" s="32" t="str"/>
      <x:c r="I154" s="32" t="str"/>
      <x:c r="J154" s="32" t="str"/>
      <x:c r="K154" s="32" t="str"/>
      <x:c r="L154" s="32" t="str">
        <x:f>IF(OR(H154="",I154="",J154="",K154=""),"",ROUND(H154*((I154+J154)/6)*K154,2))</x:f>
      </x:c>
      <x:c r="M154" s="32" t="str">
        <x:f>IF(L154="","",IF(AND(L154&gt;=3.5,H154=1),"Сильный признак",IF(AND(L154&gt;=2,H154=1),"Рабочий признак",IF(H154=1,"Слабый признак","Отсутствует"))))</x:f>
      </x:c>
      <x:c r="N154" s="32" t="str"/>
    </x:row>
    <x:row r="155">
      <x:c r="A155" s="32" t="str"/>
      <x:c r="B155" s="32" t="str"/>
      <x:c r="C155" s="32" t="str"/>
      <x:c r="D155" s="32" t="str"/>
      <x:c r="E155" s="32" t="str"/>
      <x:c r="F155" s="32" t="str"/>
      <x:c r="G155" s="32" t="str"/>
      <x:c r="H155" s="32" t="str"/>
      <x:c r="I155" s="32" t="str"/>
      <x:c r="J155" s="32" t="str"/>
      <x:c r="K155" s="32" t="str"/>
      <x:c r="L155" s="32" t="str">
        <x:f>IF(OR(H155="",I155="",J155="",K155=""),"",ROUND(H155*((I155+J155)/6)*K155,2))</x:f>
      </x:c>
      <x:c r="M155" s="32" t="str">
        <x:f>IF(L155="","",IF(AND(L155&gt;=3.5,H155=1),"Сильный признак",IF(AND(L155&gt;=2,H155=1),"Рабочий признак",IF(H155=1,"Слабый признак","Отсутствует"))))</x:f>
      </x:c>
      <x:c r="N155" s="32" t="str"/>
    </x:row>
    <x:row r="156">
      <x:c r="A156" s="32" t="str"/>
      <x:c r="B156" s="32" t="str"/>
      <x:c r="C156" s="32" t="str"/>
      <x:c r="D156" s="32" t="str"/>
      <x:c r="E156" s="32" t="str"/>
      <x:c r="F156" s="32" t="str"/>
      <x:c r="G156" s="32" t="str"/>
      <x:c r="H156" s="32" t="str"/>
      <x:c r="I156" s="32" t="str"/>
      <x:c r="J156" s="32" t="str"/>
      <x:c r="K156" s="32" t="str"/>
      <x:c r="L156" s="32" t="str">
        <x:f>IF(OR(H156="",I156="",J156="",K156=""),"",ROUND(H156*((I156+J156)/6)*K156,2))</x:f>
      </x:c>
      <x:c r="M156" s="32" t="str">
        <x:f>IF(L156="","",IF(AND(L156&gt;=3.5,H156=1),"Сильный признак",IF(AND(L156&gt;=2,H156=1),"Рабочий признак",IF(H156=1,"Слабый признак","Отсутствует"))))</x:f>
      </x:c>
      <x:c r="N156" s="32" t="str"/>
    </x:row>
    <x:row r="157">
      <x:c r="A157" s="32" t="str"/>
      <x:c r="B157" s="32" t="str"/>
      <x:c r="C157" s="32" t="str"/>
      <x:c r="D157" s="32" t="str"/>
      <x:c r="E157" s="32" t="str"/>
      <x:c r="F157" s="32" t="str"/>
      <x:c r="G157" s="32" t="str"/>
      <x:c r="H157" s="32" t="str"/>
      <x:c r="I157" s="32" t="str"/>
      <x:c r="J157" s="32" t="str"/>
      <x:c r="K157" s="32" t="str"/>
      <x:c r="L157" s="32" t="str">
        <x:f>IF(OR(H157="",I157="",J157="",K157=""),"",ROUND(H157*((I157+J157)/6)*K157,2))</x:f>
      </x:c>
      <x:c r="M157" s="32" t="str">
        <x:f>IF(L157="","",IF(AND(L157&gt;=3.5,H157=1),"Сильный признак",IF(AND(L157&gt;=2,H157=1),"Рабочий признак",IF(H157=1,"Слабый признак","Отсутствует"))))</x:f>
      </x:c>
      <x:c r="N157" s="32" t="str"/>
    </x:row>
    <x:row r="158">
      <x:c r="A158" s="32" t="str"/>
      <x:c r="B158" s="32" t="str"/>
      <x:c r="C158" s="32" t="str"/>
      <x:c r="D158" s="32" t="str"/>
      <x:c r="E158" s="32" t="str"/>
      <x:c r="F158" s="32" t="str"/>
      <x:c r="G158" s="32" t="str"/>
      <x:c r="H158" s="32" t="str"/>
      <x:c r="I158" s="32" t="str"/>
      <x:c r="J158" s="32" t="str"/>
      <x:c r="K158" s="32" t="str"/>
      <x:c r="L158" s="32" t="str">
        <x:f>IF(OR(H158="",I158="",J158="",K158=""),"",ROUND(H158*((I158+J158)/6)*K158,2))</x:f>
      </x:c>
      <x:c r="M158" s="32" t="str">
        <x:f>IF(L158="","",IF(AND(L158&gt;=3.5,H158=1),"Сильный признак",IF(AND(L158&gt;=2,H158=1),"Рабочий признак",IF(H158=1,"Слабый признак","Отсутствует"))))</x:f>
      </x:c>
      <x:c r="N158" s="32" t="str"/>
    </x:row>
    <x:row r="159">
      <x:c r="A159" s="32" t="str"/>
      <x:c r="B159" s="32" t="str"/>
      <x:c r="C159" s="32" t="str"/>
      <x:c r="D159" s="32" t="str"/>
      <x:c r="E159" s="32" t="str"/>
      <x:c r="F159" s="32" t="str"/>
      <x:c r="G159" s="32" t="str"/>
      <x:c r="H159" s="32" t="str"/>
      <x:c r="I159" s="32" t="str"/>
      <x:c r="J159" s="32" t="str"/>
      <x:c r="K159" s="32" t="str"/>
      <x:c r="L159" s="32" t="str">
        <x:f>IF(OR(H159="",I159="",J159="",K159=""),"",ROUND(H159*((I159+J159)/6)*K159,2))</x:f>
      </x:c>
      <x:c r="M159" s="32" t="str">
        <x:f>IF(L159="","",IF(AND(L159&gt;=3.5,H159=1),"Сильный признак",IF(AND(L159&gt;=2,H159=1),"Рабочий признак",IF(H159=1,"Слабый признак","Отсутствует"))))</x:f>
      </x:c>
      <x:c r="N159" s="32" t="str"/>
    </x:row>
    <x:row r="160">
      <x:c r="A160" s="32" t="str"/>
      <x:c r="B160" s="32" t="str"/>
      <x:c r="C160" s="32" t="str"/>
      <x:c r="D160" s="32" t="str"/>
      <x:c r="E160" s="32" t="str"/>
      <x:c r="F160" s="32" t="str"/>
      <x:c r="G160" s="32" t="str"/>
      <x:c r="H160" s="32" t="str"/>
      <x:c r="I160" s="32" t="str"/>
      <x:c r="J160" s="32" t="str"/>
      <x:c r="K160" s="32" t="str"/>
      <x:c r="L160" s="32" t="str">
        <x:f>IF(OR(H160="",I160="",J160="",K160=""),"",ROUND(H160*((I160+J160)/6)*K160,2))</x:f>
      </x:c>
      <x:c r="M160" s="32" t="str">
        <x:f>IF(L160="","",IF(AND(L160&gt;=3.5,H160=1),"Сильный признак",IF(AND(L160&gt;=2,H160=1),"Рабочий признак",IF(H160=1,"Слабый признак","Отсутствует"))))</x:f>
      </x:c>
      <x:c r="N160" s="32" t="str"/>
    </x:row>
    <x:row r="161">
      <x:c r="A161" s="32" t="str"/>
      <x:c r="B161" s="32" t="str"/>
      <x:c r="C161" s="32" t="str"/>
      <x:c r="D161" s="32" t="str"/>
      <x:c r="E161" s="32" t="str"/>
      <x:c r="F161" s="32" t="str"/>
      <x:c r="G161" s="32" t="str"/>
      <x:c r="H161" s="32" t="str"/>
      <x:c r="I161" s="32" t="str"/>
      <x:c r="J161" s="32" t="str"/>
      <x:c r="K161" s="32" t="str"/>
      <x:c r="L161" s="32" t="str">
        <x:f>IF(OR(H161="",I161="",J161="",K161=""),"",ROUND(H161*((I161+J161)/6)*K161,2))</x:f>
      </x:c>
      <x:c r="M161" s="32" t="str">
        <x:f>IF(L161="","",IF(AND(L161&gt;=3.5,H161=1),"Сильный признак",IF(AND(L161&gt;=2,H161=1),"Рабочий признак",IF(H161=1,"Слабый признак","Отсутствует"))))</x:f>
      </x:c>
      <x:c r="N161" s="32" t="str"/>
    </x:row>
    <x:row r="162">
      <x:c r="A162" s="32" t="str"/>
      <x:c r="B162" s="32" t="str"/>
      <x:c r="C162" s="32" t="str"/>
      <x:c r="D162" s="32" t="str"/>
      <x:c r="E162" s="32" t="str"/>
      <x:c r="F162" s="32" t="str"/>
      <x:c r="G162" s="32" t="str"/>
      <x:c r="H162" s="32" t="str"/>
      <x:c r="I162" s="32" t="str"/>
      <x:c r="J162" s="32" t="str"/>
      <x:c r="K162" s="32" t="str"/>
      <x:c r="L162" s="32" t="str">
        <x:f>IF(OR(H162="",I162="",J162="",K162=""),"",ROUND(H162*((I162+J162)/6)*K162,2))</x:f>
      </x:c>
      <x:c r="M162" s="32" t="str">
        <x:f>IF(L162="","",IF(AND(L162&gt;=3.5,H162=1),"Сильный признак",IF(AND(L162&gt;=2,H162=1),"Рабочий признак",IF(H162=1,"Слабый признак","Отсутствует"))))</x:f>
      </x:c>
      <x:c r="N162" s="32" t="str"/>
    </x:row>
    <x:row r="163">
      <x:c r="A163" s="32" t="str"/>
      <x:c r="B163" s="32" t="str"/>
      <x:c r="C163" s="32" t="str"/>
      <x:c r="D163" s="32" t="str"/>
      <x:c r="E163" s="32" t="str"/>
      <x:c r="F163" s="32" t="str"/>
      <x:c r="G163" s="32" t="str"/>
      <x:c r="H163" s="32" t="str"/>
      <x:c r="I163" s="32" t="str"/>
      <x:c r="J163" s="32" t="str"/>
      <x:c r="K163" s="32" t="str"/>
      <x:c r="L163" s="32" t="str">
        <x:f>IF(OR(H163="",I163="",J163="",K163=""),"",ROUND(H163*((I163+J163)/6)*K163,2))</x:f>
      </x:c>
      <x:c r="M163" s="32" t="str">
        <x:f>IF(L163="","",IF(AND(L163&gt;=3.5,H163=1),"Сильный признак",IF(AND(L163&gt;=2,H163=1),"Рабочий признак",IF(H163=1,"Слабый признак","Отсутствует"))))</x:f>
      </x:c>
      <x:c r="N163" s="32" t="str"/>
    </x:row>
    <x:row r="164">
      <x:c r="A164" s="32" t="str"/>
      <x:c r="B164" s="32" t="str"/>
      <x:c r="C164" s="32" t="str"/>
      <x:c r="D164" s="32" t="str"/>
      <x:c r="E164" s="32" t="str"/>
      <x:c r="F164" s="32" t="str"/>
      <x:c r="G164" s="32" t="str"/>
      <x:c r="H164" s="32" t="str"/>
      <x:c r="I164" s="32" t="str"/>
      <x:c r="J164" s="32" t="str"/>
      <x:c r="K164" s="32" t="str"/>
      <x:c r="L164" s="32" t="str">
        <x:f>IF(OR(H164="",I164="",J164="",K164=""),"",ROUND(H164*((I164+J164)/6)*K164,2))</x:f>
      </x:c>
      <x:c r="M164" s="32" t="str">
        <x:f>IF(L164="","",IF(AND(L164&gt;=3.5,H164=1),"Сильный признак",IF(AND(L164&gt;=2,H164=1),"Рабочий признак",IF(H164=1,"Слабый признак","Отсутствует"))))</x:f>
      </x:c>
      <x:c r="N164" s="32" t="str"/>
    </x:row>
    <x:row r="165">
      <x:c r="A165" s="32" t="str"/>
      <x:c r="B165" s="32" t="str"/>
      <x:c r="C165" s="32" t="str"/>
      <x:c r="D165" s="32" t="str"/>
      <x:c r="E165" s="32" t="str"/>
      <x:c r="F165" s="32" t="str"/>
      <x:c r="G165" s="32" t="str"/>
      <x:c r="H165" s="32" t="str"/>
      <x:c r="I165" s="32" t="str"/>
      <x:c r="J165" s="32" t="str"/>
      <x:c r="K165" s="32" t="str"/>
      <x:c r="L165" s="32" t="str">
        <x:f>IF(OR(H165="",I165="",J165="",K165=""),"",ROUND(H165*((I165+J165)/6)*K165,2))</x:f>
      </x:c>
      <x:c r="M165" s="32" t="str">
        <x:f>IF(L165="","",IF(AND(L165&gt;=3.5,H165=1),"Сильный признак",IF(AND(L165&gt;=2,H165=1),"Рабочий признак",IF(H165=1,"Слабый признак","Отсутствует"))))</x:f>
      </x:c>
      <x:c r="N165" s="32" t="str"/>
    </x:row>
    <x:row r="166">
      <x:c r="A166" s="32" t="str"/>
      <x:c r="B166" s="32" t="str"/>
      <x:c r="C166" s="32" t="str"/>
      <x:c r="D166" s="32" t="str"/>
      <x:c r="E166" s="32" t="str"/>
      <x:c r="F166" s="32" t="str"/>
      <x:c r="G166" s="32" t="str"/>
      <x:c r="H166" s="32" t="str"/>
      <x:c r="I166" s="32" t="str"/>
      <x:c r="J166" s="32" t="str"/>
      <x:c r="K166" s="32" t="str"/>
      <x:c r="L166" s="32" t="str">
        <x:f>IF(OR(H166="",I166="",J166="",K166=""),"",ROUND(H166*((I166+J166)/6)*K166,2))</x:f>
      </x:c>
      <x:c r="M166" s="32" t="str">
        <x:f>IF(L166="","",IF(AND(L166&gt;=3.5,H166=1),"Сильный признак",IF(AND(L166&gt;=2,H166=1),"Рабочий признак",IF(H166=1,"Слабый признак","Отсутствует"))))</x:f>
      </x:c>
      <x:c r="N166" s="32" t="str"/>
    </x:row>
    <x:row r="167">
      <x:c r="A167" s="32" t="str"/>
      <x:c r="B167" s="32" t="str"/>
      <x:c r="C167" s="32" t="str"/>
      <x:c r="D167" s="32" t="str"/>
      <x:c r="E167" s="32" t="str"/>
      <x:c r="F167" s="32" t="str"/>
      <x:c r="G167" s="32" t="str"/>
      <x:c r="H167" s="32" t="str"/>
      <x:c r="I167" s="32" t="str"/>
      <x:c r="J167" s="32" t="str"/>
      <x:c r="K167" s="32" t="str"/>
      <x:c r="L167" s="32" t="str">
        <x:f>IF(OR(H167="",I167="",J167="",K167=""),"",ROUND(H167*((I167+J167)/6)*K167,2))</x:f>
      </x:c>
      <x:c r="M167" s="32" t="str">
        <x:f>IF(L167="","",IF(AND(L167&gt;=3.5,H167=1),"Сильный признак",IF(AND(L167&gt;=2,H167=1),"Рабочий признак",IF(H167=1,"Слабый признак","Отсутствует"))))</x:f>
      </x:c>
      <x:c r="N167" s="32" t="str"/>
    </x:row>
    <x:row r="168">
      <x:c r="A168" s="32" t="str"/>
      <x:c r="B168" s="32" t="str"/>
      <x:c r="C168" s="32" t="str"/>
      <x:c r="D168" s="32" t="str"/>
      <x:c r="E168" s="32" t="str"/>
      <x:c r="F168" s="32" t="str"/>
      <x:c r="G168" s="32" t="str"/>
      <x:c r="H168" s="32" t="str"/>
      <x:c r="I168" s="32" t="str"/>
      <x:c r="J168" s="32" t="str"/>
      <x:c r="K168" s="32" t="str"/>
      <x:c r="L168" s="32" t="str">
        <x:f>IF(OR(H168="",I168="",J168="",K168=""),"",ROUND(H168*((I168+J168)/6)*K168,2))</x:f>
      </x:c>
      <x:c r="M168" s="32" t="str">
        <x:f>IF(L168="","",IF(AND(L168&gt;=3.5,H168=1),"Сильный признак",IF(AND(L168&gt;=2,H168=1),"Рабочий признак",IF(H168=1,"Слабый признак","Отсутствует"))))</x:f>
      </x:c>
      <x:c r="N168" s="32" t="str"/>
    </x:row>
    <x:row r="169">
      <x:c r="A169" s="32" t="str"/>
      <x:c r="B169" s="32" t="str"/>
      <x:c r="C169" s="32" t="str"/>
      <x:c r="D169" s="32" t="str"/>
      <x:c r="E169" s="32" t="str"/>
      <x:c r="F169" s="32" t="str"/>
      <x:c r="G169" s="32" t="str"/>
      <x:c r="H169" s="32" t="str"/>
      <x:c r="I169" s="32" t="str"/>
      <x:c r="J169" s="32" t="str"/>
      <x:c r="K169" s="32" t="str"/>
      <x:c r="L169" s="32" t="str">
        <x:f>IF(OR(H169="",I169="",J169="",K169=""),"",ROUND(H169*((I169+J169)/6)*K169,2))</x:f>
      </x:c>
      <x:c r="M169" s="32" t="str">
        <x:f>IF(L169="","",IF(AND(L169&gt;=3.5,H169=1),"Сильный признак",IF(AND(L169&gt;=2,H169=1),"Рабочий признак",IF(H169=1,"Слабый признак","Отсутствует"))))</x:f>
      </x:c>
      <x:c r="N169" s="32" t="str"/>
    </x:row>
    <x:row r="170">
      <x:c r="A170" s="32" t="str"/>
      <x:c r="B170" s="32" t="str"/>
      <x:c r="C170" s="32" t="str"/>
      <x:c r="D170" s="32" t="str"/>
      <x:c r="E170" s="32" t="str"/>
      <x:c r="F170" s="32" t="str"/>
      <x:c r="G170" s="32" t="str"/>
      <x:c r="H170" s="32" t="str"/>
      <x:c r="I170" s="32" t="str"/>
      <x:c r="J170" s="32" t="str"/>
      <x:c r="K170" s="32" t="str"/>
      <x:c r="L170" s="32" t="str">
        <x:f>IF(OR(H170="",I170="",J170="",K170=""),"",ROUND(H170*((I170+J170)/6)*K170,2))</x:f>
      </x:c>
      <x:c r="M170" s="32" t="str">
        <x:f>IF(L170="","",IF(AND(L170&gt;=3.5,H170=1),"Сильный признак",IF(AND(L170&gt;=2,H170=1),"Рабочий признак",IF(H170=1,"Слабый признак","Отсутствует"))))</x:f>
      </x:c>
      <x:c r="N170" s="32" t="str"/>
    </x:row>
    <x:row r="171">
      <x:c r="A171" s="32" t="str"/>
      <x:c r="B171" s="32" t="str"/>
      <x:c r="C171" s="32" t="str"/>
      <x:c r="D171" s="32" t="str"/>
      <x:c r="E171" s="32" t="str"/>
      <x:c r="F171" s="32" t="str"/>
      <x:c r="G171" s="32" t="str"/>
      <x:c r="H171" s="32" t="str"/>
      <x:c r="I171" s="32" t="str"/>
      <x:c r="J171" s="32" t="str"/>
      <x:c r="K171" s="32" t="str"/>
      <x:c r="L171" s="32" t="str">
        <x:f>IF(OR(H171="",I171="",J171="",K171=""),"",ROUND(H171*((I171+J171)/6)*K171,2))</x:f>
      </x:c>
      <x:c r="M171" s="32" t="str">
        <x:f>IF(L171="","",IF(AND(L171&gt;=3.5,H171=1),"Сильный признак",IF(AND(L171&gt;=2,H171=1),"Рабочий признак",IF(H171=1,"Слабый признак","Отсутствует"))))</x:f>
      </x:c>
      <x:c r="N171" s="32" t="str"/>
    </x:row>
    <x:row r="172">
      <x:c r="A172" s="32" t="str"/>
      <x:c r="B172" s="32" t="str"/>
      <x:c r="C172" s="32" t="str"/>
      <x:c r="D172" s="32" t="str"/>
      <x:c r="E172" s="32" t="str"/>
      <x:c r="F172" s="32" t="str"/>
      <x:c r="G172" s="32" t="str"/>
      <x:c r="H172" s="32" t="str"/>
      <x:c r="I172" s="32" t="str"/>
      <x:c r="J172" s="32" t="str"/>
      <x:c r="K172" s="32" t="str"/>
      <x:c r="L172" s="32" t="str">
        <x:f>IF(OR(H172="",I172="",J172="",K172=""),"",ROUND(H172*((I172+J172)/6)*K172,2))</x:f>
      </x:c>
      <x:c r="M172" s="32" t="str">
        <x:f>IF(L172="","",IF(AND(L172&gt;=3.5,H172=1),"Сильный признак",IF(AND(L172&gt;=2,H172=1),"Рабочий признак",IF(H172=1,"Слабый признак","Отсутствует"))))</x:f>
      </x:c>
      <x:c r="N172" s="32" t="str"/>
    </x:row>
    <x:row r="173">
      <x:c r="A173" s="32" t="str"/>
      <x:c r="B173" s="32" t="str"/>
      <x:c r="C173" s="32" t="str"/>
      <x:c r="D173" s="32" t="str"/>
      <x:c r="E173" s="32" t="str"/>
      <x:c r="F173" s="32" t="str"/>
      <x:c r="G173" s="32" t="str"/>
      <x:c r="H173" s="32" t="str"/>
      <x:c r="I173" s="32" t="str"/>
      <x:c r="J173" s="32" t="str"/>
      <x:c r="K173" s="32" t="str"/>
      <x:c r="L173" s="32" t="str">
        <x:f>IF(OR(H173="",I173="",J173="",K173=""),"",ROUND(H173*((I173+J173)/6)*K173,2))</x:f>
      </x:c>
      <x:c r="M173" s="32" t="str">
        <x:f>IF(L173="","",IF(AND(L173&gt;=3.5,H173=1),"Сильный признак",IF(AND(L173&gt;=2,H173=1),"Рабочий признак",IF(H173=1,"Слабый признак","Отсутствует"))))</x:f>
      </x:c>
      <x:c r="N173" s="32" t="str"/>
    </x:row>
    <x:row r="174">
      <x:c r="A174" s="32" t="str"/>
      <x:c r="B174" s="32" t="str"/>
      <x:c r="C174" s="32" t="str"/>
      <x:c r="D174" s="32" t="str"/>
      <x:c r="E174" s="32" t="str"/>
      <x:c r="F174" s="32" t="str"/>
      <x:c r="G174" s="32" t="str"/>
      <x:c r="H174" s="32" t="str"/>
      <x:c r="I174" s="32" t="str"/>
      <x:c r="J174" s="32" t="str"/>
      <x:c r="K174" s="32" t="str"/>
      <x:c r="L174" s="32" t="str">
        <x:f>IF(OR(H174="",I174="",J174="",K174=""),"",ROUND(H174*((I174+J174)/6)*K174,2))</x:f>
      </x:c>
      <x:c r="M174" s="32" t="str">
        <x:f>IF(L174="","",IF(AND(L174&gt;=3.5,H174=1),"Сильный признак",IF(AND(L174&gt;=2,H174=1),"Рабочий признак",IF(H174=1,"Слабый признак","Отсутствует"))))</x:f>
      </x:c>
      <x:c r="N174" s="32" t="str"/>
    </x:row>
    <x:row r="175">
      <x:c r="A175" s="32" t="str"/>
      <x:c r="B175" s="32" t="str"/>
      <x:c r="C175" s="32" t="str"/>
      <x:c r="D175" s="32" t="str"/>
      <x:c r="E175" s="32" t="str"/>
      <x:c r="F175" s="32" t="str"/>
      <x:c r="G175" s="32" t="str"/>
      <x:c r="H175" s="32" t="str"/>
      <x:c r="I175" s="32" t="str"/>
      <x:c r="J175" s="32" t="str"/>
      <x:c r="K175" s="32" t="str"/>
      <x:c r="L175" s="32" t="str">
        <x:f>IF(OR(H175="",I175="",J175="",K175=""),"",ROUND(H175*((I175+J175)/6)*K175,2))</x:f>
      </x:c>
      <x:c r="M175" s="32" t="str">
        <x:f>IF(L175="","",IF(AND(L175&gt;=3.5,H175=1),"Сильный признак",IF(AND(L175&gt;=2,H175=1),"Рабочий признак",IF(H175=1,"Слабый признак","Отсутствует"))))</x:f>
      </x:c>
      <x:c r="N175" s="32" t="str"/>
    </x:row>
    <x:row r="176">
      <x:c r="A176" s="32" t="str"/>
      <x:c r="B176" s="32" t="str"/>
      <x:c r="C176" s="32" t="str"/>
      <x:c r="D176" s="32" t="str"/>
      <x:c r="E176" s="32" t="str"/>
      <x:c r="F176" s="32" t="str"/>
      <x:c r="G176" s="32" t="str"/>
      <x:c r="H176" s="32" t="str"/>
      <x:c r="I176" s="32" t="str"/>
      <x:c r="J176" s="32" t="str"/>
      <x:c r="K176" s="32" t="str"/>
      <x:c r="L176" s="32" t="str">
        <x:f>IF(OR(H176="",I176="",J176="",K176=""),"",ROUND(H176*((I176+J176)/6)*K176,2))</x:f>
      </x:c>
      <x:c r="M176" s="32" t="str">
        <x:f>IF(L176="","",IF(AND(L176&gt;=3.5,H176=1),"Сильный признак",IF(AND(L176&gt;=2,H176=1),"Рабочий признак",IF(H176=1,"Слабый признак","Отсутствует"))))</x:f>
      </x:c>
      <x:c r="N176" s="32" t="str"/>
    </x:row>
    <x:row r="177">
      <x:c r="A177" s="32" t="str"/>
      <x:c r="B177" s="32" t="str"/>
      <x:c r="C177" s="32" t="str"/>
      <x:c r="D177" s="32" t="str"/>
      <x:c r="E177" s="32" t="str"/>
      <x:c r="F177" s="32" t="str"/>
      <x:c r="G177" s="32" t="str"/>
      <x:c r="H177" s="32" t="str"/>
      <x:c r="I177" s="32" t="str"/>
      <x:c r="J177" s="32" t="str"/>
      <x:c r="K177" s="32" t="str"/>
      <x:c r="L177" s="32" t="str">
        <x:f>IF(OR(H177="",I177="",J177="",K177=""),"",ROUND(H177*((I177+J177)/6)*K177,2))</x:f>
      </x:c>
      <x:c r="M177" s="32" t="str">
        <x:f>IF(L177="","",IF(AND(L177&gt;=3.5,H177=1),"Сильный признак",IF(AND(L177&gt;=2,H177=1),"Рабочий признак",IF(H177=1,"Слабый признак","Отсутствует"))))</x:f>
      </x:c>
      <x:c r="N177" s="32" t="str"/>
    </x:row>
    <x:row r="178">
      <x:c r="A178" s="32" t="str"/>
      <x:c r="B178" s="32" t="str"/>
      <x:c r="C178" s="32" t="str"/>
      <x:c r="D178" s="32" t="str"/>
      <x:c r="E178" s="32" t="str"/>
      <x:c r="F178" s="32" t="str"/>
      <x:c r="G178" s="32" t="str"/>
      <x:c r="H178" s="32" t="str"/>
      <x:c r="I178" s="32" t="str"/>
      <x:c r="J178" s="32" t="str"/>
      <x:c r="K178" s="32" t="str"/>
      <x:c r="L178" s="32" t="str">
        <x:f>IF(OR(H178="",I178="",J178="",K178=""),"",ROUND(H178*((I178+J178)/6)*K178,2))</x:f>
      </x:c>
      <x:c r="M178" s="32" t="str">
        <x:f>IF(L178="","",IF(AND(L178&gt;=3.5,H178=1),"Сильный признак",IF(AND(L178&gt;=2,H178=1),"Рабочий признак",IF(H178=1,"Слабый признак","Отсутствует"))))</x:f>
      </x:c>
      <x:c r="N178" s="32" t="str"/>
    </x:row>
    <x:row r="179">
      <x:c r="A179" s="32" t="str"/>
      <x:c r="B179" s="32" t="str"/>
      <x:c r="C179" s="32" t="str"/>
      <x:c r="D179" s="32" t="str"/>
      <x:c r="E179" s="32" t="str"/>
      <x:c r="F179" s="32" t="str"/>
      <x:c r="G179" s="32" t="str"/>
      <x:c r="H179" s="32" t="str"/>
      <x:c r="I179" s="32" t="str"/>
      <x:c r="J179" s="32" t="str"/>
      <x:c r="K179" s="32" t="str"/>
      <x:c r="L179" s="32" t="str">
        <x:f>IF(OR(H179="",I179="",J179="",K179=""),"",ROUND(H179*((I179+J179)/6)*K179,2))</x:f>
      </x:c>
      <x:c r="M179" s="32" t="str">
        <x:f>IF(L179="","",IF(AND(L179&gt;=3.5,H179=1),"Сильный признак",IF(AND(L179&gt;=2,H179=1),"Рабочий признак",IF(H179=1,"Слабый признак","Отсутствует"))))</x:f>
      </x:c>
      <x:c r="N179" s="32" t="str"/>
    </x:row>
    <x:row r="180">
      <x:c r="A180" s="32" t="str"/>
      <x:c r="B180" s="32" t="str"/>
      <x:c r="C180" s="32" t="str"/>
      <x:c r="D180" s="32" t="str"/>
      <x:c r="E180" s="32" t="str"/>
      <x:c r="F180" s="32" t="str"/>
      <x:c r="G180" s="32" t="str"/>
      <x:c r="H180" s="32" t="str"/>
      <x:c r="I180" s="32" t="str"/>
      <x:c r="J180" s="32" t="str"/>
      <x:c r="K180" s="32" t="str"/>
      <x:c r="L180" s="32" t="str">
        <x:f>IF(OR(H180="",I180="",J180="",K180=""),"",ROUND(H180*((I180+J180)/6)*K180,2))</x:f>
      </x:c>
      <x:c r="M180" s="32" t="str">
        <x:f>IF(L180="","",IF(AND(L180&gt;=3.5,H180=1),"Сильный признак",IF(AND(L180&gt;=2,H180=1),"Рабочий признак",IF(H180=1,"Слабый признак","Отсутствует"))))</x:f>
      </x:c>
      <x:c r="N180" s="32" t="str"/>
    </x:row>
    <x:row r="181">
      <x:c r="A181" s="32" t="str"/>
      <x:c r="B181" s="32" t="str"/>
      <x:c r="C181" s="32" t="str"/>
      <x:c r="D181" s="32" t="str"/>
      <x:c r="E181" s="32" t="str"/>
      <x:c r="F181" s="32" t="str"/>
      <x:c r="G181" s="32" t="str"/>
      <x:c r="H181" s="32" t="str"/>
      <x:c r="I181" s="32" t="str"/>
      <x:c r="J181" s="32" t="str"/>
      <x:c r="K181" s="32" t="str"/>
      <x:c r="L181" s="32" t="str">
        <x:f>IF(OR(H181="",I181="",J181="",K181=""),"",ROUND(H181*((I181+J181)/6)*K181,2))</x:f>
      </x:c>
      <x:c r="M181" s="32" t="str">
        <x:f>IF(L181="","",IF(AND(L181&gt;=3.5,H181=1),"Сильный признак",IF(AND(L181&gt;=2,H181=1),"Рабочий признак",IF(H181=1,"Слабый признак","Отсутствует"))))</x:f>
      </x:c>
      <x:c r="N181" s="32" t="str"/>
    </x:row>
    <x:row r="182">
      <x:c r="A182" s="32" t="str"/>
      <x:c r="B182" s="32" t="str"/>
      <x:c r="C182" s="32" t="str"/>
      <x:c r="D182" s="32" t="str"/>
      <x:c r="E182" s="32" t="str"/>
      <x:c r="F182" s="32" t="str"/>
      <x:c r="G182" s="32" t="str"/>
      <x:c r="H182" s="32" t="str"/>
      <x:c r="I182" s="32" t="str"/>
      <x:c r="J182" s="32" t="str"/>
      <x:c r="K182" s="32" t="str"/>
      <x:c r="L182" s="32" t="str">
        <x:f>IF(OR(H182="",I182="",J182="",K182=""),"",ROUND(H182*((I182+J182)/6)*K182,2))</x:f>
      </x:c>
      <x:c r="M182" s="32" t="str">
        <x:f>IF(L182="","",IF(AND(L182&gt;=3.5,H182=1),"Сильный признак",IF(AND(L182&gt;=2,H182=1),"Рабочий признак",IF(H182=1,"Слабый признак","Отсутствует"))))</x:f>
      </x:c>
      <x:c r="N182" s="32" t="str"/>
    </x:row>
    <x:row r="183">
      <x:c r="A183" s="32" t="str"/>
      <x:c r="B183" s="32" t="str"/>
      <x:c r="C183" s="32" t="str"/>
      <x:c r="D183" s="32" t="str"/>
      <x:c r="E183" s="32" t="str"/>
      <x:c r="F183" s="32" t="str"/>
      <x:c r="G183" s="32" t="str"/>
      <x:c r="H183" s="32" t="str"/>
      <x:c r="I183" s="32" t="str"/>
      <x:c r="J183" s="32" t="str"/>
      <x:c r="K183" s="32" t="str"/>
      <x:c r="L183" s="32" t="str">
        <x:f>IF(OR(H183="",I183="",J183="",K183=""),"",ROUND(H183*((I183+J183)/6)*K183,2))</x:f>
      </x:c>
      <x:c r="M183" s="32" t="str">
        <x:f>IF(L183="","",IF(AND(L183&gt;=3.5,H183=1),"Сильный признак",IF(AND(L183&gt;=2,H183=1),"Рабочий признак",IF(H183=1,"Слабый признак","Отсутствует"))))</x:f>
      </x:c>
      <x:c r="N183" s="32" t="str"/>
    </x:row>
    <x:row r="184">
      <x:c r="A184" s="32" t="str"/>
      <x:c r="B184" s="32" t="str"/>
      <x:c r="C184" s="32" t="str"/>
      <x:c r="D184" s="32" t="str"/>
      <x:c r="E184" s="32" t="str"/>
      <x:c r="F184" s="32" t="str"/>
      <x:c r="G184" s="32" t="str"/>
      <x:c r="H184" s="32" t="str"/>
      <x:c r="I184" s="32" t="str"/>
      <x:c r="J184" s="32" t="str"/>
      <x:c r="K184" s="32" t="str"/>
      <x:c r="L184" s="32" t="str">
        <x:f>IF(OR(H184="",I184="",J184="",K184=""),"",ROUND(H184*((I184+J184)/6)*K184,2))</x:f>
      </x:c>
      <x:c r="M184" s="32" t="str">
        <x:f>IF(L184="","",IF(AND(L184&gt;=3.5,H184=1),"Сильный признак",IF(AND(L184&gt;=2,H184=1),"Рабочий признак",IF(H184=1,"Слабый признак","Отсутствует"))))</x:f>
      </x:c>
      <x:c r="N184" s="32" t="str"/>
    </x:row>
    <x:row r="185">
      <x:c r="A185" s="32" t="str"/>
      <x:c r="B185" s="32" t="str"/>
      <x:c r="C185" s="32" t="str"/>
      <x:c r="D185" s="32" t="str"/>
      <x:c r="E185" s="32" t="str"/>
      <x:c r="F185" s="32" t="str"/>
      <x:c r="G185" s="32" t="str"/>
      <x:c r="H185" s="32" t="str"/>
      <x:c r="I185" s="32" t="str"/>
      <x:c r="J185" s="32" t="str"/>
      <x:c r="K185" s="32" t="str"/>
      <x:c r="L185" s="32" t="str">
        <x:f>IF(OR(H185="",I185="",J185="",K185=""),"",ROUND(H185*((I185+J185)/6)*K185,2))</x:f>
      </x:c>
      <x:c r="M185" s="32" t="str">
        <x:f>IF(L185="","",IF(AND(L185&gt;=3.5,H185=1),"Сильный признак",IF(AND(L185&gt;=2,H185=1),"Рабочий признак",IF(H185=1,"Слабый признак","Отсутствует"))))</x:f>
      </x:c>
      <x:c r="N185" s="32" t="str"/>
    </x:row>
    <x:row r="186">
      <x:c r="A186" s="32" t="str"/>
      <x:c r="B186" s="32" t="str"/>
      <x:c r="C186" s="32" t="str"/>
      <x:c r="D186" s="32" t="str"/>
      <x:c r="E186" s="32" t="str"/>
      <x:c r="F186" s="32" t="str"/>
      <x:c r="G186" s="32" t="str"/>
      <x:c r="H186" s="32" t="str"/>
      <x:c r="I186" s="32" t="str"/>
      <x:c r="J186" s="32" t="str"/>
      <x:c r="K186" s="32" t="str"/>
      <x:c r="L186" s="32" t="str">
        <x:f>IF(OR(H186="",I186="",J186="",K186=""),"",ROUND(H186*((I186+J186)/6)*K186,2))</x:f>
      </x:c>
      <x:c r="M186" s="32" t="str">
        <x:f>IF(L186="","",IF(AND(L186&gt;=3.5,H186=1),"Сильный признак",IF(AND(L186&gt;=2,H186=1),"Рабочий признак",IF(H186=1,"Слабый признак","Отсутствует"))))</x:f>
      </x:c>
      <x:c r="N186" s="32" t="str"/>
    </x:row>
    <x:row r="187">
      <x:c r="A187" s="32" t="str"/>
      <x:c r="B187" s="32" t="str"/>
      <x:c r="C187" s="32" t="str"/>
      <x:c r="D187" s="32" t="str"/>
      <x:c r="E187" s="32" t="str"/>
      <x:c r="F187" s="32" t="str"/>
      <x:c r="G187" s="32" t="str"/>
      <x:c r="H187" s="32" t="str"/>
      <x:c r="I187" s="32" t="str"/>
      <x:c r="J187" s="32" t="str"/>
      <x:c r="K187" s="32" t="str"/>
      <x:c r="L187" s="32" t="str">
        <x:f>IF(OR(H187="",I187="",J187="",K187=""),"",ROUND(H187*((I187+J187)/6)*K187,2))</x:f>
      </x:c>
      <x:c r="M187" s="32" t="str">
        <x:f>IF(L187="","",IF(AND(L187&gt;=3.5,H187=1),"Сильный признак",IF(AND(L187&gt;=2,H187=1),"Рабочий признак",IF(H187=1,"Слабый признак","Отсутствует"))))</x:f>
      </x:c>
      <x:c r="N187" s="32" t="str"/>
    </x:row>
    <x:row r="188">
      <x:c r="A188" s="32" t="str"/>
      <x:c r="B188" s="32" t="str"/>
      <x:c r="C188" s="32" t="str"/>
      <x:c r="D188" s="32" t="str"/>
      <x:c r="E188" s="32" t="str"/>
      <x:c r="F188" s="32" t="str"/>
      <x:c r="G188" s="32" t="str"/>
      <x:c r="H188" s="32" t="str"/>
      <x:c r="I188" s="32" t="str"/>
      <x:c r="J188" s="32" t="str"/>
      <x:c r="K188" s="32" t="str"/>
      <x:c r="L188" s="32" t="str">
        <x:f>IF(OR(H188="",I188="",J188="",K188=""),"",ROUND(H188*((I188+J188)/6)*K188,2))</x:f>
      </x:c>
      <x:c r="M188" s="32" t="str">
        <x:f>IF(L188="","",IF(AND(L188&gt;=3.5,H188=1),"Сильный признак",IF(AND(L188&gt;=2,H188=1),"Рабочий признак",IF(H188=1,"Слабый признак","Отсутствует"))))</x:f>
      </x:c>
      <x:c r="N188" s="32" t="str"/>
    </x:row>
    <x:row r="189">
      <x:c r="A189" s="32" t="str"/>
      <x:c r="B189" s="32" t="str"/>
      <x:c r="C189" s="32" t="str"/>
      <x:c r="D189" s="32" t="str"/>
      <x:c r="E189" s="32" t="str"/>
      <x:c r="F189" s="32" t="str"/>
      <x:c r="G189" s="32" t="str"/>
      <x:c r="H189" s="32" t="str"/>
      <x:c r="I189" s="32" t="str"/>
      <x:c r="J189" s="32" t="str"/>
      <x:c r="K189" s="32" t="str"/>
      <x:c r="L189" s="32" t="str">
        <x:f>IF(OR(H189="",I189="",J189="",K189=""),"",ROUND(H189*((I189+J189)/6)*K189,2))</x:f>
      </x:c>
      <x:c r="M189" s="32" t="str">
        <x:f>IF(L189="","",IF(AND(L189&gt;=3.5,H189=1),"Сильный признак",IF(AND(L189&gt;=2,H189=1),"Рабочий признак",IF(H189=1,"Слабый признак","Отсутствует"))))</x:f>
      </x:c>
      <x:c r="N189" s="32" t="str"/>
    </x:row>
    <x:row r="190">
      <x:c r="A190" s="32" t="str"/>
      <x:c r="B190" s="32" t="str"/>
      <x:c r="C190" s="32" t="str"/>
      <x:c r="D190" s="32" t="str"/>
      <x:c r="E190" s="32" t="str"/>
      <x:c r="F190" s="32" t="str"/>
      <x:c r="G190" s="32" t="str"/>
      <x:c r="H190" s="32" t="str"/>
      <x:c r="I190" s="32" t="str"/>
      <x:c r="J190" s="32" t="str"/>
      <x:c r="K190" s="32" t="str"/>
      <x:c r="L190" s="32" t="str">
        <x:f>IF(OR(H190="",I190="",J190="",K190=""),"",ROUND(H190*((I190+J190)/6)*K190,2))</x:f>
      </x:c>
      <x:c r="M190" s="32" t="str">
        <x:f>IF(L190="","",IF(AND(L190&gt;=3.5,H190=1),"Сильный признак",IF(AND(L190&gt;=2,H190=1),"Рабочий признак",IF(H190=1,"Слабый признак","Отсутствует"))))</x:f>
      </x:c>
      <x:c r="N190" s="32" t="str"/>
    </x:row>
    <x:row r="191">
      <x:c r="A191" s="32" t="str"/>
      <x:c r="B191" s="32" t="str"/>
      <x:c r="C191" s="32" t="str"/>
      <x:c r="D191" s="32" t="str"/>
      <x:c r="E191" s="32" t="str"/>
      <x:c r="F191" s="32" t="str"/>
      <x:c r="G191" s="32" t="str"/>
      <x:c r="H191" s="32" t="str"/>
      <x:c r="I191" s="32" t="str"/>
      <x:c r="J191" s="32" t="str"/>
      <x:c r="K191" s="32" t="str"/>
      <x:c r="L191" s="32" t="str">
        <x:f>IF(OR(H191="",I191="",J191="",K191=""),"",ROUND(H191*((I191+J191)/6)*K191,2))</x:f>
      </x:c>
      <x:c r="M191" s="32" t="str">
        <x:f>IF(L191="","",IF(AND(L191&gt;=3.5,H191=1),"Сильный признак",IF(AND(L191&gt;=2,H191=1),"Рабочий признак",IF(H191=1,"Слабый признак","Отсутствует"))))</x:f>
      </x:c>
      <x:c r="N191" s="32" t="str"/>
    </x:row>
    <x:row r="192">
      <x:c r="A192" s="32" t="str"/>
      <x:c r="B192" s="32" t="str"/>
      <x:c r="C192" s="32" t="str"/>
      <x:c r="D192" s="32" t="str"/>
      <x:c r="E192" s="32" t="str"/>
      <x:c r="F192" s="32" t="str"/>
      <x:c r="G192" s="32" t="str"/>
      <x:c r="H192" s="32" t="str"/>
      <x:c r="I192" s="32" t="str"/>
      <x:c r="J192" s="32" t="str"/>
      <x:c r="K192" s="32" t="str"/>
      <x:c r="L192" s="32" t="str">
        <x:f>IF(OR(H192="",I192="",J192="",K192=""),"",ROUND(H192*((I192+J192)/6)*K192,2))</x:f>
      </x:c>
      <x:c r="M192" s="32" t="str">
        <x:f>IF(L192="","",IF(AND(L192&gt;=3.5,H192=1),"Сильный признак",IF(AND(L192&gt;=2,H192=1),"Рабочий признак",IF(H192=1,"Слабый признак","Отсутствует"))))</x:f>
      </x:c>
      <x:c r="N192" s="32" t="str"/>
    </x:row>
    <x:row r="193">
      <x:c r="A193" s="32" t="str"/>
      <x:c r="B193" s="32" t="str"/>
      <x:c r="C193" s="32" t="str"/>
      <x:c r="D193" s="32" t="str"/>
      <x:c r="E193" s="32" t="str"/>
      <x:c r="F193" s="32" t="str"/>
      <x:c r="G193" s="32" t="str"/>
      <x:c r="H193" s="32" t="str"/>
      <x:c r="I193" s="32" t="str"/>
      <x:c r="J193" s="32" t="str"/>
      <x:c r="K193" s="32" t="str"/>
      <x:c r="L193" s="32" t="str">
        <x:f>IF(OR(H193="",I193="",J193="",K193=""),"",ROUND(H193*((I193+J193)/6)*K193,2))</x:f>
      </x:c>
      <x:c r="M193" s="32" t="str">
        <x:f>IF(L193="","",IF(AND(L193&gt;=3.5,H193=1),"Сильный признак",IF(AND(L193&gt;=2,H193=1),"Рабочий признак",IF(H193=1,"Слабый признак","Отсутствует"))))</x:f>
      </x:c>
      <x:c r="N193" s="32" t="str"/>
    </x:row>
    <x:row r="194">
      <x:c r="A194" s="32" t="str"/>
      <x:c r="B194" s="32" t="str"/>
      <x:c r="C194" s="32" t="str"/>
      <x:c r="D194" s="32" t="str"/>
      <x:c r="E194" s="32" t="str"/>
      <x:c r="F194" s="32" t="str"/>
      <x:c r="G194" s="32" t="str"/>
      <x:c r="H194" s="32" t="str"/>
      <x:c r="I194" s="32" t="str"/>
      <x:c r="J194" s="32" t="str"/>
      <x:c r="K194" s="32" t="str"/>
      <x:c r="L194" s="32" t="str">
        <x:f>IF(OR(H194="",I194="",J194="",K194=""),"",ROUND(H194*((I194+J194)/6)*K194,2))</x:f>
      </x:c>
      <x:c r="M194" s="32" t="str">
        <x:f>IF(L194="","",IF(AND(L194&gt;=3.5,H194=1),"Сильный признак",IF(AND(L194&gt;=2,H194=1),"Рабочий признак",IF(H194=1,"Слабый признак","Отсутствует"))))</x:f>
      </x:c>
      <x:c r="N194" s="32" t="str"/>
    </x:row>
    <x:row r="195">
      <x:c r="A195" s="32" t="str"/>
      <x:c r="B195" s="32" t="str"/>
      <x:c r="C195" s="32" t="str"/>
      <x:c r="D195" s="32" t="str"/>
      <x:c r="E195" s="32" t="str"/>
      <x:c r="F195" s="32" t="str"/>
      <x:c r="G195" s="32" t="str"/>
      <x:c r="H195" s="32" t="str"/>
      <x:c r="I195" s="32" t="str"/>
      <x:c r="J195" s="32" t="str"/>
      <x:c r="K195" s="32" t="str"/>
      <x:c r="L195" s="32" t="str">
        <x:f>IF(OR(H195="",I195="",J195="",K195=""),"",ROUND(H195*((I195+J195)/6)*K195,2))</x:f>
      </x:c>
      <x:c r="M195" s="32" t="str">
        <x:f>IF(L195="","",IF(AND(L195&gt;=3.5,H195=1),"Сильный признак",IF(AND(L195&gt;=2,H195=1),"Рабочий признак",IF(H195=1,"Слабый признак","Отсутствует"))))</x:f>
      </x:c>
      <x:c r="N195" s="32" t="str"/>
    </x:row>
    <x:row r="196">
      <x:c r="A196" s="32" t="str"/>
      <x:c r="B196" s="32" t="str"/>
      <x:c r="C196" s="32" t="str"/>
      <x:c r="D196" s="32" t="str"/>
      <x:c r="E196" s="32" t="str"/>
      <x:c r="F196" s="32" t="str"/>
      <x:c r="G196" s="32" t="str"/>
      <x:c r="H196" s="32" t="str"/>
      <x:c r="I196" s="32" t="str"/>
      <x:c r="J196" s="32" t="str"/>
      <x:c r="K196" s="32" t="str"/>
      <x:c r="L196" s="32" t="str">
        <x:f>IF(OR(H196="",I196="",J196="",K196=""),"",ROUND(H196*((I196+J196)/6)*K196,2))</x:f>
      </x:c>
      <x:c r="M196" s="32" t="str">
        <x:f>IF(L196="","",IF(AND(L196&gt;=3.5,H196=1),"Сильный признак",IF(AND(L196&gt;=2,H196=1),"Рабочий признак",IF(H196=1,"Слабый признак","Отсутствует"))))</x:f>
      </x:c>
      <x:c r="N196" s="32" t="str"/>
    </x:row>
    <x:row r="197">
      <x:c r="A197" s="32" t="str"/>
      <x:c r="B197" s="32" t="str"/>
      <x:c r="C197" s="32" t="str"/>
      <x:c r="D197" s="32" t="str"/>
      <x:c r="E197" s="32" t="str"/>
      <x:c r="F197" s="32" t="str"/>
      <x:c r="G197" s="32" t="str"/>
      <x:c r="H197" s="32" t="str"/>
      <x:c r="I197" s="32" t="str"/>
      <x:c r="J197" s="32" t="str"/>
      <x:c r="K197" s="32" t="str"/>
      <x:c r="L197" s="32" t="str">
        <x:f>IF(OR(H197="",I197="",J197="",K197=""),"",ROUND(H197*((I197+J197)/6)*K197,2))</x:f>
      </x:c>
      <x:c r="M197" s="32" t="str">
        <x:f>IF(L197="","",IF(AND(L197&gt;=3.5,H197=1),"Сильный признак",IF(AND(L197&gt;=2,H197=1),"Рабочий признак",IF(H197=1,"Слабый признак","Отсутствует"))))</x:f>
      </x:c>
      <x:c r="N197" s="32" t="str"/>
    </x:row>
    <x:row r="198">
      <x:c r="A198" s="32" t="str"/>
      <x:c r="B198" s="32" t="str"/>
      <x:c r="C198" s="32" t="str"/>
      <x:c r="D198" s="32" t="str"/>
      <x:c r="E198" s="32" t="str"/>
      <x:c r="F198" s="32" t="str"/>
      <x:c r="G198" s="32" t="str"/>
      <x:c r="H198" s="32" t="str"/>
      <x:c r="I198" s="32" t="str"/>
      <x:c r="J198" s="32" t="str"/>
      <x:c r="K198" s="32" t="str"/>
      <x:c r="L198" s="32" t="str">
        <x:f>IF(OR(H198="",I198="",J198="",K198=""),"",ROUND(H198*((I198+J198)/6)*K198,2))</x:f>
      </x:c>
      <x:c r="M198" s="32" t="str">
        <x:f>IF(L198="","",IF(AND(L198&gt;=3.5,H198=1),"Сильный признак",IF(AND(L198&gt;=2,H198=1),"Рабочий признак",IF(H198=1,"Слабый признак","Отсутствует"))))</x:f>
      </x:c>
      <x:c r="N198" s="32" t="str"/>
    </x:row>
    <x:row r="199">
      <x:c r="A199" s="32" t="str"/>
      <x:c r="B199" s="32" t="str"/>
      <x:c r="C199" s="32" t="str"/>
      <x:c r="D199" s="32" t="str"/>
      <x:c r="E199" s="32" t="str"/>
      <x:c r="F199" s="32" t="str"/>
      <x:c r="G199" s="32" t="str"/>
      <x:c r="H199" s="32" t="str"/>
      <x:c r="I199" s="32" t="str"/>
      <x:c r="J199" s="32" t="str"/>
      <x:c r="K199" s="32" t="str"/>
      <x:c r="L199" s="32" t="str">
        <x:f>IF(OR(H199="",I199="",J199="",K199=""),"",ROUND(H199*((I199+J199)/6)*K199,2))</x:f>
      </x:c>
      <x:c r="M199" s="32" t="str">
        <x:f>IF(L199="","",IF(AND(L199&gt;=3.5,H199=1),"Сильный признак",IF(AND(L199&gt;=2,H199=1),"Рабочий признак",IF(H199=1,"Слабый признак","Отсутствует"))))</x:f>
      </x:c>
      <x:c r="N199" s="32" t="str"/>
    </x:row>
    <x:row r="200">
      <x:c r="A200" s="32" t="str"/>
      <x:c r="B200" s="32" t="str"/>
      <x:c r="C200" s="32" t="str"/>
      <x:c r="D200" s="32" t="str"/>
      <x:c r="E200" s="32" t="str"/>
      <x:c r="F200" s="32" t="str"/>
      <x:c r="G200" s="32" t="str"/>
      <x:c r="H200" s="32" t="str"/>
      <x:c r="I200" s="32" t="str"/>
      <x:c r="J200" s="32" t="str"/>
      <x:c r="K200" s="32" t="str"/>
      <x:c r="L200" s="32" t="str">
        <x:f>IF(OR(H200="",I200="",J200="",K200=""),"",ROUND(H200*((I200+J200)/6)*K200,2))</x:f>
      </x:c>
      <x:c r="M200" s="32" t="str">
        <x:f>IF(L200="","",IF(AND(L200&gt;=3.5,H200=1),"Сильный признак",IF(AND(L200&gt;=2,H200=1),"Рабочий признак",IF(H200=1,"Слабый признак","Отсутствует"))))</x:f>
      </x:c>
      <x:c r="N200" s="32" t="str"/>
    </x:row>
    <x:row r="201">
      <x:c r="A201" s="32" t="str"/>
      <x:c r="B201" s="32" t="str"/>
      <x:c r="C201" s="32" t="str"/>
      <x:c r="D201" s="32" t="str"/>
      <x:c r="E201" s="32" t="str"/>
      <x:c r="F201" s="32" t="str"/>
      <x:c r="G201" s="32" t="str"/>
      <x:c r="H201" s="32" t="str"/>
      <x:c r="I201" s="32" t="str"/>
      <x:c r="J201" s="32" t="str"/>
      <x:c r="K201" s="32" t="str"/>
      <x:c r="L201" s="32" t="str">
        <x:f>IF(OR(H201="",I201="",J201="",K201=""),"",ROUND(H201*((I201+J201)/6)*K201,2))</x:f>
      </x:c>
      <x:c r="M201" s="32" t="str">
        <x:f>IF(L201="","",IF(AND(L201&gt;=3.5,H201=1),"Сильный признак",IF(AND(L201&gt;=2,H201=1),"Рабочий признак",IF(H201=1,"Слабый признак","Отсутствует"))))</x:f>
      </x:c>
      <x:c r="N201" s="32" t="str"/>
    </x:row>
    <x:row r="202">
      <x:c r="A202" s="32" t="str"/>
      <x:c r="B202" s="32" t="str"/>
      <x:c r="C202" s="32" t="str"/>
      <x:c r="D202" s="32" t="str"/>
      <x:c r="E202" s="32" t="str"/>
      <x:c r="F202" s="32" t="str"/>
      <x:c r="G202" s="32" t="str"/>
      <x:c r="H202" s="32" t="str"/>
      <x:c r="I202" s="32" t="str"/>
      <x:c r="J202" s="32" t="str"/>
      <x:c r="K202" s="32" t="str"/>
      <x:c r="L202" s="32" t="str">
        <x:f>IF(OR(H202="",I202="",J202="",K202=""),"",ROUND(H202*((I202+J202)/6)*K202,2))</x:f>
      </x:c>
      <x:c r="M202" s="32" t="str">
        <x:f>IF(L202="","",IF(AND(L202&gt;=3.5,H202=1),"Сильный признак",IF(AND(L202&gt;=2,H202=1),"Рабочий признак",IF(H202=1,"Слабый признак","Отсутствует"))))</x:f>
      </x:c>
      <x:c r="N202" s="32" t="str"/>
    </x:row>
    <x:row r="203">
      <x:c r="A203" s="32" t="str"/>
      <x:c r="B203" s="32" t="str"/>
      <x:c r="C203" s="32" t="str"/>
      <x:c r="D203" s="32" t="str"/>
      <x:c r="E203" s="32" t="str"/>
      <x:c r="F203" s="32" t="str"/>
      <x:c r="G203" s="32" t="str"/>
      <x:c r="H203" s="32" t="str"/>
      <x:c r="I203" s="32" t="str"/>
      <x:c r="J203" s="32" t="str"/>
      <x:c r="K203" s="32" t="str"/>
      <x:c r="L203" s="32" t="str">
        <x:f>IF(OR(H203="",I203="",J203="",K203=""),"",ROUND(H203*((I203+J203)/6)*K203,2))</x:f>
      </x:c>
      <x:c r="M203" s="32" t="str">
        <x:f>IF(L203="","",IF(AND(L203&gt;=3.5,H203=1),"Сильный признак",IF(AND(L203&gt;=2,H203=1),"Рабочий признак",IF(H203=1,"Слабый признак","Отсутствует"))))</x:f>
      </x:c>
      <x:c r="N203" s="32" t="str"/>
    </x:row>
    <x:row r="204">
      <x:c r="A204" s="32" t="str"/>
      <x:c r="B204" s="32" t="str"/>
      <x:c r="C204" s="32" t="str"/>
      <x:c r="D204" s="32" t="str"/>
      <x:c r="E204" s="32" t="str"/>
      <x:c r="F204" s="32" t="str"/>
      <x:c r="G204" s="32" t="str"/>
      <x:c r="H204" s="32" t="str"/>
      <x:c r="I204" s="32" t="str"/>
      <x:c r="J204" s="32" t="str"/>
      <x:c r="K204" s="32" t="str"/>
      <x:c r="L204" s="32" t="str">
        <x:f>IF(OR(H204="",I204="",J204="",K204=""),"",ROUND(H204*((I204+J204)/6)*K204,2))</x:f>
      </x:c>
      <x:c r="M204" s="32" t="str">
        <x:f>IF(L204="","",IF(AND(L204&gt;=3.5,H204=1),"Сильный признак",IF(AND(L204&gt;=2,H204=1),"Рабочий признак",IF(H204=1,"Слабый признак","Отсутствует"))))</x:f>
      </x:c>
      <x:c r="N204" s="32" t="str"/>
    </x:row>
    <x:row r="205">
      <x:c r="A205" s="32" t="str"/>
      <x:c r="B205" s="32" t="str"/>
      <x:c r="C205" s="32" t="str"/>
      <x:c r="D205" s="32" t="str"/>
      <x:c r="E205" s="32" t="str"/>
      <x:c r="F205" s="32" t="str"/>
      <x:c r="G205" s="32" t="str"/>
      <x:c r="H205" s="32" t="str"/>
      <x:c r="I205" s="32" t="str"/>
      <x:c r="J205" s="32" t="str"/>
      <x:c r="K205" s="32" t="str"/>
      <x:c r="L205" s="32" t="str">
        <x:f>IF(OR(H205="",I205="",J205="",K205=""),"",ROUND(H205*((I205+J205)/6)*K205,2))</x:f>
      </x:c>
      <x:c r="M205" s="32" t="str">
        <x:f>IF(L205="","",IF(AND(L205&gt;=3.5,H205=1),"Сильный признак",IF(AND(L205&gt;=2,H205=1),"Рабочий признак",IF(H205=1,"Слабый признак","Отсутствует"))))</x:f>
      </x:c>
      <x:c r="N205" s="32" t="str"/>
    </x:row>
    <x:row r="206">
      <x:c r="A206" s="32" t="str"/>
      <x:c r="B206" s="32" t="str"/>
      <x:c r="C206" s="32" t="str"/>
      <x:c r="D206" s="32" t="str"/>
      <x:c r="E206" s="32" t="str"/>
      <x:c r="F206" s="32" t="str"/>
      <x:c r="G206" s="32" t="str"/>
      <x:c r="H206" s="32" t="str"/>
      <x:c r="I206" s="32" t="str"/>
      <x:c r="J206" s="32" t="str"/>
      <x:c r="K206" s="32" t="str"/>
      <x:c r="L206" s="32" t="str">
        <x:f>IF(OR(H206="",I206="",J206="",K206=""),"",ROUND(H206*((I206+J206)/6)*K206,2))</x:f>
      </x:c>
      <x:c r="M206" s="32" t="str">
        <x:f>IF(L206="","",IF(AND(L206&gt;=3.5,H206=1),"Сильный признак",IF(AND(L206&gt;=2,H206=1),"Рабочий признак",IF(H206=1,"Слабый признак","Отсутствует"))))</x:f>
      </x:c>
      <x:c r="N206" s="32" t="str"/>
    </x:row>
    <x:row r="207">
      <x:c r="A207" s="32" t="str"/>
      <x:c r="B207" s="32" t="str"/>
      <x:c r="C207" s="32" t="str"/>
      <x:c r="D207" s="32" t="str"/>
      <x:c r="E207" s="32" t="str"/>
      <x:c r="F207" s="32" t="str"/>
      <x:c r="G207" s="32" t="str"/>
      <x:c r="H207" s="32" t="str"/>
      <x:c r="I207" s="32" t="str"/>
      <x:c r="J207" s="32" t="str"/>
      <x:c r="K207" s="32" t="str"/>
      <x:c r="L207" s="32" t="str">
        <x:f>IF(OR(H207="",I207="",J207="",K207=""),"",ROUND(H207*((I207+J207)/6)*K207,2))</x:f>
      </x:c>
      <x:c r="M207" s="32" t="str">
        <x:f>IF(L207="","",IF(AND(L207&gt;=3.5,H207=1),"Сильный признак",IF(AND(L207&gt;=2,H207=1),"Рабочий признак",IF(H207=1,"Слабый признак","Отсутствует"))))</x:f>
      </x:c>
      <x:c r="N207" s="32" t="str"/>
    </x:row>
    <x:row r="208">
      <x:c r="A208" s="32" t="str"/>
      <x:c r="B208" s="32" t="str"/>
      <x:c r="C208" s="32" t="str"/>
      <x:c r="D208" s="32" t="str"/>
      <x:c r="E208" s="32" t="str"/>
      <x:c r="F208" s="32" t="str"/>
      <x:c r="G208" s="32" t="str"/>
      <x:c r="H208" s="32" t="str"/>
      <x:c r="I208" s="32" t="str"/>
      <x:c r="J208" s="32" t="str"/>
      <x:c r="K208" s="32" t="str"/>
      <x:c r="L208" s="32" t="str">
        <x:f>IF(OR(H208="",I208="",J208="",K208=""),"",ROUND(H208*((I208+J208)/6)*K208,2))</x:f>
      </x:c>
      <x:c r="M208" s="32" t="str">
        <x:f>IF(L208="","",IF(AND(L208&gt;=3.5,H208=1),"Сильный признак",IF(AND(L208&gt;=2,H208=1),"Рабочий признак",IF(H208=1,"Слабый признак","Отсутствует"))))</x:f>
      </x:c>
      <x:c r="N208" s="32" t="str"/>
    </x:row>
    <x:row r="209">
      <x:c r="A209" s="32" t="str"/>
      <x:c r="B209" s="32" t="str"/>
      <x:c r="C209" s="32" t="str"/>
      <x:c r="D209" s="32" t="str"/>
      <x:c r="E209" s="32" t="str"/>
      <x:c r="F209" s="32" t="str"/>
      <x:c r="G209" s="32" t="str"/>
      <x:c r="H209" s="32" t="str"/>
      <x:c r="I209" s="32" t="str"/>
      <x:c r="J209" s="32" t="str"/>
      <x:c r="K209" s="32" t="str"/>
      <x:c r="L209" s="32" t="str">
        <x:f>IF(OR(H209="",I209="",J209="",K209=""),"",ROUND(H209*((I209+J209)/6)*K209,2))</x:f>
      </x:c>
      <x:c r="M209" s="32" t="str">
        <x:f>IF(L209="","",IF(AND(L209&gt;=3.5,H209=1),"Сильный признак",IF(AND(L209&gt;=2,H209=1),"Рабочий признак",IF(H209=1,"Слабый признак","Отсутствует"))))</x:f>
      </x:c>
      <x:c r="N209" s="32" t="str"/>
    </x:row>
    <x:row r="210">
      <x:c r="A210" s="32" t="str"/>
      <x:c r="B210" s="32" t="str"/>
      <x:c r="C210" s="32" t="str"/>
      <x:c r="D210" s="32" t="str"/>
      <x:c r="E210" s="32" t="str"/>
      <x:c r="F210" s="32" t="str"/>
      <x:c r="G210" s="32" t="str"/>
      <x:c r="H210" s="32" t="str"/>
      <x:c r="I210" s="32" t="str"/>
      <x:c r="J210" s="32" t="str"/>
      <x:c r="K210" s="32" t="str"/>
      <x:c r="L210" s="32" t="str">
        <x:f>IF(OR(H210="",I210="",J210="",K210=""),"",ROUND(H210*((I210+J210)/6)*K210,2))</x:f>
      </x:c>
      <x:c r="M210" s="32" t="str">
        <x:f>IF(L210="","",IF(AND(L210&gt;=3.5,H210=1),"Сильный признак",IF(AND(L210&gt;=2,H210=1),"Рабочий признак",IF(H210=1,"Слабый признак","Отсутствует"))))</x:f>
      </x:c>
      <x:c r="N210" s="32" t="str"/>
    </x:row>
    <x:row r="211">
      <x:c r="A211" s="32" t="str"/>
      <x:c r="B211" s="32" t="str"/>
      <x:c r="C211" s="32" t="str"/>
      <x:c r="D211" s="32" t="str"/>
      <x:c r="E211" s="32" t="str"/>
      <x:c r="F211" s="32" t="str"/>
      <x:c r="G211" s="32" t="str"/>
      <x:c r="H211" s="32" t="str"/>
      <x:c r="I211" s="32" t="str"/>
      <x:c r="J211" s="32" t="str"/>
      <x:c r="K211" s="32" t="str"/>
      <x:c r="L211" s="32" t="str">
        <x:f>IF(OR(H211="",I211="",J211="",K211=""),"",ROUND(H211*((I211+J211)/6)*K211,2))</x:f>
      </x:c>
      <x:c r="M211" s="32" t="str">
        <x:f>IF(L211="","",IF(AND(L211&gt;=3.5,H211=1),"Сильный признак",IF(AND(L211&gt;=2,H211=1),"Рабочий признак",IF(H211=1,"Слабый признак","Отсутствует"))))</x:f>
      </x:c>
      <x:c r="N211" s="32" t="str"/>
    </x:row>
    <x:row r="212">
      <x:c r="A212" s="32" t="str"/>
      <x:c r="B212" s="32" t="str"/>
      <x:c r="C212" s="32" t="str"/>
      <x:c r="D212" s="32" t="str"/>
      <x:c r="E212" s="32" t="str"/>
      <x:c r="F212" s="32" t="str"/>
      <x:c r="G212" s="32" t="str"/>
      <x:c r="H212" s="32" t="str"/>
      <x:c r="I212" s="32" t="str"/>
      <x:c r="J212" s="32" t="str"/>
      <x:c r="K212" s="32" t="str"/>
      <x:c r="L212" s="32" t="str">
        <x:f>IF(OR(H212="",I212="",J212="",K212=""),"",ROUND(H212*((I212+J212)/6)*K212,2))</x:f>
      </x:c>
      <x:c r="M212" s="32" t="str">
        <x:f>IF(L212="","",IF(AND(L212&gt;=3.5,H212=1),"Сильный признак",IF(AND(L212&gt;=2,H212=1),"Рабочий признак",IF(H212=1,"Слабый признак","Отсутствует"))))</x:f>
      </x:c>
      <x:c r="N212" s="32" t="str"/>
    </x:row>
    <x:row r="213">
      <x:c r="A213" s="32" t="str"/>
      <x:c r="B213" s="32" t="str"/>
      <x:c r="C213" s="32" t="str"/>
      <x:c r="D213" s="32" t="str"/>
      <x:c r="E213" s="32" t="str"/>
      <x:c r="F213" s="32" t="str"/>
      <x:c r="G213" s="32" t="str"/>
      <x:c r="H213" s="32" t="str"/>
      <x:c r="I213" s="32" t="str"/>
      <x:c r="J213" s="32" t="str"/>
      <x:c r="K213" s="32" t="str"/>
      <x:c r="L213" s="32" t="str">
        <x:f>IF(OR(H213="",I213="",J213="",K213=""),"",ROUND(H213*((I213+J213)/6)*K213,2))</x:f>
      </x:c>
      <x:c r="M213" s="32" t="str">
        <x:f>IF(L213="","",IF(AND(L213&gt;=3.5,H213=1),"Сильный признак",IF(AND(L213&gt;=2,H213=1),"Рабочий признак",IF(H213=1,"Слабый признак","Отсутствует"))))</x:f>
      </x:c>
      <x:c r="N213" s="32" t="str"/>
    </x:row>
    <x:row r="214">
      <x:c r="A214" s="32" t="str"/>
      <x:c r="B214" s="32" t="str"/>
      <x:c r="C214" s="32" t="str"/>
      <x:c r="D214" s="32" t="str"/>
      <x:c r="E214" s="32" t="str"/>
      <x:c r="F214" s="32" t="str"/>
      <x:c r="G214" s="32" t="str"/>
      <x:c r="H214" s="32" t="str"/>
      <x:c r="I214" s="32" t="str"/>
      <x:c r="J214" s="32" t="str"/>
      <x:c r="K214" s="32" t="str"/>
      <x:c r="L214" s="32" t="str">
        <x:f>IF(OR(H214="",I214="",J214="",K214=""),"",ROUND(H214*((I214+J214)/6)*K214,2))</x:f>
      </x:c>
      <x:c r="M214" s="32" t="str">
        <x:f>IF(L214="","",IF(AND(L214&gt;=3.5,H214=1),"Сильный признак",IF(AND(L214&gt;=2,H214=1),"Рабочий признак",IF(H214=1,"Слабый признак","Отсутствует"))))</x:f>
      </x:c>
      <x:c r="N214" s="32" t="str"/>
    </x:row>
    <x:row r="215">
      <x:c r="A215" s="32" t="str"/>
      <x:c r="B215" s="32" t="str"/>
      <x:c r="C215" s="32" t="str"/>
      <x:c r="D215" s="32" t="str"/>
      <x:c r="E215" s="32" t="str"/>
      <x:c r="F215" s="32" t="str"/>
      <x:c r="G215" s="32" t="str"/>
      <x:c r="H215" s="32" t="str"/>
      <x:c r="I215" s="32" t="str"/>
      <x:c r="J215" s="32" t="str"/>
      <x:c r="K215" s="32" t="str"/>
      <x:c r="L215" s="32" t="str">
        <x:f>IF(OR(H215="",I215="",J215="",K215=""),"",ROUND(H215*((I215+J215)/6)*K215,2))</x:f>
      </x:c>
      <x:c r="M215" s="32" t="str">
        <x:f>IF(L215="","",IF(AND(L215&gt;=3.5,H215=1),"Сильный признак",IF(AND(L215&gt;=2,H215=1),"Рабочий признак",IF(H215=1,"Слабый признак","Отсутствует"))))</x:f>
      </x:c>
      <x:c r="N215" s="32" t="str"/>
    </x:row>
    <x:row r="216">
      <x:c r="A216" s="32" t="str"/>
      <x:c r="B216" s="32" t="str"/>
      <x:c r="C216" s="32" t="str"/>
      <x:c r="D216" s="32" t="str"/>
      <x:c r="E216" s="32" t="str"/>
      <x:c r="F216" s="32" t="str"/>
      <x:c r="G216" s="32" t="str"/>
      <x:c r="H216" s="32" t="str"/>
      <x:c r="I216" s="32" t="str"/>
      <x:c r="J216" s="32" t="str"/>
      <x:c r="K216" s="32" t="str"/>
      <x:c r="L216" s="32" t="str">
        <x:f>IF(OR(H216="",I216="",J216="",K216=""),"",ROUND(H216*((I216+J216)/6)*K216,2))</x:f>
      </x:c>
      <x:c r="M216" s="32" t="str">
        <x:f>IF(L216="","",IF(AND(L216&gt;=3.5,H216=1),"Сильный признак",IF(AND(L216&gt;=2,H216=1),"Рабочий признак",IF(H216=1,"Слабый признак","Отсутствует"))))</x:f>
      </x:c>
      <x:c r="N216" s="32" t="str"/>
    </x:row>
    <x:row r="217">
      <x:c r="A217" s="32" t="str"/>
      <x:c r="B217" s="32" t="str"/>
      <x:c r="C217" s="32" t="str"/>
      <x:c r="D217" s="32" t="str"/>
      <x:c r="E217" s="32" t="str"/>
      <x:c r="F217" s="32" t="str"/>
      <x:c r="G217" s="32" t="str"/>
      <x:c r="H217" s="32" t="str"/>
      <x:c r="I217" s="32" t="str"/>
      <x:c r="J217" s="32" t="str"/>
      <x:c r="K217" s="32" t="str"/>
      <x:c r="L217" s="32" t="str">
        <x:f>IF(OR(H217="",I217="",J217="",K217=""),"",ROUND(H217*((I217+J217)/6)*K217,2))</x:f>
      </x:c>
      <x:c r="M217" s="32" t="str">
        <x:f>IF(L217="","",IF(AND(L217&gt;=3.5,H217=1),"Сильный признак",IF(AND(L217&gt;=2,H217=1),"Рабочий признак",IF(H217=1,"Слабый признак","Отсутствует"))))</x:f>
      </x:c>
      <x:c r="N217" s="32" t="str"/>
    </x:row>
    <x:row r="218">
      <x:c r="A218" s="32" t="str"/>
      <x:c r="B218" s="32" t="str"/>
      <x:c r="C218" s="32" t="str"/>
      <x:c r="D218" s="32" t="str"/>
      <x:c r="E218" s="32" t="str"/>
      <x:c r="F218" s="32" t="str"/>
      <x:c r="G218" s="32" t="str"/>
      <x:c r="H218" s="32" t="str"/>
      <x:c r="I218" s="32" t="str"/>
      <x:c r="J218" s="32" t="str"/>
      <x:c r="K218" s="32" t="str"/>
      <x:c r="L218" s="32" t="str">
        <x:f>IF(OR(H218="",I218="",J218="",K218=""),"",ROUND(H218*((I218+J218)/6)*K218,2))</x:f>
      </x:c>
      <x:c r="M218" s="32" t="str">
        <x:f>IF(L218="","",IF(AND(L218&gt;=3.5,H218=1),"Сильный признак",IF(AND(L218&gt;=2,H218=1),"Рабочий признак",IF(H218=1,"Слабый признак","Отсутствует"))))</x:f>
      </x:c>
      <x:c r="N218" s="32" t="str"/>
    </x:row>
    <x:row r="219">
      <x:c r="A219" s="32" t="str"/>
      <x:c r="B219" s="32" t="str"/>
      <x:c r="C219" s="32" t="str"/>
      <x:c r="D219" s="32" t="str"/>
      <x:c r="E219" s="32" t="str"/>
      <x:c r="F219" s="32" t="str"/>
      <x:c r="G219" s="32" t="str"/>
      <x:c r="H219" s="32" t="str"/>
      <x:c r="I219" s="32" t="str"/>
      <x:c r="J219" s="32" t="str"/>
      <x:c r="K219" s="32" t="str"/>
      <x:c r="L219" s="32" t="str">
        <x:f>IF(OR(H219="",I219="",J219="",K219=""),"",ROUND(H219*((I219+J219)/6)*K219,2))</x:f>
      </x:c>
      <x:c r="M219" s="32" t="str">
        <x:f>IF(L219="","",IF(AND(L219&gt;=3.5,H219=1),"Сильный признак",IF(AND(L219&gt;=2,H219=1),"Рабочий признак",IF(H219=1,"Слабый признак","Отсутствует"))))</x:f>
      </x:c>
      <x:c r="N219" s="32" t="str"/>
    </x:row>
    <x:row r="220">
      <x:c r="A220" s="32" t="str"/>
      <x:c r="B220" s="32" t="str"/>
      <x:c r="C220" s="32" t="str"/>
      <x:c r="D220" s="32" t="str"/>
      <x:c r="E220" s="32" t="str"/>
      <x:c r="F220" s="32" t="str"/>
      <x:c r="G220" s="32" t="str"/>
      <x:c r="H220" s="32" t="str"/>
      <x:c r="I220" s="32" t="str"/>
      <x:c r="J220" s="32" t="str"/>
      <x:c r="K220" s="32" t="str"/>
      <x:c r="L220" s="32" t="str">
        <x:f>IF(OR(H220="",I220="",J220="",K220=""),"",ROUND(H220*((I220+J220)/6)*K220,2))</x:f>
      </x:c>
      <x:c r="M220" s="32" t="str">
        <x:f>IF(L220="","",IF(AND(L220&gt;=3.5,H220=1),"Сильный признак",IF(AND(L220&gt;=2,H220=1),"Рабочий признак",IF(H220=1,"Слабый признак","Отсутствует"))))</x:f>
      </x:c>
      <x:c r="N220" s="32" t="str"/>
    </x:row>
    <x:row r="221">
      <x:c r="A221" s="32" t="str"/>
      <x:c r="B221" s="32" t="str"/>
      <x:c r="C221" s="32" t="str"/>
      <x:c r="D221" s="32" t="str"/>
      <x:c r="E221" s="32" t="str"/>
      <x:c r="F221" s="32" t="str"/>
      <x:c r="G221" s="32" t="str"/>
      <x:c r="H221" s="32" t="str"/>
      <x:c r="I221" s="32" t="str"/>
      <x:c r="J221" s="32" t="str"/>
      <x:c r="K221" s="32" t="str"/>
      <x:c r="L221" s="32" t="str">
        <x:f>IF(OR(H221="",I221="",J221="",K221=""),"",ROUND(H221*((I221+J221)/6)*K221,2))</x:f>
      </x:c>
      <x:c r="M221" s="32" t="str">
        <x:f>IF(L221="","",IF(AND(L221&gt;=3.5,H221=1),"Сильный признак",IF(AND(L221&gt;=2,H221=1),"Рабочий признак",IF(H221=1,"Слабый признак","Отсутствует"))))</x:f>
      </x:c>
      <x:c r="N221" s="32" t="str"/>
    </x:row>
    <x:row r="222">
      <x:c r="A222" s="32" t="str"/>
      <x:c r="B222" s="32" t="str"/>
      <x:c r="C222" s="32" t="str"/>
      <x:c r="D222" s="32" t="str"/>
      <x:c r="E222" s="32" t="str"/>
      <x:c r="F222" s="32" t="str"/>
      <x:c r="G222" s="32" t="str"/>
      <x:c r="H222" s="32" t="str"/>
      <x:c r="I222" s="32" t="str"/>
      <x:c r="J222" s="32" t="str"/>
      <x:c r="K222" s="32" t="str"/>
      <x:c r="L222" s="32" t="str">
        <x:f>IF(OR(H222="",I222="",J222="",K222=""),"",ROUND(H222*((I222+J222)/6)*K222,2))</x:f>
      </x:c>
      <x:c r="M222" s="32" t="str">
        <x:f>IF(L222="","",IF(AND(L222&gt;=3.5,H222=1),"Сильный признак",IF(AND(L222&gt;=2,H222=1),"Рабочий признак",IF(H222=1,"Слабый признак","Отсутствует"))))</x:f>
      </x:c>
      <x:c r="N222" s="32" t="str"/>
    </x:row>
    <x:row r="223">
      <x:c r="A223" s="32" t="str"/>
      <x:c r="B223" s="32" t="str"/>
      <x:c r="C223" s="32" t="str"/>
      <x:c r="D223" s="32" t="str"/>
      <x:c r="E223" s="32" t="str"/>
      <x:c r="F223" s="32" t="str"/>
      <x:c r="G223" s="32" t="str"/>
      <x:c r="H223" s="32" t="str"/>
      <x:c r="I223" s="32" t="str"/>
      <x:c r="J223" s="32" t="str"/>
      <x:c r="K223" s="32" t="str"/>
      <x:c r="L223" s="32" t="str">
        <x:f>IF(OR(H223="",I223="",J223="",K223=""),"",ROUND(H223*((I223+J223)/6)*K223,2))</x:f>
      </x:c>
      <x:c r="M223" s="32" t="str">
        <x:f>IF(L223="","",IF(AND(L223&gt;=3.5,H223=1),"Сильный признак",IF(AND(L223&gt;=2,H223=1),"Рабочий признак",IF(H223=1,"Слабый признак","Отсутствует"))))</x:f>
      </x:c>
      <x:c r="N223" s="32" t="str"/>
    </x:row>
    <x:row r="224">
      <x:c r="A224" s="32" t="str"/>
      <x:c r="B224" s="32" t="str"/>
      <x:c r="C224" s="32" t="str"/>
      <x:c r="D224" s="32" t="str"/>
      <x:c r="E224" s="32" t="str"/>
      <x:c r="F224" s="32" t="str"/>
      <x:c r="G224" s="32" t="str"/>
      <x:c r="H224" s="32" t="str"/>
      <x:c r="I224" s="32" t="str"/>
      <x:c r="J224" s="32" t="str"/>
      <x:c r="K224" s="32" t="str"/>
      <x:c r="L224" s="32" t="str">
        <x:f>IF(OR(H224="",I224="",J224="",K224=""),"",ROUND(H224*((I224+J224)/6)*K224,2))</x:f>
      </x:c>
      <x:c r="M224" s="32" t="str">
        <x:f>IF(L224="","",IF(AND(L224&gt;=3.5,H224=1),"Сильный признак",IF(AND(L224&gt;=2,H224=1),"Рабочий признак",IF(H224=1,"Слабый признак","Отсутствует"))))</x:f>
      </x:c>
      <x:c r="N224" s="32" t="str"/>
    </x:row>
    <x:row r="225">
      <x:c r="A225" s="32" t="str"/>
      <x:c r="B225" s="32" t="str"/>
      <x:c r="C225" s="32" t="str"/>
      <x:c r="D225" s="32" t="str"/>
      <x:c r="E225" s="32" t="str"/>
      <x:c r="F225" s="32" t="str"/>
      <x:c r="G225" s="32" t="str"/>
      <x:c r="H225" s="32" t="str"/>
      <x:c r="I225" s="32" t="str"/>
      <x:c r="J225" s="32" t="str"/>
      <x:c r="K225" s="32" t="str"/>
      <x:c r="L225" s="32" t="str">
        <x:f>IF(OR(H225="",I225="",J225="",K225=""),"",ROUND(H225*((I225+J225)/6)*K225,2))</x:f>
      </x:c>
      <x:c r="M225" s="32" t="str">
        <x:f>IF(L225="","",IF(AND(L225&gt;=3.5,H225=1),"Сильный признак",IF(AND(L225&gt;=2,H225=1),"Рабочий признак",IF(H225=1,"Слабый признак","Отсутствует"))))</x:f>
      </x:c>
      <x:c r="N225" s="32" t="str"/>
    </x:row>
    <x:row r="226">
      <x:c r="A226" s="32" t="str"/>
      <x:c r="B226" s="32" t="str"/>
      <x:c r="C226" s="32" t="str"/>
      <x:c r="D226" s="32" t="str"/>
      <x:c r="E226" s="32" t="str"/>
      <x:c r="F226" s="32" t="str"/>
      <x:c r="G226" s="32" t="str"/>
      <x:c r="H226" s="32" t="str"/>
      <x:c r="I226" s="32" t="str"/>
      <x:c r="J226" s="32" t="str"/>
      <x:c r="K226" s="32" t="str"/>
      <x:c r="L226" s="32" t="str">
        <x:f>IF(OR(H226="",I226="",J226="",K226=""),"",ROUND(H226*((I226+J226)/6)*K226,2))</x:f>
      </x:c>
      <x:c r="M226" s="32" t="str">
        <x:f>IF(L226="","",IF(AND(L226&gt;=3.5,H226=1),"Сильный признак",IF(AND(L226&gt;=2,H226=1),"Рабочий признак",IF(H226=1,"Слабый признак","Отсутствует"))))</x:f>
      </x:c>
      <x:c r="N226" s="32" t="str"/>
    </x:row>
    <x:row r="227">
      <x:c r="A227" s="32" t="str"/>
      <x:c r="B227" s="32" t="str"/>
      <x:c r="C227" s="32" t="str"/>
      <x:c r="D227" s="32" t="str"/>
      <x:c r="E227" s="32" t="str"/>
      <x:c r="F227" s="32" t="str"/>
      <x:c r="G227" s="32" t="str"/>
      <x:c r="H227" s="32" t="str"/>
      <x:c r="I227" s="32" t="str"/>
      <x:c r="J227" s="32" t="str"/>
      <x:c r="K227" s="32" t="str"/>
      <x:c r="L227" s="32" t="str">
        <x:f>IF(OR(H227="",I227="",J227="",K227=""),"",ROUND(H227*((I227+J227)/6)*K227,2))</x:f>
      </x:c>
      <x:c r="M227" s="32" t="str">
        <x:f>IF(L227="","",IF(AND(L227&gt;=3.5,H227=1),"Сильный признак",IF(AND(L227&gt;=2,H227=1),"Рабочий признак",IF(H227=1,"Слабый признак","Отсутствует"))))</x:f>
      </x:c>
      <x:c r="N227" s="32" t="str"/>
    </x:row>
    <x:row r="228">
      <x:c r="A228" s="32" t="str"/>
      <x:c r="B228" s="32" t="str"/>
      <x:c r="C228" s="32" t="str"/>
      <x:c r="D228" s="32" t="str"/>
      <x:c r="E228" s="32" t="str"/>
      <x:c r="F228" s="32" t="str"/>
      <x:c r="G228" s="32" t="str"/>
      <x:c r="H228" s="32" t="str"/>
      <x:c r="I228" s="32" t="str"/>
      <x:c r="J228" s="32" t="str"/>
      <x:c r="K228" s="32" t="str"/>
      <x:c r="L228" s="32" t="str">
        <x:f>IF(OR(H228="",I228="",J228="",K228=""),"",ROUND(H228*((I228+J228)/6)*K228,2))</x:f>
      </x:c>
      <x:c r="M228" s="32" t="str">
        <x:f>IF(L228="","",IF(AND(L228&gt;=3.5,H228=1),"Сильный признак",IF(AND(L228&gt;=2,H228=1),"Рабочий признак",IF(H228=1,"Слабый признак","Отсутствует"))))</x:f>
      </x:c>
      <x:c r="N228" s="32" t="str"/>
    </x:row>
    <x:row r="229">
      <x:c r="A229" s="32" t="str"/>
      <x:c r="B229" s="32" t="str"/>
      <x:c r="C229" s="32" t="str"/>
      <x:c r="D229" s="32" t="str"/>
      <x:c r="E229" s="32" t="str"/>
      <x:c r="F229" s="32" t="str"/>
      <x:c r="G229" s="32" t="str"/>
      <x:c r="H229" s="32" t="str"/>
      <x:c r="I229" s="32" t="str"/>
      <x:c r="J229" s="32" t="str"/>
      <x:c r="K229" s="32" t="str"/>
      <x:c r="L229" s="32" t="str">
        <x:f>IF(OR(H229="",I229="",J229="",K229=""),"",ROUND(H229*((I229+J229)/6)*K229,2))</x:f>
      </x:c>
      <x:c r="M229" s="32" t="str">
        <x:f>IF(L229="","",IF(AND(L229&gt;=3.5,H229=1),"Сильный признак",IF(AND(L229&gt;=2,H229=1),"Рабочий признак",IF(H229=1,"Слабый признак","Отсутствует"))))</x:f>
      </x:c>
      <x:c r="N229" s="32" t="str"/>
    </x:row>
    <x:row r="230">
      <x:c r="A230" s="32" t="str"/>
      <x:c r="B230" s="32" t="str"/>
      <x:c r="C230" s="32" t="str"/>
      <x:c r="D230" s="32" t="str"/>
      <x:c r="E230" s="32" t="str"/>
      <x:c r="F230" s="32" t="str"/>
      <x:c r="G230" s="32" t="str"/>
      <x:c r="H230" s="32" t="str"/>
      <x:c r="I230" s="32" t="str"/>
      <x:c r="J230" s="32" t="str"/>
      <x:c r="K230" s="32" t="str"/>
      <x:c r="L230" s="32" t="str">
        <x:f>IF(OR(H230="",I230="",J230="",K230=""),"",ROUND(H230*((I230+J230)/6)*K230,2))</x:f>
      </x:c>
      <x:c r="M230" s="32" t="str">
        <x:f>IF(L230="","",IF(AND(L230&gt;=3.5,H230=1),"Сильный признак",IF(AND(L230&gt;=2,H230=1),"Рабочий признак",IF(H230=1,"Слабый признак","Отсутствует"))))</x:f>
      </x:c>
      <x:c r="N230" s="32" t="str"/>
    </x:row>
    <x:row r="231">
      <x:c r="A231" s="32" t="str"/>
      <x:c r="B231" s="32" t="str"/>
      <x:c r="C231" s="32" t="str"/>
      <x:c r="D231" s="32" t="str"/>
      <x:c r="E231" s="32" t="str"/>
      <x:c r="F231" s="32" t="str"/>
      <x:c r="G231" s="32" t="str"/>
      <x:c r="H231" s="32" t="str"/>
      <x:c r="I231" s="32" t="str"/>
      <x:c r="J231" s="32" t="str"/>
      <x:c r="K231" s="32" t="str"/>
      <x:c r="L231" s="32" t="str">
        <x:f>IF(OR(H231="",I231="",J231="",K231=""),"",ROUND(H231*((I231+J231)/6)*K231,2))</x:f>
      </x:c>
      <x:c r="M231" s="32" t="str">
        <x:f>IF(L231="","",IF(AND(L231&gt;=3.5,H231=1),"Сильный признак",IF(AND(L231&gt;=2,H231=1),"Рабочий признак",IF(H231=1,"Слабый признак","Отсутствует"))))</x:f>
      </x:c>
      <x:c r="N231" s="32" t="str"/>
    </x:row>
    <x:row r="232">
      <x:c r="A232" s="32" t="str"/>
      <x:c r="B232" s="32" t="str"/>
      <x:c r="C232" s="32" t="str"/>
      <x:c r="D232" s="32" t="str"/>
      <x:c r="E232" s="32" t="str"/>
      <x:c r="F232" s="32" t="str"/>
      <x:c r="G232" s="32" t="str"/>
      <x:c r="H232" s="32" t="str"/>
      <x:c r="I232" s="32" t="str"/>
      <x:c r="J232" s="32" t="str"/>
      <x:c r="K232" s="32" t="str"/>
      <x:c r="L232" s="32" t="str">
        <x:f>IF(OR(H232="",I232="",J232="",K232=""),"",ROUND(H232*((I232+J232)/6)*K232,2))</x:f>
      </x:c>
      <x:c r="M232" s="32" t="str">
        <x:f>IF(L232="","",IF(AND(L232&gt;=3.5,H232=1),"Сильный признак",IF(AND(L232&gt;=2,H232=1),"Рабочий признак",IF(H232=1,"Слабый признак","Отсутствует"))))</x:f>
      </x:c>
      <x:c r="N232" s="32" t="str"/>
    </x:row>
    <x:row r="233">
      <x:c r="A233" s="32" t="str"/>
      <x:c r="B233" s="32" t="str"/>
      <x:c r="C233" s="32" t="str"/>
      <x:c r="D233" s="32" t="str"/>
      <x:c r="E233" s="32" t="str"/>
      <x:c r="F233" s="32" t="str"/>
      <x:c r="G233" s="32" t="str"/>
      <x:c r="H233" s="32" t="str"/>
      <x:c r="I233" s="32" t="str"/>
      <x:c r="J233" s="32" t="str"/>
      <x:c r="K233" s="32" t="str"/>
      <x:c r="L233" s="32" t="str">
        <x:f>IF(OR(H233="",I233="",J233="",K233=""),"",ROUND(H233*((I233+J233)/6)*K233,2))</x:f>
      </x:c>
      <x:c r="M233" s="32" t="str">
        <x:f>IF(L233="","",IF(AND(L233&gt;=3.5,H233=1),"Сильный признак",IF(AND(L233&gt;=2,H233=1),"Рабочий признак",IF(H233=1,"Слабый признак","Отсутствует"))))</x:f>
      </x:c>
      <x:c r="N233" s="32" t="str"/>
    </x:row>
    <x:row r="234">
      <x:c r="A234" s="32" t="str"/>
      <x:c r="B234" s="32" t="str"/>
      <x:c r="C234" s="32" t="str"/>
      <x:c r="D234" s="32" t="str"/>
      <x:c r="E234" s="32" t="str"/>
      <x:c r="F234" s="32" t="str"/>
      <x:c r="G234" s="32" t="str"/>
      <x:c r="H234" s="32" t="str"/>
      <x:c r="I234" s="32" t="str"/>
      <x:c r="J234" s="32" t="str"/>
      <x:c r="K234" s="32" t="str"/>
      <x:c r="L234" s="32" t="str">
        <x:f>IF(OR(H234="",I234="",J234="",K234=""),"",ROUND(H234*((I234+J234)/6)*K234,2))</x:f>
      </x:c>
      <x:c r="M234" s="32" t="str">
        <x:f>IF(L234="","",IF(AND(L234&gt;=3.5,H234=1),"Сильный признак",IF(AND(L234&gt;=2,H234=1),"Рабочий признак",IF(H234=1,"Слабый признак","Отсутствует"))))</x:f>
      </x:c>
      <x:c r="N234" s="32" t="str"/>
    </x:row>
    <x:row r="235">
      <x:c r="A235" s="32" t="str"/>
      <x:c r="B235" s="32" t="str"/>
      <x:c r="C235" s="32" t="str"/>
      <x:c r="D235" s="32" t="str"/>
      <x:c r="E235" s="32" t="str"/>
      <x:c r="F235" s="32" t="str"/>
      <x:c r="G235" s="32" t="str"/>
      <x:c r="H235" s="32" t="str"/>
      <x:c r="I235" s="32" t="str"/>
      <x:c r="J235" s="32" t="str"/>
      <x:c r="K235" s="32" t="str"/>
      <x:c r="L235" s="32" t="str">
        <x:f>IF(OR(H235="",I235="",J235="",K235=""),"",ROUND(H235*((I235+J235)/6)*K235,2))</x:f>
      </x:c>
      <x:c r="M235" s="32" t="str">
        <x:f>IF(L235="","",IF(AND(L235&gt;=3.5,H235=1),"Сильный признак",IF(AND(L235&gt;=2,H235=1),"Рабочий признак",IF(H235=1,"Слабый признак","Отсутствует"))))</x:f>
      </x:c>
      <x:c r="N235" s="32" t="str"/>
    </x:row>
    <x:row r="236">
      <x:c r="A236" s="32" t="str"/>
      <x:c r="B236" s="32" t="str"/>
      <x:c r="C236" s="32" t="str"/>
      <x:c r="D236" s="32" t="str"/>
      <x:c r="E236" s="32" t="str"/>
      <x:c r="F236" s="32" t="str"/>
      <x:c r="G236" s="32" t="str"/>
      <x:c r="H236" s="32" t="str"/>
      <x:c r="I236" s="32" t="str"/>
      <x:c r="J236" s="32" t="str"/>
      <x:c r="K236" s="32" t="str"/>
      <x:c r="L236" s="32" t="str">
        <x:f>IF(OR(H236="",I236="",J236="",K236=""),"",ROUND(H236*((I236+J236)/6)*K236,2))</x:f>
      </x:c>
      <x:c r="M236" s="32" t="str">
        <x:f>IF(L236="","",IF(AND(L236&gt;=3.5,H236=1),"Сильный признак",IF(AND(L236&gt;=2,H236=1),"Рабочий признак",IF(H236=1,"Слабый признак","Отсутствует"))))</x:f>
      </x:c>
      <x:c r="N236" s="32" t="str"/>
    </x:row>
    <x:row r="237">
      <x:c r="A237" s="32" t="str"/>
      <x:c r="B237" s="32" t="str"/>
      <x:c r="C237" s="32" t="str"/>
      <x:c r="D237" s="32" t="str"/>
      <x:c r="E237" s="32" t="str"/>
      <x:c r="F237" s="32" t="str"/>
      <x:c r="G237" s="32" t="str"/>
      <x:c r="H237" s="32" t="str"/>
      <x:c r="I237" s="32" t="str"/>
      <x:c r="J237" s="32" t="str"/>
      <x:c r="K237" s="32" t="str"/>
      <x:c r="L237" s="32" t="str">
        <x:f>IF(OR(H237="",I237="",J237="",K237=""),"",ROUND(H237*((I237+J237)/6)*K237,2))</x:f>
      </x:c>
      <x:c r="M237" s="32" t="str">
        <x:f>IF(L237="","",IF(AND(L237&gt;=3.5,H237=1),"Сильный признак",IF(AND(L237&gt;=2,H237=1),"Рабочий признак",IF(H237=1,"Слабый признак","Отсутствует"))))</x:f>
      </x:c>
      <x:c r="N237" s="32" t="str"/>
    </x:row>
    <x:row r="238">
      <x:c r="A238" s="32" t="str"/>
      <x:c r="B238" s="32" t="str"/>
      <x:c r="C238" s="32" t="str"/>
      <x:c r="D238" s="32" t="str"/>
      <x:c r="E238" s="32" t="str"/>
      <x:c r="F238" s="32" t="str"/>
      <x:c r="G238" s="32" t="str"/>
      <x:c r="H238" s="32" t="str"/>
      <x:c r="I238" s="32" t="str"/>
      <x:c r="J238" s="32" t="str"/>
      <x:c r="K238" s="32" t="str"/>
      <x:c r="L238" s="32" t="str">
        <x:f>IF(OR(H238="",I238="",J238="",K238=""),"",ROUND(H238*((I238+J238)/6)*K238,2))</x:f>
      </x:c>
      <x:c r="M238" s="32" t="str">
        <x:f>IF(L238="","",IF(AND(L238&gt;=3.5,H238=1),"Сильный признак",IF(AND(L238&gt;=2,H238=1),"Рабочий признак",IF(H238=1,"Слабый признак","Отсутствует"))))</x:f>
      </x:c>
      <x:c r="N238" s="32" t="str"/>
    </x:row>
    <x:row r="239">
      <x:c r="A239" s="32" t="str"/>
      <x:c r="B239" s="32" t="str"/>
      <x:c r="C239" s="32" t="str"/>
      <x:c r="D239" s="32" t="str"/>
      <x:c r="E239" s="32" t="str"/>
      <x:c r="F239" s="32" t="str"/>
      <x:c r="G239" s="32" t="str"/>
      <x:c r="H239" s="32" t="str"/>
      <x:c r="I239" s="32" t="str"/>
      <x:c r="J239" s="32" t="str"/>
      <x:c r="K239" s="32" t="str"/>
      <x:c r="L239" s="32" t="str">
        <x:f>IF(OR(H239="",I239="",J239="",K239=""),"",ROUND(H239*((I239+J239)/6)*K239,2))</x:f>
      </x:c>
      <x:c r="M239" s="32" t="str">
        <x:f>IF(L239="","",IF(AND(L239&gt;=3.5,H239=1),"Сильный признак",IF(AND(L239&gt;=2,H239=1),"Рабочий признак",IF(H239=1,"Слабый признак","Отсутствует"))))</x:f>
      </x:c>
      <x:c r="N239" s="32" t="str"/>
    </x:row>
    <x:row r="240">
      <x:c r="A240" s="32" t="str"/>
      <x:c r="B240" s="32" t="str"/>
      <x:c r="C240" s="32" t="str"/>
      <x:c r="D240" s="32" t="str"/>
      <x:c r="E240" s="32" t="str"/>
      <x:c r="F240" s="32" t="str"/>
      <x:c r="G240" s="32" t="str"/>
      <x:c r="H240" s="32" t="str"/>
      <x:c r="I240" s="32" t="str"/>
      <x:c r="J240" s="32" t="str"/>
      <x:c r="K240" s="32" t="str"/>
      <x:c r="L240" s="32" t="str">
        <x:f>IF(OR(H240="",I240="",J240="",K240=""),"",ROUND(H240*((I240+J240)/6)*K240,2))</x:f>
      </x:c>
      <x:c r="M240" s="32" t="str">
        <x:f>IF(L240="","",IF(AND(L240&gt;=3.5,H240=1),"Сильный признак",IF(AND(L240&gt;=2,H240=1),"Рабочий признак",IF(H240=1,"Слабый признак","Отсутствует"))))</x:f>
      </x:c>
      <x:c r="N240" s="32" t="str"/>
    </x:row>
    <x:row r="241">
      <x:c r="A241" s="32" t="str"/>
      <x:c r="B241" s="32" t="str"/>
      <x:c r="C241" s="32" t="str"/>
      <x:c r="D241" s="32" t="str"/>
      <x:c r="E241" s="32" t="str"/>
      <x:c r="F241" s="32" t="str"/>
      <x:c r="G241" s="32" t="str"/>
      <x:c r="H241" s="32" t="str"/>
      <x:c r="I241" s="32" t="str"/>
      <x:c r="J241" s="32" t="str"/>
      <x:c r="K241" s="32" t="str"/>
      <x:c r="L241" s="32" t="str">
        <x:f>IF(OR(H241="",I241="",J241="",K241=""),"",ROUND(H241*((I241+J241)/6)*K241,2))</x:f>
      </x:c>
      <x:c r="M241" s="32" t="str">
        <x:f>IF(L241="","",IF(AND(L241&gt;=3.5,H241=1),"Сильный признак",IF(AND(L241&gt;=2,H241=1),"Рабочий признак",IF(H241=1,"Слабый признак","Отсутствует"))))</x:f>
      </x:c>
      <x:c r="N241" s="32" t="str"/>
    </x:row>
    <x:row r="242">
      <x:c r="A242" s="32" t="str"/>
      <x:c r="B242" s="32" t="str"/>
      <x:c r="C242" s="32" t="str"/>
      <x:c r="D242" s="32" t="str"/>
      <x:c r="E242" s="32" t="str"/>
      <x:c r="F242" s="32" t="str"/>
      <x:c r="G242" s="32" t="str"/>
      <x:c r="H242" s="32" t="str"/>
      <x:c r="I242" s="32" t="str"/>
      <x:c r="J242" s="32" t="str"/>
      <x:c r="K242" s="32" t="str"/>
      <x:c r="L242" s="32" t="str">
        <x:f>IF(OR(H242="",I242="",J242="",K242=""),"",ROUND(H242*((I242+J242)/6)*K242,2))</x:f>
      </x:c>
      <x:c r="M242" s="32" t="str">
        <x:f>IF(L242="","",IF(AND(L242&gt;=3.5,H242=1),"Сильный признак",IF(AND(L242&gt;=2,H242=1),"Рабочий признак",IF(H242=1,"Слабый признак","Отсутствует"))))</x:f>
      </x:c>
      <x:c r="N242" s="32" t="str"/>
    </x:row>
    <x:row r="243">
      <x:c r="A243" s="32" t="str"/>
      <x:c r="B243" s="32" t="str"/>
      <x:c r="C243" s="32" t="str"/>
      <x:c r="D243" s="32" t="str"/>
      <x:c r="E243" s="32" t="str"/>
      <x:c r="F243" s="32" t="str"/>
      <x:c r="G243" s="32" t="str"/>
      <x:c r="H243" s="32" t="str"/>
      <x:c r="I243" s="32" t="str"/>
      <x:c r="J243" s="32" t="str"/>
      <x:c r="K243" s="32" t="str"/>
      <x:c r="L243" s="32" t="str">
        <x:f>IF(OR(H243="",I243="",J243="",K243=""),"",ROUND(H243*((I243+J243)/6)*K243,2))</x:f>
      </x:c>
      <x:c r="M243" s="32" t="str">
        <x:f>IF(L243="","",IF(AND(L243&gt;=3.5,H243=1),"Сильный признак",IF(AND(L243&gt;=2,H243=1),"Рабочий признак",IF(H243=1,"Слабый признак","Отсутствует"))))</x:f>
      </x:c>
      <x:c r="N243" s="32" t="str"/>
    </x:row>
    <x:row r="244">
      <x:c r="A244" s="32" t="str"/>
      <x:c r="B244" s="32" t="str"/>
      <x:c r="C244" s="32" t="str"/>
      <x:c r="D244" s="32" t="str"/>
      <x:c r="E244" s="32" t="str"/>
      <x:c r="F244" s="32" t="str"/>
      <x:c r="G244" s="32" t="str"/>
      <x:c r="H244" s="32" t="str"/>
      <x:c r="I244" s="32" t="str"/>
      <x:c r="J244" s="32" t="str"/>
      <x:c r="K244" s="32" t="str"/>
      <x:c r="L244" s="32" t="str">
        <x:f>IF(OR(H244="",I244="",J244="",K244=""),"",ROUND(H244*((I244+J244)/6)*K244,2))</x:f>
      </x:c>
      <x:c r="M244" s="32" t="str">
        <x:f>IF(L244="","",IF(AND(L244&gt;=3.5,H244=1),"Сильный признак",IF(AND(L244&gt;=2,H244=1),"Рабочий признак",IF(H244=1,"Слабый признак","Отсутствует"))))</x:f>
      </x:c>
      <x:c r="N244" s="32" t="str"/>
    </x:row>
    <x:row r="245">
      <x:c r="A245" s="32" t="str"/>
      <x:c r="B245" s="32" t="str"/>
      <x:c r="C245" s="32" t="str"/>
      <x:c r="D245" s="32" t="str"/>
      <x:c r="E245" s="32" t="str"/>
      <x:c r="F245" s="32" t="str"/>
      <x:c r="G245" s="32" t="str"/>
      <x:c r="H245" s="32" t="str"/>
      <x:c r="I245" s="32" t="str"/>
      <x:c r="J245" s="32" t="str"/>
      <x:c r="K245" s="32" t="str"/>
      <x:c r="L245" s="32" t="str">
        <x:f>IF(OR(H245="",I245="",J245="",K245=""),"",ROUND(H245*((I245+J245)/6)*K245,2))</x:f>
      </x:c>
      <x:c r="M245" s="32" t="str">
        <x:f>IF(L245="","",IF(AND(L245&gt;=3.5,H245=1),"Сильный признак",IF(AND(L245&gt;=2,H245=1),"Рабочий признак",IF(H245=1,"Слабый признак","Отсутствует"))))</x:f>
      </x:c>
      <x:c r="N245" s="32" t="str"/>
    </x:row>
    <x:row r="246">
      <x:c r="A246" s="32" t="str"/>
      <x:c r="B246" s="32" t="str"/>
      <x:c r="C246" s="32" t="str"/>
      <x:c r="D246" s="32" t="str"/>
      <x:c r="E246" s="32" t="str"/>
      <x:c r="F246" s="32" t="str"/>
      <x:c r="G246" s="32" t="str"/>
      <x:c r="H246" s="32" t="str"/>
      <x:c r="I246" s="32" t="str"/>
      <x:c r="J246" s="32" t="str"/>
      <x:c r="K246" s="32" t="str"/>
      <x:c r="L246" s="32" t="str">
        <x:f>IF(OR(H246="",I246="",J246="",K246=""),"",ROUND(H246*((I246+J246)/6)*K246,2))</x:f>
      </x:c>
      <x:c r="M246" s="32" t="str">
        <x:f>IF(L246="","",IF(AND(L246&gt;=3.5,H246=1),"Сильный признак",IF(AND(L246&gt;=2,H246=1),"Рабочий признак",IF(H246=1,"Слабый признак","Отсутствует"))))</x:f>
      </x:c>
      <x:c r="N246" s="32" t="str"/>
    </x:row>
    <x:row r="247">
      <x:c r="A247" s="32" t="str"/>
      <x:c r="B247" s="32" t="str"/>
      <x:c r="C247" s="32" t="str"/>
      <x:c r="D247" s="32" t="str"/>
      <x:c r="E247" s="32" t="str"/>
      <x:c r="F247" s="32" t="str"/>
      <x:c r="G247" s="32" t="str"/>
      <x:c r="H247" s="32" t="str"/>
      <x:c r="I247" s="32" t="str"/>
      <x:c r="J247" s="32" t="str"/>
      <x:c r="K247" s="32" t="str"/>
      <x:c r="L247" s="32" t="str">
        <x:f>IF(OR(H247="",I247="",J247="",K247=""),"",ROUND(H247*((I247+J247)/6)*K247,2))</x:f>
      </x:c>
      <x:c r="M247" s="32" t="str">
        <x:f>IF(L247="","",IF(AND(L247&gt;=3.5,H247=1),"Сильный признак",IF(AND(L247&gt;=2,H247=1),"Рабочий признак",IF(H247=1,"Слабый признак","Отсутствует"))))</x:f>
      </x:c>
      <x:c r="N247" s="32" t="str"/>
    </x:row>
    <x:row r="248">
      <x:c r="A248" s="32" t="str"/>
      <x:c r="B248" s="32" t="str"/>
      <x:c r="C248" s="32" t="str"/>
      <x:c r="D248" s="32" t="str"/>
      <x:c r="E248" s="32" t="str"/>
      <x:c r="F248" s="32" t="str"/>
      <x:c r="G248" s="32" t="str"/>
      <x:c r="H248" s="32" t="str"/>
      <x:c r="I248" s="32" t="str"/>
      <x:c r="J248" s="32" t="str"/>
      <x:c r="K248" s="32" t="str"/>
      <x:c r="L248" s="32" t="str">
        <x:f>IF(OR(H248="",I248="",J248="",K248=""),"",ROUND(H248*((I248+J248)/6)*K248,2))</x:f>
      </x:c>
      <x:c r="M248" s="32" t="str">
        <x:f>IF(L248="","",IF(AND(L248&gt;=3.5,H248=1),"Сильный признак",IF(AND(L248&gt;=2,H248=1),"Рабочий признак",IF(H248=1,"Слабый признак","Отсутствует"))))</x:f>
      </x:c>
      <x:c r="N248" s="32" t="str"/>
    </x:row>
    <x:row r="249">
      <x:c r="A249" s="32" t="str"/>
      <x:c r="B249" s="32" t="str"/>
      <x:c r="C249" s="32" t="str"/>
      <x:c r="D249" s="32" t="str"/>
      <x:c r="E249" s="32" t="str"/>
      <x:c r="F249" s="32" t="str"/>
      <x:c r="G249" s="32" t="str"/>
      <x:c r="H249" s="32" t="str"/>
      <x:c r="I249" s="32" t="str"/>
      <x:c r="J249" s="32" t="str"/>
      <x:c r="K249" s="32" t="str"/>
      <x:c r="L249" s="32" t="str">
        <x:f>IF(OR(H249="",I249="",J249="",K249=""),"",ROUND(H249*((I249+J249)/6)*K249,2))</x:f>
      </x:c>
      <x:c r="M249" s="32" t="str">
        <x:f>IF(L249="","",IF(AND(L249&gt;=3.5,H249=1),"Сильный признак",IF(AND(L249&gt;=2,H249=1),"Рабочий признак",IF(H249=1,"Слабый признак","Отсутствует"))))</x:f>
      </x:c>
      <x:c r="N249" s="32" t="str"/>
    </x:row>
    <x:row r="250">
      <x:c r="A250" s="32" t="str"/>
      <x:c r="B250" s="32" t="str"/>
      <x:c r="C250" s="32" t="str"/>
      <x:c r="D250" s="32" t="str"/>
      <x:c r="E250" s="32" t="str"/>
      <x:c r="F250" s="32" t="str"/>
      <x:c r="G250" s="32" t="str"/>
      <x:c r="H250" s="32" t="str"/>
      <x:c r="I250" s="32" t="str"/>
      <x:c r="J250" s="32" t="str"/>
      <x:c r="K250" s="32" t="str"/>
      <x:c r="L250" s="32" t="str">
        <x:f>IF(OR(H250="",I250="",J250="",K250=""),"",ROUND(H250*((I250+J250)/6)*K250,2))</x:f>
      </x:c>
      <x:c r="M250" s="32" t="str">
        <x:f>IF(L250="","",IF(AND(L250&gt;=3.5,H250=1),"Сильный признак",IF(AND(L250&gt;=2,H250=1),"Рабочий признак",IF(H250=1,"Слабый признак","Отсутствует"))))</x:f>
      </x:c>
      <x:c r="N250" s="32" t="str"/>
    </x:row>
    <x:row r="251">
      <x:c r="A251" s="32" t="str"/>
      <x:c r="B251" s="32" t="str"/>
      <x:c r="C251" s="32" t="str"/>
      <x:c r="D251" s="32" t="str"/>
      <x:c r="E251" s="32" t="str"/>
      <x:c r="F251" s="32" t="str"/>
      <x:c r="G251" s="32" t="str"/>
      <x:c r="H251" s="32" t="str"/>
      <x:c r="I251" s="32" t="str"/>
      <x:c r="J251" s="32" t="str"/>
      <x:c r="K251" s="32" t="str"/>
      <x:c r="L251" s="32" t="str">
        <x:f>IF(OR(H251="",I251="",J251="",K251=""),"",ROUND(H251*((I251+J251)/6)*K251,2))</x:f>
      </x:c>
      <x:c r="M251" s="32" t="str">
        <x:f>IF(L251="","",IF(AND(L251&gt;=3.5,H251=1),"Сильный признак",IF(AND(L251&gt;=2,H251=1),"Рабочий признак",IF(H251=1,"Слабый признак","Отсутствует"))))</x:f>
      </x:c>
      <x:c r="N251" s="32" t="str"/>
    </x:row>
    <x:row r="252">
      <x:c r="A252" s="32" t="str"/>
      <x:c r="B252" s="32" t="str"/>
      <x:c r="C252" s="32" t="str"/>
      <x:c r="D252" s="32" t="str"/>
      <x:c r="E252" s="32" t="str"/>
      <x:c r="F252" s="32" t="str"/>
      <x:c r="G252" s="32" t="str"/>
      <x:c r="H252" s="32" t="str"/>
      <x:c r="I252" s="32" t="str"/>
      <x:c r="J252" s="32" t="str"/>
      <x:c r="K252" s="32" t="str"/>
      <x:c r="L252" s="32" t="str">
        <x:f>IF(OR(H252="",I252="",J252="",K252=""),"",ROUND(H252*((I252+J252)/6)*K252,2))</x:f>
      </x:c>
      <x:c r="M252" s="32" t="str">
        <x:f>IF(L252="","",IF(AND(L252&gt;=3.5,H252=1),"Сильный признак",IF(AND(L252&gt;=2,H252=1),"Рабочий признак",IF(H252=1,"Слабый признак","Отсутствует"))))</x:f>
      </x:c>
      <x:c r="N252" s="32" t="str"/>
    </x:row>
    <x:row r="253">
      <x:c r="A253" s="32" t="str"/>
      <x:c r="B253" s="32" t="str"/>
      <x:c r="C253" s="32" t="str"/>
      <x:c r="D253" s="32" t="str"/>
      <x:c r="E253" s="32" t="str"/>
      <x:c r="F253" s="32" t="str"/>
      <x:c r="G253" s="32" t="str"/>
      <x:c r="H253" s="32" t="str"/>
      <x:c r="I253" s="32" t="str"/>
      <x:c r="J253" s="32" t="str"/>
      <x:c r="K253" s="32" t="str"/>
      <x:c r="L253" s="32" t="str">
        <x:f>IF(OR(H253="",I253="",J253="",K253=""),"",ROUND(H253*((I253+J253)/6)*K253,2))</x:f>
      </x:c>
      <x:c r="M253" s="32" t="str">
        <x:f>IF(L253="","",IF(AND(L253&gt;=3.5,H253=1),"Сильный признак",IF(AND(L253&gt;=2,H253=1),"Рабочий признак",IF(H253=1,"Слабый признак","Отсутствует"))))</x:f>
      </x:c>
      <x:c r="N253" s="32" t="str"/>
    </x:row>
    <x:row r="254">
      <x:c r="A254" s="32" t="str"/>
      <x:c r="B254" s="32" t="str"/>
      <x:c r="C254" s="32" t="str"/>
      <x:c r="D254" s="32" t="str"/>
      <x:c r="E254" s="32" t="str"/>
      <x:c r="F254" s="32" t="str"/>
      <x:c r="G254" s="32" t="str"/>
      <x:c r="H254" s="32" t="str"/>
      <x:c r="I254" s="32" t="str"/>
      <x:c r="J254" s="32" t="str"/>
      <x:c r="K254" s="32" t="str"/>
      <x:c r="L254" s="32" t="str">
        <x:f>IF(OR(H254="",I254="",J254="",K254=""),"",ROUND(H254*((I254+J254)/6)*K254,2))</x:f>
      </x:c>
      <x:c r="M254" s="32" t="str">
        <x:f>IF(L254="","",IF(AND(L254&gt;=3.5,H254=1),"Сильный признак",IF(AND(L254&gt;=2,H254=1),"Рабочий признак",IF(H254=1,"Слабый признак","Отсутствует"))))</x:f>
      </x:c>
      <x:c r="N254" s="32" t="str"/>
    </x:row>
    <x:row r="255">
      <x:c r="A255" s="32" t="str"/>
      <x:c r="B255" s="32" t="str"/>
      <x:c r="C255" s="32" t="str"/>
      <x:c r="D255" s="32" t="str"/>
      <x:c r="E255" s="32" t="str"/>
      <x:c r="F255" s="32" t="str"/>
      <x:c r="G255" s="32" t="str"/>
      <x:c r="H255" s="32" t="str"/>
      <x:c r="I255" s="32" t="str"/>
      <x:c r="J255" s="32" t="str"/>
      <x:c r="K255" s="32" t="str"/>
      <x:c r="L255" s="32" t="str">
        <x:f>IF(OR(H255="",I255="",J255="",K255=""),"",ROUND(H255*((I255+J255)/6)*K255,2))</x:f>
      </x:c>
      <x:c r="M255" s="32" t="str">
        <x:f>IF(L255="","",IF(AND(L255&gt;=3.5,H255=1),"Сильный признак",IF(AND(L255&gt;=2,H255=1),"Рабочий признак",IF(H255=1,"Слабый признак","Отсутствует"))))</x:f>
      </x:c>
      <x:c r="N255" s="32" t="str"/>
    </x:row>
    <x:row r="256">
      <x:c r="A256" s="32" t="str"/>
      <x:c r="B256" s="32" t="str"/>
      <x:c r="C256" s="32" t="str"/>
      <x:c r="D256" s="32" t="str"/>
      <x:c r="E256" s="32" t="str"/>
      <x:c r="F256" s="32" t="str"/>
      <x:c r="G256" s="32" t="str"/>
      <x:c r="H256" s="32" t="str"/>
      <x:c r="I256" s="32" t="str"/>
      <x:c r="J256" s="32" t="str"/>
      <x:c r="K256" s="32" t="str"/>
      <x:c r="L256" s="32" t="str">
        <x:f>IF(OR(H256="",I256="",J256="",K256=""),"",ROUND(H256*((I256+J256)/6)*K256,2))</x:f>
      </x:c>
      <x:c r="M256" s="32" t="str">
        <x:f>IF(L256="","",IF(AND(L256&gt;=3.5,H256=1),"Сильный признак",IF(AND(L256&gt;=2,H256=1),"Рабочий признак",IF(H256=1,"Слабый признак","Отсутствует"))))</x:f>
      </x:c>
      <x:c r="N256" s="32" t="str"/>
    </x:row>
    <x:row r="257">
      <x:c r="A257" s="32" t="str"/>
      <x:c r="B257" s="32" t="str"/>
      <x:c r="C257" s="32" t="str"/>
      <x:c r="D257" s="32" t="str"/>
      <x:c r="E257" s="32" t="str"/>
      <x:c r="F257" s="32" t="str"/>
      <x:c r="G257" s="32" t="str"/>
      <x:c r="H257" s="32" t="str"/>
      <x:c r="I257" s="32" t="str"/>
      <x:c r="J257" s="32" t="str"/>
      <x:c r="K257" s="32" t="str"/>
      <x:c r="L257" s="32" t="str">
        <x:f>IF(OR(H257="",I257="",J257="",K257=""),"",ROUND(H257*((I257+J257)/6)*K257,2))</x:f>
      </x:c>
      <x:c r="M257" s="32" t="str">
        <x:f>IF(L257="","",IF(AND(L257&gt;=3.5,H257=1),"Сильный признак",IF(AND(L257&gt;=2,H257=1),"Рабочий признак",IF(H257=1,"Слабый признак","Отсутствует"))))</x:f>
      </x:c>
      <x:c r="N257" s="32" t="str"/>
    </x:row>
    <x:row r="258">
      <x:c r="A258" s="32" t="str"/>
      <x:c r="B258" s="32" t="str"/>
      <x:c r="C258" s="32" t="str"/>
      <x:c r="D258" s="32" t="str"/>
      <x:c r="E258" s="32" t="str"/>
      <x:c r="F258" s="32" t="str"/>
      <x:c r="G258" s="32" t="str"/>
      <x:c r="H258" s="32" t="str"/>
      <x:c r="I258" s="32" t="str"/>
      <x:c r="J258" s="32" t="str"/>
      <x:c r="K258" s="32" t="str"/>
      <x:c r="L258" s="32" t="str">
        <x:f>IF(OR(H258="",I258="",J258="",K258=""),"",ROUND(H258*((I258+J258)/6)*K258,2))</x:f>
      </x:c>
      <x:c r="M258" s="32" t="str">
        <x:f>IF(L258="","",IF(AND(L258&gt;=3.5,H258=1),"Сильный признак",IF(AND(L258&gt;=2,H258=1),"Рабочий признак",IF(H258=1,"Слабый признак","Отсутствует"))))</x:f>
      </x:c>
      <x:c r="N258" s="32" t="str"/>
    </x:row>
    <x:row r="259">
      <x:c r="A259" s="32" t="str"/>
      <x:c r="B259" s="32" t="str"/>
      <x:c r="C259" s="32" t="str"/>
      <x:c r="D259" s="32" t="str"/>
      <x:c r="E259" s="32" t="str"/>
      <x:c r="F259" s="32" t="str"/>
      <x:c r="G259" s="32" t="str"/>
      <x:c r="H259" s="32" t="str"/>
      <x:c r="I259" s="32" t="str"/>
      <x:c r="J259" s="32" t="str"/>
      <x:c r="K259" s="32" t="str"/>
      <x:c r="L259" s="32" t="str">
        <x:f>IF(OR(H259="",I259="",J259="",K259=""),"",ROUND(H259*((I259+J259)/6)*K259,2))</x:f>
      </x:c>
      <x:c r="M259" s="32" t="str">
        <x:f>IF(L259="","",IF(AND(L259&gt;=3.5,H259=1),"Сильный признак",IF(AND(L259&gt;=2,H259=1),"Рабочий признак",IF(H259=1,"Слабый признак","Отсутствует"))))</x:f>
      </x:c>
      <x:c r="N259" s="32" t="str"/>
    </x:row>
    <x:row r="260">
      <x:c r="A260" s="32" t="str"/>
      <x:c r="B260" s="32" t="str"/>
      <x:c r="C260" s="32" t="str"/>
      <x:c r="D260" s="32" t="str"/>
      <x:c r="E260" s="32" t="str"/>
      <x:c r="F260" s="32" t="str"/>
      <x:c r="G260" s="32" t="str"/>
      <x:c r="H260" s="32" t="str"/>
      <x:c r="I260" s="32" t="str"/>
      <x:c r="J260" s="32" t="str"/>
      <x:c r="K260" s="32" t="str"/>
      <x:c r="L260" s="32" t="str">
        <x:f>IF(OR(H260="",I260="",J260="",K260=""),"",ROUND(H260*((I260+J260)/6)*K260,2))</x:f>
      </x:c>
      <x:c r="M260" s="32" t="str">
        <x:f>IF(L260="","",IF(AND(L260&gt;=3.5,H260=1),"Сильный признак",IF(AND(L260&gt;=2,H260=1),"Рабочий признак",IF(H260=1,"Слабый признак","Отсутствует"))))</x:f>
      </x:c>
      <x:c r="N260" s="32" t="str"/>
    </x:row>
    <x:row r="261">
      <x:c r="A261" s="32" t="str"/>
      <x:c r="B261" s="32" t="str"/>
      <x:c r="C261" s="32" t="str"/>
      <x:c r="D261" s="32" t="str"/>
      <x:c r="E261" s="32" t="str"/>
      <x:c r="F261" s="32" t="str"/>
      <x:c r="G261" s="32" t="str"/>
      <x:c r="H261" s="32" t="str"/>
      <x:c r="I261" s="32" t="str"/>
      <x:c r="J261" s="32" t="str"/>
      <x:c r="K261" s="32" t="str"/>
      <x:c r="L261" s="32" t="str">
        <x:f>IF(OR(H261="",I261="",J261="",K261=""),"",ROUND(H261*((I261+J261)/6)*K261,2))</x:f>
      </x:c>
      <x:c r="M261" s="32" t="str">
        <x:f>IF(L261="","",IF(AND(L261&gt;=3.5,H261=1),"Сильный признак",IF(AND(L261&gt;=2,H261=1),"Рабочий признак",IF(H261=1,"Слабый признак","Отсутствует"))))</x:f>
      </x:c>
      <x:c r="N261" s="32" t="str"/>
    </x:row>
    <x:row r="262">
      <x:c r="A262" s="32" t="str"/>
      <x:c r="B262" s="32" t="str"/>
      <x:c r="C262" s="32" t="str"/>
      <x:c r="D262" s="32" t="str"/>
      <x:c r="E262" s="32" t="str"/>
      <x:c r="F262" s="32" t="str"/>
      <x:c r="G262" s="32" t="str"/>
      <x:c r="H262" s="32" t="str"/>
      <x:c r="I262" s="32" t="str"/>
      <x:c r="J262" s="32" t="str"/>
      <x:c r="K262" s="32" t="str"/>
      <x:c r="L262" s="32" t="str">
        <x:f>IF(OR(H262="",I262="",J262="",K262=""),"",ROUND(H262*((I262+J262)/6)*K262,2))</x:f>
      </x:c>
      <x:c r="M262" s="32" t="str">
        <x:f>IF(L262="","",IF(AND(L262&gt;=3.5,H262=1),"Сильный признак",IF(AND(L262&gt;=2,H262=1),"Рабочий признак",IF(H262=1,"Слабый признак","Отсутствует"))))</x:f>
      </x:c>
      <x:c r="N262" s="32" t="str"/>
    </x:row>
    <x:row r="263">
      <x:c r="A263" s="32" t="str"/>
      <x:c r="B263" s="32" t="str"/>
      <x:c r="C263" s="32" t="str"/>
      <x:c r="D263" s="32" t="str"/>
      <x:c r="E263" s="32" t="str"/>
      <x:c r="F263" s="32" t="str"/>
      <x:c r="G263" s="32" t="str"/>
      <x:c r="H263" s="32" t="str"/>
      <x:c r="I263" s="32" t="str"/>
      <x:c r="J263" s="32" t="str"/>
      <x:c r="K263" s="32" t="str"/>
      <x:c r="L263" s="32" t="str">
        <x:f>IF(OR(H263="",I263="",J263="",K263=""),"",ROUND(H263*((I263+J263)/6)*K263,2))</x:f>
      </x:c>
      <x:c r="M263" s="32" t="str">
        <x:f>IF(L263="","",IF(AND(L263&gt;=3.5,H263=1),"Сильный признак",IF(AND(L263&gt;=2,H263=1),"Рабочий признак",IF(H263=1,"Слабый признак","Отсутствует"))))</x:f>
      </x:c>
      <x:c r="N263" s="32" t="str"/>
    </x:row>
    <x:row r="264">
      <x:c r="A264" s="32" t="str"/>
      <x:c r="B264" s="32" t="str"/>
      <x:c r="C264" s="32" t="str"/>
      <x:c r="D264" s="32" t="str"/>
      <x:c r="E264" s="32" t="str"/>
      <x:c r="F264" s="32" t="str"/>
      <x:c r="G264" s="32" t="str"/>
      <x:c r="H264" s="32" t="str"/>
      <x:c r="I264" s="32" t="str"/>
      <x:c r="J264" s="32" t="str"/>
      <x:c r="K264" s="32" t="str"/>
      <x:c r="L264" s="32" t="str">
        <x:f>IF(OR(H264="",I264="",J264="",K264=""),"",ROUND(H264*((I264+J264)/6)*K264,2))</x:f>
      </x:c>
      <x:c r="M264" s="32" t="str">
        <x:f>IF(L264="","",IF(AND(L264&gt;=3.5,H264=1),"Сильный признак",IF(AND(L264&gt;=2,H264=1),"Рабочий признак",IF(H264=1,"Слабый признак","Отсутствует"))))</x:f>
      </x:c>
      <x:c r="N264" s="32" t="str"/>
    </x:row>
    <x:row r="265">
      <x:c r="A265" s="32" t="str"/>
      <x:c r="B265" s="32" t="str"/>
      <x:c r="C265" s="32" t="str"/>
      <x:c r="D265" s="32" t="str"/>
      <x:c r="E265" s="32" t="str"/>
      <x:c r="F265" s="32" t="str"/>
      <x:c r="G265" s="32" t="str"/>
      <x:c r="H265" s="32" t="str"/>
      <x:c r="I265" s="32" t="str"/>
      <x:c r="J265" s="32" t="str"/>
      <x:c r="K265" s="32" t="str"/>
      <x:c r="L265" s="32" t="str">
        <x:f>IF(OR(H265="",I265="",J265="",K265=""),"",ROUND(H265*((I265+J265)/6)*K265,2))</x:f>
      </x:c>
      <x:c r="M265" s="32" t="str">
        <x:f>IF(L265="","",IF(AND(L265&gt;=3.5,H265=1),"Сильный признак",IF(AND(L265&gt;=2,H265=1),"Рабочий признак",IF(H265=1,"Слабый признак","Отсутствует"))))</x:f>
      </x:c>
      <x:c r="N265" s="32" t="str"/>
    </x:row>
    <x:row r="266">
      <x:c r="A266" s="32" t="str"/>
      <x:c r="B266" s="32" t="str"/>
      <x:c r="C266" s="32" t="str"/>
      <x:c r="D266" s="32" t="str"/>
      <x:c r="E266" s="32" t="str"/>
      <x:c r="F266" s="32" t="str"/>
      <x:c r="G266" s="32" t="str"/>
      <x:c r="H266" s="32" t="str"/>
      <x:c r="I266" s="32" t="str"/>
      <x:c r="J266" s="32" t="str"/>
      <x:c r="K266" s="32" t="str"/>
      <x:c r="L266" s="32" t="str">
        <x:f>IF(OR(H266="",I266="",J266="",K266=""),"",ROUND(H266*((I266+J266)/6)*K266,2))</x:f>
      </x:c>
      <x:c r="M266" s="32" t="str">
        <x:f>IF(L266="","",IF(AND(L266&gt;=3.5,H266=1),"Сильный признак",IF(AND(L266&gt;=2,H266=1),"Рабочий признак",IF(H266=1,"Слабый признак","Отсутствует"))))</x:f>
      </x:c>
      <x:c r="N266" s="32" t="str"/>
    </x:row>
    <x:row r="267">
      <x:c r="A267" s="32" t="str"/>
      <x:c r="B267" s="32" t="str"/>
      <x:c r="C267" s="32" t="str"/>
      <x:c r="D267" s="32" t="str"/>
      <x:c r="E267" s="32" t="str"/>
      <x:c r="F267" s="32" t="str"/>
      <x:c r="G267" s="32" t="str"/>
      <x:c r="H267" s="32" t="str"/>
      <x:c r="I267" s="32" t="str"/>
      <x:c r="J267" s="32" t="str"/>
      <x:c r="K267" s="32" t="str"/>
      <x:c r="L267" s="32" t="str">
        <x:f>IF(OR(H267="",I267="",J267="",K267=""),"",ROUND(H267*((I267+J267)/6)*K267,2))</x:f>
      </x:c>
      <x:c r="M267" s="32" t="str">
        <x:f>IF(L267="","",IF(AND(L267&gt;=3.5,H267=1),"Сильный признак",IF(AND(L267&gt;=2,H267=1),"Рабочий признак",IF(H267=1,"Слабый признак","Отсутствует"))))</x:f>
      </x:c>
      <x:c r="N267" s="32" t="str"/>
    </x:row>
    <x:row r="268">
      <x:c r="A268" s="32" t="str"/>
      <x:c r="B268" s="32" t="str"/>
      <x:c r="C268" s="32" t="str"/>
      <x:c r="D268" s="32" t="str"/>
      <x:c r="E268" s="32" t="str"/>
      <x:c r="F268" s="32" t="str"/>
      <x:c r="G268" s="32" t="str"/>
      <x:c r="H268" s="32" t="str"/>
      <x:c r="I268" s="32" t="str"/>
      <x:c r="J268" s="32" t="str"/>
      <x:c r="K268" s="32" t="str"/>
      <x:c r="L268" s="32" t="str">
        <x:f>IF(OR(H268="",I268="",J268="",K268=""),"",ROUND(H268*((I268+J268)/6)*K268,2))</x:f>
      </x:c>
      <x:c r="M268" s="32" t="str">
        <x:f>IF(L268="","",IF(AND(L268&gt;=3.5,H268=1),"Сильный признак",IF(AND(L268&gt;=2,H268=1),"Рабочий признак",IF(H268=1,"Слабый признак","Отсутствует"))))</x:f>
      </x:c>
      <x:c r="N268" s="32" t="str"/>
    </x:row>
    <x:row r="269">
      <x:c r="A269" s="32" t="str"/>
      <x:c r="B269" s="32" t="str"/>
      <x:c r="C269" s="32" t="str"/>
      <x:c r="D269" s="32" t="str"/>
      <x:c r="E269" s="32" t="str"/>
      <x:c r="F269" s="32" t="str"/>
      <x:c r="G269" s="32" t="str"/>
      <x:c r="H269" s="32" t="str"/>
      <x:c r="I269" s="32" t="str"/>
      <x:c r="J269" s="32" t="str"/>
      <x:c r="K269" s="32" t="str"/>
      <x:c r="L269" s="32" t="str">
        <x:f>IF(OR(H269="",I269="",J269="",K269=""),"",ROUND(H269*((I269+J269)/6)*K269,2))</x:f>
      </x:c>
      <x:c r="M269" s="32" t="str">
        <x:f>IF(L269="","",IF(AND(L269&gt;=3.5,H269=1),"Сильный признак",IF(AND(L269&gt;=2,H269=1),"Рабочий признак",IF(H269=1,"Слабый признак","Отсутствует"))))</x:f>
      </x:c>
      <x:c r="N269" s="32" t="str"/>
    </x:row>
    <x:row r="270">
      <x:c r="A270" s="32" t="str"/>
      <x:c r="B270" s="32" t="str"/>
      <x:c r="C270" s="32" t="str"/>
      <x:c r="D270" s="32" t="str"/>
      <x:c r="E270" s="32" t="str"/>
      <x:c r="F270" s="32" t="str"/>
      <x:c r="G270" s="32" t="str"/>
      <x:c r="H270" s="32" t="str"/>
      <x:c r="I270" s="32" t="str"/>
      <x:c r="J270" s="32" t="str"/>
      <x:c r="K270" s="32" t="str"/>
      <x:c r="L270" s="32" t="str">
        <x:f>IF(OR(H270="",I270="",J270="",K270=""),"",ROUND(H270*((I270+J270)/6)*K270,2))</x:f>
      </x:c>
      <x:c r="M270" s="32" t="str">
        <x:f>IF(L270="","",IF(AND(L270&gt;=3.5,H270=1),"Сильный признак",IF(AND(L270&gt;=2,H270=1),"Рабочий признак",IF(H270=1,"Слабый признак","Отсутствует"))))</x:f>
      </x:c>
      <x:c r="N270" s="32" t="str"/>
    </x:row>
    <x:row r="271">
      <x:c r="A271" s="32" t="str"/>
      <x:c r="B271" s="32" t="str"/>
      <x:c r="C271" s="32" t="str"/>
      <x:c r="D271" s="32" t="str"/>
      <x:c r="E271" s="32" t="str"/>
      <x:c r="F271" s="32" t="str"/>
      <x:c r="G271" s="32" t="str"/>
      <x:c r="H271" s="32" t="str"/>
      <x:c r="I271" s="32" t="str"/>
      <x:c r="J271" s="32" t="str"/>
      <x:c r="K271" s="32" t="str"/>
      <x:c r="L271" s="32" t="str">
        <x:f>IF(OR(H271="",I271="",J271="",K271=""),"",ROUND(H271*((I271+J271)/6)*K271,2))</x:f>
      </x:c>
      <x:c r="M271" s="32" t="str">
        <x:f>IF(L271="","",IF(AND(L271&gt;=3.5,H271=1),"Сильный признак",IF(AND(L271&gt;=2,H271=1),"Рабочий признак",IF(H271=1,"Слабый признак","Отсутствует"))))</x:f>
      </x:c>
      <x:c r="N271" s="32" t="str"/>
    </x:row>
    <x:row r="272">
      <x:c r="A272" s="32" t="str"/>
      <x:c r="B272" s="32" t="str"/>
      <x:c r="C272" s="32" t="str"/>
      <x:c r="D272" s="32" t="str"/>
      <x:c r="E272" s="32" t="str"/>
      <x:c r="F272" s="32" t="str"/>
      <x:c r="G272" s="32" t="str"/>
      <x:c r="H272" s="32" t="str"/>
      <x:c r="I272" s="32" t="str"/>
      <x:c r="J272" s="32" t="str"/>
      <x:c r="K272" s="32" t="str"/>
      <x:c r="L272" s="32" t="str">
        <x:f>IF(OR(H272="",I272="",J272="",K272=""),"",ROUND(H272*((I272+J272)/6)*K272,2))</x:f>
      </x:c>
      <x:c r="M272" s="32" t="str">
        <x:f>IF(L272="","",IF(AND(L272&gt;=3.5,H272=1),"Сильный признак",IF(AND(L272&gt;=2,H272=1),"Рабочий признак",IF(H272=1,"Слабый признак","Отсутствует"))))</x:f>
      </x:c>
      <x:c r="N272" s="32" t="str"/>
    </x:row>
    <x:row r="273">
      <x:c r="A273" s="32" t="str"/>
      <x:c r="B273" s="32" t="str"/>
      <x:c r="C273" s="32" t="str"/>
      <x:c r="D273" s="32" t="str"/>
      <x:c r="E273" s="32" t="str"/>
      <x:c r="F273" s="32" t="str"/>
      <x:c r="G273" s="32" t="str"/>
      <x:c r="H273" s="32" t="str"/>
      <x:c r="I273" s="32" t="str"/>
      <x:c r="J273" s="32" t="str"/>
      <x:c r="K273" s="32" t="str"/>
      <x:c r="L273" s="32" t="str">
        <x:f>IF(OR(H273="",I273="",J273="",K273=""),"",ROUND(H273*((I273+J273)/6)*K273,2))</x:f>
      </x:c>
      <x:c r="M273" s="32" t="str">
        <x:f>IF(L273="","",IF(AND(L273&gt;=3.5,H273=1),"Сильный признак",IF(AND(L273&gt;=2,H273=1),"Рабочий признак",IF(H273=1,"Слабый признак","Отсутствует"))))</x:f>
      </x:c>
      <x:c r="N273" s="32" t="str"/>
    </x:row>
    <x:row r="274">
      <x:c r="A274" s="32" t="str"/>
      <x:c r="B274" s="32" t="str"/>
      <x:c r="C274" s="32" t="str"/>
      <x:c r="D274" s="32" t="str"/>
      <x:c r="E274" s="32" t="str"/>
      <x:c r="F274" s="32" t="str"/>
      <x:c r="G274" s="32" t="str"/>
      <x:c r="H274" s="32" t="str"/>
      <x:c r="I274" s="32" t="str"/>
      <x:c r="J274" s="32" t="str"/>
      <x:c r="K274" s="32" t="str"/>
      <x:c r="L274" s="32" t="str">
        <x:f>IF(OR(H274="",I274="",J274="",K274=""),"",ROUND(H274*((I274+J274)/6)*K274,2))</x:f>
      </x:c>
      <x:c r="M274" s="32" t="str">
        <x:f>IF(L274="","",IF(AND(L274&gt;=3.5,H274=1),"Сильный признак",IF(AND(L274&gt;=2,H274=1),"Рабочий признак",IF(H274=1,"Слабый признак","Отсутствует"))))</x:f>
      </x:c>
      <x:c r="N274" s="32" t="str"/>
    </x:row>
    <x:row r="275">
      <x:c r="A275" s="32" t="str"/>
      <x:c r="B275" s="32" t="str"/>
      <x:c r="C275" s="32" t="str"/>
      <x:c r="D275" s="32" t="str"/>
      <x:c r="E275" s="32" t="str"/>
      <x:c r="F275" s="32" t="str"/>
      <x:c r="G275" s="32" t="str"/>
      <x:c r="H275" s="32" t="str"/>
      <x:c r="I275" s="32" t="str"/>
      <x:c r="J275" s="32" t="str"/>
      <x:c r="K275" s="32" t="str"/>
      <x:c r="L275" s="32" t="str">
        <x:f>IF(OR(H275="",I275="",J275="",K275=""),"",ROUND(H275*((I275+J275)/6)*K275,2))</x:f>
      </x:c>
      <x:c r="M275" s="32" t="str">
        <x:f>IF(L275="","",IF(AND(L275&gt;=3.5,H275=1),"Сильный признак",IF(AND(L275&gt;=2,H275=1),"Рабочий признак",IF(H275=1,"Слабый признак","Отсутствует"))))</x:f>
      </x:c>
      <x:c r="N275" s="32" t="str"/>
    </x:row>
    <x:row r="276">
      <x:c r="A276" s="32" t="str"/>
      <x:c r="B276" s="32" t="str"/>
      <x:c r="C276" s="32" t="str"/>
      <x:c r="D276" s="32" t="str"/>
      <x:c r="E276" s="32" t="str"/>
      <x:c r="F276" s="32" t="str"/>
      <x:c r="G276" s="32" t="str"/>
      <x:c r="H276" s="32" t="str"/>
      <x:c r="I276" s="32" t="str"/>
      <x:c r="J276" s="32" t="str"/>
      <x:c r="K276" s="32" t="str"/>
      <x:c r="L276" s="32" t="str">
        <x:f>IF(OR(H276="",I276="",J276="",K276=""),"",ROUND(H276*((I276+J276)/6)*K276,2))</x:f>
      </x:c>
      <x:c r="M276" s="32" t="str">
        <x:f>IF(L276="","",IF(AND(L276&gt;=3.5,H276=1),"Сильный признак",IF(AND(L276&gt;=2,H276=1),"Рабочий признак",IF(H276=1,"Слабый признак","Отсутствует"))))</x:f>
      </x:c>
      <x:c r="N276" s="32" t="str"/>
    </x:row>
    <x:row r="277">
      <x:c r="A277" s="32" t="str"/>
      <x:c r="B277" s="32" t="str"/>
      <x:c r="C277" s="32" t="str"/>
      <x:c r="D277" s="32" t="str"/>
      <x:c r="E277" s="32" t="str"/>
      <x:c r="F277" s="32" t="str"/>
      <x:c r="G277" s="32" t="str"/>
      <x:c r="H277" s="32" t="str"/>
      <x:c r="I277" s="32" t="str"/>
      <x:c r="J277" s="32" t="str"/>
      <x:c r="K277" s="32" t="str"/>
      <x:c r="L277" s="32" t="str">
        <x:f>IF(OR(H277="",I277="",J277="",K277=""),"",ROUND(H277*((I277+J277)/6)*K277,2))</x:f>
      </x:c>
      <x:c r="M277" s="32" t="str">
        <x:f>IF(L277="","",IF(AND(L277&gt;=3.5,H277=1),"Сильный признак",IF(AND(L277&gt;=2,H277=1),"Рабочий признак",IF(H277=1,"Слабый признак","Отсутствует"))))</x:f>
      </x:c>
      <x:c r="N277" s="32" t="str"/>
    </x:row>
    <x:row r="278">
      <x:c r="A278" s="32" t="str"/>
      <x:c r="B278" s="32" t="str"/>
      <x:c r="C278" s="32" t="str"/>
      <x:c r="D278" s="32" t="str"/>
      <x:c r="E278" s="32" t="str"/>
      <x:c r="F278" s="32" t="str"/>
      <x:c r="G278" s="32" t="str"/>
      <x:c r="H278" s="32" t="str"/>
      <x:c r="I278" s="32" t="str"/>
      <x:c r="J278" s="32" t="str"/>
      <x:c r="K278" s="32" t="str"/>
      <x:c r="L278" s="32" t="str">
        <x:f>IF(OR(H278="",I278="",J278="",K278=""),"",ROUND(H278*((I278+J278)/6)*K278,2))</x:f>
      </x:c>
      <x:c r="M278" s="32" t="str">
        <x:f>IF(L278="","",IF(AND(L278&gt;=3.5,H278=1),"Сильный признак",IF(AND(L278&gt;=2,H278=1),"Рабочий признак",IF(H278=1,"Слабый признак","Отсутствует"))))</x:f>
      </x:c>
      <x:c r="N278" s="32" t="str"/>
    </x:row>
    <x:row r="279">
      <x:c r="A279" s="32" t="str"/>
      <x:c r="B279" s="32" t="str"/>
      <x:c r="C279" s="32" t="str"/>
      <x:c r="D279" s="32" t="str"/>
      <x:c r="E279" s="32" t="str"/>
      <x:c r="F279" s="32" t="str"/>
      <x:c r="G279" s="32" t="str"/>
      <x:c r="H279" s="32" t="str"/>
      <x:c r="I279" s="32" t="str"/>
      <x:c r="J279" s="32" t="str"/>
      <x:c r="K279" s="32" t="str"/>
      <x:c r="L279" s="32" t="str">
        <x:f>IF(OR(H279="",I279="",J279="",K279=""),"",ROUND(H279*((I279+J279)/6)*K279,2))</x:f>
      </x:c>
      <x:c r="M279" s="32" t="str">
        <x:f>IF(L279="","",IF(AND(L279&gt;=3.5,H279=1),"Сильный признак",IF(AND(L279&gt;=2,H279=1),"Рабочий признак",IF(H279=1,"Слабый признак","Отсутствует"))))</x:f>
      </x:c>
      <x:c r="N279" s="32" t="str"/>
    </x:row>
    <x:row r="280">
      <x:c r="A280" s="32" t="str"/>
      <x:c r="B280" s="32" t="str"/>
      <x:c r="C280" s="32" t="str"/>
      <x:c r="D280" s="32" t="str"/>
      <x:c r="E280" s="32" t="str"/>
      <x:c r="F280" s="32" t="str"/>
      <x:c r="G280" s="32" t="str"/>
      <x:c r="H280" s="32" t="str"/>
      <x:c r="I280" s="32" t="str"/>
      <x:c r="J280" s="32" t="str"/>
      <x:c r="K280" s="32" t="str"/>
      <x:c r="L280" s="32" t="str">
        <x:f>IF(OR(H280="",I280="",J280="",K280=""),"",ROUND(H280*((I280+J280)/6)*K280,2))</x:f>
      </x:c>
      <x:c r="M280" s="32" t="str">
        <x:f>IF(L280="","",IF(AND(L280&gt;=3.5,H280=1),"Сильный признак",IF(AND(L280&gt;=2,H280=1),"Рабочий признак",IF(H280=1,"Слабый признак","Отсутствует"))))</x:f>
      </x:c>
      <x:c r="N280" s="32" t="str"/>
    </x:row>
    <x:row r="281">
      <x:c r="A281" s="32" t="str"/>
      <x:c r="B281" s="32" t="str"/>
      <x:c r="C281" s="32" t="str"/>
      <x:c r="D281" s="32" t="str"/>
      <x:c r="E281" s="32" t="str"/>
      <x:c r="F281" s="32" t="str"/>
      <x:c r="G281" s="32" t="str"/>
      <x:c r="H281" s="32" t="str"/>
      <x:c r="I281" s="32" t="str"/>
      <x:c r="J281" s="32" t="str"/>
      <x:c r="K281" s="32" t="str"/>
      <x:c r="L281" s="32" t="str">
        <x:f>IF(OR(H281="",I281="",J281="",K281=""),"",ROUND(H281*((I281+J281)/6)*K281,2))</x:f>
      </x:c>
      <x:c r="M281" s="32" t="str">
        <x:f>IF(L281="","",IF(AND(L281&gt;=3.5,H281=1),"Сильный признак",IF(AND(L281&gt;=2,H281=1),"Рабочий признак",IF(H281=1,"Слабый признак","Отсутствует"))))</x:f>
      </x:c>
      <x:c r="N281" s="32" t="str"/>
    </x:row>
    <x:row r="282">
      <x:c r="A282" s="32" t="str"/>
      <x:c r="B282" s="32" t="str"/>
      <x:c r="C282" s="32" t="str"/>
      <x:c r="D282" s="32" t="str"/>
      <x:c r="E282" s="32" t="str"/>
      <x:c r="F282" s="32" t="str"/>
      <x:c r="G282" s="32" t="str"/>
      <x:c r="H282" s="32" t="str"/>
      <x:c r="I282" s="32" t="str"/>
      <x:c r="J282" s="32" t="str"/>
      <x:c r="K282" s="32" t="str"/>
      <x:c r="L282" s="32" t="str">
        <x:f>IF(OR(H282="",I282="",J282="",K282=""),"",ROUND(H282*((I282+J282)/6)*K282,2))</x:f>
      </x:c>
      <x:c r="M282" s="32" t="str">
        <x:f>IF(L282="","",IF(AND(L282&gt;=3.5,H282=1),"Сильный признак",IF(AND(L282&gt;=2,H282=1),"Рабочий признак",IF(H282=1,"Слабый признак","Отсутствует"))))</x:f>
      </x:c>
      <x:c r="N282" s="32" t="str"/>
    </x:row>
    <x:row r="283">
      <x:c r="A283" s="32" t="str"/>
      <x:c r="B283" s="32" t="str"/>
      <x:c r="C283" s="32" t="str"/>
      <x:c r="D283" s="32" t="str"/>
      <x:c r="E283" s="32" t="str"/>
      <x:c r="F283" s="32" t="str"/>
      <x:c r="G283" s="32" t="str"/>
      <x:c r="H283" s="32" t="str"/>
      <x:c r="I283" s="32" t="str"/>
      <x:c r="J283" s="32" t="str"/>
      <x:c r="K283" s="32" t="str"/>
      <x:c r="L283" s="32" t="str">
        <x:f>IF(OR(H283="",I283="",J283="",K283=""),"",ROUND(H283*((I283+J283)/6)*K283,2))</x:f>
      </x:c>
      <x:c r="M283" s="32" t="str">
        <x:f>IF(L283="","",IF(AND(L283&gt;=3.5,H283=1),"Сильный признак",IF(AND(L283&gt;=2,H283=1),"Рабочий признак",IF(H283=1,"Слабый признак","Отсутствует"))))</x:f>
      </x:c>
      <x:c r="N283" s="32" t="str"/>
    </x:row>
    <x:row r="284">
      <x:c r="A284" s="32" t="str"/>
      <x:c r="B284" s="32" t="str"/>
      <x:c r="C284" s="32" t="str"/>
      <x:c r="D284" s="32" t="str"/>
      <x:c r="E284" s="32" t="str"/>
      <x:c r="F284" s="32" t="str"/>
      <x:c r="G284" s="32" t="str"/>
      <x:c r="H284" s="32" t="str"/>
      <x:c r="I284" s="32" t="str"/>
      <x:c r="J284" s="32" t="str"/>
      <x:c r="K284" s="32" t="str"/>
      <x:c r="L284" s="32" t="str">
        <x:f>IF(OR(H284="",I284="",J284="",K284=""),"",ROUND(H284*((I284+J284)/6)*K284,2))</x:f>
      </x:c>
      <x:c r="M284" s="32" t="str">
        <x:f>IF(L284="","",IF(AND(L284&gt;=3.5,H284=1),"Сильный признак",IF(AND(L284&gt;=2,H284=1),"Рабочий признак",IF(H284=1,"Слабый признак","Отсутствует"))))</x:f>
      </x:c>
      <x:c r="N284" s="32" t="str"/>
    </x:row>
    <x:row r="285">
      <x:c r="A285" s="32" t="str"/>
      <x:c r="B285" s="32" t="str"/>
      <x:c r="C285" s="32" t="str"/>
      <x:c r="D285" s="32" t="str"/>
      <x:c r="E285" s="32" t="str"/>
      <x:c r="F285" s="32" t="str"/>
      <x:c r="G285" s="32" t="str"/>
      <x:c r="H285" s="32" t="str"/>
      <x:c r="I285" s="32" t="str"/>
      <x:c r="J285" s="32" t="str"/>
      <x:c r="K285" s="32" t="str"/>
      <x:c r="L285" s="32" t="str">
        <x:f>IF(OR(H285="",I285="",J285="",K285=""),"",ROUND(H285*((I285+J285)/6)*K285,2))</x:f>
      </x:c>
      <x:c r="M285" s="32" t="str">
        <x:f>IF(L285="","",IF(AND(L285&gt;=3.5,H285=1),"Сильный признак",IF(AND(L285&gt;=2,H285=1),"Рабочий признак",IF(H285=1,"Слабый признак","Отсутствует"))))</x:f>
      </x:c>
      <x:c r="N285" s="32" t="str"/>
    </x:row>
    <x:row r="286">
      <x:c r="A286" s="32" t="str"/>
      <x:c r="B286" s="32" t="str"/>
      <x:c r="C286" s="32" t="str"/>
      <x:c r="D286" s="32" t="str"/>
      <x:c r="E286" s="32" t="str"/>
      <x:c r="F286" s="32" t="str"/>
      <x:c r="G286" s="32" t="str"/>
      <x:c r="H286" s="32" t="str"/>
      <x:c r="I286" s="32" t="str"/>
      <x:c r="J286" s="32" t="str"/>
      <x:c r="K286" s="32" t="str"/>
      <x:c r="L286" s="32" t="str">
        <x:f>IF(OR(H286="",I286="",J286="",K286=""),"",ROUND(H286*((I286+J286)/6)*K286,2))</x:f>
      </x:c>
      <x:c r="M286" s="32" t="str">
        <x:f>IF(L286="","",IF(AND(L286&gt;=3.5,H286=1),"Сильный признак",IF(AND(L286&gt;=2,H286=1),"Рабочий признак",IF(H286=1,"Слабый признак","Отсутствует"))))</x:f>
      </x:c>
      <x:c r="N286" s="32" t="str"/>
    </x:row>
    <x:row r="287">
      <x:c r="A287" s="32" t="str"/>
      <x:c r="B287" s="32" t="str"/>
      <x:c r="C287" s="32" t="str"/>
      <x:c r="D287" s="32" t="str"/>
      <x:c r="E287" s="32" t="str"/>
      <x:c r="F287" s="32" t="str"/>
      <x:c r="G287" s="32" t="str"/>
      <x:c r="H287" s="32" t="str"/>
      <x:c r="I287" s="32" t="str"/>
      <x:c r="J287" s="32" t="str"/>
      <x:c r="K287" s="32" t="str"/>
      <x:c r="L287" s="32" t="str">
        <x:f>IF(OR(H287="",I287="",J287="",K287=""),"",ROUND(H287*((I287+J287)/6)*K287,2))</x:f>
      </x:c>
      <x:c r="M287" s="32" t="str">
        <x:f>IF(L287="","",IF(AND(L287&gt;=3.5,H287=1),"Сильный признак",IF(AND(L287&gt;=2,H287=1),"Рабочий признак",IF(H287=1,"Слабый признак","Отсутствует"))))</x:f>
      </x:c>
      <x:c r="N287" s="32" t="str"/>
    </x:row>
    <x:row r="288">
      <x:c r="A288" s="32" t="str"/>
      <x:c r="B288" s="32" t="str"/>
      <x:c r="C288" s="32" t="str"/>
      <x:c r="D288" s="32" t="str"/>
      <x:c r="E288" s="32" t="str"/>
      <x:c r="F288" s="32" t="str"/>
      <x:c r="G288" s="32" t="str"/>
      <x:c r="H288" s="32" t="str"/>
      <x:c r="I288" s="32" t="str"/>
      <x:c r="J288" s="32" t="str"/>
      <x:c r="K288" s="32" t="str"/>
      <x:c r="L288" s="32" t="str">
        <x:f>IF(OR(H288="",I288="",J288="",K288=""),"",ROUND(H288*((I288+J288)/6)*K288,2))</x:f>
      </x:c>
      <x:c r="M288" s="32" t="str">
        <x:f>IF(L288="","",IF(AND(L288&gt;=3.5,H288=1),"Сильный признак",IF(AND(L288&gt;=2,H288=1),"Рабочий признак",IF(H288=1,"Слабый признак","Отсутствует"))))</x:f>
      </x:c>
      <x:c r="N288" s="32" t="str"/>
    </x:row>
    <x:row r="289">
      <x:c r="A289" s="32" t="str"/>
      <x:c r="B289" s="32" t="str"/>
      <x:c r="C289" s="32" t="str"/>
      <x:c r="D289" s="32" t="str"/>
      <x:c r="E289" s="32" t="str"/>
      <x:c r="F289" s="32" t="str"/>
      <x:c r="G289" s="32" t="str"/>
      <x:c r="H289" s="32" t="str"/>
      <x:c r="I289" s="32" t="str"/>
      <x:c r="J289" s="32" t="str"/>
      <x:c r="K289" s="32" t="str"/>
      <x:c r="L289" s="32" t="str">
        <x:f>IF(OR(H289="",I289="",J289="",K289=""),"",ROUND(H289*((I289+J289)/6)*K289,2))</x:f>
      </x:c>
      <x:c r="M289" s="32" t="str">
        <x:f>IF(L289="","",IF(AND(L289&gt;=3.5,H289=1),"Сильный признак",IF(AND(L289&gt;=2,H289=1),"Рабочий признак",IF(H289=1,"Слабый признак","Отсутствует"))))</x:f>
      </x:c>
      <x:c r="N289" s="32" t="str"/>
    </x:row>
    <x:row r="290">
      <x:c r="A290" s="32" t="str"/>
      <x:c r="B290" s="32" t="str"/>
      <x:c r="C290" s="32" t="str"/>
      <x:c r="D290" s="32" t="str"/>
      <x:c r="E290" s="32" t="str"/>
      <x:c r="F290" s="32" t="str"/>
      <x:c r="G290" s="32" t="str"/>
      <x:c r="H290" s="32" t="str"/>
      <x:c r="I290" s="32" t="str"/>
      <x:c r="J290" s="32" t="str"/>
      <x:c r="K290" s="32" t="str"/>
      <x:c r="L290" s="32" t="str">
        <x:f>IF(OR(H290="",I290="",J290="",K290=""),"",ROUND(H290*((I290+J290)/6)*K290,2))</x:f>
      </x:c>
      <x:c r="M290" s="32" t="str">
        <x:f>IF(L290="","",IF(AND(L290&gt;=3.5,H290=1),"Сильный признак",IF(AND(L290&gt;=2,H290=1),"Рабочий признак",IF(H290=1,"Слабый признак","Отсутствует"))))</x:f>
      </x:c>
      <x:c r="N290" s="32" t="str"/>
    </x:row>
    <x:row r="291">
      <x:c r="A291" s="32" t="str"/>
      <x:c r="B291" s="32" t="str"/>
      <x:c r="C291" s="32" t="str"/>
      <x:c r="D291" s="32" t="str"/>
      <x:c r="E291" s="32" t="str"/>
      <x:c r="F291" s="32" t="str"/>
      <x:c r="G291" s="32" t="str"/>
      <x:c r="H291" s="32" t="str"/>
      <x:c r="I291" s="32" t="str"/>
      <x:c r="J291" s="32" t="str"/>
      <x:c r="K291" s="32" t="str"/>
      <x:c r="L291" s="32" t="str">
        <x:f>IF(OR(H291="",I291="",J291="",K291=""),"",ROUND(H291*((I291+J291)/6)*K291,2))</x:f>
      </x:c>
      <x:c r="M291" s="32" t="str">
        <x:f>IF(L291="","",IF(AND(L291&gt;=3.5,H291=1),"Сильный признак",IF(AND(L291&gt;=2,H291=1),"Рабочий признак",IF(H291=1,"Слабый признак","Отсутствует"))))</x:f>
      </x:c>
      <x:c r="N291" s="32" t="str"/>
    </x:row>
    <x:row r="292">
      <x:c r="A292" s="32" t="str"/>
      <x:c r="B292" s="32" t="str"/>
      <x:c r="C292" s="32" t="str"/>
      <x:c r="D292" s="32" t="str"/>
      <x:c r="E292" s="32" t="str"/>
      <x:c r="F292" s="32" t="str"/>
      <x:c r="G292" s="32" t="str"/>
      <x:c r="H292" s="32" t="str"/>
      <x:c r="I292" s="32" t="str"/>
      <x:c r="J292" s="32" t="str"/>
      <x:c r="K292" s="32" t="str"/>
      <x:c r="L292" s="32" t="str">
        <x:f>IF(OR(H292="",I292="",J292="",K292=""),"",ROUND(H292*((I292+J292)/6)*K292,2))</x:f>
      </x:c>
      <x:c r="M292" s="32" t="str">
        <x:f>IF(L292="","",IF(AND(L292&gt;=3.5,H292=1),"Сильный признак",IF(AND(L292&gt;=2,H292=1),"Рабочий признак",IF(H292=1,"Слабый признак","Отсутствует"))))</x:f>
      </x:c>
      <x:c r="N292" s="32" t="str"/>
    </x:row>
    <x:row r="293">
      <x:c r="A293" s="32" t="str"/>
      <x:c r="B293" s="32" t="str"/>
      <x:c r="C293" s="32" t="str"/>
      <x:c r="D293" s="32" t="str"/>
      <x:c r="E293" s="32" t="str"/>
      <x:c r="F293" s="32" t="str"/>
      <x:c r="G293" s="32" t="str"/>
      <x:c r="H293" s="32" t="str"/>
      <x:c r="I293" s="32" t="str"/>
      <x:c r="J293" s="32" t="str"/>
      <x:c r="K293" s="32" t="str"/>
      <x:c r="L293" s="32" t="str">
        <x:f>IF(OR(H293="",I293="",J293="",K293=""),"",ROUND(H293*((I293+J293)/6)*K293,2))</x:f>
      </x:c>
      <x:c r="M293" s="32" t="str">
        <x:f>IF(L293="","",IF(AND(L293&gt;=3.5,H293=1),"Сильный признак",IF(AND(L293&gt;=2,H293=1),"Рабочий признак",IF(H293=1,"Слабый признак","Отсутствует"))))</x:f>
      </x:c>
      <x:c r="N293" s="32" t="str"/>
    </x:row>
    <x:row r="294">
      <x:c r="A294" s="32" t="str"/>
      <x:c r="B294" s="32" t="str"/>
      <x:c r="C294" s="32" t="str"/>
      <x:c r="D294" s="32" t="str"/>
      <x:c r="E294" s="32" t="str"/>
      <x:c r="F294" s="32" t="str"/>
      <x:c r="G294" s="32" t="str"/>
      <x:c r="H294" s="32" t="str"/>
      <x:c r="I294" s="32" t="str"/>
      <x:c r="J294" s="32" t="str"/>
      <x:c r="K294" s="32" t="str"/>
      <x:c r="L294" s="32" t="str">
        <x:f>IF(OR(H294="",I294="",J294="",K294=""),"",ROUND(H294*((I294+J294)/6)*K294,2))</x:f>
      </x:c>
      <x:c r="M294" s="32" t="str">
        <x:f>IF(L294="","",IF(AND(L294&gt;=3.5,H294=1),"Сильный признак",IF(AND(L294&gt;=2,H294=1),"Рабочий признак",IF(H294=1,"Слабый признак","Отсутствует"))))</x:f>
      </x:c>
      <x:c r="N294" s="32" t="str"/>
    </x:row>
    <x:row r="295">
      <x:c r="A295" s="32" t="str"/>
      <x:c r="B295" s="32" t="str"/>
      <x:c r="C295" s="32" t="str"/>
      <x:c r="D295" s="32" t="str"/>
      <x:c r="E295" s="32" t="str"/>
      <x:c r="F295" s="32" t="str"/>
      <x:c r="G295" s="32" t="str"/>
      <x:c r="H295" s="32" t="str"/>
      <x:c r="I295" s="32" t="str"/>
      <x:c r="J295" s="32" t="str"/>
      <x:c r="K295" s="32" t="str"/>
      <x:c r="L295" s="32" t="str">
        <x:f>IF(OR(H295="",I295="",J295="",K295=""),"",ROUND(H295*((I295+J295)/6)*K295,2))</x:f>
      </x:c>
      <x:c r="M295" s="32" t="str">
        <x:f>IF(L295="","",IF(AND(L295&gt;=3.5,H295=1),"Сильный признак",IF(AND(L295&gt;=2,H295=1),"Рабочий признак",IF(H295=1,"Слабый признак","Отсутствует"))))</x:f>
      </x:c>
      <x:c r="N295" s="32" t="str"/>
    </x:row>
    <x:row r="296">
      <x:c r="A296" s="32" t="str"/>
      <x:c r="B296" s="32" t="str"/>
      <x:c r="C296" s="32" t="str"/>
      <x:c r="D296" s="32" t="str"/>
      <x:c r="E296" s="32" t="str"/>
      <x:c r="F296" s="32" t="str"/>
      <x:c r="G296" s="32" t="str"/>
      <x:c r="H296" s="32" t="str"/>
      <x:c r="I296" s="32" t="str"/>
      <x:c r="J296" s="32" t="str"/>
      <x:c r="K296" s="32" t="str"/>
      <x:c r="L296" s="32" t="str">
        <x:f>IF(OR(H296="",I296="",J296="",K296=""),"",ROUND(H296*((I296+J296)/6)*K296,2))</x:f>
      </x:c>
      <x:c r="M296" s="32" t="str">
        <x:f>IF(L296="","",IF(AND(L296&gt;=3.5,H296=1),"Сильный признак",IF(AND(L296&gt;=2,H296=1),"Рабочий признак",IF(H296=1,"Слабый признак","Отсутствует"))))</x:f>
      </x:c>
      <x:c r="N296" s="32" t="str"/>
    </x:row>
    <x:row r="297">
      <x:c r="A297" s="32" t="str"/>
      <x:c r="B297" s="32" t="str"/>
      <x:c r="C297" s="32" t="str"/>
      <x:c r="D297" s="32" t="str"/>
      <x:c r="E297" s="32" t="str"/>
      <x:c r="F297" s="32" t="str"/>
      <x:c r="G297" s="32" t="str"/>
      <x:c r="H297" s="32" t="str"/>
      <x:c r="I297" s="32" t="str"/>
      <x:c r="J297" s="32" t="str"/>
      <x:c r="K297" s="32" t="str"/>
      <x:c r="L297" s="32" t="str">
        <x:f>IF(OR(H297="",I297="",J297="",K297=""),"",ROUND(H297*((I297+J297)/6)*K297,2))</x:f>
      </x:c>
      <x:c r="M297" s="32" t="str">
        <x:f>IF(L297="","",IF(AND(L297&gt;=3.5,H297=1),"Сильный признак",IF(AND(L297&gt;=2,H297=1),"Рабочий признак",IF(H297=1,"Слабый признак","Отсутствует"))))</x:f>
      </x:c>
      <x:c r="N297" s="32" t="str"/>
    </x:row>
    <x:row r="298">
      <x:c r="A298" s="32" t="str"/>
      <x:c r="B298" s="32" t="str"/>
      <x:c r="C298" s="32" t="str"/>
      <x:c r="D298" s="32" t="str"/>
      <x:c r="E298" s="32" t="str"/>
      <x:c r="F298" s="32" t="str"/>
      <x:c r="G298" s="32" t="str"/>
      <x:c r="H298" s="32" t="str"/>
      <x:c r="I298" s="32" t="str"/>
      <x:c r="J298" s="32" t="str"/>
      <x:c r="K298" s="32" t="str"/>
      <x:c r="L298" s="32" t="str">
        <x:f>IF(OR(H298="",I298="",J298="",K298=""),"",ROUND(H298*((I298+J298)/6)*K298,2))</x:f>
      </x:c>
      <x:c r="M298" s="32" t="str">
        <x:f>IF(L298="","",IF(AND(L298&gt;=3.5,H298=1),"Сильный признак",IF(AND(L298&gt;=2,H298=1),"Рабочий признак",IF(H298=1,"Слабый признак","Отсутствует"))))</x:f>
      </x:c>
      <x:c r="N298" s="32" t="str"/>
    </x:row>
    <x:row r="299">
      <x:c r="A299" s="32" t="str"/>
      <x:c r="B299" s="32" t="str"/>
      <x:c r="C299" s="32" t="str"/>
      <x:c r="D299" s="32" t="str"/>
      <x:c r="E299" s="32" t="str"/>
      <x:c r="F299" s="32" t="str"/>
      <x:c r="G299" s="32" t="str"/>
      <x:c r="H299" s="32" t="str"/>
      <x:c r="I299" s="32" t="str"/>
      <x:c r="J299" s="32" t="str"/>
      <x:c r="K299" s="32" t="str"/>
      <x:c r="L299" s="32" t="str">
        <x:f>IF(OR(H299="",I299="",J299="",K299=""),"",ROUND(H299*((I299+J299)/6)*K299,2))</x:f>
      </x:c>
      <x:c r="M299" s="32" t="str">
        <x:f>IF(L299="","",IF(AND(L299&gt;=3.5,H299=1),"Сильный признак",IF(AND(L299&gt;=2,H299=1),"Рабочий признак",IF(H299=1,"Слабый признак","Отсутствует"))))</x:f>
      </x:c>
      <x:c r="N299" s="32" t="str"/>
    </x:row>
    <x:row r="300">
      <x:c r="A300" s="32" t="str"/>
      <x:c r="B300" s="32" t="str"/>
      <x:c r="C300" s="32" t="str"/>
      <x:c r="D300" s="32" t="str"/>
      <x:c r="E300" s="32" t="str"/>
      <x:c r="F300" s="32" t="str"/>
      <x:c r="G300" s="32" t="str"/>
      <x:c r="H300" s="32" t="str"/>
      <x:c r="I300" s="32" t="str"/>
      <x:c r="J300" s="32" t="str"/>
      <x:c r="K300" s="32" t="str"/>
      <x:c r="L300" s="32" t="str">
        <x:f>IF(OR(H300="",I300="",J300="",K300=""),"",ROUND(H300*((I300+J300)/6)*K300,2))</x:f>
      </x:c>
      <x:c r="M300" s="32" t="str">
        <x:f>IF(L300="","",IF(AND(L300&gt;=3.5,H300=1),"Сильный признак",IF(AND(L300&gt;=2,H300=1),"Рабочий признак",IF(H300=1,"Слабый признак","Отсутствует"))))</x:f>
      </x:c>
      <x:c r="N300" s="32" t="str"/>
    </x:row>
    <x:row r="301">
      <x:c r="A301" s="32" t="str"/>
      <x:c r="B301" s="32" t="str"/>
      <x:c r="C301" s="32" t="str"/>
      <x:c r="D301" s="32" t="str"/>
      <x:c r="E301" s="32" t="str"/>
      <x:c r="F301" s="32" t="str"/>
      <x:c r="G301" s="32" t="str"/>
      <x:c r="H301" s="32" t="str"/>
      <x:c r="I301" s="32" t="str"/>
      <x:c r="J301" s="32" t="str"/>
      <x:c r="K301" s="32" t="str"/>
      <x:c r="L301" s="32" t="str">
        <x:f>IF(OR(H301="",I301="",J301="",K301=""),"",ROUND(H301*((I301+J301)/6)*K301,2))</x:f>
      </x:c>
      <x:c r="M301" s="32" t="str">
        <x:f>IF(L301="","",IF(AND(L301&gt;=3.5,H301=1),"Сильный признак",IF(AND(L301&gt;=2,H301=1),"Рабочий признак",IF(H301=1,"Слабый признак","Отсутствует"))))</x:f>
      </x:c>
      <x:c r="N301" s="32" t="str"/>
    </x:row>
    <x:row r="302">
      <x:c r="A302" s="32" t="str"/>
      <x:c r="B302" s="32" t="str"/>
      <x:c r="C302" s="32" t="str"/>
      <x:c r="D302" s="32" t="str"/>
      <x:c r="E302" s="32" t="str"/>
      <x:c r="F302" s="32" t="str"/>
      <x:c r="G302" s="32" t="str"/>
      <x:c r="H302" s="32" t="str"/>
      <x:c r="I302" s="32" t="str"/>
      <x:c r="J302" s="32" t="str"/>
      <x:c r="K302" s="32" t="str"/>
      <x:c r="L302" s="32" t="str">
        <x:f>IF(OR(H302="",I302="",J302="",K302=""),"",ROUND(H302*((I302+J302)/6)*K302,2))</x:f>
      </x:c>
      <x:c r="M302" s="32" t="str">
        <x:f>IF(L302="","",IF(AND(L302&gt;=3.5,H302=1),"Сильный признак",IF(AND(L302&gt;=2,H302=1),"Рабочий признак",IF(H302=1,"Слабый признак","Отсутствует"))))</x:f>
      </x:c>
      <x:c r="N302" s="32" t="str"/>
    </x:row>
    <x:row r="303">
      <x:c r="A303" s="32" t="str"/>
      <x:c r="B303" s="32" t="str"/>
      <x:c r="C303" s="32" t="str"/>
      <x:c r="D303" s="32" t="str"/>
      <x:c r="E303" s="32" t="str"/>
      <x:c r="F303" s="32" t="str"/>
      <x:c r="G303" s="32" t="str"/>
      <x:c r="H303" s="32" t="str"/>
      <x:c r="I303" s="32" t="str"/>
      <x:c r="J303" s="32" t="str"/>
      <x:c r="K303" s="32" t="str"/>
      <x:c r="L303" s="32" t="str">
        <x:f>IF(OR(H303="",I303="",J303="",K303=""),"",ROUND(H303*((I303+J303)/6)*K303,2))</x:f>
      </x:c>
      <x:c r="M303" s="32" t="str">
        <x:f>IF(L303="","",IF(AND(L303&gt;=3.5,H303=1),"Сильный признак",IF(AND(L303&gt;=2,H303=1),"Рабочий признак",IF(H303=1,"Слабый признак","Отсутствует"))))</x:f>
      </x:c>
      <x:c r="N303" s="32" t="str"/>
    </x:row>
    <x:row r="304">
      <x:c r="A304" s="32" t="str"/>
      <x:c r="B304" s="32" t="str"/>
      <x:c r="C304" s="32" t="str"/>
      <x:c r="D304" s="32" t="str"/>
      <x:c r="E304" s="32" t="str"/>
      <x:c r="F304" s="32" t="str"/>
      <x:c r="G304" s="32" t="str"/>
      <x:c r="H304" s="32" t="str"/>
      <x:c r="I304" s="32" t="str"/>
      <x:c r="J304" s="32" t="str"/>
      <x:c r="K304" s="32" t="str"/>
      <x:c r="L304" s="32" t="str">
        <x:f>IF(OR(H304="",I304="",J304="",K304=""),"",ROUND(H304*((I304+J304)/6)*K304,2))</x:f>
      </x:c>
      <x:c r="M304" s="32" t="str">
        <x:f>IF(L304="","",IF(AND(L304&gt;=3.5,H304=1),"Сильный признак",IF(AND(L304&gt;=2,H304=1),"Рабочий признак",IF(H304=1,"Слабый признак","Отсутствует"))))</x:f>
      </x:c>
      <x:c r="N304" s="32" t="str"/>
    </x:row>
    <x:row r="305">
      <x:c r="A305" s="32" t="str"/>
      <x:c r="B305" s="32" t="str"/>
      <x:c r="C305" s="32" t="str"/>
      <x:c r="D305" s="32" t="str"/>
      <x:c r="E305" s="32" t="str"/>
      <x:c r="F305" s="32" t="str"/>
      <x:c r="G305" s="32" t="str"/>
      <x:c r="H305" s="32" t="str"/>
      <x:c r="I305" s="32" t="str"/>
      <x:c r="J305" s="32" t="str"/>
      <x:c r="K305" s="32" t="str"/>
      <x:c r="L305" s="32" t="str">
        <x:f>IF(OR(H305="",I305="",J305="",K305=""),"",ROUND(H305*((I305+J305)/6)*K305,2))</x:f>
      </x:c>
      <x:c r="M305" s="32" t="str">
        <x:f>IF(L305="","",IF(AND(L305&gt;=3.5,H305=1),"Сильный признак",IF(AND(L305&gt;=2,H305=1),"Рабочий признак",IF(H305=1,"Слабый признак","Отсутствует"))))</x:f>
      </x:c>
      <x:c r="N305" s="32" t="str"/>
    </x:row>
    <x:row r="306">
      <x:c r="A306" s="32" t="str"/>
      <x:c r="B306" s="32" t="str"/>
      <x:c r="C306" s="32" t="str"/>
      <x:c r="D306" s="32" t="str"/>
      <x:c r="E306" s="32" t="str"/>
      <x:c r="F306" s="32" t="str"/>
      <x:c r="G306" s="32" t="str"/>
      <x:c r="H306" s="32" t="str"/>
      <x:c r="I306" s="32" t="str"/>
      <x:c r="J306" s="32" t="str"/>
      <x:c r="K306" s="32" t="str"/>
      <x:c r="L306" s="32" t="str">
        <x:f>IF(OR(H306="",I306="",J306="",K306=""),"",ROUND(H306*((I306+J306)/6)*K306,2))</x:f>
      </x:c>
      <x:c r="M306" s="32" t="str">
        <x:f>IF(L306="","",IF(AND(L306&gt;=3.5,H306=1),"Сильный признак",IF(AND(L306&gt;=2,H306=1),"Рабочий признак",IF(H306=1,"Слабый признак","Отсутствует"))))</x:f>
      </x:c>
      <x:c r="N306" s="32" t="str"/>
    </x:row>
  </x:sheetData>
  <x:mergeCells>
    <x:mergeCell ref="A1:N1"/>
    <x:mergeCell ref="A2:N2"/>
  </x:mergeCells>
  <x:conditionalFormatting sqref="L7:L30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4">
    <x:dataValidation type="list" sqref="D7:D306">
      <x:formula1>"1. Базовая выгода,2. Родовой товар,3. Ожидаемый товар,4. Расширенный товар,5. Потенциальный товар"</x:formula1>
    </x:dataValidation>
    <x:dataValidation type="list" sqref="H7:H306">
      <x:formula1>"0,1"</x:formula1>
    </x:dataValidation>
    <x:dataValidation type="list" sqref="I7:J306">
      <x:formula1>"0,1,2,3"</x:formula1>
    </x:dataValidation>
    <x:dataValidation type="list" sqref="K7:K306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8199fadce24e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42" hidden="0" customWidth="1"/>
    <x:col min="5" max="5" width="22" hidden="0" customWidth="1"/>
    <x:col min="6" max="6" width="12" hidden="0" customWidth="1"/>
    <x:col min="7" max="7" width="18" hidden="0" customWidth="1"/>
    <x:col min="8" max="8" width="15" hidden="0" customWidth="1"/>
    <x:col min="9" max="9" width="18" hidden="0" customWidth="1"/>
    <x:col min="10" max="10" width="36" hidden="0" customWidth="1"/>
    <x:col min="11" max="11" width="36" hidden="0" customWidth="1"/>
    <x:col min="12" max="12" width="18" hidden="0" customWidth="1"/>
    <x:col min="13" max="13" width="32" hidden="0" customWidth="1"/>
  </x:cols>
  <x:sheetData>
    <x:row r="1" ht="32" customHeight="1">
      <x:c r="A1" s="82" t="str">
        <x:v>04. Классификация признаков по модели Кано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2" customHeight="1">
      <x:c r="A2" s="14" t="str">
        <x:v>Классифицируйте требования к цифровому товару: что обязательно, что прямо повышает удовлетворенность, а что создает эффект привлекательности.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6" ht="34" customHeight="1">
      <x:c r="A6" s="24" t="str">
        <x:v>ID требования</x:v>
      </x:c>
      <x:c r="B6" s="24" t="str">
        <x:v>Функция / признак товара</x:v>
      </x:c>
      <x:c r="C6" s="24" t="str">
        <x:v>Пользовательская задача</x:v>
      </x:c>
      <x:c r="D6" s="24" t="str">
        <x:v>Доказательства с сайтов</x:v>
      </x:c>
      <x:c r="E6" s="24" t="str">
        <x:v>Категория Кано</x:v>
      </x:c>
      <x:c r="F6" s="24" t="str">
        <x:v>Вес 1–5</x:v>
      </x:c>
      <x:c r="G6" s="24" t="str">
        <x:v>Кол-во конкурентов с признаком</x:v>
      </x:c>
      <x:c r="H6" s="24" t="str">
        <x:v>Доля конкурентов</x:v>
      </x:c>
      <x:c r="I6" s="24" t="str">
        <x:v>Средняя сила реализации 0–5</x:v>
      </x:c>
      <x:c r="J6" s="24" t="str">
        <x:v>Интерпретация</x:v>
      </x:c>
      <x:c r="K6" s="24" t="str">
        <x:v>Решение для своего товара</x:v>
      </x:c>
      <x:c r="L6" s="24" t="str">
        <x:v>Ответственный</x:v>
      </x:c>
      <x:c r="M6" s="24" t="str">
        <x:v>Примечание</x:v>
      </x:c>
    </x:row>
    <x:row r="7">
      <x:c r="A7" s="32" t="str">
        <x:v>R001</x:v>
      </x:c>
      <x:c r="B7" s="32" t="str"/>
      <x:c r="C7" s="32" t="str"/>
      <x:c r="D7" s="32" t="str"/>
      <x:c r="E7" s="32" t="str"/>
      <x:c r="F7" s="32" t="str"/>
      <x:c r="G7" s="32" t="str"/>
      <x:c r="H7" s="44" t="str">
        <x:f>IF(G7="","",IFERROR(G7/MAX(1,COUNTIF('01_Конкуренты'!$B$7:$B$36,"?*")),""))</x:f>
      </x:c>
      <x:c r="I7" s="32" t="str"/>
      <x:c r="J7" s="32" t="str">
        <x:f>IF(B7="","",IF(E7="Обязательное",IF(H7&gt;=0.6,"Минимальный рыночный стандарт","Потенциальный обязательный разрыв"),IF(E7="Линейное",IF(H7&gt;=0.5,"Конкурентная норма с влиянием на выбор","Зона усиления ценности"),IF(E7="Привлекательное",IF(H7&lt;0.5,"Зона дифференциации","Переходит в ожидаемую норму"),IF(E7="Безразличное","Не делать при дефиците ресурсов",IF(E7="Обратное","Исключить или проверить риск отторжения","Требует проверки"))))))</x:f>
      </x:c>
      <x:c r="K7" s="32" t="str"/>
      <x:c r="L7" s="32" t="str"/>
      <x:c r="M7" s="32" t="str"/>
    </x:row>
    <x:row r="8">
      <x:c r="A8" s="32" t="str">
        <x:v>R002</x:v>
      </x:c>
      <x:c r="B8" s="32" t="str"/>
      <x:c r="C8" s="32" t="str"/>
      <x:c r="D8" s="32" t="str"/>
      <x:c r="E8" s="32" t="str"/>
      <x:c r="F8" s="32" t="str"/>
      <x:c r="G8" s="32" t="str"/>
      <x:c r="H8" s="44" t="str">
        <x:f>IF(G8="","",IFERROR(G8/MAX(1,COUNTIF('01_Конкуренты'!$B$7:$B$36,"?*")),""))</x:f>
      </x:c>
      <x:c r="I8" s="32" t="str"/>
      <x:c r="J8" s="32" t="str">
        <x:f>IF(B8="","",IF(E8="Обязательное",IF(H8&gt;=0.6,"Минимальный рыночный стандарт","Потенциальный обязательный разрыв"),IF(E8="Линейное",IF(H8&gt;=0.5,"Конкурентная норма с влиянием на выбор","Зона усиления ценности"),IF(E8="Привлекательное",IF(H8&lt;0.5,"Зона дифференциации","Переходит в ожидаемую норму"),IF(E8="Безразличное","Не делать при дефиците ресурсов",IF(E8="Обратное","Исключить или проверить риск отторжения","Требует проверки"))))))</x:f>
      </x:c>
      <x:c r="K8" s="32" t="str"/>
      <x:c r="L8" s="32" t="str"/>
      <x:c r="M8" s="32" t="str"/>
    </x:row>
    <x:row r="9">
      <x:c r="A9" s="32" t="str">
        <x:v>R003</x:v>
      </x:c>
      <x:c r="B9" s="32" t="str"/>
      <x:c r="C9" s="32" t="str"/>
      <x:c r="D9" s="32" t="str"/>
      <x:c r="E9" s="32" t="str"/>
      <x:c r="F9" s="32" t="str"/>
      <x:c r="G9" s="32" t="str"/>
      <x:c r="H9" s="44" t="str">
        <x:f>IF(G9="","",IFERROR(G9/MAX(1,COUNTIF('01_Конкуренты'!$B$7:$B$36,"?*")),""))</x:f>
      </x:c>
      <x:c r="I9" s="32" t="str"/>
      <x:c r="J9" s="32" t="str">
        <x:f>IF(B9="","",IF(E9="Обязательное",IF(H9&gt;=0.6,"Минимальный рыночный стандарт","Потенциальный обязательный разрыв"),IF(E9="Линейное",IF(H9&gt;=0.5,"Конкурентная норма с влиянием на выбор","Зона усиления ценности"),IF(E9="Привлекательное",IF(H9&lt;0.5,"Зона дифференциации","Переходит в ожидаемую норму"),IF(E9="Безразличное","Не делать при дефиците ресурсов",IF(E9="Обратное","Исключить или проверить риск отторжения","Требует проверки"))))))</x:f>
      </x:c>
      <x:c r="K9" s="32" t="str"/>
      <x:c r="L9" s="32" t="str"/>
      <x:c r="M9" s="32" t="str"/>
    </x:row>
    <x:row r="10">
      <x:c r="A10" s="32" t="str">
        <x:v>R004</x:v>
      </x:c>
      <x:c r="B10" s="32" t="str"/>
      <x:c r="C10" s="32" t="str"/>
      <x:c r="D10" s="32" t="str"/>
      <x:c r="E10" s="32" t="str"/>
      <x:c r="F10" s="32" t="str"/>
      <x:c r="G10" s="32" t="str"/>
      <x:c r="H10" s="44" t="str">
        <x:f>IF(G10="","",IFERROR(G10/MAX(1,COUNTIF('01_Конкуренты'!$B$7:$B$36,"?*")),""))</x:f>
      </x:c>
      <x:c r="I10" s="32" t="str"/>
      <x:c r="J10" s="32" t="str">
        <x:f>IF(B10="","",IF(E10="Обязательное",IF(H10&gt;=0.6,"Минимальный рыночный стандарт","Потенциальный обязательный разрыв"),IF(E10="Линейное",IF(H10&gt;=0.5,"Конкурентная норма с влиянием на выбор","Зона усиления ценности"),IF(E10="Привлекательное",IF(H10&lt;0.5,"Зона дифференциации","Переходит в ожидаемую норму"),IF(E10="Безразличное","Не делать при дефиците ресурсов",IF(E10="Обратное","Исключить или проверить риск отторжения","Требует проверки"))))))</x:f>
      </x:c>
      <x:c r="K10" s="32" t="str"/>
      <x:c r="L10" s="32" t="str"/>
      <x:c r="M10" s="32" t="str"/>
    </x:row>
    <x:row r="11">
      <x:c r="A11" s="32" t="str">
        <x:v>R005</x:v>
      </x:c>
      <x:c r="B11" s="32" t="str"/>
      <x:c r="C11" s="32" t="str"/>
      <x:c r="D11" s="32" t="str"/>
      <x:c r="E11" s="32" t="str"/>
      <x:c r="F11" s="32" t="str"/>
      <x:c r="G11" s="32" t="str"/>
      <x:c r="H11" s="44" t="str">
        <x:f>IF(G11="","",IFERROR(G11/MAX(1,COUNTIF('01_Конкуренты'!$B$7:$B$36,"?*")),""))</x:f>
      </x:c>
      <x:c r="I11" s="32" t="str"/>
      <x:c r="J11" s="32" t="str">
        <x:f>IF(B11="","",IF(E11="Обязательное",IF(H11&gt;=0.6,"Минимальный рыночный стандарт","Потенциальный обязательный разрыв"),IF(E11="Линейное",IF(H11&gt;=0.5,"Конкурентная норма с влиянием на выбор","Зона усиления ценности"),IF(E11="Привлекательное",IF(H11&lt;0.5,"Зона дифференциации","Переходит в ожидаемую норму"),IF(E11="Безразличное","Не делать при дефиците ресурсов",IF(E11="Обратное","Исключить или проверить риск отторжения","Требует проверки"))))))</x:f>
      </x:c>
      <x:c r="K11" s="32" t="str"/>
      <x:c r="L11" s="32" t="str"/>
      <x:c r="M11" s="32" t="str"/>
    </x:row>
    <x:row r="12">
      <x:c r="A12" s="32" t="str">
        <x:v>R006</x:v>
      </x:c>
      <x:c r="B12" s="32" t="str"/>
      <x:c r="C12" s="32" t="str"/>
      <x:c r="D12" s="32" t="str"/>
      <x:c r="E12" s="32" t="str"/>
      <x:c r="F12" s="32" t="str"/>
      <x:c r="G12" s="32" t="str"/>
      <x:c r="H12" s="44" t="str">
        <x:f>IF(G12="","",IFERROR(G12/MAX(1,COUNTIF('01_Конкуренты'!$B$7:$B$36,"?*")),""))</x:f>
      </x:c>
      <x:c r="I12" s="32" t="str"/>
      <x:c r="J12" s="32" t="str">
        <x:f>IF(B12="","",IF(E12="Обязательное",IF(H12&gt;=0.6,"Минимальный рыночный стандарт","Потенциальный обязательный разрыв"),IF(E12="Линейное",IF(H12&gt;=0.5,"Конкурентная норма с влиянием на выбор","Зона усиления ценности"),IF(E12="Привлекательное",IF(H12&lt;0.5,"Зона дифференциации","Переходит в ожидаемую норму"),IF(E12="Безразличное","Не делать при дефиците ресурсов",IF(E12="Обратное","Исключить или проверить риск отторжения","Требует проверки"))))))</x:f>
      </x:c>
      <x:c r="K12" s="32" t="str"/>
      <x:c r="L12" s="32" t="str"/>
      <x:c r="M12" s="32" t="str"/>
    </x:row>
    <x:row r="13">
      <x:c r="A13" s="32" t="str">
        <x:v>R007</x:v>
      </x:c>
      <x:c r="B13" s="32" t="str"/>
      <x:c r="C13" s="32" t="str"/>
      <x:c r="D13" s="32" t="str"/>
      <x:c r="E13" s="32" t="str"/>
      <x:c r="F13" s="32" t="str"/>
      <x:c r="G13" s="32" t="str"/>
      <x:c r="H13" s="44" t="str">
        <x:f>IF(G13="","",IFERROR(G13/MAX(1,COUNTIF('01_Конкуренты'!$B$7:$B$36,"?*")),""))</x:f>
      </x:c>
      <x:c r="I13" s="32" t="str"/>
      <x:c r="J13" s="32" t="str">
        <x:f>IF(B13="","",IF(E13="Обязательное",IF(H13&gt;=0.6,"Минимальный рыночный стандарт","Потенциальный обязательный разрыв"),IF(E13="Линейное",IF(H13&gt;=0.5,"Конкурентная норма с влиянием на выбор","Зона усиления ценности"),IF(E13="Привлекательное",IF(H13&lt;0.5,"Зона дифференциации","Переходит в ожидаемую норму"),IF(E13="Безразличное","Не делать при дефиците ресурсов",IF(E13="Обратное","Исключить или проверить риск отторжения","Требует проверки"))))))</x:f>
      </x:c>
      <x:c r="K13" s="32" t="str"/>
      <x:c r="L13" s="32" t="str"/>
      <x:c r="M13" s="32" t="str"/>
    </x:row>
    <x:row r="14">
      <x:c r="A14" s="32" t="str">
        <x:v>R008</x:v>
      </x:c>
      <x:c r="B14" s="32" t="str"/>
      <x:c r="C14" s="32" t="str"/>
      <x:c r="D14" s="32" t="str"/>
      <x:c r="E14" s="32" t="str"/>
      <x:c r="F14" s="32" t="str"/>
      <x:c r="G14" s="32" t="str"/>
      <x:c r="H14" s="44" t="str">
        <x:f>IF(G14="","",IFERROR(G14/MAX(1,COUNTIF('01_Конкуренты'!$B$7:$B$36,"?*")),""))</x:f>
      </x:c>
      <x:c r="I14" s="32" t="str"/>
      <x:c r="J14" s="32" t="str">
        <x:f>IF(B14="","",IF(E14="Обязательное",IF(H14&gt;=0.6,"Минимальный рыночный стандарт","Потенциальный обязательный разрыв"),IF(E14="Линейное",IF(H14&gt;=0.5,"Конкурентная норма с влиянием на выбор","Зона усиления ценности"),IF(E14="Привлекательное",IF(H14&lt;0.5,"Зона дифференциации","Переходит в ожидаемую норму"),IF(E14="Безразличное","Не делать при дефиците ресурсов",IF(E14="Обратное","Исключить или проверить риск отторжения","Требует проверки"))))))</x:f>
      </x:c>
      <x:c r="K14" s="32" t="str"/>
      <x:c r="L14" s="32" t="str"/>
      <x:c r="M14" s="32" t="str"/>
    </x:row>
    <x:row r="15">
      <x:c r="A15" s="32" t="str">
        <x:v>R009</x:v>
      </x:c>
      <x:c r="B15" s="32" t="str"/>
      <x:c r="C15" s="32" t="str"/>
      <x:c r="D15" s="32" t="str"/>
      <x:c r="E15" s="32" t="str"/>
      <x:c r="F15" s="32" t="str"/>
      <x:c r="G15" s="32" t="str"/>
      <x:c r="H15" s="44" t="str">
        <x:f>IF(G15="","",IFERROR(G15/MAX(1,COUNTIF('01_Конкуренты'!$B$7:$B$36,"?*")),""))</x:f>
      </x:c>
      <x:c r="I15" s="32" t="str"/>
      <x:c r="J15" s="32" t="str">
        <x:f>IF(B15="","",IF(E15="Обязательное",IF(H15&gt;=0.6,"Минимальный рыночный стандарт","Потенциальный обязательный разрыв"),IF(E15="Линейное",IF(H15&gt;=0.5,"Конкурентная норма с влиянием на выбор","Зона усиления ценности"),IF(E15="Привлекательное",IF(H15&lt;0.5,"Зона дифференциации","Переходит в ожидаемую норму"),IF(E15="Безразличное","Не делать при дефиците ресурсов",IF(E15="Обратное","Исключить или проверить риск отторжения","Требует проверки"))))))</x:f>
      </x:c>
      <x:c r="K15" s="32" t="str"/>
      <x:c r="L15" s="32" t="str"/>
      <x:c r="M15" s="32" t="str"/>
    </x:row>
    <x:row r="16">
      <x:c r="A16" s="32" t="str">
        <x:v>R010</x:v>
      </x:c>
      <x:c r="B16" s="32" t="str"/>
      <x:c r="C16" s="32" t="str"/>
      <x:c r="D16" s="32" t="str"/>
      <x:c r="E16" s="32" t="str"/>
      <x:c r="F16" s="32" t="str"/>
      <x:c r="G16" s="32" t="str"/>
      <x:c r="H16" s="44" t="str">
        <x:f>IF(G16="","",IFERROR(G16/MAX(1,COUNTIF('01_Конкуренты'!$B$7:$B$36,"?*")),""))</x:f>
      </x:c>
      <x:c r="I16" s="32" t="str"/>
      <x:c r="J16" s="32" t="str">
        <x:f>IF(B16="","",IF(E16="Обязательное",IF(H16&gt;=0.6,"Минимальный рыночный стандарт","Потенциальный обязательный разрыв"),IF(E16="Линейное",IF(H16&gt;=0.5,"Конкурентная норма с влиянием на выбор","Зона усиления ценности"),IF(E16="Привлекательное",IF(H16&lt;0.5,"Зона дифференциации","Переходит в ожидаемую норму"),IF(E16="Безразличное","Не делать при дефиците ресурсов",IF(E16="Обратное","Исключить или проверить риск отторжения","Требует проверки"))))))</x:f>
      </x:c>
      <x:c r="K16" s="32" t="str"/>
      <x:c r="L16" s="32" t="str"/>
      <x:c r="M16" s="32" t="str"/>
    </x:row>
    <x:row r="17">
      <x:c r="A17" s="32" t="str">
        <x:v>R011</x:v>
      </x:c>
      <x:c r="B17" s="32" t="str"/>
      <x:c r="C17" s="32" t="str"/>
      <x:c r="D17" s="32" t="str"/>
      <x:c r="E17" s="32" t="str"/>
      <x:c r="F17" s="32" t="str"/>
      <x:c r="G17" s="32" t="str"/>
      <x:c r="H17" s="44" t="str">
        <x:f>IF(G17="","",IFERROR(G17/MAX(1,COUNTIF('01_Конкуренты'!$B$7:$B$36,"?*")),""))</x:f>
      </x:c>
      <x:c r="I17" s="32" t="str"/>
      <x:c r="J17" s="32" t="str">
        <x:f>IF(B17="","",IF(E17="Обязательное",IF(H17&gt;=0.6,"Минимальный рыночный стандарт","Потенциальный обязательный разрыв"),IF(E17="Линейное",IF(H17&gt;=0.5,"Конкурентная норма с влиянием на выбор","Зона усиления ценности"),IF(E17="Привлекательное",IF(H17&lt;0.5,"Зона дифференциации","Переходит в ожидаемую норму"),IF(E17="Безразличное","Не делать при дефиците ресурсов",IF(E17="Обратное","Исключить или проверить риск отторжения","Требует проверки"))))))</x:f>
      </x:c>
      <x:c r="K17" s="32" t="str"/>
      <x:c r="L17" s="32" t="str"/>
      <x:c r="M17" s="32" t="str"/>
    </x:row>
    <x:row r="18">
      <x:c r="A18" s="32" t="str">
        <x:v>R012</x:v>
      </x:c>
      <x:c r="B18" s="32" t="str"/>
      <x:c r="C18" s="32" t="str"/>
      <x:c r="D18" s="32" t="str"/>
      <x:c r="E18" s="32" t="str"/>
      <x:c r="F18" s="32" t="str"/>
      <x:c r="G18" s="32" t="str"/>
      <x:c r="H18" s="44" t="str">
        <x:f>IF(G18="","",IFERROR(G18/MAX(1,COUNTIF('01_Конкуренты'!$B$7:$B$36,"?*")),""))</x:f>
      </x:c>
      <x:c r="I18" s="32" t="str"/>
      <x:c r="J18" s="32" t="str">
        <x:f>IF(B18="","",IF(E18="Обязательное",IF(H18&gt;=0.6,"Минимальный рыночный стандарт","Потенциальный обязательный разрыв"),IF(E18="Линейное",IF(H18&gt;=0.5,"Конкурентная норма с влиянием на выбор","Зона усиления ценности"),IF(E18="Привлекательное",IF(H18&lt;0.5,"Зона дифференциации","Переходит в ожидаемую норму"),IF(E18="Безразличное","Не делать при дефиците ресурсов",IF(E18="Обратное","Исключить или проверить риск отторжения","Требует проверки"))))))</x:f>
      </x:c>
      <x:c r="K18" s="32" t="str"/>
      <x:c r="L18" s="32" t="str"/>
      <x:c r="M18" s="32" t="str"/>
    </x:row>
    <x:row r="19">
      <x:c r="A19" s="32" t="str">
        <x:v>R013</x:v>
      </x:c>
      <x:c r="B19" s="32" t="str"/>
      <x:c r="C19" s="32" t="str"/>
      <x:c r="D19" s="32" t="str"/>
      <x:c r="E19" s="32" t="str"/>
      <x:c r="F19" s="32" t="str"/>
      <x:c r="G19" s="32" t="str"/>
      <x:c r="H19" s="44" t="str">
        <x:f>IF(G19="","",IFERROR(G19/MAX(1,COUNTIF('01_Конкуренты'!$B$7:$B$36,"?*")),""))</x:f>
      </x:c>
      <x:c r="I19" s="32" t="str"/>
      <x:c r="J19" s="32" t="str">
        <x:f>IF(B19="","",IF(E19="Обязательное",IF(H19&gt;=0.6,"Минимальный рыночный стандарт","Потенциальный обязательный разрыв"),IF(E19="Линейное",IF(H19&gt;=0.5,"Конкурентная норма с влиянием на выбор","Зона усиления ценности"),IF(E19="Привлекательное",IF(H19&lt;0.5,"Зона дифференциации","Переходит в ожидаемую норму"),IF(E19="Безразличное","Не делать при дефиците ресурсов",IF(E19="Обратное","Исключить или проверить риск отторжения","Требует проверки"))))))</x:f>
      </x:c>
      <x:c r="K19" s="32" t="str"/>
      <x:c r="L19" s="32" t="str"/>
      <x:c r="M19" s="32" t="str"/>
    </x:row>
    <x:row r="20">
      <x:c r="A20" s="32" t="str">
        <x:v>R014</x:v>
      </x:c>
      <x:c r="B20" s="32" t="str"/>
      <x:c r="C20" s="32" t="str"/>
      <x:c r="D20" s="32" t="str"/>
      <x:c r="E20" s="32" t="str"/>
      <x:c r="F20" s="32" t="str"/>
      <x:c r="G20" s="32" t="str"/>
      <x:c r="H20" s="44" t="str">
        <x:f>IF(G20="","",IFERROR(G20/MAX(1,COUNTIF('01_Конкуренты'!$B$7:$B$36,"?*")),""))</x:f>
      </x:c>
      <x:c r="I20" s="32" t="str"/>
      <x:c r="J20" s="32" t="str">
        <x:f>IF(B20="","",IF(E20="Обязательное",IF(H20&gt;=0.6,"Минимальный рыночный стандарт","Потенциальный обязательный разрыв"),IF(E20="Линейное",IF(H20&gt;=0.5,"Конкурентная норма с влиянием на выбор","Зона усиления ценности"),IF(E20="Привлекательное",IF(H20&lt;0.5,"Зона дифференциации","Переходит в ожидаемую норму"),IF(E20="Безразличное","Не делать при дефиците ресурсов",IF(E20="Обратное","Исключить или проверить риск отторжения","Требует проверки"))))))</x:f>
      </x:c>
      <x:c r="K20" s="32" t="str"/>
      <x:c r="L20" s="32" t="str"/>
      <x:c r="M20" s="32" t="str"/>
    </x:row>
    <x:row r="21">
      <x:c r="A21" s="32" t="str">
        <x:v>R015</x:v>
      </x:c>
      <x:c r="B21" s="32" t="str"/>
      <x:c r="C21" s="32" t="str"/>
      <x:c r="D21" s="32" t="str"/>
      <x:c r="E21" s="32" t="str"/>
      <x:c r="F21" s="32" t="str"/>
      <x:c r="G21" s="32" t="str"/>
      <x:c r="H21" s="44" t="str">
        <x:f>IF(G21="","",IFERROR(G21/MAX(1,COUNTIF('01_Конкуренты'!$B$7:$B$36,"?*")),""))</x:f>
      </x:c>
      <x:c r="I21" s="32" t="str"/>
      <x:c r="J21" s="32" t="str">
        <x:f>IF(B21="","",IF(E21="Обязательное",IF(H21&gt;=0.6,"Минимальный рыночный стандарт","Потенциальный обязательный разрыв"),IF(E21="Линейное",IF(H21&gt;=0.5,"Конкурентная норма с влиянием на выбор","Зона усиления ценности"),IF(E21="Привлекательное",IF(H21&lt;0.5,"Зона дифференциации","Переходит в ожидаемую норму"),IF(E21="Безразличное","Не делать при дефиците ресурсов",IF(E21="Обратное","Исключить или проверить риск отторжения","Требует проверки"))))))</x:f>
      </x:c>
      <x:c r="K21" s="32" t="str"/>
      <x:c r="L21" s="32" t="str"/>
      <x:c r="M21" s="32" t="str"/>
    </x:row>
    <x:row r="22">
      <x:c r="A22" s="32" t="str">
        <x:v>R016</x:v>
      </x:c>
      <x:c r="B22" s="32" t="str"/>
      <x:c r="C22" s="32" t="str"/>
      <x:c r="D22" s="32" t="str"/>
      <x:c r="E22" s="32" t="str"/>
      <x:c r="F22" s="32" t="str"/>
      <x:c r="G22" s="32" t="str"/>
      <x:c r="H22" s="44" t="str">
        <x:f>IF(G22="","",IFERROR(G22/MAX(1,COUNTIF('01_Конкуренты'!$B$7:$B$36,"?*")),""))</x:f>
      </x:c>
      <x:c r="I22" s="32" t="str"/>
      <x:c r="J22" s="32" t="str">
        <x:f>IF(B22="","",IF(E22="Обязательное",IF(H22&gt;=0.6,"Минимальный рыночный стандарт","Потенциальный обязательный разрыв"),IF(E22="Линейное",IF(H22&gt;=0.5,"Конкурентная норма с влиянием на выбор","Зона усиления ценности"),IF(E22="Привлекательное",IF(H22&lt;0.5,"Зона дифференциации","Переходит в ожидаемую норму"),IF(E22="Безразличное","Не делать при дефиците ресурсов",IF(E22="Обратное","Исключить или проверить риск отторжения","Требует проверки"))))))</x:f>
      </x:c>
      <x:c r="K22" s="32" t="str"/>
      <x:c r="L22" s="32" t="str"/>
      <x:c r="M22" s="32" t="str"/>
    </x:row>
    <x:row r="23">
      <x:c r="A23" s="32" t="str">
        <x:v>R017</x:v>
      </x:c>
      <x:c r="B23" s="32" t="str"/>
      <x:c r="C23" s="32" t="str"/>
      <x:c r="D23" s="32" t="str"/>
      <x:c r="E23" s="32" t="str"/>
      <x:c r="F23" s="32" t="str"/>
      <x:c r="G23" s="32" t="str"/>
      <x:c r="H23" s="44" t="str">
        <x:f>IF(G23="","",IFERROR(G23/MAX(1,COUNTIF('01_Конкуренты'!$B$7:$B$36,"?*")),""))</x:f>
      </x:c>
      <x:c r="I23" s="32" t="str"/>
      <x:c r="J23" s="32" t="str">
        <x:f>IF(B23="","",IF(E23="Обязательное",IF(H23&gt;=0.6,"Минимальный рыночный стандарт","Потенциальный обязательный разрыв"),IF(E23="Линейное",IF(H23&gt;=0.5,"Конкурентная норма с влиянием на выбор","Зона усиления ценности"),IF(E23="Привлекательное",IF(H23&lt;0.5,"Зона дифференциации","Переходит в ожидаемую норму"),IF(E23="Безразличное","Не делать при дефиците ресурсов",IF(E23="Обратное","Исключить или проверить риск отторжения","Требует проверки"))))))</x:f>
      </x:c>
      <x:c r="K23" s="32" t="str"/>
      <x:c r="L23" s="32" t="str"/>
      <x:c r="M23" s="32" t="str"/>
    </x:row>
    <x:row r="24">
      <x:c r="A24" s="32" t="str">
        <x:v>R018</x:v>
      </x:c>
      <x:c r="B24" s="32" t="str"/>
      <x:c r="C24" s="32" t="str"/>
      <x:c r="D24" s="32" t="str"/>
      <x:c r="E24" s="32" t="str"/>
      <x:c r="F24" s="32" t="str"/>
      <x:c r="G24" s="32" t="str"/>
      <x:c r="H24" s="44" t="str">
        <x:f>IF(G24="","",IFERROR(G24/MAX(1,COUNTIF('01_Конкуренты'!$B$7:$B$36,"?*")),""))</x:f>
      </x:c>
      <x:c r="I24" s="32" t="str"/>
      <x:c r="J24" s="32" t="str">
        <x:f>IF(B24="","",IF(E24="Обязательное",IF(H24&gt;=0.6,"Минимальный рыночный стандарт","Потенциальный обязательный разрыв"),IF(E24="Линейное",IF(H24&gt;=0.5,"Конкурентная норма с влиянием на выбор","Зона усиления ценности"),IF(E24="Привлекательное",IF(H24&lt;0.5,"Зона дифференциации","Переходит в ожидаемую норму"),IF(E24="Безразличное","Не делать при дефиците ресурсов",IF(E24="Обратное","Исключить или проверить риск отторжения","Требует проверки"))))))</x:f>
      </x:c>
      <x:c r="K24" s="32" t="str"/>
      <x:c r="L24" s="32" t="str"/>
      <x:c r="M24" s="32" t="str"/>
    </x:row>
    <x:row r="25">
      <x:c r="A25" s="32" t="str">
        <x:v>R019</x:v>
      </x:c>
      <x:c r="B25" s="32" t="str"/>
      <x:c r="C25" s="32" t="str"/>
      <x:c r="D25" s="32" t="str"/>
      <x:c r="E25" s="32" t="str"/>
      <x:c r="F25" s="32" t="str"/>
      <x:c r="G25" s="32" t="str"/>
      <x:c r="H25" s="44" t="str">
        <x:f>IF(G25="","",IFERROR(G25/MAX(1,COUNTIF('01_Конкуренты'!$B$7:$B$36,"?*")),""))</x:f>
      </x:c>
      <x:c r="I25" s="32" t="str"/>
      <x:c r="J25" s="32" t="str">
        <x:f>IF(B25="","",IF(E25="Обязательное",IF(H25&gt;=0.6,"Минимальный рыночный стандарт","Потенциальный обязательный разрыв"),IF(E25="Линейное",IF(H25&gt;=0.5,"Конкурентная норма с влиянием на выбор","Зона усиления ценности"),IF(E25="Привлекательное",IF(H25&lt;0.5,"Зона дифференциации","Переходит в ожидаемую норму"),IF(E25="Безразличное","Не делать при дефиците ресурсов",IF(E25="Обратное","Исключить или проверить риск отторжения","Требует проверки"))))))</x:f>
      </x:c>
      <x:c r="K25" s="32" t="str"/>
      <x:c r="L25" s="32" t="str"/>
      <x:c r="M25" s="32" t="str"/>
    </x:row>
    <x:row r="26">
      <x:c r="A26" s="32" t="str">
        <x:v>R020</x:v>
      </x:c>
      <x:c r="B26" s="32" t="str"/>
      <x:c r="C26" s="32" t="str"/>
      <x:c r="D26" s="32" t="str"/>
      <x:c r="E26" s="32" t="str"/>
      <x:c r="F26" s="32" t="str"/>
      <x:c r="G26" s="32" t="str"/>
      <x:c r="H26" s="44" t="str">
        <x:f>IF(G26="","",IFERROR(G26/MAX(1,COUNTIF('01_Конкуренты'!$B$7:$B$36,"?*")),""))</x:f>
      </x:c>
      <x:c r="I26" s="32" t="str"/>
      <x:c r="J26" s="32" t="str">
        <x:f>IF(B26="","",IF(E26="Обязательное",IF(H26&gt;=0.6,"Минимальный рыночный стандарт","Потенциальный обязательный разрыв"),IF(E26="Линейное",IF(H26&gt;=0.5,"Конкурентная норма с влиянием на выбор","Зона усиления ценности"),IF(E26="Привлекательное",IF(H26&lt;0.5,"Зона дифференциации","Переходит в ожидаемую норму"),IF(E26="Безразличное","Не делать при дефиците ресурсов",IF(E26="Обратное","Исключить или проверить риск отторжения","Требует проверки"))))))</x:f>
      </x:c>
      <x:c r="K26" s="32" t="str"/>
      <x:c r="L26" s="32" t="str"/>
      <x:c r="M26" s="32" t="str"/>
    </x:row>
    <x:row r="27">
      <x:c r="A27" s="32" t="str">
        <x:v>R021</x:v>
      </x:c>
      <x:c r="B27" s="32" t="str"/>
      <x:c r="C27" s="32" t="str"/>
      <x:c r="D27" s="32" t="str"/>
      <x:c r="E27" s="32" t="str"/>
      <x:c r="F27" s="32" t="str"/>
      <x:c r="G27" s="32" t="str"/>
      <x:c r="H27" s="44" t="str">
        <x:f>IF(G27="","",IFERROR(G27/MAX(1,COUNTIF('01_Конкуренты'!$B$7:$B$36,"?*")),""))</x:f>
      </x:c>
      <x:c r="I27" s="32" t="str"/>
      <x:c r="J27" s="32" t="str">
        <x:f>IF(B27="","",IF(E27="Обязательное",IF(H27&gt;=0.6,"Минимальный рыночный стандарт","Потенциальный обязательный разрыв"),IF(E27="Линейное",IF(H27&gt;=0.5,"Конкурентная норма с влиянием на выбор","Зона усиления ценности"),IF(E27="Привлекательное",IF(H27&lt;0.5,"Зона дифференциации","Переходит в ожидаемую норму"),IF(E27="Безразличное","Не делать при дефиците ресурсов",IF(E27="Обратное","Исключить или проверить риск отторжения","Требует проверки"))))))</x:f>
      </x:c>
      <x:c r="K27" s="32" t="str"/>
      <x:c r="L27" s="32" t="str"/>
      <x:c r="M27" s="32" t="str"/>
    </x:row>
    <x:row r="28">
      <x:c r="A28" s="32" t="str">
        <x:v>R022</x:v>
      </x:c>
      <x:c r="B28" s="32" t="str"/>
      <x:c r="C28" s="32" t="str"/>
      <x:c r="D28" s="32" t="str"/>
      <x:c r="E28" s="32" t="str"/>
      <x:c r="F28" s="32" t="str"/>
      <x:c r="G28" s="32" t="str"/>
      <x:c r="H28" s="44" t="str">
        <x:f>IF(G28="","",IFERROR(G28/MAX(1,COUNTIF('01_Конкуренты'!$B$7:$B$36,"?*")),""))</x:f>
      </x:c>
      <x:c r="I28" s="32" t="str"/>
      <x:c r="J28" s="32" t="str">
        <x:f>IF(B28="","",IF(E28="Обязательное",IF(H28&gt;=0.6,"Минимальный рыночный стандарт","Потенциальный обязательный разрыв"),IF(E28="Линейное",IF(H28&gt;=0.5,"Конкурентная норма с влиянием на выбор","Зона усиления ценности"),IF(E28="Привлекательное",IF(H28&lt;0.5,"Зона дифференциации","Переходит в ожидаемую норму"),IF(E28="Безразличное","Не делать при дефиците ресурсов",IF(E28="Обратное","Исключить или проверить риск отторжения","Требует проверки"))))))</x:f>
      </x:c>
      <x:c r="K28" s="32" t="str"/>
      <x:c r="L28" s="32" t="str"/>
      <x:c r="M28" s="32" t="str"/>
    </x:row>
    <x:row r="29">
      <x:c r="A29" s="32" t="str">
        <x:v>R023</x:v>
      </x:c>
      <x:c r="B29" s="32" t="str"/>
      <x:c r="C29" s="32" t="str"/>
      <x:c r="D29" s="32" t="str"/>
      <x:c r="E29" s="32" t="str"/>
      <x:c r="F29" s="32" t="str"/>
      <x:c r="G29" s="32" t="str"/>
      <x:c r="H29" s="44" t="str">
        <x:f>IF(G29="","",IFERROR(G29/MAX(1,COUNTIF('01_Конкуренты'!$B$7:$B$36,"?*")),""))</x:f>
      </x:c>
      <x:c r="I29" s="32" t="str"/>
      <x:c r="J29" s="32" t="str">
        <x:f>IF(B29="","",IF(E29="Обязательное",IF(H29&gt;=0.6,"Минимальный рыночный стандарт","Потенциальный обязательный разрыв"),IF(E29="Линейное",IF(H29&gt;=0.5,"Конкурентная норма с влиянием на выбор","Зона усиления ценности"),IF(E29="Привлекательное",IF(H29&lt;0.5,"Зона дифференциации","Переходит в ожидаемую норму"),IF(E29="Безразличное","Не делать при дефиците ресурсов",IF(E29="Обратное","Исключить или проверить риск отторжения","Требует проверки"))))))</x:f>
      </x:c>
      <x:c r="K29" s="32" t="str"/>
      <x:c r="L29" s="32" t="str"/>
      <x:c r="M29" s="32" t="str"/>
    </x:row>
    <x:row r="30">
      <x:c r="A30" s="32" t="str">
        <x:v>R024</x:v>
      </x:c>
      <x:c r="B30" s="32" t="str"/>
      <x:c r="C30" s="32" t="str"/>
      <x:c r="D30" s="32" t="str"/>
      <x:c r="E30" s="32" t="str"/>
      <x:c r="F30" s="32" t="str"/>
      <x:c r="G30" s="32" t="str"/>
      <x:c r="H30" s="44" t="str">
        <x:f>IF(G30="","",IFERROR(G30/MAX(1,COUNTIF('01_Конкуренты'!$B$7:$B$36,"?*")),""))</x:f>
      </x:c>
      <x:c r="I30" s="32" t="str"/>
      <x:c r="J30" s="32" t="str">
        <x:f>IF(B30="","",IF(E30="Обязательное",IF(H30&gt;=0.6,"Минимальный рыночный стандарт","Потенциальный обязательный разрыв"),IF(E30="Линейное",IF(H30&gt;=0.5,"Конкурентная норма с влиянием на выбор","Зона усиления ценности"),IF(E30="Привлекательное",IF(H30&lt;0.5,"Зона дифференциации","Переходит в ожидаемую норму"),IF(E30="Безразличное","Не делать при дефиците ресурсов",IF(E30="Обратное","Исключить или проверить риск отторжения","Требует проверки"))))))</x:f>
      </x:c>
      <x:c r="K30" s="32" t="str"/>
      <x:c r="L30" s="32" t="str"/>
      <x:c r="M30" s="32" t="str"/>
    </x:row>
    <x:row r="31">
      <x:c r="A31" s="32" t="str">
        <x:v>R025</x:v>
      </x:c>
      <x:c r="B31" s="32" t="str"/>
      <x:c r="C31" s="32" t="str"/>
      <x:c r="D31" s="32" t="str"/>
      <x:c r="E31" s="32" t="str"/>
      <x:c r="F31" s="32" t="str"/>
      <x:c r="G31" s="32" t="str"/>
      <x:c r="H31" s="44" t="str">
        <x:f>IF(G31="","",IFERROR(G31/MAX(1,COUNTIF('01_Конкуренты'!$B$7:$B$36,"?*")),""))</x:f>
      </x:c>
      <x:c r="I31" s="32" t="str"/>
      <x:c r="J31" s="32" t="str">
        <x:f>IF(B31="","",IF(E31="Обязательное",IF(H31&gt;=0.6,"Минимальный рыночный стандарт","Потенциальный обязательный разрыв"),IF(E31="Линейное",IF(H31&gt;=0.5,"Конкурентная норма с влиянием на выбор","Зона усиления ценности"),IF(E31="Привлекательное",IF(H31&lt;0.5,"Зона дифференциации","Переходит в ожидаемую норму"),IF(E31="Безразличное","Не делать при дефиците ресурсов",IF(E31="Обратное","Исключить или проверить риск отторжения","Требует проверки"))))))</x:f>
      </x:c>
      <x:c r="K31" s="32" t="str"/>
      <x:c r="L31" s="32" t="str"/>
      <x:c r="M31" s="32" t="str"/>
    </x:row>
    <x:row r="32">
      <x:c r="A32" s="32" t="str">
        <x:v>R026</x:v>
      </x:c>
      <x:c r="B32" s="32" t="str"/>
      <x:c r="C32" s="32" t="str"/>
      <x:c r="D32" s="32" t="str"/>
      <x:c r="E32" s="32" t="str"/>
      <x:c r="F32" s="32" t="str"/>
      <x:c r="G32" s="32" t="str"/>
      <x:c r="H32" s="44" t="str">
        <x:f>IF(G32="","",IFERROR(G32/MAX(1,COUNTIF('01_Конкуренты'!$B$7:$B$36,"?*")),""))</x:f>
      </x:c>
      <x:c r="I32" s="32" t="str"/>
      <x:c r="J32" s="32" t="str">
        <x:f>IF(B32="","",IF(E32="Обязательное",IF(H32&gt;=0.6,"Минимальный рыночный стандарт","Потенциальный обязательный разрыв"),IF(E32="Линейное",IF(H32&gt;=0.5,"Конкурентная норма с влиянием на выбор","Зона усиления ценности"),IF(E32="Привлекательное",IF(H32&lt;0.5,"Зона дифференциации","Переходит в ожидаемую норму"),IF(E32="Безразличное","Не делать при дефиците ресурсов",IF(E32="Обратное","Исключить или проверить риск отторжения","Требует проверки"))))))</x:f>
      </x:c>
      <x:c r="K32" s="32" t="str"/>
      <x:c r="L32" s="32" t="str"/>
      <x:c r="M32" s="32" t="str"/>
    </x:row>
    <x:row r="33">
      <x:c r="A33" s="32" t="str">
        <x:v>R027</x:v>
      </x:c>
      <x:c r="B33" s="32" t="str"/>
      <x:c r="C33" s="32" t="str"/>
      <x:c r="D33" s="32" t="str"/>
      <x:c r="E33" s="32" t="str"/>
      <x:c r="F33" s="32" t="str"/>
      <x:c r="G33" s="32" t="str"/>
      <x:c r="H33" s="44" t="str">
        <x:f>IF(G33="","",IFERROR(G33/MAX(1,COUNTIF('01_Конкуренты'!$B$7:$B$36,"?*")),""))</x:f>
      </x:c>
      <x:c r="I33" s="32" t="str"/>
      <x:c r="J33" s="32" t="str">
        <x:f>IF(B33="","",IF(E33="Обязательное",IF(H33&gt;=0.6,"Минимальный рыночный стандарт","Потенциальный обязательный разрыв"),IF(E33="Линейное",IF(H33&gt;=0.5,"Конкурентная норма с влиянием на выбор","Зона усиления ценности"),IF(E33="Привлекательное",IF(H33&lt;0.5,"Зона дифференциации","Переходит в ожидаемую норму"),IF(E33="Безразличное","Не делать при дефиците ресурсов",IF(E33="Обратное","Исключить или проверить риск отторжения","Требует проверки"))))))</x:f>
      </x:c>
      <x:c r="K33" s="32" t="str"/>
      <x:c r="L33" s="32" t="str"/>
      <x:c r="M33" s="32" t="str"/>
    </x:row>
    <x:row r="34">
      <x:c r="A34" s="32" t="str">
        <x:v>R028</x:v>
      </x:c>
      <x:c r="B34" s="32" t="str"/>
      <x:c r="C34" s="32" t="str"/>
      <x:c r="D34" s="32" t="str"/>
      <x:c r="E34" s="32" t="str"/>
      <x:c r="F34" s="32" t="str"/>
      <x:c r="G34" s="32" t="str"/>
      <x:c r="H34" s="44" t="str">
        <x:f>IF(G34="","",IFERROR(G34/MAX(1,COUNTIF('01_Конкуренты'!$B$7:$B$36,"?*")),""))</x:f>
      </x:c>
      <x:c r="I34" s="32" t="str"/>
      <x:c r="J34" s="32" t="str">
        <x:f>IF(B34="","",IF(E34="Обязательное",IF(H34&gt;=0.6,"Минимальный рыночный стандарт","Потенциальный обязательный разрыв"),IF(E34="Линейное",IF(H34&gt;=0.5,"Конкурентная норма с влиянием на выбор","Зона усиления ценности"),IF(E34="Привлекательное",IF(H34&lt;0.5,"Зона дифференциации","Переходит в ожидаемую норму"),IF(E34="Безразличное","Не делать при дефиците ресурсов",IF(E34="Обратное","Исключить или проверить риск отторжения","Требует проверки"))))))</x:f>
      </x:c>
      <x:c r="K34" s="32" t="str"/>
      <x:c r="L34" s="32" t="str"/>
      <x:c r="M34" s="32" t="str"/>
    </x:row>
    <x:row r="35">
      <x:c r="A35" s="32" t="str">
        <x:v>R029</x:v>
      </x:c>
      <x:c r="B35" s="32" t="str"/>
      <x:c r="C35" s="32" t="str"/>
      <x:c r="D35" s="32" t="str"/>
      <x:c r="E35" s="32" t="str"/>
      <x:c r="F35" s="32" t="str"/>
      <x:c r="G35" s="32" t="str"/>
      <x:c r="H35" s="44" t="str">
        <x:f>IF(G35="","",IFERROR(G35/MAX(1,COUNTIF('01_Конкуренты'!$B$7:$B$36,"?*")),""))</x:f>
      </x:c>
      <x:c r="I35" s="32" t="str"/>
      <x:c r="J35" s="32" t="str">
        <x:f>IF(B35="","",IF(E35="Обязательное",IF(H35&gt;=0.6,"Минимальный рыночный стандарт","Потенциальный обязательный разрыв"),IF(E35="Линейное",IF(H35&gt;=0.5,"Конкурентная норма с влиянием на выбор","Зона усиления ценности"),IF(E35="Привлекательное",IF(H35&lt;0.5,"Зона дифференциации","Переходит в ожидаемую норму"),IF(E35="Безразличное","Не делать при дефиците ресурсов",IF(E35="Обратное","Исключить или проверить риск отторжения","Требует проверки"))))))</x:f>
      </x:c>
      <x:c r="K35" s="32" t="str"/>
      <x:c r="L35" s="32" t="str"/>
      <x:c r="M35" s="32" t="str"/>
    </x:row>
    <x:row r="36">
      <x:c r="A36" s="32" t="str">
        <x:v>R030</x:v>
      </x:c>
      <x:c r="B36" s="32" t="str"/>
      <x:c r="C36" s="32" t="str"/>
      <x:c r="D36" s="32" t="str"/>
      <x:c r="E36" s="32" t="str"/>
      <x:c r="F36" s="32" t="str"/>
      <x:c r="G36" s="32" t="str"/>
      <x:c r="H36" s="44" t="str">
        <x:f>IF(G36="","",IFERROR(G36/MAX(1,COUNTIF('01_Конкуренты'!$B$7:$B$36,"?*")),""))</x:f>
      </x:c>
      <x:c r="I36" s="32" t="str"/>
      <x:c r="J36" s="32" t="str">
        <x:f>IF(B36="","",IF(E36="Обязательное",IF(H36&gt;=0.6,"Минимальный рыночный стандарт","Потенциальный обязательный разрыв"),IF(E36="Линейное",IF(H36&gt;=0.5,"Конкурентная норма с влиянием на выбор","Зона усиления ценности"),IF(E36="Привлекательное",IF(H36&lt;0.5,"Зона дифференциации","Переходит в ожидаемую норму"),IF(E36="Безразличное","Не делать при дефиците ресурсов",IF(E36="Обратное","Исключить или проверить риск отторжения","Требует проверки"))))))</x:f>
      </x:c>
      <x:c r="K36" s="32" t="str"/>
      <x:c r="L36" s="32" t="str"/>
      <x:c r="M36" s="32" t="str"/>
    </x:row>
    <x:row r="37">
      <x:c r="A37" s="32" t="str">
        <x:v>R031</x:v>
      </x:c>
      <x:c r="B37" s="32" t="str"/>
      <x:c r="C37" s="32" t="str"/>
      <x:c r="D37" s="32" t="str"/>
      <x:c r="E37" s="32" t="str"/>
      <x:c r="F37" s="32" t="str"/>
      <x:c r="G37" s="32" t="str"/>
      <x:c r="H37" s="44" t="str">
        <x:f>IF(G37="","",IFERROR(G37/MAX(1,COUNTIF('01_Конкуренты'!$B$7:$B$36,"?*")),""))</x:f>
      </x:c>
      <x:c r="I37" s="32" t="str"/>
      <x:c r="J37" s="32" t="str">
        <x:f>IF(B37="","",IF(E37="Обязательное",IF(H37&gt;=0.6,"Минимальный рыночный стандарт","Потенциальный обязательный разрыв"),IF(E37="Линейное",IF(H37&gt;=0.5,"Конкурентная норма с влиянием на выбор","Зона усиления ценности"),IF(E37="Привлекательное",IF(H37&lt;0.5,"Зона дифференциации","Переходит в ожидаемую норму"),IF(E37="Безразличное","Не делать при дефиците ресурсов",IF(E37="Обратное","Исключить или проверить риск отторжения","Требует проверки"))))))</x:f>
      </x:c>
      <x:c r="K37" s="32" t="str"/>
      <x:c r="L37" s="32" t="str"/>
      <x:c r="M37" s="32" t="str"/>
    </x:row>
    <x:row r="38">
      <x:c r="A38" s="32" t="str">
        <x:v>R032</x:v>
      </x:c>
      <x:c r="B38" s="32" t="str"/>
      <x:c r="C38" s="32" t="str"/>
      <x:c r="D38" s="32" t="str"/>
      <x:c r="E38" s="32" t="str"/>
      <x:c r="F38" s="32" t="str"/>
      <x:c r="G38" s="32" t="str"/>
      <x:c r="H38" s="44" t="str">
        <x:f>IF(G38="","",IFERROR(G38/MAX(1,COUNTIF('01_Конкуренты'!$B$7:$B$36,"?*")),""))</x:f>
      </x:c>
      <x:c r="I38" s="32" t="str"/>
      <x:c r="J38" s="32" t="str">
        <x:f>IF(B38="","",IF(E38="Обязательное",IF(H38&gt;=0.6,"Минимальный рыночный стандарт","Потенциальный обязательный разрыв"),IF(E38="Линейное",IF(H38&gt;=0.5,"Конкурентная норма с влиянием на выбор","Зона усиления ценности"),IF(E38="Привлекательное",IF(H38&lt;0.5,"Зона дифференциации","Переходит в ожидаемую норму"),IF(E38="Безразличное","Не делать при дефиците ресурсов",IF(E38="Обратное","Исключить или проверить риск отторжения","Требует проверки"))))))</x:f>
      </x:c>
      <x:c r="K38" s="32" t="str"/>
      <x:c r="L38" s="32" t="str"/>
      <x:c r="M38" s="32" t="str"/>
    </x:row>
    <x:row r="39">
      <x:c r="A39" s="32" t="str">
        <x:v>R033</x:v>
      </x:c>
      <x:c r="B39" s="32" t="str"/>
      <x:c r="C39" s="32" t="str"/>
      <x:c r="D39" s="32" t="str"/>
      <x:c r="E39" s="32" t="str"/>
      <x:c r="F39" s="32" t="str"/>
      <x:c r="G39" s="32" t="str"/>
      <x:c r="H39" s="44" t="str">
        <x:f>IF(G39="","",IFERROR(G39/MAX(1,COUNTIF('01_Конкуренты'!$B$7:$B$36,"?*")),""))</x:f>
      </x:c>
      <x:c r="I39" s="32" t="str"/>
      <x:c r="J39" s="32" t="str">
        <x:f>IF(B39="","",IF(E39="Обязательное",IF(H39&gt;=0.6,"Минимальный рыночный стандарт","Потенциальный обязательный разрыв"),IF(E39="Линейное",IF(H39&gt;=0.5,"Конкурентная норма с влиянием на выбор","Зона усиления ценности"),IF(E39="Привлекательное",IF(H39&lt;0.5,"Зона дифференциации","Переходит в ожидаемую норму"),IF(E39="Безразличное","Не делать при дефиците ресурсов",IF(E39="Обратное","Исключить или проверить риск отторжения","Требует проверки"))))))</x:f>
      </x:c>
      <x:c r="K39" s="32" t="str"/>
      <x:c r="L39" s="32" t="str"/>
      <x:c r="M39" s="32" t="str"/>
    </x:row>
    <x:row r="40">
      <x:c r="A40" s="32" t="str">
        <x:v>R034</x:v>
      </x:c>
      <x:c r="B40" s="32" t="str"/>
      <x:c r="C40" s="32" t="str"/>
      <x:c r="D40" s="32" t="str"/>
      <x:c r="E40" s="32" t="str"/>
      <x:c r="F40" s="32" t="str"/>
      <x:c r="G40" s="32" t="str"/>
      <x:c r="H40" s="44" t="str">
        <x:f>IF(G40="","",IFERROR(G40/MAX(1,COUNTIF('01_Конкуренты'!$B$7:$B$36,"?*")),""))</x:f>
      </x:c>
      <x:c r="I40" s="32" t="str"/>
      <x:c r="J40" s="32" t="str">
        <x:f>IF(B40="","",IF(E40="Обязательное",IF(H40&gt;=0.6,"Минимальный рыночный стандарт","Потенциальный обязательный разрыв"),IF(E40="Линейное",IF(H40&gt;=0.5,"Конкурентная норма с влиянием на выбор","Зона усиления ценности"),IF(E40="Привлекательное",IF(H40&lt;0.5,"Зона дифференциации","Переходит в ожидаемую норму"),IF(E40="Безразличное","Не делать при дефиците ресурсов",IF(E40="Обратное","Исключить или проверить риск отторжения","Требует проверки"))))))</x:f>
      </x:c>
      <x:c r="K40" s="32" t="str"/>
      <x:c r="L40" s="32" t="str"/>
      <x:c r="M40" s="32" t="str"/>
    </x:row>
    <x:row r="41">
      <x:c r="A41" s="32" t="str">
        <x:v>R035</x:v>
      </x:c>
      <x:c r="B41" s="32" t="str"/>
      <x:c r="C41" s="32" t="str"/>
      <x:c r="D41" s="32" t="str"/>
      <x:c r="E41" s="32" t="str"/>
      <x:c r="F41" s="32" t="str"/>
      <x:c r="G41" s="32" t="str"/>
      <x:c r="H41" s="44" t="str">
        <x:f>IF(G41="","",IFERROR(G41/MAX(1,COUNTIF('01_Конкуренты'!$B$7:$B$36,"?*")),""))</x:f>
      </x:c>
      <x:c r="I41" s="32" t="str"/>
      <x:c r="J41" s="32" t="str">
        <x:f>IF(B41="","",IF(E41="Обязательное",IF(H41&gt;=0.6,"Минимальный рыночный стандарт","Потенциальный обязательный разрыв"),IF(E41="Линейное",IF(H41&gt;=0.5,"Конкурентная норма с влиянием на выбор","Зона усиления ценности"),IF(E41="Привлекательное",IF(H41&lt;0.5,"Зона дифференциации","Переходит в ожидаемую норму"),IF(E41="Безразличное","Не делать при дефиците ресурсов",IF(E41="Обратное","Исключить или проверить риск отторжения","Требует проверки"))))))</x:f>
      </x:c>
      <x:c r="K41" s="32" t="str"/>
      <x:c r="L41" s="32" t="str"/>
      <x:c r="M41" s="32" t="str"/>
    </x:row>
    <x:row r="42">
      <x:c r="A42" s="32" t="str">
        <x:v>R036</x:v>
      </x:c>
      <x:c r="B42" s="32" t="str"/>
      <x:c r="C42" s="32" t="str"/>
      <x:c r="D42" s="32" t="str"/>
      <x:c r="E42" s="32" t="str"/>
      <x:c r="F42" s="32" t="str"/>
      <x:c r="G42" s="32" t="str"/>
      <x:c r="H42" s="44" t="str">
        <x:f>IF(G42="","",IFERROR(G42/MAX(1,COUNTIF('01_Конкуренты'!$B$7:$B$36,"?*")),""))</x:f>
      </x:c>
      <x:c r="I42" s="32" t="str"/>
      <x:c r="J42" s="32" t="str">
        <x:f>IF(B42="","",IF(E42="Обязательное",IF(H42&gt;=0.6,"Минимальный рыночный стандарт","Потенциальный обязательный разрыв"),IF(E42="Линейное",IF(H42&gt;=0.5,"Конкурентная норма с влиянием на выбор","Зона усиления ценности"),IF(E42="Привлекательное",IF(H42&lt;0.5,"Зона дифференциации","Переходит в ожидаемую норму"),IF(E42="Безразличное","Не делать при дефиците ресурсов",IF(E42="Обратное","Исключить или проверить риск отторжения","Требует проверки"))))))</x:f>
      </x:c>
      <x:c r="K42" s="32" t="str"/>
      <x:c r="L42" s="32" t="str"/>
      <x:c r="M42" s="32" t="str"/>
    </x:row>
    <x:row r="43">
      <x:c r="A43" s="32" t="str">
        <x:v>R037</x:v>
      </x:c>
      <x:c r="B43" s="32" t="str"/>
      <x:c r="C43" s="32" t="str"/>
      <x:c r="D43" s="32" t="str"/>
      <x:c r="E43" s="32" t="str"/>
      <x:c r="F43" s="32" t="str"/>
      <x:c r="G43" s="32" t="str"/>
      <x:c r="H43" s="44" t="str">
        <x:f>IF(G43="","",IFERROR(G43/MAX(1,COUNTIF('01_Конкуренты'!$B$7:$B$36,"?*")),""))</x:f>
      </x:c>
      <x:c r="I43" s="32" t="str"/>
      <x:c r="J43" s="32" t="str">
        <x:f>IF(B43="","",IF(E43="Обязательное",IF(H43&gt;=0.6,"Минимальный рыночный стандарт","Потенциальный обязательный разрыв"),IF(E43="Линейное",IF(H43&gt;=0.5,"Конкурентная норма с влиянием на выбор","Зона усиления ценности"),IF(E43="Привлекательное",IF(H43&lt;0.5,"Зона дифференциации","Переходит в ожидаемую норму"),IF(E43="Безразличное","Не делать при дефиците ресурсов",IF(E43="Обратное","Исключить или проверить риск отторжения","Требует проверки"))))))</x:f>
      </x:c>
      <x:c r="K43" s="32" t="str"/>
      <x:c r="L43" s="32" t="str"/>
      <x:c r="M43" s="32" t="str"/>
    </x:row>
    <x:row r="44">
      <x:c r="A44" s="32" t="str">
        <x:v>R038</x:v>
      </x:c>
      <x:c r="B44" s="32" t="str"/>
      <x:c r="C44" s="32" t="str"/>
      <x:c r="D44" s="32" t="str"/>
      <x:c r="E44" s="32" t="str"/>
      <x:c r="F44" s="32" t="str"/>
      <x:c r="G44" s="32" t="str"/>
      <x:c r="H44" s="44" t="str">
        <x:f>IF(G44="","",IFERROR(G44/MAX(1,COUNTIF('01_Конкуренты'!$B$7:$B$36,"?*")),""))</x:f>
      </x:c>
      <x:c r="I44" s="32" t="str"/>
      <x:c r="J44" s="32" t="str">
        <x:f>IF(B44="","",IF(E44="Обязательное",IF(H44&gt;=0.6,"Минимальный рыночный стандарт","Потенциальный обязательный разрыв"),IF(E44="Линейное",IF(H44&gt;=0.5,"Конкурентная норма с влиянием на выбор","Зона усиления ценности"),IF(E44="Привлекательное",IF(H44&lt;0.5,"Зона дифференциации","Переходит в ожидаемую норму"),IF(E44="Безразличное","Не делать при дефиците ресурсов",IF(E44="Обратное","Исключить или проверить риск отторжения","Требует проверки"))))))</x:f>
      </x:c>
      <x:c r="K44" s="32" t="str"/>
      <x:c r="L44" s="32" t="str"/>
      <x:c r="M44" s="32" t="str"/>
    </x:row>
    <x:row r="45">
      <x:c r="A45" s="32" t="str">
        <x:v>R039</x:v>
      </x:c>
      <x:c r="B45" s="32" t="str"/>
      <x:c r="C45" s="32" t="str"/>
      <x:c r="D45" s="32" t="str"/>
      <x:c r="E45" s="32" t="str"/>
      <x:c r="F45" s="32" t="str"/>
      <x:c r="G45" s="32" t="str"/>
      <x:c r="H45" s="44" t="str">
        <x:f>IF(G45="","",IFERROR(G45/MAX(1,COUNTIF('01_Конкуренты'!$B$7:$B$36,"?*")),""))</x:f>
      </x:c>
      <x:c r="I45" s="32" t="str"/>
      <x:c r="J45" s="32" t="str">
        <x:f>IF(B45="","",IF(E45="Обязательное",IF(H45&gt;=0.6,"Минимальный рыночный стандарт","Потенциальный обязательный разрыв"),IF(E45="Линейное",IF(H45&gt;=0.5,"Конкурентная норма с влиянием на выбор","Зона усиления ценности"),IF(E45="Привлекательное",IF(H45&lt;0.5,"Зона дифференциации","Переходит в ожидаемую норму"),IF(E45="Безразличное","Не делать при дефиците ресурсов",IF(E45="Обратное","Исключить или проверить риск отторжения","Требует проверки"))))))</x:f>
      </x:c>
      <x:c r="K45" s="32" t="str"/>
      <x:c r="L45" s="32" t="str"/>
      <x:c r="M45" s="32" t="str"/>
    </x:row>
    <x:row r="46">
      <x:c r="A46" s="32" t="str">
        <x:v>R040</x:v>
      </x:c>
      <x:c r="B46" s="32" t="str"/>
      <x:c r="C46" s="32" t="str"/>
      <x:c r="D46" s="32" t="str"/>
      <x:c r="E46" s="32" t="str"/>
      <x:c r="F46" s="32" t="str"/>
      <x:c r="G46" s="32" t="str"/>
      <x:c r="H46" s="44" t="str">
        <x:f>IF(G46="","",IFERROR(G46/MAX(1,COUNTIF('01_Конкуренты'!$B$7:$B$36,"?*")),""))</x:f>
      </x:c>
      <x:c r="I46" s="32" t="str"/>
      <x:c r="J46" s="32" t="str">
        <x:f>IF(B46="","",IF(E46="Обязательное",IF(H46&gt;=0.6,"Минимальный рыночный стандарт","Потенциальный обязательный разрыв"),IF(E46="Линейное",IF(H46&gt;=0.5,"Конкурентная норма с влиянием на выбор","Зона усиления ценности"),IF(E46="Привлекательное",IF(H46&lt;0.5,"Зона дифференциации","Переходит в ожидаемую норму"),IF(E46="Безразличное","Не делать при дефиците ресурсов",IF(E46="Обратное","Исключить или проверить риск отторжения","Требует проверки"))))))</x:f>
      </x:c>
      <x:c r="K46" s="32" t="str"/>
      <x:c r="L46" s="32" t="str"/>
      <x:c r="M46" s="32" t="str"/>
    </x:row>
    <x:row r="47">
      <x:c r="A47" s="32" t="str">
        <x:v>R041</x:v>
      </x:c>
      <x:c r="B47" s="32" t="str"/>
      <x:c r="C47" s="32" t="str"/>
      <x:c r="D47" s="32" t="str"/>
      <x:c r="E47" s="32" t="str"/>
      <x:c r="F47" s="32" t="str"/>
      <x:c r="G47" s="32" t="str"/>
      <x:c r="H47" s="44" t="str">
        <x:f>IF(G47="","",IFERROR(G47/MAX(1,COUNTIF('01_Конкуренты'!$B$7:$B$36,"?*")),""))</x:f>
      </x:c>
      <x:c r="I47" s="32" t="str"/>
      <x:c r="J47" s="32" t="str">
        <x:f>IF(B47="","",IF(E47="Обязательное",IF(H47&gt;=0.6,"Минимальный рыночный стандарт","Потенциальный обязательный разрыв"),IF(E47="Линейное",IF(H47&gt;=0.5,"Конкурентная норма с влиянием на выбор","Зона усиления ценности"),IF(E47="Привлекательное",IF(H47&lt;0.5,"Зона дифференциации","Переходит в ожидаемую норму"),IF(E47="Безразличное","Не делать при дефиците ресурсов",IF(E47="Обратное","Исключить или проверить риск отторжения","Требует проверки"))))))</x:f>
      </x:c>
      <x:c r="K47" s="32" t="str"/>
      <x:c r="L47" s="32" t="str"/>
      <x:c r="M47" s="32" t="str"/>
    </x:row>
    <x:row r="48">
      <x:c r="A48" s="32" t="str">
        <x:v>R042</x:v>
      </x:c>
      <x:c r="B48" s="32" t="str"/>
      <x:c r="C48" s="32" t="str"/>
      <x:c r="D48" s="32" t="str"/>
      <x:c r="E48" s="32" t="str"/>
      <x:c r="F48" s="32" t="str"/>
      <x:c r="G48" s="32" t="str"/>
      <x:c r="H48" s="44" t="str">
        <x:f>IF(G48="","",IFERROR(G48/MAX(1,COUNTIF('01_Конкуренты'!$B$7:$B$36,"?*")),""))</x:f>
      </x:c>
      <x:c r="I48" s="32" t="str"/>
      <x:c r="J48" s="32" t="str">
        <x:f>IF(B48="","",IF(E48="Обязательное",IF(H48&gt;=0.6,"Минимальный рыночный стандарт","Потенциальный обязательный разрыв"),IF(E48="Линейное",IF(H48&gt;=0.5,"Конкурентная норма с влиянием на выбор","Зона усиления ценности"),IF(E48="Привлекательное",IF(H48&lt;0.5,"Зона дифференциации","Переходит в ожидаемую норму"),IF(E48="Безразличное","Не делать при дефиците ресурсов",IF(E48="Обратное","Исключить или проверить риск отторжения","Требует проверки"))))))</x:f>
      </x:c>
      <x:c r="K48" s="32" t="str"/>
      <x:c r="L48" s="32" t="str"/>
      <x:c r="M48" s="32" t="str"/>
    </x:row>
    <x:row r="49">
      <x:c r="A49" s="32" t="str">
        <x:v>R043</x:v>
      </x:c>
      <x:c r="B49" s="32" t="str"/>
      <x:c r="C49" s="32" t="str"/>
      <x:c r="D49" s="32" t="str"/>
      <x:c r="E49" s="32" t="str"/>
      <x:c r="F49" s="32" t="str"/>
      <x:c r="G49" s="32" t="str"/>
      <x:c r="H49" s="44" t="str">
        <x:f>IF(G49="","",IFERROR(G49/MAX(1,COUNTIF('01_Конкуренты'!$B$7:$B$36,"?*")),""))</x:f>
      </x:c>
      <x:c r="I49" s="32" t="str"/>
      <x:c r="J49" s="32" t="str">
        <x:f>IF(B49="","",IF(E49="Обязательное",IF(H49&gt;=0.6,"Минимальный рыночный стандарт","Потенциальный обязательный разрыв"),IF(E49="Линейное",IF(H49&gt;=0.5,"Конкурентная норма с влиянием на выбор","Зона усиления ценности"),IF(E49="Привлекательное",IF(H49&lt;0.5,"Зона дифференциации","Переходит в ожидаемую норму"),IF(E49="Безразличное","Не делать при дефиците ресурсов",IF(E49="Обратное","Исключить или проверить риск отторжения","Требует проверки"))))))</x:f>
      </x:c>
      <x:c r="K49" s="32" t="str"/>
      <x:c r="L49" s="32" t="str"/>
      <x:c r="M49" s="32" t="str"/>
    </x:row>
    <x:row r="50">
      <x:c r="A50" s="32" t="str">
        <x:v>R044</x:v>
      </x:c>
      <x:c r="B50" s="32" t="str"/>
      <x:c r="C50" s="32" t="str"/>
      <x:c r="D50" s="32" t="str"/>
      <x:c r="E50" s="32" t="str"/>
      <x:c r="F50" s="32" t="str"/>
      <x:c r="G50" s="32" t="str"/>
      <x:c r="H50" s="44" t="str">
        <x:f>IF(G50="","",IFERROR(G50/MAX(1,COUNTIF('01_Конкуренты'!$B$7:$B$36,"?*")),""))</x:f>
      </x:c>
      <x:c r="I50" s="32" t="str"/>
      <x:c r="J50" s="32" t="str">
        <x:f>IF(B50="","",IF(E50="Обязательное",IF(H50&gt;=0.6,"Минимальный рыночный стандарт","Потенциальный обязательный разрыв"),IF(E50="Линейное",IF(H50&gt;=0.5,"Конкурентная норма с влиянием на выбор","Зона усиления ценности"),IF(E50="Привлекательное",IF(H50&lt;0.5,"Зона дифференциации","Переходит в ожидаемую норму"),IF(E50="Безразличное","Не делать при дефиците ресурсов",IF(E50="Обратное","Исключить или проверить риск отторжения","Требует проверки"))))))</x:f>
      </x:c>
      <x:c r="K50" s="32" t="str"/>
      <x:c r="L50" s="32" t="str"/>
      <x:c r="M50" s="32" t="str"/>
    </x:row>
    <x:row r="51">
      <x:c r="A51" s="32" t="str">
        <x:v>R045</x:v>
      </x:c>
      <x:c r="B51" s="32" t="str"/>
      <x:c r="C51" s="32" t="str"/>
      <x:c r="D51" s="32" t="str"/>
      <x:c r="E51" s="32" t="str"/>
      <x:c r="F51" s="32" t="str"/>
      <x:c r="G51" s="32" t="str"/>
      <x:c r="H51" s="44" t="str">
        <x:f>IF(G51="","",IFERROR(G51/MAX(1,COUNTIF('01_Конкуренты'!$B$7:$B$36,"?*")),""))</x:f>
      </x:c>
      <x:c r="I51" s="32" t="str"/>
      <x:c r="J51" s="32" t="str">
        <x:f>IF(B51="","",IF(E51="Обязательное",IF(H51&gt;=0.6,"Минимальный рыночный стандарт","Потенциальный обязательный разрыв"),IF(E51="Линейное",IF(H51&gt;=0.5,"Конкурентная норма с влиянием на выбор","Зона усиления ценности"),IF(E51="Привлекательное",IF(H51&lt;0.5,"Зона дифференциации","Переходит в ожидаемую норму"),IF(E51="Безразличное","Не делать при дефиците ресурсов",IF(E51="Обратное","Исключить или проверить риск отторжения","Требует проверки"))))))</x:f>
      </x:c>
      <x:c r="K51" s="32" t="str"/>
      <x:c r="L51" s="32" t="str"/>
      <x:c r="M51" s="32" t="str"/>
    </x:row>
    <x:row r="52">
      <x:c r="A52" s="32" t="str">
        <x:v>R046</x:v>
      </x:c>
      <x:c r="B52" s="32" t="str"/>
      <x:c r="C52" s="32" t="str"/>
      <x:c r="D52" s="32" t="str"/>
      <x:c r="E52" s="32" t="str"/>
      <x:c r="F52" s="32" t="str"/>
      <x:c r="G52" s="32" t="str"/>
      <x:c r="H52" s="44" t="str">
        <x:f>IF(G52="","",IFERROR(G52/MAX(1,COUNTIF('01_Конкуренты'!$B$7:$B$36,"?*")),""))</x:f>
      </x:c>
      <x:c r="I52" s="32" t="str"/>
      <x:c r="J52" s="32" t="str">
        <x:f>IF(B52="","",IF(E52="Обязательное",IF(H52&gt;=0.6,"Минимальный рыночный стандарт","Потенциальный обязательный разрыв"),IF(E52="Линейное",IF(H52&gt;=0.5,"Конкурентная норма с влиянием на выбор","Зона усиления ценности"),IF(E52="Привлекательное",IF(H52&lt;0.5,"Зона дифференциации","Переходит в ожидаемую норму"),IF(E52="Безразличное","Не делать при дефиците ресурсов",IF(E52="Обратное","Исключить или проверить риск отторжения","Требует проверки"))))))</x:f>
      </x:c>
      <x:c r="K52" s="32" t="str"/>
      <x:c r="L52" s="32" t="str"/>
      <x:c r="M52" s="32" t="str"/>
    </x:row>
    <x:row r="53">
      <x:c r="A53" s="32" t="str">
        <x:v>R047</x:v>
      </x:c>
      <x:c r="B53" s="32" t="str"/>
      <x:c r="C53" s="32" t="str"/>
      <x:c r="D53" s="32" t="str"/>
      <x:c r="E53" s="32" t="str"/>
      <x:c r="F53" s="32" t="str"/>
      <x:c r="G53" s="32" t="str"/>
      <x:c r="H53" s="44" t="str">
        <x:f>IF(G53="","",IFERROR(G53/MAX(1,COUNTIF('01_Конкуренты'!$B$7:$B$36,"?*")),""))</x:f>
      </x:c>
      <x:c r="I53" s="32" t="str"/>
      <x:c r="J53" s="32" t="str">
        <x:f>IF(B53="","",IF(E53="Обязательное",IF(H53&gt;=0.6,"Минимальный рыночный стандарт","Потенциальный обязательный разрыв"),IF(E53="Линейное",IF(H53&gt;=0.5,"Конкурентная норма с влиянием на выбор","Зона усиления ценности"),IF(E53="Привлекательное",IF(H53&lt;0.5,"Зона дифференциации","Переходит в ожидаемую норму"),IF(E53="Безразличное","Не делать при дефиците ресурсов",IF(E53="Обратное","Исключить или проверить риск отторжения","Требует проверки"))))))</x:f>
      </x:c>
      <x:c r="K53" s="32" t="str"/>
      <x:c r="L53" s="32" t="str"/>
      <x:c r="M53" s="32" t="str"/>
    </x:row>
    <x:row r="54">
      <x:c r="A54" s="32" t="str">
        <x:v>R048</x:v>
      </x:c>
      <x:c r="B54" s="32" t="str"/>
      <x:c r="C54" s="32" t="str"/>
      <x:c r="D54" s="32" t="str"/>
      <x:c r="E54" s="32" t="str"/>
      <x:c r="F54" s="32" t="str"/>
      <x:c r="G54" s="32" t="str"/>
      <x:c r="H54" s="44" t="str">
        <x:f>IF(G54="","",IFERROR(G54/MAX(1,COUNTIF('01_Конкуренты'!$B$7:$B$36,"?*")),""))</x:f>
      </x:c>
      <x:c r="I54" s="32" t="str"/>
      <x:c r="J54" s="32" t="str">
        <x:f>IF(B54="","",IF(E54="Обязательное",IF(H54&gt;=0.6,"Минимальный рыночный стандарт","Потенциальный обязательный разрыв"),IF(E54="Линейное",IF(H54&gt;=0.5,"Конкурентная норма с влиянием на выбор","Зона усиления ценности"),IF(E54="Привлекательное",IF(H54&lt;0.5,"Зона дифференциации","Переходит в ожидаемую норму"),IF(E54="Безразличное","Не делать при дефиците ресурсов",IF(E54="Обратное","Исключить или проверить риск отторжения","Требует проверки"))))))</x:f>
      </x:c>
      <x:c r="K54" s="32" t="str"/>
      <x:c r="L54" s="32" t="str"/>
      <x:c r="M54" s="32" t="str"/>
    </x:row>
    <x:row r="55">
      <x:c r="A55" s="32" t="str">
        <x:v>R049</x:v>
      </x:c>
      <x:c r="B55" s="32" t="str"/>
      <x:c r="C55" s="32" t="str"/>
      <x:c r="D55" s="32" t="str"/>
      <x:c r="E55" s="32" t="str"/>
      <x:c r="F55" s="32" t="str"/>
      <x:c r="G55" s="32" t="str"/>
      <x:c r="H55" s="44" t="str">
        <x:f>IF(G55="","",IFERROR(G55/MAX(1,COUNTIF('01_Конкуренты'!$B$7:$B$36,"?*")),""))</x:f>
      </x:c>
      <x:c r="I55" s="32" t="str"/>
      <x:c r="J55" s="32" t="str">
        <x:f>IF(B55="","",IF(E55="Обязательное",IF(H55&gt;=0.6,"Минимальный рыночный стандарт","Потенциальный обязательный разрыв"),IF(E55="Линейное",IF(H55&gt;=0.5,"Конкурентная норма с влиянием на выбор","Зона усиления ценности"),IF(E55="Привлекательное",IF(H55&lt;0.5,"Зона дифференциации","Переходит в ожидаемую норму"),IF(E55="Безразличное","Не делать при дефиците ресурсов",IF(E55="Обратное","Исключить или проверить риск отторжения","Требует проверки"))))))</x:f>
      </x:c>
      <x:c r="K55" s="32" t="str"/>
      <x:c r="L55" s="32" t="str"/>
      <x:c r="M55" s="32" t="str"/>
    </x:row>
    <x:row r="56">
      <x:c r="A56" s="32" t="str">
        <x:v>R050</x:v>
      </x:c>
      <x:c r="B56" s="32" t="str"/>
      <x:c r="C56" s="32" t="str"/>
      <x:c r="D56" s="32" t="str"/>
      <x:c r="E56" s="32" t="str"/>
      <x:c r="F56" s="32" t="str"/>
      <x:c r="G56" s="32" t="str"/>
      <x:c r="H56" s="44" t="str">
        <x:f>IF(G56="","",IFERROR(G56/MAX(1,COUNTIF('01_Конкуренты'!$B$7:$B$36,"?*")),""))</x:f>
      </x:c>
      <x:c r="I56" s="32" t="str"/>
      <x:c r="J56" s="32" t="str">
        <x:f>IF(B56="","",IF(E56="Обязательное",IF(H56&gt;=0.6,"Минимальный рыночный стандарт","Потенциальный обязательный разрыв"),IF(E56="Линейное",IF(H56&gt;=0.5,"Конкурентная норма с влиянием на выбор","Зона усиления ценности"),IF(E56="Привлекательное",IF(H56&lt;0.5,"Зона дифференциации","Переходит в ожидаемую норму"),IF(E56="Безразличное","Не делать при дефиците ресурсов",IF(E56="Обратное","Исключить или проверить риск отторжения","Требует проверки"))))))</x:f>
      </x:c>
      <x:c r="K56" s="32" t="str"/>
      <x:c r="L56" s="32" t="str"/>
      <x:c r="M56" s="32" t="str"/>
    </x:row>
    <x:row r="57">
      <x:c r="A57" s="32" t="str">
        <x:v>R051</x:v>
      </x:c>
      <x:c r="B57" s="32" t="str"/>
      <x:c r="C57" s="32" t="str"/>
      <x:c r="D57" s="32" t="str"/>
      <x:c r="E57" s="32" t="str"/>
      <x:c r="F57" s="32" t="str"/>
      <x:c r="G57" s="32" t="str"/>
      <x:c r="H57" s="44" t="str">
        <x:f>IF(G57="","",IFERROR(G57/MAX(1,COUNTIF('01_Конкуренты'!$B$7:$B$36,"?*")),""))</x:f>
      </x:c>
      <x:c r="I57" s="32" t="str"/>
      <x:c r="J57" s="32" t="str">
        <x:f>IF(B57="","",IF(E57="Обязательное",IF(H57&gt;=0.6,"Минимальный рыночный стандарт","Потенциальный обязательный разрыв"),IF(E57="Линейное",IF(H57&gt;=0.5,"Конкурентная норма с влиянием на выбор","Зона усиления ценности"),IF(E57="Привлекательное",IF(H57&lt;0.5,"Зона дифференциации","Переходит в ожидаемую норму"),IF(E57="Безразличное","Не делать при дефиците ресурсов",IF(E57="Обратное","Исключить или проверить риск отторжения","Требует проверки"))))))</x:f>
      </x:c>
      <x:c r="K57" s="32" t="str"/>
      <x:c r="L57" s="32" t="str"/>
      <x:c r="M57" s="32" t="str"/>
    </x:row>
    <x:row r="58">
      <x:c r="A58" s="32" t="str">
        <x:v>R052</x:v>
      </x:c>
      <x:c r="B58" s="32" t="str"/>
      <x:c r="C58" s="32" t="str"/>
      <x:c r="D58" s="32" t="str"/>
      <x:c r="E58" s="32" t="str"/>
      <x:c r="F58" s="32" t="str"/>
      <x:c r="G58" s="32" t="str"/>
      <x:c r="H58" s="44" t="str">
        <x:f>IF(G58="","",IFERROR(G58/MAX(1,COUNTIF('01_Конкуренты'!$B$7:$B$36,"?*")),""))</x:f>
      </x:c>
      <x:c r="I58" s="32" t="str"/>
      <x:c r="J58" s="32" t="str">
        <x:f>IF(B58="","",IF(E58="Обязательное",IF(H58&gt;=0.6,"Минимальный рыночный стандарт","Потенциальный обязательный разрыв"),IF(E58="Линейное",IF(H58&gt;=0.5,"Конкурентная норма с влиянием на выбор","Зона усиления ценности"),IF(E58="Привлекательное",IF(H58&lt;0.5,"Зона дифференциации","Переходит в ожидаемую норму"),IF(E58="Безразличное","Не делать при дефиците ресурсов",IF(E58="Обратное","Исключить или проверить риск отторжения","Требует проверки"))))))</x:f>
      </x:c>
      <x:c r="K58" s="32" t="str"/>
      <x:c r="L58" s="32" t="str"/>
      <x:c r="M58" s="32" t="str"/>
    </x:row>
    <x:row r="59">
      <x:c r="A59" s="32" t="str">
        <x:v>R053</x:v>
      </x:c>
      <x:c r="B59" s="32" t="str"/>
      <x:c r="C59" s="32" t="str"/>
      <x:c r="D59" s="32" t="str"/>
      <x:c r="E59" s="32" t="str"/>
      <x:c r="F59" s="32" t="str"/>
      <x:c r="G59" s="32" t="str"/>
      <x:c r="H59" s="44" t="str">
        <x:f>IF(G59="","",IFERROR(G59/MAX(1,COUNTIF('01_Конкуренты'!$B$7:$B$36,"?*")),""))</x:f>
      </x:c>
      <x:c r="I59" s="32" t="str"/>
      <x:c r="J59" s="32" t="str">
        <x:f>IF(B59="","",IF(E59="Обязательное",IF(H59&gt;=0.6,"Минимальный рыночный стандарт","Потенциальный обязательный разрыв"),IF(E59="Линейное",IF(H59&gt;=0.5,"Конкурентная норма с влиянием на выбор","Зона усиления ценности"),IF(E59="Привлекательное",IF(H59&lt;0.5,"Зона дифференциации","Переходит в ожидаемую норму"),IF(E59="Безразличное","Не делать при дефиците ресурсов",IF(E59="Обратное","Исключить или проверить риск отторжения","Требует проверки"))))))</x:f>
      </x:c>
      <x:c r="K59" s="32" t="str"/>
      <x:c r="L59" s="32" t="str"/>
      <x:c r="M59" s="32" t="str"/>
    </x:row>
    <x:row r="60">
      <x:c r="A60" s="32" t="str">
        <x:v>R054</x:v>
      </x:c>
      <x:c r="B60" s="32" t="str"/>
      <x:c r="C60" s="32" t="str"/>
      <x:c r="D60" s="32" t="str"/>
      <x:c r="E60" s="32" t="str"/>
      <x:c r="F60" s="32" t="str"/>
      <x:c r="G60" s="32" t="str"/>
      <x:c r="H60" s="44" t="str">
        <x:f>IF(G60="","",IFERROR(G60/MAX(1,COUNTIF('01_Конкуренты'!$B$7:$B$36,"?*")),""))</x:f>
      </x:c>
      <x:c r="I60" s="32" t="str"/>
      <x:c r="J60" s="32" t="str">
        <x:f>IF(B60="","",IF(E60="Обязательное",IF(H60&gt;=0.6,"Минимальный рыночный стандарт","Потенциальный обязательный разрыв"),IF(E60="Линейное",IF(H60&gt;=0.5,"Конкурентная норма с влиянием на выбор","Зона усиления ценности"),IF(E60="Привлекательное",IF(H60&lt;0.5,"Зона дифференциации","Переходит в ожидаемую норму"),IF(E60="Безразличное","Не делать при дефиците ресурсов",IF(E60="Обратное","Исключить или проверить риск отторжения","Требует проверки"))))))</x:f>
      </x:c>
      <x:c r="K60" s="32" t="str"/>
      <x:c r="L60" s="32" t="str"/>
      <x:c r="M60" s="32" t="str"/>
    </x:row>
    <x:row r="61">
      <x:c r="A61" s="32" t="str">
        <x:v>R055</x:v>
      </x:c>
      <x:c r="B61" s="32" t="str"/>
      <x:c r="C61" s="32" t="str"/>
      <x:c r="D61" s="32" t="str"/>
      <x:c r="E61" s="32" t="str"/>
      <x:c r="F61" s="32" t="str"/>
      <x:c r="G61" s="32" t="str"/>
      <x:c r="H61" s="44" t="str">
        <x:f>IF(G61="","",IFERROR(G61/MAX(1,COUNTIF('01_Конкуренты'!$B$7:$B$36,"?*")),""))</x:f>
      </x:c>
      <x:c r="I61" s="32" t="str"/>
      <x:c r="J61" s="32" t="str">
        <x:f>IF(B61="","",IF(E61="Обязательное",IF(H61&gt;=0.6,"Минимальный рыночный стандарт","Потенциальный обязательный разрыв"),IF(E61="Линейное",IF(H61&gt;=0.5,"Конкурентная норма с влиянием на выбор","Зона усиления ценности"),IF(E61="Привлекательное",IF(H61&lt;0.5,"Зона дифференциации","Переходит в ожидаемую норму"),IF(E61="Безразличное","Не делать при дефиците ресурсов",IF(E61="Обратное","Исключить или проверить риск отторжения","Требует проверки"))))))</x:f>
      </x:c>
      <x:c r="K61" s="32" t="str"/>
      <x:c r="L61" s="32" t="str"/>
      <x:c r="M61" s="32" t="str"/>
    </x:row>
    <x:row r="62">
      <x:c r="A62" s="32" t="str">
        <x:v>R056</x:v>
      </x:c>
      <x:c r="B62" s="32" t="str"/>
      <x:c r="C62" s="32" t="str"/>
      <x:c r="D62" s="32" t="str"/>
      <x:c r="E62" s="32" t="str"/>
      <x:c r="F62" s="32" t="str"/>
      <x:c r="G62" s="32" t="str"/>
      <x:c r="H62" s="44" t="str">
        <x:f>IF(G62="","",IFERROR(G62/MAX(1,COUNTIF('01_Конкуренты'!$B$7:$B$36,"?*")),""))</x:f>
      </x:c>
      <x:c r="I62" s="32" t="str"/>
      <x:c r="J62" s="32" t="str">
        <x:f>IF(B62="","",IF(E62="Обязательное",IF(H62&gt;=0.6,"Минимальный рыночный стандарт","Потенциальный обязательный разрыв"),IF(E62="Линейное",IF(H62&gt;=0.5,"Конкурентная норма с влиянием на выбор","Зона усиления ценности"),IF(E62="Привлекательное",IF(H62&lt;0.5,"Зона дифференциации","Переходит в ожидаемую норму"),IF(E62="Безразличное","Не делать при дефиците ресурсов",IF(E62="Обратное","Исключить или проверить риск отторжения","Требует проверки"))))))</x:f>
      </x:c>
      <x:c r="K62" s="32" t="str"/>
      <x:c r="L62" s="32" t="str"/>
      <x:c r="M62" s="32" t="str"/>
    </x:row>
    <x:row r="63">
      <x:c r="A63" s="32" t="str">
        <x:v>R057</x:v>
      </x:c>
      <x:c r="B63" s="32" t="str"/>
      <x:c r="C63" s="32" t="str"/>
      <x:c r="D63" s="32" t="str"/>
      <x:c r="E63" s="32" t="str"/>
      <x:c r="F63" s="32" t="str"/>
      <x:c r="G63" s="32" t="str"/>
      <x:c r="H63" s="44" t="str">
        <x:f>IF(G63="","",IFERROR(G63/MAX(1,COUNTIF('01_Конкуренты'!$B$7:$B$36,"?*")),""))</x:f>
      </x:c>
      <x:c r="I63" s="32" t="str"/>
      <x:c r="J63" s="32" t="str">
        <x:f>IF(B63="","",IF(E63="Обязательное",IF(H63&gt;=0.6,"Минимальный рыночный стандарт","Потенциальный обязательный разрыв"),IF(E63="Линейное",IF(H63&gt;=0.5,"Конкурентная норма с влиянием на выбор","Зона усиления ценности"),IF(E63="Привлекательное",IF(H63&lt;0.5,"Зона дифференциации","Переходит в ожидаемую норму"),IF(E63="Безразличное","Не делать при дефиците ресурсов",IF(E63="Обратное","Исключить или проверить риск отторжения","Требует проверки"))))))</x:f>
      </x:c>
      <x:c r="K63" s="32" t="str"/>
      <x:c r="L63" s="32" t="str"/>
      <x:c r="M63" s="32" t="str"/>
    </x:row>
    <x:row r="64">
      <x:c r="A64" s="32" t="str">
        <x:v>R058</x:v>
      </x:c>
      <x:c r="B64" s="32" t="str"/>
      <x:c r="C64" s="32" t="str"/>
      <x:c r="D64" s="32" t="str"/>
      <x:c r="E64" s="32" t="str"/>
      <x:c r="F64" s="32" t="str"/>
      <x:c r="G64" s="32" t="str"/>
      <x:c r="H64" s="44" t="str">
        <x:f>IF(G64="","",IFERROR(G64/MAX(1,COUNTIF('01_Конкуренты'!$B$7:$B$36,"?*")),""))</x:f>
      </x:c>
      <x:c r="I64" s="32" t="str"/>
      <x:c r="J64" s="32" t="str">
        <x:f>IF(B64="","",IF(E64="Обязательное",IF(H64&gt;=0.6,"Минимальный рыночный стандарт","Потенциальный обязательный разрыв"),IF(E64="Линейное",IF(H64&gt;=0.5,"Конкурентная норма с влиянием на выбор","Зона усиления ценности"),IF(E64="Привлекательное",IF(H64&lt;0.5,"Зона дифференциации","Переходит в ожидаемую норму"),IF(E64="Безразличное","Не делать при дефиците ресурсов",IF(E64="Обратное","Исключить или проверить риск отторжения","Требует проверки"))))))</x:f>
      </x:c>
      <x:c r="K64" s="32" t="str"/>
      <x:c r="L64" s="32" t="str"/>
      <x:c r="M64" s="32" t="str"/>
    </x:row>
    <x:row r="65">
      <x:c r="A65" s="32" t="str">
        <x:v>R059</x:v>
      </x:c>
      <x:c r="B65" s="32" t="str"/>
      <x:c r="C65" s="32" t="str"/>
      <x:c r="D65" s="32" t="str"/>
      <x:c r="E65" s="32" t="str"/>
      <x:c r="F65" s="32" t="str"/>
      <x:c r="G65" s="32" t="str"/>
      <x:c r="H65" s="44" t="str">
        <x:f>IF(G65="","",IFERROR(G65/MAX(1,COUNTIF('01_Конкуренты'!$B$7:$B$36,"?*")),""))</x:f>
      </x:c>
      <x:c r="I65" s="32" t="str"/>
      <x:c r="J65" s="32" t="str">
        <x:f>IF(B65="","",IF(E65="Обязательное",IF(H65&gt;=0.6,"Минимальный рыночный стандарт","Потенциальный обязательный разрыв"),IF(E65="Линейное",IF(H65&gt;=0.5,"Конкурентная норма с влиянием на выбор","Зона усиления ценности"),IF(E65="Привлекательное",IF(H65&lt;0.5,"Зона дифференциации","Переходит в ожидаемую норму"),IF(E65="Безразличное","Не делать при дефиците ресурсов",IF(E65="Обратное","Исключить или проверить риск отторжения","Требует проверки"))))))</x:f>
      </x:c>
      <x:c r="K65" s="32" t="str"/>
      <x:c r="L65" s="32" t="str"/>
      <x:c r="M65" s="32" t="str"/>
    </x:row>
    <x:row r="66">
      <x:c r="A66" s="32" t="str">
        <x:v>R060</x:v>
      </x:c>
      <x:c r="B66" s="32" t="str"/>
      <x:c r="C66" s="32" t="str"/>
      <x:c r="D66" s="32" t="str"/>
      <x:c r="E66" s="32" t="str"/>
      <x:c r="F66" s="32" t="str"/>
      <x:c r="G66" s="32" t="str"/>
      <x:c r="H66" s="44" t="str">
        <x:f>IF(G66="","",IFERROR(G66/MAX(1,COUNTIF('01_Конкуренты'!$B$7:$B$36,"?*")),""))</x:f>
      </x:c>
      <x:c r="I66" s="32" t="str"/>
      <x:c r="J66" s="32" t="str">
        <x:f>IF(B66="","",IF(E66="Обязательное",IF(H66&gt;=0.6,"Минимальный рыночный стандарт","Потенциальный обязательный разрыв"),IF(E66="Линейное",IF(H66&gt;=0.5,"Конкурентная норма с влиянием на выбор","Зона усиления ценности"),IF(E66="Привлекательное",IF(H66&lt;0.5,"Зона дифференциации","Переходит в ожидаемую норму"),IF(E66="Безразличное","Не делать при дефиците ресурсов",IF(E66="Обратное","Исключить или проверить риск отторжения","Требует проверки"))))))</x:f>
      </x:c>
      <x:c r="K66" s="32" t="str"/>
      <x:c r="L66" s="32" t="str"/>
      <x:c r="M66" s="32" t="str"/>
    </x:row>
    <x:row r="67">
      <x:c r="A67" s="32" t="str">
        <x:v>R061</x:v>
      </x:c>
      <x:c r="B67" s="32" t="str"/>
      <x:c r="C67" s="32" t="str"/>
      <x:c r="D67" s="32" t="str"/>
      <x:c r="E67" s="32" t="str"/>
      <x:c r="F67" s="32" t="str"/>
      <x:c r="G67" s="32" t="str"/>
      <x:c r="H67" s="44" t="str">
        <x:f>IF(G67="","",IFERROR(G67/MAX(1,COUNTIF('01_Конкуренты'!$B$7:$B$36,"?*")),""))</x:f>
      </x:c>
      <x:c r="I67" s="32" t="str"/>
      <x:c r="J67" s="32" t="str">
        <x:f>IF(B67="","",IF(E67="Обязательное",IF(H67&gt;=0.6,"Минимальный рыночный стандарт","Потенциальный обязательный разрыв"),IF(E67="Линейное",IF(H67&gt;=0.5,"Конкурентная норма с влиянием на выбор","Зона усиления ценности"),IF(E67="Привлекательное",IF(H67&lt;0.5,"Зона дифференциации","Переходит в ожидаемую норму"),IF(E67="Безразличное","Не делать при дефиците ресурсов",IF(E67="Обратное","Исключить или проверить риск отторжения","Требует проверки"))))))</x:f>
      </x:c>
      <x:c r="K67" s="32" t="str"/>
      <x:c r="L67" s="32" t="str"/>
      <x:c r="M67" s="32" t="str"/>
    </x:row>
    <x:row r="68">
      <x:c r="A68" s="32" t="str">
        <x:v>R062</x:v>
      </x:c>
      <x:c r="B68" s="32" t="str"/>
      <x:c r="C68" s="32" t="str"/>
      <x:c r="D68" s="32" t="str"/>
      <x:c r="E68" s="32" t="str"/>
      <x:c r="F68" s="32" t="str"/>
      <x:c r="G68" s="32" t="str"/>
      <x:c r="H68" s="44" t="str">
        <x:f>IF(G68="","",IFERROR(G68/MAX(1,COUNTIF('01_Конкуренты'!$B$7:$B$36,"?*")),""))</x:f>
      </x:c>
      <x:c r="I68" s="32" t="str"/>
      <x:c r="J68" s="32" t="str">
        <x:f>IF(B68="","",IF(E68="Обязательное",IF(H68&gt;=0.6,"Минимальный рыночный стандарт","Потенциальный обязательный разрыв"),IF(E68="Линейное",IF(H68&gt;=0.5,"Конкурентная норма с влиянием на выбор","Зона усиления ценности"),IF(E68="Привлекательное",IF(H68&lt;0.5,"Зона дифференциации","Переходит в ожидаемую норму"),IF(E68="Безразличное","Не делать при дефиците ресурсов",IF(E68="Обратное","Исключить или проверить риск отторжения","Требует проверки"))))))</x:f>
      </x:c>
      <x:c r="K68" s="32" t="str"/>
      <x:c r="L68" s="32" t="str"/>
      <x:c r="M68" s="32" t="str"/>
    </x:row>
    <x:row r="69">
      <x:c r="A69" s="32" t="str">
        <x:v>R063</x:v>
      </x:c>
      <x:c r="B69" s="32" t="str"/>
      <x:c r="C69" s="32" t="str"/>
      <x:c r="D69" s="32" t="str"/>
      <x:c r="E69" s="32" t="str"/>
      <x:c r="F69" s="32" t="str"/>
      <x:c r="G69" s="32" t="str"/>
      <x:c r="H69" s="44" t="str">
        <x:f>IF(G69="","",IFERROR(G69/MAX(1,COUNTIF('01_Конкуренты'!$B$7:$B$36,"?*")),""))</x:f>
      </x:c>
      <x:c r="I69" s="32" t="str"/>
      <x:c r="J69" s="32" t="str">
        <x:f>IF(B69="","",IF(E69="Обязательное",IF(H69&gt;=0.6,"Минимальный рыночный стандарт","Потенциальный обязательный разрыв"),IF(E69="Линейное",IF(H69&gt;=0.5,"Конкурентная норма с влиянием на выбор","Зона усиления ценности"),IF(E69="Привлекательное",IF(H69&lt;0.5,"Зона дифференциации","Переходит в ожидаемую норму"),IF(E69="Безразличное","Не делать при дефиците ресурсов",IF(E69="Обратное","Исключить или проверить риск отторжения","Требует проверки"))))))</x:f>
      </x:c>
      <x:c r="K69" s="32" t="str"/>
      <x:c r="L69" s="32" t="str"/>
      <x:c r="M69" s="32" t="str"/>
    </x:row>
    <x:row r="70">
      <x:c r="A70" s="32" t="str">
        <x:v>R064</x:v>
      </x:c>
      <x:c r="B70" s="32" t="str"/>
      <x:c r="C70" s="32" t="str"/>
      <x:c r="D70" s="32" t="str"/>
      <x:c r="E70" s="32" t="str"/>
      <x:c r="F70" s="32" t="str"/>
      <x:c r="G70" s="32" t="str"/>
      <x:c r="H70" s="44" t="str">
        <x:f>IF(G70="","",IFERROR(G70/MAX(1,COUNTIF('01_Конкуренты'!$B$7:$B$36,"?*")),""))</x:f>
      </x:c>
      <x:c r="I70" s="32" t="str"/>
      <x:c r="J70" s="32" t="str">
        <x:f>IF(B70="","",IF(E70="Обязательное",IF(H70&gt;=0.6,"Минимальный рыночный стандарт","Потенциальный обязательный разрыв"),IF(E70="Линейное",IF(H70&gt;=0.5,"Конкурентная норма с влиянием на выбор","Зона усиления ценности"),IF(E70="Привлекательное",IF(H70&lt;0.5,"Зона дифференциации","Переходит в ожидаемую норму"),IF(E70="Безразличное","Не делать при дефиците ресурсов",IF(E70="Обратное","Исключить или проверить риск отторжения","Требует проверки"))))))</x:f>
      </x:c>
      <x:c r="K70" s="32" t="str"/>
      <x:c r="L70" s="32" t="str"/>
      <x:c r="M70" s="32" t="str"/>
    </x:row>
    <x:row r="71">
      <x:c r="A71" s="32" t="str">
        <x:v>R065</x:v>
      </x:c>
      <x:c r="B71" s="32" t="str"/>
      <x:c r="C71" s="32" t="str"/>
      <x:c r="D71" s="32" t="str"/>
      <x:c r="E71" s="32" t="str"/>
      <x:c r="F71" s="32" t="str"/>
      <x:c r="G71" s="32" t="str"/>
      <x:c r="H71" s="44" t="str">
        <x:f>IF(G71="","",IFERROR(G71/MAX(1,COUNTIF('01_Конкуренты'!$B$7:$B$36,"?*")),""))</x:f>
      </x:c>
      <x:c r="I71" s="32" t="str"/>
      <x:c r="J71" s="32" t="str">
        <x:f>IF(B71="","",IF(E71="Обязательное",IF(H71&gt;=0.6,"Минимальный рыночный стандарт","Потенциальный обязательный разрыв"),IF(E71="Линейное",IF(H71&gt;=0.5,"Конкурентная норма с влиянием на выбор","Зона усиления ценности"),IF(E71="Привлекательное",IF(H71&lt;0.5,"Зона дифференциации","Переходит в ожидаемую норму"),IF(E71="Безразличное","Не делать при дефиците ресурсов",IF(E71="Обратное","Исключить или проверить риск отторжения","Требует проверки"))))))</x:f>
      </x:c>
      <x:c r="K71" s="32" t="str"/>
      <x:c r="L71" s="32" t="str"/>
      <x:c r="M71" s="32" t="str"/>
    </x:row>
    <x:row r="72">
      <x:c r="A72" s="32" t="str">
        <x:v>R066</x:v>
      </x:c>
      <x:c r="B72" s="32" t="str"/>
      <x:c r="C72" s="32" t="str"/>
      <x:c r="D72" s="32" t="str"/>
      <x:c r="E72" s="32" t="str"/>
      <x:c r="F72" s="32" t="str"/>
      <x:c r="G72" s="32" t="str"/>
      <x:c r="H72" s="44" t="str">
        <x:f>IF(G72="","",IFERROR(G72/MAX(1,COUNTIF('01_Конкуренты'!$B$7:$B$36,"?*")),""))</x:f>
      </x:c>
      <x:c r="I72" s="32" t="str"/>
      <x:c r="J72" s="32" t="str">
        <x:f>IF(B72="","",IF(E72="Обязательное",IF(H72&gt;=0.6,"Минимальный рыночный стандарт","Потенциальный обязательный разрыв"),IF(E72="Линейное",IF(H72&gt;=0.5,"Конкурентная норма с влиянием на выбор","Зона усиления ценности"),IF(E72="Привлекательное",IF(H72&lt;0.5,"Зона дифференциации","Переходит в ожидаемую норму"),IF(E72="Безразличное","Не делать при дефиците ресурсов",IF(E72="Обратное","Исключить или проверить риск отторжения","Требует проверки"))))))</x:f>
      </x:c>
      <x:c r="K72" s="32" t="str"/>
      <x:c r="L72" s="32" t="str"/>
      <x:c r="M72" s="32" t="str"/>
    </x:row>
    <x:row r="73">
      <x:c r="A73" s="32" t="str">
        <x:v>R067</x:v>
      </x:c>
      <x:c r="B73" s="32" t="str"/>
      <x:c r="C73" s="32" t="str"/>
      <x:c r="D73" s="32" t="str"/>
      <x:c r="E73" s="32" t="str"/>
      <x:c r="F73" s="32" t="str"/>
      <x:c r="G73" s="32" t="str"/>
      <x:c r="H73" s="44" t="str">
        <x:f>IF(G73="","",IFERROR(G73/MAX(1,COUNTIF('01_Конкуренты'!$B$7:$B$36,"?*")),""))</x:f>
      </x:c>
      <x:c r="I73" s="32" t="str"/>
      <x:c r="J73" s="32" t="str">
        <x:f>IF(B73="","",IF(E73="Обязательное",IF(H73&gt;=0.6,"Минимальный рыночный стандарт","Потенциальный обязательный разрыв"),IF(E73="Линейное",IF(H73&gt;=0.5,"Конкурентная норма с влиянием на выбор","Зона усиления ценности"),IF(E73="Привлекательное",IF(H73&lt;0.5,"Зона дифференциации","Переходит в ожидаемую норму"),IF(E73="Безразличное","Не делать при дефиците ресурсов",IF(E73="Обратное","Исключить или проверить риск отторжения","Требует проверки"))))))</x:f>
      </x:c>
      <x:c r="K73" s="32" t="str"/>
      <x:c r="L73" s="32" t="str"/>
      <x:c r="M73" s="32" t="str"/>
    </x:row>
    <x:row r="74">
      <x:c r="A74" s="32" t="str">
        <x:v>R068</x:v>
      </x:c>
      <x:c r="B74" s="32" t="str"/>
      <x:c r="C74" s="32" t="str"/>
      <x:c r="D74" s="32" t="str"/>
      <x:c r="E74" s="32" t="str"/>
      <x:c r="F74" s="32" t="str"/>
      <x:c r="G74" s="32" t="str"/>
      <x:c r="H74" s="44" t="str">
        <x:f>IF(G74="","",IFERROR(G74/MAX(1,COUNTIF('01_Конкуренты'!$B$7:$B$36,"?*")),""))</x:f>
      </x:c>
      <x:c r="I74" s="32" t="str"/>
      <x:c r="J74" s="32" t="str">
        <x:f>IF(B74="","",IF(E74="Обязательное",IF(H74&gt;=0.6,"Минимальный рыночный стандарт","Потенциальный обязательный разрыв"),IF(E74="Линейное",IF(H74&gt;=0.5,"Конкурентная норма с влиянием на выбор","Зона усиления ценности"),IF(E74="Привлекательное",IF(H74&lt;0.5,"Зона дифференциации","Переходит в ожидаемую норму"),IF(E74="Безразличное","Не делать при дефиците ресурсов",IF(E74="Обратное","Исключить или проверить риск отторжения","Требует проверки"))))))</x:f>
      </x:c>
      <x:c r="K74" s="32" t="str"/>
      <x:c r="L74" s="32" t="str"/>
      <x:c r="M74" s="32" t="str"/>
    </x:row>
    <x:row r="75">
      <x:c r="A75" s="32" t="str">
        <x:v>R069</x:v>
      </x:c>
      <x:c r="B75" s="32" t="str"/>
      <x:c r="C75" s="32" t="str"/>
      <x:c r="D75" s="32" t="str"/>
      <x:c r="E75" s="32" t="str"/>
      <x:c r="F75" s="32" t="str"/>
      <x:c r="G75" s="32" t="str"/>
      <x:c r="H75" s="44" t="str">
        <x:f>IF(G75="","",IFERROR(G75/MAX(1,COUNTIF('01_Конкуренты'!$B$7:$B$36,"?*")),""))</x:f>
      </x:c>
      <x:c r="I75" s="32" t="str"/>
      <x:c r="J75" s="32" t="str">
        <x:f>IF(B75="","",IF(E75="Обязательное",IF(H75&gt;=0.6,"Минимальный рыночный стандарт","Потенциальный обязательный разрыв"),IF(E75="Линейное",IF(H75&gt;=0.5,"Конкурентная норма с влиянием на выбор","Зона усиления ценности"),IF(E75="Привлекательное",IF(H75&lt;0.5,"Зона дифференциации","Переходит в ожидаемую норму"),IF(E75="Безразличное","Не делать при дефиците ресурсов",IF(E75="Обратное","Исключить или проверить риск отторжения","Требует проверки"))))))</x:f>
      </x:c>
      <x:c r="K75" s="32" t="str"/>
      <x:c r="L75" s="32" t="str"/>
      <x:c r="M75" s="32" t="str"/>
    </x:row>
    <x:row r="76">
      <x:c r="A76" s="32" t="str">
        <x:v>R070</x:v>
      </x:c>
      <x:c r="B76" s="32" t="str"/>
      <x:c r="C76" s="32" t="str"/>
      <x:c r="D76" s="32" t="str"/>
      <x:c r="E76" s="32" t="str"/>
      <x:c r="F76" s="32" t="str"/>
      <x:c r="G76" s="32" t="str"/>
      <x:c r="H76" s="44" t="str">
        <x:f>IF(G76="","",IFERROR(G76/MAX(1,COUNTIF('01_Конкуренты'!$B$7:$B$36,"?*")),""))</x:f>
      </x:c>
      <x:c r="I76" s="32" t="str"/>
      <x:c r="J76" s="32" t="str">
        <x:f>IF(B76="","",IF(E76="Обязательное",IF(H76&gt;=0.6,"Минимальный рыночный стандарт","Потенциальный обязательный разрыв"),IF(E76="Линейное",IF(H76&gt;=0.5,"Конкурентная норма с влиянием на выбор","Зона усиления ценности"),IF(E76="Привлекательное",IF(H76&lt;0.5,"Зона дифференциации","Переходит в ожидаемую норму"),IF(E76="Безразличное","Не делать при дефиците ресурсов",IF(E76="Обратное","Исключить или проверить риск отторжения","Требует проверки"))))))</x:f>
      </x:c>
      <x:c r="K76" s="32" t="str"/>
      <x:c r="L76" s="32" t="str"/>
      <x:c r="M76" s="32" t="str"/>
    </x:row>
    <x:row r="77">
      <x:c r="A77" s="32" t="str">
        <x:v>R071</x:v>
      </x:c>
      <x:c r="B77" s="32" t="str"/>
      <x:c r="C77" s="32" t="str"/>
      <x:c r="D77" s="32" t="str"/>
      <x:c r="E77" s="32" t="str"/>
      <x:c r="F77" s="32" t="str"/>
      <x:c r="G77" s="32" t="str"/>
      <x:c r="H77" s="44" t="str">
        <x:f>IF(G77="","",IFERROR(G77/MAX(1,COUNTIF('01_Конкуренты'!$B$7:$B$36,"?*")),""))</x:f>
      </x:c>
      <x:c r="I77" s="32" t="str"/>
      <x:c r="J77" s="32" t="str">
        <x:f>IF(B77="","",IF(E77="Обязательное",IF(H77&gt;=0.6,"Минимальный рыночный стандарт","Потенциальный обязательный разрыв"),IF(E77="Линейное",IF(H77&gt;=0.5,"Конкурентная норма с влиянием на выбор","Зона усиления ценности"),IF(E77="Привлекательное",IF(H77&lt;0.5,"Зона дифференциации","Переходит в ожидаемую норму"),IF(E77="Безразличное","Не делать при дефиците ресурсов",IF(E77="Обратное","Исключить или проверить риск отторжения","Требует проверки"))))))</x:f>
      </x:c>
      <x:c r="K77" s="32" t="str"/>
      <x:c r="L77" s="32" t="str"/>
      <x:c r="M77" s="32" t="str"/>
    </x:row>
    <x:row r="78">
      <x:c r="A78" s="32" t="str">
        <x:v>R072</x:v>
      </x:c>
      <x:c r="B78" s="32" t="str"/>
      <x:c r="C78" s="32" t="str"/>
      <x:c r="D78" s="32" t="str"/>
      <x:c r="E78" s="32" t="str"/>
      <x:c r="F78" s="32" t="str"/>
      <x:c r="G78" s="32" t="str"/>
      <x:c r="H78" s="44" t="str">
        <x:f>IF(G78="","",IFERROR(G78/MAX(1,COUNTIF('01_Конкуренты'!$B$7:$B$36,"?*")),""))</x:f>
      </x:c>
      <x:c r="I78" s="32" t="str"/>
      <x:c r="J78" s="32" t="str">
        <x:f>IF(B78="","",IF(E78="Обязательное",IF(H78&gt;=0.6,"Минимальный рыночный стандарт","Потенциальный обязательный разрыв"),IF(E78="Линейное",IF(H78&gt;=0.5,"Конкурентная норма с влиянием на выбор","Зона усиления ценности"),IF(E78="Привлекательное",IF(H78&lt;0.5,"Зона дифференциации","Переходит в ожидаемую норму"),IF(E78="Безразличное","Не делать при дефиците ресурсов",IF(E78="Обратное","Исключить или проверить риск отторжения","Требует проверки"))))))</x:f>
      </x:c>
      <x:c r="K78" s="32" t="str"/>
      <x:c r="L78" s="32" t="str"/>
      <x:c r="M78" s="32" t="str"/>
    </x:row>
    <x:row r="79">
      <x:c r="A79" s="32" t="str">
        <x:v>R073</x:v>
      </x:c>
      <x:c r="B79" s="32" t="str"/>
      <x:c r="C79" s="32" t="str"/>
      <x:c r="D79" s="32" t="str"/>
      <x:c r="E79" s="32" t="str"/>
      <x:c r="F79" s="32" t="str"/>
      <x:c r="G79" s="32" t="str"/>
      <x:c r="H79" s="44" t="str">
        <x:f>IF(G79="","",IFERROR(G79/MAX(1,COUNTIF('01_Конкуренты'!$B$7:$B$36,"?*")),""))</x:f>
      </x:c>
      <x:c r="I79" s="32" t="str"/>
      <x:c r="J79" s="32" t="str">
        <x:f>IF(B79="","",IF(E79="Обязательное",IF(H79&gt;=0.6,"Минимальный рыночный стандарт","Потенциальный обязательный разрыв"),IF(E79="Линейное",IF(H79&gt;=0.5,"Конкурентная норма с влиянием на выбор","Зона усиления ценности"),IF(E79="Привлекательное",IF(H79&lt;0.5,"Зона дифференциации","Переходит в ожидаемую норму"),IF(E79="Безразличное","Не делать при дефиците ресурсов",IF(E79="Обратное","Исключить или проверить риск отторжения","Требует проверки"))))))</x:f>
      </x:c>
      <x:c r="K79" s="32" t="str"/>
      <x:c r="L79" s="32" t="str"/>
      <x:c r="M79" s="32" t="str"/>
    </x:row>
    <x:row r="80">
      <x:c r="A80" s="32" t="str">
        <x:v>R074</x:v>
      </x:c>
      <x:c r="B80" s="32" t="str"/>
      <x:c r="C80" s="32" t="str"/>
      <x:c r="D80" s="32" t="str"/>
      <x:c r="E80" s="32" t="str"/>
      <x:c r="F80" s="32" t="str"/>
      <x:c r="G80" s="32" t="str"/>
      <x:c r="H80" s="44" t="str">
        <x:f>IF(G80="","",IFERROR(G80/MAX(1,COUNTIF('01_Конкуренты'!$B$7:$B$36,"?*")),""))</x:f>
      </x:c>
      <x:c r="I80" s="32" t="str"/>
      <x:c r="J80" s="32" t="str">
        <x:f>IF(B80="","",IF(E80="Обязательное",IF(H80&gt;=0.6,"Минимальный рыночный стандарт","Потенциальный обязательный разрыв"),IF(E80="Линейное",IF(H80&gt;=0.5,"Конкурентная норма с влиянием на выбор","Зона усиления ценности"),IF(E80="Привлекательное",IF(H80&lt;0.5,"Зона дифференциации","Переходит в ожидаемую норму"),IF(E80="Безразличное","Не делать при дефиците ресурсов",IF(E80="Обратное","Исключить или проверить риск отторжения","Требует проверки"))))))</x:f>
      </x:c>
      <x:c r="K80" s="32" t="str"/>
      <x:c r="L80" s="32" t="str"/>
      <x:c r="M80" s="32" t="str"/>
    </x:row>
    <x:row r="81">
      <x:c r="A81" s="32" t="str">
        <x:v>R075</x:v>
      </x:c>
      <x:c r="B81" s="32" t="str"/>
      <x:c r="C81" s="32" t="str"/>
      <x:c r="D81" s="32" t="str"/>
      <x:c r="E81" s="32" t="str"/>
      <x:c r="F81" s="32" t="str"/>
      <x:c r="G81" s="32" t="str"/>
      <x:c r="H81" s="44" t="str">
        <x:f>IF(G81="","",IFERROR(G81/MAX(1,COUNTIF('01_Конкуренты'!$B$7:$B$36,"?*")),""))</x:f>
      </x:c>
      <x:c r="I81" s="32" t="str"/>
      <x:c r="J81" s="32" t="str">
        <x:f>IF(B81="","",IF(E81="Обязательное",IF(H81&gt;=0.6,"Минимальный рыночный стандарт","Потенциальный обязательный разрыв"),IF(E81="Линейное",IF(H81&gt;=0.5,"Конкурентная норма с влиянием на выбор","Зона усиления ценности"),IF(E81="Привлекательное",IF(H81&lt;0.5,"Зона дифференциации","Переходит в ожидаемую норму"),IF(E81="Безразличное","Не делать при дефиците ресурсов",IF(E81="Обратное","Исключить или проверить риск отторжения","Требует проверки"))))))</x:f>
      </x:c>
      <x:c r="K81" s="32" t="str"/>
      <x:c r="L81" s="32" t="str"/>
      <x:c r="M81" s="32" t="str"/>
    </x:row>
    <x:row r="82">
      <x:c r="A82" s="32" t="str">
        <x:v>R076</x:v>
      </x:c>
      <x:c r="B82" s="32" t="str"/>
      <x:c r="C82" s="32" t="str"/>
      <x:c r="D82" s="32" t="str"/>
      <x:c r="E82" s="32" t="str"/>
      <x:c r="F82" s="32" t="str"/>
      <x:c r="G82" s="32" t="str"/>
      <x:c r="H82" s="44" t="str">
        <x:f>IF(G82="","",IFERROR(G82/MAX(1,COUNTIF('01_Конкуренты'!$B$7:$B$36,"?*")),""))</x:f>
      </x:c>
      <x:c r="I82" s="32" t="str"/>
      <x:c r="J82" s="32" t="str">
        <x:f>IF(B82="","",IF(E82="Обязательное",IF(H82&gt;=0.6,"Минимальный рыночный стандарт","Потенциальный обязательный разрыв"),IF(E82="Линейное",IF(H82&gt;=0.5,"Конкурентная норма с влиянием на выбор","Зона усиления ценности"),IF(E82="Привлекательное",IF(H82&lt;0.5,"Зона дифференциации","Переходит в ожидаемую норму"),IF(E82="Безразличное","Не делать при дефиците ресурсов",IF(E82="Обратное","Исключить или проверить риск отторжения","Требует проверки"))))))</x:f>
      </x:c>
      <x:c r="K82" s="32" t="str"/>
      <x:c r="L82" s="32" t="str"/>
      <x:c r="M82" s="32" t="str"/>
    </x:row>
    <x:row r="83">
      <x:c r="A83" s="32" t="str">
        <x:v>R077</x:v>
      </x:c>
      <x:c r="B83" s="32" t="str"/>
      <x:c r="C83" s="32" t="str"/>
      <x:c r="D83" s="32" t="str"/>
      <x:c r="E83" s="32" t="str"/>
      <x:c r="F83" s="32" t="str"/>
      <x:c r="G83" s="32" t="str"/>
      <x:c r="H83" s="44" t="str">
        <x:f>IF(G83="","",IFERROR(G83/MAX(1,COUNTIF('01_Конкуренты'!$B$7:$B$36,"?*")),""))</x:f>
      </x:c>
      <x:c r="I83" s="32" t="str"/>
      <x:c r="J83" s="32" t="str">
        <x:f>IF(B83="","",IF(E83="Обязательное",IF(H83&gt;=0.6,"Минимальный рыночный стандарт","Потенциальный обязательный разрыв"),IF(E83="Линейное",IF(H83&gt;=0.5,"Конкурентная норма с влиянием на выбор","Зона усиления ценности"),IF(E83="Привлекательное",IF(H83&lt;0.5,"Зона дифференциации","Переходит в ожидаемую норму"),IF(E83="Безразличное","Не делать при дефиците ресурсов",IF(E83="Обратное","Исключить или проверить риск отторжения","Требует проверки"))))))</x:f>
      </x:c>
      <x:c r="K83" s="32" t="str"/>
      <x:c r="L83" s="32" t="str"/>
      <x:c r="M83" s="32" t="str"/>
    </x:row>
    <x:row r="84">
      <x:c r="A84" s="32" t="str">
        <x:v>R078</x:v>
      </x:c>
      <x:c r="B84" s="32" t="str"/>
      <x:c r="C84" s="32" t="str"/>
      <x:c r="D84" s="32" t="str"/>
      <x:c r="E84" s="32" t="str"/>
      <x:c r="F84" s="32" t="str"/>
      <x:c r="G84" s="32" t="str"/>
      <x:c r="H84" s="44" t="str">
        <x:f>IF(G84="","",IFERROR(G84/MAX(1,COUNTIF('01_Конкуренты'!$B$7:$B$36,"?*")),""))</x:f>
      </x:c>
      <x:c r="I84" s="32" t="str"/>
      <x:c r="J84" s="32" t="str">
        <x:f>IF(B84="","",IF(E84="Обязательное",IF(H84&gt;=0.6,"Минимальный рыночный стандарт","Потенциальный обязательный разрыв"),IF(E84="Линейное",IF(H84&gt;=0.5,"Конкурентная норма с влиянием на выбор","Зона усиления ценности"),IF(E84="Привлекательное",IF(H84&lt;0.5,"Зона дифференциации","Переходит в ожидаемую норму"),IF(E84="Безразличное","Не делать при дефиците ресурсов",IF(E84="Обратное","Исключить или проверить риск отторжения","Требует проверки"))))))</x:f>
      </x:c>
      <x:c r="K84" s="32" t="str"/>
      <x:c r="L84" s="32" t="str"/>
      <x:c r="M84" s="32" t="str"/>
    </x:row>
    <x:row r="85">
      <x:c r="A85" s="32" t="str">
        <x:v>R079</x:v>
      </x:c>
      <x:c r="B85" s="32" t="str"/>
      <x:c r="C85" s="32" t="str"/>
      <x:c r="D85" s="32" t="str"/>
      <x:c r="E85" s="32" t="str"/>
      <x:c r="F85" s="32" t="str"/>
      <x:c r="G85" s="32" t="str"/>
      <x:c r="H85" s="44" t="str">
        <x:f>IF(G85="","",IFERROR(G85/MAX(1,COUNTIF('01_Конкуренты'!$B$7:$B$36,"?*")),""))</x:f>
      </x:c>
      <x:c r="I85" s="32" t="str"/>
      <x:c r="J85" s="32" t="str">
        <x:f>IF(B85="","",IF(E85="Обязательное",IF(H85&gt;=0.6,"Минимальный рыночный стандарт","Потенциальный обязательный разрыв"),IF(E85="Линейное",IF(H85&gt;=0.5,"Конкурентная норма с влиянием на выбор","Зона усиления ценности"),IF(E85="Привлекательное",IF(H85&lt;0.5,"Зона дифференциации","Переходит в ожидаемую норму"),IF(E85="Безразличное","Не делать при дефиците ресурсов",IF(E85="Обратное","Исключить или проверить риск отторжения","Требует проверки"))))))</x:f>
      </x:c>
      <x:c r="K85" s="32" t="str"/>
      <x:c r="L85" s="32" t="str"/>
      <x:c r="M85" s="32" t="str"/>
    </x:row>
    <x:row r="86">
      <x:c r="A86" s="32" t="str">
        <x:v>R080</x:v>
      </x:c>
      <x:c r="B86" s="32" t="str"/>
      <x:c r="C86" s="32" t="str"/>
      <x:c r="D86" s="32" t="str"/>
      <x:c r="E86" s="32" t="str"/>
      <x:c r="F86" s="32" t="str"/>
      <x:c r="G86" s="32" t="str"/>
      <x:c r="H86" s="44" t="str">
        <x:f>IF(G86="","",IFERROR(G86/MAX(1,COUNTIF('01_Конкуренты'!$B$7:$B$36,"?*")),""))</x:f>
      </x:c>
      <x:c r="I86" s="32" t="str"/>
      <x:c r="J86" s="32" t="str">
        <x:f>IF(B86="","",IF(E86="Обязательное",IF(H86&gt;=0.6,"Минимальный рыночный стандарт","Потенциальный обязательный разрыв"),IF(E86="Линейное",IF(H86&gt;=0.5,"Конкурентная норма с влиянием на выбор","Зона усиления ценности"),IF(E86="Привлекательное",IF(H86&lt;0.5,"Зона дифференциации","Переходит в ожидаемую норму"),IF(E86="Безразличное","Не делать при дефиците ресурсов",IF(E86="Обратное","Исключить или проверить риск отторжения","Требует проверки"))))))</x:f>
      </x:c>
      <x:c r="K86" s="32" t="str"/>
      <x:c r="L86" s="32" t="str"/>
      <x:c r="M86" s="32" t="str"/>
    </x:row>
    <x:row r="87">
      <x:c r="A87" s="32" t="str">
        <x:v>R081</x:v>
      </x:c>
      <x:c r="B87" s="32" t="str"/>
      <x:c r="C87" s="32" t="str"/>
      <x:c r="D87" s="32" t="str"/>
      <x:c r="E87" s="32" t="str"/>
      <x:c r="F87" s="32" t="str"/>
      <x:c r="G87" s="32" t="str"/>
      <x:c r="H87" s="44" t="str">
        <x:f>IF(G87="","",IFERROR(G87/MAX(1,COUNTIF('01_Конкуренты'!$B$7:$B$36,"?*")),""))</x:f>
      </x:c>
      <x:c r="I87" s="32" t="str"/>
      <x:c r="J87" s="32" t="str">
        <x:f>IF(B87="","",IF(E87="Обязательное",IF(H87&gt;=0.6,"Минимальный рыночный стандарт","Потенциальный обязательный разрыв"),IF(E87="Линейное",IF(H87&gt;=0.5,"Конкурентная норма с влиянием на выбор","Зона усиления ценности"),IF(E87="Привлекательное",IF(H87&lt;0.5,"Зона дифференциации","Переходит в ожидаемую норму"),IF(E87="Безразличное","Не делать при дефиците ресурсов",IF(E87="Обратное","Исключить или проверить риск отторжения","Требует проверки"))))))</x:f>
      </x:c>
      <x:c r="K87" s="32" t="str"/>
      <x:c r="L87" s="32" t="str"/>
      <x:c r="M87" s="32" t="str"/>
    </x:row>
    <x:row r="88">
      <x:c r="A88" s="32" t="str">
        <x:v>R082</x:v>
      </x:c>
      <x:c r="B88" s="32" t="str"/>
      <x:c r="C88" s="32" t="str"/>
      <x:c r="D88" s="32" t="str"/>
      <x:c r="E88" s="32" t="str"/>
      <x:c r="F88" s="32" t="str"/>
      <x:c r="G88" s="32" t="str"/>
      <x:c r="H88" s="44" t="str">
        <x:f>IF(G88="","",IFERROR(G88/MAX(1,COUNTIF('01_Конкуренты'!$B$7:$B$36,"?*")),""))</x:f>
      </x:c>
      <x:c r="I88" s="32" t="str"/>
      <x:c r="J88" s="32" t="str">
        <x:f>IF(B88="","",IF(E88="Обязательное",IF(H88&gt;=0.6,"Минимальный рыночный стандарт","Потенциальный обязательный разрыв"),IF(E88="Линейное",IF(H88&gt;=0.5,"Конкурентная норма с влиянием на выбор","Зона усиления ценности"),IF(E88="Привлекательное",IF(H88&lt;0.5,"Зона дифференциации","Переходит в ожидаемую норму"),IF(E88="Безразличное","Не делать при дефиците ресурсов",IF(E88="Обратное","Исключить или проверить риск отторжения","Требует проверки"))))))</x:f>
      </x:c>
      <x:c r="K88" s="32" t="str"/>
      <x:c r="L88" s="32" t="str"/>
      <x:c r="M88" s="32" t="str"/>
    </x:row>
    <x:row r="89">
      <x:c r="A89" s="32" t="str">
        <x:v>R083</x:v>
      </x:c>
      <x:c r="B89" s="32" t="str"/>
      <x:c r="C89" s="32" t="str"/>
      <x:c r="D89" s="32" t="str"/>
      <x:c r="E89" s="32" t="str"/>
      <x:c r="F89" s="32" t="str"/>
      <x:c r="G89" s="32" t="str"/>
      <x:c r="H89" s="44" t="str">
        <x:f>IF(G89="","",IFERROR(G89/MAX(1,COUNTIF('01_Конкуренты'!$B$7:$B$36,"?*")),""))</x:f>
      </x:c>
      <x:c r="I89" s="32" t="str"/>
      <x:c r="J89" s="32" t="str">
        <x:f>IF(B89="","",IF(E89="Обязательное",IF(H89&gt;=0.6,"Минимальный рыночный стандарт","Потенциальный обязательный разрыв"),IF(E89="Линейное",IF(H89&gt;=0.5,"Конкурентная норма с влиянием на выбор","Зона усиления ценности"),IF(E89="Привлекательное",IF(H89&lt;0.5,"Зона дифференциации","Переходит в ожидаемую норму"),IF(E89="Безразличное","Не делать при дефиците ресурсов",IF(E89="Обратное","Исключить или проверить риск отторжения","Требует проверки"))))))</x:f>
      </x:c>
      <x:c r="K89" s="32" t="str"/>
      <x:c r="L89" s="32" t="str"/>
      <x:c r="M89" s="32" t="str"/>
    </x:row>
    <x:row r="90">
      <x:c r="A90" s="32" t="str">
        <x:v>R084</x:v>
      </x:c>
      <x:c r="B90" s="32" t="str"/>
      <x:c r="C90" s="32" t="str"/>
      <x:c r="D90" s="32" t="str"/>
      <x:c r="E90" s="32" t="str"/>
      <x:c r="F90" s="32" t="str"/>
      <x:c r="G90" s="32" t="str"/>
      <x:c r="H90" s="44" t="str">
        <x:f>IF(G90="","",IFERROR(G90/MAX(1,COUNTIF('01_Конкуренты'!$B$7:$B$36,"?*")),""))</x:f>
      </x:c>
      <x:c r="I90" s="32" t="str"/>
      <x:c r="J90" s="32" t="str">
        <x:f>IF(B90="","",IF(E90="Обязательное",IF(H90&gt;=0.6,"Минимальный рыночный стандарт","Потенциальный обязательный разрыв"),IF(E90="Линейное",IF(H90&gt;=0.5,"Конкурентная норма с влиянием на выбор","Зона усиления ценности"),IF(E90="Привлекательное",IF(H90&lt;0.5,"Зона дифференциации","Переходит в ожидаемую норму"),IF(E90="Безразличное","Не делать при дефиците ресурсов",IF(E90="Обратное","Исключить или проверить риск отторжения","Требует проверки"))))))</x:f>
      </x:c>
      <x:c r="K90" s="32" t="str"/>
      <x:c r="L90" s="32" t="str"/>
      <x:c r="M90" s="32" t="str"/>
    </x:row>
    <x:row r="91">
      <x:c r="A91" s="32" t="str">
        <x:v>R085</x:v>
      </x:c>
      <x:c r="B91" s="32" t="str"/>
      <x:c r="C91" s="32" t="str"/>
      <x:c r="D91" s="32" t="str"/>
      <x:c r="E91" s="32" t="str"/>
      <x:c r="F91" s="32" t="str"/>
      <x:c r="G91" s="32" t="str"/>
      <x:c r="H91" s="44" t="str">
        <x:f>IF(G91="","",IFERROR(G91/MAX(1,COUNTIF('01_Конкуренты'!$B$7:$B$36,"?*")),""))</x:f>
      </x:c>
      <x:c r="I91" s="32" t="str"/>
      <x:c r="J91" s="32" t="str">
        <x:f>IF(B91="","",IF(E91="Обязательное",IF(H91&gt;=0.6,"Минимальный рыночный стандарт","Потенциальный обязательный разрыв"),IF(E91="Линейное",IF(H91&gt;=0.5,"Конкурентная норма с влиянием на выбор","Зона усиления ценности"),IF(E91="Привлекательное",IF(H91&lt;0.5,"Зона дифференциации","Переходит в ожидаемую норму"),IF(E91="Безразличное","Не делать при дефиците ресурсов",IF(E91="Обратное","Исключить или проверить риск отторжения","Требует проверки"))))))</x:f>
      </x:c>
      <x:c r="K91" s="32" t="str"/>
      <x:c r="L91" s="32" t="str"/>
      <x:c r="M91" s="32" t="str"/>
    </x:row>
    <x:row r="92">
      <x:c r="A92" s="32" t="str">
        <x:v>R086</x:v>
      </x:c>
      <x:c r="B92" s="32" t="str"/>
      <x:c r="C92" s="32" t="str"/>
      <x:c r="D92" s="32" t="str"/>
      <x:c r="E92" s="32" t="str"/>
      <x:c r="F92" s="32" t="str"/>
      <x:c r="G92" s="32" t="str"/>
      <x:c r="H92" s="44" t="str">
        <x:f>IF(G92="","",IFERROR(G92/MAX(1,COUNTIF('01_Конкуренты'!$B$7:$B$36,"?*")),""))</x:f>
      </x:c>
      <x:c r="I92" s="32" t="str"/>
      <x:c r="J92" s="32" t="str">
        <x:f>IF(B92="","",IF(E92="Обязательное",IF(H92&gt;=0.6,"Минимальный рыночный стандарт","Потенциальный обязательный разрыв"),IF(E92="Линейное",IF(H92&gt;=0.5,"Конкурентная норма с влиянием на выбор","Зона усиления ценности"),IF(E92="Привлекательное",IF(H92&lt;0.5,"Зона дифференциации","Переходит в ожидаемую норму"),IF(E92="Безразличное","Не делать при дефиците ресурсов",IF(E92="Обратное","Исключить или проверить риск отторжения","Требует проверки"))))))</x:f>
      </x:c>
      <x:c r="K92" s="32" t="str"/>
      <x:c r="L92" s="32" t="str"/>
      <x:c r="M92" s="32" t="str"/>
    </x:row>
    <x:row r="93">
      <x:c r="A93" s="32" t="str">
        <x:v>R087</x:v>
      </x:c>
      <x:c r="B93" s="32" t="str"/>
      <x:c r="C93" s="32" t="str"/>
      <x:c r="D93" s="32" t="str"/>
      <x:c r="E93" s="32" t="str"/>
      <x:c r="F93" s="32" t="str"/>
      <x:c r="G93" s="32" t="str"/>
      <x:c r="H93" s="44" t="str">
        <x:f>IF(G93="","",IFERROR(G93/MAX(1,COUNTIF('01_Конкуренты'!$B$7:$B$36,"?*")),""))</x:f>
      </x:c>
      <x:c r="I93" s="32" t="str"/>
      <x:c r="J93" s="32" t="str">
        <x:f>IF(B93="","",IF(E93="Обязательное",IF(H93&gt;=0.6,"Минимальный рыночный стандарт","Потенциальный обязательный разрыв"),IF(E93="Линейное",IF(H93&gt;=0.5,"Конкурентная норма с влиянием на выбор","Зона усиления ценности"),IF(E93="Привлекательное",IF(H93&lt;0.5,"Зона дифференциации","Переходит в ожидаемую норму"),IF(E93="Безразличное","Не делать при дефиците ресурсов",IF(E93="Обратное","Исключить или проверить риск отторжения","Требует проверки"))))))</x:f>
      </x:c>
      <x:c r="K93" s="32" t="str"/>
      <x:c r="L93" s="32" t="str"/>
      <x:c r="M93" s="32" t="str"/>
    </x:row>
    <x:row r="94">
      <x:c r="A94" s="32" t="str">
        <x:v>R088</x:v>
      </x:c>
      <x:c r="B94" s="32" t="str"/>
      <x:c r="C94" s="32" t="str"/>
      <x:c r="D94" s="32" t="str"/>
      <x:c r="E94" s="32" t="str"/>
      <x:c r="F94" s="32" t="str"/>
      <x:c r="G94" s="32" t="str"/>
      <x:c r="H94" s="44" t="str">
        <x:f>IF(G94="","",IFERROR(G94/MAX(1,COUNTIF('01_Конкуренты'!$B$7:$B$36,"?*")),""))</x:f>
      </x:c>
      <x:c r="I94" s="32" t="str"/>
      <x:c r="J94" s="32" t="str">
        <x:f>IF(B94="","",IF(E94="Обязательное",IF(H94&gt;=0.6,"Минимальный рыночный стандарт","Потенциальный обязательный разрыв"),IF(E94="Линейное",IF(H94&gt;=0.5,"Конкурентная норма с влиянием на выбор","Зона усиления ценности"),IF(E94="Привлекательное",IF(H94&lt;0.5,"Зона дифференциации","Переходит в ожидаемую норму"),IF(E94="Безразличное","Не делать при дефиците ресурсов",IF(E94="Обратное","Исключить или проверить риск отторжения","Требует проверки"))))))</x:f>
      </x:c>
      <x:c r="K94" s="32" t="str"/>
      <x:c r="L94" s="32" t="str"/>
      <x:c r="M94" s="32" t="str"/>
    </x:row>
    <x:row r="95">
      <x:c r="A95" s="32" t="str">
        <x:v>R089</x:v>
      </x:c>
      <x:c r="B95" s="32" t="str"/>
      <x:c r="C95" s="32" t="str"/>
      <x:c r="D95" s="32" t="str"/>
      <x:c r="E95" s="32" t="str"/>
      <x:c r="F95" s="32" t="str"/>
      <x:c r="G95" s="32" t="str"/>
      <x:c r="H95" s="44" t="str">
        <x:f>IF(G95="","",IFERROR(G95/MAX(1,COUNTIF('01_Конкуренты'!$B$7:$B$36,"?*")),""))</x:f>
      </x:c>
      <x:c r="I95" s="32" t="str"/>
      <x:c r="J95" s="32" t="str">
        <x:f>IF(B95="","",IF(E95="Обязательное",IF(H95&gt;=0.6,"Минимальный рыночный стандарт","Потенциальный обязательный разрыв"),IF(E95="Линейное",IF(H95&gt;=0.5,"Конкурентная норма с влиянием на выбор","Зона усиления ценности"),IF(E95="Привлекательное",IF(H95&lt;0.5,"Зона дифференциации","Переходит в ожидаемую норму"),IF(E95="Безразличное","Не делать при дефиците ресурсов",IF(E95="Обратное","Исключить или проверить риск отторжения","Требует проверки"))))))</x:f>
      </x:c>
      <x:c r="K95" s="32" t="str"/>
      <x:c r="L95" s="32" t="str"/>
      <x:c r="M95" s="32" t="str"/>
    </x:row>
    <x:row r="96">
      <x:c r="A96" s="32" t="str">
        <x:v>R090</x:v>
      </x:c>
      <x:c r="B96" s="32" t="str"/>
      <x:c r="C96" s="32" t="str"/>
      <x:c r="D96" s="32" t="str"/>
      <x:c r="E96" s="32" t="str"/>
      <x:c r="F96" s="32" t="str"/>
      <x:c r="G96" s="32" t="str"/>
      <x:c r="H96" s="44" t="str">
        <x:f>IF(G96="","",IFERROR(G96/MAX(1,COUNTIF('01_Конкуренты'!$B$7:$B$36,"?*")),""))</x:f>
      </x:c>
      <x:c r="I96" s="32" t="str"/>
      <x:c r="J96" s="32" t="str">
        <x:f>IF(B96="","",IF(E96="Обязательное",IF(H96&gt;=0.6,"Минимальный рыночный стандарт","Потенциальный обязательный разрыв"),IF(E96="Линейное",IF(H96&gt;=0.5,"Конкурентная норма с влиянием на выбор","Зона усиления ценности"),IF(E96="Привлекательное",IF(H96&lt;0.5,"Зона дифференциации","Переходит в ожидаемую норму"),IF(E96="Безразличное","Не делать при дефиците ресурсов",IF(E96="Обратное","Исключить или проверить риск отторжения","Требует проверки"))))))</x:f>
      </x:c>
      <x:c r="K96" s="32" t="str"/>
      <x:c r="L96" s="32" t="str"/>
      <x:c r="M96" s="32" t="str"/>
    </x:row>
    <x:row r="97">
      <x:c r="A97" s="32" t="str">
        <x:v>R091</x:v>
      </x:c>
      <x:c r="B97" s="32" t="str"/>
      <x:c r="C97" s="32" t="str"/>
      <x:c r="D97" s="32" t="str"/>
      <x:c r="E97" s="32" t="str"/>
      <x:c r="F97" s="32" t="str"/>
      <x:c r="G97" s="32" t="str"/>
      <x:c r="H97" s="44" t="str">
        <x:f>IF(G97="","",IFERROR(G97/MAX(1,COUNTIF('01_Конкуренты'!$B$7:$B$36,"?*")),""))</x:f>
      </x:c>
      <x:c r="I97" s="32" t="str"/>
      <x:c r="J97" s="32" t="str">
        <x:f>IF(B97="","",IF(E97="Обязательное",IF(H97&gt;=0.6,"Минимальный рыночный стандарт","Потенциальный обязательный разрыв"),IF(E97="Линейное",IF(H97&gt;=0.5,"Конкурентная норма с влиянием на выбор","Зона усиления ценности"),IF(E97="Привлекательное",IF(H97&lt;0.5,"Зона дифференциации","Переходит в ожидаемую норму"),IF(E97="Безразличное","Не делать при дефиците ресурсов",IF(E97="Обратное","Исключить или проверить риск отторжения","Требует проверки"))))))</x:f>
      </x:c>
      <x:c r="K97" s="32" t="str"/>
      <x:c r="L97" s="32" t="str"/>
      <x:c r="M97" s="32" t="str"/>
    </x:row>
    <x:row r="98">
      <x:c r="A98" s="32" t="str">
        <x:v>R092</x:v>
      </x:c>
      <x:c r="B98" s="32" t="str"/>
      <x:c r="C98" s="32" t="str"/>
      <x:c r="D98" s="32" t="str"/>
      <x:c r="E98" s="32" t="str"/>
      <x:c r="F98" s="32" t="str"/>
      <x:c r="G98" s="32" t="str"/>
      <x:c r="H98" s="44" t="str">
        <x:f>IF(G98="","",IFERROR(G98/MAX(1,COUNTIF('01_Конкуренты'!$B$7:$B$36,"?*")),""))</x:f>
      </x:c>
      <x:c r="I98" s="32" t="str"/>
      <x:c r="J98" s="32" t="str">
        <x:f>IF(B98="","",IF(E98="Обязательное",IF(H98&gt;=0.6,"Минимальный рыночный стандарт","Потенциальный обязательный разрыв"),IF(E98="Линейное",IF(H98&gt;=0.5,"Конкурентная норма с влиянием на выбор","Зона усиления ценности"),IF(E98="Привлекательное",IF(H98&lt;0.5,"Зона дифференциации","Переходит в ожидаемую норму"),IF(E98="Безразличное","Не делать при дефиците ресурсов",IF(E98="Обратное","Исключить или проверить риск отторжения","Требует проверки"))))))</x:f>
      </x:c>
      <x:c r="K98" s="32" t="str"/>
      <x:c r="L98" s="32" t="str"/>
      <x:c r="M98" s="32" t="str"/>
    </x:row>
    <x:row r="99">
      <x:c r="A99" s="32" t="str">
        <x:v>R093</x:v>
      </x:c>
      <x:c r="B99" s="32" t="str"/>
      <x:c r="C99" s="32" t="str"/>
      <x:c r="D99" s="32" t="str"/>
      <x:c r="E99" s="32" t="str"/>
      <x:c r="F99" s="32" t="str"/>
      <x:c r="G99" s="32" t="str"/>
      <x:c r="H99" s="44" t="str">
        <x:f>IF(G99="","",IFERROR(G99/MAX(1,COUNTIF('01_Конкуренты'!$B$7:$B$36,"?*")),""))</x:f>
      </x:c>
      <x:c r="I99" s="32" t="str"/>
      <x:c r="J99" s="32" t="str">
        <x:f>IF(B99="","",IF(E99="Обязательное",IF(H99&gt;=0.6,"Минимальный рыночный стандарт","Потенциальный обязательный разрыв"),IF(E99="Линейное",IF(H99&gt;=0.5,"Конкурентная норма с влиянием на выбор","Зона усиления ценности"),IF(E99="Привлекательное",IF(H99&lt;0.5,"Зона дифференциации","Переходит в ожидаемую норму"),IF(E99="Безразличное","Не делать при дефиците ресурсов",IF(E99="Обратное","Исключить или проверить риск отторжения","Требует проверки"))))))</x:f>
      </x:c>
      <x:c r="K99" s="32" t="str"/>
      <x:c r="L99" s="32" t="str"/>
      <x:c r="M99" s="32" t="str"/>
    </x:row>
    <x:row r="100">
      <x:c r="A100" s="32" t="str">
        <x:v>R094</x:v>
      </x:c>
      <x:c r="B100" s="32" t="str"/>
      <x:c r="C100" s="32" t="str"/>
      <x:c r="D100" s="32" t="str"/>
      <x:c r="E100" s="32" t="str"/>
      <x:c r="F100" s="32" t="str"/>
      <x:c r="G100" s="32" t="str"/>
      <x:c r="H100" s="44" t="str">
        <x:f>IF(G100="","",IFERROR(G100/MAX(1,COUNTIF('01_Конкуренты'!$B$7:$B$36,"?*")),""))</x:f>
      </x:c>
      <x:c r="I100" s="32" t="str"/>
      <x:c r="J100" s="32" t="str">
        <x:f>IF(B100="","",IF(E100="Обязательное",IF(H100&gt;=0.6,"Минимальный рыночный стандарт","Потенциальный обязательный разрыв"),IF(E100="Линейное",IF(H100&gt;=0.5,"Конкурентная норма с влиянием на выбор","Зона усиления ценности"),IF(E100="Привлекательное",IF(H100&lt;0.5,"Зона дифференциации","Переходит в ожидаемую норму"),IF(E100="Безразличное","Не делать при дефиците ресурсов",IF(E100="Обратное","Исключить или проверить риск отторжения","Требует проверки"))))))</x:f>
      </x:c>
      <x:c r="K100" s="32" t="str"/>
      <x:c r="L100" s="32" t="str"/>
      <x:c r="M100" s="32" t="str"/>
    </x:row>
    <x:row r="101">
      <x:c r="A101" s="32" t="str">
        <x:v>R095</x:v>
      </x:c>
      <x:c r="B101" s="32" t="str"/>
      <x:c r="C101" s="32" t="str"/>
      <x:c r="D101" s="32" t="str"/>
      <x:c r="E101" s="32" t="str"/>
      <x:c r="F101" s="32" t="str"/>
      <x:c r="G101" s="32" t="str"/>
      <x:c r="H101" s="44" t="str">
        <x:f>IF(G101="","",IFERROR(G101/MAX(1,COUNTIF('01_Конкуренты'!$B$7:$B$36,"?*")),""))</x:f>
      </x:c>
      <x:c r="I101" s="32" t="str"/>
      <x:c r="J101" s="32" t="str">
        <x:f>IF(B101="","",IF(E101="Обязательное",IF(H101&gt;=0.6,"Минимальный рыночный стандарт","Потенциальный обязательный разрыв"),IF(E101="Линейное",IF(H101&gt;=0.5,"Конкурентная норма с влиянием на выбор","Зона усиления ценности"),IF(E101="Привлекательное",IF(H101&lt;0.5,"Зона дифференциации","Переходит в ожидаемую норму"),IF(E101="Безразличное","Не делать при дефиците ресурсов",IF(E101="Обратное","Исключить или проверить риск отторжения","Требует проверки"))))))</x:f>
      </x:c>
      <x:c r="K101" s="32" t="str"/>
      <x:c r="L101" s="32" t="str"/>
      <x:c r="M101" s="32" t="str"/>
    </x:row>
    <x:row r="102">
      <x:c r="A102" s="32" t="str">
        <x:v>R096</x:v>
      </x:c>
      <x:c r="B102" s="32" t="str"/>
      <x:c r="C102" s="32" t="str"/>
      <x:c r="D102" s="32" t="str"/>
      <x:c r="E102" s="32" t="str"/>
      <x:c r="F102" s="32" t="str"/>
      <x:c r="G102" s="32" t="str"/>
      <x:c r="H102" s="44" t="str">
        <x:f>IF(G102="","",IFERROR(G102/MAX(1,COUNTIF('01_Конкуренты'!$B$7:$B$36,"?*")),""))</x:f>
      </x:c>
      <x:c r="I102" s="32" t="str"/>
      <x:c r="J102" s="32" t="str">
        <x:f>IF(B102="","",IF(E102="Обязательное",IF(H102&gt;=0.6,"Минимальный рыночный стандарт","Потенциальный обязательный разрыв"),IF(E102="Линейное",IF(H102&gt;=0.5,"Конкурентная норма с влиянием на выбор","Зона усиления ценности"),IF(E102="Привлекательное",IF(H102&lt;0.5,"Зона дифференциации","Переходит в ожидаемую норму"),IF(E102="Безразличное","Не делать при дефиците ресурсов",IF(E102="Обратное","Исключить или проверить риск отторжения","Требует проверки"))))))</x:f>
      </x:c>
      <x:c r="K102" s="32" t="str"/>
      <x:c r="L102" s="32" t="str"/>
      <x:c r="M102" s="32" t="str"/>
    </x:row>
    <x:row r="103">
      <x:c r="A103" s="32" t="str">
        <x:v>R097</x:v>
      </x:c>
      <x:c r="B103" s="32" t="str"/>
      <x:c r="C103" s="32" t="str"/>
      <x:c r="D103" s="32" t="str"/>
      <x:c r="E103" s="32" t="str"/>
      <x:c r="F103" s="32" t="str"/>
      <x:c r="G103" s="32" t="str"/>
      <x:c r="H103" s="44" t="str">
        <x:f>IF(G103="","",IFERROR(G103/MAX(1,COUNTIF('01_Конкуренты'!$B$7:$B$36,"?*")),""))</x:f>
      </x:c>
      <x:c r="I103" s="32" t="str"/>
      <x:c r="J103" s="32" t="str">
        <x:f>IF(B103="","",IF(E103="Обязательное",IF(H103&gt;=0.6,"Минимальный рыночный стандарт","Потенциальный обязательный разрыв"),IF(E103="Линейное",IF(H103&gt;=0.5,"Конкурентная норма с влиянием на выбор","Зона усиления ценности"),IF(E103="Привлекательное",IF(H103&lt;0.5,"Зона дифференциации","Переходит в ожидаемую норму"),IF(E103="Безразличное","Не делать при дефиците ресурсов",IF(E103="Обратное","Исключить или проверить риск отторжения","Требует проверки"))))))</x:f>
      </x:c>
      <x:c r="K103" s="32" t="str"/>
      <x:c r="L103" s="32" t="str"/>
      <x:c r="M103" s="32" t="str"/>
    </x:row>
    <x:row r="104">
      <x:c r="A104" s="32" t="str">
        <x:v>R098</x:v>
      </x:c>
      <x:c r="B104" s="32" t="str"/>
      <x:c r="C104" s="32" t="str"/>
      <x:c r="D104" s="32" t="str"/>
      <x:c r="E104" s="32" t="str"/>
      <x:c r="F104" s="32" t="str"/>
      <x:c r="G104" s="32" t="str"/>
      <x:c r="H104" s="44" t="str">
        <x:f>IF(G104="","",IFERROR(G104/MAX(1,COUNTIF('01_Конкуренты'!$B$7:$B$36,"?*")),""))</x:f>
      </x:c>
      <x:c r="I104" s="32" t="str"/>
      <x:c r="J104" s="32" t="str">
        <x:f>IF(B104="","",IF(E104="Обязательное",IF(H104&gt;=0.6,"Минимальный рыночный стандарт","Потенциальный обязательный разрыв"),IF(E104="Линейное",IF(H104&gt;=0.5,"Конкурентная норма с влиянием на выбор","Зона усиления ценности"),IF(E104="Привлекательное",IF(H104&lt;0.5,"Зона дифференциации","Переходит в ожидаемую норму"),IF(E104="Безразличное","Не делать при дефиците ресурсов",IF(E104="Обратное","Исключить или проверить риск отторжения","Требует проверки"))))))</x:f>
      </x:c>
      <x:c r="K104" s="32" t="str"/>
      <x:c r="L104" s="32" t="str"/>
      <x:c r="M104" s="32" t="str"/>
    </x:row>
    <x:row r="105">
      <x:c r="A105" s="32" t="str">
        <x:v>R099</x:v>
      </x:c>
      <x:c r="B105" s="32" t="str"/>
      <x:c r="C105" s="32" t="str"/>
      <x:c r="D105" s="32" t="str"/>
      <x:c r="E105" s="32" t="str"/>
      <x:c r="F105" s="32" t="str"/>
      <x:c r="G105" s="32" t="str"/>
      <x:c r="H105" s="44" t="str">
        <x:f>IF(G105="","",IFERROR(G105/MAX(1,COUNTIF('01_Конкуренты'!$B$7:$B$36,"?*")),""))</x:f>
      </x:c>
      <x:c r="I105" s="32" t="str"/>
      <x:c r="J105" s="32" t="str">
        <x:f>IF(B105="","",IF(E105="Обязательное",IF(H105&gt;=0.6,"Минимальный рыночный стандарт","Потенциальный обязательный разрыв"),IF(E105="Линейное",IF(H105&gt;=0.5,"Конкурентная норма с влиянием на выбор","Зона усиления ценности"),IF(E105="Привлекательное",IF(H105&lt;0.5,"Зона дифференциации","Переходит в ожидаемую норму"),IF(E105="Безразличное","Не делать при дефиците ресурсов",IF(E105="Обратное","Исключить или проверить риск отторжения","Требует проверки"))))))</x:f>
      </x:c>
      <x:c r="K105" s="32" t="str"/>
      <x:c r="L105" s="32" t="str"/>
      <x:c r="M105" s="32" t="str"/>
    </x:row>
    <x:row r="106">
      <x:c r="A106" s="32" t="str">
        <x:v>R100</x:v>
      </x:c>
      <x:c r="B106" s="32" t="str"/>
      <x:c r="C106" s="32" t="str"/>
      <x:c r="D106" s="32" t="str"/>
      <x:c r="E106" s="32" t="str"/>
      <x:c r="F106" s="32" t="str"/>
      <x:c r="G106" s="32" t="str"/>
      <x:c r="H106" s="44" t="str">
        <x:f>IF(G106="","",IFERROR(G106/MAX(1,COUNTIF('01_Конкуренты'!$B$7:$B$36,"?*")),""))</x:f>
      </x:c>
      <x:c r="I106" s="32" t="str"/>
      <x:c r="J106" s="32" t="str">
        <x:f>IF(B106="","",IF(E106="Обязательное",IF(H106&gt;=0.6,"Минимальный рыночный стандарт","Потенциальный обязательный разрыв"),IF(E106="Линейное",IF(H106&gt;=0.5,"Конкурентная норма с влиянием на выбор","Зона усиления ценности"),IF(E106="Привлекательное",IF(H106&lt;0.5,"Зона дифференциации","Переходит в ожидаемую норму"),IF(E106="Безразличное","Не делать при дефиците ресурсов",IF(E106="Обратное","Исключить или проверить риск отторжения","Требует проверки"))))))</x:f>
      </x:c>
      <x:c r="K106" s="32" t="str"/>
      <x:c r="L106" s="32" t="str"/>
      <x:c r="M106" s="32" t="str"/>
    </x:row>
    <x:row r="107">
      <x:c r="A107" s="32" t="str">
        <x:v>R101</x:v>
      </x:c>
      <x:c r="B107" s="32" t="str"/>
      <x:c r="C107" s="32" t="str"/>
      <x:c r="D107" s="32" t="str"/>
      <x:c r="E107" s="32" t="str"/>
      <x:c r="F107" s="32" t="str"/>
      <x:c r="G107" s="32" t="str"/>
      <x:c r="H107" s="44" t="str">
        <x:f>IF(G107="","",IFERROR(G107/MAX(1,COUNTIF('01_Конкуренты'!$B$7:$B$36,"?*")),""))</x:f>
      </x:c>
      <x:c r="I107" s="32" t="str"/>
      <x:c r="J107" s="32" t="str">
        <x:f>IF(B107="","",IF(E107="Обязательное",IF(H107&gt;=0.6,"Минимальный рыночный стандарт","Потенциальный обязательный разрыв"),IF(E107="Линейное",IF(H107&gt;=0.5,"Конкурентная норма с влиянием на выбор","Зона усиления ценности"),IF(E107="Привлекательное",IF(H107&lt;0.5,"Зона дифференциации","Переходит в ожидаемую норму"),IF(E107="Безразличное","Не делать при дефиците ресурсов",IF(E107="Обратное","Исключить или проверить риск отторжения","Требует проверки"))))))</x:f>
      </x:c>
      <x:c r="K107" s="32" t="str"/>
      <x:c r="L107" s="32" t="str"/>
      <x:c r="M107" s="32" t="str"/>
    </x:row>
    <x:row r="108">
      <x:c r="A108" s="32" t="str">
        <x:v>R102</x:v>
      </x:c>
      <x:c r="B108" s="32" t="str"/>
      <x:c r="C108" s="32" t="str"/>
      <x:c r="D108" s="32" t="str"/>
      <x:c r="E108" s="32" t="str"/>
      <x:c r="F108" s="32" t="str"/>
      <x:c r="G108" s="32" t="str"/>
      <x:c r="H108" s="44" t="str">
        <x:f>IF(G108="","",IFERROR(G108/MAX(1,COUNTIF('01_Конкуренты'!$B$7:$B$36,"?*")),""))</x:f>
      </x:c>
      <x:c r="I108" s="32" t="str"/>
      <x:c r="J108" s="32" t="str">
        <x:f>IF(B108="","",IF(E108="Обязательное",IF(H108&gt;=0.6,"Минимальный рыночный стандарт","Потенциальный обязательный разрыв"),IF(E108="Линейное",IF(H108&gt;=0.5,"Конкурентная норма с влиянием на выбор","Зона усиления ценности"),IF(E108="Привлекательное",IF(H108&lt;0.5,"Зона дифференциации","Переходит в ожидаемую норму"),IF(E108="Безразличное","Не делать при дефиците ресурсов",IF(E108="Обратное","Исключить или проверить риск отторжения","Требует проверки"))))))</x:f>
      </x:c>
      <x:c r="K108" s="32" t="str"/>
      <x:c r="L108" s="32" t="str"/>
      <x:c r="M108" s="32" t="str"/>
    </x:row>
    <x:row r="109">
      <x:c r="A109" s="32" t="str">
        <x:v>R103</x:v>
      </x:c>
      <x:c r="B109" s="32" t="str"/>
      <x:c r="C109" s="32" t="str"/>
      <x:c r="D109" s="32" t="str"/>
      <x:c r="E109" s="32" t="str"/>
      <x:c r="F109" s="32" t="str"/>
      <x:c r="G109" s="32" t="str"/>
      <x:c r="H109" s="44" t="str">
        <x:f>IF(G109="","",IFERROR(G109/MAX(1,COUNTIF('01_Конкуренты'!$B$7:$B$36,"?*")),""))</x:f>
      </x:c>
      <x:c r="I109" s="32" t="str"/>
      <x:c r="J109" s="32" t="str">
        <x:f>IF(B109="","",IF(E109="Обязательное",IF(H109&gt;=0.6,"Минимальный рыночный стандарт","Потенциальный обязательный разрыв"),IF(E109="Линейное",IF(H109&gt;=0.5,"Конкурентная норма с влиянием на выбор","Зона усиления ценности"),IF(E109="Привлекательное",IF(H109&lt;0.5,"Зона дифференциации","Переходит в ожидаемую норму"),IF(E109="Безразличное","Не делать при дефиците ресурсов",IF(E109="Обратное","Исключить или проверить риск отторжения","Требует проверки"))))))</x:f>
      </x:c>
      <x:c r="K109" s="32" t="str"/>
      <x:c r="L109" s="32" t="str"/>
      <x:c r="M109" s="32" t="str"/>
    </x:row>
    <x:row r="110">
      <x:c r="A110" s="32" t="str">
        <x:v>R104</x:v>
      </x:c>
      <x:c r="B110" s="32" t="str"/>
      <x:c r="C110" s="32" t="str"/>
      <x:c r="D110" s="32" t="str"/>
      <x:c r="E110" s="32" t="str"/>
      <x:c r="F110" s="32" t="str"/>
      <x:c r="G110" s="32" t="str"/>
      <x:c r="H110" s="44" t="str">
        <x:f>IF(G110="","",IFERROR(G110/MAX(1,COUNTIF('01_Конкуренты'!$B$7:$B$36,"?*")),""))</x:f>
      </x:c>
      <x:c r="I110" s="32" t="str"/>
      <x:c r="J110" s="32" t="str">
        <x:f>IF(B110="","",IF(E110="Обязательное",IF(H110&gt;=0.6,"Минимальный рыночный стандарт","Потенциальный обязательный разрыв"),IF(E110="Линейное",IF(H110&gt;=0.5,"Конкурентная норма с влиянием на выбор","Зона усиления ценности"),IF(E110="Привлекательное",IF(H110&lt;0.5,"Зона дифференциации","Переходит в ожидаемую норму"),IF(E110="Безразличное","Не делать при дефиците ресурсов",IF(E110="Обратное","Исключить или проверить риск отторжения","Требует проверки"))))))</x:f>
      </x:c>
      <x:c r="K110" s="32" t="str"/>
      <x:c r="L110" s="32" t="str"/>
      <x:c r="M110" s="32" t="str"/>
    </x:row>
    <x:row r="111">
      <x:c r="A111" s="32" t="str">
        <x:v>R105</x:v>
      </x:c>
      <x:c r="B111" s="32" t="str"/>
      <x:c r="C111" s="32" t="str"/>
      <x:c r="D111" s="32" t="str"/>
      <x:c r="E111" s="32" t="str"/>
      <x:c r="F111" s="32" t="str"/>
      <x:c r="G111" s="32" t="str"/>
      <x:c r="H111" s="44" t="str">
        <x:f>IF(G111="","",IFERROR(G111/MAX(1,COUNTIF('01_Конкуренты'!$B$7:$B$36,"?*")),""))</x:f>
      </x:c>
      <x:c r="I111" s="32" t="str"/>
      <x:c r="J111" s="32" t="str">
        <x:f>IF(B111="","",IF(E111="Обязательное",IF(H111&gt;=0.6,"Минимальный рыночный стандарт","Потенциальный обязательный разрыв"),IF(E111="Линейное",IF(H111&gt;=0.5,"Конкурентная норма с влиянием на выбор","Зона усиления ценности"),IF(E111="Привлекательное",IF(H111&lt;0.5,"Зона дифференциации","Переходит в ожидаемую норму"),IF(E111="Безразличное","Не делать при дефиците ресурсов",IF(E111="Обратное","Исключить или проверить риск отторжения","Требует проверки"))))))</x:f>
      </x:c>
      <x:c r="K111" s="32" t="str"/>
      <x:c r="L111" s="32" t="str"/>
      <x:c r="M111" s="32" t="str"/>
    </x:row>
    <x:row r="112">
      <x:c r="A112" s="32" t="str">
        <x:v>R106</x:v>
      </x:c>
      <x:c r="B112" s="32" t="str"/>
      <x:c r="C112" s="32" t="str"/>
      <x:c r="D112" s="32" t="str"/>
      <x:c r="E112" s="32" t="str"/>
      <x:c r="F112" s="32" t="str"/>
      <x:c r="G112" s="32" t="str"/>
      <x:c r="H112" s="44" t="str">
        <x:f>IF(G112="","",IFERROR(G112/MAX(1,COUNTIF('01_Конкуренты'!$B$7:$B$36,"?*")),""))</x:f>
      </x:c>
      <x:c r="I112" s="32" t="str"/>
      <x:c r="J112" s="32" t="str">
        <x:f>IF(B112="","",IF(E112="Обязательное",IF(H112&gt;=0.6,"Минимальный рыночный стандарт","Потенциальный обязательный разрыв"),IF(E112="Линейное",IF(H112&gt;=0.5,"Конкурентная норма с влиянием на выбор","Зона усиления ценности"),IF(E112="Привлекательное",IF(H112&lt;0.5,"Зона дифференциации","Переходит в ожидаемую норму"),IF(E112="Безразличное","Не делать при дефиците ресурсов",IF(E112="Обратное","Исключить или проверить риск отторжения","Требует проверки"))))))</x:f>
      </x:c>
      <x:c r="K112" s="32" t="str"/>
      <x:c r="L112" s="32" t="str"/>
      <x:c r="M112" s="32" t="str"/>
    </x:row>
    <x:row r="113">
      <x:c r="A113" s="32" t="str">
        <x:v>R107</x:v>
      </x:c>
      <x:c r="B113" s="32" t="str"/>
      <x:c r="C113" s="32" t="str"/>
      <x:c r="D113" s="32" t="str"/>
      <x:c r="E113" s="32" t="str"/>
      <x:c r="F113" s="32" t="str"/>
      <x:c r="G113" s="32" t="str"/>
      <x:c r="H113" s="44" t="str">
        <x:f>IF(G113="","",IFERROR(G113/MAX(1,COUNTIF('01_Конкуренты'!$B$7:$B$36,"?*")),""))</x:f>
      </x:c>
      <x:c r="I113" s="32" t="str"/>
      <x:c r="J113" s="32" t="str">
        <x:f>IF(B113="","",IF(E113="Обязательное",IF(H113&gt;=0.6,"Минимальный рыночный стандарт","Потенциальный обязательный разрыв"),IF(E113="Линейное",IF(H113&gt;=0.5,"Конкурентная норма с влиянием на выбор","Зона усиления ценности"),IF(E113="Привлекательное",IF(H113&lt;0.5,"Зона дифференциации","Переходит в ожидаемую норму"),IF(E113="Безразличное","Не делать при дефиците ресурсов",IF(E113="Обратное","Исключить или проверить риск отторжения","Требует проверки"))))))</x:f>
      </x:c>
      <x:c r="K113" s="32" t="str"/>
      <x:c r="L113" s="32" t="str"/>
      <x:c r="M113" s="32" t="str"/>
    </x:row>
    <x:row r="114">
      <x:c r="A114" s="32" t="str">
        <x:v>R108</x:v>
      </x:c>
      <x:c r="B114" s="32" t="str"/>
      <x:c r="C114" s="32" t="str"/>
      <x:c r="D114" s="32" t="str"/>
      <x:c r="E114" s="32" t="str"/>
      <x:c r="F114" s="32" t="str"/>
      <x:c r="G114" s="32" t="str"/>
      <x:c r="H114" s="44" t="str">
        <x:f>IF(G114="","",IFERROR(G114/MAX(1,COUNTIF('01_Конкуренты'!$B$7:$B$36,"?*")),""))</x:f>
      </x:c>
      <x:c r="I114" s="32" t="str"/>
      <x:c r="J114" s="32" t="str">
        <x:f>IF(B114="","",IF(E114="Обязательное",IF(H114&gt;=0.6,"Минимальный рыночный стандарт","Потенциальный обязательный разрыв"),IF(E114="Линейное",IF(H114&gt;=0.5,"Конкурентная норма с влиянием на выбор","Зона усиления ценности"),IF(E114="Привлекательное",IF(H114&lt;0.5,"Зона дифференциации","Переходит в ожидаемую норму"),IF(E114="Безразличное","Не делать при дефиците ресурсов",IF(E114="Обратное","Исключить или проверить риск отторжения","Требует проверки"))))))</x:f>
      </x:c>
      <x:c r="K114" s="32" t="str"/>
      <x:c r="L114" s="32" t="str"/>
      <x:c r="M114" s="32" t="str"/>
    </x:row>
    <x:row r="115">
      <x:c r="A115" s="32" t="str">
        <x:v>R109</x:v>
      </x:c>
      <x:c r="B115" s="32" t="str"/>
      <x:c r="C115" s="32" t="str"/>
      <x:c r="D115" s="32" t="str"/>
      <x:c r="E115" s="32" t="str"/>
      <x:c r="F115" s="32" t="str"/>
      <x:c r="G115" s="32" t="str"/>
      <x:c r="H115" s="44" t="str">
        <x:f>IF(G115="","",IFERROR(G115/MAX(1,COUNTIF('01_Конкуренты'!$B$7:$B$36,"?*")),""))</x:f>
      </x:c>
      <x:c r="I115" s="32" t="str"/>
      <x:c r="J115" s="32" t="str">
        <x:f>IF(B115="","",IF(E115="Обязательное",IF(H115&gt;=0.6,"Минимальный рыночный стандарт","Потенциальный обязательный разрыв"),IF(E115="Линейное",IF(H115&gt;=0.5,"Конкурентная норма с влиянием на выбор","Зона усиления ценности"),IF(E115="Привлекательное",IF(H115&lt;0.5,"Зона дифференциации","Переходит в ожидаемую норму"),IF(E115="Безразличное","Не делать при дефиците ресурсов",IF(E115="Обратное","Исключить или проверить риск отторжения","Требует проверки"))))))</x:f>
      </x:c>
      <x:c r="K115" s="32" t="str"/>
      <x:c r="L115" s="32" t="str"/>
      <x:c r="M115" s="32" t="str"/>
    </x:row>
    <x:row r="116">
      <x:c r="A116" s="32" t="str">
        <x:v>R110</x:v>
      </x:c>
      <x:c r="B116" s="32" t="str"/>
      <x:c r="C116" s="32" t="str"/>
      <x:c r="D116" s="32" t="str"/>
      <x:c r="E116" s="32" t="str"/>
      <x:c r="F116" s="32" t="str"/>
      <x:c r="G116" s="32" t="str"/>
      <x:c r="H116" s="44" t="str">
        <x:f>IF(G116="","",IFERROR(G116/MAX(1,COUNTIF('01_Конкуренты'!$B$7:$B$36,"?*")),""))</x:f>
      </x:c>
      <x:c r="I116" s="32" t="str"/>
      <x:c r="J116" s="32" t="str">
        <x:f>IF(B116="","",IF(E116="Обязательное",IF(H116&gt;=0.6,"Минимальный рыночный стандарт","Потенциальный обязательный разрыв"),IF(E116="Линейное",IF(H116&gt;=0.5,"Конкурентная норма с влиянием на выбор","Зона усиления ценности"),IF(E116="Привлекательное",IF(H116&lt;0.5,"Зона дифференциации","Переходит в ожидаемую норму"),IF(E116="Безразличное","Не делать при дефиците ресурсов",IF(E116="Обратное","Исключить или проверить риск отторжения","Требует проверки"))))))</x:f>
      </x:c>
      <x:c r="K116" s="32" t="str"/>
      <x:c r="L116" s="32" t="str"/>
      <x:c r="M116" s="32" t="str"/>
    </x:row>
    <x:row r="117">
      <x:c r="A117" s="32" t="str">
        <x:v>R111</x:v>
      </x:c>
      <x:c r="B117" s="32" t="str"/>
      <x:c r="C117" s="32" t="str"/>
      <x:c r="D117" s="32" t="str"/>
      <x:c r="E117" s="32" t="str"/>
      <x:c r="F117" s="32" t="str"/>
      <x:c r="G117" s="32" t="str"/>
      <x:c r="H117" s="44" t="str">
        <x:f>IF(G117="","",IFERROR(G117/MAX(1,COUNTIF('01_Конкуренты'!$B$7:$B$36,"?*")),""))</x:f>
      </x:c>
      <x:c r="I117" s="32" t="str"/>
      <x:c r="J117" s="32" t="str">
        <x:f>IF(B117="","",IF(E117="Обязательное",IF(H117&gt;=0.6,"Минимальный рыночный стандарт","Потенциальный обязательный разрыв"),IF(E117="Линейное",IF(H117&gt;=0.5,"Конкурентная норма с влиянием на выбор","Зона усиления ценности"),IF(E117="Привлекательное",IF(H117&lt;0.5,"Зона дифференциации","Переходит в ожидаемую норму"),IF(E117="Безразличное","Не делать при дефиците ресурсов",IF(E117="Обратное","Исключить или проверить риск отторжения","Требует проверки"))))))</x:f>
      </x:c>
      <x:c r="K117" s="32" t="str"/>
      <x:c r="L117" s="32" t="str"/>
      <x:c r="M117" s="32" t="str"/>
    </x:row>
    <x:row r="118">
      <x:c r="A118" s="32" t="str">
        <x:v>R112</x:v>
      </x:c>
      <x:c r="B118" s="32" t="str"/>
      <x:c r="C118" s="32" t="str"/>
      <x:c r="D118" s="32" t="str"/>
      <x:c r="E118" s="32" t="str"/>
      <x:c r="F118" s="32" t="str"/>
      <x:c r="G118" s="32" t="str"/>
      <x:c r="H118" s="44" t="str">
        <x:f>IF(G118="","",IFERROR(G118/MAX(1,COUNTIF('01_Конкуренты'!$B$7:$B$36,"?*")),""))</x:f>
      </x:c>
      <x:c r="I118" s="32" t="str"/>
      <x:c r="J118" s="32" t="str">
        <x:f>IF(B118="","",IF(E118="Обязательное",IF(H118&gt;=0.6,"Минимальный рыночный стандарт","Потенциальный обязательный разрыв"),IF(E118="Линейное",IF(H118&gt;=0.5,"Конкурентная норма с влиянием на выбор","Зона усиления ценности"),IF(E118="Привлекательное",IF(H118&lt;0.5,"Зона дифференциации","Переходит в ожидаемую норму"),IF(E118="Безразличное","Не делать при дефиците ресурсов",IF(E118="Обратное","Исключить или проверить риск отторжения","Требует проверки"))))))</x:f>
      </x:c>
      <x:c r="K118" s="32" t="str"/>
      <x:c r="L118" s="32" t="str"/>
      <x:c r="M118" s="32" t="str"/>
    </x:row>
    <x:row r="119">
      <x:c r="A119" s="32" t="str">
        <x:v>R113</x:v>
      </x:c>
      <x:c r="B119" s="32" t="str"/>
      <x:c r="C119" s="32" t="str"/>
      <x:c r="D119" s="32" t="str"/>
      <x:c r="E119" s="32" t="str"/>
      <x:c r="F119" s="32" t="str"/>
      <x:c r="G119" s="32" t="str"/>
      <x:c r="H119" s="44" t="str">
        <x:f>IF(G119="","",IFERROR(G119/MAX(1,COUNTIF('01_Конкуренты'!$B$7:$B$36,"?*")),""))</x:f>
      </x:c>
      <x:c r="I119" s="32" t="str"/>
      <x:c r="J119" s="32" t="str">
        <x:f>IF(B119="","",IF(E119="Обязательное",IF(H119&gt;=0.6,"Минимальный рыночный стандарт","Потенциальный обязательный разрыв"),IF(E119="Линейное",IF(H119&gt;=0.5,"Конкурентная норма с влиянием на выбор","Зона усиления ценности"),IF(E119="Привлекательное",IF(H119&lt;0.5,"Зона дифференциации","Переходит в ожидаемую норму"),IF(E119="Безразличное","Не делать при дефиците ресурсов",IF(E119="Обратное","Исключить или проверить риск отторжения","Требует проверки"))))))</x:f>
      </x:c>
      <x:c r="K119" s="32" t="str"/>
      <x:c r="L119" s="32" t="str"/>
      <x:c r="M119" s="32" t="str"/>
    </x:row>
    <x:row r="120">
      <x:c r="A120" s="32" t="str">
        <x:v>R114</x:v>
      </x:c>
      <x:c r="B120" s="32" t="str"/>
      <x:c r="C120" s="32" t="str"/>
      <x:c r="D120" s="32" t="str"/>
      <x:c r="E120" s="32" t="str"/>
      <x:c r="F120" s="32" t="str"/>
      <x:c r="G120" s="32" t="str"/>
      <x:c r="H120" s="44" t="str">
        <x:f>IF(G120="","",IFERROR(G120/MAX(1,COUNTIF('01_Конкуренты'!$B$7:$B$36,"?*")),""))</x:f>
      </x:c>
      <x:c r="I120" s="32" t="str"/>
      <x:c r="J120" s="32" t="str">
        <x:f>IF(B120="","",IF(E120="Обязательное",IF(H120&gt;=0.6,"Минимальный рыночный стандарт","Потенциальный обязательный разрыв"),IF(E120="Линейное",IF(H120&gt;=0.5,"Конкурентная норма с влиянием на выбор","Зона усиления ценности"),IF(E120="Привлекательное",IF(H120&lt;0.5,"Зона дифференциации","Переходит в ожидаемую норму"),IF(E120="Безразличное","Не делать при дефиците ресурсов",IF(E120="Обратное","Исключить или проверить риск отторжения","Требует проверки"))))))</x:f>
      </x:c>
      <x:c r="K120" s="32" t="str"/>
      <x:c r="L120" s="32" t="str"/>
      <x:c r="M120" s="32" t="str"/>
    </x:row>
    <x:row r="121">
      <x:c r="A121" s="32" t="str">
        <x:v>R115</x:v>
      </x:c>
      <x:c r="B121" s="32" t="str"/>
      <x:c r="C121" s="32" t="str"/>
      <x:c r="D121" s="32" t="str"/>
      <x:c r="E121" s="32" t="str"/>
      <x:c r="F121" s="32" t="str"/>
      <x:c r="G121" s="32" t="str"/>
      <x:c r="H121" s="44" t="str">
        <x:f>IF(G121="","",IFERROR(G121/MAX(1,COUNTIF('01_Конкуренты'!$B$7:$B$36,"?*")),""))</x:f>
      </x:c>
      <x:c r="I121" s="32" t="str"/>
      <x:c r="J121" s="32" t="str">
        <x:f>IF(B121="","",IF(E121="Обязательное",IF(H121&gt;=0.6,"Минимальный рыночный стандарт","Потенциальный обязательный разрыв"),IF(E121="Линейное",IF(H121&gt;=0.5,"Конкурентная норма с влиянием на выбор","Зона усиления ценности"),IF(E121="Привлекательное",IF(H121&lt;0.5,"Зона дифференциации","Переходит в ожидаемую норму"),IF(E121="Безразличное","Не делать при дефиците ресурсов",IF(E121="Обратное","Исключить или проверить риск отторжения","Требует проверки"))))))</x:f>
      </x:c>
      <x:c r="K121" s="32" t="str"/>
      <x:c r="L121" s="32" t="str"/>
      <x:c r="M121" s="32" t="str"/>
    </x:row>
    <x:row r="122">
      <x:c r="A122" s="32" t="str">
        <x:v>R116</x:v>
      </x:c>
      <x:c r="B122" s="32" t="str"/>
      <x:c r="C122" s="32" t="str"/>
      <x:c r="D122" s="32" t="str"/>
      <x:c r="E122" s="32" t="str"/>
      <x:c r="F122" s="32" t="str"/>
      <x:c r="G122" s="32" t="str"/>
      <x:c r="H122" s="44" t="str">
        <x:f>IF(G122="","",IFERROR(G122/MAX(1,COUNTIF('01_Конкуренты'!$B$7:$B$36,"?*")),""))</x:f>
      </x:c>
      <x:c r="I122" s="32" t="str"/>
      <x:c r="J122" s="32" t="str">
        <x:f>IF(B122="","",IF(E122="Обязательное",IF(H122&gt;=0.6,"Минимальный рыночный стандарт","Потенциальный обязательный разрыв"),IF(E122="Линейное",IF(H122&gt;=0.5,"Конкурентная норма с влиянием на выбор","Зона усиления ценности"),IF(E122="Привлекательное",IF(H122&lt;0.5,"Зона дифференциации","Переходит в ожидаемую норму"),IF(E122="Безразличное","Не делать при дефиците ресурсов",IF(E122="Обратное","Исключить или проверить риск отторжения","Требует проверки"))))))</x:f>
      </x:c>
      <x:c r="K122" s="32" t="str"/>
      <x:c r="L122" s="32" t="str"/>
      <x:c r="M122" s="32" t="str"/>
    </x:row>
    <x:row r="123">
      <x:c r="A123" s="32" t="str">
        <x:v>R117</x:v>
      </x:c>
      <x:c r="B123" s="32" t="str"/>
      <x:c r="C123" s="32" t="str"/>
      <x:c r="D123" s="32" t="str"/>
      <x:c r="E123" s="32" t="str"/>
      <x:c r="F123" s="32" t="str"/>
      <x:c r="G123" s="32" t="str"/>
      <x:c r="H123" s="44" t="str">
        <x:f>IF(G123="","",IFERROR(G123/MAX(1,COUNTIF('01_Конкуренты'!$B$7:$B$36,"?*")),""))</x:f>
      </x:c>
      <x:c r="I123" s="32" t="str"/>
      <x:c r="J123" s="32" t="str">
        <x:f>IF(B123="","",IF(E123="Обязательное",IF(H123&gt;=0.6,"Минимальный рыночный стандарт","Потенциальный обязательный разрыв"),IF(E123="Линейное",IF(H123&gt;=0.5,"Конкурентная норма с влиянием на выбор","Зона усиления ценности"),IF(E123="Привлекательное",IF(H123&lt;0.5,"Зона дифференциации","Переходит в ожидаемую норму"),IF(E123="Безразличное","Не делать при дефиците ресурсов",IF(E123="Обратное","Исключить или проверить риск отторжения","Требует проверки"))))))</x:f>
      </x:c>
      <x:c r="K123" s="32" t="str"/>
      <x:c r="L123" s="32" t="str"/>
      <x:c r="M123" s="32" t="str"/>
    </x:row>
    <x:row r="124">
      <x:c r="A124" s="32" t="str">
        <x:v>R118</x:v>
      </x:c>
      <x:c r="B124" s="32" t="str"/>
      <x:c r="C124" s="32" t="str"/>
      <x:c r="D124" s="32" t="str"/>
      <x:c r="E124" s="32" t="str"/>
      <x:c r="F124" s="32" t="str"/>
      <x:c r="G124" s="32" t="str"/>
      <x:c r="H124" s="44" t="str">
        <x:f>IF(G124="","",IFERROR(G124/MAX(1,COUNTIF('01_Конкуренты'!$B$7:$B$36,"?*")),""))</x:f>
      </x:c>
      <x:c r="I124" s="32" t="str"/>
      <x:c r="J124" s="32" t="str">
        <x:f>IF(B124="","",IF(E124="Обязательное",IF(H124&gt;=0.6,"Минимальный рыночный стандарт","Потенциальный обязательный разрыв"),IF(E124="Линейное",IF(H124&gt;=0.5,"Конкурентная норма с влиянием на выбор","Зона усиления ценности"),IF(E124="Привлекательное",IF(H124&lt;0.5,"Зона дифференциации","Переходит в ожидаемую норму"),IF(E124="Безразличное","Не делать при дефиците ресурсов",IF(E124="Обратное","Исключить или проверить риск отторжения","Требует проверки"))))))</x:f>
      </x:c>
      <x:c r="K124" s="32" t="str"/>
      <x:c r="L124" s="32" t="str"/>
      <x:c r="M124" s="32" t="str"/>
    </x:row>
    <x:row r="125">
      <x:c r="A125" s="32" t="str">
        <x:v>R119</x:v>
      </x:c>
      <x:c r="B125" s="32" t="str"/>
      <x:c r="C125" s="32" t="str"/>
      <x:c r="D125" s="32" t="str"/>
      <x:c r="E125" s="32" t="str"/>
      <x:c r="F125" s="32" t="str"/>
      <x:c r="G125" s="32" t="str"/>
      <x:c r="H125" s="44" t="str">
        <x:f>IF(G125="","",IFERROR(G125/MAX(1,COUNTIF('01_Конкуренты'!$B$7:$B$36,"?*")),""))</x:f>
      </x:c>
      <x:c r="I125" s="32" t="str"/>
      <x:c r="J125" s="32" t="str">
        <x:f>IF(B125="","",IF(E125="Обязательное",IF(H125&gt;=0.6,"Минимальный рыночный стандарт","Потенциальный обязательный разрыв"),IF(E125="Линейное",IF(H125&gt;=0.5,"Конкурентная норма с влиянием на выбор","Зона усиления ценности"),IF(E125="Привлекательное",IF(H125&lt;0.5,"Зона дифференциации","Переходит в ожидаемую норму"),IF(E125="Безразличное","Не делать при дефиците ресурсов",IF(E125="Обратное","Исключить или проверить риск отторжения","Требует проверки"))))))</x:f>
      </x:c>
      <x:c r="K125" s="32" t="str"/>
      <x:c r="L125" s="32" t="str"/>
      <x:c r="M125" s="32" t="str"/>
    </x:row>
    <x:row r="126">
      <x:c r="A126" s="32" t="str">
        <x:v>R120</x:v>
      </x:c>
      <x:c r="B126" s="32" t="str"/>
      <x:c r="C126" s="32" t="str"/>
      <x:c r="D126" s="32" t="str"/>
      <x:c r="E126" s="32" t="str"/>
      <x:c r="F126" s="32" t="str"/>
      <x:c r="G126" s="32" t="str"/>
      <x:c r="H126" s="44" t="str">
        <x:f>IF(G126="","",IFERROR(G126/MAX(1,COUNTIF('01_Конкуренты'!$B$7:$B$36,"?*")),""))</x:f>
      </x:c>
      <x:c r="I126" s="32" t="str"/>
      <x:c r="J126" s="32" t="str">
        <x:f>IF(B126="","",IF(E126="Обязательное",IF(H126&gt;=0.6,"Минимальный рыночный стандарт","Потенциальный обязательный разрыв"),IF(E126="Линейное",IF(H126&gt;=0.5,"Конкурентная норма с влиянием на выбор","Зона усиления ценности"),IF(E126="Привлекательное",IF(H126&lt;0.5,"Зона дифференциации","Переходит в ожидаемую норму"),IF(E126="Безразличное","Не делать при дефиците ресурсов",IF(E126="Обратное","Исключить или проверить риск отторжения","Требует проверки"))))))</x:f>
      </x:c>
      <x:c r="K126" s="32" t="str"/>
      <x:c r="L126" s="32" t="str"/>
      <x:c r="M126" s="32" t="str"/>
    </x:row>
    <x:row r="127">
      <x:c r="A127" s="32" t="str">
        <x:v>R121</x:v>
      </x:c>
      <x:c r="B127" s="32" t="str"/>
      <x:c r="C127" s="32" t="str"/>
      <x:c r="D127" s="32" t="str"/>
      <x:c r="E127" s="32" t="str"/>
      <x:c r="F127" s="32" t="str"/>
      <x:c r="G127" s="32" t="str"/>
      <x:c r="H127" s="44" t="str">
        <x:f>IF(G127="","",IFERROR(G127/MAX(1,COUNTIF('01_Конкуренты'!$B$7:$B$36,"?*")),""))</x:f>
      </x:c>
      <x:c r="I127" s="32" t="str"/>
      <x:c r="J127" s="32" t="str">
        <x:f>IF(B127="","",IF(E127="Обязательное",IF(H127&gt;=0.6,"Минимальный рыночный стандарт","Потенциальный обязательный разрыв"),IF(E127="Линейное",IF(H127&gt;=0.5,"Конкурентная норма с влиянием на выбор","Зона усиления ценности"),IF(E127="Привлекательное",IF(H127&lt;0.5,"Зона дифференциации","Переходит в ожидаемую норму"),IF(E127="Безразличное","Не делать при дефиците ресурсов",IF(E127="Обратное","Исключить или проверить риск отторжения","Требует проверки"))))))</x:f>
      </x:c>
      <x:c r="K127" s="32" t="str"/>
      <x:c r="L127" s="32" t="str"/>
      <x:c r="M127" s="32" t="str"/>
    </x:row>
    <x:row r="128">
      <x:c r="A128" s="32" t="str">
        <x:v>R122</x:v>
      </x:c>
      <x:c r="B128" s="32" t="str"/>
      <x:c r="C128" s="32" t="str"/>
      <x:c r="D128" s="32" t="str"/>
      <x:c r="E128" s="32" t="str"/>
      <x:c r="F128" s="32" t="str"/>
      <x:c r="G128" s="32" t="str"/>
      <x:c r="H128" s="44" t="str">
        <x:f>IF(G128="","",IFERROR(G128/MAX(1,COUNTIF('01_Конкуренты'!$B$7:$B$36,"?*")),""))</x:f>
      </x:c>
      <x:c r="I128" s="32" t="str"/>
      <x:c r="J128" s="32" t="str">
        <x:f>IF(B128="","",IF(E128="Обязательное",IF(H128&gt;=0.6,"Минимальный рыночный стандарт","Потенциальный обязательный разрыв"),IF(E128="Линейное",IF(H128&gt;=0.5,"Конкурентная норма с влиянием на выбор","Зона усиления ценности"),IF(E128="Привлекательное",IF(H128&lt;0.5,"Зона дифференциации","Переходит в ожидаемую норму"),IF(E128="Безразличное","Не делать при дефиците ресурсов",IF(E128="Обратное","Исключить или проверить риск отторжения","Требует проверки"))))))</x:f>
      </x:c>
      <x:c r="K128" s="32" t="str"/>
      <x:c r="L128" s="32" t="str"/>
      <x:c r="M128" s="32" t="str"/>
    </x:row>
    <x:row r="129">
      <x:c r="A129" s="32" t="str">
        <x:v>R123</x:v>
      </x:c>
      <x:c r="B129" s="32" t="str"/>
      <x:c r="C129" s="32" t="str"/>
      <x:c r="D129" s="32" t="str"/>
      <x:c r="E129" s="32" t="str"/>
      <x:c r="F129" s="32" t="str"/>
      <x:c r="G129" s="32" t="str"/>
      <x:c r="H129" s="44" t="str">
        <x:f>IF(G129="","",IFERROR(G129/MAX(1,COUNTIF('01_Конкуренты'!$B$7:$B$36,"?*")),""))</x:f>
      </x:c>
      <x:c r="I129" s="32" t="str"/>
      <x:c r="J129" s="32" t="str">
        <x:f>IF(B129="","",IF(E129="Обязательное",IF(H129&gt;=0.6,"Минимальный рыночный стандарт","Потенциальный обязательный разрыв"),IF(E129="Линейное",IF(H129&gt;=0.5,"Конкурентная норма с влиянием на выбор","Зона усиления ценности"),IF(E129="Привлекательное",IF(H129&lt;0.5,"Зона дифференциации","Переходит в ожидаемую норму"),IF(E129="Безразличное","Не делать при дефиците ресурсов",IF(E129="Обратное","Исключить или проверить риск отторжения","Требует проверки"))))))</x:f>
      </x:c>
      <x:c r="K129" s="32" t="str"/>
      <x:c r="L129" s="32" t="str"/>
      <x:c r="M129" s="32" t="str"/>
    </x:row>
    <x:row r="130">
      <x:c r="A130" s="32" t="str">
        <x:v>R124</x:v>
      </x:c>
      <x:c r="B130" s="32" t="str"/>
      <x:c r="C130" s="32" t="str"/>
      <x:c r="D130" s="32" t="str"/>
      <x:c r="E130" s="32" t="str"/>
      <x:c r="F130" s="32" t="str"/>
      <x:c r="G130" s="32" t="str"/>
      <x:c r="H130" s="44" t="str">
        <x:f>IF(G130="","",IFERROR(G130/MAX(1,COUNTIF('01_Конкуренты'!$B$7:$B$36,"?*")),""))</x:f>
      </x:c>
      <x:c r="I130" s="32" t="str"/>
      <x:c r="J130" s="32" t="str">
        <x:f>IF(B130="","",IF(E130="Обязательное",IF(H130&gt;=0.6,"Минимальный рыночный стандарт","Потенциальный обязательный разрыв"),IF(E130="Линейное",IF(H130&gt;=0.5,"Конкурентная норма с влиянием на выбор","Зона усиления ценности"),IF(E130="Привлекательное",IF(H130&lt;0.5,"Зона дифференциации","Переходит в ожидаемую норму"),IF(E130="Безразличное","Не делать при дефиците ресурсов",IF(E130="Обратное","Исключить или проверить риск отторжения","Требует проверки"))))))</x:f>
      </x:c>
      <x:c r="K130" s="32" t="str"/>
      <x:c r="L130" s="32" t="str"/>
      <x:c r="M130" s="32" t="str"/>
    </x:row>
    <x:row r="131">
      <x:c r="A131" s="32" t="str">
        <x:v>R125</x:v>
      </x:c>
      <x:c r="B131" s="32" t="str"/>
      <x:c r="C131" s="32" t="str"/>
      <x:c r="D131" s="32" t="str"/>
      <x:c r="E131" s="32" t="str"/>
      <x:c r="F131" s="32" t="str"/>
      <x:c r="G131" s="32" t="str"/>
      <x:c r="H131" s="44" t="str">
        <x:f>IF(G131="","",IFERROR(G131/MAX(1,COUNTIF('01_Конкуренты'!$B$7:$B$36,"?*")),""))</x:f>
      </x:c>
      <x:c r="I131" s="32" t="str"/>
      <x:c r="J131" s="32" t="str">
        <x:f>IF(B131="","",IF(E131="Обязательное",IF(H131&gt;=0.6,"Минимальный рыночный стандарт","Потенциальный обязательный разрыв"),IF(E131="Линейное",IF(H131&gt;=0.5,"Конкурентная норма с влиянием на выбор","Зона усиления ценности"),IF(E131="Привлекательное",IF(H131&lt;0.5,"Зона дифференциации","Переходит в ожидаемую норму"),IF(E131="Безразличное","Не делать при дефиците ресурсов",IF(E131="Обратное","Исключить или проверить риск отторжения","Требует проверки"))))))</x:f>
      </x:c>
      <x:c r="K131" s="32" t="str"/>
      <x:c r="L131" s="32" t="str"/>
      <x:c r="M131" s="32" t="str"/>
    </x:row>
    <x:row r="132">
      <x:c r="A132" s="32" t="str">
        <x:v>R126</x:v>
      </x:c>
      <x:c r="B132" s="32" t="str"/>
      <x:c r="C132" s="32" t="str"/>
      <x:c r="D132" s="32" t="str"/>
      <x:c r="E132" s="32" t="str"/>
      <x:c r="F132" s="32" t="str"/>
      <x:c r="G132" s="32" t="str"/>
      <x:c r="H132" s="44" t="str">
        <x:f>IF(G132="","",IFERROR(G132/MAX(1,COUNTIF('01_Конкуренты'!$B$7:$B$36,"?*")),""))</x:f>
      </x:c>
      <x:c r="I132" s="32" t="str"/>
      <x:c r="J132" s="32" t="str">
        <x:f>IF(B132="","",IF(E132="Обязательное",IF(H132&gt;=0.6,"Минимальный рыночный стандарт","Потенциальный обязательный разрыв"),IF(E132="Линейное",IF(H132&gt;=0.5,"Конкурентная норма с влиянием на выбор","Зона усиления ценности"),IF(E132="Привлекательное",IF(H132&lt;0.5,"Зона дифференциации","Переходит в ожидаемую норму"),IF(E132="Безразличное","Не делать при дефиците ресурсов",IF(E132="Обратное","Исключить или проверить риск отторжения","Требует проверки"))))))</x:f>
      </x:c>
      <x:c r="K132" s="32" t="str"/>
      <x:c r="L132" s="32" t="str"/>
      <x:c r="M132" s="32" t="str"/>
    </x:row>
    <x:row r="133">
      <x:c r="A133" s="32" t="str">
        <x:v>R127</x:v>
      </x:c>
      <x:c r="B133" s="32" t="str"/>
      <x:c r="C133" s="32" t="str"/>
      <x:c r="D133" s="32" t="str"/>
      <x:c r="E133" s="32" t="str"/>
      <x:c r="F133" s="32" t="str"/>
      <x:c r="G133" s="32" t="str"/>
      <x:c r="H133" s="44" t="str">
        <x:f>IF(G133="","",IFERROR(G133/MAX(1,COUNTIF('01_Конкуренты'!$B$7:$B$36,"?*")),""))</x:f>
      </x:c>
      <x:c r="I133" s="32" t="str"/>
      <x:c r="J133" s="32" t="str">
        <x:f>IF(B133="","",IF(E133="Обязательное",IF(H133&gt;=0.6,"Минимальный рыночный стандарт","Потенциальный обязательный разрыв"),IF(E133="Линейное",IF(H133&gt;=0.5,"Конкурентная норма с влиянием на выбор","Зона усиления ценности"),IF(E133="Привлекательное",IF(H133&lt;0.5,"Зона дифференциации","Переходит в ожидаемую норму"),IF(E133="Безразличное","Не делать при дефиците ресурсов",IF(E133="Обратное","Исключить или проверить риск отторжения","Требует проверки"))))))</x:f>
      </x:c>
      <x:c r="K133" s="32" t="str"/>
      <x:c r="L133" s="32" t="str"/>
      <x:c r="M133" s="32" t="str"/>
    </x:row>
    <x:row r="134">
      <x:c r="A134" s="32" t="str">
        <x:v>R128</x:v>
      </x:c>
      <x:c r="B134" s="32" t="str"/>
      <x:c r="C134" s="32" t="str"/>
      <x:c r="D134" s="32" t="str"/>
      <x:c r="E134" s="32" t="str"/>
      <x:c r="F134" s="32" t="str"/>
      <x:c r="G134" s="32" t="str"/>
      <x:c r="H134" s="44" t="str">
        <x:f>IF(G134="","",IFERROR(G134/MAX(1,COUNTIF('01_Конкуренты'!$B$7:$B$36,"?*")),""))</x:f>
      </x:c>
      <x:c r="I134" s="32" t="str"/>
      <x:c r="J134" s="32" t="str">
        <x:f>IF(B134="","",IF(E134="Обязательное",IF(H134&gt;=0.6,"Минимальный рыночный стандарт","Потенциальный обязательный разрыв"),IF(E134="Линейное",IF(H134&gt;=0.5,"Конкурентная норма с влиянием на выбор","Зона усиления ценности"),IF(E134="Привлекательное",IF(H134&lt;0.5,"Зона дифференциации","Переходит в ожидаемую норму"),IF(E134="Безразличное","Не делать при дефиците ресурсов",IF(E134="Обратное","Исключить или проверить риск отторжения","Требует проверки"))))))</x:f>
      </x:c>
      <x:c r="K134" s="32" t="str"/>
      <x:c r="L134" s="32" t="str"/>
      <x:c r="M134" s="32" t="str"/>
    </x:row>
    <x:row r="135">
      <x:c r="A135" s="32" t="str">
        <x:v>R129</x:v>
      </x:c>
      <x:c r="B135" s="32" t="str"/>
      <x:c r="C135" s="32" t="str"/>
      <x:c r="D135" s="32" t="str"/>
      <x:c r="E135" s="32" t="str"/>
      <x:c r="F135" s="32" t="str"/>
      <x:c r="G135" s="32" t="str"/>
      <x:c r="H135" s="44" t="str">
        <x:f>IF(G135="","",IFERROR(G135/MAX(1,COUNTIF('01_Конкуренты'!$B$7:$B$36,"?*")),""))</x:f>
      </x:c>
      <x:c r="I135" s="32" t="str"/>
      <x:c r="J135" s="32" t="str">
        <x:f>IF(B135="","",IF(E135="Обязательное",IF(H135&gt;=0.6,"Минимальный рыночный стандарт","Потенциальный обязательный разрыв"),IF(E135="Линейное",IF(H135&gt;=0.5,"Конкурентная норма с влиянием на выбор","Зона усиления ценности"),IF(E135="Привлекательное",IF(H135&lt;0.5,"Зона дифференциации","Переходит в ожидаемую норму"),IF(E135="Безразличное","Не делать при дефиците ресурсов",IF(E135="Обратное","Исключить или проверить риск отторжения","Требует проверки"))))))</x:f>
      </x:c>
      <x:c r="K135" s="32" t="str"/>
      <x:c r="L135" s="32" t="str"/>
      <x:c r="M135" s="32" t="str"/>
    </x:row>
    <x:row r="136">
      <x:c r="A136" s="32" t="str">
        <x:v>R130</x:v>
      </x:c>
      <x:c r="B136" s="32" t="str"/>
      <x:c r="C136" s="32" t="str"/>
      <x:c r="D136" s="32" t="str"/>
      <x:c r="E136" s="32" t="str"/>
      <x:c r="F136" s="32" t="str"/>
      <x:c r="G136" s="32" t="str"/>
      <x:c r="H136" s="44" t="str">
        <x:f>IF(G136="","",IFERROR(G136/MAX(1,COUNTIF('01_Конкуренты'!$B$7:$B$36,"?*")),""))</x:f>
      </x:c>
      <x:c r="I136" s="32" t="str"/>
      <x:c r="J136" s="32" t="str">
        <x:f>IF(B136="","",IF(E136="Обязательное",IF(H136&gt;=0.6,"Минимальный рыночный стандарт","Потенциальный обязательный разрыв"),IF(E136="Линейное",IF(H136&gt;=0.5,"Конкурентная норма с влиянием на выбор","Зона усиления ценности"),IF(E136="Привлекательное",IF(H136&lt;0.5,"Зона дифференциации","Переходит в ожидаемую норму"),IF(E136="Безразличное","Не делать при дефиците ресурсов",IF(E136="Обратное","Исключить или проверить риск отторжения","Требует проверки"))))))</x:f>
      </x:c>
      <x:c r="K136" s="32" t="str"/>
      <x:c r="L136" s="32" t="str"/>
      <x:c r="M136" s="32" t="str"/>
    </x:row>
    <x:row r="137">
      <x:c r="A137" s="32" t="str">
        <x:v>R131</x:v>
      </x:c>
      <x:c r="B137" s="32" t="str"/>
      <x:c r="C137" s="32" t="str"/>
      <x:c r="D137" s="32" t="str"/>
      <x:c r="E137" s="32" t="str"/>
      <x:c r="F137" s="32" t="str"/>
      <x:c r="G137" s="32" t="str"/>
      <x:c r="H137" s="44" t="str">
        <x:f>IF(G137="","",IFERROR(G137/MAX(1,COUNTIF('01_Конкуренты'!$B$7:$B$36,"?*")),""))</x:f>
      </x:c>
      <x:c r="I137" s="32" t="str"/>
      <x:c r="J137" s="32" t="str">
        <x:f>IF(B137="","",IF(E137="Обязательное",IF(H137&gt;=0.6,"Минимальный рыночный стандарт","Потенциальный обязательный разрыв"),IF(E137="Линейное",IF(H137&gt;=0.5,"Конкурентная норма с влиянием на выбор","Зона усиления ценности"),IF(E137="Привлекательное",IF(H137&lt;0.5,"Зона дифференциации","Переходит в ожидаемую норму"),IF(E137="Безразличное","Не делать при дефиците ресурсов",IF(E137="Обратное","Исключить или проверить риск отторжения","Требует проверки"))))))</x:f>
      </x:c>
      <x:c r="K137" s="32" t="str"/>
      <x:c r="L137" s="32" t="str"/>
      <x:c r="M137" s="32" t="str"/>
    </x:row>
    <x:row r="138">
      <x:c r="A138" s="32" t="str">
        <x:v>R132</x:v>
      </x:c>
      <x:c r="B138" s="32" t="str"/>
      <x:c r="C138" s="32" t="str"/>
      <x:c r="D138" s="32" t="str"/>
      <x:c r="E138" s="32" t="str"/>
      <x:c r="F138" s="32" t="str"/>
      <x:c r="G138" s="32" t="str"/>
      <x:c r="H138" s="44" t="str">
        <x:f>IF(G138="","",IFERROR(G138/MAX(1,COUNTIF('01_Конкуренты'!$B$7:$B$36,"?*")),""))</x:f>
      </x:c>
      <x:c r="I138" s="32" t="str"/>
      <x:c r="J138" s="32" t="str">
        <x:f>IF(B138="","",IF(E138="Обязательное",IF(H138&gt;=0.6,"Минимальный рыночный стандарт","Потенциальный обязательный разрыв"),IF(E138="Линейное",IF(H138&gt;=0.5,"Конкурентная норма с влиянием на выбор","Зона усиления ценности"),IF(E138="Привлекательное",IF(H138&lt;0.5,"Зона дифференциации","Переходит в ожидаемую норму"),IF(E138="Безразличное","Не делать при дефиците ресурсов",IF(E138="Обратное","Исключить или проверить риск отторжения","Требует проверки"))))))</x:f>
      </x:c>
      <x:c r="K138" s="32" t="str"/>
      <x:c r="L138" s="32" t="str"/>
      <x:c r="M138" s="32" t="str"/>
    </x:row>
    <x:row r="139">
      <x:c r="A139" s="32" t="str">
        <x:v>R133</x:v>
      </x:c>
      <x:c r="B139" s="32" t="str"/>
      <x:c r="C139" s="32" t="str"/>
      <x:c r="D139" s="32" t="str"/>
      <x:c r="E139" s="32" t="str"/>
      <x:c r="F139" s="32" t="str"/>
      <x:c r="G139" s="32" t="str"/>
      <x:c r="H139" s="44" t="str">
        <x:f>IF(G139="","",IFERROR(G139/MAX(1,COUNTIF('01_Конкуренты'!$B$7:$B$36,"?*")),""))</x:f>
      </x:c>
      <x:c r="I139" s="32" t="str"/>
      <x:c r="J139" s="32" t="str">
        <x:f>IF(B139="","",IF(E139="Обязательное",IF(H139&gt;=0.6,"Минимальный рыночный стандарт","Потенциальный обязательный разрыв"),IF(E139="Линейное",IF(H139&gt;=0.5,"Конкурентная норма с влиянием на выбор","Зона усиления ценности"),IF(E139="Привлекательное",IF(H139&lt;0.5,"Зона дифференциации","Переходит в ожидаемую норму"),IF(E139="Безразличное","Не делать при дефиците ресурсов",IF(E139="Обратное","Исключить или проверить риск отторжения","Требует проверки"))))))</x:f>
      </x:c>
      <x:c r="K139" s="32" t="str"/>
      <x:c r="L139" s="32" t="str"/>
      <x:c r="M139" s="32" t="str"/>
    </x:row>
    <x:row r="140">
      <x:c r="A140" s="32" t="str">
        <x:v>R134</x:v>
      </x:c>
      <x:c r="B140" s="32" t="str"/>
      <x:c r="C140" s="32" t="str"/>
      <x:c r="D140" s="32" t="str"/>
      <x:c r="E140" s="32" t="str"/>
      <x:c r="F140" s="32" t="str"/>
      <x:c r="G140" s="32" t="str"/>
      <x:c r="H140" s="44" t="str">
        <x:f>IF(G140="","",IFERROR(G140/MAX(1,COUNTIF('01_Конкуренты'!$B$7:$B$36,"?*")),""))</x:f>
      </x:c>
      <x:c r="I140" s="32" t="str"/>
      <x:c r="J140" s="32" t="str">
        <x:f>IF(B140="","",IF(E140="Обязательное",IF(H140&gt;=0.6,"Минимальный рыночный стандарт","Потенциальный обязательный разрыв"),IF(E140="Линейное",IF(H140&gt;=0.5,"Конкурентная норма с влиянием на выбор","Зона усиления ценности"),IF(E140="Привлекательное",IF(H140&lt;0.5,"Зона дифференциации","Переходит в ожидаемую норму"),IF(E140="Безразличное","Не делать при дефиците ресурсов",IF(E140="Обратное","Исключить или проверить риск отторжения","Требует проверки"))))))</x:f>
      </x:c>
      <x:c r="K140" s="32" t="str"/>
      <x:c r="L140" s="32" t="str"/>
      <x:c r="M140" s="32" t="str"/>
    </x:row>
    <x:row r="141">
      <x:c r="A141" s="32" t="str">
        <x:v>R135</x:v>
      </x:c>
      <x:c r="B141" s="32" t="str"/>
      <x:c r="C141" s="32" t="str"/>
      <x:c r="D141" s="32" t="str"/>
      <x:c r="E141" s="32" t="str"/>
      <x:c r="F141" s="32" t="str"/>
      <x:c r="G141" s="32" t="str"/>
      <x:c r="H141" s="44" t="str">
        <x:f>IF(G141="","",IFERROR(G141/MAX(1,COUNTIF('01_Конкуренты'!$B$7:$B$36,"?*")),""))</x:f>
      </x:c>
      <x:c r="I141" s="32" t="str"/>
      <x:c r="J141" s="32" t="str">
        <x:f>IF(B141="","",IF(E141="Обязательное",IF(H141&gt;=0.6,"Минимальный рыночный стандарт","Потенциальный обязательный разрыв"),IF(E141="Линейное",IF(H141&gt;=0.5,"Конкурентная норма с влиянием на выбор","Зона усиления ценности"),IF(E141="Привлекательное",IF(H141&lt;0.5,"Зона дифференциации","Переходит в ожидаемую норму"),IF(E141="Безразличное","Не делать при дефиците ресурсов",IF(E141="Обратное","Исключить или проверить риск отторжения","Требует проверки"))))))</x:f>
      </x:c>
      <x:c r="K141" s="32" t="str"/>
      <x:c r="L141" s="32" t="str"/>
      <x:c r="M141" s="32" t="str"/>
    </x:row>
    <x:row r="142">
      <x:c r="A142" s="32" t="str">
        <x:v>R136</x:v>
      </x:c>
      <x:c r="B142" s="32" t="str"/>
      <x:c r="C142" s="32" t="str"/>
      <x:c r="D142" s="32" t="str"/>
      <x:c r="E142" s="32" t="str"/>
      <x:c r="F142" s="32" t="str"/>
      <x:c r="G142" s="32" t="str"/>
      <x:c r="H142" s="44" t="str">
        <x:f>IF(G142="","",IFERROR(G142/MAX(1,COUNTIF('01_Конкуренты'!$B$7:$B$36,"?*")),""))</x:f>
      </x:c>
      <x:c r="I142" s="32" t="str"/>
      <x:c r="J142" s="32" t="str">
        <x:f>IF(B142="","",IF(E142="Обязательное",IF(H142&gt;=0.6,"Минимальный рыночный стандарт","Потенциальный обязательный разрыв"),IF(E142="Линейное",IF(H142&gt;=0.5,"Конкурентная норма с влиянием на выбор","Зона усиления ценности"),IF(E142="Привлекательное",IF(H142&lt;0.5,"Зона дифференциации","Переходит в ожидаемую норму"),IF(E142="Безразличное","Не делать при дефиците ресурсов",IF(E142="Обратное","Исключить или проверить риск отторжения","Требует проверки"))))))</x:f>
      </x:c>
      <x:c r="K142" s="32" t="str"/>
      <x:c r="L142" s="32" t="str"/>
      <x:c r="M142" s="32" t="str"/>
    </x:row>
    <x:row r="143">
      <x:c r="A143" s="32" t="str">
        <x:v>R137</x:v>
      </x:c>
      <x:c r="B143" s="32" t="str"/>
      <x:c r="C143" s="32" t="str"/>
      <x:c r="D143" s="32" t="str"/>
      <x:c r="E143" s="32" t="str"/>
      <x:c r="F143" s="32" t="str"/>
      <x:c r="G143" s="32" t="str"/>
      <x:c r="H143" s="44" t="str">
        <x:f>IF(G143="","",IFERROR(G143/MAX(1,COUNTIF('01_Конкуренты'!$B$7:$B$36,"?*")),""))</x:f>
      </x:c>
      <x:c r="I143" s="32" t="str"/>
      <x:c r="J143" s="32" t="str">
        <x:f>IF(B143="","",IF(E143="Обязательное",IF(H143&gt;=0.6,"Минимальный рыночный стандарт","Потенциальный обязательный разрыв"),IF(E143="Линейное",IF(H143&gt;=0.5,"Конкурентная норма с влиянием на выбор","Зона усиления ценности"),IF(E143="Привлекательное",IF(H143&lt;0.5,"Зона дифференциации","Переходит в ожидаемую норму"),IF(E143="Безразличное","Не делать при дефиците ресурсов",IF(E143="Обратное","Исключить или проверить риск отторжения","Требует проверки"))))))</x:f>
      </x:c>
      <x:c r="K143" s="32" t="str"/>
      <x:c r="L143" s="32" t="str"/>
      <x:c r="M143" s="32" t="str"/>
    </x:row>
    <x:row r="144">
      <x:c r="A144" s="32" t="str">
        <x:v>R138</x:v>
      </x:c>
      <x:c r="B144" s="32" t="str"/>
      <x:c r="C144" s="32" t="str"/>
      <x:c r="D144" s="32" t="str"/>
      <x:c r="E144" s="32" t="str"/>
      <x:c r="F144" s="32" t="str"/>
      <x:c r="G144" s="32" t="str"/>
      <x:c r="H144" s="44" t="str">
        <x:f>IF(G144="","",IFERROR(G144/MAX(1,COUNTIF('01_Конкуренты'!$B$7:$B$36,"?*")),""))</x:f>
      </x:c>
      <x:c r="I144" s="32" t="str"/>
      <x:c r="J144" s="32" t="str">
        <x:f>IF(B144="","",IF(E144="Обязательное",IF(H144&gt;=0.6,"Минимальный рыночный стандарт","Потенциальный обязательный разрыв"),IF(E144="Линейное",IF(H144&gt;=0.5,"Конкурентная норма с влиянием на выбор","Зона усиления ценности"),IF(E144="Привлекательное",IF(H144&lt;0.5,"Зона дифференциации","Переходит в ожидаемую норму"),IF(E144="Безразличное","Не делать при дефиците ресурсов",IF(E144="Обратное","Исключить или проверить риск отторжения","Требует проверки"))))))</x:f>
      </x:c>
      <x:c r="K144" s="32" t="str"/>
      <x:c r="L144" s="32" t="str"/>
      <x:c r="M144" s="32" t="str"/>
    </x:row>
    <x:row r="145">
      <x:c r="A145" s="32" t="str">
        <x:v>R139</x:v>
      </x:c>
      <x:c r="B145" s="32" t="str"/>
      <x:c r="C145" s="32" t="str"/>
      <x:c r="D145" s="32" t="str"/>
      <x:c r="E145" s="32" t="str"/>
      <x:c r="F145" s="32" t="str"/>
      <x:c r="G145" s="32" t="str"/>
      <x:c r="H145" s="44" t="str">
        <x:f>IF(G145="","",IFERROR(G145/MAX(1,COUNTIF('01_Конкуренты'!$B$7:$B$36,"?*")),""))</x:f>
      </x:c>
      <x:c r="I145" s="32" t="str"/>
      <x:c r="J145" s="32" t="str">
        <x:f>IF(B145="","",IF(E145="Обязательное",IF(H145&gt;=0.6,"Минимальный рыночный стандарт","Потенциальный обязательный разрыв"),IF(E145="Линейное",IF(H145&gt;=0.5,"Конкурентная норма с влиянием на выбор","Зона усиления ценности"),IF(E145="Привлекательное",IF(H145&lt;0.5,"Зона дифференциации","Переходит в ожидаемую норму"),IF(E145="Безразличное","Не делать при дефиците ресурсов",IF(E145="Обратное","Исключить или проверить риск отторжения","Требует проверки"))))))</x:f>
      </x:c>
      <x:c r="K145" s="32" t="str"/>
      <x:c r="L145" s="32" t="str"/>
      <x:c r="M145" s="32" t="str"/>
    </x:row>
    <x:row r="146">
      <x:c r="A146" s="32" t="str">
        <x:v>R140</x:v>
      </x:c>
      <x:c r="B146" s="32" t="str"/>
      <x:c r="C146" s="32" t="str"/>
      <x:c r="D146" s="32" t="str"/>
      <x:c r="E146" s="32" t="str"/>
      <x:c r="F146" s="32" t="str"/>
      <x:c r="G146" s="32" t="str"/>
      <x:c r="H146" s="44" t="str">
        <x:f>IF(G146="","",IFERROR(G146/MAX(1,COUNTIF('01_Конкуренты'!$B$7:$B$36,"?*")),""))</x:f>
      </x:c>
      <x:c r="I146" s="32" t="str"/>
      <x:c r="J146" s="32" t="str">
        <x:f>IF(B146="","",IF(E146="Обязательное",IF(H146&gt;=0.6,"Минимальный рыночный стандарт","Потенциальный обязательный разрыв"),IF(E146="Линейное",IF(H146&gt;=0.5,"Конкурентная норма с влиянием на выбор","Зона усиления ценности"),IF(E146="Привлекательное",IF(H146&lt;0.5,"Зона дифференциации","Переходит в ожидаемую норму"),IF(E146="Безразличное","Не делать при дефиците ресурсов",IF(E146="Обратное","Исключить или проверить риск отторжения","Требует проверки"))))))</x:f>
      </x:c>
      <x:c r="K146" s="32" t="str"/>
      <x:c r="L146" s="32" t="str"/>
      <x:c r="M146" s="32" t="str"/>
    </x:row>
    <x:row r="147">
      <x:c r="A147" s="32" t="str">
        <x:v>R141</x:v>
      </x:c>
      <x:c r="B147" s="32" t="str"/>
      <x:c r="C147" s="32" t="str"/>
      <x:c r="D147" s="32" t="str"/>
      <x:c r="E147" s="32" t="str"/>
      <x:c r="F147" s="32" t="str"/>
      <x:c r="G147" s="32" t="str"/>
      <x:c r="H147" s="44" t="str">
        <x:f>IF(G147="","",IFERROR(G147/MAX(1,COUNTIF('01_Конкуренты'!$B$7:$B$36,"?*")),""))</x:f>
      </x:c>
      <x:c r="I147" s="32" t="str"/>
      <x:c r="J147" s="32" t="str">
        <x:f>IF(B147="","",IF(E147="Обязательное",IF(H147&gt;=0.6,"Минимальный рыночный стандарт","Потенциальный обязательный разрыв"),IF(E147="Линейное",IF(H147&gt;=0.5,"Конкурентная норма с влиянием на выбор","Зона усиления ценности"),IF(E147="Привлекательное",IF(H147&lt;0.5,"Зона дифференциации","Переходит в ожидаемую норму"),IF(E147="Безразличное","Не делать при дефиците ресурсов",IF(E147="Обратное","Исключить или проверить риск отторжения","Требует проверки"))))))</x:f>
      </x:c>
      <x:c r="K147" s="32" t="str"/>
      <x:c r="L147" s="32" t="str"/>
      <x:c r="M147" s="32" t="str"/>
    </x:row>
    <x:row r="148">
      <x:c r="A148" s="32" t="str">
        <x:v>R142</x:v>
      </x:c>
      <x:c r="B148" s="32" t="str"/>
      <x:c r="C148" s="32" t="str"/>
      <x:c r="D148" s="32" t="str"/>
      <x:c r="E148" s="32" t="str"/>
      <x:c r="F148" s="32" t="str"/>
      <x:c r="G148" s="32" t="str"/>
      <x:c r="H148" s="44" t="str">
        <x:f>IF(G148="","",IFERROR(G148/MAX(1,COUNTIF('01_Конкуренты'!$B$7:$B$36,"?*")),""))</x:f>
      </x:c>
      <x:c r="I148" s="32" t="str"/>
      <x:c r="J148" s="32" t="str">
        <x:f>IF(B148="","",IF(E148="Обязательное",IF(H148&gt;=0.6,"Минимальный рыночный стандарт","Потенциальный обязательный разрыв"),IF(E148="Линейное",IF(H148&gt;=0.5,"Конкурентная норма с влиянием на выбор","Зона усиления ценности"),IF(E148="Привлекательное",IF(H148&lt;0.5,"Зона дифференциации","Переходит в ожидаемую норму"),IF(E148="Безразличное","Не делать при дефиците ресурсов",IF(E148="Обратное","Исключить или проверить риск отторжения","Требует проверки"))))))</x:f>
      </x:c>
      <x:c r="K148" s="32" t="str"/>
      <x:c r="L148" s="32" t="str"/>
      <x:c r="M148" s="32" t="str"/>
    </x:row>
    <x:row r="149">
      <x:c r="A149" s="32" t="str">
        <x:v>R143</x:v>
      </x:c>
      <x:c r="B149" s="32" t="str"/>
      <x:c r="C149" s="32" t="str"/>
      <x:c r="D149" s="32" t="str"/>
      <x:c r="E149" s="32" t="str"/>
      <x:c r="F149" s="32" t="str"/>
      <x:c r="G149" s="32" t="str"/>
      <x:c r="H149" s="44" t="str">
        <x:f>IF(G149="","",IFERROR(G149/MAX(1,COUNTIF('01_Конкуренты'!$B$7:$B$36,"?*")),""))</x:f>
      </x:c>
      <x:c r="I149" s="32" t="str"/>
      <x:c r="J149" s="32" t="str">
        <x:f>IF(B149="","",IF(E149="Обязательное",IF(H149&gt;=0.6,"Минимальный рыночный стандарт","Потенциальный обязательный разрыв"),IF(E149="Линейное",IF(H149&gt;=0.5,"Конкурентная норма с влиянием на выбор","Зона усиления ценности"),IF(E149="Привлекательное",IF(H149&lt;0.5,"Зона дифференциации","Переходит в ожидаемую норму"),IF(E149="Безразличное","Не делать при дефиците ресурсов",IF(E149="Обратное","Исключить или проверить риск отторжения","Требует проверки"))))))</x:f>
      </x:c>
      <x:c r="K149" s="32" t="str"/>
      <x:c r="L149" s="32" t="str"/>
      <x:c r="M149" s="32" t="str"/>
    </x:row>
    <x:row r="150">
      <x:c r="A150" s="32" t="str">
        <x:v>R144</x:v>
      </x:c>
      <x:c r="B150" s="32" t="str"/>
      <x:c r="C150" s="32" t="str"/>
      <x:c r="D150" s="32" t="str"/>
      <x:c r="E150" s="32" t="str"/>
      <x:c r="F150" s="32" t="str"/>
      <x:c r="G150" s="32" t="str"/>
      <x:c r="H150" s="44" t="str">
        <x:f>IF(G150="","",IFERROR(G150/MAX(1,COUNTIF('01_Конкуренты'!$B$7:$B$36,"?*")),""))</x:f>
      </x:c>
      <x:c r="I150" s="32" t="str"/>
      <x:c r="J150" s="32" t="str">
        <x:f>IF(B150="","",IF(E150="Обязательное",IF(H150&gt;=0.6,"Минимальный рыночный стандарт","Потенциальный обязательный разрыв"),IF(E150="Линейное",IF(H150&gt;=0.5,"Конкурентная норма с влиянием на выбор","Зона усиления ценности"),IF(E150="Привлекательное",IF(H150&lt;0.5,"Зона дифференциации","Переходит в ожидаемую норму"),IF(E150="Безразличное","Не делать при дефиците ресурсов",IF(E150="Обратное","Исключить или проверить риск отторжения","Требует проверки"))))))</x:f>
      </x:c>
      <x:c r="K150" s="32" t="str"/>
      <x:c r="L150" s="32" t="str"/>
      <x:c r="M150" s="32" t="str"/>
    </x:row>
    <x:row r="151">
      <x:c r="A151" s="32" t="str">
        <x:v>R145</x:v>
      </x:c>
      <x:c r="B151" s="32" t="str"/>
      <x:c r="C151" s="32" t="str"/>
      <x:c r="D151" s="32" t="str"/>
      <x:c r="E151" s="32" t="str"/>
      <x:c r="F151" s="32" t="str"/>
      <x:c r="G151" s="32" t="str"/>
      <x:c r="H151" s="44" t="str">
        <x:f>IF(G151="","",IFERROR(G151/MAX(1,COUNTIF('01_Конкуренты'!$B$7:$B$36,"?*")),""))</x:f>
      </x:c>
      <x:c r="I151" s="32" t="str"/>
      <x:c r="J151" s="32" t="str">
        <x:f>IF(B151="","",IF(E151="Обязательное",IF(H151&gt;=0.6,"Минимальный рыночный стандарт","Потенциальный обязательный разрыв"),IF(E151="Линейное",IF(H151&gt;=0.5,"Конкурентная норма с влиянием на выбор","Зона усиления ценности"),IF(E151="Привлекательное",IF(H151&lt;0.5,"Зона дифференциации","Переходит в ожидаемую норму"),IF(E151="Безразличное","Не делать при дефиците ресурсов",IF(E151="Обратное","Исключить или проверить риск отторжения","Требует проверки"))))))</x:f>
      </x:c>
      <x:c r="K151" s="32" t="str"/>
      <x:c r="L151" s="32" t="str"/>
      <x:c r="M151" s="32" t="str"/>
    </x:row>
    <x:row r="152">
      <x:c r="A152" s="32" t="str">
        <x:v>R146</x:v>
      </x:c>
      <x:c r="B152" s="32" t="str"/>
      <x:c r="C152" s="32" t="str"/>
      <x:c r="D152" s="32" t="str"/>
      <x:c r="E152" s="32" t="str"/>
      <x:c r="F152" s="32" t="str"/>
      <x:c r="G152" s="32" t="str"/>
      <x:c r="H152" s="44" t="str">
        <x:f>IF(G152="","",IFERROR(G152/MAX(1,COUNTIF('01_Конкуренты'!$B$7:$B$36,"?*")),""))</x:f>
      </x:c>
      <x:c r="I152" s="32" t="str"/>
      <x:c r="J152" s="32" t="str">
        <x:f>IF(B152="","",IF(E152="Обязательное",IF(H152&gt;=0.6,"Минимальный рыночный стандарт","Потенциальный обязательный разрыв"),IF(E152="Линейное",IF(H152&gt;=0.5,"Конкурентная норма с влиянием на выбор","Зона усиления ценности"),IF(E152="Привлекательное",IF(H152&lt;0.5,"Зона дифференциации","Переходит в ожидаемую норму"),IF(E152="Безразличное","Не делать при дефиците ресурсов",IF(E152="Обратное","Исключить или проверить риск отторжения","Требует проверки"))))))</x:f>
      </x:c>
      <x:c r="K152" s="32" t="str"/>
      <x:c r="L152" s="32" t="str"/>
      <x:c r="M152" s="32" t="str"/>
    </x:row>
    <x:row r="153">
      <x:c r="A153" s="32" t="str">
        <x:v>R147</x:v>
      </x:c>
      <x:c r="B153" s="32" t="str"/>
      <x:c r="C153" s="32" t="str"/>
      <x:c r="D153" s="32" t="str"/>
      <x:c r="E153" s="32" t="str"/>
      <x:c r="F153" s="32" t="str"/>
      <x:c r="G153" s="32" t="str"/>
      <x:c r="H153" s="44" t="str">
        <x:f>IF(G153="","",IFERROR(G153/MAX(1,COUNTIF('01_Конкуренты'!$B$7:$B$36,"?*")),""))</x:f>
      </x:c>
      <x:c r="I153" s="32" t="str"/>
      <x:c r="J153" s="32" t="str">
        <x:f>IF(B153="","",IF(E153="Обязательное",IF(H153&gt;=0.6,"Минимальный рыночный стандарт","Потенциальный обязательный разрыв"),IF(E153="Линейное",IF(H153&gt;=0.5,"Конкурентная норма с влиянием на выбор","Зона усиления ценности"),IF(E153="Привлекательное",IF(H153&lt;0.5,"Зона дифференциации","Переходит в ожидаемую норму"),IF(E153="Безразличное","Не делать при дефиците ресурсов",IF(E153="Обратное","Исключить или проверить риск отторжения","Требует проверки"))))))</x:f>
      </x:c>
      <x:c r="K153" s="32" t="str"/>
      <x:c r="L153" s="32" t="str"/>
      <x:c r="M153" s="32" t="str"/>
    </x:row>
    <x:row r="154">
      <x:c r="A154" s="32" t="str">
        <x:v>R148</x:v>
      </x:c>
      <x:c r="B154" s="32" t="str"/>
      <x:c r="C154" s="32" t="str"/>
      <x:c r="D154" s="32" t="str"/>
      <x:c r="E154" s="32" t="str"/>
      <x:c r="F154" s="32" t="str"/>
      <x:c r="G154" s="32" t="str"/>
      <x:c r="H154" s="44" t="str">
        <x:f>IF(G154="","",IFERROR(G154/MAX(1,COUNTIF('01_Конкуренты'!$B$7:$B$36,"?*")),""))</x:f>
      </x:c>
      <x:c r="I154" s="32" t="str"/>
      <x:c r="J154" s="32" t="str">
        <x:f>IF(B154="","",IF(E154="Обязательное",IF(H154&gt;=0.6,"Минимальный рыночный стандарт","Потенциальный обязательный разрыв"),IF(E154="Линейное",IF(H154&gt;=0.5,"Конкурентная норма с влиянием на выбор","Зона усиления ценности"),IF(E154="Привлекательное",IF(H154&lt;0.5,"Зона дифференциации","Переходит в ожидаемую норму"),IF(E154="Безразличное","Не делать при дефиците ресурсов",IF(E154="Обратное","Исключить или проверить риск отторжения","Требует проверки"))))))</x:f>
      </x:c>
      <x:c r="K154" s="32" t="str"/>
      <x:c r="L154" s="32" t="str"/>
      <x:c r="M154" s="32" t="str"/>
    </x:row>
    <x:row r="155">
      <x:c r="A155" s="32" t="str">
        <x:v>R149</x:v>
      </x:c>
      <x:c r="B155" s="32" t="str"/>
      <x:c r="C155" s="32" t="str"/>
      <x:c r="D155" s="32" t="str"/>
      <x:c r="E155" s="32" t="str"/>
      <x:c r="F155" s="32" t="str"/>
      <x:c r="G155" s="32" t="str"/>
      <x:c r="H155" s="44" t="str">
        <x:f>IF(G155="","",IFERROR(G155/MAX(1,COUNTIF('01_Конкуренты'!$B$7:$B$36,"?*")),""))</x:f>
      </x:c>
      <x:c r="I155" s="32" t="str"/>
      <x:c r="J155" s="32" t="str">
        <x:f>IF(B155="","",IF(E155="Обязательное",IF(H155&gt;=0.6,"Минимальный рыночный стандарт","Потенциальный обязательный разрыв"),IF(E155="Линейное",IF(H155&gt;=0.5,"Конкурентная норма с влиянием на выбор","Зона усиления ценности"),IF(E155="Привлекательное",IF(H155&lt;0.5,"Зона дифференциации","Переходит в ожидаемую норму"),IF(E155="Безразличное","Не делать при дефиците ресурсов",IF(E155="Обратное","Исключить или проверить риск отторжения","Требует проверки"))))))</x:f>
      </x:c>
      <x:c r="K155" s="32" t="str"/>
      <x:c r="L155" s="32" t="str"/>
      <x:c r="M155" s="32" t="str"/>
    </x:row>
    <x:row r="156">
      <x:c r="A156" s="32" t="str">
        <x:v>R150</x:v>
      </x:c>
      <x:c r="B156" s="32" t="str"/>
      <x:c r="C156" s="32" t="str"/>
      <x:c r="D156" s="32" t="str"/>
      <x:c r="E156" s="32" t="str"/>
      <x:c r="F156" s="32" t="str"/>
      <x:c r="G156" s="32" t="str"/>
      <x:c r="H156" s="44" t="str">
        <x:f>IF(G156="","",IFERROR(G156/MAX(1,COUNTIF('01_Конкуренты'!$B$7:$B$36,"?*")),""))</x:f>
      </x:c>
      <x:c r="I156" s="32" t="str"/>
      <x:c r="J156" s="32" t="str">
        <x:f>IF(B156="","",IF(E156="Обязательное",IF(H156&gt;=0.6,"Минимальный рыночный стандарт","Потенциальный обязательный разрыв"),IF(E156="Линейное",IF(H156&gt;=0.5,"Конкурентная норма с влиянием на выбор","Зона усиления ценности"),IF(E156="Привлекательное",IF(H156&lt;0.5,"Зона дифференциации","Переходит в ожидаемую норму"),IF(E156="Безразличное","Не делать при дефиците ресурсов",IF(E156="Обратное","Исключить или проверить риск отторжения","Требует проверки"))))))</x:f>
      </x:c>
      <x:c r="K156" s="32" t="str"/>
      <x:c r="L156" s="32" t="str"/>
      <x:c r="M156" s="32" t="str"/>
    </x:row>
    <x:row r="157">
      <x:c r="A157" s="32" t="str">
        <x:v>R151</x:v>
      </x:c>
      <x:c r="B157" s="32" t="str"/>
      <x:c r="C157" s="32" t="str"/>
      <x:c r="D157" s="32" t="str"/>
      <x:c r="E157" s="32" t="str"/>
      <x:c r="F157" s="32" t="str"/>
      <x:c r="G157" s="32" t="str"/>
      <x:c r="H157" s="44" t="str">
        <x:f>IF(G157="","",IFERROR(G157/MAX(1,COUNTIF('01_Конкуренты'!$B$7:$B$36,"?*")),""))</x:f>
      </x:c>
      <x:c r="I157" s="32" t="str"/>
      <x:c r="J157" s="32" t="str">
        <x:f>IF(B157="","",IF(E157="Обязательное",IF(H157&gt;=0.6,"Минимальный рыночный стандарт","Потенциальный обязательный разрыв"),IF(E157="Линейное",IF(H157&gt;=0.5,"Конкурентная норма с влиянием на выбор","Зона усиления ценности"),IF(E157="Привлекательное",IF(H157&lt;0.5,"Зона дифференциации","Переходит в ожидаемую норму"),IF(E157="Безразличное","Не делать при дефиците ресурсов",IF(E157="Обратное","Исключить или проверить риск отторжения","Требует проверки"))))))</x:f>
      </x:c>
      <x:c r="K157" s="32" t="str"/>
      <x:c r="L157" s="32" t="str"/>
      <x:c r="M157" s="32" t="str"/>
    </x:row>
    <x:row r="158">
      <x:c r="A158" s="32" t="str">
        <x:v>R152</x:v>
      </x:c>
      <x:c r="B158" s="32" t="str"/>
      <x:c r="C158" s="32" t="str"/>
      <x:c r="D158" s="32" t="str"/>
      <x:c r="E158" s="32" t="str"/>
      <x:c r="F158" s="32" t="str"/>
      <x:c r="G158" s="32" t="str"/>
      <x:c r="H158" s="44" t="str">
        <x:f>IF(G158="","",IFERROR(G158/MAX(1,COUNTIF('01_Конкуренты'!$B$7:$B$36,"?*")),""))</x:f>
      </x:c>
      <x:c r="I158" s="32" t="str"/>
      <x:c r="J158" s="32" t="str">
        <x:f>IF(B158="","",IF(E158="Обязательное",IF(H158&gt;=0.6,"Минимальный рыночный стандарт","Потенциальный обязательный разрыв"),IF(E158="Линейное",IF(H158&gt;=0.5,"Конкурентная норма с влиянием на выбор","Зона усиления ценности"),IF(E158="Привлекательное",IF(H158&lt;0.5,"Зона дифференциации","Переходит в ожидаемую норму"),IF(E158="Безразличное","Не делать при дефиците ресурсов",IF(E158="Обратное","Исключить или проверить риск отторжения","Требует проверки"))))))</x:f>
      </x:c>
      <x:c r="K158" s="32" t="str"/>
      <x:c r="L158" s="32" t="str"/>
      <x:c r="M158" s="32" t="str"/>
    </x:row>
    <x:row r="159">
      <x:c r="A159" s="32" t="str">
        <x:v>R153</x:v>
      </x:c>
      <x:c r="B159" s="32" t="str"/>
      <x:c r="C159" s="32" t="str"/>
      <x:c r="D159" s="32" t="str"/>
      <x:c r="E159" s="32" t="str"/>
      <x:c r="F159" s="32" t="str"/>
      <x:c r="G159" s="32" t="str"/>
      <x:c r="H159" s="44" t="str">
        <x:f>IF(G159="","",IFERROR(G159/MAX(1,COUNTIF('01_Конкуренты'!$B$7:$B$36,"?*")),""))</x:f>
      </x:c>
      <x:c r="I159" s="32" t="str"/>
      <x:c r="J159" s="32" t="str">
        <x:f>IF(B159="","",IF(E159="Обязательное",IF(H159&gt;=0.6,"Минимальный рыночный стандарт","Потенциальный обязательный разрыв"),IF(E159="Линейное",IF(H159&gt;=0.5,"Конкурентная норма с влиянием на выбор","Зона усиления ценности"),IF(E159="Привлекательное",IF(H159&lt;0.5,"Зона дифференциации","Переходит в ожидаемую норму"),IF(E159="Безразличное","Не делать при дефиците ресурсов",IF(E159="Обратное","Исключить или проверить риск отторжения","Требует проверки"))))))</x:f>
      </x:c>
      <x:c r="K159" s="32" t="str"/>
      <x:c r="L159" s="32" t="str"/>
      <x:c r="M159" s="32" t="str"/>
    </x:row>
    <x:row r="160">
      <x:c r="A160" s="32" t="str">
        <x:v>R154</x:v>
      </x:c>
      <x:c r="B160" s="32" t="str"/>
      <x:c r="C160" s="32" t="str"/>
      <x:c r="D160" s="32" t="str"/>
      <x:c r="E160" s="32" t="str"/>
      <x:c r="F160" s="32" t="str"/>
      <x:c r="G160" s="32" t="str"/>
      <x:c r="H160" s="44" t="str">
        <x:f>IF(G160="","",IFERROR(G160/MAX(1,COUNTIF('01_Конкуренты'!$B$7:$B$36,"?*")),""))</x:f>
      </x:c>
      <x:c r="I160" s="32" t="str"/>
      <x:c r="J160" s="32" t="str">
        <x:f>IF(B160="","",IF(E160="Обязательное",IF(H160&gt;=0.6,"Минимальный рыночный стандарт","Потенциальный обязательный разрыв"),IF(E160="Линейное",IF(H160&gt;=0.5,"Конкурентная норма с влиянием на выбор","Зона усиления ценности"),IF(E160="Привлекательное",IF(H160&lt;0.5,"Зона дифференциации","Переходит в ожидаемую норму"),IF(E160="Безразличное","Не делать при дефиците ресурсов",IF(E160="Обратное","Исключить или проверить риск отторжения","Требует проверки"))))))</x:f>
      </x:c>
      <x:c r="K160" s="32" t="str"/>
      <x:c r="L160" s="32" t="str"/>
      <x:c r="M160" s="32" t="str"/>
    </x:row>
    <x:row r="161">
      <x:c r="A161" s="32" t="str">
        <x:v>R155</x:v>
      </x:c>
      <x:c r="B161" s="32" t="str"/>
      <x:c r="C161" s="32" t="str"/>
      <x:c r="D161" s="32" t="str"/>
      <x:c r="E161" s="32" t="str"/>
      <x:c r="F161" s="32" t="str"/>
      <x:c r="G161" s="32" t="str"/>
      <x:c r="H161" s="44" t="str">
        <x:f>IF(G161="","",IFERROR(G161/MAX(1,COUNTIF('01_Конкуренты'!$B$7:$B$36,"?*")),""))</x:f>
      </x:c>
      <x:c r="I161" s="32" t="str"/>
      <x:c r="J161" s="32" t="str">
        <x:f>IF(B161="","",IF(E161="Обязательное",IF(H161&gt;=0.6,"Минимальный рыночный стандарт","Потенциальный обязательный разрыв"),IF(E161="Линейное",IF(H161&gt;=0.5,"Конкурентная норма с влиянием на выбор","Зона усиления ценности"),IF(E161="Привлекательное",IF(H161&lt;0.5,"Зона дифференциации","Переходит в ожидаемую норму"),IF(E161="Безразличное","Не делать при дефиците ресурсов",IF(E161="Обратное","Исключить или проверить риск отторжения","Требует проверки"))))))</x:f>
      </x:c>
      <x:c r="K161" s="32" t="str"/>
      <x:c r="L161" s="32" t="str"/>
      <x:c r="M161" s="32" t="str"/>
    </x:row>
    <x:row r="162">
      <x:c r="A162" s="32" t="str">
        <x:v>R156</x:v>
      </x:c>
      <x:c r="B162" s="32" t="str"/>
      <x:c r="C162" s="32" t="str"/>
      <x:c r="D162" s="32" t="str"/>
      <x:c r="E162" s="32" t="str"/>
      <x:c r="F162" s="32" t="str"/>
      <x:c r="G162" s="32" t="str"/>
      <x:c r="H162" s="44" t="str">
        <x:f>IF(G162="","",IFERROR(G162/MAX(1,COUNTIF('01_Конкуренты'!$B$7:$B$36,"?*")),""))</x:f>
      </x:c>
      <x:c r="I162" s="32" t="str"/>
      <x:c r="J162" s="32" t="str">
        <x:f>IF(B162="","",IF(E162="Обязательное",IF(H162&gt;=0.6,"Минимальный рыночный стандарт","Потенциальный обязательный разрыв"),IF(E162="Линейное",IF(H162&gt;=0.5,"Конкурентная норма с влиянием на выбор","Зона усиления ценности"),IF(E162="Привлекательное",IF(H162&lt;0.5,"Зона дифференциации","Переходит в ожидаемую норму"),IF(E162="Безразличное","Не делать при дефиците ресурсов",IF(E162="Обратное","Исключить или проверить риск отторжения","Требует проверки"))))))</x:f>
      </x:c>
      <x:c r="K162" s="32" t="str"/>
      <x:c r="L162" s="32" t="str"/>
      <x:c r="M162" s="32" t="str"/>
    </x:row>
    <x:row r="163">
      <x:c r="A163" s="32" t="str">
        <x:v>R157</x:v>
      </x:c>
      <x:c r="B163" s="32" t="str"/>
      <x:c r="C163" s="32" t="str"/>
      <x:c r="D163" s="32" t="str"/>
      <x:c r="E163" s="32" t="str"/>
      <x:c r="F163" s="32" t="str"/>
      <x:c r="G163" s="32" t="str"/>
      <x:c r="H163" s="44" t="str">
        <x:f>IF(G163="","",IFERROR(G163/MAX(1,COUNTIF('01_Конкуренты'!$B$7:$B$36,"?*")),""))</x:f>
      </x:c>
      <x:c r="I163" s="32" t="str"/>
      <x:c r="J163" s="32" t="str">
        <x:f>IF(B163="","",IF(E163="Обязательное",IF(H163&gt;=0.6,"Минимальный рыночный стандарт","Потенциальный обязательный разрыв"),IF(E163="Линейное",IF(H163&gt;=0.5,"Конкурентная норма с влиянием на выбор","Зона усиления ценности"),IF(E163="Привлекательное",IF(H163&lt;0.5,"Зона дифференциации","Переходит в ожидаемую норму"),IF(E163="Безразличное","Не делать при дефиците ресурсов",IF(E163="Обратное","Исключить или проверить риск отторжения","Требует проверки"))))))</x:f>
      </x:c>
      <x:c r="K163" s="32" t="str"/>
      <x:c r="L163" s="32" t="str"/>
      <x:c r="M163" s="32" t="str"/>
    </x:row>
    <x:row r="164">
      <x:c r="A164" s="32" t="str">
        <x:v>R158</x:v>
      </x:c>
      <x:c r="B164" s="32" t="str"/>
      <x:c r="C164" s="32" t="str"/>
      <x:c r="D164" s="32" t="str"/>
      <x:c r="E164" s="32" t="str"/>
      <x:c r="F164" s="32" t="str"/>
      <x:c r="G164" s="32" t="str"/>
      <x:c r="H164" s="44" t="str">
        <x:f>IF(G164="","",IFERROR(G164/MAX(1,COUNTIF('01_Конкуренты'!$B$7:$B$36,"?*")),""))</x:f>
      </x:c>
      <x:c r="I164" s="32" t="str"/>
      <x:c r="J164" s="32" t="str">
        <x:f>IF(B164="","",IF(E164="Обязательное",IF(H164&gt;=0.6,"Минимальный рыночный стандарт","Потенциальный обязательный разрыв"),IF(E164="Линейное",IF(H164&gt;=0.5,"Конкурентная норма с влиянием на выбор","Зона усиления ценности"),IF(E164="Привлекательное",IF(H164&lt;0.5,"Зона дифференциации","Переходит в ожидаемую норму"),IF(E164="Безразличное","Не делать при дефиците ресурсов",IF(E164="Обратное","Исключить или проверить риск отторжения","Требует проверки"))))))</x:f>
      </x:c>
      <x:c r="K164" s="32" t="str"/>
      <x:c r="L164" s="32" t="str"/>
      <x:c r="M164" s="32" t="str"/>
    </x:row>
    <x:row r="165">
      <x:c r="A165" s="32" t="str">
        <x:v>R159</x:v>
      </x:c>
      <x:c r="B165" s="32" t="str"/>
      <x:c r="C165" s="32" t="str"/>
      <x:c r="D165" s="32" t="str"/>
      <x:c r="E165" s="32" t="str"/>
      <x:c r="F165" s="32" t="str"/>
      <x:c r="G165" s="32" t="str"/>
      <x:c r="H165" s="44" t="str">
        <x:f>IF(G165="","",IFERROR(G165/MAX(1,COUNTIF('01_Конкуренты'!$B$7:$B$36,"?*")),""))</x:f>
      </x:c>
      <x:c r="I165" s="32" t="str"/>
      <x:c r="J165" s="32" t="str">
        <x:f>IF(B165="","",IF(E165="Обязательное",IF(H165&gt;=0.6,"Минимальный рыночный стандарт","Потенциальный обязательный разрыв"),IF(E165="Линейное",IF(H165&gt;=0.5,"Конкурентная норма с влиянием на выбор","Зона усиления ценности"),IF(E165="Привлекательное",IF(H165&lt;0.5,"Зона дифференциации","Переходит в ожидаемую норму"),IF(E165="Безразличное","Не делать при дефиците ресурсов",IF(E165="Обратное","Исключить или проверить риск отторжения","Требует проверки"))))))</x:f>
      </x:c>
      <x:c r="K165" s="32" t="str"/>
      <x:c r="L165" s="32" t="str"/>
      <x:c r="M165" s="32" t="str"/>
    </x:row>
    <x:row r="166">
      <x:c r="A166" s="32" t="str">
        <x:v>R160</x:v>
      </x:c>
      <x:c r="B166" s="32" t="str"/>
      <x:c r="C166" s="32" t="str"/>
      <x:c r="D166" s="32" t="str"/>
      <x:c r="E166" s="32" t="str"/>
      <x:c r="F166" s="32" t="str"/>
      <x:c r="G166" s="32" t="str"/>
      <x:c r="H166" s="44" t="str">
        <x:f>IF(G166="","",IFERROR(G166/MAX(1,COUNTIF('01_Конкуренты'!$B$7:$B$36,"?*")),""))</x:f>
      </x:c>
      <x:c r="I166" s="32" t="str"/>
      <x:c r="J166" s="32" t="str">
        <x:f>IF(B166="","",IF(E166="Обязательное",IF(H166&gt;=0.6,"Минимальный рыночный стандарт","Потенциальный обязательный разрыв"),IF(E166="Линейное",IF(H166&gt;=0.5,"Конкурентная норма с влиянием на выбор","Зона усиления ценности"),IF(E166="Привлекательное",IF(H166&lt;0.5,"Зона дифференциации","Переходит в ожидаемую норму"),IF(E166="Безразличное","Не делать при дефиците ресурсов",IF(E166="Обратное","Исключить или проверить риск отторжения","Требует проверки"))))))</x:f>
      </x:c>
      <x:c r="K166" s="32" t="str"/>
      <x:c r="L166" s="32" t="str"/>
      <x:c r="M166" s="32" t="str"/>
    </x:row>
    <x:row r="167">
      <x:c r="A167" s="32" t="str">
        <x:v>R161</x:v>
      </x:c>
      <x:c r="B167" s="32" t="str"/>
      <x:c r="C167" s="32" t="str"/>
      <x:c r="D167" s="32" t="str"/>
      <x:c r="E167" s="32" t="str"/>
      <x:c r="F167" s="32" t="str"/>
      <x:c r="G167" s="32" t="str"/>
      <x:c r="H167" s="44" t="str">
        <x:f>IF(G167="","",IFERROR(G167/MAX(1,COUNTIF('01_Конкуренты'!$B$7:$B$36,"?*")),""))</x:f>
      </x:c>
      <x:c r="I167" s="32" t="str"/>
      <x:c r="J167" s="32" t="str">
        <x:f>IF(B167="","",IF(E167="Обязательное",IF(H167&gt;=0.6,"Минимальный рыночный стандарт","Потенциальный обязательный разрыв"),IF(E167="Линейное",IF(H167&gt;=0.5,"Конкурентная норма с влиянием на выбор","Зона усиления ценности"),IF(E167="Привлекательное",IF(H167&lt;0.5,"Зона дифференциации","Переходит в ожидаемую норму"),IF(E167="Безразличное","Не делать при дефиците ресурсов",IF(E167="Обратное","Исключить или проверить риск отторжения","Требует проверки"))))))</x:f>
      </x:c>
      <x:c r="K167" s="32" t="str"/>
      <x:c r="L167" s="32" t="str"/>
      <x:c r="M167" s="32" t="str"/>
    </x:row>
    <x:row r="168">
      <x:c r="A168" s="32" t="str">
        <x:v>R162</x:v>
      </x:c>
      <x:c r="B168" s="32" t="str"/>
      <x:c r="C168" s="32" t="str"/>
      <x:c r="D168" s="32" t="str"/>
      <x:c r="E168" s="32" t="str"/>
      <x:c r="F168" s="32" t="str"/>
      <x:c r="G168" s="32" t="str"/>
      <x:c r="H168" s="44" t="str">
        <x:f>IF(G168="","",IFERROR(G168/MAX(1,COUNTIF('01_Конкуренты'!$B$7:$B$36,"?*")),""))</x:f>
      </x:c>
      <x:c r="I168" s="32" t="str"/>
      <x:c r="J168" s="32" t="str">
        <x:f>IF(B168="","",IF(E168="Обязательное",IF(H168&gt;=0.6,"Минимальный рыночный стандарт","Потенциальный обязательный разрыв"),IF(E168="Линейное",IF(H168&gt;=0.5,"Конкурентная норма с влиянием на выбор","Зона усиления ценности"),IF(E168="Привлекательное",IF(H168&lt;0.5,"Зона дифференциации","Переходит в ожидаемую норму"),IF(E168="Безразличное","Не делать при дефиците ресурсов",IF(E168="Обратное","Исключить или проверить риск отторжения","Требует проверки"))))))</x:f>
      </x:c>
      <x:c r="K168" s="32" t="str"/>
      <x:c r="L168" s="32" t="str"/>
      <x:c r="M168" s="32" t="str"/>
    </x:row>
    <x:row r="169">
      <x:c r="A169" s="32" t="str">
        <x:v>R163</x:v>
      </x:c>
      <x:c r="B169" s="32" t="str"/>
      <x:c r="C169" s="32" t="str"/>
      <x:c r="D169" s="32" t="str"/>
      <x:c r="E169" s="32" t="str"/>
      <x:c r="F169" s="32" t="str"/>
      <x:c r="G169" s="32" t="str"/>
      <x:c r="H169" s="44" t="str">
        <x:f>IF(G169="","",IFERROR(G169/MAX(1,COUNTIF('01_Конкуренты'!$B$7:$B$36,"?*")),""))</x:f>
      </x:c>
      <x:c r="I169" s="32" t="str"/>
      <x:c r="J169" s="32" t="str">
        <x:f>IF(B169="","",IF(E169="Обязательное",IF(H169&gt;=0.6,"Минимальный рыночный стандарт","Потенциальный обязательный разрыв"),IF(E169="Линейное",IF(H169&gt;=0.5,"Конкурентная норма с влиянием на выбор","Зона усиления ценности"),IF(E169="Привлекательное",IF(H169&lt;0.5,"Зона дифференциации","Переходит в ожидаемую норму"),IF(E169="Безразличное","Не делать при дефиците ресурсов",IF(E169="Обратное","Исключить или проверить риск отторжения","Требует проверки"))))))</x:f>
      </x:c>
      <x:c r="K169" s="32" t="str"/>
      <x:c r="L169" s="32" t="str"/>
      <x:c r="M169" s="32" t="str"/>
    </x:row>
    <x:row r="170">
      <x:c r="A170" s="32" t="str">
        <x:v>R164</x:v>
      </x:c>
      <x:c r="B170" s="32" t="str"/>
      <x:c r="C170" s="32" t="str"/>
      <x:c r="D170" s="32" t="str"/>
      <x:c r="E170" s="32" t="str"/>
      <x:c r="F170" s="32" t="str"/>
      <x:c r="G170" s="32" t="str"/>
      <x:c r="H170" s="44" t="str">
        <x:f>IF(G170="","",IFERROR(G170/MAX(1,COUNTIF('01_Конкуренты'!$B$7:$B$36,"?*")),""))</x:f>
      </x:c>
      <x:c r="I170" s="32" t="str"/>
      <x:c r="J170" s="32" t="str">
        <x:f>IF(B170="","",IF(E170="Обязательное",IF(H170&gt;=0.6,"Минимальный рыночный стандарт","Потенциальный обязательный разрыв"),IF(E170="Линейное",IF(H170&gt;=0.5,"Конкурентная норма с влиянием на выбор","Зона усиления ценности"),IF(E170="Привлекательное",IF(H170&lt;0.5,"Зона дифференциации","Переходит в ожидаемую норму"),IF(E170="Безразличное","Не делать при дефиците ресурсов",IF(E170="Обратное","Исключить или проверить риск отторжения","Требует проверки"))))))</x:f>
      </x:c>
      <x:c r="K170" s="32" t="str"/>
      <x:c r="L170" s="32" t="str"/>
      <x:c r="M170" s="32" t="str"/>
    </x:row>
    <x:row r="171">
      <x:c r="A171" s="32" t="str">
        <x:v>R165</x:v>
      </x:c>
      <x:c r="B171" s="32" t="str"/>
      <x:c r="C171" s="32" t="str"/>
      <x:c r="D171" s="32" t="str"/>
      <x:c r="E171" s="32" t="str"/>
      <x:c r="F171" s="32" t="str"/>
      <x:c r="G171" s="32" t="str"/>
      <x:c r="H171" s="44" t="str">
        <x:f>IF(G171="","",IFERROR(G171/MAX(1,COUNTIF('01_Конкуренты'!$B$7:$B$36,"?*")),""))</x:f>
      </x:c>
      <x:c r="I171" s="32" t="str"/>
      <x:c r="J171" s="32" t="str">
        <x:f>IF(B171="","",IF(E171="Обязательное",IF(H171&gt;=0.6,"Минимальный рыночный стандарт","Потенциальный обязательный разрыв"),IF(E171="Линейное",IF(H171&gt;=0.5,"Конкурентная норма с влиянием на выбор","Зона усиления ценности"),IF(E171="Привлекательное",IF(H171&lt;0.5,"Зона дифференциации","Переходит в ожидаемую норму"),IF(E171="Безразличное","Не делать при дефиците ресурсов",IF(E171="Обратное","Исключить или проверить риск отторжения","Требует проверки"))))))</x:f>
      </x:c>
      <x:c r="K171" s="32" t="str"/>
      <x:c r="L171" s="32" t="str"/>
      <x:c r="M171" s="32" t="str"/>
    </x:row>
    <x:row r="172">
      <x:c r="A172" s="32" t="str">
        <x:v>R166</x:v>
      </x:c>
      <x:c r="B172" s="32" t="str"/>
      <x:c r="C172" s="32" t="str"/>
      <x:c r="D172" s="32" t="str"/>
      <x:c r="E172" s="32" t="str"/>
      <x:c r="F172" s="32" t="str"/>
      <x:c r="G172" s="32" t="str"/>
      <x:c r="H172" s="44" t="str">
        <x:f>IF(G172="","",IFERROR(G172/MAX(1,COUNTIF('01_Конкуренты'!$B$7:$B$36,"?*")),""))</x:f>
      </x:c>
      <x:c r="I172" s="32" t="str"/>
      <x:c r="J172" s="32" t="str">
        <x:f>IF(B172="","",IF(E172="Обязательное",IF(H172&gt;=0.6,"Минимальный рыночный стандарт","Потенциальный обязательный разрыв"),IF(E172="Линейное",IF(H172&gt;=0.5,"Конкурентная норма с влиянием на выбор","Зона усиления ценности"),IF(E172="Привлекательное",IF(H172&lt;0.5,"Зона дифференциации","Переходит в ожидаемую норму"),IF(E172="Безразличное","Не делать при дефиците ресурсов",IF(E172="Обратное","Исключить или проверить риск отторжения","Требует проверки"))))))</x:f>
      </x:c>
      <x:c r="K172" s="32" t="str"/>
      <x:c r="L172" s="32" t="str"/>
      <x:c r="M172" s="32" t="str"/>
    </x:row>
    <x:row r="173">
      <x:c r="A173" s="32" t="str">
        <x:v>R167</x:v>
      </x:c>
      <x:c r="B173" s="32" t="str"/>
      <x:c r="C173" s="32" t="str"/>
      <x:c r="D173" s="32" t="str"/>
      <x:c r="E173" s="32" t="str"/>
      <x:c r="F173" s="32" t="str"/>
      <x:c r="G173" s="32" t="str"/>
      <x:c r="H173" s="44" t="str">
        <x:f>IF(G173="","",IFERROR(G173/MAX(1,COUNTIF('01_Конкуренты'!$B$7:$B$36,"?*")),""))</x:f>
      </x:c>
      <x:c r="I173" s="32" t="str"/>
      <x:c r="J173" s="32" t="str">
        <x:f>IF(B173="","",IF(E173="Обязательное",IF(H173&gt;=0.6,"Минимальный рыночный стандарт","Потенциальный обязательный разрыв"),IF(E173="Линейное",IF(H173&gt;=0.5,"Конкурентная норма с влиянием на выбор","Зона усиления ценности"),IF(E173="Привлекательное",IF(H173&lt;0.5,"Зона дифференциации","Переходит в ожидаемую норму"),IF(E173="Безразличное","Не делать при дефиците ресурсов",IF(E173="Обратное","Исключить или проверить риск отторжения","Требует проверки"))))))</x:f>
      </x:c>
      <x:c r="K173" s="32" t="str"/>
      <x:c r="L173" s="32" t="str"/>
      <x:c r="M173" s="32" t="str"/>
    </x:row>
    <x:row r="174">
      <x:c r="A174" s="32" t="str">
        <x:v>R168</x:v>
      </x:c>
      <x:c r="B174" s="32" t="str"/>
      <x:c r="C174" s="32" t="str"/>
      <x:c r="D174" s="32" t="str"/>
      <x:c r="E174" s="32" t="str"/>
      <x:c r="F174" s="32" t="str"/>
      <x:c r="G174" s="32" t="str"/>
      <x:c r="H174" s="44" t="str">
        <x:f>IF(G174="","",IFERROR(G174/MAX(1,COUNTIF('01_Конкуренты'!$B$7:$B$36,"?*")),""))</x:f>
      </x:c>
      <x:c r="I174" s="32" t="str"/>
      <x:c r="J174" s="32" t="str">
        <x:f>IF(B174="","",IF(E174="Обязательное",IF(H174&gt;=0.6,"Минимальный рыночный стандарт","Потенциальный обязательный разрыв"),IF(E174="Линейное",IF(H174&gt;=0.5,"Конкурентная норма с влиянием на выбор","Зона усиления ценности"),IF(E174="Привлекательное",IF(H174&lt;0.5,"Зона дифференциации","Переходит в ожидаемую норму"),IF(E174="Безразличное","Не делать при дефиците ресурсов",IF(E174="Обратное","Исключить или проверить риск отторжения","Требует проверки"))))))</x:f>
      </x:c>
      <x:c r="K174" s="32" t="str"/>
      <x:c r="L174" s="32" t="str"/>
      <x:c r="M174" s="32" t="str"/>
    </x:row>
    <x:row r="175">
      <x:c r="A175" s="32" t="str">
        <x:v>R169</x:v>
      </x:c>
      <x:c r="B175" s="32" t="str"/>
      <x:c r="C175" s="32" t="str"/>
      <x:c r="D175" s="32" t="str"/>
      <x:c r="E175" s="32" t="str"/>
      <x:c r="F175" s="32" t="str"/>
      <x:c r="G175" s="32" t="str"/>
      <x:c r="H175" s="44" t="str">
        <x:f>IF(G175="","",IFERROR(G175/MAX(1,COUNTIF('01_Конкуренты'!$B$7:$B$36,"?*")),""))</x:f>
      </x:c>
      <x:c r="I175" s="32" t="str"/>
      <x:c r="J175" s="32" t="str">
        <x:f>IF(B175="","",IF(E175="Обязательное",IF(H175&gt;=0.6,"Минимальный рыночный стандарт","Потенциальный обязательный разрыв"),IF(E175="Линейное",IF(H175&gt;=0.5,"Конкурентная норма с влиянием на выбор","Зона усиления ценности"),IF(E175="Привлекательное",IF(H175&lt;0.5,"Зона дифференциации","Переходит в ожидаемую норму"),IF(E175="Безразличное","Не делать при дефиците ресурсов",IF(E175="Обратное","Исключить или проверить риск отторжения","Требует проверки"))))))</x:f>
      </x:c>
      <x:c r="K175" s="32" t="str"/>
      <x:c r="L175" s="32" t="str"/>
      <x:c r="M175" s="32" t="str"/>
    </x:row>
    <x:row r="176">
      <x:c r="A176" s="32" t="str">
        <x:v>R170</x:v>
      </x:c>
      <x:c r="B176" s="32" t="str"/>
      <x:c r="C176" s="32" t="str"/>
      <x:c r="D176" s="32" t="str"/>
      <x:c r="E176" s="32" t="str"/>
      <x:c r="F176" s="32" t="str"/>
      <x:c r="G176" s="32" t="str"/>
      <x:c r="H176" s="44" t="str">
        <x:f>IF(G176="","",IFERROR(G176/MAX(1,COUNTIF('01_Конкуренты'!$B$7:$B$36,"?*")),""))</x:f>
      </x:c>
      <x:c r="I176" s="32" t="str"/>
      <x:c r="J176" s="32" t="str">
        <x:f>IF(B176="","",IF(E176="Обязательное",IF(H176&gt;=0.6,"Минимальный рыночный стандарт","Потенциальный обязательный разрыв"),IF(E176="Линейное",IF(H176&gt;=0.5,"Конкурентная норма с влиянием на выбор","Зона усиления ценности"),IF(E176="Привлекательное",IF(H176&lt;0.5,"Зона дифференциации","Переходит в ожидаемую норму"),IF(E176="Безразличное","Не делать при дефиците ресурсов",IF(E176="Обратное","Исключить или проверить риск отторжения","Требует проверки"))))))</x:f>
      </x:c>
      <x:c r="K176" s="32" t="str"/>
      <x:c r="L176" s="32" t="str"/>
      <x:c r="M176" s="32" t="str"/>
    </x:row>
    <x:row r="177">
      <x:c r="A177" s="32" t="str">
        <x:v>R171</x:v>
      </x:c>
      <x:c r="B177" s="32" t="str"/>
      <x:c r="C177" s="32" t="str"/>
      <x:c r="D177" s="32" t="str"/>
      <x:c r="E177" s="32" t="str"/>
      <x:c r="F177" s="32" t="str"/>
      <x:c r="G177" s="32" t="str"/>
      <x:c r="H177" s="44" t="str">
        <x:f>IF(G177="","",IFERROR(G177/MAX(1,COUNTIF('01_Конкуренты'!$B$7:$B$36,"?*")),""))</x:f>
      </x:c>
      <x:c r="I177" s="32" t="str"/>
      <x:c r="J177" s="32" t="str">
        <x:f>IF(B177="","",IF(E177="Обязательное",IF(H177&gt;=0.6,"Минимальный рыночный стандарт","Потенциальный обязательный разрыв"),IF(E177="Линейное",IF(H177&gt;=0.5,"Конкурентная норма с влиянием на выбор","Зона усиления ценности"),IF(E177="Привлекательное",IF(H177&lt;0.5,"Зона дифференциации","Переходит в ожидаемую норму"),IF(E177="Безразличное","Не делать при дефиците ресурсов",IF(E177="Обратное","Исключить или проверить риск отторжения","Требует проверки"))))))</x:f>
      </x:c>
      <x:c r="K177" s="32" t="str"/>
      <x:c r="L177" s="32" t="str"/>
      <x:c r="M177" s="32" t="str"/>
    </x:row>
    <x:row r="178">
      <x:c r="A178" s="32" t="str">
        <x:v>R172</x:v>
      </x:c>
      <x:c r="B178" s="32" t="str"/>
      <x:c r="C178" s="32" t="str"/>
      <x:c r="D178" s="32" t="str"/>
      <x:c r="E178" s="32" t="str"/>
      <x:c r="F178" s="32" t="str"/>
      <x:c r="G178" s="32" t="str"/>
      <x:c r="H178" s="44" t="str">
        <x:f>IF(G178="","",IFERROR(G178/MAX(1,COUNTIF('01_Конкуренты'!$B$7:$B$36,"?*")),""))</x:f>
      </x:c>
      <x:c r="I178" s="32" t="str"/>
      <x:c r="J178" s="32" t="str">
        <x:f>IF(B178="","",IF(E178="Обязательное",IF(H178&gt;=0.6,"Минимальный рыночный стандарт","Потенциальный обязательный разрыв"),IF(E178="Линейное",IF(H178&gt;=0.5,"Конкурентная норма с влиянием на выбор","Зона усиления ценности"),IF(E178="Привлекательное",IF(H178&lt;0.5,"Зона дифференциации","Переходит в ожидаемую норму"),IF(E178="Безразличное","Не делать при дефиците ресурсов",IF(E178="Обратное","Исключить или проверить риск отторжения","Требует проверки"))))))</x:f>
      </x:c>
      <x:c r="K178" s="32" t="str"/>
      <x:c r="L178" s="32" t="str"/>
      <x:c r="M178" s="32" t="str"/>
    </x:row>
    <x:row r="179">
      <x:c r="A179" s="32" t="str">
        <x:v>R173</x:v>
      </x:c>
      <x:c r="B179" s="32" t="str"/>
      <x:c r="C179" s="32" t="str"/>
      <x:c r="D179" s="32" t="str"/>
      <x:c r="E179" s="32" t="str"/>
      <x:c r="F179" s="32" t="str"/>
      <x:c r="G179" s="32" t="str"/>
      <x:c r="H179" s="44" t="str">
        <x:f>IF(G179="","",IFERROR(G179/MAX(1,COUNTIF('01_Конкуренты'!$B$7:$B$36,"?*")),""))</x:f>
      </x:c>
      <x:c r="I179" s="32" t="str"/>
      <x:c r="J179" s="32" t="str">
        <x:f>IF(B179="","",IF(E179="Обязательное",IF(H179&gt;=0.6,"Минимальный рыночный стандарт","Потенциальный обязательный разрыв"),IF(E179="Линейное",IF(H179&gt;=0.5,"Конкурентная норма с влиянием на выбор","Зона усиления ценности"),IF(E179="Привлекательное",IF(H179&lt;0.5,"Зона дифференциации","Переходит в ожидаемую норму"),IF(E179="Безразличное","Не делать при дефиците ресурсов",IF(E179="Обратное","Исключить или проверить риск отторжения","Требует проверки"))))))</x:f>
      </x:c>
      <x:c r="K179" s="32" t="str"/>
      <x:c r="L179" s="32" t="str"/>
      <x:c r="M179" s="32" t="str"/>
    </x:row>
    <x:row r="180">
      <x:c r="A180" s="32" t="str">
        <x:v>R174</x:v>
      </x:c>
      <x:c r="B180" s="32" t="str"/>
      <x:c r="C180" s="32" t="str"/>
      <x:c r="D180" s="32" t="str"/>
      <x:c r="E180" s="32" t="str"/>
      <x:c r="F180" s="32" t="str"/>
      <x:c r="G180" s="32" t="str"/>
      <x:c r="H180" s="44" t="str">
        <x:f>IF(G180="","",IFERROR(G180/MAX(1,COUNTIF('01_Конкуренты'!$B$7:$B$36,"?*")),""))</x:f>
      </x:c>
      <x:c r="I180" s="32" t="str"/>
      <x:c r="J180" s="32" t="str">
        <x:f>IF(B180="","",IF(E180="Обязательное",IF(H180&gt;=0.6,"Минимальный рыночный стандарт","Потенциальный обязательный разрыв"),IF(E180="Линейное",IF(H180&gt;=0.5,"Конкурентная норма с влиянием на выбор","Зона усиления ценности"),IF(E180="Привлекательное",IF(H180&lt;0.5,"Зона дифференциации","Переходит в ожидаемую норму"),IF(E180="Безразличное","Не делать при дефиците ресурсов",IF(E180="Обратное","Исключить или проверить риск отторжения","Требует проверки"))))))</x:f>
      </x:c>
      <x:c r="K180" s="32" t="str"/>
      <x:c r="L180" s="32" t="str"/>
      <x:c r="M180" s="32" t="str"/>
    </x:row>
    <x:row r="181">
      <x:c r="A181" s="32" t="str">
        <x:v>R175</x:v>
      </x:c>
      <x:c r="B181" s="32" t="str"/>
      <x:c r="C181" s="32" t="str"/>
      <x:c r="D181" s="32" t="str"/>
      <x:c r="E181" s="32" t="str"/>
      <x:c r="F181" s="32" t="str"/>
      <x:c r="G181" s="32" t="str"/>
      <x:c r="H181" s="44" t="str">
        <x:f>IF(G181="","",IFERROR(G181/MAX(1,COUNTIF('01_Конкуренты'!$B$7:$B$36,"?*")),""))</x:f>
      </x:c>
      <x:c r="I181" s="32" t="str"/>
      <x:c r="J181" s="32" t="str">
        <x:f>IF(B181="","",IF(E181="Обязательное",IF(H181&gt;=0.6,"Минимальный рыночный стандарт","Потенциальный обязательный разрыв"),IF(E181="Линейное",IF(H181&gt;=0.5,"Конкурентная норма с влиянием на выбор","Зона усиления ценности"),IF(E181="Привлекательное",IF(H181&lt;0.5,"Зона дифференциации","Переходит в ожидаемую норму"),IF(E181="Безразличное","Не делать при дефиците ресурсов",IF(E181="Обратное","Исключить или проверить риск отторжения","Требует проверки"))))))</x:f>
      </x:c>
      <x:c r="K181" s="32" t="str"/>
      <x:c r="L181" s="32" t="str"/>
      <x:c r="M181" s="32" t="str"/>
    </x:row>
    <x:row r="182">
      <x:c r="A182" s="32" t="str">
        <x:v>R176</x:v>
      </x:c>
      <x:c r="B182" s="32" t="str"/>
      <x:c r="C182" s="32" t="str"/>
      <x:c r="D182" s="32" t="str"/>
      <x:c r="E182" s="32" t="str"/>
      <x:c r="F182" s="32" t="str"/>
      <x:c r="G182" s="32" t="str"/>
      <x:c r="H182" s="44" t="str">
        <x:f>IF(G182="","",IFERROR(G182/MAX(1,COUNTIF('01_Конкуренты'!$B$7:$B$36,"?*")),""))</x:f>
      </x:c>
      <x:c r="I182" s="32" t="str"/>
      <x:c r="J182" s="32" t="str">
        <x:f>IF(B182="","",IF(E182="Обязательное",IF(H182&gt;=0.6,"Минимальный рыночный стандарт","Потенциальный обязательный разрыв"),IF(E182="Линейное",IF(H182&gt;=0.5,"Конкурентная норма с влиянием на выбор","Зона усиления ценности"),IF(E182="Привлекательное",IF(H182&lt;0.5,"Зона дифференциации","Переходит в ожидаемую норму"),IF(E182="Безразличное","Не делать при дефиците ресурсов",IF(E182="Обратное","Исключить или проверить риск отторжения","Требует проверки"))))))</x:f>
      </x:c>
      <x:c r="K182" s="32" t="str"/>
      <x:c r="L182" s="32" t="str"/>
      <x:c r="M182" s="32" t="str"/>
    </x:row>
    <x:row r="183">
      <x:c r="A183" s="32" t="str">
        <x:v>R177</x:v>
      </x:c>
      <x:c r="B183" s="32" t="str"/>
      <x:c r="C183" s="32" t="str"/>
      <x:c r="D183" s="32" t="str"/>
      <x:c r="E183" s="32" t="str"/>
      <x:c r="F183" s="32" t="str"/>
      <x:c r="G183" s="32" t="str"/>
      <x:c r="H183" s="44" t="str">
        <x:f>IF(G183="","",IFERROR(G183/MAX(1,COUNTIF('01_Конкуренты'!$B$7:$B$36,"?*")),""))</x:f>
      </x:c>
      <x:c r="I183" s="32" t="str"/>
      <x:c r="J183" s="32" t="str">
        <x:f>IF(B183="","",IF(E183="Обязательное",IF(H183&gt;=0.6,"Минимальный рыночный стандарт","Потенциальный обязательный разрыв"),IF(E183="Линейное",IF(H183&gt;=0.5,"Конкурентная норма с влиянием на выбор","Зона усиления ценности"),IF(E183="Привлекательное",IF(H183&lt;0.5,"Зона дифференциации","Переходит в ожидаемую норму"),IF(E183="Безразличное","Не делать при дефиците ресурсов",IF(E183="Обратное","Исключить или проверить риск отторжения","Требует проверки"))))))</x:f>
      </x:c>
      <x:c r="K183" s="32" t="str"/>
      <x:c r="L183" s="32" t="str"/>
      <x:c r="M183" s="32" t="str"/>
    </x:row>
    <x:row r="184">
      <x:c r="A184" s="32" t="str">
        <x:v>R178</x:v>
      </x:c>
      <x:c r="B184" s="32" t="str"/>
      <x:c r="C184" s="32" t="str"/>
      <x:c r="D184" s="32" t="str"/>
      <x:c r="E184" s="32" t="str"/>
      <x:c r="F184" s="32" t="str"/>
      <x:c r="G184" s="32" t="str"/>
      <x:c r="H184" s="44" t="str">
        <x:f>IF(G184="","",IFERROR(G184/MAX(1,COUNTIF('01_Конкуренты'!$B$7:$B$36,"?*")),""))</x:f>
      </x:c>
      <x:c r="I184" s="32" t="str"/>
      <x:c r="J184" s="32" t="str">
        <x:f>IF(B184="","",IF(E184="Обязательное",IF(H184&gt;=0.6,"Минимальный рыночный стандарт","Потенциальный обязательный разрыв"),IF(E184="Линейное",IF(H184&gt;=0.5,"Конкурентная норма с влиянием на выбор","Зона усиления ценности"),IF(E184="Привлекательное",IF(H184&lt;0.5,"Зона дифференциации","Переходит в ожидаемую норму"),IF(E184="Безразличное","Не делать при дефиците ресурсов",IF(E184="Обратное","Исключить или проверить риск отторжения","Требует проверки"))))))</x:f>
      </x:c>
      <x:c r="K184" s="32" t="str"/>
      <x:c r="L184" s="32" t="str"/>
      <x:c r="M184" s="32" t="str"/>
    </x:row>
    <x:row r="185">
      <x:c r="A185" s="32" t="str">
        <x:v>R179</x:v>
      </x:c>
      <x:c r="B185" s="32" t="str"/>
      <x:c r="C185" s="32" t="str"/>
      <x:c r="D185" s="32" t="str"/>
      <x:c r="E185" s="32" t="str"/>
      <x:c r="F185" s="32" t="str"/>
      <x:c r="G185" s="32" t="str"/>
      <x:c r="H185" s="44" t="str">
        <x:f>IF(G185="","",IFERROR(G185/MAX(1,COUNTIF('01_Конкуренты'!$B$7:$B$36,"?*")),""))</x:f>
      </x:c>
      <x:c r="I185" s="32" t="str"/>
      <x:c r="J185" s="32" t="str">
        <x:f>IF(B185="","",IF(E185="Обязательное",IF(H185&gt;=0.6,"Минимальный рыночный стандарт","Потенциальный обязательный разрыв"),IF(E185="Линейное",IF(H185&gt;=0.5,"Конкурентная норма с влиянием на выбор","Зона усиления ценности"),IF(E185="Привлекательное",IF(H185&lt;0.5,"Зона дифференциации","Переходит в ожидаемую норму"),IF(E185="Безразличное","Не делать при дефиците ресурсов",IF(E185="Обратное","Исключить или проверить риск отторжения","Требует проверки"))))))</x:f>
      </x:c>
      <x:c r="K185" s="32" t="str"/>
      <x:c r="L185" s="32" t="str"/>
      <x:c r="M185" s="32" t="str"/>
    </x:row>
    <x:row r="186">
      <x:c r="A186" s="32" t="str">
        <x:v>R180</x:v>
      </x:c>
      <x:c r="B186" s="32" t="str"/>
      <x:c r="C186" s="32" t="str"/>
      <x:c r="D186" s="32" t="str"/>
      <x:c r="E186" s="32" t="str"/>
      <x:c r="F186" s="32" t="str"/>
      <x:c r="G186" s="32" t="str"/>
      <x:c r="H186" s="44" t="str">
        <x:f>IF(G186="","",IFERROR(G186/MAX(1,COUNTIF('01_Конкуренты'!$B$7:$B$36,"?*")),""))</x:f>
      </x:c>
      <x:c r="I186" s="32" t="str"/>
      <x:c r="J186" s="32" t="str">
        <x:f>IF(B186="","",IF(E186="Обязательное",IF(H186&gt;=0.6,"Минимальный рыночный стандарт","Потенциальный обязательный разрыв"),IF(E186="Линейное",IF(H186&gt;=0.5,"Конкурентная норма с влиянием на выбор","Зона усиления ценности"),IF(E186="Привлекательное",IF(H186&lt;0.5,"Зона дифференциации","Переходит в ожидаемую норму"),IF(E186="Безразличное","Не делать при дефиците ресурсов",IF(E186="Обратное","Исключить или проверить риск отторжения","Требует проверки"))))))</x:f>
      </x:c>
      <x:c r="K186" s="32" t="str"/>
      <x:c r="L186" s="32" t="str"/>
      <x:c r="M186" s="32" t="str"/>
    </x:row>
    <x:row r="187">
      <x:c r="A187" s="32" t="str">
        <x:v>R181</x:v>
      </x:c>
      <x:c r="B187" s="32" t="str"/>
      <x:c r="C187" s="32" t="str"/>
      <x:c r="D187" s="32" t="str"/>
      <x:c r="E187" s="32" t="str"/>
      <x:c r="F187" s="32" t="str"/>
      <x:c r="G187" s="32" t="str"/>
      <x:c r="H187" s="44" t="str">
        <x:f>IF(G187="","",IFERROR(G187/MAX(1,COUNTIF('01_Конкуренты'!$B$7:$B$36,"?*")),""))</x:f>
      </x:c>
      <x:c r="I187" s="32" t="str"/>
      <x:c r="J187" s="32" t="str">
        <x:f>IF(B187="","",IF(E187="Обязательное",IF(H187&gt;=0.6,"Минимальный рыночный стандарт","Потенциальный обязательный разрыв"),IF(E187="Линейное",IF(H187&gt;=0.5,"Конкурентная норма с влиянием на выбор","Зона усиления ценности"),IF(E187="Привлекательное",IF(H187&lt;0.5,"Зона дифференциации","Переходит в ожидаемую норму"),IF(E187="Безразличное","Не делать при дефиците ресурсов",IF(E187="Обратное","Исключить или проверить риск отторжения","Требует проверки"))))))</x:f>
      </x:c>
      <x:c r="K187" s="32" t="str"/>
      <x:c r="L187" s="32" t="str"/>
      <x:c r="M187" s="32" t="str"/>
    </x:row>
    <x:row r="188">
      <x:c r="A188" s="32" t="str">
        <x:v>R182</x:v>
      </x:c>
      <x:c r="B188" s="32" t="str"/>
      <x:c r="C188" s="32" t="str"/>
      <x:c r="D188" s="32" t="str"/>
      <x:c r="E188" s="32" t="str"/>
      <x:c r="F188" s="32" t="str"/>
      <x:c r="G188" s="32" t="str"/>
      <x:c r="H188" s="44" t="str">
        <x:f>IF(G188="","",IFERROR(G188/MAX(1,COUNTIF('01_Конкуренты'!$B$7:$B$36,"?*")),""))</x:f>
      </x:c>
      <x:c r="I188" s="32" t="str"/>
      <x:c r="J188" s="32" t="str">
        <x:f>IF(B188="","",IF(E188="Обязательное",IF(H188&gt;=0.6,"Минимальный рыночный стандарт","Потенциальный обязательный разрыв"),IF(E188="Линейное",IF(H188&gt;=0.5,"Конкурентная норма с влиянием на выбор","Зона усиления ценности"),IF(E188="Привлекательное",IF(H188&lt;0.5,"Зона дифференциации","Переходит в ожидаемую норму"),IF(E188="Безразличное","Не делать при дефиците ресурсов",IF(E188="Обратное","Исключить или проверить риск отторжения","Требует проверки"))))))</x:f>
      </x:c>
      <x:c r="K188" s="32" t="str"/>
      <x:c r="L188" s="32" t="str"/>
      <x:c r="M188" s="32" t="str"/>
    </x:row>
    <x:row r="189">
      <x:c r="A189" s="32" t="str">
        <x:v>R183</x:v>
      </x:c>
      <x:c r="B189" s="32" t="str"/>
      <x:c r="C189" s="32" t="str"/>
      <x:c r="D189" s="32" t="str"/>
      <x:c r="E189" s="32" t="str"/>
      <x:c r="F189" s="32" t="str"/>
      <x:c r="G189" s="32" t="str"/>
      <x:c r="H189" s="44" t="str">
        <x:f>IF(G189="","",IFERROR(G189/MAX(1,COUNTIF('01_Конкуренты'!$B$7:$B$36,"?*")),""))</x:f>
      </x:c>
      <x:c r="I189" s="32" t="str"/>
      <x:c r="J189" s="32" t="str">
        <x:f>IF(B189="","",IF(E189="Обязательное",IF(H189&gt;=0.6,"Минимальный рыночный стандарт","Потенциальный обязательный разрыв"),IF(E189="Линейное",IF(H189&gt;=0.5,"Конкурентная норма с влиянием на выбор","Зона усиления ценности"),IF(E189="Привлекательное",IF(H189&lt;0.5,"Зона дифференциации","Переходит в ожидаемую норму"),IF(E189="Безразличное","Не делать при дефиците ресурсов",IF(E189="Обратное","Исключить или проверить риск отторжения","Требует проверки"))))))</x:f>
      </x:c>
      <x:c r="K189" s="32" t="str"/>
      <x:c r="L189" s="32" t="str"/>
      <x:c r="M189" s="32" t="str"/>
    </x:row>
    <x:row r="190">
      <x:c r="A190" s="32" t="str">
        <x:v>R184</x:v>
      </x:c>
      <x:c r="B190" s="32" t="str"/>
      <x:c r="C190" s="32" t="str"/>
      <x:c r="D190" s="32" t="str"/>
      <x:c r="E190" s="32" t="str"/>
      <x:c r="F190" s="32" t="str"/>
      <x:c r="G190" s="32" t="str"/>
      <x:c r="H190" s="44" t="str">
        <x:f>IF(G190="","",IFERROR(G190/MAX(1,COUNTIF('01_Конкуренты'!$B$7:$B$36,"?*")),""))</x:f>
      </x:c>
      <x:c r="I190" s="32" t="str"/>
      <x:c r="J190" s="32" t="str">
        <x:f>IF(B190="","",IF(E190="Обязательное",IF(H190&gt;=0.6,"Минимальный рыночный стандарт","Потенциальный обязательный разрыв"),IF(E190="Линейное",IF(H190&gt;=0.5,"Конкурентная норма с влиянием на выбор","Зона усиления ценности"),IF(E190="Привлекательное",IF(H190&lt;0.5,"Зона дифференциации","Переходит в ожидаемую норму"),IF(E190="Безразличное","Не делать при дефиците ресурсов",IF(E190="Обратное","Исключить или проверить риск отторжения","Требует проверки"))))))</x:f>
      </x:c>
      <x:c r="K190" s="32" t="str"/>
      <x:c r="L190" s="32" t="str"/>
      <x:c r="M190" s="32" t="str"/>
    </x:row>
    <x:row r="191">
      <x:c r="A191" s="32" t="str">
        <x:v>R185</x:v>
      </x:c>
      <x:c r="B191" s="32" t="str"/>
      <x:c r="C191" s="32" t="str"/>
      <x:c r="D191" s="32" t="str"/>
      <x:c r="E191" s="32" t="str"/>
      <x:c r="F191" s="32" t="str"/>
      <x:c r="G191" s="32" t="str"/>
      <x:c r="H191" s="44" t="str">
        <x:f>IF(G191="","",IFERROR(G191/MAX(1,COUNTIF('01_Конкуренты'!$B$7:$B$36,"?*")),""))</x:f>
      </x:c>
      <x:c r="I191" s="32" t="str"/>
      <x:c r="J191" s="32" t="str">
        <x:f>IF(B191="","",IF(E191="Обязательное",IF(H191&gt;=0.6,"Минимальный рыночный стандарт","Потенциальный обязательный разрыв"),IF(E191="Линейное",IF(H191&gt;=0.5,"Конкурентная норма с влиянием на выбор","Зона усиления ценности"),IF(E191="Привлекательное",IF(H191&lt;0.5,"Зона дифференциации","Переходит в ожидаемую норму"),IF(E191="Безразличное","Не делать при дефиците ресурсов",IF(E191="Обратное","Исключить или проверить риск отторжения","Требует проверки"))))))</x:f>
      </x:c>
      <x:c r="K191" s="32" t="str"/>
      <x:c r="L191" s="32" t="str"/>
      <x:c r="M191" s="32" t="str"/>
    </x:row>
    <x:row r="192">
      <x:c r="A192" s="32" t="str">
        <x:v>R186</x:v>
      </x:c>
      <x:c r="B192" s="32" t="str"/>
      <x:c r="C192" s="32" t="str"/>
      <x:c r="D192" s="32" t="str"/>
      <x:c r="E192" s="32" t="str"/>
      <x:c r="F192" s="32" t="str"/>
      <x:c r="G192" s="32" t="str"/>
      <x:c r="H192" s="44" t="str">
        <x:f>IF(G192="","",IFERROR(G192/MAX(1,COUNTIF('01_Конкуренты'!$B$7:$B$36,"?*")),""))</x:f>
      </x:c>
      <x:c r="I192" s="32" t="str"/>
      <x:c r="J192" s="32" t="str">
        <x:f>IF(B192="","",IF(E192="Обязательное",IF(H192&gt;=0.6,"Минимальный рыночный стандарт","Потенциальный обязательный разрыв"),IF(E192="Линейное",IF(H192&gt;=0.5,"Конкурентная норма с влиянием на выбор","Зона усиления ценности"),IF(E192="Привлекательное",IF(H192&lt;0.5,"Зона дифференциации","Переходит в ожидаемую норму"),IF(E192="Безразличное","Не делать при дефиците ресурсов",IF(E192="Обратное","Исключить или проверить риск отторжения","Требует проверки"))))))</x:f>
      </x:c>
      <x:c r="K192" s="32" t="str"/>
      <x:c r="L192" s="32" t="str"/>
      <x:c r="M192" s="32" t="str"/>
    </x:row>
    <x:row r="193">
      <x:c r="A193" s="32" t="str">
        <x:v>R187</x:v>
      </x:c>
      <x:c r="B193" s="32" t="str"/>
      <x:c r="C193" s="32" t="str"/>
      <x:c r="D193" s="32" t="str"/>
      <x:c r="E193" s="32" t="str"/>
      <x:c r="F193" s="32" t="str"/>
      <x:c r="G193" s="32" t="str"/>
      <x:c r="H193" s="44" t="str">
        <x:f>IF(G193="","",IFERROR(G193/MAX(1,COUNTIF('01_Конкуренты'!$B$7:$B$36,"?*")),""))</x:f>
      </x:c>
      <x:c r="I193" s="32" t="str"/>
      <x:c r="J193" s="32" t="str">
        <x:f>IF(B193="","",IF(E193="Обязательное",IF(H193&gt;=0.6,"Минимальный рыночный стандарт","Потенциальный обязательный разрыв"),IF(E193="Линейное",IF(H193&gt;=0.5,"Конкурентная норма с влиянием на выбор","Зона усиления ценности"),IF(E193="Привлекательное",IF(H193&lt;0.5,"Зона дифференциации","Переходит в ожидаемую норму"),IF(E193="Безразличное","Не делать при дефиците ресурсов",IF(E193="Обратное","Исключить или проверить риск отторжения","Требует проверки"))))))</x:f>
      </x:c>
      <x:c r="K193" s="32" t="str"/>
      <x:c r="L193" s="32" t="str"/>
      <x:c r="M193" s="32" t="str"/>
    </x:row>
    <x:row r="194">
      <x:c r="A194" s="32" t="str">
        <x:v>R188</x:v>
      </x:c>
      <x:c r="B194" s="32" t="str"/>
      <x:c r="C194" s="32" t="str"/>
      <x:c r="D194" s="32" t="str"/>
      <x:c r="E194" s="32" t="str"/>
      <x:c r="F194" s="32" t="str"/>
      <x:c r="G194" s="32" t="str"/>
      <x:c r="H194" s="44" t="str">
        <x:f>IF(G194="","",IFERROR(G194/MAX(1,COUNTIF('01_Конкуренты'!$B$7:$B$36,"?*")),""))</x:f>
      </x:c>
      <x:c r="I194" s="32" t="str"/>
      <x:c r="J194" s="32" t="str">
        <x:f>IF(B194="","",IF(E194="Обязательное",IF(H194&gt;=0.6,"Минимальный рыночный стандарт","Потенциальный обязательный разрыв"),IF(E194="Линейное",IF(H194&gt;=0.5,"Конкурентная норма с влиянием на выбор","Зона усиления ценности"),IF(E194="Привлекательное",IF(H194&lt;0.5,"Зона дифференциации","Переходит в ожидаемую норму"),IF(E194="Безразличное","Не делать при дефиците ресурсов",IF(E194="Обратное","Исключить или проверить риск отторжения","Требует проверки"))))))</x:f>
      </x:c>
      <x:c r="K194" s="32" t="str"/>
      <x:c r="L194" s="32" t="str"/>
      <x:c r="M194" s="32" t="str"/>
    </x:row>
    <x:row r="195">
      <x:c r="A195" s="32" t="str">
        <x:v>R189</x:v>
      </x:c>
      <x:c r="B195" s="32" t="str"/>
      <x:c r="C195" s="32" t="str"/>
      <x:c r="D195" s="32" t="str"/>
      <x:c r="E195" s="32" t="str"/>
      <x:c r="F195" s="32" t="str"/>
      <x:c r="G195" s="32" t="str"/>
      <x:c r="H195" s="44" t="str">
        <x:f>IF(G195="","",IFERROR(G195/MAX(1,COUNTIF('01_Конкуренты'!$B$7:$B$36,"?*")),""))</x:f>
      </x:c>
      <x:c r="I195" s="32" t="str"/>
      <x:c r="J195" s="32" t="str">
        <x:f>IF(B195="","",IF(E195="Обязательное",IF(H195&gt;=0.6,"Минимальный рыночный стандарт","Потенциальный обязательный разрыв"),IF(E195="Линейное",IF(H195&gt;=0.5,"Конкурентная норма с влиянием на выбор","Зона усиления ценности"),IF(E195="Привлекательное",IF(H195&lt;0.5,"Зона дифференциации","Переходит в ожидаемую норму"),IF(E195="Безразличное","Не делать при дефиците ресурсов",IF(E195="Обратное","Исключить или проверить риск отторжения","Требует проверки"))))))</x:f>
      </x:c>
      <x:c r="K195" s="32" t="str"/>
      <x:c r="L195" s="32" t="str"/>
      <x:c r="M195" s="32" t="str"/>
    </x:row>
    <x:row r="196">
      <x:c r="A196" s="32" t="str">
        <x:v>R190</x:v>
      </x:c>
      <x:c r="B196" s="32" t="str"/>
      <x:c r="C196" s="32" t="str"/>
      <x:c r="D196" s="32" t="str"/>
      <x:c r="E196" s="32" t="str"/>
      <x:c r="F196" s="32" t="str"/>
      <x:c r="G196" s="32" t="str"/>
      <x:c r="H196" s="44" t="str">
        <x:f>IF(G196="","",IFERROR(G196/MAX(1,COUNTIF('01_Конкуренты'!$B$7:$B$36,"?*")),""))</x:f>
      </x:c>
      <x:c r="I196" s="32" t="str"/>
      <x:c r="J196" s="32" t="str">
        <x:f>IF(B196="","",IF(E196="Обязательное",IF(H196&gt;=0.6,"Минимальный рыночный стандарт","Потенциальный обязательный разрыв"),IF(E196="Линейное",IF(H196&gt;=0.5,"Конкурентная норма с влиянием на выбор","Зона усиления ценности"),IF(E196="Привлекательное",IF(H196&lt;0.5,"Зона дифференциации","Переходит в ожидаемую норму"),IF(E196="Безразличное","Не делать при дефиците ресурсов",IF(E196="Обратное","Исключить или проверить риск отторжения","Требует проверки"))))))</x:f>
      </x:c>
      <x:c r="K196" s="32" t="str"/>
      <x:c r="L196" s="32" t="str"/>
      <x:c r="M196" s="32" t="str"/>
    </x:row>
    <x:row r="197">
      <x:c r="A197" s="32" t="str">
        <x:v>R191</x:v>
      </x:c>
      <x:c r="B197" s="32" t="str"/>
      <x:c r="C197" s="32" t="str"/>
      <x:c r="D197" s="32" t="str"/>
      <x:c r="E197" s="32" t="str"/>
      <x:c r="F197" s="32" t="str"/>
      <x:c r="G197" s="32" t="str"/>
      <x:c r="H197" s="44" t="str">
        <x:f>IF(G197="","",IFERROR(G197/MAX(1,COUNTIF('01_Конкуренты'!$B$7:$B$36,"?*")),""))</x:f>
      </x:c>
      <x:c r="I197" s="32" t="str"/>
      <x:c r="J197" s="32" t="str">
        <x:f>IF(B197="","",IF(E197="Обязательное",IF(H197&gt;=0.6,"Минимальный рыночный стандарт","Потенциальный обязательный разрыв"),IF(E197="Линейное",IF(H197&gt;=0.5,"Конкурентная норма с влиянием на выбор","Зона усиления ценности"),IF(E197="Привлекательное",IF(H197&lt;0.5,"Зона дифференциации","Переходит в ожидаемую норму"),IF(E197="Безразличное","Не делать при дефиците ресурсов",IF(E197="Обратное","Исключить или проверить риск отторжения","Требует проверки"))))))</x:f>
      </x:c>
      <x:c r="K197" s="32" t="str"/>
      <x:c r="L197" s="32" t="str"/>
      <x:c r="M197" s="32" t="str"/>
    </x:row>
    <x:row r="198">
      <x:c r="A198" s="32" t="str">
        <x:v>R192</x:v>
      </x:c>
      <x:c r="B198" s="32" t="str"/>
      <x:c r="C198" s="32" t="str"/>
      <x:c r="D198" s="32" t="str"/>
      <x:c r="E198" s="32" t="str"/>
      <x:c r="F198" s="32" t="str"/>
      <x:c r="G198" s="32" t="str"/>
      <x:c r="H198" s="44" t="str">
        <x:f>IF(G198="","",IFERROR(G198/MAX(1,COUNTIF('01_Конкуренты'!$B$7:$B$36,"?*")),""))</x:f>
      </x:c>
      <x:c r="I198" s="32" t="str"/>
      <x:c r="J198" s="32" t="str">
        <x:f>IF(B198="","",IF(E198="Обязательное",IF(H198&gt;=0.6,"Минимальный рыночный стандарт","Потенциальный обязательный разрыв"),IF(E198="Линейное",IF(H198&gt;=0.5,"Конкурентная норма с влиянием на выбор","Зона усиления ценности"),IF(E198="Привлекательное",IF(H198&lt;0.5,"Зона дифференциации","Переходит в ожидаемую норму"),IF(E198="Безразличное","Не делать при дефиците ресурсов",IF(E198="Обратное","Исключить или проверить риск отторжения","Требует проверки"))))))</x:f>
      </x:c>
      <x:c r="K198" s="32" t="str"/>
      <x:c r="L198" s="32" t="str"/>
      <x:c r="M198" s="32" t="str"/>
    </x:row>
    <x:row r="199">
      <x:c r="A199" s="32" t="str">
        <x:v>R193</x:v>
      </x:c>
      <x:c r="B199" s="32" t="str"/>
      <x:c r="C199" s="32" t="str"/>
      <x:c r="D199" s="32" t="str"/>
      <x:c r="E199" s="32" t="str"/>
      <x:c r="F199" s="32" t="str"/>
      <x:c r="G199" s="32" t="str"/>
      <x:c r="H199" s="44" t="str">
        <x:f>IF(G199="","",IFERROR(G199/MAX(1,COUNTIF('01_Конкуренты'!$B$7:$B$36,"?*")),""))</x:f>
      </x:c>
      <x:c r="I199" s="32" t="str"/>
      <x:c r="J199" s="32" t="str">
        <x:f>IF(B199="","",IF(E199="Обязательное",IF(H199&gt;=0.6,"Минимальный рыночный стандарт","Потенциальный обязательный разрыв"),IF(E199="Линейное",IF(H199&gt;=0.5,"Конкурентная норма с влиянием на выбор","Зона усиления ценности"),IF(E199="Привлекательное",IF(H199&lt;0.5,"Зона дифференциации","Переходит в ожидаемую норму"),IF(E199="Безразличное","Не делать при дефиците ресурсов",IF(E199="Обратное","Исключить или проверить риск отторжения","Требует проверки"))))))</x:f>
      </x:c>
      <x:c r="K199" s="32" t="str"/>
      <x:c r="L199" s="32" t="str"/>
      <x:c r="M199" s="32" t="str"/>
    </x:row>
    <x:row r="200">
      <x:c r="A200" s="32" t="str">
        <x:v>R194</x:v>
      </x:c>
      <x:c r="B200" s="32" t="str"/>
      <x:c r="C200" s="32" t="str"/>
      <x:c r="D200" s="32" t="str"/>
      <x:c r="E200" s="32" t="str"/>
      <x:c r="F200" s="32" t="str"/>
      <x:c r="G200" s="32" t="str"/>
      <x:c r="H200" s="44" t="str">
        <x:f>IF(G200="","",IFERROR(G200/MAX(1,COUNTIF('01_Конкуренты'!$B$7:$B$36,"?*")),""))</x:f>
      </x:c>
      <x:c r="I200" s="32" t="str"/>
      <x:c r="J200" s="32" t="str">
        <x:f>IF(B200="","",IF(E200="Обязательное",IF(H200&gt;=0.6,"Минимальный рыночный стандарт","Потенциальный обязательный разрыв"),IF(E200="Линейное",IF(H200&gt;=0.5,"Конкурентная норма с влиянием на выбор","Зона усиления ценности"),IF(E200="Привлекательное",IF(H200&lt;0.5,"Зона дифференциации","Переходит в ожидаемую норму"),IF(E200="Безразличное","Не делать при дефиците ресурсов",IF(E200="Обратное","Исключить или проверить риск отторжения","Требует проверки"))))))</x:f>
      </x:c>
      <x:c r="K200" s="32" t="str"/>
      <x:c r="L200" s="32" t="str"/>
      <x:c r="M200" s="32" t="str"/>
    </x:row>
    <x:row r="201">
      <x:c r="A201" s="32" t="str">
        <x:v>R195</x:v>
      </x:c>
      <x:c r="B201" s="32" t="str"/>
      <x:c r="C201" s="32" t="str"/>
      <x:c r="D201" s="32" t="str"/>
      <x:c r="E201" s="32" t="str"/>
      <x:c r="F201" s="32" t="str"/>
      <x:c r="G201" s="32" t="str"/>
      <x:c r="H201" s="44" t="str">
        <x:f>IF(G201="","",IFERROR(G201/MAX(1,COUNTIF('01_Конкуренты'!$B$7:$B$36,"?*")),""))</x:f>
      </x:c>
      <x:c r="I201" s="32" t="str"/>
      <x:c r="J201" s="32" t="str">
        <x:f>IF(B201="","",IF(E201="Обязательное",IF(H201&gt;=0.6,"Минимальный рыночный стандарт","Потенциальный обязательный разрыв"),IF(E201="Линейное",IF(H201&gt;=0.5,"Конкурентная норма с влиянием на выбор","Зона усиления ценности"),IF(E201="Привлекательное",IF(H201&lt;0.5,"Зона дифференциации","Переходит в ожидаемую норму"),IF(E201="Безразличное","Не делать при дефиците ресурсов",IF(E201="Обратное","Исключить или проверить риск отторжения","Требует проверки"))))))</x:f>
      </x:c>
      <x:c r="K201" s="32" t="str"/>
      <x:c r="L201" s="32" t="str"/>
      <x:c r="M201" s="32" t="str"/>
    </x:row>
    <x:row r="202">
      <x:c r="A202" s="32" t="str">
        <x:v>R196</x:v>
      </x:c>
      <x:c r="B202" s="32" t="str"/>
      <x:c r="C202" s="32" t="str"/>
      <x:c r="D202" s="32" t="str"/>
      <x:c r="E202" s="32" t="str"/>
      <x:c r="F202" s="32" t="str"/>
      <x:c r="G202" s="32" t="str"/>
      <x:c r="H202" s="44" t="str">
        <x:f>IF(G202="","",IFERROR(G202/MAX(1,COUNTIF('01_Конкуренты'!$B$7:$B$36,"?*")),""))</x:f>
      </x:c>
      <x:c r="I202" s="32" t="str"/>
      <x:c r="J202" s="32" t="str">
        <x:f>IF(B202="","",IF(E202="Обязательное",IF(H202&gt;=0.6,"Минимальный рыночный стандарт","Потенциальный обязательный разрыв"),IF(E202="Линейное",IF(H202&gt;=0.5,"Конкурентная норма с влиянием на выбор","Зона усиления ценности"),IF(E202="Привлекательное",IF(H202&lt;0.5,"Зона дифференциации","Переходит в ожидаемую норму"),IF(E202="Безразличное","Не делать при дефиците ресурсов",IF(E202="Обратное","Исключить или проверить риск отторжения","Требует проверки"))))))</x:f>
      </x:c>
      <x:c r="K202" s="32" t="str"/>
      <x:c r="L202" s="32" t="str"/>
      <x:c r="M202" s="32" t="str"/>
    </x:row>
    <x:row r="203">
      <x:c r="A203" s="32" t="str">
        <x:v>R197</x:v>
      </x:c>
      <x:c r="B203" s="32" t="str"/>
      <x:c r="C203" s="32" t="str"/>
      <x:c r="D203" s="32" t="str"/>
      <x:c r="E203" s="32" t="str"/>
      <x:c r="F203" s="32" t="str"/>
      <x:c r="G203" s="32" t="str"/>
      <x:c r="H203" s="44" t="str">
        <x:f>IF(G203="","",IFERROR(G203/MAX(1,COUNTIF('01_Конкуренты'!$B$7:$B$36,"?*")),""))</x:f>
      </x:c>
      <x:c r="I203" s="32" t="str"/>
      <x:c r="J203" s="32" t="str">
        <x:f>IF(B203="","",IF(E203="Обязательное",IF(H203&gt;=0.6,"Минимальный рыночный стандарт","Потенциальный обязательный разрыв"),IF(E203="Линейное",IF(H203&gt;=0.5,"Конкурентная норма с влиянием на выбор","Зона усиления ценности"),IF(E203="Привлекательное",IF(H203&lt;0.5,"Зона дифференциации","Переходит в ожидаемую норму"),IF(E203="Безразличное","Не делать при дефиците ресурсов",IF(E203="Обратное","Исключить или проверить риск отторжения","Требует проверки"))))))</x:f>
      </x:c>
      <x:c r="K203" s="32" t="str"/>
      <x:c r="L203" s="32" t="str"/>
      <x:c r="M203" s="32" t="str"/>
    </x:row>
    <x:row r="204">
      <x:c r="A204" s="32" t="str">
        <x:v>R198</x:v>
      </x:c>
      <x:c r="B204" s="32" t="str"/>
      <x:c r="C204" s="32" t="str"/>
      <x:c r="D204" s="32" t="str"/>
      <x:c r="E204" s="32" t="str"/>
      <x:c r="F204" s="32" t="str"/>
      <x:c r="G204" s="32" t="str"/>
      <x:c r="H204" s="44" t="str">
        <x:f>IF(G204="","",IFERROR(G204/MAX(1,COUNTIF('01_Конкуренты'!$B$7:$B$36,"?*")),""))</x:f>
      </x:c>
      <x:c r="I204" s="32" t="str"/>
      <x:c r="J204" s="32" t="str">
        <x:f>IF(B204="","",IF(E204="Обязательное",IF(H204&gt;=0.6,"Минимальный рыночный стандарт","Потенциальный обязательный разрыв"),IF(E204="Линейное",IF(H204&gt;=0.5,"Конкурентная норма с влиянием на выбор","Зона усиления ценности"),IF(E204="Привлекательное",IF(H204&lt;0.5,"Зона дифференциации","Переходит в ожидаемую норму"),IF(E204="Безразличное","Не делать при дефиците ресурсов",IF(E204="Обратное","Исключить или проверить риск отторжения","Требует проверки"))))))</x:f>
      </x:c>
      <x:c r="K204" s="32" t="str"/>
      <x:c r="L204" s="32" t="str"/>
      <x:c r="M204" s="32" t="str"/>
    </x:row>
    <x:row r="205">
      <x:c r="A205" s="32" t="str">
        <x:v>R199</x:v>
      </x:c>
      <x:c r="B205" s="32" t="str"/>
      <x:c r="C205" s="32" t="str"/>
      <x:c r="D205" s="32" t="str"/>
      <x:c r="E205" s="32" t="str"/>
      <x:c r="F205" s="32" t="str"/>
      <x:c r="G205" s="32" t="str"/>
      <x:c r="H205" s="44" t="str">
        <x:f>IF(G205="","",IFERROR(G205/MAX(1,COUNTIF('01_Конкуренты'!$B$7:$B$36,"?*")),""))</x:f>
      </x:c>
      <x:c r="I205" s="32" t="str"/>
      <x:c r="J205" s="32" t="str">
        <x:f>IF(B205="","",IF(E205="Обязательное",IF(H205&gt;=0.6,"Минимальный рыночный стандарт","Потенциальный обязательный разрыв"),IF(E205="Линейное",IF(H205&gt;=0.5,"Конкурентная норма с влиянием на выбор","Зона усиления ценности"),IF(E205="Привлекательное",IF(H205&lt;0.5,"Зона дифференциации","Переходит в ожидаемую норму"),IF(E205="Безразличное","Не делать при дефиците ресурсов",IF(E205="Обратное","Исключить или проверить риск отторжения","Требует проверки"))))))</x:f>
      </x:c>
      <x:c r="K205" s="32" t="str"/>
      <x:c r="L205" s="32" t="str"/>
      <x:c r="M205" s="32" t="str"/>
    </x:row>
    <x:row r="206">
      <x:c r="A206" s="32" t="str">
        <x:v>R200</x:v>
      </x:c>
      <x:c r="B206" s="32" t="str"/>
      <x:c r="C206" s="32" t="str"/>
      <x:c r="D206" s="32" t="str"/>
      <x:c r="E206" s="32" t="str"/>
      <x:c r="F206" s="32" t="str"/>
      <x:c r="G206" s="32" t="str"/>
      <x:c r="H206" s="44" t="str">
        <x:f>IF(G206="","",IFERROR(G206/MAX(1,COUNTIF('01_Конкуренты'!$B$7:$B$36,"?*")),""))</x:f>
      </x:c>
      <x:c r="I206" s="32" t="str"/>
      <x:c r="J206" s="32" t="str">
        <x:f>IF(B206="","",IF(E206="Обязательное",IF(H206&gt;=0.6,"Минимальный рыночный стандарт","Потенциальный обязательный разрыв"),IF(E206="Линейное",IF(H206&gt;=0.5,"Конкурентная норма с влиянием на выбор","Зона усиления ценности"),IF(E206="Привлекательное",IF(H206&lt;0.5,"Зона дифференциации","Переходит в ожидаемую норму"),IF(E206="Безразличное","Не делать при дефиците ресурсов",IF(E206="Обратное","Исключить или проверить риск отторжения","Требует проверки"))))))</x:f>
      </x:c>
      <x:c r="K206" s="32" t="str"/>
      <x:c r="L206" s="32" t="str"/>
      <x:c r="M206" s="32" t="str"/>
    </x:row>
  </x:sheetData>
  <x:mergeCells>
    <x:mergeCell ref="A1:M1"/>
    <x:mergeCell ref="A2:M2"/>
  </x:mergeCells>
  <x:conditionalFormatting sqref="H7:H206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{5F47C1BD-5D68-D06A-0567-7D3093CE3390}</x14:id>
        </x:ext>
      </x:extLst>
    </x:cfRule>
  </x:conditionalFormatting>
  <x:dataValidations count="3">
    <x:dataValidation type="list" sqref="E7:E206">
      <x:formula1>"Обязательное,Линейное,Привлекательное,Безразличное,Обратное,Неясное"</x:formula1>
    </x:dataValidation>
    <x:dataValidation type="list" sqref="F7:F206">
      <x:formula1>"1,2,3,4,5"</x:formula1>
    </x:dataValidation>
    <x:dataValidation type="list" sqref="I7:I20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52e67598de4f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F47C1BD-5D68-D06A-0567-7D3093CE3390}">
            <x14:dataBar gradient="1">
              <x14:cfvo type="min"/>
              <x14:cfvo type="max"/>
              <x14:fillColor rgb="60A5FA"/>
            </x14:dataBar>
          </x14:cfRule>
          <xm:sqref>H7:H206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42" hidden="0" customWidth="1"/>
    <x:col min="5" max="5" width="24" hidden="0" customWidth="1"/>
    <x:col min="6" max="6" width="24" hidden="0" customWidth="1"/>
    <x:col min="7" max="7" width="22" hidden="0" customWidth="1"/>
    <x:col min="8" max="8" width="32" hidden="0" customWidth="1"/>
    <x:col min="9" max="9" width="32" hidden="0" customWidth="1"/>
    <x:col min="10" max="10" width="26" hidden="0" customWidth="1"/>
    <x:col min="11" max="11" width="22" hidden="0" customWidth="1"/>
    <x:col min="12" max="12" width="32" hidden="0" customWidth="1"/>
  </x:cols>
  <x:sheetData>
    <x:row r="1" ht="32" customHeight="1">
      <x:c r="A1" s="82" t="str">
        <x:v>05. Определение цифрового товара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14" t="str">
        <x:v>Используйте этот лист для итогового синтеза: какие элементы входят в цифровой товар, какие являются обязательными, а какие формируют отличие.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6" ht="34" customHeight="1">
      <x:c r="A6" s="24" t="str">
        <x:v>Блок определения</x:v>
      </x:c>
      <x:c r="B6" s="24" t="str">
        <x:v>Вопрос для анализа</x:v>
      </x:c>
      <x:c r="C6" s="24" t="str">
        <x:v>Вывод по рынку</x:v>
      </x:c>
      <x:c r="D6" s="24" t="str">
        <x:v>Доказательства</x:v>
      </x:c>
      <x:c r="E6" s="24" t="str">
        <x:v>Связь с Левиттом</x:v>
      </x:c>
      <x:c r="F6" s="24" t="str">
        <x:v>Связь с Кано</x:v>
      </x:c>
      <x:c r="G6" s="24" t="str">
        <x:v>Статус для своего товара</x:v>
      </x:c>
      <x:c r="H6" s="24" t="str">
        <x:v>Минимальная реализация</x:v>
      </x:c>
      <x:c r="I6" s="24" t="str">
        <x:v>Расширенная реализация</x:v>
      </x:c>
      <x:c r="J6" s="24" t="str">
        <x:v>Риск исключения</x:v>
      </x:c>
      <x:c r="K6" s="24" t="str">
        <x:v>Решение</x:v>
      </x:c>
      <x:c r="L6" s="24" t="str">
        <x:v>Комментарий</x:v>
      </x:c>
    </x:row>
    <x:row r="7">
      <x:c r="A7" s="32" t="str">
        <x:v>Целевая пользовательская задача</x:v>
      </x:c>
      <x:c r="B7" s="32" t="str">
        <x:v>Какую основную задачу обещает решить товар?</x:v>
      </x:c>
      <x:c r="C7" s="32" t="str"/>
      <x:c r="D7" s="32" t="str"/>
      <x:c r="E7" s="32" t="str">
        <x:v>1. Базовая выгода</x:v>
      </x:c>
      <x:c r="F7" s="32" t="str">
        <x:v>Обязательное / Линейное</x:v>
      </x:c>
      <x:c r="G7" s="32" t="str"/>
      <x:c r="H7" s="32" t="str"/>
      <x:c r="I7" s="32" t="str"/>
      <x:c r="J7" s="32" t="str"/>
      <x:c r="K7" s="32" t="str"/>
      <x:c r="L7" s="32" t="str"/>
    </x:row>
    <x:row r="8">
      <x:c r="A8" s="32" t="str">
        <x:v>Пользовательский сегмент</x:v>
      </x:c>
      <x:c r="B8" s="32" t="str">
        <x:v>Для кого товар явно предназначен по сайту конкурентов?</x:v>
      </x:c>
      <x:c r="C8" s="32" t="str"/>
      <x:c r="D8" s="32" t="str"/>
      <x:c r="E8" s="32" t="str">
        <x:v>1. Базовая выгода</x:v>
      </x:c>
      <x:c r="F8" s="32" t="str">
        <x:v>Линейное</x:v>
      </x:c>
      <x:c r="G8" s="32" t="str"/>
      <x:c r="H8" s="32" t="str"/>
      <x:c r="I8" s="32" t="str"/>
      <x:c r="J8" s="32" t="str"/>
      <x:c r="K8" s="32" t="str"/>
      <x:c r="L8" s="32" t="str"/>
    </x:row>
    <x:row r="9">
      <x:c r="A9" s="32" t="str">
        <x:v>Родовой товар</x:v>
      </x:c>
      <x:c r="B9" s="32" t="str">
        <x:v>Какой минимальный цифровой объект продается: сервис, приложение, платформа, курс, кабинет, база данных, подписка?</x:v>
      </x:c>
      <x:c r="C9" s="32" t="str"/>
      <x:c r="D9" s="32" t="str"/>
      <x:c r="E9" s="32" t="str">
        <x:v>2. Родовой товар</x:v>
      </x:c>
      <x:c r="F9" s="32" t="str">
        <x:v>Обязательное</x:v>
      </x:c>
      <x:c r="G9" s="32" t="str"/>
      <x:c r="H9" s="32" t="str"/>
      <x:c r="I9" s="32" t="str"/>
      <x:c r="J9" s="32" t="str"/>
      <x:c r="K9" s="32" t="str"/>
      <x:c r="L9" s="32" t="str"/>
    </x:row>
    <x:row r="10">
      <x:c r="A10" s="32" t="str">
        <x:v>Ожидаемый состав</x:v>
      </x:c>
      <x:c r="B10" s="32" t="str">
        <x:v>Какие функции пользователь считает нормой рынка?</x:v>
      </x:c>
      <x:c r="C10" s="32" t="str"/>
      <x:c r="D10" s="32" t="str"/>
      <x:c r="E10" s="32" t="str">
        <x:v>3. Ожидаемый товар</x:v>
      </x:c>
      <x:c r="F10" s="32" t="str">
        <x:v>Обязательное</x:v>
      </x:c>
      <x:c r="G10" s="32" t="str"/>
      <x:c r="H10" s="32" t="str"/>
      <x:c r="I10" s="32" t="str"/>
      <x:c r="J10" s="32" t="str"/>
      <x:c r="K10" s="32" t="str"/>
      <x:c r="L10" s="32" t="str"/>
    </x:row>
    <x:row r="11">
      <x:c r="A11" s="32" t="str">
        <x:v>Интерфейс и доступ</x:v>
      </x:c>
      <x:c r="B11" s="32" t="str">
        <x:v>Как организован доступ: сайт, приложение, личный кабинет, мобильная версия, интеграции?</x:v>
      </x:c>
      <x:c r="C11" s="32" t="str"/>
      <x:c r="D11" s="32" t="str"/>
      <x:c r="E11" s="32" t="str">
        <x:v>3. Ожидаемый товар</x:v>
      </x:c>
      <x:c r="F11" s="32" t="str">
        <x:v>Обязательное / Линейное</x:v>
      </x:c>
      <x:c r="G11" s="32" t="str"/>
      <x:c r="H11" s="32" t="str"/>
      <x:c r="I11" s="32" t="str"/>
      <x:c r="J11" s="32" t="str"/>
      <x:c r="K11" s="32" t="str"/>
      <x:c r="L11" s="32" t="str"/>
    </x:row>
    <x:row r="12">
      <x:c r="A12" s="32" t="str">
        <x:v>Оплата и тарифы</x:v>
      </x:c>
      <x:c r="B12" s="32" t="str">
        <x:v>Какой способ оплаты и представления тарифов является нормой?</x:v>
      </x:c>
      <x:c r="C12" s="32" t="str"/>
      <x:c r="D12" s="32" t="str"/>
      <x:c r="E12" s="32" t="str">
        <x:v>3. Ожидаемый товар</x:v>
      </x:c>
      <x:c r="F12" s="32" t="str">
        <x:v>Обязательное</x:v>
      </x:c>
      <x:c r="G12" s="32" t="str"/>
      <x:c r="H12" s="32" t="str"/>
      <x:c r="I12" s="32" t="str"/>
      <x:c r="J12" s="32" t="str"/>
      <x:c r="K12" s="32" t="str"/>
      <x:c r="L12" s="32" t="str"/>
    </x:row>
    <x:row r="13">
      <x:c r="A13" s="32" t="str">
        <x:v>Поддержка и сопровождение</x:v>
      </x:c>
      <x:c r="B13" s="32" t="str">
        <x:v>Какой уровень поддержки включен в товар?</x:v>
      </x:c>
      <x:c r="C13" s="32" t="str"/>
      <x:c r="D13" s="32" t="str"/>
      <x:c r="E13" s="32" t="str">
        <x:v>3. Ожидаемый товар</x:v>
      </x:c>
      <x:c r="F13" s="32" t="str">
        <x:v>Линейное</x:v>
      </x:c>
      <x:c r="G13" s="32" t="str"/>
      <x:c r="H13" s="32" t="str"/>
      <x:c r="I13" s="32" t="str"/>
      <x:c r="J13" s="32" t="str"/>
      <x:c r="K13" s="32" t="str"/>
      <x:c r="L13" s="32" t="str"/>
    </x:row>
    <x:row r="14">
      <x:c r="A14" s="32" t="str">
        <x:v>Расширение ценности</x:v>
      </x:c>
      <x:c r="B14" s="32" t="str">
        <x:v>Какие дополнительные функции повышают ценность: персонализация, аналитика, рекомендации, автоматизация?</x:v>
      </x:c>
      <x:c r="C14" s="32" t="str"/>
      <x:c r="D14" s="32" t="str"/>
      <x:c r="E14" s="32" t="str">
        <x:v>4. Расширенный товар</x:v>
      </x:c>
      <x:c r="F14" s="32" t="str">
        <x:v>Линейное / Привлекательное</x:v>
      </x:c>
      <x:c r="G14" s="32" t="str"/>
      <x:c r="H14" s="32" t="str"/>
      <x:c r="I14" s="32" t="str"/>
      <x:c r="J14" s="32" t="str"/>
      <x:c r="K14" s="32" t="str"/>
      <x:c r="L14" s="32" t="str"/>
    </x:row>
    <x:row r="15">
      <x:c r="A15" s="32" t="str">
        <x:v>Доверие и доказательства</x:v>
      </x:c>
      <x:c r="B15" s="32" t="str">
        <x:v>Какие элементы подтверждают надежность: кейсы, отзывы, сертификаты, политика безопасности, гарантии?</x:v>
      </x:c>
      <x:c r="C15" s="32" t="str"/>
      <x:c r="D15" s="32" t="str"/>
      <x:c r="E15" s="32" t="str">
        <x:v>4. Расширенный товар</x:v>
      </x:c>
      <x:c r="F15" s="32" t="str">
        <x:v>Линейное</x:v>
      </x:c>
      <x:c r="G15" s="32" t="str"/>
      <x:c r="H15" s="32" t="str"/>
      <x:c r="I15" s="32" t="str"/>
      <x:c r="J15" s="32" t="str"/>
      <x:c r="K15" s="32" t="str"/>
      <x:c r="L15" s="32" t="str"/>
    </x:row>
    <x:row r="16">
      <x:c r="A16" s="32" t="str">
        <x:v>Потенциальное развитие</x:v>
      </x:c>
      <x:c r="B16" s="32" t="str">
        <x:v>Какие будущие возможности видны по дорожной карте, интеграциям, пробным функциям, технологиям?</x:v>
      </x:c>
      <x:c r="C16" s="32" t="str"/>
      <x:c r="D16" s="32" t="str"/>
      <x:c r="E16" s="32" t="str">
        <x:v>5. Потенциальный товар</x:v>
      </x:c>
      <x:c r="F16" s="32" t="str">
        <x:v>Привлекательное</x:v>
      </x:c>
      <x:c r="G16" s="32" t="str"/>
      <x:c r="H16" s="32" t="str"/>
      <x:c r="I16" s="32" t="str"/>
      <x:c r="J16" s="32" t="str"/>
      <x:c r="K16" s="32" t="str"/>
      <x:c r="L16" s="32" t="str"/>
    </x:row>
    <x:row r="17">
      <x:c r="A17" s="32" t="str">
        <x:v>Граница товара</x:v>
      </x:c>
      <x:c r="B17" s="32" t="str">
        <x:v>Что входит в товар, а что остается услугой, сопровождением или маркетинговым обещанием?</x:v>
      </x:c>
      <x:c r="C17" s="32" t="str"/>
      <x:c r="D17" s="32" t="str"/>
      <x:c r="E17" s="32" t="str">
        <x:v>Все уровни</x:v>
      </x:c>
      <x:c r="F17" s="32" t="str">
        <x:v>Все категории</x:v>
      </x:c>
      <x:c r="G17" s="32" t="str"/>
      <x:c r="H17" s="32" t="str"/>
      <x:c r="I17" s="32" t="str"/>
      <x:c r="J17" s="32" t="str"/>
      <x:c r="K17" s="32" t="str"/>
      <x:c r="L17" s="32" t="str"/>
    </x:row>
    <x:row r="18">
      <x:c r="A18" s="32" t="str">
        <x:v>Формулировка товара</x:v>
      </x:c>
      <x:c r="B18" s="32" t="str">
        <x:v>Сформулируйте итог: цифровой товар — это… для… который решает… за счет…</x:v>
      </x:c>
      <x:c r="C18" s="32" t="str"/>
      <x:c r="D18" s="32" t="str"/>
      <x:c r="E18" s="32" t="str">
        <x:v>Синтез</x:v>
      </x:c>
      <x:c r="F18" s="32" t="str">
        <x:v>Синтез</x:v>
      </x:c>
      <x:c r="G18" s="32" t="str"/>
      <x:c r="H18" s="32" t="str"/>
      <x:c r="I18" s="32" t="str"/>
      <x:c r="J18" s="32" t="str"/>
      <x:c r="K18" s="32" t="str"/>
      <x:c r="L18" s="32" t="str"/>
    </x:row>
    <x:row r="19">
      <x:c r="A19" s="32" t="str"/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</x:row>
    <x:row r="20">
      <x:c r="A20" s="32" t="str"/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</x:row>
    <x:row r="21">
      <x:c r="A21" s="32" t="str"/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</x:row>
    <x:row r="22">
      <x:c r="A22" s="32" t="str"/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</x:row>
    <x:row r="23">
      <x:c r="A23" s="32" t="str"/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</x:row>
    <x:row r="24">
      <x:c r="A24" s="32" t="str"/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</x:row>
    <x:row r="25">
      <x:c r="A25" s="32" t="str"/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</x:row>
    <x:row r="26">
      <x:c r="A26" s="32" t="str"/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</x:row>
    <x:row r="27">
      <x:c r="A27" s="32" t="str"/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</x:row>
    <x:row r="28">
      <x:c r="A28" s="32" t="str"/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</x:row>
    <x:row r="29">
      <x:c r="A29" s="32" t="str"/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</x:row>
    <x:row r="30">
      <x:c r="A30" s="32" t="str"/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</x:row>
    <x:row r="31">
      <x:c r="A31" s="32" t="str"/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</x:row>
    <x:row r="32">
      <x:c r="A32" s="32" t="str"/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</x:row>
    <x:row r="33">
      <x:c r="A33" s="32" t="str"/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</x:row>
    <x:row r="34">
      <x:c r="A34" s="32" t="str"/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</x:row>
    <x:row r="35">
      <x:c r="A35" s="32" t="str"/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/>
      <x:c r="K35" s="32" t="str"/>
      <x:c r="L35" s="32" t="str"/>
    </x:row>
    <x:row r="36">
      <x:c r="A36" s="32" t="str"/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/>
      <x:c r="K36" s="32" t="str"/>
      <x:c r="L36" s="32" t="str"/>
    </x:row>
    <x:row r="37">
      <x:c r="A37" s="32" t="str"/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/>
      <x:c r="J37" s="32" t="str"/>
      <x:c r="K37" s="32" t="str"/>
      <x:c r="L37" s="32" t="str"/>
    </x:row>
    <x:row r="38">
      <x:c r="A38" s="32" t="str"/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/>
      <x:c r="J38" s="32" t="str"/>
      <x:c r="K38" s="32" t="str"/>
      <x:c r="L38" s="32" t="str"/>
    </x:row>
    <x:row r="39">
      <x:c r="A39" s="32" t="str"/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/>
      <x:c r="J39" s="32" t="str"/>
      <x:c r="K39" s="32" t="str"/>
      <x:c r="L39" s="32" t="str"/>
    </x:row>
    <x:row r="40">
      <x:c r="A40" s="32" t="str"/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/>
      <x:c r="J40" s="32" t="str"/>
      <x:c r="K40" s="32" t="str"/>
      <x:c r="L40" s="32" t="str"/>
    </x:row>
    <x:row r="41">
      <x:c r="A41" s="32" t="str"/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/>
      <x:c r="J41" s="32" t="str"/>
      <x:c r="K41" s="32" t="str"/>
      <x:c r="L41" s="32" t="str"/>
    </x:row>
    <x:row r="42">
      <x:c r="A42" s="32" t="str"/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/>
      <x:c r="J42" s="32" t="str"/>
      <x:c r="K42" s="32" t="str"/>
      <x:c r="L42" s="32" t="str"/>
    </x:row>
    <x:row r="43">
      <x:c r="A43" s="32" t="str"/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/>
      <x:c r="J43" s="32" t="str"/>
      <x:c r="K43" s="32" t="str"/>
      <x:c r="L43" s="32" t="str"/>
    </x:row>
    <x:row r="44">
      <x:c r="A44" s="32" t="str"/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/>
      <x:c r="J44" s="32" t="str"/>
      <x:c r="K44" s="32" t="str"/>
      <x:c r="L44" s="32" t="str"/>
    </x:row>
    <x:row r="45">
      <x:c r="A45" s="32" t="str"/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/>
      <x:c r="J45" s="32" t="str"/>
      <x:c r="K45" s="32" t="str"/>
      <x:c r="L45" s="32" t="str"/>
    </x:row>
    <x:row r="46">
      <x:c r="A46" s="32" t="str"/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/>
      <x:c r="J46" s="32" t="str"/>
      <x:c r="K46" s="32" t="str"/>
      <x:c r="L46" s="32" t="str"/>
    </x:row>
    <x:row r="47">
      <x:c r="A47" s="32" t="str"/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/>
      <x:c r="J47" s="32" t="str"/>
      <x:c r="K47" s="32" t="str"/>
      <x:c r="L47" s="32" t="str"/>
    </x:row>
    <x:row r="48">
      <x:c r="A48" s="32" t="str"/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/>
      <x:c r="J48" s="32" t="str"/>
      <x:c r="K48" s="32" t="str"/>
      <x:c r="L48" s="32" t="str"/>
    </x:row>
    <x:row r="49">
      <x:c r="A49" s="32" t="str"/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/>
      <x:c r="J49" s="32" t="str"/>
      <x:c r="K49" s="32" t="str"/>
      <x:c r="L49" s="32" t="str"/>
    </x:row>
    <x:row r="50">
      <x:c r="A50" s="32" t="str"/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/>
      <x:c r="J50" s="32" t="str"/>
      <x:c r="K50" s="32" t="str"/>
      <x:c r="L50" s="32" t="str"/>
    </x:row>
    <x:row r="51">
      <x:c r="A51" s="32" t="str"/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/>
      <x:c r="J51" s="32" t="str"/>
      <x:c r="K51" s="32" t="str"/>
      <x:c r="L51" s="32" t="str"/>
    </x:row>
    <x:row r="52">
      <x:c r="A52" s="32" t="str"/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/>
      <x:c r="J52" s="32" t="str"/>
      <x:c r="K52" s="32" t="str"/>
      <x:c r="L52" s="32" t="str"/>
    </x:row>
    <x:row r="53">
      <x:c r="A53" s="32" t="str"/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/>
      <x:c r="J53" s="32" t="str"/>
      <x:c r="K53" s="32" t="str"/>
      <x:c r="L53" s="32" t="str"/>
    </x:row>
    <x:row r="54">
      <x:c r="A54" s="32" t="str"/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/>
      <x:c r="J54" s="32" t="str"/>
      <x:c r="K54" s="32" t="str"/>
      <x:c r="L54" s="32" t="str"/>
    </x:row>
    <x:row r="55">
      <x:c r="A55" s="32" t="str"/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/>
      <x:c r="J55" s="32" t="str"/>
      <x:c r="K55" s="32" t="str"/>
      <x:c r="L55" s="32" t="str"/>
    </x:row>
    <x:row r="56">
      <x:c r="A56" s="32" t="str"/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/>
      <x:c r="J56" s="32" t="str"/>
      <x:c r="K56" s="32" t="str"/>
      <x:c r="L56" s="32" t="str"/>
    </x:row>
  </x:sheetData>
  <x:mergeCells>
    <x:mergeCell ref="A1:L1"/>
    <x:mergeCell ref="A2:L2"/>
  </x:mergeCells>
  <x:dataValidations count="2">
    <x:dataValidation type="list" sqref="G7:G56">
      <x:formula1>"Обязательно включить,Включить при наличии ресурсов,Использовать как преимущество,Проверить гипотезу,Исключить"</x:formula1>
    </x:dataValidation>
    <x:dataValidation type="list" sqref="K7:K56">
      <x:formula1>"Включить,Отложить,Проверить,Исключить"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b5cdecaa54b5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 ht="32" customHeight="1">
      <x:c r="A1" s="82" t="str">
        <x:v>06. Сравнительная оценка конкурентов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2" customHeight="1">
      <x:c r="A2" s="14" t="str">
        <x:v>Оцените каждый критерий по шкале 0–5. Вес показывает влияние критерия на товарную конкурентоспособность.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6" ht="34" customHeight="1">
      <x:c r="A6" s="24" t="str">
        <x:v>ID критерия</x:v>
      </x:c>
      <x:c r="B6" s="24" t="str">
        <x:v>Группа</x:v>
      </x:c>
      <x:c r="C6" s="24" t="str">
        <x:v>Критерий</x:v>
      </x:c>
      <x:c r="D6" s="24" t="str">
        <x:v>Вес</x:v>
      </x:c>
      <x:c r="E6" s="24" t="str">
        <x:v>C01</x:v>
      </x:c>
      <x:c r="F6" s="24" t="str">
        <x:v>C02</x:v>
      </x:c>
      <x:c r="G6" s="24" t="str">
        <x:v>C03</x:v>
      </x:c>
      <x:c r="H6" s="24" t="str">
        <x:v>C04</x:v>
      </x:c>
      <x:c r="I6" s="24" t="str">
        <x:v>C05</x:v>
      </x:c>
      <x:c r="J6" s="24" t="str">
        <x:v>C06</x:v>
      </x:c>
      <x:c r="K6" s="24" t="str">
        <x:v>C07</x:v>
      </x:c>
      <x:c r="L6" s="24" t="str">
        <x:v>C08</x:v>
      </x:c>
      <x:c r="M6" s="24" t="str">
        <x:v>Среднее</x:v>
      </x:c>
      <x:c r="N6" s="24" t="str">
        <x:v>Лучший балл</x:v>
      </x:c>
      <x:c r="O6" s="24" t="str">
        <x:v>Лидер</x:v>
      </x:c>
    </x:row>
    <x:row r="7">
      <x:c r="A7" s="32" t="str">
        <x:v>P01</x:v>
      </x:c>
      <x:c r="B7" s="32" t="str">
        <x:v>Сущность товара</x:v>
      </x:c>
      <x:c r="C7" s="32" t="str">
        <x:v>На сайте ясно понятно, какой цифровой товар предлагается</x:v>
      </x:c>
      <x:c r="D7" s="32" t="n">
        <x:v>5</x:v>
      </x:c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>
        <x:f>IFERROR(AVERAGE(E7:L7),"")</x:f>
      </x:c>
      <x:c r="N7" s="32" t="n">
        <x:f>IFERROR(MAX(E7:L7),"")</x:f>
        <x:v>0</x:v>
      </x:c>
      <x:c r="O7" s="32" t="str">
        <x:f>IF(N7="","",INDEX($E$6:$L$6,1,MATCH(N7,E7:L7,0)))</x:f>
      </x:c>
    </x:row>
    <x:row r="8">
      <x:c r="A8" s="32" t="str">
        <x:v>P02</x:v>
      </x:c>
      <x:c r="B8" s="32" t="str">
        <x:v>Сущность товара</x:v>
      </x:c>
      <x:c r="C8" s="32" t="str">
        <x:v>Целевая пользовательская задача сформулирована конкретно</x:v>
      </x:c>
      <x:c r="D8" s="32" t="n">
        <x:v>5</x:v>
      </x:c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>
        <x:f>IFERROR(AVERAGE(E8:L8),"")</x:f>
      </x:c>
      <x:c r="N8" s="32" t="n">
        <x:f>IFERROR(MAX(E8:L8),"")</x:f>
        <x:v>0</x:v>
      </x:c>
      <x:c r="O8" s="32" t="str">
        <x:f>IF(N8="","",INDEX($E$6:$L$6,1,MATCH(N8,E8:L8,0)))</x:f>
      </x:c>
    </x:row>
    <x:row r="9">
      <x:c r="A9" s="32" t="str">
        <x:v>P03</x:v>
      </x:c>
      <x:c r="B9" s="32" t="str">
        <x:v>Сущность товара</x:v>
      </x:c>
      <x:c r="C9" s="32" t="str">
        <x:v>Граница товара отделена от консультаций, сопровождения и маркетинговых обещаний</x:v>
      </x:c>
      <x:c r="D9" s="32" t="n">
        <x:v>4</x:v>
      </x:c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>
        <x:f>IFERROR(AVERAGE(E9:L9),"")</x:f>
      </x:c>
      <x:c r="N9" s="32" t="n">
        <x:f>IFERROR(MAX(E9:L9),"")</x:f>
        <x:v>0</x:v>
      </x:c>
      <x:c r="O9" s="32" t="str">
        <x:f>IF(N9="","",INDEX($E$6:$L$6,1,MATCH(N9,E9:L9,0)))</x:f>
      </x:c>
    </x:row>
    <x:row r="10">
      <x:c r="A10" s="32" t="str">
        <x:v>P04</x:v>
      </x:c>
      <x:c r="B10" s="32" t="str">
        <x:v>Функциональность</x:v>
      </x:c>
      <x:c r="C10" s="32" t="str">
        <x:v>Ключевые функции товара раскрыты через сценарии использования</x:v>
      </x:c>
      <x:c r="D10" s="32" t="n">
        <x:v>5</x:v>
      </x:c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>
        <x:f>IFERROR(AVERAGE(E10:L10),"")</x:f>
      </x:c>
      <x:c r="N10" s="32" t="n">
        <x:f>IFERROR(MAX(E10:L10),"")</x:f>
        <x:v>0</x:v>
      </x:c>
      <x:c r="O10" s="32" t="str">
        <x:f>IF(N10="","",INDEX($E$6:$L$6,1,MATCH(N10,E10:L10,0)))</x:f>
      </x:c>
    </x:row>
    <x:row r="11">
      <x:c r="A11" s="32" t="str">
        <x:v>P05</x:v>
      </x:c>
      <x:c r="B11" s="32" t="str">
        <x:v>Функциональность</x:v>
      </x:c>
      <x:c r="C11" s="32" t="str">
        <x:v>Есть демонстрация интерфейса, личного кабинета или результата работы</x:v>
      </x:c>
      <x:c r="D11" s="32" t="n">
        <x:v>4</x:v>
      </x:c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>
        <x:f>IFERROR(AVERAGE(E11:L11),"")</x:f>
      </x:c>
      <x:c r="N11" s="32" t="n">
        <x:f>IFERROR(MAX(E11:L11),"")</x:f>
        <x:v>0</x:v>
      </x:c>
      <x:c r="O11" s="32" t="str">
        <x:f>IF(N11="","",INDEX($E$6:$L$6,1,MATCH(N11,E11:L11,0)))</x:f>
      </x:c>
    </x:row>
    <x:row r="12">
      <x:c r="A12" s="32" t="str">
        <x:v>P06</x:v>
      </x:c>
      <x:c r="B12" s="32" t="str">
        <x:v>Функциональность</x:v>
      </x:c>
      <x:c r="C12" s="32" t="str">
        <x:v>Есть пробный доступ, демоверсия, бесплатный фрагмент или понятный вход в использование</x:v>
      </x:c>
      <x:c r="D12" s="32" t="n">
        <x:v>4</x:v>
      </x:c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>
        <x:f>IFERROR(AVERAGE(E12:L12),"")</x:f>
      </x:c>
      <x:c r="N12" s="32" t="n">
        <x:f>IFERROR(MAX(E12:L12),"")</x:f>
        <x:v>0</x:v>
      </x:c>
      <x:c r="O12" s="32" t="str">
        <x:f>IF(N12="","",INDEX($E$6:$L$6,1,MATCH(N12,E12:L12,0)))</x:f>
      </x:c>
    </x:row>
    <x:row r="13">
      <x:c r="A13" s="32" t="str">
        <x:v>P07</x:v>
      </x:c>
      <x:c r="B13" s="32" t="str">
        <x:v>Ценность</x:v>
      </x:c>
      <x:c r="C13" s="32" t="str">
        <x:v>Показана измеримая выгода: экономия времени, денег, снижение риска, рост результата</x:v>
      </x:c>
      <x:c r="D13" s="32" t="n">
        <x:v>5</x:v>
      </x:c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>
        <x:f>IFERROR(AVERAGE(E13:L13),"")</x:f>
      </x:c>
      <x:c r="N13" s="32" t="n">
        <x:f>IFERROR(MAX(E13:L13),"")</x:f>
        <x:v>0</x:v>
      </x:c>
      <x:c r="O13" s="32" t="str">
        <x:f>IF(N13="","",INDEX($E$6:$L$6,1,MATCH(N13,E13:L13,0)))</x:f>
      </x:c>
    </x:row>
    <x:row r="14">
      <x:c r="A14" s="32" t="str">
        <x:v>P08</x:v>
      </x:c>
      <x:c r="B14" s="32" t="str">
        <x:v>Ценность</x:v>
      </x:c>
      <x:c r="C14" s="32" t="str">
        <x:v>Преимущества связаны с функциями товара, а не только с рекламными обещаниями</x:v>
      </x:c>
      <x:c r="D14" s="32" t="n">
        <x:v>5</x:v>
      </x:c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>
        <x:f>IFERROR(AVERAGE(E14:L14),"")</x:f>
      </x:c>
      <x:c r="N14" s="32" t="n">
        <x:f>IFERROR(MAX(E14:L14),"")</x:f>
        <x:v>0</x:v>
      </x:c>
      <x:c r="O14" s="32" t="str">
        <x:f>IF(N14="","",INDEX($E$6:$L$6,1,MATCH(N14,E14:L14,0)))</x:f>
      </x:c>
    </x:row>
    <x:row r="15">
      <x:c r="A15" s="32" t="str">
        <x:v>P09</x:v>
      </x:c>
      <x:c r="B15" s="32" t="str">
        <x:v>Ценность</x:v>
      </x:c>
      <x:c r="C15" s="32" t="str">
        <x:v>Есть сравнение тарифов, комплектаций или уровней доступа</x:v>
      </x:c>
      <x:c r="D15" s="32" t="n">
        <x:v>4</x:v>
      </x:c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>
        <x:f>IFERROR(AVERAGE(E15:L15),"")</x:f>
      </x:c>
      <x:c r="N15" s="32" t="n">
        <x:f>IFERROR(MAX(E15:L15),"")</x:f>
        <x:v>0</x:v>
      </x:c>
      <x:c r="O15" s="32" t="str">
        <x:f>IF(N15="","",INDEX($E$6:$L$6,1,MATCH(N15,E15:L15,0)))</x:f>
      </x:c>
    </x:row>
    <x:row r="16">
      <x:c r="A16" s="32" t="str">
        <x:v>P10</x:v>
      </x:c>
      <x:c r="B16" s="32" t="str">
        <x:v>Доверие</x:v>
      </x:c>
      <x:c r="C16" s="32" t="str">
        <x:v>Есть отзывы, кейсы, примеры клиентов или подтверждения результата</x:v>
      </x:c>
      <x:c r="D16" s="32" t="n">
        <x:v>4</x:v>
      </x:c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>
        <x:f>IFERROR(AVERAGE(E16:L16),"")</x:f>
      </x:c>
      <x:c r="N16" s="32" t="n">
        <x:f>IFERROR(MAX(E16:L16),"")</x:f>
        <x:v>0</x:v>
      </x:c>
      <x:c r="O16" s="32" t="str">
        <x:f>IF(N16="","",INDEX($E$6:$L$6,1,MATCH(N16,E16:L16,0)))</x:f>
      </x:c>
    </x:row>
    <x:row r="17">
      <x:c r="A17" s="32" t="str">
        <x:v>P11</x:v>
      </x:c>
      <x:c r="B17" s="32" t="str">
        <x:v>Доверие</x:v>
      </x:c>
      <x:c r="C17" s="32" t="str">
        <x:v>Раскрыты безопасность, обработка данных, юридические условия, гарантии</x:v>
      </x:c>
      <x:c r="D17" s="32" t="n">
        <x:v>4</x:v>
      </x:c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>
        <x:f>IFERROR(AVERAGE(E17:L17),"")</x:f>
      </x:c>
      <x:c r="N17" s="32" t="n">
        <x:f>IFERROR(MAX(E17:L17),"")</x:f>
        <x:v>0</x:v>
      </x:c>
      <x:c r="O17" s="32" t="str">
        <x:f>IF(N17="","",INDEX($E$6:$L$6,1,MATCH(N17,E17:L17,0)))</x:f>
      </x:c>
    </x:row>
    <x:row r="18">
      <x:c r="A18" s="32" t="str">
        <x:v>P12</x:v>
      </x:c>
      <x:c r="B18" s="32" t="str">
        <x:v>Доверие</x:v>
      </x:c>
      <x:c r="C18" s="32" t="str">
        <x:v>Есть прозрачные контакты, реквизиты, команда или сведения о поставщике</x:v>
      </x:c>
      <x:c r="D18" s="32" t="n">
        <x:v>3</x:v>
      </x:c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>
        <x:f>IFERROR(AVERAGE(E18:L18),"")</x:f>
      </x:c>
      <x:c r="N18" s="32" t="n">
        <x:f>IFERROR(MAX(E18:L18),"")</x:f>
        <x:v>0</x:v>
      </x:c>
      <x:c r="O18" s="32" t="str">
        <x:f>IF(N18="","",INDEX($E$6:$L$6,1,MATCH(N18,E18:L18,0)))</x:f>
      </x:c>
    </x:row>
    <x:row r="19">
      <x:c r="A19" s="32" t="str">
        <x:v>P13</x:v>
      </x:c>
      <x:c r="B19" s="32" t="str">
        <x:v>Интерфейс</x:v>
      </x:c>
      <x:c r="C19" s="32" t="str">
        <x:v>Путь пользователя к покупке/регистрации короткий и понятный</x:v>
      </x:c>
      <x:c r="D19" s="32" t="n">
        <x:v>5</x:v>
      </x:c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>
        <x:f>IFERROR(AVERAGE(E19:L19),"")</x:f>
      </x:c>
      <x:c r="N19" s="32" t="n">
        <x:f>IFERROR(MAX(E19:L19),"")</x:f>
        <x:v>0</x:v>
      </x:c>
      <x:c r="O19" s="32" t="str">
        <x:f>IF(N19="","",INDEX($E$6:$L$6,1,MATCH(N19,E19:L19,0)))</x:f>
      </x:c>
    </x:row>
    <x:row r="20">
      <x:c r="A20" s="32" t="str">
        <x:v>P14</x:v>
      </x:c>
      <x:c r="B20" s="32" t="str">
        <x:v>Интерфейс</x:v>
      </x:c>
      <x:c r="C20" s="32" t="str">
        <x:v>Призыв к действию соответствует стадии выбора: узнать, попробовать, купить, запросить демо</x:v>
      </x:c>
      <x:c r="D20" s="32" t="n">
        <x:v>4</x:v>
      </x:c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>
        <x:f>IFERROR(AVERAGE(E20:L20),"")</x:f>
      </x:c>
      <x:c r="N20" s="32" t="n">
        <x:f>IFERROR(MAX(E20:L20),"")</x:f>
        <x:v>0</x:v>
      </x:c>
      <x:c r="O20" s="32" t="str">
        <x:f>IF(N20="","",INDEX($E$6:$L$6,1,MATCH(N20,E20:L20,0)))</x:f>
      </x:c>
    </x:row>
    <x:row r="21">
      <x:c r="A21" s="32" t="str">
        <x:v>P15</x:v>
      </x:c>
      <x:c r="B21" s="32" t="str">
        <x:v>Интерфейс</x:v>
      </x:c>
      <x:c r="C21" s="32" t="str">
        <x:v>Навигация помогает понять состав товара без лишнего поиска</x:v>
      </x:c>
      <x:c r="D21" s="32" t="n">
        <x:v>4</x:v>
      </x:c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>
        <x:f>IFERROR(AVERAGE(E21:L21),"")</x:f>
      </x:c>
      <x:c r="N21" s="32" t="n">
        <x:f>IFERROR(MAX(E21:L21),"")</x:f>
        <x:v>0</x:v>
      </x:c>
      <x:c r="O21" s="32" t="str">
        <x:f>IF(N21="","",INDEX($E$6:$L$6,1,MATCH(N21,E21:L21,0)))</x:f>
      </x:c>
    </x:row>
    <x:row r="22">
      <x:c r="A22" s="32" t="str">
        <x:v>P16</x:v>
      </x:c>
      <x:c r="B22" s="32" t="str">
        <x:v>Тарифы и оплата</x:v>
      </x:c>
      <x:c r="C22" s="32" t="str">
        <x:v>Цена, состав тарифа и ограничения раскрыты ясно</x:v>
      </x:c>
      <x:c r="D22" s="32" t="n">
        <x:v>5</x:v>
      </x:c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>
        <x:f>IFERROR(AVERAGE(E22:L22),"")</x:f>
      </x:c>
      <x:c r="N22" s="32" t="n">
        <x:f>IFERROR(MAX(E22:L22),"")</x:f>
        <x:v>0</x:v>
      </x:c>
      <x:c r="O22" s="32" t="str">
        <x:f>IF(N22="","",INDEX($E$6:$L$6,1,MATCH(N22,E22:L22,0)))</x:f>
      </x:c>
    </x:row>
    <x:row r="23">
      <x:c r="A23" s="32" t="str">
        <x:v>P17</x:v>
      </x:c>
      <x:c r="B23" s="32" t="str">
        <x:v>Тарифы и оплата</x:v>
      </x:c>
      <x:c r="C23" s="32" t="str">
        <x:v>Оплата, возврат, пробный период или условия подключения объяснены без неопределенности</x:v>
      </x:c>
      <x:c r="D23" s="32" t="n">
        <x:v>4</x:v>
      </x:c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>
        <x:f>IFERROR(AVERAGE(E23:L23),"")</x:f>
      </x:c>
      <x:c r="N23" s="32" t="n">
        <x:f>IFERROR(MAX(E23:L23),"")</x:f>
        <x:v>0</x:v>
      </x:c>
      <x:c r="O23" s="32" t="str">
        <x:f>IF(N23="","",INDEX($E$6:$L$6,1,MATCH(N23,E23:L23,0)))</x:f>
      </x:c>
    </x:row>
    <x:row r="24">
      <x:c r="A24" s="32" t="str">
        <x:v>P18</x:v>
      </x:c>
      <x:c r="B24" s="32" t="str">
        <x:v>Сопровождение</x:v>
      </x:c>
      <x:c r="C24" s="32" t="str">
        <x:v>Поддержка и обучение встроены в товарное предложение</x:v>
      </x:c>
      <x:c r="D24" s="32" t="n">
        <x:v>3</x:v>
      </x:c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>
        <x:f>IFERROR(AVERAGE(E24:L24),"")</x:f>
      </x:c>
      <x:c r="N24" s="32" t="n">
        <x:f>IFERROR(MAX(E24:L24),"")</x:f>
        <x:v>0</x:v>
      </x:c>
      <x:c r="O24" s="32" t="str">
        <x:f>IF(N24="","",INDEX($E$6:$L$6,1,MATCH(N24,E24:L24,0)))</x:f>
      </x:c>
    </x:row>
    <x:row r="25">
      <x:c r="A25" s="32" t="str">
        <x:v>P19</x:v>
      </x:c>
      <x:c r="B25" s="32" t="str">
        <x:v>Сопровождение</x:v>
      </x:c>
      <x:c r="C25" s="32" t="str">
        <x:v>Есть база знаний, вопросы и ответы, инструкции или документация</x:v>
      </x:c>
      <x:c r="D25" s="32" t="n">
        <x:v>3</x:v>
      </x:c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>
        <x:f>IFERROR(AVERAGE(E25:L25),"")</x:f>
      </x:c>
      <x:c r="N25" s="32" t="n">
        <x:f>IFERROR(MAX(E25:L25),"")</x:f>
        <x:v>0</x:v>
      </x:c>
      <x:c r="O25" s="32" t="str">
        <x:f>IF(N25="","",INDEX($E$6:$L$6,1,MATCH(N25,E25:L25,0)))</x:f>
      </x:c>
    </x:row>
    <x:row r="26">
      <x:c r="A26" s="32" t="str">
        <x:v>P20</x:v>
      </x:c>
      <x:c r="B26" s="32" t="str">
        <x:v>Расширение товара</x:v>
      </x:c>
      <x:c r="C26" s="32" t="str">
        <x:v>Есть персонализация, рекомендации, интеграции, автоматизация или аналитика</x:v>
      </x:c>
      <x:c r="D26" s="32" t="n">
        <x:v>4</x:v>
      </x:c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>
        <x:f>IFERROR(AVERAGE(E26:L26),"")</x:f>
      </x:c>
      <x:c r="N26" s="32" t="n">
        <x:f>IFERROR(MAX(E26:L26),"")</x:f>
        <x:v>0</x:v>
      </x:c>
      <x:c r="O26" s="32" t="str">
        <x:f>IF(N26="","",INDEX($E$6:$L$6,1,MATCH(N26,E26:L26,0)))</x:f>
      </x:c>
    </x:row>
    <x:row r="27">
      <x:c r="A27" s="32" t="str">
        <x:v>P21</x:v>
      </x:c>
      <x:c r="B27" s="32" t="str">
        <x:v>Расширение товара</x:v>
      </x:c>
      <x:c r="C27" s="32" t="str">
        <x:v>Есть признаки будущего развития товара: дорожная карта, обновления, новые функции</x:v>
      </x:c>
      <x:c r="D27" s="32" t="n">
        <x:v>3</x:v>
      </x:c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>
        <x:f>IFERROR(AVERAGE(E27:L27),"")</x:f>
      </x:c>
      <x:c r="N27" s="32" t="n">
        <x:f>IFERROR(MAX(E27:L27),"")</x:f>
        <x:v>0</x:v>
      </x:c>
      <x:c r="O27" s="32" t="str">
        <x:f>IF(N27="","",INDEX($E$6:$L$6,1,MATCH(N27,E27:L27,0)))</x:f>
      </x:c>
    </x:row>
    <x:row r="28">
      <x:c r="A28" s="32" t="str">
        <x:v>P22</x:v>
      </x:c>
      <x:c r="B28" s="32" t="str">
        <x:v>Дифференциация</x:v>
      </x:c>
      <x:c r="C28" s="32" t="str">
        <x:v>Есть уникальные или редкие товарные признаки</x:v>
      </x:c>
      <x:c r="D28" s="32" t="n">
        <x:v>5</x:v>
      </x:c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>
        <x:f>IFERROR(AVERAGE(E28:L28),"")</x:f>
      </x:c>
      <x:c r="N28" s="32" t="n">
        <x:f>IFERROR(MAX(E28:L28),"")</x:f>
        <x:v>0</x:v>
      </x:c>
      <x:c r="O28" s="32" t="str">
        <x:f>IF(N28="","",INDEX($E$6:$L$6,1,MATCH(N28,E28:L28,0)))</x:f>
      </x:c>
    </x:row>
    <x:row r="29">
      <x:c r="A29" s="32" t="str">
        <x:v>P23</x:v>
      </x:c>
      <x:c r="B29" s="32" t="str">
        <x:v>Дифференциация</x:v>
      </x:c>
      <x:c r="C29" s="32" t="str">
        <x:v>Отличия хорошо объяснены через пользовательскую ценность</x:v>
      </x:c>
      <x:c r="D29" s="32" t="n">
        <x:v>5</x:v>
      </x:c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>
        <x:f>IFERROR(AVERAGE(E29:L29),"")</x:f>
      </x:c>
      <x:c r="N29" s="32" t="n">
        <x:f>IFERROR(MAX(E29:L29),"")</x:f>
        <x:v>0</x:v>
      </x:c>
      <x:c r="O29" s="32" t="str">
        <x:f>IF(N29="","",INDEX($E$6:$L$6,1,MATCH(N29,E29:L29,0)))</x:f>
      </x:c>
    </x:row>
    <x:row r="30">
      <x:c r="A30" s="32" t="str">
        <x:v>P24</x:v>
      </x:c>
      <x:c r="B30" s="32" t="str">
        <x:v>Рыночный стандарт</x:v>
      </x:c>
      <x:c r="C30" s="32" t="str">
        <x:v>На сайте закрыты обязательные требования категории</x:v>
      </x:c>
      <x:c r="D30" s="32" t="n">
        <x:v>5</x:v>
      </x:c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>
        <x:f>IFERROR(AVERAGE(E30:L30),"")</x:f>
      </x:c>
      <x:c r="N30" s="32" t="n">
        <x:f>IFERROR(MAX(E30:L30),"")</x:f>
        <x:v>0</x:v>
      </x:c>
      <x:c r="O30" s="32" t="str">
        <x:f>IF(N30="","",INDEX($E$6:$L$6,1,MATCH(N30,E30:L30,0)))</x:f>
      </x:c>
    </x:row>
    <x:row r="31">
      <x:c r="A31" s="32" t="str">
        <x:v>P25</x:v>
      </x:c>
      <x:c r="B31" s="32" t="str">
        <x:v>Рыночный стандарт</x:v>
      </x:c>
      <x:c r="C31" s="32" t="str">
        <x:v>Предложение не уступает большинству конкурентов по базовым ожиданиям</x:v>
      </x:c>
      <x:c r="D31" s="32" t="n">
        <x:v>5</x:v>
      </x:c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>
        <x:f>IFERROR(AVERAGE(E31:L31),"")</x:f>
      </x:c>
      <x:c r="N31" s="32" t="n">
        <x:f>IFERROR(MAX(E31:L31),"")</x:f>
        <x:v>0</x:v>
      </x:c>
      <x:c r="O31" s="32" t="str">
        <x:f>IF(N31="","",INDEX($E$6:$L$6,1,MATCH(N31,E31:L31,0)))</x:f>
      </x:c>
    </x:row>
    <x:row r="32">
      <x:c r="A32" s="32" t="str">
        <x:v>P26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>
        <x:f>IFERROR(AVERAGE(E32:L32),"")</x:f>
      </x:c>
      <x:c r="N32" s="32" t="n">
        <x:f>IFERROR(MAX(E32:L32),"")</x:f>
        <x:v>0</x:v>
      </x:c>
      <x:c r="O32" s="32" t="str">
        <x:f>IF(N32="","",INDEX($E$6:$L$6,1,MATCH(N32,E32:L32,0)))</x:f>
      </x:c>
    </x:row>
    <x:row r="33">
      <x:c r="A33" s="32" t="str">
        <x:v>P27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  <x:c r="M33" s="32" t="str">
        <x:f>IFERROR(AVERAGE(E33:L33),"")</x:f>
      </x:c>
      <x:c r="N33" s="32" t="n">
        <x:f>IFERROR(MAX(E33:L33),"")</x:f>
        <x:v>0</x:v>
      </x:c>
      <x:c r="O33" s="32" t="str">
        <x:f>IF(N33="","",INDEX($E$6:$L$6,1,MATCH(N33,E33:L33,0)))</x:f>
      </x:c>
    </x:row>
    <x:row r="34">
      <x:c r="A34" s="32" t="str">
        <x:v>P28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  <x:c r="M34" s="32" t="str">
        <x:f>IFERROR(AVERAGE(E34:L34),"")</x:f>
      </x:c>
      <x:c r="N34" s="32" t="n">
        <x:f>IFERROR(MAX(E34:L34),"")</x:f>
        <x:v>0</x:v>
      </x:c>
      <x:c r="O34" s="32" t="str">
        <x:f>IF(N34="","",INDEX($E$6:$L$6,1,MATCH(N34,E34:L34,0)))</x:f>
      </x:c>
    </x:row>
    <x:row r="35">
      <x:c r="A35" s="32" t="str">
        <x:v>P29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/>
      <x:c r="K35" s="32" t="str"/>
      <x:c r="L35" s="32" t="str"/>
      <x:c r="M35" s="32" t="str">
        <x:f>IFERROR(AVERAGE(E35:L35),"")</x:f>
      </x:c>
      <x:c r="N35" s="32" t="n">
        <x:f>IFERROR(MAX(E35:L35),"")</x:f>
        <x:v>0</x:v>
      </x:c>
      <x:c r="O35" s="32" t="str">
        <x:f>IF(N35="","",INDEX($E$6:$L$6,1,MATCH(N35,E35:L35,0)))</x:f>
      </x:c>
    </x:row>
    <x:row r="36">
      <x:c r="A36" s="32" t="str">
        <x:v>P30</x:v>
      </x:c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/>
      <x:c r="K36" s="32" t="str"/>
      <x:c r="L36" s="32" t="str"/>
      <x:c r="M36" s="32" t="str">
        <x:f>IFERROR(AVERAGE(E36:L36),"")</x:f>
      </x:c>
      <x:c r="N36" s="32" t="n">
        <x:f>IFERROR(MAX(E36:L36),"")</x:f>
        <x:v>0</x:v>
      </x:c>
      <x:c r="O36" s="32" t="str">
        <x:f>IF(N36="","",INDEX($E$6:$L$6,1,MATCH(N36,E36:L36,0)))</x:f>
      </x:c>
    </x:row>
    <x:row r="37">
      <x:c r="A37" s="32" t="str">
        <x:v>P31</x:v>
      </x:c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/>
      <x:c r="J37" s="32" t="str"/>
      <x:c r="K37" s="32" t="str"/>
      <x:c r="L37" s="32" t="str"/>
      <x:c r="M37" s="32" t="str">
        <x:f>IFERROR(AVERAGE(E37:L37),"")</x:f>
      </x:c>
      <x:c r="N37" s="32" t="n">
        <x:f>IFERROR(MAX(E37:L37),"")</x:f>
        <x:v>0</x:v>
      </x:c>
      <x:c r="O37" s="32" t="str">
        <x:f>IF(N37="","",INDEX($E$6:$L$6,1,MATCH(N37,E37:L37,0)))</x:f>
      </x:c>
    </x:row>
    <x:row r="38">
      <x:c r="A38" s="32" t="str">
        <x:v>P32</x:v>
      </x:c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/>
      <x:c r="J38" s="32" t="str"/>
      <x:c r="K38" s="32" t="str"/>
      <x:c r="L38" s="32" t="str"/>
      <x:c r="M38" s="32" t="str">
        <x:f>IFERROR(AVERAGE(E38:L38),"")</x:f>
      </x:c>
      <x:c r="N38" s="32" t="n">
        <x:f>IFERROR(MAX(E38:L38),"")</x:f>
        <x:v>0</x:v>
      </x:c>
      <x:c r="O38" s="32" t="str">
        <x:f>IF(N38="","",INDEX($E$6:$L$6,1,MATCH(N38,E38:L38,0)))</x:f>
      </x:c>
    </x:row>
    <x:row r="39">
      <x:c r="A39" s="32" t="str">
        <x:v>P33</x:v>
      </x:c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/>
      <x:c r="J39" s="32" t="str"/>
      <x:c r="K39" s="32" t="str"/>
      <x:c r="L39" s="32" t="str"/>
      <x:c r="M39" s="32" t="str">
        <x:f>IFERROR(AVERAGE(E39:L39),"")</x:f>
      </x:c>
      <x:c r="N39" s="32" t="n">
        <x:f>IFERROR(MAX(E39:L39),"")</x:f>
        <x:v>0</x:v>
      </x:c>
      <x:c r="O39" s="32" t="str">
        <x:f>IF(N39="","",INDEX($E$6:$L$6,1,MATCH(N39,E39:L39,0)))</x:f>
      </x:c>
    </x:row>
    <x:row r="40">
      <x:c r="A40" s="32" t="str">
        <x:v>P34</x:v>
      </x:c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/>
      <x:c r="J40" s="32" t="str"/>
      <x:c r="K40" s="32" t="str"/>
      <x:c r="L40" s="32" t="str"/>
      <x:c r="M40" s="32" t="str">
        <x:f>IFERROR(AVERAGE(E40:L40),"")</x:f>
      </x:c>
      <x:c r="N40" s="32" t="n">
        <x:f>IFERROR(MAX(E40:L40),"")</x:f>
        <x:v>0</x:v>
      </x:c>
      <x:c r="O40" s="32" t="str">
        <x:f>IF(N40="","",INDEX($E$6:$L$6,1,MATCH(N40,E40:L40,0)))</x:f>
      </x:c>
    </x:row>
    <x:row r="41">
      <x:c r="A41" s="32" t="str">
        <x:v>P35</x:v>
      </x:c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/>
      <x:c r="J41" s="32" t="str"/>
      <x:c r="K41" s="32" t="str"/>
      <x:c r="L41" s="32" t="str"/>
      <x:c r="M41" s="32" t="str">
        <x:f>IFERROR(AVERAGE(E41:L41),"")</x:f>
      </x:c>
      <x:c r="N41" s="32" t="n">
        <x:f>IFERROR(MAX(E41:L41),"")</x:f>
        <x:v>0</x:v>
      </x:c>
      <x:c r="O41" s="32" t="str">
        <x:f>IF(N41="","",INDEX($E$6:$L$6,1,MATCH(N41,E41:L41,0)))</x:f>
      </x:c>
    </x:row>
    <x:row r="42">
      <x:c r="A42" s="32" t="str">
        <x:v>P36</x:v>
      </x:c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/>
      <x:c r="J42" s="32" t="str"/>
      <x:c r="K42" s="32" t="str"/>
      <x:c r="L42" s="32" t="str"/>
      <x:c r="M42" s="32" t="str">
        <x:f>IFERROR(AVERAGE(E42:L42),"")</x:f>
      </x:c>
      <x:c r="N42" s="32" t="n">
        <x:f>IFERROR(MAX(E42:L42),"")</x:f>
        <x:v>0</x:v>
      </x:c>
      <x:c r="O42" s="32" t="str">
        <x:f>IF(N42="","",INDEX($E$6:$L$6,1,MATCH(N42,E42:L42,0)))</x:f>
      </x:c>
    </x:row>
    <x:row r="43">
      <x:c r="A43" s="32" t="str">
        <x:v>P37</x:v>
      </x:c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/>
      <x:c r="J43" s="32" t="str"/>
      <x:c r="K43" s="32" t="str"/>
      <x:c r="L43" s="32" t="str"/>
      <x:c r="M43" s="32" t="str">
        <x:f>IFERROR(AVERAGE(E43:L43),"")</x:f>
      </x:c>
      <x:c r="N43" s="32" t="n">
        <x:f>IFERROR(MAX(E43:L43),"")</x:f>
        <x:v>0</x:v>
      </x:c>
      <x:c r="O43" s="32" t="str">
        <x:f>IF(N43="","",INDEX($E$6:$L$6,1,MATCH(N43,E43:L43,0)))</x:f>
      </x:c>
    </x:row>
    <x:row r="44">
      <x:c r="A44" s="32" t="str">
        <x:v>P38</x:v>
      </x:c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/>
      <x:c r="J44" s="32" t="str"/>
      <x:c r="K44" s="32" t="str"/>
      <x:c r="L44" s="32" t="str"/>
      <x:c r="M44" s="32" t="str">
        <x:f>IFERROR(AVERAGE(E44:L44),"")</x:f>
      </x:c>
      <x:c r="N44" s="32" t="n">
        <x:f>IFERROR(MAX(E44:L44),"")</x:f>
        <x:v>0</x:v>
      </x:c>
      <x:c r="O44" s="32" t="str">
        <x:f>IF(N44="","",INDEX($E$6:$L$6,1,MATCH(N44,E44:L44,0)))</x:f>
      </x:c>
    </x:row>
    <x:row r="45">
      <x:c r="A45" s="32" t="str">
        <x:v>P39</x:v>
      </x:c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/>
      <x:c r="J45" s="32" t="str"/>
      <x:c r="K45" s="32" t="str"/>
      <x:c r="L45" s="32" t="str"/>
      <x:c r="M45" s="32" t="str">
        <x:f>IFERROR(AVERAGE(E45:L45),"")</x:f>
      </x:c>
      <x:c r="N45" s="32" t="n">
        <x:f>IFERROR(MAX(E45:L45),"")</x:f>
        <x:v>0</x:v>
      </x:c>
      <x:c r="O45" s="32" t="str">
        <x:f>IF(N45="","",INDEX($E$6:$L$6,1,MATCH(N45,E45:L45,0)))</x:f>
      </x:c>
    </x:row>
    <x:row r="46">
      <x:c r="A46" s="32" t="str">
        <x:v>P40</x:v>
      </x:c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/>
      <x:c r="J46" s="32" t="str"/>
      <x:c r="K46" s="32" t="str"/>
      <x:c r="L46" s="32" t="str"/>
      <x:c r="M46" s="32" t="str">
        <x:f>IFERROR(AVERAGE(E46:L46),"")</x:f>
      </x:c>
      <x:c r="N46" s="32" t="n">
        <x:f>IFERROR(MAX(E46:L46),"")</x:f>
        <x:v>0</x:v>
      </x:c>
      <x:c r="O46" s="32" t="str">
        <x:f>IF(N46="","",INDEX($E$6:$L$6,1,MATCH(N46,E46:L46,0)))</x:f>
      </x:c>
    </x:row>
    <x:row r="47">
      <x:c r="A47" s="32" t="str">
        <x:v>P41</x:v>
      </x:c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/>
      <x:c r="J47" s="32" t="str"/>
      <x:c r="K47" s="32" t="str"/>
      <x:c r="L47" s="32" t="str"/>
      <x:c r="M47" s="32" t="str">
        <x:f>IFERROR(AVERAGE(E47:L47),"")</x:f>
      </x:c>
      <x:c r="N47" s="32" t="n">
        <x:f>IFERROR(MAX(E47:L47),"")</x:f>
        <x:v>0</x:v>
      </x:c>
      <x:c r="O47" s="32" t="str">
        <x:f>IF(N47="","",INDEX($E$6:$L$6,1,MATCH(N47,E47:L47,0)))</x:f>
      </x:c>
    </x:row>
    <x:row r="48">
      <x:c r="A48" s="32" t="str">
        <x:v>P42</x:v>
      </x:c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/>
      <x:c r="J48" s="32" t="str"/>
      <x:c r="K48" s="32" t="str"/>
      <x:c r="L48" s="32" t="str"/>
      <x:c r="M48" s="32" t="str">
        <x:f>IFERROR(AVERAGE(E48:L48),"")</x:f>
      </x:c>
      <x:c r="N48" s="32" t="n">
        <x:f>IFERROR(MAX(E48:L48),"")</x:f>
        <x:v>0</x:v>
      </x:c>
      <x:c r="O48" s="32" t="str">
        <x:f>IF(N48="","",INDEX($E$6:$L$6,1,MATCH(N48,E48:L48,0)))</x:f>
      </x:c>
    </x:row>
    <x:row r="49">
      <x:c r="A49" s="32" t="str">
        <x:v>P43</x:v>
      </x:c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/>
      <x:c r="J49" s="32" t="str"/>
      <x:c r="K49" s="32" t="str"/>
      <x:c r="L49" s="32" t="str"/>
      <x:c r="M49" s="32" t="str">
        <x:f>IFERROR(AVERAGE(E49:L49),"")</x:f>
      </x:c>
      <x:c r="N49" s="32" t="n">
        <x:f>IFERROR(MAX(E49:L49),"")</x:f>
        <x:v>0</x:v>
      </x:c>
      <x:c r="O49" s="32" t="str">
        <x:f>IF(N49="","",INDEX($E$6:$L$6,1,MATCH(N49,E49:L49,0)))</x:f>
      </x:c>
    </x:row>
    <x:row r="50">
      <x:c r="A50" s="32" t="str">
        <x:v>P44</x:v>
      </x:c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/>
      <x:c r="J50" s="32" t="str"/>
      <x:c r="K50" s="32" t="str"/>
      <x:c r="L50" s="32" t="str"/>
      <x:c r="M50" s="32" t="str">
        <x:f>IFERROR(AVERAGE(E50:L50),"")</x:f>
      </x:c>
      <x:c r="N50" s="32" t="n">
        <x:f>IFERROR(MAX(E50:L50),"")</x:f>
        <x:v>0</x:v>
      </x:c>
      <x:c r="O50" s="32" t="str">
        <x:f>IF(N50="","",INDEX($E$6:$L$6,1,MATCH(N50,E50:L50,0)))</x:f>
      </x:c>
    </x:row>
    <x:row r="51">
      <x:c r="A51" s="32" t="str">
        <x:v>P45</x:v>
      </x:c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/>
      <x:c r="J51" s="32" t="str"/>
      <x:c r="K51" s="32" t="str"/>
      <x:c r="L51" s="32" t="str"/>
      <x:c r="M51" s="32" t="str">
        <x:f>IFERROR(AVERAGE(E51:L51),"")</x:f>
      </x:c>
      <x:c r="N51" s="32" t="n">
        <x:f>IFERROR(MAX(E51:L51),"")</x:f>
        <x:v>0</x:v>
      </x:c>
      <x:c r="O51" s="32" t="str">
        <x:f>IF(N51="","",INDEX($E$6:$L$6,1,MATCH(N51,E51:L51,0)))</x:f>
      </x:c>
    </x:row>
    <x:row r="52">
      <x:c r="A52" s="32" t="str">
        <x:v>P46</x:v>
      </x:c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/>
      <x:c r="J52" s="32" t="str"/>
      <x:c r="K52" s="32" t="str"/>
      <x:c r="L52" s="32" t="str"/>
      <x:c r="M52" s="32" t="str">
        <x:f>IFERROR(AVERAGE(E52:L52),"")</x:f>
      </x:c>
      <x:c r="N52" s="32" t="n">
        <x:f>IFERROR(MAX(E52:L52),"")</x:f>
        <x:v>0</x:v>
      </x:c>
      <x:c r="O52" s="32" t="str">
        <x:f>IF(N52="","",INDEX($E$6:$L$6,1,MATCH(N52,E52:L52,0)))</x:f>
      </x:c>
    </x:row>
    <x:row r="53">
      <x:c r="A53" s="32" t="str">
        <x:v>P47</x:v>
      </x:c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/>
      <x:c r="J53" s="32" t="str"/>
      <x:c r="K53" s="32" t="str"/>
      <x:c r="L53" s="32" t="str"/>
      <x:c r="M53" s="32" t="str">
        <x:f>IFERROR(AVERAGE(E53:L53),"")</x:f>
      </x:c>
      <x:c r="N53" s="32" t="n">
        <x:f>IFERROR(MAX(E53:L53),"")</x:f>
        <x:v>0</x:v>
      </x:c>
      <x:c r="O53" s="32" t="str">
        <x:f>IF(N53="","",INDEX($E$6:$L$6,1,MATCH(N53,E53:L53,0)))</x:f>
      </x:c>
    </x:row>
    <x:row r="54">
      <x:c r="A54" s="32" t="str">
        <x:v>P48</x:v>
      </x:c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/>
      <x:c r="J54" s="32" t="str"/>
      <x:c r="K54" s="32" t="str"/>
      <x:c r="L54" s="32" t="str"/>
      <x:c r="M54" s="32" t="str">
        <x:f>IFERROR(AVERAGE(E54:L54),"")</x:f>
      </x:c>
      <x:c r="N54" s="32" t="n">
        <x:f>IFERROR(MAX(E54:L54),"")</x:f>
        <x:v>0</x:v>
      </x:c>
      <x:c r="O54" s="32" t="str">
        <x:f>IF(N54="","",INDEX($E$6:$L$6,1,MATCH(N54,E54:L54,0)))</x:f>
      </x:c>
    </x:row>
    <x:row r="55">
      <x:c r="A55" s="32" t="str">
        <x:v>P49</x:v>
      </x:c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/>
      <x:c r="J55" s="32" t="str"/>
      <x:c r="K55" s="32" t="str"/>
      <x:c r="L55" s="32" t="str"/>
      <x:c r="M55" s="32" t="str">
        <x:f>IFERROR(AVERAGE(E55:L55),"")</x:f>
      </x:c>
      <x:c r="N55" s="32" t="n">
        <x:f>IFERROR(MAX(E55:L55),"")</x:f>
        <x:v>0</x:v>
      </x:c>
      <x:c r="O55" s="32" t="str">
        <x:f>IF(N55="","",INDEX($E$6:$L$6,1,MATCH(N55,E55:L55,0)))</x:f>
      </x:c>
    </x:row>
    <x:row r="56">
      <x:c r="A56" s="32" t="str">
        <x:v>P50</x:v>
      </x:c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/>
      <x:c r="J56" s="32" t="str"/>
      <x:c r="K56" s="32" t="str"/>
      <x:c r="L56" s="32" t="str"/>
      <x:c r="M56" s="32" t="str">
        <x:f>IFERROR(AVERAGE(E56:L56),"")</x:f>
      </x:c>
      <x:c r="N56" s="32" t="n">
        <x:f>IFERROR(MAX(E56:L56),"")</x:f>
        <x:v>0</x:v>
      </x:c>
      <x:c r="O56" s="32" t="str">
        <x:f>IF(N56="","",INDEX($E$6:$L$6,1,MATCH(N56,E56:L56,0)))</x:f>
      </x:c>
    </x:row>
    <x:row r="57">
      <x:c r="A57" s="32" t="str">
        <x:v>P51</x:v>
      </x:c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/>
      <x:c r="J57" s="32" t="str"/>
      <x:c r="K57" s="32" t="str"/>
      <x:c r="L57" s="32" t="str"/>
      <x:c r="M57" s="32" t="str">
        <x:f>IFERROR(AVERAGE(E57:L57),"")</x:f>
      </x:c>
      <x:c r="N57" s="32" t="n">
        <x:f>IFERROR(MAX(E57:L57),"")</x:f>
        <x:v>0</x:v>
      </x:c>
      <x:c r="O57" s="32" t="str">
        <x:f>IF(N57="","",INDEX($E$6:$L$6,1,MATCH(N57,E57:L57,0)))</x:f>
      </x:c>
    </x:row>
    <x:row r="58">
      <x:c r="A58" s="32" t="str">
        <x:v>P52</x:v>
      </x:c>
      <x:c r="B58" s="32" t="str"/>
      <x:c r="C58" s="32" t="str"/>
      <x:c r="D58" s="32" t="str"/>
      <x:c r="E58" s="32" t="str"/>
      <x:c r="F58" s="32" t="str"/>
      <x:c r="G58" s="32" t="str"/>
      <x:c r="H58" s="32" t="str"/>
      <x:c r="I58" s="32" t="str"/>
      <x:c r="J58" s="32" t="str"/>
      <x:c r="K58" s="32" t="str"/>
      <x:c r="L58" s="32" t="str"/>
      <x:c r="M58" s="32" t="str">
        <x:f>IFERROR(AVERAGE(E58:L58),"")</x:f>
      </x:c>
      <x:c r="N58" s="32" t="n">
        <x:f>IFERROR(MAX(E58:L58),"")</x:f>
        <x:v>0</x:v>
      </x:c>
      <x:c r="O58" s="32" t="str">
        <x:f>IF(N58="","",INDEX($E$6:$L$6,1,MATCH(N58,E58:L58,0)))</x:f>
      </x:c>
    </x:row>
    <x:row r="59">
      <x:c r="A59" s="32" t="str">
        <x:v>P53</x:v>
      </x:c>
      <x:c r="B59" s="32" t="str"/>
      <x:c r="C59" s="32" t="str"/>
      <x:c r="D59" s="32" t="str"/>
      <x:c r="E59" s="32" t="str"/>
      <x:c r="F59" s="32" t="str"/>
      <x:c r="G59" s="32" t="str"/>
      <x:c r="H59" s="32" t="str"/>
      <x:c r="I59" s="32" t="str"/>
      <x:c r="J59" s="32" t="str"/>
      <x:c r="K59" s="32" t="str"/>
      <x:c r="L59" s="32" t="str"/>
      <x:c r="M59" s="32" t="str">
        <x:f>IFERROR(AVERAGE(E59:L59),"")</x:f>
      </x:c>
      <x:c r="N59" s="32" t="n">
        <x:f>IFERROR(MAX(E59:L59),"")</x:f>
        <x:v>0</x:v>
      </x:c>
      <x:c r="O59" s="32" t="str">
        <x:f>IF(N59="","",INDEX($E$6:$L$6,1,MATCH(N59,E59:L59,0)))</x:f>
      </x:c>
    </x:row>
    <x:row r="60">
      <x:c r="A60" s="32" t="str">
        <x:v>P54</x:v>
      </x:c>
      <x:c r="B60" s="32" t="str"/>
      <x:c r="C60" s="32" t="str"/>
      <x:c r="D60" s="32" t="str"/>
      <x:c r="E60" s="32" t="str"/>
      <x:c r="F60" s="32" t="str"/>
      <x:c r="G60" s="32" t="str"/>
      <x:c r="H60" s="32" t="str"/>
      <x:c r="I60" s="32" t="str"/>
      <x:c r="J60" s="32" t="str"/>
      <x:c r="K60" s="32" t="str"/>
      <x:c r="L60" s="32" t="str"/>
      <x:c r="M60" s="32" t="str">
        <x:f>IFERROR(AVERAGE(E60:L60),"")</x:f>
      </x:c>
      <x:c r="N60" s="32" t="n">
        <x:f>IFERROR(MAX(E60:L60),"")</x:f>
        <x:v>0</x:v>
      </x:c>
      <x:c r="O60" s="32" t="str">
        <x:f>IF(N60="","",INDEX($E$6:$L$6,1,MATCH(N60,E60:L60,0)))</x:f>
      </x:c>
    </x:row>
    <x:row r="61">
      <x:c r="A61" s="32" t="str">
        <x:v>P55</x:v>
      </x:c>
      <x:c r="B61" s="32" t="str"/>
      <x:c r="C61" s="32" t="str"/>
      <x:c r="D61" s="32" t="str"/>
      <x:c r="E61" s="32" t="str"/>
      <x:c r="F61" s="32" t="str"/>
      <x:c r="G61" s="32" t="str"/>
      <x:c r="H61" s="32" t="str"/>
      <x:c r="I61" s="32" t="str"/>
      <x:c r="J61" s="32" t="str"/>
      <x:c r="K61" s="32" t="str"/>
      <x:c r="L61" s="32" t="str"/>
      <x:c r="M61" s="32" t="str">
        <x:f>IFERROR(AVERAGE(E61:L61),"")</x:f>
      </x:c>
      <x:c r="N61" s="32" t="n">
        <x:f>IFERROR(MAX(E61:L61),"")</x:f>
        <x:v>0</x:v>
      </x:c>
      <x:c r="O61" s="32" t="str">
        <x:f>IF(N61="","",INDEX($E$6:$L$6,1,MATCH(N61,E61:L61,0)))</x:f>
      </x:c>
    </x:row>
    <x:row r="62">
      <x:c r="A62" s="32" t="str">
        <x:v>P56</x:v>
      </x:c>
      <x:c r="B62" s="32" t="str"/>
      <x:c r="C62" s="32" t="str"/>
      <x:c r="D62" s="32" t="str"/>
      <x:c r="E62" s="32" t="str"/>
      <x:c r="F62" s="32" t="str"/>
      <x:c r="G62" s="32" t="str"/>
      <x:c r="H62" s="32" t="str"/>
      <x:c r="I62" s="32" t="str"/>
      <x:c r="J62" s="32" t="str"/>
      <x:c r="K62" s="32" t="str"/>
      <x:c r="L62" s="32" t="str"/>
      <x:c r="M62" s="32" t="str">
        <x:f>IFERROR(AVERAGE(E62:L62),"")</x:f>
      </x:c>
      <x:c r="N62" s="32" t="n">
        <x:f>IFERROR(MAX(E62:L62),"")</x:f>
        <x:v>0</x:v>
      </x:c>
      <x:c r="O62" s="32" t="str">
        <x:f>IF(N62="","",INDEX($E$6:$L$6,1,MATCH(N62,E62:L62,0)))</x:f>
      </x:c>
    </x:row>
    <x:row r="63">
      <x:c r="A63" s="32" t="str">
        <x:v>P57</x:v>
      </x:c>
      <x:c r="B63" s="32" t="str"/>
      <x:c r="C63" s="32" t="str"/>
      <x:c r="D63" s="32" t="str"/>
      <x:c r="E63" s="32" t="str"/>
      <x:c r="F63" s="32" t="str"/>
      <x:c r="G63" s="32" t="str"/>
      <x:c r="H63" s="32" t="str"/>
      <x:c r="I63" s="32" t="str"/>
      <x:c r="J63" s="32" t="str"/>
      <x:c r="K63" s="32" t="str"/>
      <x:c r="L63" s="32" t="str"/>
      <x:c r="M63" s="32" t="str">
        <x:f>IFERROR(AVERAGE(E63:L63),"")</x:f>
      </x:c>
      <x:c r="N63" s="32" t="n">
        <x:f>IFERROR(MAX(E63:L63),"")</x:f>
        <x:v>0</x:v>
      </x:c>
      <x:c r="O63" s="32" t="str">
        <x:f>IF(N63="","",INDEX($E$6:$L$6,1,MATCH(N63,E63:L63,0)))</x:f>
      </x:c>
    </x:row>
    <x:row r="64">
      <x:c r="A64" s="32" t="str">
        <x:v>P58</x:v>
      </x:c>
      <x:c r="B64" s="32" t="str"/>
      <x:c r="C64" s="32" t="str"/>
      <x:c r="D64" s="32" t="str"/>
      <x:c r="E64" s="32" t="str"/>
      <x:c r="F64" s="32" t="str"/>
      <x:c r="G64" s="32" t="str"/>
      <x:c r="H64" s="32" t="str"/>
      <x:c r="I64" s="32" t="str"/>
      <x:c r="J64" s="32" t="str"/>
      <x:c r="K64" s="32" t="str"/>
      <x:c r="L64" s="32" t="str"/>
      <x:c r="M64" s="32" t="str">
        <x:f>IFERROR(AVERAGE(E64:L64),"")</x:f>
      </x:c>
      <x:c r="N64" s="32" t="n">
        <x:f>IFERROR(MAX(E64:L64),"")</x:f>
        <x:v>0</x:v>
      </x:c>
      <x:c r="O64" s="32" t="str">
        <x:f>IF(N64="","",INDEX($E$6:$L$6,1,MATCH(N64,E64:L64,0)))</x:f>
      </x:c>
    </x:row>
    <x:row r="65">
      <x:c r="A65" s="32" t="str">
        <x:v>P59</x:v>
      </x:c>
      <x:c r="B65" s="32" t="str"/>
      <x:c r="C65" s="32" t="str"/>
      <x:c r="D65" s="32" t="str"/>
      <x:c r="E65" s="32" t="str"/>
      <x:c r="F65" s="32" t="str"/>
      <x:c r="G65" s="32" t="str"/>
      <x:c r="H65" s="32" t="str"/>
      <x:c r="I65" s="32" t="str"/>
      <x:c r="J65" s="32" t="str"/>
      <x:c r="K65" s="32" t="str"/>
      <x:c r="L65" s="32" t="str"/>
      <x:c r="M65" s="32" t="str">
        <x:f>IFERROR(AVERAGE(E65:L65),"")</x:f>
      </x:c>
      <x:c r="N65" s="32" t="n">
        <x:f>IFERROR(MAX(E65:L65),"")</x:f>
        <x:v>0</x:v>
      </x:c>
      <x:c r="O65" s="32" t="str">
        <x:f>IF(N65="","",INDEX($E$6:$L$6,1,MATCH(N65,E65:L65,0)))</x:f>
      </x:c>
    </x:row>
    <x:row r="66">
      <x:c r="A66" s="32" t="str">
        <x:v>P60</x:v>
      </x:c>
      <x:c r="B66" s="32" t="str"/>
      <x:c r="C66" s="32" t="str"/>
      <x:c r="D66" s="32" t="str"/>
      <x:c r="E66" s="32" t="str"/>
      <x:c r="F66" s="32" t="str"/>
      <x:c r="G66" s="32" t="str"/>
      <x:c r="H66" s="32" t="str"/>
      <x:c r="I66" s="32" t="str"/>
      <x:c r="J66" s="32" t="str"/>
      <x:c r="K66" s="32" t="str"/>
      <x:c r="L66" s="32" t="str"/>
      <x:c r="M66" s="32" t="str">
        <x:f>IFERROR(AVERAGE(E66:L66),"")</x:f>
      </x:c>
      <x:c r="N66" s="32" t="n">
        <x:f>IFERROR(MAX(E66:L66),"")</x:f>
        <x:v>0</x:v>
      </x:c>
      <x:c r="O66" s="32" t="str">
        <x:f>IF(N66="","",INDEX($E$6:$L$6,1,MATCH(N66,E66:L66,0)))</x:f>
      </x:c>
    </x:row>
    <x:row r="67">
      <x:c r="A67" s="32" t="str">
        <x:v>P61</x:v>
      </x:c>
      <x:c r="B67" s="32" t="str"/>
      <x:c r="C67" s="32" t="str"/>
      <x:c r="D67" s="32" t="str"/>
      <x:c r="E67" s="32" t="str"/>
      <x:c r="F67" s="32" t="str"/>
      <x:c r="G67" s="32" t="str"/>
      <x:c r="H67" s="32" t="str"/>
      <x:c r="I67" s="32" t="str"/>
      <x:c r="J67" s="32" t="str"/>
      <x:c r="K67" s="32" t="str"/>
      <x:c r="L67" s="32" t="str"/>
      <x:c r="M67" s="32" t="str">
        <x:f>IFERROR(AVERAGE(E67:L67),"")</x:f>
      </x:c>
      <x:c r="N67" s="32" t="n">
        <x:f>IFERROR(MAX(E67:L67),"")</x:f>
        <x:v>0</x:v>
      </x:c>
      <x:c r="O67" s="32" t="str">
        <x:f>IF(N67="","",INDEX($E$6:$L$6,1,MATCH(N67,E67:L67,0)))</x:f>
      </x:c>
    </x:row>
    <x:row r="68">
      <x:c r="A68" s="32" t="str">
        <x:v>P62</x:v>
      </x:c>
      <x:c r="B68" s="32" t="str"/>
      <x:c r="C68" s="32" t="str"/>
      <x:c r="D68" s="32" t="str"/>
      <x:c r="E68" s="32" t="str"/>
      <x:c r="F68" s="32" t="str"/>
      <x:c r="G68" s="32" t="str"/>
      <x:c r="H68" s="32" t="str"/>
      <x:c r="I68" s="32" t="str"/>
      <x:c r="J68" s="32" t="str"/>
      <x:c r="K68" s="32" t="str"/>
      <x:c r="L68" s="32" t="str"/>
      <x:c r="M68" s="32" t="str">
        <x:f>IFERROR(AVERAGE(E68:L68),"")</x:f>
      </x:c>
      <x:c r="N68" s="32" t="n">
        <x:f>IFERROR(MAX(E68:L68),"")</x:f>
        <x:v>0</x:v>
      </x:c>
      <x:c r="O68" s="32" t="str">
        <x:f>IF(N68="","",INDEX($E$6:$L$6,1,MATCH(N68,E68:L68,0)))</x:f>
      </x:c>
    </x:row>
    <x:row r="69">
      <x:c r="A69" s="32" t="str">
        <x:v>P63</x:v>
      </x:c>
      <x:c r="B69" s="32" t="str"/>
      <x:c r="C69" s="32" t="str"/>
      <x:c r="D69" s="32" t="str"/>
      <x:c r="E69" s="32" t="str"/>
      <x:c r="F69" s="32" t="str"/>
      <x:c r="G69" s="32" t="str"/>
      <x:c r="H69" s="32" t="str"/>
      <x:c r="I69" s="32" t="str"/>
      <x:c r="J69" s="32" t="str"/>
      <x:c r="K69" s="32" t="str"/>
      <x:c r="L69" s="32" t="str"/>
      <x:c r="M69" s="32" t="str">
        <x:f>IFERROR(AVERAGE(E69:L69),"")</x:f>
      </x:c>
      <x:c r="N69" s="32" t="n">
        <x:f>IFERROR(MAX(E69:L69),"")</x:f>
        <x:v>0</x:v>
      </x:c>
      <x:c r="O69" s="32" t="str">
        <x:f>IF(N69="","",INDEX($E$6:$L$6,1,MATCH(N69,E69:L69,0)))</x:f>
      </x:c>
    </x:row>
    <x:row r="70">
      <x:c r="A70" s="32" t="str">
        <x:v>P64</x:v>
      </x:c>
      <x:c r="B70" s="32" t="str"/>
      <x:c r="C70" s="32" t="str"/>
      <x:c r="D70" s="32" t="str"/>
      <x:c r="E70" s="32" t="str"/>
      <x:c r="F70" s="32" t="str"/>
      <x:c r="G70" s="32" t="str"/>
      <x:c r="H70" s="32" t="str"/>
      <x:c r="I70" s="32" t="str"/>
      <x:c r="J70" s="32" t="str"/>
      <x:c r="K70" s="32" t="str"/>
      <x:c r="L70" s="32" t="str"/>
      <x:c r="M70" s="32" t="str">
        <x:f>IFERROR(AVERAGE(E70:L70),"")</x:f>
      </x:c>
      <x:c r="N70" s="32" t="n">
        <x:f>IFERROR(MAX(E70:L70),"")</x:f>
        <x:v>0</x:v>
      </x:c>
      <x:c r="O70" s="32" t="str">
        <x:f>IF(N70="","",INDEX($E$6:$L$6,1,MATCH(N70,E70:L70,0)))</x:f>
      </x:c>
    </x:row>
    <x:row r="71">
      <x:c r="A71" s="32" t="str">
        <x:v>P65</x:v>
      </x:c>
      <x:c r="B71" s="32" t="str"/>
      <x:c r="C71" s="32" t="str"/>
      <x:c r="D71" s="32" t="str"/>
      <x:c r="E71" s="32" t="str"/>
      <x:c r="F71" s="32" t="str"/>
      <x:c r="G71" s="32" t="str"/>
      <x:c r="H71" s="32" t="str"/>
      <x:c r="I71" s="32" t="str"/>
      <x:c r="J71" s="32" t="str"/>
      <x:c r="K71" s="32" t="str"/>
      <x:c r="L71" s="32" t="str"/>
      <x:c r="M71" s="32" t="str">
        <x:f>IFERROR(AVERAGE(E71:L71),"")</x:f>
      </x:c>
      <x:c r="N71" s="32" t="n">
        <x:f>IFERROR(MAX(E71:L71),"")</x:f>
        <x:v>0</x:v>
      </x:c>
      <x:c r="O71" s="32" t="str">
        <x:f>IF(N71="","",INDEX($E$6:$L$6,1,MATCH(N71,E71:L71,0)))</x:f>
      </x:c>
    </x:row>
    <x:row r="72">
      <x:c r="A72" s="32" t="str">
        <x:v>P66</x:v>
      </x:c>
      <x:c r="B72" s="32" t="str"/>
      <x:c r="C72" s="32" t="str"/>
      <x:c r="D72" s="32" t="str"/>
      <x:c r="E72" s="32" t="str"/>
      <x:c r="F72" s="32" t="str"/>
      <x:c r="G72" s="32" t="str"/>
      <x:c r="H72" s="32" t="str"/>
      <x:c r="I72" s="32" t="str"/>
      <x:c r="J72" s="32" t="str"/>
      <x:c r="K72" s="32" t="str"/>
      <x:c r="L72" s="32" t="str"/>
      <x:c r="M72" s="32" t="str">
        <x:f>IFERROR(AVERAGE(E72:L72),"")</x:f>
      </x:c>
      <x:c r="N72" s="32" t="n">
        <x:f>IFERROR(MAX(E72:L72),"")</x:f>
        <x:v>0</x:v>
      </x:c>
      <x:c r="O72" s="32" t="str">
        <x:f>IF(N72="","",INDEX($E$6:$L$6,1,MATCH(N72,E72:L72,0)))</x:f>
      </x:c>
    </x:row>
    <x:row r="73">
      <x:c r="A73" s="32" t="str">
        <x:v>P67</x:v>
      </x:c>
      <x:c r="B73" s="32" t="str"/>
      <x:c r="C73" s="32" t="str"/>
      <x:c r="D73" s="32" t="str"/>
      <x:c r="E73" s="32" t="str"/>
      <x:c r="F73" s="32" t="str"/>
      <x:c r="G73" s="32" t="str"/>
      <x:c r="H73" s="32" t="str"/>
      <x:c r="I73" s="32" t="str"/>
      <x:c r="J73" s="32" t="str"/>
      <x:c r="K73" s="32" t="str"/>
      <x:c r="L73" s="32" t="str"/>
      <x:c r="M73" s="32" t="str">
        <x:f>IFERROR(AVERAGE(E73:L73),"")</x:f>
      </x:c>
      <x:c r="N73" s="32" t="n">
        <x:f>IFERROR(MAX(E73:L73),"")</x:f>
        <x:v>0</x:v>
      </x:c>
      <x:c r="O73" s="32" t="str">
        <x:f>IF(N73="","",INDEX($E$6:$L$6,1,MATCH(N73,E73:L73,0)))</x:f>
      </x:c>
    </x:row>
    <x:row r="74">
      <x:c r="A74" s="32" t="str">
        <x:v>P68</x:v>
      </x:c>
      <x:c r="B74" s="32" t="str"/>
      <x:c r="C74" s="32" t="str"/>
      <x:c r="D74" s="32" t="str"/>
      <x:c r="E74" s="32" t="str"/>
      <x:c r="F74" s="32" t="str"/>
      <x:c r="G74" s="32" t="str"/>
      <x:c r="H74" s="32" t="str"/>
      <x:c r="I74" s="32" t="str"/>
      <x:c r="J74" s="32" t="str"/>
      <x:c r="K74" s="32" t="str"/>
      <x:c r="L74" s="32" t="str"/>
      <x:c r="M74" s="32" t="str">
        <x:f>IFERROR(AVERAGE(E74:L74),"")</x:f>
      </x:c>
      <x:c r="N74" s="32" t="n">
        <x:f>IFERROR(MAX(E74:L74),"")</x:f>
        <x:v>0</x:v>
      </x:c>
      <x:c r="O74" s="32" t="str">
        <x:f>IF(N74="","",INDEX($E$6:$L$6,1,MATCH(N74,E74:L74,0)))</x:f>
      </x:c>
    </x:row>
    <x:row r="75">
      <x:c r="A75" s="32" t="str">
        <x:v>P69</x:v>
      </x:c>
      <x:c r="B75" s="32" t="str"/>
      <x:c r="C75" s="32" t="str"/>
      <x:c r="D75" s="32" t="str"/>
      <x:c r="E75" s="32" t="str"/>
      <x:c r="F75" s="32" t="str"/>
      <x:c r="G75" s="32" t="str"/>
      <x:c r="H75" s="32" t="str"/>
      <x:c r="I75" s="32" t="str"/>
      <x:c r="J75" s="32" t="str"/>
      <x:c r="K75" s="32" t="str"/>
      <x:c r="L75" s="32" t="str"/>
      <x:c r="M75" s="32" t="str">
        <x:f>IFERROR(AVERAGE(E75:L75),"")</x:f>
      </x:c>
      <x:c r="N75" s="32" t="n">
        <x:f>IFERROR(MAX(E75:L75),"")</x:f>
        <x:v>0</x:v>
      </x:c>
      <x:c r="O75" s="32" t="str">
        <x:f>IF(N75="","",INDEX($E$6:$L$6,1,MATCH(N75,E75:L75,0)))</x:f>
      </x:c>
    </x:row>
    <x:row r="76">
      <x:c r="A76" s="32" t="str">
        <x:v>P70</x:v>
      </x:c>
      <x:c r="B76" s="32" t="str"/>
      <x:c r="C76" s="32" t="str"/>
      <x:c r="D76" s="32" t="str"/>
      <x:c r="E76" s="32" t="str"/>
      <x:c r="F76" s="32" t="str"/>
      <x:c r="G76" s="32" t="str"/>
      <x:c r="H76" s="32" t="str"/>
      <x:c r="I76" s="32" t="str"/>
      <x:c r="J76" s="32" t="str"/>
      <x:c r="K76" s="32" t="str"/>
      <x:c r="L76" s="32" t="str"/>
      <x:c r="M76" s="32" t="str">
        <x:f>IFERROR(AVERAGE(E76:L76),"")</x:f>
      </x:c>
      <x:c r="N76" s="32" t="n">
        <x:f>IFERROR(MAX(E76:L76),"")</x:f>
        <x:v>0</x:v>
      </x:c>
      <x:c r="O76" s="32" t="str">
        <x:f>IF(N76="","",INDEX($E$6:$L$6,1,MATCH(N76,E76:L76,0)))</x:f>
      </x:c>
    </x:row>
    <x:row r="77">
      <x:c r="A77" s="32" t="str">
        <x:v>P71</x:v>
      </x:c>
      <x:c r="B77" s="32" t="str"/>
      <x:c r="C77" s="32" t="str"/>
      <x:c r="D77" s="32" t="str"/>
      <x:c r="E77" s="32" t="str"/>
      <x:c r="F77" s="32" t="str"/>
      <x:c r="G77" s="32" t="str"/>
      <x:c r="H77" s="32" t="str"/>
      <x:c r="I77" s="32" t="str"/>
      <x:c r="J77" s="32" t="str"/>
      <x:c r="K77" s="32" t="str"/>
      <x:c r="L77" s="32" t="str"/>
      <x:c r="M77" s="32" t="str">
        <x:f>IFERROR(AVERAGE(E77:L77),"")</x:f>
      </x:c>
      <x:c r="N77" s="32" t="n">
        <x:f>IFERROR(MAX(E77:L77),"")</x:f>
        <x:v>0</x:v>
      </x:c>
      <x:c r="O77" s="32" t="str">
        <x:f>IF(N77="","",INDEX($E$6:$L$6,1,MATCH(N77,E77:L77,0)))</x:f>
      </x:c>
    </x:row>
    <x:row r="78">
      <x:c r="A78" s="32" t="str">
        <x:v>P72</x:v>
      </x:c>
      <x:c r="B78" s="32" t="str"/>
      <x:c r="C78" s="32" t="str"/>
      <x:c r="D78" s="32" t="str"/>
      <x:c r="E78" s="32" t="str"/>
      <x:c r="F78" s="32" t="str"/>
      <x:c r="G78" s="32" t="str"/>
      <x:c r="H78" s="32" t="str"/>
      <x:c r="I78" s="32" t="str"/>
      <x:c r="J78" s="32" t="str"/>
      <x:c r="K78" s="32" t="str"/>
      <x:c r="L78" s="32" t="str"/>
      <x:c r="M78" s="32" t="str">
        <x:f>IFERROR(AVERAGE(E78:L78),"")</x:f>
      </x:c>
      <x:c r="N78" s="32" t="n">
        <x:f>IFERROR(MAX(E78:L78),"")</x:f>
        <x:v>0</x:v>
      </x:c>
      <x:c r="O78" s="32" t="str">
        <x:f>IF(N78="","",INDEX($E$6:$L$6,1,MATCH(N78,E78:L78,0)))</x:f>
      </x:c>
    </x:row>
    <x:row r="79">
      <x:c r="A79" s="32" t="str">
        <x:v>P73</x:v>
      </x:c>
      <x:c r="B79" s="32" t="str"/>
      <x:c r="C79" s="32" t="str"/>
      <x:c r="D79" s="32" t="str"/>
      <x:c r="E79" s="32" t="str"/>
      <x:c r="F79" s="32" t="str"/>
      <x:c r="G79" s="32" t="str"/>
      <x:c r="H79" s="32" t="str"/>
      <x:c r="I79" s="32" t="str"/>
      <x:c r="J79" s="32" t="str"/>
      <x:c r="K79" s="32" t="str"/>
      <x:c r="L79" s="32" t="str"/>
      <x:c r="M79" s="32" t="str">
        <x:f>IFERROR(AVERAGE(E79:L79),"")</x:f>
      </x:c>
      <x:c r="N79" s="32" t="n">
        <x:f>IFERROR(MAX(E79:L79),"")</x:f>
        <x:v>0</x:v>
      </x:c>
      <x:c r="O79" s="32" t="str">
        <x:f>IF(N79="","",INDEX($E$6:$L$6,1,MATCH(N79,E79:L79,0)))</x:f>
      </x:c>
    </x:row>
    <x:row r="80">
      <x:c r="A80" s="32" t="str">
        <x:v>P74</x:v>
      </x:c>
      <x:c r="B80" s="32" t="str"/>
      <x:c r="C80" s="32" t="str"/>
      <x:c r="D80" s="32" t="str"/>
      <x:c r="E80" s="32" t="str"/>
      <x:c r="F80" s="32" t="str"/>
      <x:c r="G80" s="32" t="str"/>
      <x:c r="H80" s="32" t="str"/>
      <x:c r="I80" s="32" t="str"/>
      <x:c r="J80" s="32" t="str"/>
      <x:c r="K80" s="32" t="str"/>
      <x:c r="L80" s="32" t="str"/>
      <x:c r="M80" s="32" t="str">
        <x:f>IFERROR(AVERAGE(E80:L80),"")</x:f>
      </x:c>
      <x:c r="N80" s="32" t="n">
        <x:f>IFERROR(MAX(E80:L80),"")</x:f>
        <x:v>0</x:v>
      </x:c>
      <x:c r="O80" s="32" t="str">
        <x:f>IF(N80="","",INDEX($E$6:$L$6,1,MATCH(N80,E80:L80,0)))</x:f>
      </x:c>
    </x:row>
    <x:row r="81">
      <x:c r="A81" s="32" t="str">
        <x:v>P75</x:v>
      </x:c>
      <x:c r="B81" s="32" t="str"/>
      <x:c r="C81" s="32" t="str"/>
      <x:c r="D81" s="32" t="str"/>
      <x:c r="E81" s="32" t="str"/>
      <x:c r="F81" s="32" t="str"/>
      <x:c r="G81" s="32" t="str"/>
      <x:c r="H81" s="32" t="str"/>
      <x:c r="I81" s="32" t="str"/>
      <x:c r="J81" s="32" t="str"/>
      <x:c r="K81" s="32" t="str"/>
      <x:c r="L81" s="32" t="str"/>
      <x:c r="M81" s="32" t="str">
        <x:f>IFERROR(AVERAGE(E81:L81),"")</x:f>
      </x:c>
      <x:c r="N81" s="32" t="n">
        <x:f>IFERROR(MAX(E81:L81),"")</x:f>
        <x:v>0</x:v>
      </x:c>
      <x:c r="O81" s="32" t="str">
        <x:f>IF(N81="","",INDEX($E$6:$L$6,1,MATCH(N81,E81:L81,0)))</x:f>
      </x:c>
    </x:row>
    <x:row r="82">
      <x:c r="A82" s="32" t="str">
        <x:v>P76</x:v>
      </x:c>
      <x:c r="B82" s="32" t="str"/>
      <x:c r="C82" s="32" t="str"/>
      <x:c r="D82" s="32" t="str"/>
      <x:c r="E82" s="32" t="str"/>
      <x:c r="F82" s="32" t="str"/>
      <x:c r="G82" s="32" t="str"/>
      <x:c r="H82" s="32" t="str"/>
      <x:c r="I82" s="32" t="str"/>
      <x:c r="J82" s="32" t="str"/>
      <x:c r="K82" s="32" t="str"/>
      <x:c r="L82" s="32" t="str"/>
      <x:c r="M82" s="32" t="str">
        <x:f>IFERROR(AVERAGE(E82:L82),"")</x:f>
      </x:c>
      <x:c r="N82" s="32" t="n">
        <x:f>IFERROR(MAX(E82:L82),"")</x:f>
        <x:v>0</x:v>
      </x:c>
      <x:c r="O82" s="32" t="str">
        <x:f>IF(N82="","",INDEX($E$6:$L$6,1,MATCH(N82,E82:L82,0)))</x:f>
      </x:c>
    </x:row>
    <x:row r="83">
      <x:c r="A83" s="32" t="str">
        <x:v>P77</x:v>
      </x:c>
      <x:c r="B83" s="32" t="str"/>
      <x:c r="C83" s="32" t="str"/>
      <x:c r="D83" s="32" t="str"/>
      <x:c r="E83" s="32" t="str"/>
      <x:c r="F83" s="32" t="str"/>
      <x:c r="G83" s="32" t="str"/>
      <x:c r="H83" s="32" t="str"/>
      <x:c r="I83" s="32" t="str"/>
      <x:c r="J83" s="32" t="str"/>
      <x:c r="K83" s="32" t="str"/>
      <x:c r="L83" s="32" t="str"/>
      <x:c r="M83" s="32" t="str">
        <x:f>IFERROR(AVERAGE(E83:L83),"")</x:f>
      </x:c>
      <x:c r="N83" s="32" t="n">
        <x:f>IFERROR(MAX(E83:L83),"")</x:f>
        <x:v>0</x:v>
      </x:c>
      <x:c r="O83" s="32" t="str">
        <x:f>IF(N83="","",INDEX($E$6:$L$6,1,MATCH(N83,E83:L83,0)))</x:f>
      </x:c>
    </x:row>
    <x:row r="84">
      <x:c r="A84" s="32" t="str">
        <x:v>P78</x:v>
      </x:c>
      <x:c r="B84" s="32" t="str"/>
      <x:c r="C84" s="32" t="str"/>
      <x:c r="D84" s="32" t="str"/>
      <x:c r="E84" s="32" t="str"/>
      <x:c r="F84" s="32" t="str"/>
      <x:c r="G84" s="32" t="str"/>
      <x:c r="H84" s="32" t="str"/>
      <x:c r="I84" s="32" t="str"/>
      <x:c r="J84" s="32" t="str"/>
      <x:c r="K84" s="32" t="str"/>
      <x:c r="L84" s="32" t="str"/>
      <x:c r="M84" s="32" t="str">
        <x:f>IFERROR(AVERAGE(E84:L84),"")</x:f>
      </x:c>
      <x:c r="N84" s="32" t="n">
        <x:f>IFERROR(MAX(E84:L84),"")</x:f>
        <x:v>0</x:v>
      </x:c>
      <x:c r="O84" s="32" t="str">
        <x:f>IF(N84="","",INDEX($E$6:$L$6,1,MATCH(N84,E84:L84,0)))</x:f>
      </x:c>
    </x:row>
    <x:row r="85">
      <x:c r="A85" s="32" t="str">
        <x:v>P79</x:v>
      </x:c>
      <x:c r="B85" s="32" t="str"/>
      <x:c r="C85" s="32" t="str"/>
      <x:c r="D85" s="32" t="str"/>
      <x:c r="E85" s="32" t="str"/>
      <x:c r="F85" s="32" t="str"/>
      <x:c r="G85" s="32" t="str"/>
      <x:c r="H85" s="32" t="str"/>
      <x:c r="I85" s="32" t="str"/>
      <x:c r="J85" s="32" t="str"/>
      <x:c r="K85" s="32" t="str"/>
      <x:c r="L85" s="32" t="str"/>
      <x:c r="M85" s="32" t="str">
        <x:f>IFERROR(AVERAGE(E85:L85),"")</x:f>
      </x:c>
      <x:c r="N85" s="32" t="n">
        <x:f>IFERROR(MAX(E85:L85),"")</x:f>
        <x:v>0</x:v>
      </x:c>
      <x:c r="O85" s="32" t="str">
        <x:f>IF(N85="","",INDEX($E$6:$L$6,1,MATCH(N85,E85:L85,0)))</x:f>
      </x:c>
    </x:row>
    <x:row r="86">
      <x:c r="A86" s="32" t="str">
        <x:v>P80</x:v>
      </x:c>
      <x:c r="B86" s="32" t="str"/>
      <x:c r="C86" s="32" t="str"/>
      <x:c r="D86" s="32" t="str"/>
      <x:c r="E86" s="32" t="str"/>
      <x:c r="F86" s="32" t="str"/>
      <x:c r="G86" s="32" t="str"/>
      <x:c r="H86" s="32" t="str"/>
      <x:c r="I86" s="32" t="str"/>
      <x:c r="J86" s="32" t="str"/>
      <x:c r="K86" s="32" t="str"/>
      <x:c r="L86" s="32" t="str"/>
      <x:c r="M86" s="32" t="str">
        <x:f>IFERROR(AVERAGE(E86:L86),"")</x:f>
      </x:c>
      <x:c r="N86" s="32" t="n">
        <x:f>IFERROR(MAX(E86:L86),"")</x:f>
        <x:v>0</x:v>
      </x:c>
      <x:c r="O86" s="32" t="str">
        <x:f>IF(N86="","",INDEX($E$6:$L$6,1,MATCH(N86,E86:L86,0)))</x:f>
      </x:c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</x:row>
    <x:row r="90">
      <x:c r="A90" s="50" t="str">
        <x:v>Итоговый взвешенный балл</x:v>
      </x:c>
      <x:c r="B90" s="50" t="str"/>
      <x:c r="C90" s="50" t="str"/>
      <x:c r="D90" s="50" t="str"/>
      <x:c r="E90" s="50" t="n">
        <x:f>IFERROR(ROUND(SUMPRODUCT($D$7:$D$86,E$7:E$86)/SUMIF(E$7:E$86,"&gt;=0",$D$7:$D$86),2),"")</x:f>
        <x:v>0</x:v>
      </x:c>
      <x:c r="F90" s="50" t="n">
        <x:f>IFERROR(ROUND(SUMPRODUCT($D$7:$D$86,E$7:E$86)/SUMIF(E$7:E$86,"&gt;=0",$D$7:$D$86),2),"")</x:f>
        <x:v>0</x:v>
      </x:c>
      <x:c r="G90" s="50" t="n">
        <x:f>IFERROR(ROUND(SUMPRODUCT($D$7:$D$86,E$7:E$86)/SUMIF(E$7:E$86,"&gt;=0",$D$7:$D$86),2),"")</x:f>
        <x:v>0</x:v>
      </x:c>
      <x:c r="H90" s="50" t="n">
        <x:f>IFERROR(ROUND(SUMPRODUCT($D$7:$D$86,E$7:E$86)/SUMIF(E$7:E$86,"&gt;=0",$D$7:$D$86),2),"")</x:f>
        <x:v>0</x:v>
      </x:c>
      <x:c r="I90" s="50" t="n">
        <x:f>IFERROR(ROUND(SUMPRODUCT($D$7:$D$86,E$7:E$86)/SUMIF(E$7:E$86,"&gt;=0",$D$7:$D$86),2),"")</x:f>
        <x:v>0</x:v>
      </x:c>
      <x:c r="J90" s="50" t="n">
        <x:f>IFERROR(ROUND(SUMPRODUCT($D$7:$D$86,E$7:E$86)/SUMIF(E$7:E$86,"&gt;=0",$D$7:$D$86),2),"")</x:f>
        <x:v>0</x:v>
      </x:c>
      <x:c r="K90" s="50" t="n">
        <x:f>IFERROR(ROUND(SUMPRODUCT($D$7:$D$86,E$7:E$86)/SUMIF(E$7:E$86,"&gt;=0",$D$7:$D$86),2),"")</x:f>
        <x:v>0</x:v>
      </x:c>
      <x:c r="L90" s="50" t="n">
        <x:f>IFERROR(ROUND(SUMPRODUCT($D$7:$D$86,E$7:E$86)/SUMIF(E$7:E$86,"&gt;=0",$D$7:$D$86),2),"")</x:f>
        <x:v>0</x:v>
      </x:c>
      <x:c r="M90" s="32"/>
      <x:c r="N90" s="32"/>
      <x:c r="O90" s="32"/>
    </x:row>
    <x:row r="91">
      <x:c r="A91" s="32" t="str">
        <x:v>Интерпретация</x:v>
      </x:c>
      <x:c r="B91" s="32" t="str"/>
      <x:c r="C91" s="32" t="str"/>
      <x:c r="D91" s="32" t="str"/>
      <x:c r="E91" s="32" t="str">
        <x:f>IF(E90="","",IF(E90&gt;=4.2,"Лидерский уровень",IF(E90&gt;=3.5,"Сильный уровень",IF(E90&gt;=2.5,"Средний уровень","Слабый уровень"))))</x:f>
      </x:c>
      <x:c r="F91" s="32" t="str">
        <x:f>IF(E90="","",IF(E90&gt;=4.2,"Лидерский уровень",IF(E90&gt;=3.5,"Сильный уровень",IF(E90&gt;=2.5,"Средний уровень","Слабый уровень"))))</x:f>
      </x:c>
      <x:c r="G91" s="32" t="str">
        <x:f>IF(E90="","",IF(E90&gt;=4.2,"Лидерский уровень",IF(E90&gt;=3.5,"Сильный уровень",IF(E90&gt;=2.5,"Средний уровень","Слабый уровень"))))</x:f>
      </x:c>
      <x:c r="H91" s="32" t="str">
        <x:f>IF(E90="","",IF(E90&gt;=4.2,"Лидерский уровень",IF(E90&gt;=3.5,"Сильный уровень",IF(E90&gt;=2.5,"Средний уровень","Слабый уровень"))))</x:f>
      </x:c>
      <x:c r="I91" s="32" t="str">
        <x:f>IF(E90="","",IF(E90&gt;=4.2,"Лидерский уровень",IF(E90&gt;=3.5,"Сильный уровень",IF(E90&gt;=2.5,"Средний уровень","Слабый уровень"))))</x:f>
      </x:c>
      <x:c r="J91" s="32" t="str">
        <x:f>IF(E90="","",IF(E90&gt;=4.2,"Лидерский уровень",IF(E90&gt;=3.5,"Сильный уровень",IF(E90&gt;=2.5,"Средний уровень","Слабый уровень"))))</x:f>
      </x:c>
      <x:c r="K91" s="32" t="str">
        <x:f>IF(E90="","",IF(E90&gt;=4.2,"Лидерский уровень",IF(E90&gt;=3.5,"Сильный уровень",IF(E90&gt;=2.5,"Средний уровень","Слабый уровень"))))</x:f>
      </x:c>
      <x:c r="L91" s="32" t="str">
        <x:f>IF(E90="","",IF(E90&gt;=4.2,"Лидерский уровень",IF(E90&gt;=3.5,"Сильный уровень",IF(E90&gt;=2.5,"Средний уровень","Слабый уровень"))))</x:f>
      </x:c>
      <x:c r="M91" s="32"/>
      <x:c r="N91" s="32"/>
      <x:c r="O91" s="32"/>
    </x:row>
  </x:sheetData>
  <x:mergeCells>
    <x:mergeCell ref="A1:O1"/>
    <x:mergeCell ref="A2:O2"/>
  </x:mergeCells>
  <x:conditionalFormatting sqref="E7:L8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type="list" sqref="D7:D86">
      <x:formula1>"1,2,3,4,5"</x:formula1>
    </x:dataValidation>
    <x:dataValidation type="list" sqref="E7:L8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9bc3763a084f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6" hidden="0" customWidth="1"/>
    <x:col min="4" max="4" width="2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42" hidden="0" customWidth="1"/>
    <x:col min="11" max="11" width="34" hidden="0" customWidth="1"/>
    <x:col min="12" max="12" width="34" hidden="0" customWidth="1"/>
  </x:cols>
  <x:sheetData>
    <x:row r="1" ht="32" customHeight="1">
      <x:c r="A1" s="82" t="str">
        <x:v>07. Определение рыночного стандарта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14" t="str">
        <x:v>Лист позволяет отделить обязательную норму рынка от зон дифференциации и спорных признаков.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6" ht="34" customHeight="1">
      <x:c r="A6" s="24" t="str">
        <x:v>ID признака</x:v>
      </x:c>
      <x:c r="B6" s="24" t="str">
        <x:v>Признак / требование</x:v>
      </x:c>
      <x:c r="C6" s="24" t="str">
        <x:v>Источник</x:v>
      </x:c>
      <x:c r="D6" s="24" t="str">
        <x:v>Уровень Левитта</x:v>
      </x:c>
      <x:c r="E6" s="24" t="str">
        <x:v>Категория Кано</x:v>
      </x:c>
      <x:c r="F6" s="24" t="str">
        <x:v>Кол-во конкурентов</x:v>
      </x:c>
      <x:c r="G6" s="24" t="str">
        <x:v>Доля конкурентов</x:v>
      </x:c>
      <x:c r="H6" s="24" t="str">
        <x:v>Средняя сила 0–5</x:v>
      </x:c>
      <x:c r="I6" s="24" t="str">
        <x:v>Статус</x:v>
      </x:c>
      <x:c r="J6" s="24" t="str">
        <x:v>Минимальная формулировка стандарта</x:v>
      </x:c>
      <x:c r="K6" s="24" t="str">
        <x:v>Что проверить дополнительно</x:v>
      </x:c>
      <x:c r="L6" s="24" t="str">
        <x:v>Комментарий</x:v>
      </x:c>
    </x:row>
    <x:row r="7">
      <x:c r="A7" s="32" t="str">
        <x:v>S001</x:v>
      </x:c>
      <x:c r="B7" s="32" t="str"/>
      <x:c r="C7" s="32" t="str"/>
      <x:c r="D7" s="32" t="str"/>
      <x:c r="E7" s="32" t="str"/>
      <x:c r="F7" s="32" t="str"/>
      <x:c r="G7" s="44" t="str">
        <x:f>IF(F7="","",IFERROR(F7/MAX(1,COUNTIF('01_Конкуренты'!$B$7:$B$36,"?*")),""))</x:f>
      </x:c>
      <x:c r="H7" s="32" t="str"/>
      <x:c r="I7" s="32" t="str">
        <x:f>IF(B7="","",IF(OR(E7="Обязательное",E7="Линейное"),IF(G7&gt;=0.6,"Рыночный стандарт",IF(G7&gt;=0.35,"Формирующаяся норма","Проверить необходимость")),IF(E7="Привлекательное",IF(G7&lt;0.5,"Зона дифференциации","Переходит в ожидаемое"),IF(E7="Безразличное","Низкий приоритет",IF(E7="Обратное","Риск отторжения","Требует проверки")))))</x:f>
      </x:c>
      <x:c r="J7" s="32" t="str"/>
      <x:c r="K7" s="32" t="str"/>
      <x:c r="L7" s="32" t="str"/>
    </x:row>
    <x:row r="8">
      <x:c r="A8" s="32" t="str">
        <x:v>S002</x:v>
      </x:c>
      <x:c r="B8" s="32" t="str"/>
      <x:c r="C8" s="32" t="str"/>
      <x:c r="D8" s="32" t="str"/>
      <x:c r="E8" s="32" t="str"/>
      <x:c r="F8" s="32" t="str"/>
      <x:c r="G8" s="44" t="str">
        <x:f>IF(F8="","",IFERROR(F8/MAX(1,COUNTIF('01_Конкуренты'!$B$7:$B$36,"?*")),""))</x:f>
      </x:c>
      <x:c r="H8" s="32" t="str"/>
      <x:c r="I8" s="32" t="str">
        <x:f>IF(B8="","",IF(OR(E8="Обязательное",E8="Линейное"),IF(G8&gt;=0.6,"Рыночный стандарт",IF(G8&gt;=0.35,"Формирующаяся норма","Проверить необходимость")),IF(E8="Привлекательное",IF(G8&lt;0.5,"Зона дифференциации","Переходит в ожидаемое"),IF(E8="Безразличное","Низкий приоритет",IF(E8="Обратное","Риск отторжения","Требует проверки")))))</x:f>
      </x:c>
      <x:c r="J8" s="32" t="str"/>
      <x:c r="K8" s="32" t="str"/>
      <x:c r="L8" s="32" t="str"/>
    </x:row>
    <x:row r="9">
      <x:c r="A9" s="32" t="str">
        <x:v>S003</x:v>
      </x:c>
      <x:c r="B9" s="32" t="str"/>
      <x:c r="C9" s="32" t="str"/>
      <x:c r="D9" s="32" t="str"/>
      <x:c r="E9" s="32" t="str"/>
      <x:c r="F9" s="32" t="str"/>
      <x:c r="G9" s="44" t="str">
        <x:f>IF(F9="","",IFERROR(F9/MAX(1,COUNTIF('01_Конкуренты'!$B$7:$B$36,"?*")),""))</x:f>
      </x:c>
      <x:c r="H9" s="32" t="str"/>
      <x:c r="I9" s="32" t="str">
        <x:f>IF(B9="","",IF(OR(E9="Обязательное",E9="Линейное"),IF(G9&gt;=0.6,"Рыночный стандарт",IF(G9&gt;=0.35,"Формирующаяся норма","Проверить необходимость")),IF(E9="Привлекательное",IF(G9&lt;0.5,"Зона дифференциации","Переходит в ожидаемое"),IF(E9="Безразличное","Низкий приоритет",IF(E9="Обратное","Риск отторжения","Требует проверки")))))</x:f>
      </x:c>
      <x:c r="J9" s="32" t="str"/>
      <x:c r="K9" s="32" t="str"/>
      <x:c r="L9" s="32" t="str"/>
    </x:row>
    <x:row r="10">
      <x:c r="A10" s="32" t="str">
        <x:v>S004</x:v>
      </x:c>
      <x:c r="B10" s="32" t="str"/>
      <x:c r="C10" s="32" t="str"/>
      <x:c r="D10" s="32" t="str"/>
      <x:c r="E10" s="32" t="str"/>
      <x:c r="F10" s="32" t="str"/>
      <x:c r="G10" s="44" t="str">
        <x:f>IF(F10="","",IFERROR(F10/MAX(1,COUNTIF('01_Конкуренты'!$B$7:$B$36,"?*")),""))</x:f>
      </x:c>
      <x:c r="H10" s="32" t="str"/>
      <x:c r="I10" s="32" t="str">
        <x:f>IF(B10="","",IF(OR(E10="Обязательное",E10="Линейное"),IF(G10&gt;=0.6,"Рыночный стандарт",IF(G10&gt;=0.35,"Формирующаяся норма","Проверить необходимость")),IF(E10="Привлекательное",IF(G10&lt;0.5,"Зона дифференциации","Переходит в ожидаемое"),IF(E10="Безразличное","Низкий приоритет",IF(E10="Обратное","Риск отторжения","Требует проверки")))))</x:f>
      </x:c>
      <x:c r="J10" s="32" t="str"/>
      <x:c r="K10" s="32" t="str"/>
      <x:c r="L10" s="32" t="str"/>
    </x:row>
    <x:row r="11">
      <x:c r="A11" s="32" t="str">
        <x:v>S005</x:v>
      </x:c>
      <x:c r="B11" s="32" t="str"/>
      <x:c r="C11" s="32" t="str"/>
      <x:c r="D11" s="32" t="str"/>
      <x:c r="E11" s="32" t="str"/>
      <x:c r="F11" s="32" t="str"/>
      <x:c r="G11" s="44" t="str">
        <x:f>IF(F11="","",IFERROR(F11/MAX(1,COUNTIF('01_Конкуренты'!$B$7:$B$36,"?*")),""))</x:f>
      </x:c>
      <x:c r="H11" s="32" t="str"/>
      <x:c r="I11" s="32" t="str">
        <x:f>IF(B11="","",IF(OR(E11="Обязательное",E11="Линейное"),IF(G11&gt;=0.6,"Рыночный стандарт",IF(G11&gt;=0.35,"Формирующаяся норма","Проверить необходимость")),IF(E11="Привлекательное",IF(G11&lt;0.5,"Зона дифференциации","Переходит в ожидаемое"),IF(E11="Безразличное","Низкий приоритет",IF(E11="Обратное","Риск отторжения","Требует проверки")))))</x:f>
      </x:c>
      <x:c r="J11" s="32" t="str"/>
      <x:c r="K11" s="32" t="str"/>
      <x:c r="L11" s="32" t="str"/>
    </x:row>
    <x:row r="12">
      <x:c r="A12" s="32" t="str">
        <x:v>S006</x:v>
      </x:c>
      <x:c r="B12" s="32" t="str"/>
      <x:c r="C12" s="32" t="str"/>
      <x:c r="D12" s="32" t="str"/>
      <x:c r="E12" s="32" t="str"/>
      <x:c r="F12" s="32" t="str"/>
      <x:c r="G12" s="44" t="str">
        <x:f>IF(F12="","",IFERROR(F12/MAX(1,COUNTIF('01_Конкуренты'!$B$7:$B$36,"?*")),""))</x:f>
      </x:c>
      <x:c r="H12" s="32" t="str"/>
      <x:c r="I12" s="32" t="str">
        <x:f>IF(B12="","",IF(OR(E12="Обязательное",E12="Линейное"),IF(G12&gt;=0.6,"Рыночный стандарт",IF(G12&gt;=0.35,"Формирующаяся норма","Проверить необходимость")),IF(E12="Привлекательное",IF(G12&lt;0.5,"Зона дифференциации","Переходит в ожидаемое"),IF(E12="Безразличное","Низкий приоритет",IF(E12="Обратное","Риск отторжения","Требует проверки")))))</x:f>
      </x:c>
      <x:c r="J12" s="32" t="str"/>
      <x:c r="K12" s="32" t="str"/>
      <x:c r="L12" s="32" t="str"/>
    </x:row>
    <x:row r="13">
      <x:c r="A13" s="32" t="str">
        <x:v>S007</x:v>
      </x:c>
      <x:c r="B13" s="32" t="str"/>
      <x:c r="C13" s="32" t="str"/>
      <x:c r="D13" s="32" t="str"/>
      <x:c r="E13" s="32" t="str"/>
      <x:c r="F13" s="32" t="str"/>
      <x:c r="G13" s="44" t="str">
        <x:f>IF(F13="","",IFERROR(F13/MAX(1,COUNTIF('01_Конкуренты'!$B$7:$B$36,"?*")),""))</x:f>
      </x:c>
      <x:c r="H13" s="32" t="str"/>
      <x:c r="I13" s="32" t="str">
        <x:f>IF(B13="","",IF(OR(E13="Обязательное",E13="Линейное"),IF(G13&gt;=0.6,"Рыночный стандарт",IF(G13&gt;=0.35,"Формирующаяся норма","Проверить необходимость")),IF(E13="Привлекательное",IF(G13&lt;0.5,"Зона дифференциации","Переходит в ожидаемое"),IF(E13="Безразличное","Низкий приоритет",IF(E13="Обратное","Риск отторжения","Требует проверки")))))</x:f>
      </x:c>
      <x:c r="J13" s="32" t="str"/>
      <x:c r="K13" s="32" t="str"/>
      <x:c r="L13" s="32" t="str"/>
    </x:row>
    <x:row r="14">
      <x:c r="A14" s="32" t="str">
        <x:v>S008</x:v>
      </x:c>
      <x:c r="B14" s="32" t="str"/>
      <x:c r="C14" s="32" t="str"/>
      <x:c r="D14" s="32" t="str"/>
      <x:c r="E14" s="32" t="str"/>
      <x:c r="F14" s="32" t="str"/>
      <x:c r="G14" s="44" t="str">
        <x:f>IF(F14="","",IFERROR(F14/MAX(1,COUNTIF('01_Конкуренты'!$B$7:$B$36,"?*")),""))</x:f>
      </x:c>
      <x:c r="H14" s="32" t="str"/>
      <x:c r="I14" s="32" t="str">
        <x:f>IF(B14="","",IF(OR(E14="Обязательное",E14="Линейное"),IF(G14&gt;=0.6,"Рыночный стандарт",IF(G14&gt;=0.35,"Формирующаяся норма","Проверить необходимость")),IF(E14="Привлекательное",IF(G14&lt;0.5,"Зона дифференциации","Переходит в ожидаемое"),IF(E14="Безразличное","Низкий приоритет",IF(E14="Обратное","Риск отторжения","Требует проверки")))))</x:f>
      </x:c>
      <x:c r="J14" s="32" t="str"/>
      <x:c r="K14" s="32" t="str"/>
      <x:c r="L14" s="32" t="str"/>
    </x:row>
    <x:row r="15">
      <x:c r="A15" s="32" t="str">
        <x:v>S009</x:v>
      </x:c>
      <x:c r="B15" s="32" t="str"/>
      <x:c r="C15" s="32" t="str"/>
      <x:c r="D15" s="32" t="str"/>
      <x:c r="E15" s="32" t="str"/>
      <x:c r="F15" s="32" t="str"/>
      <x:c r="G15" s="44" t="str">
        <x:f>IF(F15="","",IFERROR(F15/MAX(1,COUNTIF('01_Конкуренты'!$B$7:$B$36,"?*")),""))</x:f>
      </x:c>
      <x:c r="H15" s="32" t="str"/>
      <x:c r="I15" s="32" t="str">
        <x:f>IF(B15="","",IF(OR(E15="Обязательное",E15="Линейное"),IF(G15&gt;=0.6,"Рыночный стандарт",IF(G15&gt;=0.35,"Формирующаяся норма","Проверить необходимость")),IF(E15="Привлекательное",IF(G15&lt;0.5,"Зона дифференциации","Переходит в ожидаемое"),IF(E15="Безразличное","Низкий приоритет",IF(E15="Обратное","Риск отторжения","Требует проверки")))))</x:f>
      </x:c>
      <x:c r="J15" s="32" t="str"/>
      <x:c r="K15" s="32" t="str"/>
      <x:c r="L15" s="32" t="str"/>
    </x:row>
    <x:row r="16">
      <x:c r="A16" s="32" t="str">
        <x:v>S010</x:v>
      </x:c>
      <x:c r="B16" s="32" t="str"/>
      <x:c r="C16" s="32" t="str"/>
      <x:c r="D16" s="32" t="str"/>
      <x:c r="E16" s="32" t="str"/>
      <x:c r="F16" s="32" t="str"/>
      <x:c r="G16" s="44" t="str">
        <x:f>IF(F16="","",IFERROR(F16/MAX(1,COUNTIF('01_Конкуренты'!$B$7:$B$36,"?*")),""))</x:f>
      </x:c>
      <x:c r="H16" s="32" t="str"/>
      <x:c r="I16" s="32" t="str">
        <x:f>IF(B16="","",IF(OR(E16="Обязательное",E16="Линейное"),IF(G16&gt;=0.6,"Рыночный стандарт",IF(G16&gt;=0.35,"Формирующаяся норма","Проверить необходимость")),IF(E16="Привлекательное",IF(G16&lt;0.5,"Зона дифференциации","Переходит в ожидаемое"),IF(E16="Безразличное","Низкий приоритет",IF(E16="Обратное","Риск отторжения","Требует проверки")))))</x:f>
      </x:c>
      <x:c r="J16" s="32" t="str"/>
      <x:c r="K16" s="32" t="str"/>
      <x:c r="L16" s="32" t="str"/>
    </x:row>
    <x:row r="17">
      <x:c r="A17" s="32" t="str">
        <x:v>S011</x:v>
      </x:c>
      <x:c r="B17" s="32" t="str"/>
      <x:c r="C17" s="32" t="str"/>
      <x:c r="D17" s="32" t="str"/>
      <x:c r="E17" s="32" t="str"/>
      <x:c r="F17" s="32" t="str"/>
      <x:c r="G17" s="44" t="str">
        <x:f>IF(F17="","",IFERROR(F17/MAX(1,COUNTIF('01_Конкуренты'!$B$7:$B$36,"?*")),""))</x:f>
      </x:c>
      <x:c r="H17" s="32" t="str"/>
      <x:c r="I17" s="32" t="str">
        <x:f>IF(B17="","",IF(OR(E17="Обязательное",E17="Линейное"),IF(G17&gt;=0.6,"Рыночный стандарт",IF(G17&gt;=0.35,"Формирующаяся норма","Проверить необходимость")),IF(E17="Привлекательное",IF(G17&lt;0.5,"Зона дифференциации","Переходит в ожидаемое"),IF(E17="Безразличное","Низкий приоритет",IF(E17="Обратное","Риск отторжения","Требует проверки")))))</x:f>
      </x:c>
      <x:c r="J17" s="32" t="str"/>
      <x:c r="K17" s="32" t="str"/>
      <x:c r="L17" s="32" t="str"/>
    </x:row>
    <x:row r="18">
      <x:c r="A18" s="32" t="str">
        <x:v>S012</x:v>
      </x:c>
      <x:c r="B18" s="32" t="str"/>
      <x:c r="C18" s="32" t="str"/>
      <x:c r="D18" s="32" t="str"/>
      <x:c r="E18" s="32" t="str"/>
      <x:c r="F18" s="32" t="str"/>
      <x:c r="G18" s="44" t="str">
        <x:f>IF(F18="","",IFERROR(F18/MAX(1,COUNTIF('01_Конкуренты'!$B$7:$B$36,"?*")),""))</x:f>
      </x:c>
      <x:c r="H18" s="32" t="str"/>
      <x:c r="I18" s="32" t="str">
        <x:f>IF(B18="","",IF(OR(E18="Обязательное",E18="Линейное"),IF(G18&gt;=0.6,"Рыночный стандарт",IF(G18&gt;=0.35,"Формирующаяся норма","Проверить необходимость")),IF(E18="Привлекательное",IF(G18&lt;0.5,"Зона дифференциации","Переходит в ожидаемое"),IF(E18="Безразличное","Низкий приоритет",IF(E18="Обратное","Риск отторжения","Требует проверки")))))</x:f>
      </x:c>
      <x:c r="J18" s="32" t="str"/>
      <x:c r="K18" s="32" t="str"/>
      <x:c r="L18" s="32" t="str"/>
    </x:row>
    <x:row r="19">
      <x:c r="A19" s="32" t="str">
        <x:v>S013</x:v>
      </x:c>
      <x:c r="B19" s="32" t="str"/>
      <x:c r="C19" s="32" t="str"/>
      <x:c r="D19" s="32" t="str"/>
      <x:c r="E19" s="32" t="str"/>
      <x:c r="F19" s="32" t="str"/>
      <x:c r="G19" s="44" t="str">
        <x:f>IF(F19="","",IFERROR(F19/MAX(1,COUNTIF('01_Конкуренты'!$B$7:$B$36,"?*")),""))</x:f>
      </x:c>
      <x:c r="H19" s="32" t="str"/>
      <x:c r="I19" s="32" t="str">
        <x:f>IF(B19="","",IF(OR(E19="Обязательное",E19="Линейное"),IF(G19&gt;=0.6,"Рыночный стандарт",IF(G19&gt;=0.35,"Формирующаяся норма","Проверить необходимость")),IF(E19="Привлекательное",IF(G19&lt;0.5,"Зона дифференциации","Переходит в ожидаемое"),IF(E19="Безразличное","Низкий приоритет",IF(E19="Обратное","Риск отторжения","Требует проверки")))))</x:f>
      </x:c>
      <x:c r="J19" s="32" t="str"/>
      <x:c r="K19" s="32" t="str"/>
      <x:c r="L19" s="32" t="str"/>
    </x:row>
    <x:row r="20">
      <x:c r="A20" s="32" t="str">
        <x:v>S014</x:v>
      </x:c>
      <x:c r="B20" s="32" t="str"/>
      <x:c r="C20" s="32" t="str"/>
      <x:c r="D20" s="32" t="str"/>
      <x:c r="E20" s="32" t="str"/>
      <x:c r="F20" s="32" t="str"/>
      <x:c r="G20" s="44" t="str">
        <x:f>IF(F20="","",IFERROR(F20/MAX(1,COUNTIF('01_Конкуренты'!$B$7:$B$36,"?*")),""))</x:f>
      </x:c>
      <x:c r="H20" s="32" t="str"/>
      <x:c r="I20" s="32" t="str">
        <x:f>IF(B20="","",IF(OR(E20="Обязательное",E20="Линейное"),IF(G20&gt;=0.6,"Рыночный стандарт",IF(G20&gt;=0.35,"Формирующаяся норма","Проверить необходимость")),IF(E20="Привлекательное",IF(G20&lt;0.5,"Зона дифференциации","Переходит в ожидаемое"),IF(E20="Безразличное","Низкий приоритет",IF(E20="Обратное","Риск отторжения","Требует проверки")))))</x:f>
      </x:c>
      <x:c r="J20" s="32" t="str"/>
      <x:c r="K20" s="32" t="str"/>
      <x:c r="L20" s="32" t="str"/>
    </x:row>
    <x:row r="21">
      <x:c r="A21" s="32" t="str">
        <x:v>S015</x:v>
      </x:c>
      <x:c r="B21" s="32" t="str"/>
      <x:c r="C21" s="32" t="str"/>
      <x:c r="D21" s="32" t="str"/>
      <x:c r="E21" s="32" t="str"/>
      <x:c r="F21" s="32" t="str"/>
      <x:c r="G21" s="44" t="str">
        <x:f>IF(F21="","",IFERROR(F21/MAX(1,COUNTIF('01_Конкуренты'!$B$7:$B$36,"?*")),""))</x:f>
      </x:c>
      <x:c r="H21" s="32" t="str"/>
      <x:c r="I21" s="32" t="str">
        <x:f>IF(B21="","",IF(OR(E21="Обязательное",E21="Линейное"),IF(G21&gt;=0.6,"Рыночный стандарт",IF(G21&gt;=0.35,"Формирующаяся норма","Проверить необходимость")),IF(E21="Привлекательное",IF(G21&lt;0.5,"Зона дифференциации","Переходит в ожидаемое"),IF(E21="Безразличное","Низкий приоритет",IF(E21="Обратное","Риск отторжения","Требует проверки")))))</x:f>
      </x:c>
      <x:c r="J21" s="32" t="str"/>
      <x:c r="K21" s="32" t="str"/>
      <x:c r="L21" s="32" t="str"/>
    </x:row>
    <x:row r="22">
      <x:c r="A22" s="32" t="str">
        <x:v>S016</x:v>
      </x:c>
      <x:c r="B22" s="32" t="str"/>
      <x:c r="C22" s="32" t="str"/>
      <x:c r="D22" s="32" t="str"/>
      <x:c r="E22" s="32" t="str"/>
      <x:c r="F22" s="32" t="str"/>
      <x:c r="G22" s="44" t="str">
        <x:f>IF(F22="","",IFERROR(F22/MAX(1,COUNTIF('01_Конкуренты'!$B$7:$B$36,"?*")),""))</x:f>
      </x:c>
      <x:c r="H22" s="32" t="str"/>
      <x:c r="I22" s="32" t="str">
        <x:f>IF(B22="","",IF(OR(E22="Обязательное",E22="Линейное"),IF(G22&gt;=0.6,"Рыночный стандарт",IF(G22&gt;=0.35,"Формирующаяся норма","Проверить необходимость")),IF(E22="Привлекательное",IF(G22&lt;0.5,"Зона дифференциации","Переходит в ожидаемое"),IF(E22="Безразличное","Низкий приоритет",IF(E22="Обратное","Риск отторжения","Требует проверки")))))</x:f>
      </x:c>
      <x:c r="J22" s="32" t="str"/>
      <x:c r="K22" s="32" t="str"/>
      <x:c r="L22" s="32" t="str"/>
    </x:row>
    <x:row r="23">
      <x:c r="A23" s="32" t="str">
        <x:v>S017</x:v>
      </x:c>
      <x:c r="B23" s="32" t="str"/>
      <x:c r="C23" s="32" t="str"/>
      <x:c r="D23" s="32" t="str"/>
      <x:c r="E23" s="32" t="str"/>
      <x:c r="F23" s="32" t="str"/>
      <x:c r="G23" s="44" t="str">
        <x:f>IF(F23="","",IFERROR(F23/MAX(1,COUNTIF('01_Конкуренты'!$B$7:$B$36,"?*")),""))</x:f>
      </x:c>
      <x:c r="H23" s="32" t="str"/>
      <x:c r="I23" s="32" t="str">
        <x:f>IF(B23="","",IF(OR(E23="Обязательное",E23="Линейное"),IF(G23&gt;=0.6,"Рыночный стандарт",IF(G23&gt;=0.35,"Формирующаяся норма","Проверить необходимость")),IF(E23="Привлекательное",IF(G23&lt;0.5,"Зона дифференциации","Переходит в ожидаемое"),IF(E23="Безразличное","Низкий приоритет",IF(E23="Обратное","Риск отторжения","Требует проверки")))))</x:f>
      </x:c>
      <x:c r="J23" s="32" t="str"/>
      <x:c r="K23" s="32" t="str"/>
      <x:c r="L23" s="32" t="str"/>
    </x:row>
    <x:row r="24">
      <x:c r="A24" s="32" t="str">
        <x:v>S018</x:v>
      </x:c>
      <x:c r="B24" s="32" t="str"/>
      <x:c r="C24" s="32" t="str"/>
      <x:c r="D24" s="32" t="str"/>
      <x:c r="E24" s="32" t="str"/>
      <x:c r="F24" s="32" t="str"/>
      <x:c r="G24" s="44" t="str">
        <x:f>IF(F24="","",IFERROR(F24/MAX(1,COUNTIF('01_Конкуренты'!$B$7:$B$36,"?*")),""))</x:f>
      </x:c>
      <x:c r="H24" s="32" t="str"/>
      <x:c r="I24" s="32" t="str">
        <x:f>IF(B24="","",IF(OR(E24="Обязательное",E24="Линейное"),IF(G24&gt;=0.6,"Рыночный стандарт",IF(G24&gt;=0.35,"Формирующаяся норма","Проверить необходимость")),IF(E24="Привлекательное",IF(G24&lt;0.5,"Зона дифференциации","Переходит в ожидаемое"),IF(E24="Безразличное","Низкий приоритет",IF(E24="Обратное","Риск отторжения","Требует проверки")))))</x:f>
      </x:c>
      <x:c r="J24" s="32" t="str"/>
      <x:c r="K24" s="32" t="str"/>
      <x:c r="L24" s="32" t="str"/>
    </x:row>
    <x:row r="25">
      <x:c r="A25" s="32" t="str">
        <x:v>S019</x:v>
      </x:c>
      <x:c r="B25" s="32" t="str"/>
      <x:c r="C25" s="32" t="str"/>
      <x:c r="D25" s="32" t="str"/>
      <x:c r="E25" s="32" t="str"/>
      <x:c r="F25" s="32" t="str"/>
      <x:c r="G25" s="44" t="str">
        <x:f>IF(F25="","",IFERROR(F25/MAX(1,COUNTIF('01_Конкуренты'!$B$7:$B$36,"?*")),""))</x:f>
      </x:c>
      <x:c r="H25" s="32" t="str"/>
      <x:c r="I25" s="32" t="str">
        <x:f>IF(B25="","",IF(OR(E25="Обязательное",E25="Линейное"),IF(G25&gt;=0.6,"Рыночный стандарт",IF(G25&gt;=0.35,"Формирующаяся норма","Проверить необходимость")),IF(E25="Привлекательное",IF(G25&lt;0.5,"Зона дифференциации","Переходит в ожидаемое"),IF(E25="Безразличное","Низкий приоритет",IF(E25="Обратное","Риск отторжения","Требует проверки")))))</x:f>
      </x:c>
      <x:c r="J25" s="32" t="str"/>
      <x:c r="K25" s="32" t="str"/>
      <x:c r="L25" s="32" t="str"/>
    </x:row>
    <x:row r="26">
      <x:c r="A26" s="32" t="str">
        <x:v>S020</x:v>
      </x:c>
      <x:c r="B26" s="32" t="str"/>
      <x:c r="C26" s="32" t="str"/>
      <x:c r="D26" s="32" t="str"/>
      <x:c r="E26" s="32" t="str"/>
      <x:c r="F26" s="32" t="str"/>
      <x:c r="G26" s="44" t="str">
        <x:f>IF(F26="","",IFERROR(F26/MAX(1,COUNTIF('01_Конкуренты'!$B$7:$B$36,"?*")),""))</x:f>
      </x:c>
      <x:c r="H26" s="32" t="str"/>
      <x:c r="I26" s="32" t="str">
        <x:f>IF(B26="","",IF(OR(E26="Обязательное",E26="Линейное"),IF(G26&gt;=0.6,"Рыночный стандарт",IF(G26&gt;=0.35,"Формирующаяся норма","Проверить необходимость")),IF(E26="Привлекательное",IF(G26&lt;0.5,"Зона дифференциации","Переходит в ожидаемое"),IF(E26="Безразличное","Низкий приоритет",IF(E26="Обратное","Риск отторжения","Требует проверки")))))</x:f>
      </x:c>
      <x:c r="J26" s="32" t="str"/>
      <x:c r="K26" s="32" t="str"/>
      <x:c r="L26" s="32" t="str"/>
    </x:row>
    <x:row r="27">
      <x:c r="A27" s="32" t="str">
        <x:v>S021</x:v>
      </x:c>
      <x:c r="B27" s="32" t="str"/>
      <x:c r="C27" s="32" t="str"/>
      <x:c r="D27" s="32" t="str"/>
      <x:c r="E27" s="32" t="str"/>
      <x:c r="F27" s="32" t="str"/>
      <x:c r="G27" s="44" t="str">
        <x:f>IF(F27="","",IFERROR(F27/MAX(1,COUNTIF('01_Конкуренты'!$B$7:$B$36,"?*")),""))</x:f>
      </x:c>
      <x:c r="H27" s="32" t="str"/>
      <x:c r="I27" s="32" t="str">
        <x:f>IF(B27="","",IF(OR(E27="Обязательное",E27="Линейное"),IF(G27&gt;=0.6,"Рыночный стандарт",IF(G27&gt;=0.35,"Формирующаяся норма","Проверить необходимость")),IF(E27="Привлекательное",IF(G27&lt;0.5,"Зона дифференциации","Переходит в ожидаемое"),IF(E27="Безразличное","Низкий приоритет",IF(E27="Обратное","Риск отторжения","Требует проверки")))))</x:f>
      </x:c>
      <x:c r="J27" s="32" t="str"/>
      <x:c r="K27" s="32" t="str"/>
      <x:c r="L27" s="32" t="str"/>
    </x:row>
    <x:row r="28">
      <x:c r="A28" s="32" t="str">
        <x:v>S022</x:v>
      </x:c>
      <x:c r="B28" s="32" t="str"/>
      <x:c r="C28" s="32" t="str"/>
      <x:c r="D28" s="32" t="str"/>
      <x:c r="E28" s="32" t="str"/>
      <x:c r="F28" s="32" t="str"/>
      <x:c r="G28" s="44" t="str">
        <x:f>IF(F28="","",IFERROR(F28/MAX(1,COUNTIF('01_Конкуренты'!$B$7:$B$36,"?*")),""))</x:f>
      </x:c>
      <x:c r="H28" s="32" t="str"/>
      <x:c r="I28" s="32" t="str">
        <x:f>IF(B28="","",IF(OR(E28="Обязательное",E28="Линейное"),IF(G28&gt;=0.6,"Рыночный стандарт",IF(G28&gt;=0.35,"Формирующаяся норма","Проверить необходимость")),IF(E28="Привлекательное",IF(G28&lt;0.5,"Зона дифференциации","Переходит в ожидаемое"),IF(E28="Безразличное","Низкий приоритет",IF(E28="Обратное","Риск отторжения","Требует проверки")))))</x:f>
      </x:c>
      <x:c r="J28" s="32" t="str"/>
      <x:c r="K28" s="32" t="str"/>
      <x:c r="L28" s="32" t="str"/>
    </x:row>
    <x:row r="29">
      <x:c r="A29" s="32" t="str">
        <x:v>S023</x:v>
      </x:c>
      <x:c r="B29" s="32" t="str"/>
      <x:c r="C29" s="32" t="str"/>
      <x:c r="D29" s="32" t="str"/>
      <x:c r="E29" s="32" t="str"/>
      <x:c r="F29" s="32" t="str"/>
      <x:c r="G29" s="44" t="str">
        <x:f>IF(F29="","",IFERROR(F29/MAX(1,COUNTIF('01_Конкуренты'!$B$7:$B$36,"?*")),""))</x:f>
      </x:c>
      <x:c r="H29" s="32" t="str"/>
      <x:c r="I29" s="32" t="str">
        <x:f>IF(B29="","",IF(OR(E29="Обязательное",E29="Линейное"),IF(G29&gt;=0.6,"Рыночный стандарт",IF(G29&gt;=0.35,"Формирующаяся норма","Проверить необходимость")),IF(E29="Привлекательное",IF(G29&lt;0.5,"Зона дифференциации","Переходит в ожидаемое"),IF(E29="Безразличное","Низкий приоритет",IF(E29="Обратное","Риск отторжения","Требует проверки")))))</x:f>
      </x:c>
      <x:c r="J29" s="32" t="str"/>
      <x:c r="K29" s="32" t="str"/>
      <x:c r="L29" s="32" t="str"/>
    </x:row>
    <x:row r="30">
      <x:c r="A30" s="32" t="str">
        <x:v>S024</x:v>
      </x:c>
      <x:c r="B30" s="32" t="str"/>
      <x:c r="C30" s="32" t="str"/>
      <x:c r="D30" s="32" t="str"/>
      <x:c r="E30" s="32" t="str"/>
      <x:c r="F30" s="32" t="str"/>
      <x:c r="G30" s="44" t="str">
        <x:f>IF(F30="","",IFERROR(F30/MAX(1,COUNTIF('01_Конкуренты'!$B$7:$B$36,"?*")),""))</x:f>
      </x:c>
      <x:c r="H30" s="32" t="str"/>
      <x:c r="I30" s="32" t="str">
        <x:f>IF(B30="","",IF(OR(E30="Обязательное",E30="Линейное"),IF(G30&gt;=0.6,"Рыночный стандарт",IF(G30&gt;=0.35,"Формирующаяся норма","Проверить необходимость")),IF(E30="Привлекательное",IF(G30&lt;0.5,"Зона дифференциации","Переходит в ожидаемое"),IF(E30="Безразличное","Низкий приоритет",IF(E30="Обратное","Риск отторжения","Требует проверки")))))</x:f>
      </x:c>
      <x:c r="J30" s="32" t="str"/>
      <x:c r="K30" s="32" t="str"/>
      <x:c r="L30" s="32" t="str"/>
    </x:row>
    <x:row r="31">
      <x:c r="A31" s="32" t="str">
        <x:v>S025</x:v>
      </x:c>
      <x:c r="B31" s="32" t="str"/>
      <x:c r="C31" s="32" t="str"/>
      <x:c r="D31" s="32" t="str"/>
      <x:c r="E31" s="32" t="str"/>
      <x:c r="F31" s="32" t="str"/>
      <x:c r="G31" s="44" t="str">
        <x:f>IF(F31="","",IFERROR(F31/MAX(1,COUNTIF('01_Конкуренты'!$B$7:$B$36,"?*")),""))</x:f>
      </x:c>
      <x:c r="H31" s="32" t="str"/>
      <x:c r="I31" s="32" t="str">
        <x:f>IF(B31="","",IF(OR(E31="Обязательное",E31="Линейное"),IF(G31&gt;=0.6,"Рыночный стандарт",IF(G31&gt;=0.35,"Формирующаяся норма","Проверить необходимость")),IF(E31="Привлекательное",IF(G31&lt;0.5,"Зона дифференциации","Переходит в ожидаемое"),IF(E31="Безразличное","Низкий приоритет",IF(E31="Обратное","Риск отторжения","Требует проверки")))))</x:f>
      </x:c>
      <x:c r="J31" s="32" t="str"/>
      <x:c r="K31" s="32" t="str"/>
      <x:c r="L31" s="32" t="str"/>
    </x:row>
    <x:row r="32">
      <x:c r="A32" s="32" t="str">
        <x:v>S026</x:v>
      </x:c>
      <x:c r="B32" s="32" t="str"/>
      <x:c r="C32" s="32" t="str"/>
      <x:c r="D32" s="32" t="str"/>
      <x:c r="E32" s="32" t="str"/>
      <x:c r="F32" s="32" t="str"/>
      <x:c r="G32" s="44" t="str">
        <x:f>IF(F32="","",IFERROR(F32/MAX(1,COUNTIF('01_Конкуренты'!$B$7:$B$36,"?*")),""))</x:f>
      </x:c>
      <x:c r="H32" s="32" t="str"/>
      <x:c r="I32" s="32" t="str">
        <x:f>IF(B32="","",IF(OR(E32="Обязательное",E32="Линейное"),IF(G32&gt;=0.6,"Рыночный стандарт",IF(G32&gt;=0.35,"Формирующаяся норма","Проверить необходимость")),IF(E32="Привлекательное",IF(G32&lt;0.5,"Зона дифференциации","Переходит в ожидаемое"),IF(E32="Безразличное","Низкий приоритет",IF(E32="Обратное","Риск отторжения","Требует проверки")))))</x:f>
      </x:c>
      <x:c r="J32" s="32" t="str"/>
      <x:c r="K32" s="32" t="str"/>
      <x:c r="L32" s="32" t="str"/>
    </x:row>
    <x:row r="33">
      <x:c r="A33" s="32" t="str">
        <x:v>S027</x:v>
      </x:c>
      <x:c r="B33" s="32" t="str"/>
      <x:c r="C33" s="32" t="str"/>
      <x:c r="D33" s="32" t="str"/>
      <x:c r="E33" s="32" t="str"/>
      <x:c r="F33" s="32" t="str"/>
      <x:c r="G33" s="44" t="str">
        <x:f>IF(F33="","",IFERROR(F33/MAX(1,COUNTIF('01_Конкуренты'!$B$7:$B$36,"?*")),""))</x:f>
      </x:c>
      <x:c r="H33" s="32" t="str"/>
      <x:c r="I33" s="32" t="str">
        <x:f>IF(B33="","",IF(OR(E33="Обязательное",E33="Линейное"),IF(G33&gt;=0.6,"Рыночный стандарт",IF(G33&gt;=0.35,"Формирующаяся норма","Проверить необходимость")),IF(E33="Привлекательное",IF(G33&lt;0.5,"Зона дифференциации","Переходит в ожидаемое"),IF(E33="Безразличное","Низкий приоритет",IF(E33="Обратное","Риск отторжения","Требует проверки")))))</x:f>
      </x:c>
      <x:c r="J33" s="32" t="str"/>
      <x:c r="K33" s="32" t="str"/>
      <x:c r="L33" s="32" t="str"/>
    </x:row>
    <x:row r="34">
      <x:c r="A34" s="32" t="str">
        <x:v>S028</x:v>
      </x:c>
      <x:c r="B34" s="32" t="str"/>
      <x:c r="C34" s="32" t="str"/>
      <x:c r="D34" s="32" t="str"/>
      <x:c r="E34" s="32" t="str"/>
      <x:c r="F34" s="32" t="str"/>
      <x:c r="G34" s="44" t="str">
        <x:f>IF(F34="","",IFERROR(F34/MAX(1,COUNTIF('01_Конкуренты'!$B$7:$B$36,"?*")),""))</x:f>
      </x:c>
      <x:c r="H34" s="32" t="str"/>
      <x:c r="I34" s="32" t="str">
        <x:f>IF(B34="","",IF(OR(E34="Обязательное",E34="Линейное"),IF(G34&gt;=0.6,"Рыночный стандарт",IF(G34&gt;=0.35,"Формирующаяся норма","Проверить необходимость")),IF(E34="Привлекательное",IF(G34&lt;0.5,"Зона дифференциации","Переходит в ожидаемое"),IF(E34="Безразличное","Низкий приоритет",IF(E34="Обратное","Риск отторжения","Требует проверки")))))</x:f>
      </x:c>
      <x:c r="J34" s="32" t="str"/>
      <x:c r="K34" s="32" t="str"/>
      <x:c r="L34" s="32" t="str"/>
    </x:row>
    <x:row r="35">
      <x:c r="A35" s="32" t="str">
        <x:v>S029</x:v>
      </x:c>
      <x:c r="B35" s="32" t="str"/>
      <x:c r="C35" s="32" t="str"/>
      <x:c r="D35" s="32" t="str"/>
      <x:c r="E35" s="32" t="str"/>
      <x:c r="F35" s="32" t="str"/>
      <x:c r="G35" s="44" t="str">
        <x:f>IF(F35="","",IFERROR(F35/MAX(1,COUNTIF('01_Конкуренты'!$B$7:$B$36,"?*")),""))</x:f>
      </x:c>
      <x:c r="H35" s="32" t="str"/>
      <x:c r="I35" s="32" t="str">
        <x:f>IF(B35="","",IF(OR(E35="Обязательное",E35="Линейное"),IF(G35&gt;=0.6,"Рыночный стандарт",IF(G35&gt;=0.35,"Формирующаяся норма","Проверить необходимость")),IF(E35="Привлекательное",IF(G35&lt;0.5,"Зона дифференциации","Переходит в ожидаемое"),IF(E35="Безразличное","Низкий приоритет",IF(E35="Обратное","Риск отторжения","Требует проверки")))))</x:f>
      </x:c>
      <x:c r="J35" s="32" t="str"/>
      <x:c r="K35" s="32" t="str"/>
      <x:c r="L35" s="32" t="str"/>
    </x:row>
    <x:row r="36">
      <x:c r="A36" s="32" t="str">
        <x:v>S030</x:v>
      </x:c>
      <x:c r="B36" s="32" t="str"/>
      <x:c r="C36" s="32" t="str"/>
      <x:c r="D36" s="32" t="str"/>
      <x:c r="E36" s="32" t="str"/>
      <x:c r="F36" s="32" t="str"/>
      <x:c r="G36" s="44" t="str">
        <x:f>IF(F36="","",IFERROR(F36/MAX(1,COUNTIF('01_Конкуренты'!$B$7:$B$36,"?*")),""))</x:f>
      </x:c>
      <x:c r="H36" s="32" t="str"/>
      <x:c r="I36" s="32" t="str">
        <x:f>IF(B36="","",IF(OR(E36="Обязательное",E36="Линейное"),IF(G36&gt;=0.6,"Рыночный стандарт",IF(G36&gt;=0.35,"Формирующаяся норма","Проверить необходимость")),IF(E36="Привлекательное",IF(G36&lt;0.5,"Зона дифференциации","Переходит в ожидаемое"),IF(E36="Безразличное","Низкий приоритет",IF(E36="Обратное","Риск отторжения","Требует проверки")))))</x:f>
      </x:c>
      <x:c r="J36" s="32" t="str"/>
      <x:c r="K36" s="32" t="str"/>
      <x:c r="L36" s="32" t="str"/>
    </x:row>
    <x:row r="37">
      <x:c r="A37" s="32" t="str">
        <x:v>S031</x:v>
      </x:c>
      <x:c r="B37" s="32" t="str"/>
      <x:c r="C37" s="32" t="str"/>
      <x:c r="D37" s="32" t="str"/>
      <x:c r="E37" s="32" t="str"/>
      <x:c r="F37" s="32" t="str"/>
      <x:c r="G37" s="44" t="str">
        <x:f>IF(F37="","",IFERROR(F37/MAX(1,COUNTIF('01_Конкуренты'!$B$7:$B$36,"?*")),""))</x:f>
      </x:c>
      <x:c r="H37" s="32" t="str"/>
      <x:c r="I37" s="32" t="str">
        <x:f>IF(B37="","",IF(OR(E37="Обязательное",E37="Линейное"),IF(G37&gt;=0.6,"Рыночный стандарт",IF(G37&gt;=0.35,"Формирующаяся норма","Проверить необходимость")),IF(E37="Привлекательное",IF(G37&lt;0.5,"Зона дифференциации","Переходит в ожидаемое"),IF(E37="Безразличное","Низкий приоритет",IF(E37="Обратное","Риск отторжения","Требует проверки")))))</x:f>
      </x:c>
      <x:c r="J37" s="32" t="str"/>
      <x:c r="K37" s="32" t="str"/>
      <x:c r="L37" s="32" t="str"/>
    </x:row>
    <x:row r="38">
      <x:c r="A38" s="32" t="str">
        <x:v>S032</x:v>
      </x:c>
      <x:c r="B38" s="32" t="str"/>
      <x:c r="C38" s="32" t="str"/>
      <x:c r="D38" s="32" t="str"/>
      <x:c r="E38" s="32" t="str"/>
      <x:c r="F38" s="32" t="str"/>
      <x:c r="G38" s="44" t="str">
        <x:f>IF(F38="","",IFERROR(F38/MAX(1,COUNTIF('01_Конкуренты'!$B$7:$B$36,"?*")),""))</x:f>
      </x:c>
      <x:c r="H38" s="32" t="str"/>
      <x:c r="I38" s="32" t="str">
        <x:f>IF(B38="","",IF(OR(E38="Обязательное",E38="Линейное"),IF(G38&gt;=0.6,"Рыночный стандарт",IF(G38&gt;=0.35,"Формирующаяся норма","Проверить необходимость")),IF(E38="Привлекательное",IF(G38&lt;0.5,"Зона дифференциации","Переходит в ожидаемое"),IF(E38="Безразличное","Низкий приоритет",IF(E38="Обратное","Риск отторжения","Требует проверки")))))</x:f>
      </x:c>
      <x:c r="J38" s="32" t="str"/>
      <x:c r="K38" s="32" t="str"/>
      <x:c r="L38" s="32" t="str"/>
    </x:row>
    <x:row r="39">
      <x:c r="A39" s="32" t="str">
        <x:v>S033</x:v>
      </x:c>
      <x:c r="B39" s="32" t="str"/>
      <x:c r="C39" s="32" t="str"/>
      <x:c r="D39" s="32" t="str"/>
      <x:c r="E39" s="32" t="str"/>
      <x:c r="F39" s="32" t="str"/>
      <x:c r="G39" s="44" t="str">
        <x:f>IF(F39="","",IFERROR(F39/MAX(1,COUNTIF('01_Конкуренты'!$B$7:$B$36,"?*")),""))</x:f>
      </x:c>
      <x:c r="H39" s="32" t="str"/>
      <x:c r="I39" s="32" t="str">
        <x:f>IF(B39="","",IF(OR(E39="Обязательное",E39="Линейное"),IF(G39&gt;=0.6,"Рыночный стандарт",IF(G39&gt;=0.35,"Формирующаяся норма","Проверить необходимость")),IF(E39="Привлекательное",IF(G39&lt;0.5,"Зона дифференциации","Переходит в ожидаемое"),IF(E39="Безразличное","Низкий приоритет",IF(E39="Обратное","Риск отторжения","Требует проверки")))))</x:f>
      </x:c>
      <x:c r="J39" s="32" t="str"/>
      <x:c r="K39" s="32" t="str"/>
      <x:c r="L39" s="32" t="str"/>
    </x:row>
    <x:row r="40">
      <x:c r="A40" s="32" t="str">
        <x:v>S034</x:v>
      </x:c>
      <x:c r="B40" s="32" t="str"/>
      <x:c r="C40" s="32" t="str"/>
      <x:c r="D40" s="32" t="str"/>
      <x:c r="E40" s="32" t="str"/>
      <x:c r="F40" s="32" t="str"/>
      <x:c r="G40" s="44" t="str">
        <x:f>IF(F40="","",IFERROR(F40/MAX(1,COUNTIF('01_Конкуренты'!$B$7:$B$36,"?*")),""))</x:f>
      </x:c>
      <x:c r="H40" s="32" t="str"/>
      <x:c r="I40" s="32" t="str">
        <x:f>IF(B40="","",IF(OR(E40="Обязательное",E40="Линейное"),IF(G40&gt;=0.6,"Рыночный стандарт",IF(G40&gt;=0.35,"Формирующаяся норма","Проверить необходимость")),IF(E40="Привлекательное",IF(G40&lt;0.5,"Зона дифференциации","Переходит в ожидаемое"),IF(E40="Безразличное","Низкий приоритет",IF(E40="Обратное","Риск отторжения","Требует проверки")))))</x:f>
      </x:c>
      <x:c r="J40" s="32" t="str"/>
      <x:c r="K40" s="32" t="str"/>
      <x:c r="L40" s="32" t="str"/>
    </x:row>
    <x:row r="41">
      <x:c r="A41" s="32" t="str">
        <x:v>S035</x:v>
      </x:c>
      <x:c r="B41" s="32" t="str"/>
      <x:c r="C41" s="32" t="str"/>
      <x:c r="D41" s="32" t="str"/>
      <x:c r="E41" s="32" t="str"/>
      <x:c r="F41" s="32" t="str"/>
      <x:c r="G41" s="44" t="str">
        <x:f>IF(F41="","",IFERROR(F41/MAX(1,COUNTIF('01_Конкуренты'!$B$7:$B$36,"?*")),""))</x:f>
      </x:c>
      <x:c r="H41" s="32" t="str"/>
      <x:c r="I41" s="32" t="str">
        <x:f>IF(B41="","",IF(OR(E41="Обязательное",E41="Линейное"),IF(G41&gt;=0.6,"Рыночный стандарт",IF(G41&gt;=0.35,"Формирующаяся норма","Проверить необходимость")),IF(E41="Привлекательное",IF(G41&lt;0.5,"Зона дифференциации","Переходит в ожидаемое"),IF(E41="Безразличное","Низкий приоритет",IF(E41="Обратное","Риск отторжения","Требует проверки")))))</x:f>
      </x:c>
      <x:c r="J41" s="32" t="str"/>
      <x:c r="K41" s="32" t="str"/>
      <x:c r="L41" s="32" t="str"/>
    </x:row>
    <x:row r="42">
      <x:c r="A42" s="32" t="str">
        <x:v>S036</x:v>
      </x:c>
      <x:c r="B42" s="32" t="str"/>
      <x:c r="C42" s="32" t="str"/>
      <x:c r="D42" s="32" t="str"/>
      <x:c r="E42" s="32" t="str"/>
      <x:c r="F42" s="32" t="str"/>
      <x:c r="G42" s="44" t="str">
        <x:f>IF(F42="","",IFERROR(F42/MAX(1,COUNTIF('01_Конкуренты'!$B$7:$B$36,"?*")),""))</x:f>
      </x:c>
      <x:c r="H42" s="32" t="str"/>
      <x:c r="I42" s="32" t="str">
        <x:f>IF(B42="","",IF(OR(E42="Обязательное",E42="Линейное"),IF(G42&gt;=0.6,"Рыночный стандарт",IF(G42&gt;=0.35,"Формирующаяся норма","Проверить необходимость")),IF(E42="Привлекательное",IF(G42&lt;0.5,"Зона дифференциации","Переходит в ожидаемое"),IF(E42="Безразличное","Низкий приоритет",IF(E42="Обратное","Риск отторжения","Требует проверки")))))</x:f>
      </x:c>
      <x:c r="J42" s="32" t="str"/>
      <x:c r="K42" s="32" t="str"/>
      <x:c r="L42" s="32" t="str"/>
    </x:row>
    <x:row r="43">
      <x:c r="A43" s="32" t="str">
        <x:v>S037</x:v>
      </x:c>
      <x:c r="B43" s="32" t="str"/>
      <x:c r="C43" s="32" t="str"/>
      <x:c r="D43" s="32" t="str"/>
      <x:c r="E43" s="32" t="str"/>
      <x:c r="F43" s="32" t="str"/>
      <x:c r="G43" s="44" t="str">
        <x:f>IF(F43="","",IFERROR(F43/MAX(1,COUNTIF('01_Конкуренты'!$B$7:$B$36,"?*")),""))</x:f>
      </x:c>
      <x:c r="H43" s="32" t="str"/>
      <x:c r="I43" s="32" t="str">
        <x:f>IF(B43="","",IF(OR(E43="Обязательное",E43="Линейное"),IF(G43&gt;=0.6,"Рыночный стандарт",IF(G43&gt;=0.35,"Формирующаяся норма","Проверить необходимость")),IF(E43="Привлекательное",IF(G43&lt;0.5,"Зона дифференциации","Переходит в ожидаемое"),IF(E43="Безразличное","Низкий приоритет",IF(E43="Обратное","Риск отторжения","Требует проверки")))))</x:f>
      </x:c>
      <x:c r="J43" s="32" t="str"/>
      <x:c r="K43" s="32" t="str"/>
      <x:c r="L43" s="32" t="str"/>
    </x:row>
    <x:row r="44">
      <x:c r="A44" s="32" t="str">
        <x:v>S038</x:v>
      </x:c>
      <x:c r="B44" s="32" t="str"/>
      <x:c r="C44" s="32" t="str"/>
      <x:c r="D44" s="32" t="str"/>
      <x:c r="E44" s="32" t="str"/>
      <x:c r="F44" s="32" t="str"/>
      <x:c r="G44" s="44" t="str">
        <x:f>IF(F44="","",IFERROR(F44/MAX(1,COUNTIF('01_Конкуренты'!$B$7:$B$36,"?*")),""))</x:f>
      </x:c>
      <x:c r="H44" s="32" t="str"/>
      <x:c r="I44" s="32" t="str">
        <x:f>IF(B44="","",IF(OR(E44="Обязательное",E44="Линейное"),IF(G44&gt;=0.6,"Рыночный стандарт",IF(G44&gt;=0.35,"Формирующаяся норма","Проверить необходимость")),IF(E44="Привлекательное",IF(G44&lt;0.5,"Зона дифференциации","Переходит в ожидаемое"),IF(E44="Безразличное","Низкий приоритет",IF(E44="Обратное","Риск отторжения","Требует проверки")))))</x:f>
      </x:c>
      <x:c r="J44" s="32" t="str"/>
      <x:c r="K44" s="32" t="str"/>
      <x:c r="L44" s="32" t="str"/>
    </x:row>
    <x:row r="45">
      <x:c r="A45" s="32" t="str">
        <x:v>S039</x:v>
      </x:c>
      <x:c r="B45" s="32" t="str"/>
      <x:c r="C45" s="32" t="str"/>
      <x:c r="D45" s="32" t="str"/>
      <x:c r="E45" s="32" t="str"/>
      <x:c r="F45" s="32" t="str"/>
      <x:c r="G45" s="44" t="str">
        <x:f>IF(F45="","",IFERROR(F45/MAX(1,COUNTIF('01_Конкуренты'!$B$7:$B$36,"?*")),""))</x:f>
      </x:c>
      <x:c r="H45" s="32" t="str"/>
      <x:c r="I45" s="32" t="str">
        <x:f>IF(B45="","",IF(OR(E45="Обязательное",E45="Линейное"),IF(G45&gt;=0.6,"Рыночный стандарт",IF(G45&gt;=0.35,"Формирующаяся норма","Проверить необходимость")),IF(E45="Привлекательное",IF(G45&lt;0.5,"Зона дифференциации","Переходит в ожидаемое"),IF(E45="Безразличное","Низкий приоритет",IF(E45="Обратное","Риск отторжения","Требует проверки")))))</x:f>
      </x:c>
      <x:c r="J45" s="32" t="str"/>
      <x:c r="K45" s="32" t="str"/>
      <x:c r="L45" s="32" t="str"/>
    </x:row>
    <x:row r="46">
      <x:c r="A46" s="32" t="str">
        <x:v>S040</x:v>
      </x:c>
      <x:c r="B46" s="32" t="str"/>
      <x:c r="C46" s="32" t="str"/>
      <x:c r="D46" s="32" t="str"/>
      <x:c r="E46" s="32" t="str"/>
      <x:c r="F46" s="32" t="str"/>
      <x:c r="G46" s="44" t="str">
        <x:f>IF(F46="","",IFERROR(F46/MAX(1,COUNTIF('01_Конкуренты'!$B$7:$B$36,"?*")),""))</x:f>
      </x:c>
      <x:c r="H46" s="32" t="str"/>
      <x:c r="I46" s="32" t="str">
        <x:f>IF(B46="","",IF(OR(E46="Обязательное",E46="Линейное"),IF(G46&gt;=0.6,"Рыночный стандарт",IF(G46&gt;=0.35,"Формирующаяся норма","Проверить необходимость")),IF(E46="Привлекательное",IF(G46&lt;0.5,"Зона дифференциации","Переходит в ожидаемое"),IF(E46="Безразличное","Низкий приоритет",IF(E46="Обратное","Риск отторжения","Требует проверки")))))</x:f>
      </x:c>
      <x:c r="J46" s="32" t="str"/>
      <x:c r="K46" s="32" t="str"/>
      <x:c r="L46" s="32" t="str"/>
    </x:row>
    <x:row r="47">
      <x:c r="A47" s="32" t="str">
        <x:v>S041</x:v>
      </x:c>
      <x:c r="B47" s="32" t="str"/>
      <x:c r="C47" s="32" t="str"/>
      <x:c r="D47" s="32" t="str"/>
      <x:c r="E47" s="32" t="str"/>
      <x:c r="F47" s="32" t="str"/>
      <x:c r="G47" s="44" t="str">
        <x:f>IF(F47="","",IFERROR(F47/MAX(1,COUNTIF('01_Конкуренты'!$B$7:$B$36,"?*")),""))</x:f>
      </x:c>
      <x:c r="H47" s="32" t="str"/>
      <x:c r="I47" s="32" t="str">
        <x:f>IF(B47="","",IF(OR(E47="Обязательное",E47="Линейное"),IF(G47&gt;=0.6,"Рыночный стандарт",IF(G47&gt;=0.35,"Формирующаяся норма","Проверить необходимость")),IF(E47="Привлекательное",IF(G47&lt;0.5,"Зона дифференциации","Переходит в ожидаемое"),IF(E47="Безразличное","Низкий приоритет",IF(E47="Обратное","Риск отторжения","Требует проверки")))))</x:f>
      </x:c>
      <x:c r="J47" s="32" t="str"/>
      <x:c r="K47" s="32" t="str"/>
      <x:c r="L47" s="32" t="str"/>
    </x:row>
    <x:row r="48">
      <x:c r="A48" s="32" t="str">
        <x:v>S042</x:v>
      </x:c>
      <x:c r="B48" s="32" t="str"/>
      <x:c r="C48" s="32" t="str"/>
      <x:c r="D48" s="32" t="str"/>
      <x:c r="E48" s="32" t="str"/>
      <x:c r="F48" s="32" t="str"/>
      <x:c r="G48" s="44" t="str">
        <x:f>IF(F48="","",IFERROR(F48/MAX(1,COUNTIF('01_Конкуренты'!$B$7:$B$36,"?*")),""))</x:f>
      </x:c>
      <x:c r="H48" s="32" t="str"/>
      <x:c r="I48" s="32" t="str">
        <x:f>IF(B48="","",IF(OR(E48="Обязательное",E48="Линейное"),IF(G48&gt;=0.6,"Рыночный стандарт",IF(G48&gt;=0.35,"Формирующаяся норма","Проверить необходимость")),IF(E48="Привлекательное",IF(G48&lt;0.5,"Зона дифференциации","Переходит в ожидаемое"),IF(E48="Безразличное","Низкий приоритет",IF(E48="Обратное","Риск отторжения","Требует проверки")))))</x:f>
      </x:c>
      <x:c r="J48" s="32" t="str"/>
      <x:c r="K48" s="32" t="str"/>
      <x:c r="L48" s="32" t="str"/>
    </x:row>
    <x:row r="49">
      <x:c r="A49" s="32" t="str">
        <x:v>S043</x:v>
      </x:c>
      <x:c r="B49" s="32" t="str"/>
      <x:c r="C49" s="32" t="str"/>
      <x:c r="D49" s="32" t="str"/>
      <x:c r="E49" s="32" t="str"/>
      <x:c r="F49" s="32" t="str"/>
      <x:c r="G49" s="44" t="str">
        <x:f>IF(F49="","",IFERROR(F49/MAX(1,COUNTIF('01_Конкуренты'!$B$7:$B$36,"?*")),""))</x:f>
      </x:c>
      <x:c r="H49" s="32" t="str"/>
      <x:c r="I49" s="32" t="str">
        <x:f>IF(B49="","",IF(OR(E49="Обязательное",E49="Линейное"),IF(G49&gt;=0.6,"Рыночный стандарт",IF(G49&gt;=0.35,"Формирующаяся норма","Проверить необходимость")),IF(E49="Привлекательное",IF(G49&lt;0.5,"Зона дифференциации","Переходит в ожидаемое"),IF(E49="Безразличное","Низкий приоритет",IF(E49="Обратное","Риск отторжения","Требует проверки")))))</x:f>
      </x:c>
      <x:c r="J49" s="32" t="str"/>
      <x:c r="K49" s="32" t="str"/>
      <x:c r="L49" s="32" t="str"/>
    </x:row>
    <x:row r="50">
      <x:c r="A50" s="32" t="str">
        <x:v>S044</x:v>
      </x:c>
      <x:c r="B50" s="32" t="str"/>
      <x:c r="C50" s="32" t="str"/>
      <x:c r="D50" s="32" t="str"/>
      <x:c r="E50" s="32" t="str"/>
      <x:c r="F50" s="32" t="str"/>
      <x:c r="G50" s="44" t="str">
        <x:f>IF(F50="","",IFERROR(F50/MAX(1,COUNTIF('01_Конкуренты'!$B$7:$B$36,"?*")),""))</x:f>
      </x:c>
      <x:c r="H50" s="32" t="str"/>
      <x:c r="I50" s="32" t="str">
        <x:f>IF(B50="","",IF(OR(E50="Обязательное",E50="Линейное"),IF(G50&gt;=0.6,"Рыночный стандарт",IF(G50&gt;=0.35,"Формирующаяся норма","Проверить необходимость")),IF(E50="Привлекательное",IF(G50&lt;0.5,"Зона дифференциации","Переходит в ожидаемое"),IF(E50="Безразличное","Низкий приоритет",IF(E50="Обратное","Риск отторжения","Требует проверки")))))</x:f>
      </x:c>
      <x:c r="J50" s="32" t="str"/>
      <x:c r="K50" s="32" t="str"/>
      <x:c r="L50" s="32" t="str"/>
    </x:row>
    <x:row r="51">
      <x:c r="A51" s="32" t="str">
        <x:v>S045</x:v>
      </x:c>
      <x:c r="B51" s="32" t="str"/>
      <x:c r="C51" s="32" t="str"/>
      <x:c r="D51" s="32" t="str"/>
      <x:c r="E51" s="32" t="str"/>
      <x:c r="F51" s="32" t="str"/>
      <x:c r="G51" s="44" t="str">
        <x:f>IF(F51="","",IFERROR(F51/MAX(1,COUNTIF('01_Конкуренты'!$B$7:$B$36,"?*")),""))</x:f>
      </x:c>
      <x:c r="H51" s="32" t="str"/>
      <x:c r="I51" s="32" t="str">
        <x:f>IF(B51="","",IF(OR(E51="Обязательное",E51="Линейное"),IF(G51&gt;=0.6,"Рыночный стандарт",IF(G51&gt;=0.35,"Формирующаяся норма","Проверить необходимость")),IF(E51="Привлекательное",IF(G51&lt;0.5,"Зона дифференциации","Переходит в ожидаемое"),IF(E51="Безразличное","Низкий приоритет",IF(E51="Обратное","Риск отторжения","Требует проверки")))))</x:f>
      </x:c>
      <x:c r="J51" s="32" t="str"/>
      <x:c r="K51" s="32" t="str"/>
      <x:c r="L51" s="32" t="str"/>
    </x:row>
    <x:row r="52">
      <x:c r="A52" s="32" t="str">
        <x:v>S046</x:v>
      </x:c>
      <x:c r="B52" s="32" t="str"/>
      <x:c r="C52" s="32" t="str"/>
      <x:c r="D52" s="32" t="str"/>
      <x:c r="E52" s="32" t="str"/>
      <x:c r="F52" s="32" t="str"/>
      <x:c r="G52" s="44" t="str">
        <x:f>IF(F52="","",IFERROR(F52/MAX(1,COUNTIF('01_Конкуренты'!$B$7:$B$36,"?*")),""))</x:f>
      </x:c>
      <x:c r="H52" s="32" t="str"/>
      <x:c r="I52" s="32" t="str">
        <x:f>IF(B52="","",IF(OR(E52="Обязательное",E52="Линейное"),IF(G52&gt;=0.6,"Рыночный стандарт",IF(G52&gt;=0.35,"Формирующаяся норма","Проверить необходимость")),IF(E52="Привлекательное",IF(G52&lt;0.5,"Зона дифференциации","Переходит в ожидаемое"),IF(E52="Безразличное","Низкий приоритет",IF(E52="Обратное","Риск отторжения","Требует проверки")))))</x:f>
      </x:c>
      <x:c r="J52" s="32" t="str"/>
      <x:c r="K52" s="32" t="str"/>
      <x:c r="L52" s="32" t="str"/>
    </x:row>
    <x:row r="53">
      <x:c r="A53" s="32" t="str">
        <x:v>S047</x:v>
      </x:c>
      <x:c r="B53" s="32" t="str"/>
      <x:c r="C53" s="32" t="str"/>
      <x:c r="D53" s="32" t="str"/>
      <x:c r="E53" s="32" t="str"/>
      <x:c r="F53" s="32" t="str"/>
      <x:c r="G53" s="44" t="str">
        <x:f>IF(F53="","",IFERROR(F53/MAX(1,COUNTIF('01_Конкуренты'!$B$7:$B$36,"?*")),""))</x:f>
      </x:c>
      <x:c r="H53" s="32" t="str"/>
      <x:c r="I53" s="32" t="str">
        <x:f>IF(B53="","",IF(OR(E53="Обязательное",E53="Линейное"),IF(G53&gt;=0.6,"Рыночный стандарт",IF(G53&gt;=0.35,"Формирующаяся норма","Проверить необходимость")),IF(E53="Привлекательное",IF(G53&lt;0.5,"Зона дифференциации","Переходит в ожидаемое"),IF(E53="Безразличное","Низкий приоритет",IF(E53="Обратное","Риск отторжения","Требует проверки")))))</x:f>
      </x:c>
      <x:c r="J53" s="32" t="str"/>
      <x:c r="K53" s="32" t="str"/>
      <x:c r="L53" s="32" t="str"/>
    </x:row>
    <x:row r="54">
      <x:c r="A54" s="32" t="str">
        <x:v>S048</x:v>
      </x:c>
      <x:c r="B54" s="32" t="str"/>
      <x:c r="C54" s="32" t="str"/>
      <x:c r="D54" s="32" t="str"/>
      <x:c r="E54" s="32" t="str"/>
      <x:c r="F54" s="32" t="str"/>
      <x:c r="G54" s="44" t="str">
        <x:f>IF(F54="","",IFERROR(F54/MAX(1,COUNTIF('01_Конкуренты'!$B$7:$B$36,"?*")),""))</x:f>
      </x:c>
      <x:c r="H54" s="32" t="str"/>
      <x:c r="I54" s="32" t="str">
        <x:f>IF(B54="","",IF(OR(E54="Обязательное",E54="Линейное"),IF(G54&gt;=0.6,"Рыночный стандарт",IF(G54&gt;=0.35,"Формирующаяся норма","Проверить необходимость")),IF(E54="Привлекательное",IF(G54&lt;0.5,"Зона дифференциации","Переходит в ожидаемое"),IF(E54="Безразличное","Низкий приоритет",IF(E54="Обратное","Риск отторжения","Требует проверки")))))</x:f>
      </x:c>
      <x:c r="J54" s="32" t="str"/>
      <x:c r="K54" s="32" t="str"/>
      <x:c r="L54" s="32" t="str"/>
    </x:row>
    <x:row r="55">
      <x:c r="A55" s="32" t="str">
        <x:v>S049</x:v>
      </x:c>
      <x:c r="B55" s="32" t="str"/>
      <x:c r="C55" s="32" t="str"/>
      <x:c r="D55" s="32" t="str"/>
      <x:c r="E55" s="32" t="str"/>
      <x:c r="F55" s="32" t="str"/>
      <x:c r="G55" s="44" t="str">
        <x:f>IF(F55="","",IFERROR(F55/MAX(1,COUNTIF('01_Конкуренты'!$B$7:$B$36,"?*")),""))</x:f>
      </x:c>
      <x:c r="H55" s="32" t="str"/>
      <x:c r="I55" s="32" t="str">
        <x:f>IF(B55="","",IF(OR(E55="Обязательное",E55="Линейное"),IF(G55&gt;=0.6,"Рыночный стандарт",IF(G55&gt;=0.35,"Формирующаяся норма","Проверить необходимость")),IF(E55="Привлекательное",IF(G55&lt;0.5,"Зона дифференциации","Переходит в ожидаемое"),IF(E55="Безразличное","Низкий приоритет",IF(E55="Обратное","Риск отторжения","Требует проверки")))))</x:f>
      </x:c>
      <x:c r="J55" s="32" t="str"/>
      <x:c r="K55" s="32" t="str"/>
      <x:c r="L55" s="32" t="str"/>
    </x:row>
    <x:row r="56">
      <x:c r="A56" s="32" t="str">
        <x:v>S050</x:v>
      </x:c>
      <x:c r="B56" s="32" t="str"/>
      <x:c r="C56" s="32" t="str"/>
      <x:c r="D56" s="32" t="str"/>
      <x:c r="E56" s="32" t="str"/>
      <x:c r="F56" s="32" t="str"/>
      <x:c r="G56" s="44" t="str">
        <x:f>IF(F56="","",IFERROR(F56/MAX(1,COUNTIF('01_Конкуренты'!$B$7:$B$36,"?*")),""))</x:f>
      </x:c>
      <x:c r="H56" s="32" t="str"/>
      <x:c r="I56" s="32" t="str">
        <x:f>IF(B56="","",IF(OR(E56="Обязательное",E56="Линейное"),IF(G56&gt;=0.6,"Рыночный стандарт",IF(G56&gt;=0.35,"Формирующаяся норма","Проверить необходимость")),IF(E56="Привлекательное",IF(G56&lt;0.5,"Зона дифференциации","Переходит в ожидаемое"),IF(E56="Безразличное","Низкий приоритет",IF(E56="Обратное","Риск отторжения","Требует проверки")))))</x:f>
      </x:c>
      <x:c r="J56" s="32" t="str"/>
      <x:c r="K56" s="32" t="str"/>
      <x:c r="L56" s="32" t="str"/>
    </x:row>
    <x:row r="57">
      <x:c r="A57" s="32" t="str">
        <x:v>S051</x:v>
      </x:c>
      <x:c r="B57" s="32" t="str"/>
      <x:c r="C57" s="32" t="str"/>
      <x:c r="D57" s="32" t="str"/>
      <x:c r="E57" s="32" t="str"/>
      <x:c r="F57" s="32" t="str"/>
      <x:c r="G57" s="44" t="str">
        <x:f>IF(F57="","",IFERROR(F57/MAX(1,COUNTIF('01_Конкуренты'!$B$7:$B$36,"?*")),""))</x:f>
      </x:c>
      <x:c r="H57" s="32" t="str"/>
      <x:c r="I57" s="32" t="str">
        <x:f>IF(B57="","",IF(OR(E57="Обязательное",E57="Линейное"),IF(G57&gt;=0.6,"Рыночный стандарт",IF(G57&gt;=0.35,"Формирующаяся норма","Проверить необходимость")),IF(E57="Привлекательное",IF(G57&lt;0.5,"Зона дифференциации","Переходит в ожидаемое"),IF(E57="Безразличное","Низкий приоритет",IF(E57="Обратное","Риск отторжения","Требует проверки")))))</x:f>
      </x:c>
      <x:c r="J57" s="32" t="str"/>
      <x:c r="K57" s="32" t="str"/>
      <x:c r="L57" s="32" t="str"/>
    </x:row>
    <x:row r="58">
      <x:c r="A58" s="32" t="str">
        <x:v>S052</x:v>
      </x:c>
      <x:c r="B58" s="32" t="str"/>
      <x:c r="C58" s="32" t="str"/>
      <x:c r="D58" s="32" t="str"/>
      <x:c r="E58" s="32" t="str"/>
      <x:c r="F58" s="32" t="str"/>
      <x:c r="G58" s="44" t="str">
        <x:f>IF(F58="","",IFERROR(F58/MAX(1,COUNTIF('01_Конкуренты'!$B$7:$B$36,"?*")),""))</x:f>
      </x:c>
      <x:c r="H58" s="32" t="str"/>
      <x:c r="I58" s="32" t="str">
        <x:f>IF(B58="","",IF(OR(E58="Обязательное",E58="Линейное"),IF(G58&gt;=0.6,"Рыночный стандарт",IF(G58&gt;=0.35,"Формирующаяся норма","Проверить необходимость")),IF(E58="Привлекательное",IF(G58&lt;0.5,"Зона дифференциации","Переходит в ожидаемое"),IF(E58="Безразличное","Низкий приоритет",IF(E58="Обратное","Риск отторжения","Требует проверки")))))</x:f>
      </x:c>
      <x:c r="J58" s="32" t="str"/>
      <x:c r="K58" s="32" t="str"/>
      <x:c r="L58" s="32" t="str"/>
    </x:row>
    <x:row r="59">
      <x:c r="A59" s="32" t="str">
        <x:v>S053</x:v>
      </x:c>
      <x:c r="B59" s="32" t="str"/>
      <x:c r="C59" s="32" t="str"/>
      <x:c r="D59" s="32" t="str"/>
      <x:c r="E59" s="32" t="str"/>
      <x:c r="F59" s="32" t="str"/>
      <x:c r="G59" s="44" t="str">
        <x:f>IF(F59="","",IFERROR(F59/MAX(1,COUNTIF('01_Конкуренты'!$B$7:$B$36,"?*")),""))</x:f>
      </x:c>
      <x:c r="H59" s="32" t="str"/>
      <x:c r="I59" s="32" t="str">
        <x:f>IF(B59="","",IF(OR(E59="Обязательное",E59="Линейное"),IF(G59&gt;=0.6,"Рыночный стандарт",IF(G59&gt;=0.35,"Формирующаяся норма","Проверить необходимость")),IF(E59="Привлекательное",IF(G59&lt;0.5,"Зона дифференциации","Переходит в ожидаемое"),IF(E59="Безразличное","Низкий приоритет",IF(E59="Обратное","Риск отторжения","Требует проверки")))))</x:f>
      </x:c>
      <x:c r="J59" s="32" t="str"/>
      <x:c r="K59" s="32" t="str"/>
      <x:c r="L59" s="32" t="str"/>
    </x:row>
    <x:row r="60">
      <x:c r="A60" s="32" t="str">
        <x:v>S054</x:v>
      </x:c>
      <x:c r="B60" s="32" t="str"/>
      <x:c r="C60" s="32" t="str"/>
      <x:c r="D60" s="32" t="str"/>
      <x:c r="E60" s="32" t="str"/>
      <x:c r="F60" s="32" t="str"/>
      <x:c r="G60" s="44" t="str">
        <x:f>IF(F60="","",IFERROR(F60/MAX(1,COUNTIF('01_Конкуренты'!$B$7:$B$36,"?*")),""))</x:f>
      </x:c>
      <x:c r="H60" s="32" t="str"/>
      <x:c r="I60" s="32" t="str">
        <x:f>IF(B60="","",IF(OR(E60="Обязательное",E60="Линейное"),IF(G60&gt;=0.6,"Рыночный стандарт",IF(G60&gt;=0.35,"Формирующаяся норма","Проверить необходимость")),IF(E60="Привлекательное",IF(G60&lt;0.5,"Зона дифференциации","Переходит в ожидаемое"),IF(E60="Безразличное","Низкий приоритет",IF(E60="Обратное","Риск отторжения","Требует проверки")))))</x:f>
      </x:c>
      <x:c r="J60" s="32" t="str"/>
      <x:c r="K60" s="32" t="str"/>
      <x:c r="L60" s="32" t="str"/>
    </x:row>
    <x:row r="61">
      <x:c r="A61" s="32" t="str">
        <x:v>S055</x:v>
      </x:c>
      <x:c r="B61" s="32" t="str"/>
      <x:c r="C61" s="32" t="str"/>
      <x:c r="D61" s="32" t="str"/>
      <x:c r="E61" s="32" t="str"/>
      <x:c r="F61" s="32" t="str"/>
      <x:c r="G61" s="44" t="str">
        <x:f>IF(F61="","",IFERROR(F61/MAX(1,COUNTIF('01_Конкуренты'!$B$7:$B$36,"?*")),""))</x:f>
      </x:c>
      <x:c r="H61" s="32" t="str"/>
      <x:c r="I61" s="32" t="str">
        <x:f>IF(B61="","",IF(OR(E61="Обязательное",E61="Линейное"),IF(G61&gt;=0.6,"Рыночный стандарт",IF(G61&gt;=0.35,"Формирующаяся норма","Проверить необходимость")),IF(E61="Привлекательное",IF(G61&lt;0.5,"Зона дифференциации","Переходит в ожидаемое"),IF(E61="Безразличное","Низкий приоритет",IF(E61="Обратное","Риск отторжения","Требует проверки")))))</x:f>
      </x:c>
      <x:c r="J61" s="32" t="str"/>
      <x:c r="K61" s="32" t="str"/>
      <x:c r="L61" s="32" t="str"/>
    </x:row>
    <x:row r="62">
      <x:c r="A62" s="32" t="str">
        <x:v>S056</x:v>
      </x:c>
      <x:c r="B62" s="32" t="str"/>
      <x:c r="C62" s="32" t="str"/>
      <x:c r="D62" s="32" t="str"/>
      <x:c r="E62" s="32" t="str"/>
      <x:c r="F62" s="32" t="str"/>
      <x:c r="G62" s="44" t="str">
        <x:f>IF(F62="","",IFERROR(F62/MAX(1,COUNTIF('01_Конкуренты'!$B$7:$B$36,"?*")),""))</x:f>
      </x:c>
      <x:c r="H62" s="32" t="str"/>
      <x:c r="I62" s="32" t="str">
        <x:f>IF(B62="","",IF(OR(E62="Обязательное",E62="Линейное"),IF(G62&gt;=0.6,"Рыночный стандарт",IF(G62&gt;=0.35,"Формирующаяся норма","Проверить необходимость")),IF(E62="Привлекательное",IF(G62&lt;0.5,"Зона дифференциации","Переходит в ожидаемое"),IF(E62="Безразличное","Низкий приоритет",IF(E62="Обратное","Риск отторжения","Требует проверки")))))</x:f>
      </x:c>
      <x:c r="J62" s="32" t="str"/>
      <x:c r="K62" s="32" t="str"/>
      <x:c r="L62" s="32" t="str"/>
    </x:row>
    <x:row r="63">
      <x:c r="A63" s="32" t="str">
        <x:v>S057</x:v>
      </x:c>
      <x:c r="B63" s="32" t="str"/>
      <x:c r="C63" s="32" t="str"/>
      <x:c r="D63" s="32" t="str"/>
      <x:c r="E63" s="32" t="str"/>
      <x:c r="F63" s="32" t="str"/>
      <x:c r="G63" s="44" t="str">
        <x:f>IF(F63="","",IFERROR(F63/MAX(1,COUNTIF('01_Конкуренты'!$B$7:$B$36,"?*")),""))</x:f>
      </x:c>
      <x:c r="H63" s="32" t="str"/>
      <x:c r="I63" s="32" t="str">
        <x:f>IF(B63="","",IF(OR(E63="Обязательное",E63="Линейное"),IF(G63&gt;=0.6,"Рыночный стандарт",IF(G63&gt;=0.35,"Формирующаяся норма","Проверить необходимость")),IF(E63="Привлекательное",IF(G63&lt;0.5,"Зона дифференциации","Переходит в ожидаемое"),IF(E63="Безразличное","Низкий приоритет",IF(E63="Обратное","Риск отторжения","Требует проверки")))))</x:f>
      </x:c>
      <x:c r="J63" s="32" t="str"/>
      <x:c r="K63" s="32" t="str"/>
      <x:c r="L63" s="32" t="str"/>
    </x:row>
    <x:row r="64">
      <x:c r="A64" s="32" t="str">
        <x:v>S058</x:v>
      </x:c>
      <x:c r="B64" s="32" t="str"/>
      <x:c r="C64" s="32" t="str"/>
      <x:c r="D64" s="32" t="str"/>
      <x:c r="E64" s="32" t="str"/>
      <x:c r="F64" s="32" t="str"/>
      <x:c r="G64" s="44" t="str">
        <x:f>IF(F64="","",IFERROR(F64/MAX(1,COUNTIF('01_Конкуренты'!$B$7:$B$36,"?*")),""))</x:f>
      </x:c>
      <x:c r="H64" s="32" t="str"/>
      <x:c r="I64" s="32" t="str">
        <x:f>IF(B64="","",IF(OR(E64="Обязательное",E64="Линейное"),IF(G64&gt;=0.6,"Рыночный стандарт",IF(G64&gt;=0.35,"Формирующаяся норма","Проверить необходимость")),IF(E64="Привлекательное",IF(G64&lt;0.5,"Зона дифференциации","Переходит в ожидаемое"),IF(E64="Безразличное","Низкий приоритет",IF(E64="Обратное","Риск отторжения","Требует проверки")))))</x:f>
      </x:c>
      <x:c r="J64" s="32" t="str"/>
      <x:c r="K64" s="32" t="str"/>
      <x:c r="L64" s="32" t="str"/>
    </x:row>
    <x:row r="65">
      <x:c r="A65" s="32" t="str">
        <x:v>S059</x:v>
      </x:c>
      <x:c r="B65" s="32" t="str"/>
      <x:c r="C65" s="32" t="str"/>
      <x:c r="D65" s="32" t="str"/>
      <x:c r="E65" s="32" t="str"/>
      <x:c r="F65" s="32" t="str"/>
      <x:c r="G65" s="44" t="str">
        <x:f>IF(F65="","",IFERROR(F65/MAX(1,COUNTIF('01_Конкуренты'!$B$7:$B$36,"?*")),""))</x:f>
      </x:c>
      <x:c r="H65" s="32" t="str"/>
      <x:c r="I65" s="32" t="str">
        <x:f>IF(B65="","",IF(OR(E65="Обязательное",E65="Линейное"),IF(G65&gt;=0.6,"Рыночный стандарт",IF(G65&gt;=0.35,"Формирующаяся норма","Проверить необходимость")),IF(E65="Привлекательное",IF(G65&lt;0.5,"Зона дифференциации","Переходит в ожидаемое"),IF(E65="Безразличное","Низкий приоритет",IF(E65="Обратное","Риск отторжения","Требует проверки")))))</x:f>
      </x:c>
      <x:c r="J65" s="32" t="str"/>
      <x:c r="K65" s="32" t="str"/>
      <x:c r="L65" s="32" t="str"/>
    </x:row>
    <x:row r="66">
      <x:c r="A66" s="32" t="str">
        <x:v>S060</x:v>
      </x:c>
      <x:c r="B66" s="32" t="str"/>
      <x:c r="C66" s="32" t="str"/>
      <x:c r="D66" s="32" t="str"/>
      <x:c r="E66" s="32" t="str"/>
      <x:c r="F66" s="32" t="str"/>
      <x:c r="G66" s="44" t="str">
        <x:f>IF(F66="","",IFERROR(F66/MAX(1,COUNTIF('01_Конкуренты'!$B$7:$B$36,"?*")),""))</x:f>
      </x:c>
      <x:c r="H66" s="32" t="str"/>
      <x:c r="I66" s="32" t="str">
        <x:f>IF(B66="","",IF(OR(E66="Обязательное",E66="Линейное"),IF(G66&gt;=0.6,"Рыночный стандарт",IF(G66&gt;=0.35,"Формирующаяся норма","Проверить необходимость")),IF(E66="Привлекательное",IF(G66&lt;0.5,"Зона дифференциации","Переходит в ожидаемое"),IF(E66="Безразличное","Низкий приоритет",IF(E66="Обратное","Риск отторжения","Требует проверки")))))</x:f>
      </x:c>
      <x:c r="J66" s="32" t="str"/>
      <x:c r="K66" s="32" t="str"/>
      <x:c r="L66" s="32" t="str"/>
    </x:row>
    <x:row r="67">
      <x:c r="A67" s="32" t="str">
        <x:v>S061</x:v>
      </x:c>
      <x:c r="B67" s="32" t="str"/>
      <x:c r="C67" s="32" t="str"/>
      <x:c r="D67" s="32" t="str"/>
      <x:c r="E67" s="32" t="str"/>
      <x:c r="F67" s="32" t="str"/>
      <x:c r="G67" s="44" t="str">
        <x:f>IF(F67="","",IFERROR(F67/MAX(1,COUNTIF('01_Конкуренты'!$B$7:$B$36,"?*")),""))</x:f>
      </x:c>
      <x:c r="H67" s="32" t="str"/>
      <x:c r="I67" s="32" t="str">
        <x:f>IF(B67="","",IF(OR(E67="Обязательное",E67="Линейное"),IF(G67&gt;=0.6,"Рыночный стандарт",IF(G67&gt;=0.35,"Формирующаяся норма","Проверить необходимость")),IF(E67="Привлекательное",IF(G67&lt;0.5,"Зона дифференциации","Переходит в ожидаемое"),IF(E67="Безразличное","Низкий приоритет",IF(E67="Обратное","Риск отторжения","Требует проверки")))))</x:f>
      </x:c>
      <x:c r="J67" s="32" t="str"/>
      <x:c r="K67" s="32" t="str"/>
      <x:c r="L67" s="32" t="str"/>
    </x:row>
    <x:row r="68">
      <x:c r="A68" s="32" t="str">
        <x:v>S062</x:v>
      </x:c>
      <x:c r="B68" s="32" t="str"/>
      <x:c r="C68" s="32" t="str"/>
      <x:c r="D68" s="32" t="str"/>
      <x:c r="E68" s="32" t="str"/>
      <x:c r="F68" s="32" t="str"/>
      <x:c r="G68" s="44" t="str">
        <x:f>IF(F68="","",IFERROR(F68/MAX(1,COUNTIF('01_Конкуренты'!$B$7:$B$36,"?*")),""))</x:f>
      </x:c>
      <x:c r="H68" s="32" t="str"/>
      <x:c r="I68" s="32" t="str">
        <x:f>IF(B68="","",IF(OR(E68="Обязательное",E68="Линейное"),IF(G68&gt;=0.6,"Рыночный стандарт",IF(G68&gt;=0.35,"Формирующаяся норма","Проверить необходимость")),IF(E68="Привлекательное",IF(G68&lt;0.5,"Зона дифференциации","Переходит в ожидаемое"),IF(E68="Безразличное","Низкий приоритет",IF(E68="Обратное","Риск отторжения","Требует проверки")))))</x:f>
      </x:c>
      <x:c r="J68" s="32" t="str"/>
      <x:c r="K68" s="32" t="str"/>
      <x:c r="L68" s="32" t="str"/>
    </x:row>
    <x:row r="69">
      <x:c r="A69" s="32" t="str">
        <x:v>S063</x:v>
      </x:c>
      <x:c r="B69" s="32" t="str"/>
      <x:c r="C69" s="32" t="str"/>
      <x:c r="D69" s="32" t="str"/>
      <x:c r="E69" s="32" t="str"/>
      <x:c r="F69" s="32" t="str"/>
      <x:c r="G69" s="44" t="str">
        <x:f>IF(F69="","",IFERROR(F69/MAX(1,COUNTIF('01_Конкуренты'!$B$7:$B$36,"?*")),""))</x:f>
      </x:c>
      <x:c r="H69" s="32" t="str"/>
      <x:c r="I69" s="32" t="str">
        <x:f>IF(B69="","",IF(OR(E69="Обязательное",E69="Линейное"),IF(G69&gt;=0.6,"Рыночный стандарт",IF(G69&gt;=0.35,"Формирующаяся норма","Проверить необходимость")),IF(E69="Привлекательное",IF(G69&lt;0.5,"Зона дифференциации","Переходит в ожидаемое"),IF(E69="Безразличное","Низкий приоритет",IF(E69="Обратное","Риск отторжения","Требует проверки")))))</x:f>
      </x:c>
      <x:c r="J69" s="32" t="str"/>
      <x:c r="K69" s="32" t="str"/>
      <x:c r="L69" s="32" t="str"/>
    </x:row>
    <x:row r="70">
      <x:c r="A70" s="32" t="str">
        <x:v>S064</x:v>
      </x:c>
      <x:c r="B70" s="32" t="str"/>
      <x:c r="C70" s="32" t="str"/>
      <x:c r="D70" s="32" t="str"/>
      <x:c r="E70" s="32" t="str"/>
      <x:c r="F70" s="32" t="str"/>
      <x:c r="G70" s="44" t="str">
        <x:f>IF(F70="","",IFERROR(F70/MAX(1,COUNTIF('01_Конкуренты'!$B$7:$B$36,"?*")),""))</x:f>
      </x:c>
      <x:c r="H70" s="32" t="str"/>
      <x:c r="I70" s="32" t="str">
        <x:f>IF(B70="","",IF(OR(E70="Обязательное",E70="Линейное"),IF(G70&gt;=0.6,"Рыночный стандарт",IF(G70&gt;=0.35,"Формирующаяся норма","Проверить необходимость")),IF(E70="Привлекательное",IF(G70&lt;0.5,"Зона дифференциации","Переходит в ожидаемое"),IF(E70="Безразличное","Низкий приоритет",IF(E70="Обратное","Риск отторжения","Требует проверки")))))</x:f>
      </x:c>
      <x:c r="J70" s="32" t="str"/>
      <x:c r="K70" s="32" t="str"/>
      <x:c r="L70" s="32" t="str"/>
    </x:row>
    <x:row r="71">
      <x:c r="A71" s="32" t="str">
        <x:v>S065</x:v>
      </x:c>
      <x:c r="B71" s="32" t="str"/>
      <x:c r="C71" s="32" t="str"/>
      <x:c r="D71" s="32" t="str"/>
      <x:c r="E71" s="32" t="str"/>
      <x:c r="F71" s="32" t="str"/>
      <x:c r="G71" s="44" t="str">
        <x:f>IF(F71="","",IFERROR(F71/MAX(1,COUNTIF('01_Конкуренты'!$B$7:$B$36,"?*")),""))</x:f>
      </x:c>
      <x:c r="H71" s="32" t="str"/>
      <x:c r="I71" s="32" t="str">
        <x:f>IF(B71="","",IF(OR(E71="Обязательное",E71="Линейное"),IF(G71&gt;=0.6,"Рыночный стандарт",IF(G71&gt;=0.35,"Формирующаяся норма","Проверить необходимость")),IF(E71="Привлекательное",IF(G71&lt;0.5,"Зона дифференциации","Переходит в ожидаемое"),IF(E71="Безразличное","Низкий приоритет",IF(E71="Обратное","Риск отторжения","Требует проверки")))))</x:f>
      </x:c>
      <x:c r="J71" s="32" t="str"/>
      <x:c r="K71" s="32" t="str"/>
      <x:c r="L71" s="32" t="str"/>
    </x:row>
    <x:row r="72">
      <x:c r="A72" s="32" t="str">
        <x:v>S066</x:v>
      </x:c>
      <x:c r="B72" s="32" t="str"/>
      <x:c r="C72" s="32" t="str"/>
      <x:c r="D72" s="32" t="str"/>
      <x:c r="E72" s="32" t="str"/>
      <x:c r="F72" s="32" t="str"/>
      <x:c r="G72" s="44" t="str">
        <x:f>IF(F72="","",IFERROR(F72/MAX(1,COUNTIF('01_Конкуренты'!$B$7:$B$36,"?*")),""))</x:f>
      </x:c>
      <x:c r="H72" s="32" t="str"/>
      <x:c r="I72" s="32" t="str">
        <x:f>IF(B72="","",IF(OR(E72="Обязательное",E72="Линейное"),IF(G72&gt;=0.6,"Рыночный стандарт",IF(G72&gt;=0.35,"Формирующаяся норма","Проверить необходимость")),IF(E72="Привлекательное",IF(G72&lt;0.5,"Зона дифференциации","Переходит в ожидаемое"),IF(E72="Безразличное","Низкий приоритет",IF(E72="Обратное","Риск отторжения","Требует проверки")))))</x:f>
      </x:c>
      <x:c r="J72" s="32" t="str"/>
      <x:c r="K72" s="32" t="str"/>
      <x:c r="L72" s="32" t="str"/>
    </x:row>
    <x:row r="73">
      <x:c r="A73" s="32" t="str">
        <x:v>S067</x:v>
      </x:c>
      <x:c r="B73" s="32" t="str"/>
      <x:c r="C73" s="32" t="str"/>
      <x:c r="D73" s="32" t="str"/>
      <x:c r="E73" s="32" t="str"/>
      <x:c r="F73" s="32" t="str"/>
      <x:c r="G73" s="44" t="str">
        <x:f>IF(F73="","",IFERROR(F73/MAX(1,COUNTIF('01_Конкуренты'!$B$7:$B$36,"?*")),""))</x:f>
      </x:c>
      <x:c r="H73" s="32" t="str"/>
      <x:c r="I73" s="32" t="str">
        <x:f>IF(B73="","",IF(OR(E73="Обязательное",E73="Линейное"),IF(G73&gt;=0.6,"Рыночный стандарт",IF(G73&gt;=0.35,"Формирующаяся норма","Проверить необходимость")),IF(E73="Привлекательное",IF(G73&lt;0.5,"Зона дифференциации","Переходит в ожидаемое"),IF(E73="Безразличное","Низкий приоритет",IF(E73="Обратное","Риск отторжения","Требует проверки")))))</x:f>
      </x:c>
      <x:c r="J73" s="32" t="str"/>
      <x:c r="K73" s="32" t="str"/>
      <x:c r="L73" s="32" t="str"/>
    </x:row>
    <x:row r="74">
      <x:c r="A74" s="32" t="str">
        <x:v>S068</x:v>
      </x:c>
      <x:c r="B74" s="32" t="str"/>
      <x:c r="C74" s="32" t="str"/>
      <x:c r="D74" s="32" t="str"/>
      <x:c r="E74" s="32" t="str"/>
      <x:c r="F74" s="32" t="str"/>
      <x:c r="G74" s="44" t="str">
        <x:f>IF(F74="","",IFERROR(F74/MAX(1,COUNTIF('01_Конкуренты'!$B$7:$B$36,"?*")),""))</x:f>
      </x:c>
      <x:c r="H74" s="32" t="str"/>
      <x:c r="I74" s="32" t="str">
        <x:f>IF(B74="","",IF(OR(E74="Обязательное",E74="Линейное"),IF(G74&gt;=0.6,"Рыночный стандарт",IF(G74&gt;=0.35,"Формирующаяся норма","Проверить необходимость")),IF(E74="Привлекательное",IF(G74&lt;0.5,"Зона дифференциации","Переходит в ожидаемое"),IF(E74="Безразличное","Низкий приоритет",IF(E74="Обратное","Риск отторжения","Требует проверки")))))</x:f>
      </x:c>
      <x:c r="J74" s="32" t="str"/>
      <x:c r="K74" s="32" t="str"/>
      <x:c r="L74" s="32" t="str"/>
    </x:row>
    <x:row r="75">
      <x:c r="A75" s="32" t="str">
        <x:v>S069</x:v>
      </x:c>
      <x:c r="B75" s="32" t="str"/>
      <x:c r="C75" s="32" t="str"/>
      <x:c r="D75" s="32" t="str"/>
      <x:c r="E75" s="32" t="str"/>
      <x:c r="F75" s="32" t="str"/>
      <x:c r="G75" s="44" t="str">
        <x:f>IF(F75="","",IFERROR(F75/MAX(1,COUNTIF('01_Конкуренты'!$B$7:$B$36,"?*")),""))</x:f>
      </x:c>
      <x:c r="H75" s="32" t="str"/>
      <x:c r="I75" s="32" t="str">
        <x:f>IF(B75="","",IF(OR(E75="Обязательное",E75="Линейное"),IF(G75&gt;=0.6,"Рыночный стандарт",IF(G75&gt;=0.35,"Формирующаяся норма","Проверить необходимость")),IF(E75="Привлекательное",IF(G75&lt;0.5,"Зона дифференциации","Переходит в ожидаемое"),IF(E75="Безразличное","Низкий приоритет",IF(E75="Обратное","Риск отторжения","Требует проверки")))))</x:f>
      </x:c>
      <x:c r="J75" s="32" t="str"/>
      <x:c r="K75" s="32" t="str"/>
      <x:c r="L75" s="32" t="str"/>
    </x:row>
    <x:row r="76">
      <x:c r="A76" s="32" t="str">
        <x:v>S070</x:v>
      </x:c>
      <x:c r="B76" s="32" t="str"/>
      <x:c r="C76" s="32" t="str"/>
      <x:c r="D76" s="32" t="str"/>
      <x:c r="E76" s="32" t="str"/>
      <x:c r="F76" s="32" t="str"/>
      <x:c r="G76" s="44" t="str">
        <x:f>IF(F76="","",IFERROR(F76/MAX(1,COUNTIF('01_Конкуренты'!$B$7:$B$36,"?*")),""))</x:f>
      </x:c>
      <x:c r="H76" s="32" t="str"/>
      <x:c r="I76" s="32" t="str">
        <x:f>IF(B76="","",IF(OR(E76="Обязательное",E76="Линейное"),IF(G76&gt;=0.6,"Рыночный стандарт",IF(G76&gt;=0.35,"Формирующаяся норма","Проверить необходимость")),IF(E76="Привлекательное",IF(G76&lt;0.5,"Зона дифференциации","Переходит в ожидаемое"),IF(E76="Безразличное","Низкий приоритет",IF(E76="Обратное","Риск отторжения","Требует проверки")))))</x:f>
      </x:c>
      <x:c r="J76" s="32" t="str"/>
      <x:c r="K76" s="32" t="str"/>
      <x:c r="L76" s="32" t="str"/>
    </x:row>
    <x:row r="77">
      <x:c r="A77" s="32" t="str">
        <x:v>S071</x:v>
      </x:c>
      <x:c r="B77" s="32" t="str"/>
      <x:c r="C77" s="32" t="str"/>
      <x:c r="D77" s="32" t="str"/>
      <x:c r="E77" s="32" t="str"/>
      <x:c r="F77" s="32" t="str"/>
      <x:c r="G77" s="44" t="str">
        <x:f>IF(F77="","",IFERROR(F77/MAX(1,COUNTIF('01_Конкуренты'!$B$7:$B$36,"?*")),""))</x:f>
      </x:c>
      <x:c r="H77" s="32" t="str"/>
      <x:c r="I77" s="32" t="str">
        <x:f>IF(B77="","",IF(OR(E77="Обязательное",E77="Линейное"),IF(G77&gt;=0.6,"Рыночный стандарт",IF(G77&gt;=0.35,"Формирующаяся норма","Проверить необходимость")),IF(E77="Привлекательное",IF(G77&lt;0.5,"Зона дифференциации","Переходит в ожидаемое"),IF(E77="Безразличное","Низкий приоритет",IF(E77="Обратное","Риск отторжения","Требует проверки")))))</x:f>
      </x:c>
      <x:c r="J77" s="32" t="str"/>
      <x:c r="K77" s="32" t="str"/>
      <x:c r="L77" s="32" t="str"/>
    </x:row>
    <x:row r="78">
      <x:c r="A78" s="32" t="str">
        <x:v>S072</x:v>
      </x:c>
      <x:c r="B78" s="32" t="str"/>
      <x:c r="C78" s="32" t="str"/>
      <x:c r="D78" s="32" t="str"/>
      <x:c r="E78" s="32" t="str"/>
      <x:c r="F78" s="32" t="str"/>
      <x:c r="G78" s="44" t="str">
        <x:f>IF(F78="","",IFERROR(F78/MAX(1,COUNTIF('01_Конкуренты'!$B$7:$B$36,"?*")),""))</x:f>
      </x:c>
      <x:c r="H78" s="32" t="str"/>
      <x:c r="I78" s="32" t="str">
        <x:f>IF(B78="","",IF(OR(E78="Обязательное",E78="Линейное"),IF(G78&gt;=0.6,"Рыночный стандарт",IF(G78&gt;=0.35,"Формирующаяся норма","Проверить необходимость")),IF(E78="Привлекательное",IF(G78&lt;0.5,"Зона дифференциации","Переходит в ожидаемое"),IF(E78="Безразличное","Низкий приоритет",IF(E78="Обратное","Риск отторжения","Требует проверки")))))</x:f>
      </x:c>
      <x:c r="J78" s="32" t="str"/>
      <x:c r="K78" s="32" t="str"/>
      <x:c r="L78" s="32" t="str"/>
    </x:row>
    <x:row r="79">
      <x:c r="A79" s="32" t="str">
        <x:v>S073</x:v>
      </x:c>
      <x:c r="B79" s="32" t="str"/>
      <x:c r="C79" s="32" t="str"/>
      <x:c r="D79" s="32" t="str"/>
      <x:c r="E79" s="32" t="str"/>
      <x:c r="F79" s="32" t="str"/>
      <x:c r="G79" s="44" t="str">
        <x:f>IF(F79="","",IFERROR(F79/MAX(1,COUNTIF('01_Конкуренты'!$B$7:$B$36,"?*")),""))</x:f>
      </x:c>
      <x:c r="H79" s="32" t="str"/>
      <x:c r="I79" s="32" t="str">
        <x:f>IF(B79="","",IF(OR(E79="Обязательное",E79="Линейное"),IF(G79&gt;=0.6,"Рыночный стандарт",IF(G79&gt;=0.35,"Формирующаяся норма","Проверить необходимость")),IF(E79="Привлекательное",IF(G79&lt;0.5,"Зона дифференциации","Переходит в ожидаемое"),IF(E79="Безразличное","Низкий приоритет",IF(E79="Обратное","Риск отторжения","Требует проверки")))))</x:f>
      </x:c>
      <x:c r="J79" s="32" t="str"/>
      <x:c r="K79" s="32" t="str"/>
      <x:c r="L79" s="32" t="str"/>
    </x:row>
    <x:row r="80">
      <x:c r="A80" s="32" t="str">
        <x:v>S074</x:v>
      </x:c>
      <x:c r="B80" s="32" t="str"/>
      <x:c r="C80" s="32" t="str"/>
      <x:c r="D80" s="32" t="str"/>
      <x:c r="E80" s="32" t="str"/>
      <x:c r="F80" s="32" t="str"/>
      <x:c r="G80" s="44" t="str">
        <x:f>IF(F80="","",IFERROR(F80/MAX(1,COUNTIF('01_Конкуренты'!$B$7:$B$36,"?*")),""))</x:f>
      </x:c>
      <x:c r="H80" s="32" t="str"/>
      <x:c r="I80" s="32" t="str">
        <x:f>IF(B80="","",IF(OR(E80="Обязательное",E80="Линейное"),IF(G80&gt;=0.6,"Рыночный стандарт",IF(G80&gt;=0.35,"Формирующаяся норма","Проверить необходимость")),IF(E80="Привлекательное",IF(G80&lt;0.5,"Зона дифференциации","Переходит в ожидаемое"),IF(E80="Безразличное","Низкий приоритет",IF(E80="Обратное","Риск отторжения","Требует проверки")))))</x:f>
      </x:c>
      <x:c r="J80" s="32" t="str"/>
      <x:c r="K80" s="32" t="str"/>
      <x:c r="L80" s="32" t="str"/>
    </x:row>
    <x:row r="81">
      <x:c r="A81" s="32" t="str">
        <x:v>S075</x:v>
      </x:c>
      <x:c r="B81" s="32" t="str"/>
      <x:c r="C81" s="32" t="str"/>
      <x:c r="D81" s="32" t="str"/>
      <x:c r="E81" s="32" t="str"/>
      <x:c r="F81" s="32" t="str"/>
      <x:c r="G81" s="44" t="str">
        <x:f>IF(F81="","",IFERROR(F81/MAX(1,COUNTIF('01_Конкуренты'!$B$7:$B$36,"?*")),""))</x:f>
      </x:c>
      <x:c r="H81" s="32" t="str"/>
      <x:c r="I81" s="32" t="str">
        <x:f>IF(B81="","",IF(OR(E81="Обязательное",E81="Линейное"),IF(G81&gt;=0.6,"Рыночный стандарт",IF(G81&gt;=0.35,"Формирующаяся норма","Проверить необходимость")),IF(E81="Привлекательное",IF(G81&lt;0.5,"Зона дифференциации","Переходит в ожидаемое"),IF(E81="Безразличное","Низкий приоритет",IF(E81="Обратное","Риск отторжения","Требует проверки")))))</x:f>
      </x:c>
      <x:c r="J81" s="32" t="str"/>
      <x:c r="K81" s="32" t="str"/>
      <x:c r="L81" s="32" t="str"/>
    </x:row>
    <x:row r="82">
      <x:c r="A82" s="32" t="str">
        <x:v>S076</x:v>
      </x:c>
      <x:c r="B82" s="32" t="str"/>
      <x:c r="C82" s="32" t="str"/>
      <x:c r="D82" s="32" t="str"/>
      <x:c r="E82" s="32" t="str"/>
      <x:c r="F82" s="32" t="str"/>
      <x:c r="G82" s="44" t="str">
        <x:f>IF(F82="","",IFERROR(F82/MAX(1,COUNTIF('01_Конкуренты'!$B$7:$B$36,"?*")),""))</x:f>
      </x:c>
      <x:c r="H82" s="32" t="str"/>
      <x:c r="I82" s="32" t="str">
        <x:f>IF(B82="","",IF(OR(E82="Обязательное",E82="Линейное"),IF(G82&gt;=0.6,"Рыночный стандарт",IF(G82&gt;=0.35,"Формирующаяся норма","Проверить необходимость")),IF(E82="Привлекательное",IF(G82&lt;0.5,"Зона дифференциации","Переходит в ожидаемое"),IF(E82="Безразличное","Низкий приоритет",IF(E82="Обратное","Риск отторжения","Требует проверки")))))</x:f>
      </x:c>
      <x:c r="J82" s="32" t="str"/>
      <x:c r="K82" s="32" t="str"/>
      <x:c r="L82" s="32" t="str"/>
    </x:row>
    <x:row r="83">
      <x:c r="A83" s="32" t="str">
        <x:v>S077</x:v>
      </x:c>
      <x:c r="B83" s="32" t="str"/>
      <x:c r="C83" s="32" t="str"/>
      <x:c r="D83" s="32" t="str"/>
      <x:c r="E83" s="32" t="str"/>
      <x:c r="F83" s="32" t="str"/>
      <x:c r="G83" s="44" t="str">
        <x:f>IF(F83="","",IFERROR(F83/MAX(1,COUNTIF('01_Конкуренты'!$B$7:$B$36,"?*")),""))</x:f>
      </x:c>
      <x:c r="H83" s="32" t="str"/>
      <x:c r="I83" s="32" t="str">
        <x:f>IF(B83="","",IF(OR(E83="Обязательное",E83="Линейное"),IF(G83&gt;=0.6,"Рыночный стандарт",IF(G83&gt;=0.35,"Формирующаяся норма","Проверить необходимость")),IF(E83="Привлекательное",IF(G83&lt;0.5,"Зона дифференциации","Переходит в ожидаемое"),IF(E83="Безразличное","Низкий приоритет",IF(E83="Обратное","Риск отторжения","Требует проверки")))))</x:f>
      </x:c>
      <x:c r="J83" s="32" t="str"/>
      <x:c r="K83" s="32" t="str"/>
      <x:c r="L83" s="32" t="str"/>
    </x:row>
    <x:row r="84">
      <x:c r="A84" s="32" t="str">
        <x:v>S078</x:v>
      </x:c>
      <x:c r="B84" s="32" t="str"/>
      <x:c r="C84" s="32" t="str"/>
      <x:c r="D84" s="32" t="str"/>
      <x:c r="E84" s="32" t="str"/>
      <x:c r="F84" s="32" t="str"/>
      <x:c r="G84" s="44" t="str">
        <x:f>IF(F84="","",IFERROR(F84/MAX(1,COUNTIF('01_Конкуренты'!$B$7:$B$36,"?*")),""))</x:f>
      </x:c>
      <x:c r="H84" s="32" t="str"/>
      <x:c r="I84" s="32" t="str">
        <x:f>IF(B84="","",IF(OR(E84="Обязательное",E84="Линейное"),IF(G84&gt;=0.6,"Рыночный стандарт",IF(G84&gt;=0.35,"Формирующаяся норма","Проверить необходимость")),IF(E84="Привлекательное",IF(G84&lt;0.5,"Зона дифференциации","Переходит в ожидаемое"),IF(E84="Безразличное","Низкий приоритет",IF(E84="Обратное","Риск отторжения","Требует проверки")))))</x:f>
      </x:c>
      <x:c r="J84" s="32" t="str"/>
      <x:c r="K84" s="32" t="str"/>
      <x:c r="L84" s="32" t="str"/>
    </x:row>
    <x:row r="85">
      <x:c r="A85" s="32" t="str">
        <x:v>S079</x:v>
      </x:c>
      <x:c r="B85" s="32" t="str"/>
      <x:c r="C85" s="32" t="str"/>
      <x:c r="D85" s="32" t="str"/>
      <x:c r="E85" s="32" t="str"/>
      <x:c r="F85" s="32" t="str"/>
      <x:c r="G85" s="44" t="str">
        <x:f>IF(F85="","",IFERROR(F85/MAX(1,COUNTIF('01_Конкуренты'!$B$7:$B$36,"?*")),""))</x:f>
      </x:c>
      <x:c r="H85" s="32" t="str"/>
      <x:c r="I85" s="32" t="str">
        <x:f>IF(B85="","",IF(OR(E85="Обязательное",E85="Линейное"),IF(G85&gt;=0.6,"Рыночный стандарт",IF(G85&gt;=0.35,"Формирующаяся норма","Проверить необходимость")),IF(E85="Привлекательное",IF(G85&lt;0.5,"Зона дифференциации","Переходит в ожидаемое"),IF(E85="Безразличное","Низкий приоритет",IF(E85="Обратное","Риск отторжения","Требует проверки")))))</x:f>
      </x:c>
      <x:c r="J85" s="32" t="str"/>
      <x:c r="K85" s="32" t="str"/>
      <x:c r="L85" s="32" t="str"/>
    </x:row>
    <x:row r="86">
      <x:c r="A86" s="32" t="str">
        <x:v>S080</x:v>
      </x:c>
      <x:c r="B86" s="32" t="str"/>
      <x:c r="C86" s="32" t="str"/>
      <x:c r="D86" s="32" t="str"/>
      <x:c r="E86" s="32" t="str"/>
      <x:c r="F86" s="32" t="str"/>
      <x:c r="G86" s="44" t="str">
        <x:f>IF(F86="","",IFERROR(F86/MAX(1,COUNTIF('01_Конкуренты'!$B$7:$B$36,"?*")),""))</x:f>
      </x:c>
      <x:c r="H86" s="32" t="str"/>
      <x:c r="I86" s="32" t="str">
        <x:f>IF(B86="","",IF(OR(E86="Обязательное",E86="Линейное"),IF(G86&gt;=0.6,"Рыночный стандарт",IF(G86&gt;=0.35,"Формирующаяся норма","Проверить необходимость")),IF(E86="Привлекательное",IF(G86&lt;0.5,"Зона дифференциации","Переходит в ожидаемое"),IF(E86="Безразличное","Низкий приоритет",IF(E86="Обратное","Риск отторжения","Требует проверки")))))</x:f>
      </x:c>
      <x:c r="J86" s="32" t="str"/>
      <x:c r="K86" s="32" t="str"/>
      <x:c r="L86" s="32" t="str"/>
    </x:row>
    <x:row r="87">
      <x:c r="A87" s="32" t="str">
        <x:v>S081</x:v>
      </x:c>
      <x:c r="B87" s="32" t="str"/>
      <x:c r="C87" s="32" t="str"/>
      <x:c r="D87" s="32" t="str"/>
      <x:c r="E87" s="32" t="str"/>
      <x:c r="F87" s="32" t="str"/>
      <x:c r="G87" s="44" t="str">
        <x:f>IF(F87="","",IFERROR(F87/MAX(1,COUNTIF('01_Конкуренты'!$B$7:$B$36,"?*")),""))</x:f>
      </x:c>
      <x:c r="H87" s="32" t="str"/>
      <x:c r="I87" s="32" t="str">
        <x:f>IF(B87="","",IF(OR(E87="Обязательное",E87="Линейное"),IF(G87&gt;=0.6,"Рыночный стандарт",IF(G87&gt;=0.35,"Формирующаяся норма","Проверить необходимость")),IF(E87="Привлекательное",IF(G87&lt;0.5,"Зона дифференциации","Переходит в ожидаемое"),IF(E87="Безразличное","Низкий приоритет",IF(E87="Обратное","Риск отторжения","Требует проверки")))))</x:f>
      </x:c>
      <x:c r="J87" s="32" t="str"/>
      <x:c r="K87" s="32" t="str"/>
      <x:c r="L87" s="32" t="str"/>
    </x:row>
    <x:row r="88">
      <x:c r="A88" s="32" t="str">
        <x:v>S082</x:v>
      </x:c>
      <x:c r="B88" s="32" t="str"/>
      <x:c r="C88" s="32" t="str"/>
      <x:c r="D88" s="32" t="str"/>
      <x:c r="E88" s="32" t="str"/>
      <x:c r="F88" s="32" t="str"/>
      <x:c r="G88" s="44" t="str">
        <x:f>IF(F88="","",IFERROR(F88/MAX(1,COUNTIF('01_Конкуренты'!$B$7:$B$36,"?*")),""))</x:f>
      </x:c>
      <x:c r="H88" s="32" t="str"/>
      <x:c r="I88" s="32" t="str">
        <x:f>IF(B88="","",IF(OR(E88="Обязательное",E88="Линейное"),IF(G88&gt;=0.6,"Рыночный стандарт",IF(G88&gt;=0.35,"Формирующаяся норма","Проверить необходимость")),IF(E88="Привлекательное",IF(G88&lt;0.5,"Зона дифференциации","Переходит в ожидаемое"),IF(E88="Безразличное","Низкий приоритет",IF(E88="Обратное","Риск отторжения","Требует проверки")))))</x:f>
      </x:c>
      <x:c r="J88" s="32" t="str"/>
      <x:c r="K88" s="32" t="str"/>
      <x:c r="L88" s="32" t="str"/>
    </x:row>
    <x:row r="89">
      <x:c r="A89" s="32" t="str">
        <x:v>S083</x:v>
      </x:c>
      <x:c r="B89" s="32" t="str"/>
      <x:c r="C89" s="32" t="str"/>
      <x:c r="D89" s="32" t="str"/>
      <x:c r="E89" s="32" t="str"/>
      <x:c r="F89" s="32" t="str"/>
      <x:c r="G89" s="44" t="str">
        <x:f>IF(F89="","",IFERROR(F89/MAX(1,COUNTIF('01_Конкуренты'!$B$7:$B$36,"?*")),""))</x:f>
      </x:c>
      <x:c r="H89" s="32" t="str"/>
      <x:c r="I89" s="32" t="str">
        <x:f>IF(B89="","",IF(OR(E89="Обязательное",E89="Линейное"),IF(G89&gt;=0.6,"Рыночный стандарт",IF(G89&gt;=0.35,"Формирующаяся норма","Проверить необходимость")),IF(E89="Привлекательное",IF(G89&lt;0.5,"Зона дифференциации","Переходит в ожидаемое"),IF(E89="Безразличное","Низкий приоритет",IF(E89="Обратное","Риск отторжения","Требует проверки")))))</x:f>
      </x:c>
      <x:c r="J89" s="32" t="str"/>
      <x:c r="K89" s="32" t="str"/>
      <x:c r="L89" s="32" t="str"/>
    </x:row>
    <x:row r="90">
      <x:c r="A90" s="32" t="str">
        <x:v>S084</x:v>
      </x:c>
      <x:c r="B90" s="32" t="str"/>
      <x:c r="C90" s="32" t="str"/>
      <x:c r="D90" s="32" t="str"/>
      <x:c r="E90" s="32" t="str"/>
      <x:c r="F90" s="32" t="str"/>
      <x:c r="G90" s="44" t="str">
        <x:f>IF(F90="","",IFERROR(F90/MAX(1,COUNTIF('01_Конкуренты'!$B$7:$B$36,"?*")),""))</x:f>
      </x:c>
      <x:c r="H90" s="32" t="str"/>
      <x:c r="I90" s="32" t="str">
        <x:f>IF(B90="","",IF(OR(E90="Обязательное",E90="Линейное"),IF(G90&gt;=0.6,"Рыночный стандарт",IF(G90&gt;=0.35,"Формирующаяся норма","Проверить необходимость")),IF(E90="Привлекательное",IF(G90&lt;0.5,"Зона дифференциации","Переходит в ожидаемое"),IF(E90="Безразличное","Низкий приоритет",IF(E90="Обратное","Риск отторжения","Требует проверки")))))</x:f>
      </x:c>
      <x:c r="J90" s="32" t="str"/>
      <x:c r="K90" s="32" t="str"/>
      <x:c r="L90" s="32" t="str"/>
    </x:row>
    <x:row r="91">
      <x:c r="A91" s="32" t="str">
        <x:v>S085</x:v>
      </x:c>
      <x:c r="B91" s="32" t="str"/>
      <x:c r="C91" s="32" t="str"/>
      <x:c r="D91" s="32" t="str"/>
      <x:c r="E91" s="32" t="str"/>
      <x:c r="F91" s="32" t="str"/>
      <x:c r="G91" s="44" t="str">
        <x:f>IF(F91="","",IFERROR(F91/MAX(1,COUNTIF('01_Конкуренты'!$B$7:$B$36,"?*")),""))</x:f>
      </x:c>
      <x:c r="H91" s="32" t="str"/>
      <x:c r="I91" s="32" t="str">
        <x:f>IF(B91="","",IF(OR(E91="Обязательное",E91="Линейное"),IF(G91&gt;=0.6,"Рыночный стандарт",IF(G91&gt;=0.35,"Формирующаяся норма","Проверить необходимость")),IF(E91="Привлекательное",IF(G91&lt;0.5,"Зона дифференциации","Переходит в ожидаемое"),IF(E91="Безразличное","Низкий приоритет",IF(E91="Обратное","Риск отторжения","Требует проверки")))))</x:f>
      </x:c>
      <x:c r="J91" s="32" t="str"/>
      <x:c r="K91" s="32" t="str"/>
      <x:c r="L91" s="32" t="str"/>
    </x:row>
    <x:row r="92">
      <x:c r="A92" s="32" t="str">
        <x:v>S086</x:v>
      </x:c>
      <x:c r="B92" s="32" t="str"/>
      <x:c r="C92" s="32" t="str"/>
      <x:c r="D92" s="32" t="str"/>
      <x:c r="E92" s="32" t="str"/>
      <x:c r="F92" s="32" t="str"/>
      <x:c r="G92" s="44" t="str">
        <x:f>IF(F92="","",IFERROR(F92/MAX(1,COUNTIF('01_Конкуренты'!$B$7:$B$36,"?*")),""))</x:f>
      </x:c>
      <x:c r="H92" s="32" t="str"/>
      <x:c r="I92" s="32" t="str">
        <x:f>IF(B92="","",IF(OR(E92="Обязательное",E92="Линейное"),IF(G92&gt;=0.6,"Рыночный стандарт",IF(G92&gt;=0.35,"Формирующаяся норма","Проверить необходимость")),IF(E92="Привлекательное",IF(G92&lt;0.5,"Зона дифференциации","Переходит в ожидаемое"),IF(E92="Безразличное","Низкий приоритет",IF(E92="Обратное","Риск отторжения","Требует проверки")))))</x:f>
      </x:c>
      <x:c r="J92" s="32" t="str"/>
      <x:c r="K92" s="32" t="str"/>
      <x:c r="L92" s="32" t="str"/>
    </x:row>
    <x:row r="93">
      <x:c r="A93" s="32" t="str">
        <x:v>S087</x:v>
      </x:c>
      <x:c r="B93" s="32" t="str"/>
      <x:c r="C93" s="32" t="str"/>
      <x:c r="D93" s="32" t="str"/>
      <x:c r="E93" s="32" t="str"/>
      <x:c r="F93" s="32" t="str"/>
      <x:c r="G93" s="44" t="str">
        <x:f>IF(F93="","",IFERROR(F93/MAX(1,COUNTIF('01_Конкуренты'!$B$7:$B$36,"?*")),""))</x:f>
      </x:c>
      <x:c r="H93" s="32" t="str"/>
      <x:c r="I93" s="32" t="str">
        <x:f>IF(B93="","",IF(OR(E93="Обязательное",E93="Линейное"),IF(G93&gt;=0.6,"Рыночный стандарт",IF(G93&gt;=0.35,"Формирующаяся норма","Проверить необходимость")),IF(E93="Привлекательное",IF(G93&lt;0.5,"Зона дифференциации","Переходит в ожидаемое"),IF(E93="Безразличное","Низкий приоритет",IF(E93="Обратное","Риск отторжения","Требует проверки")))))</x:f>
      </x:c>
      <x:c r="J93" s="32" t="str"/>
      <x:c r="K93" s="32" t="str"/>
      <x:c r="L93" s="32" t="str"/>
    </x:row>
    <x:row r="94">
      <x:c r="A94" s="32" t="str">
        <x:v>S088</x:v>
      </x:c>
      <x:c r="B94" s="32" t="str"/>
      <x:c r="C94" s="32" t="str"/>
      <x:c r="D94" s="32" t="str"/>
      <x:c r="E94" s="32" t="str"/>
      <x:c r="F94" s="32" t="str"/>
      <x:c r="G94" s="44" t="str">
        <x:f>IF(F94="","",IFERROR(F94/MAX(1,COUNTIF('01_Конкуренты'!$B$7:$B$36,"?*")),""))</x:f>
      </x:c>
      <x:c r="H94" s="32" t="str"/>
      <x:c r="I94" s="32" t="str">
        <x:f>IF(B94="","",IF(OR(E94="Обязательное",E94="Линейное"),IF(G94&gt;=0.6,"Рыночный стандарт",IF(G94&gt;=0.35,"Формирующаяся норма","Проверить необходимость")),IF(E94="Привлекательное",IF(G94&lt;0.5,"Зона дифференциации","Переходит в ожидаемое"),IF(E94="Безразличное","Низкий приоритет",IF(E94="Обратное","Риск отторжения","Требует проверки")))))</x:f>
      </x:c>
      <x:c r="J94" s="32" t="str"/>
      <x:c r="K94" s="32" t="str"/>
      <x:c r="L94" s="32" t="str"/>
    </x:row>
    <x:row r="95">
      <x:c r="A95" s="32" t="str">
        <x:v>S089</x:v>
      </x:c>
      <x:c r="B95" s="32" t="str"/>
      <x:c r="C95" s="32" t="str"/>
      <x:c r="D95" s="32" t="str"/>
      <x:c r="E95" s="32" t="str"/>
      <x:c r="F95" s="32" t="str"/>
      <x:c r="G95" s="44" t="str">
        <x:f>IF(F95="","",IFERROR(F95/MAX(1,COUNTIF('01_Конкуренты'!$B$7:$B$36,"?*")),""))</x:f>
      </x:c>
      <x:c r="H95" s="32" t="str"/>
      <x:c r="I95" s="32" t="str">
        <x:f>IF(B95="","",IF(OR(E95="Обязательное",E95="Линейное"),IF(G95&gt;=0.6,"Рыночный стандарт",IF(G95&gt;=0.35,"Формирующаяся норма","Проверить необходимость")),IF(E95="Привлекательное",IF(G95&lt;0.5,"Зона дифференциации","Переходит в ожидаемое"),IF(E95="Безразличное","Низкий приоритет",IF(E95="Обратное","Риск отторжения","Требует проверки")))))</x:f>
      </x:c>
      <x:c r="J95" s="32" t="str"/>
      <x:c r="K95" s="32" t="str"/>
      <x:c r="L95" s="32" t="str"/>
    </x:row>
    <x:row r="96">
      <x:c r="A96" s="32" t="str">
        <x:v>S090</x:v>
      </x:c>
      <x:c r="B96" s="32" t="str"/>
      <x:c r="C96" s="32" t="str"/>
      <x:c r="D96" s="32" t="str"/>
      <x:c r="E96" s="32" t="str"/>
      <x:c r="F96" s="32" t="str"/>
      <x:c r="G96" s="44" t="str">
        <x:f>IF(F96="","",IFERROR(F96/MAX(1,COUNTIF('01_Конкуренты'!$B$7:$B$36,"?*")),""))</x:f>
      </x:c>
      <x:c r="H96" s="32" t="str"/>
      <x:c r="I96" s="32" t="str">
        <x:f>IF(B96="","",IF(OR(E96="Обязательное",E96="Линейное"),IF(G96&gt;=0.6,"Рыночный стандарт",IF(G96&gt;=0.35,"Формирующаяся норма","Проверить необходимость")),IF(E96="Привлекательное",IF(G96&lt;0.5,"Зона дифференциации","Переходит в ожидаемое"),IF(E96="Безразличное","Низкий приоритет",IF(E96="Обратное","Риск отторжения","Требует проверки")))))</x:f>
      </x:c>
      <x:c r="J96" s="32" t="str"/>
      <x:c r="K96" s="32" t="str"/>
      <x:c r="L96" s="32" t="str"/>
    </x:row>
    <x:row r="97">
      <x:c r="A97" s="32" t="str">
        <x:v>S091</x:v>
      </x:c>
      <x:c r="B97" s="32" t="str"/>
      <x:c r="C97" s="32" t="str"/>
      <x:c r="D97" s="32" t="str"/>
      <x:c r="E97" s="32" t="str"/>
      <x:c r="F97" s="32" t="str"/>
      <x:c r="G97" s="44" t="str">
        <x:f>IF(F97="","",IFERROR(F97/MAX(1,COUNTIF('01_Конкуренты'!$B$7:$B$36,"?*")),""))</x:f>
      </x:c>
      <x:c r="H97" s="32" t="str"/>
      <x:c r="I97" s="32" t="str">
        <x:f>IF(B97="","",IF(OR(E97="Обязательное",E97="Линейное"),IF(G97&gt;=0.6,"Рыночный стандарт",IF(G97&gt;=0.35,"Формирующаяся норма","Проверить необходимость")),IF(E97="Привлекательное",IF(G97&lt;0.5,"Зона дифференциации","Переходит в ожидаемое"),IF(E97="Безразличное","Низкий приоритет",IF(E97="Обратное","Риск отторжения","Требует проверки")))))</x:f>
      </x:c>
      <x:c r="J97" s="32" t="str"/>
      <x:c r="K97" s="32" t="str"/>
      <x:c r="L97" s="32" t="str"/>
    </x:row>
    <x:row r="98">
      <x:c r="A98" s="32" t="str">
        <x:v>S092</x:v>
      </x:c>
      <x:c r="B98" s="32" t="str"/>
      <x:c r="C98" s="32" t="str"/>
      <x:c r="D98" s="32" t="str"/>
      <x:c r="E98" s="32" t="str"/>
      <x:c r="F98" s="32" t="str"/>
      <x:c r="G98" s="44" t="str">
        <x:f>IF(F98="","",IFERROR(F98/MAX(1,COUNTIF('01_Конкуренты'!$B$7:$B$36,"?*")),""))</x:f>
      </x:c>
      <x:c r="H98" s="32" t="str"/>
      <x:c r="I98" s="32" t="str">
        <x:f>IF(B98="","",IF(OR(E98="Обязательное",E98="Линейное"),IF(G98&gt;=0.6,"Рыночный стандарт",IF(G98&gt;=0.35,"Формирующаяся норма","Проверить необходимость")),IF(E98="Привлекательное",IF(G98&lt;0.5,"Зона дифференциации","Переходит в ожидаемое"),IF(E98="Безразличное","Низкий приоритет",IF(E98="Обратное","Риск отторжения","Требует проверки")))))</x:f>
      </x:c>
      <x:c r="J98" s="32" t="str"/>
      <x:c r="K98" s="32" t="str"/>
      <x:c r="L98" s="32" t="str"/>
    </x:row>
    <x:row r="99">
      <x:c r="A99" s="32" t="str">
        <x:v>S093</x:v>
      </x:c>
      <x:c r="B99" s="32" t="str"/>
      <x:c r="C99" s="32" t="str"/>
      <x:c r="D99" s="32" t="str"/>
      <x:c r="E99" s="32" t="str"/>
      <x:c r="F99" s="32" t="str"/>
      <x:c r="G99" s="44" t="str">
        <x:f>IF(F99="","",IFERROR(F99/MAX(1,COUNTIF('01_Конкуренты'!$B$7:$B$36,"?*")),""))</x:f>
      </x:c>
      <x:c r="H99" s="32" t="str"/>
      <x:c r="I99" s="32" t="str">
        <x:f>IF(B99="","",IF(OR(E99="Обязательное",E99="Линейное"),IF(G99&gt;=0.6,"Рыночный стандарт",IF(G99&gt;=0.35,"Формирующаяся норма","Проверить необходимость")),IF(E99="Привлекательное",IF(G99&lt;0.5,"Зона дифференциации","Переходит в ожидаемое"),IF(E99="Безразличное","Низкий приоритет",IF(E99="Обратное","Риск отторжения","Требует проверки")))))</x:f>
      </x:c>
      <x:c r="J99" s="32" t="str"/>
      <x:c r="K99" s="32" t="str"/>
      <x:c r="L99" s="32" t="str"/>
    </x:row>
    <x:row r="100">
      <x:c r="A100" s="32" t="str">
        <x:v>S094</x:v>
      </x:c>
      <x:c r="B100" s="32" t="str"/>
      <x:c r="C100" s="32" t="str"/>
      <x:c r="D100" s="32" t="str"/>
      <x:c r="E100" s="32" t="str"/>
      <x:c r="F100" s="32" t="str"/>
      <x:c r="G100" s="44" t="str">
        <x:f>IF(F100="","",IFERROR(F100/MAX(1,COUNTIF('01_Конкуренты'!$B$7:$B$36,"?*")),""))</x:f>
      </x:c>
      <x:c r="H100" s="32" t="str"/>
      <x:c r="I100" s="32" t="str">
        <x:f>IF(B100="","",IF(OR(E100="Обязательное",E100="Линейное"),IF(G100&gt;=0.6,"Рыночный стандарт",IF(G100&gt;=0.35,"Формирующаяся норма","Проверить необходимость")),IF(E100="Привлекательное",IF(G100&lt;0.5,"Зона дифференциации","Переходит в ожидаемое"),IF(E100="Безразличное","Низкий приоритет",IF(E100="Обратное","Риск отторжения","Требует проверки")))))</x:f>
      </x:c>
      <x:c r="J100" s="32" t="str"/>
      <x:c r="K100" s="32" t="str"/>
      <x:c r="L100" s="32" t="str"/>
    </x:row>
    <x:row r="101">
      <x:c r="A101" s="32" t="str">
        <x:v>S095</x:v>
      </x:c>
      <x:c r="B101" s="32" t="str"/>
      <x:c r="C101" s="32" t="str"/>
      <x:c r="D101" s="32" t="str"/>
      <x:c r="E101" s="32" t="str"/>
      <x:c r="F101" s="32" t="str"/>
      <x:c r="G101" s="44" t="str">
        <x:f>IF(F101="","",IFERROR(F101/MAX(1,COUNTIF('01_Конкуренты'!$B$7:$B$36,"?*")),""))</x:f>
      </x:c>
      <x:c r="H101" s="32" t="str"/>
      <x:c r="I101" s="32" t="str">
        <x:f>IF(B101="","",IF(OR(E101="Обязательное",E101="Линейное"),IF(G101&gt;=0.6,"Рыночный стандарт",IF(G101&gt;=0.35,"Формирующаяся норма","Проверить необходимость")),IF(E101="Привлекательное",IF(G101&lt;0.5,"Зона дифференциации","Переходит в ожидаемое"),IF(E101="Безразличное","Низкий приоритет",IF(E101="Обратное","Риск отторжения","Требует проверки")))))</x:f>
      </x:c>
      <x:c r="J101" s="32" t="str"/>
      <x:c r="K101" s="32" t="str"/>
      <x:c r="L101" s="32" t="str"/>
    </x:row>
    <x:row r="102">
      <x:c r="A102" s="32" t="str">
        <x:v>S096</x:v>
      </x:c>
      <x:c r="B102" s="32" t="str"/>
      <x:c r="C102" s="32" t="str"/>
      <x:c r="D102" s="32" t="str"/>
      <x:c r="E102" s="32" t="str"/>
      <x:c r="F102" s="32" t="str"/>
      <x:c r="G102" s="44" t="str">
        <x:f>IF(F102="","",IFERROR(F102/MAX(1,COUNTIF('01_Конкуренты'!$B$7:$B$36,"?*")),""))</x:f>
      </x:c>
      <x:c r="H102" s="32" t="str"/>
      <x:c r="I102" s="32" t="str">
        <x:f>IF(B102="","",IF(OR(E102="Обязательное",E102="Линейное"),IF(G102&gt;=0.6,"Рыночный стандарт",IF(G102&gt;=0.35,"Формирующаяся норма","Проверить необходимость")),IF(E102="Привлекательное",IF(G102&lt;0.5,"Зона дифференциации","Переходит в ожидаемое"),IF(E102="Безразличное","Низкий приоритет",IF(E102="Обратное","Риск отторжения","Требует проверки")))))</x:f>
      </x:c>
      <x:c r="J102" s="32" t="str"/>
      <x:c r="K102" s="32" t="str"/>
      <x:c r="L102" s="32" t="str"/>
    </x:row>
    <x:row r="103">
      <x:c r="A103" s="32" t="str">
        <x:v>S097</x:v>
      </x:c>
      <x:c r="B103" s="32" t="str"/>
      <x:c r="C103" s="32" t="str"/>
      <x:c r="D103" s="32" t="str"/>
      <x:c r="E103" s="32" t="str"/>
      <x:c r="F103" s="32" t="str"/>
      <x:c r="G103" s="44" t="str">
        <x:f>IF(F103="","",IFERROR(F103/MAX(1,COUNTIF('01_Конкуренты'!$B$7:$B$36,"?*")),""))</x:f>
      </x:c>
      <x:c r="H103" s="32" t="str"/>
      <x:c r="I103" s="32" t="str">
        <x:f>IF(B103="","",IF(OR(E103="Обязательное",E103="Линейное"),IF(G103&gt;=0.6,"Рыночный стандарт",IF(G103&gt;=0.35,"Формирующаяся норма","Проверить необходимость")),IF(E103="Привлекательное",IF(G103&lt;0.5,"Зона дифференциации","Переходит в ожидаемое"),IF(E103="Безразличное","Низкий приоритет",IF(E103="Обратное","Риск отторжения","Требует проверки")))))</x:f>
      </x:c>
      <x:c r="J103" s="32" t="str"/>
      <x:c r="K103" s="32" t="str"/>
      <x:c r="L103" s="32" t="str"/>
    </x:row>
    <x:row r="104">
      <x:c r="A104" s="32" t="str">
        <x:v>S098</x:v>
      </x:c>
      <x:c r="B104" s="32" t="str"/>
      <x:c r="C104" s="32" t="str"/>
      <x:c r="D104" s="32" t="str"/>
      <x:c r="E104" s="32" t="str"/>
      <x:c r="F104" s="32" t="str"/>
      <x:c r="G104" s="44" t="str">
        <x:f>IF(F104="","",IFERROR(F104/MAX(1,COUNTIF('01_Конкуренты'!$B$7:$B$36,"?*")),""))</x:f>
      </x:c>
      <x:c r="H104" s="32" t="str"/>
      <x:c r="I104" s="32" t="str">
        <x:f>IF(B104="","",IF(OR(E104="Обязательное",E104="Линейное"),IF(G104&gt;=0.6,"Рыночный стандарт",IF(G104&gt;=0.35,"Формирующаяся норма","Проверить необходимость")),IF(E104="Привлекательное",IF(G104&lt;0.5,"Зона дифференциации","Переходит в ожидаемое"),IF(E104="Безразличное","Низкий приоритет",IF(E104="Обратное","Риск отторжения","Требует проверки")))))</x:f>
      </x:c>
      <x:c r="J104" s="32" t="str"/>
      <x:c r="K104" s="32" t="str"/>
      <x:c r="L104" s="32" t="str"/>
    </x:row>
    <x:row r="105">
      <x:c r="A105" s="32" t="str">
        <x:v>S099</x:v>
      </x:c>
      <x:c r="B105" s="32" t="str"/>
      <x:c r="C105" s="32" t="str"/>
      <x:c r="D105" s="32" t="str"/>
      <x:c r="E105" s="32" t="str"/>
      <x:c r="F105" s="32" t="str"/>
      <x:c r="G105" s="44" t="str">
        <x:f>IF(F105="","",IFERROR(F105/MAX(1,COUNTIF('01_Конкуренты'!$B$7:$B$36,"?*")),""))</x:f>
      </x:c>
      <x:c r="H105" s="32" t="str"/>
      <x:c r="I105" s="32" t="str">
        <x:f>IF(B105="","",IF(OR(E105="Обязательное",E105="Линейное"),IF(G105&gt;=0.6,"Рыночный стандарт",IF(G105&gt;=0.35,"Формирующаяся норма","Проверить необходимость")),IF(E105="Привлекательное",IF(G105&lt;0.5,"Зона дифференциации","Переходит в ожидаемое"),IF(E105="Безразличное","Низкий приоритет",IF(E105="Обратное","Риск отторжения","Требует проверки")))))</x:f>
      </x:c>
      <x:c r="J105" s="32" t="str"/>
      <x:c r="K105" s="32" t="str"/>
      <x:c r="L105" s="32" t="str"/>
    </x:row>
    <x:row r="106">
      <x:c r="A106" s="32" t="str">
        <x:v>S100</x:v>
      </x:c>
      <x:c r="B106" s="32" t="str"/>
      <x:c r="C106" s="32" t="str"/>
      <x:c r="D106" s="32" t="str"/>
      <x:c r="E106" s="32" t="str"/>
      <x:c r="F106" s="32" t="str"/>
      <x:c r="G106" s="44" t="str">
        <x:f>IF(F106="","",IFERROR(F106/MAX(1,COUNTIF('01_Конкуренты'!$B$7:$B$36,"?*")),""))</x:f>
      </x:c>
      <x:c r="H106" s="32" t="str"/>
      <x:c r="I106" s="32" t="str">
        <x:f>IF(B106="","",IF(OR(E106="Обязательное",E106="Линейное"),IF(G106&gt;=0.6,"Рыночный стандарт",IF(G106&gt;=0.35,"Формирующаяся норма","Проверить необходимость")),IF(E106="Привлекательное",IF(G106&lt;0.5,"Зона дифференциации","Переходит в ожидаемое"),IF(E106="Безразличное","Низкий приоритет",IF(E106="Обратное","Риск отторжения","Требует проверки")))))</x:f>
      </x:c>
      <x:c r="J106" s="32" t="str"/>
      <x:c r="K106" s="32" t="str"/>
      <x:c r="L106" s="32" t="str"/>
    </x:row>
    <x:row r="107">
      <x:c r="A107" s="32" t="str">
        <x:v>S101</x:v>
      </x:c>
      <x:c r="B107" s="32" t="str"/>
      <x:c r="C107" s="32" t="str"/>
      <x:c r="D107" s="32" t="str"/>
      <x:c r="E107" s="32" t="str"/>
      <x:c r="F107" s="32" t="str"/>
      <x:c r="G107" s="44" t="str">
        <x:f>IF(F107="","",IFERROR(F107/MAX(1,COUNTIF('01_Конкуренты'!$B$7:$B$36,"?*")),""))</x:f>
      </x:c>
      <x:c r="H107" s="32" t="str"/>
      <x:c r="I107" s="32" t="str">
        <x:f>IF(B107="","",IF(OR(E107="Обязательное",E107="Линейное"),IF(G107&gt;=0.6,"Рыночный стандарт",IF(G107&gt;=0.35,"Формирующаяся норма","Проверить необходимость")),IF(E107="Привлекательное",IF(G107&lt;0.5,"Зона дифференциации","Переходит в ожидаемое"),IF(E107="Безразличное","Низкий приоритет",IF(E107="Обратное","Риск отторжения","Требует проверки")))))</x:f>
      </x:c>
      <x:c r="J107" s="32" t="str"/>
      <x:c r="K107" s="32" t="str"/>
      <x:c r="L107" s="32" t="str"/>
    </x:row>
    <x:row r="108">
      <x:c r="A108" s="32" t="str">
        <x:v>S102</x:v>
      </x:c>
      <x:c r="B108" s="32" t="str"/>
      <x:c r="C108" s="32" t="str"/>
      <x:c r="D108" s="32" t="str"/>
      <x:c r="E108" s="32" t="str"/>
      <x:c r="F108" s="32" t="str"/>
      <x:c r="G108" s="44" t="str">
        <x:f>IF(F108="","",IFERROR(F108/MAX(1,COUNTIF('01_Конкуренты'!$B$7:$B$36,"?*")),""))</x:f>
      </x:c>
      <x:c r="H108" s="32" t="str"/>
      <x:c r="I108" s="32" t="str">
        <x:f>IF(B108="","",IF(OR(E108="Обязательное",E108="Линейное"),IF(G108&gt;=0.6,"Рыночный стандарт",IF(G108&gt;=0.35,"Формирующаяся норма","Проверить необходимость")),IF(E108="Привлекательное",IF(G108&lt;0.5,"Зона дифференциации","Переходит в ожидаемое"),IF(E108="Безразличное","Низкий приоритет",IF(E108="Обратное","Риск отторжения","Требует проверки")))))</x:f>
      </x:c>
      <x:c r="J108" s="32" t="str"/>
      <x:c r="K108" s="32" t="str"/>
      <x:c r="L108" s="32" t="str"/>
    </x:row>
    <x:row r="109">
      <x:c r="A109" s="32" t="str">
        <x:v>S103</x:v>
      </x:c>
      <x:c r="B109" s="32" t="str"/>
      <x:c r="C109" s="32" t="str"/>
      <x:c r="D109" s="32" t="str"/>
      <x:c r="E109" s="32" t="str"/>
      <x:c r="F109" s="32" t="str"/>
      <x:c r="G109" s="44" t="str">
        <x:f>IF(F109="","",IFERROR(F109/MAX(1,COUNTIF('01_Конкуренты'!$B$7:$B$36,"?*")),""))</x:f>
      </x:c>
      <x:c r="H109" s="32" t="str"/>
      <x:c r="I109" s="32" t="str">
        <x:f>IF(B109="","",IF(OR(E109="Обязательное",E109="Линейное"),IF(G109&gt;=0.6,"Рыночный стандарт",IF(G109&gt;=0.35,"Формирующаяся норма","Проверить необходимость")),IF(E109="Привлекательное",IF(G109&lt;0.5,"Зона дифференциации","Переходит в ожидаемое"),IF(E109="Безразличное","Низкий приоритет",IF(E109="Обратное","Риск отторжения","Требует проверки")))))</x:f>
      </x:c>
      <x:c r="J109" s="32" t="str"/>
      <x:c r="K109" s="32" t="str"/>
      <x:c r="L109" s="32" t="str"/>
    </x:row>
    <x:row r="110">
      <x:c r="A110" s="32" t="str">
        <x:v>S104</x:v>
      </x:c>
      <x:c r="B110" s="32" t="str"/>
      <x:c r="C110" s="32" t="str"/>
      <x:c r="D110" s="32" t="str"/>
      <x:c r="E110" s="32" t="str"/>
      <x:c r="F110" s="32" t="str"/>
      <x:c r="G110" s="44" t="str">
        <x:f>IF(F110="","",IFERROR(F110/MAX(1,COUNTIF('01_Конкуренты'!$B$7:$B$36,"?*")),""))</x:f>
      </x:c>
      <x:c r="H110" s="32" t="str"/>
      <x:c r="I110" s="32" t="str">
        <x:f>IF(B110="","",IF(OR(E110="Обязательное",E110="Линейное"),IF(G110&gt;=0.6,"Рыночный стандарт",IF(G110&gt;=0.35,"Формирующаяся норма","Проверить необходимость")),IF(E110="Привлекательное",IF(G110&lt;0.5,"Зона дифференциации","Переходит в ожидаемое"),IF(E110="Безразличное","Низкий приоритет",IF(E110="Обратное","Риск отторжения","Требует проверки")))))</x:f>
      </x:c>
      <x:c r="J110" s="32" t="str"/>
      <x:c r="K110" s="32" t="str"/>
      <x:c r="L110" s="32" t="str"/>
    </x:row>
    <x:row r="111">
      <x:c r="A111" s="32" t="str">
        <x:v>S105</x:v>
      </x:c>
      <x:c r="B111" s="32" t="str"/>
      <x:c r="C111" s="32" t="str"/>
      <x:c r="D111" s="32" t="str"/>
      <x:c r="E111" s="32" t="str"/>
      <x:c r="F111" s="32" t="str"/>
      <x:c r="G111" s="44" t="str">
        <x:f>IF(F111="","",IFERROR(F111/MAX(1,COUNTIF('01_Конкуренты'!$B$7:$B$36,"?*")),""))</x:f>
      </x:c>
      <x:c r="H111" s="32" t="str"/>
      <x:c r="I111" s="32" t="str">
        <x:f>IF(B111="","",IF(OR(E111="Обязательное",E111="Линейное"),IF(G111&gt;=0.6,"Рыночный стандарт",IF(G111&gt;=0.35,"Формирующаяся норма","Проверить необходимость")),IF(E111="Привлекательное",IF(G111&lt;0.5,"Зона дифференциации","Переходит в ожидаемое"),IF(E111="Безразличное","Низкий приоритет",IF(E111="Обратное","Риск отторжения","Требует проверки")))))</x:f>
      </x:c>
      <x:c r="J111" s="32" t="str"/>
      <x:c r="K111" s="32" t="str"/>
      <x:c r="L111" s="32" t="str"/>
    </x:row>
    <x:row r="112">
      <x:c r="A112" s="32" t="str">
        <x:v>S106</x:v>
      </x:c>
      <x:c r="B112" s="32" t="str"/>
      <x:c r="C112" s="32" t="str"/>
      <x:c r="D112" s="32" t="str"/>
      <x:c r="E112" s="32" t="str"/>
      <x:c r="F112" s="32" t="str"/>
      <x:c r="G112" s="44" t="str">
        <x:f>IF(F112="","",IFERROR(F112/MAX(1,COUNTIF('01_Конкуренты'!$B$7:$B$36,"?*")),""))</x:f>
      </x:c>
      <x:c r="H112" s="32" t="str"/>
      <x:c r="I112" s="32" t="str">
        <x:f>IF(B112="","",IF(OR(E112="Обязательное",E112="Линейное"),IF(G112&gt;=0.6,"Рыночный стандарт",IF(G112&gt;=0.35,"Формирующаяся норма","Проверить необходимость")),IF(E112="Привлекательное",IF(G112&lt;0.5,"Зона дифференциации","Переходит в ожидаемое"),IF(E112="Безразличное","Низкий приоритет",IF(E112="Обратное","Риск отторжения","Требует проверки")))))</x:f>
      </x:c>
      <x:c r="J112" s="32" t="str"/>
      <x:c r="K112" s="32" t="str"/>
      <x:c r="L112" s="32" t="str"/>
    </x:row>
    <x:row r="113">
      <x:c r="A113" s="32" t="str">
        <x:v>S107</x:v>
      </x:c>
      <x:c r="B113" s="32" t="str"/>
      <x:c r="C113" s="32" t="str"/>
      <x:c r="D113" s="32" t="str"/>
      <x:c r="E113" s="32" t="str"/>
      <x:c r="F113" s="32" t="str"/>
      <x:c r="G113" s="44" t="str">
        <x:f>IF(F113="","",IFERROR(F113/MAX(1,COUNTIF('01_Конкуренты'!$B$7:$B$36,"?*")),""))</x:f>
      </x:c>
      <x:c r="H113" s="32" t="str"/>
      <x:c r="I113" s="32" t="str">
        <x:f>IF(B113="","",IF(OR(E113="Обязательное",E113="Линейное"),IF(G113&gt;=0.6,"Рыночный стандарт",IF(G113&gt;=0.35,"Формирующаяся норма","Проверить необходимость")),IF(E113="Привлекательное",IF(G113&lt;0.5,"Зона дифференциации","Переходит в ожидаемое"),IF(E113="Безразличное","Низкий приоритет",IF(E113="Обратное","Риск отторжения","Требует проверки")))))</x:f>
      </x:c>
      <x:c r="J113" s="32" t="str"/>
      <x:c r="K113" s="32" t="str"/>
      <x:c r="L113" s="32" t="str"/>
    </x:row>
    <x:row r="114">
      <x:c r="A114" s="32" t="str">
        <x:v>S108</x:v>
      </x:c>
      <x:c r="B114" s="32" t="str"/>
      <x:c r="C114" s="32" t="str"/>
      <x:c r="D114" s="32" t="str"/>
      <x:c r="E114" s="32" t="str"/>
      <x:c r="F114" s="32" t="str"/>
      <x:c r="G114" s="44" t="str">
        <x:f>IF(F114="","",IFERROR(F114/MAX(1,COUNTIF('01_Конкуренты'!$B$7:$B$36,"?*")),""))</x:f>
      </x:c>
      <x:c r="H114" s="32" t="str"/>
      <x:c r="I114" s="32" t="str">
        <x:f>IF(B114="","",IF(OR(E114="Обязательное",E114="Линейное"),IF(G114&gt;=0.6,"Рыночный стандарт",IF(G114&gt;=0.35,"Формирующаяся норма","Проверить необходимость")),IF(E114="Привлекательное",IF(G114&lt;0.5,"Зона дифференциации","Переходит в ожидаемое"),IF(E114="Безразличное","Низкий приоритет",IF(E114="Обратное","Риск отторжения","Требует проверки")))))</x:f>
      </x:c>
      <x:c r="J114" s="32" t="str"/>
      <x:c r="K114" s="32" t="str"/>
      <x:c r="L114" s="32" t="str"/>
    </x:row>
    <x:row r="115">
      <x:c r="A115" s="32" t="str">
        <x:v>S109</x:v>
      </x:c>
      <x:c r="B115" s="32" t="str"/>
      <x:c r="C115" s="32" t="str"/>
      <x:c r="D115" s="32" t="str"/>
      <x:c r="E115" s="32" t="str"/>
      <x:c r="F115" s="32" t="str"/>
      <x:c r="G115" s="44" t="str">
        <x:f>IF(F115="","",IFERROR(F115/MAX(1,COUNTIF('01_Конкуренты'!$B$7:$B$36,"?*")),""))</x:f>
      </x:c>
      <x:c r="H115" s="32" t="str"/>
      <x:c r="I115" s="32" t="str">
        <x:f>IF(B115="","",IF(OR(E115="Обязательное",E115="Линейное"),IF(G115&gt;=0.6,"Рыночный стандарт",IF(G115&gt;=0.35,"Формирующаяся норма","Проверить необходимость")),IF(E115="Привлекательное",IF(G115&lt;0.5,"Зона дифференциации","Переходит в ожидаемое"),IF(E115="Безразличное","Низкий приоритет",IF(E115="Обратное","Риск отторжения","Требует проверки")))))</x:f>
      </x:c>
      <x:c r="J115" s="32" t="str"/>
      <x:c r="K115" s="32" t="str"/>
      <x:c r="L115" s="32" t="str"/>
    </x:row>
    <x:row r="116">
      <x:c r="A116" s="32" t="str">
        <x:v>S110</x:v>
      </x:c>
      <x:c r="B116" s="32" t="str"/>
      <x:c r="C116" s="32" t="str"/>
      <x:c r="D116" s="32" t="str"/>
      <x:c r="E116" s="32" t="str"/>
      <x:c r="F116" s="32" t="str"/>
      <x:c r="G116" s="44" t="str">
        <x:f>IF(F116="","",IFERROR(F116/MAX(1,COUNTIF('01_Конкуренты'!$B$7:$B$36,"?*")),""))</x:f>
      </x:c>
      <x:c r="H116" s="32" t="str"/>
      <x:c r="I116" s="32" t="str">
        <x:f>IF(B116="","",IF(OR(E116="Обязательное",E116="Линейное"),IF(G116&gt;=0.6,"Рыночный стандарт",IF(G116&gt;=0.35,"Формирующаяся норма","Проверить необходимость")),IF(E116="Привлекательное",IF(G116&lt;0.5,"Зона дифференциации","Переходит в ожидаемое"),IF(E116="Безразличное","Низкий приоритет",IF(E116="Обратное","Риск отторжения","Требует проверки")))))</x:f>
      </x:c>
      <x:c r="J116" s="32" t="str"/>
      <x:c r="K116" s="32" t="str"/>
      <x:c r="L116" s="32" t="str"/>
    </x:row>
    <x:row r="117">
      <x:c r="A117" s="32" t="str">
        <x:v>S111</x:v>
      </x:c>
      <x:c r="B117" s="32" t="str"/>
      <x:c r="C117" s="32" t="str"/>
      <x:c r="D117" s="32" t="str"/>
      <x:c r="E117" s="32" t="str"/>
      <x:c r="F117" s="32" t="str"/>
      <x:c r="G117" s="44" t="str">
        <x:f>IF(F117="","",IFERROR(F117/MAX(1,COUNTIF('01_Конкуренты'!$B$7:$B$36,"?*")),""))</x:f>
      </x:c>
      <x:c r="H117" s="32" t="str"/>
      <x:c r="I117" s="32" t="str">
        <x:f>IF(B117="","",IF(OR(E117="Обязательное",E117="Линейное"),IF(G117&gt;=0.6,"Рыночный стандарт",IF(G117&gt;=0.35,"Формирующаяся норма","Проверить необходимость")),IF(E117="Привлекательное",IF(G117&lt;0.5,"Зона дифференциации","Переходит в ожидаемое"),IF(E117="Безразличное","Низкий приоритет",IF(E117="Обратное","Риск отторжения","Требует проверки")))))</x:f>
      </x:c>
      <x:c r="J117" s="32" t="str"/>
      <x:c r="K117" s="32" t="str"/>
      <x:c r="L117" s="32" t="str"/>
    </x:row>
    <x:row r="118">
      <x:c r="A118" s="32" t="str">
        <x:v>S112</x:v>
      </x:c>
      <x:c r="B118" s="32" t="str"/>
      <x:c r="C118" s="32" t="str"/>
      <x:c r="D118" s="32" t="str"/>
      <x:c r="E118" s="32" t="str"/>
      <x:c r="F118" s="32" t="str"/>
      <x:c r="G118" s="44" t="str">
        <x:f>IF(F118="","",IFERROR(F118/MAX(1,COUNTIF('01_Конкуренты'!$B$7:$B$36,"?*")),""))</x:f>
      </x:c>
      <x:c r="H118" s="32" t="str"/>
      <x:c r="I118" s="32" t="str">
        <x:f>IF(B118="","",IF(OR(E118="Обязательное",E118="Линейное"),IF(G118&gt;=0.6,"Рыночный стандарт",IF(G118&gt;=0.35,"Формирующаяся норма","Проверить необходимость")),IF(E118="Привлекательное",IF(G118&lt;0.5,"Зона дифференциации","Переходит в ожидаемое"),IF(E118="Безразличное","Низкий приоритет",IF(E118="Обратное","Риск отторжения","Требует проверки")))))</x:f>
      </x:c>
      <x:c r="J118" s="32" t="str"/>
      <x:c r="K118" s="32" t="str"/>
      <x:c r="L118" s="32" t="str"/>
    </x:row>
    <x:row r="119">
      <x:c r="A119" s="32" t="str">
        <x:v>S113</x:v>
      </x:c>
      <x:c r="B119" s="32" t="str"/>
      <x:c r="C119" s="32" t="str"/>
      <x:c r="D119" s="32" t="str"/>
      <x:c r="E119" s="32" t="str"/>
      <x:c r="F119" s="32" t="str"/>
      <x:c r="G119" s="44" t="str">
        <x:f>IF(F119="","",IFERROR(F119/MAX(1,COUNTIF('01_Конкуренты'!$B$7:$B$36,"?*")),""))</x:f>
      </x:c>
      <x:c r="H119" s="32" t="str"/>
      <x:c r="I119" s="32" t="str">
        <x:f>IF(B119="","",IF(OR(E119="Обязательное",E119="Линейное"),IF(G119&gt;=0.6,"Рыночный стандарт",IF(G119&gt;=0.35,"Формирующаяся норма","Проверить необходимость")),IF(E119="Привлекательное",IF(G119&lt;0.5,"Зона дифференциации","Переходит в ожидаемое"),IF(E119="Безразличное","Низкий приоритет",IF(E119="Обратное","Риск отторжения","Требует проверки")))))</x:f>
      </x:c>
      <x:c r="J119" s="32" t="str"/>
      <x:c r="K119" s="32" t="str"/>
      <x:c r="L119" s="32" t="str"/>
    </x:row>
    <x:row r="120">
      <x:c r="A120" s="32" t="str">
        <x:v>S114</x:v>
      </x:c>
      <x:c r="B120" s="32" t="str"/>
      <x:c r="C120" s="32" t="str"/>
      <x:c r="D120" s="32" t="str"/>
      <x:c r="E120" s="32" t="str"/>
      <x:c r="F120" s="32" t="str"/>
      <x:c r="G120" s="44" t="str">
        <x:f>IF(F120="","",IFERROR(F120/MAX(1,COUNTIF('01_Конкуренты'!$B$7:$B$36,"?*")),""))</x:f>
      </x:c>
      <x:c r="H120" s="32" t="str"/>
      <x:c r="I120" s="32" t="str">
        <x:f>IF(B120="","",IF(OR(E120="Обязательное",E120="Линейное"),IF(G120&gt;=0.6,"Рыночный стандарт",IF(G120&gt;=0.35,"Формирующаяся норма","Проверить необходимость")),IF(E120="Привлекательное",IF(G120&lt;0.5,"Зона дифференциации","Переходит в ожидаемое"),IF(E120="Безразличное","Низкий приоритет",IF(E120="Обратное","Риск отторжения","Требует проверки")))))</x:f>
      </x:c>
      <x:c r="J120" s="32" t="str"/>
      <x:c r="K120" s="32" t="str"/>
      <x:c r="L120" s="32" t="str"/>
    </x:row>
    <x:row r="121">
      <x:c r="A121" s="32" t="str">
        <x:v>S115</x:v>
      </x:c>
      <x:c r="B121" s="32" t="str"/>
      <x:c r="C121" s="32" t="str"/>
      <x:c r="D121" s="32" t="str"/>
      <x:c r="E121" s="32" t="str"/>
      <x:c r="F121" s="32" t="str"/>
      <x:c r="G121" s="44" t="str">
        <x:f>IF(F121="","",IFERROR(F121/MAX(1,COUNTIF('01_Конкуренты'!$B$7:$B$36,"?*")),""))</x:f>
      </x:c>
      <x:c r="H121" s="32" t="str"/>
      <x:c r="I121" s="32" t="str">
        <x:f>IF(B121="","",IF(OR(E121="Обязательное",E121="Линейное"),IF(G121&gt;=0.6,"Рыночный стандарт",IF(G121&gt;=0.35,"Формирующаяся норма","Проверить необходимость")),IF(E121="Привлекательное",IF(G121&lt;0.5,"Зона дифференциации","Переходит в ожидаемое"),IF(E121="Безразличное","Низкий приоритет",IF(E121="Обратное","Риск отторжения","Требует проверки")))))</x:f>
      </x:c>
      <x:c r="J121" s="32" t="str"/>
      <x:c r="K121" s="32" t="str"/>
      <x:c r="L121" s="32" t="str"/>
    </x:row>
    <x:row r="122">
      <x:c r="A122" s="32" t="str">
        <x:v>S116</x:v>
      </x:c>
      <x:c r="B122" s="32" t="str"/>
      <x:c r="C122" s="32" t="str"/>
      <x:c r="D122" s="32" t="str"/>
      <x:c r="E122" s="32" t="str"/>
      <x:c r="F122" s="32" t="str"/>
      <x:c r="G122" s="44" t="str">
        <x:f>IF(F122="","",IFERROR(F122/MAX(1,COUNTIF('01_Конкуренты'!$B$7:$B$36,"?*")),""))</x:f>
      </x:c>
      <x:c r="H122" s="32" t="str"/>
      <x:c r="I122" s="32" t="str">
        <x:f>IF(B122="","",IF(OR(E122="Обязательное",E122="Линейное"),IF(G122&gt;=0.6,"Рыночный стандарт",IF(G122&gt;=0.35,"Формирующаяся норма","Проверить необходимость")),IF(E122="Привлекательное",IF(G122&lt;0.5,"Зона дифференциации","Переходит в ожидаемое"),IF(E122="Безразличное","Низкий приоритет",IF(E122="Обратное","Риск отторжения","Требует проверки")))))</x:f>
      </x:c>
      <x:c r="J122" s="32" t="str"/>
      <x:c r="K122" s="32" t="str"/>
      <x:c r="L122" s="32" t="str"/>
    </x:row>
    <x:row r="123">
      <x:c r="A123" s="32" t="str">
        <x:v>S117</x:v>
      </x:c>
      <x:c r="B123" s="32" t="str"/>
      <x:c r="C123" s="32" t="str"/>
      <x:c r="D123" s="32" t="str"/>
      <x:c r="E123" s="32" t="str"/>
      <x:c r="F123" s="32" t="str"/>
      <x:c r="G123" s="44" t="str">
        <x:f>IF(F123="","",IFERROR(F123/MAX(1,COUNTIF('01_Конкуренты'!$B$7:$B$36,"?*")),""))</x:f>
      </x:c>
      <x:c r="H123" s="32" t="str"/>
      <x:c r="I123" s="32" t="str">
        <x:f>IF(B123="","",IF(OR(E123="Обязательное",E123="Линейное"),IF(G123&gt;=0.6,"Рыночный стандарт",IF(G123&gt;=0.35,"Формирующаяся норма","Проверить необходимость")),IF(E123="Привлекательное",IF(G123&lt;0.5,"Зона дифференциации","Переходит в ожидаемое"),IF(E123="Безразличное","Низкий приоритет",IF(E123="Обратное","Риск отторжения","Требует проверки")))))</x:f>
      </x:c>
      <x:c r="J123" s="32" t="str"/>
      <x:c r="K123" s="32" t="str"/>
      <x:c r="L123" s="32" t="str"/>
    </x:row>
    <x:row r="124">
      <x:c r="A124" s="32" t="str">
        <x:v>S118</x:v>
      </x:c>
      <x:c r="B124" s="32" t="str"/>
      <x:c r="C124" s="32" t="str"/>
      <x:c r="D124" s="32" t="str"/>
      <x:c r="E124" s="32" t="str"/>
      <x:c r="F124" s="32" t="str"/>
      <x:c r="G124" s="44" t="str">
        <x:f>IF(F124="","",IFERROR(F124/MAX(1,COUNTIF('01_Конкуренты'!$B$7:$B$36,"?*")),""))</x:f>
      </x:c>
      <x:c r="H124" s="32" t="str"/>
      <x:c r="I124" s="32" t="str">
        <x:f>IF(B124="","",IF(OR(E124="Обязательное",E124="Линейное"),IF(G124&gt;=0.6,"Рыночный стандарт",IF(G124&gt;=0.35,"Формирующаяся норма","Проверить необходимость")),IF(E124="Привлекательное",IF(G124&lt;0.5,"Зона дифференциации","Переходит в ожидаемое"),IF(E124="Безразличное","Низкий приоритет",IF(E124="Обратное","Риск отторжения","Требует проверки")))))</x:f>
      </x:c>
      <x:c r="J124" s="32" t="str"/>
      <x:c r="K124" s="32" t="str"/>
      <x:c r="L124" s="32" t="str"/>
    </x:row>
    <x:row r="125">
      <x:c r="A125" s="32" t="str">
        <x:v>S119</x:v>
      </x:c>
      <x:c r="B125" s="32" t="str"/>
      <x:c r="C125" s="32" t="str"/>
      <x:c r="D125" s="32" t="str"/>
      <x:c r="E125" s="32" t="str"/>
      <x:c r="F125" s="32" t="str"/>
      <x:c r="G125" s="44" t="str">
        <x:f>IF(F125="","",IFERROR(F125/MAX(1,COUNTIF('01_Конкуренты'!$B$7:$B$36,"?*")),""))</x:f>
      </x:c>
      <x:c r="H125" s="32" t="str"/>
      <x:c r="I125" s="32" t="str">
        <x:f>IF(B125="","",IF(OR(E125="Обязательное",E125="Линейное"),IF(G125&gt;=0.6,"Рыночный стандарт",IF(G125&gt;=0.35,"Формирующаяся норма","Проверить необходимость")),IF(E125="Привлекательное",IF(G125&lt;0.5,"Зона дифференциации","Переходит в ожидаемое"),IF(E125="Безразличное","Низкий приоритет",IF(E125="Обратное","Риск отторжения","Требует проверки")))))</x:f>
      </x:c>
      <x:c r="J125" s="32" t="str"/>
      <x:c r="K125" s="32" t="str"/>
      <x:c r="L125" s="32" t="str"/>
    </x:row>
    <x:row r="126">
      <x:c r="A126" s="32" t="str">
        <x:v>S120</x:v>
      </x:c>
      <x:c r="B126" s="32" t="str"/>
      <x:c r="C126" s="32" t="str"/>
      <x:c r="D126" s="32" t="str"/>
      <x:c r="E126" s="32" t="str"/>
      <x:c r="F126" s="32" t="str"/>
      <x:c r="G126" s="44" t="str">
        <x:f>IF(F126="","",IFERROR(F126/MAX(1,COUNTIF('01_Конкуренты'!$B$7:$B$36,"?*")),""))</x:f>
      </x:c>
      <x:c r="H126" s="32" t="str"/>
      <x:c r="I126" s="32" t="str">
        <x:f>IF(B126="","",IF(OR(E126="Обязательное",E126="Линейное"),IF(G126&gt;=0.6,"Рыночный стандарт",IF(G126&gt;=0.35,"Формирующаяся норма","Проверить необходимость")),IF(E126="Привлекательное",IF(G126&lt;0.5,"Зона дифференциации","Переходит в ожидаемое"),IF(E126="Безразличное","Низкий приоритет",IF(E126="Обратное","Риск отторжения","Требует проверки")))))</x:f>
      </x:c>
      <x:c r="J126" s="32" t="str"/>
      <x:c r="K126" s="32" t="str"/>
      <x:c r="L126" s="32" t="str"/>
    </x:row>
    <x:row r="127">
      <x:c r="A127" s="32" t="str">
        <x:v>S121</x:v>
      </x:c>
      <x:c r="B127" s="32" t="str"/>
      <x:c r="C127" s="32" t="str"/>
      <x:c r="D127" s="32" t="str"/>
      <x:c r="E127" s="32" t="str"/>
      <x:c r="F127" s="32" t="str"/>
      <x:c r="G127" s="44" t="str">
        <x:f>IF(F127="","",IFERROR(F127/MAX(1,COUNTIF('01_Конкуренты'!$B$7:$B$36,"?*")),""))</x:f>
      </x:c>
      <x:c r="H127" s="32" t="str"/>
      <x:c r="I127" s="32" t="str">
        <x:f>IF(B127="","",IF(OR(E127="Обязательное",E127="Линейное"),IF(G127&gt;=0.6,"Рыночный стандарт",IF(G127&gt;=0.35,"Формирующаяся норма","Проверить необходимость")),IF(E127="Привлекательное",IF(G127&lt;0.5,"Зона дифференциации","Переходит в ожидаемое"),IF(E127="Безразличное","Низкий приоритет",IF(E127="Обратное","Риск отторжения","Требует проверки")))))</x:f>
      </x:c>
      <x:c r="J127" s="32" t="str"/>
      <x:c r="K127" s="32" t="str"/>
      <x:c r="L127" s="32" t="str"/>
    </x:row>
    <x:row r="128">
      <x:c r="A128" s="32" t="str">
        <x:v>S122</x:v>
      </x:c>
      <x:c r="B128" s="32" t="str"/>
      <x:c r="C128" s="32" t="str"/>
      <x:c r="D128" s="32" t="str"/>
      <x:c r="E128" s="32" t="str"/>
      <x:c r="F128" s="32" t="str"/>
      <x:c r="G128" s="44" t="str">
        <x:f>IF(F128="","",IFERROR(F128/MAX(1,COUNTIF('01_Конкуренты'!$B$7:$B$36,"?*")),""))</x:f>
      </x:c>
      <x:c r="H128" s="32" t="str"/>
      <x:c r="I128" s="32" t="str">
        <x:f>IF(B128="","",IF(OR(E128="Обязательное",E128="Линейное"),IF(G128&gt;=0.6,"Рыночный стандарт",IF(G128&gt;=0.35,"Формирующаяся норма","Проверить необходимость")),IF(E128="Привлекательное",IF(G128&lt;0.5,"Зона дифференциации","Переходит в ожидаемое"),IF(E128="Безразличное","Низкий приоритет",IF(E128="Обратное","Риск отторжения","Требует проверки")))))</x:f>
      </x:c>
      <x:c r="J128" s="32" t="str"/>
      <x:c r="K128" s="32" t="str"/>
      <x:c r="L128" s="32" t="str"/>
    </x:row>
    <x:row r="129">
      <x:c r="A129" s="32" t="str">
        <x:v>S123</x:v>
      </x:c>
      <x:c r="B129" s="32" t="str"/>
      <x:c r="C129" s="32" t="str"/>
      <x:c r="D129" s="32" t="str"/>
      <x:c r="E129" s="32" t="str"/>
      <x:c r="F129" s="32" t="str"/>
      <x:c r="G129" s="44" t="str">
        <x:f>IF(F129="","",IFERROR(F129/MAX(1,COUNTIF('01_Конкуренты'!$B$7:$B$36,"?*")),""))</x:f>
      </x:c>
      <x:c r="H129" s="32" t="str"/>
      <x:c r="I129" s="32" t="str">
        <x:f>IF(B129="","",IF(OR(E129="Обязательное",E129="Линейное"),IF(G129&gt;=0.6,"Рыночный стандарт",IF(G129&gt;=0.35,"Формирующаяся норма","Проверить необходимость")),IF(E129="Привлекательное",IF(G129&lt;0.5,"Зона дифференциации","Переходит в ожидаемое"),IF(E129="Безразличное","Низкий приоритет",IF(E129="Обратное","Риск отторжения","Требует проверки")))))</x:f>
      </x:c>
      <x:c r="J129" s="32" t="str"/>
      <x:c r="K129" s="32" t="str"/>
      <x:c r="L129" s="32" t="str"/>
    </x:row>
    <x:row r="130">
      <x:c r="A130" s="32" t="str">
        <x:v>S124</x:v>
      </x:c>
      <x:c r="B130" s="32" t="str"/>
      <x:c r="C130" s="32" t="str"/>
      <x:c r="D130" s="32" t="str"/>
      <x:c r="E130" s="32" t="str"/>
      <x:c r="F130" s="32" t="str"/>
      <x:c r="G130" s="44" t="str">
        <x:f>IF(F130="","",IFERROR(F130/MAX(1,COUNTIF('01_Конкуренты'!$B$7:$B$36,"?*")),""))</x:f>
      </x:c>
      <x:c r="H130" s="32" t="str"/>
      <x:c r="I130" s="32" t="str">
        <x:f>IF(B130="","",IF(OR(E130="Обязательное",E130="Линейное"),IF(G130&gt;=0.6,"Рыночный стандарт",IF(G130&gt;=0.35,"Формирующаяся норма","Проверить необходимость")),IF(E130="Привлекательное",IF(G130&lt;0.5,"Зона дифференциации","Переходит в ожидаемое"),IF(E130="Безразличное","Низкий приоритет",IF(E130="Обратное","Риск отторжения","Требует проверки")))))</x:f>
      </x:c>
      <x:c r="J130" s="32" t="str"/>
      <x:c r="K130" s="32" t="str"/>
      <x:c r="L130" s="32" t="str"/>
    </x:row>
    <x:row r="131">
      <x:c r="A131" s="32" t="str">
        <x:v>S125</x:v>
      </x:c>
      <x:c r="B131" s="32" t="str"/>
      <x:c r="C131" s="32" t="str"/>
      <x:c r="D131" s="32" t="str"/>
      <x:c r="E131" s="32" t="str"/>
      <x:c r="F131" s="32" t="str"/>
      <x:c r="G131" s="44" t="str">
        <x:f>IF(F131="","",IFERROR(F131/MAX(1,COUNTIF('01_Конкуренты'!$B$7:$B$36,"?*")),""))</x:f>
      </x:c>
      <x:c r="H131" s="32" t="str"/>
      <x:c r="I131" s="32" t="str">
        <x:f>IF(B131="","",IF(OR(E131="Обязательное",E131="Линейное"),IF(G131&gt;=0.6,"Рыночный стандарт",IF(G131&gt;=0.35,"Формирующаяся норма","Проверить необходимость")),IF(E131="Привлекательное",IF(G131&lt;0.5,"Зона дифференциации","Переходит в ожидаемое"),IF(E131="Безразличное","Низкий приоритет",IF(E131="Обратное","Риск отторжения","Требует проверки")))))</x:f>
      </x:c>
      <x:c r="J131" s="32" t="str"/>
      <x:c r="K131" s="32" t="str"/>
      <x:c r="L131" s="32" t="str"/>
    </x:row>
    <x:row r="132">
      <x:c r="A132" s="32" t="str">
        <x:v>S126</x:v>
      </x:c>
      <x:c r="B132" s="32" t="str"/>
      <x:c r="C132" s="32" t="str"/>
      <x:c r="D132" s="32" t="str"/>
      <x:c r="E132" s="32" t="str"/>
      <x:c r="F132" s="32" t="str"/>
      <x:c r="G132" s="44" t="str">
        <x:f>IF(F132="","",IFERROR(F132/MAX(1,COUNTIF('01_Конкуренты'!$B$7:$B$36,"?*")),""))</x:f>
      </x:c>
      <x:c r="H132" s="32" t="str"/>
      <x:c r="I132" s="32" t="str">
        <x:f>IF(B132="","",IF(OR(E132="Обязательное",E132="Линейное"),IF(G132&gt;=0.6,"Рыночный стандарт",IF(G132&gt;=0.35,"Формирующаяся норма","Проверить необходимость")),IF(E132="Привлекательное",IF(G132&lt;0.5,"Зона дифференциации","Переходит в ожидаемое"),IF(E132="Безразличное","Низкий приоритет",IF(E132="Обратное","Риск отторжения","Требует проверки")))))</x:f>
      </x:c>
      <x:c r="J132" s="32" t="str"/>
      <x:c r="K132" s="32" t="str"/>
      <x:c r="L132" s="32" t="str"/>
    </x:row>
    <x:row r="133">
      <x:c r="A133" s="32" t="str">
        <x:v>S127</x:v>
      </x:c>
      <x:c r="B133" s="32" t="str"/>
      <x:c r="C133" s="32" t="str"/>
      <x:c r="D133" s="32" t="str"/>
      <x:c r="E133" s="32" t="str"/>
      <x:c r="F133" s="32" t="str"/>
      <x:c r="G133" s="44" t="str">
        <x:f>IF(F133="","",IFERROR(F133/MAX(1,COUNTIF('01_Конкуренты'!$B$7:$B$36,"?*")),""))</x:f>
      </x:c>
      <x:c r="H133" s="32" t="str"/>
      <x:c r="I133" s="32" t="str">
        <x:f>IF(B133="","",IF(OR(E133="Обязательное",E133="Линейное"),IF(G133&gt;=0.6,"Рыночный стандарт",IF(G133&gt;=0.35,"Формирующаяся норма","Проверить необходимость")),IF(E133="Привлекательное",IF(G133&lt;0.5,"Зона дифференциации","Переходит в ожидаемое"),IF(E133="Безразличное","Низкий приоритет",IF(E133="Обратное","Риск отторжения","Требует проверки")))))</x:f>
      </x:c>
      <x:c r="J133" s="32" t="str"/>
      <x:c r="K133" s="32" t="str"/>
      <x:c r="L133" s="32" t="str"/>
    </x:row>
    <x:row r="134">
      <x:c r="A134" s="32" t="str">
        <x:v>S128</x:v>
      </x:c>
      <x:c r="B134" s="32" t="str"/>
      <x:c r="C134" s="32" t="str"/>
      <x:c r="D134" s="32" t="str"/>
      <x:c r="E134" s="32" t="str"/>
      <x:c r="F134" s="32" t="str"/>
      <x:c r="G134" s="44" t="str">
        <x:f>IF(F134="","",IFERROR(F134/MAX(1,COUNTIF('01_Конкуренты'!$B$7:$B$36,"?*")),""))</x:f>
      </x:c>
      <x:c r="H134" s="32" t="str"/>
      <x:c r="I134" s="32" t="str">
        <x:f>IF(B134="","",IF(OR(E134="Обязательное",E134="Линейное"),IF(G134&gt;=0.6,"Рыночный стандарт",IF(G134&gt;=0.35,"Формирующаяся норма","Проверить необходимость")),IF(E134="Привлекательное",IF(G134&lt;0.5,"Зона дифференциации","Переходит в ожидаемое"),IF(E134="Безразличное","Низкий приоритет",IF(E134="Обратное","Риск отторжения","Требует проверки")))))</x:f>
      </x:c>
      <x:c r="J134" s="32" t="str"/>
      <x:c r="K134" s="32" t="str"/>
      <x:c r="L134" s="32" t="str"/>
    </x:row>
    <x:row r="135">
      <x:c r="A135" s="32" t="str">
        <x:v>S129</x:v>
      </x:c>
      <x:c r="B135" s="32" t="str"/>
      <x:c r="C135" s="32" t="str"/>
      <x:c r="D135" s="32" t="str"/>
      <x:c r="E135" s="32" t="str"/>
      <x:c r="F135" s="32" t="str"/>
      <x:c r="G135" s="44" t="str">
        <x:f>IF(F135="","",IFERROR(F135/MAX(1,COUNTIF('01_Конкуренты'!$B$7:$B$36,"?*")),""))</x:f>
      </x:c>
      <x:c r="H135" s="32" t="str"/>
      <x:c r="I135" s="32" t="str">
        <x:f>IF(B135="","",IF(OR(E135="Обязательное",E135="Линейное"),IF(G135&gt;=0.6,"Рыночный стандарт",IF(G135&gt;=0.35,"Формирующаяся норма","Проверить необходимость")),IF(E135="Привлекательное",IF(G135&lt;0.5,"Зона дифференциации","Переходит в ожидаемое"),IF(E135="Безразличное","Низкий приоритет",IF(E135="Обратное","Риск отторжения","Требует проверки")))))</x:f>
      </x:c>
      <x:c r="J135" s="32" t="str"/>
      <x:c r="K135" s="32" t="str"/>
      <x:c r="L135" s="32" t="str"/>
    </x:row>
    <x:row r="136">
      <x:c r="A136" s="32" t="str">
        <x:v>S130</x:v>
      </x:c>
      <x:c r="B136" s="32" t="str"/>
      <x:c r="C136" s="32" t="str"/>
      <x:c r="D136" s="32" t="str"/>
      <x:c r="E136" s="32" t="str"/>
      <x:c r="F136" s="32" t="str"/>
      <x:c r="G136" s="44" t="str">
        <x:f>IF(F136="","",IFERROR(F136/MAX(1,COUNTIF('01_Конкуренты'!$B$7:$B$36,"?*")),""))</x:f>
      </x:c>
      <x:c r="H136" s="32" t="str"/>
      <x:c r="I136" s="32" t="str">
        <x:f>IF(B136="","",IF(OR(E136="Обязательное",E136="Линейное"),IF(G136&gt;=0.6,"Рыночный стандарт",IF(G136&gt;=0.35,"Формирующаяся норма","Проверить необходимость")),IF(E136="Привлекательное",IF(G136&lt;0.5,"Зона дифференциации","Переходит в ожидаемое"),IF(E136="Безразличное","Низкий приоритет",IF(E136="Обратное","Риск отторжения","Требует проверки")))))</x:f>
      </x:c>
      <x:c r="J136" s="32" t="str"/>
      <x:c r="K136" s="32" t="str"/>
      <x:c r="L136" s="32" t="str"/>
    </x:row>
    <x:row r="137">
      <x:c r="A137" s="32" t="str">
        <x:v>S131</x:v>
      </x:c>
      <x:c r="B137" s="32" t="str"/>
      <x:c r="C137" s="32" t="str"/>
      <x:c r="D137" s="32" t="str"/>
      <x:c r="E137" s="32" t="str"/>
      <x:c r="F137" s="32" t="str"/>
      <x:c r="G137" s="44" t="str">
        <x:f>IF(F137="","",IFERROR(F137/MAX(1,COUNTIF('01_Конкуренты'!$B$7:$B$36,"?*")),""))</x:f>
      </x:c>
      <x:c r="H137" s="32" t="str"/>
      <x:c r="I137" s="32" t="str">
        <x:f>IF(B137="","",IF(OR(E137="Обязательное",E137="Линейное"),IF(G137&gt;=0.6,"Рыночный стандарт",IF(G137&gt;=0.35,"Формирующаяся норма","Проверить необходимость")),IF(E137="Привлекательное",IF(G137&lt;0.5,"Зона дифференциации","Переходит в ожидаемое"),IF(E137="Безразличное","Низкий приоритет",IF(E137="Обратное","Риск отторжения","Требует проверки")))))</x:f>
      </x:c>
      <x:c r="J137" s="32" t="str"/>
      <x:c r="K137" s="32" t="str"/>
      <x:c r="L137" s="32" t="str"/>
    </x:row>
    <x:row r="138">
      <x:c r="A138" s="32" t="str">
        <x:v>S132</x:v>
      </x:c>
      <x:c r="B138" s="32" t="str"/>
      <x:c r="C138" s="32" t="str"/>
      <x:c r="D138" s="32" t="str"/>
      <x:c r="E138" s="32" t="str"/>
      <x:c r="F138" s="32" t="str"/>
      <x:c r="G138" s="44" t="str">
        <x:f>IF(F138="","",IFERROR(F138/MAX(1,COUNTIF('01_Конкуренты'!$B$7:$B$36,"?*")),""))</x:f>
      </x:c>
      <x:c r="H138" s="32" t="str"/>
      <x:c r="I138" s="32" t="str">
        <x:f>IF(B138="","",IF(OR(E138="Обязательное",E138="Линейное"),IF(G138&gt;=0.6,"Рыночный стандарт",IF(G138&gt;=0.35,"Формирующаяся норма","Проверить необходимость")),IF(E138="Привлекательное",IF(G138&lt;0.5,"Зона дифференциации","Переходит в ожидаемое"),IF(E138="Безразличное","Низкий приоритет",IF(E138="Обратное","Риск отторжения","Требует проверки")))))</x:f>
      </x:c>
      <x:c r="J138" s="32" t="str"/>
      <x:c r="K138" s="32" t="str"/>
      <x:c r="L138" s="32" t="str"/>
    </x:row>
    <x:row r="139">
      <x:c r="A139" s="32" t="str">
        <x:v>S133</x:v>
      </x:c>
      <x:c r="B139" s="32" t="str"/>
      <x:c r="C139" s="32" t="str"/>
      <x:c r="D139" s="32" t="str"/>
      <x:c r="E139" s="32" t="str"/>
      <x:c r="F139" s="32" t="str"/>
      <x:c r="G139" s="44" t="str">
        <x:f>IF(F139="","",IFERROR(F139/MAX(1,COUNTIF('01_Конкуренты'!$B$7:$B$36,"?*")),""))</x:f>
      </x:c>
      <x:c r="H139" s="32" t="str"/>
      <x:c r="I139" s="32" t="str">
        <x:f>IF(B139="","",IF(OR(E139="Обязательное",E139="Линейное"),IF(G139&gt;=0.6,"Рыночный стандарт",IF(G139&gt;=0.35,"Формирующаяся норма","Проверить необходимость")),IF(E139="Привлекательное",IF(G139&lt;0.5,"Зона дифференциации","Переходит в ожидаемое"),IF(E139="Безразличное","Низкий приоритет",IF(E139="Обратное","Риск отторжения","Требует проверки")))))</x:f>
      </x:c>
      <x:c r="J139" s="32" t="str"/>
      <x:c r="K139" s="32" t="str"/>
      <x:c r="L139" s="32" t="str"/>
    </x:row>
    <x:row r="140">
      <x:c r="A140" s="32" t="str">
        <x:v>S134</x:v>
      </x:c>
      <x:c r="B140" s="32" t="str"/>
      <x:c r="C140" s="32" t="str"/>
      <x:c r="D140" s="32" t="str"/>
      <x:c r="E140" s="32" t="str"/>
      <x:c r="F140" s="32" t="str"/>
      <x:c r="G140" s="44" t="str">
        <x:f>IF(F140="","",IFERROR(F140/MAX(1,COUNTIF('01_Конкуренты'!$B$7:$B$36,"?*")),""))</x:f>
      </x:c>
      <x:c r="H140" s="32" t="str"/>
      <x:c r="I140" s="32" t="str">
        <x:f>IF(B140="","",IF(OR(E140="Обязательное",E140="Линейное"),IF(G140&gt;=0.6,"Рыночный стандарт",IF(G140&gt;=0.35,"Формирующаяся норма","Проверить необходимость")),IF(E140="Привлекательное",IF(G140&lt;0.5,"Зона дифференциации","Переходит в ожидаемое"),IF(E140="Безразличное","Низкий приоритет",IF(E140="Обратное","Риск отторжения","Требует проверки")))))</x:f>
      </x:c>
      <x:c r="J140" s="32" t="str"/>
      <x:c r="K140" s="32" t="str"/>
      <x:c r="L140" s="32" t="str"/>
    </x:row>
    <x:row r="141">
      <x:c r="A141" s="32" t="str">
        <x:v>S135</x:v>
      </x:c>
      <x:c r="B141" s="32" t="str"/>
      <x:c r="C141" s="32" t="str"/>
      <x:c r="D141" s="32" t="str"/>
      <x:c r="E141" s="32" t="str"/>
      <x:c r="F141" s="32" t="str"/>
      <x:c r="G141" s="44" t="str">
        <x:f>IF(F141="","",IFERROR(F141/MAX(1,COUNTIF('01_Конкуренты'!$B$7:$B$36,"?*")),""))</x:f>
      </x:c>
      <x:c r="H141" s="32" t="str"/>
      <x:c r="I141" s="32" t="str">
        <x:f>IF(B141="","",IF(OR(E141="Обязательное",E141="Линейное"),IF(G141&gt;=0.6,"Рыночный стандарт",IF(G141&gt;=0.35,"Формирующаяся норма","Проверить необходимость")),IF(E141="Привлекательное",IF(G141&lt;0.5,"Зона дифференциации","Переходит в ожидаемое"),IF(E141="Безразличное","Низкий приоритет",IF(E141="Обратное","Риск отторжения","Требует проверки")))))</x:f>
      </x:c>
      <x:c r="J141" s="32" t="str"/>
      <x:c r="K141" s="32" t="str"/>
      <x:c r="L141" s="32" t="str"/>
    </x:row>
    <x:row r="142">
      <x:c r="A142" s="32" t="str">
        <x:v>S136</x:v>
      </x:c>
      <x:c r="B142" s="32" t="str"/>
      <x:c r="C142" s="32" t="str"/>
      <x:c r="D142" s="32" t="str"/>
      <x:c r="E142" s="32" t="str"/>
      <x:c r="F142" s="32" t="str"/>
      <x:c r="G142" s="44" t="str">
        <x:f>IF(F142="","",IFERROR(F142/MAX(1,COUNTIF('01_Конкуренты'!$B$7:$B$36,"?*")),""))</x:f>
      </x:c>
      <x:c r="H142" s="32" t="str"/>
      <x:c r="I142" s="32" t="str">
        <x:f>IF(B142="","",IF(OR(E142="Обязательное",E142="Линейное"),IF(G142&gt;=0.6,"Рыночный стандарт",IF(G142&gt;=0.35,"Формирующаяся норма","Проверить необходимость")),IF(E142="Привлекательное",IF(G142&lt;0.5,"Зона дифференциации","Переходит в ожидаемое"),IF(E142="Безразличное","Низкий приоритет",IF(E142="Обратное","Риск отторжения","Требует проверки")))))</x:f>
      </x:c>
      <x:c r="J142" s="32" t="str"/>
      <x:c r="K142" s="32" t="str"/>
      <x:c r="L142" s="32" t="str"/>
    </x:row>
    <x:row r="143">
      <x:c r="A143" s="32" t="str">
        <x:v>S137</x:v>
      </x:c>
      <x:c r="B143" s="32" t="str"/>
      <x:c r="C143" s="32" t="str"/>
      <x:c r="D143" s="32" t="str"/>
      <x:c r="E143" s="32" t="str"/>
      <x:c r="F143" s="32" t="str"/>
      <x:c r="G143" s="44" t="str">
        <x:f>IF(F143="","",IFERROR(F143/MAX(1,COUNTIF('01_Конкуренты'!$B$7:$B$36,"?*")),""))</x:f>
      </x:c>
      <x:c r="H143" s="32" t="str"/>
      <x:c r="I143" s="32" t="str">
        <x:f>IF(B143="","",IF(OR(E143="Обязательное",E143="Линейное"),IF(G143&gt;=0.6,"Рыночный стандарт",IF(G143&gt;=0.35,"Формирующаяся норма","Проверить необходимость")),IF(E143="Привлекательное",IF(G143&lt;0.5,"Зона дифференциации","Переходит в ожидаемое"),IF(E143="Безразличное","Низкий приоритет",IF(E143="Обратное","Риск отторжения","Требует проверки")))))</x:f>
      </x:c>
      <x:c r="J143" s="32" t="str"/>
      <x:c r="K143" s="32" t="str"/>
      <x:c r="L143" s="32" t="str"/>
    </x:row>
    <x:row r="144">
      <x:c r="A144" s="32" t="str">
        <x:v>S138</x:v>
      </x:c>
      <x:c r="B144" s="32" t="str"/>
      <x:c r="C144" s="32" t="str"/>
      <x:c r="D144" s="32" t="str"/>
      <x:c r="E144" s="32" t="str"/>
      <x:c r="F144" s="32" t="str"/>
      <x:c r="G144" s="44" t="str">
        <x:f>IF(F144="","",IFERROR(F144/MAX(1,COUNTIF('01_Конкуренты'!$B$7:$B$36,"?*")),""))</x:f>
      </x:c>
      <x:c r="H144" s="32" t="str"/>
      <x:c r="I144" s="32" t="str">
        <x:f>IF(B144="","",IF(OR(E144="Обязательное",E144="Линейное"),IF(G144&gt;=0.6,"Рыночный стандарт",IF(G144&gt;=0.35,"Формирующаяся норма","Проверить необходимость")),IF(E144="Привлекательное",IF(G144&lt;0.5,"Зона дифференциации","Переходит в ожидаемое"),IF(E144="Безразличное","Низкий приоритет",IF(E144="Обратное","Риск отторжения","Требует проверки")))))</x:f>
      </x:c>
      <x:c r="J144" s="32" t="str"/>
      <x:c r="K144" s="32" t="str"/>
      <x:c r="L144" s="32" t="str"/>
    </x:row>
    <x:row r="145">
      <x:c r="A145" s="32" t="str">
        <x:v>S139</x:v>
      </x:c>
      <x:c r="B145" s="32" t="str"/>
      <x:c r="C145" s="32" t="str"/>
      <x:c r="D145" s="32" t="str"/>
      <x:c r="E145" s="32" t="str"/>
      <x:c r="F145" s="32" t="str"/>
      <x:c r="G145" s="44" t="str">
        <x:f>IF(F145="","",IFERROR(F145/MAX(1,COUNTIF('01_Конкуренты'!$B$7:$B$36,"?*")),""))</x:f>
      </x:c>
      <x:c r="H145" s="32" t="str"/>
      <x:c r="I145" s="32" t="str">
        <x:f>IF(B145="","",IF(OR(E145="Обязательное",E145="Линейное"),IF(G145&gt;=0.6,"Рыночный стандарт",IF(G145&gt;=0.35,"Формирующаяся норма","Проверить необходимость")),IF(E145="Привлекательное",IF(G145&lt;0.5,"Зона дифференциации","Переходит в ожидаемое"),IF(E145="Безразличное","Низкий приоритет",IF(E145="Обратное","Риск отторжения","Требует проверки")))))</x:f>
      </x:c>
      <x:c r="J145" s="32" t="str"/>
      <x:c r="K145" s="32" t="str"/>
      <x:c r="L145" s="32" t="str"/>
    </x:row>
    <x:row r="146">
      <x:c r="A146" s="32" t="str">
        <x:v>S140</x:v>
      </x:c>
      <x:c r="B146" s="32" t="str"/>
      <x:c r="C146" s="32" t="str"/>
      <x:c r="D146" s="32" t="str"/>
      <x:c r="E146" s="32" t="str"/>
      <x:c r="F146" s="32" t="str"/>
      <x:c r="G146" s="44" t="str">
        <x:f>IF(F146="","",IFERROR(F146/MAX(1,COUNTIF('01_Конкуренты'!$B$7:$B$36,"?*")),""))</x:f>
      </x:c>
      <x:c r="H146" s="32" t="str"/>
      <x:c r="I146" s="32" t="str">
        <x:f>IF(B146="","",IF(OR(E146="Обязательное",E146="Линейное"),IF(G146&gt;=0.6,"Рыночный стандарт",IF(G146&gt;=0.35,"Формирующаяся норма","Проверить необходимость")),IF(E146="Привлекательное",IF(G146&lt;0.5,"Зона дифференциации","Переходит в ожидаемое"),IF(E146="Безразличное","Низкий приоритет",IF(E146="Обратное","Риск отторжения","Требует проверки")))))</x:f>
      </x:c>
      <x:c r="J146" s="32" t="str"/>
      <x:c r="K146" s="32" t="str"/>
      <x:c r="L146" s="32" t="str"/>
    </x:row>
    <x:row r="147">
      <x:c r="A147" s="32" t="str">
        <x:v>S141</x:v>
      </x:c>
      <x:c r="B147" s="32" t="str"/>
      <x:c r="C147" s="32" t="str"/>
      <x:c r="D147" s="32" t="str"/>
      <x:c r="E147" s="32" t="str"/>
      <x:c r="F147" s="32" t="str"/>
      <x:c r="G147" s="44" t="str">
        <x:f>IF(F147="","",IFERROR(F147/MAX(1,COUNTIF('01_Конкуренты'!$B$7:$B$36,"?*")),""))</x:f>
      </x:c>
      <x:c r="H147" s="32" t="str"/>
      <x:c r="I147" s="32" t="str">
        <x:f>IF(B147="","",IF(OR(E147="Обязательное",E147="Линейное"),IF(G147&gt;=0.6,"Рыночный стандарт",IF(G147&gt;=0.35,"Формирующаяся норма","Проверить необходимость")),IF(E147="Привлекательное",IF(G147&lt;0.5,"Зона дифференциации","Переходит в ожидаемое"),IF(E147="Безразличное","Низкий приоритет",IF(E147="Обратное","Риск отторжения","Требует проверки")))))</x:f>
      </x:c>
      <x:c r="J147" s="32" t="str"/>
      <x:c r="K147" s="32" t="str"/>
      <x:c r="L147" s="32" t="str"/>
    </x:row>
    <x:row r="148">
      <x:c r="A148" s="32" t="str">
        <x:v>S142</x:v>
      </x:c>
      <x:c r="B148" s="32" t="str"/>
      <x:c r="C148" s="32" t="str"/>
      <x:c r="D148" s="32" t="str"/>
      <x:c r="E148" s="32" t="str"/>
      <x:c r="F148" s="32" t="str"/>
      <x:c r="G148" s="44" t="str">
        <x:f>IF(F148="","",IFERROR(F148/MAX(1,COUNTIF('01_Конкуренты'!$B$7:$B$36,"?*")),""))</x:f>
      </x:c>
      <x:c r="H148" s="32" t="str"/>
      <x:c r="I148" s="32" t="str">
        <x:f>IF(B148="","",IF(OR(E148="Обязательное",E148="Линейное"),IF(G148&gt;=0.6,"Рыночный стандарт",IF(G148&gt;=0.35,"Формирующаяся норма","Проверить необходимость")),IF(E148="Привлекательное",IF(G148&lt;0.5,"Зона дифференциации","Переходит в ожидаемое"),IF(E148="Безразличное","Низкий приоритет",IF(E148="Обратное","Риск отторжения","Требует проверки")))))</x:f>
      </x:c>
      <x:c r="J148" s="32" t="str"/>
      <x:c r="K148" s="32" t="str"/>
      <x:c r="L148" s="32" t="str"/>
    </x:row>
    <x:row r="149">
      <x:c r="A149" s="32" t="str">
        <x:v>S143</x:v>
      </x:c>
      <x:c r="B149" s="32" t="str"/>
      <x:c r="C149" s="32" t="str"/>
      <x:c r="D149" s="32" t="str"/>
      <x:c r="E149" s="32" t="str"/>
      <x:c r="F149" s="32" t="str"/>
      <x:c r="G149" s="44" t="str">
        <x:f>IF(F149="","",IFERROR(F149/MAX(1,COUNTIF('01_Конкуренты'!$B$7:$B$36,"?*")),""))</x:f>
      </x:c>
      <x:c r="H149" s="32" t="str"/>
      <x:c r="I149" s="32" t="str">
        <x:f>IF(B149="","",IF(OR(E149="Обязательное",E149="Линейное"),IF(G149&gt;=0.6,"Рыночный стандарт",IF(G149&gt;=0.35,"Формирующаяся норма","Проверить необходимость")),IF(E149="Привлекательное",IF(G149&lt;0.5,"Зона дифференциации","Переходит в ожидаемое"),IF(E149="Безразличное","Низкий приоритет",IF(E149="Обратное","Риск отторжения","Требует проверки")))))</x:f>
      </x:c>
      <x:c r="J149" s="32" t="str"/>
      <x:c r="K149" s="32" t="str"/>
      <x:c r="L149" s="32" t="str"/>
    </x:row>
    <x:row r="150">
      <x:c r="A150" s="32" t="str">
        <x:v>S144</x:v>
      </x:c>
      <x:c r="B150" s="32" t="str"/>
      <x:c r="C150" s="32" t="str"/>
      <x:c r="D150" s="32" t="str"/>
      <x:c r="E150" s="32" t="str"/>
      <x:c r="F150" s="32" t="str"/>
      <x:c r="G150" s="44" t="str">
        <x:f>IF(F150="","",IFERROR(F150/MAX(1,COUNTIF('01_Конкуренты'!$B$7:$B$36,"?*")),""))</x:f>
      </x:c>
      <x:c r="H150" s="32" t="str"/>
      <x:c r="I150" s="32" t="str">
        <x:f>IF(B150="","",IF(OR(E150="Обязательное",E150="Линейное"),IF(G150&gt;=0.6,"Рыночный стандарт",IF(G150&gt;=0.35,"Формирующаяся норма","Проверить необходимость")),IF(E150="Привлекательное",IF(G150&lt;0.5,"Зона дифференциации","Переходит в ожидаемое"),IF(E150="Безразличное","Низкий приоритет",IF(E150="Обратное","Риск отторжения","Требует проверки")))))</x:f>
      </x:c>
      <x:c r="J150" s="32" t="str"/>
      <x:c r="K150" s="32" t="str"/>
      <x:c r="L150" s="32" t="str"/>
    </x:row>
    <x:row r="151">
      <x:c r="A151" s="32" t="str">
        <x:v>S145</x:v>
      </x:c>
      <x:c r="B151" s="32" t="str"/>
      <x:c r="C151" s="32" t="str"/>
      <x:c r="D151" s="32" t="str"/>
      <x:c r="E151" s="32" t="str"/>
      <x:c r="F151" s="32" t="str"/>
      <x:c r="G151" s="44" t="str">
        <x:f>IF(F151="","",IFERROR(F151/MAX(1,COUNTIF('01_Конкуренты'!$B$7:$B$36,"?*")),""))</x:f>
      </x:c>
      <x:c r="H151" s="32" t="str"/>
      <x:c r="I151" s="32" t="str">
        <x:f>IF(B151="","",IF(OR(E151="Обязательное",E151="Линейное"),IF(G151&gt;=0.6,"Рыночный стандарт",IF(G151&gt;=0.35,"Формирующаяся норма","Проверить необходимость")),IF(E151="Привлекательное",IF(G151&lt;0.5,"Зона дифференциации","Переходит в ожидаемое"),IF(E151="Безразличное","Низкий приоритет",IF(E151="Обратное","Риск отторжения","Требует проверки")))))</x:f>
      </x:c>
      <x:c r="J151" s="32" t="str"/>
      <x:c r="K151" s="32" t="str"/>
      <x:c r="L151" s="32" t="str"/>
    </x:row>
    <x:row r="152">
      <x:c r="A152" s="32" t="str">
        <x:v>S146</x:v>
      </x:c>
      <x:c r="B152" s="32" t="str"/>
      <x:c r="C152" s="32" t="str"/>
      <x:c r="D152" s="32" t="str"/>
      <x:c r="E152" s="32" t="str"/>
      <x:c r="F152" s="32" t="str"/>
      <x:c r="G152" s="44" t="str">
        <x:f>IF(F152="","",IFERROR(F152/MAX(1,COUNTIF('01_Конкуренты'!$B$7:$B$36,"?*")),""))</x:f>
      </x:c>
      <x:c r="H152" s="32" t="str"/>
      <x:c r="I152" s="32" t="str">
        <x:f>IF(B152="","",IF(OR(E152="Обязательное",E152="Линейное"),IF(G152&gt;=0.6,"Рыночный стандарт",IF(G152&gt;=0.35,"Формирующаяся норма","Проверить необходимость")),IF(E152="Привлекательное",IF(G152&lt;0.5,"Зона дифференциации","Переходит в ожидаемое"),IF(E152="Безразличное","Низкий приоритет",IF(E152="Обратное","Риск отторжения","Требует проверки")))))</x:f>
      </x:c>
      <x:c r="J152" s="32" t="str"/>
      <x:c r="K152" s="32" t="str"/>
      <x:c r="L152" s="32" t="str"/>
    </x:row>
    <x:row r="153">
      <x:c r="A153" s="32" t="str">
        <x:v>S147</x:v>
      </x:c>
      <x:c r="B153" s="32" t="str"/>
      <x:c r="C153" s="32" t="str"/>
      <x:c r="D153" s="32" t="str"/>
      <x:c r="E153" s="32" t="str"/>
      <x:c r="F153" s="32" t="str"/>
      <x:c r="G153" s="44" t="str">
        <x:f>IF(F153="","",IFERROR(F153/MAX(1,COUNTIF('01_Конкуренты'!$B$7:$B$36,"?*")),""))</x:f>
      </x:c>
      <x:c r="H153" s="32" t="str"/>
      <x:c r="I153" s="32" t="str">
        <x:f>IF(B153="","",IF(OR(E153="Обязательное",E153="Линейное"),IF(G153&gt;=0.6,"Рыночный стандарт",IF(G153&gt;=0.35,"Формирующаяся норма","Проверить необходимость")),IF(E153="Привлекательное",IF(G153&lt;0.5,"Зона дифференциации","Переходит в ожидаемое"),IF(E153="Безразличное","Низкий приоритет",IF(E153="Обратное","Риск отторжения","Требует проверки")))))</x:f>
      </x:c>
      <x:c r="J153" s="32" t="str"/>
      <x:c r="K153" s="32" t="str"/>
      <x:c r="L153" s="32" t="str"/>
    </x:row>
    <x:row r="154">
      <x:c r="A154" s="32" t="str">
        <x:v>S148</x:v>
      </x:c>
      <x:c r="B154" s="32" t="str"/>
      <x:c r="C154" s="32" t="str"/>
      <x:c r="D154" s="32" t="str"/>
      <x:c r="E154" s="32" t="str"/>
      <x:c r="F154" s="32" t="str"/>
      <x:c r="G154" s="44" t="str">
        <x:f>IF(F154="","",IFERROR(F154/MAX(1,COUNTIF('01_Конкуренты'!$B$7:$B$36,"?*")),""))</x:f>
      </x:c>
      <x:c r="H154" s="32" t="str"/>
      <x:c r="I154" s="32" t="str">
        <x:f>IF(B154="","",IF(OR(E154="Обязательное",E154="Линейное"),IF(G154&gt;=0.6,"Рыночный стандарт",IF(G154&gt;=0.35,"Формирующаяся норма","Проверить необходимость")),IF(E154="Привлекательное",IF(G154&lt;0.5,"Зона дифференциации","Переходит в ожидаемое"),IF(E154="Безразличное","Низкий приоритет",IF(E154="Обратное","Риск отторжения","Требует проверки")))))</x:f>
      </x:c>
      <x:c r="J154" s="32" t="str"/>
      <x:c r="K154" s="32" t="str"/>
      <x:c r="L154" s="32" t="str"/>
    </x:row>
    <x:row r="155">
      <x:c r="A155" s="32" t="str">
        <x:v>S149</x:v>
      </x:c>
      <x:c r="B155" s="32" t="str"/>
      <x:c r="C155" s="32" t="str"/>
      <x:c r="D155" s="32" t="str"/>
      <x:c r="E155" s="32" t="str"/>
      <x:c r="F155" s="32" t="str"/>
      <x:c r="G155" s="44" t="str">
        <x:f>IF(F155="","",IFERROR(F155/MAX(1,COUNTIF('01_Конкуренты'!$B$7:$B$36,"?*")),""))</x:f>
      </x:c>
      <x:c r="H155" s="32" t="str"/>
      <x:c r="I155" s="32" t="str">
        <x:f>IF(B155="","",IF(OR(E155="Обязательное",E155="Линейное"),IF(G155&gt;=0.6,"Рыночный стандарт",IF(G155&gt;=0.35,"Формирующаяся норма","Проверить необходимость")),IF(E155="Привлекательное",IF(G155&lt;0.5,"Зона дифференциации","Переходит в ожидаемое"),IF(E155="Безразличное","Низкий приоритет",IF(E155="Обратное","Риск отторжения","Требует проверки")))))</x:f>
      </x:c>
      <x:c r="J155" s="32" t="str"/>
      <x:c r="K155" s="32" t="str"/>
      <x:c r="L155" s="32" t="str"/>
    </x:row>
    <x:row r="156">
      <x:c r="A156" s="32" t="str">
        <x:v>S150</x:v>
      </x:c>
      <x:c r="B156" s="32" t="str"/>
      <x:c r="C156" s="32" t="str"/>
      <x:c r="D156" s="32" t="str"/>
      <x:c r="E156" s="32" t="str"/>
      <x:c r="F156" s="32" t="str"/>
      <x:c r="G156" s="44" t="str">
        <x:f>IF(F156="","",IFERROR(F156/MAX(1,COUNTIF('01_Конкуренты'!$B$7:$B$36,"?*")),""))</x:f>
      </x:c>
      <x:c r="H156" s="32" t="str"/>
      <x:c r="I156" s="32" t="str">
        <x:f>IF(B156="","",IF(OR(E156="Обязательное",E156="Линейное"),IF(G156&gt;=0.6,"Рыночный стандарт",IF(G156&gt;=0.35,"Формирующаяся норма","Проверить необходимость")),IF(E156="Привлекательное",IF(G156&lt;0.5,"Зона дифференциации","Переходит в ожидаемое"),IF(E156="Безразличное","Низкий приоритет",IF(E156="Обратное","Риск отторжения","Требует проверки")))))</x:f>
      </x:c>
      <x:c r="J156" s="32" t="str"/>
      <x:c r="K156" s="32" t="str"/>
      <x:c r="L156" s="32" t="str"/>
    </x:row>
    <x:row r="157">
      <x:c r="A157" s="32" t="str">
        <x:v>S151</x:v>
      </x:c>
      <x:c r="B157" s="32" t="str"/>
      <x:c r="C157" s="32" t="str"/>
      <x:c r="D157" s="32" t="str"/>
      <x:c r="E157" s="32" t="str"/>
      <x:c r="F157" s="32" t="str"/>
      <x:c r="G157" s="44" t="str">
        <x:f>IF(F157="","",IFERROR(F157/MAX(1,COUNTIF('01_Конкуренты'!$B$7:$B$36,"?*")),""))</x:f>
      </x:c>
      <x:c r="H157" s="32" t="str"/>
      <x:c r="I157" s="32" t="str">
        <x:f>IF(B157="","",IF(OR(E157="Обязательное",E157="Линейное"),IF(G157&gt;=0.6,"Рыночный стандарт",IF(G157&gt;=0.35,"Формирующаяся норма","Проверить необходимость")),IF(E157="Привлекательное",IF(G157&lt;0.5,"Зона дифференциации","Переходит в ожидаемое"),IF(E157="Безразличное","Низкий приоритет",IF(E157="Обратное","Риск отторжения","Требует проверки")))))</x:f>
      </x:c>
      <x:c r="J157" s="32" t="str"/>
      <x:c r="K157" s="32" t="str"/>
      <x:c r="L157" s="32" t="str"/>
    </x:row>
    <x:row r="158">
      <x:c r="A158" s="32" t="str">
        <x:v>S152</x:v>
      </x:c>
      <x:c r="B158" s="32" t="str"/>
      <x:c r="C158" s="32" t="str"/>
      <x:c r="D158" s="32" t="str"/>
      <x:c r="E158" s="32" t="str"/>
      <x:c r="F158" s="32" t="str"/>
      <x:c r="G158" s="44" t="str">
        <x:f>IF(F158="","",IFERROR(F158/MAX(1,COUNTIF('01_Конкуренты'!$B$7:$B$36,"?*")),""))</x:f>
      </x:c>
      <x:c r="H158" s="32" t="str"/>
      <x:c r="I158" s="32" t="str">
        <x:f>IF(B158="","",IF(OR(E158="Обязательное",E158="Линейное"),IF(G158&gt;=0.6,"Рыночный стандарт",IF(G158&gt;=0.35,"Формирующаяся норма","Проверить необходимость")),IF(E158="Привлекательное",IF(G158&lt;0.5,"Зона дифференциации","Переходит в ожидаемое"),IF(E158="Безразличное","Низкий приоритет",IF(E158="Обратное","Риск отторжения","Требует проверки")))))</x:f>
      </x:c>
      <x:c r="J158" s="32" t="str"/>
      <x:c r="K158" s="32" t="str"/>
      <x:c r="L158" s="32" t="str"/>
    </x:row>
    <x:row r="159">
      <x:c r="A159" s="32" t="str">
        <x:v>S153</x:v>
      </x:c>
      <x:c r="B159" s="32" t="str"/>
      <x:c r="C159" s="32" t="str"/>
      <x:c r="D159" s="32" t="str"/>
      <x:c r="E159" s="32" t="str"/>
      <x:c r="F159" s="32" t="str"/>
      <x:c r="G159" s="44" t="str">
        <x:f>IF(F159="","",IFERROR(F159/MAX(1,COUNTIF('01_Конкуренты'!$B$7:$B$36,"?*")),""))</x:f>
      </x:c>
      <x:c r="H159" s="32" t="str"/>
      <x:c r="I159" s="32" t="str">
        <x:f>IF(B159="","",IF(OR(E159="Обязательное",E159="Линейное"),IF(G159&gt;=0.6,"Рыночный стандарт",IF(G159&gt;=0.35,"Формирующаяся норма","Проверить необходимость")),IF(E159="Привлекательное",IF(G159&lt;0.5,"Зона дифференциации","Переходит в ожидаемое"),IF(E159="Безразличное","Низкий приоритет",IF(E159="Обратное","Риск отторжения","Требует проверки")))))</x:f>
      </x:c>
      <x:c r="J159" s="32" t="str"/>
      <x:c r="K159" s="32" t="str"/>
      <x:c r="L159" s="32" t="str"/>
    </x:row>
    <x:row r="160">
      <x:c r="A160" s="32" t="str">
        <x:v>S154</x:v>
      </x:c>
      <x:c r="B160" s="32" t="str"/>
      <x:c r="C160" s="32" t="str"/>
      <x:c r="D160" s="32" t="str"/>
      <x:c r="E160" s="32" t="str"/>
      <x:c r="F160" s="32" t="str"/>
      <x:c r="G160" s="44" t="str">
        <x:f>IF(F160="","",IFERROR(F160/MAX(1,COUNTIF('01_Конкуренты'!$B$7:$B$36,"?*")),""))</x:f>
      </x:c>
      <x:c r="H160" s="32" t="str"/>
      <x:c r="I160" s="32" t="str">
        <x:f>IF(B160="","",IF(OR(E160="Обязательное",E160="Линейное"),IF(G160&gt;=0.6,"Рыночный стандарт",IF(G160&gt;=0.35,"Формирующаяся норма","Проверить необходимость")),IF(E160="Привлекательное",IF(G160&lt;0.5,"Зона дифференциации","Переходит в ожидаемое"),IF(E160="Безразличное","Низкий приоритет",IF(E160="Обратное","Риск отторжения","Требует проверки")))))</x:f>
      </x:c>
      <x:c r="J160" s="32" t="str"/>
      <x:c r="K160" s="32" t="str"/>
      <x:c r="L160" s="32" t="str"/>
    </x:row>
    <x:row r="161">
      <x:c r="A161" s="32" t="str">
        <x:v>S155</x:v>
      </x:c>
      <x:c r="B161" s="32" t="str"/>
      <x:c r="C161" s="32" t="str"/>
      <x:c r="D161" s="32" t="str"/>
      <x:c r="E161" s="32" t="str"/>
      <x:c r="F161" s="32" t="str"/>
      <x:c r="G161" s="44" t="str">
        <x:f>IF(F161="","",IFERROR(F161/MAX(1,COUNTIF('01_Конкуренты'!$B$7:$B$36,"?*")),""))</x:f>
      </x:c>
      <x:c r="H161" s="32" t="str"/>
      <x:c r="I161" s="32" t="str">
        <x:f>IF(B161="","",IF(OR(E161="Обязательное",E161="Линейное"),IF(G161&gt;=0.6,"Рыночный стандарт",IF(G161&gt;=0.35,"Формирующаяся норма","Проверить необходимость")),IF(E161="Привлекательное",IF(G161&lt;0.5,"Зона дифференциации","Переходит в ожидаемое"),IF(E161="Безразличное","Низкий приоритет",IF(E161="Обратное","Риск отторжения","Требует проверки")))))</x:f>
      </x:c>
      <x:c r="J161" s="32" t="str"/>
      <x:c r="K161" s="32" t="str"/>
      <x:c r="L161" s="32" t="str"/>
    </x:row>
    <x:row r="162">
      <x:c r="A162" s="32" t="str">
        <x:v>S156</x:v>
      </x:c>
      <x:c r="B162" s="32" t="str"/>
      <x:c r="C162" s="32" t="str"/>
      <x:c r="D162" s="32" t="str"/>
      <x:c r="E162" s="32" t="str"/>
      <x:c r="F162" s="32" t="str"/>
      <x:c r="G162" s="44" t="str">
        <x:f>IF(F162="","",IFERROR(F162/MAX(1,COUNTIF('01_Конкуренты'!$B$7:$B$36,"?*")),""))</x:f>
      </x:c>
      <x:c r="H162" s="32" t="str"/>
      <x:c r="I162" s="32" t="str">
        <x:f>IF(B162="","",IF(OR(E162="Обязательное",E162="Линейное"),IF(G162&gt;=0.6,"Рыночный стандарт",IF(G162&gt;=0.35,"Формирующаяся норма","Проверить необходимость")),IF(E162="Привлекательное",IF(G162&lt;0.5,"Зона дифференциации","Переходит в ожидаемое"),IF(E162="Безразличное","Низкий приоритет",IF(E162="Обратное","Риск отторжения","Требует проверки")))))</x:f>
      </x:c>
      <x:c r="J162" s="32" t="str"/>
      <x:c r="K162" s="32" t="str"/>
      <x:c r="L162" s="32" t="str"/>
    </x:row>
    <x:row r="163">
      <x:c r="A163" s="32" t="str">
        <x:v>S157</x:v>
      </x:c>
      <x:c r="B163" s="32" t="str"/>
      <x:c r="C163" s="32" t="str"/>
      <x:c r="D163" s="32" t="str"/>
      <x:c r="E163" s="32" t="str"/>
      <x:c r="F163" s="32" t="str"/>
      <x:c r="G163" s="44" t="str">
        <x:f>IF(F163="","",IFERROR(F163/MAX(1,COUNTIF('01_Конкуренты'!$B$7:$B$36,"?*")),""))</x:f>
      </x:c>
      <x:c r="H163" s="32" t="str"/>
      <x:c r="I163" s="32" t="str">
        <x:f>IF(B163="","",IF(OR(E163="Обязательное",E163="Линейное"),IF(G163&gt;=0.6,"Рыночный стандарт",IF(G163&gt;=0.35,"Формирующаяся норма","Проверить необходимость")),IF(E163="Привлекательное",IF(G163&lt;0.5,"Зона дифференциации","Переходит в ожидаемое"),IF(E163="Безразличное","Низкий приоритет",IF(E163="Обратное","Риск отторжения","Требует проверки")))))</x:f>
      </x:c>
      <x:c r="J163" s="32" t="str"/>
      <x:c r="K163" s="32" t="str"/>
      <x:c r="L163" s="32" t="str"/>
    </x:row>
    <x:row r="164">
      <x:c r="A164" s="32" t="str">
        <x:v>S158</x:v>
      </x:c>
      <x:c r="B164" s="32" t="str"/>
      <x:c r="C164" s="32" t="str"/>
      <x:c r="D164" s="32" t="str"/>
      <x:c r="E164" s="32" t="str"/>
      <x:c r="F164" s="32" t="str"/>
      <x:c r="G164" s="44" t="str">
        <x:f>IF(F164="","",IFERROR(F164/MAX(1,COUNTIF('01_Конкуренты'!$B$7:$B$36,"?*")),""))</x:f>
      </x:c>
      <x:c r="H164" s="32" t="str"/>
      <x:c r="I164" s="32" t="str">
        <x:f>IF(B164="","",IF(OR(E164="Обязательное",E164="Линейное"),IF(G164&gt;=0.6,"Рыночный стандарт",IF(G164&gt;=0.35,"Формирующаяся норма","Проверить необходимость")),IF(E164="Привлекательное",IF(G164&lt;0.5,"Зона дифференциации","Переходит в ожидаемое"),IF(E164="Безразличное","Низкий приоритет",IF(E164="Обратное","Риск отторжения","Требует проверки")))))</x:f>
      </x:c>
      <x:c r="J164" s="32" t="str"/>
      <x:c r="K164" s="32" t="str"/>
      <x:c r="L164" s="32" t="str"/>
    </x:row>
    <x:row r="165">
      <x:c r="A165" s="32" t="str">
        <x:v>S159</x:v>
      </x:c>
      <x:c r="B165" s="32" t="str"/>
      <x:c r="C165" s="32" t="str"/>
      <x:c r="D165" s="32" t="str"/>
      <x:c r="E165" s="32" t="str"/>
      <x:c r="F165" s="32" t="str"/>
      <x:c r="G165" s="44" t="str">
        <x:f>IF(F165="","",IFERROR(F165/MAX(1,COUNTIF('01_Конкуренты'!$B$7:$B$36,"?*")),""))</x:f>
      </x:c>
      <x:c r="H165" s="32" t="str"/>
      <x:c r="I165" s="32" t="str">
        <x:f>IF(B165="","",IF(OR(E165="Обязательное",E165="Линейное"),IF(G165&gt;=0.6,"Рыночный стандарт",IF(G165&gt;=0.35,"Формирующаяся норма","Проверить необходимость")),IF(E165="Привлекательное",IF(G165&lt;0.5,"Зона дифференциации","Переходит в ожидаемое"),IF(E165="Безразличное","Низкий приоритет",IF(E165="Обратное","Риск отторжения","Требует проверки")))))</x:f>
      </x:c>
      <x:c r="J165" s="32" t="str"/>
      <x:c r="K165" s="32" t="str"/>
      <x:c r="L165" s="32" t="str"/>
    </x:row>
    <x:row r="166">
      <x:c r="A166" s="32" t="str">
        <x:v>S160</x:v>
      </x:c>
      <x:c r="B166" s="32" t="str"/>
      <x:c r="C166" s="32" t="str"/>
      <x:c r="D166" s="32" t="str"/>
      <x:c r="E166" s="32" t="str"/>
      <x:c r="F166" s="32" t="str"/>
      <x:c r="G166" s="44" t="str">
        <x:f>IF(F166="","",IFERROR(F166/MAX(1,COUNTIF('01_Конкуренты'!$B$7:$B$36,"?*")),""))</x:f>
      </x:c>
      <x:c r="H166" s="32" t="str"/>
      <x:c r="I166" s="32" t="str">
        <x:f>IF(B166="","",IF(OR(E166="Обязательное",E166="Линейное"),IF(G166&gt;=0.6,"Рыночный стандарт",IF(G166&gt;=0.35,"Формирующаяся норма","Проверить необходимость")),IF(E166="Привлекательное",IF(G166&lt;0.5,"Зона дифференциации","Переходит в ожидаемое"),IF(E166="Безразличное","Низкий приоритет",IF(E166="Обратное","Риск отторжения","Требует проверки")))))</x:f>
      </x:c>
      <x:c r="J166" s="32" t="str"/>
      <x:c r="K166" s="32" t="str"/>
      <x:c r="L166" s="32" t="str"/>
    </x:row>
    <x:row r="167">
      <x:c r="A167" s="32" t="str">
        <x:v>S161</x:v>
      </x:c>
      <x:c r="B167" s="32" t="str"/>
      <x:c r="C167" s="32" t="str"/>
      <x:c r="D167" s="32" t="str"/>
      <x:c r="E167" s="32" t="str"/>
      <x:c r="F167" s="32" t="str"/>
      <x:c r="G167" s="44" t="str">
        <x:f>IF(F167="","",IFERROR(F167/MAX(1,COUNTIF('01_Конкуренты'!$B$7:$B$36,"?*")),""))</x:f>
      </x:c>
      <x:c r="H167" s="32" t="str"/>
      <x:c r="I167" s="32" t="str">
        <x:f>IF(B167="","",IF(OR(E167="Обязательное",E167="Линейное"),IF(G167&gt;=0.6,"Рыночный стандарт",IF(G167&gt;=0.35,"Формирующаяся норма","Проверить необходимость")),IF(E167="Привлекательное",IF(G167&lt;0.5,"Зона дифференциации","Переходит в ожидаемое"),IF(E167="Безразличное","Низкий приоритет",IF(E167="Обратное","Риск отторжения","Требует проверки")))))</x:f>
      </x:c>
      <x:c r="J167" s="32" t="str"/>
      <x:c r="K167" s="32" t="str"/>
      <x:c r="L167" s="32" t="str"/>
    </x:row>
    <x:row r="168">
      <x:c r="A168" s="32" t="str">
        <x:v>S162</x:v>
      </x:c>
      <x:c r="B168" s="32" t="str"/>
      <x:c r="C168" s="32" t="str"/>
      <x:c r="D168" s="32" t="str"/>
      <x:c r="E168" s="32" t="str"/>
      <x:c r="F168" s="32" t="str"/>
      <x:c r="G168" s="44" t="str">
        <x:f>IF(F168="","",IFERROR(F168/MAX(1,COUNTIF('01_Конкуренты'!$B$7:$B$36,"?*")),""))</x:f>
      </x:c>
      <x:c r="H168" s="32" t="str"/>
      <x:c r="I168" s="32" t="str">
        <x:f>IF(B168="","",IF(OR(E168="Обязательное",E168="Линейное"),IF(G168&gt;=0.6,"Рыночный стандарт",IF(G168&gt;=0.35,"Формирующаяся норма","Проверить необходимость")),IF(E168="Привлекательное",IF(G168&lt;0.5,"Зона дифференциации","Переходит в ожидаемое"),IF(E168="Безразличное","Низкий приоритет",IF(E168="Обратное","Риск отторжения","Требует проверки")))))</x:f>
      </x:c>
      <x:c r="J168" s="32" t="str"/>
      <x:c r="K168" s="32" t="str"/>
      <x:c r="L168" s="32" t="str"/>
    </x:row>
    <x:row r="169">
      <x:c r="A169" s="32" t="str">
        <x:v>S163</x:v>
      </x:c>
      <x:c r="B169" s="32" t="str"/>
      <x:c r="C169" s="32" t="str"/>
      <x:c r="D169" s="32" t="str"/>
      <x:c r="E169" s="32" t="str"/>
      <x:c r="F169" s="32" t="str"/>
      <x:c r="G169" s="44" t="str">
        <x:f>IF(F169="","",IFERROR(F169/MAX(1,COUNTIF('01_Конкуренты'!$B$7:$B$36,"?*")),""))</x:f>
      </x:c>
      <x:c r="H169" s="32" t="str"/>
      <x:c r="I169" s="32" t="str">
        <x:f>IF(B169="","",IF(OR(E169="Обязательное",E169="Линейное"),IF(G169&gt;=0.6,"Рыночный стандарт",IF(G169&gt;=0.35,"Формирующаяся норма","Проверить необходимость")),IF(E169="Привлекательное",IF(G169&lt;0.5,"Зона дифференциации","Переходит в ожидаемое"),IF(E169="Безразличное","Низкий приоритет",IF(E169="Обратное","Риск отторжения","Требует проверки")))))</x:f>
      </x:c>
      <x:c r="J169" s="32" t="str"/>
      <x:c r="K169" s="32" t="str"/>
      <x:c r="L169" s="32" t="str"/>
    </x:row>
    <x:row r="170">
      <x:c r="A170" s="32" t="str">
        <x:v>S164</x:v>
      </x:c>
      <x:c r="B170" s="32" t="str"/>
      <x:c r="C170" s="32" t="str"/>
      <x:c r="D170" s="32" t="str"/>
      <x:c r="E170" s="32" t="str"/>
      <x:c r="F170" s="32" t="str"/>
      <x:c r="G170" s="44" t="str">
        <x:f>IF(F170="","",IFERROR(F170/MAX(1,COUNTIF('01_Конкуренты'!$B$7:$B$36,"?*")),""))</x:f>
      </x:c>
      <x:c r="H170" s="32" t="str"/>
      <x:c r="I170" s="32" t="str">
        <x:f>IF(B170="","",IF(OR(E170="Обязательное",E170="Линейное"),IF(G170&gt;=0.6,"Рыночный стандарт",IF(G170&gt;=0.35,"Формирующаяся норма","Проверить необходимость")),IF(E170="Привлекательное",IF(G170&lt;0.5,"Зона дифференциации","Переходит в ожидаемое"),IF(E170="Безразличное","Низкий приоритет",IF(E170="Обратное","Риск отторжения","Требует проверки")))))</x:f>
      </x:c>
      <x:c r="J170" s="32" t="str"/>
      <x:c r="K170" s="32" t="str"/>
      <x:c r="L170" s="32" t="str"/>
    </x:row>
    <x:row r="171">
      <x:c r="A171" s="32" t="str">
        <x:v>S165</x:v>
      </x:c>
      <x:c r="B171" s="32" t="str"/>
      <x:c r="C171" s="32" t="str"/>
      <x:c r="D171" s="32" t="str"/>
      <x:c r="E171" s="32" t="str"/>
      <x:c r="F171" s="32" t="str"/>
      <x:c r="G171" s="44" t="str">
        <x:f>IF(F171="","",IFERROR(F171/MAX(1,COUNTIF('01_Конкуренты'!$B$7:$B$36,"?*")),""))</x:f>
      </x:c>
      <x:c r="H171" s="32" t="str"/>
      <x:c r="I171" s="32" t="str">
        <x:f>IF(B171="","",IF(OR(E171="Обязательное",E171="Линейное"),IF(G171&gt;=0.6,"Рыночный стандарт",IF(G171&gt;=0.35,"Формирующаяся норма","Проверить необходимость")),IF(E171="Привлекательное",IF(G171&lt;0.5,"Зона дифференциации","Переходит в ожидаемое"),IF(E171="Безразличное","Низкий приоритет",IF(E171="Обратное","Риск отторжения","Требует проверки")))))</x:f>
      </x:c>
      <x:c r="J171" s="32" t="str"/>
      <x:c r="K171" s="32" t="str"/>
      <x:c r="L171" s="32" t="str"/>
    </x:row>
    <x:row r="172">
      <x:c r="A172" s="32" t="str">
        <x:v>S166</x:v>
      </x:c>
      <x:c r="B172" s="32" t="str"/>
      <x:c r="C172" s="32" t="str"/>
      <x:c r="D172" s="32" t="str"/>
      <x:c r="E172" s="32" t="str"/>
      <x:c r="F172" s="32" t="str"/>
      <x:c r="G172" s="44" t="str">
        <x:f>IF(F172="","",IFERROR(F172/MAX(1,COUNTIF('01_Конкуренты'!$B$7:$B$36,"?*")),""))</x:f>
      </x:c>
      <x:c r="H172" s="32" t="str"/>
      <x:c r="I172" s="32" t="str">
        <x:f>IF(B172="","",IF(OR(E172="Обязательное",E172="Линейное"),IF(G172&gt;=0.6,"Рыночный стандарт",IF(G172&gt;=0.35,"Формирующаяся норма","Проверить необходимость")),IF(E172="Привлекательное",IF(G172&lt;0.5,"Зона дифференциации","Переходит в ожидаемое"),IF(E172="Безразличное","Низкий приоритет",IF(E172="Обратное","Риск отторжения","Требует проверки")))))</x:f>
      </x:c>
      <x:c r="J172" s="32" t="str"/>
      <x:c r="K172" s="32" t="str"/>
      <x:c r="L172" s="32" t="str"/>
    </x:row>
    <x:row r="173">
      <x:c r="A173" s="32" t="str">
        <x:v>S167</x:v>
      </x:c>
      <x:c r="B173" s="32" t="str"/>
      <x:c r="C173" s="32" t="str"/>
      <x:c r="D173" s="32" t="str"/>
      <x:c r="E173" s="32" t="str"/>
      <x:c r="F173" s="32" t="str"/>
      <x:c r="G173" s="44" t="str">
        <x:f>IF(F173="","",IFERROR(F173/MAX(1,COUNTIF('01_Конкуренты'!$B$7:$B$36,"?*")),""))</x:f>
      </x:c>
      <x:c r="H173" s="32" t="str"/>
      <x:c r="I173" s="32" t="str">
        <x:f>IF(B173="","",IF(OR(E173="Обязательное",E173="Линейное"),IF(G173&gt;=0.6,"Рыночный стандарт",IF(G173&gt;=0.35,"Формирующаяся норма","Проверить необходимость")),IF(E173="Привлекательное",IF(G173&lt;0.5,"Зона дифференциации","Переходит в ожидаемое"),IF(E173="Безразличное","Низкий приоритет",IF(E173="Обратное","Риск отторжения","Требует проверки")))))</x:f>
      </x:c>
      <x:c r="J173" s="32" t="str"/>
      <x:c r="K173" s="32" t="str"/>
      <x:c r="L173" s="32" t="str"/>
    </x:row>
    <x:row r="174">
      <x:c r="A174" s="32" t="str">
        <x:v>S168</x:v>
      </x:c>
      <x:c r="B174" s="32" t="str"/>
      <x:c r="C174" s="32" t="str"/>
      <x:c r="D174" s="32" t="str"/>
      <x:c r="E174" s="32" t="str"/>
      <x:c r="F174" s="32" t="str"/>
      <x:c r="G174" s="44" t="str">
        <x:f>IF(F174="","",IFERROR(F174/MAX(1,COUNTIF('01_Конкуренты'!$B$7:$B$36,"?*")),""))</x:f>
      </x:c>
      <x:c r="H174" s="32" t="str"/>
      <x:c r="I174" s="32" t="str">
        <x:f>IF(B174="","",IF(OR(E174="Обязательное",E174="Линейное"),IF(G174&gt;=0.6,"Рыночный стандарт",IF(G174&gt;=0.35,"Формирующаяся норма","Проверить необходимость")),IF(E174="Привлекательное",IF(G174&lt;0.5,"Зона дифференциации","Переходит в ожидаемое"),IF(E174="Безразличное","Низкий приоритет",IF(E174="Обратное","Риск отторжения","Требует проверки")))))</x:f>
      </x:c>
      <x:c r="J174" s="32" t="str"/>
      <x:c r="K174" s="32" t="str"/>
      <x:c r="L174" s="32" t="str"/>
    </x:row>
    <x:row r="175">
      <x:c r="A175" s="32" t="str">
        <x:v>S169</x:v>
      </x:c>
      <x:c r="B175" s="32" t="str"/>
      <x:c r="C175" s="32" t="str"/>
      <x:c r="D175" s="32" t="str"/>
      <x:c r="E175" s="32" t="str"/>
      <x:c r="F175" s="32" t="str"/>
      <x:c r="G175" s="44" t="str">
        <x:f>IF(F175="","",IFERROR(F175/MAX(1,COUNTIF('01_Конкуренты'!$B$7:$B$36,"?*")),""))</x:f>
      </x:c>
      <x:c r="H175" s="32" t="str"/>
      <x:c r="I175" s="32" t="str">
        <x:f>IF(B175="","",IF(OR(E175="Обязательное",E175="Линейное"),IF(G175&gt;=0.6,"Рыночный стандарт",IF(G175&gt;=0.35,"Формирующаяся норма","Проверить необходимость")),IF(E175="Привлекательное",IF(G175&lt;0.5,"Зона дифференциации","Переходит в ожидаемое"),IF(E175="Безразличное","Низкий приоритет",IF(E175="Обратное","Риск отторжения","Требует проверки")))))</x:f>
      </x:c>
      <x:c r="J175" s="32" t="str"/>
      <x:c r="K175" s="32" t="str"/>
      <x:c r="L175" s="32" t="str"/>
    </x:row>
    <x:row r="176">
      <x:c r="A176" s="32" t="str">
        <x:v>S170</x:v>
      </x:c>
      <x:c r="B176" s="32" t="str"/>
      <x:c r="C176" s="32" t="str"/>
      <x:c r="D176" s="32" t="str"/>
      <x:c r="E176" s="32" t="str"/>
      <x:c r="F176" s="32" t="str"/>
      <x:c r="G176" s="44" t="str">
        <x:f>IF(F176="","",IFERROR(F176/MAX(1,COUNTIF('01_Конкуренты'!$B$7:$B$36,"?*")),""))</x:f>
      </x:c>
      <x:c r="H176" s="32" t="str"/>
      <x:c r="I176" s="32" t="str">
        <x:f>IF(B176="","",IF(OR(E176="Обязательное",E176="Линейное"),IF(G176&gt;=0.6,"Рыночный стандарт",IF(G176&gt;=0.35,"Формирующаяся норма","Проверить необходимость")),IF(E176="Привлекательное",IF(G176&lt;0.5,"Зона дифференциации","Переходит в ожидаемое"),IF(E176="Безразличное","Низкий приоритет",IF(E176="Обратное","Риск отторжения","Требует проверки")))))</x:f>
      </x:c>
      <x:c r="J176" s="32" t="str"/>
      <x:c r="K176" s="32" t="str"/>
      <x:c r="L176" s="32" t="str"/>
    </x:row>
    <x:row r="177">
      <x:c r="A177" s="32" t="str">
        <x:v>S171</x:v>
      </x:c>
      <x:c r="B177" s="32" t="str"/>
      <x:c r="C177" s="32" t="str"/>
      <x:c r="D177" s="32" t="str"/>
      <x:c r="E177" s="32" t="str"/>
      <x:c r="F177" s="32" t="str"/>
      <x:c r="G177" s="44" t="str">
        <x:f>IF(F177="","",IFERROR(F177/MAX(1,COUNTIF('01_Конкуренты'!$B$7:$B$36,"?*")),""))</x:f>
      </x:c>
      <x:c r="H177" s="32" t="str"/>
      <x:c r="I177" s="32" t="str">
        <x:f>IF(B177="","",IF(OR(E177="Обязательное",E177="Линейное"),IF(G177&gt;=0.6,"Рыночный стандарт",IF(G177&gt;=0.35,"Формирующаяся норма","Проверить необходимость")),IF(E177="Привлекательное",IF(G177&lt;0.5,"Зона дифференциации","Переходит в ожидаемое"),IF(E177="Безразличное","Низкий приоритет",IF(E177="Обратное","Риск отторжения","Требует проверки")))))</x:f>
      </x:c>
      <x:c r="J177" s="32" t="str"/>
      <x:c r="K177" s="32" t="str"/>
      <x:c r="L177" s="32" t="str"/>
    </x:row>
    <x:row r="178">
      <x:c r="A178" s="32" t="str">
        <x:v>S172</x:v>
      </x:c>
      <x:c r="B178" s="32" t="str"/>
      <x:c r="C178" s="32" t="str"/>
      <x:c r="D178" s="32" t="str"/>
      <x:c r="E178" s="32" t="str"/>
      <x:c r="F178" s="32" t="str"/>
      <x:c r="G178" s="44" t="str">
        <x:f>IF(F178="","",IFERROR(F178/MAX(1,COUNTIF('01_Конкуренты'!$B$7:$B$36,"?*")),""))</x:f>
      </x:c>
      <x:c r="H178" s="32" t="str"/>
      <x:c r="I178" s="32" t="str">
        <x:f>IF(B178="","",IF(OR(E178="Обязательное",E178="Линейное"),IF(G178&gt;=0.6,"Рыночный стандарт",IF(G178&gt;=0.35,"Формирующаяся норма","Проверить необходимость")),IF(E178="Привлекательное",IF(G178&lt;0.5,"Зона дифференциации","Переходит в ожидаемое"),IF(E178="Безразличное","Низкий приоритет",IF(E178="Обратное","Риск отторжения","Требует проверки")))))</x:f>
      </x:c>
      <x:c r="J178" s="32" t="str"/>
      <x:c r="K178" s="32" t="str"/>
      <x:c r="L178" s="32" t="str"/>
    </x:row>
    <x:row r="179">
      <x:c r="A179" s="32" t="str">
        <x:v>S173</x:v>
      </x:c>
      <x:c r="B179" s="32" t="str"/>
      <x:c r="C179" s="32" t="str"/>
      <x:c r="D179" s="32" t="str"/>
      <x:c r="E179" s="32" t="str"/>
      <x:c r="F179" s="32" t="str"/>
      <x:c r="G179" s="44" t="str">
        <x:f>IF(F179="","",IFERROR(F179/MAX(1,COUNTIF('01_Конкуренты'!$B$7:$B$36,"?*")),""))</x:f>
      </x:c>
      <x:c r="H179" s="32" t="str"/>
      <x:c r="I179" s="32" t="str">
        <x:f>IF(B179="","",IF(OR(E179="Обязательное",E179="Линейное"),IF(G179&gt;=0.6,"Рыночный стандарт",IF(G179&gt;=0.35,"Формирующаяся норма","Проверить необходимость")),IF(E179="Привлекательное",IF(G179&lt;0.5,"Зона дифференциации","Переходит в ожидаемое"),IF(E179="Безразличное","Низкий приоритет",IF(E179="Обратное","Риск отторжения","Требует проверки")))))</x:f>
      </x:c>
      <x:c r="J179" s="32" t="str"/>
      <x:c r="K179" s="32" t="str"/>
      <x:c r="L179" s="32" t="str"/>
    </x:row>
    <x:row r="180">
      <x:c r="A180" s="32" t="str">
        <x:v>S174</x:v>
      </x:c>
      <x:c r="B180" s="32" t="str"/>
      <x:c r="C180" s="32" t="str"/>
      <x:c r="D180" s="32" t="str"/>
      <x:c r="E180" s="32" t="str"/>
      <x:c r="F180" s="32" t="str"/>
      <x:c r="G180" s="44" t="str">
        <x:f>IF(F180="","",IFERROR(F180/MAX(1,COUNTIF('01_Конкуренты'!$B$7:$B$36,"?*")),""))</x:f>
      </x:c>
      <x:c r="H180" s="32" t="str"/>
      <x:c r="I180" s="32" t="str">
        <x:f>IF(B180="","",IF(OR(E180="Обязательное",E180="Линейное"),IF(G180&gt;=0.6,"Рыночный стандарт",IF(G180&gt;=0.35,"Формирующаяся норма","Проверить необходимость")),IF(E180="Привлекательное",IF(G180&lt;0.5,"Зона дифференциации","Переходит в ожидаемое"),IF(E180="Безразличное","Низкий приоритет",IF(E180="Обратное","Риск отторжения","Требует проверки")))))</x:f>
      </x:c>
      <x:c r="J180" s="32" t="str"/>
      <x:c r="K180" s="32" t="str"/>
      <x:c r="L180" s="32" t="str"/>
    </x:row>
    <x:row r="181">
      <x:c r="A181" s="32" t="str">
        <x:v>S175</x:v>
      </x:c>
      <x:c r="B181" s="32" t="str"/>
      <x:c r="C181" s="32" t="str"/>
      <x:c r="D181" s="32" t="str"/>
      <x:c r="E181" s="32" t="str"/>
      <x:c r="F181" s="32" t="str"/>
      <x:c r="G181" s="44" t="str">
        <x:f>IF(F181="","",IFERROR(F181/MAX(1,COUNTIF('01_Конкуренты'!$B$7:$B$36,"?*")),""))</x:f>
      </x:c>
      <x:c r="H181" s="32" t="str"/>
      <x:c r="I181" s="32" t="str">
        <x:f>IF(B181="","",IF(OR(E181="Обязательное",E181="Линейное"),IF(G181&gt;=0.6,"Рыночный стандарт",IF(G181&gt;=0.35,"Формирующаяся норма","Проверить необходимость")),IF(E181="Привлекательное",IF(G181&lt;0.5,"Зона дифференциации","Переходит в ожидаемое"),IF(E181="Безразличное","Низкий приоритет",IF(E181="Обратное","Риск отторжения","Требует проверки")))))</x:f>
      </x:c>
      <x:c r="J181" s="32" t="str"/>
      <x:c r="K181" s="32" t="str"/>
      <x:c r="L181" s="32" t="str"/>
    </x:row>
    <x:row r="182">
      <x:c r="A182" s="32" t="str">
        <x:v>S176</x:v>
      </x:c>
      <x:c r="B182" s="32" t="str"/>
      <x:c r="C182" s="32" t="str"/>
      <x:c r="D182" s="32" t="str"/>
      <x:c r="E182" s="32" t="str"/>
      <x:c r="F182" s="32" t="str"/>
      <x:c r="G182" s="44" t="str">
        <x:f>IF(F182="","",IFERROR(F182/MAX(1,COUNTIF('01_Конкуренты'!$B$7:$B$36,"?*")),""))</x:f>
      </x:c>
      <x:c r="H182" s="32" t="str"/>
      <x:c r="I182" s="32" t="str">
        <x:f>IF(B182="","",IF(OR(E182="Обязательное",E182="Линейное"),IF(G182&gt;=0.6,"Рыночный стандарт",IF(G182&gt;=0.35,"Формирующаяся норма","Проверить необходимость")),IF(E182="Привлекательное",IF(G182&lt;0.5,"Зона дифференциации","Переходит в ожидаемое"),IF(E182="Безразличное","Низкий приоритет",IF(E182="Обратное","Риск отторжения","Требует проверки")))))</x:f>
      </x:c>
      <x:c r="J182" s="32" t="str"/>
      <x:c r="K182" s="32" t="str"/>
      <x:c r="L182" s="32" t="str"/>
    </x:row>
    <x:row r="183">
      <x:c r="A183" s="32" t="str">
        <x:v>S177</x:v>
      </x:c>
      <x:c r="B183" s="32" t="str"/>
      <x:c r="C183" s="32" t="str"/>
      <x:c r="D183" s="32" t="str"/>
      <x:c r="E183" s="32" t="str"/>
      <x:c r="F183" s="32" t="str"/>
      <x:c r="G183" s="44" t="str">
        <x:f>IF(F183="","",IFERROR(F183/MAX(1,COUNTIF('01_Конкуренты'!$B$7:$B$36,"?*")),""))</x:f>
      </x:c>
      <x:c r="H183" s="32" t="str"/>
      <x:c r="I183" s="32" t="str">
        <x:f>IF(B183="","",IF(OR(E183="Обязательное",E183="Линейное"),IF(G183&gt;=0.6,"Рыночный стандарт",IF(G183&gt;=0.35,"Формирующаяся норма","Проверить необходимость")),IF(E183="Привлекательное",IF(G183&lt;0.5,"Зона дифференциации","Переходит в ожидаемое"),IF(E183="Безразличное","Низкий приоритет",IF(E183="Обратное","Риск отторжения","Требует проверки")))))</x:f>
      </x:c>
      <x:c r="J183" s="32" t="str"/>
      <x:c r="K183" s="32" t="str"/>
      <x:c r="L183" s="32" t="str"/>
    </x:row>
    <x:row r="184">
      <x:c r="A184" s="32" t="str">
        <x:v>S178</x:v>
      </x:c>
      <x:c r="B184" s="32" t="str"/>
      <x:c r="C184" s="32" t="str"/>
      <x:c r="D184" s="32" t="str"/>
      <x:c r="E184" s="32" t="str"/>
      <x:c r="F184" s="32" t="str"/>
      <x:c r="G184" s="44" t="str">
        <x:f>IF(F184="","",IFERROR(F184/MAX(1,COUNTIF('01_Конкуренты'!$B$7:$B$36,"?*")),""))</x:f>
      </x:c>
      <x:c r="H184" s="32" t="str"/>
      <x:c r="I184" s="32" t="str">
        <x:f>IF(B184="","",IF(OR(E184="Обязательное",E184="Линейное"),IF(G184&gt;=0.6,"Рыночный стандарт",IF(G184&gt;=0.35,"Формирующаяся норма","Проверить необходимость")),IF(E184="Привлекательное",IF(G184&lt;0.5,"Зона дифференциации","Переходит в ожидаемое"),IF(E184="Безразличное","Низкий приоритет",IF(E184="Обратное","Риск отторжения","Требует проверки")))))</x:f>
      </x:c>
      <x:c r="J184" s="32" t="str"/>
      <x:c r="K184" s="32" t="str"/>
      <x:c r="L184" s="32" t="str"/>
    </x:row>
    <x:row r="185">
      <x:c r="A185" s="32" t="str">
        <x:v>S179</x:v>
      </x:c>
      <x:c r="B185" s="32" t="str"/>
      <x:c r="C185" s="32" t="str"/>
      <x:c r="D185" s="32" t="str"/>
      <x:c r="E185" s="32" t="str"/>
      <x:c r="F185" s="32" t="str"/>
      <x:c r="G185" s="44" t="str">
        <x:f>IF(F185="","",IFERROR(F185/MAX(1,COUNTIF('01_Конкуренты'!$B$7:$B$36,"?*")),""))</x:f>
      </x:c>
      <x:c r="H185" s="32" t="str"/>
      <x:c r="I185" s="32" t="str">
        <x:f>IF(B185="","",IF(OR(E185="Обязательное",E185="Линейное"),IF(G185&gt;=0.6,"Рыночный стандарт",IF(G185&gt;=0.35,"Формирующаяся норма","Проверить необходимость")),IF(E185="Привлекательное",IF(G185&lt;0.5,"Зона дифференциации","Переходит в ожидаемое"),IF(E185="Безразличное","Низкий приоритет",IF(E185="Обратное","Риск отторжения","Требует проверки")))))</x:f>
      </x:c>
      <x:c r="J185" s="32" t="str"/>
      <x:c r="K185" s="32" t="str"/>
      <x:c r="L185" s="32" t="str"/>
    </x:row>
    <x:row r="186">
      <x:c r="A186" s="32" t="str">
        <x:v>S180</x:v>
      </x:c>
      <x:c r="B186" s="32" t="str"/>
      <x:c r="C186" s="32" t="str"/>
      <x:c r="D186" s="32" t="str"/>
      <x:c r="E186" s="32" t="str"/>
      <x:c r="F186" s="32" t="str"/>
      <x:c r="G186" s="44" t="str">
        <x:f>IF(F186="","",IFERROR(F186/MAX(1,COUNTIF('01_Конкуренты'!$B$7:$B$36,"?*")),""))</x:f>
      </x:c>
      <x:c r="H186" s="32" t="str"/>
      <x:c r="I186" s="32" t="str">
        <x:f>IF(B186="","",IF(OR(E186="Обязательное",E186="Линейное"),IF(G186&gt;=0.6,"Рыночный стандарт",IF(G186&gt;=0.35,"Формирующаяся норма","Проверить необходимость")),IF(E186="Привлекательное",IF(G186&lt;0.5,"Зона дифференциации","Переходит в ожидаемое"),IF(E186="Безразличное","Низкий приоритет",IF(E186="Обратное","Риск отторжения","Требует проверки")))))</x:f>
      </x:c>
      <x:c r="J186" s="32" t="str"/>
      <x:c r="K186" s="32" t="str"/>
      <x:c r="L186" s="32" t="str"/>
    </x:row>
    <x:row r="187">
      <x:c r="A187" s="32" t="str">
        <x:v>S181</x:v>
      </x:c>
      <x:c r="B187" s="32" t="str"/>
      <x:c r="C187" s="32" t="str"/>
      <x:c r="D187" s="32" t="str"/>
      <x:c r="E187" s="32" t="str"/>
      <x:c r="F187" s="32" t="str"/>
      <x:c r="G187" s="44" t="str">
        <x:f>IF(F187="","",IFERROR(F187/MAX(1,COUNTIF('01_Конкуренты'!$B$7:$B$36,"?*")),""))</x:f>
      </x:c>
      <x:c r="H187" s="32" t="str"/>
      <x:c r="I187" s="32" t="str">
        <x:f>IF(B187="","",IF(OR(E187="Обязательное",E187="Линейное"),IF(G187&gt;=0.6,"Рыночный стандарт",IF(G187&gt;=0.35,"Формирующаяся норма","Проверить необходимость")),IF(E187="Привлекательное",IF(G187&lt;0.5,"Зона дифференциации","Переходит в ожидаемое"),IF(E187="Безразличное","Низкий приоритет",IF(E187="Обратное","Риск отторжения","Требует проверки")))))</x:f>
      </x:c>
      <x:c r="J187" s="32" t="str"/>
      <x:c r="K187" s="32" t="str"/>
      <x:c r="L187" s="32" t="str"/>
    </x:row>
    <x:row r="188">
      <x:c r="A188" s="32" t="str">
        <x:v>S182</x:v>
      </x:c>
      <x:c r="B188" s="32" t="str"/>
      <x:c r="C188" s="32" t="str"/>
      <x:c r="D188" s="32" t="str"/>
      <x:c r="E188" s="32" t="str"/>
      <x:c r="F188" s="32" t="str"/>
      <x:c r="G188" s="44" t="str">
        <x:f>IF(F188="","",IFERROR(F188/MAX(1,COUNTIF('01_Конкуренты'!$B$7:$B$36,"?*")),""))</x:f>
      </x:c>
      <x:c r="H188" s="32" t="str"/>
      <x:c r="I188" s="32" t="str">
        <x:f>IF(B188="","",IF(OR(E188="Обязательное",E188="Линейное"),IF(G188&gt;=0.6,"Рыночный стандарт",IF(G188&gt;=0.35,"Формирующаяся норма","Проверить необходимость")),IF(E188="Привлекательное",IF(G188&lt;0.5,"Зона дифференциации","Переходит в ожидаемое"),IF(E188="Безразличное","Низкий приоритет",IF(E188="Обратное","Риск отторжения","Требует проверки")))))</x:f>
      </x:c>
      <x:c r="J188" s="32" t="str"/>
      <x:c r="K188" s="32" t="str"/>
      <x:c r="L188" s="32" t="str"/>
    </x:row>
    <x:row r="189">
      <x:c r="A189" s="32" t="str">
        <x:v>S183</x:v>
      </x:c>
      <x:c r="B189" s="32" t="str"/>
      <x:c r="C189" s="32" t="str"/>
      <x:c r="D189" s="32" t="str"/>
      <x:c r="E189" s="32" t="str"/>
      <x:c r="F189" s="32" t="str"/>
      <x:c r="G189" s="44" t="str">
        <x:f>IF(F189="","",IFERROR(F189/MAX(1,COUNTIF('01_Конкуренты'!$B$7:$B$36,"?*")),""))</x:f>
      </x:c>
      <x:c r="H189" s="32" t="str"/>
      <x:c r="I189" s="32" t="str">
        <x:f>IF(B189="","",IF(OR(E189="Обязательное",E189="Линейное"),IF(G189&gt;=0.6,"Рыночный стандарт",IF(G189&gt;=0.35,"Формирующаяся норма","Проверить необходимость")),IF(E189="Привлекательное",IF(G189&lt;0.5,"Зона дифференциации","Переходит в ожидаемое"),IF(E189="Безразличное","Низкий приоритет",IF(E189="Обратное","Риск отторжения","Требует проверки")))))</x:f>
      </x:c>
      <x:c r="J189" s="32" t="str"/>
      <x:c r="K189" s="32" t="str"/>
      <x:c r="L189" s="32" t="str"/>
    </x:row>
    <x:row r="190">
      <x:c r="A190" s="32" t="str">
        <x:v>S184</x:v>
      </x:c>
      <x:c r="B190" s="32" t="str"/>
      <x:c r="C190" s="32" t="str"/>
      <x:c r="D190" s="32" t="str"/>
      <x:c r="E190" s="32" t="str"/>
      <x:c r="F190" s="32" t="str"/>
      <x:c r="G190" s="44" t="str">
        <x:f>IF(F190="","",IFERROR(F190/MAX(1,COUNTIF('01_Конкуренты'!$B$7:$B$36,"?*")),""))</x:f>
      </x:c>
      <x:c r="H190" s="32" t="str"/>
      <x:c r="I190" s="32" t="str">
        <x:f>IF(B190="","",IF(OR(E190="Обязательное",E190="Линейное"),IF(G190&gt;=0.6,"Рыночный стандарт",IF(G190&gt;=0.35,"Формирующаяся норма","Проверить необходимость")),IF(E190="Привлекательное",IF(G190&lt;0.5,"Зона дифференциации","Переходит в ожидаемое"),IF(E190="Безразличное","Низкий приоритет",IF(E190="Обратное","Риск отторжения","Требует проверки")))))</x:f>
      </x:c>
      <x:c r="J190" s="32" t="str"/>
      <x:c r="K190" s="32" t="str"/>
      <x:c r="L190" s="32" t="str"/>
    </x:row>
    <x:row r="191">
      <x:c r="A191" s="32" t="str">
        <x:v>S185</x:v>
      </x:c>
      <x:c r="B191" s="32" t="str"/>
      <x:c r="C191" s="32" t="str"/>
      <x:c r="D191" s="32" t="str"/>
      <x:c r="E191" s="32" t="str"/>
      <x:c r="F191" s="32" t="str"/>
      <x:c r="G191" s="44" t="str">
        <x:f>IF(F191="","",IFERROR(F191/MAX(1,COUNTIF('01_Конкуренты'!$B$7:$B$36,"?*")),""))</x:f>
      </x:c>
      <x:c r="H191" s="32" t="str"/>
      <x:c r="I191" s="32" t="str">
        <x:f>IF(B191="","",IF(OR(E191="Обязательное",E191="Линейное"),IF(G191&gt;=0.6,"Рыночный стандарт",IF(G191&gt;=0.35,"Формирующаяся норма","Проверить необходимость")),IF(E191="Привлекательное",IF(G191&lt;0.5,"Зона дифференциации","Переходит в ожидаемое"),IF(E191="Безразличное","Низкий приоритет",IF(E191="Обратное","Риск отторжения","Требует проверки")))))</x:f>
      </x:c>
      <x:c r="J191" s="32" t="str"/>
      <x:c r="K191" s="32" t="str"/>
      <x:c r="L191" s="32" t="str"/>
    </x:row>
    <x:row r="192">
      <x:c r="A192" s="32" t="str">
        <x:v>S186</x:v>
      </x:c>
      <x:c r="B192" s="32" t="str"/>
      <x:c r="C192" s="32" t="str"/>
      <x:c r="D192" s="32" t="str"/>
      <x:c r="E192" s="32" t="str"/>
      <x:c r="F192" s="32" t="str"/>
      <x:c r="G192" s="44" t="str">
        <x:f>IF(F192="","",IFERROR(F192/MAX(1,COUNTIF('01_Конкуренты'!$B$7:$B$36,"?*")),""))</x:f>
      </x:c>
      <x:c r="H192" s="32" t="str"/>
      <x:c r="I192" s="32" t="str">
        <x:f>IF(B192="","",IF(OR(E192="Обязательное",E192="Линейное"),IF(G192&gt;=0.6,"Рыночный стандарт",IF(G192&gt;=0.35,"Формирующаяся норма","Проверить необходимость")),IF(E192="Привлекательное",IF(G192&lt;0.5,"Зона дифференциации","Переходит в ожидаемое"),IF(E192="Безразличное","Низкий приоритет",IF(E192="Обратное","Риск отторжения","Требует проверки")))))</x:f>
      </x:c>
      <x:c r="J192" s="32" t="str"/>
      <x:c r="K192" s="32" t="str"/>
      <x:c r="L192" s="32" t="str"/>
    </x:row>
    <x:row r="193">
      <x:c r="A193" s="32" t="str">
        <x:v>S187</x:v>
      </x:c>
      <x:c r="B193" s="32" t="str"/>
      <x:c r="C193" s="32" t="str"/>
      <x:c r="D193" s="32" t="str"/>
      <x:c r="E193" s="32" t="str"/>
      <x:c r="F193" s="32" t="str"/>
      <x:c r="G193" s="44" t="str">
        <x:f>IF(F193="","",IFERROR(F193/MAX(1,COUNTIF('01_Конкуренты'!$B$7:$B$36,"?*")),""))</x:f>
      </x:c>
      <x:c r="H193" s="32" t="str"/>
      <x:c r="I193" s="32" t="str">
        <x:f>IF(B193="","",IF(OR(E193="Обязательное",E193="Линейное"),IF(G193&gt;=0.6,"Рыночный стандарт",IF(G193&gt;=0.35,"Формирующаяся норма","Проверить необходимость")),IF(E193="Привлекательное",IF(G193&lt;0.5,"Зона дифференциации","Переходит в ожидаемое"),IF(E193="Безразличное","Низкий приоритет",IF(E193="Обратное","Риск отторжения","Требует проверки")))))</x:f>
      </x:c>
      <x:c r="J193" s="32" t="str"/>
      <x:c r="K193" s="32" t="str"/>
      <x:c r="L193" s="32" t="str"/>
    </x:row>
    <x:row r="194">
      <x:c r="A194" s="32" t="str">
        <x:v>S188</x:v>
      </x:c>
      <x:c r="B194" s="32" t="str"/>
      <x:c r="C194" s="32" t="str"/>
      <x:c r="D194" s="32" t="str"/>
      <x:c r="E194" s="32" t="str"/>
      <x:c r="F194" s="32" t="str"/>
      <x:c r="G194" s="44" t="str">
        <x:f>IF(F194="","",IFERROR(F194/MAX(1,COUNTIF('01_Конкуренты'!$B$7:$B$36,"?*")),""))</x:f>
      </x:c>
      <x:c r="H194" s="32" t="str"/>
      <x:c r="I194" s="32" t="str">
        <x:f>IF(B194="","",IF(OR(E194="Обязательное",E194="Линейное"),IF(G194&gt;=0.6,"Рыночный стандарт",IF(G194&gt;=0.35,"Формирующаяся норма","Проверить необходимость")),IF(E194="Привлекательное",IF(G194&lt;0.5,"Зона дифференциации","Переходит в ожидаемое"),IF(E194="Безразличное","Низкий приоритет",IF(E194="Обратное","Риск отторжения","Требует проверки")))))</x:f>
      </x:c>
      <x:c r="J194" s="32" t="str"/>
      <x:c r="K194" s="32" t="str"/>
      <x:c r="L194" s="32" t="str"/>
    </x:row>
    <x:row r="195">
      <x:c r="A195" s="32" t="str">
        <x:v>S189</x:v>
      </x:c>
      <x:c r="B195" s="32" t="str"/>
      <x:c r="C195" s="32" t="str"/>
      <x:c r="D195" s="32" t="str"/>
      <x:c r="E195" s="32" t="str"/>
      <x:c r="F195" s="32" t="str"/>
      <x:c r="G195" s="44" t="str">
        <x:f>IF(F195="","",IFERROR(F195/MAX(1,COUNTIF('01_Конкуренты'!$B$7:$B$36,"?*")),""))</x:f>
      </x:c>
      <x:c r="H195" s="32" t="str"/>
      <x:c r="I195" s="32" t="str">
        <x:f>IF(B195="","",IF(OR(E195="Обязательное",E195="Линейное"),IF(G195&gt;=0.6,"Рыночный стандарт",IF(G195&gt;=0.35,"Формирующаяся норма","Проверить необходимость")),IF(E195="Привлекательное",IF(G195&lt;0.5,"Зона дифференциации","Переходит в ожидаемое"),IF(E195="Безразличное","Низкий приоритет",IF(E195="Обратное","Риск отторжения","Требует проверки")))))</x:f>
      </x:c>
      <x:c r="J195" s="32" t="str"/>
      <x:c r="K195" s="32" t="str"/>
      <x:c r="L195" s="32" t="str"/>
    </x:row>
    <x:row r="196">
      <x:c r="A196" s="32" t="str">
        <x:v>S190</x:v>
      </x:c>
      <x:c r="B196" s="32" t="str"/>
      <x:c r="C196" s="32" t="str"/>
      <x:c r="D196" s="32" t="str"/>
      <x:c r="E196" s="32" t="str"/>
      <x:c r="F196" s="32" t="str"/>
      <x:c r="G196" s="44" t="str">
        <x:f>IF(F196="","",IFERROR(F196/MAX(1,COUNTIF('01_Конкуренты'!$B$7:$B$36,"?*")),""))</x:f>
      </x:c>
      <x:c r="H196" s="32" t="str"/>
      <x:c r="I196" s="32" t="str">
        <x:f>IF(B196="","",IF(OR(E196="Обязательное",E196="Линейное"),IF(G196&gt;=0.6,"Рыночный стандарт",IF(G196&gt;=0.35,"Формирующаяся норма","Проверить необходимость")),IF(E196="Привлекательное",IF(G196&lt;0.5,"Зона дифференциации","Переходит в ожидаемое"),IF(E196="Безразличное","Низкий приоритет",IF(E196="Обратное","Риск отторжения","Требует проверки")))))</x:f>
      </x:c>
      <x:c r="J196" s="32" t="str"/>
      <x:c r="K196" s="32" t="str"/>
      <x:c r="L196" s="32" t="str"/>
    </x:row>
    <x:row r="197">
      <x:c r="A197" s="32" t="str">
        <x:v>S191</x:v>
      </x:c>
      <x:c r="B197" s="32" t="str"/>
      <x:c r="C197" s="32" t="str"/>
      <x:c r="D197" s="32" t="str"/>
      <x:c r="E197" s="32" t="str"/>
      <x:c r="F197" s="32" t="str"/>
      <x:c r="G197" s="44" t="str">
        <x:f>IF(F197="","",IFERROR(F197/MAX(1,COUNTIF('01_Конкуренты'!$B$7:$B$36,"?*")),""))</x:f>
      </x:c>
      <x:c r="H197" s="32" t="str"/>
      <x:c r="I197" s="32" t="str">
        <x:f>IF(B197="","",IF(OR(E197="Обязательное",E197="Линейное"),IF(G197&gt;=0.6,"Рыночный стандарт",IF(G197&gt;=0.35,"Формирующаяся норма","Проверить необходимость")),IF(E197="Привлекательное",IF(G197&lt;0.5,"Зона дифференциации","Переходит в ожидаемое"),IF(E197="Безразличное","Низкий приоритет",IF(E197="Обратное","Риск отторжения","Требует проверки")))))</x:f>
      </x:c>
      <x:c r="J197" s="32" t="str"/>
      <x:c r="K197" s="32" t="str"/>
      <x:c r="L197" s="32" t="str"/>
    </x:row>
    <x:row r="198">
      <x:c r="A198" s="32" t="str">
        <x:v>S192</x:v>
      </x:c>
      <x:c r="B198" s="32" t="str"/>
      <x:c r="C198" s="32" t="str"/>
      <x:c r="D198" s="32" t="str"/>
      <x:c r="E198" s="32" t="str"/>
      <x:c r="F198" s="32" t="str"/>
      <x:c r="G198" s="44" t="str">
        <x:f>IF(F198="","",IFERROR(F198/MAX(1,COUNTIF('01_Конкуренты'!$B$7:$B$36,"?*")),""))</x:f>
      </x:c>
      <x:c r="H198" s="32" t="str"/>
      <x:c r="I198" s="32" t="str">
        <x:f>IF(B198="","",IF(OR(E198="Обязательное",E198="Линейное"),IF(G198&gt;=0.6,"Рыночный стандарт",IF(G198&gt;=0.35,"Формирующаяся норма","Проверить необходимость")),IF(E198="Привлекательное",IF(G198&lt;0.5,"Зона дифференциации","Переходит в ожидаемое"),IF(E198="Безразличное","Низкий приоритет",IF(E198="Обратное","Риск отторжения","Требует проверки")))))</x:f>
      </x:c>
      <x:c r="J198" s="32" t="str"/>
      <x:c r="K198" s="32" t="str"/>
      <x:c r="L198" s="32" t="str"/>
    </x:row>
    <x:row r="199">
      <x:c r="A199" s="32" t="str">
        <x:v>S193</x:v>
      </x:c>
      <x:c r="B199" s="32" t="str"/>
      <x:c r="C199" s="32" t="str"/>
      <x:c r="D199" s="32" t="str"/>
      <x:c r="E199" s="32" t="str"/>
      <x:c r="F199" s="32" t="str"/>
      <x:c r="G199" s="44" t="str">
        <x:f>IF(F199="","",IFERROR(F199/MAX(1,COUNTIF('01_Конкуренты'!$B$7:$B$36,"?*")),""))</x:f>
      </x:c>
      <x:c r="H199" s="32" t="str"/>
      <x:c r="I199" s="32" t="str">
        <x:f>IF(B199="","",IF(OR(E199="Обязательное",E199="Линейное"),IF(G199&gt;=0.6,"Рыночный стандарт",IF(G199&gt;=0.35,"Формирующаяся норма","Проверить необходимость")),IF(E199="Привлекательное",IF(G199&lt;0.5,"Зона дифференциации","Переходит в ожидаемое"),IF(E199="Безразличное","Низкий приоритет",IF(E199="Обратное","Риск отторжения","Требует проверки")))))</x:f>
      </x:c>
      <x:c r="J199" s="32" t="str"/>
      <x:c r="K199" s="32" t="str"/>
      <x:c r="L199" s="32" t="str"/>
    </x:row>
    <x:row r="200">
      <x:c r="A200" s="32" t="str">
        <x:v>S194</x:v>
      </x:c>
      <x:c r="B200" s="32" t="str"/>
      <x:c r="C200" s="32" t="str"/>
      <x:c r="D200" s="32" t="str"/>
      <x:c r="E200" s="32" t="str"/>
      <x:c r="F200" s="32" t="str"/>
      <x:c r="G200" s="44" t="str">
        <x:f>IF(F200="","",IFERROR(F200/MAX(1,COUNTIF('01_Конкуренты'!$B$7:$B$36,"?*")),""))</x:f>
      </x:c>
      <x:c r="H200" s="32" t="str"/>
      <x:c r="I200" s="32" t="str">
        <x:f>IF(B200="","",IF(OR(E200="Обязательное",E200="Линейное"),IF(G200&gt;=0.6,"Рыночный стандарт",IF(G200&gt;=0.35,"Формирующаяся норма","Проверить необходимость")),IF(E200="Привлекательное",IF(G200&lt;0.5,"Зона дифференциации","Переходит в ожидаемое"),IF(E200="Безразличное","Низкий приоритет",IF(E200="Обратное","Риск отторжения","Требует проверки")))))</x:f>
      </x:c>
      <x:c r="J200" s="32" t="str"/>
      <x:c r="K200" s="32" t="str"/>
      <x:c r="L200" s="32" t="str"/>
    </x:row>
    <x:row r="201">
      <x:c r="A201" s="32" t="str">
        <x:v>S195</x:v>
      </x:c>
      <x:c r="B201" s="32" t="str"/>
      <x:c r="C201" s="32" t="str"/>
      <x:c r="D201" s="32" t="str"/>
      <x:c r="E201" s="32" t="str"/>
      <x:c r="F201" s="32" t="str"/>
      <x:c r="G201" s="44" t="str">
        <x:f>IF(F201="","",IFERROR(F201/MAX(1,COUNTIF('01_Конкуренты'!$B$7:$B$36,"?*")),""))</x:f>
      </x:c>
      <x:c r="H201" s="32" t="str"/>
      <x:c r="I201" s="32" t="str">
        <x:f>IF(B201="","",IF(OR(E201="Обязательное",E201="Линейное"),IF(G201&gt;=0.6,"Рыночный стандарт",IF(G201&gt;=0.35,"Формирующаяся норма","Проверить необходимость")),IF(E201="Привлекательное",IF(G201&lt;0.5,"Зона дифференциации","Переходит в ожидаемое"),IF(E201="Безразличное","Низкий приоритет",IF(E201="Обратное","Риск отторжения","Требует проверки")))))</x:f>
      </x:c>
      <x:c r="J201" s="32" t="str"/>
      <x:c r="K201" s="32" t="str"/>
      <x:c r="L201" s="32" t="str"/>
    </x:row>
    <x:row r="202">
      <x:c r="A202" s="32" t="str">
        <x:v>S196</x:v>
      </x:c>
      <x:c r="B202" s="32" t="str"/>
      <x:c r="C202" s="32" t="str"/>
      <x:c r="D202" s="32" t="str"/>
      <x:c r="E202" s="32" t="str"/>
      <x:c r="F202" s="32" t="str"/>
      <x:c r="G202" s="44" t="str">
        <x:f>IF(F202="","",IFERROR(F202/MAX(1,COUNTIF('01_Конкуренты'!$B$7:$B$36,"?*")),""))</x:f>
      </x:c>
      <x:c r="H202" s="32" t="str"/>
      <x:c r="I202" s="32" t="str">
        <x:f>IF(B202="","",IF(OR(E202="Обязательное",E202="Линейное"),IF(G202&gt;=0.6,"Рыночный стандарт",IF(G202&gt;=0.35,"Формирующаяся норма","Проверить необходимость")),IF(E202="Привлекательное",IF(G202&lt;0.5,"Зона дифференциации","Переходит в ожидаемое"),IF(E202="Безразличное","Низкий приоритет",IF(E202="Обратное","Риск отторжения","Требует проверки")))))</x:f>
      </x:c>
      <x:c r="J202" s="32" t="str"/>
      <x:c r="K202" s="32" t="str"/>
      <x:c r="L202" s="32" t="str"/>
    </x:row>
    <x:row r="203">
      <x:c r="A203" s="32" t="str">
        <x:v>S197</x:v>
      </x:c>
      <x:c r="B203" s="32" t="str"/>
      <x:c r="C203" s="32" t="str"/>
      <x:c r="D203" s="32" t="str"/>
      <x:c r="E203" s="32" t="str"/>
      <x:c r="F203" s="32" t="str"/>
      <x:c r="G203" s="44" t="str">
        <x:f>IF(F203="","",IFERROR(F203/MAX(1,COUNTIF('01_Конкуренты'!$B$7:$B$36,"?*")),""))</x:f>
      </x:c>
      <x:c r="H203" s="32" t="str"/>
      <x:c r="I203" s="32" t="str">
        <x:f>IF(B203="","",IF(OR(E203="Обязательное",E203="Линейное"),IF(G203&gt;=0.6,"Рыночный стандарт",IF(G203&gt;=0.35,"Формирующаяся норма","Проверить необходимость")),IF(E203="Привлекательное",IF(G203&lt;0.5,"Зона дифференциации","Переходит в ожидаемое"),IF(E203="Безразличное","Низкий приоритет",IF(E203="Обратное","Риск отторжения","Требует проверки")))))</x:f>
      </x:c>
      <x:c r="J203" s="32" t="str"/>
      <x:c r="K203" s="32" t="str"/>
      <x:c r="L203" s="32" t="str"/>
    </x:row>
    <x:row r="204">
      <x:c r="A204" s="32" t="str">
        <x:v>S198</x:v>
      </x:c>
      <x:c r="B204" s="32" t="str"/>
      <x:c r="C204" s="32" t="str"/>
      <x:c r="D204" s="32" t="str"/>
      <x:c r="E204" s="32" t="str"/>
      <x:c r="F204" s="32" t="str"/>
      <x:c r="G204" s="44" t="str">
        <x:f>IF(F204="","",IFERROR(F204/MAX(1,COUNTIF('01_Конкуренты'!$B$7:$B$36,"?*")),""))</x:f>
      </x:c>
      <x:c r="H204" s="32" t="str"/>
      <x:c r="I204" s="32" t="str">
        <x:f>IF(B204="","",IF(OR(E204="Обязательное",E204="Линейное"),IF(G204&gt;=0.6,"Рыночный стандарт",IF(G204&gt;=0.35,"Формирующаяся норма","Проверить необходимость")),IF(E204="Привлекательное",IF(G204&lt;0.5,"Зона дифференциации","Переходит в ожидаемое"),IF(E204="Безразличное","Низкий приоритет",IF(E204="Обратное","Риск отторжения","Требует проверки")))))</x:f>
      </x:c>
      <x:c r="J204" s="32" t="str"/>
      <x:c r="K204" s="32" t="str"/>
      <x:c r="L204" s="32" t="str"/>
    </x:row>
    <x:row r="205">
      <x:c r="A205" s="32" t="str">
        <x:v>S199</x:v>
      </x:c>
      <x:c r="B205" s="32" t="str"/>
      <x:c r="C205" s="32" t="str"/>
      <x:c r="D205" s="32" t="str"/>
      <x:c r="E205" s="32" t="str"/>
      <x:c r="F205" s="32" t="str"/>
      <x:c r="G205" s="44" t="str">
        <x:f>IF(F205="","",IFERROR(F205/MAX(1,COUNTIF('01_Конкуренты'!$B$7:$B$36,"?*")),""))</x:f>
      </x:c>
      <x:c r="H205" s="32" t="str"/>
      <x:c r="I205" s="32" t="str">
        <x:f>IF(B205="","",IF(OR(E205="Обязательное",E205="Линейное"),IF(G205&gt;=0.6,"Рыночный стандарт",IF(G205&gt;=0.35,"Формирующаяся норма","Проверить необходимость")),IF(E205="Привлекательное",IF(G205&lt;0.5,"Зона дифференциации","Переходит в ожидаемое"),IF(E205="Безразличное","Низкий приоритет",IF(E205="Обратное","Риск отторжения","Требует проверки")))))</x:f>
      </x:c>
      <x:c r="J205" s="32" t="str"/>
      <x:c r="K205" s="32" t="str"/>
      <x:c r="L205" s="32" t="str"/>
    </x:row>
    <x:row r="206">
      <x:c r="A206" s="32" t="str">
        <x:v>S200</x:v>
      </x:c>
      <x:c r="B206" s="32" t="str"/>
      <x:c r="C206" s="32" t="str"/>
      <x:c r="D206" s="32" t="str"/>
      <x:c r="E206" s="32" t="str"/>
      <x:c r="F206" s="32" t="str"/>
      <x:c r="G206" s="44" t="str">
        <x:f>IF(F206="","",IFERROR(F206/MAX(1,COUNTIF('01_Конкуренты'!$B$7:$B$36,"?*")),""))</x:f>
      </x:c>
      <x:c r="H206" s="32" t="str"/>
      <x:c r="I206" s="32" t="str">
        <x:f>IF(B206="","",IF(OR(E206="Обязательное",E206="Линейное"),IF(G206&gt;=0.6,"Рыночный стандарт",IF(G206&gt;=0.35,"Формирующаяся норма","Проверить необходимость")),IF(E206="Привлекательное",IF(G206&lt;0.5,"Зона дифференциации","Переходит в ожидаемое"),IF(E206="Безразличное","Низкий приоритет",IF(E206="Обратное","Риск отторжения","Требует проверки")))))</x:f>
      </x:c>
      <x:c r="J206" s="32" t="str"/>
      <x:c r="K206" s="32" t="str"/>
      <x:c r="L206" s="32" t="str"/>
    </x:row>
  </x:sheetData>
  <x:mergeCells>
    <x:mergeCell ref="A1:L1"/>
    <x:mergeCell ref="A2:L2"/>
  </x:mergeCells>
  <x:conditionalFormatting sqref="G7:G206">
    <x:cfRule type="dataBar" priority="1">
      <x:dataBar>
        <x:cfvo type="min"/>
        <x:cfvo type="max"/>
        <x:color rgb="34D399"/>
      </x:dataBar>
      <x:extLst>
        <x:ext xmlns:x14="http://schemas.microsoft.com/office/spreadsheetml/2009/9/main" uri="{B025F937-C7B1-47D3-B67F-A62EFF666E3E}">
          <x14:id>{B144901E-EEF7-CD91-6EF2-5554ADE5D379}</x14:id>
        </x:ext>
      </x:extLst>
    </x:cfRule>
  </x:conditionalFormatting>
  <x:dataValidations count="3">
    <x:dataValidation type="list" sqref="D7:D206">
      <x:formula1>"1. Базовая выгода,2. Родовой товар,3. Ожидаемый товар,4. Расширенный товар,5. Потенциальный товар"</x:formula1>
    </x:dataValidation>
    <x:dataValidation type="list" sqref="E7:E206">
      <x:formula1>"Обязательное,Линейное,Привлекательное,Безразличное,Обратное,Неясное"</x:formula1>
    </x:dataValidation>
    <x:dataValidation type="list" sqref="H7:H20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efd33bd455421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144901E-EEF7-CD91-6EF2-5554ADE5D379}">
            <x14:dataBar gradient="1">
              <x14:cfvo type="min"/>
              <x14:cfvo type="max"/>
              <x14:fillColor rgb="34D399"/>
            </x14:dataBar>
          </x14:cfRule>
          <xm:sqref>G7:G206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42" hidden="0" customWidth="1"/>
    <x:col min="5" max="5" width="28" hidden="0" customWidth="1"/>
    <x:col min="6" max="6" width="20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6" hidden="0" customWidth="1"/>
    <x:col min="14" max="14" width="44" hidden="0" customWidth="1"/>
  </x:cols>
  <x:sheetData>
    <x:row r="1" ht="32" customHeight="1">
      <x:c r="A1" s="82" t="str">
        <x:v>08. Выявление конкурентных преимуществ по товару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2" customHeight="1">
      <x:c r="A2" s="14" t="str">
        <x:v>Преимущество фиксируется только при наличии доказательства с сайта, пользовательской ценности и отличия от среднего рынка.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6" ht="34" customHeight="1">
      <x:c r="A6" s="24" t="str">
        <x:v>ID</x:v>
      </x:c>
      <x:c r="B6" s="24" t="str">
        <x:v>ID конкурента</x:v>
      </x:c>
      <x:c r="C6" s="24" t="str">
        <x:v>Признак преимущества</x:v>
      </x:c>
      <x:c r="D6" s="24" t="str">
        <x:v>Доказательство / URL</x:v>
      </x:c>
      <x:c r="E6" s="24" t="str">
        <x:v>Уровень Левитта</x:v>
      </x:c>
      <x:c r="F6" s="24" t="str">
        <x:v>Категория Кано</x:v>
      </x:c>
      <x:c r="G6" s="24" t="str">
        <x:v>Тип преимущества</x:v>
      </x:c>
      <x:c r="H6" s="24" t="str">
        <x:v>Редкость 1–5</x:v>
      </x:c>
      <x:c r="I6" s="24" t="str">
        <x:v>Сила 1–5</x:v>
      </x:c>
      <x:c r="J6" s="24" t="str">
        <x:v>Пользовательская ценность 1–5</x:v>
      </x:c>
      <x:c r="K6" s="24" t="str">
        <x:v>Качество доказательства 1–5</x:v>
      </x:c>
      <x:c r="L6" s="24" t="str">
        <x:v>Индекс преимущества</x:v>
      </x:c>
      <x:c r="M6" s="24" t="str">
        <x:v>Вывод</x:v>
      </x:c>
      <x:c r="N6" s="24" t="str">
        <x:v>Как использовать для своего товара</x:v>
      </x:c>
    </x:row>
    <x:row r="7">
      <x:c r="A7" s="32" t="str">
        <x:v>A001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>
        <x:f>IF(OR(H7="",I7="",J7="",K7=""),"",ROUND(H7*0.25+I7*0.25+J7*0.30+K7*0.20,2))</x:f>
      </x:c>
      <x:c r="M7" s="32" t="str">
        <x:f>IF(L7="","",IF(L7&gt;=4.2,"Сильное преимущество",IF(L7&gt;=3.4,"Потенциальное преимущество",IF(L7&gt;=2.5,"Слабое преимущество","Не считать преимуществом"))))</x:f>
      </x:c>
      <x:c r="N7" s="32" t="str"/>
    </x:row>
    <x:row r="8">
      <x:c r="A8" s="32" t="str">
        <x:v>A002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>
        <x:f>IF(OR(H8="",I8="",J8="",K8=""),"",ROUND(H8*0.25+I8*0.25+J8*0.30+K8*0.20,2))</x:f>
      </x:c>
      <x:c r="M8" s="32" t="str">
        <x:f>IF(L8="","",IF(L8&gt;=4.2,"Сильное преимущество",IF(L8&gt;=3.4,"Потенциальное преимущество",IF(L8&gt;=2.5,"Слабое преимущество","Не считать преимуществом"))))</x:f>
      </x:c>
      <x:c r="N8" s="32" t="str"/>
    </x:row>
    <x:row r="9">
      <x:c r="A9" s="32" t="str">
        <x:v>A003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>
        <x:f>IF(OR(H9="",I9="",J9="",K9=""),"",ROUND(H9*0.25+I9*0.25+J9*0.30+K9*0.20,2))</x:f>
      </x:c>
      <x:c r="M9" s="32" t="str">
        <x:f>IF(L9="","",IF(L9&gt;=4.2,"Сильное преимущество",IF(L9&gt;=3.4,"Потенциальное преимущество",IF(L9&gt;=2.5,"Слабое преимущество","Не считать преимуществом"))))</x:f>
      </x:c>
      <x:c r="N9" s="32" t="str"/>
    </x:row>
    <x:row r="10">
      <x:c r="A10" s="32" t="str">
        <x:v>A004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>
        <x:f>IF(OR(H10="",I10="",J10="",K10=""),"",ROUND(H10*0.25+I10*0.25+J10*0.30+K10*0.20,2))</x:f>
      </x:c>
      <x:c r="M10" s="32" t="str">
        <x:f>IF(L10="","",IF(L10&gt;=4.2,"Сильное преимущество",IF(L10&gt;=3.4,"Потенциальное преимущество",IF(L10&gt;=2.5,"Слабое преимущество","Не считать преимуществом"))))</x:f>
      </x:c>
      <x:c r="N10" s="32" t="str"/>
    </x:row>
    <x:row r="11">
      <x:c r="A11" s="32" t="str">
        <x:v>A005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>
        <x:f>IF(OR(H11="",I11="",J11="",K11=""),"",ROUND(H11*0.25+I11*0.25+J11*0.30+K11*0.20,2))</x:f>
      </x:c>
      <x:c r="M11" s="32" t="str">
        <x:f>IF(L11="","",IF(L11&gt;=4.2,"Сильное преимущество",IF(L11&gt;=3.4,"Потенциальное преимущество",IF(L11&gt;=2.5,"Слабое преимущество","Не считать преимуществом"))))</x:f>
      </x:c>
      <x:c r="N11" s="32" t="str"/>
    </x:row>
    <x:row r="12">
      <x:c r="A12" s="32" t="str">
        <x:v>A006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>
        <x:f>IF(OR(H12="",I12="",J12="",K12=""),"",ROUND(H12*0.25+I12*0.25+J12*0.30+K12*0.20,2))</x:f>
      </x:c>
      <x:c r="M12" s="32" t="str">
        <x:f>IF(L12="","",IF(L12&gt;=4.2,"Сильное преимущество",IF(L12&gt;=3.4,"Потенциальное преимущество",IF(L12&gt;=2.5,"Слабое преимущество","Не считать преимуществом"))))</x:f>
      </x:c>
      <x:c r="N12" s="32" t="str"/>
    </x:row>
    <x:row r="13">
      <x:c r="A13" s="32" t="str">
        <x:v>A007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>
        <x:f>IF(OR(H13="",I13="",J13="",K13=""),"",ROUND(H13*0.25+I13*0.25+J13*0.30+K13*0.20,2))</x:f>
      </x:c>
      <x:c r="M13" s="32" t="str">
        <x:f>IF(L13="","",IF(L13&gt;=4.2,"Сильное преимущество",IF(L13&gt;=3.4,"Потенциальное преимущество",IF(L13&gt;=2.5,"Слабое преимущество","Не считать преимуществом"))))</x:f>
      </x:c>
      <x:c r="N13" s="32" t="str"/>
    </x:row>
    <x:row r="14">
      <x:c r="A14" s="32" t="str">
        <x:v>A008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>
        <x:f>IF(OR(H14="",I14="",J14="",K14=""),"",ROUND(H14*0.25+I14*0.25+J14*0.30+K14*0.20,2))</x:f>
      </x:c>
      <x:c r="M14" s="32" t="str">
        <x:f>IF(L14="","",IF(L14&gt;=4.2,"Сильное преимущество",IF(L14&gt;=3.4,"Потенциальное преимущество",IF(L14&gt;=2.5,"Слабое преимущество","Не считать преимуществом"))))</x:f>
      </x:c>
      <x:c r="N14" s="32" t="str"/>
    </x:row>
    <x:row r="15">
      <x:c r="A15" s="32" t="str">
        <x:v>A009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>
        <x:f>IF(OR(H15="",I15="",J15="",K15=""),"",ROUND(H15*0.25+I15*0.25+J15*0.30+K15*0.20,2))</x:f>
      </x:c>
      <x:c r="M15" s="32" t="str">
        <x:f>IF(L15="","",IF(L15&gt;=4.2,"Сильное преимущество",IF(L15&gt;=3.4,"Потенциальное преимущество",IF(L15&gt;=2.5,"Слабое преимущество","Не считать преимуществом"))))</x:f>
      </x:c>
      <x:c r="N15" s="32" t="str"/>
    </x:row>
    <x:row r="16">
      <x:c r="A16" s="32" t="str">
        <x:v>A010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>
        <x:f>IF(OR(H16="",I16="",J16="",K16=""),"",ROUND(H16*0.25+I16*0.25+J16*0.30+K16*0.20,2))</x:f>
      </x:c>
      <x:c r="M16" s="32" t="str">
        <x:f>IF(L16="","",IF(L16&gt;=4.2,"Сильное преимущество",IF(L16&gt;=3.4,"Потенциальное преимущество",IF(L16&gt;=2.5,"Слабое преимущество","Не считать преимуществом"))))</x:f>
      </x:c>
      <x:c r="N16" s="32" t="str"/>
    </x:row>
    <x:row r="17">
      <x:c r="A17" s="32" t="str">
        <x:v>A011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>
        <x:f>IF(OR(H17="",I17="",J17="",K17=""),"",ROUND(H17*0.25+I17*0.25+J17*0.30+K17*0.20,2))</x:f>
      </x:c>
      <x:c r="M17" s="32" t="str">
        <x:f>IF(L17="","",IF(L17&gt;=4.2,"Сильное преимущество",IF(L17&gt;=3.4,"Потенциальное преимущество",IF(L17&gt;=2.5,"Слабое преимущество","Не считать преимуществом"))))</x:f>
      </x:c>
      <x:c r="N17" s="32" t="str"/>
    </x:row>
    <x:row r="18">
      <x:c r="A18" s="32" t="str">
        <x:v>A012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>
        <x:f>IF(OR(H18="",I18="",J18="",K18=""),"",ROUND(H18*0.25+I18*0.25+J18*0.30+K18*0.20,2))</x:f>
      </x:c>
      <x:c r="M18" s="32" t="str">
        <x:f>IF(L18="","",IF(L18&gt;=4.2,"Сильное преимущество",IF(L18&gt;=3.4,"Потенциальное преимущество",IF(L18&gt;=2.5,"Слабое преимущество","Не считать преимуществом"))))</x:f>
      </x:c>
      <x:c r="N18" s="32" t="str"/>
    </x:row>
    <x:row r="19">
      <x:c r="A19" s="32" t="str">
        <x:v>A013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>
        <x:f>IF(OR(H19="",I19="",J19="",K19=""),"",ROUND(H19*0.25+I19*0.25+J19*0.30+K19*0.20,2))</x:f>
      </x:c>
      <x:c r="M19" s="32" t="str">
        <x:f>IF(L19="","",IF(L19&gt;=4.2,"Сильное преимущество",IF(L19&gt;=3.4,"Потенциальное преимущество",IF(L19&gt;=2.5,"Слабое преимущество","Не считать преимуществом"))))</x:f>
      </x:c>
      <x:c r="N19" s="32" t="str"/>
    </x:row>
    <x:row r="20">
      <x:c r="A20" s="32" t="str">
        <x:v>A014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>
        <x:f>IF(OR(H20="",I20="",J20="",K20=""),"",ROUND(H20*0.25+I20*0.25+J20*0.30+K20*0.20,2))</x:f>
      </x:c>
      <x:c r="M20" s="32" t="str">
        <x:f>IF(L20="","",IF(L20&gt;=4.2,"Сильное преимущество",IF(L20&gt;=3.4,"Потенциальное преимущество",IF(L20&gt;=2.5,"Слабое преимущество","Не считать преимуществом"))))</x:f>
      </x:c>
      <x:c r="N20" s="32" t="str"/>
    </x:row>
    <x:row r="21">
      <x:c r="A21" s="32" t="str">
        <x:v>A015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>
        <x:f>IF(OR(H21="",I21="",J21="",K21=""),"",ROUND(H21*0.25+I21*0.25+J21*0.30+K21*0.20,2))</x:f>
      </x:c>
      <x:c r="M21" s="32" t="str">
        <x:f>IF(L21="","",IF(L21&gt;=4.2,"Сильное преимущество",IF(L21&gt;=3.4,"Потенциальное преимущество",IF(L21&gt;=2.5,"Слабое преимущество","Не считать преимуществом"))))</x:f>
      </x:c>
      <x:c r="N21" s="32" t="str"/>
    </x:row>
    <x:row r="22">
      <x:c r="A22" s="32" t="str">
        <x:v>A016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>
        <x:f>IF(OR(H22="",I22="",J22="",K22=""),"",ROUND(H22*0.25+I22*0.25+J22*0.30+K22*0.20,2))</x:f>
      </x:c>
      <x:c r="M22" s="32" t="str">
        <x:f>IF(L22="","",IF(L22&gt;=4.2,"Сильное преимущество",IF(L22&gt;=3.4,"Потенциальное преимущество",IF(L22&gt;=2.5,"Слабое преимущество","Не считать преимуществом"))))</x:f>
      </x:c>
      <x:c r="N22" s="32" t="str"/>
    </x:row>
    <x:row r="23">
      <x:c r="A23" s="32" t="str">
        <x:v>A017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>
        <x:f>IF(OR(H23="",I23="",J23="",K23=""),"",ROUND(H23*0.25+I23*0.25+J23*0.30+K23*0.20,2))</x:f>
      </x:c>
      <x:c r="M23" s="32" t="str">
        <x:f>IF(L23="","",IF(L23&gt;=4.2,"Сильное преимущество",IF(L23&gt;=3.4,"Потенциальное преимущество",IF(L23&gt;=2.5,"Слабое преимущество","Не считать преимуществом"))))</x:f>
      </x:c>
      <x:c r="N23" s="32" t="str"/>
    </x:row>
    <x:row r="24">
      <x:c r="A24" s="32" t="str">
        <x:v>A018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>
        <x:f>IF(OR(H24="",I24="",J24="",K24=""),"",ROUND(H24*0.25+I24*0.25+J24*0.30+K24*0.20,2))</x:f>
      </x:c>
      <x:c r="M24" s="32" t="str">
        <x:f>IF(L24="","",IF(L24&gt;=4.2,"Сильное преимущество",IF(L24&gt;=3.4,"Потенциальное преимущество",IF(L24&gt;=2.5,"Слабое преимущество","Не считать преимуществом"))))</x:f>
      </x:c>
      <x:c r="N24" s="32" t="str"/>
    </x:row>
    <x:row r="25">
      <x:c r="A25" s="32" t="str">
        <x:v>A019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>
        <x:f>IF(OR(H25="",I25="",J25="",K25=""),"",ROUND(H25*0.25+I25*0.25+J25*0.30+K25*0.20,2))</x:f>
      </x:c>
      <x:c r="M25" s="32" t="str">
        <x:f>IF(L25="","",IF(L25&gt;=4.2,"Сильное преимущество",IF(L25&gt;=3.4,"Потенциальное преимущество",IF(L25&gt;=2.5,"Слабое преимущество","Не считать преимуществом"))))</x:f>
      </x:c>
      <x:c r="N25" s="32" t="str"/>
    </x:row>
    <x:row r="26">
      <x:c r="A26" s="32" t="str">
        <x:v>A020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>
        <x:f>IF(OR(H26="",I26="",J26="",K26=""),"",ROUND(H26*0.25+I26*0.25+J26*0.30+K26*0.20,2))</x:f>
      </x:c>
      <x:c r="M26" s="32" t="str">
        <x:f>IF(L26="","",IF(L26&gt;=4.2,"Сильное преимущество",IF(L26&gt;=3.4,"Потенциальное преимущество",IF(L26&gt;=2.5,"Слабое преимущество","Не считать преимуществом"))))</x:f>
      </x:c>
      <x:c r="N26" s="32" t="str"/>
    </x:row>
    <x:row r="27">
      <x:c r="A27" s="32" t="str">
        <x:v>A021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>
        <x:f>IF(OR(H27="",I27="",J27="",K27=""),"",ROUND(H27*0.25+I27*0.25+J27*0.30+K27*0.20,2))</x:f>
      </x:c>
      <x:c r="M27" s="32" t="str">
        <x:f>IF(L27="","",IF(L27&gt;=4.2,"Сильное преимущество",IF(L27&gt;=3.4,"Потенциальное преимущество",IF(L27&gt;=2.5,"Слабое преимущество","Не считать преимуществом"))))</x:f>
      </x:c>
      <x:c r="N27" s="32" t="str"/>
    </x:row>
    <x:row r="28">
      <x:c r="A28" s="32" t="str">
        <x:v>A022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>
        <x:f>IF(OR(H28="",I28="",J28="",K28=""),"",ROUND(H28*0.25+I28*0.25+J28*0.30+K28*0.20,2))</x:f>
      </x:c>
      <x:c r="M28" s="32" t="str">
        <x:f>IF(L28="","",IF(L28&gt;=4.2,"Сильное преимущество",IF(L28&gt;=3.4,"Потенциальное преимущество",IF(L28&gt;=2.5,"Слабое преимущество","Не считать преимуществом"))))</x:f>
      </x:c>
      <x:c r="N28" s="32" t="str"/>
    </x:row>
    <x:row r="29">
      <x:c r="A29" s="32" t="str">
        <x:v>A023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>
        <x:f>IF(OR(H29="",I29="",J29="",K29=""),"",ROUND(H29*0.25+I29*0.25+J29*0.30+K29*0.20,2))</x:f>
      </x:c>
      <x:c r="M29" s="32" t="str">
        <x:f>IF(L29="","",IF(L29&gt;=4.2,"Сильное преимущество",IF(L29&gt;=3.4,"Потенциальное преимущество",IF(L29&gt;=2.5,"Слабое преимущество","Не считать преимуществом"))))</x:f>
      </x:c>
      <x:c r="N29" s="32" t="str"/>
    </x:row>
    <x:row r="30">
      <x:c r="A30" s="32" t="str">
        <x:v>A024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>
        <x:f>IF(OR(H30="",I30="",J30="",K30=""),"",ROUND(H30*0.25+I30*0.25+J30*0.30+K30*0.20,2))</x:f>
      </x:c>
      <x:c r="M30" s="32" t="str">
        <x:f>IF(L30="","",IF(L30&gt;=4.2,"Сильное преимущество",IF(L30&gt;=3.4,"Потенциальное преимущество",IF(L30&gt;=2.5,"Слабое преимущество","Не считать преимуществом"))))</x:f>
      </x:c>
      <x:c r="N30" s="32" t="str"/>
    </x:row>
    <x:row r="31">
      <x:c r="A31" s="32" t="str">
        <x:v>A025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>
        <x:f>IF(OR(H31="",I31="",J31="",K31=""),"",ROUND(H31*0.25+I31*0.25+J31*0.30+K31*0.20,2))</x:f>
      </x:c>
      <x:c r="M31" s="32" t="str">
        <x:f>IF(L31="","",IF(L31&gt;=4.2,"Сильное преимущество",IF(L31&gt;=3.4,"Потенциальное преимущество",IF(L31&gt;=2.5,"Слабое преимущество","Не считать преимуществом"))))</x:f>
      </x:c>
      <x:c r="N31" s="32" t="str"/>
    </x:row>
    <x:row r="32">
      <x:c r="A32" s="32" t="str">
        <x:v>A026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>
        <x:f>IF(OR(H32="",I32="",J32="",K32=""),"",ROUND(H32*0.25+I32*0.25+J32*0.30+K32*0.20,2))</x:f>
      </x:c>
      <x:c r="M32" s="32" t="str">
        <x:f>IF(L32="","",IF(L32&gt;=4.2,"Сильное преимущество",IF(L32&gt;=3.4,"Потенциальное преимущество",IF(L32&gt;=2.5,"Слабое преимущество","Не считать преимуществом"))))</x:f>
      </x:c>
      <x:c r="N32" s="32" t="str"/>
    </x:row>
    <x:row r="33">
      <x:c r="A33" s="32" t="str">
        <x:v>A027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>
        <x:f>IF(OR(H33="",I33="",J33="",K33=""),"",ROUND(H33*0.25+I33*0.25+J33*0.30+K33*0.20,2))</x:f>
      </x:c>
      <x:c r="M33" s="32" t="str">
        <x:f>IF(L33="","",IF(L33&gt;=4.2,"Сильное преимущество",IF(L33&gt;=3.4,"Потенциальное преимущество",IF(L33&gt;=2.5,"Слабое преимущество","Не считать преимуществом"))))</x:f>
      </x:c>
      <x:c r="N33" s="32" t="str"/>
    </x:row>
    <x:row r="34">
      <x:c r="A34" s="32" t="str">
        <x:v>A028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>
        <x:f>IF(OR(H34="",I34="",J34="",K34=""),"",ROUND(H34*0.25+I34*0.25+J34*0.30+K34*0.20,2))</x:f>
      </x:c>
      <x:c r="M34" s="32" t="str">
        <x:f>IF(L34="","",IF(L34&gt;=4.2,"Сильное преимущество",IF(L34&gt;=3.4,"Потенциальное преимущество",IF(L34&gt;=2.5,"Слабое преимущество","Не считать преимуществом"))))</x:f>
      </x:c>
      <x:c r="N34" s="32" t="str"/>
    </x:row>
    <x:row r="35">
      <x:c r="A35" s="32" t="str">
        <x:v>A029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/>
      <x:c r="K35" s="32" t="str"/>
      <x:c r="L35" s="32" t="str">
        <x:f>IF(OR(H35="",I35="",J35="",K35=""),"",ROUND(H35*0.25+I35*0.25+J35*0.30+K35*0.20,2))</x:f>
      </x:c>
      <x:c r="M35" s="32" t="str">
        <x:f>IF(L35="","",IF(L35&gt;=4.2,"Сильное преимущество",IF(L35&gt;=3.4,"Потенциальное преимущество",IF(L35&gt;=2.5,"Слабое преимущество","Не считать преимуществом"))))</x:f>
      </x:c>
      <x:c r="N35" s="32" t="str"/>
    </x:row>
    <x:row r="36">
      <x:c r="A36" s="32" t="str">
        <x:v>A030</x:v>
      </x:c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/>
      <x:c r="K36" s="32" t="str"/>
      <x:c r="L36" s="32" t="str">
        <x:f>IF(OR(H36="",I36="",J36="",K36=""),"",ROUND(H36*0.25+I36*0.25+J36*0.30+K36*0.20,2))</x:f>
      </x:c>
      <x:c r="M36" s="32" t="str">
        <x:f>IF(L36="","",IF(L36&gt;=4.2,"Сильное преимущество",IF(L36&gt;=3.4,"Потенциальное преимущество",IF(L36&gt;=2.5,"Слабое преимущество","Не считать преимуществом"))))</x:f>
      </x:c>
      <x:c r="N36" s="32" t="str"/>
    </x:row>
    <x:row r="37">
      <x:c r="A37" s="32" t="str">
        <x:v>A031</x:v>
      </x:c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/>
      <x:c r="J37" s="32" t="str"/>
      <x:c r="K37" s="32" t="str"/>
      <x:c r="L37" s="32" t="str">
        <x:f>IF(OR(H37="",I37="",J37="",K37=""),"",ROUND(H37*0.25+I37*0.25+J37*0.30+K37*0.20,2))</x:f>
      </x:c>
      <x:c r="M37" s="32" t="str">
        <x:f>IF(L37="","",IF(L37&gt;=4.2,"Сильное преимущество",IF(L37&gt;=3.4,"Потенциальное преимущество",IF(L37&gt;=2.5,"Слабое преимущество","Не считать преимуществом"))))</x:f>
      </x:c>
      <x:c r="N37" s="32" t="str"/>
    </x:row>
    <x:row r="38">
      <x:c r="A38" s="32" t="str">
        <x:v>A032</x:v>
      </x:c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/>
      <x:c r="J38" s="32" t="str"/>
      <x:c r="K38" s="32" t="str"/>
      <x:c r="L38" s="32" t="str">
        <x:f>IF(OR(H38="",I38="",J38="",K38=""),"",ROUND(H38*0.25+I38*0.25+J38*0.30+K38*0.20,2))</x:f>
      </x:c>
      <x:c r="M38" s="32" t="str">
        <x:f>IF(L38="","",IF(L38&gt;=4.2,"Сильное преимущество",IF(L38&gt;=3.4,"Потенциальное преимущество",IF(L38&gt;=2.5,"Слабое преимущество","Не считать преимуществом"))))</x:f>
      </x:c>
      <x:c r="N38" s="32" t="str"/>
    </x:row>
    <x:row r="39">
      <x:c r="A39" s="32" t="str">
        <x:v>A033</x:v>
      </x:c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/>
      <x:c r="J39" s="32" t="str"/>
      <x:c r="K39" s="32" t="str"/>
      <x:c r="L39" s="32" t="str">
        <x:f>IF(OR(H39="",I39="",J39="",K39=""),"",ROUND(H39*0.25+I39*0.25+J39*0.30+K39*0.20,2))</x:f>
      </x:c>
      <x:c r="M39" s="32" t="str">
        <x:f>IF(L39="","",IF(L39&gt;=4.2,"Сильное преимущество",IF(L39&gt;=3.4,"Потенциальное преимущество",IF(L39&gt;=2.5,"Слабое преимущество","Не считать преимуществом"))))</x:f>
      </x:c>
      <x:c r="N39" s="32" t="str"/>
    </x:row>
    <x:row r="40">
      <x:c r="A40" s="32" t="str">
        <x:v>A034</x:v>
      </x:c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/>
      <x:c r="J40" s="32" t="str"/>
      <x:c r="K40" s="32" t="str"/>
      <x:c r="L40" s="32" t="str">
        <x:f>IF(OR(H40="",I40="",J40="",K40=""),"",ROUND(H40*0.25+I40*0.25+J40*0.30+K40*0.20,2))</x:f>
      </x:c>
      <x:c r="M40" s="32" t="str">
        <x:f>IF(L40="","",IF(L40&gt;=4.2,"Сильное преимущество",IF(L40&gt;=3.4,"Потенциальное преимущество",IF(L40&gt;=2.5,"Слабое преимущество","Не считать преимуществом"))))</x:f>
      </x:c>
      <x:c r="N40" s="32" t="str"/>
    </x:row>
    <x:row r="41">
      <x:c r="A41" s="32" t="str">
        <x:v>A035</x:v>
      </x:c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/>
      <x:c r="J41" s="32" t="str"/>
      <x:c r="K41" s="32" t="str"/>
      <x:c r="L41" s="32" t="str">
        <x:f>IF(OR(H41="",I41="",J41="",K41=""),"",ROUND(H41*0.25+I41*0.25+J41*0.30+K41*0.20,2))</x:f>
      </x:c>
      <x:c r="M41" s="32" t="str">
        <x:f>IF(L41="","",IF(L41&gt;=4.2,"Сильное преимущество",IF(L41&gt;=3.4,"Потенциальное преимущество",IF(L41&gt;=2.5,"Слабое преимущество","Не считать преимуществом"))))</x:f>
      </x:c>
      <x:c r="N41" s="32" t="str"/>
    </x:row>
    <x:row r="42">
      <x:c r="A42" s="32" t="str">
        <x:v>A036</x:v>
      </x:c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/>
      <x:c r="J42" s="32" t="str"/>
      <x:c r="K42" s="32" t="str"/>
      <x:c r="L42" s="32" t="str">
        <x:f>IF(OR(H42="",I42="",J42="",K42=""),"",ROUND(H42*0.25+I42*0.25+J42*0.30+K42*0.20,2))</x:f>
      </x:c>
      <x:c r="M42" s="32" t="str">
        <x:f>IF(L42="","",IF(L42&gt;=4.2,"Сильное преимущество",IF(L42&gt;=3.4,"Потенциальное преимущество",IF(L42&gt;=2.5,"Слабое преимущество","Не считать преимуществом"))))</x:f>
      </x:c>
      <x:c r="N42" s="32" t="str"/>
    </x:row>
    <x:row r="43">
      <x:c r="A43" s="32" t="str">
        <x:v>A037</x:v>
      </x:c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/>
      <x:c r="J43" s="32" t="str"/>
      <x:c r="K43" s="32" t="str"/>
      <x:c r="L43" s="32" t="str">
        <x:f>IF(OR(H43="",I43="",J43="",K43=""),"",ROUND(H43*0.25+I43*0.25+J43*0.30+K43*0.20,2))</x:f>
      </x:c>
      <x:c r="M43" s="32" t="str">
        <x:f>IF(L43="","",IF(L43&gt;=4.2,"Сильное преимущество",IF(L43&gt;=3.4,"Потенциальное преимущество",IF(L43&gt;=2.5,"Слабое преимущество","Не считать преимуществом"))))</x:f>
      </x:c>
      <x:c r="N43" s="32" t="str"/>
    </x:row>
    <x:row r="44">
      <x:c r="A44" s="32" t="str">
        <x:v>A038</x:v>
      </x:c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/>
      <x:c r="J44" s="32" t="str"/>
      <x:c r="K44" s="32" t="str"/>
      <x:c r="L44" s="32" t="str">
        <x:f>IF(OR(H44="",I44="",J44="",K44=""),"",ROUND(H44*0.25+I44*0.25+J44*0.30+K44*0.20,2))</x:f>
      </x:c>
      <x:c r="M44" s="32" t="str">
        <x:f>IF(L44="","",IF(L44&gt;=4.2,"Сильное преимущество",IF(L44&gt;=3.4,"Потенциальное преимущество",IF(L44&gt;=2.5,"Слабое преимущество","Не считать преимуществом"))))</x:f>
      </x:c>
      <x:c r="N44" s="32" t="str"/>
    </x:row>
    <x:row r="45">
      <x:c r="A45" s="32" t="str">
        <x:v>A039</x:v>
      </x:c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/>
      <x:c r="J45" s="32" t="str"/>
      <x:c r="K45" s="32" t="str"/>
      <x:c r="L45" s="32" t="str">
        <x:f>IF(OR(H45="",I45="",J45="",K45=""),"",ROUND(H45*0.25+I45*0.25+J45*0.30+K45*0.20,2))</x:f>
      </x:c>
      <x:c r="M45" s="32" t="str">
        <x:f>IF(L45="","",IF(L45&gt;=4.2,"Сильное преимущество",IF(L45&gt;=3.4,"Потенциальное преимущество",IF(L45&gt;=2.5,"Слабое преимущество","Не считать преимуществом"))))</x:f>
      </x:c>
      <x:c r="N45" s="32" t="str"/>
    </x:row>
    <x:row r="46">
      <x:c r="A46" s="32" t="str">
        <x:v>A040</x:v>
      </x:c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/>
      <x:c r="J46" s="32" t="str"/>
      <x:c r="K46" s="32" t="str"/>
      <x:c r="L46" s="32" t="str">
        <x:f>IF(OR(H46="",I46="",J46="",K46=""),"",ROUND(H46*0.25+I46*0.25+J46*0.30+K46*0.20,2))</x:f>
      </x:c>
      <x:c r="M46" s="32" t="str">
        <x:f>IF(L46="","",IF(L46&gt;=4.2,"Сильное преимущество",IF(L46&gt;=3.4,"Потенциальное преимущество",IF(L46&gt;=2.5,"Слабое преимущество","Не считать преимуществом"))))</x:f>
      </x:c>
      <x:c r="N46" s="32" t="str"/>
    </x:row>
    <x:row r="47">
      <x:c r="A47" s="32" t="str">
        <x:v>A041</x:v>
      </x:c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/>
      <x:c r="J47" s="32" t="str"/>
      <x:c r="K47" s="32" t="str"/>
      <x:c r="L47" s="32" t="str">
        <x:f>IF(OR(H47="",I47="",J47="",K47=""),"",ROUND(H47*0.25+I47*0.25+J47*0.30+K47*0.20,2))</x:f>
      </x:c>
      <x:c r="M47" s="32" t="str">
        <x:f>IF(L47="","",IF(L47&gt;=4.2,"Сильное преимущество",IF(L47&gt;=3.4,"Потенциальное преимущество",IF(L47&gt;=2.5,"Слабое преимущество","Не считать преимуществом"))))</x:f>
      </x:c>
      <x:c r="N47" s="32" t="str"/>
    </x:row>
    <x:row r="48">
      <x:c r="A48" s="32" t="str">
        <x:v>A042</x:v>
      </x:c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/>
      <x:c r="J48" s="32" t="str"/>
      <x:c r="K48" s="32" t="str"/>
      <x:c r="L48" s="32" t="str">
        <x:f>IF(OR(H48="",I48="",J48="",K48=""),"",ROUND(H48*0.25+I48*0.25+J48*0.30+K48*0.20,2))</x:f>
      </x:c>
      <x:c r="M48" s="32" t="str">
        <x:f>IF(L48="","",IF(L48&gt;=4.2,"Сильное преимущество",IF(L48&gt;=3.4,"Потенциальное преимущество",IF(L48&gt;=2.5,"Слабое преимущество","Не считать преимуществом"))))</x:f>
      </x:c>
      <x:c r="N48" s="32" t="str"/>
    </x:row>
    <x:row r="49">
      <x:c r="A49" s="32" t="str">
        <x:v>A043</x:v>
      </x:c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/>
      <x:c r="J49" s="32" t="str"/>
      <x:c r="K49" s="32" t="str"/>
      <x:c r="L49" s="32" t="str">
        <x:f>IF(OR(H49="",I49="",J49="",K49=""),"",ROUND(H49*0.25+I49*0.25+J49*0.30+K49*0.20,2))</x:f>
      </x:c>
      <x:c r="M49" s="32" t="str">
        <x:f>IF(L49="","",IF(L49&gt;=4.2,"Сильное преимущество",IF(L49&gt;=3.4,"Потенциальное преимущество",IF(L49&gt;=2.5,"Слабое преимущество","Не считать преимуществом"))))</x:f>
      </x:c>
      <x:c r="N49" s="32" t="str"/>
    </x:row>
    <x:row r="50">
      <x:c r="A50" s="32" t="str">
        <x:v>A044</x:v>
      </x:c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/>
      <x:c r="J50" s="32" t="str"/>
      <x:c r="K50" s="32" t="str"/>
      <x:c r="L50" s="32" t="str">
        <x:f>IF(OR(H50="",I50="",J50="",K50=""),"",ROUND(H50*0.25+I50*0.25+J50*0.30+K50*0.20,2))</x:f>
      </x:c>
      <x:c r="M50" s="32" t="str">
        <x:f>IF(L50="","",IF(L50&gt;=4.2,"Сильное преимущество",IF(L50&gt;=3.4,"Потенциальное преимущество",IF(L50&gt;=2.5,"Слабое преимущество","Не считать преимуществом"))))</x:f>
      </x:c>
      <x:c r="N50" s="32" t="str"/>
    </x:row>
    <x:row r="51">
      <x:c r="A51" s="32" t="str">
        <x:v>A045</x:v>
      </x:c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/>
      <x:c r="J51" s="32" t="str"/>
      <x:c r="K51" s="32" t="str"/>
      <x:c r="L51" s="32" t="str">
        <x:f>IF(OR(H51="",I51="",J51="",K51=""),"",ROUND(H51*0.25+I51*0.25+J51*0.30+K51*0.20,2))</x:f>
      </x:c>
      <x:c r="M51" s="32" t="str">
        <x:f>IF(L51="","",IF(L51&gt;=4.2,"Сильное преимущество",IF(L51&gt;=3.4,"Потенциальное преимущество",IF(L51&gt;=2.5,"Слабое преимущество","Не считать преимуществом"))))</x:f>
      </x:c>
      <x:c r="N51" s="32" t="str"/>
    </x:row>
    <x:row r="52">
      <x:c r="A52" s="32" t="str">
        <x:v>A046</x:v>
      </x:c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/>
      <x:c r="J52" s="32" t="str"/>
      <x:c r="K52" s="32" t="str"/>
      <x:c r="L52" s="32" t="str">
        <x:f>IF(OR(H52="",I52="",J52="",K52=""),"",ROUND(H52*0.25+I52*0.25+J52*0.30+K52*0.20,2))</x:f>
      </x:c>
      <x:c r="M52" s="32" t="str">
        <x:f>IF(L52="","",IF(L52&gt;=4.2,"Сильное преимущество",IF(L52&gt;=3.4,"Потенциальное преимущество",IF(L52&gt;=2.5,"Слабое преимущество","Не считать преимуществом"))))</x:f>
      </x:c>
      <x:c r="N52" s="32" t="str"/>
    </x:row>
    <x:row r="53">
      <x:c r="A53" s="32" t="str">
        <x:v>A047</x:v>
      </x:c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/>
      <x:c r="J53" s="32" t="str"/>
      <x:c r="K53" s="32" t="str"/>
      <x:c r="L53" s="32" t="str">
        <x:f>IF(OR(H53="",I53="",J53="",K53=""),"",ROUND(H53*0.25+I53*0.25+J53*0.30+K53*0.20,2))</x:f>
      </x:c>
      <x:c r="M53" s="32" t="str">
        <x:f>IF(L53="","",IF(L53&gt;=4.2,"Сильное преимущество",IF(L53&gt;=3.4,"Потенциальное преимущество",IF(L53&gt;=2.5,"Слабое преимущество","Не считать преимуществом"))))</x:f>
      </x:c>
      <x:c r="N53" s="32" t="str"/>
    </x:row>
    <x:row r="54">
      <x:c r="A54" s="32" t="str">
        <x:v>A048</x:v>
      </x:c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/>
      <x:c r="J54" s="32" t="str"/>
      <x:c r="K54" s="32" t="str"/>
      <x:c r="L54" s="32" t="str">
        <x:f>IF(OR(H54="",I54="",J54="",K54=""),"",ROUND(H54*0.25+I54*0.25+J54*0.30+K54*0.20,2))</x:f>
      </x:c>
      <x:c r="M54" s="32" t="str">
        <x:f>IF(L54="","",IF(L54&gt;=4.2,"Сильное преимущество",IF(L54&gt;=3.4,"Потенциальное преимущество",IF(L54&gt;=2.5,"Слабое преимущество","Не считать преимуществом"))))</x:f>
      </x:c>
      <x:c r="N54" s="32" t="str"/>
    </x:row>
    <x:row r="55">
      <x:c r="A55" s="32" t="str">
        <x:v>A049</x:v>
      </x:c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/>
      <x:c r="J55" s="32" t="str"/>
      <x:c r="K55" s="32" t="str"/>
      <x:c r="L55" s="32" t="str">
        <x:f>IF(OR(H55="",I55="",J55="",K55=""),"",ROUND(H55*0.25+I55*0.25+J55*0.30+K55*0.20,2))</x:f>
      </x:c>
      <x:c r="M55" s="32" t="str">
        <x:f>IF(L55="","",IF(L55&gt;=4.2,"Сильное преимущество",IF(L55&gt;=3.4,"Потенциальное преимущество",IF(L55&gt;=2.5,"Слабое преимущество","Не считать преимуществом"))))</x:f>
      </x:c>
      <x:c r="N55" s="32" t="str"/>
    </x:row>
    <x:row r="56">
      <x:c r="A56" s="32" t="str">
        <x:v>A050</x:v>
      </x:c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/>
      <x:c r="J56" s="32" t="str"/>
      <x:c r="K56" s="32" t="str"/>
      <x:c r="L56" s="32" t="str">
        <x:f>IF(OR(H56="",I56="",J56="",K56=""),"",ROUND(H56*0.25+I56*0.25+J56*0.30+K56*0.20,2))</x:f>
      </x:c>
      <x:c r="M56" s="32" t="str">
        <x:f>IF(L56="","",IF(L56&gt;=4.2,"Сильное преимущество",IF(L56&gt;=3.4,"Потенциальное преимущество",IF(L56&gt;=2.5,"Слабое преимущество","Не считать преимуществом"))))</x:f>
      </x:c>
      <x:c r="N56" s="32" t="str"/>
    </x:row>
    <x:row r="57">
      <x:c r="A57" s="32" t="str">
        <x:v>A051</x:v>
      </x:c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/>
      <x:c r="J57" s="32" t="str"/>
      <x:c r="K57" s="32" t="str"/>
      <x:c r="L57" s="32" t="str">
        <x:f>IF(OR(H57="",I57="",J57="",K57=""),"",ROUND(H57*0.25+I57*0.25+J57*0.30+K57*0.20,2))</x:f>
      </x:c>
      <x:c r="M57" s="32" t="str">
        <x:f>IF(L57="","",IF(L57&gt;=4.2,"Сильное преимущество",IF(L57&gt;=3.4,"Потенциальное преимущество",IF(L57&gt;=2.5,"Слабое преимущество","Не считать преимуществом"))))</x:f>
      </x:c>
      <x:c r="N57" s="32" t="str"/>
    </x:row>
    <x:row r="58">
      <x:c r="A58" s="32" t="str">
        <x:v>A052</x:v>
      </x:c>
      <x:c r="B58" s="32" t="str"/>
      <x:c r="C58" s="32" t="str"/>
      <x:c r="D58" s="32" t="str"/>
      <x:c r="E58" s="32" t="str"/>
      <x:c r="F58" s="32" t="str"/>
      <x:c r="G58" s="32" t="str"/>
      <x:c r="H58" s="32" t="str"/>
      <x:c r="I58" s="32" t="str"/>
      <x:c r="J58" s="32" t="str"/>
      <x:c r="K58" s="32" t="str"/>
      <x:c r="L58" s="32" t="str">
        <x:f>IF(OR(H58="",I58="",J58="",K58=""),"",ROUND(H58*0.25+I58*0.25+J58*0.30+K58*0.20,2))</x:f>
      </x:c>
      <x:c r="M58" s="32" t="str">
        <x:f>IF(L58="","",IF(L58&gt;=4.2,"Сильное преимущество",IF(L58&gt;=3.4,"Потенциальное преимущество",IF(L58&gt;=2.5,"Слабое преимущество","Не считать преимуществом"))))</x:f>
      </x:c>
      <x:c r="N58" s="32" t="str"/>
    </x:row>
    <x:row r="59">
      <x:c r="A59" s="32" t="str">
        <x:v>A053</x:v>
      </x:c>
      <x:c r="B59" s="32" t="str"/>
      <x:c r="C59" s="32" t="str"/>
      <x:c r="D59" s="32" t="str"/>
      <x:c r="E59" s="32" t="str"/>
      <x:c r="F59" s="32" t="str"/>
      <x:c r="G59" s="32" t="str"/>
      <x:c r="H59" s="32" t="str"/>
      <x:c r="I59" s="32" t="str"/>
      <x:c r="J59" s="32" t="str"/>
      <x:c r="K59" s="32" t="str"/>
      <x:c r="L59" s="32" t="str">
        <x:f>IF(OR(H59="",I59="",J59="",K59=""),"",ROUND(H59*0.25+I59*0.25+J59*0.30+K59*0.20,2))</x:f>
      </x:c>
      <x:c r="M59" s="32" t="str">
        <x:f>IF(L59="","",IF(L59&gt;=4.2,"Сильное преимущество",IF(L59&gt;=3.4,"Потенциальное преимущество",IF(L59&gt;=2.5,"Слабое преимущество","Не считать преимуществом"))))</x:f>
      </x:c>
      <x:c r="N59" s="32" t="str"/>
    </x:row>
    <x:row r="60">
      <x:c r="A60" s="32" t="str">
        <x:v>A054</x:v>
      </x:c>
      <x:c r="B60" s="32" t="str"/>
      <x:c r="C60" s="32" t="str"/>
      <x:c r="D60" s="32" t="str"/>
      <x:c r="E60" s="32" t="str"/>
      <x:c r="F60" s="32" t="str"/>
      <x:c r="G60" s="32" t="str"/>
      <x:c r="H60" s="32" t="str"/>
      <x:c r="I60" s="32" t="str"/>
      <x:c r="J60" s="32" t="str"/>
      <x:c r="K60" s="32" t="str"/>
      <x:c r="L60" s="32" t="str">
        <x:f>IF(OR(H60="",I60="",J60="",K60=""),"",ROUND(H60*0.25+I60*0.25+J60*0.30+K60*0.20,2))</x:f>
      </x:c>
      <x:c r="M60" s="32" t="str">
        <x:f>IF(L60="","",IF(L60&gt;=4.2,"Сильное преимущество",IF(L60&gt;=3.4,"Потенциальное преимущество",IF(L60&gt;=2.5,"Слабое преимущество","Не считать преимуществом"))))</x:f>
      </x:c>
      <x:c r="N60" s="32" t="str"/>
    </x:row>
    <x:row r="61">
      <x:c r="A61" s="32" t="str">
        <x:v>A055</x:v>
      </x:c>
      <x:c r="B61" s="32" t="str"/>
      <x:c r="C61" s="32" t="str"/>
      <x:c r="D61" s="32" t="str"/>
      <x:c r="E61" s="32" t="str"/>
      <x:c r="F61" s="32" t="str"/>
      <x:c r="G61" s="32" t="str"/>
      <x:c r="H61" s="32" t="str"/>
      <x:c r="I61" s="32" t="str"/>
      <x:c r="J61" s="32" t="str"/>
      <x:c r="K61" s="32" t="str"/>
      <x:c r="L61" s="32" t="str">
        <x:f>IF(OR(H61="",I61="",J61="",K61=""),"",ROUND(H61*0.25+I61*0.25+J61*0.30+K61*0.20,2))</x:f>
      </x:c>
      <x:c r="M61" s="32" t="str">
        <x:f>IF(L61="","",IF(L61&gt;=4.2,"Сильное преимущество",IF(L61&gt;=3.4,"Потенциальное преимущество",IF(L61&gt;=2.5,"Слабое преимущество","Не считать преимуществом"))))</x:f>
      </x:c>
      <x:c r="N61" s="32" t="str"/>
    </x:row>
    <x:row r="62">
      <x:c r="A62" s="32" t="str">
        <x:v>A056</x:v>
      </x:c>
      <x:c r="B62" s="32" t="str"/>
      <x:c r="C62" s="32" t="str"/>
      <x:c r="D62" s="32" t="str"/>
      <x:c r="E62" s="32" t="str"/>
      <x:c r="F62" s="32" t="str"/>
      <x:c r="G62" s="32" t="str"/>
      <x:c r="H62" s="32" t="str"/>
      <x:c r="I62" s="32" t="str"/>
      <x:c r="J62" s="32" t="str"/>
      <x:c r="K62" s="32" t="str"/>
      <x:c r="L62" s="32" t="str">
        <x:f>IF(OR(H62="",I62="",J62="",K62=""),"",ROUND(H62*0.25+I62*0.25+J62*0.30+K62*0.20,2))</x:f>
      </x:c>
      <x:c r="M62" s="32" t="str">
        <x:f>IF(L62="","",IF(L62&gt;=4.2,"Сильное преимущество",IF(L62&gt;=3.4,"Потенциальное преимущество",IF(L62&gt;=2.5,"Слабое преимущество","Не считать преимуществом"))))</x:f>
      </x:c>
      <x:c r="N62" s="32" t="str"/>
    </x:row>
    <x:row r="63">
      <x:c r="A63" s="32" t="str">
        <x:v>A057</x:v>
      </x:c>
      <x:c r="B63" s="32" t="str"/>
      <x:c r="C63" s="32" t="str"/>
      <x:c r="D63" s="32" t="str"/>
      <x:c r="E63" s="32" t="str"/>
      <x:c r="F63" s="32" t="str"/>
      <x:c r="G63" s="32" t="str"/>
      <x:c r="H63" s="32" t="str"/>
      <x:c r="I63" s="32" t="str"/>
      <x:c r="J63" s="32" t="str"/>
      <x:c r="K63" s="32" t="str"/>
      <x:c r="L63" s="32" t="str">
        <x:f>IF(OR(H63="",I63="",J63="",K63=""),"",ROUND(H63*0.25+I63*0.25+J63*0.30+K63*0.20,2))</x:f>
      </x:c>
      <x:c r="M63" s="32" t="str">
        <x:f>IF(L63="","",IF(L63&gt;=4.2,"Сильное преимущество",IF(L63&gt;=3.4,"Потенциальное преимущество",IF(L63&gt;=2.5,"Слабое преимущество","Не считать преимуществом"))))</x:f>
      </x:c>
      <x:c r="N63" s="32" t="str"/>
    </x:row>
    <x:row r="64">
      <x:c r="A64" s="32" t="str">
        <x:v>A058</x:v>
      </x:c>
      <x:c r="B64" s="32" t="str"/>
      <x:c r="C64" s="32" t="str"/>
      <x:c r="D64" s="32" t="str"/>
      <x:c r="E64" s="32" t="str"/>
      <x:c r="F64" s="32" t="str"/>
      <x:c r="G64" s="32" t="str"/>
      <x:c r="H64" s="32" t="str"/>
      <x:c r="I64" s="32" t="str"/>
      <x:c r="J64" s="32" t="str"/>
      <x:c r="K64" s="32" t="str"/>
      <x:c r="L64" s="32" t="str">
        <x:f>IF(OR(H64="",I64="",J64="",K64=""),"",ROUND(H64*0.25+I64*0.25+J64*0.30+K64*0.20,2))</x:f>
      </x:c>
      <x:c r="M64" s="32" t="str">
        <x:f>IF(L64="","",IF(L64&gt;=4.2,"Сильное преимущество",IF(L64&gt;=3.4,"Потенциальное преимущество",IF(L64&gt;=2.5,"Слабое преимущество","Не считать преимуществом"))))</x:f>
      </x:c>
      <x:c r="N64" s="32" t="str"/>
    </x:row>
    <x:row r="65">
      <x:c r="A65" s="32" t="str">
        <x:v>A059</x:v>
      </x:c>
      <x:c r="B65" s="32" t="str"/>
      <x:c r="C65" s="32" t="str"/>
      <x:c r="D65" s="32" t="str"/>
      <x:c r="E65" s="32" t="str"/>
      <x:c r="F65" s="32" t="str"/>
      <x:c r="G65" s="32" t="str"/>
      <x:c r="H65" s="32" t="str"/>
      <x:c r="I65" s="32" t="str"/>
      <x:c r="J65" s="32" t="str"/>
      <x:c r="K65" s="32" t="str"/>
      <x:c r="L65" s="32" t="str">
        <x:f>IF(OR(H65="",I65="",J65="",K65=""),"",ROUND(H65*0.25+I65*0.25+J65*0.30+K65*0.20,2))</x:f>
      </x:c>
      <x:c r="M65" s="32" t="str">
        <x:f>IF(L65="","",IF(L65&gt;=4.2,"Сильное преимущество",IF(L65&gt;=3.4,"Потенциальное преимущество",IF(L65&gt;=2.5,"Слабое преимущество","Не считать преимуществом"))))</x:f>
      </x:c>
      <x:c r="N65" s="32" t="str"/>
    </x:row>
    <x:row r="66">
      <x:c r="A66" s="32" t="str">
        <x:v>A060</x:v>
      </x:c>
      <x:c r="B66" s="32" t="str"/>
      <x:c r="C66" s="32" t="str"/>
      <x:c r="D66" s="32" t="str"/>
      <x:c r="E66" s="32" t="str"/>
      <x:c r="F66" s="32" t="str"/>
      <x:c r="G66" s="32" t="str"/>
      <x:c r="H66" s="32" t="str"/>
      <x:c r="I66" s="32" t="str"/>
      <x:c r="J66" s="32" t="str"/>
      <x:c r="K66" s="32" t="str"/>
      <x:c r="L66" s="32" t="str">
        <x:f>IF(OR(H66="",I66="",J66="",K66=""),"",ROUND(H66*0.25+I66*0.25+J66*0.30+K66*0.20,2))</x:f>
      </x:c>
      <x:c r="M66" s="32" t="str">
        <x:f>IF(L66="","",IF(L66&gt;=4.2,"Сильное преимущество",IF(L66&gt;=3.4,"Потенциальное преимущество",IF(L66&gt;=2.5,"Слабое преимущество","Не считать преимуществом"))))</x:f>
      </x:c>
      <x:c r="N66" s="32" t="str"/>
    </x:row>
    <x:row r="67">
      <x:c r="A67" s="32" t="str">
        <x:v>A061</x:v>
      </x:c>
      <x:c r="B67" s="32" t="str"/>
      <x:c r="C67" s="32" t="str"/>
      <x:c r="D67" s="32" t="str"/>
      <x:c r="E67" s="32" t="str"/>
      <x:c r="F67" s="32" t="str"/>
      <x:c r="G67" s="32" t="str"/>
      <x:c r="H67" s="32" t="str"/>
      <x:c r="I67" s="32" t="str"/>
      <x:c r="J67" s="32" t="str"/>
      <x:c r="K67" s="32" t="str"/>
      <x:c r="L67" s="32" t="str">
        <x:f>IF(OR(H67="",I67="",J67="",K67=""),"",ROUND(H67*0.25+I67*0.25+J67*0.30+K67*0.20,2))</x:f>
      </x:c>
      <x:c r="M67" s="32" t="str">
        <x:f>IF(L67="","",IF(L67&gt;=4.2,"Сильное преимущество",IF(L67&gt;=3.4,"Потенциальное преимущество",IF(L67&gt;=2.5,"Слабое преимущество","Не считать преимуществом"))))</x:f>
      </x:c>
      <x:c r="N67" s="32" t="str"/>
    </x:row>
    <x:row r="68">
      <x:c r="A68" s="32" t="str">
        <x:v>A062</x:v>
      </x:c>
      <x:c r="B68" s="32" t="str"/>
      <x:c r="C68" s="32" t="str"/>
      <x:c r="D68" s="32" t="str"/>
      <x:c r="E68" s="32" t="str"/>
      <x:c r="F68" s="32" t="str"/>
      <x:c r="G68" s="32" t="str"/>
      <x:c r="H68" s="32" t="str"/>
      <x:c r="I68" s="32" t="str"/>
      <x:c r="J68" s="32" t="str"/>
      <x:c r="K68" s="32" t="str"/>
      <x:c r="L68" s="32" t="str">
        <x:f>IF(OR(H68="",I68="",J68="",K68=""),"",ROUND(H68*0.25+I68*0.25+J68*0.30+K68*0.20,2))</x:f>
      </x:c>
      <x:c r="M68" s="32" t="str">
        <x:f>IF(L68="","",IF(L68&gt;=4.2,"Сильное преимущество",IF(L68&gt;=3.4,"Потенциальное преимущество",IF(L68&gt;=2.5,"Слабое преимущество","Не считать преимуществом"))))</x:f>
      </x:c>
      <x:c r="N68" s="32" t="str"/>
    </x:row>
    <x:row r="69">
      <x:c r="A69" s="32" t="str">
        <x:v>A063</x:v>
      </x:c>
      <x:c r="B69" s="32" t="str"/>
      <x:c r="C69" s="32" t="str"/>
      <x:c r="D69" s="32" t="str"/>
      <x:c r="E69" s="32" t="str"/>
      <x:c r="F69" s="32" t="str"/>
      <x:c r="G69" s="32" t="str"/>
      <x:c r="H69" s="32" t="str"/>
      <x:c r="I69" s="32" t="str"/>
      <x:c r="J69" s="32" t="str"/>
      <x:c r="K69" s="32" t="str"/>
      <x:c r="L69" s="32" t="str">
        <x:f>IF(OR(H69="",I69="",J69="",K69=""),"",ROUND(H69*0.25+I69*0.25+J69*0.30+K69*0.20,2))</x:f>
      </x:c>
      <x:c r="M69" s="32" t="str">
        <x:f>IF(L69="","",IF(L69&gt;=4.2,"Сильное преимущество",IF(L69&gt;=3.4,"Потенциальное преимущество",IF(L69&gt;=2.5,"Слабое преимущество","Не считать преимуществом"))))</x:f>
      </x:c>
      <x:c r="N69" s="32" t="str"/>
    </x:row>
    <x:row r="70">
      <x:c r="A70" s="32" t="str">
        <x:v>A064</x:v>
      </x:c>
      <x:c r="B70" s="32" t="str"/>
      <x:c r="C70" s="32" t="str"/>
      <x:c r="D70" s="32" t="str"/>
      <x:c r="E70" s="32" t="str"/>
      <x:c r="F70" s="32" t="str"/>
      <x:c r="G70" s="32" t="str"/>
      <x:c r="H70" s="32" t="str"/>
      <x:c r="I70" s="32" t="str"/>
      <x:c r="J70" s="32" t="str"/>
      <x:c r="K70" s="32" t="str"/>
      <x:c r="L70" s="32" t="str">
        <x:f>IF(OR(H70="",I70="",J70="",K70=""),"",ROUND(H70*0.25+I70*0.25+J70*0.30+K70*0.20,2))</x:f>
      </x:c>
      <x:c r="M70" s="32" t="str">
        <x:f>IF(L70="","",IF(L70&gt;=4.2,"Сильное преимущество",IF(L70&gt;=3.4,"Потенциальное преимущество",IF(L70&gt;=2.5,"Слабое преимущество","Не считать преимуществом"))))</x:f>
      </x:c>
      <x:c r="N70" s="32" t="str"/>
    </x:row>
    <x:row r="71">
      <x:c r="A71" s="32" t="str">
        <x:v>A065</x:v>
      </x:c>
      <x:c r="B71" s="32" t="str"/>
      <x:c r="C71" s="32" t="str"/>
      <x:c r="D71" s="32" t="str"/>
      <x:c r="E71" s="32" t="str"/>
      <x:c r="F71" s="32" t="str"/>
      <x:c r="G71" s="32" t="str"/>
      <x:c r="H71" s="32" t="str"/>
      <x:c r="I71" s="32" t="str"/>
      <x:c r="J71" s="32" t="str"/>
      <x:c r="K71" s="32" t="str"/>
      <x:c r="L71" s="32" t="str">
        <x:f>IF(OR(H71="",I71="",J71="",K71=""),"",ROUND(H71*0.25+I71*0.25+J71*0.30+K71*0.20,2))</x:f>
      </x:c>
      <x:c r="M71" s="32" t="str">
        <x:f>IF(L71="","",IF(L71&gt;=4.2,"Сильное преимущество",IF(L71&gt;=3.4,"Потенциальное преимущество",IF(L71&gt;=2.5,"Слабое преимущество","Не считать преимуществом"))))</x:f>
      </x:c>
      <x:c r="N71" s="32" t="str"/>
    </x:row>
    <x:row r="72">
      <x:c r="A72" s="32" t="str">
        <x:v>A066</x:v>
      </x:c>
      <x:c r="B72" s="32" t="str"/>
      <x:c r="C72" s="32" t="str"/>
      <x:c r="D72" s="32" t="str"/>
      <x:c r="E72" s="32" t="str"/>
      <x:c r="F72" s="32" t="str"/>
      <x:c r="G72" s="32" t="str"/>
      <x:c r="H72" s="32" t="str"/>
      <x:c r="I72" s="32" t="str"/>
      <x:c r="J72" s="32" t="str"/>
      <x:c r="K72" s="32" t="str"/>
      <x:c r="L72" s="32" t="str">
        <x:f>IF(OR(H72="",I72="",J72="",K72=""),"",ROUND(H72*0.25+I72*0.25+J72*0.30+K72*0.20,2))</x:f>
      </x:c>
      <x:c r="M72" s="32" t="str">
        <x:f>IF(L72="","",IF(L72&gt;=4.2,"Сильное преимущество",IF(L72&gt;=3.4,"Потенциальное преимущество",IF(L72&gt;=2.5,"Слабое преимущество","Не считать преимуществом"))))</x:f>
      </x:c>
      <x:c r="N72" s="32" t="str"/>
    </x:row>
    <x:row r="73">
      <x:c r="A73" s="32" t="str">
        <x:v>A067</x:v>
      </x:c>
      <x:c r="B73" s="32" t="str"/>
      <x:c r="C73" s="32" t="str"/>
      <x:c r="D73" s="32" t="str"/>
      <x:c r="E73" s="32" t="str"/>
      <x:c r="F73" s="32" t="str"/>
      <x:c r="G73" s="32" t="str"/>
      <x:c r="H73" s="32" t="str"/>
      <x:c r="I73" s="32" t="str"/>
      <x:c r="J73" s="32" t="str"/>
      <x:c r="K73" s="32" t="str"/>
      <x:c r="L73" s="32" t="str">
        <x:f>IF(OR(H73="",I73="",J73="",K73=""),"",ROUND(H73*0.25+I73*0.25+J73*0.30+K73*0.20,2))</x:f>
      </x:c>
      <x:c r="M73" s="32" t="str">
        <x:f>IF(L73="","",IF(L73&gt;=4.2,"Сильное преимущество",IF(L73&gt;=3.4,"Потенциальное преимущество",IF(L73&gt;=2.5,"Слабое преимущество","Не считать преимуществом"))))</x:f>
      </x:c>
      <x:c r="N73" s="32" t="str"/>
    </x:row>
    <x:row r="74">
      <x:c r="A74" s="32" t="str">
        <x:v>A068</x:v>
      </x:c>
      <x:c r="B74" s="32" t="str"/>
      <x:c r="C74" s="32" t="str"/>
      <x:c r="D74" s="32" t="str"/>
      <x:c r="E74" s="32" t="str"/>
      <x:c r="F74" s="32" t="str"/>
      <x:c r="G74" s="32" t="str"/>
      <x:c r="H74" s="32" t="str"/>
      <x:c r="I74" s="32" t="str"/>
      <x:c r="J74" s="32" t="str"/>
      <x:c r="K74" s="32" t="str"/>
      <x:c r="L74" s="32" t="str">
        <x:f>IF(OR(H74="",I74="",J74="",K74=""),"",ROUND(H74*0.25+I74*0.25+J74*0.30+K74*0.20,2))</x:f>
      </x:c>
      <x:c r="M74" s="32" t="str">
        <x:f>IF(L74="","",IF(L74&gt;=4.2,"Сильное преимущество",IF(L74&gt;=3.4,"Потенциальное преимущество",IF(L74&gt;=2.5,"Слабое преимущество","Не считать преимуществом"))))</x:f>
      </x:c>
      <x:c r="N74" s="32" t="str"/>
    </x:row>
    <x:row r="75">
      <x:c r="A75" s="32" t="str">
        <x:v>A069</x:v>
      </x:c>
      <x:c r="B75" s="32" t="str"/>
      <x:c r="C75" s="32" t="str"/>
      <x:c r="D75" s="32" t="str"/>
      <x:c r="E75" s="32" t="str"/>
      <x:c r="F75" s="32" t="str"/>
      <x:c r="G75" s="32" t="str"/>
      <x:c r="H75" s="32" t="str"/>
      <x:c r="I75" s="32" t="str"/>
      <x:c r="J75" s="32" t="str"/>
      <x:c r="K75" s="32" t="str"/>
      <x:c r="L75" s="32" t="str">
        <x:f>IF(OR(H75="",I75="",J75="",K75=""),"",ROUND(H75*0.25+I75*0.25+J75*0.30+K75*0.20,2))</x:f>
      </x:c>
      <x:c r="M75" s="32" t="str">
        <x:f>IF(L75="","",IF(L75&gt;=4.2,"Сильное преимущество",IF(L75&gt;=3.4,"Потенциальное преимущество",IF(L75&gt;=2.5,"Слабое преимущество","Не считать преимуществом"))))</x:f>
      </x:c>
      <x:c r="N75" s="32" t="str"/>
    </x:row>
    <x:row r="76">
      <x:c r="A76" s="32" t="str">
        <x:v>A070</x:v>
      </x:c>
      <x:c r="B76" s="32" t="str"/>
      <x:c r="C76" s="32" t="str"/>
      <x:c r="D76" s="32" t="str"/>
      <x:c r="E76" s="32" t="str"/>
      <x:c r="F76" s="32" t="str"/>
      <x:c r="G76" s="32" t="str"/>
      <x:c r="H76" s="32" t="str"/>
      <x:c r="I76" s="32" t="str"/>
      <x:c r="J76" s="32" t="str"/>
      <x:c r="K76" s="32" t="str"/>
      <x:c r="L76" s="32" t="str">
        <x:f>IF(OR(H76="",I76="",J76="",K76=""),"",ROUND(H76*0.25+I76*0.25+J76*0.30+K76*0.20,2))</x:f>
      </x:c>
      <x:c r="M76" s="32" t="str">
        <x:f>IF(L76="","",IF(L76&gt;=4.2,"Сильное преимущество",IF(L76&gt;=3.4,"Потенциальное преимущество",IF(L76&gt;=2.5,"Слабое преимущество","Не считать преимуществом"))))</x:f>
      </x:c>
      <x:c r="N76" s="32" t="str"/>
    </x:row>
    <x:row r="77">
      <x:c r="A77" s="32" t="str">
        <x:v>A071</x:v>
      </x:c>
      <x:c r="B77" s="32" t="str"/>
      <x:c r="C77" s="32" t="str"/>
      <x:c r="D77" s="32" t="str"/>
      <x:c r="E77" s="32" t="str"/>
      <x:c r="F77" s="32" t="str"/>
      <x:c r="G77" s="32" t="str"/>
      <x:c r="H77" s="32" t="str"/>
      <x:c r="I77" s="32" t="str"/>
      <x:c r="J77" s="32" t="str"/>
      <x:c r="K77" s="32" t="str"/>
      <x:c r="L77" s="32" t="str">
        <x:f>IF(OR(H77="",I77="",J77="",K77=""),"",ROUND(H77*0.25+I77*0.25+J77*0.30+K77*0.20,2))</x:f>
      </x:c>
      <x:c r="M77" s="32" t="str">
        <x:f>IF(L77="","",IF(L77&gt;=4.2,"Сильное преимущество",IF(L77&gt;=3.4,"Потенциальное преимущество",IF(L77&gt;=2.5,"Слабое преимущество","Не считать преимуществом"))))</x:f>
      </x:c>
      <x:c r="N77" s="32" t="str"/>
    </x:row>
    <x:row r="78">
      <x:c r="A78" s="32" t="str">
        <x:v>A072</x:v>
      </x:c>
      <x:c r="B78" s="32" t="str"/>
      <x:c r="C78" s="32" t="str"/>
      <x:c r="D78" s="32" t="str"/>
      <x:c r="E78" s="32" t="str"/>
      <x:c r="F78" s="32" t="str"/>
      <x:c r="G78" s="32" t="str"/>
      <x:c r="H78" s="32" t="str"/>
      <x:c r="I78" s="32" t="str"/>
      <x:c r="J78" s="32" t="str"/>
      <x:c r="K78" s="32" t="str"/>
      <x:c r="L78" s="32" t="str">
        <x:f>IF(OR(H78="",I78="",J78="",K78=""),"",ROUND(H78*0.25+I78*0.25+J78*0.30+K78*0.20,2))</x:f>
      </x:c>
      <x:c r="M78" s="32" t="str">
        <x:f>IF(L78="","",IF(L78&gt;=4.2,"Сильное преимущество",IF(L78&gt;=3.4,"Потенциальное преимущество",IF(L78&gt;=2.5,"Слабое преимущество","Не считать преимуществом"))))</x:f>
      </x:c>
      <x:c r="N78" s="32" t="str"/>
    </x:row>
    <x:row r="79">
      <x:c r="A79" s="32" t="str">
        <x:v>A073</x:v>
      </x:c>
      <x:c r="B79" s="32" t="str"/>
      <x:c r="C79" s="32" t="str"/>
      <x:c r="D79" s="32" t="str"/>
      <x:c r="E79" s="32" t="str"/>
      <x:c r="F79" s="32" t="str"/>
      <x:c r="G79" s="32" t="str"/>
      <x:c r="H79" s="32" t="str"/>
      <x:c r="I79" s="32" t="str"/>
      <x:c r="J79" s="32" t="str"/>
      <x:c r="K79" s="32" t="str"/>
      <x:c r="L79" s="32" t="str">
        <x:f>IF(OR(H79="",I79="",J79="",K79=""),"",ROUND(H79*0.25+I79*0.25+J79*0.30+K79*0.20,2))</x:f>
      </x:c>
      <x:c r="M79" s="32" t="str">
        <x:f>IF(L79="","",IF(L79&gt;=4.2,"Сильное преимущество",IF(L79&gt;=3.4,"Потенциальное преимущество",IF(L79&gt;=2.5,"Слабое преимущество","Не считать преимуществом"))))</x:f>
      </x:c>
      <x:c r="N79" s="32" t="str"/>
    </x:row>
    <x:row r="80">
      <x:c r="A80" s="32" t="str">
        <x:v>A074</x:v>
      </x:c>
      <x:c r="B80" s="32" t="str"/>
      <x:c r="C80" s="32" t="str"/>
      <x:c r="D80" s="32" t="str"/>
      <x:c r="E80" s="32" t="str"/>
      <x:c r="F80" s="32" t="str"/>
      <x:c r="G80" s="32" t="str"/>
      <x:c r="H80" s="32" t="str"/>
      <x:c r="I80" s="32" t="str"/>
      <x:c r="J80" s="32" t="str"/>
      <x:c r="K80" s="32" t="str"/>
      <x:c r="L80" s="32" t="str">
        <x:f>IF(OR(H80="",I80="",J80="",K80=""),"",ROUND(H80*0.25+I80*0.25+J80*0.30+K80*0.20,2))</x:f>
      </x:c>
      <x:c r="M80" s="32" t="str">
        <x:f>IF(L80="","",IF(L80&gt;=4.2,"Сильное преимущество",IF(L80&gt;=3.4,"Потенциальное преимущество",IF(L80&gt;=2.5,"Слабое преимущество","Не считать преимуществом"))))</x:f>
      </x:c>
      <x:c r="N80" s="32" t="str"/>
    </x:row>
    <x:row r="81">
      <x:c r="A81" s="32" t="str">
        <x:v>A075</x:v>
      </x:c>
      <x:c r="B81" s="32" t="str"/>
      <x:c r="C81" s="32" t="str"/>
      <x:c r="D81" s="32" t="str"/>
      <x:c r="E81" s="32" t="str"/>
      <x:c r="F81" s="32" t="str"/>
      <x:c r="G81" s="32" t="str"/>
      <x:c r="H81" s="32" t="str"/>
      <x:c r="I81" s="32" t="str"/>
      <x:c r="J81" s="32" t="str"/>
      <x:c r="K81" s="32" t="str"/>
      <x:c r="L81" s="32" t="str">
        <x:f>IF(OR(H81="",I81="",J81="",K81=""),"",ROUND(H81*0.25+I81*0.25+J81*0.30+K81*0.20,2))</x:f>
      </x:c>
      <x:c r="M81" s="32" t="str">
        <x:f>IF(L81="","",IF(L81&gt;=4.2,"Сильное преимущество",IF(L81&gt;=3.4,"Потенциальное преимущество",IF(L81&gt;=2.5,"Слабое преимущество","Не считать преимуществом"))))</x:f>
      </x:c>
      <x:c r="N81" s="32" t="str"/>
    </x:row>
    <x:row r="82">
      <x:c r="A82" s="32" t="str">
        <x:v>A076</x:v>
      </x:c>
      <x:c r="B82" s="32" t="str"/>
      <x:c r="C82" s="32" t="str"/>
      <x:c r="D82" s="32" t="str"/>
      <x:c r="E82" s="32" t="str"/>
      <x:c r="F82" s="32" t="str"/>
      <x:c r="G82" s="32" t="str"/>
      <x:c r="H82" s="32" t="str"/>
      <x:c r="I82" s="32" t="str"/>
      <x:c r="J82" s="32" t="str"/>
      <x:c r="K82" s="32" t="str"/>
      <x:c r="L82" s="32" t="str">
        <x:f>IF(OR(H82="",I82="",J82="",K82=""),"",ROUND(H82*0.25+I82*0.25+J82*0.30+K82*0.20,2))</x:f>
      </x:c>
      <x:c r="M82" s="32" t="str">
        <x:f>IF(L82="","",IF(L82&gt;=4.2,"Сильное преимущество",IF(L82&gt;=3.4,"Потенциальное преимущество",IF(L82&gt;=2.5,"Слабое преимущество","Не считать преимуществом"))))</x:f>
      </x:c>
      <x:c r="N82" s="32" t="str"/>
    </x:row>
    <x:row r="83">
      <x:c r="A83" s="32" t="str">
        <x:v>A077</x:v>
      </x:c>
      <x:c r="B83" s="32" t="str"/>
      <x:c r="C83" s="32" t="str"/>
      <x:c r="D83" s="32" t="str"/>
      <x:c r="E83" s="32" t="str"/>
      <x:c r="F83" s="32" t="str"/>
      <x:c r="G83" s="32" t="str"/>
      <x:c r="H83" s="32" t="str"/>
      <x:c r="I83" s="32" t="str"/>
      <x:c r="J83" s="32" t="str"/>
      <x:c r="K83" s="32" t="str"/>
      <x:c r="L83" s="32" t="str">
        <x:f>IF(OR(H83="",I83="",J83="",K83=""),"",ROUND(H83*0.25+I83*0.25+J83*0.30+K83*0.20,2))</x:f>
      </x:c>
      <x:c r="M83" s="32" t="str">
        <x:f>IF(L83="","",IF(L83&gt;=4.2,"Сильное преимущество",IF(L83&gt;=3.4,"Потенциальное преимущество",IF(L83&gt;=2.5,"Слабое преимущество","Не считать преимуществом"))))</x:f>
      </x:c>
      <x:c r="N83" s="32" t="str"/>
    </x:row>
    <x:row r="84">
      <x:c r="A84" s="32" t="str">
        <x:v>A078</x:v>
      </x:c>
      <x:c r="B84" s="32" t="str"/>
      <x:c r="C84" s="32" t="str"/>
      <x:c r="D84" s="32" t="str"/>
      <x:c r="E84" s="32" t="str"/>
      <x:c r="F84" s="32" t="str"/>
      <x:c r="G84" s="32" t="str"/>
      <x:c r="H84" s="32" t="str"/>
      <x:c r="I84" s="32" t="str"/>
      <x:c r="J84" s="32" t="str"/>
      <x:c r="K84" s="32" t="str"/>
      <x:c r="L84" s="32" t="str">
        <x:f>IF(OR(H84="",I84="",J84="",K84=""),"",ROUND(H84*0.25+I84*0.25+J84*0.30+K84*0.20,2))</x:f>
      </x:c>
      <x:c r="M84" s="32" t="str">
        <x:f>IF(L84="","",IF(L84&gt;=4.2,"Сильное преимущество",IF(L84&gt;=3.4,"Потенциальное преимущество",IF(L84&gt;=2.5,"Слабое преимущество","Не считать преимуществом"))))</x:f>
      </x:c>
      <x:c r="N84" s="32" t="str"/>
    </x:row>
    <x:row r="85">
      <x:c r="A85" s="32" t="str">
        <x:v>A079</x:v>
      </x:c>
      <x:c r="B85" s="32" t="str"/>
      <x:c r="C85" s="32" t="str"/>
      <x:c r="D85" s="32" t="str"/>
      <x:c r="E85" s="32" t="str"/>
      <x:c r="F85" s="32" t="str"/>
      <x:c r="G85" s="32" t="str"/>
      <x:c r="H85" s="32" t="str"/>
      <x:c r="I85" s="32" t="str"/>
      <x:c r="J85" s="32" t="str"/>
      <x:c r="K85" s="32" t="str"/>
      <x:c r="L85" s="32" t="str">
        <x:f>IF(OR(H85="",I85="",J85="",K85=""),"",ROUND(H85*0.25+I85*0.25+J85*0.30+K85*0.20,2))</x:f>
      </x:c>
      <x:c r="M85" s="32" t="str">
        <x:f>IF(L85="","",IF(L85&gt;=4.2,"Сильное преимущество",IF(L85&gt;=3.4,"Потенциальное преимущество",IF(L85&gt;=2.5,"Слабое преимущество","Не считать преимуществом"))))</x:f>
      </x:c>
      <x:c r="N85" s="32" t="str"/>
    </x:row>
    <x:row r="86">
      <x:c r="A86" s="32" t="str">
        <x:v>A080</x:v>
      </x:c>
      <x:c r="B86" s="32" t="str"/>
      <x:c r="C86" s="32" t="str"/>
      <x:c r="D86" s="32" t="str"/>
      <x:c r="E86" s="32" t="str"/>
      <x:c r="F86" s="32" t="str"/>
      <x:c r="G86" s="32" t="str"/>
      <x:c r="H86" s="32" t="str"/>
      <x:c r="I86" s="32" t="str"/>
      <x:c r="J86" s="32" t="str"/>
      <x:c r="K86" s="32" t="str"/>
      <x:c r="L86" s="32" t="str">
        <x:f>IF(OR(H86="",I86="",J86="",K86=""),"",ROUND(H86*0.25+I86*0.25+J86*0.30+K86*0.20,2))</x:f>
      </x:c>
      <x:c r="M86" s="32" t="str">
        <x:f>IF(L86="","",IF(L86&gt;=4.2,"Сильное преимущество",IF(L86&gt;=3.4,"Потенциальное преимущество",IF(L86&gt;=2.5,"Слабое преимущество","Не считать преимуществом"))))</x:f>
      </x:c>
      <x:c r="N86" s="32" t="str"/>
    </x:row>
    <x:row r="87">
      <x:c r="A87" s="32" t="str">
        <x:v>A081</x:v>
      </x:c>
      <x:c r="B87" s="32" t="str"/>
      <x:c r="C87" s="32" t="str"/>
      <x:c r="D87" s="32" t="str"/>
      <x:c r="E87" s="32" t="str"/>
      <x:c r="F87" s="32" t="str"/>
      <x:c r="G87" s="32" t="str"/>
      <x:c r="H87" s="32" t="str"/>
      <x:c r="I87" s="32" t="str"/>
      <x:c r="J87" s="32" t="str"/>
      <x:c r="K87" s="32" t="str"/>
      <x:c r="L87" s="32" t="str">
        <x:f>IF(OR(H87="",I87="",J87="",K87=""),"",ROUND(H87*0.25+I87*0.25+J87*0.30+K87*0.20,2))</x:f>
      </x:c>
      <x:c r="M87" s="32" t="str">
        <x:f>IF(L87="","",IF(L87&gt;=4.2,"Сильное преимущество",IF(L87&gt;=3.4,"Потенциальное преимущество",IF(L87&gt;=2.5,"Слабое преимущество","Не считать преимуществом"))))</x:f>
      </x:c>
      <x:c r="N87" s="32" t="str"/>
    </x:row>
    <x:row r="88">
      <x:c r="A88" s="32" t="str">
        <x:v>A082</x:v>
      </x:c>
      <x:c r="B88" s="32" t="str"/>
      <x:c r="C88" s="32" t="str"/>
      <x:c r="D88" s="32" t="str"/>
      <x:c r="E88" s="32" t="str"/>
      <x:c r="F88" s="32" t="str"/>
      <x:c r="G88" s="32" t="str"/>
      <x:c r="H88" s="32" t="str"/>
      <x:c r="I88" s="32" t="str"/>
      <x:c r="J88" s="32" t="str"/>
      <x:c r="K88" s="32" t="str"/>
      <x:c r="L88" s="32" t="str">
        <x:f>IF(OR(H88="",I88="",J88="",K88=""),"",ROUND(H88*0.25+I88*0.25+J88*0.30+K88*0.20,2))</x:f>
      </x:c>
      <x:c r="M88" s="32" t="str">
        <x:f>IF(L88="","",IF(L88&gt;=4.2,"Сильное преимущество",IF(L88&gt;=3.4,"Потенциальное преимущество",IF(L88&gt;=2.5,"Слабое преимущество","Не считать преимуществом"))))</x:f>
      </x:c>
      <x:c r="N88" s="32" t="str"/>
    </x:row>
    <x:row r="89">
      <x:c r="A89" s="32" t="str">
        <x:v>A083</x:v>
      </x:c>
      <x:c r="B89" s="32" t="str"/>
      <x:c r="C89" s="32" t="str"/>
      <x:c r="D89" s="32" t="str"/>
      <x:c r="E89" s="32" t="str"/>
      <x:c r="F89" s="32" t="str"/>
      <x:c r="G89" s="32" t="str"/>
      <x:c r="H89" s="32" t="str"/>
      <x:c r="I89" s="32" t="str"/>
      <x:c r="J89" s="32" t="str"/>
      <x:c r="K89" s="32" t="str"/>
      <x:c r="L89" s="32" t="str">
        <x:f>IF(OR(H89="",I89="",J89="",K89=""),"",ROUND(H89*0.25+I89*0.25+J89*0.30+K89*0.20,2))</x:f>
      </x:c>
      <x:c r="M89" s="32" t="str">
        <x:f>IF(L89="","",IF(L89&gt;=4.2,"Сильное преимущество",IF(L89&gt;=3.4,"Потенциальное преимущество",IF(L89&gt;=2.5,"Слабое преимущество","Не считать преимуществом"))))</x:f>
      </x:c>
      <x:c r="N89" s="32" t="str"/>
    </x:row>
    <x:row r="90">
      <x:c r="A90" s="32" t="str">
        <x:v>A084</x:v>
      </x:c>
      <x:c r="B90" s="32" t="str"/>
      <x:c r="C90" s="32" t="str"/>
      <x:c r="D90" s="32" t="str"/>
      <x:c r="E90" s="32" t="str"/>
      <x:c r="F90" s="32" t="str"/>
      <x:c r="G90" s="32" t="str"/>
      <x:c r="H90" s="32" t="str"/>
      <x:c r="I90" s="32" t="str"/>
      <x:c r="J90" s="32" t="str"/>
      <x:c r="K90" s="32" t="str"/>
      <x:c r="L90" s="32" t="str">
        <x:f>IF(OR(H90="",I90="",J90="",K90=""),"",ROUND(H90*0.25+I90*0.25+J90*0.30+K90*0.20,2))</x:f>
      </x:c>
      <x:c r="M90" s="32" t="str">
        <x:f>IF(L90="","",IF(L90&gt;=4.2,"Сильное преимущество",IF(L90&gt;=3.4,"Потенциальное преимущество",IF(L90&gt;=2.5,"Слабое преимущество","Не считать преимуществом"))))</x:f>
      </x:c>
      <x:c r="N90" s="32" t="str"/>
    </x:row>
    <x:row r="91">
      <x:c r="A91" s="32" t="str">
        <x:v>A085</x:v>
      </x:c>
      <x:c r="B91" s="32" t="str"/>
      <x:c r="C91" s="32" t="str"/>
      <x:c r="D91" s="32" t="str"/>
      <x:c r="E91" s="32" t="str"/>
      <x:c r="F91" s="32" t="str"/>
      <x:c r="G91" s="32" t="str"/>
      <x:c r="H91" s="32" t="str"/>
      <x:c r="I91" s="32" t="str"/>
      <x:c r="J91" s="32" t="str"/>
      <x:c r="K91" s="32" t="str"/>
      <x:c r="L91" s="32" t="str">
        <x:f>IF(OR(H91="",I91="",J91="",K91=""),"",ROUND(H91*0.25+I91*0.25+J91*0.30+K91*0.20,2))</x:f>
      </x:c>
      <x:c r="M91" s="32" t="str">
        <x:f>IF(L91="","",IF(L91&gt;=4.2,"Сильное преимущество",IF(L91&gt;=3.4,"Потенциальное преимущество",IF(L91&gt;=2.5,"Слабое преимущество","Не считать преимуществом"))))</x:f>
      </x:c>
      <x:c r="N91" s="32" t="str"/>
    </x:row>
    <x:row r="92">
      <x:c r="A92" s="32" t="str">
        <x:v>A086</x:v>
      </x:c>
      <x:c r="B92" s="32" t="str"/>
      <x:c r="C92" s="32" t="str"/>
      <x:c r="D92" s="32" t="str"/>
      <x:c r="E92" s="32" t="str"/>
      <x:c r="F92" s="32" t="str"/>
      <x:c r="G92" s="32" t="str"/>
      <x:c r="H92" s="32" t="str"/>
      <x:c r="I92" s="32" t="str"/>
      <x:c r="J92" s="32" t="str"/>
      <x:c r="K92" s="32" t="str"/>
      <x:c r="L92" s="32" t="str">
        <x:f>IF(OR(H92="",I92="",J92="",K92=""),"",ROUND(H92*0.25+I92*0.25+J92*0.30+K92*0.20,2))</x:f>
      </x:c>
      <x:c r="M92" s="32" t="str">
        <x:f>IF(L92="","",IF(L92&gt;=4.2,"Сильное преимущество",IF(L92&gt;=3.4,"Потенциальное преимущество",IF(L92&gt;=2.5,"Слабое преимущество","Не считать преимуществом"))))</x:f>
      </x:c>
      <x:c r="N92" s="32" t="str"/>
    </x:row>
    <x:row r="93">
      <x:c r="A93" s="32" t="str">
        <x:v>A087</x:v>
      </x:c>
      <x:c r="B93" s="32" t="str"/>
      <x:c r="C93" s="32" t="str"/>
      <x:c r="D93" s="32" t="str"/>
      <x:c r="E93" s="32" t="str"/>
      <x:c r="F93" s="32" t="str"/>
      <x:c r="G93" s="32" t="str"/>
      <x:c r="H93" s="32" t="str"/>
      <x:c r="I93" s="32" t="str"/>
      <x:c r="J93" s="32" t="str"/>
      <x:c r="K93" s="32" t="str"/>
      <x:c r="L93" s="32" t="str">
        <x:f>IF(OR(H93="",I93="",J93="",K93=""),"",ROUND(H93*0.25+I93*0.25+J93*0.30+K93*0.20,2))</x:f>
      </x:c>
      <x:c r="M93" s="32" t="str">
        <x:f>IF(L93="","",IF(L93&gt;=4.2,"Сильное преимущество",IF(L93&gt;=3.4,"Потенциальное преимущество",IF(L93&gt;=2.5,"Слабое преимущество","Не считать преимуществом"))))</x:f>
      </x:c>
      <x:c r="N93" s="32" t="str"/>
    </x:row>
    <x:row r="94">
      <x:c r="A94" s="32" t="str">
        <x:v>A088</x:v>
      </x:c>
      <x:c r="B94" s="32" t="str"/>
      <x:c r="C94" s="32" t="str"/>
      <x:c r="D94" s="32" t="str"/>
      <x:c r="E94" s="32" t="str"/>
      <x:c r="F94" s="32" t="str"/>
      <x:c r="G94" s="32" t="str"/>
      <x:c r="H94" s="32" t="str"/>
      <x:c r="I94" s="32" t="str"/>
      <x:c r="J94" s="32" t="str"/>
      <x:c r="K94" s="32" t="str"/>
      <x:c r="L94" s="32" t="str">
        <x:f>IF(OR(H94="",I94="",J94="",K94=""),"",ROUND(H94*0.25+I94*0.25+J94*0.30+K94*0.20,2))</x:f>
      </x:c>
      <x:c r="M94" s="32" t="str">
        <x:f>IF(L94="","",IF(L94&gt;=4.2,"Сильное преимущество",IF(L94&gt;=3.4,"Потенциальное преимущество",IF(L94&gt;=2.5,"Слабое преимущество","Не считать преимуществом"))))</x:f>
      </x:c>
      <x:c r="N94" s="32" t="str"/>
    </x:row>
    <x:row r="95">
      <x:c r="A95" s="32" t="str">
        <x:v>A089</x:v>
      </x:c>
      <x:c r="B95" s="32" t="str"/>
      <x:c r="C95" s="32" t="str"/>
      <x:c r="D95" s="32" t="str"/>
      <x:c r="E95" s="32" t="str"/>
      <x:c r="F95" s="32" t="str"/>
      <x:c r="G95" s="32" t="str"/>
      <x:c r="H95" s="32" t="str"/>
      <x:c r="I95" s="32" t="str"/>
      <x:c r="J95" s="32" t="str"/>
      <x:c r="K95" s="32" t="str"/>
      <x:c r="L95" s="32" t="str">
        <x:f>IF(OR(H95="",I95="",J95="",K95=""),"",ROUND(H95*0.25+I95*0.25+J95*0.30+K95*0.20,2))</x:f>
      </x:c>
      <x:c r="M95" s="32" t="str">
        <x:f>IF(L95="","",IF(L95&gt;=4.2,"Сильное преимущество",IF(L95&gt;=3.4,"Потенциальное преимущество",IF(L95&gt;=2.5,"Слабое преимущество","Не считать преимуществом"))))</x:f>
      </x:c>
      <x:c r="N95" s="32" t="str"/>
    </x:row>
    <x:row r="96">
      <x:c r="A96" s="32" t="str">
        <x:v>A090</x:v>
      </x:c>
      <x:c r="B96" s="32" t="str"/>
      <x:c r="C96" s="32" t="str"/>
      <x:c r="D96" s="32" t="str"/>
      <x:c r="E96" s="32" t="str"/>
      <x:c r="F96" s="32" t="str"/>
      <x:c r="G96" s="32" t="str"/>
      <x:c r="H96" s="32" t="str"/>
      <x:c r="I96" s="32" t="str"/>
      <x:c r="J96" s="32" t="str"/>
      <x:c r="K96" s="32" t="str"/>
      <x:c r="L96" s="32" t="str">
        <x:f>IF(OR(H96="",I96="",J96="",K96=""),"",ROUND(H96*0.25+I96*0.25+J96*0.30+K96*0.20,2))</x:f>
      </x:c>
      <x:c r="M96" s="32" t="str">
        <x:f>IF(L96="","",IF(L96&gt;=4.2,"Сильное преимущество",IF(L96&gt;=3.4,"Потенциальное преимущество",IF(L96&gt;=2.5,"Слабое преимущество","Не считать преимуществом"))))</x:f>
      </x:c>
      <x:c r="N96" s="32" t="str"/>
    </x:row>
    <x:row r="97">
      <x:c r="A97" s="32" t="str">
        <x:v>A091</x:v>
      </x:c>
      <x:c r="B97" s="32" t="str"/>
      <x:c r="C97" s="32" t="str"/>
      <x:c r="D97" s="32" t="str"/>
      <x:c r="E97" s="32" t="str"/>
      <x:c r="F97" s="32" t="str"/>
      <x:c r="G97" s="32" t="str"/>
      <x:c r="H97" s="32" t="str"/>
      <x:c r="I97" s="32" t="str"/>
      <x:c r="J97" s="32" t="str"/>
      <x:c r="K97" s="32" t="str"/>
      <x:c r="L97" s="32" t="str">
        <x:f>IF(OR(H97="",I97="",J97="",K97=""),"",ROUND(H97*0.25+I97*0.25+J97*0.30+K97*0.20,2))</x:f>
      </x:c>
      <x:c r="M97" s="32" t="str">
        <x:f>IF(L97="","",IF(L97&gt;=4.2,"Сильное преимущество",IF(L97&gt;=3.4,"Потенциальное преимущество",IF(L97&gt;=2.5,"Слабое преимущество","Не считать преимуществом"))))</x:f>
      </x:c>
      <x:c r="N97" s="32" t="str"/>
    </x:row>
    <x:row r="98">
      <x:c r="A98" s="32" t="str">
        <x:v>A092</x:v>
      </x:c>
      <x:c r="B98" s="32" t="str"/>
      <x:c r="C98" s="32" t="str"/>
      <x:c r="D98" s="32" t="str"/>
      <x:c r="E98" s="32" t="str"/>
      <x:c r="F98" s="32" t="str"/>
      <x:c r="G98" s="32" t="str"/>
      <x:c r="H98" s="32" t="str"/>
      <x:c r="I98" s="32" t="str"/>
      <x:c r="J98" s="32" t="str"/>
      <x:c r="K98" s="32" t="str"/>
      <x:c r="L98" s="32" t="str">
        <x:f>IF(OR(H98="",I98="",J98="",K98=""),"",ROUND(H98*0.25+I98*0.25+J98*0.30+K98*0.20,2))</x:f>
      </x:c>
      <x:c r="M98" s="32" t="str">
        <x:f>IF(L98="","",IF(L98&gt;=4.2,"Сильное преимущество",IF(L98&gt;=3.4,"Потенциальное преимущество",IF(L98&gt;=2.5,"Слабое преимущество","Не считать преимуществом"))))</x:f>
      </x:c>
      <x:c r="N98" s="32" t="str"/>
    </x:row>
    <x:row r="99">
      <x:c r="A99" s="32" t="str">
        <x:v>A093</x:v>
      </x:c>
      <x:c r="B99" s="32" t="str"/>
      <x:c r="C99" s="32" t="str"/>
      <x:c r="D99" s="32" t="str"/>
      <x:c r="E99" s="32" t="str"/>
      <x:c r="F99" s="32" t="str"/>
      <x:c r="G99" s="32" t="str"/>
      <x:c r="H99" s="32" t="str"/>
      <x:c r="I99" s="32" t="str"/>
      <x:c r="J99" s="32" t="str"/>
      <x:c r="K99" s="32" t="str"/>
      <x:c r="L99" s="32" t="str">
        <x:f>IF(OR(H99="",I99="",J99="",K99=""),"",ROUND(H99*0.25+I99*0.25+J99*0.30+K99*0.20,2))</x:f>
      </x:c>
      <x:c r="M99" s="32" t="str">
        <x:f>IF(L99="","",IF(L99&gt;=4.2,"Сильное преимущество",IF(L99&gt;=3.4,"Потенциальное преимущество",IF(L99&gt;=2.5,"Слабое преимущество","Не считать преимуществом"))))</x:f>
      </x:c>
      <x:c r="N99" s="32" t="str"/>
    </x:row>
    <x:row r="100">
      <x:c r="A100" s="32" t="str">
        <x:v>A094</x:v>
      </x:c>
      <x:c r="B100" s="32" t="str"/>
      <x:c r="C100" s="32" t="str"/>
      <x:c r="D100" s="32" t="str"/>
      <x:c r="E100" s="32" t="str"/>
      <x:c r="F100" s="32" t="str"/>
      <x:c r="G100" s="32" t="str"/>
      <x:c r="H100" s="32" t="str"/>
      <x:c r="I100" s="32" t="str"/>
      <x:c r="J100" s="32" t="str"/>
      <x:c r="K100" s="32" t="str"/>
      <x:c r="L100" s="32" t="str">
        <x:f>IF(OR(H100="",I100="",J100="",K100=""),"",ROUND(H100*0.25+I100*0.25+J100*0.30+K100*0.20,2))</x:f>
      </x:c>
      <x:c r="M100" s="32" t="str">
        <x:f>IF(L100="","",IF(L100&gt;=4.2,"Сильное преимущество",IF(L100&gt;=3.4,"Потенциальное преимущество",IF(L100&gt;=2.5,"Слабое преимущество","Не считать преимуществом"))))</x:f>
      </x:c>
      <x:c r="N100" s="32" t="str"/>
    </x:row>
    <x:row r="101">
      <x:c r="A101" s="32" t="str">
        <x:v>A095</x:v>
      </x:c>
      <x:c r="B101" s="32" t="str"/>
      <x:c r="C101" s="32" t="str"/>
      <x:c r="D101" s="32" t="str"/>
      <x:c r="E101" s="32" t="str"/>
      <x:c r="F101" s="32" t="str"/>
      <x:c r="G101" s="32" t="str"/>
      <x:c r="H101" s="32" t="str"/>
      <x:c r="I101" s="32" t="str"/>
      <x:c r="J101" s="32" t="str"/>
      <x:c r="K101" s="32" t="str"/>
      <x:c r="L101" s="32" t="str">
        <x:f>IF(OR(H101="",I101="",J101="",K101=""),"",ROUND(H101*0.25+I101*0.25+J101*0.30+K101*0.20,2))</x:f>
      </x:c>
      <x:c r="M101" s="32" t="str">
        <x:f>IF(L101="","",IF(L101&gt;=4.2,"Сильное преимущество",IF(L101&gt;=3.4,"Потенциальное преимущество",IF(L101&gt;=2.5,"Слабое преимущество","Не считать преимуществом"))))</x:f>
      </x:c>
      <x:c r="N101" s="32" t="str"/>
    </x:row>
    <x:row r="102">
      <x:c r="A102" s="32" t="str">
        <x:v>A096</x:v>
      </x:c>
      <x:c r="B102" s="32" t="str"/>
      <x:c r="C102" s="32" t="str"/>
      <x:c r="D102" s="32" t="str"/>
      <x:c r="E102" s="32" t="str"/>
      <x:c r="F102" s="32" t="str"/>
      <x:c r="G102" s="32" t="str"/>
      <x:c r="H102" s="32" t="str"/>
      <x:c r="I102" s="32" t="str"/>
      <x:c r="J102" s="32" t="str"/>
      <x:c r="K102" s="32" t="str"/>
      <x:c r="L102" s="32" t="str">
        <x:f>IF(OR(H102="",I102="",J102="",K102=""),"",ROUND(H102*0.25+I102*0.25+J102*0.30+K102*0.20,2))</x:f>
      </x:c>
      <x:c r="M102" s="32" t="str">
        <x:f>IF(L102="","",IF(L102&gt;=4.2,"Сильное преимущество",IF(L102&gt;=3.4,"Потенциальное преимущество",IF(L102&gt;=2.5,"Слабое преимущество","Не считать преимуществом"))))</x:f>
      </x:c>
      <x:c r="N102" s="32" t="str"/>
    </x:row>
    <x:row r="103">
      <x:c r="A103" s="32" t="str">
        <x:v>A097</x:v>
      </x:c>
      <x:c r="B103" s="32" t="str"/>
      <x:c r="C103" s="32" t="str"/>
      <x:c r="D103" s="32" t="str"/>
      <x:c r="E103" s="32" t="str"/>
      <x:c r="F103" s="32" t="str"/>
      <x:c r="G103" s="32" t="str"/>
      <x:c r="H103" s="32" t="str"/>
      <x:c r="I103" s="32" t="str"/>
      <x:c r="J103" s="32" t="str"/>
      <x:c r="K103" s="32" t="str"/>
      <x:c r="L103" s="32" t="str">
        <x:f>IF(OR(H103="",I103="",J103="",K103=""),"",ROUND(H103*0.25+I103*0.25+J103*0.30+K103*0.20,2))</x:f>
      </x:c>
      <x:c r="M103" s="32" t="str">
        <x:f>IF(L103="","",IF(L103&gt;=4.2,"Сильное преимущество",IF(L103&gt;=3.4,"Потенциальное преимущество",IF(L103&gt;=2.5,"Слабое преимущество","Не считать преимуществом"))))</x:f>
      </x:c>
      <x:c r="N103" s="32" t="str"/>
    </x:row>
    <x:row r="104">
      <x:c r="A104" s="32" t="str">
        <x:v>A098</x:v>
      </x:c>
      <x:c r="B104" s="32" t="str"/>
      <x:c r="C104" s="32" t="str"/>
      <x:c r="D104" s="32" t="str"/>
      <x:c r="E104" s="32" t="str"/>
      <x:c r="F104" s="32" t="str"/>
      <x:c r="G104" s="32" t="str"/>
      <x:c r="H104" s="32" t="str"/>
      <x:c r="I104" s="32" t="str"/>
      <x:c r="J104" s="32" t="str"/>
      <x:c r="K104" s="32" t="str"/>
      <x:c r="L104" s="32" t="str">
        <x:f>IF(OR(H104="",I104="",J104="",K104=""),"",ROUND(H104*0.25+I104*0.25+J104*0.30+K104*0.20,2))</x:f>
      </x:c>
      <x:c r="M104" s="32" t="str">
        <x:f>IF(L104="","",IF(L104&gt;=4.2,"Сильное преимущество",IF(L104&gt;=3.4,"Потенциальное преимущество",IF(L104&gt;=2.5,"Слабое преимущество","Не считать преимуществом"))))</x:f>
      </x:c>
      <x:c r="N104" s="32" t="str"/>
    </x:row>
    <x:row r="105">
      <x:c r="A105" s="32" t="str">
        <x:v>A099</x:v>
      </x:c>
      <x:c r="B105" s="32" t="str"/>
      <x:c r="C105" s="32" t="str"/>
      <x:c r="D105" s="32" t="str"/>
      <x:c r="E105" s="32" t="str"/>
      <x:c r="F105" s="32" t="str"/>
      <x:c r="G105" s="32" t="str"/>
      <x:c r="H105" s="32" t="str"/>
      <x:c r="I105" s="32" t="str"/>
      <x:c r="J105" s="32" t="str"/>
      <x:c r="K105" s="32" t="str"/>
      <x:c r="L105" s="32" t="str">
        <x:f>IF(OR(H105="",I105="",J105="",K105=""),"",ROUND(H105*0.25+I105*0.25+J105*0.30+K105*0.20,2))</x:f>
      </x:c>
      <x:c r="M105" s="32" t="str">
        <x:f>IF(L105="","",IF(L105&gt;=4.2,"Сильное преимущество",IF(L105&gt;=3.4,"Потенциальное преимущество",IF(L105&gt;=2.5,"Слабое преимущество","Не считать преимуществом"))))</x:f>
      </x:c>
      <x:c r="N105" s="32" t="str"/>
    </x:row>
    <x:row r="106">
      <x:c r="A106" s="32" t="str">
        <x:v>A100</x:v>
      </x:c>
      <x:c r="B106" s="32" t="str"/>
      <x:c r="C106" s="32" t="str"/>
      <x:c r="D106" s="32" t="str"/>
      <x:c r="E106" s="32" t="str"/>
      <x:c r="F106" s="32" t="str"/>
      <x:c r="G106" s="32" t="str"/>
      <x:c r="H106" s="32" t="str"/>
      <x:c r="I106" s="32" t="str"/>
      <x:c r="J106" s="32" t="str"/>
      <x:c r="K106" s="32" t="str"/>
      <x:c r="L106" s="32" t="str">
        <x:f>IF(OR(H106="",I106="",J106="",K106=""),"",ROUND(H106*0.25+I106*0.25+J106*0.30+K106*0.20,2))</x:f>
      </x:c>
      <x:c r="M106" s="32" t="str">
        <x:f>IF(L106="","",IF(L106&gt;=4.2,"Сильное преимущество",IF(L106&gt;=3.4,"Потенциальное преимущество",IF(L106&gt;=2.5,"Слабое преимущество","Не считать преимуществом"))))</x:f>
      </x:c>
      <x:c r="N106" s="32" t="str"/>
    </x:row>
    <x:row r="107">
      <x:c r="A107" s="32" t="str">
        <x:v>A101</x:v>
      </x:c>
      <x:c r="B107" s="32" t="str"/>
      <x:c r="C107" s="32" t="str"/>
      <x:c r="D107" s="32" t="str"/>
      <x:c r="E107" s="32" t="str"/>
      <x:c r="F107" s="32" t="str"/>
      <x:c r="G107" s="32" t="str"/>
      <x:c r="H107" s="32" t="str"/>
      <x:c r="I107" s="32" t="str"/>
      <x:c r="J107" s="32" t="str"/>
      <x:c r="K107" s="32" t="str"/>
      <x:c r="L107" s="32" t="str">
        <x:f>IF(OR(H107="",I107="",J107="",K107=""),"",ROUND(H107*0.25+I107*0.25+J107*0.30+K107*0.20,2))</x:f>
      </x:c>
      <x:c r="M107" s="32" t="str">
        <x:f>IF(L107="","",IF(L107&gt;=4.2,"Сильное преимущество",IF(L107&gt;=3.4,"Потенциальное преимущество",IF(L107&gt;=2.5,"Слабое преимущество","Не считать преимуществом"))))</x:f>
      </x:c>
      <x:c r="N107" s="32" t="str"/>
    </x:row>
    <x:row r="108">
      <x:c r="A108" s="32" t="str">
        <x:v>A102</x:v>
      </x:c>
      <x:c r="B108" s="32" t="str"/>
      <x:c r="C108" s="32" t="str"/>
      <x:c r="D108" s="32" t="str"/>
      <x:c r="E108" s="32" t="str"/>
      <x:c r="F108" s="32" t="str"/>
      <x:c r="G108" s="32" t="str"/>
      <x:c r="H108" s="32" t="str"/>
      <x:c r="I108" s="32" t="str"/>
      <x:c r="J108" s="32" t="str"/>
      <x:c r="K108" s="32" t="str"/>
      <x:c r="L108" s="32" t="str">
        <x:f>IF(OR(H108="",I108="",J108="",K108=""),"",ROUND(H108*0.25+I108*0.25+J108*0.30+K108*0.20,2))</x:f>
      </x:c>
      <x:c r="M108" s="32" t="str">
        <x:f>IF(L108="","",IF(L108&gt;=4.2,"Сильное преимущество",IF(L108&gt;=3.4,"Потенциальное преимущество",IF(L108&gt;=2.5,"Слабое преимущество","Не считать преимуществом"))))</x:f>
      </x:c>
      <x:c r="N108" s="32" t="str"/>
    </x:row>
    <x:row r="109">
      <x:c r="A109" s="32" t="str">
        <x:v>A103</x:v>
      </x:c>
      <x:c r="B109" s="32" t="str"/>
      <x:c r="C109" s="32" t="str"/>
      <x:c r="D109" s="32" t="str"/>
      <x:c r="E109" s="32" t="str"/>
      <x:c r="F109" s="32" t="str"/>
      <x:c r="G109" s="32" t="str"/>
      <x:c r="H109" s="32" t="str"/>
      <x:c r="I109" s="32" t="str"/>
      <x:c r="J109" s="32" t="str"/>
      <x:c r="K109" s="32" t="str"/>
      <x:c r="L109" s="32" t="str">
        <x:f>IF(OR(H109="",I109="",J109="",K109=""),"",ROUND(H109*0.25+I109*0.25+J109*0.30+K109*0.20,2))</x:f>
      </x:c>
      <x:c r="M109" s="32" t="str">
        <x:f>IF(L109="","",IF(L109&gt;=4.2,"Сильное преимущество",IF(L109&gt;=3.4,"Потенциальное преимущество",IF(L109&gt;=2.5,"Слабое преимущество","Не считать преимуществом"))))</x:f>
      </x:c>
      <x:c r="N109" s="32" t="str"/>
    </x:row>
    <x:row r="110">
      <x:c r="A110" s="32" t="str">
        <x:v>A104</x:v>
      </x:c>
      <x:c r="B110" s="32" t="str"/>
      <x:c r="C110" s="32" t="str"/>
      <x:c r="D110" s="32" t="str"/>
      <x:c r="E110" s="32" t="str"/>
      <x:c r="F110" s="32" t="str"/>
      <x:c r="G110" s="32" t="str"/>
      <x:c r="H110" s="32" t="str"/>
      <x:c r="I110" s="32" t="str"/>
      <x:c r="J110" s="32" t="str"/>
      <x:c r="K110" s="32" t="str"/>
      <x:c r="L110" s="32" t="str">
        <x:f>IF(OR(H110="",I110="",J110="",K110=""),"",ROUND(H110*0.25+I110*0.25+J110*0.30+K110*0.20,2))</x:f>
      </x:c>
      <x:c r="M110" s="32" t="str">
        <x:f>IF(L110="","",IF(L110&gt;=4.2,"Сильное преимущество",IF(L110&gt;=3.4,"Потенциальное преимущество",IF(L110&gt;=2.5,"Слабое преимущество","Не считать преимуществом"))))</x:f>
      </x:c>
      <x:c r="N110" s="32" t="str"/>
    </x:row>
    <x:row r="111">
      <x:c r="A111" s="32" t="str">
        <x:v>A105</x:v>
      </x:c>
      <x:c r="B111" s="32" t="str"/>
      <x:c r="C111" s="32" t="str"/>
      <x:c r="D111" s="32" t="str"/>
      <x:c r="E111" s="32" t="str"/>
      <x:c r="F111" s="32" t="str"/>
      <x:c r="G111" s="32" t="str"/>
      <x:c r="H111" s="32" t="str"/>
      <x:c r="I111" s="32" t="str"/>
      <x:c r="J111" s="32" t="str"/>
      <x:c r="K111" s="32" t="str"/>
      <x:c r="L111" s="32" t="str">
        <x:f>IF(OR(H111="",I111="",J111="",K111=""),"",ROUND(H111*0.25+I111*0.25+J111*0.30+K111*0.20,2))</x:f>
      </x:c>
      <x:c r="M111" s="32" t="str">
        <x:f>IF(L111="","",IF(L111&gt;=4.2,"Сильное преимущество",IF(L111&gt;=3.4,"Потенциальное преимущество",IF(L111&gt;=2.5,"Слабое преимущество","Не считать преимуществом"))))</x:f>
      </x:c>
      <x:c r="N111" s="32" t="str"/>
    </x:row>
    <x:row r="112">
      <x:c r="A112" s="32" t="str">
        <x:v>A106</x:v>
      </x:c>
      <x:c r="B112" s="32" t="str"/>
      <x:c r="C112" s="32" t="str"/>
      <x:c r="D112" s="32" t="str"/>
      <x:c r="E112" s="32" t="str"/>
      <x:c r="F112" s="32" t="str"/>
      <x:c r="G112" s="32" t="str"/>
      <x:c r="H112" s="32" t="str"/>
      <x:c r="I112" s="32" t="str"/>
      <x:c r="J112" s="32" t="str"/>
      <x:c r="K112" s="32" t="str"/>
      <x:c r="L112" s="32" t="str">
        <x:f>IF(OR(H112="",I112="",J112="",K112=""),"",ROUND(H112*0.25+I112*0.25+J112*0.30+K112*0.20,2))</x:f>
      </x:c>
      <x:c r="M112" s="32" t="str">
        <x:f>IF(L112="","",IF(L112&gt;=4.2,"Сильное преимущество",IF(L112&gt;=3.4,"Потенциальное преимущество",IF(L112&gt;=2.5,"Слабое преимущество","Не считать преимуществом"))))</x:f>
      </x:c>
      <x:c r="N112" s="32" t="str"/>
    </x:row>
    <x:row r="113">
      <x:c r="A113" s="32" t="str">
        <x:v>A107</x:v>
      </x:c>
      <x:c r="B113" s="32" t="str"/>
      <x:c r="C113" s="32" t="str"/>
      <x:c r="D113" s="32" t="str"/>
      <x:c r="E113" s="32" t="str"/>
      <x:c r="F113" s="32" t="str"/>
      <x:c r="G113" s="32" t="str"/>
      <x:c r="H113" s="32" t="str"/>
      <x:c r="I113" s="32" t="str"/>
      <x:c r="J113" s="32" t="str"/>
      <x:c r="K113" s="32" t="str"/>
      <x:c r="L113" s="32" t="str">
        <x:f>IF(OR(H113="",I113="",J113="",K113=""),"",ROUND(H113*0.25+I113*0.25+J113*0.30+K113*0.20,2))</x:f>
      </x:c>
      <x:c r="M113" s="32" t="str">
        <x:f>IF(L113="","",IF(L113&gt;=4.2,"Сильное преимущество",IF(L113&gt;=3.4,"Потенциальное преимущество",IF(L113&gt;=2.5,"Слабое преимущество","Не считать преимуществом"))))</x:f>
      </x:c>
      <x:c r="N113" s="32" t="str"/>
    </x:row>
    <x:row r="114">
      <x:c r="A114" s="32" t="str">
        <x:v>A108</x:v>
      </x:c>
      <x:c r="B114" s="32" t="str"/>
      <x:c r="C114" s="32" t="str"/>
      <x:c r="D114" s="32" t="str"/>
      <x:c r="E114" s="32" t="str"/>
      <x:c r="F114" s="32" t="str"/>
      <x:c r="G114" s="32" t="str"/>
      <x:c r="H114" s="32" t="str"/>
      <x:c r="I114" s="32" t="str"/>
      <x:c r="J114" s="32" t="str"/>
      <x:c r="K114" s="32" t="str"/>
      <x:c r="L114" s="32" t="str">
        <x:f>IF(OR(H114="",I114="",J114="",K114=""),"",ROUND(H114*0.25+I114*0.25+J114*0.30+K114*0.20,2))</x:f>
      </x:c>
      <x:c r="M114" s="32" t="str">
        <x:f>IF(L114="","",IF(L114&gt;=4.2,"Сильное преимущество",IF(L114&gt;=3.4,"Потенциальное преимущество",IF(L114&gt;=2.5,"Слабое преимущество","Не считать преимуществом"))))</x:f>
      </x:c>
      <x:c r="N114" s="32" t="str"/>
    </x:row>
    <x:row r="115">
      <x:c r="A115" s="32" t="str">
        <x:v>A109</x:v>
      </x:c>
      <x:c r="B115" s="32" t="str"/>
      <x:c r="C115" s="32" t="str"/>
      <x:c r="D115" s="32" t="str"/>
      <x:c r="E115" s="32" t="str"/>
      <x:c r="F115" s="32" t="str"/>
      <x:c r="G115" s="32" t="str"/>
      <x:c r="H115" s="32" t="str"/>
      <x:c r="I115" s="32" t="str"/>
      <x:c r="J115" s="32" t="str"/>
      <x:c r="K115" s="32" t="str"/>
      <x:c r="L115" s="32" t="str">
        <x:f>IF(OR(H115="",I115="",J115="",K115=""),"",ROUND(H115*0.25+I115*0.25+J115*0.30+K115*0.20,2))</x:f>
      </x:c>
      <x:c r="M115" s="32" t="str">
        <x:f>IF(L115="","",IF(L115&gt;=4.2,"Сильное преимущество",IF(L115&gt;=3.4,"Потенциальное преимущество",IF(L115&gt;=2.5,"Слабое преимущество","Не считать преимуществом"))))</x:f>
      </x:c>
      <x:c r="N115" s="32" t="str"/>
    </x:row>
    <x:row r="116">
      <x:c r="A116" s="32" t="str">
        <x:v>A110</x:v>
      </x:c>
      <x:c r="B116" s="32" t="str"/>
      <x:c r="C116" s="32" t="str"/>
      <x:c r="D116" s="32" t="str"/>
      <x:c r="E116" s="32" t="str"/>
      <x:c r="F116" s="32" t="str"/>
      <x:c r="G116" s="32" t="str"/>
      <x:c r="H116" s="32" t="str"/>
      <x:c r="I116" s="32" t="str"/>
      <x:c r="J116" s="32" t="str"/>
      <x:c r="K116" s="32" t="str"/>
      <x:c r="L116" s="32" t="str">
        <x:f>IF(OR(H116="",I116="",J116="",K116=""),"",ROUND(H116*0.25+I116*0.25+J116*0.30+K116*0.20,2))</x:f>
      </x:c>
      <x:c r="M116" s="32" t="str">
        <x:f>IF(L116="","",IF(L116&gt;=4.2,"Сильное преимущество",IF(L116&gt;=3.4,"Потенциальное преимущество",IF(L116&gt;=2.5,"Слабое преимущество","Не считать преимуществом"))))</x:f>
      </x:c>
      <x:c r="N116" s="32" t="str"/>
    </x:row>
    <x:row r="117">
      <x:c r="A117" s="32" t="str">
        <x:v>A111</x:v>
      </x:c>
      <x:c r="B117" s="32" t="str"/>
      <x:c r="C117" s="32" t="str"/>
      <x:c r="D117" s="32" t="str"/>
      <x:c r="E117" s="32" t="str"/>
      <x:c r="F117" s="32" t="str"/>
      <x:c r="G117" s="32" t="str"/>
      <x:c r="H117" s="32" t="str"/>
      <x:c r="I117" s="32" t="str"/>
      <x:c r="J117" s="32" t="str"/>
      <x:c r="K117" s="32" t="str"/>
      <x:c r="L117" s="32" t="str">
        <x:f>IF(OR(H117="",I117="",J117="",K117=""),"",ROUND(H117*0.25+I117*0.25+J117*0.30+K117*0.20,2))</x:f>
      </x:c>
      <x:c r="M117" s="32" t="str">
        <x:f>IF(L117="","",IF(L117&gt;=4.2,"Сильное преимущество",IF(L117&gt;=3.4,"Потенциальное преимущество",IF(L117&gt;=2.5,"Слабое преимущество","Не считать преимуществом"))))</x:f>
      </x:c>
      <x:c r="N117" s="32" t="str"/>
    </x:row>
    <x:row r="118">
      <x:c r="A118" s="32" t="str">
        <x:v>A112</x:v>
      </x:c>
      <x:c r="B118" s="32" t="str"/>
      <x:c r="C118" s="32" t="str"/>
      <x:c r="D118" s="32" t="str"/>
      <x:c r="E118" s="32" t="str"/>
      <x:c r="F118" s="32" t="str"/>
      <x:c r="G118" s="32" t="str"/>
      <x:c r="H118" s="32" t="str"/>
      <x:c r="I118" s="32" t="str"/>
      <x:c r="J118" s="32" t="str"/>
      <x:c r="K118" s="32" t="str"/>
      <x:c r="L118" s="32" t="str">
        <x:f>IF(OR(H118="",I118="",J118="",K118=""),"",ROUND(H118*0.25+I118*0.25+J118*0.30+K118*0.20,2))</x:f>
      </x:c>
      <x:c r="M118" s="32" t="str">
        <x:f>IF(L118="","",IF(L118&gt;=4.2,"Сильное преимущество",IF(L118&gt;=3.4,"Потенциальное преимущество",IF(L118&gt;=2.5,"Слабое преимущество","Не считать преимуществом"))))</x:f>
      </x:c>
      <x:c r="N118" s="32" t="str"/>
    </x:row>
    <x:row r="119">
      <x:c r="A119" s="32" t="str">
        <x:v>A113</x:v>
      </x:c>
      <x:c r="B119" s="32" t="str"/>
      <x:c r="C119" s="32" t="str"/>
      <x:c r="D119" s="32" t="str"/>
      <x:c r="E119" s="32" t="str"/>
      <x:c r="F119" s="32" t="str"/>
      <x:c r="G119" s="32" t="str"/>
      <x:c r="H119" s="32" t="str"/>
      <x:c r="I119" s="32" t="str"/>
      <x:c r="J119" s="32" t="str"/>
      <x:c r="K119" s="32" t="str"/>
      <x:c r="L119" s="32" t="str">
        <x:f>IF(OR(H119="",I119="",J119="",K119=""),"",ROUND(H119*0.25+I119*0.25+J119*0.30+K119*0.20,2))</x:f>
      </x:c>
      <x:c r="M119" s="32" t="str">
        <x:f>IF(L119="","",IF(L119&gt;=4.2,"Сильное преимущество",IF(L119&gt;=3.4,"Потенциальное преимущество",IF(L119&gt;=2.5,"Слабое преимущество","Не считать преимуществом"))))</x:f>
      </x:c>
      <x:c r="N119" s="32" t="str"/>
    </x:row>
    <x:row r="120">
      <x:c r="A120" s="32" t="str">
        <x:v>A114</x:v>
      </x:c>
      <x:c r="B120" s="32" t="str"/>
      <x:c r="C120" s="32" t="str"/>
      <x:c r="D120" s="32" t="str"/>
      <x:c r="E120" s="32" t="str"/>
      <x:c r="F120" s="32" t="str"/>
      <x:c r="G120" s="32" t="str"/>
      <x:c r="H120" s="32" t="str"/>
      <x:c r="I120" s="32" t="str"/>
      <x:c r="J120" s="32" t="str"/>
      <x:c r="K120" s="32" t="str"/>
      <x:c r="L120" s="32" t="str">
        <x:f>IF(OR(H120="",I120="",J120="",K120=""),"",ROUND(H120*0.25+I120*0.25+J120*0.30+K120*0.20,2))</x:f>
      </x:c>
      <x:c r="M120" s="32" t="str">
        <x:f>IF(L120="","",IF(L120&gt;=4.2,"Сильное преимущество",IF(L120&gt;=3.4,"Потенциальное преимущество",IF(L120&gt;=2.5,"Слабое преимущество","Не считать преимуществом"))))</x:f>
      </x:c>
      <x:c r="N120" s="32" t="str"/>
    </x:row>
    <x:row r="121">
      <x:c r="A121" s="32" t="str">
        <x:v>A115</x:v>
      </x:c>
      <x:c r="B121" s="32" t="str"/>
      <x:c r="C121" s="32" t="str"/>
      <x:c r="D121" s="32" t="str"/>
      <x:c r="E121" s="32" t="str"/>
      <x:c r="F121" s="32" t="str"/>
      <x:c r="G121" s="32" t="str"/>
      <x:c r="H121" s="32" t="str"/>
      <x:c r="I121" s="32" t="str"/>
      <x:c r="J121" s="32" t="str"/>
      <x:c r="K121" s="32" t="str"/>
      <x:c r="L121" s="32" t="str">
        <x:f>IF(OR(H121="",I121="",J121="",K121=""),"",ROUND(H121*0.25+I121*0.25+J121*0.30+K121*0.20,2))</x:f>
      </x:c>
      <x:c r="M121" s="32" t="str">
        <x:f>IF(L121="","",IF(L121&gt;=4.2,"Сильное преимущество",IF(L121&gt;=3.4,"Потенциальное преимущество",IF(L121&gt;=2.5,"Слабое преимущество","Не считать преимуществом"))))</x:f>
      </x:c>
      <x:c r="N121" s="32" t="str"/>
    </x:row>
    <x:row r="122">
      <x:c r="A122" s="32" t="str">
        <x:v>A116</x:v>
      </x:c>
      <x:c r="B122" s="32" t="str"/>
      <x:c r="C122" s="32" t="str"/>
      <x:c r="D122" s="32" t="str"/>
      <x:c r="E122" s="32" t="str"/>
      <x:c r="F122" s="32" t="str"/>
      <x:c r="G122" s="32" t="str"/>
      <x:c r="H122" s="32" t="str"/>
      <x:c r="I122" s="32" t="str"/>
      <x:c r="J122" s="32" t="str"/>
      <x:c r="K122" s="32" t="str"/>
      <x:c r="L122" s="32" t="str">
        <x:f>IF(OR(H122="",I122="",J122="",K122=""),"",ROUND(H122*0.25+I122*0.25+J122*0.30+K122*0.20,2))</x:f>
      </x:c>
      <x:c r="M122" s="32" t="str">
        <x:f>IF(L122="","",IF(L122&gt;=4.2,"Сильное преимущество",IF(L122&gt;=3.4,"Потенциальное преимущество",IF(L122&gt;=2.5,"Слабое преимущество","Не считать преимуществом"))))</x:f>
      </x:c>
      <x:c r="N122" s="32" t="str"/>
    </x:row>
    <x:row r="123">
      <x:c r="A123" s="32" t="str">
        <x:v>A117</x:v>
      </x:c>
      <x:c r="B123" s="32" t="str"/>
      <x:c r="C123" s="32" t="str"/>
      <x:c r="D123" s="32" t="str"/>
      <x:c r="E123" s="32" t="str"/>
      <x:c r="F123" s="32" t="str"/>
      <x:c r="G123" s="32" t="str"/>
      <x:c r="H123" s="32" t="str"/>
      <x:c r="I123" s="32" t="str"/>
      <x:c r="J123" s="32" t="str"/>
      <x:c r="K123" s="32" t="str"/>
      <x:c r="L123" s="32" t="str">
        <x:f>IF(OR(H123="",I123="",J123="",K123=""),"",ROUND(H123*0.25+I123*0.25+J123*0.30+K123*0.20,2))</x:f>
      </x:c>
      <x:c r="M123" s="32" t="str">
        <x:f>IF(L123="","",IF(L123&gt;=4.2,"Сильное преимущество",IF(L123&gt;=3.4,"Потенциальное преимущество",IF(L123&gt;=2.5,"Слабое преимущество","Не считать преимуществом"))))</x:f>
      </x:c>
      <x:c r="N123" s="32" t="str"/>
    </x:row>
    <x:row r="124">
      <x:c r="A124" s="32" t="str">
        <x:v>A118</x:v>
      </x:c>
      <x:c r="B124" s="32" t="str"/>
      <x:c r="C124" s="32" t="str"/>
      <x:c r="D124" s="32" t="str"/>
      <x:c r="E124" s="32" t="str"/>
      <x:c r="F124" s="32" t="str"/>
      <x:c r="G124" s="32" t="str"/>
      <x:c r="H124" s="32" t="str"/>
      <x:c r="I124" s="32" t="str"/>
      <x:c r="J124" s="32" t="str"/>
      <x:c r="K124" s="32" t="str"/>
      <x:c r="L124" s="32" t="str">
        <x:f>IF(OR(H124="",I124="",J124="",K124=""),"",ROUND(H124*0.25+I124*0.25+J124*0.30+K124*0.20,2))</x:f>
      </x:c>
      <x:c r="M124" s="32" t="str">
        <x:f>IF(L124="","",IF(L124&gt;=4.2,"Сильное преимущество",IF(L124&gt;=3.4,"Потенциальное преимущество",IF(L124&gt;=2.5,"Слабое преимущество","Не считать преимуществом"))))</x:f>
      </x:c>
      <x:c r="N124" s="32" t="str"/>
    </x:row>
    <x:row r="125">
      <x:c r="A125" s="32" t="str">
        <x:v>A119</x:v>
      </x:c>
      <x:c r="B125" s="32" t="str"/>
      <x:c r="C125" s="32" t="str"/>
      <x:c r="D125" s="32" t="str"/>
      <x:c r="E125" s="32" t="str"/>
      <x:c r="F125" s="32" t="str"/>
      <x:c r="G125" s="32" t="str"/>
      <x:c r="H125" s="32" t="str"/>
      <x:c r="I125" s="32" t="str"/>
      <x:c r="J125" s="32" t="str"/>
      <x:c r="K125" s="32" t="str"/>
      <x:c r="L125" s="32" t="str">
        <x:f>IF(OR(H125="",I125="",J125="",K125=""),"",ROUND(H125*0.25+I125*0.25+J125*0.30+K125*0.20,2))</x:f>
      </x:c>
      <x:c r="M125" s="32" t="str">
        <x:f>IF(L125="","",IF(L125&gt;=4.2,"Сильное преимущество",IF(L125&gt;=3.4,"Потенциальное преимущество",IF(L125&gt;=2.5,"Слабое преимущество","Не считать преимуществом"))))</x:f>
      </x:c>
      <x:c r="N125" s="32" t="str"/>
    </x:row>
    <x:row r="126">
      <x:c r="A126" s="32" t="str">
        <x:v>A120</x:v>
      </x:c>
      <x:c r="B126" s="32" t="str"/>
      <x:c r="C126" s="32" t="str"/>
      <x:c r="D126" s="32" t="str"/>
      <x:c r="E126" s="32" t="str"/>
      <x:c r="F126" s="32" t="str"/>
      <x:c r="G126" s="32" t="str"/>
      <x:c r="H126" s="32" t="str"/>
      <x:c r="I126" s="32" t="str"/>
      <x:c r="J126" s="32" t="str"/>
      <x:c r="K126" s="32" t="str"/>
      <x:c r="L126" s="32" t="str">
        <x:f>IF(OR(H126="",I126="",J126="",K126=""),"",ROUND(H126*0.25+I126*0.25+J126*0.30+K126*0.20,2))</x:f>
      </x:c>
      <x:c r="M126" s="32" t="str">
        <x:f>IF(L126="","",IF(L126&gt;=4.2,"Сильное преимущество",IF(L126&gt;=3.4,"Потенциальное преимущество",IF(L126&gt;=2.5,"Слабое преимущество","Не считать преимуществом"))))</x:f>
      </x:c>
      <x:c r="N126" s="32" t="str"/>
    </x:row>
    <x:row r="127">
      <x:c r="A127" s="32" t="str">
        <x:v>A121</x:v>
      </x:c>
      <x:c r="B127" s="32" t="str"/>
      <x:c r="C127" s="32" t="str"/>
      <x:c r="D127" s="32" t="str"/>
      <x:c r="E127" s="32" t="str"/>
      <x:c r="F127" s="32" t="str"/>
      <x:c r="G127" s="32" t="str"/>
      <x:c r="H127" s="32" t="str"/>
      <x:c r="I127" s="32" t="str"/>
      <x:c r="J127" s="32" t="str"/>
      <x:c r="K127" s="32" t="str"/>
      <x:c r="L127" s="32" t="str">
        <x:f>IF(OR(H127="",I127="",J127="",K127=""),"",ROUND(H127*0.25+I127*0.25+J127*0.30+K127*0.20,2))</x:f>
      </x:c>
      <x:c r="M127" s="32" t="str">
        <x:f>IF(L127="","",IF(L127&gt;=4.2,"Сильное преимущество",IF(L127&gt;=3.4,"Потенциальное преимущество",IF(L127&gt;=2.5,"Слабое преимущество","Не считать преимуществом"))))</x:f>
      </x:c>
      <x:c r="N127" s="32" t="str"/>
    </x:row>
    <x:row r="128">
      <x:c r="A128" s="32" t="str">
        <x:v>A122</x:v>
      </x:c>
      <x:c r="B128" s="32" t="str"/>
      <x:c r="C128" s="32" t="str"/>
      <x:c r="D128" s="32" t="str"/>
      <x:c r="E128" s="32" t="str"/>
      <x:c r="F128" s="32" t="str"/>
      <x:c r="G128" s="32" t="str"/>
      <x:c r="H128" s="32" t="str"/>
      <x:c r="I128" s="32" t="str"/>
      <x:c r="J128" s="32" t="str"/>
      <x:c r="K128" s="32" t="str"/>
      <x:c r="L128" s="32" t="str">
        <x:f>IF(OR(H128="",I128="",J128="",K128=""),"",ROUND(H128*0.25+I128*0.25+J128*0.30+K128*0.20,2))</x:f>
      </x:c>
      <x:c r="M128" s="32" t="str">
        <x:f>IF(L128="","",IF(L128&gt;=4.2,"Сильное преимущество",IF(L128&gt;=3.4,"Потенциальное преимущество",IF(L128&gt;=2.5,"Слабое преимущество","Не считать преимуществом"))))</x:f>
      </x:c>
      <x:c r="N128" s="32" t="str"/>
    </x:row>
    <x:row r="129">
      <x:c r="A129" s="32" t="str">
        <x:v>A123</x:v>
      </x:c>
      <x:c r="B129" s="32" t="str"/>
      <x:c r="C129" s="32" t="str"/>
      <x:c r="D129" s="32" t="str"/>
      <x:c r="E129" s="32" t="str"/>
      <x:c r="F129" s="32" t="str"/>
      <x:c r="G129" s="32" t="str"/>
      <x:c r="H129" s="32" t="str"/>
      <x:c r="I129" s="32" t="str"/>
      <x:c r="J129" s="32" t="str"/>
      <x:c r="K129" s="32" t="str"/>
      <x:c r="L129" s="32" t="str">
        <x:f>IF(OR(H129="",I129="",J129="",K129=""),"",ROUND(H129*0.25+I129*0.25+J129*0.30+K129*0.20,2))</x:f>
      </x:c>
      <x:c r="M129" s="32" t="str">
        <x:f>IF(L129="","",IF(L129&gt;=4.2,"Сильное преимущество",IF(L129&gt;=3.4,"Потенциальное преимущество",IF(L129&gt;=2.5,"Слабое преимущество","Не считать преимуществом"))))</x:f>
      </x:c>
      <x:c r="N129" s="32" t="str"/>
    </x:row>
    <x:row r="130">
      <x:c r="A130" s="32" t="str">
        <x:v>A124</x:v>
      </x:c>
      <x:c r="B130" s="32" t="str"/>
      <x:c r="C130" s="32" t="str"/>
      <x:c r="D130" s="32" t="str"/>
      <x:c r="E130" s="32" t="str"/>
      <x:c r="F130" s="32" t="str"/>
      <x:c r="G130" s="32" t="str"/>
      <x:c r="H130" s="32" t="str"/>
      <x:c r="I130" s="32" t="str"/>
      <x:c r="J130" s="32" t="str"/>
      <x:c r="K130" s="32" t="str"/>
      <x:c r="L130" s="32" t="str">
        <x:f>IF(OR(H130="",I130="",J130="",K130=""),"",ROUND(H130*0.25+I130*0.25+J130*0.30+K130*0.20,2))</x:f>
      </x:c>
      <x:c r="M130" s="32" t="str">
        <x:f>IF(L130="","",IF(L130&gt;=4.2,"Сильное преимущество",IF(L130&gt;=3.4,"Потенциальное преимущество",IF(L130&gt;=2.5,"Слабое преимущество","Не считать преимуществом"))))</x:f>
      </x:c>
      <x:c r="N130" s="32" t="str"/>
    </x:row>
    <x:row r="131">
      <x:c r="A131" s="32" t="str">
        <x:v>A125</x:v>
      </x:c>
      <x:c r="B131" s="32" t="str"/>
      <x:c r="C131" s="32" t="str"/>
      <x:c r="D131" s="32" t="str"/>
      <x:c r="E131" s="32" t="str"/>
      <x:c r="F131" s="32" t="str"/>
      <x:c r="G131" s="32" t="str"/>
      <x:c r="H131" s="32" t="str"/>
      <x:c r="I131" s="32" t="str"/>
      <x:c r="J131" s="32" t="str"/>
      <x:c r="K131" s="32" t="str"/>
      <x:c r="L131" s="32" t="str">
        <x:f>IF(OR(H131="",I131="",J131="",K131=""),"",ROUND(H131*0.25+I131*0.25+J131*0.30+K131*0.20,2))</x:f>
      </x:c>
      <x:c r="M131" s="32" t="str">
        <x:f>IF(L131="","",IF(L131&gt;=4.2,"Сильное преимущество",IF(L131&gt;=3.4,"Потенциальное преимущество",IF(L131&gt;=2.5,"Слабое преимущество","Не считать преимуществом"))))</x:f>
      </x:c>
      <x:c r="N131" s="32" t="str"/>
    </x:row>
    <x:row r="132">
      <x:c r="A132" s="32" t="str">
        <x:v>A126</x:v>
      </x:c>
      <x:c r="B132" s="32" t="str"/>
      <x:c r="C132" s="32" t="str"/>
      <x:c r="D132" s="32" t="str"/>
      <x:c r="E132" s="32" t="str"/>
      <x:c r="F132" s="32" t="str"/>
      <x:c r="G132" s="32" t="str"/>
      <x:c r="H132" s="32" t="str"/>
      <x:c r="I132" s="32" t="str"/>
      <x:c r="J132" s="32" t="str"/>
      <x:c r="K132" s="32" t="str"/>
      <x:c r="L132" s="32" t="str">
        <x:f>IF(OR(H132="",I132="",J132="",K132=""),"",ROUND(H132*0.25+I132*0.25+J132*0.30+K132*0.20,2))</x:f>
      </x:c>
      <x:c r="M132" s="32" t="str">
        <x:f>IF(L132="","",IF(L132&gt;=4.2,"Сильное преимущество",IF(L132&gt;=3.4,"Потенциальное преимущество",IF(L132&gt;=2.5,"Слабое преимущество","Не считать преимуществом"))))</x:f>
      </x:c>
      <x:c r="N132" s="32" t="str"/>
    </x:row>
    <x:row r="133">
      <x:c r="A133" s="32" t="str">
        <x:v>A127</x:v>
      </x:c>
      <x:c r="B133" s="32" t="str"/>
      <x:c r="C133" s="32" t="str"/>
      <x:c r="D133" s="32" t="str"/>
      <x:c r="E133" s="32" t="str"/>
      <x:c r="F133" s="32" t="str"/>
      <x:c r="G133" s="32" t="str"/>
      <x:c r="H133" s="32" t="str"/>
      <x:c r="I133" s="32" t="str"/>
      <x:c r="J133" s="32" t="str"/>
      <x:c r="K133" s="32" t="str"/>
      <x:c r="L133" s="32" t="str">
        <x:f>IF(OR(H133="",I133="",J133="",K133=""),"",ROUND(H133*0.25+I133*0.25+J133*0.30+K133*0.20,2))</x:f>
      </x:c>
      <x:c r="M133" s="32" t="str">
        <x:f>IF(L133="","",IF(L133&gt;=4.2,"Сильное преимущество",IF(L133&gt;=3.4,"Потенциальное преимущество",IF(L133&gt;=2.5,"Слабое преимущество","Не считать преимуществом"))))</x:f>
      </x:c>
      <x:c r="N133" s="32" t="str"/>
    </x:row>
    <x:row r="134">
      <x:c r="A134" s="32" t="str">
        <x:v>A128</x:v>
      </x:c>
      <x:c r="B134" s="32" t="str"/>
      <x:c r="C134" s="32" t="str"/>
      <x:c r="D134" s="32" t="str"/>
      <x:c r="E134" s="32" t="str"/>
      <x:c r="F134" s="32" t="str"/>
      <x:c r="G134" s="32" t="str"/>
      <x:c r="H134" s="32" t="str"/>
      <x:c r="I134" s="32" t="str"/>
      <x:c r="J134" s="32" t="str"/>
      <x:c r="K134" s="32" t="str"/>
      <x:c r="L134" s="32" t="str">
        <x:f>IF(OR(H134="",I134="",J134="",K134=""),"",ROUND(H134*0.25+I134*0.25+J134*0.30+K134*0.20,2))</x:f>
      </x:c>
      <x:c r="M134" s="32" t="str">
        <x:f>IF(L134="","",IF(L134&gt;=4.2,"Сильное преимущество",IF(L134&gt;=3.4,"Потенциальное преимущество",IF(L134&gt;=2.5,"Слабое преимущество","Не считать преимуществом"))))</x:f>
      </x:c>
      <x:c r="N134" s="32" t="str"/>
    </x:row>
    <x:row r="135">
      <x:c r="A135" s="32" t="str">
        <x:v>A129</x:v>
      </x:c>
      <x:c r="B135" s="32" t="str"/>
      <x:c r="C135" s="32" t="str"/>
      <x:c r="D135" s="32" t="str"/>
      <x:c r="E135" s="32" t="str"/>
      <x:c r="F135" s="32" t="str"/>
      <x:c r="G135" s="32" t="str"/>
      <x:c r="H135" s="32" t="str"/>
      <x:c r="I135" s="32" t="str"/>
      <x:c r="J135" s="32" t="str"/>
      <x:c r="K135" s="32" t="str"/>
      <x:c r="L135" s="32" t="str">
        <x:f>IF(OR(H135="",I135="",J135="",K135=""),"",ROUND(H135*0.25+I135*0.25+J135*0.30+K135*0.20,2))</x:f>
      </x:c>
      <x:c r="M135" s="32" t="str">
        <x:f>IF(L135="","",IF(L135&gt;=4.2,"Сильное преимущество",IF(L135&gt;=3.4,"Потенциальное преимущество",IF(L135&gt;=2.5,"Слабое преимущество","Не считать преимуществом"))))</x:f>
      </x:c>
      <x:c r="N135" s="32" t="str"/>
    </x:row>
    <x:row r="136">
      <x:c r="A136" s="32" t="str">
        <x:v>A130</x:v>
      </x:c>
      <x:c r="B136" s="32" t="str"/>
      <x:c r="C136" s="32" t="str"/>
      <x:c r="D136" s="32" t="str"/>
      <x:c r="E136" s="32" t="str"/>
      <x:c r="F136" s="32" t="str"/>
      <x:c r="G136" s="32" t="str"/>
      <x:c r="H136" s="32" t="str"/>
      <x:c r="I136" s="32" t="str"/>
      <x:c r="J136" s="32" t="str"/>
      <x:c r="K136" s="32" t="str"/>
      <x:c r="L136" s="32" t="str">
        <x:f>IF(OR(H136="",I136="",J136="",K136=""),"",ROUND(H136*0.25+I136*0.25+J136*0.30+K136*0.20,2))</x:f>
      </x:c>
      <x:c r="M136" s="32" t="str">
        <x:f>IF(L136="","",IF(L136&gt;=4.2,"Сильное преимущество",IF(L136&gt;=3.4,"Потенциальное преимущество",IF(L136&gt;=2.5,"Слабое преимущество","Не считать преимуществом"))))</x:f>
      </x:c>
      <x:c r="N136" s="32" t="str"/>
    </x:row>
    <x:row r="137">
      <x:c r="A137" s="32" t="str">
        <x:v>A131</x:v>
      </x:c>
      <x:c r="B137" s="32" t="str"/>
      <x:c r="C137" s="32" t="str"/>
      <x:c r="D137" s="32" t="str"/>
      <x:c r="E137" s="32" t="str"/>
      <x:c r="F137" s="32" t="str"/>
      <x:c r="G137" s="32" t="str"/>
      <x:c r="H137" s="32" t="str"/>
      <x:c r="I137" s="32" t="str"/>
      <x:c r="J137" s="32" t="str"/>
      <x:c r="K137" s="32" t="str"/>
      <x:c r="L137" s="32" t="str">
        <x:f>IF(OR(H137="",I137="",J137="",K137=""),"",ROUND(H137*0.25+I137*0.25+J137*0.30+K137*0.20,2))</x:f>
      </x:c>
      <x:c r="M137" s="32" t="str">
        <x:f>IF(L137="","",IF(L137&gt;=4.2,"Сильное преимущество",IF(L137&gt;=3.4,"Потенциальное преимущество",IF(L137&gt;=2.5,"Слабое преимущество","Не считать преимуществом"))))</x:f>
      </x:c>
      <x:c r="N137" s="32" t="str"/>
    </x:row>
    <x:row r="138">
      <x:c r="A138" s="32" t="str">
        <x:v>A132</x:v>
      </x:c>
      <x:c r="B138" s="32" t="str"/>
      <x:c r="C138" s="32" t="str"/>
      <x:c r="D138" s="32" t="str"/>
      <x:c r="E138" s="32" t="str"/>
      <x:c r="F138" s="32" t="str"/>
      <x:c r="G138" s="32" t="str"/>
      <x:c r="H138" s="32" t="str"/>
      <x:c r="I138" s="32" t="str"/>
      <x:c r="J138" s="32" t="str"/>
      <x:c r="K138" s="32" t="str"/>
      <x:c r="L138" s="32" t="str">
        <x:f>IF(OR(H138="",I138="",J138="",K138=""),"",ROUND(H138*0.25+I138*0.25+J138*0.30+K138*0.20,2))</x:f>
      </x:c>
      <x:c r="M138" s="32" t="str">
        <x:f>IF(L138="","",IF(L138&gt;=4.2,"Сильное преимущество",IF(L138&gt;=3.4,"Потенциальное преимущество",IF(L138&gt;=2.5,"Слабое преимущество","Не считать преимуществом"))))</x:f>
      </x:c>
      <x:c r="N138" s="32" t="str"/>
    </x:row>
    <x:row r="139">
      <x:c r="A139" s="32" t="str">
        <x:v>A133</x:v>
      </x:c>
      <x:c r="B139" s="32" t="str"/>
      <x:c r="C139" s="32" t="str"/>
      <x:c r="D139" s="32" t="str"/>
      <x:c r="E139" s="32" t="str"/>
      <x:c r="F139" s="32" t="str"/>
      <x:c r="G139" s="32" t="str"/>
      <x:c r="H139" s="32" t="str"/>
      <x:c r="I139" s="32" t="str"/>
      <x:c r="J139" s="32" t="str"/>
      <x:c r="K139" s="32" t="str"/>
      <x:c r="L139" s="32" t="str">
        <x:f>IF(OR(H139="",I139="",J139="",K139=""),"",ROUND(H139*0.25+I139*0.25+J139*0.30+K139*0.20,2))</x:f>
      </x:c>
      <x:c r="M139" s="32" t="str">
        <x:f>IF(L139="","",IF(L139&gt;=4.2,"Сильное преимущество",IF(L139&gt;=3.4,"Потенциальное преимущество",IF(L139&gt;=2.5,"Слабое преимущество","Не считать преимуществом"))))</x:f>
      </x:c>
      <x:c r="N139" s="32" t="str"/>
    </x:row>
    <x:row r="140">
      <x:c r="A140" s="32" t="str">
        <x:v>A134</x:v>
      </x:c>
      <x:c r="B140" s="32" t="str"/>
      <x:c r="C140" s="32" t="str"/>
      <x:c r="D140" s="32" t="str"/>
      <x:c r="E140" s="32" t="str"/>
      <x:c r="F140" s="32" t="str"/>
      <x:c r="G140" s="32" t="str"/>
      <x:c r="H140" s="32" t="str"/>
      <x:c r="I140" s="32" t="str"/>
      <x:c r="J140" s="32" t="str"/>
      <x:c r="K140" s="32" t="str"/>
      <x:c r="L140" s="32" t="str">
        <x:f>IF(OR(H140="",I140="",J140="",K140=""),"",ROUND(H140*0.25+I140*0.25+J140*0.30+K140*0.20,2))</x:f>
      </x:c>
      <x:c r="M140" s="32" t="str">
        <x:f>IF(L140="","",IF(L140&gt;=4.2,"Сильное преимущество",IF(L140&gt;=3.4,"Потенциальное преимущество",IF(L140&gt;=2.5,"Слабое преимущество","Не считать преимуществом"))))</x:f>
      </x:c>
      <x:c r="N140" s="32" t="str"/>
    </x:row>
    <x:row r="141">
      <x:c r="A141" s="32" t="str">
        <x:v>A135</x:v>
      </x:c>
      <x:c r="B141" s="32" t="str"/>
      <x:c r="C141" s="32" t="str"/>
      <x:c r="D141" s="32" t="str"/>
      <x:c r="E141" s="32" t="str"/>
      <x:c r="F141" s="32" t="str"/>
      <x:c r="G141" s="32" t="str"/>
      <x:c r="H141" s="32" t="str"/>
      <x:c r="I141" s="32" t="str"/>
      <x:c r="J141" s="32" t="str"/>
      <x:c r="K141" s="32" t="str"/>
      <x:c r="L141" s="32" t="str">
        <x:f>IF(OR(H141="",I141="",J141="",K141=""),"",ROUND(H141*0.25+I141*0.25+J141*0.30+K141*0.20,2))</x:f>
      </x:c>
      <x:c r="M141" s="32" t="str">
        <x:f>IF(L141="","",IF(L141&gt;=4.2,"Сильное преимущество",IF(L141&gt;=3.4,"Потенциальное преимущество",IF(L141&gt;=2.5,"Слабое преимущество","Не считать преимуществом"))))</x:f>
      </x:c>
      <x:c r="N141" s="32" t="str"/>
    </x:row>
    <x:row r="142">
      <x:c r="A142" s="32" t="str">
        <x:v>A136</x:v>
      </x:c>
      <x:c r="B142" s="32" t="str"/>
      <x:c r="C142" s="32" t="str"/>
      <x:c r="D142" s="32" t="str"/>
      <x:c r="E142" s="32" t="str"/>
      <x:c r="F142" s="32" t="str"/>
      <x:c r="G142" s="32" t="str"/>
      <x:c r="H142" s="32" t="str"/>
      <x:c r="I142" s="32" t="str"/>
      <x:c r="J142" s="32" t="str"/>
      <x:c r="K142" s="32" t="str"/>
      <x:c r="L142" s="32" t="str">
        <x:f>IF(OR(H142="",I142="",J142="",K142=""),"",ROUND(H142*0.25+I142*0.25+J142*0.30+K142*0.20,2))</x:f>
      </x:c>
      <x:c r="M142" s="32" t="str">
        <x:f>IF(L142="","",IF(L142&gt;=4.2,"Сильное преимущество",IF(L142&gt;=3.4,"Потенциальное преимущество",IF(L142&gt;=2.5,"Слабое преимущество","Не считать преимуществом"))))</x:f>
      </x:c>
      <x:c r="N142" s="32" t="str"/>
    </x:row>
    <x:row r="143">
      <x:c r="A143" s="32" t="str">
        <x:v>A137</x:v>
      </x:c>
      <x:c r="B143" s="32" t="str"/>
      <x:c r="C143" s="32" t="str"/>
      <x:c r="D143" s="32" t="str"/>
      <x:c r="E143" s="32" t="str"/>
      <x:c r="F143" s="32" t="str"/>
      <x:c r="G143" s="32" t="str"/>
      <x:c r="H143" s="32" t="str"/>
      <x:c r="I143" s="32" t="str"/>
      <x:c r="J143" s="32" t="str"/>
      <x:c r="K143" s="32" t="str"/>
      <x:c r="L143" s="32" t="str">
        <x:f>IF(OR(H143="",I143="",J143="",K143=""),"",ROUND(H143*0.25+I143*0.25+J143*0.30+K143*0.20,2))</x:f>
      </x:c>
      <x:c r="M143" s="32" t="str">
        <x:f>IF(L143="","",IF(L143&gt;=4.2,"Сильное преимущество",IF(L143&gt;=3.4,"Потенциальное преимущество",IF(L143&gt;=2.5,"Слабое преимущество","Не считать преимуществом"))))</x:f>
      </x:c>
      <x:c r="N143" s="32" t="str"/>
    </x:row>
    <x:row r="144">
      <x:c r="A144" s="32" t="str">
        <x:v>A138</x:v>
      </x:c>
      <x:c r="B144" s="32" t="str"/>
      <x:c r="C144" s="32" t="str"/>
      <x:c r="D144" s="32" t="str"/>
      <x:c r="E144" s="32" t="str"/>
      <x:c r="F144" s="32" t="str"/>
      <x:c r="G144" s="32" t="str"/>
      <x:c r="H144" s="32" t="str"/>
      <x:c r="I144" s="32" t="str"/>
      <x:c r="J144" s="32" t="str"/>
      <x:c r="K144" s="32" t="str"/>
      <x:c r="L144" s="32" t="str">
        <x:f>IF(OR(H144="",I144="",J144="",K144=""),"",ROUND(H144*0.25+I144*0.25+J144*0.30+K144*0.20,2))</x:f>
      </x:c>
      <x:c r="M144" s="32" t="str">
        <x:f>IF(L144="","",IF(L144&gt;=4.2,"Сильное преимущество",IF(L144&gt;=3.4,"Потенциальное преимущество",IF(L144&gt;=2.5,"Слабое преимущество","Не считать преимуществом"))))</x:f>
      </x:c>
      <x:c r="N144" s="32" t="str"/>
    </x:row>
    <x:row r="145">
      <x:c r="A145" s="32" t="str">
        <x:v>A139</x:v>
      </x:c>
      <x:c r="B145" s="32" t="str"/>
      <x:c r="C145" s="32" t="str"/>
      <x:c r="D145" s="32" t="str"/>
      <x:c r="E145" s="32" t="str"/>
      <x:c r="F145" s="32" t="str"/>
      <x:c r="G145" s="32" t="str"/>
      <x:c r="H145" s="32" t="str"/>
      <x:c r="I145" s="32" t="str"/>
      <x:c r="J145" s="32" t="str"/>
      <x:c r="K145" s="32" t="str"/>
      <x:c r="L145" s="32" t="str">
        <x:f>IF(OR(H145="",I145="",J145="",K145=""),"",ROUND(H145*0.25+I145*0.25+J145*0.30+K145*0.20,2))</x:f>
      </x:c>
      <x:c r="M145" s="32" t="str">
        <x:f>IF(L145="","",IF(L145&gt;=4.2,"Сильное преимущество",IF(L145&gt;=3.4,"Потенциальное преимущество",IF(L145&gt;=2.5,"Слабое преимущество","Не считать преимуществом"))))</x:f>
      </x:c>
      <x:c r="N145" s="32" t="str"/>
    </x:row>
    <x:row r="146">
      <x:c r="A146" s="32" t="str">
        <x:v>A140</x:v>
      </x:c>
      <x:c r="B146" s="32" t="str"/>
      <x:c r="C146" s="32" t="str"/>
      <x:c r="D146" s="32" t="str"/>
      <x:c r="E146" s="32" t="str"/>
      <x:c r="F146" s="32" t="str"/>
      <x:c r="G146" s="32" t="str"/>
      <x:c r="H146" s="32" t="str"/>
      <x:c r="I146" s="32" t="str"/>
      <x:c r="J146" s="32" t="str"/>
      <x:c r="K146" s="32" t="str"/>
      <x:c r="L146" s="32" t="str">
        <x:f>IF(OR(H146="",I146="",J146="",K146=""),"",ROUND(H146*0.25+I146*0.25+J146*0.30+K146*0.20,2))</x:f>
      </x:c>
      <x:c r="M146" s="32" t="str">
        <x:f>IF(L146="","",IF(L146&gt;=4.2,"Сильное преимущество",IF(L146&gt;=3.4,"Потенциальное преимущество",IF(L146&gt;=2.5,"Слабое преимущество","Не считать преимуществом"))))</x:f>
      </x:c>
      <x:c r="N146" s="32" t="str"/>
    </x:row>
    <x:row r="147">
      <x:c r="A147" s="32" t="str">
        <x:v>A141</x:v>
      </x:c>
      <x:c r="B147" s="32" t="str"/>
      <x:c r="C147" s="32" t="str"/>
      <x:c r="D147" s="32" t="str"/>
      <x:c r="E147" s="32" t="str"/>
      <x:c r="F147" s="32" t="str"/>
      <x:c r="G147" s="32" t="str"/>
      <x:c r="H147" s="32" t="str"/>
      <x:c r="I147" s="32" t="str"/>
      <x:c r="J147" s="32" t="str"/>
      <x:c r="K147" s="32" t="str"/>
      <x:c r="L147" s="32" t="str">
        <x:f>IF(OR(H147="",I147="",J147="",K147=""),"",ROUND(H147*0.25+I147*0.25+J147*0.30+K147*0.20,2))</x:f>
      </x:c>
      <x:c r="M147" s="32" t="str">
        <x:f>IF(L147="","",IF(L147&gt;=4.2,"Сильное преимущество",IF(L147&gt;=3.4,"Потенциальное преимущество",IF(L147&gt;=2.5,"Слабое преимущество","Не считать преимуществом"))))</x:f>
      </x:c>
      <x:c r="N147" s="32" t="str"/>
    </x:row>
    <x:row r="148">
      <x:c r="A148" s="32" t="str">
        <x:v>A142</x:v>
      </x:c>
      <x:c r="B148" s="32" t="str"/>
      <x:c r="C148" s="32" t="str"/>
      <x:c r="D148" s="32" t="str"/>
      <x:c r="E148" s="32" t="str"/>
      <x:c r="F148" s="32" t="str"/>
      <x:c r="G148" s="32" t="str"/>
      <x:c r="H148" s="32" t="str"/>
      <x:c r="I148" s="32" t="str"/>
      <x:c r="J148" s="32" t="str"/>
      <x:c r="K148" s="32" t="str"/>
      <x:c r="L148" s="32" t="str">
        <x:f>IF(OR(H148="",I148="",J148="",K148=""),"",ROUND(H148*0.25+I148*0.25+J148*0.30+K148*0.20,2))</x:f>
      </x:c>
      <x:c r="M148" s="32" t="str">
        <x:f>IF(L148="","",IF(L148&gt;=4.2,"Сильное преимущество",IF(L148&gt;=3.4,"Потенциальное преимущество",IF(L148&gt;=2.5,"Слабое преимущество","Не считать преимуществом"))))</x:f>
      </x:c>
      <x:c r="N148" s="32" t="str"/>
    </x:row>
    <x:row r="149">
      <x:c r="A149" s="32" t="str">
        <x:v>A143</x:v>
      </x:c>
      <x:c r="B149" s="32" t="str"/>
      <x:c r="C149" s="32" t="str"/>
      <x:c r="D149" s="32" t="str"/>
      <x:c r="E149" s="32" t="str"/>
      <x:c r="F149" s="32" t="str"/>
      <x:c r="G149" s="32" t="str"/>
      <x:c r="H149" s="32" t="str"/>
      <x:c r="I149" s="32" t="str"/>
      <x:c r="J149" s="32" t="str"/>
      <x:c r="K149" s="32" t="str"/>
      <x:c r="L149" s="32" t="str">
        <x:f>IF(OR(H149="",I149="",J149="",K149=""),"",ROUND(H149*0.25+I149*0.25+J149*0.30+K149*0.20,2))</x:f>
      </x:c>
      <x:c r="M149" s="32" t="str">
        <x:f>IF(L149="","",IF(L149&gt;=4.2,"Сильное преимущество",IF(L149&gt;=3.4,"Потенциальное преимущество",IF(L149&gt;=2.5,"Слабое преимущество","Не считать преимуществом"))))</x:f>
      </x:c>
      <x:c r="N149" s="32" t="str"/>
    </x:row>
    <x:row r="150">
      <x:c r="A150" s="32" t="str">
        <x:v>A144</x:v>
      </x:c>
      <x:c r="B150" s="32" t="str"/>
      <x:c r="C150" s="32" t="str"/>
      <x:c r="D150" s="32" t="str"/>
      <x:c r="E150" s="32" t="str"/>
      <x:c r="F150" s="32" t="str"/>
      <x:c r="G150" s="32" t="str"/>
      <x:c r="H150" s="32" t="str"/>
      <x:c r="I150" s="32" t="str"/>
      <x:c r="J150" s="32" t="str"/>
      <x:c r="K150" s="32" t="str"/>
      <x:c r="L150" s="32" t="str">
        <x:f>IF(OR(H150="",I150="",J150="",K150=""),"",ROUND(H150*0.25+I150*0.25+J150*0.30+K150*0.20,2))</x:f>
      </x:c>
      <x:c r="M150" s="32" t="str">
        <x:f>IF(L150="","",IF(L150&gt;=4.2,"Сильное преимущество",IF(L150&gt;=3.4,"Потенциальное преимущество",IF(L150&gt;=2.5,"Слабое преимущество","Не считать преимуществом"))))</x:f>
      </x:c>
      <x:c r="N150" s="32" t="str"/>
    </x:row>
    <x:row r="151">
      <x:c r="A151" s="32" t="str">
        <x:v>A145</x:v>
      </x:c>
      <x:c r="B151" s="32" t="str"/>
      <x:c r="C151" s="32" t="str"/>
      <x:c r="D151" s="32" t="str"/>
      <x:c r="E151" s="32" t="str"/>
      <x:c r="F151" s="32" t="str"/>
      <x:c r="G151" s="32" t="str"/>
      <x:c r="H151" s="32" t="str"/>
      <x:c r="I151" s="32" t="str"/>
      <x:c r="J151" s="32" t="str"/>
      <x:c r="K151" s="32" t="str"/>
      <x:c r="L151" s="32" t="str">
        <x:f>IF(OR(H151="",I151="",J151="",K151=""),"",ROUND(H151*0.25+I151*0.25+J151*0.30+K151*0.20,2))</x:f>
      </x:c>
      <x:c r="M151" s="32" t="str">
        <x:f>IF(L151="","",IF(L151&gt;=4.2,"Сильное преимущество",IF(L151&gt;=3.4,"Потенциальное преимущество",IF(L151&gt;=2.5,"Слабое преимущество","Не считать преимуществом"))))</x:f>
      </x:c>
      <x:c r="N151" s="32" t="str"/>
    </x:row>
    <x:row r="152">
      <x:c r="A152" s="32" t="str">
        <x:v>A146</x:v>
      </x:c>
      <x:c r="B152" s="32" t="str"/>
      <x:c r="C152" s="32" t="str"/>
      <x:c r="D152" s="32" t="str"/>
      <x:c r="E152" s="32" t="str"/>
      <x:c r="F152" s="32" t="str"/>
      <x:c r="G152" s="32" t="str"/>
      <x:c r="H152" s="32" t="str"/>
      <x:c r="I152" s="32" t="str"/>
      <x:c r="J152" s="32" t="str"/>
      <x:c r="K152" s="32" t="str"/>
      <x:c r="L152" s="32" t="str">
        <x:f>IF(OR(H152="",I152="",J152="",K152=""),"",ROUND(H152*0.25+I152*0.25+J152*0.30+K152*0.20,2))</x:f>
      </x:c>
      <x:c r="M152" s="32" t="str">
        <x:f>IF(L152="","",IF(L152&gt;=4.2,"Сильное преимущество",IF(L152&gt;=3.4,"Потенциальное преимущество",IF(L152&gt;=2.5,"Слабое преимущество","Не считать преимуществом"))))</x:f>
      </x:c>
      <x:c r="N152" s="32" t="str"/>
    </x:row>
    <x:row r="153">
      <x:c r="A153" s="32" t="str">
        <x:v>A147</x:v>
      </x:c>
      <x:c r="B153" s="32" t="str"/>
      <x:c r="C153" s="32" t="str"/>
      <x:c r="D153" s="32" t="str"/>
      <x:c r="E153" s="32" t="str"/>
      <x:c r="F153" s="32" t="str"/>
      <x:c r="G153" s="32" t="str"/>
      <x:c r="H153" s="32" t="str"/>
      <x:c r="I153" s="32" t="str"/>
      <x:c r="J153" s="32" t="str"/>
      <x:c r="K153" s="32" t="str"/>
      <x:c r="L153" s="32" t="str">
        <x:f>IF(OR(H153="",I153="",J153="",K153=""),"",ROUND(H153*0.25+I153*0.25+J153*0.30+K153*0.20,2))</x:f>
      </x:c>
      <x:c r="M153" s="32" t="str">
        <x:f>IF(L153="","",IF(L153&gt;=4.2,"Сильное преимущество",IF(L153&gt;=3.4,"Потенциальное преимущество",IF(L153&gt;=2.5,"Слабое преимущество","Не считать преимуществом"))))</x:f>
      </x:c>
      <x:c r="N153" s="32" t="str"/>
    </x:row>
    <x:row r="154">
      <x:c r="A154" s="32" t="str">
        <x:v>A148</x:v>
      </x:c>
      <x:c r="B154" s="32" t="str"/>
      <x:c r="C154" s="32" t="str"/>
      <x:c r="D154" s="32" t="str"/>
      <x:c r="E154" s="32" t="str"/>
      <x:c r="F154" s="32" t="str"/>
      <x:c r="G154" s="32" t="str"/>
      <x:c r="H154" s="32" t="str"/>
      <x:c r="I154" s="32" t="str"/>
      <x:c r="J154" s="32" t="str"/>
      <x:c r="K154" s="32" t="str"/>
      <x:c r="L154" s="32" t="str">
        <x:f>IF(OR(H154="",I154="",J154="",K154=""),"",ROUND(H154*0.25+I154*0.25+J154*0.30+K154*0.20,2))</x:f>
      </x:c>
      <x:c r="M154" s="32" t="str">
        <x:f>IF(L154="","",IF(L154&gt;=4.2,"Сильное преимущество",IF(L154&gt;=3.4,"Потенциальное преимущество",IF(L154&gt;=2.5,"Слабое преимущество","Не считать преимуществом"))))</x:f>
      </x:c>
      <x:c r="N154" s="32" t="str"/>
    </x:row>
    <x:row r="155">
      <x:c r="A155" s="32" t="str">
        <x:v>A149</x:v>
      </x:c>
      <x:c r="B155" s="32" t="str"/>
      <x:c r="C155" s="32" t="str"/>
      <x:c r="D155" s="32" t="str"/>
      <x:c r="E155" s="32" t="str"/>
      <x:c r="F155" s="32" t="str"/>
      <x:c r="G155" s="32" t="str"/>
      <x:c r="H155" s="32" t="str"/>
      <x:c r="I155" s="32" t="str"/>
      <x:c r="J155" s="32" t="str"/>
      <x:c r="K155" s="32" t="str"/>
      <x:c r="L155" s="32" t="str">
        <x:f>IF(OR(H155="",I155="",J155="",K155=""),"",ROUND(H155*0.25+I155*0.25+J155*0.30+K155*0.20,2))</x:f>
      </x:c>
      <x:c r="M155" s="32" t="str">
        <x:f>IF(L155="","",IF(L155&gt;=4.2,"Сильное преимущество",IF(L155&gt;=3.4,"Потенциальное преимущество",IF(L155&gt;=2.5,"Слабое преимущество","Не считать преимуществом"))))</x:f>
      </x:c>
      <x:c r="N155" s="32" t="str"/>
    </x:row>
    <x:row r="156">
      <x:c r="A156" s="32" t="str">
        <x:v>A150</x:v>
      </x:c>
      <x:c r="B156" s="32" t="str"/>
      <x:c r="C156" s="32" t="str"/>
      <x:c r="D156" s="32" t="str"/>
      <x:c r="E156" s="32" t="str"/>
      <x:c r="F156" s="32" t="str"/>
      <x:c r="G156" s="32" t="str"/>
      <x:c r="H156" s="32" t="str"/>
      <x:c r="I156" s="32" t="str"/>
      <x:c r="J156" s="32" t="str"/>
      <x:c r="K156" s="32" t="str"/>
      <x:c r="L156" s="32" t="str">
        <x:f>IF(OR(H156="",I156="",J156="",K156=""),"",ROUND(H156*0.25+I156*0.25+J156*0.30+K156*0.20,2))</x:f>
      </x:c>
      <x:c r="M156" s="32" t="str">
        <x:f>IF(L156="","",IF(L156&gt;=4.2,"Сильное преимущество",IF(L156&gt;=3.4,"Потенциальное преимущество",IF(L156&gt;=2.5,"Слабое преимущество","Не считать преимуществом"))))</x:f>
      </x:c>
      <x:c r="N156" s="32" t="str"/>
    </x:row>
    <x:row r="157">
      <x:c r="A157" s="32" t="str">
        <x:v>A151</x:v>
      </x:c>
      <x:c r="B157" s="32" t="str"/>
      <x:c r="C157" s="32" t="str"/>
      <x:c r="D157" s="32" t="str"/>
      <x:c r="E157" s="32" t="str"/>
      <x:c r="F157" s="32" t="str"/>
      <x:c r="G157" s="32" t="str"/>
      <x:c r="H157" s="32" t="str"/>
      <x:c r="I157" s="32" t="str"/>
      <x:c r="J157" s="32" t="str"/>
      <x:c r="K157" s="32" t="str"/>
      <x:c r="L157" s="32" t="str">
        <x:f>IF(OR(H157="",I157="",J157="",K157=""),"",ROUND(H157*0.25+I157*0.25+J157*0.30+K157*0.20,2))</x:f>
      </x:c>
      <x:c r="M157" s="32" t="str">
        <x:f>IF(L157="","",IF(L157&gt;=4.2,"Сильное преимущество",IF(L157&gt;=3.4,"Потенциальное преимущество",IF(L157&gt;=2.5,"Слабое преимущество","Не считать преимуществом"))))</x:f>
      </x:c>
      <x:c r="N157" s="32" t="str"/>
    </x:row>
    <x:row r="158">
      <x:c r="A158" s="32" t="str">
        <x:v>A152</x:v>
      </x:c>
      <x:c r="B158" s="32" t="str"/>
      <x:c r="C158" s="32" t="str"/>
      <x:c r="D158" s="32" t="str"/>
      <x:c r="E158" s="32" t="str"/>
      <x:c r="F158" s="32" t="str"/>
      <x:c r="G158" s="32" t="str"/>
      <x:c r="H158" s="32" t="str"/>
      <x:c r="I158" s="32" t="str"/>
      <x:c r="J158" s="32" t="str"/>
      <x:c r="K158" s="32" t="str"/>
      <x:c r="L158" s="32" t="str">
        <x:f>IF(OR(H158="",I158="",J158="",K158=""),"",ROUND(H158*0.25+I158*0.25+J158*0.30+K158*0.20,2))</x:f>
      </x:c>
      <x:c r="M158" s="32" t="str">
        <x:f>IF(L158="","",IF(L158&gt;=4.2,"Сильное преимущество",IF(L158&gt;=3.4,"Потенциальное преимущество",IF(L158&gt;=2.5,"Слабое преимущество","Не считать преимуществом"))))</x:f>
      </x:c>
      <x:c r="N158" s="32" t="str"/>
    </x:row>
    <x:row r="159">
      <x:c r="A159" s="32" t="str">
        <x:v>A153</x:v>
      </x:c>
      <x:c r="B159" s="32" t="str"/>
      <x:c r="C159" s="32" t="str"/>
      <x:c r="D159" s="32" t="str"/>
      <x:c r="E159" s="32" t="str"/>
      <x:c r="F159" s="32" t="str"/>
      <x:c r="G159" s="32" t="str"/>
      <x:c r="H159" s="32" t="str"/>
      <x:c r="I159" s="32" t="str"/>
      <x:c r="J159" s="32" t="str"/>
      <x:c r="K159" s="32" t="str"/>
      <x:c r="L159" s="32" t="str">
        <x:f>IF(OR(H159="",I159="",J159="",K159=""),"",ROUND(H159*0.25+I159*0.25+J159*0.30+K159*0.20,2))</x:f>
      </x:c>
      <x:c r="M159" s="32" t="str">
        <x:f>IF(L159="","",IF(L159&gt;=4.2,"Сильное преимущество",IF(L159&gt;=3.4,"Потенциальное преимущество",IF(L159&gt;=2.5,"Слабое преимущество","Не считать преимуществом"))))</x:f>
      </x:c>
      <x:c r="N159" s="32" t="str"/>
    </x:row>
    <x:row r="160">
      <x:c r="A160" s="32" t="str">
        <x:v>A154</x:v>
      </x:c>
      <x:c r="B160" s="32" t="str"/>
      <x:c r="C160" s="32" t="str"/>
      <x:c r="D160" s="32" t="str"/>
      <x:c r="E160" s="32" t="str"/>
      <x:c r="F160" s="32" t="str"/>
      <x:c r="G160" s="32" t="str"/>
      <x:c r="H160" s="32" t="str"/>
      <x:c r="I160" s="32" t="str"/>
      <x:c r="J160" s="32" t="str"/>
      <x:c r="K160" s="32" t="str"/>
      <x:c r="L160" s="32" t="str">
        <x:f>IF(OR(H160="",I160="",J160="",K160=""),"",ROUND(H160*0.25+I160*0.25+J160*0.30+K160*0.20,2))</x:f>
      </x:c>
      <x:c r="M160" s="32" t="str">
        <x:f>IF(L160="","",IF(L160&gt;=4.2,"Сильное преимущество",IF(L160&gt;=3.4,"Потенциальное преимущество",IF(L160&gt;=2.5,"Слабое преимущество","Не считать преимуществом"))))</x:f>
      </x:c>
      <x:c r="N160" s="32" t="str"/>
    </x:row>
    <x:row r="161">
      <x:c r="A161" s="32" t="str">
        <x:v>A155</x:v>
      </x:c>
      <x:c r="B161" s="32" t="str"/>
      <x:c r="C161" s="32" t="str"/>
      <x:c r="D161" s="32" t="str"/>
      <x:c r="E161" s="32" t="str"/>
      <x:c r="F161" s="32" t="str"/>
      <x:c r="G161" s="32" t="str"/>
      <x:c r="H161" s="32" t="str"/>
      <x:c r="I161" s="32" t="str"/>
      <x:c r="J161" s="32" t="str"/>
      <x:c r="K161" s="32" t="str"/>
      <x:c r="L161" s="32" t="str">
        <x:f>IF(OR(H161="",I161="",J161="",K161=""),"",ROUND(H161*0.25+I161*0.25+J161*0.30+K161*0.20,2))</x:f>
      </x:c>
      <x:c r="M161" s="32" t="str">
        <x:f>IF(L161="","",IF(L161&gt;=4.2,"Сильное преимущество",IF(L161&gt;=3.4,"Потенциальное преимущество",IF(L161&gt;=2.5,"Слабое преимущество","Не считать преимуществом"))))</x:f>
      </x:c>
      <x:c r="N161" s="32" t="str"/>
    </x:row>
    <x:row r="162">
      <x:c r="A162" s="32" t="str">
        <x:v>A156</x:v>
      </x:c>
      <x:c r="B162" s="32" t="str"/>
      <x:c r="C162" s="32" t="str"/>
      <x:c r="D162" s="32" t="str"/>
      <x:c r="E162" s="32" t="str"/>
      <x:c r="F162" s="32" t="str"/>
      <x:c r="G162" s="32" t="str"/>
      <x:c r="H162" s="32" t="str"/>
      <x:c r="I162" s="32" t="str"/>
      <x:c r="J162" s="32" t="str"/>
      <x:c r="K162" s="32" t="str"/>
      <x:c r="L162" s="32" t="str">
        <x:f>IF(OR(H162="",I162="",J162="",K162=""),"",ROUND(H162*0.25+I162*0.25+J162*0.30+K162*0.20,2))</x:f>
      </x:c>
      <x:c r="M162" s="32" t="str">
        <x:f>IF(L162="","",IF(L162&gt;=4.2,"Сильное преимущество",IF(L162&gt;=3.4,"Потенциальное преимущество",IF(L162&gt;=2.5,"Слабое преимущество","Не считать преимуществом"))))</x:f>
      </x:c>
      <x:c r="N162" s="32" t="str"/>
    </x:row>
    <x:row r="163">
      <x:c r="A163" s="32" t="str">
        <x:v>A157</x:v>
      </x:c>
      <x:c r="B163" s="32" t="str"/>
      <x:c r="C163" s="32" t="str"/>
      <x:c r="D163" s="32" t="str"/>
      <x:c r="E163" s="32" t="str"/>
      <x:c r="F163" s="32" t="str"/>
      <x:c r="G163" s="32" t="str"/>
      <x:c r="H163" s="32" t="str"/>
      <x:c r="I163" s="32" t="str"/>
      <x:c r="J163" s="32" t="str"/>
      <x:c r="K163" s="32" t="str"/>
      <x:c r="L163" s="32" t="str">
        <x:f>IF(OR(H163="",I163="",J163="",K163=""),"",ROUND(H163*0.25+I163*0.25+J163*0.30+K163*0.20,2))</x:f>
      </x:c>
      <x:c r="M163" s="32" t="str">
        <x:f>IF(L163="","",IF(L163&gt;=4.2,"Сильное преимущество",IF(L163&gt;=3.4,"Потенциальное преимущество",IF(L163&gt;=2.5,"Слабое преимущество","Не считать преимуществом"))))</x:f>
      </x:c>
      <x:c r="N163" s="32" t="str"/>
    </x:row>
    <x:row r="164">
      <x:c r="A164" s="32" t="str">
        <x:v>A158</x:v>
      </x:c>
      <x:c r="B164" s="32" t="str"/>
      <x:c r="C164" s="32" t="str"/>
      <x:c r="D164" s="32" t="str"/>
      <x:c r="E164" s="32" t="str"/>
      <x:c r="F164" s="32" t="str"/>
      <x:c r="G164" s="32" t="str"/>
      <x:c r="H164" s="32" t="str"/>
      <x:c r="I164" s="32" t="str"/>
      <x:c r="J164" s="32" t="str"/>
      <x:c r="K164" s="32" t="str"/>
      <x:c r="L164" s="32" t="str">
        <x:f>IF(OR(H164="",I164="",J164="",K164=""),"",ROUND(H164*0.25+I164*0.25+J164*0.30+K164*0.20,2))</x:f>
      </x:c>
      <x:c r="M164" s="32" t="str">
        <x:f>IF(L164="","",IF(L164&gt;=4.2,"Сильное преимущество",IF(L164&gt;=3.4,"Потенциальное преимущество",IF(L164&gt;=2.5,"Слабое преимущество","Не считать преимуществом"))))</x:f>
      </x:c>
      <x:c r="N164" s="32" t="str"/>
    </x:row>
    <x:row r="165">
      <x:c r="A165" s="32" t="str">
        <x:v>A159</x:v>
      </x:c>
      <x:c r="B165" s="32" t="str"/>
      <x:c r="C165" s="32" t="str"/>
      <x:c r="D165" s="32" t="str"/>
      <x:c r="E165" s="32" t="str"/>
      <x:c r="F165" s="32" t="str"/>
      <x:c r="G165" s="32" t="str"/>
      <x:c r="H165" s="32" t="str"/>
      <x:c r="I165" s="32" t="str"/>
      <x:c r="J165" s="32" t="str"/>
      <x:c r="K165" s="32" t="str"/>
      <x:c r="L165" s="32" t="str">
        <x:f>IF(OR(H165="",I165="",J165="",K165=""),"",ROUND(H165*0.25+I165*0.25+J165*0.30+K165*0.20,2))</x:f>
      </x:c>
      <x:c r="M165" s="32" t="str">
        <x:f>IF(L165="","",IF(L165&gt;=4.2,"Сильное преимущество",IF(L165&gt;=3.4,"Потенциальное преимущество",IF(L165&gt;=2.5,"Слабое преимущество","Не считать преимуществом"))))</x:f>
      </x:c>
      <x:c r="N165" s="32" t="str"/>
    </x:row>
    <x:row r="166">
      <x:c r="A166" s="32" t="str">
        <x:v>A160</x:v>
      </x:c>
      <x:c r="B166" s="32" t="str"/>
      <x:c r="C166" s="32" t="str"/>
      <x:c r="D166" s="32" t="str"/>
      <x:c r="E166" s="32" t="str"/>
      <x:c r="F166" s="32" t="str"/>
      <x:c r="G166" s="32" t="str"/>
      <x:c r="H166" s="32" t="str"/>
      <x:c r="I166" s="32" t="str"/>
      <x:c r="J166" s="32" t="str"/>
      <x:c r="K166" s="32" t="str"/>
      <x:c r="L166" s="32" t="str">
        <x:f>IF(OR(H166="",I166="",J166="",K166=""),"",ROUND(H166*0.25+I166*0.25+J166*0.30+K166*0.20,2))</x:f>
      </x:c>
      <x:c r="M166" s="32" t="str">
        <x:f>IF(L166="","",IF(L166&gt;=4.2,"Сильное преимущество",IF(L166&gt;=3.4,"Потенциальное преимущество",IF(L166&gt;=2.5,"Слабое преимущество","Не считать преимуществом"))))</x:f>
      </x:c>
      <x:c r="N166" s="32" t="str"/>
    </x:row>
    <x:row r="167">
      <x:c r="A167" s="32" t="str">
        <x:v>A161</x:v>
      </x:c>
      <x:c r="B167" s="32" t="str"/>
      <x:c r="C167" s="32" t="str"/>
      <x:c r="D167" s="32" t="str"/>
      <x:c r="E167" s="32" t="str"/>
      <x:c r="F167" s="32" t="str"/>
      <x:c r="G167" s="32" t="str"/>
      <x:c r="H167" s="32" t="str"/>
      <x:c r="I167" s="32" t="str"/>
      <x:c r="J167" s="32" t="str"/>
      <x:c r="K167" s="32" t="str"/>
      <x:c r="L167" s="32" t="str">
        <x:f>IF(OR(H167="",I167="",J167="",K167=""),"",ROUND(H167*0.25+I167*0.25+J167*0.30+K167*0.20,2))</x:f>
      </x:c>
      <x:c r="M167" s="32" t="str">
        <x:f>IF(L167="","",IF(L167&gt;=4.2,"Сильное преимущество",IF(L167&gt;=3.4,"Потенциальное преимущество",IF(L167&gt;=2.5,"Слабое преимущество","Не считать преимуществом"))))</x:f>
      </x:c>
      <x:c r="N167" s="32" t="str"/>
    </x:row>
    <x:row r="168">
      <x:c r="A168" s="32" t="str">
        <x:v>A162</x:v>
      </x:c>
      <x:c r="B168" s="32" t="str"/>
      <x:c r="C168" s="32" t="str"/>
      <x:c r="D168" s="32" t="str"/>
      <x:c r="E168" s="32" t="str"/>
      <x:c r="F168" s="32" t="str"/>
      <x:c r="G168" s="32" t="str"/>
      <x:c r="H168" s="32" t="str"/>
      <x:c r="I168" s="32" t="str"/>
      <x:c r="J168" s="32" t="str"/>
      <x:c r="K168" s="32" t="str"/>
      <x:c r="L168" s="32" t="str">
        <x:f>IF(OR(H168="",I168="",J168="",K168=""),"",ROUND(H168*0.25+I168*0.25+J168*0.30+K168*0.20,2))</x:f>
      </x:c>
      <x:c r="M168" s="32" t="str">
        <x:f>IF(L168="","",IF(L168&gt;=4.2,"Сильное преимущество",IF(L168&gt;=3.4,"Потенциальное преимущество",IF(L168&gt;=2.5,"Слабое преимущество","Не считать преимуществом"))))</x:f>
      </x:c>
      <x:c r="N168" s="32" t="str"/>
    </x:row>
    <x:row r="169">
      <x:c r="A169" s="32" t="str">
        <x:v>A163</x:v>
      </x:c>
      <x:c r="B169" s="32" t="str"/>
      <x:c r="C169" s="32" t="str"/>
      <x:c r="D169" s="32" t="str"/>
      <x:c r="E169" s="32" t="str"/>
      <x:c r="F169" s="32" t="str"/>
      <x:c r="G169" s="32" t="str"/>
      <x:c r="H169" s="32" t="str"/>
      <x:c r="I169" s="32" t="str"/>
      <x:c r="J169" s="32" t="str"/>
      <x:c r="K169" s="32" t="str"/>
      <x:c r="L169" s="32" t="str">
        <x:f>IF(OR(H169="",I169="",J169="",K169=""),"",ROUND(H169*0.25+I169*0.25+J169*0.30+K169*0.20,2))</x:f>
      </x:c>
      <x:c r="M169" s="32" t="str">
        <x:f>IF(L169="","",IF(L169&gt;=4.2,"Сильное преимущество",IF(L169&gt;=3.4,"Потенциальное преимущество",IF(L169&gt;=2.5,"Слабое преимущество","Не считать преимуществом"))))</x:f>
      </x:c>
      <x:c r="N169" s="32" t="str"/>
    </x:row>
    <x:row r="170">
      <x:c r="A170" s="32" t="str">
        <x:v>A164</x:v>
      </x:c>
      <x:c r="B170" s="32" t="str"/>
      <x:c r="C170" s="32" t="str"/>
      <x:c r="D170" s="32" t="str"/>
      <x:c r="E170" s="32" t="str"/>
      <x:c r="F170" s="32" t="str"/>
      <x:c r="G170" s="32" t="str"/>
      <x:c r="H170" s="32" t="str"/>
      <x:c r="I170" s="32" t="str"/>
      <x:c r="J170" s="32" t="str"/>
      <x:c r="K170" s="32" t="str"/>
      <x:c r="L170" s="32" t="str">
        <x:f>IF(OR(H170="",I170="",J170="",K170=""),"",ROUND(H170*0.25+I170*0.25+J170*0.30+K170*0.20,2))</x:f>
      </x:c>
      <x:c r="M170" s="32" t="str">
        <x:f>IF(L170="","",IF(L170&gt;=4.2,"Сильное преимущество",IF(L170&gt;=3.4,"Потенциальное преимущество",IF(L170&gt;=2.5,"Слабое преимущество","Не считать преимуществом"))))</x:f>
      </x:c>
      <x:c r="N170" s="32" t="str"/>
    </x:row>
    <x:row r="171">
      <x:c r="A171" s="32" t="str">
        <x:v>A165</x:v>
      </x:c>
      <x:c r="B171" s="32" t="str"/>
      <x:c r="C171" s="32" t="str"/>
      <x:c r="D171" s="32" t="str"/>
      <x:c r="E171" s="32" t="str"/>
      <x:c r="F171" s="32" t="str"/>
      <x:c r="G171" s="32" t="str"/>
      <x:c r="H171" s="32" t="str"/>
      <x:c r="I171" s="32" t="str"/>
      <x:c r="J171" s="32" t="str"/>
      <x:c r="K171" s="32" t="str"/>
      <x:c r="L171" s="32" t="str">
        <x:f>IF(OR(H171="",I171="",J171="",K171=""),"",ROUND(H171*0.25+I171*0.25+J171*0.30+K171*0.20,2))</x:f>
      </x:c>
      <x:c r="M171" s="32" t="str">
        <x:f>IF(L171="","",IF(L171&gt;=4.2,"Сильное преимущество",IF(L171&gt;=3.4,"Потенциальное преимущество",IF(L171&gt;=2.5,"Слабое преимущество","Не считать преимуществом"))))</x:f>
      </x:c>
      <x:c r="N171" s="32" t="str"/>
    </x:row>
    <x:row r="172">
      <x:c r="A172" s="32" t="str">
        <x:v>A166</x:v>
      </x:c>
      <x:c r="B172" s="32" t="str"/>
      <x:c r="C172" s="32" t="str"/>
      <x:c r="D172" s="32" t="str"/>
      <x:c r="E172" s="32" t="str"/>
      <x:c r="F172" s="32" t="str"/>
      <x:c r="G172" s="32" t="str"/>
      <x:c r="H172" s="32" t="str"/>
      <x:c r="I172" s="32" t="str"/>
      <x:c r="J172" s="32" t="str"/>
      <x:c r="K172" s="32" t="str"/>
      <x:c r="L172" s="32" t="str">
        <x:f>IF(OR(H172="",I172="",J172="",K172=""),"",ROUND(H172*0.25+I172*0.25+J172*0.30+K172*0.20,2))</x:f>
      </x:c>
      <x:c r="M172" s="32" t="str">
        <x:f>IF(L172="","",IF(L172&gt;=4.2,"Сильное преимущество",IF(L172&gt;=3.4,"Потенциальное преимущество",IF(L172&gt;=2.5,"Слабое преимущество","Не считать преимуществом"))))</x:f>
      </x:c>
      <x:c r="N172" s="32" t="str"/>
    </x:row>
    <x:row r="173">
      <x:c r="A173" s="32" t="str">
        <x:v>A167</x:v>
      </x:c>
      <x:c r="B173" s="32" t="str"/>
      <x:c r="C173" s="32" t="str"/>
      <x:c r="D173" s="32" t="str"/>
      <x:c r="E173" s="32" t="str"/>
      <x:c r="F173" s="32" t="str"/>
      <x:c r="G173" s="32" t="str"/>
      <x:c r="H173" s="32" t="str"/>
      <x:c r="I173" s="32" t="str"/>
      <x:c r="J173" s="32" t="str"/>
      <x:c r="K173" s="32" t="str"/>
      <x:c r="L173" s="32" t="str">
        <x:f>IF(OR(H173="",I173="",J173="",K173=""),"",ROUND(H173*0.25+I173*0.25+J173*0.30+K173*0.20,2))</x:f>
      </x:c>
      <x:c r="M173" s="32" t="str">
        <x:f>IF(L173="","",IF(L173&gt;=4.2,"Сильное преимущество",IF(L173&gt;=3.4,"Потенциальное преимущество",IF(L173&gt;=2.5,"Слабое преимущество","Не считать преимуществом"))))</x:f>
      </x:c>
      <x:c r="N173" s="32" t="str"/>
    </x:row>
    <x:row r="174">
      <x:c r="A174" s="32" t="str">
        <x:v>A168</x:v>
      </x:c>
      <x:c r="B174" s="32" t="str"/>
      <x:c r="C174" s="32" t="str"/>
      <x:c r="D174" s="32" t="str"/>
      <x:c r="E174" s="32" t="str"/>
      <x:c r="F174" s="32" t="str"/>
      <x:c r="G174" s="32" t="str"/>
      <x:c r="H174" s="32" t="str"/>
      <x:c r="I174" s="32" t="str"/>
      <x:c r="J174" s="32" t="str"/>
      <x:c r="K174" s="32" t="str"/>
      <x:c r="L174" s="32" t="str">
        <x:f>IF(OR(H174="",I174="",J174="",K174=""),"",ROUND(H174*0.25+I174*0.25+J174*0.30+K174*0.20,2))</x:f>
      </x:c>
      <x:c r="M174" s="32" t="str">
        <x:f>IF(L174="","",IF(L174&gt;=4.2,"Сильное преимущество",IF(L174&gt;=3.4,"Потенциальное преимущество",IF(L174&gt;=2.5,"Слабое преимущество","Не считать преимуществом"))))</x:f>
      </x:c>
      <x:c r="N174" s="32" t="str"/>
    </x:row>
    <x:row r="175">
      <x:c r="A175" s="32" t="str">
        <x:v>A169</x:v>
      </x:c>
      <x:c r="B175" s="32" t="str"/>
      <x:c r="C175" s="32" t="str"/>
      <x:c r="D175" s="32" t="str"/>
      <x:c r="E175" s="32" t="str"/>
      <x:c r="F175" s="32" t="str"/>
      <x:c r="G175" s="32" t="str"/>
      <x:c r="H175" s="32" t="str"/>
      <x:c r="I175" s="32" t="str"/>
      <x:c r="J175" s="32" t="str"/>
      <x:c r="K175" s="32" t="str"/>
      <x:c r="L175" s="32" t="str">
        <x:f>IF(OR(H175="",I175="",J175="",K175=""),"",ROUND(H175*0.25+I175*0.25+J175*0.30+K175*0.20,2))</x:f>
      </x:c>
      <x:c r="M175" s="32" t="str">
        <x:f>IF(L175="","",IF(L175&gt;=4.2,"Сильное преимущество",IF(L175&gt;=3.4,"Потенциальное преимущество",IF(L175&gt;=2.5,"Слабое преимущество","Не считать преимуществом"))))</x:f>
      </x:c>
      <x:c r="N175" s="32" t="str"/>
    </x:row>
    <x:row r="176">
      <x:c r="A176" s="32" t="str">
        <x:v>A170</x:v>
      </x:c>
      <x:c r="B176" s="32" t="str"/>
      <x:c r="C176" s="32" t="str"/>
      <x:c r="D176" s="32" t="str"/>
      <x:c r="E176" s="32" t="str"/>
      <x:c r="F176" s="32" t="str"/>
      <x:c r="G176" s="32" t="str"/>
      <x:c r="H176" s="32" t="str"/>
      <x:c r="I176" s="32" t="str"/>
      <x:c r="J176" s="32" t="str"/>
      <x:c r="K176" s="32" t="str"/>
      <x:c r="L176" s="32" t="str">
        <x:f>IF(OR(H176="",I176="",J176="",K176=""),"",ROUND(H176*0.25+I176*0.25+J176*0.30+K176*0.20,2))</x:f>
      </x:c>
      <x:c r="M176" s="32" t="str">
        <x:f>IF(L176="","",IF(L176&gt;=4.2,"Сильное преимущество",IF(L176&gt;=3.4,"Потенциальное преимущество",IF(L176&gt;=2.5,"Слабое преимущество","Не считать преимуществом"))))</x:f>
      </x:c>
      <x:c r="N176" s="32" t="str"/>
    </x:row>
    <x:row r="177">
      <x:c r="A177" s="32" t="str">
        <x:v>A171</x:v>
      </x:c>
      <x:c r="B177" s="32" t="str"/>
      <x:c r="C177" s="32" t="str"/>
      <x:c r="D177" s="32" t="str"/>
      <x:c r="E177" s="32" t="str"/>
      <x:c r="F177" s="32" t="str"/>
      <x:c r="G177" s="32" t="str"/>
      <x:c r="H177" s="32" t="str"/>
      <x:c r="I177" s="32" t="str"/>
      <x:c r="J177" s="32" t="str"/>
      <x:c r="K177" s="32" t="str"/>
      <x:c r="L177" s="32" t="str">
        <x:f>IF(OR(H177="",I177="",J177="",K177=""),"",ROUND(H177*0.25+I177*0.25+J177*0.30+K177*0.20,2))</x:f>
      </x:c>
      <x:c r="M177" s="32" t="str">
        <x:f>IF(L177="","",IF(L177&gt;=4.2,"Сильное преимущество",IF(L177&gt;=3.4,"Потенциальное преимущество",IF(L177&gt;=2.5,"Слабое преимущество","Не считать преимуществом"))))</x:f>
      </x:c>
      <x:c r="N177" s="32" t="str"/>
    </x:row>
    <x:row r="178">
      <x:c r="A178" s="32" t="str">
        <x:v>A172</x:v>
      </x:c>
      <x:c r="B178" s="32" t="str"/>
      <x:c r="C178" s="32" t="str"/>
      <x:c r="D178" s="32" t="str"/>
      <x:c r="E178" s="32" t="str"/>
      <x:c r="F178" s="32" t="str"/>
      <x:c r="G178" s="32" t="str"/>
      <x:c r="H178" s="32" t="str"/>
      <x:c r="I178" s="32" t="str"/>
      <x:c r="J178" s="32" t="str"/>
      <x:c r="K178" s="32" t="str"/>
      <x:c r="L178" s="32" t="str">
        <x:f>IF(OR(H178="",I178="",J178="",K178=""),"",ROUND(H178*0.25+I178*0.25+J178*0.30+K178*0.20,2))</x:f>
      </x:c>
      <x:c r="M178" s="32" t="str">
        <x:f>IF(L178="","",IF(L178&gt;=4.2,"Сильное преимущество",IF(L178&gt;=3.4,"Потенциальное преимущество",IF(L178&gt;=2.5,"Слабое преимущество","Не считать преимуществом"))))</x:f>
      </x:c>
      <x:c r="N178" s="32" t="str"/>
    </x:row>
    <x:row r="179">
      <x:c r="A179" s="32" t="str">
        <x:v>A173</x:v>
      </x:c>
      <x:c r="B179" s="32" t="str"/>
      <x:c r="C179" s="32" t="str"/>
      <x:c r="D179" s="32" t="str"/>
      <x:c r="E179" s="32" t="str"/>
      <x:c r="F179" s="32" t="str"/>
      <x:c r="G179" s="32" t="str"/>
      <x:c r="H179" s="32" t="str"/>
      <x:c r="I179" s="32" t="str"/>
      <x:c r="J179" s="32" t="str"/>
      <x:c r="K179" s="32" t="str"/>
      <x:c r="L179" s="32" t="str">
        <x:f>IF(OR(H179="",I179="",J179="",K179=""),"",ROUND(H179*0.25+I179*0.25+J179*0.30+K179*0.20,2))</x:f>
      </x:c>
      <x:c r="M179" s="32" t="str">
        <x:f>IF(L179="","",IF(L179&gt;=4.2,"Сильное преимущество",IF(L179&gt;=3.4,"Потенциальное преимущество",IF(L179&gt;=2.5,"Слабое преимущество","Не считать преимуществом"))))</x:f>
      </x:c>
      <x:c r="N179" s="32" t="str"/>
    </x:row>
    <x:row r="180">
      <x:c r="A180" s="32" t="str">
        <x:v>A174</x:v>
      </x:c>
      <x:c r="B180" s="32" t="str"/>
      <x:c r="C180" s="32" t="str"/>
      <x:c r="D180" s="32" t="str"/>
      <x:c r="E180" s="32" t="str"/>
      <x:c r="F180" s="32" t="str"/>
      <x:c r="G180" s="32" t="str"/>
      <x:c r="H180" s="32" t="str"/>
      <x:c r="I180" s="32" t="str"/>
      <x:c r="J180" s="32" t="str"/>
      <x:c r="K180" s="32" t="str"/>
      <x:c r="L180" s="32" t="str">
        <x:f>IF(OR(H180="",I180="",J180="",K180=""),"",ROUND(H180*0.25+I180*0.25+J180*0.30+K180*0.20,2))</x:f>
      </x:c>
      <x:c r="M180" s="32" t="str">
        <x:f>IF(L180="","",IF(L180&gt;=4.2,"Сильное преимущество",IF(L180&gt;=3.4,"Потенциальное преимущество",IF(L180&gt;=2.5,"Слабое преимущество","Не считать преимуществом"))))</x:f>
      </x:c>
      <x:c r="N180" s="32" t="str"/>
    </x:row>
    <x:row r="181">
      <x:c r="A181" s="32" t="str">
        <x:v>A175</x:v>
      </x:c>
      <x:c r="B181" s="32" t="str"/>
      <x:c r="C181" s="32" t="str"/>
      <x:c r="D181" s="32" t="str"/>
      <x:c r="E181" s="32" t="str"/>
      <x:c r="F181" s="32" t="str"/>
      <x:c r="G181" s="32" t="str"/>
      <x:c r="H181" s="32" t="str"/>
      <x:c r="I181" s="32" t="str"/>
      <x:c r="J181" s="32" t="str"/>
      <x:c r="K181" s="32" t="str"/>
      <x:c r="L181" s="32" t="str">
        <x:f>IF(OR(H181="",I181="",J181="",K181=""),"",ROUND(H181*0.25+I181*0.25+J181*0.30+K181*0.20,2))</x:f>
      </x:c>
      <x:c r="M181" s="32" t="str">
        <x:f>IF(L181="","",IF(L181&gt;=4.2,"Сильное преимущество",IF(L181&gt;=3.4,"Потенциальное преимущество",IF(L181&gt;=2.5,"Слабое преимущество","Не считать преимуществом"))))</x:f>
      </x:c>
      <x:c r="N181" s="32" t="str"/>
    </x:row>
    <x:row r="182">
      <x:c r="A182" s="32" t="str">
        <x:v>A176</x:v>
      </x:c>
      <x:c r="B182" s="32" t="str"/>
      <x:c r="C182" s="32" t="str"/>
      <x:c r="D182" s="32" t="str"/>
      <x:c r="E182" s="32" t="str"/>
      <x:c r="F182" s="32" t="str"/>
      <x:c r="G182" s="32" t="str"/>
      <x:c r="H182" s="32" t="str"/>
      <x:c r="I182" s="32" t="str"/>
      <x:c r="J182" s="32" t="str"/>
      <x:c r="K182" s="32" t="str"/>
      <x:c r="L182" s="32" t="str">
        <x:f>IF(OR(H182="",I182="",J182="",K182=""),"",ROUND(H182*0.25+I182*0.25+J182*0.30+K182*0.20,2))</x:f>
      </x:c>
      <x:c r="M182" s="32" t="str">
        <x:f>IF(L182="","",IF(L182&gt;=4.2,"Сильное преимущество",IF(L182&gt;=3.4,"Потенциальное преимущество",IF(L182&gt;=2.5,"Слабое преимущество","Не считать преимуществом"))))</x:f>
      </x:c>
      <x:c r="N182" s="32" t="str"/>
    </x:row>
    <x:row r="183">
      <x:c r="A183" s="32" t="str">
        <x:v>A177</x:v>
      </x:c>
      <x:c r="B183" s="32" t="str"/>
      <x:c r="C183" s="32" t="str"/>
      <x:c r="D183" s="32" t="str"/>
      <x:c r="E183" s="32" t="str"/>
      <x:c r="F183" s="32" t="str"/>
      <x:c r="G183" s="32" t="str"/>
      <x:c r="H183" s="32" t="str"/>
      <x:c r="I183" s="32" t="str"/>
      <x:c r="J183" s="32" t="str"/>
      <x:c r="K183" s="32" t="str"/>
      <x:c r="L183" s="32" t="str">
        <x:f>IF(OR(H183="",I183="",J183="",K183=""),"",ROUND(H183*0.25+I183*0.25+J183*0.30+K183*0.20,2))</x:f>
      </x:c>
      <x:c r="M183" s="32" t="str">
        <x:f>IF(L183="","",IF(L183&gt;=4.2,"Сильное преимущество",IF(L183&gt;=3.4,"Потенциальное преимущество",IF(L183&gt;=2.5,"Слабое преимущество","Не считать преимуществом"))))</x:f>
      </x:c>
      <x:c r="N183" s="32" t="str"/>
    </x:row>
    <x:row r="184">
      <x:c r="A184" s="32" t="str">
        <x:v>A178</x:v>
      </x:c>
      <x:c r="B184" s="32" t="str"/>
      <x:c r="C184" s="32" t="str"/>
      <x:c r="D184" s="32" t="str"/>
      <x:c r="E184" s="32" t="str"/>
      <x:c r="F184" s="32" t="str"/>
      <x:c r="G184" s="32" t="str"/>
      <x:c r="H184" s="32" t="str"/>
      <x:c r="I184" s="32" t="str"/>
      <x:c r="J184" s="32" t="str"/>
      <x:c r="K184" s="32" t="str"/>
      <x:c r="L184" s="32" t="str">
        <x:f>IF(OR(H184="",I184="",J184="",K184=""),"",ROUND(H184*0.25+I184*0.25+J184*0.30+K184*0.20,2))</x:f>
      </x:c>
      <x:c r="M184" s="32" t="str">
        <x:f>IF(L184="","",IF(L184&gt;=4.2,"Сильное преимущество",IF(L184&gt;=3.4,"Потенциальное преимущество",IF(L184&gt;=2.5,"Слабое преимущество","Не считать преимуществом"))))</x:f>
      </x:c>
      <x:c r="N184" s="32" t="str"/>
    </x:row>
    <x:row r="185">
      <x:c r="A185" s="32" t="str">
        <x:v>A179</x:v>
      </x:c>
      <x:c r="B185" s="32" t="str"/>
      <x:c r="C185" s="32" t="str"/>
      <x:c r="D185" s="32" t="str"/>
      <x:c r="E185" s="32" t="str"/>
      <x:c r="F185" s="32" t="str"/>
      <x:c r="G185" s="32" t="str"/>
      <x:c r="H185" s="32" t="str"/>
      <x:c r="I185" s="32" t="str"/>
      <x:c r="J185" s="32" t="str"/>
      <x:c r="K185" s="32" t="str"/>
      <x:c r="L185" s="32" t="str">
        <x:f>IF(OR(H185="",I185="",J185="",K185=""),"",ROUND(H185*0.25+I185*0.25+J185*0.30+K185*0.20,2))</x:f>
      </x:c>
      <x:c r="M185" s="32" t="str">
        <x:f>IF(L185="","",IF(L185&gt;=4.2,"Сильное преимущество",IF(L185&gt;=3.4,"Потенциальное преимущество",IF(L185&gt;=2.5,"Слабое преимущество","Не считать преимуществом"))))</x:f>
      </x:c>
      <x:c r="N185" s="32" t="str"/>
    </x:row>
    <x:row r="186">
      <x:c r="A186" s="32" t="str">
        <x:v>A180</x:v>
      </x:c>
      <x:c r="B186" s="32" t="str"/>
      <x:c r="C186" s="32" t="str"/>
      <x:c r="D186" s="32" t="str"/>
      <x:c r="E186" s="32" t="str"/>
      <x:c r="F186" s="32" t="str"/>
      <x:c r="G186" s="32" t="str"/>
      <x:c r="H186" s="32" t="str"/>
      <x:c r="I186" s="32" t="str"/>
      <x:c r="J186" s="32" t="str"/>
      <x:c r="K186" s="32" t="str"/>
      <x:c r="L186" s="32" t="str">
        <x:f>IF(OR(H186="",I186="",J186="",K186=""),"",ROUND(H186*0.25+I186*0.25+J186*0.30+K186*0.20,2))</x:f>
      </x:c>
      <x:c r="M186" s="32" t="str">
        <x:f>IF(L186="","",IF(L186&gt;=4.2,"Сильное преимущество",IF(L186&gt;=3.4,"Потенциальное преимущество",IF(L186&gt;=2.5,"Слабое преимущество","Не считать преимуществом"))))</x:f>
      </x:c>
      <x:c r="N186" s="32" t="str"/>
    </x:row>
    <x:row r="187">
      <x:c r="A187" s="32" t="str">
        <x:v>A181</x:v>
      </x:c>
      <x:c r="B187" s="32" t="str"/>
      <x:c r="C187" s="32" t="str"/>
      <x:c r="D187" s="32" t="str"/>
      <x:c r="E187" s="32" t="str"/>
      <x:c r="F187" s="32" t="str"/>
      <x:c r="G187" s="32" t="str"/>
      <x:c r="H187" s="32" t="str"/>
      <x:c r="I187" s="32" t="str"/>
      <x:c r="J187" s="32" t="str"/>
      <x:c r="K187" s="32" t="str"/>
      <x:c r="L187" s="32" t="str">
        <x:f>IF(OR(H187="",I187="",J187="",K187=""),"",ROUND(H187*0.25+I187*0.25+J187*0.30+K187*0.20,2))</x:f>
      </x:c>
      <x:c r="M187" s="32" t="str">
        <x:f>IF(L187="","",IF(L187&gt;=4.2,"Сильное преимущество",IF(L187&gt;=3.4,"Потенциальное преимущество",IF(L187&gt;=2.5,"Слабое преимущество","Не считать преимуществом"))))</x:f>
      </x:c>
      <x:c r="N187" s="32" t="str"/>
    </x:row>
    <x:row r="188">
      <x:c r="A188" s="32" t="str">
        <x:v>A182</x:v>
      </x:c>
      <x:c r="B188" s="32" t="str"/>
      <x:c r="C188" s="32" t="str"/>
      <x:c r="D188" s="32" t="str"/>
      <x:c r="E188" s="32" t="str"/>
      <x:c r="F188" s="32" t="str"/>
      <x:c r="G188" s="32" t="str"/>
      <x:c r="H188" s="32" t="str"/>
      <x:c r="I188" s="32" t="str"/>
      <x:c r="J188" s="32" t="str"/>
      <x:c r="K188" s="32" t="str"/>
      <x:c r="L188" s="32" t="str">
        <x:f>IF(OR(H188="",I188="",J188="",K188=""),"",ROUND(H188*0.25+I188*0.25+J188*0.30+K188*0.20,2))</x:f>
      </x:c>
      <x:c r="M188" s="32" t="str">
        <x:f>IF(L188="","",IF(L188&gt;=4.2,"Сильное преимущество",IF(L188&gt;=3.4,"Потенциальное преимущество",IF(L188&gt;=2.5,"Слабое преимущество","Не считать преимуществом"))))</x:f>
      </x:c>
      <x:c r="N188" s="32" t="str"/>
    </x:row>
    <x:row r="189">
      <x:c r="A189" s="32" t="str">
        <x:v>A183</x:v>
      </x:c>
      <x:c r="B189" s="32" t="str"/>
      <x:c r="C189" s="32" t="str"/>
      <x:c r="D189" s="32" t="str"/>
      <x:c r="E189" s="32" t="str"/>
      <x:c r="F189" s="32" t="str"/>
      <x:c r="G189" s="32" t="str"/>
      <x:c r="H189" s="32" t="str"/>
      <x:c r="I189" s="32" t="str"/>
      <x:c r="J189" s="32" t="str"/>
      <x:c r="K189" s="32" t="str"/>
      <x:c r="L189" s="32" t="str">
        <x:f>IF(OR(H189="",I189="",J189="",K189=""),"",ROUND(H189*0.25+I189*0.25+J189*0.30+K189*0.20,2))</x:f>
      </x:c>
      <x:c r="M189" s="32" t="str">
        <x:f>IF(L189="","",IF(L189&gt;=4.2,"Сильное преимущество",IF(L189&gt;=3.4,"Потенциальное преимущество",IF(L189&gt;=2.5,"Слабое преимущество","Не считать преимуществом"))))</x:f>
      </x:c>
      <x:c r="N189" s="32" t="str"/>
    </x:row>
    <x:row r="190">
      <x:c r="A190" s="32" t="str">
        <x:v>A184</x:v>
      </x:c>
      <x:c r="B190" s="32" t="str"/>
      <x:c r="C190" s="32" t="str"/>
      <x:c r="D190" s="32" t="str"/>
      <x:c r="E190" s="32" t="str"/>
      <x:c r="F190" s="32" t="str"/>
      <x:c r="G190" s="32" t="str"/>
      <x:c r="H190" s="32" t="str"/>
      <x:c r="I190" s="32" t="str"/>
      <x:c r="J190" s="32" t="str"/>
      <x:c r="K190" s="32" t="str"/>
      <x:c r="L190" s="32" t="str">
        <x:f>IF(OR(H190="",I190="",J190="",K190=""),"",ROUND(H190*0.25+I190*0.25+J190*0.30+K190*0.20,2))</x:f>
      </x:c>
      <x:c r="M190" s="32" t="str">
        <x:f>IF(L190="","",IF(L190&gt;=4.2,"Сильное преимущество",IF(L190&gt;=3.4,"Потенциальное преимущество",IF(L190&gt;=2.5,"Слабое преимущество","Не считать преимуществом"))))</x:f>
      </x:c>
      <x:c r="N190" s="32" t="str"/>
    </x:row>
    <x:row r="191">
      <x:c r="A191" s="32" t="str">
        <x:v>A185</x:v>
      </x:c>
      <x:c r="B191" s="32" t="str"/>
      <x:c r="C191" s="32" t="str"/>
      <x:c r="D191" s="32" t="str"/>
      <x:c r="E191" s="32" t="str"/>
      <x:c r="F191" s="32" t="str"/>
      <x:c r="G191" s="32" t="str"/>
      <x:c r="H191" s="32" t="str"/>
      <x:c r="I191" s="32" t="str"/>
      <x:c r="J191" s="32" t="str"/>
      <x:c r="K191" s="32" t="str"/>
      <x:c r="L191" s="32" t="str">
        <x:f>IF(OR(H191="",I191="",J191="",K191=""),"",ROUND(H191*0.25+I191*0.25+J191*0.30+K191*0.20,2))</x:f>
      </x:c>
      <x:c r="M191" s="32" t="str">
        <x:f>IF(L191="","",IF(L191&gt;=4.2,"Сильное преимущество",IF(L191&gt;=3.4,"Потенциальное преимущество",IF(L191&gt;=2.5,"Слабое преимущество","Не считать преимуществом"))))</x:f>
      </x:c>
      <x:c r="N191" s="32" t="str"/>
    </x:row>
    <x:row r="192">
      <x:c r="A192" s="32" t="str">
        <x:v>A186</x:v>
      </x:c>
      <x:c r="B192" s="32" t="str"/>
      <x:c r="C192" s="32" t="str"/>
      <x:c r="D192" s="32" t="str"/>
      <x:c r="E192" s="32" t="str"/>
      <x:c r="F192" s="32" t="str"/>
      <x:c r="G192" s="32" t="str"/>
      <x:c r="H192" s="32" t="str"/>
      <x:c r="I192" s="32" t="str"/>
      <x:c r="J192" s="32" t="str"/>
      <x:c r="K192" s="32" t="str"/>
      <x:c r="L192" s="32" t="str">
        <x:f>IF(OR(H192="",I192="",J192="",K192=""),"",ROUND(H192*0.25+I192*0.25+J192*0.30+K192*0.20,2))</x:f>
      </x:c>
      <x:c r="M192" s="32" t="str">
        <x:f>IF(L192="","",IF(L192&gt;=4.2,"Сильное преимущество",IF(L192&gt;=3.4,"Потенциальное преимущество",IF(L192&gt;=2.5,"Слабое преимущество","Не считать преимуществом"))))</x:f>
      </x:c>
      <x:c r="N192" s="32" t="str"/>
    </x:row>
    <x:row r="193">
      <x:c r="A193" s="32" t="str">
        <x:v>A187</x:v>
      </x:c>
      <x:c r="B193" s="32" t="str"/>
      <x:c r="C193" s="32" t="str"/>
      <x:c r="D193" s="32" t="str"/>
      <x:c r="E193" s="32" t="str"/>
      <x:c r="F193" s="32" t="str"/>
      <x:c r="G193" s="32" t="str"/>
      <x:c r="H193" s="32" t="str"/>
      <x:c r="I193" s="32" t="str"/>
      <x:c r="J193" s="32" t="str"/>
      <x:c r="K193" s="32" t="str"/>
      <x:c r="L193" s="32" t="str">
        <x:f>IF(OR(H193="",I193="",J193="",K193=""),"",ROUND(H193*0.25+I193*0.25+J193*0.30+K193*0.20,2))</x:f>
      </x:c>
      <x:c r="M193" s="32" t="str">
        <x:f>IF(L193="","",IF(L193&gt;=4.2,"Сильное преимущество",IF(L193&gt;=3.4,"Потенциальное преимущество",IF(L193&gt;=2.5,"Слабое преимущество","Не считать преимуществом"))))</x:f>
      </x:c>
      <x:c r="N193" s="32" t="str"/>
    </x:row>
    <x:row r="194">
      <x:c r="A194" s="32" t="str">
        <x:v>A188</x:v>
      </x:c>
      <x:c r="B194" s="32" t="str"/>
      <x:c r="C194" s="32" t="str"/>
      <x:c r="D194" s="32" t="str"/>
      <x:c r="E194" s="32" t="str"/>
      <x:c r="F194" s="32" t="str"/>
      <x:c r="G194" s="32" t="str"/>
      <x:c r="H194" s="32" t="str"/>
      <x:c r="I194" s="32" t="str"/>
      <x:c r="J194" s="32" t="str"/>
      <x:c r="K194" s="32" t="str"/>
      <x:c r="L194" s="32" t="str">
        <x:f>IF(OR(H194="",I194="",J194="",K194=""),"",ROUND(H194*0.25+I194*0.25+J194*0.30+K194*0.20,2))</x:f>
      </x:c>
      <x:c r="M194" s="32" t="str">
        <x:f>IF(L194="","",IF(L194&gt;=4.2,"Сильное преимущество",IF(L194&gt;=3.4,"Потенциальное преимущество",IF(L194&gt;=2.5,"Слабое преимущество","Не считать преимуществом"))))</x:f>
      </x:c>
      <x:c r="N194" s="32" t="str"/>
    </x:row>
    <x:row r="195">
      <x:c r="A195" s="32" t="str">
        <x:v>A189</x:v>
      </x:c>
      <x:c r="B195" s="32" t="str"/>
      <x:c r="C195" s="32" t="str"/>
      <x:c r="D195" s="32" t="str"/>
      <x:c r="E195" s="32" t="str"/>
      <x:c r="F195" s="32" t="str"/>
      <x:c r="G195" s="32" t="str"/>
      <x:c r="H195" s="32" t="str"/>
      <x:c r="I195" s="32" t="str"/>
      <x:c r="J195" s="32" t="str"/>
      <x:c r="K195" s="32" t="str"/>
      <x:c r="L195" s="32" t="str">
        <x:f>IF(OR(H195="",I195="",J195="",K195=""),"",ROUND(H195*0.25+I195*0.25+J195*0.30+K195*0.20,2))</x:f>
      </x:c>
      <x:c r="M195" s="32" t="str">
        <x:f>IF(L195="","",IF(L195&gt;=4.2,"Сильное преимущество",IF(L195&gt;=3.4,"Потенциальное преимущество",IF(L195&gt;=2.5,"Слабое преимущество","Не считать преимуществом"))))</x:f>
      </x:c>
      <x:c r="N195" s="32" t="str"/>
    </x:row>
    <x:row r="196">
      <x:c r="A196" s="32" t="str">
        <x:v>A190</x:v>
      </x:c>
      <x:c r="B196" s="32" t="str"/>
      <x:c r="C196" s="32" t="str"/>
      <x:c r="D196" s="32" t="str"/>
      <x:c r="E196" s="32" t="str"/>
      <x:c r="F196" s="32" t="str"/>
      <x:c r="G196" s="32" t="str"/>
      <x:c r="H196" s="32" t="str"/>
      <x:c r="I196" s="32" t="str"/>
      <x:c r="J196" s="32" t="str"/>
      <x:c r="K196" s="32" t="str"/>
      <x:c r="L196" s="32" t="str">
        <x:f>IF(OR(H196="",I196="",J196="",K196=""),"",ROUND(H196*0.25+I196*0.25+J196*0.30+K196*0.20,2))</x:f>
      </x:c>
      <x:c r="M196" s="32" t="str">
        <x:f>IF(L196="","",IF(L196&gt;=4.2,"Сильное преимущество",IF(L196&gt;=3.4,"Потенциальное преимущество",IF(L196&gt;=2.5,"Слабое преимущество","Не считать преимуществом"))))</x:f>
      </x:c>
      <x:c r="N196" s="32" t="str"/>
    </x:row>
    <x:row r="197">
      <x:c r="A197" s="32" t="str">
        <x:v>A191</x:v>
      </x:c>
      <x:c r="B197" s="32" t="str"/>
      <x:c r="C197" s="32" t="str"/>
      <x:c r="D197" s="32" t="str"/>
      <x:c r="E197" s="32" t="str"/>
      <x:c r="F197" s="32" t="str"/>
      <x:c r="G197" s="32" t="str"/>
      <x:c r="H197" s="32" t="str"/>
      <x:c r="I197" s="32" t="str"/>
      <x:c r="J197" s="32" t="str"/>
      <x:c r="K197" s="32" t="str"/>
      <x:c r="L197" s="32" t="str">
        <x:f>IF(OR(H197="",I197="",J197="",K197=""),"",ROUND(H197*0.25+I197*0.25+J197*0.30+K197*0.20,2))</x:f>
      </x:c>
      <x:c r="M197" s="32" t="str">
        <x:f>IF(L197="","",IF(L197&gt;=4.2,"Сильное преимущество",IF(L197&gt;=3.4,"Потенциальное преимущество",IF(L197&gt;=2.5,"Слабое преимущество","Не считать преимуществом"))))</x:f>
      </x:c>
      <x:c r="N197" s="32" t="str"/>
    </x:row>
    <x:row r="198">
      <x:c r="A198" s="32" t="str">
        <x:v>A192</x:v>
      </x:c>
      <x:c r="B198" s="32" t="str"/>
      <x:c r="C198" s="32" t="str"/>
      <x:c r="D198" s="32" t="str"/>
      <x:c r="E198" s="32" t="str"/>
      <x:c r="F198" s="32" t="str"/>
      <x:c r="G198" s="32" t="str"/>
      <x:c r="H198" s="32" t="str"/>
      <x:c r="I198" s="32" t="str"/>
      <x:c r="J198" s="32" t="str"/>
      <x:c r="K198" s="32" t="str"/>
      <x:c r="L198" s="32" t="str">
        <x:f>IF(OR(H198="",I198="",J198="",K198=""),"",ROUND(H198*0.25+I198*0.25+J198*0.30+K198*0.20,2))</x:f>
      </x:c>
      <x:c r="M198" s="32" t="str">
        <x:f>IF(L198="","",IF(L198&gt;=4.2,"Сильное преимущество",IF(L198&gt;=3.4,"Потенциальное преимущество",IF(L198&gt;=2.5,"Слабое преимущество","Не считать преимуществом"))))</x:f>
      </x:c>
      <x:c r="N198" s="32" t="str"/>
    </x:row>
    <x:row r="199">
      <x:c r="A199" s="32" t="str">
        <x:v>A193</x:v>
      </x:c>
      <x:c r="B199" s="32" t="str"/>
      <x:c r="C199" s="32" t="str"/>
      <x:c r="D199" s="32" t="str"/>
      <x:c r="E199" s="32" t="str"/>
      <x:c r="F199" s="32" t="str"/>
      <x:c r="G199" s="32" t="str"/>
      <x:c r="H199" s="32" t="str"/>
      <x:c r="I199" s="32" t="str"/>
      <x:c r="J199" s="32" t="str"/>
      <x:c r="K199" s="32" t="str"/>
      <x:c r="L199" s="32" t="str">
        <x:f>IF(OR(H199="",I199="",J199="",K199=""),"",ROUND(H199*0.25+I199*0.25+J199*0.30+K199*0.20,2))</x:f>
      </x:c>
      <x:c r="M199" s="32" t="str">
        <x:f>IF(L199="","",IF(L199&gt;=4.2,"Сильное преимущество",IF(L199&gt;=3.4,"Потенциальное преимущество",IF(L199&gt;=2.5,"Слабое преимущество","Не считать преимуществом"))))</x:f>
      </x:c>
      <x:c r="N199" s="32" t="str"/>
    </x:row>
    <x:row r="200">
      <x:c r="A200" s="32" t="str">
        <x:v>A194</x:v>
      </x:c>
      <x:c r="B200" s="32" t="str"/>
      <x:c r="C200" s="32" t="str"/>
      <x:c r="D200" s="32" t="str"/>
      <x:c r="E200" s="32" t="str"/>
      <x:c r="F200" s="32" t="str"/>
      <x:c r="G200" s="32" t="str"/>
      <x:c r="H200" s="32" t="str"/>
      <x:c r="I200" s="32" t="str"/>
      <x:c r="J200" s="32" t="str"/>
      <x:c r="K200" s="32" t="str"/>
      <x:c r="L200" s="32" t="str">
        <x:f>IF(OR(H200="",I200="",J200="",K200=""),"",ROUND(H200*0.25+I200*0.25+J200*0.30+K200*0.20,2))</x:f>
      </x:c>
      <x:c r="M200" s="32" t="str">
        <x:f>IF(L200="","",IF(L200&gt;=4.2,"Сильное преимущество",IF(L200&gt;=3.4,"Потенциальное преимущество",IF(L200&gt;=2.5,"Слабое преимущество","Не считать преимуществом"))))</x:f>
      </x:c>
      <x:c r="N200" s="32" t="str"/>
    </x:row>
    <x:row r="201">
      <x:c r="A201" s="32" t="str">
        <x:v>A195</x:v>
      </x:c>
      <x:c r="B201" s="32" t="str"/>
      <x:c r="C201" s="32" t="str"/>
      <x:c r="D201" s="32" t="str"/>
      <x:c r="E201" s="32" t="str"/>
      <x:c r="F201" s="32" t="str"/>
      <x:c r="G201" s="32" t="str"/>
      <x:c r="H201" s="32" t="str"/>
      <x:c r="I201" s="32" t="str"/>
      <x:c r="J201" s="32" t="str"/>
      <x:c r="K201" s="32" t="str"/>
      <x:c r="L201" s="32" t="str">
        <x:f>IF(OR(H201="",I201="",J201="",K201=""),"",ROUND(H201*0.25+I201*0.25+J201*0.30+K201*0.20,2))</x:f>
      </x:c>
      <x:c r="M201" s="32" t="str">
        <x:f>IF(L201="","",IF(L201&gt;=4.2,"Сильное преимущество",IF(L201&gt;=3.4,"Потенциальное преимущество",IF(L201&gt;=2.5,"Слабое преимущество","Не считать преимуществом"))))</x:f>
      </x:c>
      <x:c r="N201" s="32" t="str"/>
    </x:row>
    <x:row r="202">
      <x:c r="A202" s="32" t="str">
        <x:v>A196</x:v>
      </x:c>
      <x:c r="B202" s="32" t="str"/>
      <x:c r="C202" s="32" t="str"/>
      <x:c r="D202" s="32" t="str"/>
      <x:c r="E202" s="32" t="str"/>
      <x:c r="F202" s="32" t="str"/>
      <x:c r="G202" s="32" t="str"/>
      <x:c r="H202" s="32" t="str"/>
      <x:c r="I202" s="32" t="str"/>
      <x:c r="J202" s="32" t="str"/>
      <x:c r="K202" s="32" t="str"/>
      <x:c r="L202" s="32" t="str">
        <x:f>IF(OR(H202="",I202="",J202="",K202=""),"",ROUND(H202*0.25+I202*0.25+J202*0.30+K202*0.20,2))</x:f>
      </x:c>
      <x:c r="M202" s="32" t="str">
        <x:f>IF(L202="","",IF(L202&gt;=4.2,"Сильное преимущество",IF(L202&gt;=3.4,"Потенциальное преимущество",IF(L202&gt;=2.5,"Слабое преимущество","Не считать преимуществом"))))</x:f>
      </x:c>
      <x:c r="N202" s="32" t="str"/>
    </x:row>
    <x:row r="203">
      <x:c r="A203" s="32" t="str">
        <x:v>A197</x:v>
      </x:c>
      <x:c r="B203" s="32" t="str"/>
      <x:c r="C203" s="32" t="str"/>
      <x:c r="D203" s="32" t="str"/>
      <x:c r="E203" s="32" t="str"/>
      <x:c r="F203" s="32" t="str"/>
      <x:c r="G203" s="32" t="str"/>
      <x:c r="H203" s="32" t="str"/>
      <x:c r="I203" s="32" t="str"/>
      <x:c r="J203" s="32" t="str"/>
      <x:c r="K203" s="32" t="str"/>
      <x:c r="L203" s="32" t="str">
        <x:f>IF(OR(H203="",I203="",J203="",K203=""),"",ROUND(H203*0.25+I203*0.25+J203*0.30+K203*0.20,2))</x:f>
      </x:c>
      <x:c r="M203" s="32" t="str">
        <x:f>IF(L203="","",IF(L203&gt;=4.2,"Сильное преимущество",IF(L203&gt;=3.4,"Потенциальное преимущество",IF(L203&gt;=2.5,"Слабое преимущество","Не считать преимуществом"))))</x:f>
      </x:c>
      <x:c r="N203" s="32" t="str"/>
    </x:row>
    <x:row r="204">
      <x:c r="A204" s="32" t="str">
        <x:v>A198</x:v>
      </x:c>
      <x:c r="B204" s="32" t="str"/>
      <x:c r="C204" s="32" t="str"/>
      <x:c r="D204" s="32" t="str"/>
      <x:c r="E204" s="32" t="str"/>
      <x:c r="F204" s="32" t="str"/>
      <x:c r="G204" s="32" t="str"/>
      <x:c r="H204" s="32" t="str"/>
      <x:c r="I204" s="32" t="str"/>
      <x:c r="J204" s="32" t="str"/>
      <x:c r="K204" s="32" t="str"/>
      <x:c r="L204" s="32" t="str">
        <x:f>IF(OR(H204="",I204="",J204="",K204=""),"",ROUND(H204*0.25+I204*0.25+J204*0.30+K204*0.20,2))</x:f>
      </x:c>
      <x:c r="M204" s="32" t="str">
        <x:f>IF(L204="","",IF(L204&gt;=4.2,"Сильное преимущество",IF(L204&gt;=3.4,"Потенциальное преимущество",IF(L204&gt;=2.5,"Слабое преимущество","Не считать преимуществом"))))</x:f>
      </x:c>
      <x:c r="N204" s="32" t="str"/>
    </x:row>
    <x:row r="205">
      <x:c r="A205" s="32" t="str">
        <x:v>A199</x:v>
      </x:c>
      <x:c r="B205" s="32" t="str"/>
      <x:c r="C205" s="32" t="str"/>
      <x:c r="D205" s="32" t="str"/>
      <x:c r="E205" s="32" t="str"/>
      <x:c r="F205" s="32" t="str"/>
      <x:c r="G205" s="32" t="str"/>
      <x:c r="H205" s="32" t="str"/>
      <x:c r="I205" s="32" t="str"/>
      <x:c r="J205" s="32" t="str"/>
      <x:c r="K205" s="32" t="str"/>
      <x:c r="L205" s="32" t="str">
        <x:f>IF(OR(H205="",I205="",J205="",K205=""),"",ROUND(H205*0.25+I205*0.25+J205*0.30+K205*0.20,2))</x:f>
      </x:c>
      <x:c r="M205" s="32" t="str">
        <x:f>IF(L205="","",IF(L205&gt;=4.2,"Сильное преимущество",IF(L205&gt;=3.4,"Потенциальное преимущество",IF(L205&gt;=2.5,"Слабое преимущество","Не считать преимуществом"))))</x:f>
      </x:c>
      <x:c r="N205" s="32" t="str"/>
    </x:row>
    <x:row r="206">
      <x:c r="A206" s="32" t="str">
        <x:v>A200</x:v>
      </x:c>
      <x:c r="B206" s="32" t="str"/>
      <x:c r="C206" s="32" t="str"/>
      <x:c r="D206" s="32" t="str"/>
      <x:c r="E206" s="32" t="str"/>
      <x:c r="F206" s="32" t="str"/>
      <x:c r="G206" s="32" t="str"/>
      <x:c r="H206" s="32" t="str"/>
      <x:c r="I206" s="32" t="str"/>
      <x:c r="J206" s="32" t="str"/>
      <x:c r="K206" s="32" t="str"/>
      <x:c r="L206" s="32" t="str">
        <x:f>IF(OR(H206="",I206="",J206="",K206=""),"",ROUND(H206*0.25+I206*0.25+J206*0.30+K206*0.20,2))</x:f>
      </x:c>
      <x:c r="M206" s="32" t="str">
        <x:f>IF(L206="","",IF(L206&gt;=4.2,"Сильное преимущество",IF(L206&gt;=3.4,"Потенциальное преимущество",IF(L206&gt;=2.5,"Слабое преимущество","Не считать преимуществом"))))</x:f>
      </x:c>
      <x:c r="N206" s="32" t="str"/>
    </x:row>
  </x:sheetData>
  <x:mergeCells>
    <x:mergeCell ref="A1:N1"/>
    <x:mergeCell ref="A2:N2"/>
  </x:mergeCells>
  <x:conditionalFormatting sqref="L7:L20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4">
    <x:dataValidation type="list" sqref="E7:E206">
      <x:formula1>"1. Базовая выгода,2. Родовой товар,3. Ожидаемый товар,4. Расширенный товар,5. Потенциальный товар"</x:formula1>
    </x:dataValidation>
    <x:dataValidation type="list" sqref="F7:F206">
      <x:formula1>"Обязательное,Линейное,Привлекательное,Безразличное,Обратное,Неясное"</x:formula1>
    </x:dataValidation>
    <x:dataValidation type="list" sqref="G7:G206">
      <x:formula1>"Функциональное,Экономическое,Интерфейсное,Сервисное,Доверительное,Данные и аналитика,Сетевой эффект,Интеграционное,Контентное"</x:formula1>
    </x:dataValidation>
    <x:dataValidation type="list" sqref="H7:K206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28544c82cd484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48" hidden="0" customWidth="1"/>
    <x:col min="6" max="6" width="22" hidden="0" customWidth="1"/>
    <x:col min="7" max="7" width="14" hidden="0" customWidth="1"/>
    <x:col min="8" max="8" width="14" hidden="0" customWidth="1"/>
    <x:col min="10" max="10" width="28" hidden="0" customWidth="1"/>
    <x:col min="11" max="11" width="16" hidden="0" customWidth="1"/>
    <x:col min="12" max="12" width="16" hidden="0" customWidth="1"/>
  </x:cols>
  <x:sheetData>
    <x:row r="1" ht="32" customHeight="1">
      <x:c r="A1" s="82" t="str">
        <x:v>09. Дашборд анализа цифрового товара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2" customHeight="1">
      <x:c r="A2" s="14" t="str">
        <x:v>Сводные показатели обновляются после заполнения листов. Используйте лист для контроля полноты анализа и обсуждения итоговых выводов.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34" customHeight="1">
      <x:c r="A4" s="24" t="str">
        <x:v>Показатель</x:v>
      </x:c>
      <x:c r="B4" s="24" t="str">
        <x:v>Значение</x:v>
      </x:c>
      <x:c r="C4" s="24" t="str">
        <x:v>Норма контроля</x:v>
      </x:c>
      <x:c r="D4" s="24" t="str">
        <x:v>Комментарий</x:v>
      </x:c>
      <x:c r="F4" s="24" t="str">
        <x:v>Категория Кано</x:v>
      </x:c>
      <x:c r="G4" s="24" t="str">
        <x:v>Количество</x:v>
      </x:c>
      <x:c r="H4" s="24" t="str">
        <x:v>Доля</x:v>
      </x:c>
      <x:c r="J4" s="24" t="str">
        <x:v>Уровень Левитта</x:v>
      </x:c>
      <x:c r="K4" s="24" t="str">
        <x:v>Кол-во признаков</x:v>
      </x:c>
      <x:c r="L4" s="24" t="str">
        <x:v>Средняя оценка</x:v>
      </x:c>
    </x:row>
    <x:row r="5">
      <x:c r="A5" s="32" t="str">
        <x:v>Конкурентов в анализе</x:v>
      </x:c>
      <x:c r="B5" s="56" t="n">
        <x:f>COUNTIF('01_Конкуренты'!$B$7:$B$36,"?*")</x:f>
        <x:v>0</x:v>
      </x:c>
      <x:c r="C5" s="32" t="str">
        <x:v>5–12</x:v>
      </x:c>
      <x:c r="D5" s="32" t="str">
        <x:v>Меньше 5 — риск случайных выводов.</x:v>
      </x:c>
      <x:c r="F5" s="32" t="str">
        <x:v>Обязательное</x:v>
      </x:c>
      <x:c r="G5" s="32" t="n">
        <x:f>COUNTIF('04_Кано'!$E$7:$E$206,F5)</x:f>
        <x:v>0</x:v>
      </x:c>
      <x:c r="H5" s="44" t="str">
        <x:f>IFERROR(G5/SUM($G$5:$G$10),"")</x:f>
      </x:c>
      <x:c r="J5" s="32" t="str">
        <x:v>1. Базовая выгода</x:v>
      </x:c>
      <x:c r="K5" s="32" t="n">
        <x:f>COUNTIF('03_Левитт'!$D$7:$D$306,J5)</x:f>
        <x:v>0</x:v>
      </x:c>
      <x:c r="L5" s="32" t="str">
        <x:f>IFERROR(AVERAGEIF('03_Левитт'!$D$7:$D$306,J5,'03_Левитт'!$L$7:$L$306),"")</x:f>
      </x:c>
    </x:row>
    <x:row r="6">
      <x:c r="A6" s="32" t="str">
        <x:v>Проверенных страниц</x:v>
      </x:c>
      <x:c r="B6" s="56" t="n">
        <x:f>COUNTIF('02_Карта_сайтов'!$C$7:$C$206,"?*")</x:f>
        <x:v>0</x:v>
      </x:c>
      <x:c r="C6" s="32" t="str">
        <x:v>30+</x:v>
      </x:c>
      <x:c r="D6" s="32" t="str">
        <x:v>Желательно несколько типов страниц по каждому конкуренту.</x:v>
      </x:c>
      <x:c r="F6" s="32" t="str">
        <x:v>Линейное</x:v>
      </x:c>
      <x:c r="G6" s="32" t="n">
        <x:f>COUNTIF('04_Кано'!$E$7:$E$206,F6)</x:f>
        <x:v>0</x:v>
      </x:c>
      <x:c r="H6" s="44" t="str">
        <x:f>IFERROR(G6/SUM($G$5:$G$10),"")</x:f>
      </x:c>
      <x:c r="J6" s="32" t="str">
        <x:v>2. Родовой товар</x:v>
      </x:c>
      <x:c r="K6" s="32" t="n">
        <x:f>COUNTIF('03_Левитт'!$D$7:$D$306,J6)</x:f>
        <x:v>0</x:v>
      </x:c>
      <x:c r="L6" s="32" t="str">
        <x:f>IFERROR(AVERAGEIF('03_Левитт'!$D$7:$D$306,J6,'03_Левитт'!$L$7:$L$306),"")</x:f>
      </x:c>
    </x:row>
    <x:row r="7">
      <x:c r="A7" s="32" t="str">
        <x:v>Признаков по Левитту</x:v>
      </x:c>
      <x:c r="B7" s="56" t="n">
        <x:f>COUNTIF('03_Левитт'!$E$7:$E$306,"?*")</x:f>
        <x:v>0</x:v>
      </x:c>
      <x:c r="C7" s="32" t="str">
        <x:v>40+</x:v>
      </x:c>
      <x:c r="D7" s="32" t="str">
        <x:v>Нужны признаки по всем уровням товара.</x:v>
      </x:c>
      <x:c r="F7" s="32" t="str">
        <x:v>Привлекательное</x:v>
      </x:c>
      <x:c r="G7" s="32" t="n">
        <x:f>COUNTIF('04_Кано'!$E$7:$E$206,F7)</x:f>
        <x:v>0</x:v>
      </x:c>
      <x:c r="H7" s="44" t="str">
        <x:f>IFERROR(G7/SUM($G$5:$G$10),"")</x:f>
      </x:c>
      <x:c r="J7" s="32" t="str">
        <x:v>3. Ожидаемый товар</x:v>
      </x:c>
      <x:c r="K7" s="32" t="n">
        <x:f>COUNTIF('03_Левитт'!$D$7:$D$306,J7)</x:f>
        <x:v>0</x:v>
      </x:c>
      <x:c r="L7" s="32" t="str">
        <x:f>IFERROR(AVERAGEIF('03_Левитт'!$D$7:$D$306,J7,'03_Левитт'!$L$7:$L$306),"")</x:f>
      </x:c>
    </x:row>
    <x:row r="8">
      <x:c r="A8" s="32" t="str">
        <x:v>Требований по Кано</x:v>
      </x:c>
      <x:c r="B8" s="56" t="n">
        <x:f>COUNTIF('04_Кано'!$B$7:$B$206,"?*")</x:f>
        <x:v>0</x:v>
      </x:c>
      <x:c r="C8" s="32" t="str">
        <x:v>25+</x:v>
      </x:c>
      <x:c r="D8" s="32" t="str">
        <x:v>Обязательные и привлекательные признаки должны быть разделены.</x:v>
      </x:c>
      <x:c r="F8" s="32" t="str">
        <x:v>Безразличное</x:v>
      </x:c>
      <x:c r="G8" s="32" t="n">
        <x:f>COUNTIF('04_Кано'!$E$7:$E$206,F8)</x:f>
        <x:v>0</x:v>
      </x:c>
      <x:c r="H8" s="44" t="str">
        <x:f>IFERROR(G8/SUM($G$5:$G$10),"")</x:f>
      </x:c>
      <x:c r="J8" s="32" t="str">
        <x:v>4. Расширенный товар</x:v>
      </x:c>
      <x:c r="K8" s="32" t="n">
        <x:f>COUNTIF('03_Левитт'!$D$7:$D$306,J8)</x:f>
        <x:v>0</x:v>
      </x:c>
      <x:c r="L8" s="32" t="str">
        <x:f>IFERROR(AVERAGEIF('03_Левитт'!$D$7:$D$306,J8,'03_Левитт'!$L$7:$L$306),"")</x:f>
      </x:c>
    </x:row>
    <x:row r="9">
      <x:c r="A9" s="32" t="str">
        <x:v>Рыночных стандартов</x:v>
      </x:c>
      <x:c r="B9" s="56" t="n">
        <x:f>COUNTIF('07_Стандарт_рынка'!$I$7:$I$206,"Рыночный стандарт")</x:f>
        <x:v>0</x:v>
      </x:c>
      <x:c r="C9" s="32" t="str">
        <x:v>по факту</x:v>
      </x:c>
      <x:c r="D9" s="32" t="str">
        <x:v>Это минимальная планка цифрового товара.</x:v>
      </x:c>
      <x:c r="F9" s="32" t="str">
        <x:v>Обратное</x:v>
      </x:c>
      <x:c r="G9" s="32" t="n">
        <x:f>COUNTIF('04_Кано'!$E$7:$E$206,F9)</x:f>
        <x:v>0</x:v>
      </x:c>
      <x:c r="H9" s="44" t="str">
        <x:f>IFERROR(G9/SUM($G$5:$G$10),"")</x:f>
      </x:c>
      <x:c r="J9" s="32" t="str">
        <x:v>5. Потенциальный товар</x:v>
      </x:c>
      <x:c r="K9" s="32" t="n">
        <x:f>COUNTIF('03_Левитт'!$D$7:$D$306,J9)</x:f>
        <x:v>0</x:v>
      </x:c>
      <x:c r="L9" s="32" t="str">
        <x:f>IFERROR(AVERAGEIF('03_Левитт'!$D$7:$D$306,J9,'03_Левитт'!$L$7:$L$306),"")</x:f>
      </x:c>
    </x:row>
    <x:row r="10">
      <x:c r="A10" s="32" t="str">
        <x:v>Зон дифференциации</x:v>
      </x:c>
      <x:c r="B10" s="56" t="n">
        <x:f>COUNTIF('07_Стандарт_рынка'!$I$7:$I$206,"Зона дифференциации")</x:f>
        <x:v>0</x:v>
      </x:c>
      <x:c r="C10" s="32" t="str">
        <x:v>по факту</x:v>
      </x:c>
      <x:c r="D10" s="32" t="str">
        <x:v>Это пространство для конкурентного отличия.</x:v>
      </x:c>
      <x:c r="F10" s="32" t="str">
        <x:v>Неясное</x:v>
      </x:c>
      <x:c r="G10" s="32" t="n">
        <x:f>COUNTIF('04_Кано'!$E$7:$E$206,F10)</x:f>
        <x:v>0</x:v>
      </x:c>
      <x:c r="H10" s="44" t="str">
        <x:f>IFERROR(G10/SUM($G$5:$G$10),"")</x:f>
      </x:c>
    </x:row>
    <x:row r="11">
      <x:c r="A11" s="32" t="str">
        <x:v>Сильных преимуществ</x:v>
      </x:c>
      <x:c r="B11" s="56" t="n">
        <x:f>COUNTIF('08_Преимущества'!$M$7:$M$206,"Сильное преимущество")</x:f>
        <x:v>0</x:v>
      </x:c>
      <x:c r="C11" s="32" t="str">
        <x:v>по факту</x:v>
      </x:c>
      <x:c r="D11" s="32" t="str">
        <x:v>Проверять доказательства и воспроизводимость.</x:v>
      </x:c>
    </x:row>
    <x:row r="14">
      <x:c r="A14" s="46" t="str">
        <x:v>Итоговые баллы конкурентов</x:v>
      </x:c>
      <x:c r="B14" s="46" t="str"/>
      <x:c r="C14" s="46" t="str"/>
      <x:c r="D14" s="46" t="str"/>
      <x:c r="E14" s="46" t="str"/>
      <x:c r="F14" s="46" t="str"/>
      <x:c r="G14" s="46" t="str"/>
      <x:c r="H14" s="46" t="str"/>
      <x:c r="I14" s="46" t="str"/>
      <x:c r="J14" s="46" t="str"/>
    </x:row>
    <x:row r="15" ht="34" customHeight="1">
      <x:c r="A15" s="24" t="str">
        <x:v>C01</x:v>
      </x:c>
      <x:c r="B15" s="24" t="str">
        <x:v>C02</x:v>
      </x:c>
      <x:c r="C15" s="24" t="str">
        <x:v>C03</x:v>
      </x:c>
      <x:c r="D15" s="24" t="str">
        <x:v>C04</x:v>
      </x:c>
      <x:c r="E15" s="24" t="str">
        <x:v>C05</x:v>
      </x:c>
      <x:c r="F15" s="24" t="str">
        <x:v>C06</x:v>
      </x:c>
      <x:c r="G15" s="24" t="str">
        <x:v>C07</x:v>
      </x:c>
      <x:c r="H15" s="24" t="str">
        <x:v>C08</x:v>
      </x:c>
    </x:row>
    <x:row r="16">
      <x:c r="A16" s="73" t="n">
        <x:f>'06_Сравнение'!E90</x:f>
        <x:v>0</x:v>
      </x:c>
      <x:c r="B16" s="73" t="n">
        <x:f>'06_Сравнение'!F90</x:f>
        <x:v>0</x:v>
      </x:c>
      <x:c r="C16" s="73" t="n">
        <x:f>'06_Сравнение'!G90</x:f>
        <x:v>0</x:v>
      </x:c>
      <x:c r="D16" s="73" t="n">
        <x:f>'06_Сравнение'!H90</x:f>
        <x:v>0</x:v>
      </x:c>
      <x:c r="E16" s="73" t="n">
        <x:f>'06_Сравнение'!I90</x:f>
        <x:v>0</x:v>
      </x:c>
      <x:c r="F16" s="73" t="n">
        <x:f>'06_Сравнение'!J90</x:f>
        <x:v>0</x:v>
      </x:c>
      <x:c r="G16" s="73" t="n">
        <x:f>'06_Сравнение'!K90</x:f>
        <x:v>0</x:v>
      </x:c>
      <x:c r="H16" s="73" t="n">
        <x:f>'06_Сравнение'!L90</x:f>
        <x:v>0</x:v>
      </x:c>
    </x:row>
    <x:row r="17">
      <x:c r="A17" s="68" t="n">
        <x:f>'06_Сравнение'!E91</x:f>
        <x:v>0</x:v>
      </x:c>
      <x:c r="B17" s="68" t="n">
        <x:f>'06_Сравнение'!F91</x:f>
        <x:v>0</x:v>
      </x:c>
      <x:c r="C17" s="68" t="n">
        <x:f>'06_Сравнение'!G91</x:f>
        <x:v>0</x:v>
      </x:c>
      <x:c r="D17" s="68" t="n">
        <x:f>'06_Сравнение'!H91</x:f>
        <x:v>0</x:v>
      </x:c>
      <x:c r="E17" s="68" t="n">
        <x:f>'06_Сравнение'!I91</x:f>
        <x:v>0</x:v>
      </x:c>
      <x:c r="F17" s="68" t="n">
        <x:f>'06_Сравнение'!J91</x:f>
        <x:v>0</x:v>
      </x:c>
      <x:c r="G17" s="68" t="n">
        <x:f>'06_Сравнение'!K91</x:f>
        <x:v>0</x:v>
      </x:c>
      <x:c r="H17" s="68" t="n">
        <x:f>'06_Сравнение'!L91</x:f>
        <x:v>0</x:v>
      </x:c>
    </x:row>
    <x:row r="20">
      <x:c r="A20" s="46" t="str">
        <x:v>Итоговые управленческие выводы</x:v>
      </x:c>
      <x:c r="B20" s="46" t="str"/>
      <x:c r="C20" s="46" t="str"/>
      <x:c r="D20" s="46" t="str"/>
      <x:c r="E20" s="46" t="str"/>
      <x:c r="F20" s="46" t="str"/>
      <x:c r="G20" s="46" t="str"/>
      <x:c r="H20" s="46" t="str"/>
      <x:c r="I20" s="46" t="str"/>
      <x:c r="J20" s="46" t="str"/>
      <x:c r="K20" s="46" t="str"/>
      <x:c r="L20" s="46" t="str"/>
      <x:c r="M20" s="46" t="str"/>
      <x:c r="N20" s="46" t="str"/>
    </x:row>
    <x:row r="21" ht="38" customHeight="1">
      <x:c r="A21" s="77" t="str">
        <x:v>1. Минимальный состав цифрового товара</x:v>
      </x:c>
      <x:c r="B21" s="80" t="str"/>
      <x:c r="C21" s="80" t="str"/>
      <x:c r="D21" s="80" t="str"/>
      <x:c r="E21" s="80" t="str"/>
      <x:c r="F21" s="80" t="str"/>
      <x:c r="G21" s="80" t="str"/>
      <x:c r="H21" s="80" t="str"/>
      <x:c r="I21" s="80" t="str"/>
      <x:c r="J21" s="80" t="str"/>
      <x:c r="K21" s="80" t="str"/>
      <x:c r="L21" s="80" t="str"/>
      <x:c r="M21" s="80" t="str"/>
      <x:c r="N21" s="80" t="str"/>
    </x:row>
    <x:row r="22" ht="38" customHeight="1">
      <x:c r="A22" s="77" t="str">
        <x:v>2. Признаки, которые нельзя игнорировать</x:v>
      </x:c>
      <x:c r="B22" s="80" t="str"/>
      <x:c r="C22" s="80" t="str"/>
      <x:c r="D22" s="80" t="str"/>
      <x:c r="E22" s="80" t="str"/>
      <x:c r="F22" s="80" t="str"/>
      <x:c r="G22" s="80" t="str"/>
      <x:c r="H22" s="80" t="str"/>
      <x:c r="I22" s="80" t="str"/>
      <x:c r="J22" s="80" t="str"/>
      <x:c r="K22" s="80" t="str"/>
      <x:c r="L22" s="80" t="str"/>
      <x:c r="M22" s="80" t="str"/>
      <x:c r="N22" s="80" t="str"/>
    </x:row>
    <x:row r="23" ht="38" customHeight="1">
      <x:c r="A23" s="77" t="str">
        <x:v>3. Главные зоны дифференциации</x:v>
      </x:c>
      <x:c r="B23" s="80" t="str"/>
      <x:c r="C23" s="80" t="str"/>
      <x:c r="D23" s="80" t="str"/>
      <x:c r="E23" s="80" t="str"/>
      <x:c r="F23" s="80" t="str"/>
      <x:c r="G23" s="80" t="str"/>
      <x:c r="H23" s="80" t="str"/>
      <x:c r="I23" s="80" t="str"/>
      <x:c r="J23" s="80" t="str"/>
      <x:c r="K23" s="80" t="str"/>
      <x:c r="L23" s="80" t="str"/>
      <x:c r="M23" s="80" t="str"/>
      <x:c r="N23" s="80" t="str"/>
    </x:row>
    <x:row r="24" ht="38" customHeight="1">
      <x:c r="A24" s="77" t="str">
        <x:v>4. Лучшие практики конкурентов</x:v>
      </x:c>
      <x:c r="B24" s="80" t="str"/>
      <x:c r="C24" s="80" t="str"/>
      <x:c r="D24" s="80" t="str"/>
      <x:c r="E24" s="80" t="str"/>
      <x:c r="F24" s="80" t="str"/>
      <x:c r="G24" s="80" t="str"/>
      <x:c r="H24" s="80" t="str"/>
      <x:c r="I24" s="80" t="str"/>
      <x:c r="J24" s="80" t="str"/>
      <x:c r="K24" s="80" t="str"/>
      <x:c r="L24" s="80" t="str"/>
      <x:c r="M24" s="80" t="str"/>
      <x:c r="N24" s="80" t="str"/>
    </x:row>
    <x:row r="25" ht="38" customHeight="1">
      <x:c r="A25" s="77" t="str">
        <x:v>5. Риски копирования конкурентов без проверки спроса</x:v>
      </x:c>
      <x:c r="B25" s="80" t="str"/>
      <x:c r="C25" s="80" t="str"/>
      <x:c r="D25" s="80" t="str"/>
      <x:c r="E25" s="80" t="str"/>
      <x:c r="F25" s="80" t="str"/>
      <x:c r="G25" s="80" t="str"/>
      <x:c r="H25" s="80" t="str"/>
      <x:c r="I25" s="80" t="str"/>
      <x:c r="J25" s="80" t="str"/>
      <x:c r="K25" s="80" t="str"/>
      <x:c r="L25" s="80" t="str"/>
      <x:c r="M25" s="80" t="str"/>
      <x:c r="N25" s="80" t="str"/>
    </x:row>
  </x:sheetData>
  <x:mergeCells>
    <x:mergeCell ref="A1:N1"/>
    <x:mergeCell ref="A2:N2"/>
    <x:mergeCell ref="B21:N21"/>
    <x:mergeCell ref="B22:N22"/>
    <x:mergeCell ref="B23:N23"/>
    <x:mergeCell ref="B24:N24"/>
    <x:mergeCell ref="B25:N25"/>
  </x:mergeCells>
  <x:pageMargins left="0.7" right="0.7" top="0.75" bottom="0.75" header="0.3" footer="0.3"/>
  <x:drawing xmlns:r="http://schemas.openxmlformats.org/officeDocument/2006/relationships" r:id="R64888788b4e74654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2" hidden="0" customWidth="1"/>
  </x:cols>
  <x:sheetData>
    <x:row r="1" ht="32" customHeight="1">
      <x:c r="A1" s="82" t="str">
        <x:v>99. Справочники для заполнения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4" t="str">
        <x:v>Лист содержит подсказки по классификациям, используемым в шаблоне.</x:v>
      </x:c>
      <x:c r="B2" s="14"/>
      <x:c r="C2" s="14"/>
      <x:c r="D2" s="14"/>
      <x:c r="E2" s="14"/>
      <x:c r="F2" s="14"/>
      <x:c r="G2" s="14"/>
      <x:c r="H2" s="14"/>
    </x:row>
    <x:row r="4" ht="34" customHeight="1">
      <x:c r="A4" s="24" t="str">
        <x:v>Справочник</x:v>
      </x:c>
      <x:c r="B4" s="24" t="str">
        <x:v>Значение</x:v>
      </x:c>
      <x:c r="C4" s="24" t="str">
        <x:v>Пояснение</x:v>
      </x:c>
    </x:row>
    <x:row r="5">
      <x:c r="A5" s="32" t="str">
        <x:v>Уровни Левитта</x:v>
      </x:c>
      <x:c r="B5" s="32" t="str">
        <x:v>1. Базовая выгода</x:v>
      </x:c>
      <x:c r="C5" s="32" t="str">
        <x:v>Главная задача и ценность для пользователя.</x:v>
      </x:c>
    </x:row>
    <x:row r="6">
      <x:c r="A6" s="32" t="str">
        <x:v>Уровни Левитта</x:v>
      </x:c>
      <x:c r="B6" s="32" t="str">
        <x:v>2. Родовой товар</x:v>
      </x:c>
      <x:c r="C6" s="32" t="str">
        <x:v>Минимальная форма товара: сервис, приложение, кабинет, база, подписка.</x:v>
      </x:c>
    </x:row>
    <x:row r="7">
      <x:c r="A7" s="32" t="str">
        <x:v>Уровни Левитта</x:v>
      </x:c>
      <x:c r="B7" s="32" t="str">
        <x:v>3. Ожидаемый товар</x:v>
      </x:c>
      <x:c r="C7" s="32" t="str">
        <x:v>То, что пользователь считает нормой категории.</x:v>
      </x:c>
    </x:row>
    <x:row r="8">
      <x:c r="A8" s="32" t="str">
        <x:v>Уровни Левитта</x:v>
      </x:c>
      <x:c r="B8" s="32" t="str">
        <x:v>4. Расширенный товар</x:v>
      </x:c>
      <x:c r="C8" s="32" t="str">
        <x:v>Дополнительные элементы, повышающие ценность и доверие.</x:v>
      </x:c>
    </x:row>
    <x:row r="9">
      <x:c r="A9" s="32" t="str">
        <x:v>Уровни Левитта</x:v>
      </x:c>
      <x:c r="B9" s="32" t="str">
        <x:v>5. Потенциальный товар</x:v>
      </x:c>
      <x:c r="C9" s="32" t="str">
        <x:v>Будущие функции, развитие, интеграции, персонализация, данные.</x:v>
      </x:c>
    </x:row>
    <x:row r="10">
      <x:c r="A10" s="32" t="str">
        <x:v>Категории Кано</x:v>
      </x:c>
      <x:c r="B10" s="32" t="str">
        <x:v>Обязательное</x:v>
      </x:c>
      <x:c r="C10" s="32" t="str">
        <x:v>Отсутствие вызывает неудовлетворенность; наличие обычно воспринимается как норма.</x:v>
      </x:c>
    </x:row>
    <x:row r="11">
      <x:c r="A11" s="32" t="str">
        <x:v>Категории Кано</x:v>
      </x:c>
      <x:c r="B11" s="32" t="str">
        <x:v>Линейное</x:v>
      </x:c>
      <x:c r="C11" s="32" t="str">
        <x:v>Чем лучше реализовано, тем выше удовлетворенность и готовность выбрать товар.</x:v>
      </x:c>
    </x:row>
    <x:row r="12">
      <x:c r="A12" s="32" t="str">
        <x:v>Категории Кано</x:v>
      </x:c>
      <x:c r="B12" s="32" t="str">
        <x:v>Привлекательное</x:v>
      </x:c>
      <x:c r="C12" s="32" t="str">
        <x:v>Не ожидается большинством, но создает положительное отличие.</x:v>
      </x:c>
    </x:row>
    <x:row r="13">
      <x:c r="A13" s="32" t="str">
        <x:v>Категории Кано</x:v>
      </x:c>
      <x:c r="B13" s="32" t="str">
        <x:v>Безразличное</x:v>
      </x:c>
      <x:c r="C13" s="32" t="str">
        <x:v>Слабо влияет на выбор и удовлетворенность.</x:v>
      </x:c>
    </x:row>
    <x:row r="14">
      <x:c r="A14" s="32" t="str">
        <x:v>Категории Кано</x:v>
      </x:c>
      <x:c r="B14" s="32" t="str">
        <x:v>Обратное</x:v>
      </x:c>
      <x:c r="C14" s="32" t="str">
        <x:v>Может снижать удовлетворенность или создавать отторжение.</x:v>
      </x:c>
    </x:row>
    <x:row r="15">
      <x:c r="A15" s="32" t="str">
        <x:v>Категории Кано</x:v>
      </x:c>
      <x:c r="B15" s="32" t="str">
        <x:v>Неясное</x:v>
      </x:c>
      <x:c r="C15" s="32" t="str">
        <x:v>Недостаточно данных для классификации.</x:v>
      </x:c>
    </x:row>
    <x:row r="16">
      <x:c r="A16" s="32" t="str">
        <x:v>Типы преимуществ</x:v>
      </x:c>
      <x:c r="B16" s="32" t="str">
        <x:v>Функциональное</x:v>
      </x:c>
      <x:c r="C16" s="32" t="str">
        <x:v>Лучший набор функций или качество их реализации.</x:v>
      </x:c>
    </x:row>
    <x:row r="17">
      <x:c r="A17" s="32" t="str">
        <x:v>Типы преимуществ</x:v>
      </x:c>
      <x:c r="B17" s="32" t="str">
        <x:v>Экономическое</x:v>
      </x:c>
      <x:c r="C17" s="32" t="str">
        <x:v>Цена, стоимость владения, экономия ресурсов.</x:v>
      </x:c>
    </x:row>
    <x:row r="18">
      <x:c r="A18" s="32" t="str">
        <x:v>Типы преимуществ</x:v>
      </x:c>
      <x:c r="B18" s="32" t="str">
        <x:v>Интерфейсное</x:v>
      </x:c>
      <x:c r="C18" s="32" t="str">
        <x:v>Простота, скорость и понятность пользовательского пути.</x:v>
      </x:c>
    </x:row>
    <x:row r="19">
      <x:c r="A19" s="32" t="str">
        <x:v>Типы преимуществ</x:v>
      </x:c>
      <x:c r="B19" s="32" t="str">
        <x:v>Сервисное</x:v>
      </x:c>
      <x:c r="C19" s="32" t="str">
        <x:v>Поддержка, сопровождение, обучение, гарантия результата.</x:v>
      </x:c>
    </x:row>
    <x:row r="20">
      <x:c r="A20" s="32" t="str">
        <x:v>Типы преимуществ</x:v>
      </x:c>
      <x:c r="B20" s="32" t="str">
        <x:v>Доверительное</x:v>
      </x:c>
      <x:c r="C20" s="32" t="str">
        <x:v>Доказательства надежности, безопасность, репутация.</x:v>
      </x:c>
    </x:row>
    <x:row r="21">
      <x:c r="A21" s="32" t="str">
        <x:v>Типы преимуществ</x:v>
      </x:c>
      <x:c r="B21" s="32" t="str">
        <x:v>Данные и аналитика</x:v>
      </x:c>
      <x:c r="C21" s="32" t="str">
        <x:v>Персонализация, рекомендации, отчеты, прогнозы.</x:v>
      </x:c>
    </x:row>
    <x:row r="22">
      <x:c r="A22" s="32" t="str">
        <x:v>Типы преимуществ</x:v>
      </x:c>
      <x:c r="B22" s="32" t="str">
        <x:v>Сетевой эффект</x:v>
      </x:c>
      <x:c r="C22" s="32" t="str">
        <x:v>Ценность растет с числом пользователей, участников, данных или партнеров.</x:v>
      </x:c>
    </x:row>
    <x:row r="23">
      <x:c r="A23" s="32" t="str">
        <x:v>Типы преимуществ</x:v>
      </x:c>
      <x:c r="B23" s="32" t="str">
        <x:v>Интеграционное</x:v>
      </x:c>
      <x:c r="C23" s="32" t="str">
        <x:v>Связь с другими системами и процессами пользователя.</x:v>
      </x:c>
    </x:row>
    <x:row r="24">
      <x:c r="A24" s="32" t="str">
        <x:v>Типы преимуществ</x:v>
      </x:c>
      <x:c r="B24" s="32" t="str">
        <x:v>Контентное</x:v>
      </x:c>
      <x:c r="C24" s="32" t="str">
        <x:v>Качество, глубина, эксклюзивность или регулярность материалов.</x:v>
      </x:c>
    </x:row>
  </x:sheetData>
  <x:mergeCells>
    <x:mergeCell ref="A1:H1"/>
    <x:mergeCell ref="A2:H2"/>
  </x:mergeCells>
  <x:pageMargins left="0.7" right="0.7" top="0.75" bottom="0.75" header="0.3" footer="0.3"/>
</x:worksheet>
</file>