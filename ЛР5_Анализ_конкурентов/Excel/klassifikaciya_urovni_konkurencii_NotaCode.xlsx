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ИИТ\ЭлектронныйБизнес\ЛР5_Анализ_конкурентов\Excel\"/>
    </mc:Choice>
  </mc:AlternateContent>
  <xr:revisionPtr revIDLastSave="0" documentId="13_ncr:1_{00D89E31-D92A-48C0-99B3-A6EA1BA5AD85}" xr6:coauthVersionLast="47" xr6:coauthVersionMax="47" xr10:uidLastSave="{00000000-0000-0000-0000-000000000000}"/>
  <bookViews>
    <workbookView xWindow="3008" yWindow="458" windowWidth="12022" windowHeight="10972" xr2:uid="{00000000-000D-0000-FFFF-FFFF00000000}"/>
  </bookViews>
  <sheets>
    <sheet name="00_Инструкция" sheetId="1" r:id="rId1"/>
    <sheet name="01_Компании" sheetId="2" r:id="rId2"/>
    <sheet name="02_Доказательства" sheetId="3" r:id="rId3"/>
    <sheet name="03_Критерии" sheetId="4" r:id="rId4"/>
    <sheet name="04_Оценка" sheetId="5" r:id="rId5"/>
    <sheet name="05_Уровни" sheetId="6" r:id="rId6"/>
    <sheet name="06_Сводка" sheetId="7" r:id="rId7"/>
    <sheet name="07_Карта" sheetId="8" r:id="rId8"/>
    <sheet name="08_Справочники" sheetId="9" r:id="rId9"/>
    <sheet name="09_Журнал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03" i="8" l="1"/>
  <c r="J103" i="8"/>
  <c r="K102" i="8"/>
  <c r="J102" i="8"/>
  <c r="K101" i="8"/>
  <c r="J101" i="8"/>
  <c r="K100" i="8"/>
  <c r="J100" i="8"/>
  <c r="K99" i="8"/>
  <c r="J99" i="8"/>
  <c r="K98" i="8"/>
  <c r="J98" i="8"/>
  <c r="K97" i="8"/>
  <c r="J97" i="8"/>
  <c r="K96" i="8"/>
  <c r="J96" i="8"/>
  <c r="K95" i="8"/>
  <c r="J95" i="8"/>
  <c r="K94" i="8"/>
  <c r="J94" i="8"/>
  <c r="K93" i="8"/>
  <c r="J93" i="8"/>
  <c r="K92" i="8"/>
  <c r="J92" i="8"/>
  <c r="K91" i="8"/>
  <c r="J91" i="8"/>
  <c r="K90" i="8"/>
  <c r="J90" i="8"/>
  <c r="K89" i="8"/>
  <c r="J89" i="8"/>
  <c r="K88" i="8"/>
  <c r="J88" i="8"/>
  <c r="K87" i="8"/>
  <c r="J87" i="8"/>
  <c r="K86" i="8"/>
  <c r="J86" i="8"/>
  <c r="K85" i="8"/>
  <c r="J85" i="8"/>
  <c r="K84" i="8"/>
  <c r="J84" i="8"/>
  <c r="K83" i="8"/>
  <c r="J83" i="8"/>
  <c r="K82" i="8"/>
  <c r="J82" i="8"/>
  <c r="K81" i="8"/>
  <c r="J81" i="8"/>
  <c r="K80" i="8"/>
  <c r="J80" i="8"/>
  <c r="K79" i="8"/>
  <c r="J79" i="8"/>
  <c r="K78" i="8"/>
  <c r="J78" i="8"/>
  <c r="K77" i="8"/>
  <c r="J77" i="8"/>
  <c r="K76" i="8"/>
  <c r="J76" i="8"/>
  <c r="K75" i="8"/>
  <c r="J75" i="8"/>
  <c r="K74" i="8"/>
  <c r="J74" i="8"/>
  <c r="K73" i="8"/>
  <c r="J73" i="8"/>
  <c r="K72" i="8"/>
  <c r="J72" i="8"/>
  <c r="K71" i="8"/>
  <c r="J71" i="8"/>
  <c r="K70" i="8"/>
  <c r="J70" i="8"/>
  <c r="K69" i="8"/>
  <c r="J69" i="8"/>
  <c r="K68" i="8"/>
  <c r="J68" i="8"/>
  <c r="K67" i="8"/>
  <c r="J67" i="8"/>
  <c r="K66" i="8"/>
  <c r="J66" i="8"/>
  <c r="K65" i="8"/>
  <c r="J65" i="8"/>
  <c r="K64" i="8"/>
  <c r="J64" i="8"/>
  <c r="K63" i="8"/>
  <c r="J63" i="8"/>
  <c r="K62" i="8"/>
  <c r="J62" i="8"/>
  <c r="K61" i="8"/>
  <c r="J61" i="8"/>
  <c r="K60" i="8"/>
  <c r="J60" i="8"/>
  <c r="K59" i="8"/>
  <c r="J59" i="8"/>
  <c r="K58" i="8"/>
  <c r="J58" i="8"/>
  <c r="K57" i="8"/>
  <c r="J57" i="8"/>
  <c r="K56" i="8"/>
  <c r="J56" i="8"/>
  <c r="K55" i="8"/>
  <c r="J55" i="8"/>
  <c r="K54" i="8"/>
  <c r="J54" i="8"/>
  <c r="K53" i="8"/>
  <c r="J53" i="8"/>
  <c r="K52" i="8"/>
  <c r="J52" i="8"/>
  <c r="K51" i="8"/>
  <c r="J51" i="8"/>
  <c r="K50" i="8"/>
  <c r="J50" i="8"/>
  <c r="K49" i="8"/>
  <c r="J49" i="8"/>
  <c r="K48" i="8"/>
  <c r="J48" i="8"/>
  <c r="K47" i="8"/>
  <c r="J47" i="8"/>
  <c r="K46" i="8"/>
  <c r="J46" i="8"/>
  <c r="K45" i="8"/>
  <c r="J45" i="8"/>
  <c r="K44" i="8"/>
  <c r="J44" i="8"/>
  <c r="K43" i="8"/>
  <c r="J43" i="8"/>
  <c r="K42" i="8"/>
  <c r="J42" i="8"/>
  <c r="K41" i="8"/>
  <c r="J41" i="8"/>
  <c r="K40" i="8"/>
  <c r="J40" i="8"/>
  <c r="K39" i="8"/>
  <c r="J39" i="8"/>
  <c r="K38" i="8"/>
  <c r="J38" i="8"/>
  <c r="K37" i="8"/>
  <c r="J37" i="8"/>
  <c r="K36" i="8"/>
  <c r="J36" i="8"/>
  <c r="K35" i="8"/>
  <c r="J35" i="8"/>
  <c r="K34" i="8"/>
  <c r="J34" i="8"/>
  <c r="K33" i="8"/>
  <c r="J33" i="8"/>
  <c r="K32" i="8"/>
  <c r="J32" i="8"/>
  <c r="K31" i="8"/>
  <c r="J31" i="8"/>
  <c r="K30" i="8"/>
  <c r="J30" i="8"/>
  <c r="K29" i="8"/>
  <c r="J29" i="8"/>
  <c r="K28" i="8"/>
  <c r="J28" i="8"/>
  <c r="K27" i="8"/>
  <c r="J27" i="8"/>
  <c r="K26" i="8"/>
  <c r="J26" i="8"/>
  <c r="K25" i="8"/>
  <c r="J25" i="8"/>
  <c r="K24" i="8"/>
  <c r="J24" i="8"/>
  <c r="K23" i="8"/>
  <c r="J23" i="8"/>
  <c r="K22" i="8"/>
  <c r="J22" i="8"/>
  <c r="K21" i="8"/>
  <c r="J21" i="8"/>
  <c r="K20" i="8"/>
  <c r="J20" i="8"/>
  <c r="K19" i="8"/>
  <c r="J19" i="8"/>
  <c r="K18" i="8"/>
  <c r="J18" i="8"/>
  <c r="K17" i="8"/>
  <c r="J17" i="8"/>
  <c r="K16" i="8"/>
  <c r="J16" i="8"/>
  <c r="K15" i="8"/>
  <c r="J15" i="8"/>
  <c r="K14" i="8"/>
  <c r="J14" i="8"/>
  <c r="K13" i="8"/>
  <c r="J13" i="8"/>
  <c r="K12" i="8"/>
  <c r="J12" i="8"/>
  <c r="K11" i="8"/>
  <c r="J11" i="8"/>
  <c r="K10" i="8"/>
  <c r="J10" i="8"/>
  <c r="K9" i="8"/>
  <c r="J9" i="8"/>
  <c r="K8" i="8"/>
  <c r="J8" i="8"/>
  <c r="K7" i="8"/>
  <c r="J7" i="8"/>
  <c r="K6" i="8"/>
  <c r="J6" i="8"/>
  <c r="K5" i="8"/>
  <c r="J5" i="8"/>
  <c r="K4" i="8"/>
  <c r="J4" i="8"/>
  <c r="C103" i="5"/>
  <c r="B103" i="5"/>
  <c r="B103" i="8" s="1"/>
  <c r="C102" i="5"/>
  <c r="B102" i="5"/>
  <c r="B102" i="8" s="1"/>
  <c r="C101" i="5"/>
  <c r="B101" i="5"/>
  <c r="B101" i="8" s="1"/>
  <c r="C100" i="5"/>
  <c r="B100" i="5"/>
  <c r="B100" i="8" s="1"/>
  <c r="C99" i="5"/>
  <c r="B99" i="5"/>
  <c r="B99" i="8" s="1"/>
  <c r="C98" i="5"/>
  <c r="B98" i="5"/>
  <c r="B98" i="8" s="1"/>
  <c r="C97" i="5"/>
  <c r="B97" i="5"/>
  <c r="B97" i="8" s="1"/>
  <c r="C96" i="5"/>
  <c r="B96" i="5"/>
  <c r="B96" i="8" s="1"/>
  <c r="C95" i="5"/>
  <c r="B95" i="5"/>
  <c r="B95" i="8" s="1"/>
  <c r="C94" i="5"/>
  <c r="B94" i="5"/>
  <c r="B94" i="8" s="1"/>
  <c r="C93" i="5"/>
  <c r="B93" i="5"/>
  <c r="B93" i="8" s="1"/>
  <c r="C92" i="5"/>
  <c r="B92" i="5"/>
  <c r="B92" i="8" s="1"/>
  <c r="C91" i="5"/>
  <c r="B91" i="5"/>
  <c r="B91" i="8" s="1"/>
  <c r="C90" i="5"/>
  <c r="B90" i="5"/>
  <c r="B90" i="8" s="1"/>
  <c r="C89" i="5"/>
  <c r="B89" i="5"/>
  <c r="B89" i="8" s="1"/>
  <c r="C88" i="5"/>
  <c r="B88" i="5"/>
  <c r="B88" i="8" s="1"/>
  <c r="C87" i="5"/>
  <c r="B87" i="5"/>
  <c r="B87" i="8" s="1"/>
  <c r="C86" i="5"/>
  <c r="B86" i="5"/>
  <c r="B86" i="8" s="1"/>
  <c r="C85" i="5"/>
  <c r="B85" i="5"/>
  <c r="B85" i="8" s="1"/>
  <c r="C84" i="5"/>
  <c r="B84" i="5"/>
  <c r="B84" i="8" s="1"/>
  <c r="C83" i="5"/>
  <c r="B83" i="5"/>
  <c r="B83" i="8" s="1"/>
  <c r="C82" i="5"/>
  <c r="B82" i="5"/>
  <c r="B82" i="8" s="1"/>
  <c r="C81" i="5"/>
  <c r="B81" i="5"/>
  <c r="B81" i="8" s="1"/>
  <c r="C80" i="5"/>
  <c r="B80" i="5"/>
  <c r="B80" i="8" s="1"/>
  <c r="C79" i="5"/>
  <c r="B79" i="5"/>
  <c r="B79" i="8" s="1"/>
  <c r="C78" i="5"/>
  <c r="B78" i="5"/>
  <c r="B78" i="8" s="1"/>
  <c r="C77" i="5"/>
  <c r="B77" i="5"/>
  <c r="B77" i="8" s="1"/>
  <c r="C76" i="5"/>
  <c r="B76" i="5"/>
  <c r="B76" i="8" s="1"/>
  <c r="C75" i="5"/>
  <c r="B75" i="5"/>
  <c r="B75" i="8" s="1"/>
  <c r="C74" i="5"/>
  <c r="B74" i="5"/>
  <c r="B74" i="8" s="1"/>
  <c r="C73" i="5"/>
  <c r="B73" i="5"/>
  <c r="B73" i="8" s="1"/>
  <c r="C72" i="5"/>
  <c r="B72" i="5"/>
  <c r="B72" i="8" s="1"/>
  <c r="C71" i="5"/>
  <c r="B71" i="5"/>
  <c r="B71" i="8" s="1"/>
  <c r="C70" i="5"/>
  <c r="B70" i="5"/>
  <c r="B70" i="8" s="1"/>
  <c r="C69" i="5"/>
  <c r="B69" i="5"/>
  <c r="B69" i="8" s="1"/>
  <c r="C68" i="5"/>
  <c r="B68" i="5"/>
  <c r="B68" i="8" s="1"/>
  <c r="C67" i="5"/>
  <c r="B67" i="5"/>
  <c r="B67" i="8" s="1"/>
  <c r="C66" i="5"/>
  <c r="B66" i="5"/>
  <c r="B66" i="8" s="1"/>
  <c r="C65" i="5"/>
  <c r="B65" i="5"/>
  <c r="B65" i="8" s="1"/>
  <c r="C64" i="5"/>
  <c r="B64" i="5"/>
  <c r="B64" i="8" s="1"/>
  <c r="C63" i="5"/>
  <c r="B63" i="5"/>
  <c r="B63" i="8" s="1"/>
  <c r="C62" i="5"/>
  <c r="B62" i="5"/>
  <c r="B62" i="8" s="1"/>
  <c r="C61" i="5"/>
  <c r="B61" i="5"/>
  <c r="B61" i="8" s="1"/>
  <c r="C60" i="5"/>
  <c r="B60" i="5"/>
  <c r="B60" i="8" s="1"/>
  <c r="C59" i="5"/>
  <c r="B59" i="5"/>
  <c r="B59" i="8" s="1"/>
  <c r="C58" i="5"/>
  <c r="B58" i="5"/>
  <c r="B58" i="8" s="1"/>
  <c r="C57" i="5"/>
  <c r="B57" i="5"/>
  <c r="B57" i="8" s="1"/>
  <c r="C56" i="5"/>
  <c r="B56" i="5"/>
  <c r="B56" i="8" s="1"/>
  <c r="C55" i="5"/>
  <c r="B55" i="5"/>
  <c r="B55" i="8" s="1"/>
  <c r="C54" i="5"/>
  <c r="B54" i="5"/>
  <c r="B54" i="8" s="1"/>
  <c r="C53" i="5"/>
  <c r="B53" i="5"/>
  <c r="B53" i="8" s="1"/>
  <c r="C52" i="5"/>
  <c r="B52" i="5"/>
  <c r="B52" i="8" s="1"/>
  <c r="C51" i="5"/>
  <c r="B51" i="5"/>
  <c r="B51" i="8" s="1"/>
  <c r="C50" i="5"/>
  <c r="B50" i="5"/>
  <c r="B50" i="8" s="1"/>
  <c r="C49" i="5"/>
  <c r="B49" i="5"/>
  <c r="B49" i="8" s="1"/>
  <c r="C48" i="5"/>
  <c r="B48" i="5"/>
  <c r="B48" i="8" s="1"/>
  <c r="C47" i="5"/>
  <c r="B47" i="5"/>
  <c r="B47" i="8" s="1"/>
  <c r="C46" i="5"/>
  <c r="B46" i="5"/>
  <c r="B46" i="8" s="1"/>
  <c r="C45" i="5"/>
  <c r="B45" i="5"/>
  <c r="B45" i="8" s="1"/>
  <c r="C44" i="5"/>
  <c r="B44" i="5"/>
  <c r="B44" i="8" s="1"/>
  <c r="C43" i="5"/>
  <c r="B43" i="5"/>
  <c r="B43" i="8" s="1"/>
  <c r="C42" i="5"/>
  <c r="B42" i="5"/>
  <c r="B42" i="8" s="1"/>
  <c r="C41" i="5"/>
  <c r="B41" i="5"/>
  <c r="B41" i="8" s="1"/>
  <c r="C40" i="5"/>
  <c r="B40" i="5"/>
  <c r="B40" i="8" s="1"/>
  <c r="C39" i="5"/>
  <c r="B39" i="5"/>
  <c r="B39" i="8" s="1"/>
  <c r="C38" i="5"/>
  <c r="B38" i="5"/>
  <c r="B38" i="8" s="1"/>
  <c r="C37" i="5"/>
  <c r="B37" i="5"/>
  <c r="B37" i="8" s="1"/>
  <c r="C36" i="5"/>
  <c r="B36" i="5"/>
  <c r="B36" i="8" s="1"/>
  <c r="C35" i="5"/>
  <c r="B35" i="5"/>
  <c r="B35" i="8" s="1"/>
  <c r="C34" i="5"/>
  <c r="B34" i="5"/>
  <c r="B34" i="8" s="1"/>
  <c r="C33" i="5"/>
  <c r="B33" i="5"/>
  <c r="B33" i="8" s="1"/>
  <c r="C32" i="5"/>
  <c r="B32" i="5"/>
  <c r="B32" i="8" s="1"/>
  <c r="C31" i="5"/>
  <c r="B31" i="5"/>
  <c r="B31" i="8" s="1"/>
  <c r="C30" i="5"/>
  <c r="B30" i="5"/>
  <c r="B30" i="8" s="1"/>
  <c r="C29" i="5"/>
  <c r="B29" i="5"/>
  <c r="B29" i="8" s="1"/>
  <c r="C28" i="5"/>
  <c r="B28" i="5"/>
  <c r="B28" i="8" s="1"/>
  <c r="C27" i="5"/>
  <c r="B27" i="5"/>
  <c r="B27" i="8" s="1"/>
  <c r="C26" i="5"/>
  <c r="B26" i="5"/>
  <c r="B26" i="8" s="1"/>
  <c r="C25" i="5"/>
  <c r="B25" i="5"/>
  <c r="B25" i="8" s="1"/>
  <c r="C24" i="5"/>
  <c r="B24" i="5"/>
  <c r="B24" i="8" s="1"/>
  <c r="C23" i="5"/>
  <c r="B23" i="5"/>
  <c r="B23" i="8" s="1"/>
  <c r="C22" i="5"/>
  <c r="B22" i="5"/>
  <c r="B22" i="8" s="1"/>
  <c r="C21" i="5"/>
  <c r="B21" i="5"/>
  <c r="B21" i="8" s="1"/>
  <c r="C20" i="5"/>
  <c r="B20" i="5"/>
  <c r="B20" i="8" s="1"/>
  <c r="C19" i="5"/>
  <c r="B19" i="5"/>
  <c r="B19" i="8" s="1"/>
  <c r="C18" i="5"/>
  <c r="B18" i="5"/>
  <c r="B18" i="8" s="1"/>
  <c r="C17" i="5"/>
  <c r="B17" i="5"/>
  <c r="B17" i="8" s="1"/>
  <c r="C16" i="5"/>
  <c r="B16" i="5"/>
  <c r="B16" i="8" s="1"/>
  <c r="C15" i="5"/>
  <c r="B15" i="5"/>
  <c r="B15" i="8" s="1"/>
  <c r="C14" i="5"/>
  <c r="B14" i="5"/>
  <c r="B14" i="8" s="1"/>
  <c r="C13" i="5"/>
  <c r="B13" i="5"/>
  <c r="B13" i="8" s="1"/>
  <c r="C12" i="5"/>
  <c r="B12" i="5"/>
  <c r="B12" i="8" s="1"/>
  <c r="C11" i="5"/>
  <c r="B11" i="5"/>
  <c r="B11" i="8" s="1"/>
  <c r="C10" i="5"/>
  <c r="B10" i="5"/>
  <c r="B10" i="8" s="1"/>
  <c r="C9" i="5"/>
  <c r="B9" i="5"/>
  <c r="B9" i="8" s="1"/>
  <c r="C8" i="5"/>
  <c r="B8" i="5"/>
  <c r="B8" i="8" s="1"/>
  <c r="C7" i="5"/>
  <c r="B7" i="5"/>
  <c r="B7" i="8" s="1"/>
  <c r="C6" i="5"/>
  <c r="B6" i="5"/>
  <c r="B6" i="8" s="1"/>
  <c r="C5" i="5"/>
  <c r="B5" i="5"/>
  <c r="B5" i="8" s="1"/>
  <c r="C4" i="5"/>
  <c r="B4" i="5"/>
  <c r="B4" i="8" s="1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N103" i="5"/>
  <c r="E103" i="8" s="1"/>
  <c r="G103" i="8" s="1"/>
  <c r="N102" i="5"/>
  <c r="E102" i="8" s="1"/>
  <c r="G102" i="8" s="1"/>
  <c r="N101" i="5"/>
  <c r="O101" i="5" s="1"/>
  <c r="N100" i="5"/>
  <c r="P100" i="5" s="1"/>
  <c r="R100" i="5" s="1"/>
  <c r="F100" i="8" s="1"/>
  <c r="N99" i="5"/>
  <c r="P99" i="5" s="1"/>
  <c r="R99" i="5" s="1"/>
  <c r="F99" i="8" s="1"/>
  <c r="N98" i="5"/>
  <c r="N97" i="5"/>
  <c r="E97" i="8" s="1"/>
  <c r="G97" i="8" s="1"/>
  <c r="N96" i="5"/>
  <c r="N95" i="5"/>
  <c r="P95" i="5" s="1"/>
  <c r="R95" i="5" s="1"/>
  <c r="F95" i="8" s="1"/>
  <c r="N94" i="5"/>
  <c r="P94" i="5" s="1"/>
  <c r="R94" i="5" s="1"/>
  <c r="F94" i="8" s="1"/>
  <c r="N93" i="5"/>
  <c r="E93" i="8" s="1"/>
  <c r="G93" i="8" s="1"/>
  <c r="N92" i="5"/>
  <c r="O92" i="5" s="1"/>
  <c r="N91" i="5"/>
  <c r="P91" i="5" s="1"/>
  <c r="R91" i="5" s="1"/>
  <c r="F91" i="8" s="1"/>
  <c r="N90" i="5"/>
  <c r="N89" i="5"/>
  <c r="O89" i="5" s="1"/>
  <c r="N88" i="5"/>
  <c r="E88" i="8" s="1"/>
  <c r="G88" i="8" s="1"/>
  <c r="N87" i="5"/>
  <c r="E87" i="8" s="1"/>
  <c r="G87" i="8" s="1"/>
  <c r="N86" i="5"/>
  <c r="P86" i="5" s="1"/>
  <c r="R86" i="5" s="1"/>
  <c r="F86" i="8" s="1"/>
  <c r="N85" i="5"/>
  <c r="E85" i="8" s="1"/>
  <c r="G85" i="8" s="1"/>
  <c r="N84" i="5"/>
  <c r="P84" i="5" s="1"/>
  <c r="R84" i="5" s="1"/>
  <c r="F84" i="8" s="1"/>
  <c r="N83" i="5"/>
  <c r="P83" i="5" s="1"/>
  <c r="R83" i="5" s="1"/>
  <c r="F83" i="8" s="1"/>
  <c r="N82" i="5"/>
  <c r="N81" i="5"/>
  <c r="E81" i="8" s="1"/>
  <c r="G81" i="8" s="1"/>
  <c r="N80" i="5"/>
  <c r="N79" i="5"/>
  <c r="O79" i="5" s="1"/>
  <c r="N78" i="5"/>
  <c r="O78" i="5" s="1"/>
  <c r="N77" i="5"/>
  <c r="E77" i="8" s="1"/>
  <c r="G77" i="8" s="1"/>
  <c r="N76" i="5"/>
  <c r="P76" i="5" s="1"/>
  <c r="R76" i="5" s="1"/>
  <c r="F76" i="8" s="1"/>
  <c r="N75" i="5"/>
  <c r="P75" i="5" s="1"/>
  <c r="R75" i="5" s="1"/>
  <c r="F75" i="8" s="1"/>
  <c r="N74" i="5"/>
  <c r="N73" i="5"/>
  <c r="E73" i="8" s="1"/>
  <c r="G73" i="8" s="1"/>
  <c r="N72" i="5"/>
  <c r="N71" i="5"/>
  <c r="P71" i="5" s="1"/>
  <c r="R71" i="5" s="1"/>
  <c r="F71" i="8" s="1"/>
  <c r="N70" i="5"/>
  <c r="E70" i="8" s="1"/>
  <c r="G70" i="8" s="1"/>
  <c r="N69" i="5"/>
  <c r="E69" i="8" s="1"/>
  <c r="G69" i="8" s="1"/>
  <c r="N68" i="5"/>
  <c r="N67" i="5"/>
  <c r="P67" i="5" s="1"/>
  <c r="R67" i="5" s="1"/>
  <c r="F67" i="8" s="1"/>
  <c r="N66" i="5"/>
  <c r="E66" i="8" s="1"/>
  <c r="G66" i="8" s="1"/>
  <c r="N65" i="5"/>
  <c r="N64" i="5"/>
  <c r="O64" i="5" s="1"/>
  <c r="N63" i="5"/>
  <c r="E63" i="8" s="1"/>
  <c r="G63" i="8" s="1"/>
  <c r="N62" i="5"/>
  <c r="N61" i="5"/>
  <c r="E61" i="8" s="1"/>
  <c r="G61" i="8" s="1"/>
  <c r="N60" i="5"/>
  <c r="N59" i="5"/>
  <c r="N58" i="5"/>
  <c r="N57" i="5"/>
  <c r="E57" i="8" s="1"/>
  <c r="G57" i="8" s="1"/>
  <c r="N56" i="5"/>
  <c r="P56" i="5" s="1"/>
  <c r="R56" i="5" s="1"/>
  <c r="F56" i="8" s="1"/>
  <c r="N55" i="5"/>
  <c r="O55" i="5" s="1"/>
  <c r="N54" i="5"/>
  <c r="P54" i="5" s="1"/>
  <c r="R54" i="5" s="1"/>
  <c r="F54" i="8" s="1"/>
  <c r="N53" i="5"/>
  <c r="P53" i="5" s="1"/>
  <c r="R53" i="5" s="1"/>
  <c r="F53" i="8" s="1"/>
  <c r="N52" i="5"/>
  <c r="N51" i="5"/>
  <c r="N50" i="5"/>
  <c r="N49" i="5"/>
  <c r="O49" i="5" s="1"/>
  <c r="N48" i="5"/>
  <c r="P48" i="5" s="1"/>
  <c r="R48" i="5" s="1"/>
  <c r="F48" i="8" s="1"/>
  <c r="N47" i="5"/>
  <c r="E47" i="8" s="1"/>
  <c r="G47" i="8" s="1"/>
  <c r="N46" i="5"/>
  <c r="P46" i="5" s="1"/>
  <c r="R46" i="5" s="1"/>
  <c r="F46" i="8" s="1"/>
  <c r="N45" i="5"/>
  <c r="E45" i="8" s="1"/>
  <c r="G45" i="8" s="1"/>
  <c r="N44" i="5"/>
  <c r="N43" i="5"/>
  <c r="P43" i="5" s="1"/>
  <c r="R43" i="5" s="1"/>
  <c r="F43" i="8" s="1"/>
  <c r="N42" i="5"/>
  <c r="N41" i="5"/>
  <c r="N40" i="5"/>
  <c r="O40" i="5" s="1"/>
  <c r="N39" i="5"/>
  <c r="E39" i="8" s="1"/>
  <c r="G39" i="8" s="1"/>
  <c r="N38" i="5"/>
  <c r="P38" i="5" s="1"/>
  <c r="R38" i="5" s="1"/>
  <c r="F38" i="8" s="1"/>
  <c r="N37" i="5"/>
  <c r="O37" i="5" s="1"/>
  <c r="N36" i="5"/>
  <c r="N35" i="5"/>
  <c r="N34" i="5"/>
  <c r="N33" i="5"/>
  <c r="E33" i="8" s="1"/>
  <c r="G33" i="8" s="1"/>
  <c r="N32" i="5"/>
  <c r="O32" i="5" s="1"/>
  <c r="N31" i="5"/>
  <c r="P31" i="5" s="1"/>
  <c r="R31" i="5" s="1"/>
  <c r="F31" i="8" s="1"/>
  <c r="N30" i="5"/>
  <c r="O30" i="5" s="1"/>
  <c r="N29" i="5"/>
  <c r="E29" i="8" s="1"/>
  <c r="G29" i="8" s="1"/>
  <c r="N28" i="5"/>
  <c r="N27" i="5"/>
  <c r="N26" i="5"/>
  <c r="N25" i="5"/>
  <c r="N24" i="5"/>
  <c r="N23" i="5"/>
  <c r="E23" i="8" s="1"/>
  <c r="N22" i="5"/>
  <c r="O22" i="5" s="1"/>
  <c r="N21" i="5"/>
  <c r="O21" i="5" s="1"/>
  <c r="P21" i="5" s="1"/>
  <c r="R21" i="5" s="1"/>
  <c r="F21" i="8" s="1"/>
  <c r="N20" i="5"/>
  <c r="N19" i="5"/>
  <c r="N18" i="5"/>
  <c r="N17" i="5"/>
  <c r="E17" i="8" s="1"/>
  <c r="N16" i="5"/>
  <c r="E16" i="8" s="1"/>
  <c r="N15" i="5"/>
  <c r="E15" i="8" s="1"/>
  <c r="N14" i="5"/>
  <c r="O14" i="5" s="1"/>
  <c r="N13" i="5"/>
  <c r="E13" i="8" s="1"/>
  <c r="N12" i="5"/>
  <c r="O12" i="5" s="1"/>
  <c r="P12" i="5" s="1"/>
  <c r="R12" i="5" s="1"/>
  <c r="F12" i="8" s="1"/>
  <c r="N11" i="5"/>
  <c r="O11" i="5" s="1"/>
  <c r="P11" i="5" s="1"/>
  <c r="R11" i="5" s="1"/>
  <c r="F11" i="8" s="1"/>
  <c r="N10" i="5"/>
  <c r="N9" i="5"/>
  <c r="E9" i="8" s="1"/>
  <c r="N8" i="5"/>
  <c r="O8" i="5" s="1"/>
  <c r="P8" i="5" s="1"/>
  <c r="R8" i="5" s="1"/>
  <c r="F8" i="8" s="1"/>
  <c r="N7" i="5"/>
  <c r="O7" i="5" s="1"/>
  <c r="N6" i="5"/>
  <c r="N5" i="5"/>
  <c r="O5" i="5" s="1"/>
  <c r="P5" i="5" s="1"/>
  <c r="R5" i="5" s="1"/>
  <c r="F5" i="8" s="1"/>
  <c r="N4" i="5"/>
  <c r="O4" i="5" s="1"/>
  <c r="D103" i="8"/>
  <c r="C103" i="8"/>
  <c r="D102" i="8"/>
  <c r="C102" i="8"/>
  <c r="E101" i="8"/>
  <c r="G101" i="8" s="1"/>
  <c r="D101" i="8"/>
  <c r="C101" i="8"/>
  <c r="D100" i="8"/>
  <c r="C100" i="8"/>
  <c r="D99" i="8"/>
  <c r="C99" i="8"/>
  <c r="D98" i="8"/>
  <c r="C98" i="8"/>
  <c r="D97" i="8"/>
  <c r="C97" i="8"/>
  <c r="E96" i="8"/>
  <c r="G96" i="8" s="1"/>
  <c r="D96" i="8"/>
  <c r="C96" i="8"/>
  <c r="D95" i="8"/>
  <c r="C95" i="8"/>
  <c r="D94" i="8"/>
  <c r="C94" i="8"/>
  <c r="D93" i="8"/>
  <c r="C93" i="8"/>
  <c r="D92" i="8"/>
  <c r="C92" i="8"/>
  <c r="D91" i="8"/>
  <c r="C91" i="8"/>
  <c r="D90" i="8"/>
  <c r="C90" i="8"/>
  <c r="D89" i="8"/>
  <c r="C89" i="8"/>
  <c r="D88" i="8"/>
  <c r="C88" i="8"/>
  <c r="D87" i="8"/>
  <c r="C87" i="8"/>
  <c r="D86" i="8"/>
  <c r="C86" i="8"/>
  <c r="D85" i="8"/>
  <c r="C85" i="8"/>
  <c r="D84" i="8"/>
  <c r="C84" i="8"/>
  <c r="D83" i="8"/>
  <c r="C83" i="8"/>
  <c r="D82" i="8"/>
  <c r="C82" i="8"/>
  <c r="D81" i="8"/>
  <c r="C81" i="8"/>
  <c r="E80" i="8"/>
  <c r="G80" i="8" s="1"/>
  <c r="D80" i="8"/>
  <c r="C80" i="8"/>
  <c r="D79" i="8"/>
  <c r="C79" i="8"/>
  <c r="E78" i="8"/>
  <c r="G78" i="8" s="1"/>
  <c r="D78" i="8"/>
  <c r="C78" i="8"/>
  <c r="D77" i="8"/>
  <c r="C77" i="8"/>
  <c r="D76" i="8"/>
  <c r="C76" i="8"/>
  <c r="D75" i="8"/>
  <c r="C75" i="8"/>
  <c r="D74" i="8"/>
  <c r="C74" i="8"/>
  <c r="D73" i="8"/>
  <c r="C73" i="8"/>
  <c r="E72" i="8"/>
  <c r="G72" i="8" s="1"/>
  <c r="D72" i="8"/>
  <c r="C72" i="8"/>
  <c r="E71" i="8"/>
  <c r="G71" i="8" s="1"/>
  <c r="D71" i="8"/>
  <c r="C71" i="8"/>
  <c r="D70" i="8"/>
  <c r="C70" i="8"/>
  <c r="D69" i="8"/>
  <c r="C69" i="8"/>
  <c r="D68" i="8"/>
  <c r="C68" i="8"/>
  <c r="D67" i="8"/>
  <c r="C67" i="8"/>
  <c r="D66" i="8"/>
  <c r="C66" i="8"/>
  <c r="D65" i="8"/>
  <c r="C65" i="8"/>
  <c r="E64" i="8"/>
  <c r="G64" i="8" s="1"/>
  <c r="D64" i="8"/>
  <c r="C64" i="8"/>
  <c r="D63" i="8"/>
  <c r="C63" i="8"/>
  <c r="D62" i="8"/>
  <c r="C62" i="8"/>
  <c r="D61" i="8"/>
  <c r="C61" i="8"/>
  <c r="D60" i="8"/>
  <c r="C60" i="8"/>
  <c r="D59" i="8"/>
  <c r="C59" i="8"/>
  <c r="D58" i="8"/>
  <c r="C58" i="8"/>
  <c r="D57" i="8"/>
  <c r="C57" i="8"/>
  <c r="E56" i="8"/>
  <c r="G56" i="8" s="1"/>
  <c r="D56" i="8"/>
  <c r="C56" i="8"/>
  <c r="D55" i="8"/>
  <c r="C55" i="8"/>
  <c r="D54" i="8"/>
  <c r="C54" i="8"/>
  <c r="D53" i="8"/>
  <c r="C53" i="8"/>
  <c r="D52" i="8"/>
  <c r="C52" i="8"/>
  <c r="D51" i="8"/>
  <c r="C51" i="8"/>
  <c r="D50" i="8"/>
  <c r="C50" i="8"/>
  <c r="D49" i="8"/>
  <c r="C49" i="8"/>
  <c r="E48" i="8"/>
  <c r="G48" i="8" s="1"/>
  <c r="D48" i="8"/>
  <c r="C48" i="8"/>
  <c r="D47" i="8"/>
  <c r="C47" i="8"/>
  <c r="D46" i="8"/>
  <c r="C46" i="8"/>
  <c r="D45" i="8"/>
  <c r="C45" i="8"/>
  <c r="D44" i="8"/>
  <c r="C44" i="8"/>
  <c r="D43" i="8"/>
  <c r="C43" i="8"/>
  <c r="D42" i="8"/>
  <c r="C42" i="8"/>
  <c r="D41" i="8"/>
  <c r="C41" i="8"/>
  <c r="E40" i="8"/>
  <c r="G40" i="8" s="1"/>
  <c r="D40" i="8"/>
  <c r="C40" i="8"/>
  <c r="D39" i="8"/>
  <c r="C39" i="8"/>
  <c r="D38" i="8"/>
  <c r="C38" i="8"/>
  <c r="D37" i="8"/>
  <c r="C37" i="8"/>
  <c r="D36" i="8"/>
  <c r="C36" i="8"/>
  <c r="D35" i="8"/>
  <c r="C35" i="8"/>
  <c r="D34" i="8"/>
  <c r="C34" i="8"/>
  <c r="D33" i="8"/>
  <c r="C33" i="8"/>
  <c r="E32" i="8"/>
  <c r="G32" i="8" s="1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E24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E14" i="8"/>
  <c r="D14" i="8"/>
  <c r="C14" i="8"/>
  <c r="D13" i="8"/>
  <c r="C13" i="8"/>
  <c r="D12" i="8"/>
  <c r="C12" i="8"/>
  <c r="D11" i="8"/>
  <c r="C11" i="8"/>
  <c r="D10" i="8"/>
  <c r="C10" i="8"/>
  <c r="D9" i="8"/>
  <c r="C9" i="8"/>
  <c r="D8" i="8"/>
  <c r="C8" i="8"/>
  <c r="D7" i="8"/>
  <c r="C7" i="8"/>
  <c r="D6" i="8"/>
  <c r="C6" i="8"/>
  <c r="D5" i="8"/>
  <c r="C5" i="8"/>
  <c r="D4" i="8"/>
  <c r="C4" i="8"/>
  <c r="B4" i="7"/>
  <c r="P103" i="5"/>
  <c r="R103" i="5" s="1"/>
  <c r="F103" i="8" s="1"/>
  <c r="P101" i="5"/>
  <c r="R101" i="5" s="1"/>
  <c r="F101" i="8" s="1"/>
  <c r="O100" i="5"/>
  <c r="P96" i="5"/>
  <c r="R96" i="5" s="1"/>
  <c r="F96" i="8" s="1"/>
  <c r="O96" i="5"/>
  <c r="P92" i="5"/>
  <c r="R92" i="5" s="1"/>
  <c r="F92" i="8" s="1"/>
  <c r="P89" i="5"/>
  <c r="R89" i="5" s="1"/>
  <c r="F89" i="8" s="1"/>
  <c r="E89" i="8"/>
  <c r="G89" i="8" s="1"/>
  <c r="O88" i="5"/>
  <c r="O87" i="5"/>
  <c r="O85" i="5"/>
  <c r="O84" i="5"/>
  <c r="E82" i="8"/>
  <c r="G82" i="8" s="1"/>
  <c r="P81" i="5"/>
  <c r="R81" i="5" s="1"/>
  <c r="F81" i="8" s="1"/>
  <c r="P80" i="5"/>
  <c r="R80" i="5" s="1"/>
  <c r="F80" i="8" s="1"/>
  <c r="O80" i="5"/>
  <c r="P79" i="5"/>
  <c r="R79" i="5" s="1"/>
  <c r="F79" i="8" s="1"/>
  <c r="P78" i="5"/>
  <c r="R78" i="5" s="1"/>
  <c r="F78" i="8" s="1"/>
  <c r="P72" i="5"/>
  <c r="R72" i="5" s="1"/>
  <c r="F72" i="8" s="1"/>
  <c r="O72" i="5"/>
  <c r="O71" i="5"/>
  <c r="O68" i="5"/>
  <c r="P68" i="5"/>
  <c r="R68" i="5" s="1"/>
  <c r="F68" i="8" s="1"/>
  <c r="E65" i="8"/>
  <c r="G65" i="8" s="1"/>
  <c r="P64" i="5"/>
  <c r="R64" i="5" s="1"/>
  <c r="F64" i="8" s="1"/>
  <c r="O63" i="5"/>
  <c r="E62" i="8"/>
  <c r="G62" i="8" s="1"/>
  <c r="P60" i="5"/>
  <c r="R60" i="5" s="1"/>
  <c r="F60" i="8" s="1"/>
  <c r="P59" i="5"/>
  <c r="R59" i="5" s="1"/>
  <c r="F59" i="8" s="1"/>
  <c r="O57" i="5"/>
  <c r="P55" i="5"/>
  <c r="R55" i="5" s="1"/>
  <c r="F55" i="8" s="1"/>
  <c r="E54" i="8"/>
  <c r="G54" i="8" s="1"/>
  <c r="P52" i="5"/>
  <c r="R52" i="5" s="1"/>
  <c r="F52" i="8" s="1"/>
  <c r="E50" i="8"/>
  <c r="G50" i="8" s="1"/>
  <c r="P49" i="5"/>
  <c r="R49" i="5" s="1"/>
  <c r="F49" i="8" s="1"/>
  <c r="E49" i="8"/>
  <c r="G49" i="8" s="1"/>
  <c r="O48" i="5"/>
  <c r="P47" i="5"/>
  <c r="R47" i="5" s="1"/>
  <c r="F47" i="8" s="1"/>
  <c r="O45" i="5"/>
  <c r="P44" i="5"/>
  <c r="R44" i="5" s="1"/>
  <c r="F44" i="8" s="1"/>
  <c r="P41" i="5"/>
  <c r="R41" i="5" s="1"/>
  <c r="F41" i="8" s="1"/>
  <c r="O41" i="5"/>
  <c r="E41" i="8"/>
  <c r="G41" i="8" s="1"/>
  <c r="P40" i="5"/>
  <c r="R40" i="5" s="1"/>
  <c r="F40" i="8" s="1"/>
  <c r="E38" i="8"/>
  <c r="G38" i="8" s="1"/>
  <c r="P37" i="5"/>
  <c r="R37" i="5" s="1"/>
  <c r="F37" i="8" s="1"/>
  <c r="O36" i="5"/>
  <c r="P36" i="5"/>
  <c r="R36" i="5" s="1"/>
  <c r="F36" i="8" s="1"/>
  <c r="O33" i="5"/>
  <c r="P32" i="5"/>
  <c r="R32" i="5" s="1"/>
  <c r="F32" i="8" s="1"/>
  <c r="P28" i="5"/>
  <c r="R28" i="5" s="1"/>
  <c r="F28" i="8" s="1"/>
  <c r="P26" i="5"/>
  <c r="R26" i="5" s="1"/>
  <c r="F26" i="8" s="1"/>
  <c r="E25" i="8"/>
  <c r="O24" i="5"/>
  <c r="P24" i="5" s="1"/>
  <c r="R24" i="5" s="1"/>
  <c r="F24" i="8" s="1"/>
  <c r="O18" i="5"/>
  <c r="P18" i="5" s="1"/>
  <c r="R18" i="5" s="1"/>
  <c r="F18" i="8" s="1"/>
  <c r="O16" i="5"/>
  <c r="P16" i="5" s="1"/>
  <c r="R16" i="5" s="1"/>
  <c r="F16" i="8" s="1"/>
  <c r="O15" i="5"/>
  <c r="O9" i="5"/>
  <c r="P9" i="5" s="1"/>
  <c r="R9" i="5" s="1"/>
  <c r="F9" i="8" s="1"/>
  <c r="E5" i="8" l="1"/>
  <c r="G5" i="8" s="1"/>
  <c r="O53" i="5"/>
  <c r="O54" i="5"/>
  <c r="P69" i="5"/>
  <c r="R69" i="5" s="1"/>
  <c r="F69" i="8" s="1"/>
  <c r="E21" i="8"/>
  <c r="O69" i="5"/>
  <c r="P45" i="5"/>
  <c r="R45" i="5" s="1"/>
  <c r="F45" i="8" s="1"/>
  <c r="O56" i="5"/>
  <c r="P85" i="5"/>
  <c r="R85" i="5" s="1"/>
  <c r="F85" i="8" s="1"/>
  <c r="E7" i="8"/>
  <c r="O47" i="5"/>
  <c r="P57" i="5"/>
  <c r="R57" i="5" s="1"/>
  <c r="F57" i="8" s="1"/>
  <c r="E37" i="8"/>
  <c r="G37" i="8" s="1"/>
  <c r="E79" i="8"/>
  <c r="G79" i="8" s="1"/>
  <c r="G15" i="8"/>
  <c r="P15" i="5"/>
  <c r="R15" i="5" s="1"/>
  <c r="F15" i="8" s="1"/>
  <c r="P87" i="5"/>
  <c r="R87" i="5" s="1"/>
  <c r="F87" i="8" s="1"/>
  <c r="E31" i="8"/>
  <c r="G31" i="8" s="1"/>
  <c r="P61" i="5"/>
  <c r="R61" i="5" s="1"/>
  <c r="F61" i="8" s="1"/>
  <c r="G24" i="8"/>
  <c r="O61" i="5"/>
  <c r="P88" i="5"/>
  <c r="R88" i="5" s="1"/>
  <c r="F88" i="8" s="1"/>
  <c r="E53" i="8"/>
  <c r="G53" i="8" s="1"/>
  <c r="O23" i="5"/>
  <c r="P23" i="5" s="1"/>
  <c r="R23" i="5" s="1"/>
  <c r="F23" i="8" s="1"/>
  <c r="G23" i="8" s="1"/>
  <c r="G21" i="8"/>
  <c r="G9" i="8"/>
  <c r="G16" i="8"/>
  <c r="P29" i="5"/>
  <c r="R29" i="5" s="1"/>
  <c r="F29" i="8" s="1"/>
  <c r="E46" i="8"/>
  <c r="G46" i="8" s="1"/>
  <c r="O29" i="5"/>
  <c r="O38" i="5"/>
  <c r="O46" i="5"/>
  <c r="P63" i="5"/>
  <c r="R63" i="5" s="1"/>
  <c r="F63" i="8" s="1"/>
  <c r="E8" i="8"/>
  <c r="G8" i="8" s="1"/>
  <c r="E55" i="8"/>
  <c r="G55" i="8" s="1"/>
  <c r="E95" i="8"/>
  <c r="G95" i="8" s="1"/>
  <c r="O13" i="5"/>
  <c r="P93" i="5"/>
  <c r="R93" i="5" s="1"/>
  <c r="F93" i="8" s="1"/>
  <c r="O103" i="5"/>
  <c r="P13" i="5"/>
  <c r="R13" i="5" s="1"/>
  <c r="F13" i="8" s="1"/>
  <c r="G13" i="8" s="1"/>
  <c r="O93" i="5"/>
  <c r="P7" i="5"/>
  <c r="R7" i="5" s="1"/>
  <c r="F7" i="8" s="1"/>
  <c r="G7" i="8" s="1"/>
  <c r="O39" i="5"/>
  <c r="P14" i="5"/>
  <c r="R14" i="5" s="1"/>
  <c r="F14" i="8" s="1"/>
  <c r="G14" i="8" s="1"/>
  <c r="E30" i="8"/>
  <c r="G30" i="8" s="1"/>
  <c r="P77" i="5"/>
  <c r="R77" i="5" s="1"/>
  <c r="F77" i="8" s="1"/>
  <c r="P22" i="5"/>
  <c r="R22" i="5" s="1"/>
  <c r="F22" i="8" s="1"/>
  <c r="O31" i="5"/>
  <c r="P39" i="5"/>
  <c r="R39" i="5" s="1"/>
  <c r="F39" i="8" s="1"/>
  <c r="O77" i="5"/>
  <c r="O86" i="5"/>
  <c r="O95" i="5"/>
  <c r="E27" i="8"/>
  <c r="G27" i="8" s="1"/>
  <c r="O27" i="5"/>
  <c r="P58" i="5"/>
  <c r="R58" i="5" s="1"/>
  <c r="F58" i="8" s="1"/>
  <c r="O58" i="5"/>
  <c r="D22" i="7"/>
  <c r="B6" i="7"/>
  <c r="D28" i="7"/>
  <c r="D24" i="7"/>
  <c r="P4" i="5"/>
  <c r="R4" i="5" s="1"/>
  <c r="P27" i="5"/>
  <c r="R27" i="5" s="1"/>
  <c r="F27" i="8" s="1"/>
  <c r="P30" i="5"/>
  <c r="R30" i="5" s="1"/>
  <c r="F30" i="8" s="1"/>
  <c r="P33" i="5"/>
  <c r="R33" i="5" s="1"/>
  <c r="F33" i="8" s="1"/>
  <c r="O52" i="5"/>
  <c r="E99" i="8"/>
  <c r="G99" i="8" s="1"/>
  <c r="O99" i="5"/>
  <c r="O102" i="5"/>
  <c r="E68" i="8"/>
  <c r="G68" i="8" s="1"/>
  <c r="E43" i="8"/>
  <c r="G43" i="8" s="1"/>
  <c r="O43" i="5"/>
  <c r="P74" i="5"/>
  <c r="R74" i="5" s="1"/>
  <c r="F74" i="8" s="1"/>
  <c r="O74" i="5"/>
  <c r="P102" i="5"/>
  <c r="R102" i="5" s="1"/>
  <c r="F102" i="8" s="1"/>
  <c r="E12" i="8"/>
  <c r="G12" i="8" s="1"/>
  <c r="E22" i="8"/>
  <c r="G22" i="8" s="1"/>
  <c r="E86" i="8"/>
  <c r="G86" i="8" s="1"/>
  <c r="D27" i="7"/>
  <c r="E58" i="8"/>
  <c r="G58" i="8" s="1"/>
  <c r="E76" i="8"/>
  <c r="G76" i="8" s="1"/>
  <c r="O10" i="5"/>
  <c r="P10" i="5" s="1"/>
  <c r="R10" i="5" s="1"/>
  <c r="F10" i="8" s="1"/>
  <c r="E19" i="8"/>
  <c r="O19" i="5"/>
  <c r="P19" i="5" s="1"/>
  <c r="R19" i="5" s="1"/>
  <c r="F19" i="8" s="1"/>
  <c r="E59" i="8"/>
  <c r="G59" i="8" s="1"/>
  <c r="O59" i="5"/>
  <c r="O62" i="5"/>
  <c r="O65" i="5"/>
  <c r="P90" i="5"/>
  <c r="R90" i="5" s="1"/>
  <c r="F90" i="8" s="1"/>
  <c r="O90" i="5"/>
  <c r="D23" i="7"/>
  <c r="E10" i="8"/>
  <c r="E94" i="8"/>
  <c r="G94" i="8" s="1"/>
  <c r="P34" i="5"/>
  <c r="R34" i="5" s="1"/>
  <c r="F34" i="8" s="1"/>
  <c r="O34" i="5"/>
  <c r="P62" i="5"/>
  <c r="R62" i="5" s="1"/>
  <c r="F62" i="8" s="1"/>
  <c r="P65" i="5"/>
  <c r="R65" i="5" s="1"/>
  <c r="F65" i="8" s="1"/>
  <c r="E20" i="8"/>
  <c r="E84" i="8"/>
  <c r="G84" i="8" s="1"/>
  <c r="O25" i="5"/>
  <c r="P25" i="5" s="1"/>
  <c r="R25" i="5" s="1"/>
  <c r="F25" i="8" s="1"/>
  <c r="G25" i="8" s="1"/>
  <c r="O28" i="5"/>
  <c r="E75" i="8"/>
  <c r="G75" i="8" s="1"/>
  <c r="O75" i="5"/>
  <c r="O81" i="5"/>
  <c r="D19" i="7"/>
  <c r="P50" i="5"/>
  <c r="R50" i="5" s="1"/>
  <c r="F50" i="8" s="1"/>
  <c r="O50" i="5"/>
  <c r="E28" i="8"/>
  <c r="G28" i="8" s="1"/>
  <c r="E74" i="8"/>
  <c r="G74" i="8" s="1"/>
  <c r="E92" i="8"/>
  <c r="G92" i="8" s="1"/>
  <c r="O44" i="5"/>
  <c r="E91" i="8"/>
  <c r="G91" i="8" s="1"/>
  <c r="O91" i="5"/>
  <c r="O94" i="5"/>
  <c r="O97" i="5"/>
  <c r="E6" i="8"/>
  <c r="E35" i="8"/>
  <c r="G35" i="8" s="1"/>
  <c r="O35" i="5"/>
  <c r="P66" i="5"/>
  <c r="R66" i="5" s="1"/>
  <c r="F66" i="8" s="1"/>
  <c r="O66" i="5"/>
  <c r="P97" i="5"/>
  <c r="R97" i="5" s="1"/>
  <c r="F97" i="8" s="1"/>
  <c r="E18" i="8"/>
  <c r="G18" i="8" s="1"/>
  <c r="E36" i="8"/>
  <c r="G36" i="8" s="1"/>
  <c r="E100" i="8"/>
  <c r="G100" i="8" s="1"/>
  <c r="O17" i="5"/>
  <c r="P17" i="5" s="1"/>
  <c r="R17" i="5" s="1"/>
  <c r="F17" i="8" s="1"/>
  <c r="G17" i="8" s="1"/>
  <c r="O20" i="5"/>
  <c r="P20" i="5" s="1"/>
  <c r="R20" i="5" s="1"/>
  <c r="F20" i="8" s="1"/>
  <c r="P35" i="5"/>
  <c r="R35" i="5" s="1"/>
  <c r="F35" i="8" s="1"/>
  <c r="O60" i="5"/>
  <c r="B5" i="7"/>
  <c r="D20" i="7"/>
  <c r="E4" i="8"/>
  <c r="E51" i="8"/>
  <c r="G51" i="8" s="1"/>
  <c r="O51" i="5"/>
  <c r="P82" i="5"/>
  <c r="R82" i="5" s="1"/>
  <c r="F82" i="8" s="1"/>
  <c r="O82" i="5"/>
  <c r="D25" i="7"/>
  <c r="E26" i="8"/>
  <c r="G26" i="8" s="1"/>
  <c r="E44" i="8"/>
  <c r="G44" i="8" s="1"/>
  <c r="E90" i="8"/>
  <c r="G90" i="8" s="1"/>
  <c r="O76" i="5"/>
  <c r="E11" i="8"/>
  <c r="G11" i="8" s="1"/>
  <c r="O26" i="5"/>
  <c r="P51" i="5"/>
  <c r="R51" i="5" s="1"/>
  <c r="F51" i="8" s="1"/>
  <c r="O6" i="5"/>
  <c r="P6" i="5" s="1"/>
  <c r="R6" i="5" s="1"/>
  <c r="F6" i="8" s="1"/>
  <c r="E67" i="8"/>
  <c r="G67" i="8" s="1"/>
  <c r="O67" i="5"/>
  <c r="O70" i="5"/>
  <c r="O73" i="5"/>
  <c r="P98" i="5"/>
  <c r="R98" i="5" s="1"/>
  <c r="F98" i="8" s="1"/>
  <c r="O98" i="5"/>
  <c r="E34" i="8"/>
  <c r="G34" i="8" s="1"/>
  <c r="E52" i="8"/>
  <c r="G52" i="8" s="1"/>
  <c r="E98" i="8"/>
  <c r="G98" i="8" s="1"/>
  <c r="P42" i="5"/>
  <c r="R42" i="5" s="1"/>
  <c r="F42" i="8" s="1"/>
  <c r="O42" i="5"/>
  <c r="P70" i="5"/>
  <c r="R70" i="5" s="1"/>
  <c r="F70" i="8" s="1"/>
  <c r="P73" i="5"/>
  <c r="R73" i="5" s="1"/>
  <c r="F73" i="8" s="1"/>
  <c r="D21" i="7"/>
  <c r="D26" i="7"/>
  <c r="E83" i="8"/>
  <c r="G83" i="8" s="1"/>
  <c r="O83" i="5"/>
  <c r="E42" i="8"/>
  <c r="G42" i="8" s="1"/>
  <c r="E60" i="8"/>
  <c r="G60" i="8" s="1"/>
  <c r="G19" i="8" l="1"/>
  <c r="F20" i="7" a="1"/>
  <c r="F20" i="7" s="1"/>
  <c r="E20" i="7" a="1"/>
  <c r="E20" i="7" s="1"/>
  <c r="C20" i="7" a="1"/>
  <c r="C20" i="7" s="1"/>
  <c r="B20" i="7" a="1"/>
  <c r="B20" i="7" s="1"/>
  <c r="G20" i="8"/>
  <c r="F27" i="7" a="1"/>
  <c r="F27" i="7" s="1"/>
  <c r="E27" i="7" a="1"/>
  <c r="E27" i="7" s="1"/>
  <c r="C27" i="7" a="1"/>
  <c r="C27" i="7" s="1"/>
  <c r="B27" i="7" a="1"/>
  <c r="B27" i="7" s="1"/>
  <c r="F24" i="7" a="1"/>
  <c r="F24" i="7" s="1"/>
  <c r="E24" i="7" a="1"/>
  <c r="E24" i="7" s="1"/>
  <c r="C24" i="7" a="1"/>
  <c r="C24" i="7" s="1"/>
  <c r="B24" i="7" a="1"/>
  <c r="B24" i="7" s="1"/>
  <c r="F26" i="7" a="1"/>
  <c r="F26" i="7" s="1"/>
  <c r="E26" i="7" a="1"/>
  <c r="E26" i="7" s="1"/>
  <c r="C26" i="7" a="1"/>
  <c r="C26" i="7" s="1"/>
  <c r="B26" i="7" a="1"/>
  <c r="B26" i="7" s="1"/>
  <c r="F28" i="7" a="1"/>
  <c r="F28" i="7" s="1"/>
  <c r="E28" i="7" a="1"/>
  <c r="E28" i="7" s="1"/>
  <c r="C28" i="7" a="1"/>
  <c r="C28" i="7" s="1"/>
  <c r="B28" i="7" a="1"/>
  <c r="B28" i="7" s="1"/>
  <c r="F22" i="7" a="1"/>
  <c r="F22" i="7" s="1"/>
  <c r="E22" i="7" a="1"/>
  <c r="E22" i="7" s="1"/>
  <c r="C22" i="7" a="1"/>
  <c r="C22" i="7" s="1"/>
  <c r="B22" i="7" a="1"/>
  <c r="B22" i="7" s="1"/>
  <c r="F19" i="7" a="1"/>
  <c r="F19" i="7" s="1"/>
  <c r="E19" i="7" a="1"/>
  <c r="E19" i="7" s="1"/>
  <c r="C19" i="7" a="1"/>
  <c r="C19" i="7" s="1"/>
  <c r="B19" i="7" a="1"/>
  <c r="B19" i="7" s="1"/>
  <c r="F25" i="7" a="1"/>
  <c r="F25" i="7" s="1"/>
  <c r="E25" i="7" a="1"/>
  <c r="E25" i="7" s="1"/>
  <c r="C25" i="7" a="1"/>
  <c r="C25" i="7" s="1"/>
  <c r="B25" i="7" a="1"/>
  <c r="B25" i="7" s="1"/>
  <c r="F23" i="7" a="1"/>
  <c r="F23" i="7" s="1"/>
  <c r="E23" i="7" a="1"/>
  <c r="E23" i="7" s="1"/>
  <c r="C23" i="7" a="1"/>
  <c r="C23" i="7" s="1"/>
  <c r="B23" i="7" a="1"/>
  <c r="B23" i="7" s="1"/>
  <c r="F21" i="7" a="1"/>
  <c r="F21" i="7" s="1"/>
  <c r="E21" i="7" a="1"/>
  <c r="E21" i="7" s="1"/>
  <c r="C21" i="7" a="1"/>
  <c r="C21" i="7" s="1"/>
  <c r="B21" i="7" a="1"/>
  <c r="B21" i="7" s="1"/>
  <c r="G10" i="8"/>
  <c r="G6" i="8"/>
  <c r="B16" i="7"/>
  <c r="B11" i="7"/>
  <c r="B12" i="7"/>
  <c r="B8" i="7"/>
  <c r="F4" i="8"/>
  <c r="G4" i="8" s="1"/>
  <c r="B7" i="7"/>
  <c r="B15" i="7"/>
  <c r="B14" i="7"/>
  <c r="B13" i="7"/>
  <c r="C13" i="7" l="1"/>
  <c r="C14" i="7"/>
  <c r="C15" i="7"/>
  <c r="C16" i="7"/>
  <c r="C11" i="7"/>
  <c r="C1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<sst xmlns="http://schemas.openxmlformats.org/spreadsheetml/2006/main" count="2590" uniqueCount="981">
  <si>
    <t>Методика работы с Excel-шаблоном классификации компаний по уровням конкуренции</t>
  </si>
  <si>
    <t>Блок</t>
  </si>
  <si>
    <t>Что делает аналитик</t>
  </si>
  <si>
    <t>Где заполнять</t>
  </si>
  <si>
    <t>Результат</t>
  </si>
  <si>
    <t>Контроль качества</t>
  </si>
  <si>
    <t>Тип ошибки</t>
  </si>
  <si>
    <t>Как исправлять</t>
  </si>
  <si>
    <t>Итог</t>
  </si>
  <si>
    <t>1. Формирование списка</t>
  </si>
  <si>
    <t>Собрать первичный перечень компаний из поиска, отраслевых обзоров, каталогов, рекламы, рекомендаций и найденных на сайтах ссылок.</t>
  </si>
  <si>
    <t>01_Компании</t>
  </si>
  <si>
    <t>Единый реестр компаний</t>
  </si>
  <si>
    <t>У каждой компании есть сайт и краткое описание товара.</t>
  </si>
  <si>
    <t>В список попали нерелевантные компании без объяснения.</t>
  </si>
  <si>
    <t>Оставлять только с пометкой «объект наблюдения» или исключать.</t>
  </si>
  <si>
    <t>Сформирован массив для проверки.</t>
  </si>
  <si>
    <t>2. Сбор доказательств</t>
  </si>
  <si>
    <t>По каждой компании фиксировать факты с сайта: продукт, аудитория, цена, сценарии, каналы, доверие, география.</t>
  </si>
  <si>
    <t>02_Доказательства</t>
  </si>
  <si>
    <t>Набор проверяемых сигналов</t>
  </si>
  <si>
    <t>Каждый вывод имеет URL и наблюдаемый факт.</t>
  </si>
  <si>
    <t>Аналитик записывает мнение без факта.</t>
  </si>
  <si>
    <t>Разделять факт и вывод; добавлять ссылку.</t>
  </si>
  <si>
    <t>Создана доказательная база.</t>
  </si>
  <si>
    <t>3. Оценка по критериям</t>
  </si>
  <si>
    <t>Присвоить баллы 0–5 по каждому критерию согласно листу 03.</t>
  </si>
  <si>
    <t>04_Оценка</t>
  </si>
  <si>
    <t>Взвешенный балл близости</t>
  </si>
  <si>
    <t>Оценка не ставится без доказательств.</t>
  </si>
  <si>
    <t>Завышение баллов из-за общего отраслевого сходства.</t>
  </si>
  <si>
    <t>Проверять заменяемость товара и потребительскую задачу.</t>
  </si>
  <si>
    <t>Получена расчетная классификация.</t>
  </si>
  <si>
    <t>4. Проверка ограничителей</t>
  </si>
  <si>
    <t>Проверить, не мешает ли низкое совпадение задачи или заменяемости присвоить прямую конкуренцию.</t>
  </si>
  <si>
    <t>Автоматическое ограничение уровня</t>
  </si>
  <si>
    <t>Прямой конкурент невозможен без совпадения задачи и заменяемости.</t>
  </si>
  <si>
    <t>Компания названа прямым конкурентом только из-за известности.</t>
  </si>
  <si>
    <t>Снизить уровень до альтернативы или заменителя.</t>
  </si>
  <si>
    <t>Классификация становится строгой.</t>
  </si>
  <si>
    <t>5. Экспертная корректировка</t>
  </si>
  <si>
    <t>При необходимости изменить уровень, но только с письменным обоснованием.</t>
  </si>
  <si>
    <t>Итоговый уровень</t>
  </si>
  <si>
    <t>У корректировки есть причина и ссылка.</t>
  </si>
  <si>
    <t>Корректировка без объяснения.</t>
  </si>
  <si>
    <t>Заполнить обоснование и ключевые ссылки.</t>
  </si>
  <si>
    <t>Получена финальная классификация.</t>
  </si>
  <si>
    <t>6. Сводный анализ</t>
  </si>
  <si>
    <t>Оценить распределение компаний по уровням, выделить прямых конкурентов и ближайшие альтернативы.</t>
  </si>
  <si>
    <t>06_Сводка, 07_Карта</t>
  </si>
  <si>
    <t>Карта конкурентного окружения</t>
  </si>
  <si>
    <t>Прямые конкуренты отделены от заменителей и смежных компаний.</t>
  </si>
  <si>
    <t>Все компании смешаны в одну группу.</t>
  </si>
  <si>
    <t>Использовать уровни и зоны карты отдельно.</t>
  </si>
  <si>
    <t>Сформирован список для последующего анализа сайтов, товара и бизнес-модели.</t>
  </si>
  <si>
    <t>Правило</t>
  </si>
  <si>
    <t>Содержание</t>
  </si>
  <si>
    <t>Факт важнее предположения</t>
  </si>
  <si>
    <t>Уровень конкуренции нельзя назначать только по общему впечатлению от компании. Минимальное основание — сайт, страница товара, тарифы, описание сегмента или иной публичный сигнал.</t>
  </si>
  <si>
    <t>Прямой конкурент — это не просто похожая компания</t>
  </si>
  <si>
    <t>Прямым конкурентом считается только тот, кто решает ту же задачу для близкой аудитории с функционально заменяемым цифровым товаром.</t>
  </si>
  <si>
    <t>Заменитель не равен прямому конкуренту</t>
  </si>
  <si>
    <t>Если конечная потребность похожа, но способ решения другой, компания относится к косвенной конкуренции или заменителям.</t>
  </si>
  <si>
    <t>Потенциальный конкурент требует сигнала</t>
  </si>
  <si>
    <t>Недостаточно предположить, что компания может войти в рынок. Нужны признаки: смежные продукты, новые разделы, вакансии, партнерства, дорожная карта, объявления.</t>
  </si>
  <si>
    <t>Экспертная корректировка допустима</t>
  </si>
  <si>
    <t>Она нужна для спорных случаев, но всегда должна сопровождаться обоснованием и ссылками на доказательства.</t>
  </si>
  <si>
    <t>Реестр компаний для классификации по уровням конкуренции</t>
  </si>
  <si>
    <t>ID</t>
  </si>
  <si>
    <t>Компания</t>
  </si>
  <si>
    <t>Сайт</t>
  </si>
  <si>
    <t>Рынок / страна</t>
  </si>
  <si>
    <t>Тип компании</t>
  </si>
  <si>
    <t>Основной цифровой товар</t>
  </si>
  <si>
    <t>Целевой сегмент</t>
  </si>
  <si>
    <t>Предварительная гипотеза</t>
  </si>
  <si>
    <t>Приоритет</t>
  </si>
  <si>
    <t>Ответственный</t>
  </si>
  <si>
    <t>Статус</t>
  </si>
  <si>
    <t>Дата обновления</t>
  </si>
  <si>
    <t>Комментарий</t>
  </si>
  <si>
    <t>K001</t>
  </si>
  <si>
    <t>K002</t>
  </si>
  <si>
    <t>K003</t>
  </si>
  <si>
    <t>K004</t>
  </si>
  <si>
    <t>K005</t>
  </si>
  <si>
    <t>K006</t>
  </si>
  <si>
    <t>K007</t>
  </si>
  <si>
    <t>K008</t>
  </si>
  <si>
    <t>K009</t>
  </si>
  <si>
    <t>K010</t>
  </si>
  <si>
    <t>K011</t>
  </si>
  <si>
    <t>K012</t>
  </si>
  <si>
    <t>K013</t>
  </si>
  <si>
    <t>K014</t>
  </si>
  <si>
    <t>K015</t>
  </si>
  <si>
    <t>K016</t>
  </si>
  <si>
    <t>K017</t>
  </si>
  <si>
    <t>K018</t>
  </si>
  <si>
    <t>K019</t>
  </si>
  <si>
    <t>K020</t>
  </si>
  <si>
    <t>K021</t>
  </si>
  <si>
    <t>K022</t>
  </si>
  <si>
    <t>K023</t>
  </si>
  <si>
    <t>K024</t>
  </si>
  <si>
    <t>K025</t>
  </si>
  <si>
    <t>K026</t>
  </si>
  <si>
    <t>K027</t>
  </si>
  <si>
    <t>K028</t>
  </si>
  <si>
    <t>K029</t>
  </si>
  <si>
    <t>K030</t>
  </si>
  <si>
    <t>K031</t>
  </si>
  <si>
    <t>K032</t>
  </si>
  <si>
    <t>K033</t>
  </si>
  <si>
    <t>K034</t>
  </si>
  <si>
    <t>K035</t>
  </si>
  <si>
    <t>K036</t>
  </si>
  <si>
    <t>K037</t>
  </si>
  <si>
    <t>K038</t>
  </si>
  <si>
    <t>K039</t>
  </si>
  <si>
    <t>K040</t>
  </si>
  <si>
    <t>K041</t>
  </si>
  <si>
    <t>K042</t>
  </si>
  <si>
    <t>K043</t>
  </si>
  <si>
    <t>K044</t>
  </si>
  <si>
    <t>K045</t>
  </si>
  <si>
    <t>K046</t>
  </si>
  <si>
    <t>K047</t>
  </si>
  <si>
    <t>K048</t>
  </si>
  <si>
    <t>K049</t>
  </si>
  <si>
    <t>K050</t>
  </si>
  <si>
    <t>K051</t>
  </si>
  <si>
    <t>K052</t>
  </si>
  <si>
    <t>K053</t>
  </si>
  <si>
    <t>K054</t>
  </si>
  <si>
    <t>K055</t>
  </si>
  <si>
    <t>K056</t>
  </si>
  <si>
    <t>K057</t>
  </si>
  <si>
    <t>K058</t>
  </si>
  <si>
    <t>K059</t>
  </si>
  <si>
    <t>K060</t>
  </si>
  <si>
    <t>K061</t>
  </si>
  <si>
    <t>K062</t>
  </si>
  <si>
    <t>K063</t>
  </si>
  <si>
    <t>K064</t>
  </si>
  <si>
    <t>K065</t>
  </si>
  <si>
    <t>K066</t>
  </si>
  <si>
    <t>K067</t>
  </si>
  <si>
    <t>K068</t>
  </si>
  <si>
    <t>K069</t>
  </si>
  <si>
    <t>K070</t>
  </si>
  <si>
    <t>K071</t>
  </si>
  <si>
    <t>K072</t>
  </si>
  <si>
    <t>K073</t>
  </si>
  <si>
    <t>K074</t>
  </si>
  <si>
    <t>K075</t>
  </si>
  <si>
    <t>K076</t>
  </si>
  <si>
    <t>K077</t>
  </si>
  <si>
    <t>K078</t>
  </si>
  <si>
    <t>K079</t>
  </si>
  <si>
    <t>K080</t>
  </si>
  <si>
    <t>K081</t>
  </si>
  <si>
    <t>K082</t>
  </si>
  <si>
    <t>K083</t>
  </si>
  <si>
    <t>K084</t>
  </si>
  <si>
    <t>K085</t>
  </si>
  <si>
    <t>K086</t>
  </si>
  <si>
    <t>K087</t>
  </si>
  <si>
    <t>K088</t>
  </si>
  <si>
    <t>K089</t>
  </si>
  <si>
    <t>K090</t>
  </si>
  <si>
    <t>K091</t>
  </si>
  <si>
    <t>K092</t>
  </si>
  <si>
    <t>K093</t>
  </si>
  <si>
    <t>K094</t>
  </si>
  <si>
    <t>K095</t>
  </si>
  <si>
    <t>K096</t>
  </si>
  <si>
    <t>K097</t>
  </si>
  <si>
    <t>K098</t>
  </si>
  <si>
    <t>K099</t>
  </si>
  <si>
    <t>K100</t>
  </si>
  <si>
    <t>Доказательства и сигналы с сайтов конкурентов</t>
  </si>
  <si>
    <t>ID компании</t>
  </si>
  <si>
    <t>Раздел сайта</t>
  </si>
  <si>
    <t>URL</t>
  </si>
  <si>
    <t>Наблюдаемый факт</t>
  </si>
  <si>
    <t>Тип сигнала</t>
  </si>
  <si>
    <t>Сила сигнала 1–5</t>
  </si>
  <si>
    <t>Дата фиксации</t>
  </si>
  <si>
    <t>Вывод для классификации</t>
  </si>
  <si>
    <t>Достоверность 1–5</t>
  </si>
  <si>
    <t>Скриншот / архив</t>
  </si>
  <si>
    <t>Критерии оценки уровня конкуренции</t>
  </si>
  <si>
    <t>Код</t>
  </si>
  <si>
    <t>Критерий</t>
  </si>
  <si>
    <t>Что проверяется по сайту</t>
  </si>
  <si>
    <t>Индикаторы</t>
  </si>
  <si>
    <t>Вес</t>
  </si>
  <si>
    <t>0 баллов</t>
  </si>
  <si>
    <t>1 балл</t>
  </si>
  <si>
    <t>3 балла</t>
  </si>
  <si>
    <t>5 баллов</t>
  </si>
  <si>
    <t>Обязателен для прямого конкурента</t>
  </si>
  <si>
    <t>C1</t>
  </si>
  <si>
    <t>Потребительская задача</t>
  </si>
  <si>
    <t>Какую проблему клиента компания обещает решить.</t>
  </si>
  <si>
    <t>Формулировки на главной странице, страницы продукта, выгоды, результаты, случаи применения.</t>
  </si>
  <si>
    <t>Задача не совпадает</t>
  </si>
  <si>
    <t>Есть общее отраслевое сходство</t>
  </si>
  <si>
    <t>Задача в значительной степени совпадает</t>
  </si>
  <si>
    <t>Та же задача и тот же ожидаемый результат</t>
  </si>
  <si>
    <t>Да</t>
  </si>
  <si>
    <t>C2</t>
  </si>
  <si>
    <t>Целевая аудитория</t>
  </si>
  <si>
    <t>Для кого предназначен товар.</t>
  </si>
  <si>
    <t>Сегменты, отрасли, роли пользователей, размер клиента, B2B/B2C/B2G.</t>
  </si>
  <si>
    <t>Иная аудитория</t>
  </si>
  <si>
    <t>Частичное пересечение</t>
  </si>
  <si>
    <t>Существенное пересечение</t>
  </si>
  <si>
    <t>Та же целевая аудитория</t>
  </si>
  <si>
    <t>C3</t>
  </si>
  <si>
    <t>Функциональная заменяемость товара</t>
  </si>
  <si>
    <t>Может ли товар заменить анализируемое решение.</t>
  </si>
  <si>
    <t>Функции, модули, демонстрации, страницы возможностей, интеграции.</t>
  </si>
  <si>
    <t>Не заменяет</t>
  </si>
  <si>
    <t>Заменяет отдельный участок</t>
  </si>
  <si>
    <t>Заменяет значимую часть задачи</t>
  </si>
  <si>
    <t>Может полностью заменить товар</t>
  </si>
  <si>
    <t>C4</t>
  </si>
  <si>
    <t>Сценарий использования</t>
  </si>
  <si>
    <t>В каком процессе и в какой ситуации используется товар.</t>
  </si>
  <si>
    <t>Путь пользователя, описания внедрения, варианты использования, инструкции.</t>
  </si>
  <si>
    <t>Иной сценарий</t>
  </si>
  <si>
    <t>Слабое совпадение сценария</t>
  </si>
  <si>
    <t>Сценарии близки</t>
  </si>
  <si>
    <t>Сценарии практически одинаковы</t>
  </si>
  <si>
    <t>Нет</t>
  </si>
  <si>
    <t>C5</t>
  </si>
  <si>
    <t>Ценовой уровень и форма оплаты</t>
  </si>
  <si>
    <t>Сопоставима ли экономическая логика покупки.</t>
  </si>
  <si>
    <t>Тарифы, подписка, комиссия, пакет, бесплатный период, корпоративный расчет.</t>
  </si>
  <si>
    <t>Нет данных/иная экономика</t>
  </si>
  <si>
    <t>Частично сопоставимо</t>
  </si>
  <si>
    <t>Сопоставимый диапазон</t>
  </si>
  <si>
    <t>Почти тот же диапазон и форма оплаты</t>
  </si>
  <si>
    <t>C6</t>
  </si>
  <si>
    <t>Каналы продаж и привлечения</t>
  </si>
  <si>
    <t>Как клиент приходит к покупке и получает доступ.</t>
  </si>
  <si>
    <t>Сайт, приложение, маркетплейсы, партнеры, личные продажи, демонстрация, пробный доступ.</t>
  </si>
  <si>
    <t>Каналы не совпадают</t>
  </si>
  <si>
    <t>Есть один общий канал</t>
  </si>
  <si>
    <t>Несколько общих каналов</t>
  </si>
  <si>
    <t>Путь к покупке почти одинаков</t>
  </si>
  <si>
    <t>C7</t>
  </si>
  <si>
    <t>География, язык, регулирование</t>
  </si>
  <si>
    <t>Работает ли компания на том же рынке в сопоставимых условиях.</t>
  </si>
  <si>
    <t>Страны, языки, валюта, юридическая информация, требования отрасли.</t>
  </si>
  <si>
    <t>Иной рынок</t>
  </si>
  <si>
    <t>Потенциально релевантно</t>
  </si>
  <si>
    <t>Рынки частично совпадают</t>
  </si>
  <si>
    <t>Тот же рынок и условия</t>
  </si>
  <si>
    <t>C8</t>
  </si>
  <si>
    <t>Модель монетизации</t>
  </si>
  <si>
    <t>Как компания получает выручку.</t>
  </si>
  <si>
    <t>Тарифные планы, комиссия, freemium, лицензия, платные модули, реклама.</t>
  </si>
  <si>
    <t>Иная логика выручки</t>
  </si>
  <si>
    <t>Есть отдельные сходства</t>
  </si>
  <si>
    <t>Модель близка</t>
  </si>
  <si>
    <t>Модель практически совпадает</t>
  </si>
  <si>
    <t>C9</t>
  </si>
  <si>
    <t>Уровень зрелости и доверия</t>
  </si>
  <si>
    <t>Способна ли компания реально конкурировать за выбор клиента.</t>
  </si>
  <si>
    <t>Кейсы, клиенты, отзывы, сертификаты, партнеры, история, служба поддержки.</t>
  </si>
  <si>
    <t>Слабые признаки зрелости</t>
  </si>
  <si>
    <t>Единичные признаки</t>
  </si>
  <si>
    <t>Достаточные признаки надежности</t>
  </si>
  <si>
    <t>Сильная доказанная рыночная позиция</t>
  </si>
  <si>
    <t>C10</t>
  </si>
  <si>
    <t>Вероятность переключения клиента</t>
  </si>
  <si>
    <t>Насколько реалистично, что клиент заменит одно решение другим.</t>
  </si>
  <si>
    <t>Миграция, импорт данных, интеграции, поддержка перехода, сравнения, обещания простого старта.</t>
  </si>
  <si>
    <t>Переключение маловероятно</t>
  </si>
  <si>
    <t>Требует значительных усилий</t>
  </si>
  <si>
    <t>Переключение возможно</t>
  </si>
  <si>
    <t>Переключение явно поддерживается</t>
  </si>
  <si>
    <t>Примечание</t>
  </si>
  <si>
    <t>Вес можно изменять под отрасль. Итоговая оценка на листе 04 автоматически пересчитывается по измененным весам.</t>
  </si>
  <si>
    <t>Матрица оценки и автоматическая классификация уровня конкуренции</t>
  </si>
  <si>
    <t>C1 задача</t>
  </si>
  <si>
    <t>C2 аудитория</t>
  </si>
  <si>
    <t>C3 заменяемость</t>
  </si>
  <si>
    <t>C4 сценарий</t>
  </si>
  <si>
    <t>C5 цена</t>
  </si>
  <si>
    <t>C6 каналы</t>
  </si>
  <si>
    <t>C7 география</t>
  </si>
  <si>
    <t>C8 монетизация</t>
  </si>
  <si>
    <t>C9 зрелость</t>
  </si>
  <si>
    <t>C10 переключение</t>
  </si>
  <si>
    <t>Взвешенный балл</t>
  </si>
  <si>
    <t>Ограничитель</t>
  </si>
  <si>
    <t>Расчетный уровень</t>
  </si>
  <si>
    <t>Экспертная корректировка</t>
  </si>
  <si>
    <t>Статус решения</t>
  </si>
  <si>
    <t>Ключевое обоснование</t>
  </si>
  <si>
    <t>Ключевые ссылки</t>
  </si>
  <si>
    <t>Дата проверки</t>
  </si>
  <si>
    <t>Классификация компаний по уровням конкуренции</t>
  </si>
  <si>
    <t>Уровень</t>
  </si>
  <si>
    <t>Определение</t>
  </si>
  <si>
    <t>Ключевой критерий</t>
  </si>
  <si>
    <t>Порог по баллу</t>
  </si>
  <si>
    <t>Обязательные условия</t>
  </si>
  <si>
    <t>Типовые признаки на сайте</t>
  </si>
  <si>
    <t>Решение аналитика</t>
  </si>
  <si>
    <t>Прямой конкурент</t>
  </si>
  <si>
    <t>Компания удовлетворяет ту же потребительскую задачу для той же или близкой аудитории сопоставимым цифровым товаром.</t>
  </si>
  <si>
    <t>Высокая заменяемость товара и совпадение целевого сегмента.</t>
  </si>
  <si>
    <t>4,20–5,00</t>
  </si>
  <si>
    <t>Потребительская задача ≥ 3; функциональная заменяемость ≥ 3.</t>
  </si>
  <si>
    <t>Сходные тарифы, сценарии использования, обещания результата, демонстрации товара, одинаковые категории клиентов.</t>
  </si>
  <si>
    <t>Включить в постоянный конкурентный мониторинг.</t>
  </si>
  <si>
    <t>Близкий альтернативный конкурент</t>
  </si>
  <si>
    <t>Компания решает ту же или близкую задачу, но делает это через иной формат товара, канал, сегмент или модель оплаты.</t>
  </si>
  <si>
    <t>Клиент может рассматривать решение как практическую альтернативу.</t>
  </si>
  <si>
    <t>3,40–4,19</t>
  </si>
  <si>
    <t>Нет критического расхождения по потребительской задаче.</t>
  </si>
  <si>
    <t>Похожие выгоды, частично отличающаяся функциональность, иной формат доступа, другая тарифная логика.</t>
  </si>
  <si>
    <t>Сравнивать по ценностному предложению и причинам выбора.</t>
  </si>
  <si>
    <t>Косвенный конкурент / заменитель</t>
  </si>
  <si>
    <t>Компания закрывает ту же потребность и может заменить покупку, но товарная категория или способ решения заметно отличаются.</t>
  </si>
  <si>
    <t>Есть конкуренция за бюджет, внимание или способ выполнения задачи.</t>
  </si>
  <si>
    <t>2,50–3,39</t>
  </si>
  <si>
    <t>Достаточно доказательств заменяемости.</t>
  </si>
  <si>
    <t>Иные продукты, услуги или платформы, которые дают сходный конечный результат.</t>
  </si>
  <si>
    <t>Анализировать как угрозу замещения.</t>
  </si>
  <si>
    <t>Смежная или потенциальная конкуренция</t>
  </si>
  <si>
    <t>Компания пока не является прямым конкурентом, но имеет близкую аудиторию, смежный товар, инфраструктуру или возможность расшириться в рассматриваемый рынок.</t>
  </si>
  <si>
    <t>Вероятность входа в рынок или расширения товарной линейки.</t>
  </si>
  <si>
    <t>1,60–2,49</t>
  </si>
  <si>
    <t>Наличие хотя бы одного сильного сигнала пересечения.</t>
  </si>
  <si>
    <t>Смежные разделы сайта, близкие категории клиентов, партнерства, вакансии, дорожная карта, упоминания планов развития.</t>
  </si>
  <si>
    <t>Наблюдать периодически; не смешивать с прямыми конкурентами.</t>
  </si>
  <si>
    <t>Не конкурент / объект наблюдения</t>
  </si>
  <si>
    <t>Компания не показывает значимого пересечения по задаче, аудитории, товару и заменяемости.</t>
  </si>
  <si>
    <t>Недостаточная рыночная и товарная близость.</t>
  </si>
  <si>
    <t>0,00–1,59</t>
  </si>
  <si>
    <t>Нет значимых доказательств конкуренции.</t>
  </si>
  <si>
    <t>Общее сходство отрасли без совпадения задачи и товара.</t>
  </si>
  <si>
    <t>Исключить из основной матрицы, оставить только при методической необходимости.</t>
  </si>
  <si>
    <t>Недостаточно данных</t>
  </si>
  <si>
    <t>По сайту невозможно надежно установить уровень конкуренции.</t>
  </si>
  <si>
    <t>Недостаток фактов или противоречивые сигналы.</t>
  </si>
  <si>
    <t>не применяется</t>
  </si>
  <si>
    <t>Менее трех содержательных доказательств.</t>
  </si>
  <si>
    <t>Закрытые тарифы, неполные описания, отсутствие страниц товара, нет сегментации клиентов.</t>
  </si>
  <si>
    <t>Вернуться к анализу после сбора дополнительных источников.</t>
  </si>
  <si>
    <t>Сводка классификации компаний по уровням конкуренции</t>
  </si>
  <si>
    <t>Показатель</t>
  </si>
  <si>
    <t>Значение</t>
  </si>
  <si>
    <t>Всего компаний в реестре</t>
  </si>
  <si>
    <t>Компаний с заполненной оценкой</t>
  </si>
  <si>
    <t>Средний взвешенный балл</t>
  </si>
  <si>
    <t>Компаний с уровнем «Прямой конкурент»</t>
  </si>
  <si>
    <t>Компаний с уровнем «Близкий альтернативный конкурент»</t>
  </si>
  <si>
    <t>Уровень конкуренции</t>
  </si>
  <si>
    <t>Количество</t>
  </si>
  <si>
    <t>Доля</t>
  </si>
  <si>
    <t>Методическое действие</t>
  </si>
  <si>
    <t>Включить в основной бенчмарк и регулярный мониторинг</t>
  </si>
  <si>
    <t>Сравнивать по причинам выбора и формату ценности</t>
  </si>
  <si>
    <t>Оценивать угрозу замещения и конкуренцию за бюджет</t>
  </si>
  <si>
    <t>Наблюдать по сигналам расширения</t>
  </si>
  <si>
    <t>Исключить из основной матрицы</t>
  </si>
  <si>
    <t>Дособрать доказательства</t>
  </si>
  <si>
    <t>Топ компаний по близости к прямой конкуренции</t>
  </si>
  <si>
    <t>Бал</t>
  </si>
  <si>
    <t>Обоснование</t>
  </si>
  <si>
    <t>Карта конкурентной близости</t>
  </si>
  <si>
    <t>X: задача + заменяемость</t>
  </si>
  <si>
    <t>Y: аудитория + рынок</t>
  </si>
  <si>
    <t>Зона карты</t>
  </si>
  <si>
    <t>Доказательства</t>
  </si>
  <si>
    <t>Уровни конкуренции</t>
  </si>
  <si>
    <t>Статусы</t>
  </si>
  <si>
    <t>Приоритеты</t>
  </si>
  <si>
    <t>Типы сигналов с сайта</t>
  </si>
  <si>
    <t>Справочники для выпадающих списков</t>
  </si>
  <si>
    <t>Шкала оценки</t>
  </si>
  <si>
    <t>Интерпретация</t>
  </si>
  <si>
    <t>Не начато</t>
  </si>
  <si>
    <t>Высокий</t>
  </si>
  <si>
    <t>Балл</t>
  </si>
  <si>
    <t>Смысл</t>
  </si>
  <si>
    <t>В работе</t>
  </si>
  <si>
    <t>Средний</t>
  </si>
  <si>
    <t>нет признака / данных</t>
  </si>
  <si>
    <t>Проверено</t>
  </si>
  <si>
    <t>Низкий</t>
  </si>
  <si>
    <t>Цифровой товар</t>
  </si>
  <si>
    <t>слабое или косвенное совпадение</t>
  </si>
  <si>
    <t>Требует уточнения</t>
  </si>
  <si>
    <t>Функциональность</t>
  </si>
  <si>
    <t>частичное совпадение</t>
  </si>
  <si>
    <t>Исключено</t>
  </si>
  <si>
    <t>Цена и тарифы</t>
  </si>
  <si>
    <t>существенное совпадение</t>
  </si>
  <si>
    <t>Монетизация</t>
  </si>
  <si>
    <t>высокое совпадение</t>
  </si>
  <si>
    <t>Каналы продаж</t>
  </si>
  <si>
    <t>полное совпадение</t>
  </si>
  <si>
    <t>География и язык</t>
  </si>
  <si>
    <t>Доверие и зрелость</t>
  </si>
  <si>
    <t>Замена и переключение</t>
  </si>
  <si>
    <t>PlantUML</t>
  </si>
  <si>
    <t>plantuml.com</t>
  </si>
  <si>
    <t>Весь мир (английский язык)</t>
  </si>
  <si>
    <t>Текстовый DSL, открытый код</t>
  </si>
  <si>
    <t>Построение UML-диаграмм из текстового описания, экспорт PNG, LaTeX, EPS, SVG</t>
  </si>
  <si>
    <t>Разработчики, студенты, архитекторы ПО</t>
  </si>
  <si>
    <t>К. А. Хаджинова</t>
  </si>
  <si>
    <t>Источник обнаружения: ЛР4 табл. 3 (кандидат 1); ЛР1 табл. 44 (прямой конкурент); Вордстат «plantuml». Переходит в части B и C (одна из семи компаний анализа цифрового товара и бизнес-модели).</t>
  </si>
  <si>
    <t>Mermaid (библиотека)</t>
  </si>
  <si>
    <t>mermaid.js.org</t>
  </si>
  <si>
    <t>Диаграммы и визуализации из текста и кода (JavaScript-библиотека)</t>
  </si>
  <si>
    <t>Разработчики, авторы технической документации</t>
  </si>
  <si>
    <t>Источник обнаружения: ЛР4 табл. 3 (кандидат 2); ЛР1 табл. 44 (прямой конкурент). Переходит в части B и C (одна из семи компаний анализа цифрового товара и бизнес-модели).</t>
  </si>
  <si>
    <t>Mermaid Chart</t>
  </si>
  <si>
    <t>mermaidchart.com</t>
  </si>
  <si>
    <t>Весь мир (США, Великобритания, Япония в топ-странах)</t>
  </si>
  <si>
    <t>Облачный сервис на основе Mermaid</t>
  </si>
  <si>
    <t>Облачный редактор диаграмм Mermaid с тарифами Free, Plus, Premium</t>
  </si>
  <si>
    <t>Команды разработки и документации</t>
  </si>
  <si>
    <t>Источник обнаружения: ЛР4 табл. 3 (кандидат 3); ЛР1 табл. 42 (тарифы). Переходит в части B и C (одна из семи компаний анализа цифрового товара и бизнес-модели).</t>
  </si>
  <si>
    <t>D2 (Terrastruct)</t>
  </si>
  <si>
    <t>d2lang.com</t>
  </si>
  <si>
    <t>Весь мир</t>
  </si>
  <si>
    <t>Язык описания диаграмм D2 и документация</t>
  </si>
  <si>
    <t>Разработчики, архитекторы ПО</t>
  </si>
  <si>
    <t>Источник обнаружения: ЛР4 табл. 3 (кандидат 4).</t>
  </si>
  <si>
    <t>Kroki</t>
  </si>
  <si>
    <t>kroki.io</t>
  </si>
  <si>
    <t>API отрисовки текстовых диаграмм</t>
  </si>
  <si>
    <t>Единый API для отрисовки диаграмм из текста (PlantUML, Mermaid, D2 и др.)</t>
  </si>
  <si>
    <t>Разработчики, интеграторы</t>
  </si>
  <si>
    <t>Источник обнаружения: ЛР4 табл. 3 (кандидат 5); ЛР2-3 (движки рендеринга).</t>
  </si>
  <si>
    <t>PlantText</t>
  </si>
  <si>
    <t>planttext.com</t>
  </si>
  <si>
    <t>Весь мир (Индонезия, Боливия, Вьетнам в топ-странах)</t>
  </si>
  <si>
    <t>Онлайн-редактор PlantUML</t>
  </si>
  <si>
    <t>Онлайн-редактор PlantUML: классовые, последовательностные, деятельностные диаграммы</t>
  </si>
  <si>
    <t>Студенты, разработчики</t>
  </si>
  <si>
    <t>Источник обнаружения: ЛР4 табл. 3 (кандидат 6).</t>
  </si>
  <si>
    <t>StarUML</t>
  </si>
  <si>
    <t>staruml.io</t>
  </si>
  <si>
    <t>Программа для моделирования UML</t>
  </si>
  <si>
    <t>Программа визуального моделирования UML</t>
  </si>
  <si>
    <t>Источник обнаружения: ЛР4 табл. 3 (кандидат 7); Вордстат «staruml» (16).</t>
  </si>
  <si>
    <t>Visual Paradigm</t>
  </si>
  <si>
    <t>visual-paradigm.com</t>
  </si>
  <si>
    <t>Весь мир (Индия, Индонезия, Россия в топ-странах)</t>
  </si>
  <si>
    <t>Платформа UML, BPMN, архитектуры</t>
  </si>
  <si>
    <t>Универсальная платформа моделирования UML, BPMN, Enterprise Architecture с генеративным ИИ</t>
  </si>
  <si>
    <t>Аналитики, архитекторы ПО, студенты</t>
  </si>
  <si>
    <t>Источник обнаружения: ЛР4 табл. 3 (кандидат 8); ЛР1 табл. 42, 44.</t>
  </si>
  <si>
    <t>Sparx Systems (Enterprise Architect)</t>
  </si>
  <si>
    <t>sparxsystems.com</t>
  </si>
  <si>
    <t>Корпоративная платформа моделирования</t>
  </si>
  <si>
    <t>Enterprise Architect (UML, BPMN)</t>
  </si>
  <si>
    <t>Корпоративные архитекторы</t>
  </si>
  <si>
    <t>Источник обнаружения: ЛР4 табл. 3 (кандидат 9); ЛР1 табл. 44.</t>
  </si>
  <si>
    <t>bpmn.io</t>
  </si>
  <si>
    <t>Редактор BPMN, открытый код</t>
  </si>
  <si>
    <t>Веб-инструменты для BPMN, DMN, CMMN и форм (встраиваемые)</t>
  </si>
  <si>
    <t>Разработчики, аналитики процессов</t>
  </si>
  <si>
    <t>Источник обнаружения: ЛР4 табл. 3 (кандидат 10); ЛР1 табл. 44 (частичный заменитель).</t>
  </si>
  <si>
    <t>Camunda (Modeler)</t>
  </si>
  <si>
    <t>camunda.com</t>
  </si>
  <si>
    <t>Платформа оркестрации процессов</t>
  </si>
  <si>
    <t>Платформа агентной оркестрации; Camunda Modeler - отдельный редактор BPMN</t>
  </si>
  <si>
    <t>Корпоративные команды автоматизации</t>
  </si>
  <si>
    <t>Источник обнаружения: ЛР4 табл. 3 (кандидат 11, не прошёл как домен); ЛР1 табл. 44; Вордстат «camunda modeler» (17).</t>
  </si>
  <si>
    <t>Storm (StormBPMN)</t>
  </si>
  <si>
    <t>stormbpmn.com</t>
  </si>
  <si>
    <t>Россия и СНГ (Россия 62,99 %, Беларусь 2,49 %)</t>
  </si>
  <si>
    <t>Платформа процессного управления</t>
  </si>
  <si>
    <t>Платформа из семи модулей: редактор, реестр, архитектура, оргструктура, опросы, ИИ, симуляция</t>
  </si>
  <si>
    <t>Процессные аналитики, русскоязычный рынок</t>
  </si>
  <si>
    <t>Источник обнаружения: ЛР4 табл. 3 (кандидат 12); Similarweb Pro (Беларусь в топ-5 стран). Переходит в части B и C (одна из семи компаний анализа цифрового товара и бизнес-модели).</t>
  </si>
  <si>
    <t>draw.io (diagrams.net)</t>
  </si>
  <si>
    <t>app.diagrams.net</t>
  </si>
  <si>
    <t>Весь мир (США, Индонезия, Индия, Китай, Россия)</t>
  </si>
  <si>
    <t>Универсальный редактор диаграмм, открытый код</t>
  </si>
  <si>
    <t>Бесплатный онлайн-редактор блок-схем, UML, ER и других диаграмм</t>
  </si>
  <si>
    <t>Студенты, разработчики, команды</t>
  </si>
  <si>
    <t>Источник обнаружения: ЛР4 табл. 3 (кандидат 13); ЛР1 табл. 42 (главный по спросу заменитель); Вордстат «draw io» (1072). Переходит в части B и C (одна из семи компаний анализа цифрового товара и бизнес-модели).</t>
  </si>
  <si>
    <t>Lucidchart</t>
  </si>
  <si>
    <t>lucidchart.com</t>
  </si>
  <si>
    <t>Весь мир (США, Мексика, Бразилия в топ-странах)</t>
  </si>
  <si>
    <t>Универсальный редактор диаграмм (подписка)</t>
  </si>
  <si>
    <t>Облачный редактор диаграмм с тарифами Free, Individual, Team, Enterprise</t>
  </si>
  <si>
    <t>Команды, бизнес-пользователи</t>
  </si>
  <si>
    <t>Источник обнаружения: ЛР4 табл. 3 (кандидат 14); ЛР1 табл. 42. Переходит в части B и C (одна из семи компаний анализа цифрового товара и бизнес-модели).</t>
  </si>
  <si>
    <t>Creately</t>
  </si>
  <si>
    <t>creately.com</t>
  </si>
  <si>
    <t>Весь мир (США, Индия, Филиппины в топ-странах)</t>
  </si>
  <si>
    <t>Универсальный редактор диаграмм</t>
  </si>
  <si>
    <t>ИИ-платформа визуальной коммуникации: блок-схемы, оргструктуры, ментальные карты</t>
  </si>
  <si>
    <t>Источник обнаружения: ЛР4 табл. 3 (кандидат 15); Capterra (ЛР2-3).</t>
  </si>
  <si>
    <t>Miro</t>
  </si>
  <si>
    <t>miro.com</t>
  </si>
  <si>
    <t>Весь мир (США, Россия, Германия в топ-странах)</t>
  </si>
  <si>
    <t>Универсальная онлайн-доска</t>
  </si>
  <si>
    <t>Платформа визуальной совместной работы (доски)</t>
  </si>
  <si>
    <t>Команды продуктов и дизайна</t>
  </si>
  <si>
    <t>Источник обнаружения: ЛР4 табл. 3 (кандидат 16); ЛР1 табл. 43 (вне границ рынка); Вордстат «miro» (1660).</t>
  </si>
  <si>
    <t>Excalidraw</t>
  </si>
  <si>
    <t>excalidraw.com</t>
  </si>
  <si>
    <t>Весь мир (Индия, США, Китай в топ-странах)</t>
  </si>
  <si>
    <t>Доска со схемами, открытый код</t>
  </si>
  <si>
    <t>Виртуальная доска для набросков диаграмм в рукописном стиле</t>
  </si>
  <si>
    <t>Разработчики, авторы схем</t>
  </si>
  <si>
    <t>Источник обнаружения: ЛР4 табл. 3 (кандидат 17).</t>
  </si>
  <si>
    <t>dbdiagram.io</t>
  </si>
  <si>
    <t>Весь мир (Индия, США, Индонезия в топ-странах)</t>
  </si>
  <si>
    <t>Текстовый конструктор ERD</t>
  </si>
  <si>
    <t>Схемы баз данных (ERD) из текстового описания на языке DBML</t>
  </si>
  <si>
    <t>Разработчики баз данных</t>
  </si>
  <si>
    <t>Источник обнаружения: ЛР4 табл. 3 (кандидат 18).</t>
  </si>
  <si>
    <t>DrawSQL</t>
  </si>
  <si>
    <t>drawsql.app</t>
  </si>
  <si>
    <t>Весь мир (география в Similarweb недоступна)</t>
  </si>
  <si>
    <t>Конструктор ERD</t>
  </si>
  <si>
    <t>Интерактивная схема базы данных из SQL</t>
  </si>
  <si>
    <t>Разработчики баз данных, команды</t>
  </si>
  <si>
    <t>Источник обнаружения: ЛР4 табл. 3 (кандидат 19).</t>
  </si>
  <si>
    <t>Eraser</t>
  </si>
  <si>
    <t>eraser.io</t>
  </si>
  <si>
    <t>ИИ-генерация технических диаграмм</t>
  </si>
  <si>
    <t>Создание технических диаграмм с помощью ИИ</t>
  </si>
  <si>
    <t>Инженерные команды, разработчики</t>
  </si>
  <si>
    <t>Источник обнаружения: ЛР4 табл. 3 (кандидат 20); ЛР2-3 (тарифы, Product Hunt); Вордстат «eraser io» (2). Переходит в части B и C (одна из семи компаний анализа цифрового товара и бизнес-модели).</t>
  </si>
  <si>
    <t>Whimsical</t>
  </si>
  <si>
    <t>whimsical.com</t>
  </si>
  <si>
    <t>Универсальный редактор диаграмм и досок</t>
  </si>
  <si>
    <t>Редактор диаграмм, схем интерфейсов и документов; тарифы Free, Pro, Business (страница тарифов, 01.10.2026)</t>
  </si>
  <si>
    <t>Команды продуктов</t>
  </si>
  <si>
    <t>Источник обнаружения: ЛР2-3 (заменители; тарифы; Capterra). Переходит в части B и C (одна из семи компаний анализа цифрового товара и бизнес-модели).</t>
  </si>
  <si>
    <t>Microsoft Visio</t>
  </si>
  <si>
    <t>microsoft.com/visio</t>
  </si>
  <si>
    <t>Универсальный редактор (подписка)</t>
  </si>
  <si>
    <t>Редактор диаграмм Microsoft Visio (Plan 1, Plan 2)</t>
  </si>
  <si>
    <t>Корпоративные аналитики</t>
  </si>
  <si>
    <t>Источник обнаружения: ЛР4 табл. 3 (кандидат 21); ЛР1 табл. 42, 44; Вордстат «visio» (1501).</t>
  </si>
  <si>
    <t>Главная страница (title, description)</t>
  </si>
  <si>
    <t>https://plantuml.com/</t>
  </si>
  <si>
    <t>title: «Open-source tool that uses simple textual descriptions to draw beautiful UML diagrams.»; description: «Easily create beautiful UML Diagrams from simple textual description. There are also numerous kind of available diagrams. It's also possible to export images in PNG, LaTeX, EPS, SVG.»</t>
  </si>
  <si>
    <t>Главное обещание совпадает с задачей NotaCode: диаграммы UML из текста</t>
  </si>
  <si>
    <t>sajty_konkurentov_title_description_2026-09-30.json</t>
  </si>
  <si>
    <t>метаданные главной страницы, curl 30.09.2026</t>
  </si>
  <si>
    <t>Similarweb Pro, Website performance</t>
  </si>
  <si>
    <t>https://pro.similarweb.com/</t>
  </si>
  <si>
    <t>739 657 визитов в месяц; уникальных 325 279; длительность 00:04:00; 3,32 стр. за визит; отказы 45,61 %; окно июнь-август 2026, весь мир</t>
  </si>
  <si>
    <t>Масштаб видимости (оценочная модель, не измерение)</t>
  </si>
  <si>
    <t>similarweb_pro_obzor_2026-09-30.csv</t>
  </si>
  <si>
    <t>пробный доступ Similarweb Pro, снимок 30.09.2026</t>
  </si>
  <si>
    <t>Similarweb Pro, Marketing channels</t>
  </si>
  <si>
    <t>Прямой 38,11 %; органический поиск 47,25 %; платный поиск нет данных; реферальный 5,91 %; соцсети (орг.) 3,62 %</t>
  </si>
  <si>
    <t>Структура привлечения; сравнивается с каналами NotaCode (поиск, сообщества, каталоги расширений)</t>
  </si>
  <si>
    <t>Similarweb Pro, 30.09.2026</t>
  </si>
  <si>
    <t>Similarweb Pro, Geography</t>
  </si>
  <si>
    <t>Топ-5 стран: RU 9.21/ID 6.08/DE 5.61/JP 5.43/US 3.66</t>
  </si>
  <si>
    <t>Пересечение с рынком РБ и РФ/СНГ оценивается по наличию RU и BY среди стран</t>
  </si>
  <si>
    <t>Similarweb Pro, 30.09.2026; доля Беларуси недоступна (пробный доступ)</t>
  </si>
  <si>
    <t>Яндекс Вордстат, Беларусь</t>
  </si>
  <si>
    <t>https://wordstat.yandex.ru/</t>
  </si>
  <si>
    <t>Запрос «plantuml»: 200 запросов в месяц (регион Беларусь, все устройства)</t>
  </si>
  <si>
    <t>Спрос в РБ по бренду как признак пересечения по каналу выбора</t>
  </si>
  <si>
    <t>wordstat_zaprosy_RB_2026-09-30.csv</t>
  </si>
  <si>
    <t>Вордстат, 30.09.2026</t>
  </si>
  <si>
    <t>Тарифы и цена</t>
  </si>
  <si>
    <t>открытый код, бесплатно (ЛР1, табл. 42)</t>
  </si>
  <si>
    <t>Ценовая логика сопоставляется с Free и Pro 40 USD в год (4 USD в месяц) у NotaCode</t>
  </si>
  <si>
    <t>ЛР1 табл. 42; ЛР2-3 табл. 70</t>
  </si>
  <si>
    <t>значения считаны с официальных страниц 30.09.2026 (ЛР1, ЛР2-3)</t>
  </si>
  <si>
    <t>Отзывы и рейтинги (каталоги)</t>
  </si>
  <si>
    <t>https://www.g2.com/ ; https://www.capterra.com/ ; https://www.trustpilot.com/review/plantuml.com</t>
  </si>
  <si>
    <t>оценки расширений: VS Marketplace jebbs.plantuml 4,72 (105), JetBrains plantuml4idea 4,63 (102); G2 и Trustpilot: карточка не найдена</t>
  </si>
  <si>
    <t>Независимые отзывы; тональность может быть смещена</t>
  </si>
  <si>
    <t>rev05.csv; trustpilot_reviews_2026-09-30.json; marketplaces.csv</t>
  </si>
  <si>
    <t>значения считаны 30.09.2026</t>
  </si>
  <si>
    <t>GitHub (репозиторий)</t>
  </si>
  <si>
    <t>https://github.com/plantuml/plantuml</t>
  </si>
  <si>
    <t>plantuml/plantuml: 13 346 звёзд, 1 238 форков, лицензия LGPL-3.0, последнее обновление 2026-09-30</t>
  </si>
  <si>
    <t>Активность сообщества и открытость кода</t>
  </si>
  <si>
    <t>github_repos_2026-09-30.json</t>
  </si>
  <si>
    <t>GitHub REST API, 30.09.2026</t>
  </si>
  <si>
    <t>Регистрационные данные домена (RDAP)</t>
  </si>
  <si>
    <t>https://rdap.org/domain/plantuml.com</t>
  </si>
  <si>
    <t>Возраст домена или репозитория около 15,8 лет (верхняя оценка возраста бренда)</t>
  </si>
  <si>
    <t>Историю продукта подтверждает косвенно</t>
  </si>
  <si>
    <t>vozrast_domenov_raschet_2026-09-30.json</t>
  </si>
  <si>
    <t>RDAP, 30.09.2026</t>
  </si>
  <si>
    <t>Признаки на главной странице (HTML)</t>
  </si>
  <si>
    <t>Совпадения шаблонов в HTML: вход - 0, тарифы - 0, интеграции - 0, вакансии - 0, магазин приложений - 0, GitHub - 4</t>
  </si>
  <si>
    <t>Косвенный признак (автоматический подсчёт, не просмотр страницы человеком)</t>
  </si>
  <si>
    <t>sajty_konkurentov_priznaki_2026-09-30.json</t>
  </si>
  <si>
    <t>curl главной страницы, 30.09.2026</t>
  </si>
  <si>
    <t>Совместимость форматов NotaCode</t>
  </si>
  <si>
    <t>docs/business/01-project-concept.md, разделы 2 и 5</t>
  </si>
  <si>
    <t>В документации проекта предусмотрены экспорт и импорт форматов PlantUML, Mermaid, D2, BPMN XML, draw.io</t>
  </si>
  <si>
    <t>Переключение с формата этого инструмента на NotaCode возможно при реализации импорта (план)</t>
  </si>
  <si>
    <t>NotaCode/docs/business/01-project-concept.md</t>
  </si>
  <si>
    <t>импорт - не в MVP</t>
  </si>
  <si>
    <t>https://mermaid.js.org/</t>
  </si>
  <si>
    <t>title: «Mermaid | Diagramming and charting tool»; description: «Create diagrams and visualizations using text and code.»</t>
  </si>
  <si>
    <t>Задача та же (диаграммы из текста и кода), нотаций UML/BPMN/IDEF как набора с проверкой правил в описании нет</t>
  </si>
  <si>
    <t>442 646 визитов в месяц; уникальных 288 229; длительность 00:01:03; 1,86 стр. за визит; отказы 68,57 %; окно июнь-август 2026, весь мир</t>
  </si>
  <si>
    <t>Прямой 22,18 %; органический поиск 58,56 %; платный поиск 0,01 %; реферальный 16,50 %; соцсети (орг.) 1,25 %</t>
  </si>
  <si>
    <t>Топ-5 стран: US 10.22/CN 9.02/IN 7.28/DE 5.97/ID 3.44</t>
  </si>
  <si>
    <t>Запрос «mermaid diagram»: 19 запросов в месяц (регион Беларусь, все устройства); возможна омонимия</t>
  </si>
  <si>
    <t>ЛР1 (Вордстат, 30 дней на 29.09.2026)</t>
  </si>
  <si>
    <t>открытый код (MIT); платные планы у Mermaid Chart</t>
  </si>
  <si>
    <t>https://www.g2.com/ ; https://www.capterra.com/ ; https://www.trustpilot.com/review/mermaid.js.org</t>
  </si>
  <si>
    <t>оценки расширений: VS Marketplace (bierner.markdown-mermaid 60, vstirbu 27, tomoyukim 17) и JetBrains Mermaid 2,96 (65)</t>
  </si>
  <si>
    <t>https://github.com/mermaid-js/mermaid</t>
  </si>
  <si>
    <t>mermaid-js/mermaid: 90 489 звёзд, 9 317 форков, лицензия MIT, последнее обновление 2026-09-30; mermaid-js/mermaid-live-editor: 6 836 звёзд, 1 175 форков, лицензия MIT, последнее обновление 2026-09-30</t>
  </si>
  <si>
    <t>https://rdap.org/domain/mermaid.js.org</t>
  </si>
  <si>
    <t>Возраст домена или репозитория около 11,9 лет (верхняя оценка возраста бренда)</t>
  </si>
  <si>
    <t>Совпадения шаблонов в HTML: вход - 0, тарифы - 0, интеграции - 2, вакансии - 0, магазин приложений - 0, GitHub - 385</t>
  </si>
  <si>
    <t>https://www.mermaidchart.com/</t>
  </si>
  <si>
    <t>title: «Mermaid»; description: «Create diagrams, flowcharts, and documentation with Mermaid»</t>
  </si>
  <si>
    <t>Платная надстройка над Mermaid; домен, вероятно, перенесён на mermaid.ai (трафик mermaidchart.com -82,22 %)</t>
  </si>
  <si>
    <t>2 535 визитов в месяц; уникальных 1 374; длительность 00:00:02; 1,14 стр. за визит; отказы 50,68 %; окно июнь-август 2026, весь мир</t>
  </si>
  <si>
    <t>Прямой 39,97 %; органический поиск 32,54 %; платный поиск 1,62 %; реферальный 10,32 %; соцсети (орг.) 6,05 %</t>
  </si>
  <si>
    <t>Топ-5 стран: US 31.90/UK 18.54/JP 11.84/VN 8.67/EG 7.45</t>
  </si>
  <si>
    <t>Запрос «mermaidchart»: 0 запросов в месяц (регион Беларусь, все устройства)</t>
  </si>
  <si>
    <t>https://mermaid.ai/pricing</t>
  </si>
  <si>
    <t>Free (до 6 диаграмм, 15 AI-кредитов); Plus 10 USD; Premium 20 USD за пользователя в месяц при оплате за год; Enterprise по запросу</t>
  </si>
  <si>
    <t>https://www.g2.com/ ; https://www.capterra.com/ ; https://www.trustpilot.com/review/mermaidchart.com</t>
  </si>
  <si>
    <t>G2 (карточка Mermaid) 4,8 (16); Trustpilot 3,5 (3); Product Hunt 4,8 (26)</t>
  </si>
  <si>
    <t>https://rdap.org/domain/mermaidchart.com</t>
  </si>
  <si>
    <t>Возраст домена или репозитория около 4,3 лет (верхняя оценка возраста бренда)</t>
  </si>
  <si>
    <t>Совпадения шаблонов в HTML: вход - 4, тарифы - 1, интеграции - 5, вакансии - 0, магазин приложений - 0, GitHub - 68</t>
  </si>
  <si>
    <t>https://d2lang.com/</t>
  </si>
  <si>
    <t>title: «Home | D2 Documentation»; description отсутствует</t>
  </si>
  <si>
    <t>Описание на главной отсутствует (meta description пуста); отнесение по ЛР4 (язык диаграмм D2)</t>
  </si>
  <si>
    <t>61 003 визитов в месяц; уникальных 29 798; длительность 00:01:23; 3,14 стр. за визит; отказы 37,95 %; окно июнь-август 2026, весь мир</t>
  </si>
  <si>
    <t>Прямой 31,44 %; органический поиск 41,37 %; платный поиск нет данных; реферальный 14,72 %; соцсети (орг.) 3,96 %</t>
  </si>
  <si>
    <t>Топ-5 стран: US 13.10/IN 9.79/KR 7.63/CA 5.71/VN 4.49</t>
  </si>
  <si>
    <t>Запрос «d2lang»: 0 запросов в месяц (регион Беларусь, все устройства)</t>
  </si>
  <si>
    <t>https://github.com/terrastruct/d2</t>
  </si>
  <si>
    <t>terrastruct/d2: 25 544 звёзд, 756 форков, лицензия MPL-2.0, последнее обновление 2026-09-20</t>
  </si>
  <si>
    <t>https://rdap.org/domain/d2lang.com</t>
  </si>
  <si>
    <t>Возраст домена или репозитория около 3,9 лет (верхняя оценка возраста бренда)</t>
  </si>
  <si>
    <t>https://kroki.io/</t>
  </si>
  <si>
    <t>title: «Kroki!»; description отсутствует</t>
  </si>
  <si>
    <t>Отрисовка через API без самостоятельного редактора; NotaCode планирует Kroki как альтернативный движок (документация проекта)</t>
  </si>
  <si>
    <t>33 398 визитов в месяц; уникальных 17 799; длительность 00:00:37; 1,72 стр. за визит; отказы 42,14 %; окно июнь-август 2026, весь мир</t>
  </si>
  <si>
    <t>Прямой 50,99 %; органический поиск 25,62 %; платный поиск 0,08 %; реферальный 15,58 %; соцсети (орг.) 1,16 %</t>
  </si>
  <si>
    <t>Топ-5 стран: US 17.16/SE 8.29/IN 7.63/IL 5.36/ID 5.30</t>
  </si>
  <si>
    <t>Запрос «kroki»: 12 запросов в месяц (регион Беларусь, все устройства); возможна омонимия</t>
  </si>
  <si>
    <t>https://github.com/yuzutech/kroki</t>
  </si>
  <si>
    <t>yuzutech/kroki: 4 351 звёзд, 319 форков, лицензия MIT, последнее обновление 2026-09-28</t>
  </si>
  <si>
    <t>https://rdap.org/domain/kroki.io</t>
  </si>
  <si>
    <t>Возраст домена или репозитория около 7,7 лет (верхняя оценка возраста бренда)</t>
  </si>
  <si>
    <t>Совпадения шаблонов в HTML: вход - 0, тарифы - 0, интеграции - 0, вакансии - 0, магазин приложений - 0, GitHub - 28</t>
  </si>
  <si>
    <t>https://www.planttext.com/</t>
  </si>
  <si>
    <t>title: «PlantUML Editor Online - Free &amp; Fast UML Diagram Tool | PlantText»; description: «PlantText is the fastest online PlantUML editor. Write UML diagrams as code and instantly generate class, sequence, activity, and state diagrams. No installation needed.»</t>
  </si>
  <si>
    <t>В заголовке заявлены бесплатность и онлайн-доступ; редактор поверх PlantUML</t>
  </si>
  <si>
    <t>339 451 визитов в месяц; уникальных 140 856; длительность 00:02:43; 2,74 стр. за визит; отказы 45,57 %; окно июнь-август 2026, весь мир</t>
  </si>
  <si>
    <t>Прямой 43,52 %; органический поиск 42,30 %; платный поиск нет данных; реферальный 5,64 %; соцсети (орг.) 1,49 %</t>
  </si>
  <si>
    <t>Топ-5 стран: ID 18.62/BO 6.76/VN 5.15/MA 4.05/DE 3.81</t>
  </si>
  <si>
    <t>Запрос «planttext»: 9 запросов в месяц (регион Беларусь, все устройства)</t>
  </si>
  <si>
    <t>заголовок страницы: Free &amp; Fast</t>
  </si>
  <si>
    <t>https://rdap.org/domain/planttext.com</t>
  </si>
  <si>
    <t>Возраст домена или репозитория около 12,8 лет (верхняя оценка возраста бренда)</t>
  </si>
  <si>
    <t>Совпадения шаблонов в HTML: вход - 0, тарифы - 0, интеграции - 1, вакансии - 0, магазин приложений - 0, GitHub - 0</t>
  </si>
  <si>
    <t>https://staruml.io/</t>
  </si>
  <si>
    <t>title: «StarUML»; description: «A sophisticated software modeler for agile and concise modeling»</t>
  </si>
  <si>
    <t>Графический моделер UML; страница тарифов в HTML упомянута 2 раза, цены не получены</t>
  </si>
  <si>
    <t>107 631 визитов в месяц; уникальных 57 431; длительность 00:00:29; 1,78 стр. за визит; отказы 43,01 %; окно июнь-август 2026, весь мир</t>
  </si>
  <si>
    <t>Прямой 15,05 %; органический поиск 78,34 %; платный поиск 0,01 %; реферальный 3,46 %; соцсети (орг.) 1,06 %</t>
  </si>
  <si>
    <t>Топ-5 стран: ID 9.97/IN 6.51/PE 5.55/VN 5.53/CO 4.80</t>
  </si>
  <si>
    <t>Запрос «staruml»: 16 запросов в месяц (регион Беларусь, все устройства)</t>
  </si>
  <si>
    <t>https://rdap.org/domain/staruml.io</t>
  </si>
  <si>
    <t>Возраст домена или репозитория около 13,2 лет (верхняя оценка возраста бренда)</t>
  </si>
  <si>
    <t>Совпадения шаблонов в HTML: вход - 0, тарифы - 2, интеграции - 0, вакансии - 0, магазин приложений - 0, GitHub - 2</t>
  </si>
  <si>
    <t>https://www.visual-paradigm.com/</t>
  </si>
  <si>
    <t>title: «Visual Paradigm - AI-Powered Visual Modeling Platform»; description: «The all-in-one platform for UML, BPMN, Enterprise Architecture, and Agile management. Now supercharged with Generative AI.»</t>
  </si>
  <si>
    <t>Широкий набор нотаций и ИИ; графический ввод, ценовой уровень выше NotaCode</t>
  </si>
  <si>
    <t>1 516 000 визитов в месяц; уникальных 863 503; длительность 00:01:38; 2,52 стр. за визит; отказы 48,74 %; окно июнь-август 2026, весь мир</t>
  </si>
  <si>
    <t>Прямой 22,92 %; органический поиск 67,31 %; платный поиск 0,02 %; реферальный 4,78 %; соцсети (орг.) 2,71 %</t>
  </si>
  <si>
    <t>Топ-5 стран: IN 10.11/ID 9.45/RU 6.98/TW 6.56/US 5.16</t>
  </si>
  <si>
    <t>Запрос «visual paradigm»: 46 запросов в месяц (регион Беларусь, все устройства)</t>
  </si>
  <si>
    <t>https://www.visual-paradigm.com/shop/</t>
  </si>
  <si>
    <t>Подписка: Modeler 6, Standard 19, Professional 35, Enterprise 89 USD в месяц; бессрочные лицензии: 99, 349, 799, 1999 USD; бесплатного тарифа на странице магазина нет</t>
  </si>
  <si>
    <t>https://www.g2.com/ ; https://www.capterra.com/ ; https://www.trustpilot.com/review/visual-paradigm.com</t>
  </si>
  <si>
    <t>Capterra 4,3 (19); Trustpilot 3,5 (2)</t>
  </si>
  <si>
    <t>https://rdap.org/domain/visual-paradigm.com</t>
  </si>
  <si>
    <t>Возраст домена или репозитория около 25,3 лет (верхняя оценка возраста бренда)</t>
  </si>
  <si>
    <t>Совпадения шаблонов в HTML: вход - 2, тарифы - 0, интеграции - 5, вакансии - 0, магазин приложений - 0, GitHub - 0</t>
  </si>
  <si>
    <t>149 507 визитов в месяц; уникальных 72 694; длительность 00:00:57; 2,05 стр. за визит; отказы 42,52 %; окно июнь-август 2026, весь мир</t>
  </si>
  <si>
    <t>Прямой 27,43 %; органический поиск 58,22 %; платный поиск 1,48 %; реферальный 7,95 %; соцсети (орг.) 3,13 %</t>
  </si>
  <si>
    <t>Топ-5 стран: ID 8.66/DE 6.39/US 4.96/IN 4.66/RU 3.85</t>
  </si>
  <si>
    <t>Запрос «sparx enterprise architect»: 9 запросов в месяц (регион Беларусь, все устройства)</t>
  </si>
  <si>
    <t>https://www.g2.com/ ; https://www.capterra.com/ ; https://www.trustpilot.com/review/sparxsystems.com</t>
  </si>
  <si>
    <t>Trustpilot: профиль без отзывов</t>
  </si>
  <si>
    <t>https://rdap.org/domain/sparxsystems.com</t>
  </si>
  <si>
    <t>Возраст домена или репозитория около 24,2 лет (верхняя оценка возраста бренда)</t>
  </si>
  <si>
    <t>Доступность главной страницы</t>
  </si>
  <si>
    <t>https://sparxsystems.com/</t>
  </si>
  <si>
    <t>Автоматический запрос вернул HTTP 403; содержимое не получено</t>
  </si>
  <si>
    <t>Описание продукта с сайта не использовано; нужен ручной просмотр</t>
  </si>
  <si>
    <t>🔲 ДОСНЯТЬ: ручной просмотр страницы и скриншот</t>
  </si>
  <si>
    <t>https://bpmn.io/</t>
  </si>
  <si>
    <t>title: «Web-based tooling for BPMN, DMN, CMMN, and Forms | bpmn.io»; description: «Learn about our embeddable, web-based tooling for BPMN, DMN, CMMN, and Forms.»</t>
  </si>
  <si>
    <t>Только BPMN-семейство; в NotaCode BPMN относится ко второй волне нотаций</t>
  </si>
  <si>
    <t>199 080 визитов в месяц; уникальных 93 487; длительность 00:01:34; 2,00 стр. за визит; отказы 39,64 %; окно июнь-август 2026, весь мир</t>
  </si>
  <si>
    <t>Прямой 55,20 %; органический поиск 35,18 %; платный поиск нет данных; реферальный 4,11 %; соцсети (орг.) 1,52 %</t>
  </si>
  <si>
    <t>Топ-5 стран: BR 8.46/DE 7.55/ID 6.73/RU 6.39/US 4.94</t>
  </si>
  <si>
    <t>Запрос «bpmn io»: 37 запросов в месяц (регион Беларусь, все устройства)</t>
  </si>
  <si>
    <t>https://github.com/bpmn-io/bpmn-js</t>
  </si>
  <si>
    <t>bpmn-io/bpmn-js: 9 675 звёзд, 1 489 форков, лицензия NOASSERTION, последнее обновление 2026-09-25</t>
  </si>
  <si>
    <t>https://rdap.org/domain/bpmn.io</t>
  </si>
  <si>
    <t>Возраст домена или репозитория около 12,7 лет (верхняя оценка возраста бренда)</t>
  </si>
  <si>
    <t>Совпадения шаблонов в HTML: вход - 2, тарифы - 0, интеграции - 0, вакансии - 1, магазин приложений - 0, GitHub - 2</t>
  </si>
  <si>
    <t>https://camunda.com/</t>
  </si>
  <si>
    <t>title: «Agentic Orchestration Platform | Camunda»; description: «Camunda is the open platform for agentic orchestration. Coordinate AI agents, people, and systems across end-to-end processes with governance and control.»</t>
  </si>
  <si>
    <t>Классифицируется Modeler, а не вся компания; главная страница описывает платформу оркестрации</t>
  </si>
  <si>
    <t>Запрос «camunda modeler»: 17 запросов в месяц (регион Беларусь, все устройства)</t>
  </si>
  <si>
    <t>https://www.g2.com/ ; https://www.capterra.com/ ; https://www.trustpilot.com/review/camunda.com</t>
  </si>
  <si>
    <t>Trustpilot 3,2 (1)</t>
  </si>
  <si>
    <t>https://github.com/camunda/camunda-modeler</t>
  </si>
  <si>
    <t>camunda/camunda-modeler: 1 718 звёзд, 544 форков, лицензия MIT, последнее обновление 2026-09-30</t>
  </si>
  <si>
    <t>https://rdap.org/domain/camunda.com</t>
  </si>
  <si>
    <t>Возраст домена или репозитория около 21,6 лет (верхняя оценка возраста бренда)</t>
  </si>
  <si>
    <t>Совпадения шаблонов в HTML: вход - 0, тарифы - 3, интеграции - 0, вакансии - 1, магазин приложений - 0, GitHub - 6</t>
  </si>
  <si>
    <t>https://stormbpmn.com/</t>
  </si>
  <si>
    <t>title: «Storm — платформа процессного управления»; description: «Одна платформа — семь модулей: редактор, реестр, архитектура, оргструктура, опросы, ИИ и симуляция.»</t>
  </si>
  <si>
    <t>Русскоязычная платформа; BPMN-редактор входит в состав платформы процессного управления</t>
  </si>
  <si>
    <t>92 936 визитов в месяц; уникальных 34 305; длительность 00:03:51; 5,25 стр. за визит; отказы 41,50 %; окно июнь-август 2026, весь мир</t>
  </si>
  <si>
    <t>Прямой 57,33 %; органический поиск 20,91 %; платный поиск 1,32 %; реферальный 10,72 %; соцсети (орг.) 2,59 %</t>
  </si>
  <si>
    <t>Топ-5 стран: RU 62.99/US 13.29/DE 5.93/UZ 3.09/BY 2.49</t>
  </si>
  <si>
    <t>Запрос «stormbpmn»: 2 запросов в месяц (регион Беларусь, все устройства)</t>
  </si>
  <si>
    <t>https://rdap.org/domain/stormbpmn.com</t>
  </si>
  <si>
    <t>Возраст домена или репозитория около 4,5 лет (верхняя оценка возраста бренда)</t>
  </si>
  <si>
    <t>Совпадения шаблонов в HTML: вход - 3, тарифы - 4, интеграции - 2, вакансии - 0, магазин приложений - 0, GitHub - 0</t>
  </si>
  <si>
    <t>https://app.diagrams.net/</t>
  </si>
  <si>
    <t>title: «Flowchart Maker &amp; Online Diagram Software»; description: «draw.io is free online diagram software for making flowcharts, process diagrams, org charts, UML, ER and network diagrams»</t>
  </si>
  <si>
    <t>Универсальный графический редактор; бесплатный, открытый код, заявлено более 100 млн пользователей</t>
  </si>
  <si>
    <t>Главная страница drawio.com (title, description)</t>
  </si>
  <si>
    <t>https://www.drawio.com/</t>
  </si>
  <si>
    <t>title: «Security-first diagramming for teams | draw.io»; description: «Free, open source diagramming application with 100M+ users. Store your data wherever you want—we can't access it.»</t>
  </si>
  <si>
    <t>Заявлены бесплатность, открытый код, более 100 млн пользователей и хранение данных у пользователя</t>
  </si>
  <si>
    <t>8 497 000 визитов в месяц; уникальных 3 175 000; длительность 00:03:46; 3,19 стр. за визит; отказы 54,72 %; окно июнь-август 2026, весь мир</t>
  </si>
  <si>
    <t>Прямой 68,39 %; органический поиск 13,96 %; платный поиск 0,02 %; реферальный 9,72 %; соцсети (орг.) 2,07 %</t>
  </si>
  <si>
    <t>Топ-5 стран: US 9.85/ID 8.06/IN 6.92/CN 4.68/RU 4.42</t>
  </si>
  <si>
    <t>Запрос «draw io»: 1072 запросов в месяц (регион Беларусь, все устройства)</t>
  </si>
  <si>
    <t>полностью бесплатный, открытый код (Apache 2.0) (ЛР1, табл. 42)</t>
  </si>
  <si>
    <t>https://www.g2.com/ ; https://www.capterra.com/ ; https://www.trustpilot.com/review/app.diagrams.net</t>
  </si>
  <si>
    <t>Capterra 4,6 (773); Trustpilot draw.io 3,4 (11) и diagrams.net 3,8 (2); Atlassian Marketplace draw.io Diagrams 4,8 (1 205)</t>
  </si>
  <si>
    <t>https://github.com/jgraph/drawio</t>
  </si>
  <si>
    <t>jgraph/drawio: 8 502 звёзд, 1 275 форков, лицензия Apache-2.0, последнее обновление 2026-09-25; jgraph/drawio-desktop: 63 351 звёзд, 5 782 форков, лицензия GPL-3.0, последнее обновление 2026-09-28</t>
  </si>
  <si>
    <t>https://rdap.org/domain/app.diagrams.net</t>
  </si>
  <si>
    <t>Возраст домена или репозитория около 16,5 лет (верхняя оценка возраста бренда)</t>
  </si>
  <si>
    <t>Совпадения шаблонов в HTML: вход - 1, тарифы - 0, интеграции - 0, вакансии - 0, магазин приложений - 0, GitHub - 0</t>
  </si>
  <si>
    <t>https://www.lucidchart.com/</t>
  </si>
  <si>
    <t>title: «Lucidchart | Diagramming Powered By Intelligence»; description: «Diagramming powered by intelligence (страница lucid.co/lucidchart, 01.10.2026, встроенный браузер)»</t>
  </si>
  <si>
    <t>Главная страница вернула HTTP 403; описание продукта не получено, оценка по ЛР1, ЛР2-3, G2, Capterra</t>
  </si>
  <si>
    <t>703 574 визитов в месяц; уникальных 473 804; длительность 00:00:31; 1,41 стр. за визит; отказы 65,49 %; окно июнь-август 2026, весь мир</t>
  </si>
  <si>
    <t>Прямой 11,33 %; органический поиск 55,95 %; платный поиск 22,55 %; реферальный 2,71 %; соцсети (орг.) 1,34 %</t>
  </si>
  <si>
    <t>Топ-5 стран: US 13.20/MX 5.67/BR 4.27/IN 3.74/CO 3.54</t>
  </si>
  <si>
    <t>Запрос «lucidchart»: 24 запросов в месяц (регион Беларусь, все устройства)</t>
  </si>
  <si>
    <t>https://lucid.app/pricing/lucidchart</t>
  </si>
  <si>
    <t>Free (3 редактируемых документа, 75 фигур на документ); Individual 9 USD; Team 10 USD за пользователя в месяц при оплате за год; Enterprise по запросу</t>
  </si>
  <si>
    <t>https://www.g2.com/ ; https://www.capterra.com/ ; https://www.trustpilot.com/review/lucidchart.com</t>
  </si>
  <si>
    <t>G2 4,5 (8 988); Capterra/GetApp/Software Advice 4,5 (2 264); Trustpilot lucidchart.com 1,5 (116)</t>
  </si>
  <si>
    <t>https://rdap.org/domain/lucidchart.com</t>
  </si>
  <si>
    <t>Возраст домена или репозитория около 18,0 лет (верхняя оценка возраста бренда)</t>
  </si>
  <si>
    <t>https://creately.com/</t>
  </si>
  <si>
    <t>title: «Creately | Visual Collaboration &amp; Diagramming Platform»; description: «Creately is an AI-powered diagramming and visual collaboration platform for creating flowcharts, org charts, mind maps, genograms, whiteboards, workflows, and diagrams online with your team.»</t>
  </si>
  <si>
    <t>Универсальный редактор; отзывы на Trustpilot низкие (1,9 из 5 при 58 отзывах)</t>
  </si>
  <si>
    <t>784 067 визитов в месяц; уникальных 493 655; длительность 00:02:18; 8,57 стр. за визит; отказы 42,98 %; окно июнь-август 2026, весь мир</t>
  </si>
  <si>
    <t>Прямой 19,05 %; органический поиск 73,18 %; платный поиск 0,71 %; реферальный 2,76 %; соцсети (орг.) 2,15 %</t>
  </si>
  <si>
    <t>Топ-5 стран: US 13.96/IN 6.00/PH 5.20/ID 4.18/MX 3.73</t>
  </si>
  <si>
    <t>Запрос «creately»: 4 запросов в месяц (регион Беларусь, все устройства)</t>
  </si>
  <si>
    <t>https://creately.com/plans/</t>
  </si>
  <si>
    <t>Платные тарифы от 5 до 89 USD в месяц (ЛР2-3, табл. 70: 15,14 - 269,54 BYN)</t>
  </si>
  <si>
    <t>https://www.g2.com/ ; https://www.capterra.com/ ; https://www.trustpilot.com/review/creately.com</t>
  </si>
  <si>
    <t>Capterra 4,4 (216); Trustpilot 1,9 (58)</t>
  </si>
  <si>
    <t>https://rdap.org/domain/creately.com</t>
  </si>
  <si>
    <t>Возраст домена или репозитория около 18,2 лет (верхняя оценка возраста бренда)</t>
  </si>
  <si>
    <t>Совпадения шаблонов в HTML: вход - 1, тарифы - 0, интеграции - 3, вакансии - 1, магазин приложений - 0, GitHub - 0</t>
  </si>
  <si>
    <t>https://miro.com/</t>
  </si>
  <si>
    <t>title: «AI Innovation Workspace | Miro»; description: «Speed up product development from ideation to launch. Align teams, break tool silos and ship what customers need in one AI-powered visual platform.»</t>
  </si>
  <si>
    <t>Доска для совместной работы; в продуктовые границы ЛР1 как самостоятельный рынок не входит</t>
  </si>
  <si>
    <t>27 510 000 визитов в месяц; уникальных 6 161 000; длительность 00:03:20; 2,97 стр. за визит; отказы 50,03 %; окно июнь-август 2026, весь мир</t>
  </si>
  <si>
    <t>Прямой 65,72 %; органический поиск 12,20 %; платный поиск 0,65 %; реферальный 7,84 %; соцсети (орг.) 8,32 %</t>
  </si>
  <si>
    <t>Топ-5 стран: US 14.94/RU 9.79/DE 6.80/UK 5.82/BR 5.29</t>
  </si>
  <si>
    <t>Запрос «miro»: 1660 запросов в месяц (регион Беларусь, все устройства)</t>
  </si>
  <si>
    <t>https://miro.com/pricing/</t>
  </si>
  <si>
    <t>Free (3 редактируемые доски); Starter 8 USD; Business 20 USD за участника в месяц при оплате за год; Enterprise по запросу</t>
  </si>
  <si>
    <t>https://www.g2.com/ ; https://www.capterra.com/ ; https://www.trustpilot.com/review/miro.com</t>
  </si>
  <si>
    <t>G2 4,6 (13 583); Capterra 4,7 (1 705); Trustpilot 2,1 (155)</t>
  </si>
  <si>
    <t>https://rdap.org/domain/miro.com</t>
  </si>
  <si>
    <t>Возраст домена или репозитория около 31,1 лет (верхняя оценка возраста бренда)</t>
  </si>
  <si>
    <t>Совпадения шаблонов в HTML: вход - 3, тарифы - 8, интеграции - 7, вакансии - 3, магазин приложений - 6, GitHub - 0</t>
  </si>
  <si>
    <t>https://excalidraw.com/</t>
  </si>
  <si>
    <t>title: «Excalidraw Whiteboard»; description: «Excalidraw is a virtual collaborative whiteboard tool that lets you easily sketch diagrams that have a hand-drawn feel to them.»</t>
  </si>
  <si>
    <t>Наброски вместо нотационных диаграмм; репозиторий с 133 301 звездой</t>
  </si>
  <si>
    <t>4 253 000 визитов в месяц; уникальных 1 524 000; длительность 00:01:15; 2,01 стр. за визит; отказы 71,07 %; окно июнь-август 2026, весь мир</t>
  </si>
  <si>
    <t>Прямой 66,06 %; органический поиск 23,78 %; платный поиск 0,05 %; реферальный 3,33 %; соцсети (орг.) 2,98 %</t>
  </si>
  <si>
    <t>Топ-5 стран: IN 16.03/US 14.83/CN 5.43/ID 3.71/DE 3.31</t>
  </si>
  <si>
    <t>Запрос «excalidraw»: 70 запросов в месяц (регион Беларусь, все устройства)</t>
  </si>
  <si>
    <t>https://github.com/excalidraw/excalidraw</t>
  </si>
  <si>
    <t>excalidraw/excalidraw: 133 301 звёзд, 15 530 форков, лицензия MIT, последнее обновление 2026-09-30</t>
  </si>
  <si>
    <t>https://rdap.org/domain/excalidraw.com</t>
  </si>
  <si>
    <t>Возраст домена или репозитория около 6,7 лет (верхняя оценка возраста бренда)</t>
  </si>
  <si>
    <t>Совпадения шаблонов в HTML: вход - 0, тарифы - 0, интеграции - 0, вакансии - 0, магазин приложений - 0, GitHub - 0</t>
  </si>
  <si>
    <t>https://dbdiagram.io/</t>
  </si>
  <si>
    <t>title: «dbdiagram.io - Database Relationship Diagrams Design Tool»; description: «Quick and simple free tool to help you draw your database relationship diagrams and flow quickly using simple DSL language.»</t>
  </si>
  <si>
    <t>Одна нотация (ERD) с вводом текстом; ERD входит в первую волну нотаций NotaCode</t>
  </si>
  <si>
    <t>655 207 визитов в месяц; уникальных 245 988; длительность 00:03:14; 2,68 стр. за визит; отказы 46,82 %; окно июнь-август 2026, весь мир</t>
  </si>
  <si>
    <t>Прямой 61,73 %; органический поиск 18,78 %; платный поиск 0,02 %; реферальный 7,06 %; соцсети (орг.) 5,36 %</t>
  </si>
  <si>
    <t>Топ-5 стран: IN 8.23/US 7.87/ID 5.64/KR 5.52/CO 3.51</t>
  </si>
  <si>
    <t>Запрос «dbdiagram»: 2 запросов в месяц (регион Беларусь, все устройства)</t>
  </si>
  <si>
    <t>https://dbdiagram.io/pricing</t>
  </si>
  <si>
    <t>описание: free tool; платный тариф около 8 USD (ЛР2-3)</t>
  </si>
  <si>
    <t>https://github.com/holistics/dbml</t>
  </si>
  <si>
    <t>holistics/dbml: 3 708 звёзд, 234 форков, лицензия Apache-2.0, последнее обновление 2026-09-23</t>
  </si>
  <si>
    <t>https://rdap.org/domain/dbdiagram.io</t>
  </si>
  <si>
    <t>Возраст домена или репозитория около 8,1 лет (верхняя оценка возраста бренда)</t>
  </si>
  <si>
    <t>https://drawsql.app/</t>
  </si>
  <si>
    <t>title: «DrawSQL — Database Schema Diagram Tool for Developers &amp; Teams»; description: «Import your SQL and get an interactive schema diagram — real-time collaboration, driver-aware types, team reviews. Free, no signup.»</t>
  </si>
  <si>
    <t>Одна нотация (ERD); данные по каналам и географии в Similarweb недоступны</t>
  </si>
  <si>
    <t>123 677 визитов в месяц; уникальных 57 400; длительность 00:01:19; 2,52 стр. за визит; отказы 42,95 %; окно июнь-август 2026, весь мир</t>
  </si>
  <si>
    <t>Запрос «drawsql»: 2 запросов в месяц (регион Беларусь, все устройства)</t>
  </si>
  <si>
    <t>https://rdap.org/domain/drawsql.app</t>
  </si>
  <si>
    <t>Возраст домена или репозитория около 8,4 лет (верхняя оценка возраста бренда)</t>
  </si>
  <si>
    <t>Совпадения шаблонов в HTML: вход - 2, тарифы - 3, интеграции - 0, вакансии - 0, магазин приложений - 0, GitHub - 0</t>
  </si>
  <si>
    <t>https://www.eraser.io/</t>
  </si>
  <si>
    <t>title: «Eraser – AI for diagrams that matter»; description: «Create technical diagrams using AI. Deliver consistent, accurate designs faster.»</t>
  </si>
  <si>
    <t>ИИ-режим сопоставим с режимами ИИ-ассистента NotaCode; раздел обзора Similarweb данных не показал</t>
  </si>
  <si>
    <t>Запрос «eraser io»: 2 запросов в месяц (регион Беларусь, все устройства)</t>
  </si>
  <si>
    <t>https://www.eraser.io/pricing</t>
  </si>
  <si>
    <t>Free (0 USD; 3 файла, 3 ИИ-диаграммы); Starter 15 USD (20 USD при помесячной оплате); Business 45 USD (60 USD); Enterprise по запросу; цены за участника в месяц (страница тарифов, 01.10.2026)</t>
  </si>
  <si>
    <t>https://www.g2.com/ ; https://www.capterra.com/ ; https://www.trustpilot.com/review/eraser.io</t>
  </si>
  <si>
    <t>Product Hunt 4,9 (10); расширение VS Code 4,8 (5)</t>
  </si>
  <si>
    <t>https://rdap.org/domain/eraser.io</t>
  </si>
  <si>
    <t>Возраст домена или репозитория около 12,0 лет (верхняя оценка возраста бренда)</t>
  </si>
  <si>
    <t>Совпадения шаблонов в HTML: вход - 6, тарифы - 2, интеграции - 6, вакансии - 0, магазин приложений - 0, GitHub - 1</t>
  </si>
  <si>
    <t>https://whimsical.com/</t>
  </si>
  <si>
    <t>title: «Whimsical - The whiteboard for product builders»; description: «Диаграммы, схемы интерфейсов, документы (страница whimsical.com, 01.10.2026)»</t>
  </si>
  <si>
    <t>Главная страница и тарифы просмотрены 01.10.2026: диаграммы и схемы интерфейсов для команд продуктов, формальных нотаций UML и BPMN как набора нет; Similarweb не собирался; запрос «whimsical» в Вордстате - омоним</t>
  </si>
  <si>
    <t>Запрос «whimsical»: 59 запросов в месяц (регион Беларусь, все устройства); омоним, спрос на сервис не выделяется</t>
  </si>
  <si>
    <t>https://whimsical.com/pricing</t>
  </si>
  <si>
    <t>Free (0 USD; 50 объектов доски и 50 блоков документа в месяц, водяной знак при экспорте); Pro 10 USD, Business 20 USD за редактора в месяц (страница тарифов, 01.10.2026)</t>
  </si>
  <si>
    <t>https://www.g2.com/ ; https://www.capterra.com/ ; https://www.trustpilot.com/review/whimsical.com</t>
  </si>
  <si>
    <t>Capterra 4,7 (59)</t>
  </si>
  <si>
    <t>Запрос «visio»: 1501 запросов в месяц (регион Беларусь, все устройства)</t>
  </si>
  <si>
    <t>https://www.microsoft.com/ru-ru/microsoft-365/visio/flowchart-software</t>
  </si>
  <si>
    <t>Plan 1 - 5 USD, Plan 2 - 15 USD за пользователя в месяц при оплате за год; бесплатного тарифа нет (пробный месяц)</t>
  </si>
  <si>
    <t>Экспертная корректировка: Расчётный балл 4,10 лишь на 0,10 ниже порога 4,20; по правилу методики (индекс 65-79 и постоянное присутствие в тех же запросах) допускается повышение до прямого. Подтверждения: (1) запрос «plantuml» - 200 запросов в месяц в Беларуси (Вордстат, 29.08-27.09.2026), максимум среди брендов текстовых DSL; (2) страница товара и описание совпадают с задачей NotaCode (title/description 30.09.2026); (3) ЛР1 табл. 44 относит PlantUML к прямым конкурентам; (4) плагины IDE: 3 712 111 установок VS Marketplace и 5 014 362 загрузки JetBrains (ЛР2-3). Уверенность: средняя. Similarweb Pro: 739 657 визитов в месяц (июнь-август 2026). Вордстат, Беларусь: 200 запр. в месяц. Цена: открытый код, бесплатно (ЛР1, табл. 42). Главное обещание совпадает с задачей NotaCode: диаграммы UML из текста.</t>
  </si>
  <si>
    <t>02_Доказательства: 11 строк (ID K001); ЛР1 табл. 44; ЛР2-3 (маркетплейсы); Вордстат 29.08-27.09.2026</t>
  </si>
  <si>
    <t>Уверенность: средняя; заполнено критериев: 10 из 10</t>
  </si>
  <si>
    <t>02_Доказательства: 11 строк</t>
  </si>
  <si>
    <t>Уверенность: средняя. Similarweb Pro: 442 646 визитов в месяц (июнь-август 2026). Вордстат, Беларусь: 19 запр. в месяц. Цена: открытый код (MIT); платные планы у Mermaid Chart. Задача та же (диаграммы из текста и кода), нотаций UML/BPMN/IDEF как набора с проверкой правил в описании нет.</t>
  </si>
  <si>
    <t>02_Доказательства: 11 строк (ID K002)</t>
  </si>
  <si>
    <t>Уверенность: средняя. Similarweb Pro: 2 535 визитов в месяц (июнь-август 2026). Вордстат, Беларусь: 0 запр. в месяц. Тарифы: Free (до 6 диаграмм, 15 AI-кредитов). Платная надстройка над Mermaid; домен, вероятно, перенесён на mermaid.ai (трафик mermaidchart.com -82,22 %).</t>
  </si>
  <si>
    <t>02_Доказательства: 10 строк (ID K003)</t>
  </si>
  <si>
    <t>02_Доказательства: 10 строк</t>
  </si>
  <si>
    <t>Уверенность: средняя. Similarweb Pro: 61 003 визитов в месяц (июнь-август 2026). Вордстат, Беларусь: 0 запр. в месяц. Описание на главной отсутствует (meta description пуста); отнесение по ЛР4 (язык диаграмм D2).</t>
  </si>
  <si>
    <t>02_Доказательства: 9 строк (ID K004)</t>
  </si>
  <si>
    <t>Уверенность: средняя; заполнено критериев: 8 из 10</t>
  </si>
  <si>
    <t>02_Доказательства: 9 строк</t>
  </si>
  <si>
    <t>Уверенность: средняя. Similarweb Pro: 33 398 визитов в месяц (июнь-август 2026). Вордстат, Беларусь: 12 запр. в месяц. Отрисовка через API без самостоятельного редактора; NotaCode планирует Kroki как альтернативный движок (документация проекта).</t>
  </si>
  <si>
    <t>02_Доказательства: 8 строк (ID K005)</t>
  </si>
  <si>
    <t>Уверенность: средняя; заполнено критериев: 7 из 10</t>
  </si>
  <si>
    <t>02_Доказательства: 8 строк</t>
  </si>
  <si>
    <t>Уверенность: средняя. Similarweb Pro: 339 451 визитов в месяц (июнь-август 2026). Вордстат, Беларусь: 9 запр. в месяц. Цена: заголовок страницы: Free &amp; Fast. В заголовке заявлены бесплатность и онлайн-доступ; редактор поверх PlantUML.</t>
  </si>
  <si>
    <t>02_Доказательства: 9 строк (ID K006)</t>
  </si>
  <si>
    <t>Уверенность: средняя. Similarweb Pro: 107 631 визитов в месяц (июнь-август 2026). Вордстат, Беларусь: 16 запр. в месяц. Графический моделер UML; страница тарифов в HTML упомянута 2 раза, цены не получены.</t>
  </si>
  <si>
    <t>02_Доказательства: 7 строк (ID K007)</t>
  </si>
  <si>
    <t>02_Доказательства: 7 строк</t>
  </si>
  <si>
    <t>Уверенность: средняя. Similarweb Pro: 1 516 000 визитов в месяц (июнь-август 2026). Вордстат, Беларусь: 46 запр. в месяц. Тарифы: Подписка: Modeler 6, Standard 19, Professional 35, Enterprise 89 USD в месяц. Широкий набор нотаций и ИИ; графический ввод, ценовой уровень выше NotaCode.</t>
  </si>
  <si>
    <t>02_Доказательства: 9 строк (ID K008)</t>
  </si>
  <si>
    <t>Уверенность: средняя; заполнено критериев: 9 из 10</t>
  </si>
  <si>
    <t>Уверенность: низкая. Similarweb Pro: 149 507 визитов в месяц (июнь-август 2026). Вордстат, Беларусь: 9 запр. в месяц. Главная страница вернула HTTP 403 автоматическому запросу; отнесение по ЛР1 (табл. 44).</t>
  </si>
  <si>
    <t>02_Доказательства: 7 строк (ID K009)</t>
  </si>
  <si>
    <t>Уверенность: низкая; заполнено критериев: 5 из 10</t>
  </si>
  <si>
    <t>Уверенность: средняя. Similarweb Pro: 199 080 визитов в месяц (июнь-август 2026). Вордстат, Беларусь: 37 запр. в месяц. Только BPMN-семейство; в NotaCode BPMN относится ко второй волне нотаций.</t>
  </si>
  <si>
    <t>02_Доказательства: 9 строк (ID K010)</t>
  </si>
  <si>
    <t>Уверенность: средняя. Вордстат, Беларусь: 17 запр. в месяц. Классифицируется Modeler, а не вся компания; главная страница описывает платформу оркестрации.</t>
  </si>
  <si>
    <t>02_Доказательства: 7 строк (ID K011)</t>
  </si>
  <si>
    <t>Уверенность: средняя. Similarweb Pro: 92 936 визитов в месяц (июнь-август 2026). Вордстат, Беларусь: 2 запр. в месяц. Русскоязычная платформа; BPMN-редактор входит в состав платформы процессного управления.</t>
  </si>
  <si>
    <t>02_Доказательства: 7 строк (ID K012)</t>
  </si>
  <si>
    <t>Уверенность: средняя. Similarweb Pro: 8 497 000 визитов в месяц (июнь-август 2026). Вордстат, Беларусь: 1072 запр. в месяц. Цена: полностью бесплатный, открытый код (Apache 2.0) (ЛР1, табл. 42). Универсальный графический редактор; бесплатный, открытый код, заявлено более 100 млн пользователей.</t>
  </si>
  <si>
    <t>02_Доказательства: 12 строк (ID K013)</t>
  </si>
  <si>
    <t>02_Доказательства: 12 строк</t>
  </si>
  <si>
    <t>Уверенность: средняя. Similarweb Pro: 703 574 визитов в месяц (июнь-август 2026). Вордстат, Беларусь: 24 запр. в месяц. Тарифы: Free (3 редактируемых документа, 75 фигур на документ). Главная страница вернула HTTP 403; описание продукта не получено, оценка по ЛР1, ЛР2-3, G2, Capterra.</t>
  </si>
  <si>
    <t>02_Доказательства: 9 строк (ID K014)</t>
  </si>
  <si>
    <t>Уверенность: средняя. Similarweb Pro: 784 067 визитов в месяц (июнь-август 2026). Вордстат, Беларусь: 4 запр. в месяц. Тарифы: Платные тарифы от 5 до 89 USD в месяц (ЛР2-3, табл. 70: 15,14 - 269,54 BYN). Универсальный редактор; отзывы на Trustpilot низкие (1,9 из 5 при 58 отзывах).</t>
  </si>
  <si>
    <t>02_Доказательства: 9 строк (ID K015)</t>
  </si>
  <si>
    <t>Уверенность: средняя. Similarweb Pro: 27 510 000 визитов в месяц (июнь-август 2026). Вордстат, Беларусь: 1660 запр. в месяц. Тарифы: Free (3 редактируемые доски). Доска для совместной работы; в продуктовые границы ЛР1 как самостоятельный рынок не входит.</t>
  </si>
  <si>
    <t>02_Доказательства: 9 строк (ID K016)</t>
  </si>
  <si>
    <t>Уверенность: средняя. Similarweb Pro: 4 253 000 визитов в месяц (июнь-август 2026). Вордстат, Беларусь: 70 запр. в месяц. Наброски вместо нотационных диаграмм; репозиторий с 133 301 звездой.</t>
  </si>
  <si>
    <t>02_Доказательства: 8 строк (ID K017)</t>
  </si>
  <si>
    <t>Уверенность: средняя. Similarweb Pro: 655 207 визитов в месяц (июнь-август 2026). Вордстат, Беларусь: 2 запр. в месяц. Цена: описание: free tool; платный тариф около 8 USD (ЛР2-3). Одна нотация (ERD) с вводом текстом; ERD входит в первую волну нотаций NotaCode.</t>
  </si>
  <si>
    <t>02_Доказательства: 9 строк (ID K018)</t>
  </si>
  <si>
    <t>Уверенность: средняя. Similarweb Pro: 123 677 визитов в месяц (июнь-август 2026). Вордстат, Беларусь: 2 запр. в месяц. Одна нотация (ERD); данные по каналам и географии в Similarweb недоступны.</t>
  </si>
  <si>
    <t>02_Доказательства: 5 строк (ID K019)</t>
  </si>
  <si>
    <t>Уверенность: средняя; заполнено критериев: 6 из 10</t>
  </si>
  <si>
    <t>02_Доказательства: 5 строк</t>
  </si>
  <si>
    <t>Уверенность: средняя. Вордстат, Беларусь: 2 запр. в месяц. Тарифы: Free (0 USD. ИИ-режим сопоставим с режимами ИИ-ассистента NotaCode; раздел обзора Similarweb данных не показал.</t>
  </si>
  <si>
    <t>02_Доказательства: 6 строк (ID K020)</t>
  </si>
  <si>
    <t>02_Доказательства: 6 строк</t>
  </si>
  <si>
    <t>Уверенность: средняя. Вордстат, Беларусь: 59 запр. в месяц. Тарифы: Free (0 USD. Главная страница и тарифы просмотрены 01.10.2026: диаграммы и схемы интерфейсов для команд продуктов, формальных нотаций UML и BPMN как набора нет; Similarweb не собирался; запрос «whimsical» в Вордстате - омоним.</t>
  </si>
  <si>
    <t>02_Доказательства: 4 строк (ID K021)</t>
  </si>
  <si>
    <t>02_Доказательства: 4 строк</t>
  </si>
  <si>
    <t>Уверенность: низкая. Вордстат, Беларусь: 1501 запр. в месяц. Тарифы: Plan 1 - 5 USD, Plan 2 - 15 USD за пользователя в месяц при оплате за год. Домен-раздел без отдельного трафика (ЛР4); использованы тарифы ЛР1 и частота запроса «visio» (1501).</t>
  </si>
  <si>
    <t>02_Доказательства: 2 строк (ID K022)</t>
  </si>
  <si>
    <t>Уверенность: низкая; заполнено критериев: 8 из 10</t>
  </si>
  <si>
    <t>02_Доказательства: 2 строк</t>
  </si>
  <si>
    <t>Журнал рабочей копии: исправления шаблона, шкала, правила баллов, незаполненные данные</t>
  </si>
  <si>
    <t>Раздел</t>
  </si>
  <si>
    <t>Исправления рабочей копии шаблона</t>
  </si>
  <si>
    <t>Д-1</t>
  </si>
  <si>
    <t>Лист 01_Компании, столбец I (Приоритет): проверка данных ссылалась на список уровней конкуренции ('08_Справочники'!A2:A7). Заменена на список приоритетов ('08_Справочники'!C2:C4).</t>
  </si>
  <si>
    <t>Д-2</t>
  </si>
  <si>
    <t>Лист 02_Доказательства, столбец G (Сила сигнала 1-5): проверка данных ссылалась на список блоков критериев. Заменена на целые числа от 1 до 5.</t>
  </si>
  <si>
    <t>Д-3</t>
  </si>
  <si>
    <t>Лист 04_Оценка, столбец S (Статус решения): проверка данных ссылалась на список уровней. Заменена на список статусов ('08_Справочники'!B2:B6).</t>
  </si>
  <si>
    <t>Д-4</t>
  </si>
  <si>
    <t>Лист 06_Сводка, B19:F28 (топ-10): при равных баллах MATCH возвращал первое совпадение, и одна компания повторялась в нескольких строках. Формулы заменены вариантом с AGGREGATE и COUNTIF (n-е совпадение); логика (LARGE по взвешенному баллу) сохранена.</t>
  </si>
  <si>
    <t>Д-6</t>
  </si>
  <si>
    <t>Лист 04_Оценка, столбец N (Взвешенный балл): SUMPRODUCT получал строку D:M (1x10) и столбец весов E4:E13 (10x1), размеры не совпадают, результат во всех строках - #ЗНАЧ!. Формула заменена явной суммой произведений баллов на веса, делённой на сумму весов (математика методики: SUMPRODUCT(C1...C10; веса) / SUM(весов)).</t>
  </si>
  <si>
    <t>Д-7</t>
  </si>
  <si>
    <t>Формулы XLOOKUP (листы 02_Доказательства, 04_Оценка, 07_Карта) записаны в файле шаблона без префикса _xlfn, Excel читал их как неизвестную функцию и название компании не подтягивалось. Формулы введены повторно (текст не менялся), название и сайт подтягиваются.</t>
  </si>
  <si>
    <t>Д-8</t>
  </si>
  <si>
    <t>Листы 04_Оценка (B, C) и 07_Карта (B, J, K): для ID без компании XLOOKUP возвращал пустую ячейку как 0, и в 78 строках показывались нули; добавлена проверка на пустое значение. Лист 07_Карта, столбец G: для строк со статусом «Недостаточно данных» или без X/Y зона не определялась корректно (текст сравнивался как больше числа); добавлено значение «Нет данных».</t>
  </si>
  <si>
    <t>Д-5</t>
  </si>
  <si>
    <t>Формулы листов 04_Оценка (N, O, P, R) и 07_Карта (X, Y, зона) сверены с правилами методики (ЗАДАНИЕ, п. 5.4) и расчётом на Python (Python/02_verify.py); расхождений нет, формулы не менялись.</t>
  </si>
  <si>
    <t>Шкала</t>
  </si>
  <si>
    <t>Ш-1</t>
  </si>
  <si>
    <t>Использована шкала Excel-шаблона: 10 критериев C1-C10, баллы 0-5, веса в сумме 100, 5 уровней и значение «Недостаточно данных». Шкала методики (8 критериев, 0-4, индекс 0-100, 7 уровней) для расчёта не применялась; определения уровней и правила корректировки взяты из методики.</t>
  </si>
  <si>
    <t>Ш-2</t>
  </si>
  <si>
    <t>Пустая ячейка критерия в формуле шаблона равна 0 (в числитель не входит, в знаменатель входит вес). Критерий оставлен пустым, если данных нет; при заполнении менее шести критериев ограничитель даёт «Недостаточно данных».</t>
  </si>
  <si>
    <t>Правила баллов</t>
  </si>
  <si>
    <t>П-1</t>
  </si>
  <si>
    <t>C1-C4 назначены аналитиком по тексту главной страницы и описанию продукта: 5 - главная страница заявляет ту же задачу (диаграммы из текста или кода); 4 - нотационный моделер или ИИ-генерация диаграмм; 3 - универсальный редактор или одна нотация; 2 - доска или платформа с редактором как модулем.</t>
  </si>
  <si>
    <t>П-2</t>
  </si>
  <si>
    <t>C5: 4 - бесплатный продукт или входной платный тариф не выше 6 USD в месяц; 3 - 7-12 USD; 2 - 13-30 USD; 1 - свыше 30 USD (NotaCode Pro - 4 USD в месяц при оплате за год - 40 USD). Данные: ЛР1 табл. 42, ЛР2-3 табл. 70.</t>
  </si>
  <si>
    <t>П-3</t>
  </si>
  <si>
    <t>C6 = 1 + (органический поиск не менее 40 %) + (репозиторий GitHub не менее 1 000 звёзд или карточка в каталоге расширений IDE) + (бренд не менее 10 запросов в месяц в Вордстате, РБ, без омонимии) + (реферальный трафик не менее 10 % или социальный не менее 5 %); максимум 5.</t>
  </si>
  <si>
    <t>П-4</t>
  </si>
  <si>
    <t>C7: 5 - русскоязычный сервис с долей Беларуси в топ-5 стран; 4 - Россия или Беларусь среди топ-5 стран Similarweb либо бренд не менее 100 запросов в месяц в РБ; 3 - 10-99 запросов; 2 - менее 10 запросов; пусто - данных нет или омоним.</t>
  </si>
  <si>
    <t>П-5</t>
  </si>
  <si>
    <t>C8: 5 - бесплатный уровень и платная подписка (как у NotaCode); 4 - платная подписка без подтверждённого бесплатного уровня; 3 - подписка и бессрочные лицензии; 1 - бесплатный продукт без прямой монетизации.</t>
  </si>
  <si>
    <t>П-6</t>
  </si>
  <si>
    <t>C9 = 1 + (возраст не менее 5 лет) + (возраст не менее 12 лет) + (не менее 30 независимых отзывов или оценок) + (не менее 500 тыс. визитов в месяц или 10 тыс. звёзд GitHub); максимум 5. Возраст - по RDAP (верхняя оценка возраста бренда).</t>
  </si>
  <si>
    <t>П-7</t>
  </si>
  <si>
    <t>C10 = 3 для инструментов, форматы которых NotaCode планирует импортировать (PlantUML, Mermaid, D2, draw.io, BPMN XML; документация проекта, концепция, разделы 2 и 5); для остальных пусто.</t>
  </si>
  <si>
    <t>П-8</t>
  </si>
  <si>
    <t>Сила сигнала в 02_Доказательства: 5 - страница тарифов; 4 - метаданные главной страницы; 3 - Similarweb, отзывы, GitHub, Вордстат; 2 - возраст домена, признаки в HTML, план совместимости; 1 - страница недоступна. Достоверность: 5 - программный интерфейс; 4 - официальная страница или Вордстат; 3 - оценочная модель или отзывы; 2 - ручной просмотр не выполнен.</t>
  </si>
  <si>
    <t>П-9</t>
  </si>
  <si>
    <t>Уверенность: средняя - заполнено не менее 6 критериев и есть описание главной страницы; низкая - главная страница недоступна или критериев меньше шести. Высокая не присваивалась: нет ручной проверки по трём независимым подтверждениям на страницах товара и тарифов.</t>
  </si>
  <si>
    <t>🔲 ДОСНЯТЬ</t>
  </si>
  <si>
    <t>Т-1</t>
  </si>
  <si>
    <t>🔲 ДОСНЯТЬ: ручной просмотр главных страниц lucidchart.com, sparxsystems.com (ответ HTTP 403) и whimsical.com (страница не собиралась): описание продукта, аудитория, тарифы, скриншоты</t>
  </si>
  <si>
    <t>Т-2</t>
  </si>
  <si>
    <t>🔲 ДОСНЯТЬ: Similarweb Pro для whimsical.com, microsoft.com/visio (домен-раздел), eraser.io (обзор данных не показал), каналы и география drawsql.app</t>
  </si>
  <si>
    <t>Т-3</t>
  </si>
  <si>
    <t>🔲 ДОСНЯТЬ: страницы тарифов staruml.io, d2lang.com, kroki.io, bpmn.io, camunda.com, stormbpmn.com, sparxsystems.com, drawsql.app: цены и бесплатный уровень</t>
  </si>
  <si>
    <t>Т-4</t>
  </si>
  <si>
    <t>🔲 ДОСНЯТЬ: доля Беларуси в трафике (платный доступ Similarweb): сейчас доступна только stormbpmn.com (2,49 %)</t>
  </si>
  <si>
    <t>Т-5</t>
  </si>
  <si>
    <t>🔲 ДОСНЯТЬ: ручная проверка не менее трёх подтверждений (страница товара, тарифы, аудитория, пересечение каналов, обещание результата) для компаний уровня «Прямой» и «Близкий»</t>
  </si>
  <si>
    <t>Т-6</t>
  </si>
  <si>
    <t>🔲 ДОСНЯТЬ: оценка C10 (вероятность переключения): страницы импорта и миграции у конкурентов</t>
  </si>
  <si>
    <t>Т-7</t>
  </si>
  <si>
    <t>🔲 ДОСНЯТЬ: рекламные объявления (Google Ads Transparency Center, LinkedIn Ad Library) и выдача Яндекса по запросам ядра: не проверялись (доступ закрыт, капча)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</si>
</sst>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000000"/>
      <name val="Carlito"/>
    </font>
    <font>
      <b/>
      <sz val="10"/>
      <color rgb="FFFFFFFF"/>
      <name val="Calibri"/>
    </font>
    <font>
      <sz val="10"/>
      <name val="Calibri"/>
    </font>
    <font>
      <sz val="11"/>
      <name val="Carlito"/>
    </font>
    <font>
      <sz val="10"/>
      <name val="Carlito"/>
    </font>
    <font>
      <b/>
      <sz val="10"/>
      <name val="Carlito"/>
      <charset val="204"/>
    </font>
    <font>
      <b/>
      <sz val="12"/>
      <name val="Carlito"/>
      <charset val="204"/>
    </font>
  </fonts>
  <fills count="7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2E7D7A"/>
      </patternFill>
    </fill>
    <fill>
      <patternFill patternType="solid">
        <fgColor rgb="FFFFF2CC"/>
      </patternFill>
    </fill>
    <fill>
      <patternFill patternType="solid">
        <fgColor rgb="FFD8EAF0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2">
    <xf numFmtId="0" fontId="0" fillId="0" borderId="0" xfId="0"/>
    <xf numFmtId="0" fontId="1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" fontId="0" fillId="0" borderId="0" xfId="1" applyNumberFormat="1" applyFont="1" applyAlignment="1">
      <alignment wrapText="1"/>
    </xf>
    <xf numFmtId="0" fontId="2" fillId="4" borderId="0" xfId="1" applyFont="1" applyFill="1" applyAlignment="1">
      <alignment wrapText="1"/>
    </xf>
    <xf numFmtId="164" fontId="0" fillId="0" borderId="0" xfId="1" applyNumberFormat="1" applyFont="1" applyAlignment="1">
      <alignment wrapText="1"/>
    </xf>
    <xf numFmtId="2" fontId="0" fillId="0" borderId="0" xfId="1" applyNumberFormat="1" applyFont="1" applyAlignment="1">
      <alignment wrapText="1"/>
    </xf>
    <xf numFmtId="9" fontId="0" fillId="0" borderId="0" xfId="1" applyNumberFormat="1" applyFont="1" applyAlignment="1">
      <alignment wrapText="1"/>
    </xf>
    <xf numFmtId="0" fontId="3" fillId="5" borderId="0" xfId="1" applyFont="1" applyFill="1" applyAlignment="1">
      <alignment horizontal="center" vertical="center" wrapText="1"/>
    </xf>
    <xf numFmtId="0" fontId="5" fillId="0" borderId="0" xfId="1" applyFont="1"/>
    <xf numFmtId="0" fontId="4" fillId="2" borderId="0" xfId="1" applyFont="1" applyFill="1" applyAlignment="1">
      <alignment horizontal="center" vertical="center" wrapText="1"/>
    </xf>
    <xf numFmtId="0" fontId="5" fillId="0" borderId="0" xfId="1" applyFont="1"/>
    <xf numFmtId="0" fontId="3" fillId="5" borderId="0" xfId="1" applyFont="1" applyFill="1" applyAlignment="1">
      <alignment horizontal="center" vertical="center" wrapText="1"/>
    </xf>
    <xf numFmtId="0" fontId="2" fillId="4" borderId="0" xfId="1" applyFont="1" applyFill="1" applyAlignment="1">
      <alignment wrapText="1"/>
    </xf>
    <xf numFmtId="0" fontId="4" fillId="3" borderId="0" xfId="1" applyFont="1" applyFill="1" applyAlignment="1">
      <alignment horizontal="center" vertical="center" wrapText="1"/>
    </xf>
    <xf numFmtId="0" fontId="7" fillId="0" borderId="0" xfId="0" applyFont="1"/>
    <xf numFmtId="0" fontId="9" fillId="0" borderId="0" xfId="0" applyFont="1"/>
    <xf numFmtId="0" fontId="8" fillId="6" borderId="1" xfId="0" applyFont="1" applyFill="1" applyBorder="1"/>
    <xf numFmtId="0" fontId="7" fillId="0" borderId="1" xfId="0" applyFont="1" applyBorder="1" applyAlignment="1">
      <alignment vertical="top" wrapText="1"/>
    </xf>
    <xf numFmtId="0" fontId="0" fillId="0" borderId="0" xfId="1" applyFont="1" applyAlignment="1">
      <alignment vertical="top" wrapText="1"/>
    </xf>
    <xf numFmtId="164" fontId="0" fillId="0" borderId="0" xfId="1" applyNumberFormat="1" applyFont="1" applyAlignment="1">
      <alignment vertical="top" wrapText="1"/>
    </xf>
    <xf numFmtId="2" fontId="0" fillId="0" borderId="0" xfId="1" applyNumberFormat="1" applyFont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9">
    <dxf>
      <fill>
        <patternFill patternType="solid">
          <bgColor rgb="FFFFF2CC"/>
        </patternFill>
      </fill>
    </dxf>
    <dxf>
      <fill>
        <patternFill patternType="solid">
          <bgColor rgb="FFDDEEDC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AF4F3"/>
        </patternFill>
      </fill>
    </dxf>
    <dxf>
      <fill>
        <patternFill patternType="solid">
          <bgColor rgb="FFDDEEDC"/>
        </patternFill>
      </fill>
    </dxf>
    <dxf>
      <fill>
        <patternFill patternType="solid">
          <bgColor rgb="FFDDEED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Распределение компаний по уровням конкуренции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Количество</c:v>
          </c:tx>
          <c:invertIfNegative val="1"/>
          <c:cat>
            <c:strRef>
              <c:f>'06_Сводка'!$A$11:$A$16</c:f>
              <c:strCache>
                <c:ptCount val="6"/>
                <c:pt idx="0">
                  <c:v>Прямой конкурент</c:v>
                </c:pt>
                <c:pt idx="1">
                  <c:v>Близкий альтернативный конкурент</c:v>
                </c:pt>
                <c:pt idx="2">
                  <c:v>Косвенный конкурент / заменитель</c:v>
                </c:pt>
                <c:pt idx="3">
                  <c:v>Смежная или потенциальная конкуренция</c:v>
                </c:pt>
                <c:pt idx="4">
                  <c:v>Не конкурент / объект наблюдения</c:v>
                </c:pt>
                <c:pt idx="5">
                  <c:v>Недостаточно данных</c:v>
                </c:pt>
              </c:strCache>
            </c:strRef>
          </c:cat>
          <c:val>
            <c:numRef>
              <c:f>'06_Сводка'!$B$11:$B$16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9</c:v>
                </c:pt>
                <c:pt idx="3">
                  <c:v>7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A-4710-A333-C0F6944AC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t>Карта: функциональная близость и аудиторное пересечение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Y: аудитория + рынок</c:v>
          </c:tx>
          <c:xVal>
            <c:numLit>
              <c:ptCount val="0"/>
            </c:numLit>
          </c:xVal>
          <c:yVal>
            <c:numRef>
              <c:f>'07_Карта'!$D$4:$D$103</c:f>
              <c:numCache>
                <c:formatCode>0.00</c:formatCode>
                <c:ptCount val="100"/>
                <c:pt idx="0">
                  <c:v>4</c:v>
                </c:pt>
                <c:pt idx="1">
                  <c:v>3.5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</c:v>
                </c:pt>
                <c:pt idx="9">
                  <c:v>3.5</c:v>
                </c:pt>
                <c:pt idx="10">
                  <c:v>2.5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2.5</c:v>
                </c:pt>
                <c:pt idx="15">
                  <c:v>3</c:v>
                </c:pt>
                <c:pt idx="16">
                  <c:v>3</c:v>
                </c:pt>
                <c:pt idx="17">
                  <c:v>2.5</c:v>
                </c:pt>
                <c:pt idx="18">
                  <c:v>2.5</c:v>
                </c:pt>
                <c:pt idx="19">
                  <c:v>2.5</c:v>
                </c:pt>
                <c:pt idx="20">
                  <c:v>3</c:v>
                </c:pt>
                <c:pt idx="21">
                  <c:v>3.5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99-4049-AD7A-D229C2F94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;;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CompaniesTable" displayName="CompaniesTable" ref="A3:M103">
  <tableColumns count="13">
    <tableColumn id="1" xr3:uid="{00000000-0010-0000-0000-000001000000}" name="ID"/>
    <tableColumn id="2" xr3:uid="{00000000-0010-0000-0000-000002000000}" name="Компания"/>
    <tableColumn id="3" xr3:uid="{00000000-0010-0000-0000-000003000000}" name="Сайт"/>
    <tableColumn id="4" xr3:uid="{00000000-0010-0000-0000-000004000000}" name="Рынок / страна"/>
    <tableColumn id="5" xr3:uid="{00000000-0010-0000-0000-000005000000}" name="Тип компании"/>
    <tableColumn id="6" xr3:uid="{00000000-0010-0000-0000-000006000000}" name="Основной цифровой товар"/>
    <tableColumn id="7" xr3:uid="{00000000-0010-0000-0000-000007000000}" name="Целевой сегмент"/>
    <tableColumn id="8" xr3:uid="{00000000-0010-0000-0000-000008000000}" name="Предварительная гипотеза"/>
    <tableColumn id="9" xr3:uid="{00000000-0010-0000-0000-000009000000}" name="Приоритет"/>
    <tableColumn id="10" xr3:uid="{00000000-0010-0000-0000-00000A000000}" name="Ответственный"/>
    <tableColumn id="11" xr3:uid="{00000000-0010-0000-0000-00000B000000}" name="Статус"/>
    <tableColumn id="12" xr3:uid="{00000000-0010-0000-0000-00000C000000}" name="Дата обновления"/>
    <tableColumn id="13" xr3:uid="{00000000-0010-0000-0000-00000D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EvidenceTable" displayName="EvidenceTable" ref="A3:L303">
  <tableColumns count="12">
    <tableColumn id="1" xr3:uid="{00000000-0010-0000-0100-000001000000}" name="ID компании"/>
    <tableColumn id="2" xr3:uid="{00000000-0010-0000-0100-000002000000}" name="Компания"/>
    <tableColumn id="3" xr3:uid="{00000000-0010-0000-0100-000003000000}" name="Раздел сайта"/>
    <tableColumn id="4" xr3:uid="{00000000-0010-0000-0100-000004000000}" name="URL"/>
    <tableColumn id="5" xr3:uid="{00000000-0010-0000-0100-000005000000}" name="Наблюдаемый факт"/>
    <tableColumn id="6" xr3:uid="{00000000-0010-0000-0100-000006000000}" name="Тип сигнала"/>
    <tableColumn id="7" xr3:uid="{00000000-0010-0000-0100-000007000000}" name="Сила сигнала 1–5"/>
    <tableColumn id="8" xr3:uid="{00000000-0010-0000-0100-000008000000}" name="Дата фиксации"/>
    <tableColumn id="9" xr3:uid="{00000000-0010-0000-0100-000009000000}" name="Вывод для классификации"/>
    <tableColumn id="10" xr3:uid="{00000000-0010-0000-0100-00000A000000}" name="Достоверность 1–5"/>
    <tableColumn id="11" xr3:uid="{00000000-0010-0000-0100-00000B000000}" name="Скриншот / архив"/>
    <tableColumn id="12" xr3:uid="{00000000-0010-0000-0100-00000C000000}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CompetitionCriteria" displayName="CompetitionCriteria" ref="A3:J13">
  <tableColumns count="10">
    <tableColumn id="1" xr3:uid="{00000000-0010-0000-0200-000001000000}" name="Код"/>
    <tableColumn id="2" xr3:uid="{00000000-0010-0000-0200-000002000000}" name="Критерий"/>
    <tableColumn id="3" xr3:uid="{00000000-0010-0000-0200-000003000000}" name="Что проверяется по сайту"/>
    <tableColumn id="4" xr3:uid="{00000000-0010-0000-0200-000004000000}" name="Индикаторы"/>
    <tableColumn id="5" xr3:uid="{00000000-0010-0000-0200-000005000000}" name="Вес"/>
    <tableColumn id="6" xr3:uid="{00000000-0010-0000-0200-000006000000}" name="0 баллов"/>
    <tableColumn id="7" xr3:uid="{00000000-0010-0000-0200-000007000000}" name="1 балл"/>
    <tableColumn id="8" xr3:uid="{00000000-0010-0000-0200-000008000000}" name="3 балла"/>
    <tableColumn id="9" xr3:uid="{00000000-0010-0000-0200-000009000000}" name="5 баллов"/>
    <tableColumn id="10" xr3:uid="{00000000-0010-0000-0200-00000A000000}" name="Обязателен для прямого конкурент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ScoringMatrix" displayName="ScoringMatrix" ref="A3:V103">
  <tableColumns count="22">
    <tableColumn id="1" xr3:uid="{00000000-0010-0000-0300-000001000000}" name="ID"/>
    <tableColumn id="2" xr3:uid="{00000000-0010-0000-0300-000002000000}" name="Компания"/>
    <tableColumn id="3" xr3:uid="{00000000-0010-0000-0300-000003000000}" name="Сайт"/>
    <tableColumn id="4" xr3:uid="{00000000-0010-0000-0300-000004000000}" name="C1 задача"/>
    <tableColumn id="5" xr3:uid="{00000000-0010-0000-0300-000005000000}" name="C2 аудитория"/>
    <tableColumn id="6" xr3:uid="{00000000-0010-0000-0300-000006000000}" name="C3 заменяемость"/>
    <tableColumn id="7" xr3:uid="{00000000-0010-0000-0300-000007000000}" name="C4 сценарий"/>
    <tableColumn id="8" xr3:uid="{00000000-0010-0000-0300-000008000000}" name="C5 цена"/>
    <tableColumn id="9" xr3:uid="{00000000-0010-0000-0300-000009000000}" name="C6 каналы"/>
    <tableColumn id="10" xr3:uid="{00000000-0010-0000-0300-00000A000000}" name="C7 география"/>
    <tableColumn id="11" xr3:uid="{00000000-0010-0000-0300-00000B000000}" name="C8 монетизация"/>
    <tableColumn id="12" xr3:uid="{00000000-0010-0000-0300-00000C000000}" name="C9 зрелость"/>
    <tableColumn id="13" xr3:uid="{00000000-0010-0000-0300-00000D000000}" name="C10 переключение"/>
    <tableColumn id="14" xr3:uid="{00000000-0010-0000-0300-00000E000000}" name="Взвешенный балл"/>
    <tableColumn id="15" xr3:uid="{00000000-0010-0000-0300-00000F000000}" name="Ограничитель"/>
    <tableColumn id="16" xr3:uid="{00000000-0010-0000-0300-000010000000}" name="Расчетный уровень"/>
    <tableColumn id="17" xr3:uid="{00000000-0010-0000-0300-000011000000}" name="Экспертная корректировка"/>
    <tableColumn id="18" xr3:uid="{00000000-0010-0000-0300-000012000000}" name="Итоговый уровень"/>
    <tableColumn id="19" xr3:uid="{00000000-0010-0000-0300-000013000000}" name="Статус решения"/>
    <tableColumn id="20" xr3:uid="{00000000-0010-0000-0300-000014000000}" name="Ключевое обоснование"/>
    <tableColumn id="21" xr3:uid="{00000000-0010-0000-0300-000015000000}" name="Ключевые ссылки"/>
    <tableColumn id="22" xr3:uid="{00000000-0010-0000-0300-000016000000}" name="Дата проверки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CompetitionLevels" displayName="CompetitionLevels" ref="A3:G9">
  <tableColumns count="7">
    <tableColumn id="1" xr3:uid="{00000000-0010-0000-0400-000001000000}" name="Уровень"/>
    <tableColumn id="2" xr3:uid="{00000000-0010-0000-0400-000002000000}" name="Определение"/>
    <tableColumn id="3" xr3:uid="{00000000-0010-0000-0400-000003000000}" name="Ключевой критерий"/>
    <tableColumn id="4" xr3:uid="{00000000-0010-0000-0400-000004000000}" name="Порог по баллу"/>
    <tableColumn id="5" xr3:uid="{00000000-0010-0000-0400-000005000000}" name="Обязательные условия"/>
    <tableColumn id="6" xr3:uid="{00000000-0010-0000-0400-000006000000}" name="Типовые признаки на сайте"/>
    <tableColumn id="7" xr3:uid="{00000000-0010-0000-0400-000007000000}" name="Решение аналитика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mpetitionMap" displayName="CompetitionMap" ref="A3:K103">
  <tableColumns count="11">
    <tableColumn id="1" xr3:uid="{00000000-0010-0000-0500-000001000000}" name="ID"/>
    <tableColumn id="2" xr3:uid="{00000000-0010-0000-0500-000002000000}" name="Компания"/>
    <tableColumn id="3" xr3:uid="{00000000-0010-0000-0500-000003000000}" name="X: задача + заменяемость"/>
    <tableColumn id="4" xr3:uid="{00000000-0010-0000-0500-000004000000}" name="Y: аудитория + рынок"/>
    <tableColumn id="5" xr3:uid="{00000000-0010-0000-0500-000005000000}" name="Взвешенный балл"/>
    <tableColumn id="6" xr3:uid="{00000000-0010-0000-0500-000006000000}" name="Итоговый уровень"/>
    <tableColumn id="7" xr3:uid="{00000000-0010-0000-0500-000007000000}" name="Зона карты"/>
    <tableColumn id="8" xr3:uid="{00000000-0010-0000-0500-000008000000}" name="Комментарий"/>
    <tableColumn id="9" xr3:uid="{00000000-0010-0000-0500-000009000000}" name="Доказательства"/>
    <tableColumn id="10" xr3:uid="{00000000-0010-0000-0500-00000A000000}" name="Приоритет"/>
    <tableColumn id="11" xr3:uid="{00000000-0010-0000-0500-00000B000000}" name="Стату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workbookViewId="0">
      <selection sqref="A1:H1"/>
    </sheetView>
  </sheetViews>
  <sheetFormatPr defaultRowHeight="13.5"/>
  <cols>
    <col min="1" max="1" width="26" customWidth="1"/>
    <col min="2" max="2" width="45" customWidth="1"/>
    <col min="3" max="3" width="24" customWidth="1"/>
    <col min="4" max="4" width="26" customWidth="1"/>
    <col min="5" max="5" width="34" customWidth="1"/>
    <col min="6" max="6" width="28" customWidth="1"/>
    <col min="7" max="7" width="34" customWidth="1"/>
    <col min="8" max="8" width="28" customWidth="1"/>
  </cols>
  <sheetData>
    <row r="1" spans="1:26" ht="16.05" customHeight="1">
      <c r="A1" s="10" t="s">
        <v>0</v>
      </c>
      <c r="B1" s="11" t="s">
        <v>0</v>
      </c>
      <c r="C1" s="11" t="s">
        <v>0</v>
      </c>
      <c r="D1" s="11" t="s">
        <v>0</v>
      </c>
      <c r="E1" s="11" t="s">
        <v>0</v>
      </c>
      <c r="F1" s="11" t="s">
        <v>0</v>
      </c>
      <c r="G1" s="11" t="s">
        <v>0</v>
      </c>
      <c r="H1" s="11" t="s">
        <v>0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3" spans="1:26" ht="13.9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26" ht="40.5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</row>
    <row r="5" spans="1:26" ht="40.5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</row>
    <row r="6" spans="1:26" ht="27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</row>
    <row r="7" spans="1:26" ht="40.5">
      <c r="A7" s="2" t="s">
        <v>33</v>
      </c>
      <c r="B7" s="2" t="s">
        <v>34</v>
      </c>
      <c r="C7" s="2" t="s">
        <v>27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</row>
    <row r="8" spans="1:26" ht="27">
      <c r="A8" s="2" t="s">
        <v>40</v>
      </c>
      <c r="B8" s="2" t="s">
        <v>41</v>
      </c>
      <c r="C8" s="2" t="s">
        <v>27</v>
      </c>
      <c r="D8" s="2" t="s">
        <v>42</v>
      </c>
      <c r="E8" s="2" t="s">
        <v>43</v>
      </c>
      <c r="F8" s="2" t="s">
        <v>44</v>
      </c>
      <c r="G8" s="2" t="s">
        <v>45</v>
      </c>
      <c r="H8" s="2" t="s">
        <v>46</v>
      </c>
    </row>
    <row r="9" spans="1:26" ht="40.5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53</v>
      </c>
      <c r="H9" s="2" t="s">
        <v>54</v>
      </c>
    </row>
    <row r="10" spans="1:26">
      <c r="A10" s="2"/>
      <c r="B10" s="2"/>
      <c r="C10" s="2"/>
      <c r="D10" s="2"/>
      <c r="E10" s="2"/>
      <c r="F10" s="2"/>
      <c r="G10" s="2"/>
      <c r="H10" s="2"/>
    </row>
    <row r="11" spans="1:26" ht="13.9">
      <c r="A11" s="8" t="s">
        <v>55</v>
      </c>
      <c r="B11" s="12" t="s">
        <v>56</v>
      </c>
      <c r="C11" s="12"/>
      <c r="D11" s="12"/>
      <c r="E11" s="12"/>
      <c r="F11" s="12"/>
      <c r="G11" s="12"/>
      <c r="H11" s="12"/>
    </row>
    <row r="12" spans="1:26" ht="54">
      <c r="A12" s="2" t="s">
        <v>57</v>
      </c>
      <c r="B12" s="2" t="s">
        <v>58</v>
      </c>
      <c r="C12" s="2"/>
      <c r="D12" s="2"/>
      <c r="E12" s="2"/>
      <c r="F12" s="2"/>
      <c r="G12" s="2"/>
      <c r="H12" s="2"/>
    </row>
    <row r="13" spans="1:26" ht="40.5">
      <c r="A13" s="2" t="s">
        <v>59</v>
      </c>
      <c r="B13" s="2" t="s">
        <v>60</v>
      </c>
      <c r="C13" s="2"/>
      <c r="D13" s="2"/>
      <c r="E13" s="2"/>
      <c r="F13" s="2"/>
      <c r="G13" s="2"/>
      <c r="H13" s="2"/>
    </row>
    <row r="14" spans="1:26" ht="40.5">
      <c r="A14" s="2" t="s">
        <v>61</v>
      </c>
      <c r="B14" s="2" t="s">
        <v>62</v>
      </c>
      <c r="C14" s="2"/>
      <c r="D14" s="2"/>
      <c r="E14" s="2"/>
      <c r="F14" s="2"/>
      <c r="G14" s="2"/>
      <c r="H14" s="2"/>
    </row>
    <row r="15" spans="1:26" ht="54">
      <c r="A15" s="2" t="s">
        <v>63</v>
      </c>
      <c r="B15" s="2" t="s">
        <v>64</v>
      </c>
      <c r="C15" s="2"/>
      <c r="D15" s="2"/>
      <c r="E15" s="2"/>
      <c r="F15" s="2"/>
      <c r="G15" s="2"/>
      <c r="H15" s="2"/>
    </row>
    <row r="16" spans="1:26" ht="40.5">
      <c r="A16" s="2" t="s">
        <v>65</v>
      </c>
      <c r="B16" s="2" t="s">
        <v>66</v>
      </c>
      <c r="C16" s="2"/>
      <c r="D16" s="2"/>
      <c r="E16" s="2"/>
      <c r="F16" s="2"/>
      <c r="G16" s="2"/>
      <c r="H16" s="2"/>
    </row>
  </sheetData>
  <mergeCells count="2">
    <mergeCell ref="A1:H1"/>
    <mergeCell ref="B11:H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3"/>
  <sheetViews>
    <sheetView workbookViewId="0"/>
  </sheetViews>
  <sheetFormatPr defaultRowHeight="13.5"/>
  <cols>
    <col min="1" max="1" width="10" customWidth="1"/>
    <col min="2" max="2" width="28" customWidth="1"/>
    <col min="3" max="3" width="34" customWidth="1"/>
    <col min="4" max="4" width="18" customWidth="1"/>
    <col min="5" max="5" width="22" customWidth="1"/>
    <col min="6" max="6" width="36" customWidth="1"/>
    <col min="7" max="7" width="28" customWidth="1"/>
    <col min="8" max="8" width="32" customWidth="1"/>
    <col min="9" max="9" width="14" customWidth="1"/>
    <col min="10" max="11" width="18" customWidth="1"/>
    <col min="12" max="12" width="16" customWidth="1"/>
    <col min="13" max="13" width="38" customWidth="1"/>
  </cols>
  <sheetData>
    <row r="1" spans="1:26" ht="16.05" customHeight="1">
      <c r="A1" s="10" t="s">
        <v>67</v>
      </c>
      <c r="B1" s="11" t="s">
        <v>67</v>
      </c>
      <c r="C1" s="11" t="s">
        <v>67</v>
      </c>
      <c r="D1" s="11" t="s">
        <v>67</v>
      </c>
      <c r="E1" s="11" t="s">
        <v>67</v>
      </c>
      <c r="F1" s="11" t="s">
        <v>67</v>
      </c>
      <c r="G1" s="11" t="s">
        <v>67</v>
      </c>
      <c r="H1" s="11" t="s">
        <v>67</v>
      </c>
      <c r="I1" s="11" t="s">
        <v>67</v>
      </c>
      <c r="J1" s="11" t="s">
        <v>67</v>
      </c>
      <c r="K1" s="11" t="s">
        <v>67</v>
      </c>
      <c r="L1" s="11" t="s">
        <v>67</v>
      </c>
      <c r="M1" s="11" t="s">
        <v>67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3" spans="1:26" ht="27.75">
      <c r="A3" s="1" t="s">
        <v>68</v>
      </c>
      <c r="B3" s="1" t="s">
        <v>69</v>
      </c>
      <c r="C3" s="1" t="s">
        <v>70</v>
      </c>
      <c r="D3" s="1" t="s">
        <v>71</v>
      </c>
      <c r="E3" s="1" t="s">
        <v>72</v>
      </c>
      <c r="F3" s="1" t="s">
        <v>73</v>
      </c>
      <c r="G3" s="1" t="s">
        <v>74</v>
      </c>
      <c r="H3" s="1" t="s">
        <v>75</v>
      </c>
      <c r="I3" s="1" t="s">
        <v>76</v>
      </c>
      <c r="J3" s="1" t="s">
        <v>77</v>
      </c>
      <c r="K3" s="1" t="s">
        <v>78</v>
      </c>
      <c r="L3" s="1" t="s">
        <v>79</v>
      </c>
      <c r="M3" s="1" t="s">
        <v>80</v>
      </c>
    </row>
    <row r="4" spans="1:26" ht="81">
      <c r="A4" s="19" t="s">
        <v>81</v>
      </c>
      <c r="B4" s="19" t="s">
        <v>413</v>
      </c>
      <c r="C4" s="19" t="s">
        <v>414</v>
      </c>
      <c r="D4" s="19" t="s">
        <v>415</v>
      </c>
      <c r="E4" s="19" t="s">
        <v>416</v>
      </c>
      <c r="F4" s="19" t="s">
        <v>417</v>
      </c>
      <c r="G4" s="19" t="s">
        <v>418</v>
      </c>
      <c r="H4" s="19" t="s">
        <v>314</v>
      </c>
      <c r="I4" s="19" t="s">
        <v>390</v>
      </c>
      <c r="J4" s="19" t="s">
        <v>419</v>
      </c>
      <c r="K4" s="19" t="s">
        <v>393</v>
      </c>
      <c r="L4" s="20">
        <v>46295</v>
      </c>
      <c r="M4" s="19" t="s">
        <v>420</v>
      </c>
    </row>
    <row r="5" spans="1:26" ht="67.5">
      <c r="A5" s="19" t="s">
        <v>82</v>
      </c>
      <c r="B5" s="19" t="s">
        <v>421</v>
      </c>
      <c r="C5" s="19" t="s">
        <v>422</v>
      </c>
      <c r="D5" s="19" t="s">
        <v>415</v>
      </c>
      <c r="E5" s="19" t="s">
        <v>416</v>
      </c>
      <c r="F5" s="19" t="s">
        <v>423</v>
      </c>
      <c r="G5" s="19" t="s">
        <v>424</v>
      </c>
      <c r="H5" s="19" t="s">
        <v>314</v>
      </c>
      <c r="I5" s="19" t="s">
        <v>390</v>
      </c>
      <c r="J5" s="19" t="s">
        <v>419</v>
      </c>
      <c r="K5" s="19" t="s">
        <v>393</v>
      </c>
      <c r="L5" s="20">
        <v>46295</v>
      </c>
      <c r="M5" s="19" t="s">
        <v>425</v>
      </c>
    </row>
    <row r="6" spans="1:26" ht="67.5">
      <c r="A6" s="19" t="s">
        <v>83</v>
      </c>
      <c r="B6" s="19" t="s">
        <v>426</v>
      </c>
      <c r="C6" s="19" t="s">
        <v>427</v>
      </c>
      <c r="D6" s="19" t="s">
        <v>428</v>
      </c>
      <c r="E6" s="19" t="s">
        <v>429</v>
      </c>
      <c r="F6" s="19" t="s">
        <v>430</v>
      </c>
      <c r="G6" s="19" t="s">
        <v>431</v>
      </c>
      <c r="H6" s="19" t="s">
        <v>314</v>
      </c>
      <c r="I6" s="19" t="s">
        <v>390</v>
      </c>
      <c r="J6" s="19" t="s">
        <v>419</v>
      </c>
      <c r="K6" s="19" t="s">
        <v>393</v>
      </c>
      <c r="L6" s="20">
        <v>46295</v>
      </c>
      <c r="M6" s="19" t="s">
        <v>432</v>
      </c>
    </row>
    <row r="7" spans="1:26" ht="27">
      <c r="A7" s="19" t="s">
        <v>84</v>
      </c>
      <c r="B7" s="19" t="s">
        <v>433</v>
      </c>
      <c r="C7" s="19" t="s">
        <v>434</v>
      </c>
      <c r="D7" s="19" t="s">
        <v>435</v>
      </c>
      <c r="E7" s="19" t="s">
        <v>416</v>
      </c>
      <c r="F7" s="19" t="s">
        <v>436</v>
      </c>
      <c r="G7" s="19" t="s">
        <v>437</v>
      </c>
      <c r="H7" s="19" t="s">
        <v>314</v>
      </c>
      <c r="I7" s="19" t="s">
        <v>394</v>
      </c>
      <c r="J7" s="19" t="s">
        <v>419</v>
      </c>
      <c r="K7" s="19" t="s">
        <v>393</v>
      </c>
      <c r="L7" s="20">
        <v>46295</v>
      </c>
      <c r="M7" s="19" t="s">
        <v>438</v>
      </c>
    </row>
    <row r="8" spans="1:26" ht="27">
      <c r="A8" s="19" t="s">
        <v>85</v>
      </c>
      <c r="B8" s="19" t="s">
        <v>439</v>
      </c>
      <c r="C8" s="19" t="s">
        <v>440</v>
      </c>
      <c r="D8" s="19" t="s">
        <v>435</v>
      </c>
      <c r="E8" s="19" t="s">
        <v>441</v>
      </c>
      <c r="F8" s="19" t="s">
        <v>442</v>
      </c>
      <c r="G8" s="19" t="s">
        <v>443</v>
      </c>
      <c r="H8" s="19" t="s">
        <v>314</v>
      </c>
      <c r="I8" s="19" t="s">
        <v>397</v>
      </c>
      <c r="J8" s="19" t="s">
        <v>419</v>
      </c>
      <c r="K8" s="19" t="s">
        <v>393</v>
      </c>
      <c r="L8" s="20">
        <v>46295</v>
      </c>
      <c r="M8" s="19" t="s">
        <v>444</v>
      </c>
    </row>
    <row r="9" spans="1:26" ht="54">
      <c r="A9" s="19" t="s">
        <v>86</v>
      </c>
      <c r="B9" s="19" t="s">
        <v>445</v>
      </c>
      <c r="C9" s="19" t="s">
        <v>446</v>
      </c>
      <c r="D9" s="19" t="s">
        <v>447</v>
      </c>
      <c r="E9" s="19" t="s">
        <v>448</v>
      </c>
      <c r="F9" s="19" t="s">
        <v>449</v>
      </c>
      <c r="G9" s="19" t="s">
        <v>450</v>
      </c>
      <c r="H9" s="19" t="s">
        <v>314</v>
      </c>
      <c r="I9" s="19" t="s">
        <v>394</v>
      </c>
      <c r="J9" s="19" t="s">
        <v>419</v>
      </c>
      <c r="K9" s="19" t="s">
        <v>393</v>
      </c>
      <c r="L9" s="20">
        <v>46295</v>
      </c>
      <c r="M9" s="19" t="s">
        <v>451</v>
      </c>
    </row>
    <row r="10" spans="1:26" ht="27">
      <c r="A10" s="19" t="s">
        <v>87</v>
      </c>
      <c r="B10" s="19" t="s">
        <v>452</v>
      </c>
      <c r="C10" s="19" t="s">
        <v>453</v>
      </c>
      <c r="D10" s="19" t="s">
        <v>435</v>
      </c>
      <c r="E10" s="19" t="s">
        <v>454</v>
      </c>
      <c r="F10" s="19" t="s">
        <v>455</v>
      </c>
      <c r="G10" s="19" t="s">
        <v>437</v>
      </c>
      <c r="H10" s="19" t="s">
        <v>314</v>
      </c>
      <c r="I10" s="19" t="s">
        <v>394</v>
      </c>
      <c r="J10" s="19" t="s">
        <v>419</v>
      </c>
      <c r="K10" s="19" t="s">
        <v>393</v>
      </c>
      <c r="L10" s="20">
        <v>46295</v>
      </c>
      <c r="M10" s="19" t="s">
        <v>456</v>
      </c>
    </row>
    <row r="11" spans="1:26" ht="40.5">
      <c r="A11" s="19" t="s">
        <v>88</v>
      </c>
      <c r="B11" s="19" t="s">
        <v>457</v>
      </c>
      <c r="C11" s="19" t="s">
        <v>458</v>
      </c>
      <c r="D11" s="19" t="s">
        <v>459</v>
      </c>
      <c r="E11" s="19" t="s">
        <v>460</v>
      </c>
      <c r="F11" s="19" t="s">
        <v>461</v>
      </c>
      <c r="G11" s="19" t="s">
        <v>462</v>
      </c>
      <c r="H11" s="19" t="s">
        <v>314</v>
      </c>
      <c r="I11" s="19" t="s">
        <v>390</v>
      </c>
      <c r="J11" s="19" t="s">
        <v>419</v>
      </c>
      <c r="K11" s="19" t="s">
        <v>393</v>
      </c>
      <c r="L11" s="20">
        <v>46295</v>
      </c>
      <c r="M11" s="19" t="s">
        <v>463</v>
      </c>
    </row>
    <row r="12" spans="1:26" ht="40.5">
      <c r="A12" s="19" t="s">
        <v>89</v>
      </c>
      <c r="B12" s="19" t="s">
        <v>464</v>
      </c>
      <c r="C12" s="19" t="s">
        <v>465</v>
      </c>
      <c r="D12" s="19" t="s">
        <v>435</v>
      </c>
      <c r="E12" s="19" t="s">
        <v>466</v>
      </c>
      <c r="F12" s="19" t="s">
        <v>467</v>
      </c>
      <c r="G12" s="19" t="s">
        <v>468</v>
      </c>
      <c r="H12" s="19" t="s">
        <v>314</v>
      </c>
      <c r="I12" s="19" t="s">
        <v>397</v>
      </c>
      <c r="J12" s="19" t="s">
        <v>419</v>
      </c>
      <c r="K12" s="19" t="s">
        <v>400</v>
      </c>
      <c r="L12" s="20">
        <v>46295</v>
      </c>
      <c r="M12" s="19" t="s">
        <v>469</v>
      </c>
    </row>
    <row r="13" spans="1:26" ht="40.5">
      <c r="A13" s="19" t="s">
        <v>90</v>
      </c>
      <c r="B13" s="19" t="s">
        <v>470</v>
      </c>
      <c r="C13" s="19" t="s">
        <v>470</v>
      </c>
      <c r="D13" s="19" t="s">
        <v>435</v>
      </c>
      <c r="E13" s="19" t="s">
        <v>471</v>
      </c>
      <c r="F13" s="19" t="s">
        <v>472</v>
      </c>
      <c r="G13" s="19" t="s">
        <v>473</v>
      </c>
      <c r="H13" s="19" t="s">
        <v>328</v>
      </c>
      <c r="I13" s="19" t="s">
        <v>394</v>
      </c>
      <c r="J13" s="19" t="s">
        <v>419</v>
      </c>
      <c r="K13" s="19" t="s">
        <v>393</v>
      </c>
      <c r="L13" s="20">
        <v>46295</v>
      </c>
      <c r="M13" s="19" t="s">
        <v>474</v>
      </c>
    </row>
    <row r="14" spans="1:26" ht="54">
      <c r="A14" s="19" t="s">
        <v>91</v>
      </c>
      <c r="B14" s="19" t="s">
        <v>475</v>
      </c>
      <c r="C14" s="19" t="s">
        <v>476</v>
      </c>
      <c r="D14" s="19" t="s">
        <v>435</v>
      </c>
      <c r="E14" s="19" t="s">
        <v>477</v>
      </c>
      <c r="F14" s="19" t="s">
        <v>478</v>
      </c>
      <c r="G14" s="19" t="s">
        <v>479</v>
      </c>
      <c r="H14" s="19" t="s">
        <v>335</v>
      </c>
      <c r="I14" s="19" t="s">
        <v>397</v>
      </c>
      <c r="J14" s="19" t="s">
        <v>419</v>
      </c>
      <c r="K14" s="19" t="s">
        <v>393</v>
      </c>
      <c r="L14" s="20">
        <v>46295</v>
      </c>
      <c r="M14" s="19" t="s">
        <v>480</v>
      </c>
    </row>
    <row r="15" spans="1:26" ht="67.5">
      <c r="A15" s="19" t="s">
        <v>92</v>
      </c>
      <c r="B15" s="19" t="s">
        <v>481</v>
      </c>
      <c r="C15" s="19" t="s">
        <v>482</v>
      </c>
      <c r="D15" s="19" t="s">
        <v>483</v>
      </c>
      <c r="E15" s="19" t="s">
        <v>484</v>
      </c>
      <c r="F15" s="19" t="s">
        <v>485</v>
      </c>
      <c r="G15" s="19" t="s">
        <v>486</v>
      </c>
      <c r="H15" s="19" t="s">
        <v>314</v>
      </c>
      <c r="I15" s="19" t="s">
        <v>394</v>
      </c>
      <c r="J15" s="19" t="s">
        <v>419</v>
      </c>
      <c r="K15" s="19" t="s">
        <v>393</v>
      </c>
      <c r="L15" s="20">
        <v>46295</v>
      </c>
      <c r="M15" s="19" t="s">
        <v>487</v>
      </c>
    </row>
    <row r="16" spans="1:26" ht="81">
      <c r="A16" s="19" t="s">
        <v>93</v>
      </c>
      <c r="B16" s="19" t="s">
        <v>488</v>
      </c>
      <c r="C16" s="19" t="s">
        <v>489</v>
      </c>
      <c r="D16" s="19" t="s">
        <v>490</v>
      </c>
      <c r="E16" s="19" t="s">
        <v>491</v>
      </c>
      <c r="F16" s="19" t="s">
        <v>492</v>
      </c>
      <c r="G16" s="19" t="s">
        <v>493</v>
      </c>
      <c r="H16" s="19" t="s">
        <v>328</v>
      </c>
      <c r="I16" s="19" t="s">
        <v>390</v>
      </c>
      <c r="J16" s="19" t="s">
        <v>419</v>
      </c>
      <c r="K16" s="19" t="s">
        <v>393</v>
      </c>
      <c r="L16" s="20">
        <v>46295</v>
      </c>
      <c r="M16" s="19" t="s">
        <v>494</v>
      </c>
    </row>
    <row r="17" spans="1:13" ht="67.5">
      <c r="A17" s="19" t="s">
        <v>94</v>
      </c>
      <c r="B17" s="19" t="s">
        <v>495</v>
      </c>
      <c r="C17" s="19" t="s">
        <v>496</v>
      </c>
      <c r="D17" s="19" t="s">
        <v>497</v>
      </c>
      <c r="E17" s="19" t="s">
        <v>498</v>
      </c>
      <c r="F17" s="19" t="s">
        <v>499</v>
      </c>
      <c r="G17" s="19" t="s">
        <v>500</v>
      </c>
      <c r="H17" s="19" t="s">
        <v>328</v>
      </c>
      <c r="I17" s="19" t="s">
        <v>394</v>
      </c>
      <c r="J17" s="19" t="s">
        <v>419</v>
      </c>
      <c r="K17" s="19" t="s">
        <v>393</v>
      </c>
      <c r="L17" s="20">
        <v>46295</v>
      </c>
      <c r="M17" s="19" t="s">
        <v>501</v>
      </c>
    </row>
    <row r="18" spans="1:13" ht="40.5">
      <c r="A18" s="19" t="s">
        <v>95</v>
      </c>
      <c r="B18" s="19" t="s">
        <v>502</v>
      </c>
      <c r="C18" s="19" t="s">
        <v>503</v>
      </c>
      <c r="D18" s="19" t="s">
        <v>504</v>
      </c>
      <c r="E18" s="19" t="s">
        <v>505</v>
      </c>
      <c r="F18" s="19" t="s">
        <v>506</v>
      </c>
      <c r="G18" s="19" t="s">
        <v>500</v>
      </c>
      <c r="H18" s="19" t="s">
        <v>328</v>
      </c>
      <c r="I18" s="19" t="s">
        <v>397</v>
      </c>
      <c r="J18" s="19" t="s">
        <v>419</v>
      </c>
      <c r="K18" s="19" t="s">
        <v>393</v>
      </c>
      <c r="L18" s="20">
        <v>46295</v>
      </c>
      <c r="M18" s="19" t="s">
        <v>507</v>
      </c>
    </row>
    <row r="19" spans="1:13" ht="40.5">
      <c r="A19" s="19" t="s">
        <v>96</v>
      </c>
      <c r="B19" s="19" t="s">
        <v>508</v>
      </c>
      <c r="C19" s="19" t="s">
        <v>509</v>
      </c>
      <c r="D19" s="19" t="s">
        <v>510</v>
      </c>
      <c r="E19" s="19" t="s">
        <v>511</v>
      </c>
      <c r="F19" s="19" t="s">
        <v>512</v>
      </c>
      <c r="G19" s="19" t="s">
        <v>513</v>
      </c>
      <c r="H19" s="19" t="s">
        <v>328</v>
      </c>
      <c r="I19" s="19" t="s">
        <v>397</v>
      </c>
      <c r="J19" s="19" t="s">
        <v>419</v>
      </c>
      <c r="K19" s="19" t="s">
        <v>393</v>
      </c>
      <c r="L19" s="20">
        <v>46295</v>
      </c>
      <c r="M19" s="19" t="s">
        <v>514</v>
      </c>
    </row>
    <row r="20" spans="1:13" ht="40.5">
      <c r="A20" s="19" t="s">
        <v>97</v>
      </c>
      <c r="B20" s="19" t="s">
        <v>515</v>
      </c>
      <c r="C20" s="19" t="s">
        <v>516</v>
      </c>
      <c r="D20" s="19" t="s">
        <v>517</v>
      </c>
      <c r="E20" s="19" t="s">
        <v>518</v>
      </c>
      <c r="F20" s="19" t="s">
        <v>519</v>
      </c>
      <c r="G20" s="19" t="s">
        <v>520</v>
      </c>
      <c r="H20" s="19" t="s">
        <v>328</v>
      </c>
      <c r="I20" s="19" t="s">
        <v>397</v>
      </c>
      <c r="J20" s="19" t="s">
        <v>419</v>
      </c>
      <c r="K20" s="19" t="s">
        <v>393</v>
      </c>
      <c r="L20" s="20">
        <v>46295</v>
      </c>
      <c r="M20" s="19" t="s">
        <v>521</v>
      </c>
    </row>
    <row r="21" spans="1:13" ht="40.5">
      <c r="A21" s="19" t="s">
        <v>98</v>
      </c>
      <c r="B21" s="19" t="s">
        <v>522</v>
      </c>
      <c r="C21" s="19" t="s">
        <v>522</v>
      </c>
      <c r="D21" s="19" t="s">
        <v>523</v>
      </c>
      <c r="E21" s="19" t="s">
        <v>524</v>
      </c>
      <c r="F21" s="19" t="s">
        <v>525</v>
      </c>
      <c r="G21" s="19" t="s">
        <v>526</v>
      </c>
      <c r="H21" s="19" t="s">
        <v>314</v>
      </c>
      <c r="I21" s="19" t="s">
        <v>394</v>
      </c>
      <c r="J21" s="19" t="s">
        <v>419</v>
      </c>
      <c r="K21" s="19" t="s">
        <v>393</v>
      </c>
      <c r="L21" s="20">
        <v>46295</v>
      </c>
      <c r="M21" s="19" t="s">
        <v>527</v>
      </c>
    </row>
    <row r="22" spans="1:13" ht="54">
      <c r="A22" s="19" t="s">
        <v>99</v>
      </c>
      <c r="B22" s="19" t="s">
        <v>528</v>
      </c>
      <c r="C22" s="19" t="s">
        <v>529</v>
      </c>
      <c r="D22" s="19" t="s">
        <v>530</v>
      </c>
      <c r="E22" s="19" t="s">
        <v>531</v>
      </c>
      <c r="F22" s="19" t="s">
        <v>532</v>
      </c>
      <c r="G22" s="19" t="s">
        <v>533</v>
      </c>
      <c r="H22" s="19" t="s">
        <v>314</v>
      </c>
      <c r="I22" s="19" t="s">
        <v>397</v>
      </c>
      <c r="J22" s="19" t="s">
        <v>419</v>
      </c>
      <c r="K22" s="19" t="s">
        <v>393</v>
      </c>
      <c r="L22" s="20">
        <v>46295</v>
      </c>
      <c r="M22" s="19" t="s">
        <v>534</v>
      </c>
    </row>
    <row r="23" spans="1:13" ht="81">
      <c r="A23" s="19" t="s">
        <v>100</v>
      </c>
      <c r="B23" s="19" t="s">
        <v>535</v>
      </c>
      <c r="C23" s="19" t="s">
        <v>536</v>
      </c>
      <c r="D23" s="19" t="s">
        <v>435</v>
      </c>
      <c r="E23" s="19" t="s">
        <v>537</v>
      </c>
      <c r="F23" s="19" t="s">
        <v>538</v>
      </c>
      <c r="G23" s="19" t="s">
        <v>539</v>
      </c>
      <c r="H23" s="19" t="s">
        <v>321</v>
      </c>
      <c r="I23" s="19" t="s">
        <v>390</v>
      </c>
      <c r="J23" s="19" t="s">
        <v>419</v>
      </c>
      <c r="K23" s="19" t="s">
        <v>393</v>
      </c>
      <c r="L23" s="20">
        <v>46295</v>
      </c>
      <c r="M23" s="19" t="s">
        <v>540</v>
      </c>
    </row>
    <row r="24" spans="1:13" ht="67.5">
      <c r="A24" s="19" t="s">
        <v>101</v>
      </c>
      <c r="B24" s="19" t="s">
        <v>541</v>
      </c>
      <c r="C24" s="19" t="s">
        <v>542</v>
      </c>
      <c r="D24" s="19" t="s">
        <v>435</v>
      </c>
      <c r="E24" s="19" t="s">
        <v>543</v>
      </c>
      <c r="F24" s="19" t="s">
        <v>544</v>
      </c>
      <c r="G24" s="19" t="s">
        <v>545</v>
      </c>
      <c r="H24" s="19" t="s">
        <v>328</v>
      </c>
      <c r="I24" s="19" t="s">
        <v>397</v>
      </c>
      <c r="J24" s="19" t="s">
        <v>419</v>
      </c>
      <c r="K24" s="19" t="s">
        <v>393</v>
      </c>
      <c r="L24" s="20">
        <v>46295</v>
      </c>
      <c r="M24" s="19" t="s">
        <v>546</v>
      </c>
    </row>
    <row r="25" spans="1:13" ht="40.5">
      <c r="A25" s="19" t="s">
        <v>102</v>
      </c>
      <c r="B25" s="19" t="s">
        <v>547</v>
      </c>
      <c r="C25" s="19" t="s">
        <v>548</v>
      </c>
      <c r="D25" s="19" t="s">
        <v>435</v>
      </c>
      <c r="E25" s="19" t="s">
        <v>549</v>
      </c>
      <c r="F25" s="19" t="s">
        <v>550</v>
      </c>
      <c r="G25" s="19" t="s">
        <v>551</v>
      </c>
      <c r="H25" s="19" t="s">
        <v>328</v>
      </c>
      <c r="I25" s="19" t="s">
        <v>394</v>
      </c>
      <c r="J25" s="19" t="s">
        <v>419</v>
      </c>
      <c r="K25" s="19" t="s">
        <v>393</v>
      </c>
      <c r="L25" s="20">
        <v>46295</v>
      </c>
      <c r="M25" s="19" t="s">
        <v>552</v>
      </c>
    </row>
    <row r="26" spans="1:13">
      <c r="A26" s="2" t="s">
        <v>103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5"/>
      <c r="M26" s="2"/>
    </row>
    <row r="27" spans="1:13">
      <c r="A27" s="2" t="s">
        <v>104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5"/>
      <c r="M27" s="2"/>
    </row>
    <row r="28" spans="1:13">
      <c r="A28" s="2" t="s">
        <v>105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5"/>
      <c r="M28" s="2"/>
    </row>
    <row r="29" spans="1:13">
      <c r="A29" s="2" t="s">
        <v>106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5"/>
      <c r="M29" s="2"/>
    </row>
    <row r="30" spans="1:13">
      <c r="A30" s="2" t="s">
        <v>107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5"/>
      <c r="M30" s="2"/>
    </row>
    <row r="31" spans="1:13">
      <c r="A31" s="2" t="s">
        <v>108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5"/>
      <c r="M31" s="2"/>
    </row>
    <row r="32" spans="1:13">
      <c r="A32" s="2" t="s">
        <v>109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5"/>
      <c r="M32" s="2"/>
    </row>
    <row r="33" spans="1:13">
      <c r="A33" s="2" t="s">
        <v>110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5"/>
      <c r="M33" s="2"/>
    </row>
    <row r="34" spans="1:13">
      <c r="A34" s="2" t="s">
        <v>111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5"/>
      <c r="M34" s="2"/>
    </row>
    <row r="35" spans="1:13">
      <c r="A35" s="2" t="s">
        <v>112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5"/>
      <c r="M35" s="2"/>
    </row>
    <row r="36" spans="1:13">
      <c r="A36" s="2" t="s">
        <v>113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5"/>
      <c r="M36" s="2"/>
    </row>
    <row r="37" spans="1:13">
      <c r="A37" s="2" t="s">
        <v>114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5"/>
      <c r="M37" s="2"/>
    </row>
    <row r="38" spans="1:13">
      <c r="A38" s="2" t="s">
        <v>115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5"/>
      <c r="M38" s="2"/>
    </row>
    <row r="39" spans="1:13">
      <c r="A39" s="2" t="s">
        <v>116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5"/>
      <c r="M39" s="2"/>
    </row>
    <row r="40" spans="1:13">
      <c r="A40" s="2" t="s">
        <v>117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5"/>
      <c r="M40" s="2"/>
    </row>
    <row r="41" spans="1:13">
      <c r="A41" s="2" t="s">
        <v>118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5"/>
      <c r="M41" s="2"/>
    </row>
    <row r="42" spans="1:13">
      <c r="A42" s="2" t="s">
        <v>119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5"/>
      <c r="M42" s="2"/>
    </row>
    <row r="43" spans="1:13">
      <c r="A43" s="2" t="s">
        <v>120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5"/>
      <c r="M43" s="2"/>
    </row>
    <row r="44" spans="1:13">
      <c r="A44" s="2" t="s">
        <v>121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5"/>
      <c r="M44" s="2"/>
    </row>
    <row r="45" spans="1:13">
      <c r="A45" s="2" t="s">
        <v>122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5"/>
      <c r="M45" s="2"/>
    </row>
    <row r="46" spans="1:13">
      <c r="A46" s="2" t="s">
        <v>123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5"/>
      <c r="M46" s="2"/>
    </row>
    <row r="47" spans="1:13">
      <c r="A47" s="2" t="s">
        <v>124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5"/>
      <c r="M47" s="2"/>
    </row>
    <row r="48" spans="1:13">
      <c r="A48" s="2" t="s">
        <v>125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5"/>
      <c r="M48" s="2"/>
    </row>
    <row r="49" spans="1:13">
      <c r="A49" s="2" t="s">
        <v>126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5"/>
      <c r="M49" s="2"/>
    </row>
    <row r="50" spans="1:13">
      <c r="A50" s="2" t="s">
        <v>127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5"/>
      <c r="M50" s="2"/>
    </row>
    <row r="51" spans="1:13">
      <c r="A51" s="2" t="s">
        <v>128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5"/>
      <c r="M51" s="2"/>
    </row>
    <row r="52" spans="1:13">
      <c r="A52" s="2" t="s">
        <v>129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5"/>
      <c r="M52" s="2"/>
    </row>
    <row r="53" spans="1:13">
      <c r="A53" s="2" t="s">
        <v>130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5"/>
      <c r="M53" s="2"/>
    </row>
    <row r="54" spans="1:13">
      <c r="A54" s="2" t="s">
        <v>131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5"/>
      <c r="M54" s="2"/>
    </row>
    <row r="55" spans="1:13">
      <c r="A55" s="2" t="s">
        <v>132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5"/>
      <c r="M55" s="2"/>
    </row>
    <row r="56" spans="1:13">
      <c r="A56" s="2" t="s">
        <v>133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5"/>
      <c r="M56" s="2"/>
    </row>
    <row r="57" spans="1:13">
      <c r="A57" s="2" t="s">
        <v>134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5"/>
      <c r="M57" s="2"/>
    </row>
    <row r="58" spans="1:13">
      <c r="A58" s="2" t="s">
        <v>135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5"/>
      <c r="M58" s="2"/>
    </row>
    <row r="59" spans="1:13">
      <c r="A59" s="2" t="s">
        <v>136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5"/>
      <c r="M59" s="2"/>
    </row>
    <row r="60" spans="1:13">
      <c r="A60" s="2" t="s">
        <v>137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5"/>
      <c r="M60" s="2"/>
    </row>
    <row r="61" spans="1:13">
      <c r="A61" s="2" t="s">
        <v>138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5"/>
      <c r="M61" s="2"/>
    </row>
    <row r="62" spans="1:13">
      <c r="A62" s="2" t="s">
        <v>139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5"/>
      <c r="M62" s="2"/>
    </row>
    <row r="63" spans="1:13">
      <c r="A63" s="2" t="s">
        <v>140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5"/>
      <c r="M63" s="2"/>
    </row>
    <row r="64" spans="1:13">
      <c r="A64" s="2" t="s">
        <v>141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5"/>
      <c r="M64" s="2"/>
    </row>
    <row r="65" spans="1:13">
      <c r="A65" s="2" t="s">
        <v>142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5"/>
      <c r="M65" s="2"/>
    </row>
    <row r="66" spans="1:13">
      <c r="A66" s="2" t="s">
        <v>143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5"/>
      <c r="M66" s="2"/>
    </row>
    <row r="67" spans="1:13">
      <c r="A67" s="2" t="s">
        <v>144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5"/>
      <c r="M67" s="2"/>
    </row>
    <row r="68" spans="1:13">
      <c r="A68" s="2" t="s">
        <v>145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5"/>
      <c r="M68" s="2"/>
    </row>
    <row r="69" spans="1:13">
      <c r="A69" s="2" t="s">
        <v>146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5"/>
      <c r="M69" s="2"/>
    </row>
    <row r="70" spans="1:13">
      <c r="A70" s="2" t="s">
        <v>147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5"/>
      <c r="M70" s="2"/>
    </row>
    <row r="71" spans="1:13">
      <c r="A71" s="2" t="s">
        <v>148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5"/>
      <c r="M71" s="2"/>
    </row>
    <row r="72" spans="1:13">
      <c r="A72" s="2" t="s">
        <v>149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5"/>
      <c r="M72" s="2"/>
    </row>
    <row r="73" spans="1:13">
      <c r="A73" s="2" t="s">
        <v>150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5"/>
      <c r="M73" s="2"/>
    </row>
    <row r="74" spans="1:13">
      <c r="A74" s="2" t="s">
        <v>151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5"/>
      <c r="M74" s="2"/>
    </row>
    <row r="75" spans="1:13">
      <c r="A75" s="2" t="s">
        <v>152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5"/>
      <c r="M75" s="2"/>
    </row>
    <row r="76" spans="1:13">
      <c r="A76" s="2" t="s">
        <v>153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5"/>
      <c r="M76" s="2"/>
    </row>
    <row r="77" spans="1:13">
      <c r="A77" s="2" t="s">
        <v>154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5"/>
      <c r="M77" s="2"/>
    </row>
    <row r="78" spans="1:13">
      <c r="A78" s="2" t="s">
        <v>155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5"/>
      <c r="M78" s="2"/>
    </row>
    <row r="79" spans="1:13">
      <c r="A79" s="2" t="s">
        <v>156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5"/>
      <c r="M79" s="2"/>
    </row>
    <row r="80" spans="1:13">
      <c r="A80" s="2" t="s">
        <v>157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5"/>
      <c r="M80" s="2"/>
    </row>
    <row r="81" spans="1:13">
      <c r="A81" s="2" t="s">
        <v>158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5"/>
      <c r="M81" s="2"/>
    </row>
    <row r="82" spans="1:13">
      <c r="A82" s="2" t="s">
        <v>159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5"/>
      <c r="M82" s="2"/>
    </row>
    <row r="83" spans="1:13">
      <c r="A83" s="2" t="s">
        <v>160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5"/>
      <c r="M83" s="2"/>
    </row>
    <row r="84" spans="1:13">
      <c r="A84" s="2" t="s">
        <v>161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5"/>
      <c r="M84" s="2"/>
    </row>
    <row r="85" spans="1:13">
      <c r="A85" s="2" t="s">
        <v>162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5"/>
      <c r="M85" s="2"/>
    </row>
    <row r="86" spans="1:13">
      <c r="A86" s="2" t="s">
        <v>163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5"/>
      <c r="M86" s="2"/>
    </row>
    <row r="87" spans="1:13">
      <c r="A87" s="2" t="s">
        <v>164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5"/>
      <c r="M87" s="2"/>
    </row>
    <row r="88" spans="1:13">
      <c r="A88" s="2" t="s">
        <v>165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5"/>
      <c r="M88" s="2"/>
    </row>
    <row r="89" spans="1:13">
      <c r="A89" s="2" t="s">
        <v>166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5"/>
      <c r="M89" s="2"/>
    </row>
    <row r="90" spans="1:13">
      <c r="A90" s="2" t="s">
        <v>167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5"/>
      <c r="M90" s="2"/>
    </row>
    <row r="91" spans="1:13">
      <c r="A91" s="2" t="s">
        <v>168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5"/>
      <c r="M91" s="2"/>
    </row>
    <row r="92" spans="1:13">
      <c r="A92" s="2" t="s">
        <v>169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5"/>
      <c r="M92" s="2"/>
    </row>
    <row r="93" spans="1:13">
      <c r="A93" s="2" t="s">
        <v>170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5"/>
      <c r="M93" s="2"/>
    </row>
    <row r="94" spans="1:13">
      <c r="A94" s="2" t="s">
        <v>171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5"/>
      <c r="M94" s="2"/>
    </row>
    <row r="95" spans="1:13">
      <c r="A95" s="2" t="s">
        <v>172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5"/>
      <c r="M95" s="2"/>
    </row>
    <row r="96" spans="1:13">
      <c r="A96" s="2" t="s">
        <v>173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5"/>
      <c r="M96" s="2"/>
    </row>
    <row r="97" spans="1:13">
      <c r="A97" s="2" t="s">
        <v>174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5"/>
      <c r="M97" s="2"/>
    </row>
    <row r="98" spans="1:13">
      <c r="A98" s="2" t="s">
        <v>175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5"/>
      <c r="M98" s="2"/>
    </row>
    <row r="99" spans="1:13">
      <c r="A99" s="2" t="s">
        <v>176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5"/>
      <c r="M99" s="2"/>
    </row>
    <row r="100" spans="1:13">
      <c r="A100" s="2" t="s">
        <v>177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5"/>
      <c r="M100" s="2"/>
    </row>
    <row r="101" spans="1:13">
      <c r="A101" s="2" t="s">
        <v>178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5"/>
      <c r="M101" s="2"/>
    </row>
    <row r="102" spans="1:13">
      <c r="A102" s="2" t="s">
        <v>179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5"/>
      <c r="M102" s="2"/>
    </row>
    <row r="103" spans="1:13">
      <c r="A103" s="2" t="s">
        <v>180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5"/>
      <c r="M103" s="2"/>
    </row>
  </sheetData>
  <mergeCells count="1">
    <mergeCell ref="A1:M1"/>
  </mergeCells>
  <conditionalFormatting sqref="I4:I103">
    <cfRule type="expression" dxfId="8" priority="1">
      <formula>I4="Высокий"</formula>
    </cfRule>
    <cfRule type="expression" dxfId="7" priority="2">
      <formula>I4="Средний"</formula>
    </cfRule>
    <cfRule type="expression" dxfId="6" priority="3">
      <formula>I4="Низкий"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100-000000000000}">
          <x14:formula1>
            <xm:f>'08_Справочники'!$A$2:$A$7</xm:f>
          </x14:formula1>
          <xm:sqref>H4:H103</xm:sqref>
        </x14:dataValidation>
        <x14:dataValidation type="list" xr:uid="{00000000-0002-0000-0100-000002000000}">
          <x14:formula1>
            <xm:f>'08_Справочники'!$B$2:$B$6</xm:f>
          </x14:formula1>
          <xm:sqref>K4:K103</xm:sqref>
        </x14:dataValidation>
        <x14:dataValidation type="list" allowBlank="1" showInputMessage="1" showErrorMessage="1" xr:uid="{C90052E2-FE71-4784-93B4-0EE2199C130F}">
          <x14:formula1>
            <xm:f>'08_Справочники'!$C$2:$C$4</xm:f>
          </x14:formula1>
          <xm:sqref>I4:I103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03"/>
  <sheetViews>
    <sheetView workbookViewId="0"/>
  </sheetViews>
  <sheetFormatPr defaultRowHeight="13.5"/>
  <cols>
    <col min="1" max="1" width="12" customWidth="1"/>
    <col min="2" max="2" width="26" customWidth="1"/>
    <col min="3" max="3" width="24" customWidth="1"/>
    <col min="4" max="4" width="44" customWidth="1"/>
    <col min="5" max="5" width="48" customWidth="1"/>
    <col min="6" max="6" width="28" customWidth="1"/>
    <col min="7" max="8" width="16" customWidth="1"/>
    <col min="9" max="9" width="42" customWidth="1"/>
    <col min="10" max="10" width="18" customWidth="1"/>
    <col min="11" max="11" width="28" customWidth="1"/>
    <col min="12" max="12" width="34" customWidth="1"/>
  </cols>
  <sheetData>
    <row r="1" spans="1:26" ht="16.05" customHeight="1">
      <c r="A1" s="10" t="s">
        <v>181</v>
      </c>
      <c r="B1" s="11" t="s">
        <v>181</v>
      </c>
      <c r="C1" s="11" t="s">
        <v>181</v>
      </c>
      <c r="D1" s="11" t="s">
        <v>181</v>
      </c>
      <c r="E1" s="11" t="s">
        <v>181</v>
      </c>
      <c r="F1" s="11" t="s">
        <v>181</v>
      </c>
      <c r="G1" s="11" t="s">
        <v>181</v>
      </c>
      <c r="H1" s="11" t="s">
        <v>181</v>
      </c>
      <c r="I1" s="11" t="s">
        <v>181</v>
      </c>
      <c r="J1" s="11" t="s">
        <v>181</v>
      </c>
      <c r="K1" s="11" t="s">
        <v>181</v>
      </c>
      <c r="L1" s="11" t="s">
        <v>181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3" spans="1:26" ht="27.75">
      <c r="A3" s="1" t="s">
        <v>182</v>
      </c>
      <c r="B3" s="1" t="s">
        <v>69</v>
      </c>
      <c r="C3" s="1" t="s">
        <v>183</v>
      </c>
      <c r="D3" s="1" t="s">
        <v>184</v>
      </c>
      <c r="E3" s="1" t="s">
        <v>185</v>
      </c>
      <c r="F3" s="1" t="s">
        <v>186</v>
      </c>
      <c r="G3" s="1" t="s">
        <v>187</v>
      </c>
      <c r="H3" s="1" t="s">
        <v>188</v>
      </c>
      <c r="I3" s="1" t="s">
        <v>189</v>
      </c>
      <c r="J3" s="1" t="s">
        <v>190</v>
      </c>
      <c r="K3" s="1" t="s">
        <v>191</v>
      </c>
      <c r="L3" s="1" t="s">
        <v>80</v>
      </c>
    </row>
    <row r="4" spans="1:26" ht="81">
      <c r="A4" s="19" t="s">
        <v>81</v>
      </c>
      <c r="B4" s="19" t="str">
        <f>IFERROR(_xlfn.XLOOKUP(A4,'01_Компании'!$A$4:$A$103,'01_Компании'!$B$4:$B$103),"")</f>
        <v>PlantUML</v>
      </c>
      <c r="C4" s="19" t="s">
        <v>553</v>
      </c>
      <c r="D4" s="19" t="s">
        <v>554</v>
      </c>
      <c r="E4" s="19" t="s">
        <v>555</v>
      </c>
      <c r="F4" s="19" t="s">
        <v>398</v>
      </c>
      <c r="G4" s="19">
        <v>4</v>
      </c>
      <c r="H4" s="20">
        <v>46295</v>
      </c>
      <c r="I4" s="19" t="s">
        <v>556</v>
      </c>
      <c r="J4" s="19">
        <v>4</v>
      </c>
      <c r="K4" s="19" t="s">
        <v>557</v>
      </c>
      <c r="L4" s="19" t="s">
        <v>558</v>
      </c>
    </row>
    <row r="5" spans="1:26" ht="40.5">
      <c r="A5" s="19" t="s">
        <v>81</v>
      </c>
      <c r="B5" s="19" t="str">
        <f>IFERROR(_xlfn.XLOOKUP(A5,'01_Компании'!$A$4:$A$103,'01_Компании'!$B$4:$B$103),"")</f>
        <v>PlantUML</v>
      </c>
      <c r="C5" s="19" t="s">
        <v>559</v>
      </c>
      <c r="D5" s="19" t="s">
        <v>560</v>
      </c>
      <c r="E5" s="19" t="s">
        <v>561</v>
      </c>
      <c r="F5" s="19" t="s">
        <v>411</v>
      </c>
      <c r="G5" s="19">
        <v>3</v>
      </c>
      <c r="H5" s="20">
        <v>46295</v>
      </c>
      <c r="I5" s="19" t="s">
        <v>562</v>
      </c>
      <c r="J5" s="19">
        <v>3</v>
      </c>
      <c r="K5" s="19" t="s">
        <v>563</v>
      </c>
      <c r="L5" s="19" t="s">
        <v>564</v>
      </c>
    </row>
    <row r="6" spans="1:26" ht="40.5">
      <c r="A6" s="19" t="s">
        <v>81</v>
      </c>
      <c r="B6" s="19" t="str">
        <f>IFERROR(_xlfn.XLOOKUP(A6,'01_Компании'!$A$4:$A$103,'01_Компании'!$B$4:$B$103),"")</f>
        <v>PlantUML</v>
      </c>
      <c r="C6" s="19" t="s">
        <v>565</v>
      </c>
      <c r="D6" s="19" t="s">
        <v>560</v>
      </c>
      <c r="E6" s="19" t="s">
        <v>566</v>
      </c>
      <c r="F6" s="19" t="s">
        <v>408</v>
      </c>
      <c r="G6" s="19">
        <v>3</v>
      </c>
      <c r="H6" s="20">
        <v>46295</v>
      </c>
      <c r="I6" s="19" t="s">
        <v>567</v>
      </c>
      <c r="J6" s="19">
        <v>3</v>
      </c>
      <c r="K6" s="19" t="s">
        <v>563</v>
      </c>
      <c r="L6" s="19" t="s">
        <v>568</v>
      </c>
    </row>
    <row r="7" spans="1:26" ht="40.5">
      <c r="A7" s="19" t="s">
        <v>81</v>
      </c>
      <c r="B7" s="19" t="str">
        <f>IFERROR(_xlfn.XLOOKUP(A7,'01_Компании'!$A$4:$A$103,'01_Компании'!$B$4:$B$103),"")</f>
        <v>PlantUML</v>
      </c>
      <c r="C7" s="19" t="s">
        <v>569</v>
      </c>
      <c r="D7" s="19" t="s">
        <v>560</v>
      </c>
      <c r="E7" s="19" t="s">
        <v>570</v>
      </c>
      <c r="F7" s="19" t="s">
        <v>410</v>
      </c>
      <c r="G7" s="19">
        <v>3</v>
      </c>
      <c r="H7" s="20">
        <v>46295</v>
      </c>
      <c r="I7" s="19" t="s">
        <v>571</v>
      </c>
      <c r="J7" s="19">
        <v>3</v>
      </c>
      <c r="K7" s="19" t="s">
        <v>563</v>
      </c>
      <c r="L7" s="19" t="s">
        <v>572</v>
      </c>
    </row>
    <row r="8" spans="1:26" ht="27">
      <c r="A8" s="19" t="s">
        <v>81</v>
      </c>
      <c r="B8" s="19" t="str">
        <f>IFERROR(_xlfn.XLOOKUP(A8,'01_Компании'!$A$4:$A$103,'01_Компании'!$B$4:$B$103),"")</f>
        <v>PlantUML</v>
      </c>
      <c r="C8" s="19" t="s">
        <v>573</v>
      </c>
      <c r="D8" s="19" t="s">
        <v>574</v>
      </c>
      <c r="E8" s="19" t="s">
        <v>575</v>
      </c>
      <c r="F8" s="19" t="s">
        <v>410</v>
      </c>
      <c r="G8" s="19">
        <v>3</v>
      </c>
      <c r="H8" s="20">
        <v>46295</v>
      </c>
      <c r="I8" s="19" t="s">
        <v>576</v>
      </c>
      <c r="J8" s="19">
        <v>4</v>
      </c>
      <c r="K8" s="19" t="s">
        <v>577</v>
      </c>
      <c r="L8" s="19" t="s">
        <v>578</v>
      </c>
    </row>
    <row r="9" spans="1:26" ht="27">
      <c r="A9" s="19" t="s">
        <v>81</v>
      </c>
      <c r="B9" s="19" t="str">
        <f>IFERROR(_xlfn.XLOOKUP(A9,'01_Компании'!$A$4:$A$103,'01_Компании'!$B$4:$B$103),"")</f>
        <v>PlantUML</v>
      </c>
      <c r="C9" s="19" t="s">
        <v>579</v>
      </c>
      <c r="D9" s="19" t="s">
        <v>554</v>
      </c>
      <c r="E9" s="19" t="s">
        <v>580</v>
      </c>
      <c r="F9" s="19" t="s">
        <v>404</v>
      </c>
      <c r="G9" s="19">
        <v>5</v>
      </c>
      <c r="H9" s="20">
        <v>46295</v>
      </c>
      <c r="I9" s="19" t="s">
        <v>581</v>
      </c>
      <c r="J9" s="19">
        <v>4</v>
      </c>
      <c r="K9" s="19" t="s">
        <v>582</v>
      </c>
      <c r="L9" s="19" t="s">
        <v>583</v>
      </c>
    </row>
    <row r="10" spans="1:26" ht="40.5">
      <c r="A10" s="19" t="s">
        <v>81</v>
      </c>
      <c r="B10" s="19" t="str">
        <f>IFERROR(_xlfn.XLOOKUP(A10,'01_Компании'!$A$4:$A$103,'01_Компании'!$B$4:$B$103),"")</f>
        <v>PlantUML</v>
      </c>
      <c r="C10" s="19" t="s">
        <v>584</v>
      </c>
      <c r="D10" s="19" t="s">
        <v>585</v>
      </c>
      <c r="E10" s="19" t="s">
        <v>586</v>
      </c>
      <c r="F10" s="19" t="s">
        <v>411</v>
      </c>
      <c r="G10" s="19">
        <v>3</v>
      </c>
      <c r="H10" s="20">
        <v>46295</v>
      </c>
      <c r="I10" s="19" t="s">
        <v>587</v>
      </c>
      <c r="J10" s="19">
        <v>3</v>
      </c>
      <c r="K10" s="19" t="s">
        <v>588</v>
      </c>
      <c r="L10" s="19" t="s">
        <v>589</v>
      </c>
    </row>
    <row r="11" spans="1:26" ht="27">
      <c r="A11" s="19" t="s">
        <v>81</v>
      </c>
      <c r="B11" s="19" t="str">
        <f>IFERROR(_xlfn.XLOOKUP(A11,'01_Компании'!$A$4:$A$103,'01_Компании'!$B$4:$B$103),"")</f>
        <v>PlantUML</v>
      </c>
      <c r="C11" s="19" t="s">
        <v>590</v>
      </c>
      <c r="D11" s="19" t="s">
        <v>591</v>
      </c>
      <c r="E11" s="19" t="s">
        <v>592</v>
      </c>
      <c r="F11" s="19" t="s">
        <v>411</v>
      </c>
      <c r="G11" s="19">
        <v>3</v>
      </c>
      <c r="H11" s="20">
        <v>46295</v>
      </c>
      <c r="I11" s="19" t="s">
        <v>593</v>
      </c>
      <c r="J11" s="19">
        <v>5</v>
      </c>
      <c r="K11" s="19" t="s">
        <v>594</v>
      </c>
      <c r="L11" s="19" t="s">
        <v>595</v>
      </c>
    </row>
    <row r="12" spans="1:26" ht="27">
      <c r="A12" s="19" t="s">
        <v>81</v>
      </c>
      <c r="B12" s="19" t="str">
        <f>IFERROR(_xlfn.XLOOKUP(A12,'01_Компании'!$A$4:$A$103,'01_Компании'!$B$4:$B$103),"")</f>
        <v>PlantUML</v>
      </c>
      <c r="C12" s="19" t="s">
        <v>596</v>
      </c>
      <c r="D12" s="19" t="s">
        <v>597</v>
      </c>
      <c r="E12" s="19" t="s">
        <v>598</v>
      </c>
      <c r="F12" s="19" t="s">
        <v>411</v>
      </c>
      <c r="G12" s="19">
        <v>2</v>
      </c>
      <c r="H12" s="20">
        <v>46295</v>
      </c>
      <c r="I12" s="19" t="s">
        <v>599</v>
      </c>
      <c r="J12" s="19">
        <v>4</v>
      </c>
      <c r="K12" s="19" t="s">
        <v>600</v>
      </c>
      <c r="L12" s="19" t="s">
        <v>601</v>
      </c>
    </row>
    <row r="13" spans="1:26" ht="40.5">
      <c r="A13" s="19" t="s">
        <v>81</v>
      </c>
      <c r="B13" s="19" t="str">
        <f>IFERROR(_xlfn.XLOOKUP(A13,'01_Компании'!$A$4:$A$103,'01_Компании'!$B$4:$B$103),"")</f>
        <v>PlantUML</v>
      </c>
      <c r="C13" s="19" t="s">
        <v>602</v>
      </c>
      <c r="D13" s="19" t="s">
        <v>554</v>
      </c>
      <c r="E13" s="19" t="s">
        <v>603</v>
      </c>
      <c r="F13" s="19" t="s">
        <v>401</v>
      </c>
      <c r="G13" s="19">
        <v>2</v>
      </c>
      <c r="H13" s="20">
        <v>46295</v>
      </c>
      <c r="I13" s="19" t="s">
        <v>604</v>
      </c>
      <c r="J13" s="19">
        <v>3</v>
      </c>
      <c r="K13" s="19" t="s">
        <v>605</v>
      </c>
      <c r="L13" s="19" t="s">
        <v>606</v>
      </c>
    </row>
    <row r="14" spans="1:26" ht="40.5">
      <c r="A14" s="19" t="s">
        <v>81</v>
      </c>
      <c r="B14" s="19" t="str">
        <f>IFERROR(_xlfn.XLOOKUP(A14,'01_Компании'!$A$4:$A$103,'01_Компании'!$B$4:$B$103),"")</f>
        <v>PlantUML</v>
      </c>
      <c r="C14" s="19" t="s">
        <v>607</v>
      </c>
      <c r="D14" s="19" t="s">
        <v>608</v>
      </c>
      <c r="E14" s="19" t="s">
        <v>609</v>
      </c>
      <c r="F14" s="19" t="s">
        <v>412</v>
      </c>
      <c r="G14" s="19">
        <v>2</v>
      </c>
      <c r="H14" s="20">
        <v>46295</v>
      </c>
      <c r="I14" s="19" t="s">
        <v>610</v>
      </c>
      <c r="J14" s="19">
        <v>3</v>
      </c>
      <c r="K14" s="19" t="s">
        <v>611</v>
      </c>
      <c r="L14" s="19" t="s">
        <v>612</v>
      </c>
    </row>
    <row r="15" spans="1:26" ht="40.5">
      <c r="A15" s="19" t="s">
        <v>82</v>
      </c>
      <c r="B15" s="19" t="str">
        <f>IFERROR(_xlfn.XLOOKUP(A15,'01_Компании'!$A$4:$A$103,'01_Компании'!$B$4:$B$103),"")</f>
        <v>Mermaid (библиотека)</v>
      </c>
      <c r="C15" s="19" t="s">
        <v>553</v>
      </c>
      <c r="D15" s="19" t="s">
        <v>613</v>
      </c>
      <c r="E15" s="19" t="s">
        <v>614</v>
      </c>
      <c r="F15" s="19" t="s">
        <v>398</v>
      </c>
      <c r="G15" s="19">
        <v>4</v>
      </c>
      <c r="H15" s="20">
        <v>46295</v>
      </c>
      <c r="I15" s="19" t="s">
        <v>615</v>
      </c>
      <c r="J15" s="19">
        <v>4</v>
      </c>
      <c r="K15" s="19" t="s">
        <v>557</v>
      </c>
      <c r="L15" s="19" t="s">
        <v>558</v>
      </c>
    </row>
    <row r="16" spans="1:26" ht="40.5">
      <c r="A16" s="19" t="s">
        <v>82</v>
      </c>
      <c r="B16" s="19" t="str">
        <f>IFERROR(_xlfn.XLOOKUP(A16,'01_Компании'!$A$4:$A$103,'01_Компании'!$B$4:$B$103),"")</f>
        <v>Mermaid (библиотека)</v>
      </c>
      <c r="C16" s="19" t="s">
        <v>559</v>
      </c>
      <c r="D16" s="19" t="s">
        <v>560</v>
      </c>
      <c r="E16" s="19" t="s">
        <v>616</v>
      </c>
      <c r="F16" s="19" t="s">
        <v>411</v>
      </c>
      <c r="G16" s="19">
        <v>3</v>
      </c>
      <c r="H16" s="20">
        <v>46295</v>
      </c>
      <c r="I16" s="19" t="s">
        <v>562</v>
      </c>
      <c r="J16" s="19">
        <v>3</v>
      </c>
      <c r="K16" s="19" t="s">
        <v>563</v>
      </c>
      <c r="L16" s="19" t="s">
        <v>564</v>
      </c>
    </row>
    <row r="17" spans="1:12" ht="40.5">
      <c r="A17" s="19" t="s">
        <v>82</v>
      </c>
      <c r="B17" s="19" t="str">
        <f>IFERROR(_xlfn.XLOOKUP(A17,'01_Компании'!$A$4:$A$103,'01_Компании'!$B$4:$B$103),"")</f>
        <v>Mermaid (библиотека)</v>
      </c>
      <c r="C17" s="19" t="s">
        <v>565</v>
      </c>
      <c r="D17" s="19" t="s">
        <v>560</v>
      </c>
      <c r="E17" s="19" t="s">
        <v>617</v>
      </c>
      <c r="F17" s="19" t="s">
        <v>408</v>
      </c>
      <c r="G17" s="19">
        <v>3</v>
      </c>
      <c r="H17" s="20">
        <v>46295</v>
      </c>
      <c r="I17" s="19" t="s">
        <v>567</v>
      </c>
      <c r="J17" s="19">
        <v>3</v>
      </c>
      <c r="K17" s="19" t="s">
        <v>563</v>
      </c>
      <c r="L17" s="19" t="s">
        <v>568</v>
      </c>
    </row>
    <row r="18" spans="1:12" ht="40.5">
      <c r="A18" s="19" t="s">
        <v>82</v>
      </c>
      <c r="B18" s="19" t="str">
        <f>IFERROR(_xlfn.XLOOKUP(A18,'01_Компании'!$A$4:$A$103,'01_Компании'!$B$4:$B$103),"")</f>
        <v>Mermaid (библиотека)</v>
      </c>
      <c r="C18" s="19" t="s">
        <v>569</v>
      </c>
      <c r="D18" s="19" t="s">
        <v>560</v>
      </c>
      <c r="E18" s="19" t="s">
        <v>618</v>
      </c>
      <c r="F18" s="19" t="s">
        <v>410</v>
      </c>
      <c r="G18" s="19">
        <v>3</v>
      </c>
      <c r="H18" s="20">
        <v>46295</v>
      </c>
      <c r="I18" s="19" t="s">
        <v>571</v>
      </c>
      <c r="J18" s="19">
        <v>3</v>
      </c>
      <c r="K18" s="19" t="s">
        <v>563</v>
      </c>
      <c r="L18" s="19" t="s">
        <v>572</v>
      </c>
    </row>
    <row r="19" spans="1:12" ht="40.5">
      <c r="A19" s="19" t="s">
        <v>82</v>
      </c>
      <c r="B19" s="19" t="str">
        <f>IFERROR(_xlfn.XLOOKUP(A19,'01_Компании'!$A$4:$A$103,'01_Компании'!$B$4:$B$103),"")</f>
        <v>Mermaid (библиотека)</v>
      </c>
      <c r="C19" s="19" t="s">
        <v>573</v>
      </c>
      <c r="D19" s="19" t="s">
        <v>574</v>
      </c>
      <c r="E19" s="19" t="s">
        <v>619</v>
      </c>
      <c r="F19" s="19" t="s">
        <v>410</v>
      </c>
      <c r="G19" s="19">
        <v>3</v>
      </c>
      <c r="H19" s="20">
        <v>46295</v>
      </c>
      <c r="I19" s="19" t="s">
        <v>576</v>
      </c>
      <c r="J19" s="19">
        <v>4</v>
      </c>
      <c r="K19" s="19" t="s">
        <v>620</v>
      </c>
      <c r="L19" s="19" t="s">
        <v>578</v>
      </c>
    </row>
    <row r="20" spans="1:12" ht="27">
      <c r="A20" s="19" t="s">
        <v>82</v>
      </c>
      <c r="B20" s="19" t="str">
        <f>IFERROR(_xlfn.XLOOKUP(A20,'01_Компании'!$A$4:$A$103,'01_Компании'!$B$4:$B$103),"")</f>
        <v>Mermaid (библиотека)</v>
      </c>
      <c r="C20" s="19" t="s">
        <v>579</v>
      </c>
      <c r="D20" s="19" t="s">
        <v>613</v>
      </c>
      <c r="E20" s="19" t="s">
        <v>621</v>
      </c>
      <c r="F20" s="19" t="s">
        <v>404</v>
      </c>
      <c r="G20" s="19">
        <v>5</v>
      </c>
      <c r="H20" s="20">
        <v>46295</v>
      </c>
      <c r="I20" s="19" t="s">
        <v>581</v>
      </c>
      <c r="J20" s="19">
        <v>4</v>
      </c>
      <c r="K20" s="19" t="s">
        <v>582</v>
      </c>
      <c r="L20" s="19" t="s">
        <v>583</v>
      </c>
    </row>
    <row r="21" spans="1:12" ht="40.5">
      <c r="A21" s="19" t="s">
        <v>82</v>
      </c>
      <c r="B21" s="19" t="str">
        <f>IFERROR(_xlfn.XLOOKUP(A21,'01_Компании'!$A$4:$A$103,'01_Компании'!$B$4:$B$103),"")</f>
        <v>Mermaid (библиотека)</v>
      </c>
      <c r="C21" s="19" t="s">
        <v>584</v>
      </c>
      <c r="D21" s="19" t="s">
        <v>622</v>
      </c>
      <c r="E21" s="19" t="s">
        <v>623</v>
      </c>
      <c r="F21" s="19" t="s">
        <v>411</v>
      </c>
      <c r="G21" s="19">
        <v>3</v>
      </c>
      <c r="H21" s="20">
        <v>46295</v>
      </c>
      <c r="I21" s="19" t="s">
        <v>587</v>
      </c>
      <c r="J21" s="19">
        <v>3</v>
      </c>
      <c r="K21" s="19" t="s">
        <v>588</v>
      </c>
      <c r="L21" s="19" t="s">
        <v>589</v>
      </c>
    </row>
    <row r="22" spans="1:12" ht="67.5">
      <c r="A22" s="19" t="s">
        <v>82</v>
      </c>
      <c r="B22" s="19" t="str">
        <f>IFERROR(_xlfn.XLOOKUP(A22,'01_Компании'!$A$4:$A$103,'01_Компании'!$B$4:$B$103),"")</f>
        <v>Mermaid (библиотека)</v>
      </c>
      <c r="C22" s="19" t="s">
        <v>590</v>
      </c>
      <c r="D22" s="19" t="s">
        <v>624</v>
      </c>
      <c r="E22" s="19" t="s">
        <v>625</v>
      </c>
      <c r="F22" s="19" t="s">
        <v>411</v>
      </c>
      <c r="G22" s="19">
        <v>3</v>
      </c>
      <c r="H22" s="20">
        <v>46295</v>
      </c>
      <c r="I22" s="19" t="s">
        <v>593</v>
      </c>
      <c r="J22" s="19">
        <v>5</v>
      </c>
      <c r="K22" s="19" t="s">
        <v>594</v>
      </c>
      <c r="L22" s="19" t="s">
        <v>595</v>
      </c>
    </row>
    <row r="23" spans="1:12" ht="27">
      <c r="A23" s="19" t="s">
        <v>82</v>
      </c>
      <c r="B23" s="19" t="str">
        <f>IFERROR(_xlfn.XLOOKUP(A23,'01_Компании'!$A$4:$A$103,'01_Компании'!$B$4:$B$103),"")</f>
        <v>Mermaid (библиотека)</v>
      </c>
      <c r="C23" s="19" t="s">
        <v>596</v>
      </c>
      <c r="D23" s="19" t="s">
        <v>626</v>
      </c>
      <c r="E23" s="19" t="s">
        <v>627</v>
      </c>
      <c r="F23" s="19" t="s">
        <v>411</v>
      </c>
      <c r="G23" s="19">
        <v>2</v>
      </c>
      <c r="H23" s="20">
        <v>46295</v>
      </c>
      <c r="I23" s="19" t="s">
        <v>599</v>
      </c>
      <c r="J23" s="19">
        <v>4</v>
      </c>
      <c r="K23" s="19" t="s">
        <v>600</v>
      </c>
      <c r="L23" s="19" t="s">
        <v>601</v>
      </c>
    </row>
    <row r="24" spans="1:12" ht="40.5">
      <c r="A24" s="19" t="s">
        <v>82</v>
      </c>
      <c r="B24" s="19" t="str">
        <f>IFERROR(_xlfn.XLOOKUP(A24,'01_Компании'!$A$4:$A$103,'01_Компании'!$B$4:$B$103),"")</f>
        <v>Mermaid (библиотека)</v>
      </c>
      <c r="C24" s="19" t="s">
        <v>602</v>
      </c>
      <c r="D24" s="19" t="s">
        <v>613</v>
      </c>
      <c r="E24" s="19" t="s">
        <v>628</v>
      </c>
      <c r="F24" s="19" t="s">
        <v>401</v>
      </c>
      <c r="G24" s="19">
        <v>2</v>
      </c>
      <c r="H24" s="20">
        <v>46295</v>
      </c>
      <c r="I24" s="19" t="s">
        <v>604</v>
      </c>
      <c r="J24" s="19">
        <v>3</v>
      </c>
      <c r="K24" s="19" t="s">
        <v>605</v>
      </c>
      <c r="L24" s="19" t="s">
        <v>606</v>
      </c>
    </row>
    <row r="25" spans="1:12" ht="40.5">
      <c r="A25" s="19" t="s">
        <v>82</v>
      </c>
      <c r="B25" s="19" t="str">
        <f>IFERROR(_xlfn.XLOOKUP(A25,'01_Компании'!$A$4:$A$103,'01_Компании'!$B$4:$B$103),"")</f>
        <v>Mermaid (библиотека)</v>
      </c>
      <c r="C25" s="19" t="s">
        <v>607</v>
      </c>
      <c r="D25" s="19" t="s">
        <v>608</v>
      </c>
      <c r="E25" s="19" t="s">
        <v>609</v>
      </c>
      <c r="F25" s="19" t="s">
        <v>412</v>
      </c>
      <c r="G25" s="19">
        <v>2</v>
      </c>
      <c r="H25" s="20">
        <v>46295</v>
      </c>
      <c r="I25" s="19" t="s">
        <v>610</v>
      </c>
      <c r="J25" s="19">
        <v>3</v>
      </c>
      <c r="K25" s="19" t="s">
        <v>611</v>
      </c>
      <c r="L25" s="19" t="s">
        <v>612</v>
      </c>
    </row>
    <row r="26" spans="1:12" ht="40.5">
      <c r="A26" s="19" t="s">
        <v>83</v>
      </c>
      <c r="B26" s="19" t="str">
        <f>IFERROR(_xlfn.XLOOKUP(A26,'01_Компании'!$A$4:$A$103,'01_Компании'!$B$4:$B$103),"")</f>
        <v>Mermaid Chart</v>
      </c>
      <c r="C26" s="19" t="s">
        <v>553</v>
      </c>
      <c r="D26" s="19" t="s">
        <v>629</v>
      </c>
      <c r="E26" s="19" t="s">
        <v>630</v>
      </c>
      <c r="F26" s="19" t="s">
        <v>398</v>
      </c>
      <c r="G26" s="19">
        <v>4</v>
      </c>
      <c r="H26" s="20">
        <v>46295</v>
      </c>
      <c r="I26" s="19" t="s">
        <v>631</v>
      </c>
      <c r="J26" s="19">
        <v>4</v>
      </c>
      <c r="K26" s="19" t="s">
        <v>557</v>
      </c>
      <c r="L26" s="19" t="s">
        <v>558</v>
      </c>
    </row>
    <row r="27" spans="1:12" ht="40.5">
      <c r="A27" s="19" t="s">
        <v>83</v>
      </c>
      <c r="B27" s="19" t="str">
        <f>IFERROR(_xlfn.XLOOKUP(A27,'01_Компании'!$A$4:$A$103,'01_Компании'!$B$4:$B$103),"")</f>
        <v>Mermaid Chart</v>
      </c>
      <c r="C27" s="19" t="s">
        <v>559</v>
      </c>
      <c r="D27" s="19" t="s">
        <v>560</v>
      </c>
      <c r="E27" s="19" t="s">
        <v>632</v>
      </c>
      <c r="F27" s="19" t="s">
        <v>411</v>
      </c>
      <c r="G27" s="19">
        <v>3</v>
      </c>
      <c r="H27" s="20">
        <v>46295</v>
      </c>
      <c r="I27" s="19" t="s">
        <v>562</v>
      </c>
      <c r="J27" s="19">
        <v>3</v>
      </c>
      <c r="K27" s="19" t="s">
        <v>563</v>
      </c>
      <c r="L27" s="19" t="s">
        <v>564</v>
      </c>
    </row>
    <row r="28" spans="1:12" ht="40.5">
      <c r="A28" s="19" t="s">
        <v>83</v>
      </c>
      <c r="B28" s="19" t="str">
        <f>IFERROR(_xlfn.XLOOKUP(A28,'01_Компании'!$A$4:$A$103,'01_Компании'!$B$4:$B$103),"")</f>
        <v>Mermaid Chart</v>
      </c>
      <c r="C28" s="19" t="s">
        <v>565</v>
      </c>
      <c r="D28" s="19" t="s">
        <v>560</v>
      </c>
      <c r="E28" s="19" t="s">
        <v>633</v>
      </c>
      <c r="F28" s="19" t="s">
        <v>408</v>
      </c>
      <c r="G28" s="19">
        <v>3</v>
      </c>
      <c r="H28" s="20">
        <v>46295</v>
      </c>
      <c r="I28" s="19" t="s">
        <v>567</v>
      </c>
      <c r="J28" s="19">
        <v>3</v>
      </c>
      <c r="K28" s="19" t="s">
        <v>563</v>
      </c>
      <c r="L28" s="19" t="s">
        <v>568</v>
      </c>
    </row>
    <row r="29" spans="1:12" ht="40.5">
      <c r="A29" s="19" t="s">
        <v>83</v>
      </c>
      <c r="B29" s="19" t="str">
        <f>IFERROR(_xlfn.XLOOKUP(A29,'01_Компании'!$A$4:$A$103,'01_Компании'!$B$4:$B$103),"")</f>
        <v>Mermaid Chart</v>
      </c>
      <c r="C29" s="19" t="s">
        <v>569</v>
      </c>
      <c r="D29" s="19" t="s">
        <v>560</v>
      </c>
      <c r="E29" s="19" t="s">
        <v>634</v>
      </c>
      <c r="F29" s="19" t="s">
        <v>410</v>
      </c>
      <c r="G29" s="19">
        <v>3</v>
      </c>
      <c r="H29" s="20">
        <v>46295</v>
      </c>
      <c r="I29" s="19" t="s">
        <v>571</v>
      </c>
      <c r="J29" s="19">
        <v>3</v>
      </c>
      <c r="K29" s="19" t="s">
        <v>563</v>
      </c>
      <c r="L29" s="19" t="s">
        <v>572</v>
      </c>
    </row>
    <row r="30" spans="1:12" ht="27">
      <c r="A30" s="19" t="s">
        <v>83</v>
      </c>
      <c r="B30" s="19" t="str">
        <f>IFERROR(_xlfn.XLOOKUP(A30,'01_Компании'!$A$4:$A$103,'01_Компании'!$B$4:$B$103),"")</f>
        <v>Mermaid Chart</v>
      </c>
      <c r="C30" s="19" t="s">
        <v>573</v>
      </c>
      <c r="D30" s="19" t="s">
        <v>574</v>
      </c>
      <c r="E30" s="19" t="s">
        <v>635</v>
      </c>
      <c r="F30" s="19" t="s">
        <v>410</v>
      </c>
      <c r="G30" s="19">
        <v>3</v>
      </c>
      <c r="H30" s="20">
        <v>46295</v>
      </c>
      <c r="I30" s="19" t="s">
        <v>576</v>
      </c>
      <c r="J30" s="19">
        <v>4</v>
      </c>
      <c r="K30" s="19" t="s">
        <v>577</v>
      </c>
      <c r="L30" s="19" t="s">
        <v>578</v>
      </c>
    </row>
    <row r="31" spans="1:12" ht="40.5">
      <c r="A31" s="19" t="s">
        <v>83</v>
      </c>
      <c r="B31" s="19" t="str">
        <f>IFERROR(_xlfn.XLOOKUP(A31,'01_Компании'!$A$4:$A$103,'01_Компании'!$B$4:$B$103),"")</f>
        <v>Mermaid Chart</v>
      </c>
      <c r="C31" s="19" t="s">
        <v>579</v>
      </c>
      <c r="D31" s="19" t="s">
        <v>636</v>
      </c>
      <c r="E31" s="19" t="s">
        <v>637</v>
      </c>
      <c r="F31" s="19" t="s">
        <v>404</v>
      </c>
      <c r="G31" s="19">
        <v>5</v>
      </c>
      <c r="H31" s="20">
        <v>46295</v>
      </c>
      <c r="I31" s="19" t="s">
        <v>581</v>
      </c>
      <c r="J31" s="19">
        <v>4</v>
      </c>
      <c r="K31" s="19" t="s">
        <v>582</v>
      </c>
      <c r="L31" s="19" t="s">
        <v>583</v>
      </c>
    </row>
    <row r="32" spans="1:12" ht="40.5">
      <c r="A32" s="19" t="s">
        <v>83</v>
      </c>
      <c r="B32" s="19" t="str">
        <f>IFERROR(_xlfn.XLOOKUP(A32,'01_Компании'!$A$4:$A$103,'01_Компании'!$B$4:$B$103),"")</f>
        <v>Mermaid Chart</v>
      </c>
      <c r="C32" s="19" t="s">
        <v>584</v>
      </c>
      <c r="D32" s="19" t="s">
        <v>638</v>
      </c>
      <c r="E32" s="19" t="s">
        <v>639</v>
      </c>
      <c r="F32" s="19" t="s">
        <v>411</v>
      </c>
      <c r="G32" s="19">
        <v>3</v>
      </c>
      <c r="H32" s="20">
        <v>46295</v>
      </c>
      <c r="I32" s="19" t="s">
        <v>587</v>
      </c>
      <c r="J32" s="19">
        <v>3</v>
      </c>
      <c r="K32" s="19" t="s">
        <v>588</v>
      </c>
      <c r="L32" s="19" t="s">
        <v>589</v>
      </c>
    </row>
    <row r="33" spans="1:12" ht="27">
      <c r="A33" s="19" t="s">
        <v>83</v>
      </c>
      <c r="B33" s="19" t="str">
        <f>IFERROR(_xlfn.XLOOKUP(A33,'01_Компании'!$A$4:$A$103,'01_Компании'!$B$4:$B$103),"")</f>
        <v>Mermaid Chart</v>
      </c>
      <c r="C33" s="19" t="s">
        <v>596</v>
      </c>
      <c r="D33" s="19" t="s">
        <v>640</v>
      </c>
      <c r="E33" s="19" t="s">
        <v>641</v>
      </c>
      <c r="F33" s="19" t="s">
        <v>411</v>
      </c>
      <c r="G33" s="19">
        <v>2</v>
      </c>
      <c r="H33" s="20">
        <v>46295</v>
      </c>
      <c r="I33" s="19" t="s">
        <v>599</v>
      </c>
      <c r="J33" s="19">
        <v>4</v>
      </c>
      <c r="K33" s="19" t="s">
        <v>600</v>
      </c>
      <c r="L33" s="19" t="s">
        <v>601</v>
      </c>
    </row>
    <row r="34" spans="1:12" ht="40.5">
      <c r="A34" s="19" t="s">
        <v>83</v>
      </c>
      <c r="B34" s="19" t="str">
        <f>IFERROR(_xlfn.XLOOKUP(A34,'01_Компании'!$A$4:$A$103,'01_Компании'!$B$4:$B$103),"")</f>
        <v>Mermaid Chart</v>
      </c>
      <c r="C34" s="19" t="s">
        <v>602</v>
      </c>
      <c r="D34" s="19" t="s">
        <v>629</v>
      </c>
      <c r="E34" s="19" t="s">
        <v>642</v>
      </c>
      <c r="F34" s="19" t="s">
        <v>401</v>
      </c>
      <c r="G34" s="19">
        <v>2</v>
      </c>
      <c r="H34" s="20">
        <v>46295</v>
      </c>
      <c r="I34" s="19" t="s">
        <v>604</v>
      </c>
      <c r="J34" s="19">
        <v>3</v>
      </c>
      <c r="K34" s="19" t="s">
        <v>605</v>
      </c>
      <c r="L34" s="19" t="s">
        <v>606</v>
      </c>
    </row>
    <row r="35" spans="1:12" ht="40.5">
      <c r="A35" s="19" t="s">
        <v>83</v>
      </c>
      <c r="B35" s="19" t="str">
        <f>IFERROR(_xlfn.XLOOKUP(A35,'01_Компании'!$A$4:$A$103,'01_Компании'!$B$4:$B$103),"")</f>
        <v>Mermaid Chart</v>
      </c>
      <c r="C35" s="19" t="s">
        <v>607</v>
      </c>
      <c r="D35" s="19" t="s">
        <v>608</v>
      </c>
      <c r="E35" s="19" t="s">
        <v>609</v>
      </c>
      <c r="F35" s="19" t="s">
        <v>412</v>
      </c>
      <c r="G35" s="19">
        <v>2</v>
      </c>
      <c r="H35" s="20">
        <v>46295</v>
      </c>
      <c r="I35" s="19" t="s">
        <v>610</v>
      </c>
      <c r="J35" s="19">
        <v>3</v>
      </c>
      <c r="K35" s="19" t="s">
        <v>611</v>
      </c>
      <c r="L35" s="19" t="s">
        <v>612</v>
      </c>
    </row>
    <row r="36" spans="1:12" ht="40.5">
      <c r="A36" s="19" t="s">
        <v>84</v>
      </c>
      <c r="B36" s="19" t="str">
        <f>IFERROR(_xlfn.XLOOKUP(A36,'01_Компании'!$A$4:$A$103,'01_Компании'!$B$4:$B$103),"")</f>
        <v>D2 (Terrastruct)</v>
      </c>
      <c r="C36" s="19" t="s">
        <v>553</v>
      </c>
      <c r="D36" s="19" t="s">
        <v>643</v>
      </c>
      <c r="E36" s="19" t="s">
        <v>644</v>
      </c>
      <c r="F36" s="19" t="s">
        <v>398</v>
      </c>
      <c r="G36" s="19">
        <v>4</v>
      </c>
      <c r="H36" s="20">
        <v>46295</v>
      </c>
      <c r="I36" s="19" t="s">
        <v>645</v>
      </c>
      <c r="J36" s="19">
        <v>4</v>
      </c>
      <c r="K36" s="19" t="s">
        <v>557</v>
      </c>
      <c r="L36" s="19" t="s">
        <v>558</v>
      </c>
    </row>
    <row r="37" spans="1:12" ht="40.5">
      <c r="A37" s="19" t="s">
        <v>84</v>
      </c>
      <c r="B37" s="19" t="str">
        <f>IFERROR(_xlfn.XLOOKUP(A37,'01_Компании'!$A$4:$A$103,'01_Компании'!$B$4:$B$103),"")</f>
        <v>D2 (Terrastruct)</v>
      </c>
      <c r="C37" s="19" t="s">
        <v>559</v>
      </c>
      <c r="D37" s="19" t="s">
        <v>560</v>
      </c>
      <c r="E37" s="19" t="s">
        <v>646</v>
      </c>
      <c r="F37" s="19" t="s">
        <v>411</v>
      </c>
      <c r="G37" s="19">
        <v>3</v>
      </c>
      <c r="H37" s="20">
        <v>46295</v>
      </c>
      <c r="I37" s="19" t="s">
        <v>562</v>
      </c>
      <c r="J37" s="19">
        <v>3</v>
      </c>
      <c r="K37" s="19" t="s">
        <v>563</v>
      </c>
      <c r="L37" s="19" t="s">
        <v>564</v>
      </c>
    </row>
    <row r="38" spans="1:12" ht="40.5">
      <c r="A38" s="19" t="s">
        <v>84</v>
      </c>
      <c r="B38" s="19" t="str">
        <f>IFERROR(_xlfn.XLOOKUP(A38,'01_Компании'!$A$4:$A$103,'01_Компании'!$B$4:$B$103),"")</f>
        <v>D2 (Terrastruct)</v>
      </c>
      <c r="C38" s="19" t="s">
        <v>565</v>
      </c>
      <c r="D38" s="19" t="s">
        <v>560</v>
      </c>
      <c r="E38" s="19" t="s">
        <v>647</v>
      </c>
      <c r="F38" s="19" t="s">
        <v>408</v>
      </c>
      <c r="G38" s="19">
        <v>3</v>
      </c>
      <c r="H38" s="20">
        <v>46295</v>
      </c>
      <c r="I38" s="19" t="s">
        <v>567</v>
      </c>
      <c r="J38" s="19">
        <v>3</v>
      </c>
      <c r="K38" s="19" t="s">
        <v>563</v>
      </c>
      <c r="L38" s="19" t="s">
        <v>568</v>
      </c>
    </row>
    <row r="39" spans="1:12" ht="40.5">
      <c r="A39" s="19" t="s">
        <v>84</v>
      </c>
      <c r="B39" s="19" t="str">
        <f>IFERROR(_xlfn.XLOOKUP(A39,'01_Компании'!$A$4:$A$103,'01_Компании'!$B$4:$B$103),"")</f>
        <v>D2 (Terrastruct)</v>
      </c>
      <c r="C39" s="19" t="s">
        <v>569</v>
      </c>
      <c r="D39" s="19" t="s">
        <v>560</v>
      </c>
      <c r="E39" s="19" t="s">
        <v>648</v>
      </c>
      <c r="F39" s="19" t="s">
        <v>410</v>
      </c>
      <c r="G39" s="19">
        <v>3</v>
      </c>
      <c r="H39" s="20">
        <v>46295</v>
      </c>
      <c r="I39" s="19" t="s">
        <v>571</v>
      </c>
      <c r="J39" s="19">
        <v>3</v>
      </c>
      <c r="K39" s="19" t="s">
        <v>563</v>
      </c>
      <c r="L39" s="19" t="s">
        <v>572</v>
      </c>
    </row>
    <row r="40" spans="1:12" ht="27">
      <c r="A40" s="19" t="s">
        <v>84</v>
      </c>
      <c r="B40" s="19" t="str">
        <f>IFERROR(_xlfn.XLOOKUP(A40,'01_Компании'!$A$4:$A$103,'01_Компании'!$B$4:$B$103),"")</f>
        <v>D2 (Terrastruct)</v>
      </c>
      <c r="C40" s="19" t="s">
        <v>573</v>
      </c>
      <c r="D40" s="19" t="s">
        <v>574</v>
      </c>
      <c r="E40" s="19" t="s">
        <v>649</v>
      </c>
      <c r="F40" s="19" t="s">
        <v>410</v>
      </c>
      <c r="G40" s="19">
        <v>3</v>
      </c>
      <c r="H40" s="20">
        <v>46295</v>
      </c>
      <c r="I40" s="19" t="s">
        <v>576</v>
      </c>
      <c r="J40" s="19">
        <v>4</v>
      </c>
      <c r="K40" s="19" t="s">
        <v>577</v>
      </c>
      <c r="L40" s="19" t="s">
        <v>578</v>
      </c>
    </row>
    <row r="41" spans="1:12" ht="27">
      <c r="A41" s="19" t="s">
        <v>84</v>
      </c>
      <c r="B41" s="19" t="str">
        <f>IFERROR(_xlfn.XLOOKUP(A41,'01_Компании'!$A$4:$A$103,'01_Компании'!$B$4:$B$103),"")</f>
        <v>D2 (Terrastruct)</v>
      </c>
      <c r="C41" s="19" t="s">
        <v>590</v>
      </c>
      <c r="D41" s="19" t="s">
        <v>650</v>
      </c>
      <c r="E41" s="19" t="s">
        <v>651</v>
      </c>
      <c r="F41" s="19" t="s">
        <v>411</v>
      </c>
      <c r="G41" s="19">
        <v>3</v>
      </c>
      <c r="H41" s="20">
        <v>46295</v>
      </c>
      <c r="I41" s="19" t="s">
        <v>593</v>
      </c>
      <c r="J41" s="19">
        <v>5</v>
      </c>
      <c r="K41" s="19" t="s">
        <v>594</v>
      </c>
      <c r="L41" s="19" t="s">
        <v>595</v>
      </c>
    </row>
    <row r="42" spans="1:12" ht="27">
      <c r="A42" s="19" t="s">
        <v>84</v>
      </c>
      <c r="B42" s="19" t="str">
        <f>IFERROR(_xlfn.XLOOKUP(A42,'01_Компании'!$A$4:$A$103,'01_Компании'!$B$4:$B$103),"")</f>
        <v>D2 (Terrastruct)</v>
      </c>
      <c r="C42" s="19" t="s">
        <v>596</v>
      </c>
      <c r="D42" s="19" t="s">
        <v>652</v>
      </c>
      <c r="E42" s="19" t="s">
        <v>653</v>
      </c>
      <c r="F42" s="19" t="s">
        <v>411</v>
      </c>
      <c r="G42" s="19">
        <v>2</v>
      </c>
      <c r="H42" s="20">
        <v>46295</v>
      </c>
      <c r="I42" s="19" t="s">
        <v>599</v>
      </c>
      <c r="J42" s="19">
        <v>4</v>
      </c>
      <c r="K42" s="19" t="s">
        <v>600</v>
      </c>
      <c r="L42" s="19" t="s">
        <v>601</v>
      </c>
    </row>
    <row r="43" spans="1:12" ht="40.5">
      <c r="A43" s="19" t="s">
        <v>84</v>
      </c>
      <c r="B43" s="19" t="str">
        <f>IFERROR(_xlfn.XLOOKUP(A43,'01_Компании'!$A$4:$A$103,'01_Компании'!$B$4:$B$103),"")</f>
        <v>D2 (Terrastruct)</v>
      </c>
      <c r="C43" s="19" t="s">
        <v>602</v>
      </c>
      <c r="D43" s="19" t="s">
        <v>643</v>
      </c>
      <c r="E43" s="19" t="s">
        <v>603</v>
      </c>
      <c r="F43" s="19" t="s">
        <v>401</v>
      </c>
      <c r="G43" s="19">
        <v>2</v>
      </c>
      <c r="H43" s="20">
        <v>46295</v>
      </c>
      <c r="I43" s="19" t="s">
        <v>604</v>
      </c>
      <c r="J43" s="19">
        <v>3</v>
      </c>
      <c r="K43" s="19" t="s">
        <v>605</v>
      </c>
      <c r="L43" s="19" t="s">
        <v>606</v>
      </c>
    </row>
    <row r="44" spans="1:12" ht="40.5">
      <c r="A44" s="19" t="s">
        <v>84</v>
      </c>
      <c r="B44" s="19" t="str">
        <f>IFERROR(_xlfn.XLOOKUP(A44,'01_Компании'!$A$4:$A$103,'01_Компании'!$B$4:$B$103),"")</f>
        <v>D2 (Terrastruct)</v>
      </c>
      <c r="C44" s="19" t="s">
        <v>607</v>
      </c>
      <c r="D44" s="19" t="s">
        <v>608</v>
      </c>
      <c r="E44" s="19" t="s">
        <v>609</v>
      </c>
      <c r="F44" s="19" t="s">
        <v>412</v>
      </c>
      <c r="G44" s="19">
        <v>2</v>
      </c>
      <c r="H44" s="20">
        <v>46295</v>
      </c>
      <c r="I44" s="19" t="s">
        <v>610</v>
      </c>
      <c r="J44" s="19">
        <v>3</v>
      </c>
      <c r="K44" s="19" t="s">
        <v>611</v>
      </c>
      <c r="L44" s="19" t="s">
        <v>612</v>
      </c>
    </row>
    <row r="45" spans="1:12" ht="54">
      <c r="A45" s="19" t="s">
        <v>85</v>
      </c>
      <c r="B45" s="19" t="str">
        <f>IFERROR(_xlfn.XLOOKUP(A45,'01_Компании'!$A$4:$A$103,'01_Компании'!$B$4:$B$103),"")</f>
        <v>Kroki</v>
      </c>
      <c r="C45" s="19" t="s">
        <v>553</v>
      </c>
      <c r="D45" s="19" t="s">
        <v>654</v>
      </c>
      <c r="E45" s="19" t="s">
        <v>655</v>
      </c>
      <c r="F45" s="19" t="s">
        <v>398</v>
      </c>
      <c r="G45" s="19">
        <v>4</v>
      </c>
      <c r="H45" s="20">
        <v>46295</v>
      </c>
      <c r="I45" s="19" t="s">
        <v>656</v>
      </c>
      <c r="J45" s="19">
        <v>4</v>
      </c>
      <c r="K45" s="19" t="s">
        <v>557</v>
      </c>
      <c r="L45" s="19" t="s">
        <v>558</v>
      </c>
    </row>
    <row r="46" spans="1:12" ht="40.5">
      <c r="A46" s="19" t="s">
        <v>85</v>
      </c>
      <c r="B46" s="19" t="str">
        <f>IFERROR(_xlfn.XLOOKUP(A46,'01_Компании'!$A$4:$A$103,'01_Компании'!$B$4:$B$103),"")</f>
        <v>Kroki</v>
      </c>
      <c r="C46" s="19" t="s">
        <v>559</v>
      </c>
      <c r="D46" s="19" t="s">
        <v>560</v>
      </c>
      <c r="E46" s="19" t="s">
        <v>657</v>
      </c>
      <c r="F46" s="19" t="s">
        <v>411</v>
      </c>
      <c r="G46" s="19">
        <v>3</v>
      </c>
      <c r="H46" s="20">
        <v>46295</v>
      </c>
      <c r="I46" s="19" t="s">
        <v>562</v>
      </c>
      <c r="J46" s="19">
        <v>3</v>
      </c>
      <c r="K46" s="19" t="s">
        <v>563</v>
      </c>
      <c r="L46" s="19" t="s">
        <v>564</v>
      </c>
    </row>
    <row r="47" spans="1:12" ht="40.5">
      <c r="A47" s="19" t="s">
        <v>85</v>
      </c>
      <c r="B47" s="19" t="str">
        <f>IFERROR(_xlfn.XLOOKUP(A47,'01_Компании'!$A$4:$A$103,'01_Компании'!$B$4:$B$103),"")</f>
        <v>Kroki</v>
      </c>
      <c r="C47" s="19" t="s">
        <v>565</v>
      </c>
      <c r="D47" s="19" t="s">
        <v>560</v>
      </c>
      <c r="E47" s="19" t="s">
        <v>658</v>
      </c>
      <c r="F47" s="19" t="s">
        <v>408</v>
      </c>
      <c r="G47" s="19">
        <v>3</v>
      </c>
      <c r="H47" s="20">
        <v>46295</v>
      </c>
      <c r="I47" s="19" t="s">
        <v>567</v>
      </c>
      <c r="J47" s="19">
        <v>3</v>
      </c>
      <c r="K47" s="19" t="s">
        <v>563</v>
      </c>
      <c r="L47" s="19" t="s">
        <v>568</v>
      </c>
    </row>
    <row r="48" spans="1:12" ht="40.5">
      <c r="A48" s="19" t="s">
        <v>85</v>
      </c>
      <c r="B48" s="19" t="str">
        <f>IFERROR(_xlfn.XLOOKUP(A48,'01_Компании'!$A$4:$A$103,'01_Компании'!$B$4:$B$103),"")</f>
        <v>Kroki</v>
      </c>
      <c r="C48" s="19" t="s">
        <v>569</v>
      </c>
      <c r="D48" s="19" t="s">
        <v>560</v>
      </c>
      <c r="E48" s="19" t="s">
        <v>659</v>
      </c>
      <c r="F48" s="19" t="s">
        <v>410</v>
      </c>
      <c r="G48" s="19">
        <v>3</v>
      </c>
      <c r="H48" s="20">
        <v>46295</v>
      </c>
      <c r="I48" s="19" t="s">
        <v>571</v>
      </c>
      <c r="J48" s="19">
        <v>3</v>
      </c>
      <c r="K48" s="19" t="s">
        <v>563</v>
      </c>
      <c r="L48" s="19" t="s">
        <v>572</v>
      </c>
    </row>
    <row r="49" spans="1:12" ht="27">
      <c r="A49" s="19" t="s">
        <v>85</v>
      </c>
      <c r="B49" s="19" t="str">
        <f>IFERROR(_xlfn.XLOOKUP(A49,'01_Компании'!$A$4:$A$103,'01_Компании'!$B$4:$B$103),"")</f>
        <v>Kroki</v>
      </c>
      <c r="C49" s="19" t="s">
        <v>573</v>
      </c>
      <c r="D49" s="19" t="s">
        <v>574</v>
      </c>
      <c r="E49" s="19" t="s">
        <v>660</v>
      </c>
      <c r="F49" s="19" t="s">
        <v>410</v>
      </c>
      <c r="G49" s="19">
        <v>3</v>
      </c>
      <c r="H49" s="20">
        <v>46295</v>
      </c>
      <c r="I49" s="19" t="s">
        <v>576</v>
      </c>
      <c r="J49" s="19">
        <v>4</v>
      </c>
      <c r="K49" s="19" t="s">
        <v>577</v>
      </c>
      <c r="L49" s="19" t="s">
        <v>578</v>
      </c>
    </row>
    <row r="50" spans="1:12" ht="27">
      <c r="A50" s="19" t="s">
        <v>85</v>
      </c>
      <c r="B50" s="19" t="str">
        <f>IFERROR(_xlfn.XLOOKUP(A50,'01_Компании'!$A$4:$A$103,'01_Компании'!$B$4:$B$103),"")</f>
        <v>Kroki</v>
      </c>
      <c r="C50" s="19" t="s">
        <v>590</v>
      </c>
      <c r="D50" s="19" t="s">
        <v>661</v>
      </c>
      <c r="E50" s="19" t="s">
        <v>662</v>
      </c>
      <c r="F50" s="19" t="s">
        <v>411</v>
      </c>
      <c r="G50" s="19">
        <v>3</v>
      </c>
      <c r="H50" s="20">
        <v>46295</v>
      </c>
      <c r="I50" s="19" t="s">
        <v>593</v>
      </c>
      <c r="J50" s="19">
        <v>5</v>
      </c>
      <c r="K50" s="19" t="s">
        <v>594</v>
      </c>
      <c r="L50" s="19" t="s">
        <v>595</v>
      </c>
    </row>
    <row r="51" spans="1:12" ht="27">
      <c r="A51" s="19" t="s">
        <v>85</v>
      </c>
      <c r="B51" s="19" t="str">
        <f>IFERROR(_xlfn.XLOOKUP(A51,'01_Компании'!$A$4:$A$103,'01_Компании'!$B$4:$B$103),"")</f>
        <v>Kroki</v>
      </c>
      <c r="C51" s="19" t="s">
        <v>596</v>
      </c>
      <c r="D51" s="19" t="s">
        <v>663</v>
      </c>
      <c r="E51" s="19" t="s">
        <v>664</v>
      </c>
      <c r="F51" s="19" t="s">
        <v>411</v>
      </c>
      <c r="G51" s="19">
        <v>2</v>
      </c>
      <c r="H51" s="20">
        <v>46295</v>
      </c>
      <c r="I51" s="19" t="s">
        <v>599</v>
      </c>
      <c r="J51" s="19">
        <v>4</v>
      </c>
      <c r="K51" s="19" t="s">
        <v>600</v>
      </c>
      <c r="L51" s="19" t="s">
        <v>601</v>
      </c>
    </row>
    <row r="52" spans="1:12" ht="40.5">
      <c r="A52" s="19" t="s">
        <v>85</v>
      </c>
      <c r="B52" s="19" t="str">
        <f>IFERROR(_xlfn.XLOOKUP(A52,'01_Компании'!$A$4:$A$103,'01_Компании'!$B$4:$B$103),"")</f>
        <v>Kroki</v>
      </c>
      <c r="C52" s="19" t="s">
        <v>602</v>
      </c>
      <c r="D52" s="19" t="s">
        <v>654</v>
      </c>
      <c r="E52" s="19" t="s">
        <v>665</v>
      </c>
      <c r="F52" s="19" t="s">
        <v>401</v>
      </c>
      <c r="G52" s="19">
        <v>2</v>
      </c>
      <c r="H52" s="20">
        <v>46295</v>
      </c>
      <c r="I52" s="19" t="s">
        <v>604</v>
      </c>
      <c r="J52" s="19">
        <v>3</v>
      </c>
      <c r="K52" s="19" t="s">
        <v>605</v>
      </c>
      <c r="L52" s="19" t="s">
        <v>606</v>
      </c>
    </row>
    <row r="53" spans="1:12" ht="67.5">
      <c r="A53" s="19" t="s">
        <v>86</v>
      </c>
      <c r="B53" s="19" t="str">
        <f>IFERROR(_xlfn.XLOOKUP(A53,'01_Компании'!$A$4:$A$103,'01_Компании'!$B$4:$B$103),"")</f>
        <v>PlantText</v>
      </c>
      <c r="C53" s="19" t="s">
        <v>553</v>
      </c>
      <c r="D53" s="19" t="s">
        <v>666</v>
      </c>
      <c r="E53" s="19" t="s">
        <v>667</v>
      </c>
      <c r="F53" s="19" t="s">
        <v>398</v>
      </c>
      <c r="G53" s="19">
        <v>4</v>
      </c>
      <c r="H53" s="20">
        <v>46295</v>
      </c>
      <c r="I53" s="19" t="s">
        <v>668</v>
      </c>
      <c r="J53" s="19">
        <v>4</v>
      </c>
      <c r="K53" s="19" t="s">
        <v>557</v>
      </c>
      <c r="L53" s="19" t="s">
        <v>558</v>
      </c>
    </row>
    <row r="54" spans="1:12" ht="40.5">
      <c r="A54" s="19" t="s">
        <v>86</v>
      </c>
      <c r="B54" s="19" t="str">
        <f>IFERROR(_xlfn.XLOOKUP(A54,'01_Компании'!$A$4:$A$103,'01_Компании'!$B$4:$B$103),"")</f>
        <v>PlantText</v>
      </c>
      <c r="C54" s="19" t="s">
        <v>559</v>
      </c>
      <c r="D54" s="19" t="s">
        <v>560</v>
      </c>
      <c r="E54" s="19" t="s">
        <v>669</v>
      </c>
      <c r="F54" s="19" t="s">
        <v>411</v>
      </c>
      <c r="G54" s="19">
        <v>3</v>
      </c>
      <c r="H54" s="20">
        <v>46295</v>
      </c>
      <c r="I54" s="19" t="s">
        <v>562</v>
      </c>
      <c r="J54" s="19">
        <v>3</v>
      </c>
      <c r="K54" s="19" t="s">
        <v>563</v>
      </c>
      <c r="L54" s="19" t="s">
        <v>564</v>
      </c>
    </row>
    <row r="55" spans="1:12" ht="40.5">
      <c r="A55" s="19" t="s">
        <v>86</v>
      </c>
      <c r="B55" s="19" t="str">
        <f>IFERROR(_xlfn.XLOOKUP(A55,'01_Компании'!$A$4:$A$103,'01_Компании'!$B$4:$B$103),"")</f>
        <v>PlantText</v>
      </c>
      <c r="C55" s="19" t="s">
        <v>565</v>
      </c>
      <c r="D55" s="19" t="s">
        <v>560</v>
      </c>
      <c r="E55" s="19" t="s">
        <v>670</v>
      </c>
      <c r="F55" s="19" t="s">
        <v>408</v>
      </c>
      <c r="G55" s="19">
        <v>3</v>
      </c>
      <c r="H55" s="20">
        <v>46295</v>
      </c>
      <c r="I55" s="19" t="s">
        <v>567</v>
      </c>
      <c r="J55" s="19">
        <v>3</v>
      </c>
      <c r="K55" s="19" t="s">
        <v>563</v>
      </c>
      <c r="L55" s="19" t="s">
        <v>568</v>
      </c>
    </row>
    <row r="56" spans="1:12" ht="40.5">
      <c r="A56" s="19" t="s">
        <v>86</v>
      </c>
      <c r="B56" s="19" t="str">
        <f>IFERROR(_xlfn.XLOOKUP(A56,'01_Компании'!$A$4:$A$103,'01_Компании'!$B$4:$B$103),"")</f>
        <v>PlantText</v>
      </c>
      <c r="C56" s="19" t="s">
        <v>569</v>
      </c>
      <c r="D56" s="19" t="s">
        <v>560</v>
      </c>
      <c r="E56" s="19" t="s">
        <v>671</v>
      </c>
      <c r="F56" s="19" t="s">
        <v>410</v>
      </c>
      <c r="G56" s="19">
        <v>3</v>
      </c>
      <c r="H56" s="20">
        <v>46295</v>
      </c>
      <c r="I56" s="19" t="s">
        <v>571</v>
      </c>
      <c r="J56" s="19">
        <v>3</v>
      </c>
      <c r="K56" s="19" t="s">
        <v>563</v>
      </c>
      <c r="L56" s="19" t="s">
        <v>572</v>
      </c>
    </row>
    <row r="57" spans="1:12" ht="27">
      <c r="A57" s="19" t="s">
        <v>86</v>
      </c>
      <c r="B57" s="19" t="str">
        <f>IFERROR(_xlfn.XLOOKUP(A57,'01_Компании'!$A$4:$A$103,'01_Компании'!$B$4:$B$103),"")</f>
        <v>PlantText</v>
      </c>
      <c r="C57" s="19" t="s">
        <v>573</v>
      </c>
      <c r="D57" s="19" t="s">
        <v>574</v>
      </c>
      <c r="E57" s="19" t="s">
        <v>672</v>
      </c>
      <c r="F57" s="19" t="s">
        <v>410</v>
      </c>
      <c r="G57" s="19">
        <v>3</v>
      </c>
      <c r="H57" s="20">
        <v>46295</v>
      </c>
      <c r="I57" s="19" t="s">
        <v>576</v>
      </c>
      <c r="J57" s="19">
        <v>4</v>
      </c>
      <c r="K57" s="19" t="s">
        <v>577</v>
      </c>
      <c r="L57" s="19" t="s">
        <v>578</v>
      </c>
    </row>
    <row r="58" spans="1:12" ht="27">
      <c r="A58" s="19" t="s">
        <v>86</v>
      </c>
      <c r="B58" s="19" t="str">
        <f>IFERROR(_xlfn.XLOOKUP(A58,'01_Компании'!$A$4:$A$103,'01_Компании'!$B$4:$B$103),"")</f>
        <v>PlantText</v>
      </c>
      <c r="C58" s="19" t="s">
        <v>579</v>
      </c>
      <c r="D58" s="19" t="s">
        <v>666</v>
      </c>
      <c r="E58" s="19" t="s">
        <v>673</v>
      </c>
      <c r="F58" s="19" t="s">
        <v>404</v>
      </c>
      <c r="G58" s="19">
        <v>5</v>
      </c>
      <c r="H58" s="20">
        <v>46295</v>
      </c>
      <c r="I58" s="19" t="s">
        <v>581</v>
      </c>
      <c r="J58" s="19">
        <v>4</v>
      </c>
      <c r="K58" s="19" t="s">
        <v>582</v>
      </c>
      <c r="L58" s="19" t="s">
        <v>583</v>
      </c>
    </row>
    <row r="59" spans="1:12" ht="27">
      <c r="A59" s="19" t="s">
        <v>86</v>
      </c>
      <c r="B59" s="19" t="str">
        <f>IFERROR(_xlfn.XLOOKUP(A59,'01_Компании'!$A$4:$A$103,'01_Компании'!$B$4:$B$103),"")</f>
        <v>PlantText</v>
      </c>
      <c r="C59" s="19" t="s">
        <v>596</v>
      </c>
      <c r="D59" s="19" t="s">
        <v>674</v>
      </c>
      <c r="E59" s="19" t="s">
        <v>675</v>
      </c>
      <c r="F59" s="19" t="s">
        <v>411</v>
      </c>
      <c r="G59" s="19">
        <v>2</v>
      </c>
      <c r="H59" s="20">
        <v>46295</v>
      </c>
      <c r="I59" s="19" t="s">
        <v>599</v>
      </c>
      <c r="J59" s="19">
        <v>4</v>
      </c>
      <c r="K59" s="19" t="s">
        <v>600</v>
      </c>
      <c r="L59" s="19" t="s">
        <v>601</v>
      </c>
    </row>
    <row r="60" spans="1:12" ht="40.5">
      <c r="A60" s="19" t="s">
        <v>86</v>
      </c>
      <c r="B60" s="19" t="str">
        <f>IFERROR(_xlfn.XLOOKUP(A60,'01_Компании'!$A$4:$A$103,'01_Компании'!$B$4:$B$103),"")</f>
        <v>PlantText</v>
      </c>
      <c r="C60" s="19" t="s">
        <v>602</v>
      </c>
      <c r="D60" s="19" t="s">
        <v>666</v>
      </c>
      <c r="E60" s="19" t="s">
        <v>676</v>
      </c>
      <c r="F60" s="19" t="s">
        <v>401</v>
      </c>
      <c r="G60" s="19">
        <v>2</v>
      </c>
      <c r="H60" s="20">
        <v>46295</v>
      </c>
      <c r="I60" s="19" t="s">
        <v>604</v>
      </c>
      <c r="J60" s="19">
        <v>3</v>
      </c>
      <c r="K60" s="19" t="s">
        <v>605</v>
      </c>
      <c r="L60" s="19" t="s">
        <v>606</v>
      </c>
    </row>
    <row r="61" spans="1:12" ht="40.5">
      <c r="A61" s="19" t="s">
        <v>86</v>
      </c>
      <c r="B61" s="19" t="str">
        <f>IFERROR(_xlfn.XLOOKUP(A61,'01_Компании'!$A$4:$A$103,'01_Компании'!$B$4:$B$103),"")</f>
        <v>PlantText</v>
      </c>
      <c r="C61" s="19" t="s">
        <v>607</v>
      </c>
      <c r="D61" s="19" t="s">
        <v>608</v>
      </c>
      <c r="E61" s="19" t="s">
        <v>609</v>
      </c>
      <c r="F61" s="19" t="s">
        <v>412</v>
      </c>
      <c r="G61" s="19">
        <v>2</v>
      </c>
      <c r="H61" s="20">
        <v>46295</v>
      </c>
      <c r="I61" s="19" t="s">
        <v>610</v>
      </c>
      <c r="J61" s="19">
        <v>3</v>
      </c>
      <c r="K61" s="19" t="s">
        <v>611</v>
      </c>
      <c r="L61" s="19" t="s">
        <v>612</v>
      </c>
    </row>
    <row r="62" spans="1:12" ht="27">
      <c r="A62" s="19" t="s">
        <v>87</v>
      </c>
      <c r="B62" s="19" t="str">
        <f>IFERROR(_xlfn.XLOOKUP(A62,'01_Компании'!$A$4:$A$103,'01_Компании'!$B$4:$B$103),"")</f>
        <v>StarUML</v>
      </c>
      <c r="C62" s="19" t="s">
        <v>553</v>
      </c>
      <c r="D62" s="19" t="s">
        <v>677</v>
      </c>
      <c r="E62" s="19" t="s">
        <v>678</v>
      </c>
      <c r="F62" s="19" t="s">
        <v>398</v>
      </c>
      <c r="G62" s="19">
        <v>4</v>
      </c>
      <c r="H62" s="20">
        <v>46295</v>
      </c>
      <c r="I62" s="19" t="s">
        <v>679</v>
      </c>
      <c r="J62" s="19">
        <v>4</v>
      </c>
      <c r="K62" s="19" t="s">
        <v>557</v>
      </c>
      <c r="L62" s="19" t="s">
        <v>558</v>
      </c>
    </row>
    <row r="63" spans="1:12" ht="40.5">
      <c r="A63" s="19" t="s">
        <v>87</v>
      </c>
      <c r="B63" s="19" t="str">
        <f>IFERROR(_xlfn.XLOOKUP(A63,'01_Компании'!$A$4:$A$103,'01_Компании'!$B$4:$B$103),"")</f>
        <v>StarUML</v>
      </c>
      <c r="C63" s="19" t="s">
        <v>559</v>
      </c>
      <c r="D63" s="19" t="s">
        <v>560</v>
      </c>
      <c r="E63" s="19" t="s">
        <v>680</v>
      </c>
      <c r="F63" s="19" t="s">
        <v>411</v>
      </c>
      <c r="G63" s="19">
        <v>3</v>
      </c>
      <c r="H63" s="20">
        <v>46295</v>
      </c>
      <c r="I63" s="19" t="s">
        <v>562</v>
      </c>
      <c r="J63" s="19">
        <v>3</v>
      </c>
      <c r="K63" s="19" t="s">
        <v>563</v>
      </c>
      <c r="L63" s="19" t="s">
        <v>564</v>
      </c>
    </row>
    <row r="64" spans="1:12" ht="40.5">
      <c r="A64" s="19" t="s">
        <v>87</v>
      </c>
      <c r="B64" s="19" t="str">
        <f>IFERROR(_xlfn.XLOOKUP(A64,'01_Компании'!$A$4:$A$103,'01_Компании'!$B$4:$B$103),"")</f>
        <v>StarUML</v>
      </c>
      <c r="C64" s="19" t="s">
        <v>565</v>
      </c>
      <c r="D64" s="19" t="s">
        <v>560</v>
      </c>
      <c r="E64" s="19" t="s">
        <v>681</v>
      </c>
      <c r="F64" s="19" t="s">
        <v>408</v>
      </c>
      <c r="G64" s="19">
        <v>3</v>
      </c>
      <c r="H64" s="20">
        <v>46295</v>
      </c>
      <c r="I64" s="19" t="s">
        <v>567</v>
      </c>
      <c r="J64" s="19">
        <v>3</v>
      </c>
      <c r="K64" s="19" t="s">
        <v>563</v>
      </c>
      <c r="L64" s="19" t="s">
        <v>568</v>
      </c>
    </row>
    <row r="65" spans="1:12" ht="40.5">
      <c r="A65" s="19" t="s">
        <v>87</v>
      </c>
      <c r="B65" s="19" t="str">
        <f>IFERROR(_xlfn.XLOOKUP(A65,'01_Компании'!$A$4:$A$103,'01_Компании'!$B$4:$B$103),"")</f>
        <v>StarUML</v>
      </c>
      <c r="C65" s="19" t="s">
        <v>569</v>
      </c>
      <c r="D65" s="19" t="s">
        <v>560</v>
      </c>
      <c r="E65" s="19" t="s">
        <v>682</v>
      </c>
      <c r="F65" s="19" t="s">
        <v>410</v>
      </c>
      <c r="G65" s="19">
        <v>3</v>
      </c>
      <c r="H65" s="20">
        <v>46295</v>
      </c>
      <c r="I65" s="19" t="s">
        <v>571</v>
      </c>
      <c r="J65" s="19">
        <v>3</v>
      </c>
      <c r="K65" s="19" t="s">
        <v>563</v>
      </c>
      <c r="L65" s="19" t="s">
        <v>572</v>
      </c>
    </row>
    <row r="66" spans="1:12" ht="27">
      <c r="A66" s="19" t="s">
        <v>87</v>
      </c>
      <c r="B66" s="19" t="str">
        <f>IFERROR(_xlfn.XLOOKUP(A66,'01_Компании'!$A$4:$A$103,'01_Компании'!$B$4:$B$103),"")</f>
        <v>StarUML</v>
      </c>
      <c r="C66" s="19" t="s">
        <v>573</v>
      </c>
      <c r="D66" s="19" t="s">
        <v>574</v>
      </c>
      <c r="E66" s="19" t="s">
        <v>683</v>
      </c>
      <c r="F66" s="19" t="s">
        <v>410</v>
      </c>
      <c r="G66" s="19">
        <v>3</v>
      </c>
      <c r="H66" s="20">
        <v>46295</v>
      </c>
      <c r="I66" s="19" t="s">
        <v>576</v>
      </c>
      <c r="J66" s="19">
        <v>4</v>
      </c>
      <c r="K66" s="19" t="s">
        <v>620</v>
      </c>
      <c r="L66" s="19" t="s">
        <v>578</v>
      </c>
    </row>
    <row r="67" spans="1:12" ht="27">
      <c r="A67" s="19" t="s">
        <v>87</v>
      </c>
      <c r="B67" s="19" t="str">
        <f>IFERROR(_xlfn.XLOOKUP(A67,'01_Компании'!$A$4:$A$103,'01_Компании'!$B$4:$B$103),"")</f>
        <v>StarUML</v>
      </c>
      <c r="C67" s="19" t="s">
        <v>596</v>
      </c>
      <c r="D67" s="19" t="s">
        <v>684</v>
      </c>
      <c r="E67" s="19" t="s">
        <v>685</v>
      </c>
      <c r="F67" s="19" t="s">
        <v>411</v>
      </c>
      <c r="G67" s="19">
        <v>2</v>
      </c>
      <c r="H67" s="20">
        <v>46295</v>
      </c>
      <c r="I67" s="19" t="s">
        <v>599</v>
      </c>
      <c r="J67" s="19">
        <v>4</v>
      </c>
      <c r="K67" s="19" t="s">
        <v>600</v>
      </c>
      <c r="L67" s="19" t="s">
        <v>601</v>
      </c>
    </row>
    <row r="68" spans="1:12" ht="40.5">
      <c r="A68" s="19" t="s">
        <v>87</v>
      </c>
      <c r="B68" s="19" t="str">
        <f>IFERROR(_xlfn.XLOOKUP(A68,'01_Компании'!$A$4:$A$103,'01_Компании'!$B$4:$B$103),"")</f>
        <v>StarUML</v>
      </c>
      <c r="C68" s="19" t="s">
        <v>602</v>
      </c>
      <c r="D68" s="19" t="s">
        <v>677</v>
      </c>
      <c r="E68" s="19" t="s">
        <v>686</v>
      </c>
      <c r="F68" s="19" t="s">
        <v>401</v>
      </c>
      <c r="G68" s="19">
        <v>2</v>
      </c>
      <c r="H68" s="20">
        <v>46295</v>
      </c>
      <c r="I68" s="19" t="s">
        <v>604</v>
      </c>
      <c r="J68" s="19">
        <v>3</v>
      </c>
      <c r="K68" s="19" t="s">
        <v>605</v>
      </c>
      <c r="L68" s="19" t="s">
        <v>606</v>
      </c>
    </row>
    <row r="69" spans="1:12" ht="54">
      <c r="A69" s="19" t="s">
        <v>88</v>
      </c>
      <c r="B69" s="19" t="str">
        <f>IFERROR(_xlfn.XLOOKUP(A69,'01_Компании'!$A$4:$A$103,'01_Компании'!$B$4:$B$103),"")</f>
        <v>Visual Paradigm</v>
      </c>
      <c r="C69" s="19" t="s">
        <v>553</v>
      </c>
      <c r="D69" s="19" t="s">
        <v>687</v>
      </c>
      <c r="E69" s="19" t="s">
        <v>688</v>
      </c>
      <c r="F69" s="19" t="s">
        <v>398</v>
      </c>
      <c r="G69" s="19">
        <v>4</v>
      </c>
      <c r="H69" s="20">
        <v>46295</v>
      </c>
      <c r="I69" s="19" t="s">
        <v>689</v>
      </c>
      <c r="J69" s="19">
        <v>4</v>
      </c>
      <c r="K69" s="19" t="s">
        <v>557</v>
      </c>
      <c r="L69" s="19" t="s">
        <v>558</v>
      </c>
    </row>
    <row r="70" spans="1:12" ht="40.5">
      <c r="A70" s="19" t="s">
        <v>88</v>
      </c>
      <c r="B70" s="19" t="str">
        <f>IFERROR(_xlfn.XLOOKUP(A70,'01_Компании'!$A$4:$A$103,'01_Компании'!$B$4:$B$103),"")</f>
        <v>Visual Paradigm</v>
      </c>
      <c r="C70" s="19" t="s">
        <v>559</v>
      </c>
      <c r="D70" s="19" t="s">
        <v>560</v>
      </c>
      <c r="E70" s="19" t="s">
        <v>690</v>
      </c>
      <c r="F70" s="19" t="s">
        <v>411</v>
      </c>
      <c r="G70" s="19">
        <v>3</v>
      </c>
      <c r="H70" s="20">
        <v>46295</v>
      </c>
      <c r="I70" s="19" t="s">
        <v>562</v>
      </c>
      <c r="J70" s="19">
        <v>3</v>
      </c>
      <c r="K70" s="19" t="s">
        <v>563</v>
      </c>
      <c r="L70" s="19" t="s">
        <v>564</v>
      </c>
    </row>
    <row r="71" spans="1:12" ht="40.5">
      <c r="A71" s="19" t="s">
        <v>88</v>
      </c>
      <c r="B71" s="19" t="str">
        <f>IFERROR(_xlfn.XLOOKUP(A71,'01_Компании'!$A$4:$A$103,'01_Компании'!$B$4:$B$103),"")</f>
        <v>Visual Paradigm</v>
      </c>
      <c r="C71" s="19" t="s">
        <v>565</v>
      </c>
      <c r="D71" s="19" t="s">
        <v>560</v>
      </c>
      <c r="E71" s="19" t="s">
        <v>691</v>
      </c>
      <c r="F71" s="19" t="s">
        <v>408</v>
      </c>
      <c r="G71" s="19">
        <v>3</v>
      </c>
      <c r="H71" s="20">
        <v>46295</v>
      </c>
      <c r="I71" s="19" t="s">
        <v>567</v>
      </c>
      <c r="J71" s="19">
        <v>3</v>
      </c>
      <c r="K71" s="19" t="s">
        <v>563</v>
      </c>
      <c r="L71" s="19" t="s">
        <v>568</v>
      </c>
    </row>
    <row r="72" spans="1:12" ht="40.5">
      <c r="A72" s="19" t="s">
        <v>88</v>
      </c>
      <c r="B72" s="19" t="str">
        <f>IFERROR(_xlfn.XLOOKUP(A72,'01_Компании'!$A$4:$A$103,'01_Компании'!$B$4:$B$103),"")</f>
        <v>Visual Paradigm</v>
      </c>
      <c r="C72" s="19" t="s">
        <v>569</v>
      </c>
      <c r="D72" s="19" t="s">
        <v>560</v>
      </c>
      <c r="E72" s="19" t="s">
        <v>692</v>
      </c>
      <c r="F72" s="19" t="s">
        <v>410</v>
      </c>
      <c r="G72" s="19">
        <v>3</v>
      </c>
      <c r="H72" s="20">
        <v>46295</v>
      </c>
      <c r="I72" s="19" t="s">
        <v>571</v>
      </c>
      <c r="J72" s="19">
        <v>3</v>
      </c>
      <c r="K72" s="19" t="s">
        <v>563</v>
      </c>
      <c r="L72" s="19" t="s">
        <v>572</v>
      </c>
    </row>
    <row r="73" spans="1:12" ht="27">
      <c r="A73" s="19" t="s">
        <v>88</v>
      </c>
      <c r="B73" s="19" t="str">
        <f>IFERROR(_xlfn.XLOOKUP(A73,'01_Компании'!$A$4:$A$103,'01_Компании'!$B$4:$B$103),"")</f>
        <v>Visual Paradigm</v>
      </c>
      <c r="C73" s="19" t="s">
        <v>573</v>
      </c>
      <c r="D73" s="19" t="s">
        <v>574</v>
      </c>
      <c r="E73" s="19" t="s">
        <v>693</v>
      </c>
      <c r="F73" s="19" t="s">
        <v>410</v>
      </c>
      <c r="G73" s="19">
        <v>3</v>
      </c>
      <c r="H73" s="20">
        <v>46295</v>
      </c>
      <c r="I73" s="19" t="s">
        <v>576</v>
      </c>
      <c r="J73" s="19">
        <v>4</v>
      </c>
      <c r="K73" s="19" t="s">
        <v>620</v>
      </c>
      <c r="L73" s="19" t="s">
        <v>578</v>
      </c>
    </row>
    <row r="74" spans="1:12" ht="54">
      <c r="A74" s="19" t="s">
        <v>88</v>
      </c>
      <c r="B74" s="19" t="str">
        <f>IFERROR(_xlfn.XLOOKUP(A74,'01_Компании'!$A$4:$A$103,'01_Компании'!$B$4:$B$103),"")</f>
        <v>Visual Paradigm</v>
      </c>
      <c r="C74" s="19" t="s">
        <v>579</v>
      </c>
      <c r="D74" s="19" t="s">
        <v>694</v>
      </c>
      <c r="E74" s="19" t="s">
        <v>695</v>
      </c>
      <c r="F74" s="19" t="s">
        <v>404</v>
      </c>
      <c r="G74" s="19">
        <v>5</v>
      </c>
      <c r="H74" s="20">
        <v>46295</v>
      </c>
      <c r="I74" s="19" t="s">
        <v>581</v>
      </c>
      <c r="J74" s="19">
        <v>4</v>
      </c>
      <c r="K74" s="19" t="s">
        <v>582</v>
      </c>
      <c r="L74" s="19" t="s">
        <v>583</v>
      </c>
    </row>
    <row r="75" spans="1:12" ht="40.5">
      <c r="A75" s="19" t="s">
        <v>88</v>
      </c>
      <c r="B75" s="19" t="str">
        <f>IFERROR(_xlfn.XLOOKUP(A75,'01_Компании'!$A$4:$A$103,'01_Компании'!$B$4:$B$103),"")</f>
        <v>Visual Paradigm</v>
      </c>
      <c r="C75" s="19" t="s">
        <v>584</v>
      </c>
      <c r="D75" s="19" t="s">
        <v>696</v>
      </c>
      <c r="E75" s="19" t="s">
        <v>697</v>
      </c>
      <c r="F75" s="19" t="s">
        <v>411</v>
      </c>
      <c r="G75" s="19">
        <v>3</v>
      </c>
      <c r="H75" s="20">
        <v>46295</v>
      </c>
      <c r="I75" s="19" t="s">
        <v>587</v>
      </c>
      <c r="J75" s="19">
        <v>3</v>
      </c>
      <c r="K75" s="19" t="s">
        <v>588</v>
      </c>
      <c r="L75" s="19" t="s">
        <v>589</v>
      </c>
    </row>
    <row r="76" spans="1:12" ht="27">
      <c r="A76" s="19" t="s">
        <v>88</v>
      </c>
      <c r="B76" s="19" t="str">
        <f>IFERROR(_xlfn.XLOOKUP(A76,'01_Компании'!$A$4:$A$103,'01_Компании'!$B$4:$B$103),"")</f>
        <v>Visual Paradigm</v>
      </c>
      <c r="C76" s="19" t="s">
        <v>596</v>
      </c>
      <c r="D76" s="19" t="s">
        <v>698</v>
      </c>
      <c r="E76" s="19" t="s">
        <v>699</v>
      </c>
      <c r="F76" s="19" t="s">
        <v>411</v>
      </c>
      <c r="G76" s="19">
        <v>2</v>
      </c>
      <c r="H76" s="20">
        <v>46295</v>
      </c>
      <c r="I76" s="19" t="s">
        <v>599</v>
      </c>
      <c r="J76" s="19">
        <v>4</v>
      </c>
      <c r="K76" s="19" t="s">
        <v>600</v>
      </c>
      <c r="L76" s="19" t="s">
        <v>601</v>
      </c>
    </row>
    <row r="77" spans="1:12" ht="40.5">
      <c r="A77" s="19" t="s">
        <v>88</v>
      </c>
      <c r="B77" s="19" t="str">
        <f>IFERROR(_xlfn.XLOOKUP(A77,'01_Компании'!$A$4:$A$103,'01_Компании'!$B$4:$B$103),"")</f>
        <v>Visual Paradigm</v>
      </c>
      <c r="C77" s="19" t="s">
        <v>602</v>
      </c>
      <c r="D77" s="19" t="s">
        <v>687</v>
      </c>
      <c r="E77" s="19" t="s">
        <v>700</v>
      </c>
      <c r="F77" s="19" t="s">
        <v>401</v>
      </c>
      <c r="G77" s="19">
        <v>2</v>
      </c>
      <c r="H77" s="20">
        <v>46295</v>
      </c>
      <c r="I77" s="19" t="s">
        <v>604</v>
      </c>
      <c r="J77" s="19">
        <v>3</v>
      </c>
      <c r="K77" s="19" t="s">
        <v>605</v>
      </c>
      <c r="L77" s="19" t="s">
        <v>606</v>
      </c>
    </row>
    <row r="78" spans="1:12" ht="40.5">
      <c r="A78" s="19" t="s">
        <v>89</v>
      </c>
      <c r="B78" s="19" t="str">
        <f>IFERROR(_xlfn.XLOOKUP(A78,'01_Компании'!$A$4:$A$103,'01_Компании'!$B$4:$B$103),"")</f>
        <v>Sparx Systems (Enterprise Architect)</v>
      </c>
      <c r="C78" s="19" t="s">
        <v>559</v>
      </c>
      <c r="D78" s="19" t="s">
        <v>560</v>
      </c>
      <c r="E78" s="19" t="s">
        <v>701</v>
      </c>
      <c r="F78" s="19" t="s">
        <v>411</v>
      </c>
      <c r="G78" s="19">
        <v>3</v>
      </c>
      <c r="H78" s="20">
        <v>46295</v>
      </c>
      <c r="I78" s="19" t="s">
        <v>562</v>
      </c>
      <c r="J78" s="19">
        <v>3</v>
      </c>
      <c r="K78" s="19" t="s">
        <v>563</v>
      </c>
      <c r="L78" s="19" t="s">
        <v>564</v>
      </c>
    </row>
    <row r="79" spans="1:12" ht="40.5">
      <c r="A79" s="19" t="s">
        <v>89</v>
      </c>
      <c r="B79" s="19" t="str">
        <f>IFERROR(_xlfn.XLOOKUP(A79,'01_Компании'!$A$4:$A$103,'01_Компании'!$B$4:$B$103),"")</f>
        <v>Sparx Systems (Enterprise Architect)</v>
      </c>
      <c r="C79" s="19" t="s">
        <v>565</v>
      </c>
      <c r="D79" s="19" t="s">
        <v>560</v>
      </c>
      <c r="E79" s="19" t="s">
        <v>702</v>
      </c>
      <c r="F79" s="19" t="s">
        <v>408</v>
      </c>
      <c r="G79" s="19">
        <v>3</v>
      </c>
      <c r="H79" s="20">
        <v>46295</v>
      </c>
      <c r="I79" s="19" t="s">
        <v>567</v>
      </c>
      <c r="J79" s="19">
        <v>3</v>
      </c>
      <c r="K79" s="19" t="s">
        <v>563</v>
      </c>
      <c r="L79" s="19" t="s">
        <v>568</v>
      </c>
    </row>
    <row r="80" spans="1:12" ht="40.5">
      <c r="A80" s="19" t="s">
        <v>89</v>
      </c>
      <c r="B80" s="19" t="str">
        <f>IFERROR(_xlfn.XLOOKUP(A80,'01_Компании'!$A$4:$A$103,'01_Компании'!$B$4:$B$103),"")</f>
        <v>Sparx Systems (Enterprise Architect)</v>
      </c>
      <c r="C80" s="19" t="s">
        <v>569</v>
      </c>
      <c r="D80" s="19" t="s">
        <v>560</v>
      </c>
      <c r="E80" s="19" t="s">
        <v>703</v>
      </c>
      <c r="F80" s="19" t="s">
        <v>410</v>
      </c>
      <c r="G80" s="19">
        <v>3</v>
      </c>
      <c r="H80" s="20">
        <v>46295</v>
      </c>
      <c r="I80" s="19" t="s">
        <v>571</v>
      </c>
      <c r="J80" s="19">
        <v>3</v>
      </c>
      <c r="K80" s="19" t="s">
        <v>563</v>
      </c>
      <c r="L80" s="19" t="s">
        <v>572</v>
      </c>
    </row>
    <row r="81" spans="1:12" ht="27">
      <c r="A81" s="19" t="s">
        <v>89</v>
      </c>
      <c r="B81" s="19" t="str">
        <f>IFERROR(_xlfn.XLOOKUP(A81,'01_Компании'!$A$4:$A$103,'01_Компании'!$B$4:$B$103),"")</f>
        <v>Sparx Systems (Enterprise Architect)</v>
      </c>
      <c r="C81" s="19" t="s">
        <v>573</v>
      </c>
      <c r="D81" s="19" t="s">
        <v>574</v>
      </c>
      <c r="E81" s="19" t="s">
        <v>704</v>
      </c>
      <c r="F81" s="19" t="s">
        <v>410</v>
      </c>
      <c r="G81" s="19">
        <v>3</v>
      </c>
      <c r="H81" s="20">
        <v>46295</v>
      </c>
      <c r="I81" s="19" t="s">
        <v>576</v>
      </c>
      <c r="J81" s="19">
        <v>4</v>
      </c>
      <c r="K81" s="19" t="s">
        <v>620</v>
      </c>
      <c r="L81" s="19" t="s">
        <v>578</v>
      </c>
    </row>
    <row r="82" spans="1:12" ht="40.5">
      <c r="A82" s="19" t="s">
        <v>89</v>
      </c>
      <c r="B82" s="19" t="str">
        <f>IFERROR(_xlfn.XLOOKUP(A82,'01_Компании'!$A$4:$A$103,'01_Компании'!$B$4:$B$103),"")</f>
        <v>Sparx Systems (Enterprise Architect)</v>
      </c>
      <c r="C82" s="19" t="s">
        <v>584</v>
      </c>
      <c r="D82" s="19" t="s">
        <v>705</v>
      </c>
      <c r="E82" s="19" t="s">
        <v>706</v>
      </c>
      <c r="F82" s="19" t="s">
        <v>411</v>
      </c>
      <c r="G82" s="19">
        <v>3</v>
      </c>
      <c r="H82" s="20">
        <v>46295</v>
      </c>
      <c r="I82" s="19" t="s">
        <v>587</v>
      </c>
      <c r="J82" s="19">
        <v>3</v>
      </c>
      <c r="K82" s="19" t="s">
        <v>588</v>
      </c>
      <c r="L82" s="19" t="s">
        <v>589</v>
      </c>
    </row>
    <row r="83" spans="1:12" ht="27">
      <c r="A83" s="19" t="s">
        <v>89</v>
      </c>
      <c r="B83" s="19" t="str">
        <f>IFERROR(_xlfn.XLOOKUP(A83,'01_Компании'!$A$4:$A$103,'01_Компании'!$B$4:$B$103),"")</f>
        <v>Sparx Systems (Enterprise Architect)</v>
      </c>
      <c r="C83" s="19" t="s">
        <v>596</v>
      </c>
      <c r="D83" s="19" t="s">
        <v>707</v>
      </c>
      <c r="E83" s="19" t="s">
        <v>708</v>
      </c>
      <c r="F83" s="19" t="s">
        <v>411</v>
      </c>
      <c r="G83" s="19">
        <v>2</v>
      </c>
      <c r="H83" s="20">
        <v>46295</v>
      </c>
      <c r="I83" s="19" t="s">
        <v>599</v>
      </c>
      <c r="J83" s="19">
        <v>4</v>
      </c>
      <c r="K83" s="19" t="s">
        <v>600</v>
      </c>
      <c r="L83" s="19" t="s">
        <v>601</v>
      </c>
    </row>
    <row r="84" spans="1:12" ht="27">
      <c r="A84" s="19" t="s">
        <v>89</v>
      </c>
      <c r="B84" s="19" t="str">
        <f>IFERROR(_xlfn.XLOOKUP(A84,'01_Компании'!$A$4:$A$103,'01_Компании'!$B$4:$B$103),"")</f>
        <v>Sparx Systems (Enterprise Architect)</v>
      </c>
      <c r="C84" s="19" t="s">
        <v>709</v>
      </c>
      <c r="D84" s="19" t="s">
        <v>710</v>
      </c>
      <c r="E84" s="19" t="s">
        <v>711</v>
      </c>
      <c r="F84" s="19" t="s">
        <v>411</v>
      </c>
      <c r="G84" s="19">
        <v>1</v>
      </c>
      <c r="H84" s="20">
        <v>46295</v>
      </c>
      <c r="I84" s="19" t="s">
        <v>712</v>
      </c>
      <c r="J84" s="19">
        <v>2</v>
      </c>
      <c r="K84" s="19" t="s">
        <v>605</v>
      </c>
      <c r="L84" s="19" t="s">
        <v>713</v>
      </c>
    </row>
    <row r="85" spans="1:12" ht="54">
      <c r="A85" s="19" t="s">
        <v>90</v>
      </c>
      <c r="B85" s="19" t="str">
        <f>IFERROR(_xlfn.XLOOKUP(A85,'01_Компании'!$A$4:$A$103,'01_Компании'!$B$4:$B$103),"")</f>
        <v>bpmn.io</v>
      </c>
      <c r="C85" s="19" t="s">
        <v>553</v>
      </c>
      <c r="D85" s="19" t="s">
        <v>714</v>
      </c>
      <c r="E85" s="19" t="s">
        <v>715</v>
      </c>
      <c r="F85" s="19" t="s">
        <v>398</v>
      </c>
      <c r="G85" s="19">
        <v>4</v>
      </c>
      <c r="H85" s="20">
        <v>46295</v>
      </c>
      <c r="I85" s="19" t="s">
        <v>716</v>
      </c>
      <c r="J85" s="19">
        <v>4</v>
      </c>
      <c r="K85" s="19" t="s">
        <v>557</v>
      </c>
      <c r="L85" s="19" t="s">
        <v>558</v>
      </c>
    </row>
    <row r="86" spans="1:12" ht="40.5">
      <c r="A86" s="19" t="s">
        <v>90</v>
      </c>
      <c r="B86" s="19" t="str">
        <f>IFERROR(_xlfn.XLOOKUP(A86,'01_Компании'!$A$4:$A$103,'01_Компании'!$B$4:$B$103),"")</f>
        <v>bpmn.io</v>
      </c>
      <c r="C86" s="19" t="s">
        <v>559</v>
      </c>
      <c r="D86" s="19" t="s">
        <v>560</v>
      </c>
      <c r="E86" s="19" t="s">
        <v>717</v>
      </c>
      <c r="F86" s="19" t="s">
        <v>411</v>
      </c>
      <c r="G86" s="19">
        <v>3</v>
      </c>
      <c r="H86" s="20">
        <v>46295</v>
      </c>
      <c r="I86" s="19" t="s">
        <v>562</v>
      </c>
      <c r="J86" s="19">
        <v>3</v>
      </c>
      <c r="K86" s="19" t="s">
        <v>563</v>
      </c>
      <c r="L86" s="19" t="s">
        <v>564</v>
      </c>
    </row>
    <row r="87" spans="1:12" ht="40.5">
      <c r="A87" s="19" t="s">
        <v>90</v>
      </c>
      <c r="B87" s="19" t="str">
        <f>IFERROR(_xlfn.XLOOKUP(A87,'01_Компании'!$A$4:$A$103,'01_Компании'!$B$4:$B$103),"")</f>
        <v>bpmn.io</v>
      </c>
      <c r="C87" s="19" t="s">
        <v>565</v>
      </c>
      <c r="D87" s="19" t="s">
        <v>560</v>
      </c>
      <c r="E87" s="19" t="s">
        <v>718</v>
      </c>
      <c r="F87" s="19" t="s">
        <v>408</v>
      </c>
      <c r="G87" s="19">
        <v>3</v>
      </c>
      <c r="H87" s="20">
        <v>46295</v>
      </c>
      <c r="I87" s="19" t="s">
        <v>567</v>
      </c>
      <c r="J87" s="19">
        <v>3</v>
      </c>
      <c r="K87" s="19" t="s">
        <v>563</v>
      </c>
      <c r="L87" s="19" t="s">
        <v>568</v>
      </c>
    </row>
    <row r="88" spans="1:12" ht="40.5">
      <c r="A88" s="19" t="s">
        <v>90</v>
      </c>
      <c r="B88" s="19" t="str">
        <f>IFERROR(_xlfn.XLOOKUP(A88,'01_Компании'!$A$4:$A$103,'01_Компании'!$B$4:$B$103),"")</f>
        <v>bpmn.io</v>
      </c>
      <c r="C88" s="19" t="s">
        <v>569</v>
      </c>
      <c r="D88" s="19" t="s">
        <v>560</v>
      </c>
      <c r="E88" s="19" t="s">
        <v>719</v>
      </c>
      <c r="F88" s="19" t="s">
        <v>410</v>
      </c>
      <c r="G88" s="19">
        <v>3</v>
      </c>
      <c r="H88" s="20">
        <v>46295</v>
      </c>
      <c r="I88" s="19" t="s">
        <v>571</v>
      </c>
      <c r="J88" s="19">
        <v>3</v>
      </c>
      <c r="K88" s="19" t="s">
        <v>563</v>
      </c>
      <c r="L88" s="19" t="s">
        <v>572</v>
      </c>
    </row>
    <row r="89" spans="1:12" ht="27">
      <c r="A89" s="19" t="s">
        <v>90</v>
      </c>
      <c r="B89" s="19" t="str">
        <f>IFERROR(_xlfn.XLOOKUP(A89,'01_Компании'!$A$4:$A$103,'01_Компании'!$B$4:$B$103),"")</f>
        <v>bpmn.io</v>
      </c>
      <c r="C89" s="19" t="s">
        <v>573</v>
      </c>
      <c r="D89" s="19" t="s">
        <v>574</v>
      </c>
      <c r="E89" s="19" t="s">
        <v>720</v>
      </c>
      <c r="F89" s="19" t="s">
        <v>410</v>
      </c>
      <c r="G89" s="19">
        <v>3</v>
      </c>
      <c r="H89" s="20">
        <v>46295</v>
      </c>
      <c r="I89" s="19" t="s">
        <v>576</v>
      </c>
      <c r="J89" s="19">
        <v>4</v>
      </c>
      <c r="K89" s="19" t="s">
        <v>577</v>
      </c>
      <c r="L89" s="19" t="s">
        <v>578</v>
      </c>
    </row>
    <row r="90" spans="1:12" ht="27">
      <c r="A90" s="19" t="s">
        <v>90</v>
      </c>
      <c r="B90" s="19" t="str">
        <f>IFERROR(_xlfn.XLOOKUP(A90,'01_Компании'!$A$4:$A$103,'01_Компании'!$B$4:$B$103),"")</f>
        <v>bpmn.io</v>
      </c>
      <c r="C90" s="19" t="s">
        <v>590</v>
      </c>
      <c r="D90" s="19" t="s">
        <v>721</v>
      </c>
      <c r="E90" s="19" t="s">
        <v>722</v>
      </c>
      <c r="F90" s="19" t="s">
        <v>411</v>
      </c>
      <c r="G90" s="19">
        <v>3</v>
      </c>
      <c r="H90" s="20">
        <v>46295</v>
      </c>
      <c r="I90" s="19" t="s">
        <v>593</v>
      </c>
      <c r="J90" s="19">
        <v>5</v>
      </c>
      <c r="K90" s="19" t="s">
        <v>594</v>
      </c>
      <c r="L90" s="19" t="s">
        <v>595</v>
      </c>
    </row>
    <row r="91" spans="1:12" ht="27">
      <c r="A91" s="19" t="s">
        <v>90</v>
      </c>
      <c r="B91" s="19" t="str">
        <f>IFERROR(_xlfn.XLOOKUP(A91,'01_Компании'!$A$4:$A$103,'01_Компании'!$B$4:$B$103),"")</f>
        <v>bpmn.io</v>
      </c>
      <c r="C91" s="19" t="s">
        <v>596</v>
      </c>
      <c r="D91" s="19" t="s">
        <v>723</v>
      </c>
      <c r="E91" s="19" t="s">
        <v>724</v>
      </c>
      <c r="F91" s="19" t="s">
        <v>411</v>
      </c>
      <c r="G91" s="19">
        <v>2</v>
      </c>
      <c r="H91" s="20">
        <v>46295</v>
      </c>
      <c r="I91" s="19" t="s">
        <v>599</v>
      </c>
      <c r="J91" s="19">
        <v>4</v>
      </c>
      <c r="K91" s="19" t="s">
        <v>600</v>
      </c>
      <c r="L91" s="19" t="s">
        <v>601</v>
      </c>
    </row>
    <row r="92" spans="1:12" ht="40.5">
      <c r="A92" s="19" t="s">
        <v>90</v>
      </c>
      <c r="B92" s="19" t="str">
        <f>IFERROR(_xlfn.XLOOKUP(A92,'01_Компании'!$A$4:$A$103,'01_Компании'!$B$4:$B$103),"")</f>
        <v>bpmn.io</v>
      </c>
      <c r="C92" s="19" t="s">
        <v>602</v>
      </c>
      <c r="D92" s="19" t="s">
        <v>714</v>
      </c>
      <c r="E92" s="19" t="s">
        <v>725</v>
      </c>
      <c r="F92" s="19" t="s">
        <v>401</v>
      </c>
      <c r="G92" s="19">
        <v>2</v>
      </c>
      <c r="H92" s="20">
        <v>46295</v>
      </c>
      <c r="I92" s="19" t="s">
        <v>604</v>
      </c>
      <c r="J92" s="19">
        <v>3</v>
      </c>
      <c r="K92" s="19" t="s">
        <v>605</v>
      </c>
      <c r="L92" s="19" t="s">
        <v>606</v>
      </c>
    </row>
    <row r="93" spans="1:12" ht="40.5">
      <c r="A93" s="19" t="s">
        <v>90</v>
      </c>
      <c r="B93" s="19" t="str">
        <f>IFERROR(_xlfn.XLOOKUP(A93,'01_Компании'!$A$4:$A$103,'01_Компании'!$B$4:$B$103),"")</f>
        <v>bpmn.io</v>
      </c>
      <c r="C93" s="19" t="s">
        <v>607</v>
      </c>
      <c r="D93" s="19" t="s">
        <v>608</v>
      </c>
      <c r="E93" s="19" t="s">
        <v>609</v>
      </c>
      <c r="F93" s="19" t="s">
        <v>412</v>
      </c>
      <c r="G93" s="19">
        <v>2</v>
      </c>
      <c r="H93" s="20">
        <v>46295</v>
      </c>
      <c r="I93" s="19" t="s">
        <v>610</v>
      </c>
      <c r="J93" s="19">
        <v>3</v>
      </c>
      <c r="K93" s="19" t="s">
        <v>611</v>
      </c>
      <c r="L93" s="19" t="s">
        <v>612</v>
      </c>
    </row>
    <row r="94" spans="1:12" ht="67.5">
      <c r="A94" s="19" t="s">
        <v>91</v>
      </c>
      <c r="B94" s="19" t="str">
        <f>IFERROR(_xlfn.XLOOKUP(A94,'01_Компании'!$A$4:$A$103,'01_Компании'!$B$4:$B$103),"")</f>
        <v>Camunda (Modeler)</v>
      </c>
      <c r="C94" s="19" t="s">
        <v>553</v>
      </c>
      <c r="D94" s="19" t="s">
        <v>726</v>
      </c>
      <c r="E94" s="19" t="s">
        <v>727</v>
      </c>
      <c r="F94" s="19" t="s">
        <v>398</v>
      </c>
      <c r="G94" s="19">
        <v>4</v>
      </c>
      <c r="H94" s="20">
        <v>46295</v>
      </c>
      <c r="I94" s="19" t="s">
        <v>728</v>
      </c>
      <c r="J94" s="19">
        <v>4</v>
      </c>
      <c r="K94" s="19" t="s">
        <v>557</v>
      </c>
      <c r="L94" s="19" t="s">
        <v>558</v>
      </c>
    </row>
    <row r="95" spans="1:12" ht="27">
      <c r="A95" s="19" t="s">
        <v>91</v>
      </c>
      <c r="B95" s="19" t="str">
        <f>IFERROR(_xlfn.XLOOKUP(A95,'01_Компании'!$A$4:$A$103,'01_Компании'!$B$4:$B$103),"")</f>
        <v>Camunda (Modeler)</v>
      </c>
      <c r="C95" s="19" t="s">
        <v>573</v>
      </c>
      <c r="D95" s="19" t="s">
        <v>574</v>
      </c>
      <c r="E95" s="19" t="s">
        <v>729</v>
      </c>
      <c r="F95" s="19" t="s">
        <v>410</v>
      </c>
      <c r="G95" s="19">
        <v>3</v>
      </c>
      <c r="H95" s="20">
        <v>46295</v>
      </c>
      <c r="I95" s="19" t="s">
        <v>576</v>
      </c>
      <c r="J95" s="19">
        <v>4</v>
      </c>
      <c r="K95" s="19" t="s">
        <v>577</v>
      </c>
      <c r="L95" s="19" t="s">
        <v>578</v>
      </c>
    </row>
    <row r="96" spans="1:12" ht="40.5">
      <c r="A96" s="19" t="s">
        <v>91</v>
      </c>
      <c r="B96" s="19" t="str">
        <f>IFERROR(_xlfn.XLOOKUP(A96,'01_Компании'!$A$4:$A$103,'01_Компании'!$B$4:$B$103),"")</f>
        <v>Camunda (Modeler)</v>
      </c>
      <c r="C96" s="19" t="s">
        <v>584</v>
      </c>
      <c r="D96" s="19" t="s">
        <v>730</v>
      </c>
      <c r="E96" s="19" t="s">
        <v>731</v>
      </c>
      <c r="F96" s="19" t="s">
        <v>411</v>
      </c>
      <c r="G96" s="19">
        <v>3</v>
      </c>
      <c r="H96" s="20">
        <v>46295</v>
      </c>
      <c r="I96" s="19" t="s">
        <v>587</v>
      </c>
      <c r="J96" s="19">
        <v>3</v>
      </c>
      <c r="K96" s="19" t="s">
        <v>588</v>
      </c>
      <c r="L96" s="19" t="s">
        <v>589</v>
      </c>
    </row>
    <row r="97" spans="1:12" ht="27">
      <c r="A97" s="19" t="s">
        <v>91</v>
      </c>
      <c r="B97" s="19" t="str">
        <f>IFERROR(_xlfn.XLOOKUP(A97,'01_Компании'!$A$4:$A$103,'01_Компании'!$B$4:$B$103),"")</f>
        <v>Camunda (Modeler)</v>
      </c>
      <c r="C97" s="19" t="s">
        <v>590</v>
      </c>
      <c r="D97" s="19" t="s">
        <v>732</v>
      </c>
      <c r="E97" s="19" t="s">
        <v>733</v>
      </c>
      <c r="F97" s="19" t="s">
        <v>411</v>
      </c>
      <c r="G97" s="19">
        <v>3</v>
      </c>
      <c r="H97" s="20">
        <v>46295</v>
      </c>
      <c r="I97" s="19" t="s">
        <v>593</v>
      </c>
      <c r="J97" s="19">
        <v>5</v>
      </c>
      <c r="K97" s="19" t="s">
        <v>594</v>
      </c>
      <c r="L97" s="19" t="s">
        <v>595</v>
      </c>
    </row>
    <row r="98" spans="1:12" ht="27">
      <c r="A98" s="19" t="s">
        <v>91</v>
      </c>
      <c r="B98" s="19" t="str">
        <f>IFERROR(_xlfn.XLOOKUP(A98,'01_Компании'!$A$4:$A$103,'01_Компании'!$B$4:$B$103),"")</f>
        <v>Camunda (Modeler)</v>
      </c>
      <c r="C98" s="19" t="s">
        <v>596</v>
      </c>
      <c r="D98" s="19" t="s">
        <v>734</v>
      </c>
      <c r="E98" s="19" t="s">
        <v>735</v>
      </c>
      <c r="F98" s="19" t="s">
        <v>411</v>
      </c>
      <c r="G98" s="19">
        <v>2</v>
      </c>
      <c r="H98" s="20">
        <v>46295</v>
      </c>
      <c r="I98" s="19" t="s">
        <v>599</v>
      </c>
      <c r="J98" s="19">
        <v>4</v>
      </c>
      <c r="K98" s="19" t="s">
        <v>600</v>
      </c>
      <c r="L98" s="19" t="s">
        <v>601</v>
      </c>
    </row>
    <row r="99" spans="1:12" ht="40.5">
      <c r="A99" s="19" t="s">
        <v>91</v>
      </c>
      <c r="B99" s="19" t="str">
        <f>IFERROR(_xlfn.XLOOKUP(A99,'01_Компании'!$A$4:$A$103,'01_Компании'!$B$4:$B$103),"")</f>
        <v>Camunda (Modeler)</v>
      </c>
      <c r="C99" s="19" t="s">
        <v>602</v>
      </c>
      <c r="D99" s="19" t="s">
        <v>726</v>
      </c>
      <c r="E99" s="19" t="s">
        <v>736</v>
      </c>
      <c r="F99" s="19" t="s">
        <v>401</v>
      </c>
      <c r="G99" s="19">
        <v>2</v>
      </c>
      <c r="H99" s="20">
        <v>46295</v>
      </c>
      <c r="I99" s="19" t="s">
        <v>604</v>
      </c>
      <c r="J99" s="19">
        <v>3</v>
      </c>
      <c r="K99" s="19" t="s">
        <v>605</v>
      </c>
      <c r="L99" s="19" t="s">
        <v>606</v>
      </c>
    </row>
    <row r="100" spans="1:12" ht="40.5">
      <c r="A100" s="19" t="s">
        <v>91</v>
      </c>
      <c r="B100" s="19" t="str">
        <f>IFERROR(_xlfn.XLOOKUP(A100,'01_Компании'!$A$4:$A$103,'01_Компании'!$B$4:$B$103),"")</f>
        <v>Camunda (Modeler)</v>
      </c>
      <c r="C100" s="19" t="s">
        <v>607</v>
      </c>
      <c r="D100" s="19" t="s">
        <v>608</v>
      </c>
      <c r="E100" s="19" t="s">
        <v>609</v>
      </c>
      <c r="F100" s="19" t="s">
        <v>412</v>
      </c>
      <c r="G100" s="19">
        <v>2</v>
      </c>
      <c r="H100" s="20">
        <v>46295</v>
      </c>
      <c r="I100" s="19" t="s">
        <v>610</v>
      </c>
      <c r="J100" s="19">
        <v>3</v>
      </c>
      <c r="K100" s="19" t="s">
        <v>611</v>
      </c>
      <c r="L100" s="19" t="s">
        <v>612</v>
      </c>
    </row>
    <row r="101" spans="1:12" ht="54">
      <c r="A101" s="19" t="s">
        <v>92</v>
      </c>
      <c r="B101" s="19" t="str">
        <f>IFERROR(_xlfn.XLOOKUP(A101,'01_Компании'!$A$4:$A$103,'01_Компании'!$B$4:$B$103),"")</f>
        <v>Storm (StormBPMN)</v>
      </c>
      <c r="C101" s="19" t="s">
        <v>553</v>
      </c>
      <c r="D101" s="19" t="s">
        <v>737</v>
      </c>
      <c r="E101" s="19" t="s">
        <v>738</v>
      </c>
      <c r="F101" s="19" t="s">
        <v>398</v>
      </c>
      <c r="G101" s="19">
        <v>4</v>
      </c>
      <c r="H101" s="20">
        <v>46295</v>
      </c>
      <c r="I101" s="19" t="s">
        <v>739</v>
      </c>
      <c r="J101" s="19">
        <v>4</v>
      </c>
      <c r="K101" s="19" t="s">
        <v>557</v>
      </c>
      <c r="L101" s="19" t="s">
        <v>558</v>
      </c>
    </row>
    <row r="102" spans="1:12" ht="40.5">
      <c r="A102" s="19" t="s">
        <v>92</v>
      </c>
      <c r="B102" s="19" t="str">
        <f>IFERROR(_xlfn.XLOOKUP(A102,'01_Компании'!$A$4:$A$103,'01_Компании'!$B$4:$B$103),"")</f>
        <v>Storm (StormBPMN)</v>
      </c>
      <c r="C102" s="19" t="s">
        <v>559</v>
      </c>
      <c r="D102" s="19" t="s">
        <v>560</v>
      </c>
      <c r="E102" s="19" t="s">
        <v>740</v>
      </c>
      <c r="F102" s="19" t="s">
        <v>411</v>
      </c>
      <c r="G102" s="19">
        <v>3</v>
      </c>
      <c r="H102" s="20">
        <v>46295</v>
      </c>
      <c r="I102" s="19" t="s">
        <v>562</v>
      </c>
      <c r="J102" s="19">
        <v>3</v>
      </c>
      <c r="K102" s="19" t="s">
        <v>563</v>
      </c>
      <c r="L102" s="19" t="s">
        <v>564</v>
      </c>
    </row>
    <row r="103" spans="1:12" ht="40.5">
      <c r="A103" s="19" t="s">
        <v>92</v>
      </c>
      <c r="B103" s="19" t="str">
        <f>IFERROR(_xlfn.XLOOKUP(A103,'01_Компании'!$A$4:$A$103,'01_Компании'!$B$4:$B$103),"")</f>
        <v>Storm (StormBPMN)</v>
      </c>
      <c r="C103" s="19" t="s">
        <v>565</v>
      </c>
      <c r="D103" s="19" t="s">
        <v>560</v>
      </c>
      <c r="E103" s="19" t="s">
        <v>741</v>
      </c>
      <c r="F103" s="19" t="s">
        <v>408</v>
      </c>
      <c r="G103" s="19">
        <v>3</v>
      </c>
      <c r="H103" s="20">
        <v>46295</v>
      </c>
      <c r="I103" s="19" t="s">
        <v>567</v>
      </c>
      <c r="J103" s="19">
        <v>3</v>
      </c>
      <c r="K103" s="19" t="s">
        <v>563</v>
      </c>
      <c r="L103" s="19" t="s">
        <v>568</v>
      </c>
    </row>
    <row r="104" spans="1:12" ht="40.5">
      <c r="A104" s="19" t="s">
        <v>92</v>
      </c>
      <c r="B104" s="19" t="str">
        <f>IFERROR(_xlfn.XLOOKUP(A104,'01_Компании'!$A$4:$A$103,'01_Компании'!$B$4:$B$103),"")</f>
        <v>Storm (StormBPMN)</v>
      </c>
      <c r="C104" s="19" t="s">
        <v>569</v>
      </c>
      <c r="D104" s="19" t="s">
        <v>560</v>
      </c>
      <c r="E104" s="19" t="s">
        <v>742</v>
      </c>
      <c r="F104" s="19" t="s">
        <v>410</v>
      </c>
      <c r="G104" s="19">
        <v>3</v>
      </c>
      <c r="H104" s="20">
        <v>46295</v>
      </c>
      <c r="I104" s="19" t="s">
        <v>571</v>
      </c>
      <c r="J104" s="19">
        <v>3</v>
      </c>
      <c r="K104" s="19" t="s">
        <v>563</v>
      </c>
      <c r="L104" s="19" t="s">
        <v>572</v>
      </c>
    </row>
    <row r="105" spans="1:12" ht="27">
      <c r="A105" s="19" t="s">
        <v>92</v>
      </c>
      <c r="B105" s="19" t="str">
        <f>IFERROR(_xlfn.XLOOKUP(A105,'01_Компании'!$A$4:$A$103,'01_Компании'!$B$4:$B$103),"")</f>
        <v>Storm (StormBPMN)</v>
      </c>
      <c r="C105" s="19" t="s">
        <v>573</v>
      </c>
      <c r="D105" s="19" t="s">
        <v>574</v>
      </c>
      <c r="E105" s="19" t="s">
        <v>743</v>
      </c>
      <c r="F105" s="19" t="s">
        <v>410</v>
      </c>
      <c r="G105" s="19">
        <v>3</v>
      </c>
      <c r="H105" s="20">
        <v>46295</v>
      </c>
      <c r="I105" s="19" t="s">
        <v>576</v>
      </c>
      <c r="J105" s="19">
        <v>4</v>
      </c>
      <c r="K105" s="19" t="s">
        <v>577</v>
      </c>
      <c r="L105" s="19" t="s">
        <v>578</v>
      </c>
    </row>
    <row r="106" spans="1:12" ht="27">
      <c r="A106" s="19" t="s">
        <v>92</v>
      </c>
      <c r="B106" s="19" t="str">
        <f>IFERROR(_xlfn.XLOOKUP(A106,'01_Компании'!$A$4:$A$103,'01_Компании'!$B$4:$B$103),"")</f>
        <v>Storm (StormBPMN)</v>
      </c>
      <c r="C106" s="19" t="s">
        <v>596</v>
      </c>
      <c r="D106" s="19" t="s">
        <v>744</v>
      </c>
      <c r="E106" s="19" t="s">
        <v>745</v>
      </c>
      <c r="F106" s="19" t="s">
        <v>411</v>
      </c>
      <c r="G106" s="19">
        <v>2</v>
      </c>
      <c r="H106" s="20">
        <v>46295</v>
      </c>
      <c r="I106" s="19" t="s">
        <v>599</v>
      </c>
      <c r="J106" s="19">
        <v>4</v>
      </c>
      <c r="K106" s="19" t="s">
        <v>600</v>
      </c>
      <c r="L106" s="19" t="s">
        <v>601</v>
      </c>
    </row>
    <row r="107" spans="1:12" ht="40.5">
      <c r="A107" s="19" t="s">
        <v>92</v>
      </c>
      <c r="B107" s="19" t="str">
        <f>IFERROR(_xlfn.XLOOKUP(A107,'01_Компании'!$A$4:$A$103,'01_Компании'!$B$4:$B$103),"")</f>
        <v>Storm (StormBPMN)</v>
      </c>
      <c r="C107" s="19" t="s">
        <v>602</v>
      </c>
      <c r="D107" s="19" t="s">
        <v>737</v>
      </c>
      <c r="E107" s="19" t="s">
        <v>746</v>
      </c>
      <c r="F107" s="19" t="s">
        <v>401</v>
      </c>
      <c r="G107" s="19">
        <v>2</v>
      </c>
      <c r="H107" s="20">
        <v>46295</v>
      </c>
      <c r="I107" s="19" t="s">
        <v>604</v>
      </c>
      <c r="J107" s="19">
        <v>3</v>
      </c>
      <c r="K107" s="19" t="s">
        <v>605</v>
      </c>
      <c r="L107" s="19" t="s">
        <v>606</v>
      </c>
    </row>
    <row r="108" spans="1:12" ht="54">
      <c r="A108" s="19" t="s">
        <v>93</v>
      </c>
      <c r="B108" s="19" t="str">
        <f>IFERROR(_xlfn.XLOOKUP(A108,'01_Компании'!$A$4:$A$103,'01_Компании'!$B$4:$B$103),"")</f>
        <v>draw.io (diagrams.net)</v>
      </c>
      <c r="C108" s="19" t="s">
        <v>553</v>
      </c>
      <c r="D108" s="19" t="s">
        <v>747</v>
      </c>
      <c r="E108" s="19" t="s">
        <v>748</v>
      </c>
      <c r="F108" s="19" t="s">
        <v>398</v>
      </c>
      <c r="G108" s="19">
        <v>4</v>
      </c>
      <c r="H108" s="20">
        <v>46295</v>
      </c>
      <c r="I108" s="19" t="s">
        <v>749</v>
      </c>
      <c r="J108" s="19">
        <v>4</v>
      </c>
      <c r="K108" s="19" t="s">
        <v>557</v>
      </c>
      <c r="L108" s="19" t="s">
        <v>558</v>
      </c>
    </row>
    <row r="109" spans="1:12" ht="54">
      <c r="A109" s="19" t="s">
        <v>93</v>
      </c>
      <c r="B109" s="19" t="str">
        <f>IFERROR(_xlfn.XLOOKUP(A109,'01_Компании'!$A$4:$A$103,'01_Компании'!$B$4:$B$103),"")</f>
        <v>draw.io (diagrams.net)</v>
      </c>
      <c r="C109" s="19" t="s">
        <v>750</v>
      </c>
      <c r="D109" s="19" t="s">
        <v>751</v>
      </c>
      <c r="E109" s="19" t="s">
        <v>752</v>
      </c>
      <c r="F109" s="19" t="s">
        <v>204</v>
      </c>
      <c r="G109" s="19">
        <v>4</v>
      </c>
      <c r="H109" s="20">
        <v>46295</v>
      </c>
      <c r="I109" s="19" t="s">
        <v>753</v>
      </c>
      <c r="J109" s="19">
        <v>4</v>
      </c>
      <c r="K109" s="19" t="s">
        <v>557</v>
      </c>
      <c r="L109" s="19" t="s">
        <v>558</v>
      </c>
    </row>
    <row r="110" spans="1:12" ht="40.5">
      <c r="A110" s="19" t="s">
        <v>93</v>
      </c>
      <c r="B110" s="19" t="str">
        <f>IFERROR(_xlfn.XLOOKUP(A110,'01_Компании'!$A$4:$A$103,'01_Компании'!$B$4:$B$103),"")</f>
        <v>draw.io (diagrams.net)</v>
      </c>
      <c r="C110" s="19" t="s">
        <v>559</v>
      </c>
      <c r="D110" s="19" t="s">
        <v>560</v>
      </c>
      <c r="E110" s="19" t="s">
        <v>754</v>
      </c>
      <c r="F110" s="19" t="s">
        <v>411</v>
      </c>
      <c r="G110" s="19">
        <v>3</v>
      </c>
      <c r="H110" s="20">
        <v>46295</v>
      </c>
      <c r="I110" s="19" t="s">
        <v>562</v>
      </c>
      <c r="J110" s="19">
        <v>3</v>
      </c>
      <c r="K110" s="19" t="s">
        <v>563</v>
      </c>
      <c r="L110" s="19" t="s">
        <v>564</v>
      </c>
    </row>
    <row r="111" spans="1:12" ht="40.5">
      <c r="A111" s="19" t="s">
        <v>93</v>
      </c>
      <c r="B111" s="19" t="str">
        <f>IFERROR(_xlfn.XLOOKUP(A111,'01_Компании'!$A$4:$A$103,'01_Компании'!$B$4:$B$103),"")</f>
        <v>draw.io (diagrams.net)</v>
      </c>
      <c r="C111" s="19" t="s">
        <v>565</v>
      </c>
      <c r="D111" s="19" t="s">
        <v>560</v>
      </c>
      <c r="E111" s="19" t="s">
        <v>755</v>
      </c>
      <c r="F111" s="19" t="s">
        <v>408</v>
      </c>
      <c r="G111" s="19">
        <v>3</v>
      </c>
      <c r="H111" s="20">
        <v>46295</v>
      </c>
      <c r="I111" s="19" t="s">
        <v>567</v>
      </c>
      <c r="J111" s="19">
        <v>3</v>
      </c>
      <c r="K111" s="19" t="s">
        <v>563</v>
      </c>
      <c r="L111" s="19" t="s">
        <v>568</v>
      </c>
    </row>
    <row r="112" spans="1:12" ht="40.5">
      <c r="A112" s="19" t="s">
        <v>93</v>
      </c>
      <c r="B112" s="19" t="str">
        <f>IFERROR(_xlfn.XLOOKUP(A112,'01_Компании'!$A$4:$A$103,'01_Компании'!$B$4:$B$103),"")</f>
        <v>draw.io (diagrams.net)</v>
      </c>
      <c r="C112" s="19" t="s">
        <v>569</v>
      </c>
      <c r="D112" s="19" t="s">
        <v>560</v>
      </c>
      <c r="E112" s="19" t="s">
        <v>756</v>
      </c>
      <c r="F112" s="19" t="s">
        <v>410</v>
      </c>
      <c r="G112" s="19">
        <v>3</v>
      </c>
      <c r="H112" s="20">
        <v>46295</v>
      </c>
      <c r="I112" s="19" t="s">
        <v>571</v>
      </c>
      <c r="J112" s="19">
        <v>3</v>
      </c>
      <c r="K112" s="19" t="s">
        <v>563</v>
      </c>
      <c r="L112" s="19" t="s">
        <v>572</v>
      </c>
    </row>
    <row r="113" spans="1:12" ht="27">
      <c r="A113" s="19" t="s">
        <v>93</v>
      </c>
      <c r="B113" s="19" t="str">
        <f>IFERROR(_xlfn.XLOOKUP(A113,'01_Компании'!$A$4:$A$103,'01_Компании'!$B$4:$B$103),"")</f>
        <v>draw.io (diagrams.net)</v>
      </c>
      <c r="C113" s="19" t="s">
        <v>573</v>
      </c>
      <c r="D113" s="19" t="s">
        <v>574</v>
      </c>
      <c r="E113" s="19" t="s">
        <v>757</v>
      </c>
      <c r="F113" s="19" t="s">
        <v>410</v>
      </c>
      <c r="G113" s="19">
        <v>3</v>
      </c>
      <c r="H113" s="20">
        <v>46295</v>
      </c>
      <c r="I113" s="19" t="s">
        <v>576</v>
      </c>
      <c r="J113" s="19">
        <v>4</v>
      </c>
      <c r="K113" s="19" t="s">
        <v>620</v>
      </c>
      <c r="L113" s="19" t="s">
        <v>578</v>
      </c>
    </row>
    <row r="114" spans="1:12" ht="27">
      <c r="A114" s="19" t="s">
        <v>93</v>
      </c>
      <c r="B114" s="19" t="str">
        <f>IFERROR(_xlfn.XLOOKUP(A114,'01_Компании'!$A$4:$A$103,'01_Компании'!$B$4:$B$103),"")</f>
        <v>draw.io (diagrams.net)</v>
      </c>
      <c r="C114" s="19" t="s">
        <v>579</v>
      </c>
      <c r="D114" s="19" t="s">
        <v>751</v>
      </c>
      <c r="E114" s="19" t="s">
        <v>758</v>
      </c>
      <c r="F114" s="19" t="s">
        <v>404</v>
      </c>
      <c r="G114" s="19">
        <v>5</v>
      </c>
      <c r="H114" s="20">
        <v>46295</v>
      </c>
      <c r="I114" s="19" t="s">
        <v>581</v>
      </c>
      <c r="J114" s="19">
        <v>4</v>
      </c>
      <c r="K114" s="19" t="s">
        <v>582</v>
      </c>
      <c r="L114" s="19" t="s">
        <v>583</v>
      </c>
    </row>
    <row r="115" spans="1:12" ht="40.5">
      <c r="A115" s="19" t="s">
        <v>93</v>
      </c>
      <c r="B115" s="19" t="str">
        <f>IFERROR(_xlfn.XLOOKUP(A115,'01_Компании'!$A$4:$A$103,'01_Компании'!$B$4:$B$103),"")</f>
        <v>draw.io (diagrams.net)</v>
      </c>
      <c r="C115" s="19" t="s">
        <v>584</v>
      </c>
      <c r="D115" s="19" t="s">
        <v>759</v>
      </c>
      <c r="E115" s="19" t="s">
        <v>760</v>
      </c>
      <c r="F115" s="19" t="s">
        <v>411</v>
      </c>
      <c r="G115" s="19">
        <v>3</v>
      </c>
      <c r="H115" s="20">
        <v>46295</v>
      </c>
      <c r="I115" s="19" t="s">
        <v>587</v>
      </c>
      <c r="J115" s="19">
        <v>3</v>
      </c>
      <c r="K115" s="19" t="s">
        <v>588</v>
      </c>
      <c r="L115" s="19" t="s">
        <v>589</v>
      </c>
    </row>
    <row r="116" spans="1:12" ht="54">
      <c r="A116" s="19" t="s">
        <v>93</v>
      </c>
      <c r="B116" s="19" t="str">
        <f>IFERROR(_xlfn.XLOOKUP(A116,'01_Компании'!$A$4:$A$103,'01_Компании'!$B$4:$B$103),"")</f>
        <v>draw.io (diagrams.net)</v>
      </c>
      <c r="C116" s="19" t="s">
        <v>590</v>
      </c>
      <c r="D116" s="19" t="s">
        <v>761</v>
      </c>
      <c r="E116" s="19" t="s">
        <v>762</v>
      </c>
      <c r="F116" s="19" t="s">
        <v>411</v>
      </c>
      <c r="G116" s="19">
        <v>3</v>
      </c>
      <c r="H116" s="20">
        <v>46295</v>
      </c>
      <c r="I116" s="19" t="s">
        <v>593</v>
      </c>
      <c r="J116" s="19">
        <v>5</v>
      </c>
      <c r="K116" s="19" t="s">
        <v>594</v>
      </c>
      <c r="L116" s="19" t="s">
        <v>595</v>
      </c>
    </row>
    <row r="117" spans="1:12" ht="27">
      <c r="A117" s="19" t="s">
        <v>93</v>
      </c>
      <c r="B117" s="19" t="str">
        <f>IFERROR(_xlfn.XLOOKUP(A117,'01_Компании'!$A$4:$A$103,'01_Компании'!$B$4:$B$103),"")</f>
        <v>draw.io (diagrams.net)</v>
      </c>
      <c r="C117" s="19" t="s">
        <v>596</v>
      </c>
      <c r="D117" s="19" t="s">
        <v>763</v>
      </c>
      <c r="E117" s="19" t="s">
        <v>764</v>
      </c>
      <c r="F117" s="19" t="s">
        <v>411</v>
      </c>
      <c r="G117" s="19">
        <v>2</v>
      </c>
      <c r="H117" s="20">
        <v>46295</v>
      </c>
      <c r="I117" s="19" t="s">
        <v>599</v>
      </c>
      <c r="J117" s="19">
        <v>4</v>
      </c>
      <c r="K117" s="19" t="s">
        <v>600</v>
      </c>
      <c r="L117" s="19" t="s">
        <v>601</v>
      </c>
    </row>
    <row r="118" spans="1:12" ht="40.5">
      <c r="A118" s="19" t="s">
        <v>93</v>
      </c>
      <c r="B118" s="19" t="str">
        <f>IFERROR(_xlfn.XLOOKUP(A118,'01_Компании'!$A$4:$A$103,'01_Компании'!$B$4:$B$103),"")</f>
        <v>draw.io (diagrams.net)</v>
      </c>
      <c r="C118" s="19" t="s">
        <v>602</v>
      </c>
      <c r="D118" s="19" t="s">
        <v>747</v>
      </c>
      <c r="E118" s="19" t="s">
        <v>765</v>
      </c>
      <c r="F118" s="19" t="s">
        <v>401</v>
      </c>
      <c r="G118" s="19">
        <v>2</v>
      </c>
      <c r="H118" s="20">
        <v>46295</v>
      </c>
      <c r="I118" s="19" t="s">
        <v>604</v>
      </c>
      <c r="J118" s="19">
        <v>3</v>
      </c>
      <c r="K118" s="19" t="s">
        <v>605</v>
      </c>
      <c r="L118" s="19" t="s">
        <v>606</v>
      </c>
    </row>
    <row r="119" spans="1:12" ht="40.5">
      <c r="A119" s="19" t="s">
        <v>93</v>
      </c>
      <c r="B119" s="19" t="str">
        <f>IFERROR(_xlfn.XLOOKUP(A119,'01_Компании'!$A$4:$A$103,'01_Компании'!$B$4:$B$103),"")</f>
        <v>draw.io (diagrams.net)</v>
      </c>
      <c r="C119" s="19" t="s">
        <v>607</v>
      </c>
      <c r="D119" s="19" t="s">
        <v>608</v>
      </c>
      <c r="E119" s="19" t="s">
        <v>609</v>
      </c>
      <c r="F119" s="19" t="s">
        <v>412</v>
      </c>
      <c r="G119" s="19">
        <v>2</v>
      </c>
      <c r="H119" s="20">
        <v>46295</v>
      </c>
      <c r="I119" s="19" t="s">
        <v>610</v>
      </c>
      <c r="J119" s="19">
        <v>3</v>
      </c>
      <c r="K119" s="19" t="s">
        <v>611</v>
      </c>
      <c r="L119" s="19" t="s">
        <v>612</v>
      </c>
    </row>
    <row r="120" spans="1:12" ht="54">
      <c r="A120" s="19" t="s">
        <v>94</v>
      </c>
      <c r="B120" s="19" t="str">
        <f>IFERROR(_xlfn.XLOOKUP(A120,'01_Компании'!$A$4:$A$103,'01_Компании'!$B$4:$B$103),"")</f>
        <v>Lucidchart</v>
      </c>
      <c r="C120" s="19" t="s">
        <v>553</v>
      </c>
      <c r="D120" s="19" t="s">
        <v>766</v>
      </c>
      <c r="E120" s="19" t="s">
        <v>767</v>
      </c>
      <c r="F120" s="19" t="s">
        <v>398</v>
      </c>
      <c r="G120" s="19">
        <v>4</v>
      </c>
      <c r="H120" s="20">
        <v>46295</v>
      </c>
      <c r="I120" s="19" t="s">
        <v>768</v>
      </c>
      <c r="J120" s="19">
        <v>4</v>
      </c>
      <c r="K120" s="19" t="s">
        <v>557</v>
      </c>
      <c r="L120" s="19" t="s">
        <v>558</v>
      </c>
    </row>
    <row r="121" spans="1:12" ht="40.5">
      <c r="A121" s="19" t="s">
        <v>94</v>
      </c>
      <c r="B121" s="19" t="str">
        <f>IFERROR(_xlfn.XLOOKUP(A121,'01_Компании'!$A$4:$A$103,'01_Компании'!$B$4:$B$103),"")</f>
        <v>Lucidchart</v>
      </c>
      <c r="C121" s="19" t="s">
        <v>559</v>
      </c>
      <c r="D121" s="19" t="s">
        <v>560</v>
      </c>
      <c r="E121" s="19" t="s">
        <v>769</v>
      </c>
      <c r="F121" s="19" t="s">
        <v>411</v>
      </c>
      <c r="G121" s="19">
        <v>3</v>
      </c>
      <c r="H121" s="20">
        <v>46295</v>
      </c>
      <c r="I121" s="19" t="s">
        <v>562</v>
      </c>
      <c r="J121" s="19">
        <v>3</v>
      </c>
      <c r="K121" s="19" t="s">
        <v>563</v>
      </c>
      <c r="L121" s="19" t="s">
        <v>564</v>
      </c>
    </row>
    <row r="122" spans="1:12" ht="40.5">
      <c r="A122" s="19" t="s">
        <v>94</v>
      </c>
      <c r="B122" s="19" t="str">
        <f>IFERROR(_xlfn.XLOOKUP(A122,'01_Компании'!$A$4:$A$103,'01_Компании'!$B$4:$B$103),"")</f>
        <v>Lucidchart</v>
      </c>
      <c r="C122" s="19" t="s">
        <v>565</v>
      </c>
      <c r="D122" s="19" t="s">
        <v>560</v>
      </c>
      <c r="E122" s="19" t="s">
        <v>770</v>
      </c>
      <c r="F122" s="19" t="s">
        <v>408</v>
      </c>
      <c r="G122" s="19">
        <v>3</v>
      </c>
      <c r="H122" s="20">
        <v>46295</v>
      </c>
      <c r="I122" s="19" t="s">
        <v>567</v>
      </c>
      <c r="J122" s="19">
        <v>3</v>
      </c>
      <c r="K122" s="19" t="s">
        <v>563</v>
      </c>
      <c r="L122" s="19" t="s">
        <v>568</v>
      </c>
    </row>
    <row r="123" spans="1:12" ht="40.5">
      <c r="A123" s="19" t="s">
        <v>94</v>
      </c>
      <c r="B123" s="19" t="str">
        <f>IFERROR(_xlfn.XLOOKUP(A123,'01_Компании'!$A$4:$A$103,'01_Компании'!$B$4:$B$103),"")</f>
        <v>Lucidchart</v>
      </c>
      <c r="C123" s="19" t="s">
        <v>569</v>
      </c>
      <c r="D123" s="19" t="s">
        <v>560</v>
      </c>
      <c r="E123" s="19" t="s">
        <v>771</v>
      </c>
      <c r="F123" s="19" t="s">
        <v>410</v>
      </c>
      <c r="G123" s="19">
        <v>3</v>
      </c>
      <c r="H123" s="20">
        <v>46295</v>
      </c>
      <c r="I123" s="19" t="s">
        <v>571</v>
      </c>
      <c r="J123" s="19">
        <v>3</v>
      </c>
      <c r="K123" s="19" t="s">
        <v>563</v>
      </c>
      <c r="L123" s="19" t="s">
        <v>572</v>
      </c>
    </row>
    <row r="124" spans="1:12" ht="27">
      <c r="A124" s="19" t="s">
        <v>94</v>
      </c>
      <c r="B124" s="19" t="str">
        <f>IFERROR(_xlfn.XLOOKUP(A124,'01_Компании'!$A$4:$A$103,'01_Компании'!$B$4:$B$103),"")</f>
        <v>Lucidchart</v>
      </c>
      <c r="C124" s="19" t="s">
        <v>573</v>
      </c>
      <c r="D124" s="19" t="s">
        <v>574</v>
      </c>
      <c r="E124" s="19" t="s">
        <v>772</v>
      </c>
      <c r="F124" s="19" t="s">
        <v>410</v>
      </c>
      <c r="G124" s="19">
        <v>3</v>
      </c>
      <c r="H124" s="20">
        <v>46295</v>
      </c>
      <c r="I124" s="19" t="s">
        <v>576</v>
      </c>
      <c r="J124" s="19">
        <v>4</v>
      </c>
      <c r="K124" s="19" t="s">
        <v>620</v>
      </c>
      <c r="L124" s="19" t="s">
        <v>578</v>
      </c>
    </row>
    <row r="125" spans="1:12" ht="54">
      <c r="A125" s="19" t="s">
        <v>94</v>
      </c>
      <c r="B125" s="19" t="str">
        <f>IFERROR(_xlfn.XLOOKUP(A125,'01_Компании'!$A$4:$A$103,'01_Компании'!$B$4:$B$103),"")</f>
        <v>Lucidchart</v>
      </c>
      <c r="C125" s="19" t="s">
        <v>579</v>
      </c>
      <c r="D125" s="19" t="s">
        <v>773</v>
      </c>
      <c r="E125" s="19" t="s">
        <v>774</v>
      </c>
      <c r="F125" s="19" t="s">
        <v>404</v>
      </c>
      <c r="G125" s="19">
        <v>5</v>
      </c>
      <c r="H125" s="20">
        <v>46295</v>
      </c>
      <c r="I125" s="19" t="s">
        <v>581</v>
      </c>
      <c r="J125" s="19">
        <v>4</v>
      </c>
      <c r="K125" s="19" t="s">
        <v>582</v>
      </c>
      <c r="L125" s="19" t="s">
        <v>583</v>
      </c>
    </row>
    <row r="126" spans="1:12" ht="40.5">
      <c r="A126" s="19" t="s">
        <v>94</v>
      </c>
      <c r="B126" s="19" t="str">
        <f>IFERROR(_xlfn.XLOOKUP(A126,'01_Компании'!$A$4:$A$103,'01_Компании'!$B$4:$B$103),"")</f>
        <v>Lucidchart</v>
      </c>
      <c r="C126" s="19" t="s">
        <v>584</v>
      </c>
      <c r="D126" s="19" t="s">
        <v>775</v>
      </c>
      <c r="E126" s="19" t="s">
        <v>776</v>
      </c>
      <c r="F126" s="19" t="s">
        <v>411</v>
      </c>
      <c r="G126" s="19">
        <v>3</v>
      </c>
      <c r="H126" s="20">
        <v>46295</v>
      </c>
      <c r="I126" s="19" t="s">
        <v>587</v>
      </c>
      <c r="J126" s="19">
        <v>3</v>
      </c>
      <c r="K126" s="19" t="s">
        <v>588</v>
      </c>
      <c r="L126" s="19" t="s">
        <v>589</v>
      </c>
    </row>
    <row r="127" spans="1:12" ht="27">
      <c r="A127" s="19" t="s">
        <v>94</v>
      </c>
      <c r="B127" s="19" t="str">
        <f>IFERROR(_xlfn.XLOOKUP(A127,'01_Компании'!$A$4:$A$103,'01_Компании'!$B$4:$B$103),"")</f>
        <v>Lucidchart</v>
      </c>
      <c r="C127" s="19" t="s">
        <v>596</v>
      </c>
      <c r="D127" s="19" t="s">
        <v>777</v>
      </c>
      <c r="E127" s="19" t="s">
        <v>778</v>
      </c>
      <c r="F127" s="19" t="s">
        <v>411</v>
      </c>
      <c r="G127" s="19">
        <v>2</v>
      </c>
      <c r="H127" s="20">
        <v>46295</v>
      </c>
      <c r="I127" s="19" t="s">
        <v>599</v>
      </c>
      <c r="J127" s="19">
        <v>4</v>
      </c>
      <c r="K127" s="19" t="s">
        <v>600</v>
      </c>
      <c r="L127" s="19" t="s">
        <v>601</v>
      </c>
    </row>
    <row r="128" spans="1:12" ht="27">
      <c r="A128" s="19" t="s">
        <v>94</v>
      </c>
      <c r="B128" s="19" t="str">
        <f>IFERROR(_xlfn.XLOOKUP(A128,'01_Компании'!$A$4:$A$103,'01_Компании'!$B$4:$B$103),"")</f>
        <v>Lucidchart</v>
      </c>
      <c r="C128" s="19" t="s">
        <v>709</v>
      </c>
      <c r="D128" s="19" t="s">
        <v>766</v>
      </c>
      <c r="E128" s="19" t="s">
        <v>711</v>
      </c>
      <c r="F128" s="19" t="s">
        <v>411</v>
      </c>
      <c r="G128" s="19">
        <v>1</v>
      </c>
      <c r="H128" s="20">
        <v>46295</v>
      </c>
      <c r="I128" s="19" t="s">
        <v>712</v>
      </c>
      <c r="J128" s="19">
        <v>2</v>
      </c>
      <c r="K128" s="19" t="s">
        <v>605</v>
      </c>
      <c r="L128" s="19" t="s">
        <v>713</v>
      </c>
    </row>
    <row r="129" spans="1:12" ht="81">
      <c r="A129" s="19" t="s">
        <v>95</v>
      </c>
      <c r="B129" s="19" t="str">
        <f>IFERROR(_xlfn.XLOOKUP(A129,'01_Компании'!$A$4:$A$103,'01_Компании'!$B$4:$B$103),"")</f>
        <v>Creately</v>
      </c>
      <c r="C129" s="19" t="s">
        <v>553</v>
      </c>
      <c r="D129" s="19" t="s">
        <v>779</v>
      </c>
      <c r="E129" s="19" t="s">
        <v>780</v>
      </c>
      <c r="F129" s="19" t="s">
        <v>398</v>
      </c>
      <c r="G129" s="19">
        <v>4</v>
      </c>
      <c r="H129" s="20">
        <v>46295</v>
      </c>
      <c r="I129" s="19" t="s">
        <v>781</v>
      </c>
      <c r="J129" s="19">
        <v>4</v>
      </c>
      <c r="K129" s="19" t="s">
        <v>557</v>
      </c>
      <c r="L129" s="19" t="s">
        <v>558</v>
      </c>
    </row>
    <row r="130" spans="1:12" ht="40.5">
      <c r="A130" s="19" t="s">
        <v>95</v>
      </c>
      <c r="B130" s="19" t="str">
        <f>IFERROR(_xlfn.XLOOKUP(A130,'01_Компании'!$A$4:$A$103,'01_Компании'!$B$4:$B$103),"")</f>
        <v>Creately</v>
      </c>
      <c r="C130" s="19" t="s">
        <v>559</v>
      </c>
      <c r="D130" s="19" t="s">
        <v>560</v>
      </c>
      <c r="E130" s="19" t="s">
        <v>782</v>
      </c>
      <c r="F130" s="19" t="s">
        <v>411</v>
      </c>
      <c r="G130" s="19">
        <v>3</v>
      </c>
      <c r="H130" s="20">
        <v>46295</v>
      </c>
      <c r="I130" s="19" t="s">
        <v>562</v>
      </c>
      <c r="J130" s="19">
        <v>3</v>
      </c>
      <c r="K130" s="19" t="s">
        <v>563</v>
      </c>
      <c r="L130" s="19" t="s">
        <v>564</v>
      </c>
    </row>
    <row r="131" spans="1:12" ht="40.5">
      <c r="A131" s="19" t="s">
        <v>95</v>
      </c>
      <c r="B131" s="19" t="str">
        <f>IFERROR(_xlfn.XLOOKUP(A131,'01_Компании'!$A$4:$A$103,'01_Компании'!$B$4:$B$103),"")</f>
        <v>Creately</v>
      </c>
      <c r="C131" s="19" t="s">
        <v>565</v>
      </c>
      <c r="D131" s="19" t="s">
        <v>560</v>
      </c>
      <c r="E131" s="19" t="s">
        <v>783</v>
      </c>
      <c r="F131" s="19" t="s">
        <v>408</v>
      </c>
      <c r="G131" s="19">
        <v>3</v>
      </c>
      <c r="H131" s="20">
        <v>46295</v>
      </c>
      <c r="I131" s="19" t="s">
        <v>567</v>
      </c>
      <c r="J131" s="19">
        <v>3</v>
      </c>
      <c r="K131" s="19" t="s">
        <v>563</v>
      </c>
      <c r="L131" s="19" t="s">
        <v>568</v>
      </c>
    </row>
    <row r="132" spans="1:12" ht="40.5">
      <c r="A132" s="19" t="s">
        <v>95</v>
      </c>
      <c r="B132" s="19" t="str">
        <f>IFERROR(_xlfn.XLOOKUP(A132,'01_Компании'!$A$4:$A$103,'01_Компании'!$B$4:$B$103),"")</f>
        <v>Creately</v>
      </c>
      <c r="C132" s="19" t="s">
        <v>569</v>
      </c>
      <c r="D132" s="19" t="s">
        <v>560</v>
      </c>
      <c r="E132" s="19" t="s">
        <v>784</v>
      </c>
      <c r="F132" s="19" t="s">
        <v>410</v>
      </c>
      <c r="G132" s="19">
        <v>3</v>
      </c>
      <c r="H132" s="20">
        <v>46295</v>
      </c>
      <c r="I132" s="19" t="s">
        <v>571</v>
      </c>
      <c r="J132" s="19">
        <v>3</v>
      </c>
      <c r="K132" s="19" t="s">
        <v>563</v>
      </c>
      <c r="L132" s="19" t="s">
        <v>572</v>
      </c>
    </row>
    <row r="133" spans="1:12" ht="27">
      <c r="A133" s="19" t="s">
        <v>95</v>
      </c>
      <c r="B133" s="19" t="str">
        <f>IFERROR(_xlfn.XLOOKUP(A133,'01_Компании'!$A$4:$A$103,'01_Компании'!$B$4:$B$103),"")</f>
        <v>Creately</v>
      </c>
      <c r="C133" s="19" t="s">
        <v>573</v>
      </c>
      <c r="D133" s="19" t="s">
        <v>574</v>
      </c>
      <c r="E133" s="19" t="s">
        <v>785</v>
      </c>
      <c r="F133" s="19" t="s">
        <v>410</v>
      </c>
      <c r="G133" s="19">
        <v>3</v>
      </c>
      <c r="H133" s="20">
        <v>46295</v>
      </c>
      <c r="I133" s="19" t="s">
        <v>576</v>
      </c>
      <c r="J133" s="19">
        <v>4</v>
      </c>
      <c r="K133" s="19" t="s">
        <v>620</v>
      </c>
      <c r="L133" s="19" t="s">
        <v>578</v>
      </c>
    </row>
    <row r="134" spans="1:12" ht="27">
      <c r="A134" s="19" t="s">
        <v>95</v>
      </c>
      <c r="B134" s="19" t="str">
        <f>IFERROR(_xlfn.XLOOKUP(A134,'01_Компании'!$A$4:$A$103,'01_Компании'!$B$4:$B$103),"")</f>
        <v>Creately</v>
      </c>
      <c r="C134" s="19" t="s">
        <v>579</v>
      </c>
      <c r="D134" s="19" t="s">
        <v>786</v>
      </c>
      <c r="E134" s="19" t="s">
        <v>787</v>
      </c>
      <c r="F134" s="19" t="s">
        <v>404</v>
      </c>
      <c r="G134" s="19">
        <v>5</v>
      </c>
      <c r="H134" s="20">
        <v>46295</v>
      </c>
      <c r="I134" s="19" t="s">
        <v>581</v>
      </c>
      <c r="J134" s="19">
        <v>4</v>
      </c>
      <c r="K134" s="19" t="s">
        <v>582</v>
      </c>
      <c r="L134" s="19" t="s">
        <v>583</v>
      </c>
    </row>
    <row r="135" spans="1:12" ht="40.5">
      <c r="A135" s="19" t="s">
        <v>95</v>
      </c>
      <c r="B135" s="19" t="str">
        <f>IFERROR(_xlfn.XLOOKUP(A135,'01_Компании'!$A$4:$A$103,'01_Компании'!$B$4:$B$103),"")</f>
        <v>Creately</v>
      </c>
      <c r="C135" s="19" t="s">
        <v>584</v>
      </c>
      <c r="D135" s="19" t="s">
        <v>788</v>
      </c>
      <c r="E135" s="19" t="s">
        <v>789</v>
      </c>
      <c r="F135" s="19" t="s">
        <v>411</v>
      </c>
      <c r="G135" s="19">
        <v>3</v>
      </c>
      <c r="H135" s="20">
        <v>46295</v>
      </c>
      <c r="I135" s="19" t="s">
        <v>587</v>
      </c>
      <c r="J135" s="19">
        <v>3</v>
      </c>
      <c r="K135" s="19" t="s">
        <v>588</v>
      </c>
      <c r="L135" s="19" t="s">
        <v>589</v>
      </c>
    </row>
    <row r="136" spans="1:12" ht="27">
      <c r="A136" s="19" t="s">
        <v>95</v>
      </c>
      <c r="B136" s="19" t="str">
        <f>IFERROR(_xlfn.XLOOKUP(A136,'01_Компании'!$A$4:$A$103,'01_Компании'!$B$4:$B$103),"")</f>
        <v>Creately</v>
      </c>
      <c r="C136" s="19" t="s">
        <v>596</v>
      </c>
      <c r="D136" s="19" t="s">
        <v>790</v>
      </c>
      <c r="E136" s="19" t="s">
        <v>791</v>
      </c>
      <c r="F136" s="19" t="s">
        <v>411</v>
      </c>
      <c r="G136" s="19">
        <v>2</v>
      </c>
      <c r="H136" s="20">
        <v>46295</v>
      </c>
      <c r="I136" s="19" t="s">
        <v>599</v>
      </c>
      <c r="J136" s="19">
        <v>4</v>
      </c>
      <c r="K136" s="19" t="s">
        <v>600</v>
      </c>
      <c r="L136" s="19" t="s">
        <v>601</v>
      </c>
    </row>
    <row r="137" spans="1:12" ht="40.5">
      <c r="A137" s="19" t="s">
        <v>95</v>
      </c>
      <c r="B137" s="19" t="str">
        <f>IFERROR(_xlfn.XLOOKUP(A137,'01_Компании'!$A$4:$A$103,'01_Компании'!$B$4:$B$103),"")</f>
        <v>Creately</v>
      </c>
      <c r="C137" s="19" t="s">
        <v>602</v>
      </c>
      <c r="D137" s="19" t="s">
        <v>779</v>
      </c>
      <c r="E137" s="19" t="s">
        <v>792</v>
      </c>
      <c r="F137" s="19" t="s">
        <v>401</v>
      </c>
      <c r="G137" s="19">
        <v>2</v>
      </c>
      <c r="H137" s="20">
        <v>46295</v>
      </c>
      <c r="I137" s="19" t="s">
        <v>604</v>
      </c>
      <c r="J137" s="19">
        <v>3</v>
      </c>
      <c r="K137" s="19" t="s">
        <v>605</v>
      </c>
      <c r="L137" s="19" t="s">
        <v>606</v>
      </c>
    </row>
    <row r="138" spans="1:12" ht="54">
      <c r="A138" s="19" t="s">
        <v>96</v>
      </c>
      <c r="B138" s="19" t="str">
        <f>IFERROR(_xlfn.XLOOKUP(A138,'01_Компании'!$A$4:$A$103,'01_Компании'!$B$4:$B$103),"")</f>
        <v>Miro</v>
      </c>
      <c r="C138" s="19" t="s">
        <v>553</v>
      </c>
      <c r="D138" s="19" t="s">
        <v>793</v>
      </c>
      <c r="E138" s="19" t="s">
        <v>794</v>
      </c>
      <c r="F138" s="19" t="s">
        <v>398</v>
      </c>
      <c r="G138" s="19">
        <v>4</v>
      </c>
      <c r="H138" s="20">
        <v>46295</v>
      </c>
      <c r="I138" s="19" t="s">
        <v>795</v>
      </c>
      <c r="J138" s="19">
        <v>4</v>
      </c>
      <c r="K138" s="19" t="s">
        <v>557</v>
      </c>
      <c r="L138" s="19" t="s">
        <v>558</v>
      </c>
    </row>
    <row r="139" spans="1:12" ht="40.5">
      <c r="A139" s="19" t="s">
        <v>96</v>
      </c>
      <c r="B139" s="19" t="str">
        <f>IFERROR(_xlfn.XLOOKUP(A139,'01_Компании'!$A$4:$A$103,'01_Компании'!$B$4:$B$103),"")</f>
        <v>Miro</v>
      </c>
      <c r="C139" s="19" t="s">
        <v>559</v>
      </c>
      <c r="D139" s="19" t="s">
        <v>560</v>
      </c>
      <c r="E139" s="19" t="s">
        <v>796</v>
      </c>
      <c r="F139" s="19" t="s">
        <v>411</v>
      </c>
      <c r="G139" s="19">
        <v>3</v>
      </c>
      <c r="H139" s="20">
        <v>46295</v>
      </c>
      <c r="I139" s="19" t="s">
        <v>562</v>
      </c>
      <c r="J139" s="19">
        <v>3</v>
      </c>
      <c r="K139" s="19" t="s">
        <v>563</v>
      </c>
      <c r="L139" s="19" t="s">
        <v>564</v>
      </c>
    </row>
    <row r="140" spans="1:12" ht="40.5">
      <c r="A140" s="19" t="s">
        <v>96</v>
      </c>
      <c r="B140" s="19" t="str">
        <f>IFERROR(_xlfn.XLOOKUP(A140,'01_Компании'!$A$4:$A$103,'01_Компании'!$B$4:$B$103),"")</f>
        <v>Miro</v>
      </c>
      <c r="C140" s="19" t="s">
        <v>565</v>
      </c>
      <c r="D140" s="19" t="s">
        <v>560</v>
      </c>
      <c r="E140" s="19" t="s">
        <v>797</v>
      </c>
      <c r="F140" s="19" t="s">
        <v>408</v>
      </c>
      <c r="G140" s="19">
        <v>3</v>
      </c>
      <c r="H140" s="20">
        <v>46295</v>
      </c>
      <c r="I140" s="19" t="s">
        <v>567</v>
      </c>
      <c r="J140" s="19">
        <v>3</v>
      </c>
      <c r="K140" s="19" t="s">
        <v>563</v>
      </c>
      <c r="L140" s="19" t="s">
        <v>568</v>
      </c>
    </row>
    <row r="141" spans="1:12" ht="40.5">
      <c r="A141" s="19" t="s">
        <v>96</v>
      </c>
      <c r="B141" s="19" t="str">
        <f>IFERROR(_xlfn.XLOOKUP(A141,'01_Компании'!$A$4:$A$103,'01_Компании'!$B$4:$B$103),"")</f>
        <v>Miro</v>
      </c>
      <c r="C141" s="19" t="s">
        <v>569</v>
      </c>
      <c r="D141" s="19" t="s">
        <v>560</v>
      </c>
      <c r="E141" s="19" t="s">
        <v>798</v>
      </c>
      <c r="F141" s="19" t="s">
        <v>410</v>
      </c>
      <c r="G141" s="19">
        <v>3</v>
      </c>
      <c r="H141" s="20">
        <v>46295</v>
      </c>
      <c r="I141" s="19" t="s">
        <v>571</v>
      </c>
      <c r="J141" s="19">
        <v>3</v>
      </c>
      <c r="K141" s="19" t="s">
        <v>563</v>
      </c>
      <c r="L141" s="19" t="s">
        <v>572</v>
      </c>
    </row>
    <row r="142" spans="1:12" ht="27">
      <c r="A142" s="19" t="s">
        <v>96</v>
      </c>
      <c r="B142" s="19" t="str">
        <f>IFERROR(_xlfn.XLOOKUP(A142,'01_Компании'!$A$4:$A$103,'01_Компании'!$B$4:$B$103),"")</f>
        <v>Miro</v>
      </c>
      <c r="C142" s="19" t="s">
        <v>573</v>
      </c>
      <c r="D142" s="19" t="s">
        <v>574</v>
      </c>
      <c r="E142" s="19" t="s">
        <v>799</v>
      </c>
      <c r="F142" s="19" t="s">
        <v>410</v>
      </c>
      <c r="G142" s="19">
        <v>3</v>
      </c>
      <c r="H142" s="20">
        <v>46295</v>
      </c>
      <c r="I142" s="19" t="s">
        <v>576</v>
      </c>
      <c r="J142" s="19">
        <v>4</v>
      </c>
      <c r="K142" s="19" t="s">
        <v>620</v>
      </c>
      <c r="L142" s="19" t="s">
        <v>578</v>
      </c>
    </row>
    <row r="143" spans="1:12" ht="40.5">
      <c r="A143" s="19" t="s">
        <v>96</v>
      </c>
      <c r="B143" s="19" t="str">
        <f>IFERROR(_xlfn.XLOOKUP(A143,'01_Компании'!$A$4:$A$103,'01_Компании'!$B$4:$B$103),"")</f>
        <v>Miro</v>
      </c>
      <c r="C143" s="19" t="s">
        <v>579</v>
      </c>
      <c r="D143" s="19" t="s">
        <v>800</v>
      </c>
      <c r="E143" s="19" t="s">
        <v>801</v>
      </c>
      <c r="F143" s="19" t="s">
        <v>404</v>
      </c>
      <c r="G143" s="19">
        <v>5</v>
      </c>
      <c r="H143" s="20">
        <v>46295</v>
      </c>
      <c r="I143" s="19" t="s">
        <v>581</v>
      </c>
      <c r="J143" s="19">
        <v>4</v>
      </c>
      <c r="K143" s="19" t="s">
        <v>582</v>
      </c>
      <c r="L143" s="19" t="s">
        <v>583</v>
      </c>
    </row>
    <row r="144" spans="1:12" ht="40.5">
      <c r="A144" s="19" t="s">
        <v>96</v>
      </c>
      <c r="B144" s="19" t="str">
        <f>IFERROR(_xlfn.XLOOKUP(A144,'01_Компании'!$A$4:$A$103,'01_Компании'!$B$4:$B$103),"")</f>
        <v>Miro</v>
      </c>
      <c r="C144" s="19" t="s">
        <v>584</v>
      </c>
      <c r="D144" s="19" t="s">
        <v>802</v>
      </c>
      <c r="E144" s="19" t="s">
        <v>803</v>
      </c>
      <c r="F144" s="19" t="s">
        <v>411</v>
      </c>
      <c r="G144" s="19">
        <v>3</v>
      </c>
      <c r="H144" s="20">
        <v>46295</v>
      </c>
      <c r="I144" s="19" t="s">
        <v>587</v>
      </c>
      <c r="J144" s="19">
        <v>3</v>
      </c>
      <c r="K144" s="19" t="s">
        <v>588</v>
      </c>
      <c r="L144" s="19" t="s">
        <v>589</v>
      </c>
    </row>
    <row r="145" spans="1:12" ht="27">
      <c r="A145" s="19" t="s">
        <v>96</v>
      </c>
      <c r="B145" s="19" t="str">
        <f>IFERROR(_xlfn.XLOOKUP(A145,'01_Компании'!$A$4:$A$103,'01_Компании'!$B$4:$B$103),"")</f>
        <v>Miro</v>
      </c>
      <c r="C145" s="19" t="s">
        <v>596</v>
      </c>
      <c r="D145" s="19" t="s">
        <v>804</v>
      </c>
      <c r="E145" s="19" t="s">
        <v>805</v>
      </c>
      <c r="F145" s="19" t="s">
        <v>411</v>
      </c>
      <c r="G145" s="19">
        <v>2</v>
      </c>
      <c r="H145" s="20">
        <v>46295</v>
      </c>
      <c r="I145" s="19" t="s">
        <v>599</v>
      </c>
      <c r="J145" s="19">
        <v>4</v>
      </c>
      <c r="K145" s="19" t="s">
        <v>600</v>
      </c>
      <c r="L145" s="19" t="s">
        <v>601</v>
      </c>
    </row>
    <row r="146" spans="1:12" ht="40.5">
      <c r="A146" s="19" t="s">
        <v>96</v>
      </c>
      <c r="B146" s="19" t="str">
        <f>IFERROR(_xlfn.XLOOKUP(A146,'01_Компании'!$A$4:$A$103,'01_Компании'!$B$4:$B$103),"")</f>
        <v>Miro</v>
      </c>
      <c r="C146" s="19" t="s">
        <v>602</v>
      </c>
      <c r="D146" s="19" t="s">
        <v>793</v>
      </c>
      <c r="E146" s="19" t="s">
        <v>806</v>
      </c>
      <c r="F146" s="19" t="s">
        <v>401</v>
      </c>
      <c r="G146" s="19">
        <v>2</v>
      </c>
      <c r="H146" s="20">
        <v>46295</v>
      </c>
      <c r="I146" s="19" t="s">
        <v>604</v>
      </c>
      <c r="J146" s="19">
        <v>3</v>
      </c>
      <c r="K146" s="19" t="s">
        <v>605</v>
      </c>
      <c r="L146" s="19" t="s">
        <v>606</v>
      </c>
    </row>
    <row r="147" spans="1:12" ht="54">
      <c r="A147" s="19" t="s">
        <v>97</v>
      </c>
      <c r="B147" s="19" t="str">
        <f>IFERROR(_xlfn.XLOOKUP(A147,'01_Компании'!$A$4:$A$103,'01_Компании'!$B$4:$B$103),"")</f>
        <v>Excalidraw</v>
      </c>
      <c r="C147" s="19" t="s">
        <v>553</v>
      </c>
      <c r="D147" s="19" t="s">
        <v>807</v>
      </c>
      <c r="E147" s="19" t="s">
        <v>808</v>
      </c>
      <c r="F147" s="19" t="s">
        <v>398</v>
      </c>
      <c r="G147" s="19">
        <v>4</v>
      </c>
      <c r="H147" s="20">
        <v>46295</v>
      </c>
      <c r="I147" s="19" t="s">
        <v>809</v>
      </c>
      <c r="J147" s="19">
        <v>4</v>
      </c>
      <c r="K147" s="19" t="s">
        <v>557</v>
      </c>
      <c r="L147" s="19" t="s">
        <v>558</v>
      </c>
    </row>
    <row r="148" spans="1:12" ht="40.5">
      <c r="A148" s="19" t="s">
        <v>97</v>
      </c>
      <c r="B148" s="19" t="str">
        <f>IFERROR(_xlfn.XLOOKUP(A148,'01_Компании'!$A$4:$A$103,'01_Компании'!$B$4:$B$103),"")</f>
        <v>Excalidraw</v>
      </c>
      <c r="C148" s="19" t="s">
        <v>559</v>
      </c>
      <c r="D148" s="19" t="s">
        <v>560</v>
      </c>
      <c r="E148" s="19" t="s">
        <v>810</v>
      </c>
      <c r="F148" s="19" t="s">
        <v>411</v>
      </c>
      <c r="G148" s="19">
        <v>3</v>
      </c>
      <c r="H148" s="20">
        <v>46295</v>
      </c>
      <c r="I148" s="19" t="s">
        <v>562</v>
      </c>
      <c r="J148" s="19">
        <v>3</v>
      </c>
      <c r="K148" s="19" t="s">
        <v>563</v>
      </c>
      <c r="L148" s="19" t="s">
        <v>564</v>
      </c>
    </row>
    <row r="149" spans="1:12" ht="40.5">
      <c r="A149" s="19" t="s">
        <v>97</v>
      </c>
      <c r="B149" s="19" t="str">
        <f>IFERROR(_xlfn.XLOOKUP(A149,'01_Компании'!$A$4:$A$103,'01_Компании'!$B$4:$B$103),"")</f>
        <v>Excalidraw</v>
      </c>
      <c r="C149" s="19" t="s">
        <v>565</v>
      </c>
      <c r="D149" s="19" t="s">
        <v>560</v>
      </c>
      <c r="E149" s="19" t="s">
        <v>811</v>
      </c>
      <c r="F149" s="19" t="s">
        <v>408</v>
      </c>
      <c r="G149" s="19">
        <v>3</v>
      </c>
      <c r="H149" s="20">
        <v>46295</v>
      </c>
      <c r="I149" s="19" t="s">
        <v>567</v>
      </c>
      <c r="J149" s="19">
        <v>3</v>
      </c>
      <c r="K149" s="19" t="s">
        <v>563</v>
      </c>
      <c r="L149" s="19" t="s">
        <v>568</v>
      </c>
    </row>
    <row r="150" spans="1:12" ht="40.5">
      <c r="A150" s="19" t="s">
        <v>97</v>
      </c>
      <c r="B150" s="19" t="str">
        <f>IFERROR(_xlfn.XLOOKUP(A150,'01_Компании'!$A$4:$A$103,'01_Компании'!$B$4:$B$103),"")</f>
        <v>Excalidraw</v>
      </c>
      <c r="C150" s="19" t="s">
        <v>569</v>
      </c>
      <c r="D150" s="19" t="s">
        <v>560</v>
      </c>
      <c r="E150" s="19" t="s">
        <v>812</v>
      </c>
      <c r="F150" s="19" t="s">
        <v>410</v>
      </c>
      <c r="G150" s="19">
        <v>3</v>
      </c>
      <c r="H150" s="20">
        <v>46295</v>
      </c>
      <c r="I150" s="19" t="s">
        <v>571</v>
      </c>
      <c r="J150" s="19">
        <v>3</v>
      </c>
      <c r="K150" s="19" t="s">
        <v>563</v>
      </c>
      <c r="L150" s="19" t="s">
        <v>572</v>
      </c>
    </row>
    <row r="151" spans="1:12" ht="27">
      <c r="A151" s="19" t="s">
        <v>97</v>
      </c>
      <c r="B151" s="19" t="str">
        <f>IFERROR(_xlfn.XLOOKUP(A151,'01_Компании'!$A$4:$A$103,'01_Компании'!$B$4:$B$103),"")</f>
        <v>Excalidraw</v>
      </c>
      <c r="C151" s="19" t="s">
        <v>573</v>
      </c>
      <c r="D151" s="19" t="s">
        <v>574</v>
      </c>
      <c r="E151" s="19" t="s">
        <v>813</v>
      </c>
      <c r="F151" s="19" t="s">
        <v>410</v>
      </c>
      <c r="G151" s="19">
        <v>3</v>
      </c>
      <c r="H151" s="20">
        <v>46295</v>
      </c>
      <c r="I151" s="19" t="s">
        <v>576</v>
      </c>
      <c r="J151" s="19">
        <v>4</v>
      </c>
      <c r="K151" s="19" t="s">
        <v>620</v>
      </c>
      <c r="L151" s="19" t="s">
        <v>578</v>
      </c>
    </row>
    <row r="152" spans="1:12" ht="27">
      <c r="A152" s="19" t="s">
        <v>97</v>
      </c>
      <c r="B152" s="19" t="str">
        <f>IFERROR(_xlfn.XLOOKUP(A152,'01_Компании'!$A$4:$A$103,'01_Компании'!$B$4:$B$103),"")</f>
        <v>Excalidraw</v>
      </c>
      <c r="C152" s="19" t="s">
        <v>590</v>
      </c>
      <c r="D152" s="19" t="s">
        <v>814</v>
      </c>
      <c r="E152" s="19" t="s">
        <v>815</v>
      </c>
      <c r="F152" s="19" t="s">
        <v>411</v>
      </c>
      <c r="G152" s="19">
        <v>3</v>
      </c>
      <c r="H152" s="20">
        <v>46295</v>
      </c>
      <c r="I152" s="19" t="s">
        <v>593</v>
      </c>
      <c r="J152" s="19">
        <v>5</v>
      </c>
      <c r="K152" s="19" t="s">
        <v>594</v>
      </c>
      <c r="L152" s="19" t="s">
        <v>595</v>
      </c>
    </row>
    <row r="153" spans="1:12" ht="27">
      <c r="A153" s="19" t="s">
        <v>97</v>
      </c>
      <c r="B153" s="19" t="str">
        <f>IFERROR(_xlfn.XLOOKUP(A153,'01_Компании'!$A$4:$A$103,'01_Компании'!$B$4:$B$103),"")</f>
        <v>Excalidraw</v>
      </c>
      <c r="C153" s="19" t="s">
        <v>596</v>
      </c>
      <c r="D153" s="19" t="s">
        <v>816</v>
      </c>
      <c r="E153" s="19" t="s">
        <v>817</v>
      </c>
      <c r="F153" s="19" t="s">
        <v>411</v>
      </c>
      <c r="G153" s="19">
        <v>2</v>
      </c>
      <c r="H153" s="20">
        <v>46295</v>
      </c>
      <c r="I153" s="19" t="s">
        <v>599</v>
      </c>
      <c r="J153" s="19">
        <v>4</v>
      </c>
      <c r="K153" s="19" t="s">
        <v>600</v>
      </c>
      <c r="L153" s="19" t="s">
        <v>601</v>
      </c>
    </row>
    <row r="154" spans="1:12" ht="40.5">
      <c r="A154" s="19" t="s">
        <v>97</v>
      </c>
      <c r="B154" s="19" t="str">
        <f>IFERROR(_xlfn.XLOOKUP(A154,'01_Компании'!$A$4:$A$103,'01_Компании'!$B$4:$B$103),"")</f>
        <v>Excalidraw</v>
      </c>
      <c r="C154" s="19" t="s">
        <v>602</v>
      </c>
      <c r="D154" s="19" t="s">
        <v>807</v>
      </c>
      <c r="E154" s="19" t="s">
        <v>818</v>
      </c>
      <c r="F154" s="19" t="s">
        <v>401</v>
      </c>
      <c r="G154" s="19">
        <v>2</v>
      </c>
      <c r="H154" s="20">
        <v>46295</v>
      </c>
      <c r="I154" s="19" t="s">
        <v>604</v>
      </c>
      <c r="J154" s="19">
        <v>3</v>
      </c>
      <c r="K154" s="19" t="s">
        <v>605</v>
      </c>
      <c r="L154" s="19" t="s">
        <v>606</v>
      </c>
    </row>
    <row r="155" spans="1:12" ht="54">
      <c r="A155" s="19" t="s">
        <v>98</v>
      </c>
      <c r="B155" s="19" t="str">
        <f>IFERROR(_xlfn.XLOOKUP(A155,'01_Компании'!$A$4:$A$103,'01_Компании'!$B$4:$B$103),"")</f>
        <v>dbdiagram.io</v>
      </c>
      <c r="C155" s="19" t="s">
        <v>553</v>
      </c>
      <c r="D155" s="19" t="s">
        <v>819</v>
      </c>
      <c r="E155" s="19" t="s">
        <v>820</v>
      </c>
      <c r="F155" s="19" t="s">
        <v>398</v>
      </c>
      <c r="G155" s="19">
        <v>4</v>
      </c>
      <c r="H155" s="20">
        <v>46295</v>
      </c>
      <c r="I155" s="19" t="s">
        <v>821</v>
      </c>
      <c r="J155" s="19">
        <v>4</v>
      </c>
      <c r="K155" s="19" t="s">
        <v>557</v>
      </c>
      <c r="L155" s="19" t="s">
        <v>558</v>
      </c>
    </row>
    <row r="156" spans="1:12" ht="40.5">
      <c r="A156" s="19" t="s">
        <v>98</v>
      </c>
      <c r="B156" s="19" t="str">
        <f>IFERROR(_xlfn.XLOOKUP(A156,'01_Компании'!$A$4:$A$103,'01_Компании'!$B$4:$B$103),"")</f>
        <v>dbdiagram.io</v>
      </c>
      <c r="C156" s="19" t="s">
        <v>559</v>
      </c>
      <c r="D156" s="19" t="s">
        <v>560</v>
      </c>
      <c r="E156" s="19" t="s">
        <v>822</v>
      </c>
      <c r="F156" s="19" t="s">
        <v>411</v>
      </c>
      <c r="G156" s="19">
        <v>3</v>
      </c>
      <c r="H156" s="20">
        <v>46295</v>
      </c>
      <c r="I156" s="19" t="s">
        <v>562</v>
      </c>
      <c r="J156" s="19">
        <v>3</v>
      </c>
      <c r="K156" s="19" t="s">
        <v>563</v>
      </c>
      <c r="L156" s="19" t="s">
        <v>564</v>
      </c>
    </row>
    <row r="157" spans="1:12" ht="40.5">
      <c r="A157" s="19" t="s">
        <v>98</v>
      </c>
      <c r="B157" s="19" t="str">
        <f>IFERROR(_xlfn.XLOOKUP(A157,'01_Компании'!$A$4:$A$103,'01_Компании'!$B$4:$B$103),"")</f>
        <v>dbdiagram.io</v>
      </c>
      <c r="C157" s="19" t="s">
        <v>565</v>
      </c>
      <c r="D157" s="19" t="s">
        <v>560</v>
      </c>
      <c r="E157" s="19" t="s">
        <v>823</v>
      </c>
      <c r="F157" s="19" t="s">
        <v>408</v>
      </c>
      <c r="G157" s="19">
        <v>3</v>
      </c>
      <c r="H157" s="20">
        <v>46295</v>
      </c>
      <c r="I157" s="19" t="s">
        <v>567</v>
      </c>
      <c r="J157" s="19">
        <v>3</v>
      </c>
      <c r="K157" s="19" t="s">
        <v>563</v>
      </c>
      <c r="L157" s="19" t="s">
        <v>568</v>
      </c>
    </row>
    <row r="158" spans="1:12" ht="40.5">
      <c r="A158" s="19" t="s">
        <v>98</v>
      </c>
      <c r="B158" s="19" t="str">
        <f>IFERROR(_xlfn.XLOOKUP(A158,'01_Компании'!$A$4:$A$103,'01_Компании'!$B$4:$B$103),"")</f>
        <v>dbdiagram.io</v>
      </c>
      <c r="C158" s="19" t="s">
        <v>569</v>
      </c>
      <c r="D158" s="19" t="s">
        <v>560</v>
      </c>
      <c r="E158" s="19" t="s">
        <v>824</v>
      </c>
      <c r="F158" s="19" t="s">
        <v>410</v>
      </c>
      <c r="G158" s="19">
        <v>3</v>
      </c>
      <c r="H158" s="20">
        <v>46295</v>
      </c>
      <c r="I158" s="19" t="s">
        <v>571</v>
      </c>
      <c r="J158" s="19">
        <v>3</v>
      </c>
      <c r="K158" s="19" t="s">
        <v>563</v>
      </c>
      <c r="L158" s="19" t="s">
        <v>572</v>
      </c>
    </row>
    <row r="159" spans="1:12" ht="27">
      <c r="A159" s="19" t="s">
        <v>98</v>
      </c>
      <c r="B159" s="19" t="str">
        <f>IFERROR(_xlfn.XLOOKUP(A159,'01_Компании'!$A$4:$A$103,'01_Компании'!$B$4:$B$103),"")</f>
        <v>dbdiagram.io</v>
      </c>
      <c r="C159" s="19" t="s">
        <v>573</v>
      </c>
      <c r="D159" s="19" t="s">
        <v>574</v>
      </c>
      <c r="E159" s="19" t="s">
        <v>825</v>
      </c>
      <c r="F159" s="19" t="s">
        <v>410</v>
      </c>
      <c r="G159" s="19">
        <v>3</v>
      </c>
      <c r="H159" s="20">
        <v>46295</v>
      </c>
      <c r="I159" s="19" t="s">
        <v>576</v>
      </c>
      <c r="J159" s="19">
        <v>4</v>
      </c>
      <c r="K159" s="19" t="s">
        <v>577</v>
      </c>
      <c r="L159" s="19" t="s">
        <v>578</v>
      </c>
    </row>
    <row r="160" spans="1:12" ht="27">
      <c r="A160" s="19" t="s">
        <v>98</v>
      </c>
      <c r="B160" s="19" t="str">
        <f>IFERROR(_xlfn.XLOOKUP(A160,'01_Компании'!$A$4:$A$103,'01_Компании'!$B$4:$B$103),"")</f>
        <v>dbdiagram.io</v>
      </c>
      <c r="C160" s="19" t="s">
        <v>579</v>
      </c>
      <c r="D160" s="19" t="s">
        <v>826</v>
      </c>
      <c r="E160" s="19" t="s">
        <v>827</v>
      </c>
      <c r="F160" s="19" t="s">
        <v>404</v>
      </c>
      <c r="G160" s="19">
        <v>5</v>
      </c>
      <c r="H160" s="20">
        <v>46295</v>
      </c>
      <c r="I160" s="19" t="s">
        <v>581</v>
      </c>
      <c r="J160" s="19">
        <v>4</v>
      </c>
      <c r="K160" s="19" t="s">
        <v>582</v>
      </c>
      <c r="L160" s="19" t="s">
        <v>583</v>
      </c>
    </row>
    <row r="161" spans="1:12" ht="27">
      <c r="A161" s="19" t="s">
        <v>98</v>
      </c>
      <c r="B161" s="19" t="str">
        <f>IFERROR(_xlfn.XLOOKUP(A161,'01_Компании'!$A$4:$A$103,'01_Компании'!$B$4:$B$103),"")</f>
        <v>dbdiagram.io</v>
      </c>
      <c r="C161" s="19" t="s">
        <v>590</v>
      </c>
      <c r="D161" s="19" t="s">
        <v>828</v>
      </c>
      <c r="E161" s="19" t="s">
        <v>829</v>
      </c>
      <c r="F161" s="19" t="s">
        <v>411</v>
      </c>
      <c r="G161" s="19">
        <v>3</v>
      </c>
      <c r="H161" s="20">
        <v>46295</v>
      </c>
      <c r="I161" s="19" t="s">
        <v>593</v>
      </c>
      <c r="J161" s="19">
        <v>5</v>
      </c>
      <c r="K161" s="19" t="s">
        <v>594</v>
      </c>
      <c r="L161" s="19" t="s">
        <v>595</v>
      </c>
    </row>
    <row r="162" spans="1:12" ht="27">
      <c r="A162" s="19" t="s">
        <v>98</v>
      </c>
      <c r="B162" s="19" t="str">
        <f>IFERROR(_xlfn.XLOOKUP(A162,'01_Компании'!$A$4:$A$103,'01_Компании'!$B$4:$B$103),"")</f>
        <v>dbdiagram.io</v>
      </c>
      <c r="C162" s="19" t="s">
        <v>596</v>
      </c>
      <c r="D162" s="19" t="s">
        <v>830</v>
      </c>
      <c r="E162" s="19" t="s">
        <v>831</v>
      </c>
      <c r="F162" s="19" t="s">
        <v>411</v>
      </c>
      <c r="G162" s="19">
        <v>2</v>
      </c>
      <c r="H162" s="20">
        <v>46295</v>
      </c>
      <c r="I162" s="19" t="s">
        <v>599</v>
      </c>
      <c r="J162" s="19">
        <v>4</v>
      </c>
      <c r="K162" s="19" t="s">
        <v>600</v>
      </c>
      <c r="L162" s="19" t="s">
        <v>601</v>
      </c>
    </row>
    <row r="163" spans="1:12" ht="40.5">
      <c r="A163" s="19" t="s">
        <v>98</v>
      </c>
      <c r="B163" s="19" t="str">
        <f>IFERROR(_xlfn.XLOOKUP(A163,'01_Компании'!$A$4:$A$103,'01_Компании'!$B$4:$B$103),"")</f>
        <v>dbdiagram.io</v>
      </c>
      <c r="C163" s="19" t="s">
        <v>602</v>
      </c>
      <c r="D163" s="19" t="s">
        <v>819</v>
      </c>
      <c r="E163" s="19" t="s">
        <v>818</v>
      </c>
      <c r="F163" s="19" t="s">
        <v>401</v>
      </c>
      <c r="G163" s="19">
        <v>2</v>
      </c>
      <c r="H163" s="20">
        <v>46295</v>
      </c>
      <c r="I163" s="19" t="s">
        <v>604</v>
      </c>
      <c r="J163" s="19">
        <v>3</v>
      </c>
      <c r="K163" s="19" t="s">
        <v>605</v>
      </c>
      <c r="L163" s="19" t="s">
        <v>606</v>
      </c>
    </row>
    <row r="164" spans="1:12" ht="67.5">
      <c r="A164" s="19" t="s">
        <v>99</v>
      </c>
      <c r="B164" s="19" t="str">
        <f>IFERROR(_xlfn.XLOOKUP(A164,'01_Компании'!$A$4:$A$103,'01_Компании'!$B$4:$B$103),"")</f>
        <v>DrawSQL</v>
      </c>
      <c r="C164" s="19" t="s">
        <v>553</v>
      </c>
      <c r="D164" s="19" t="s">
        <v>832</v>
      </c>
      <c r="E164" s="19" t="s">
        <v>833</v>
      </c>
      <c r="F164" s="19" t="s">
        <v>398</v>
      </c>
      <c r="G164" s="19">
        <v>4</v>
      </c>
      <c r="H164" s="20">
        <v>46295</v>
      </c>
      <c r="I164" s="19" t="s">
        <v>834</v>
      </c>
      <c r="J164" s="19">
        <v>4</v>
      </c>
      <c r="K164" s="19" t="s">
        <v>557</v>
      </c>
      <c r="L164" s="19" t="s">
        <v>558</v>
      </c>
    </row>
    <row r="165" spans="1:12" ht="40.5">
      <c r="A165" s="19" t="s">
        <v>99</v>
      </c>
      <c r="B165" s="19" t="str">
        <f>IFERROR(_xlfn.XLOOKUP(A165,'01_Компании'!$A$4:$A$103,'01_Компании'!$B$4:$B$103),"")</f>
        <v>DrawSQL</v>
      </c>
      <c r="C165" s="19" t="s">
        <v>559</v>
      </c>
      <c r="D165" s="19" t="s">
        <v>560</v>
      </c>
      <c r="E165" s="19" t="s">
        <v>835</v>
      </c>
      <c r="F165" s="19" t="s">
        <v>411</v>
      </c>
      <c r="G165" s="19">
        <v>3</v>
      </c>
      <c r="H165" s="20">
        <v>46295</v>
      </c>
      <c r="I165" s="19" t="s">
        <v>562</v>
      </c>
      <c r="J165" s="19">
        <v>3</v>
      </c>
      <c r="K165" s="19" t="s">
        <v>563</v>
      </c>
      <c r="L165" s="19" t="s">
        <v>564</v>
      </c>
    </row>
    <row r="166" spans="1:12" ht="27">
      <c r="A166" s="19" t="s">
        <v>99</v>
      </c>
      <c r="B166" s="19" t="str">
        <f>IFERROR(_xlfn.XLOOKUP(A166,'01_Компании'!$A$4:$A$103,'01_Компании'!$B$4:$B$103),"")</f>
        <v>DrawSQL</v>
      </c>
      <c r="C166" s="19" t="s">
        <v>573</v>
      </c>
      <c r="D166" s="19" t="s">
        <v>574</v>
      </c>
      <c r="E166" s="19" t="s">
        <v>836</v>
      </c>
      <c r="F166" s="19" t="s">
        <v>410</v>
      </c>
      <c r="G166" s="19">
        <v>3</v>
      </c>
      <c r="H166" s="20">
        <v>46295</v>
      </c>
      <c r="I166" s="19" t="s">
        <v>576</v>
      </c>
      <c r="J166" s="19">
        <v>4</v>
      </c>
      <c r="K166" s="19" t="s">
        <v>577</v>
      </c>
      <c r="L166" s="19" t="s">
        <v>578</v>
      </c>
    </row>
    <row r="167" spans="1:12" ht="27">
      <c r="A167" s="19" t="s">
        <v>99</v>
      </c>
      <c r="B167" s="19" t="str">
        <f>IFERROR(_xlfn.XLOOKUP(A167,'01_Компании'!$A$4:$A$103,'01_Компании'!$B$4:$B$103),"")</f>
        <v>DrawSQL</v>
      </c>
      <c r="C167" s="19" t="s">
        <v>596</v>
      </c>
      <c r="D167" s="19" t="s">
        <v>837</v>
      </c>
      <c r="E167" s="19" t="s">
        <v>838</v>
      </c>
      <c r="F167" s="19" t="s">
        <v>411</v>
      </c>
      <c r="G167" s="19">
        <v>2</v>
      </c>
      <c r="H167" s="20">
        <v>46295</v>
      </c>
      <c r="I167" s="19" t="s">
        <v>599</v>
      </c>
      <c r="J167" s="19">
        <v>4</v>
      </c>
      <c r="K167" s="19" t="s">
        <v>600</v>
      </c>
      <c r="L167" s="19" t="s">
        <v>601</v>
      </c>
    </row>
    <row r="168" spans="1:12" ht="40.5">
      <c r="A168" s="19" t="s">
        <v>99</v>
      </c>
      <c r="B168" s="19" t="str">
        <f>IFERROR(_xlfn.XLOOKUP(A168,'01_Компании'!$A$4:$A$103,'01_Компании'!$B$4:$B$103),"")</f>
        <v>DrawSQL</v>
      </c>
      <c r="C168" s="19" t="s">
        <v>602</v>
      </c>
      <c r="D168" s="19" t="s">
        <v>832</v>
      </c>
      <c r="E168" s="19" t="s">
        <v>839</v>
      </c>
      <c r="F168" s="19" t="s">
        <v>401</v>
      </c>
      <c r="G168" s="19">
        <v>2</v>
      </c>
      <c r="H168" s="20">
        <v>46295</v>
      </c>
      <c r="I168" s="19" t="s">
        <v>604</v>
      </c>
      <c r="J168" s="19">
        <v>3</v>
      </c>
      <c r="K168" s="19" t="s">
        <v>605</v>
      </c>
      <c r="L168" s="19" t="s">
        <v>606</v>
      </c>
    </row>
    <row r="169" spans="1:12" ht="40.5">
      <c r="A169" s="19" t="s">
        <v>100</v>
      </c>
      <c r="B169" s="19" t="str">
        <f>IFERROR(_xlfn.XLOOKUP(A169,'01_Компании'!$A$4:$A$103,'01_Компании'!$B$4:$B$103),"")</f>
        <v>Eraser</v>
      </c>
      <c r="C169" s="19" t="s">
        <v>553</v>
      </c>
      <c r="D169" s="19" t="s">
        <v>840</v>
      </c>
      <c r="E169" s="19" t="s">
        <v>841</v>
      </c>
      <c r="F169" s="19" t="s">
        <v>398</v>
      </c>
      <c r="G169" s="19">
        <v>4</v>
      </c>
      <c r="H169" s="20">
        <v>46295</v>
      </c>
      <c r="I169" s="19" t="s">
        <v>842</v>
      </c>
      <c r="J169" s="19">
        <v>4</v>
      </c>
      <c r="K169" s="19" t="s">
        <v>557</v>
      </c>
      <c r="L169" s="19" t="s">
        <v>558</v>
      </c>
    </row>
    <row r="170" spans="1:12" ht="27">
      <c r="A170" s="19" t="s">
        <v>100</v>
      </c>
      <c r="B170" s="19" t="str">
        <f>IFERROR(_xlfn.XLOOKUP(A170,'01_Компании'!$A$4:$A$103,'01_Компании'!$B$4:$B$103),"")</f>
        <v>Eraser</v>
      </c>
      <c r="C170" s="19" t="s">
        <v>573</v>
      </c>
      <c r="D170" s="19" t="s">
        <v>574</v>
      </c>
      <c r="E170" s="19" t="s">
        <v>843</v>
      </c>
      <c r="F170" s="19" t="s">
        <v>410</v>
      </c>
      <c r="G170" s="19">
        <v>3</v>
      </c>
      <c r="H170" s="20">
        <v>46295</v>
      </c>
      <c r="I170" s="19" t="s">
        <v>576</v>
      </c>
      <c r="J170" s="19">
        <v>4</v>
      </c>
      <c r="K170" s="19" t="s">
        <v>577</v>
      </c>
      <c r="L170" s="19" t="s">
        <v>578</v>
      </c>
    </row>
    <row r="171" spans="1:12" ht="54">
      <c r="A171" s="19" t="s">
        <v>100</v>
      </c>
      <c r="B171" s="19" t="str">
        <f>IFERROR(_xlfn.XLOOKUP(A171,'01_Компании'!$A$4:$A$103,'01_Компании'!$B$4:$B$103),"")</f>
        <v>Eraser</v>
      </c>
      <c r="C171" s="19" t="s">
        <v>579</v>
      </c>
      <c r="D171" s="19" t="s">
        <v>844</v>
      </c>
      <c r="E171" s="19" t="s">
        <v>845</v>
      </c>
      <c r="F171" s="19" t="s">
        <v>404</v>
      </c>
      <c r="G171" s="19">
        <v>5</v>
      </c>
      <c r="H171" s="20">
        <v>46295</v>
      </c>
      <c r="I171" s="19" t="s">
        <v>581</v>
      </c>
      <c r="J171" s="19">
        <v>4</v>
      </c>
      <c r="K171" s="19" t="s">
        <v>582</v>
      </c>
      <c r="L171" s="19" t="s">
        <v>583</v>
      </c>
    </row>
    <row r="172" spans="1:12" ht="40.5">
      <c r="A172" s="19" t="s">
        <v>100</v>
      </c>
      <c r="B172" s="19" t="str">
        <f>IFERROR(_xlfn.XLOOKUP(A172,'01_Компании'!$A$4:$A$103,'01_Компании'!$B$4:$B$103),"")</f>
        <v>Eraser</v>
      </c>
      <c r="C172" s="19" t="s">
        <v>584</v>
      </c>
      <c r="D172" s="19" t="s">
        <v>846</v>
      </c>
      <c r="E172" s="19" t="s">
        <v>847</v>
      </c>
      <c r="F172" s="19" t="s">
        <v>411</v>
      </c>
      <c r="G172" s="19">
        <v>3</v>
      </c>
      <c r="H172" s="20">
        <v>46295</v>
      </c>
      <c r="I172" s="19" t="s">
        <v>587</v>
      </c>
      <c r="J172" s="19">
        <v>3</v>
      </c>
      <c r="K172" s="19" t="s">
        <v>588</v>
      </c>
      <c r="L172" s="19" t="s">
        <v>589</v>
      </c>
    </row>
    <row r="173" spans="1:12" ht="27">
      <c r="A173" s="19" t="s">
        <v>100</v>
      </c>
      <c r="B173" s="19" t="str">
        <f>IFERROR(_xlfn.XLOOKUP(A173,'01_Компании'!$A$4:$A$103,'01_Компании'!$B$4:$B$103),"")</f>
        <v>Eraser</v>
      </c>
      <c r="C173" s="19" t="s">
        <v>596</v>
      </c>
      <c r="D173" s="19" t="s">
        <v>848</v>
      </c>
      <c r="E173" s="19" t="s">
        <v>849</v>
      </c>
      <c r="F173" s="19" t="s">
        <v>411</v>
      </c>
      <c r="G173" s="19">
        <v>2</v>
      </c>
      <c r="H173" s="20">
        <v>46295</v>
      </c>
      <c r="I173" s="19" t="s">
        <v>599</v>
      </c>
      <c r="J173" s="19">
        <v>4</v>
      </c>
      <c r="K173" s="19" t="s">
        <v>600</v>
      </c>
      <c r="L173" s="19" t="s">
        <v>601</v>
      </c>
    </row>
    <row r="174" spans="1:12" ht="40.5">
      <c r="A174" s="19" t="s">
        <v>100</v>
      </c>
      <c r="B174" s="19" t="str">
        <f>IFERROR(_xlfn.XLOOKUP(A174,'01_Компании'!$A$4:$A$103,'01_Компании'!$B$4:$B$103),"")</f>
        <v>Eraser</v>
      </c>
      <c r="C174" s="19" t="s">
        <v>602</v>
      </c>
      <c r="D174" s="19" t="s">
        <v>840</v>
      </c>
      <c r="E174" s="19" t="s">
        <v>850</v>
      </c>
      <c r="F174" s="19" t="s">
        <v>401</v>
      </c>
      <c r="G174" s="19">
        <v>2</v>
      </c>
      <c r="H174" s="20">
        <v>46295</v>
      </c>
      <c r="I174" s="19" t="s">
        <v>604</v>
      </c>
      <c r="J174" s="19">
        <v>3</v>
      </c>
      <c r="K174" s="19" t="s">
        <v>605</v>
      </c>
      <c r="L174" s="19" t="s">
        <v>606</v>
      </c>
    </row>
    <row r="175" spans="1:12" ht="81">
      <c r="A175" s="19" t="s">
        <v>101</v>
      </c>
      <c r="B175" s="19" t="str">
        <f>IFERROR(_xlfn.XLOOKUP(A175,'01_Компании'!$A$4:$A$103,'01_Компании'!$B$4:$B$103),"")</f>
        <v>Whimsical</v>
      </c>
      <c r="C175" s="19" t="s">
        <v>553</v>
      </c>
      <c r="D175" s="19" t="s">
        <v>851</v>
      </c>
      <c r="E175" s="19" t="s">
        <v>852</v>
      </c>
      <c r="F175" s="19" t="s">
        <v>398</v>
      </c>
      <c r="G175" s="19">
        <v>4</v>
      </c>
      <c r="H175" s="20">
        <v>46295</v>
      </c>
      <c r="I175" s="19" t="s">
        <v>853</v>
      </c>
      <c r="J175" s="19">
        <v>4</v>
      </c>
      <c r="K175" s="19" t="s">
        <v>557</v>
      </c>
      <c r="L175" s="19" t="s">
        <v>558</v>
      </c>
    </row>
    <row r="176" spans="1:12" ht="40.5">
      <c r="A176" s="19" t="s">
        <v>101</v>
      </c>
      <c r="B176" s="19" t="str">
        <f>IFERROR(_xlfn.XLOOKUP(A176,'01_Компании'!$A$4:$A$103,'01_Компании'!$B$4:$B$103),"")</f>
        <v>Whimsical</v>
      </c>
      <c r="C176" s="19" t="s">
        <v>573</v>
      </c>
      <c r="D176" s="19" t="s">
        <v>574</v>
      </c>
      <c r="E176" s="19" t="s">
        <v>854</v>
      </c>
      <c r="F176" s="19" t="s">
        <v>410</v>
      </c>
      <c r="G176" s="19">
        <v>3</v>
      </c>
      <c r="H176" s="20">
        <v>46295</v>
      </c>
      <c r="I176" s="19" t="s">
        <v>576</v>
      </c>
      <c r="J176" s="19">
        <v>4</v>
      </c>
      <c r="K176" s="19" t="s">
        <v>620</v>
      </c>
      <c r="L176" s="19" t="s">
        <v>578</v>
      </c>
    </row>
    <row r="177" spans="1:12" ht="54">
      <c r="A177" s="19" t="s">
        <v>101</v>
      </c>
      <c r="B177" s="19" t="str">
        <f>IFERROR(_xlfn.XLOOKUP(A177,'01_Компании'!$A$4:$A$103,'01_Компании'!$B$4:$B$103),"")</f>
        <v>Whimsical</v>
      </c>
      <c r="C177" s="19" t="s">
        <v>579</v>
      </c>
      <c r="D177" s="19" t="s">
        <v>855</v>
      </c>
      <c r="E177" s="19" t="s">
        <v>856</v>
      </c>
      <c r="F177" s="19" t="s">
        <v>404</v>
      </c>
      <c r="G177" s="19">
        <v>5</v>
      </c>
      <c r="H177" s="20">
        <v>46295</v>
      </c>
      <c r="I177" s="19" t="s">
        <v>581</v>
      </c>
      <c r="J177" s="19">
        <v>4</v>
      </c>
      <c r="K177" s="19" t="s">
        <v>582</v>
      </c>
      <c r="L177" s="19" t="s">
        <v>583</v>
      </c>
    </row>
    <row r="178" spans="1:12" ht="40.5">
      <c r="A178" s="19" t="s">
        <v>101</v>
      </c>
      <c r="B178" s="19" t="str">
        <f>IFERROR(_xlfn.XLOOKUP(A178,'01_Компании'!$A$4:$A$103,'01_Компании'!$B$4:$B$103),"")</f>
        <v>Whimsical</v>
      </c>
      <c r="C178" s="19" t="s">
        <v>584</v>
      </c>
      <c r="D178" s="19" t="s">
        <v>857</v>
      </c>
      <c r="E178" s="19" t="s">
        <v>858</v>
      </c>
      <c r="F178" s="19" t="s">
        <v>411</v>
      </c>
      <c r="G178" s="19">
        <v>3</v>
      </c>
      <c r="H178" s="20">
        <v>46295</v>
      </c>
      <c r="I178" s="19" t="s">
        <v>587</v>
      </c>
      <c r="J178" s="19">
        <v>3</v>
      </c>
      <c r="K178" s="19" t="s">
        <v>588</v>
      </c>
      <c r="L178" s="19" t="s">
        <v>589</v>
      </c>
    </row>
    <row r="179" spans="1:12" ht="27">
      <c r="A179" s="19" t="s">
        <v>102</v>
      </c>
      <c r="B179" s="19" t="str">
        <f>IFERROR(_xlfn.XLOOKUP(A179,'01_Компании'!$A$4:$A$103,'01_Компании'!$B$4:$B$103),"")</f>
        <v>Microsoft Visio</v>
      </c>
      <c r="C179" s="19" t="s">
        <v>573</v>
      </c>
      <c r="D179" s="19" t="s">
        <v>574</v>
      </c>
      <c r="E179" s="19" t="s">
        <v>859</v>
      </c>
      <c r="F179" s="19" t="s">
        <v>410</v>
      </c>
      <c r="G179" s="19">
        <v>3</v>
      </c>
      <c r="H179" s="20">
        <v>46295</v>
      </c>
      <c r="I179" s="19" t="s">
        <v>576</v>
      </c>
      <c r="J179" s="19">
        <v>4</v>
      </c>
      <c r="K179" s="19" t="s">
        <v>620</v>
      </c>
      <c r="L179" s="19" t="s">
        <v>578</v>
      </c>
    </row>
    <row r="180" spans="1:12" ht="40.5">
      <c r="A180" s="19" t="s">
        <v>102</v>
      </c>
      <c r="B180" s="19" t="str">
        <f>IFERROR(_xlfn.XLOOKUP(A180,'01_Компании'!$A$4:$A$103,'01_Компании'!$B$4:$B$103),"")</f>
        <v>Microsoft Visio</v>
      </c>
      <c r="C180" s="19" t="s">
        <v>579</v>
      </c>
      <c r="D180" s="19" t="s">
        <v>860</v>
      </c>
      <c r="E180" s="19" t="s">
        <v>861</v>
      </c>
      <c r="F180" s="19" t="s">
        <v>404</v>
      </c>
      <c r="G180" s="19">
        <v>5</v>
      </c>
      <c r="H180" s="20">
        <v>46295</v>
      </c>
      <c r="I180" s="19" t="s">
        <v>581</v>
      </c>
      <c r="J180" s="19">
        <v>4</v>
      </c>
      <c r="K180" s="19" t="s">
        <v>582</v>
      </c>
      <c r="L180" s="19" t="s">
        <v>583</v>
      </c>
    </row>
    <row r="181" spans="1:12">
      <c r="A181" s="2"/>
      <c r="B181" s="2" t="str">
        <f>IFERROR(_xlfn.XLOOKUP(A181,'01_Компании'!$A$4:$A$103,'01_Компании'!$B$4:$B$103),"")</f>
        <v/>
      </c>
      <c r="C181" s="2"/>
      <c r="D181" s="2"/>
      <c r="E181" s="2"/>
      <c r="F181" s="2"/>
      <c r="G181" s="2"/>
      <c r="H181" s="5"/>
      <c r="I181" s="2"/>
      <c r="J181" s="2"/>
      <c r="K181" s="2"/>
      <c r="L181" s="2"/>
    </row>
    <row r="182" spans="1:12">
      <c r="A182" s="2"/>
      <c r="B182" s="2" t="str">
        <f>IFERROR(_xlfn.XLOOKUP(A182,'01_Компании'!$A$4:$A$103,'01_Компании'!$B$4:$B$103),"")</f>
        <v/>
      </c>
      <c r="C182" s="2"/>
      <c r="D182" s="2"/>
      <c r="E182" s="2"/>
      <c r="F182" s="2"/>
      <c r="G182" s="2"/>
      <c r="H182" s="5"/>
      <c r="I182" s="2"/>
      <c r="J182" s="2"/>
      <c r="K182" s="2"/>
      <c r="L182" s="2"/>
    </row>
    <row r="183" spans="1:12">
      <c r="A183" s="2"/>
      <c r="B183" s="2" t="str">
        <f>IFERROR(_xlfn.XLOOKUP(A183,'01_Компании'!$A$4:$A$103,'01_Компании'!$B$4:$B$103),"")</f>
        <v/>
      </c>
      <c r="C183" s="2"/>
      <c r="D183" s="2"/>
      <c r="E183" s="2"/>
      <c r="F183" s="2"/>
      <c r="G183" s="2"/>
      <c r="H183" s="5"/>
      <c r="I183" s="2"/>
      <c r="J183" s="2"/>
      <c r="K183" s="2"/>
      <c r="L183" s="2"/>
    </row>
    <row r="184" spans="1:12">
      <c r="A184" s="2"/>
      <c r="B184" s="2" t="str">
        <f>IFERROR(_xlfn.XLOOKUP(A184,'01_Компании'!$A$4:$A$103,'01_Компании'!$B$4:$B$103),"")</f>
        <v/>
      </c>
      <c r="C184" s="2"/>
      <c r="D184" s="2"/>
      <c r="E184" s="2"/>
      <c r="F184" s="2"/>
      <c r="G184" s="2"/>
      <c r="H184" s="5"/>
      <c r="I184" s="2"/>
      <c r="J184" s="2"/>
      <c r="K184" s="2"/>
      <c r="L184" s="2"/>
    </row>
    <row r="185" spans="1:12">
      <c r="A185" s="2"/>
      <c r="B185" s="2" t="str">
        <f>IFERROR(_xlfn.XLOOKUP(A185,'01_Компании'!$A$4:$A$103,'01_Компании'!$B$4:$B$103),"")</f>
        <v/>
      </c>
      <c r="C185" s="2"/>
      <c r="D185" s="2"/>
      <c r="E185" s="2"/>
      <c r="F185" s="2"/>
      <c r="G185" s="2"/>
      <c r="H185" s="5"/>
      <c r="I185" s="2"/>
      <c r="J185" s="2"/>
      <c r="K185" s="2"/>
      <c r="L185" s="2"/>
    </row>
    <row r="186" spans="1:12">
      <c r="A186" s="2"/>
      <c r="B186" s="2" t="str">
        <f>IFERROR(_xlfn.XLOOKUP(A186,'01_Компании'!$A$4:$A$103,'01_Компании'!$B$4:$B$103),"")</f>
        <v/>
      </c>
      <c r="C186" s="2"/>
      <c r="D186" s="2"/>
      <c r="E186" s="2"/>
      <c r="F186" s="2"/>
      <c r="G186" s="2"/>
      <c r="H186" s="5"/>
      <c r="I186" s="2"/>
      <c r="J186" s="2"/>
      <c r="K186" s="2"/>
      <c r="L186" s="2"/>
    </row>
    <row r="187" spans="1:12">
      <c r="A187" s="2"/>
      <c r="B187" s="2" t="str">
        <f>IFERROR(_xlfn.XLOOKUP(A187,'01_Компании'!$A$4:$A$103,'01_Компании'!$B$4:$B$103),"")</f>
        <v/>
      </c>
      <c r="C187" s="2"/>
      <c r="D187" s="2"/>
      <c r="E187" s="2"/>
      <c r="F187" s="2"/>
      <c r="G187" s="2"/>
      <c r="H187" s="5"/>
      <c r="I187" s="2"/>
      <c r="J187" s="2"/>
      <c r="K187" s="2"/>
      <c r="L187" s="2"/>
    </row>
    <row r="188" spans="1:12">
      <c r="A188" s="2"/>
      <c r="B188" s="2" t="str">
        <f>IFERROR(_xlfn.XLOOKUP(A188,'01_Компании'!$A$4:$A$103,'01_Компании'!$B$4:$B$103),"")</f>
        <v/>
      </c>
      <c r="C188" s="2"/>
      <c r="D188" s="2"/>
      <c r="E188" s="2"/>
      <c r="F188" s="2"/>
      <c r="G188" s="2"/>
      <c r="H188" s="5"/>
      <c r="I188" s="2"/>
      <c r="J188" s="2"/>
      <c r="K188" s="2"/>
      <c r="L188" s="2"/>
    </row>
    <row r="189" spans="1:12">
      <c r="A189" s="2"/>
      <c r="B189" s="2" t="str">
        <f>IFERROR(_xlfn.XLOOKUP(A189,'01_Компании'!$A$4:$A$103,'01_Компании'!$B$4:$B$103),"")</f>
        <v/>
      </c>
      <c r="C189" s="2"/>
      <c r="D189" s="2"/>
      <c r="E189" s="2"/>
      <c r="F189" s="2"/>
      <c r="G189" s="2"/>
      <c r="H189" s="5"/>
      <c r="I189" s="2"/>
      <c r="J189" s="2"/>
      <c r="K189" s="2"/>
      <c r="L189" s="2"/>
    </row>
    <row r="190" spans="1:12">
      <c r="A190" s="2"/>
      <c r="B190" s="2" t="str">
        <f>IFERROR(_xlfn.XLOOKUP(A190,'01_Компании'!$A$4:$A$103,'01_Компании'!$B$4:$B$103),"")</f>
        <v/>
      </c>
      <c r="C190" s="2"/>
      <c r="D190" s="2"/>
      <c r="E190" s="2"/>
      <c r="F190" s="2"/>
      <c r="G190" s="2"/>
      <c r="H190" s="5"/>
      <c r="I190" s="2"/>
      <c r="J190" s="2"/>
      <c r="K190" s="2"/>
      <c r="L190" s="2"/>
    </row>
    <row r="191" spans="1:12">
      <c r="A191" s="2"/>
      <c r="B191" s="2" t="str">
        <f>IFERROR(_xlfn.XLOOKUP(A191,'01_Компании'!$A$4:$A$103,'01_Компании'!$B$4:$B$103),"")</f>
        <v/>
      </c>
      <c r="C191" s="2"/>
      <c r="D191" s="2"/>
      <c r="E191" s="2"/>
      <c r="F191" s="2"/>
      <c r="G191" s="2"/>
      <c r="H191" s="5"/>
      <c r="I191" s="2"/>
      <c r="J191" s="2"/>
      <c r="K191" s="2"/>
      <c r="L191" s="2"/>
    </row>
    <row r="192" spans="1:12">
      <c r="A192" s="2"/>
      <c r="B192" s="2" t="str">
        <f>IFERROR(_xlfn.XLOOKUP(A192,'01_Компании'!$A$4:$A$103,'01_Компании'!$B$4:$B$103),"")</f>
        <v/>
      </c>
      <c r="C192" s="2"/>
      <c r="D192" s="2"/>
      <c r="E192" s="2"/>
      <c r="F192" s="2"/>
      <c r="G192" s="2"/>
      <c r="H192" s="5"/>
      <c r="I192" s="2"/>
      <c r="J192" s="2"/>
      <c r="K192" s="2"/>
      <c r="L192" s="2"/>
    </row>
    <row r="193" spans="1:12">
      <c r="A193" s="2"/>
      <c r="B193" s="2" t="str">
        <f>IFERROR(_xlfn.XLOOKUP(A193,'01_Компании'!$A$4:$A$103,'01_Компании'!$B$4:$B$103),"")</f>
        <v/>
      </c>
      <c r="C193" s="2"/>
      <c r="D193" s="2"/>
      <c r="E193" s="2"/>
      <c r="F193" s="2"/>
      <c r="G193" s="2"/>
      <c r="H193" s="5"/>
      <c r="I193" s="2"/>
      <c r="J193" s="2"/>
      <c r="K193" s="2"/>
      <c r="L193" s="2"/>
    </row>
    <row r="194" spans="1:12">
      <c r="A194" s="2"/>
      <c r="B194" s="2" t="str">
        <f>IFERROR(_xlfn.XLOOKUP(A194,'01_Компании'!$A$4:$A$103,'01_Компании'!$B$4:$B$103),"")</f>
        <v/>
      </c>
      <c r="C194" s="2"/>
      <c r="D194" s="2"/>
      <c r="E194" s="2"/>
      <c r="F194" s="2"/>
      <c r="G194" s="2"/>
      <c r="H194" s="5"/>
      <c r="I194" s="2"/>
      <c r="J194" s="2"/>
      <c r="K194" s="2"/>
      <c r="L194" s="2"/>
    </row>
    <row r="195" spans="1:12">
      <c r="A195" s="2"/>
      <c r="B195" s="2" t="str">
        <f>IFERROR(_xlfn.XLOOKUP(A195,'01_Компании'!$A$4:$A$103,'01_Компании'!$B$4:$B$103),"")</f>
        <v/>
      </c>
      <c r="C195" s="2"/>
      <c r="D195" s="2"/>
      <c r="E195" s="2"/>
      <c r="F195" s="2"/>
      <c r="G195" s="2"/>
      <c r="H195" s="5"/>
      <c r="I195" s="2"/>
      <c r="J195" s="2"/>
      <c r="K195" s="2"/>
      <c r="L195" s="2"/>
    </row>
    <row r="196" spans="1:12">
      <c r="A196" s="2"/>
      <c r="B196" s="2" t="str">
        <f>IFERROR(_xlfn.XLOOKUP(A196,'01_Компании'!$A$4:$A$103,'01_Компании'!$B$4:$B$103),"")</f>
        <v/>
      </c>
      <c r="C196" s="2"/>
      <c r="D196" s="2"/>
      <c r="E196" s="2"/>
      <c r="F196" s="2"/>
      <c r="G196" s="2"/>
      <c r="H196" s="5"/>
      <c r="I196" s="2"/>
      <c r="J196" s="2"/>
      <c r="K196" s="2"/>
      <c r="L196" s="2"/>
    </row>
    <row r="197" spans="1:12">
      <c r="A197" s="2"/>
      <c r="B197" s="2" t="str">
        <f>IFERROR(_xlfn.XLOOKUP(A197,'01_Компании'!$A$4:$A$103,'01_Компании'!$B$4:$B$103),"")</f>
        <v/>
      </c>
      <c r="C197" s="2"/>
      <c r="D197" s="2"/>
      <c r="E197" s="2"/>
      <c r="F197" s="2"/>
      <c r="G197" s="2"/>
      <c r="H197" s="5"/>
      <c r="I197" s="2"/>
      <c r="J197" s="2"/>
      <c r="K197" s="2"/>
      <c r="L197" s="2"/>
    </row>
    <row r="198" spans="1:12">
      <c r="A198" s="2"/>
      <c r="B198" s="2" t="str">
        <f>IFERROR(_xlfn.XLOOKUP(A198,'01_Компании'!$A$4:$A$103,'01_Компании'!$B$4:$B$103),"")</f>
        <v/>
      </c>
      <c r="C198" s="2"/>
      <c r="D198" s="2"/>
      <c r="E198" s="2"/>
      <c r="F198" s="2"/>
      <c r="G198" s="2"/>
      <c r="H198" s="5"/>
      <c r="I198" s="2"/>
      <c r="J198" s="2"/>
      <c r="K198" s="2"/>
      <c r="L198" s="2"/>
    </row>
    <row r="199" spans="1:12">
      <c r="A199" s="2"/>
      <c r="B199" s="2" t="str">
        <f>IFERROR(_xlfn.XLOOKUP(A199,'01_Компании'!$A$4:$A$103,'01_Компании'!$B$4:$B$103),"")</f>
        <v/>
      </c>
      <c r="C199" s="2"/>
      <c r="D199" s="2"/>
      <c r="E199" s="2"/>
      <c r="F199" s="2"/>
      <c r="G199" s="2"/>
      <c r="H199" s="5"/>
      <c r="I199" s="2"/>
      <c r="J199" s="2"/>
      <c r="K199" s="2"/>
      <c r="L199" s="2"/>
    </row>
    <row r="200" spans="1:12">
      <c r="A200" s="2"/>
      <c r="B200" s="2" t="str">
        <f>IFERROR(_xlfn.XLOOKUP(A200,'01_Компании'!$A$4:$A$103,'01_Компании'!$B$4:$B$103),"")</f>
        <v/>
      </c>
      <c r="C200" s="2"/>
      <c r="D200" s="2"/>
      <c r="E200" s="2"/>
      <c r="F200" s="2"/>
      <c r="G200" s="2"/>
      <c r="H200" s="5"/>
      <c r="I200" s="2"/>
      <c r="J200" s="2"/>
      <c r="K200" s="2"/>
      <c r="L200" s="2"/>
    </row>
    <row r="201" spans="1:12">
      <c r="A201" s="2"/>
      <c r="B201" s="2" t="str">
        <f>IFERROR(_xlfn.XLOOKUP(A201,'01_Компании'!$A$4:$A$103,'01_Компании'!$B$4:$B$103),"")</f>
        <v/>
      </c>
      <c r="C201" s="2"/>
      <c r="D201" s="2"/>
      <c r="E201" s="2"/>
      <c r="F201" s="2"/>
      <c r="G201" s="2"/>
      <c r="H201" s="5"/>
      <c r="I201" s="2"/>
      <c r="J201" s="2"/>
      <c r="K201" s="2"/>
      <c r="L201" s="2"/>
    </row>
    <row r="202" spans="1:12">
      <c r="A202" s="2"/>
      <c r="B202" s="2" t="str">
        <f>IFERROR(_xlfn.XLOOKUP(A202,'01_Компании'!$A$4:$A$103,'01_Компании'!$B$4:$B$103),"")</f>
        <v/>
      </c>
      <c r="C202" s="2"/>
      <c r="D202" s="2"/>
      <c r="E202" s="2"/>
      <c r="F202" s="2"/>
      <c r="G202" s="2"/>
      <c r="H202" s="5"/>
      <c r="I202" s="2"/>
      <c r="J202" s="2"/>
      <c r="K202" s="2"/>
      <c r="L202" s="2"/>
    </row>
    <row r="203" spans="1:12">
      <c r="A203" s="2"/>
      <c r="B203" s="2" t="str">
        <f>IFERROR(_xlfn.XLOOKUP(A203,'01_Компании'!$A$4:$A$103,'01_Компании'!$B$4:$B$103),"")</f>
        <v/>
      </c>
      <c r="C203" s="2"/>
      <c r="D203" s="2"/>
      <c r="E203" s="2"/>
      <c r="F203" s="2"/>
      <c r="G203" s="2"/>
      <c r="H203" s="5"/>
      <c r="I203" s="2"/>
      <c r="J203" s="2"/>
      <c r="K203" s="2"/>
      <c r="L203" s="2"/>
    </row>
    <row r="204" spans="1:12">
      <c r="A204" s="2"/>
      <c r="B204" s="2" t="str">
        <f>IFERROR(_xlfn.XLOOKUP(A204,'01_Компании'!$A$4:$A$103,'01_Компании'!$B$4:$B$103),"")</f>
        <v/>
      </c>
      <c r="C204" s="2"/>
      <c r="D204" s="2"/>
      <c r="E204" s="2"/>
      <c r="F204" s="2"/>
      <c r="G204" s="2"/>
      <c r="H204" s="5"/>
      <c r="I204" s="2"/>
      <c r="J204" s="2"/>
      <c r="K204" s="2"/>
      <c r="L204" s="2"/>
    </row>
    <row r="205" spans="1:12">
      <c r="A205" s="2"/>
      <c r="B205" s="2" t="str">
        <f>IFERROR(_xlfn.XLOOKUP(A205,'01_Компании'!$A$4:$A$103,'01_Компании'!$B$4:$B$103),"")</f>
        <v/>
      </c>
      <c r="C205" s="2"/>
      <c r="D205" s="2"/>
      <c r="E205" s="2"/>
      <c r="F205" s="2"/>
      <c r="G205" s="2"/>
      <c r="H205" s="5"/>
      <c r="I205" s="2"/>
      <c r="J205" s="2"/>
      <c r="K205" s="2"/>
      <c r="L205" s="2"/>
    </row>
    <row r="206" spans="1:12">
      <c r="A206" s="2"/>
      <c r="B206" s="2" t="str">
        <f>IFERROR(_xlfn.XLOOKUP(A206,'01_Компании'!$A$4:$A$103,'01_Компании'!$B$4:$B$103),"")</f>
        <v/>
      </c>
      <c r="C206" s="2"/>
      <c r="D206" s="2"/>
      <c r="E206" s="2"/>
      <c r="F206" s="2"/>
      <c r="G206" s="2"/>
      <c r="H206" s="5"/>
      <c r="I206" s="2"/>
      <c r="J206" s="2"/>
      <c r="K206" s="2"/>
      <c r="L206" s="2"/>
    </row>
    <row r="207" spans="1:12">
      <c r="A207" s="2"/>
      <c r="B207" s="2" t="str">
        <f>IFERROR(_xlfn.XLOOKUP(A207,'01_Компании'!$A$4:$A$103,'01_Компании'!$B$4:$B$103),"")</f>
        <v/>
      </c>
      <c r="C207" s="2"/>
      <c r="D207" s="2"/>
      <c r="E207" s="2"/>
      <c r="F207" s="2"/>
      <c r="G207" s="2"/>
      <c r="H207" s="5"/>
      <c r="I207" s="2"/>
      <c r="J207" s="2"/>
      <c r="K207" s="2"/>
      <c r="L207" s="2"/>
    </row>
    <row r="208" spans="1:12">
      <c r="A208" s="2"/>
      <c r="B208" s="2" t="str">
        <f>IFERROR(_xlfn.XLOOKUP(A208,'01_Компании'!$A$4:$A$103,'01_Компании'!$B$4:$B$103),"")</f>
        <v/>
      </c>
      <c r="C208" s="2"/>
      <c r="D208" s="2"/>
      <c r="E208" s="2"/>
      <c r="F208" s="2"/>
      <c r="G208" s="2"/>
      <c r="H208" s="5"/>
      <c r="I208" s="2"/>
      <c r="J208" s="2"/>
      <c r="K208" s="2"/>
      <c r="L208" s="2"/>
    </row>
    <row r="209" spans="1:12">
      <c r="A209" s="2"/>
      <c r="B209" s="2" t="str">
        <f>IFERROR(_xlfn.XLOOKUP(A209,'01_Компании'!$A$4:$A$103,'01_Компании'!$B$4:$B$103),"")</f>
        <v/>
      </c>
      <c r="C209" s="2"/>
      <c r="D209" s="2"/>
      <c r="E209" s="2"/>
      <c r="F209" s="2"/>
      <c r="G209" s="2"/>
      <c r="H209" s="5"/>
      <c r="I209" s="2"/>
      <c r="J209" s="2"/>
      <c r="K209" s="2"/>
      <c r="L209" s="2"/>
    </row>
    <row r="210" spans="1:12">
      <c r="A210" s="2"/>
      <c r="B210" s="2" t="str">
        <f>IFERROR(_xlfn.XLOOKUP(A210,'01_Компании'!$A$4:$A$103,'01_Компании'!$B$4:$B$103),"")</f>
        <v/>
      </c>
      <c r="C210" s="2"/>
      <c r="D210" s="2"/>
      <c r="E210" s="2"/>
      <c r="F210" s="2"/>
      <c r="G210" s="2"/>
      <c r="H210" s="5"/>
      <c r="I210" s="2"/>
      <c r="J210" s="2"/>
      <c r="K210" s="2"/>
      <c r="L210" s="2"/>
    </row>
    <row r="211" spans="1:12">
      <c r="A211" s="2"/>
      <c r="B211" s="2" t="str">
        <f>IFERROR(_xlfn.XLOOKUP(A211,'01_Компании'!$A$4:$A$103,'01_Компании'!$B$4:$B$103),"")</f>
        <v/>
      </c>
      <c r="C211" s="2"/>
      <c r="D211" s="2"/>
      <c r="E211" s="2"/>
      <c r="F211" s="2"/>
      <c r="G211" s="2"/>
      <c r="H211" s="5"/>
      <c r="I211" s="2"/>
      <c r="J211" s="2"/>
      <c r="K211" s="2"/>
      <c r="L211" s="2"/>
    </row>
    <row r="212" spans="1:12">
      <c r="A212" s="2"/>
      <c r="B212" s="2" t="str">
        <f>IFERROR(_xlfn.XLOOKUP(A212,'01_Компании'!$A$4:$A$103,'01_Компании'!$B$4:$B$103),"")</f>
        <v/>
      </c>
      <c r="C212" s="2"/>
      <c r="D212" s="2"/>
      <c r="E212" s="2"/>
      <c r="F212" s="2"/>
      <c r="G212" s="2"/>
      <c r="H212" s="5"/>
      <c r="I212" s="2"/>
      <c r="J212" s="2"/>
      <c r="K212" s="2"/>
      <c r="L212" s="2"/>
    </row>
    <row r="213" spans="1:12">
      <c r="A213" s="2"/>
      <c r="B213" s="2" t="str">
        <f>IFERROR(_xlfn.XLOOKUP(A213,'01_Компании'!$A$4:$A$103,'01_Компании'!$B$4:$B$103),"")</f>
        <v/>
      </c>
      <c r="C213" s="2"/>
      <c r="D213" s="2"/>
      <c r="E213" s="2"/>
      <c r="F213" s="2"/>
      <c r="G213" s="2"/>
      <c r="H213" s="5"/>
      <c r="I213" s="2"/>
      <c r="J213" s="2"/>
      <c r="K213" s="2"/>
      <c r="L213" s="2"/>
    </row>
    <row r="214" spans="1:12">
      <c r="A214" s="2"/>
      <c r="B214" s="2" t="str">
        <f>IFERROR(_xlfn.XLOOKUP(A214,'01_Компании'!$A$4:$A$103,'01_Компании'!$B$4:$B$103),"")</f>
        <v/>
      </c>
      <c r="C214" s="2"/>
      <c r="D214" s="2"/>
      <c r="E214" s="2"/>
      <c r="F214" s="2"/>
      <c r="G214" s="2"/>
      <c r="H214" s="5"/>
      <c r="I214" s="2"/>
      <c r="J214" s="2"/>
      <c r="K214" s="2"/>
      <c r="L214" s="2"/>
    </row>
    <row r="215" spans="1:12">
      <c r="A215" s="2"/>
      <c r="B215" s="2" t="str">
        <f>IFERROR(_xlfn.XLOOKUP(A215,'01_Компании'!$A$4:$A$103,'01_Компании'!$B$4:$B$103),"")</f>
        <v/>
      </c>
      <c r="C215" s="2"/>
      <c r="D215" s="2"/>
      <c r="E215" s="2"/>
      <c r="F215" s="2"/>
      <c r="G215" s="2"/>
      <c r="H215" s="5"/>
      <c r="I215" s="2"/>
      <c r="J215" s="2"/>
      <c r="K215" s="2"/>
      <c r="L215" s="2"/>
    </row>
    <row r="216" spans="1:12">
      <c r="A216" s="2"/>
      <c r="B216" s="2" t="str">
        <f>IFERROR(_xlfn.XLOOKUP(A216,'01_Компании'!$A$4:$A$103,'01_Компании'!$B$4:$B$103),"")</f>
        <v/>
      </c>
      <c r="C216" s="2"/>
      <c r="D216" s="2"/>
      <c r="E216" s="2"/>
      <c r="F216" s="2"/>
      <c r="G216" s="2"/>
      <c r="H216" s="5"/>
      <c r="I216" s="2"/>
      <c r="J216" s="2"/>
      <c r="K216" s="2"/>
      <c r="L216" s="2"/>
    </row>
    <row r="217" spans="1:12">
      <c r="A217" s="2"/>
      <c r="B217" s="2" t="str">
        <f>IFERROR(_xlfn.XLOOKUP(A217,'01_Компании'!$A$4:$A$103,'01_Компании'!$B$4:$B$103),"")</f>
        <v/>
      </c>
      <c r="C217" s="2"/>
      <c r="D217" s="2"/>
      <c r="E217" s="2"/>
      <c r="F217" s="2"/>
      <c r="G217" s="2"/>
      <c r="H217" s="5"/>
      <c r="I217" s="2"/>
      <c r="J217" s="2"/>
      <c r="K217" s="2"/>
      <c r="L217" s="2"/>
    </row>
    <row r="218" spans="1:12">
      <c r="A218" s="2"/>
      <c r="B218" s="2" t="str">
        <f>IFERROR(_xlfn.XLOOKUP(A218,'01_Компании'!$A$4:$A$103,'01_Компании'!$B$4:$B$103),"")</f>
        <v/>
      </c>
      <c r="C218" s="2"/>
      <c r="D218" s="2"/>
      <c r="E218" s="2"/>
      <c r="F218" s="2"/>
      <c r="G218" s="2"/>
      <c r="H218" s="5"/>
      <c r="I218" s="2"/>
      <c r="J218" s="2"/>
      <c r="K218" s="2"/>
      <c r="L218" s="2"/>
    </row>
    <row r="219" spans="1:12">
      <c r="A219" s="2"/>
      <c r="B219" s="2" t="str">
        <f>IFERROR(_xlfn.XLOOKUP(A219,'01_Компании'!$A$4:$A$103,'01_Компании'!$B$4:$B$103),"")</f>
        <v/>
      </c>
      <c r="C219" s="2"/>
      <c r="D219" s="2"/>
      <c r="E219" s="2"/>
      <c r="F219" s="2"/>
      <c r="G219" s="2"/>
      <c r="H219" s="5"/>
      <c r="I219" s="2"/>
      <c r="J219" s="2"/>
      <c r="K219" s="2"/>
      <c r="L219" s="2"/>
    </row>
    <row r="220" spans="1:12">
      <c r="A220" s="2"/>
      <c r="B220" s="2" t="str">
        <f>IFERROR(_xlfn.XLOOKUP(A220,'01_Компании'!$A$4:$A$103,'01_Компании'!$B$4:$B$103),"")</f>
        <v/>
      </c>
      <c r="C220" s="2"/>
      <c r="D220" s="2"/>
      <c r="E220" s="2"/>
      <c r="F220" s="2"/>
      <c r="G220" s="2"/>
      <c r="H220" s="5"/>
      <c r="I220" s="2"/>
      <c r="J220" s="2"/>
      <c r="K220" s="2"/>
      <c r="L220" s="2"/>
    </row>
    <row r="221" spans="1:12">
      <c r="A221" s="2"/>
      <c r="B221" s="2" t="str">
        <f>IFERROR(_xlfn.XLOOKUP(A221,'01_Компании'!$A$4:$A$103,'01_Компании'!$B$4:$B$103),"")</f>
        <v/>
      </c>
      <c r="C221" s="2"/>
      <c r="D221" s="2"/>
      <c r="E221" s="2"/>
      <c r="F221" s="2"/>
      <c r="G221" s="2"/>
      <c r="H221" s="5"/>
      <c r="I221" s="2"/>
      <c r="J221" s="2"/>
      <c r="K221" s="2"/>
      <c r="L221" s="2"/>
    </row>
    <row r="222" spans="1:12">
      <c r="A222" s="2"/>
      <c r="B222" s="2" t="str">
        <f>IFERROR(_xlfn.XLOOKUP(A222,'01_Компании'!$A$4:$A$103,'01_Компании'!$B$4:$B$103),"")</f>
        <v/>
      </c>
      <c r="C222" s="2"/>
      <c r="D222" s="2"/>
      <c r="E222" s="2"/>
      <c r="F222" s="2"/>
      <c r="G222" s="2"/>
      <c r="H222" s="5"/>
      <c r="I222" s="2"/>
      <c r="J222" s="2"/>
      <c r="K222" s="2"/>
      <c r="L222" s="2"/>
    </row>
    <row r="223" spans="1:12">
      <c r="A223" s="2"/>
      <c r="B223" s="2" t="str">
        <f>IFERROR(_xlfn.XLOOKUP(A223,'01_Компании'!$A$4:$A$103,'01_Компании'!$B$4:$B$103),"")</f>
        <v/>
      </c>
      <c r="C223" s="2"/>
      <c r="D223" s="2"/>
      <c r="E223" s="2"/>
      <c r="F223" s="2"/>
      <c r="G223" s="2"/>
      <c r="H223" s="5"/>
      <c r="I223" s="2"/>
      <c r="J223" s="2"/>
      <c r="K223" s="2"/>
      <c r="L223" s="2"/>
    </row>
    <row r="224" spans="1:12">
      <c r="A224" s="2"/>
      <c r="B224" s="2" t="str">
        <f>IFERROR(_xlfn.XLOOKUP(A224,'01_Компании'!$A$4:$A$103,'01_Компании'!$B$4:$B$103),"")</f>
        <v/>
      </c>
      <c r="C224" s="2"/>
      <c r="D224" s="2"/>
      <c r="E224" s="2"/>
      <c r="F224" s="2"/>
      <c r="G224" s="2"/>
      <c r="H224" s="5"/>
      <c r="I224" s="2"/>
      <c r="J224" s="2"/>
      <c r="K224" s="2"/>
      <c r="L224" s="2"/>
    </row>
    <row r="225" spans="1:12">
      <c r="A225" s="2"/>
      <c r="B225" s="2" t="str">
        <f>IFERROR(_xlfn.XLOOKUP(A225,'01_Компании'!$A$4:$A$103,'01_Компании'!$B$4:$B$103),"")</f>
        <v/>
      </c>
      <c r="C225" s="2"/>
      <c r="D225" s="2"/>
      <c r="E225" s="2"/>
      <c r="F225" s="2"/>
      <c r="G225" s="2"/>
      <c r="H225" s="5"/>
      <c r="I225" s="2"/>
      <c r="J225" s="2"/>
      <c r="K225" s="2"/>
      <c r="L225" s="2"/>
    </row>
    <row r="226" spans="1:12">
      <c r="A226" s="2"/>
      <c r="B226" s="2" t="str">
        <f>IFERROR(_xlfn.XLOOKUP(A226,'01_Компании'!$A$4:$A$103,'01_Компании'!$B$4:$B$103),"")</f>
        <v/>
      </c>
      <c r="C226" s="2"/>
      <c r="D226" s="2"/>
      <c r="E226" s="2"/>
      <c r="F226" s="2"/>
      <c r="G226" s="2"/>
      <c r="H226" s="5"/>
      <c r="I226" s="2"/>
      <c r="J226" s="2"/>
      <c r="K226" s="2"/>
      <c r="L226" s="2"/>
    </row>
    <row r="227" spans="1:12">
      <c r="A227" s="2"/>
      <c r="B227" s="2" t="str">
        <f>IFERROR(_xlfn.XLOOKUP(A227,'01_Компании'!$A$4:$A$103,'01_Компании'!$B$4:$B$103),"")</f>
        <v/>
      </c>
      <c r="C227" s="2"/>
      <c r="D227" s="2"/>
      <c r="E227" s="2"/>
      <c r="F227" s="2"/>
      <c r="G227" s="2"/>
      <c r="H227" s="5"/>
      <c r="I227" s="2"/>
      <c r="J227" s="2"/>
      <c r="K227" s="2"/>
      <c r="L227" s="2"/>
    </row>
    <row r="228" spans="1:12">
      <c r="A228" s="2"/>
      <c r="B228" s="2" t="str">
        <f>IFERROR(_xlfn.XLOOKUP(A228,'01_Компании'!$A$4:$A$103,'01_Компании'!$B$4:$B$103),"")</f>
        <v/>
      </c>
      <c r="C228" s="2"/>
      <c r="D228" s="2"/>
      <c r="E228" s="2"/>
      <c r="F228" s="2"/>
      <c r="G228" s="2"/>
      <c r="H228" s="5"/>
      <c r="I228" s="2"/>
      <c r="J228" s="2"/>
      <c r="K228" s="2"/>
      <c r="L228" s="2"/>
    </row>
    <row r="229" spans="1:12">
      <c r="A229" s="2"/>
      <c r="B229" s="2" t="str">
        <f>IFERROR(_xlfn.XLOOKUP(A229,'01_Компании'!$A$4:$A$103,'01_Компании'!$B$4:$B$103),"")</f>
        <v/>
      </c>
      <c r="C229" s="2"/>
      <c r="D229" s="2"/>
      <c r="E229" s="2"/>
      <c r="F229" s="2"/>
      <c r="G229" s="2"/>
      <c r="H229" s="5"/>
      <c r="I229" s="2"/>
      <c r="J229" s="2"/>
      <c r="K229" s="2"/>
      <c r="L229" s="2"/>
    </row>
    <row r="230" spans="1:12">
      <c r="A230" s="2"/>
      <c r="B230" s="2" t="str">
        <f>IFERROR(_xlfn.XLOOKUP(A230,'01_Компании'!$A$4:$A$103,'01_Компании'!$B$4:$B$103),"")</f>
        <v/>
      </c>
      <c r="C230" s="2"/>
      <c r="D230" s="2"/>
      <c r="E230" s="2"/>
      <c r="F230" s="2"/>
      <c r="G230" s="2"/>
      <c r="H230" s="5"/>
      <c r="I230" s="2"/>
      <c r="J230" s="2"/>
      <c r="K230" s="2"/>
      <c r="L230" s="2"/>
    </row>
    <row r="231" spans="1:12">
      <c r="A231" s="2"/>
      <c r="B231" s="2" t="str">
        <f>IFERROR(_xlfn.XLOOKUP(A231,'01_Компании'!$A$4:$A$103,'01_Компании'!$B$4:$B$103),"")</f>
        <v/>
      </c>
      <c r="C231" s="2"/>
      <c r="D231" s="2"/>
      <c r="E231" s="2"/>
      <c r="F231" s="2"/>
      <c r="G231" s="2"/>
      <c r="H231" s="5"/>
      <c r="I231" s="2"/>
      <c r="J231" s="2"/>
      <c r="K231" s="2"/>
      <c r="L231" s="2"/>
    </row>
    <row r="232" spans="1:12">
      <c r="A232" s="2"/>
      <c r="B232" s="2" t="str">
        <f>IFERROR(_xlfn.XLOOKUP(A232,'01_Компании'!$A$4:$A$103,'01_Компании'!$B$4:$B$103),"")</f>
        <v/>
      </c>
      <c r="C232" s="2"/>
      <c r="D232" s="2"/>
      <c r="E232" s="2"/>
      <c r="F232" s="2"/>
      <c r="G232" s="2"/>
      <c r="H232" s="5"/>
      <c r="I232" s="2"/>
      <c r="J232" s="2"/>
      <c r="K232" s="2"/>
      <c r="L232" s="2"/>
    </row>
    <row r="233" spans="1:12">
      <c r="A233" s="2"/>
      <c r="B233" s="2" t="str">
        <f>IFERROR(_xlfn.XLOOKUP(A233,'01_Компании'!$A$4:$A$103,'01_Компании'!$B$4:$B$103),"")</f>
        <v/>
      </c>
      <c r="C233" s="2"/>
      <c r="D233" s="2"/>
      <c r="E233" s="2"/>
      <c r="F233" s="2"/>
      <c r="G233" s="2"/>
      <c r="H233" s="5"/>
      <c r="I233" s="2"/>
      <c r="J233" s="2"/>
      <c r="K233" s="2"/>
      <c r="L233" s="2"/>
    </row>
    <row r="234" spans="1:12">
      <c r="A234" s="2"/>
      <c r="B234" s="2" t="str">
        <f>IFERROR(_xlfn.XLOOKUP(A234,'01_Компании'!$A$4:$A$103,'01_Компании'!$B$4:$B$103),"")</f>
        <v/>
      </c>
      <c r="C234" s="2"/>
      <c r="D234" s="2"/>
      <c r="E234" s="2"/>
      <c r="F234" s="2"/>
      <c r="G234" s="2"/>
      <c r="H234" s="5"/>
      <c r="I234" s="2"/>
      <c r="J234" s="2"/>
      <c r="K234" s="2"/>
      <c r="L234" s="2"/>
    </row>
    <row r="235" spans="1:12">
      <c r="A235" s="2"/>
      <c r="B235" s="2" t="str">
        <f>IFERROR(_xlfn.XLOOKUP(A235,'01_Компании'!$A$4:$A$103,'01_Компании'!$B$4:$B$103),"")</f>
        <v/>
      </c>
      <c r="C235" s="2"/>
      <c r="D235" s="2"/>
      <c r="E235" s="2"/>
      <c r="F235" s="2"/>
      <c r="G235" s="2"/>
      <c r="H235" s="5"/>
      <c r="I235" s="2"/>
      <c r="J235" s="2"/>
      <c r="K235" s="2"/>
      <c r="L235" s="2"/>
    </row>
    <row r="236" spans="1:12">
      <c r="A236" s="2"/>
      <c r="B236" s="2" t="str">
        <f>IFERROR(_xlfn.XLOOKUP(A236,'01_Компании'!$A$4:$A$103,'01_Компании'!$B$4:$B$103),"")</f>
        <v/>
      </c>
      <c r="C236" s="2"/>
      <c r="D236" s="2"/>
      <c r="E236" s="2"/>
      <c r="F236" s="2"/>
      <c r="G236" s="2"/>
      <c r="H236" s="5"/>
      <c r="I236" s="2"/>
      <c r="J236" s="2"/>
      <c r="K236" s="2"/>
      <c r="L236" s="2"/>
    </row>
    <row r="237" spans="1:12">
      <c r="A237" s="2"/>
      <c r="B237" s="2" t="str">
        <f>IFERROR(_xlfn.XLOOKUP(A237,'01_Компании'!$A$4:$A$103,'01_Компании'!$B$4:$B$103),"")</f>
        <v/>
      </c>
      <c r="C237" s="2"/>
      <c r="D237" s="2"/>
      <c r="E237" s="2"/>
      <c r="F237" s="2"/>
      <c r="G237" s="2"/>
      <c r="H237" s="5"/>
      <c r="I237" s="2"/>
      <c r="J237" s="2"/>
      <c r="K237" s="2"/>
      <c r="L237" s="2"/>
    </row>
    <row r="238" spans="1:12">
      <c r="A238" s="2"/>
      <c r="B238" s="2" t="str">
        <f>IFERROR(_xlfn.XLOOKUP(A238,'01_Компании'!$A$4:$A$103,'01_Компании'!$B$4:$B$103),"")</f>
        <v/>
      </c>
      <c r="C238" s="2"/>
      <c r="D238" s="2"/>
      <c r="E238" s="2"/>
      <c r="F238" s="2"/>
      <c r="G238" s="2"/>
      <c r="H238" s="5"/>
      <c r="I238" s="2"/>
      <c r="J238" s="2"/>
      <c r="K238" s="2"/>
      <c r="L238" s="2"/>
    </row>
    <row r="239" spans="1:12">
      <c r="A239" s="2"/>
      <c r="B239" s="2" t="str">
        <f>IFERROR(_xlfn.XLOOKUP(A239,'01_Компании'!$A$4:$A$103,'01_Компании'!$B$4:$B$103),"")</f>
        <v/>
      </c>
      <c r="C239" s="2"/>
      <c r="D239" s="2"/>
      <c r="E239" s="2"/>
      <c r="F239" s="2"/>
      <c r="G239" s="2"/>
      <c r="H239" s="5"/>
      <c r="I239" s="2"/>
      <c r="J239" s="2"/>
      <c r="K239" s="2"/>
      <c r="L239" s="2"/>
    </row>
    <row r="240" spans="1:12">
      <c r="A240" s="2"/>
      <c r="B240" s="2" t="str">
        <f>IFERROR(_xlfn.XLOOKUP(A240,'01_Компании'!$A$4:$A$103,'01_Компании'!$B$4:$B$103),"")</f>
        <v/>
      </c>
      <c r="C240" s="2"/>
      <c r="D240" s="2"/>
      <c r="E240" s="2"/>
      <c r="F240" s="2"/>
      <c r="G240" s="2"/>
      <c r="H240" s="5"/>
      <c r="I240" s="2"/>
      <c r="J240" s="2"/>
      <c r="K240" s="2"/>
      <c r="L240" s="2"/>
    </row>
    <row r="241" spans="1:12">
      <c r="A241" s="2"/>
      <c r="B241" s="2" t="str">
        <f>IFERROR(_xlfn.XLOOKUP(A241,'01_Компании'!$A$4:$A$103,'01_Компании'!$B$4:$B$103),"")</f>
        <v/>
      </c>
      <c r="C241" s="2"/>
      <c r="D241" s="2"/>
      <c r="E241" s="2"/>
      <c r="F241" s="2"/>
      <c r="G241" s="2"/>
      <c r="H241" s="5"/>
      <c r="I241" s="2"/>
      <c r="J241" s="2"/>
      <c r="K241" s="2"/>
      <c r="L241" s="2"/>
    </row>
    <row r="242" spans="1:12">
      <c r="A242" s="2"/>
      <c r="B242" s="2" t="str">
        <f>IFERROR(_xlfn.XLOOKUP(A242,'01_Компании'!$A$4:$A$103,'01_Компании'!$B$4:$B$103),"")</f>
        <v/>
      </c>
      <c r="C242" s="2"/>
      <c r="D242" s="2"/>
      <c r="E242" s="2"/>
      <c r="F242" s="2"/>
      <c r="G242" s="2"/>
      <c r="H242" s="5"/>
      <c r="I242" s="2"/>
      <c r="J242" s="2"/>
      <c r="K242" s="2"/>
      <c r="L242" s="2"/>
    </row>
    <row r="243" spans="1:12">
      <c r="A243" s="2"/>
      <c r="B243" s="2" t="str">
        <f>IFERROR(_xlfn.XLOOKUP(A243,'01_Компании'!$A$4:$A$103,'01_Компании'!$B$4:$B$103),"")</f>
        <v/>
      </c>
      <c r="C243" s="2"/>
      <c r="D243" s="2"/>
      <c r="E243" s="2"/>
      <c r="F243" s="2"/>
      <c r="G243" s="2"/>
      <c r="H243" s="5"/>
      <c r="I243" s="2"/>
      <c r="J243" s="2"/>
      <c r="K243" s="2"/>
      <c r="L243" s="2"/>
    </row>
    <row r="244" spans="1:12">
      <c r="A244" s="2"/>
      <c r="B244" s="2" t="str">
        <f>IFERROR(_xlfn.XLOOKUP(A244,'01_Компании'!$A$4:$A$103,'01_Компании'!$B$4:$B$103),"")</f>
        <v/>
      </c>
      <c r="C244" s="2"/>
      <c r="D244" s="2"/>
      <c r="E244" s="2"/>
      <c r="F244" s="2"/>
      <c r="G244" s="2"/>
      <c r="H244" s="5"/>
      <c r="I244" s="2"/>
      <c r="J244" s="2"/>
      <c r="K244" s="2"/>
      <c r="L244" s="2"/>
    </row>
    <row r="245" spans="1:12">
      <c r="A245" s="2"/>
      <c r="B245" s="2" t="str">
        <f>IFERROR(_xlfn.XLOOKUP(A245,'01_Компании'!$A$4:$A$103,'01_Компании'!$B$4:$B$103),"")</f>
        <v/>
      </c>
      <c r="C245" s="2"/>
      <c r="D245" s="2"/>
      <c r="E245" s="2"/>
      <c r="F245" s="2"/>
      <c r="G245" s="2"/>
      <c r="H245" s="5"/>
      <c r="I245" s="2"/>
      <c r="J245" s="2"/>
      <c r="K245" s="2"/>
      <c r="L245" s="2"/>
    </row>
    <row r="246" spans="1:12">
      <c r="A246" s="2"/>
      <c r="B246" s="2" t="str">
        <f>IFERROR(_xlfn.XLOOKUP(A246,'01_Компании'!$A$4:$A$103,'01_Компании'!$B$4:$B$103),"")</f>
        <v/>
      </c>
      <c r="C246" s="2"/>
      <c r="D246" s="2"/>
      <c r="E246" s="2"/>
      <c r="F246" s="2"/>
      <c r="G246" s="2"/>
      <c r="H246" s="5"/>
      <c r="I246" s="2"/>
      <c r="J246" s="2"/>
      <c r="K246" s="2"/>
      <c r="L246" s="2"/>
    </row>
    <row r="247" spans="1:12">
      <c r="A247" s="2"/>
      <c r="B247" s="2" t="str">
        <f>IFERROR(_xlfn.XLOOKUP(A247,'01_Компании'!$A$4:$A$103,'01_Компании'!$B$4:$B$103),"")</f>
        <v/>
      </c>
      <c r="C247" s="2"/>
      <c r="D247" s="2"/>
      <c r="E247" s="2"/>
      <c r="F247" s="2"/>
      <c r="G247" s="2"/>
      <c r="H247" s="5"/>
      <c r="I247" s="2"/>
      <c r="J247" s="2"/>
      <c r="K247" s="2"/>
      <c r="L247" s="2"/>
    </row>
    <row r="248" spans="1:12">
      <c r="A248" s="2"/>
      <c r="B248" s="2" t="str">
        <f>IFERROR(_xlfn.XLOOKUP(A248,'01_Компании'!$A$4:$A$103,'01_Компании'!$B$4:$B$103),"")</f>
        <v/>
      </c>
      <c r="C248" s="2"/>
      <c r="D248" s="2"/>
      <c r="E248" s="2"/>
      <c r="F248" s="2"/>
      <c r="G248" s="2"/>
      <c r="H248" s="5"/>
      <c r="I248" s="2"/>
      <c r="J248" s="2"/>
      <c r="K248" s="2"/>
      <c r="L248" s="2"/>
    </row>
    <row r="249" spans="1:12">
      <c r="A249" s="2"/>
      <c r="B249" s="2" t="str">
        <f>IFERROR(_xlfn.XLOOKUP(A249,'01_Компании'!$A$4:$A$103,'01_Компании'!$B$4:$B$103),"")</f>
        <v/>
      </c>
      <c r="C249" s="2"/>
      <c r="D249" s="2"/>
      <c r="E249" s="2"/>
      <c r="F249" s="2"/>
      <c r="G249" s="2"/>
      <c r="H249" s="5"/>
      <c r="I249" s="2"/>
      <c r="J249" s="2"/>
      <c r="K249" s="2"/>
      <c r="L249" s="2"/>
    </row>
    <row r="250" spans="1:12">
      <c r="A250" s="2"/>
      <c r="B250" s="2" t="str">
        <f>IFERROR(_xlfn.XLOOKUP(A250,'01_Компании'!$A$4:$A$103,'01_Компании'!$B$4:$B$103),"")</f>
        <v/>
      </c>
      <c r="C250" s="2"/>
      <c r="D250" s="2"/>
      <c r="E250" s="2"/>
      <c r="F250" s="2"/>
      <c r="G250" s="2"/>
      <c r="H250" s="5"/>
      <c r="I250" s="2"/>
      <c r="J250" s="2"/>
      <c r="K250" s="2"/>
      <c r="L250" s="2"/>
    </row>
    <row r="251" spans="1:12">
      <c r="A251" s="2"/>
      <c r="B251" s="2" t="str">
        <f>IFERROR(_xlfn.XLOOKUP(A251,'01_Компании'!$A$4:$A$103,'01_Компании'!$B$4:$B$103),"")</f>
        <v/>
      </c>
      <c r="C251" s="2"/>
      <c r="D251" s="2"/>
      <c r="E251" s="2"/>
      <c r="F251" s="2"/>
      <c r="G251" s="2"/>
      <c r="H251" s="5"/>
      <c r="I251" s="2"/>
      <c r="J251" s="2"/>
      <c r="K251" s="2"/>
      <c r="L251" s="2"/>
    </row>
    <row r="252" spans="1:12">
      <c r="A252" s="2"/>
      <c r="B252" s="2" t="str">
        <f>IFERROR(_xlfn.XLOOKUP(A252,'01_Компании'!$A$4:$A$103,'01_Компании'!$B$4:$B$103),"")</f>
        <v/>
      </c>
      <c r="C252" s="2"/>
      <c r="D252" s="2"/>
      <c r="E252" s="2"/>
      <c r="F252" s="2"/>
      <c r="G252" s="2"/>
      <c r="H252" s="5"/>
      <c r="I252" s="2"/>
      <c r="J252" s="2"/>
      <c r="K252" s="2"/>
      <c r="L252" s="2"/>
    </row>
    <row r="253" spans="1:12">
      <c r="A253" s="2"/>
      <c r="B253" s="2" t="str">
        <f>IFERROR(_xlfn.XLOOKUP(A253,'01_Компании'!$A$4:$A$103,'01_Компании'!$B$4:$B$103),"")</f>
        <v/>
      </c>
      <c r="C253" s="2"/>
      <c r="D253" s="2"/>
      <c r="E253" s="2"/>
      <c r="F253" s="2"/>
      <c r="G253" s="2"/>
      <c r="H253" s="5"/>
      <c r="I253" s="2"/>
      <c r="J253" s="2"/>
      <c r="K253" s="2"/>
      <c r="L253" s="2"/>
    </row>
    <row r="254" spans="1:12">
      <c r="A254" s="2"/>
      <c r="B254" s="2" t="str">
        <f>IFERROR(_xlfn.XLOOKUP(A254,'01_Компании'!$A$4:$A$103,'01_Компании'!$B$4:$B$103),"")</f>
        <v/>
      </c>
      <c r="C254" s="2"/>
      <c r="D254" s="2"/>
      <c r="E254" s="2"/>
      <c r="F254" s="2"/>
      <c r="G254" s="2"/>
      <c r="H254" s="5"/>
      <c r="I254" s="2"/>
      <c r="J254" s="2"/>
      <c r="K254" s="2"/>
      <c r="L254" s="2"/>
    </row>
    <row r="255" spans="1:12">
      <c r="A255" s="2"/>
      <c r="B255" s="2" t="str">
        <f>IFERROR(_xlfn.XLOOKUP(A255,'01_Компании'!$A$4:$A$103,'01_Компании'!$B$4:$B$103),"")</f>
        <v/>
      </c>
      <c r="C255" s="2"/>
      <c r="D255" s="2"/>
      <c r="E255" s="2"/>
      <c r="F255" s="2"/>
      <c r="G255" s="2"/>
      <c r="H255" s="5"/>
      <c r="I255" s="2"/>
      <c r="J255" s="2"/>
      <c r="K255" s="2"/>
      <c r="L255" s="2"/>
    </row>
    <row r="256" spans="1:12">
      <c r="A256" s="2"/>
      <c r="B256" s="2" t="str">
        <f>IFERROR(_xlfn.XLOOKUP(A256,'01_Компании'!$A$4:$A$103,'01_Компании'!$B$4:$B$103),"")</f>
        <v/>
      </c>
      <c r="C256" s="2"/>
      <c r="D256" s="2"/>
      <c r="E256" s="2"/>
      <c r="F256" s="2"/>
      <c r="G256" s="2"/>
      <c r="H256" s="5"/>
      <c r="I256" s="2"/>
      <c r="J256" s="2"/>
      <c r="K256" s="2"/>
      <c r="L256" s="2"/>
    </row>
    <row r="257" spans="1:12">
      <c r="A257" s="2"/>
      <c r="B257" s="2" t="str">
        <f>IFERROR(_xlfn.XLOOKUP(A257,'01_Компании'!$A$4:$A$103,'01_Компании'!$B$4:$B$103),"")</f>
        <v/>
      </c>
      <c r="C257" s="2"/>
      <c r="D257" s="2"/>
      <c r="E257" s="2"/>
      <c r="F257" s="2"/>
      <c r="G257" s="2"/>
      <c r="H257" s="5"/>
      <c r="I257" s="2"/>
      <c r="J257" s="2"/>
      <c r="K257" s="2"/>
      <c r="L257" s="2"/>
    </row>
    <row r="258" spans="1:12">
      <c r="A258" s="2"/>
      <c r="B258" s="2" t="str">
        <f>IFERROR(_xlfn.XLOOKUP(A258,'01_Компании'!$A$4:$A$103,'01_Компании'!$B$4:$B$103),"")</f>
        <v/>
      </c>
      <c r="C258" s="2"/>
      <c r="D258" s="2"/>
      <c r="E258" s="2"/>
      <c r="F258" s="2"/>
      <c r="G258" s="2"/>
      <c r="H258" s="5"/>
      <c r="I258" s="2"/>
      <c r="J258" s="2"/>
      <c r="K258" s="2"/>
      <c r="L258" s="2"/>
    </row>
    <row r="259" spans="1:12">
      <c r="A259" s="2"/>
      <c r="B259" s="2" t="str">
        <f>IFERROR(_xlfn.XLOOKUP(A259,'01_Компании'!$A$4:$A$103,'01_Компании'!$B$4:$B$103),"")</f>
        <v/>
      </c>
      <c r="C259" s="2"/>
      <c r="D259" s="2"/>
      <c r="E259" s="2"/>
      <c r="F259" s="2"/>
      <c r="G259" s="2"/>
      <c r="H259" s="5"/>
      <c r="I259" s="2"/>
      <c r="J259" s="2"/>
      <c r="K259" s="2"/>
      <c r="L259" s="2"/>
    </row>
    <row r="260" spans="1:12">
      <c r="A260" s="2"/>
      <c r="B260" s="2" t="str">
        <f>IFERROR(_xlfn.XLOOKUP(A260,'01_Компании'!$A$4:$A$103,'01_Компании'!$B$4:$B$103),"")</f>
        <v/>
      </c>
      <c r="C260" s="2"/>
      <c r="D260" s="2"/>
      <c r="E260" s="2"/>
      <c r="F260" s="2"/>
      <c r="G260" s="2"/>
      <c r="H260" s="5"/>
      <c r="I260" s="2"/>
      <c r="J260" s="2"/>
      <c r="K260" s="2"/>
      <c r="L260" s="2"/>
    </row>
    <row r="261" spans="1:12">
      <c r="A261" s="2"/>
      <c r="B261" s="2" t="str">
        <f>IFERROR(_xlfn.XLOOKUP(A261,'01_Компании'!$A$4:$A$103,'01_Компании'!$B$4:$B$103),"")</f>
        <v/>
      </c>
      <c r="C261" s="2"/>
      <c r="D261" s="2"/>
      <c r="E261" s="2"/>
      <c r="F261" s="2"/>
      <c r="G261" s="2"/>
      <c r="H261" s="5"/>
      <c r="I261" s="2"/>
      <c r="J261" s="2"/>
      <c r="K261" s="2"/>
      <c r="L261" s="2"/>
    </row>
    <row r="262" spans="1:12">
      <c r="A262" s="2"/>
      <c r="B262" s="2" t="str">
        <f>IFERROR(_xlfn.XLOOKUP(A262,'01_Компании'!$A$4:$A$103,'01_Компании'!$B$4:$B$103),"")</f>
        <v/>
      </c>
      <c r="C262" s="2"/>
      <c r="D262" s="2"/>
      <c r="E262" s="2"/>
      <c r="F262" s="2"/>
      <c r="G262" s="2"/>
      <c r="H262" s="5"/>
      <c r="I262" s="2"/>
      <c r="J262" s="2"/>
      <c r="K262" s="2"/>
      <c r="L262" s="2"/>
    </row>
    <row r="263" spans="1:12">
      <c r="A263" s="2"/>
      <c r="B263" s="2" t="str">
        <f>IFERROR(_xlfn.XLOOKUP(A263,'01_Компании'!$A$4:$A$103,'01_Компании'!$B$4:$B$103),"")</f>
        <v/>
      </c>
      <c r="C263" s="2"/>
      <c r="D263" s="2"/>
      <c r="E263" s="2"/>
      <c r="F263" s="2"/>
      <c r="G263" s="2"/>
      <c r="H263" s="5"/>
      <c r="I263" s="2"/>
      <c r="J263" s="2"/>
      <c r="K263" s="2"/>
      <c r="L263" s="2"/>
    </row>
    <row r="264" spans="1:12">
      <c r="A264" s="2"/>
      <c r="B264" s="2" t="str">
        <f>IFERROR(_xlfn.XLOOKUP(A264,'01_Компании'!$A$4:$A$103,'01_Компании'!$B$4:$B$103),"")</f>
        <v/>
      </c>
      <c r="C264" s="2"/>
      <c r="D264" s="2"/>
      <c r="E264" s="2"/>
      <c r="F264" s="2"/>
      <c r="G264" s="2"/>
      <c r="H264" s="5"/>
      <c r="I264" s="2"/>
      <c r="J264" s="2"/>
      <c r="K264" s="2"/>
      <c r="L264" s="2"/>
    </row>
    <row r="265" spans="1:12">
      <c r="A265" s="2"/>
      <c r="B265" s="2" t="str">
        <f>IFERROR(_xlfn.XLOOKUP(A265,'01_Компании'!$A$4:$A$103,'01_Компании'!$B$4:$B$103),"")</f>
        <v/>
      </c>
      <c r="C265" s="2"/>
      <c r="D265" s="2"/>
      <c r="E265" s="2"/>
      <c r="F265" s="2"/>
      <c r="G265" s="2"/>
      <c r="H265" s="5"/>
      <c r="I265" s="2"/>
      <c r="J265" s="2"/>
      <c r="K265" s="2"/>
      <c r="L265" s="2"/>
    </row>
    <row r="266" spans="1:12">
      <c r="A266" s="2"/>
      <c r="B266" s="2" t="str">
        <f>IFERROR(_xlfn.XLOOKUP(A266,'01_Компании'!$A$4:$A$103,'01_Компании'!$B$4:$B$103),"")</f>
        <v/>
      </c>
      <c r="C266" s="2"/>
      <c r="D266" s="2"/>
      <c r="E266" s="2"/>
      <c r="F266" s="2"/>
      <c r="G266" s="2"/>
      <c r="H266" s="5"/>
      <c r="I266" s="2"/>
      <c r="J266" s="2"/>
      <c r="K266" s="2"/>
      <c r="L266" s="2"/>
    </row>
    <row r="267" spans="1:12">
      <c r="A267" s="2"/>
      <c r="B267" s="2" t="str">
        <f>IFERROR(_xlfn.XLOOKUP(A267,'01_Компании'!$A$4:$A$103,'01_Компании'!$B$4:$B$103),"")</f>
        <v/>
      </c>
      <c r="C267" s="2"/>
      <c r="D267" s="2"/>
      <c r="E267" s="2"/>
      <c r="F267" s="2"/>
      <c r="G267" s="2"/>
      <c r="H267" s="5"/>
      <c r="I267" s="2"/>
      <c r="J267" s="2"/>
      <c r="K267" s="2"/>
      <c r="L267" s="2"/>
    </row>
    <row r="268" spans="1:12">
      <c r="A268" s="2"/>
      <c r="B268" s="2" t="str">
        <f>IFERROR(_xlfn.XLOOKUP(A268,'01_Компании'!$A$4:$A$103,'01_Компании'!$B$4:$B$103),"")</f>
        <v/>
      </c>
      <c r="C268" s="2"/>
      <c r="D268" s="2"/>
      <c r="E268" s="2"/>
      <c r="F268" s="2"/>
      <c r="G268" s="2"/>
      <c r="H268" s="5"/>
      <c r="I268" s="2"/>
      <c r="J268" s="2"/>
      <c r="K268" s="2"/>
      <c r="L268" s="2"/>
    </row>
    <row r="269" spans="1:12">
      <c r="A269" s="2"/>
      <c r="B269" s="2" t="str">
        <f>IFERROR(_xlfn.XLOOKUP(A269,'01_Компании'!$A$4:$A$103,'01_Компании'!$B$4:$B$103),"")</f>
        <v/>
      </c>
      <c r="C269" s="2"/>
      <c r="D269" s="2"/>
      <c r="E269" s="2"/>
      <c r="F269" s="2"/>
      <c r="G269" s="2"/>
      <c r="H269" s="5"/>
      <c r="I269" s="2"/>
      <c r="J269" s="2"/>
      <c r="K269" s="2"/>
      <c r="L269" s="2"/>
    </row>
    <row r="270" spans="1:12">
      <c r="A270" s="2"/>
      <c r="B270" s="2" t="str">
        <f>IFERROR(_xlfn.XLOOKUP(A270,'01_Компании'!$A$4:$A$103,'01_Компании'!$B$4:$B$103),"")</f>
        <v/>
      </c>
      <c r="C270" s="2"/>
      <c r="D270" s="2"/>
      <c r="E270" s="2"/>
      <c r="F270" s="2"/>
      <c r="G270" s="2"/>
      <c r="H270" s="5"/>
      <c r="I270" s="2"/>
      <c r="J270" s="2"/>
      <c r="K270" s="2"/>
      <c r="L270" s="2"/>
    </row>
    <row r="271" spans="1:12">
      <c r="A271" s="2"/>
      <c r="B271" s="2" t="str">
        <f>IFERROR(_xlfn.XLOOKUP(A271,'01_Компании'!$A$4:$A$103,'01_Компании'!$B$4:$B$103),"")</f>
        <v/>
      </c>
      <c r="C271" s="2"/>
      <c r="D271" s="2"/>
      <c r="E271" s="2"/>
      <c r="F271" s="2"/>
      <c r="G271" s="2"/>
      <c r="H271" s="5"/>
      <c r="I271" s="2"/>
      <c r="J271" s="2"/>
      <c r="K271" s="2"/>
      <c r="L271" s="2"/>
    </row>
    <row r="272" spans="1:12">
      <c r="A272" s="2"/>
      <c r="B272" s="2" t="str">
        <f>IFERROR(_xlfn.XLOOKUP(A272,'01_Компании'!$A$4:$A$103,'01_Компании'!$B$4:$B$103),"")</f>
        <v/>
      </c>
      <c r="C272" s="2"/>
      <c r="D272" s="2"/>
      <c r="E272" s="2"/>
      <c r="F272" s="2"/>
      <c r="G272" s="2"/>
      <c r="H272" s="5"/>
      <c r="I272" s="2"/>
      <c r="J272" s="2"/>
      <c r="K272" s="2"/>
      <c r="L272" s="2"/>
    </row>
    <row r="273" spans="1:12">
      <c r="A273" s="2"/>
      <c r="B273" s="2" t="str">
        <f>IFERROR(_xlfn.XLOOKUP(A273,'01_Компании'!$A$4:$A$103,'01_Компании'!$B$4:$B$103),"")</f>
        <v/>
      </c>
      <c r="C273" s="2"/>
      <c r="D273" s="2"/>
      <c r="E273" s="2"/>
      <c r="F273" s="2"/>
      <c r="G273" s="2"/>
      <c r="H273" s="5"/>
      <c r="I273" s="2"/>
      <c r="J273" s="2"/>
      <c r="K273" s="2"/>
      <c r="L273" s="2"/>
    </row>
    <row r="274" spans="1:12">
      <c r="A274" s="2"/>
      <c r="B274" s="2" t="str">
        <f>IFERROR(_xlfn.XLOOKUP(A274,'01_Компании'!$A$4:$A$103,'01_Компании'!$B$4:$B$103),"")</f>
        <v/>
      </c>
      <c r="C274" s="2"/>
      <c r="D274" s="2"/>
      <c r="E274" s="2"/>
      <c r="F274" s="2"/>
      <c r="G274" s="2"/>
      <c r="H274" s="5"/>
      <c r="I274" s="2"/>
      <c r="J274" s="2"/>
      <c r="K274" s="2"/>
      <c r="L274" s="2"/>
    </row>
    <row r="275" spans="1:12">
      <c r="A275" s="2"/>
      <c r="B275" s="2" t="str">
        <f>IFERROR(_xlfn.XLOOKUP(A275,'01_Компании'!$A$4:$A$103,'01_Компании'!$B$4:$B$103),"")</f>
        <v/>
      </c>
      <c r="C275" s="2"/>
      <c r="D275" s="2"/>
      <c r="E275" s="2"/>
      <c r="F275" s="2"/>
      <c r="G275" s="2"/>
      <c r="H275" s="5"/>
      <c r="I275" s="2"/>
      <c r="J275" s="2"/>
      <c r="K275" s="2"/>
      <c r="L275" s="2"/>
    </row>
    <row r="276" spans="1:12">
      <c r="A276" s="2"/>
      <c r="B276" s="2" t="str">
        <f>IFERROR(_xlfn.XLOOKUP(A276,'01_Компании'!$A$4:$A$103,'01_Компании'!$B$4:$B$103),"")</f>
        <v/>
      </c>
      <c r="C276" s="2"/>
      <c r="D276" s="2"/>
      <c r="E276" s="2"/>
      <c r="F276" s="2"/>
      <c r="G276" s="2"/>
      <c r="H276" s="5"/>
      <c r="I276" s="2"/>
      <c r="J276" s="2"/>
      <c r="K276" s="2"/>
      <c r="L276" s="2"/>
    </row>
    <row r="277" spans="1:12">
      <c r="A277" s="2"/>
      <c r="B277" s="2" t="str">
        <f>IFERROR(_xlfn.XLOOKUP(A277,'01_Компании'!$A$4:$A$103,'01_Компании'!$B$4:$B$103),"")</f>
        <v/>
      </c>
      <c r="C277" s="2"/>
      <c r="D277" s="2"/>
      <c r="E277" s="2"/>
      <c r="F277" s="2"/>
      <c r="G277" s="2"/>
      <c r="H277" s="5"/>
      <c r="I277" s="2"/>
      <c r="J277" s="2"/>
      <c r="K277" s="2"/>
      <c r="L277" s="2"/>
    </row>
    <row r="278" spans="1:12">
      <c r="A278" s="2"/>
      <c r="B278" s="2" t="str">
        <f>IFERROR(_xlfn.XLOOKUP(A278,'01_Компании'!$A$4:$A$103,'01_Компании'!$B$4:$B$103),"")</f>
        <v/>
      </c>
      <c r="C278" s="2"/>
      <c r="D278" s="2"/>
      <c r="E278" s="2"/>
      <c r="F278" s="2"/>
      <c r="G278" s="2"/>
      <c r="H278" s="5"/>
      <c r="I278" s="2"/>
      <c r="J278" s="2"/>
      <c r="K278" s="2"/>
      <c r="L278" s="2"/>
    </row>
    <row r="279" spans="1:12">
      <c r="A279" s="2"/>
      <c r="B279" s="2" t="str">
        <f>IFERROR(_xlfn.XLOOKUP(A279,'01_Компании'!$A$4:$A$103,'01_Компании'!$B$4:$B$103),"")</f>
        <v/>
      </c>
      <c r="C279" s="2"/>
      <c r="D279" s="2"/>
      <c r="E279" s="2"/>
      <c r="F279" s="2"/>
      <c r="G279" s="2"/>
      <c r="H279" s="5"/>
      <c r="I279" s="2"/>
      <c r="J279" s="2"/>
      <c r="K279" s="2"/>
      <c r="L279" s="2"/>
    </row>
    <row r="280" spans="1:12">
      <c r="A280" s="2"/>
      <c r="B280" s="2" t="str">
        <f>IFERROR(_xlfn.XLOOKUP(A280,'01_Компании'!$A$4:$A$103,'01_Компании'!$B$4:$B$103),"")</f>
        <v/>
      </c>
      <c r="C280" s="2"/>
      <c r="D280" s="2"/>
      <c r="E280" s="2"/>
      <c r="F280" s="2"/>
      <c r="G280" s="2"/>
      <c r="H280" s="5"/>
      <c r="I280" s="2"/>
      <c r="J280" s="2"/>
      <c r="K280" s="2"/>
      <c r="L280" s="2"/>
    </row>
    <row r="281" spans="1:12">
      <c r="A281" s="2"/>
      <c r="B281" s="2" t="str">
        <f>IFERROR(_xlfn.XLOOKUP(A281,'01_Компании'!$A$4:$A$103,'01_Компании'!$B$4:$B$103),"")</f>
        <v/>
      </c>
      <c r="C281" s="2"/>
      <c r="D281" s="2"/>
      <c r="E281" s="2"/>
      <c r="F281" s="2"/>
      <c r="G281" s="2"/>
      <c r="H281" s="5"/>
      <c r="I281" s="2"/>
      <c r="J281" s="2"/>
      <c r="K281" s="2"/>
      <c r="L281" s="2"/>
    </row>
    <row r="282" spans="1:12">
      <c r="A282" s="2"/>
      <c r="B282" s="2" t="str">
        <f>IFERROR(_xlfn.XLOOKUP(A282,'01_Компании'!$A$4:$A$103,'01_Компании'!$B$4:$B$103),"")</f>
        <v/>
      </c>
      <c r="C282" s="2"/>
      <c r="D282" s="2"/>
      <c r="E282" s="2"/>
      <c r="F282" s="2"/>
      <c r="G282" s="2"/>
      <c r="H282" s="5"/>
      <c r="I282" s="2"/>
      <c r="J282" s="2"/>
      <c r="K282" s="2"/>
      <c r="L282" s="2"/>
    </row>
    <row r="283" spans="1:12">
      <c r="A283" s="2"/>
      <c r="B283" s="2" t="str">
        <f>IFERROR(_xlfn.XLOOKUP(A283,'01_Компании'!$A$4:$A$103,'01_Компании'!$B$4:$B$103),"")</f>
        <v/>
      </c>
      <c r="C283" s="2"/>
      <c r="D283" s="2"/>
      <c r="E283" s="2"/>
      <c r="F283" s="2"/>
      <c r="G283" s="2"/>
      <c r="H283" s="5"/>
      <c r="I283" s="2"/>
      <c r="J283" s="2"/>
      <c r="K283" s="2"/>
      <c r="L283" s="2"/>
    </row>
    <row r="284" spans="1:12">
      <c r="A284" s="2"/>
      <c r="B284" s="2" t="str">
        <f>IFERROR(_xlfn.XLOOKUP(A284,'01_Компании'!$A$4:$A$103,'01_Компании'!$B$4:$B$103),"")</f>
        <v/>
      </c>
      <c r="C284" s="2"/>
      <c r="D284" s="2"/>
      <c r="E284" s="2"/>
      <c r="F284" s="2"/>
      <c r="G284" s="2"/>
      <c r="H284" s="5"/>
      <c r="I284" s="2"/>
      <c r="J284" s="2"/>
      <c r="K284" s="2"/>
      <c r="L284" s="2"/>
    </row>
    <row r="285" spans="1:12">
      <c r="A285" s="2"/>
      <c r="B285" s="2" t="str">
        <f>IFERROR(_xlfn.XLOOKUP(A285,'01_Компании'!$A$4:$A$103,'01_Компании'!$B$4:$B$103),"")</f>
        <v/>
      </c>
      <c r="C285" s="2"/>
      <c r="D285" s="2"/>
      <c r="E285" s="2"/>
      <c r="F285" s="2"/>
      <c r="G285" s="2"/>
      <c r="H285" s="5"/>
      <c r="I285" s="2"/>
      <c r="J285" s="2"/>
      <c r="K285" s="2"/>
      <c r="L285" s="2"/>
    </row>
    <row r="286" spans="1:12">
      <c r="A286" s="2"/>
      <c r="B286" s="2" t="str">
        <f>IFERROR(_xlfn.XLOOKUP(A286,'01_Компании'!$A$4:$A$103,'01_Компании'!$B$4:$B$103),"")</f>
        <v/>
      </c>
      <c r="C286" s="2"/>
      <c r="D286" s="2"/>
      <c r="E286" s="2"/>
      <c r="F286" s="2"/>
      <c r="G286" s="2"/>
      <c r="H286" s="5"/>
      <c r="I286" s="2"/>
      <c r="J286" s="2"/>
      <c r="K286" s="2"/>
      <c r="L286" s="2"/>
    </row>
    <row r="287" spans="1:12">
      <c r="A287" s="2"/>
      <c r="B287" s="2" t="str">
        <f>IFERROR(_xlfn.XLOOKUP(A287,'01_Компании'!$A$4:$A$103,'01_Компании'!$B$4:$B$103),"")</f>
        <v/>
      </c>
      <c r="C287" s="2"/>
      <c r="D287" s="2"/>
      <c r="E287" s="2"/>
      <c r="F287" s="2"/>
      <c r="G287" s="2"/>
      <c r="H287" s="5"/>
      <c r="I287" s="2"/>
      <c r="J287" s="2"/>
      <c r="K287" s="2"/>
      <c r="L287" s="2"/>
    </row>
    <row r="288" spans="1:12">
      <c r="A288" s="2"/>
      <c r="B288" s="2" t="str">
        <f>IFERROR(_xlfn.XLOOKUP(A288,'01_Компании'!$A$4:$A$103,'01_Компании'!$B$4:$B$103),"")</f>
        <v/>
      </c>
      <c r="C288" s="2"/>
      <c r="D288" s="2"/>
      <c r="E288" s="2"/>
      <c r="F288" s="2"/>
      <c r="G288" s="2"/>
      <c r="H288" s="5"/>
      <c r="I288" s="2"/>
      <c r="J288" s="2"/>
      <c r="K288" s="2"/>
      <c r="L288" s="2"/>
    </row>
    <row r="289" spans="1:12">
      <c r="A289" s="2"/>
      <c r="B289" s="2" t="str">
        <f>IFERROR(_xlfn.XLOOKUP(A289,'01_Компании'!$A$4:$A$103,'01_Компании'!$B$4:$B$103),"")</f>
        <v/>
      </c>
      <c r="C289" s="2"/>
      <c r="D289" s="2"/>
      <c r="E289" s="2"/>
      <c r="F289" s="2"/>
      <c r="G289" s="2"/>
      <c r="H289" s="5"/>
      <c r="I289" s="2"/>
      <c r="J289" s="2"/>
      <c r="K289" s="2"/>
      <c r="L289" s="2"/>
    </row>
    <row r="290" spans="1:12">
      <c r="A290" s="2"/>
      <c r="B290" s="2" t="str">
        <f>IFERROR(_xlfn.XLOOKUP(A290,'01_Компании'!$A$4:$A$103,'01_Компании'!$B$4:$B$103),"")</f>
        <v/>
      </c>
      <c r="C290" s="2"/>
      <c r="D290" s="2"/>
      <c r="E290" s="2"/>
      <c r="F290" s="2"/>
      <c r="G290" s="2"/>
      <c r="H290" s="5"/>
      <c r="I290" s="2"/>
      <c r="J290" s="2"/>
      <c r="K290" s="2"/>
      <c r="L290" s="2"/>
    </row>
    <row r="291" spans="1:12">
      <c r="A291" s="2"/>
      <c r="B291" s="2" t="str">
        <f>IFERROR(_xlfn.XLOOKUP(A291,'01_Компании'!$A$4:$A$103,'01_Компании'!$B$4:$B$103),"")</f>
        <v/>
      </c>
      <c r="C291" s="2"/>
      <c r="D291" s="2"/>
      <c r="E291" s="2"/>
      <c r="F291" s="2"/>
      <c r="G291" s="2"/>
      <c r="H291" s="5"/>
      <c r="I291" s="2"/>
      <c r="J291" s="2"/>
      <c r="K291" s="2"/>
      <c r="L291" s="2"/>
    </row>
    <row r="292" spans="1:12">
      <c r="A292" s="2"/>
      <c r="B292" s="2" t="str">
        <f>IFERROR(_xlfn.XLOOKUP(A292,'01_Компании'!$A$4:$A$103,'01_Компании'!$B$4:$B$103),"")</f>
        <v/>
      </c>
      <c r="C292" s="2"/>
      <c r="D292" s="2"/>
      <c r="E292" s="2"/>
      <c r="F292" s="2"/>
      <c r="G292" s="2"/>
      <c r="H292" s="5"/>
      <c r="I292" s="2"/>
      <c r="J292" s="2"/>
      <c r="K292" s="2"/>
      <c r="L292" s="2"/>
    </row>
    <row r="293" spans="1:12">
      <c r="A293" s="2"/>
      <c r="B293" s="2" t="str">
        <f>IFERROR(_xlfn.XLOOKUP(A293,'01_Компании'!$A$4:$A$103,'01_Компании'!$B$4:$B$103),"")</f>
        <v/>
      </c>
      <c r="C293" s="2"/>
      <c r="D293" s="2"/>
      <c r="E293" s="2"/>
      <c r="F293" s="2"/>
      <c r="G293" s="2"/>
      <c r="H293" s="5"/>
      <c r="I293" s="2"/>
      <c r="J293" s="2"/>
      <c r="K293" s="2"/>
      <c r="L293" s="2"/>
    </row>
    <row r="294" spans="1:12">
      <c r="A294" s="2"/>
      <c r="B294" s="2" t="str">
        <f>IFERROR(_xlfn.XLOOKUP(A294,'01_Компании'!$A$4:$A$103,'01_Компании'!$B$4:$B$103),"")</f>
        <v/>
      </c>
      <c r="C294" s="2"/>
      <c r="D294" s="2"/>
      <c r="E294" s="2"/>
      <c r="F294" s="2"/>
      <c r="G294" s="2"/>
      <c r="H294" s="5"/>
      <c r="I294" s="2"/>
      <c r="J294" s="2"/>
      <c r="K294" s="2"/>
      <c r="L294" s="2"/>
    </row>
    <row r="295" spans="1:12">
      <c r="A295" s="2"/>
      <c r="B295" s="2" t="str">
        <f>IFERROR(_xlfn.XLOOKUP(A295,'01_Компании'!$A$4:$A$103,'01_Компании'!$B$4:$B$103),"")</f>
        <v/>
      </c>
      <c r="C295" s="2"/>
      <c r="D295" s="2"/>
      <c r="E295" s="2"/>
      <c r="F295" s="2"/>
      <c r="G295" s="2"/>
      <c r="H295" s="5"/>
      <c r="I295" s="2"/>
      <c r="J295" s="2"/>
      <c r="K295" s="2"/>
      <c r="L295" s="2"/>
    </row>
    <row r="296" spans="1:12">
      <c r="A296" s="2"/>
      <c r="B296" s="2" t="str">
        <f>IFERROR(_xlfn.XLOOKUP(A296,'01_Компании'!$A$4:$A$103,'01_Компании'!$B$4:$B$103),"")</f>
        <v/>
      </c>
      <c r="C296" s="2"/>
      <c r="D296" s="2"/>
      <c r="E296" s="2"/>
      <c r="F296" s="2"/>
      <c r="G296" s="2"/>
      <c r="H296" s="5"/>
      <c r="I296" s="2"/>
      <c r="J296" s="2"/>
      <c r="K296" s="2"/>
      <c r="L296" s="2"/>
    </row>
    <row r="297" spans="1:12">
      <c r="A297" s="2"/>
      <c r="B297" s="2" t="str">
        <f>IFERROR(_xlfn.XLOOKUP(A297,'01_Компании'!$A$4:$A$103,'01_Компании'!$B$4:$B$103),"")</f>
        <v/>
      </c>
      <c r="C297" s="2"/>
      <c r="D297" s="2"/>
      <c r="E297" s="2"/>
      <c r="F297" s="2"/>
      <c r="G297" s="2"/>
      <c r="H297" s="5"/>
      <c r="I297" s="2"/>
      <c r="J297" s="2"/>
      <c r="K297" s="2"/>
      <c r="L297" s="2"/>
    </row>
    <row r="298" spans="1:12">
      <c r="A298" s="2"/>
      <c r="B298" s="2" t="str">
        <f>IFERROR(_xlfn.XLOOKUP(A298,'01_Компании'!$A$4:$A$103,'01_Компании'!$B$4:$B$103),"")</f>
        <v/>
      </c>
      <c r="C298" s="2"/>
      <c r="D298" s="2"/>
      <c r="E298" s="2"/>
      <c r="F298" s="2"/>
      <c r="G298" s="2"/>
      <c r="H298" s="5"/>
      <c r="I298" s="2"/>
      <c r="J298" s="2"/>
      <c r="K298" s="2"/>
      <c r="L298" s="2"/>
    </row>
    <row r="299" spans="1:12">
      <c r="A299" s="2"/>
      <c r="B299" s="2" t="str">
        <f>IFERROR(_xlfn.XLOOKUP(A299,'01_Компании'!$A$4:$A$103,'01_Компании'!$B$4:$B$103),"")</f>
        <v/>
      </c>
      <c r="C299" s="2"/>
      <c r="D299" s="2"/>
      <c r="E299" s="2"/>
      <c r="F299" s="2"/>
      <c r="G299" s="2"/>
      <c r="H299" s="5"/>
      <c r="I299" s="2"/>
      <c r="J299" s="2"/>
      <c r="K299" s="2"/>
      <c r="L299" s="2"/>
    </row>
    <row r="300" spans="1:12">
      <c r="A300" s="2"/>
      <c r="B300" s="2" t="str">
        <f>IFERROR(_xlfn.XLOOKUP(A300,'01_Компании'!$A$4:$A$103,'01_Компании'!$B$4:$B$103),"")</f>
        <v/>
      </c>
      <c r="C300" s="2"/>
      <c r="D300" s="2"/>
      <c r="E300" s="2"/>
      <c r="F300" s="2"/>
      <c r="G300" s="2"/>
      <c r="H300" s="5"/>
      <c r="I300" s="2"/>
      <c r="J300" s="2"/>
      <c r="K300" s="2"/>
      <c r="L300" s="2"/>
    </row>
    <row r="301" spans="1:12">
      <c r="A301" s="2"/>
      <c r="B301" s="2" t="str">
        <f>IFERROR(_xlfn.XLOOKUP(A301,'01_Компании'!$A$4:$A$103,'01_Компании'!$B$4:$B$103),"")</f>
        <v/>
      </c>
      <c r="C301" s="2"/>
      <c r="D301" s="2"/>
      <c r="E301" s="2"/>
      <c r="F301" s="2"/>
      <c r="G301" s="2"/>
      <c r="H301" s="5"/>
      <c r="I301" s="2"/>
      <c r="J301" s="2"/>
      <c r="K301" s="2"/>
      <c r="L301" s="2"/>
    </row>
    <row r="302" spans="1:12">
      <c r="A302" s="2"/>
      <c r="B302" s="2" t="str">
        <f>IFERROR(_xlfn.XLOOKUP(A302,'01_Компании'!$A$4:$A$103,'01_Компании'!$B$4:$B$103),"")</f>
        <v/>
      </c>
      <c r="C302" s="2"/>
      <c r="D302" s="2"/>
      <c r="E302" s="2"/>
      <c r="F302" s="2"/>
      <c r="G302" s="2"/>
      <c r="H302" s="5"/>
      <c r="I302" s="2"/>
      <c r="J302" s="2"/>
      <c r="K302" s="2"/>
      <c r="L302" s="2"/>
    </row>
    <row r="303" spans="1:12">
      <c r="A303" s="2"/>
      <c r="B303" s="2" t="str">
        <f>IFERROR(_xlfn.XLOOKUP(A303,'01_Компании'!$A$4:$A$103,'01_Компании'!$B$4:$B$103),"")</f>
        <v/>
      </c>
      <c r="C303" s="2"/>
      <c r="D303" s="2"/>
      <c r="E303" s="2"/>
      <c r="F303" s="2"/>
      <c r="G303" s="2"/>
      <c r="H303" s="5"/>
      <c r="I303" s="2"/>
      <c r="J303" s="2"/>
      <c r="K303" s="2"/>
      <c r="L303" s="2"/>
    </row>
  </sheetData>
  <mergeCells count="1">
    <mergeCell ref="A1:L1"/>
  </mergeCells>
  <dataValidations count="2">
    <dataValidation sqref="J4:J303" xr:uid="{00000000-0002-0000-0200-000001000000}">
      <formula1>1</formula1>
      <formula2>5</formula2>
    </dataValidation>
    <dataValidation type="whole" allowBlank="1" showInputMessage="1" showErrorMessage="1" sqref="G4:G303" xr:uid="{27D1A1C9-84CF-48BE-BF18-C289A52BEA32}">
      <formula1>1</formula1>
      <formula2>5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'08_Справочники'!$D$2:$D$11</xm:f>
          </x14:formula1>
          <xm:sqref>F4:F303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5"/>
  <sheetViews>
    <sheetView workbookViewId="0"/>
  </sheetViews>
  <sheetFormatPr defaultRowHeight="13.5"/>
  <cols>
    <col min="1" max="1" width="8" customWidth="1"/>
    <col min="2" max="2" width="26" customWidth="1"/>
    <col min="3" max="3" width="38" customWidth="1"/>
    <col min="4" max="4" width="45" customWidth="1"/>
    <col min="5" max="5" width="8" customWidth="1"/>
    <col min="6" max="7" width="25" customWidth="1"/>
    <col min="8" max="9" width="28" customWidth="1"/>
    <col min="10" max="10" width="20" customWidth="1"/>
  </cols>
  <sheetData>
    <row r="1" spans="1:26" ht="16.05" customHeight="1">
      <c r="A1" s="10" t="s">
        <v>192</v>
      </c>
      <c r="B1" s="11" t="s">
        <v>192</v>
      </c>
      <c r="C1" s="11" t="s">
        <v>192</v>
      </c>
      <c r="D1" s="11" t="s">
        <v>192</v>
      </c>
      <c r="E1" s="11" t="s">
        <v>192</v>
      </c>
      <c r="F1" s="11" t="s">
        <v>192</v>
      </c>
      <c r="G1" s="11" t="s">
        <v>192</v>
      </c>
      <c r="H1" s="11" t="s">
        <v>192</v>
      </c>
      <c r="I1" s="11" t="s">
        <v>192</v>
      </c>
      <c r="J1" s="11" t="s">
        <v>192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3" spans="1:26" ht="27.75">
      <c r="A3" s="1" t="s">
        <v>193</v>
      </c>
      <c r="B3" s="1" t="s">
        <v>194</v>
      </c>
      <c r="C3" s="1" t="s">
        <v>195</v>
      </c>
      <c r="D3" s="1" t="s">
        <v>196</v>
      </c>
      <c r="E3" s="1" t="s">
        <v>197</v>
      </c>
      <c r="F3" s="1" t="s">
        <v>198</v>
      </c>
      <c r="G3" s="1" t="s">
        <v>199</v>
      </c>
      <c r="H3" s="1" t="s">
        <v>200</v>
      </c>
      <c r="I3" s="1" t="s">
        <v>201</v>
      </c>
      <c r="J3" s="1" t="s">
        <v>202</v>
      </c>
    </row>
    <row r="4" spans="1:26" ht="27">
      <c r="A4" s="2" t="s">
        <v>203</v>
      </c>
      <c r="B4" s="2" t="s">
        <v>204</v>
      </c>
      <c r="C4" s="2" t="s">
        <v>205</v>
      </c>
      <c r="D4" s="2" t="s">
        <v>206</v>
      </c>
      <c r="E4" s="3">
        <v>20</v>
      </c>
      <c r="F4" s="2" t="s">
        <v>207</v>
      </c>
      <c r="G4" s="2" t="s">
        <v>208</v>
      </c>
      <c r="H4" s="2" t="s">
        <v>209</v>
      </c>
      <c r="I4" s="2" t="s">
        <v>210</v>
      </c>
      <c r="J4" s="2" t="s">
        <v>211</v>
      </c>
    </row>
    <row r="5" spans="1:26" ht="27">
      <c r="A5" s="2" t="s">
        <v>212</v>
      </c>
      <c r="B5" s="2" t="s">
        <v>213</v>
      </c>
      <c r="C5" s="2" t="s">
        <v>214</v>
      </c>
      <c r="D5" s="2" t="s">
        <v>215</v>
      </c>
      <c r="E5" s="3">
        <v>15</v>
      </c>
      <c r="F5" s="2" t="s">
        <v>216</v>
      </c>
      <c r="G5" s="2" t="s">
        <v>217</v>
      </c>
      <c r="H5" s="2" t="s">
        <v>218</v>
      </c>
      <c r="I5" s="2" t="s">
        <v>219</v>
      </c>
      <c r="J5" s="2" t="s">
        <v>211</v>
      </c>
    </row>
    <row r="6" spans="1:26" ht="27">
      <c r="A6" s="2" t="s">
        <v>220</v>
      </c>
      <c r="B6" s="2" t="s">
        <v>221</v>
      </c>
      <c r="C6" s="2" t="s">
        <v>222</v>
      </c>
      <c r="D6" s="2" t="s">
        <v>223</v>
      </c>
      <c r="E6" s="3">
        <v>18</v>
      </c>
      <c r="F6" s="2" t="s">
        <v>224</v>
      </c>
      <c r="G6" s="2" t="s">
        <v>225</v>
      </c>
      <c r="H6" s="2" t="s">
        <v>226</v>
      </c>
      <c r="I6" s="2" t="s">
        <v>227</v>
      </c>
      <c r="J6" s="2" t="s">
        <v>211</v>
      </c>
    </row>
    <row r="7" spans="1:26" ht="27">
      <c r="A7" s="2" t="s">
        <v>228</v>
      </c>
      <c r="B7" s="2" t="s">
        <v>229</v>
      </c>
      <c r="C7" s="2" t="s">
        <v>230</v>
      </c>
      <c r="D7" s="2" t="s">
        <v>231</v>
      </c>
      <c r="E7" s="3">
        <v>10</v>
      </c>
      <c r="F7" s="2" t="s">
        <v>232</v>
      </c>
      <c r="G7" s="2" t="s">
        <v>233</v>
      </c>
      <c r="H7" s="2" t="s">
        <v>234</v>
      </c>
      <c r="I7" s="2" t="s">
        <v>235</v>
      </c>
      <c r="J7" s="2" t="s">
        <v>236</v>
      </c>
    </row>
    <row r="8" spans="1:26" ht="27">
      <c r="A8" s="2" t="s">
        <v>237</v>
      </c>
      <c r="B8" s="2" t="s">
        <v>238</v>
      </c>
      <c r="C8" s="2" t="s">
        <v>239</v>
      </c>
      <c r="D8" s="2" t="s">
        <v>240</v>
      </c>
      <c r="E8" s="3">
        <v>8</v>
      </c>
      <c r="F8" s="2" t="s">
        <v>241</v>
      </c>
      <c r="G8" s="2" t="s">
        <v>242</v>
      </c>
      <c r="H8" s="2" t="s">
        <v>243</v>
      </c>
      <c r="I8" s="2" t="s">
        <v>244</v>
      </c>
      <c r="J8" s="2" t="s">
        <v>236</v>
      </c>
    </row>
    <row r="9" spans="1:26" ht="27">
      <c r="A9" s="2" t="s">
        <v>245</v>
      </c>
      <c r="B9" s="2" t="s">
        <v>246</v>
      </c>
      <c r="C9" s="2" t="s">
        <v>247</v>
      </c>
      <c r="D9" s="2" t="s">
        <v>248</v>
      </c>
      <c r="E9" s="3">
        <v>8</v>
      </c>
      <c r="F9" s="2" t="s">
        <v>249</v>
      </c>
      <c r="G9" s="2" t="s">
        <v>250</v>
      </c>
      <c r="H9" s="2" t="s">
        <v>251</v>
      </c>
      <c r="I9" s="2" t="s">
        <v>252</v>
      </c>
      <c r="J9" s="2" t="s">
        <v>236</v>
      </c>
    </row>
    <row r="10" spans="1:26" ht="27">
      <c r="A10" s="2" t="s">
        <v>253</v>
      </c>
      <c r="B10" s="2" t="s">
        <v>254</v>
      </c>
      <c r="C10" s="2" t="s">
        <v>255</v>
      </c>
      <c r="D10" s="2" t="s">
        <v>256</v>
      </c>
      <c r="E10" s="3">
        <v>7</v>
      </c>
      <c r="F10" s="2" t="s">
        <v>257</v>
      </c>
      <c r="G10" s="2" t="s">
        <v>258</v>
      </c>
      <c r="H10" s="2" t="s">
        <v>259</v>
      </c>
      <c r="I10" s="2" t="s">
        <v>260</v>
      </c>
      <c r="J10" s="2" t="s">
        <v>236</v>
      </c>
    </row>
    <row r="11" spans="1:26" ht="27">
      <c r="A11" s="2" t="s">
        <v>261</v>
      </c>
      <c r="B11" s="2" t="s">
        <v>262</v>
      </c>
      <c r="C11" s="2" t="s">
        <v>263</v>
      </c>
      <c r="D11" s="2" t="s">
        <v>264</v>
      </c>
      <c r="E11" s="3">
        <v>7</v>
      </c>
      <c r="F11" s="2" t="s">
        <v>265</v>
      </c>
      <c r="G11" s="2" t="s">
        <v>266</v>
      </c>
      <c r="H11" s="2" t="s">
        <v>267</v>
      </c>
      <c r="I11" s="2" t="s">
        <v>268</v>
      </c>
      <c r="J11" s="2" t="s">
        <v>236</v>
      </c>
    </row>
    <row r="12" spans="1:26" ht="27">
      <c r="A12" s="2" t="s">
        <v>269</v>
      </c>
      <c r="B12" s="2" t="s">
        <v>270</v>
      </c>
      <c r="C12" s="2" t="s">
        <v>271</v>
      </c>
      <c r="D12" s="2" t="s">
        <v>272</v>
      </c>
      <c r="E12" s="3">
        <v>4</v>
      </c>
      <c r="F12" s="2" t="s">
        <v>273</v>
      </c>
      <c r="G12" s="2" t="s">
        <v>274</v>
      </c>
      <c r="H12" s="2" t="s">
        <v>275</v>
      </c>
      <c r="I12" s="2" t="s">
        <v>276</v>
      </c>
      <c r="J12" s="2" t="s">
        <v>236</v>
      </c>
    </row>
    <row r="13" spans="1:26" ht="27">
      <c r="A13" s="2" t="s">
        <v>277</v>
      </c>
      <c r="B13" s="2" t="s">
        <v>278</v>
      </c>
      <c r="C13" s="2" t="s">
        <v>279</v>
      </c>
      <c r="D13" s="2" t="s">
        <v>280</v>
      </c>
      <c r="E13" s="3">
        <v>3</v>
      </c>
      <c r="F13" s="2" t="s">
        <v>281</v>
      </c>
      <c r="G13" s="2" t="s">
        <v>282</v>
      </c>
      <c r="H13" s="2" t="s">
        <v>283</v>
      </c>
      <c r="I13" s="2" t="s">
        <v>284</v>
      </c>
      <c r="J13" s="2" t="s">
        <v>236</v>
      </c>
    </row>
    <row r="15" spans="1:26" ht="27.75">
      <c r="A15" s="4" t="s">
        <v>285</v>
      </c>
      <c r="B15" s="13" t="s">
        <v>286</v>
      </c>
      <c r="C15" s="13"/>
      <c r="D15" s="13"/>
      <c r="E15" s="13"/>
      <c r="F15" s="13"/>
      <c r="G15" s="13"/>
      <c r="H15" s="13"/>
      <c r="I15" s="13"/>
      <c r="J15" s="13"/>
    </row>
  </sheetData>
  <mergeCells count="2">
    <mergeCell ref="A1:J1"/>
    <mergeCell ref="B15:J15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3"/>
  <sheetViews>
    <sheetView workbookViewId="0"/>
  </sheetViews>
  <sheetFormatPr defaultRowHeight="13.5"/>
  <cols>
    <col min="1" max="1" width="8" customWidth="1"/>
    <col min="2" max="2" width="24" customWidth="1"/>
    <col min="3" max="3" width="30" customWidth="1"/>
    <col min="4" max="5" width="12" customWidth="1"/>
    <col min="6" max="6" width="14" customWidth="1"/>
    <col min="7" max="7" width="12" customWidth="1"/>
    <col min="8" max="8" width="10" customWidth="1"/>
    <col min="9" max="10" width="12" customWidth="1"/>
    <col min="11" max="11" width="14" customWidth="1"/>
    <col min="12" max="12" width="12" customWidth="1"/>
    <col min="13" max="14" width="14" customWidth="1"/>
    <col min="15" max="15" width="24" customWidth="1"/>
    <col min="16" max="18" width="32" customWidth="1"/>
    <col min="19" max="19" width="18" customWidth="1"/>
    <col min="20" max="20" width="42" customWidth="1"/>
    <col min="21" max="21" width="36" customWidth="1"/>
    <col min="22" max="22" width="14" customWidth="1"/>
  </cols>
  <sheetData>
    <row r="1" spans="1:26" ht="16.05" customHeight="1">
      <c r="A1" s="10" t="s">
        <v>287</v>
      </c>
      <c r="B1" s="11" t="s">
        <v>287</v>
      </c>
      <c r="C1" s="11" t="s">
        <v>287</v>
      </c>
      <c r="D1" s="11" t="s">
        <v>287</v>
      </c>
      <c r="E1" s="11" t="s">
        <v>287</v>
      </c>
      <c r="F1" s="11" t="s">
        <v>287</v>
      </c>
      <c r="G1" s="11" t="s">
        <v>287</v>
      </c>
      <c r="H1" s="11" t="s">
        <v>287</v>
      </c>
      <c r="I1" s="11" t="s">
        <v>287</v>
      </c>
      <c r="J1" s="11" t="s">
        <v>287</v>
      </c>
      <c r="K1" s="11" t="s">
        <v>287</v>
      </c>
      <c r="L1" s="11" t="s">
        <v>287</v>
      </c>
      <c r="M1" s="11" t="s">
        <v>287</v>
      </c>
      <c r="N1" s="11" t="s">
        <v>287</v>
      </c>
      <c r="O1" s="11" t="s">
        <v>287</v>
      </c>
      <c r="P1" s="11" t="s">
        <v>287</v>
      </c>
      <c r="Q1" s="11" t="s">
        <v>287</v>
      </c>
      <c r="R1" s="11" t="s">
        <v>287</v>
      </c>
      <c r="S1" s="11" t="s">
        <v>287</v>
      </c>
      <c r="T1" s="11" t="s">
        <v>287</v>
      </c>
      <c r="U1" s="11" t="s">
        <v>287</v>
      </c>
      <c r="V1" s="11" t="s">
        <v>287</v>
      </c>
      <c r="W1" s="9"/>
      <c r="X1" s="9"/>
      <c r="Y1" s="9"/>
      <c r="Z1" s="9"/>
    </row>
    <row r="3" spans="1:26" ht="27.75">
      <c r="A3" s="1" t="s">
        <v>68</v>
      </c>
      <c r="B3" s="1" t="s">
        <v>69</v>
      </c>
      <c r="C3" s="1" t="s">
        <v>70</v>
      </c>
      <c r="D3" s="1" t="s">
        <v>288</v>
      </c>
      <c r="E3" s="1" t="s">
        <v>289</v>
      </c>
      <c r="F3" s="1" t="s">
        <v>290</v>
      </c>
      <c r="G3" s="1" t="s">
        <v>291</v>
      </c>
      <c r="H3" s="1" t="s">
        <v>292</v>
      </c>
      <c r="I3" s="1" t="s">
        <v>293</v>
      </c>
      <c r="J3" s="1" t="s">
        <v>294</v>
      </c>
      <c r="K3" s="1" t="s">
        <v>295</v>
      </c>
      <c r="L3" s="1" t="s">
        <v>296</v>
      </c>
      <c r="M3" s="1" t="s">
        <v>297</v>
      </c>
      <c r="N3" s="1" t="s">
        <v>298</v>
      </c>
      <c r="O3" s="1" t="s">
        <v>299</v>
      </c>
      <c r="P3" s="1" t="s">
        <v>300</v>
      </c>
      <c r="Q3" s="1" t="s">
        <v>301</v>
      </c>
      <c r="R3" s="1" t="s">
        <v>42</v>
      </c>
      <c r="S3" s="1" t="s">
        <v>302</v>
      </c>
      <c r="T3" s="1" t="s">
        <v>303</v>
      </c>
      <c r="U3" s="1" t="s">
        <v>304</v>
      </c>
      <c r="V3" s="1" t="s">
        <v>305</v>
      </c>
    </row>
    <row r="4" spans="1:26" ht="256.5">
      <c r="A4" s="19" t="s">
        <v>81</v>
      </c>
      <c r="B4" s="19" t="str">
        <f>IFERROR(IF(_xlfn.XLOOKUP(A4,'01_Компании'!$A$4:$A$103,'01_Компании'!$B$4:$B$103)="","",_xlfn.XLOOKUP(A4,'01_Компании'!$A$4:$A$103,'01_Компании'!$B$4:$B$103)),"")</f>
        <v>PlantUML</v>
      </c>
      <c r="C4" s="19" t="str">
        <f>IFERROR(IF(_xlfn.XLOOKUP(A4,'01_Компании'!$A$4:$A$103,'01_Компании'!$C$4:$C$103)="","",_xlfn.XLOOKUP(A4,'01_Компании'!$A$4:$A$103,'01_Компании'!$C$4:$C$103)),"")</f>
        <v>plantuml.com</v>
      </c>
      <c r="D4" s="19">
        <v>5</v>
      </c>
      <c r="E4" s="19">
        <v>4</v>
      </c>
      <c r="F4" s="19">
        <v>4</v>
      </c>
      <c r="G4" s="19">
        <v>5</v>
      </c>
      <c r="H4" s="19">
        <v>4</v>
      </c>
      <c r="I4" s="19">
        <v>4</v>
      </c>
      <c r="J4" s="19">
        <v>4</v>
      </c>
      <c r="K4" s="19">
        <v>1</v>
      </c>
      <c r="L4" s="19">
        <v>5</v>
      </c>
      <c r="M4" s="19">
        <v>3</v>
      </c>
      <c r="N4" s="21">
        <f>IF(COUNTA(D4:M4)=0,"",(D4*'03_Критерии'!$E$4+E4*'03_Критерии'!$E$5+F4*'03_Критерии'!$E$6+G4*'03_Критерии'!$E$7+H4*'03_Критерии'!$E$8+I4*'03_Критерии'!$E$9+J4*'03_Критерии'!$E$10+K4*'03_Критерии'!$E$11+L4*'03_Критерии'!$E$12+M4*'03_Критерии'!$E$13)/SUM('03_Критерии'!$E$4:$E$13))</f>
        <v>4.0999999999999996</v>
      </c>
      <c r="O4" s="19" t="str">
        <f t="shared" ref="O4:O35" si="0">IF(N4="","",IF(COUNTA(D4:M4)&lt;6,"Недостаточно данных",IF(D4&lt;3,"Низкое совпадение задачи",IF(F4&lt;3,"Низкая товарная заменяемость","Нет"))))</f>
        <v>Нет</v>
      </c>
      <c r="P4" s="19" t="str">
        <f t="shared" ref="P4:P35" si="1">IF(N4="","",IF(O4="Недостаточно данных","Недостаточно данных",IF(OR(D4&lt;3,F4&lt;3),IF(N4&gt;=2.5,"Косвенный конкурент / заменитель",IF(N4&gt;=1.6,"Смежная или потенциальная конкуренция","Не конкурент / объект наблюдения")),IF(N4&gt;=4.2,"Прямой конкурент",IF(N4&gt;=3.4,"Близкий альтернативный конкурент",IF(N4&gt;=2.5,"Косвенный конкурент / заменитель",IF(N4&gt;=1.6,"Смежная или потенциальная конкуренция","Не конкурент / объект наблюдения")))))))</f>
        <v>Близкий альтернативный конкурент</v>
      </c>
      <c r="Q4" s="19" t="s">
        <v>314</v>
      </c>
      <c r="R4" s="19" t="str">
        <f t="shared" ref="R4:R35" si="2">IF(Q4="",P4,Q4)</f>
        <v>Прямой конкурент</v>
      </c>
      <c r="S4" s="19" t="s">
        <v>393</v>
      </c>
      <c r="T4" s="19" t="s">
        <v>862</v>
      </c>
      <c r="U4" s="19" t="s">
        <v>863</v>
      </c>
      <c r="V4" s="20">
        <v>46295</v>
      </c>
    </row>
    <row r="5" spans="1:26" ht="94.5">
      <c r="A5" s="19" t="s">
        <v>82</v>
      </c>
      <c r="B5" s="19" t="str">
        <f>IFERROR(IF(_xlfn.XLOOKUP(A5,'01_Компании'!$A$4:$A$103,'01_Компании'!$B$4:$B$103)="","",_xlfn.XLOOKUP(A5,'01_Компании'!$A$4:$A$103,'01_Компании'!$B$4:$B$103)),"")</f>
        <v>Mermaid (библиотека)</v>
      </c>
      <c r="C5" s="19" t="str">
        <f>IFERROR(IF(_xlfn.XLOOKUP(A5,'01_Компании'!$A$4:$A$103,'01_Компании'!$C$4:$C$103)="","",_xlfn.XLOOKUP(A5,'01_Компании'!$A$4:$A$103,'01_Компании'!$C$4:$C$103)),"")</f>
        <v>mermaid.js.org</v>
      </c>
      <c r="D5" s="19">
        <v>5</v>
      </c>
      <c r="E5" s="19">
        <v>4</v>
      </c>
      <c r="F5" s="19">
        <v>4</v>
      </c>
      <c r="G5" s="19">
        <v>5</v>
      </c>
      <c r="H5" s="19">
        <v>4</v>
      </c>
      <c r="I5" s="19">
        <v>5</v>
      </c>
      <c r="J5" s="19">
        <v>3</v>
      </c>
      <c r="K5" s="19">
        <v>1</v>
      </c>
      <c r="L5" s="19">
        <v>4</v>
      </c>
      <c r="M5" s="19">
        <v>3</v>
      </c>
      <c r="N5" s="21">
        <f>IF(COUNTA(D5:M5)=0,"",(D5*'03_Критерии'!$E$4+E5*'03_Критерии'!$E$5+F5*'03_Критерии'!$E$6+G5*'03_Критерии'!$E$7+H5*'03_Критерии'!$E$8+I5*'03_Критерии'!$E$9+J5*'03_Критерии'!$E$10+K5*'03_Критерии'!$E$11+L5*'03_Критерии'!$E$12+M5*'03_Критерии'!$E$13)/SUM('03_Критерии'!$E$4:$E$13))</f>
        <v>4.07</v>
      </c>
      <c r="O5" s="19" t="str">
        <f t="shared" si="0"/>
        <v>Нет</v>
      </c>
      <c r="P5" s="19" t="str">
        <f t="shared" si="1"/>
        <v>Близкий альтернативный конкурент</v>
      </c>
      <c r="Q5" s="19"/>
      <c r="R5" s="19" t="str">
        <f t="shared" si="2"/>
        <v>Близкий альтернативный конкурент</v>
      </c>
      <c r="S5" s="19" t="s">
        <v>393</v>
      </c>
      <c r="T5" s="19" t="s">
        <v>866</v>
      </c>
      <c r="U5" s="19" t="s">
        <v>867</v>
      </c>
      <c r="V5" s="20">
        <v>46295</v>
      </c>
    </row>
    <row r="6" spans="1:26" ht="94.5">
      <c r="A6" s="19" t="s">
        <v>83</v>
      </c>
      <c r="B6" s="19" t="str">
        <f>IFERROR(IF(_xlfn.XLOOKUP(A6,'01_Компании'!$A$4:$A$103,'01_Компании'!$B$4:$B$103)="","",_xlfn.XLOOKUP(A6,'01_Компании'!$A$4:$A$103,'01_Компании'!$B$4:$B$103)),"")</f>
        <v>Mermaid Chart</v>
      </c>
      <c r="C6" s="19" t="str">
        <f>IFERROR(IF(_xlfn.XLOOKUP(A6,'01_Компании'!$A$4:$A$103,'01_Компании'!$C$4:$C$103)="","",_xlfn.XLOOKUP(A6,'01_Компании'!$A$4:$A$103,'01_Компании'!$C$4:$C$103)),"")</f>
        <v>mermaidchart.com</v>
      </c>
      <c r="D6" s="19">
        <v>5</v>
      </c>
      <c r="E6" s="19">
        <v>3</v>
      </c>
      <c r="F6" s="19">
        <v>4</v>
      </c>
      <c r="G6" s="19">
        <v>4</v>
      </c>
      <c r="H6" s="19">
        <v>3</v>
      </c>
      <c r="I6" s="19">
        <v>3</v>
      </c>
      <c r="J6" s="19">
        <v>2</v>
      </c>
      <c r="K6" s="19">
        <v>5</v>
      </c>
      <c r="L6" s="19">
        <v>2</v>
      </c>
      <c r="M6" s="19">
        <v>3</v>
      </c>
      <c r="N6" s="21">
        <f>IF(COUNTA(D6:M6)=0,"",(D6*'03_Критерии'!$E$4+E6*'03_Критерии'!$E$5+F6*'03_Критерии'!$E$6+G6*'03_Критерии'!$E$7+H6*'03_Критерии'!$E$8+I6*'03_Критерии'!$E$9+J6*'03_Критерии'!$E$10+K6*'03_Критерии'!$E$11+L6*'03_Критерии'!$E$12+M6*'03_Критерии'!$E$13)/SUM('03_Критерии'!$E$4:$E$13))</f>
        <v>3.71</v>
      </c>
      <c r="O6" s="19" t="str">
        <f t="shared" si="0"/>
        <v>Нет</v>
      </c>
      <c r="P6" s="19" t="str">
        <f t="shared" si="1"/>
        <v>Близкий альтернативный конкурент</v>
      </c>
      <c r="Q6" s="19"/>
      <c r="R6" s="19" t="str">
        <f t="shared" si="2"/>
        <v>Близкий альтернативный конкурент</v>
      </c>
      <c r="S6" s="19" t="s">
        <v>393</v>
      </c>
      <c r="T6" s="19" t="s">
        <v>868</v>
      </c>
      <c r="U6" s="19" t="s">
        <v>869</v>
      </c>
      <c r="V6" s="20">
        <v>46295</v>
      </c>
    </row>
    <row r="7" spans="1:26" ht="67.5">
      <c r="A7" s="19" t="s">
        <v>84</v>
      </c>
      <c r="B7" s="19" t="str">
        <f>IFERROR(IF(_xlfn.XLOOKUP(A7,'01_Компании'!$A$4:$A$103,'01_Компании'!$B$4:$B$103)="","",_xlfn.XLOOKUP(A7,'01_Компании'!$A$4:$A$103,'01_Компании'!$B$4:$B$103)),"")</f>
        <v>D2 (Terrastruct)</v>
      </c>
      <c r="C7" s="19" t="str">
        <f>IFERROR(IF(_xlfn.XLOOKUP(A7,'01_Компании'!$A$4:$A$103,'01_Компании'!$C$4:$C$103)="","",_xlfn.XLOOKUP(A7,'01_Компании'!$A$4:$A$103,'01_Компании'!$C$4:$C$103)),"")</f>
        <v>d2lang.com</v>
      </c>
      <c r="D7" s="19">
        <v>4</v>
      </c>
      <c r="E7" s="19">
        <v>3</v>
      </c>
      <c r="F7" s="19">
        <v>3</v>
      </c>
      <c r="G7" s="19">
        <v>4</v>
      </c>
      <c r="H7" s="19"/>
      <c r="I7" s="19">
        <v>4</v>
      </c>
      <c r="J7" s="19">
        <v>2</v>
      </c>
      <c r="K7" s="19"/>
      <c r="L7" s="19">
        <v>2</v>
      </c>
      <c r="M7" s="19">
        <v>3</v>
      </c>
      <c r="N7" s="21">
        <f>IF(COUNTA(D7:M7)=0,"",(D7*'03_Критерии'!$E$4+E7*'03_Критерии'!$E$5+F7*'03_Критерии'!$E$6+G7*'03_Критерии'!$E$7+H7*'03_Критерии'!$E$8+I7*'03_Критерии'!$E$9+J7*'03_Критерии'!$E$10+K7*'03_Критерии'!$E$11+L7*'03_Критерии'!$E$12+M7*'03_Критерии'!$E$13)/SUM('03_Критерии'!$E$4:$E$13))</f>
        <v>2.82</v>
      </c>
      <c r="O7" s="19" t="str">
        <f t="shared" si="0"/>
        <v>Нет</v>
      </c>
      <c r="P7" s="19" t="str">
        <f t="shared" si="1"/>
        <v>Косвенный конкурент / заменитель</v>
      </c>
      <c r="Q7" s="19"/>
      <c r="R7" s="19" t="str">
        <f t="shared" si="2"/>
        <v>Косвенный конкурент / заменитель</v>
      </c>
      <c r="S7" s="19" t="s">
        <v>393</v>
      </c>
      <c r="T7" s="19" t="s">
        <v>871</v>
      </c>
      <c r="U7" s="19" t="s">
        <v>872</v>
      </c>
      <c r="V7" s="20">
        <v>46295</v>
      </c>
    </row>
    <row r="8" spans="1:26" ht="81">
      <c r="A8" s="19" t="s">
        <v>85</v>
      </c>
      <c r="B8" s="19" t="str">
        <f>IFERROR(IF(_xlfn.XLOOKUP(A8,'01_Компании'!$A$4:$A$103,'01_Компании'!$B$4:$B$103)="","",_xlfn.XLOOKUP(A8,'01_Компании'!$A$4:$A$103,'01_Компании'!$B$4:$B$103)),"")</f>
        <v>Kroki</v>
      </c>
      <c r="C8" s="19" t="str">
        <f>IFERROR(IF(_xlfn.XLOOKUP(A8,'01_Компании'!$A$4:$A$103,'01_Компании'!$C$4:$C$103)="","",_xlfn.XLOOKUP(A8,'01_Компании'!$A$4:$A$103,'01_Компании'!$C$4:$C$103)),"")</f>
        <v>kroki.io</v>
      </c>
      <c r="D8" s="19">
        <v>3</v>
      </c>
      <c r="E8" s="19">
        <v>3</v>
      </c>
      <c r="F8" s="19">
        <v>2</v>
      </c>
      <c r="G8" s="19">
        <v>2</v>
      </c>
      <c r="H8" s="19"/>
      <c r="I8" s="19">
        <v>3</v>
      </c>
      <c r="J8" s="19">
        <v>2</v>
      </c>
      <c r="K8" s="19"/>
      <c r="L8" s="19">
        <v>2</v>
      </c>
      <c r="M8" s="19"/>
      <c r="N8" s="21">
        <f>IF(COUNTA(D8:M8)=0,"",(D8*'03_Критерии'!$E$4+E8*'03_Критерии'!$E$5+F8*'03_Критерии'!$E$6+G8*'03_Критерии'!$E$7+H8*'03_Критерии'!$E$8+I8*'03_Критерии'!$E$9+J8*'03_Критерии'!$E$10+K8*'03_Критерии'!$E$11+L8*'03_Критерии'!$E$12+M8*'03_Критерии'!$E$13)/SUM('03_Критерии'!$E$4:$E$13))</f>
        <v>2.0699999999999998</v>
      </c>
      <c r="O8" s="19" t="str">
        <f t="shared" si="0"/>
        <v>Низкая товарная заменяемость</v>
      </c>
      <c r="P8" s="19" t="str">
        <f t="shared" si="1"/>
        <v>Смежная или потенциальная конкуренция</v>
      </c>
      <c r="Q8" s="19"/>
      <c r="R8" s="19" t="str">
        <f t="shared" si="2"/>
        <v>Смежная или потенциальная конкуренция</v>
      </c>
      <c r="S8" s="19" t="s">
        <v>393</v>
      </c>
      <c r="T8" s="19" t="s">
        <v>875</v>
      </c>
      <c r="U8" s="19" t="s">
        <v>876</v>
      </c>
      <c r="V8" s="20">
        <v>46295</v>
      </c>
    </row>
    <row r="9" spans="1:26" ht="81">
      <c r="A9" s="19" t="s">
        <v>86</v>
      </c>
      <c r="B9" s="19" t="str">
        <f>IFERROR(IF(_xlfn.XLOOKUP(A9,'01_Компании'!$A$4:$A$103,'01_Компании'!$B$4:$B$103)="","",_xlfn.XLOOKUP(A9,'01_Компании'!$A$4:$A$103,'01_Компании'!$B$4:$B$103)),"")</f>
        <v>PlantText</v>
      </c>
      <c r="C9" s="19" t="str">
        <f>IFERROR(IF(_xlfn.XLOOKUP(A9,'01_Компании'!$A$4:$A$103,'01_Компании'!$C$4:$C$103)="","",_xlfn.XLOOKUP(A9,'01_Компании'!$A$4:$A$103,'01_Компании'!$C$4:$C$103)),"")</f>
        <v>planttext.com</v>
      </c>
      <c r="D9" s="19">
        <v>5</v>
      </c>
      <c r="E9" s="19">
        <v>4</v>
      </c>
      <c r="F9" s="19">
        <v>4</v>
      </c>
      <c r="G9" s="19">
        <v>5</v>
      </c>
      <c r="H9" s="19">
        <v>4</v>
      </c>
      <c r="I9" s="19">
        <v>2</v>
      </c>
      <c r="J9" s="19">
        <v>2</v>
      </c>
      <c r="K9" s="19">
        <v>1</v>
      </c>
      <c r="L9" s="19">
        <v>3</v>
      </c>
      <c r="M9" s="19">
        <v>3</v>
      </c>
      <c r="N9" s="21">
        <f>IF(COUNTA(D9:M9)=0,"",(D9*'03_Критерии'!$E$4+E9*'03_Критерии'!$E$5+F9*'03_Критерии'!$E$6+G9*'03_Критерии'!$E$7+H9*'03_Критерии'!$E$8+I9*'03_Критерии'!$E$9+J9*'03_Критерии'!$E$10+K9*'03_Критерии'!$E$11+L9*'03_Критерии'!$E$12+M9*'03_Критерии'!$E$13)/SUM('03_Критерии'!$E$4:$E$13))</f>
        <v>3.72</v>
      </c>
      <c r="O9" s="19" t="str">
        <f t="shared" si="0"/>
        <v>Нет</v>
      </c>
      <c r="P9" s="19" t="str">
        <f t="shared" si="1"/>
        <v>Близкий альтернативный конкурент</v>
      </c>
      <c r="Q9" s="19"/>
      <c r="R9" s="19" t="str">
        <f t="shared" si="2"/>
        <v>Близкий альтернативный конкурент</v>
      </c>
      <c r="S9" s="19" t="s">
        <v>393</v>
      </c>
      <c r="T9" s="19" t="s">
        <v>879</v>
      </c>
      <c r="U9" s="19" t="s">
        <v>880</v>
      </c>
      <c r="V9" s="20">
        <v>46295</v>
      </c>
    </row>
    <row r="10" spans="1:26" ht="67.5">
      <c r="A10" s="19" t="s">
        <v>87</v>
      </c>
      <c r="B10" s="19" t="str">
        <f>IFERROR(IF(_xlfn.XLOOKUP(A10,'01_Компании'!$A$4:$A$103,'01_Компании'!$B$4:$B$103)="","",_xlfn.XLOOKUP(A10,'01_Компании'!$A$4:$A$103,'01_Компании'!$B$4:$B$103)),"")</f>
        <v>StarUML</v>
      </c>
      <c r="C10" s="19" t="str">
        <f>IFERROR(IF(_xlfn.XLOOKUP(A10,'01_Компании'!$A$4:$A$103,'01_Компании'!$C$4:$C$103)="","",_xlfn.XLOOKUP(A10,'01_Компании'!$A$4:$A$103,'01_Компании'!$C$4:$C$103)),"")</f>
        <v>staruml.io</v>
      </c>
      <c r="D10" s="19">
        <v>4</v>
      </c>
      <c r="E10" s="19">
        <v>4</v>
      </c>
      <c r="F10" s="19">
        <v>3</v>
      </c>
      <c r="G10" s="19">
        <v>3</v>
      </c>
      <c r="H10" s="19"/>
      <c r="I10" s="19">
        <v>3</v>
      </c>
      <c r="J10" s="19">
        <v>3</v>
      </c>
      <c r="K10" s="19"/>
      <c r="L10" s="19">
        <v>3</v>
      </c>
      <c r="M10" s="19"/>
      <c r="N10" s="21">
        <f>IF(COUNTA(D10:M10)=0,"",(D10*'03_Критерии'!$E$4+E10*'03_Критерии'!$E$5+F10*'03_Критерии'!$E$6+G10*'03_Критерии'!$E$7+H10*'03_Критерии'!$E$8+I10*'03_Критерии'!$E$9+J10*'03_Критерии'!$E$10+K10*'03_Критерии'!$E$11+L10*'03_Критерии'!$E$12+M10*'03_Критерии'!$E$13)/SUM('03_Критерии'!$E$4:$E$13))</f>
        <v>2.81</v>
      </c>
      <c r="O10" s="19" t="str">
        <f t="shared" si="0"/>
        <v>Нет</v>
      </c>
      <c r="P10" s="19" t="str">
        <f t="shared" si="1"/>
        <v>Косвенный конкурент / заменитель</v>
      </c>
      <c r="Q10" s="19"/>
      <c r="R10" s="19" t="str">
        <f t="shared" si="2"/>
        <v>Косвенный конкурент / заменитель</v>
      </c>
      <c r="S10" s="19" t="s">
        <v>393</v>
      </c>
      <c r="T10" s="19" t="s">
        <v>881</v>
      </c>
      <c r="U10" s="19" t="s">
        <v>882</v>
      </c>
      <c r="V10" s="20">
        <v>46295</v>
      </c>
    </row>
    <row r="11" spans="1:26" ht="94.5">
      <c r="A11" s="19" t="s">
        <v>88</v>
      </c>
      <c r="B11" s="19" t="str">
        <f>IFERROR(IF(_xlfn.XLOOKUP(A11,'01_Компании'!$A$4:$A$103,'01_Компании'!$B$4:$B$103)="","",_xlfn.XLOOKUP(A11,'01_Компании'!$A$4:$A$103,'01_Компании'!$B$4:$B$103)),"")</f>
        <v>Visual Paradigm</v>
      </c>
      <c r="C11" s="19" t="str">
        <f>IFERROR(IF(_xlfn.XLOOKUP(A11,'01_Компании'!$A$4:$A$103,'01_Компании'!$C$4:$C$103)="","",_xlfn.XLOOKUP(A11,'01_Компании'!$A$4:$A$103,'01_Компании'!$C$4:$C$103)),"")</f>
        <v>visual-paradigm.com</v>
      </c>
      <c r="D11" s="19">
        <v>4</v>
      </c>
      <c r="E11" s="19">
        <v>4</v>
      </c>
      <c r="F11" s="19">
        <v>4</v>
      </c>
      <c r="G11" s="19">
        <v>3</v>
      </c>
      <c r="H11" s="19">
        <v>4</v>
      </c>
      <c r="I11" s="19">
        <v>3</v>
      </c>
      <c r="J11" s="19">
        <v>4</v>
      </c>
      <c r="K11" s="19">
        <v>3</v>
      </c>
      <c r="L11" s="19">
        <v>4</v>
      </c>
      <c r="M11" s="19"/>
      <c r="N11" s="21">
        <f>IF(COUNTA(D11:M11)=0,"",(D11*'03_Критерии'!$E$4+E11*'03_Критерии'!$E$5+F11*'03_Критерии'!$E$6+G11*'03_Критерии'!$E$7+H11*'03_Критерии'!$E$8+I11*'03_Критерии'!$E$9+J11*'03_Критерии'!$E$10+K11*'03_Критерии'!$E$11+L11*'03_Критерии'!$E$12+M11*'03_Критерии'!$E$13)/SUM('03_Критерии'!$E$4:$E$13))</f>
        <v>3.63</v>
      </c>
      <c r="O11" s="19" t="str">
        <f t="shared" si="0"/>
        <v>Нет</v>
      </c>
      <c r="P11" s="19" t="str">
        <f t="shared" si="1"/>
        <v>Близкий альтернативный конкурент</v>
      </c>
      <c r="Q11" s="19"/>
      <c r="R11" s="19" t="str">
        <f t="shared" si="2"/>
        <v>Близкий альтернативный конкурент</v>
      </c>
      <c r="S11" s="19" t="s">
        <v>393</v>
      </c>
      <c r="T11" s="19" t="s">
        <v>884</v>
      </c>
      <c r="U11" s="19" t="s">
        <v>885</v>
      </c>
      <c r="V11" s="20">
        <v>46295</v>
      </c>
    </row>
    <row r="12" spans="1:26" ht="67.5">
      <c r="A12" s="19" t="s">
        <v>89</v>
      </c>
      <c r="B12" s="19" t="str">
        <f>IFERROR(IF(_xlfn.XLOOKUP(A12,'01_Компании'!$A$4:$A$103,'01_Компании'!$B$4:$B$103)="","",_xlfn.XLOOKUP(A12,'01_Компании'!$A$4:$A$103,'01_Компании'!$B$4:$B$103)),"")</f>
        <v>Sparx Systems (Enterprise Architect)</v>
      </c>
      <c r="C12" s="19" t="str">
        <f>IFERROR(IF(_xlfn.XLOOKUP(A12,'01_Компании'!$A$4:$A$103,'01_Компании'!$C$4:$C$103)="","",_xlfn.XLOOKUP(A12,'01_Компании'!$A$4:$A$103,'01_Компании'!$C$4:$C$103)),"")</f>
        <v>sparxsystems.com</v>
      </c>
      <c r="D12" s="19">
        <v>4</v>
      </c>
      <c r="E12" s="19"/>
      <c r="F12" s="19">
        <v>3</v>
      </c>
      <c r="G12" s="19"/>
      <c r="H12" s="19"/>
      <c r="I12" s="19">
        <v>2</v>
      </c>
      <c r="J12" s="19">
        <v>4</v>
      </c>
      <c r="K12" s="19"/>
      <c r="L12" s="19">
        <v>3</v>
      </c>
      <c r="M12" s="19"/>
      <c r="N12" s="21">
        <f>IF(COUNTA(D12:M12)=0,"",(D12*'03_Критерии'!$E$4+E12*'03_Критерии'!$E$5+F12*'03_Критерии'!$E$6+G12*'03_Критерии'!$E$7+H12*'03_Критерии'!$E$8+I12*'03_Критерии'!$E$9+J12*'03_Критерии'!$E$10+K12*'03_Критерии'!$E$11+L12*'03_Критерии'!$E$12+M12*'03_Критерии'!$E$13)/SUM('03_Критерии'!$E$4:$E$13))</f>
        <v>1.9</v>
      </c>
      <c r="O12" s="19" t="str">
        <f t="shared" si="0"/>
        <v>Недостаточно данных</v>
      </c>
      <c r="P12" s="19" t="str">
        <f t="shared" si="1"/>
        <v>Недостаточно данных</v>
      </c>
      <c r="Q12" s="19"/>
      <c r="R12" s="19" t="str">
        <f t="shared" si="2"/>
        <v>Недостаточно данных</v>
      </c>
      <c r="S12" s="19" t="s">
        <v>400</v>
      </c>
      <c r="T12" s="19" t="s">
        <v>887</v>
      </c>
      <c r="U12" s="19" t="s">
        <v>888</v>
      </c>
      <c r="V12" s="20">
        <v>46295</v>
      </c>
    </row>
    <row r="13" spans="1:26" ht="67.5">
      <c r="A13" s="19" t="s">
        <v>90</v>
      </c>
      <c r="B13" s="19" t="str">
        <f>IFERROR(IF(_xlfn.XLOOKUP(A13,'01_Компании'!$A$4:$A$103,'01_Компании'!$B$4:$B$103)="","",_xlfn.XLOOKUP(A13,'01_Компании'!$A$4:$A$103,'01_Компании'!$B$4:$B$103)),"")</f>
        <v>bpmn.io</v>
      </c>
      <c r="C13" s="19" t="str">
        <f>IFERROR(IF(_xlfn.XLOOKUP(A13,'01_Компании'!$A$4:$A$103,'01_Компании'!$C$4:$C$103)="","",_xlfn.XLOOKUP(A13,'01_Компании'!$A$4:$A$103,'01_Компании'!$C$4:$C$103)),"")</f>
        <v>bpmn.io</v>
      </c>
      <c r="D13" s="19">
        <v>3</v>
      </c>
      <c r="E13" s="19">
        <v>3</v>
      </c>
      <c r="F13" s="19">
        <v>2</v>
      </c>
      <c r="G13" s="19">
        <v>3</v>
      </c>
      <c r="H13" s="19"/>
      <c r="I13" s="19">
        <v>3</v>
      </c>
      <c r="J13" s="19">
        <v>4</v>
      </c>
      <c r="K13" s="19"/>
      <c r="L13" s="19">
        <v>3</v>
      </c>
      <c r="M13" s="19">
        <v>3</v>
      </c>
      <c r="N13" s="21">
        <f>IF(COUNTA(D13:M13)=0,"",(D13*'03_Критерии'!$E$4+E13*'03_Критерии'!$E$5+F13*'03_Критерии'!$E$6+G13*'03_Критерии'!$E$7+H13*'03_Критерии'!$E$8+I13*'03_Критерии'!$E$9+J13*'03_Критерии'!$E$10+K13*'03_Критерии'!$E$11+L13*'03_Критерии'!$E$12+M13*'03_Критерии'!$E$13)/SUM('03_Критерии'!$E$4:$E$13))</f>
        <v>2.44</v>
      </c>
      <c r="O13" s="19" t="str">
        <f t="shared" si="0"/>
        <v>Низкая товарная заменяемость</v>
      </c>
      <c r="P13" s="19" t="str">
        <f t="shared" si="1"/>
        <v>Смежная или потенциальная конкуренция</v>
      </c>
      <c r="Q13" s="19"/>
      <c r="R13" s="19" t="str">
        <f t="shared" si="2"/>
        <v>Смежная или потенциальная конкуренция</v>
      </c>
      <c r="S13" s="19" t="s">
        <v>393</v>
      </c>
      <c r="T13" s="19" t="s">
        <v>890</v>
      </c>
      <c r="U13" s="19" t="s">
        <v>891</v>
      </c>
      <c r="V13" s="20">
        <v>46295</v>
      </c>
    </row>
    <row r="14" spans="1:26" ht="54">
      <c r="A14" s="19" t="s">
        <v>91</v>
      </c>
      <c r="B14" s="19" t="str">
        <f>IFERROR(IF(_xlfn.XLOOKUP(A14,'01_Компании'!$A$4:$A$103,'01_Компании'!$B$4:$B$103)="","",_xlfn.XLOOKUP(A14,'01_Компании'!$A$4:$A$103,'01_Компании'!$B$4:$B$103)),"")</f>
        <v>Camunda (Modeler)</v>
      </c>
      <c r="C14" s="19" t="str">
        <f>IFERROR(IF(_xlfn.XLOOKUP(A14,'01_Компании'!$A$4:$A$103,'01_Компании'!$C$4:$C$103)="","",_xlfn.XLOOKUP(A14,'01_Компании'!$A$4:$A$103,'01_Компании'!$C$4:$C$103)),"")</f>
        <v>camunda.com</v>
      </c>
      <c r="D14" s="19">
        <v>2</v>
      </c>
      <c r="E14" s="19">
        <v>2</v>
      </c>
      <c r="F14" s="19">
        <v>2</v>
      </c>
      <c r="G14" s="19">
        <v>2</v>
      </c>
      <c r="H14" s="19"/>
      <c r="I14" s="19">
        <v>3</v>
      </c>
      <c r="J14" s="19">
        <v>3</v>
      </c>
      <c r="K14" s="19"/>
      <c r="L14" s="19">
        <v>3</v>
      </c>
      <c r="M14" s="19">
        <v>3</v>
      </c>
      <c r="N14" s="21">
        <f>IF(COUNTA(D14:M14)=0,"",(D14*'03_Критерии'!$E$4+E14*'03_Критерии'!$E$5+F14*'03_Критерии'!$E$6+G14*'03_Критерии'!$E$7+H14*'03_Критерии'!$E$8+I14*'03_Критерии'!$E$9+J14*'03_Критерии'!$E$10+K14*'03_Критерии'!$E$11+L14*'03_Критерии'!$E$12+M14*'03_Критерии'!$E$13)/SUM('03_Критерии'!$E$4:$E$13))</f>
        <v>1.92</v>
      </c>
      <c r="O14" s="19" t="str">
        <f t="shared" si="0"/>
        <v>Низкое совпадение задачи</v>
      </c>
      <c r="P14" s="19" t="str">
        <f t="shared" si="1"/>
        <v>Смежная или потенциальная конкуренция</v>
      </c>
      <c r="Q14" s="19"/>
      <c r="R14" s="19" t="str">
        <f t="shared" si="2"/>
        <v>Смежная или потенциальная конкуренция</v>
      </c>
      <c r="S14" s="19" t="s">
        <v>393</v>
      </c>
      <c r="T14" s="19" t="s">
        <v>892</v>
      </c>
      <c r="U14" s="19" t="s">
        <v>893</v>
      </c>
      <c r="V14" s="20">
        <v>46295</v>
      </c>
    </row>
    <row r="15" spans="1:26" ht="67.5">
      <c r="A15" s="19" t="s">
        <v>92</v>
      </c>
      <c r="B15" s="19" t="str">
        <f>IFERROR(IF(_xlfn.XLOOKUP(A15,'01_Компании'!$A$4:$A$103,'01_Компании'!$B$4:$B$103)="","",_xlfn.XLOOKUP(A15,'01_Компании'!$A$4:$A$103,'01_Компании'!$B$4:$B$103)),"")</f>
        <v>Storm (StormBPMN)</v>
      </c>
      <c r="C15" s="19" t="str">
        <f>IFERROR(IF(_xlfn.XLOOKUP(A15,'01_Компании'!$A$4:$A$103,'01_Компании'!$C$4:$C$103)="","",_xlfn.XLOOKUP(A15,'01_Компании'!$A$4:$A$103,'01_Компании'!$C$4:$C$103)),"")</f>
        <v>stormbpmn.com</v>
      </c>
      <c r="D15" s="19">
        <v>3</v>
      </c>
      <c r="E15" s="19">
        <v>3</v>
      </c>
      <c r="F15" s="19">
        <v>2</v>
      </c>
      <c r="G15" s="19">
        <v>3</v>
      </c>
      <c r="H15" s="19"/>
      <c r="I15" s="19">
        <v>2</v>
      </c>
      <c r="J15" s="19">
        <v>5</v>
      </c>
      <c r="K15" s="19"/>
      <c r="L15" s="19">
        <v>1</v>
      </c>
      <c r="M15" s="19"/>
      <c r="N15" s="21">
        <f>IF(COUNTA(D15:M15)=0,"",(D15*'03_Критерии'!$E$4+E15*'03_Критерии'!$E$5+F15*'03_Критерии'!$E$6+G15*'03_Критерии'!$E$7+H15*'03_Критерии'!$E$8+I15*'03_Критерии'!$E$9+J15*'03_Критерии'!$E$10+K15*'03_Критерии'!$E$11+L15*'03_Критерии'!$E$12+M15*'03_Критерии'!$E$13)/SUM('03_Критерии'!$E$4:$E$13))</f>
        <v>2.2599999999999998</v>
      </c>
      <c r="O15" s="19" t="str">
        <f t="shared" si="0"/>
        <v>Низкая товарная заменяемость</v>
      </c>
      <c r="P15" s="19" t="str">
        <f t="shared" si="1"/>
        <v>Смежная или потенциальная конкуренция</v>
      </c>
      <c r="Q15" s="19"/>
      <c r="R15" s="19" t="str">
        <f t="shared" si="2"/>
        <v>Смежная или потенциальная конкуренция</v>
      </c>
      <c r="S15" s="19" t="s">
        <v>393</v>
      </c>
      <c r="T15" s="19" t="s">
        <v>894</v>
      </c>
      <c r="U15" s="19" t="s">
        <v>895</v>
      </c>
      <c r="V15" s="20">
        <v>46295</v>
      </c>
    </row>
    <row r="16" spans="1:26" ht="94.5">
      <c r="A16" s="19" t="s">
        <v>93</v>
      </c>
      <c r="B16" s="19" t="str">
        <f>IFERROR(IF(_xlfn.XLOOKUP(A16,'01_Компании'!$A$4:$A$103,'01_Компании'!$B$4:$B$103)="","",_xlfn.XLOOKUP(A16,'01_Компании'!$A$4:$A$103,'01_Компании'!$B$4:$B$103)),"")</f>
        <v>draw.io (diagrams.net)</v>
      </c>
      <c r="C16" s="19" t="str">
        <f>IFERROR(IF(_xlfn.XLOOKUP(A16,'01_Компании'!$A$4:$A$103,'01_Компании'!$C$4:$C$103)="","",_xlfn.XLOOKUP(A16,'01_Компании'!$A$4:$A$103,'01_Компании'!$C$4:$C$103)),"")</f>
        <v>app.diagrams.net</v>
      </c>
      <c r="D16" s="19">
        <v>3</v>
      </c>
      <c r="E16" s="19">
        <v>4</v>
      </c>
      <c r="F16" s="19">
        <v>3</v>
      </c>
      <c r="G16" s="19">
        <v>3</v>
      </c>
      <c r="H16" s="19">
        <v>4</v>
      </c>
      <c r="I16" s="19">
        <v>3</v>
      </c>
      <c r="J16" s="19">
        <v>4</v>
      </c>
      <c r="K16" s="19">
        <v>1</v>
      </c>
      <c r="L16" s="19">
        <v>5</v>
      </c>
      <c r="M16" s="19">
        <v>3</v>
      </c>
      <c r="N16" s="21">
        <f>IF(COUNTA(D16:M16)=0,"",(D16*'03_Критерии'!$E$4+E16*'03_Критерии'!$E$5+F16*'03_Критерии'!$E$6+G16*'03_Критерии'!$E$7+H16*'03_Критерии'!$E$8+I16*'03_Критерии'!$E$9+J16*'03_Критерии'!$E$10+K16*'03_Критерии'!$E$11+L16*'03_Критерии'!$E$12+M16*'03_Критерии'!$E$13)/SUM('03_Критерии'!$E$4:$E$13))</f>
        <v>3.24</v>
      </c>
      <c r="O16" s="19" t="str">
        <f t="shared" si="0"/>
        <v>Нет</v>
      </c>
      <c r="P16" s="19" t="str">
        <f t="shared" si="1"/>
        <v>Косвенный конкурент / заменитель</v>
      </c>
      <c r="Q16" s="19"/>
      <c r="R16" s="19" t="str">
        <f t="shared" si="2"/>
        <v>Косвенный конкурент / заменитель</v>
      </c>
      <c r="S16" s="19" t="s">
        <v>393</v>
      </c>
      <c r="T16" s="19" t="s">
        <v>896</v>
      </c>
      <c r="U16" s="19" t="s">
        <v>897</v>
      </c>
      <c r="V16" s="20">
        <v>46295</v>
      </c>
    </row>
    <row r="17" spans="1:22" ht="94.5">
      <c r="A17" s="19" t="s">
        <v>94</v>
      </c>
      <c r="B17" s="19" t="str">
        <f>IFERROR(IF(_xlfn.XLOOKUP(A17,'01_Компании'!$A$4:$A$103,'01_Компании'!$B$4:$B$103)="","",_xlfn.XLOOKUP(A17,'01_Компании'!$A$4:$A$103,'01_Компании'!$B$4:$B$103)),"")</f>
        <v>Lucidchart</v>
      </c>
      <c r="C17" s="19" t="str">
        <f>IFERROR(IF(_xlfn.XLOOKUP(A17,'01_Компании'!$A$4:$A$103,'01_Компании'!$C$4:$C$103)="","",_xlfn.XLOOKUP(A17,'01_Компании'!$A$4:$A$103,'01_Компании'!$C$4:$C$103)),"")</f>
        <v>lucidchart.com</v>
      </c>
      <c r="D17" s="19">
        <v>3</v>
      </c>
      <c r="E17" s="19">
        <v>3</v>
      </c>
      <c r="F17" s="19">
        <v>3</v>
      </c>
      <c r="G17" s="19">
        <v>3</v>
      </c>
      <c r="H17" s="19">
        <v>3</v>
      </c>
      <c r="I17" s="19">
        <v>3</v>
      </c>
      <c r="J17" s="19">
        <v>3</v>
      </c>
      <c r="K17" s="19">
        <v>5</v>
      </c>
      <c r="L17" s="19">
        <v>5</v>
      </c>
      <c r="M17" s="19"/>
      <c r="N17" s="21">
        <f>IF(COUNTA(D17:M17)=0,"",(D17*'03_Критерии'!$E$4+E17*'03_Критерии'!$E$5+F17*'03_Критерии'!$E$6+G17*'03_Критерии'!$E$7+H17*'03_Критерии'!$E$8+I17*'03_Критерии'!$E$9+J17*'03_Критерии'!$E$10+K17*'03_Критерии'!$E$11+L17*'03_Критерии'!$E$12+M17*'03_Критерии'!$E$13)/SUM('03_Критерии'!$E$4:$E$13))</f>
        <v>3.13</v>
      </c>
      <c r="O17" s="19" t="str">
        <f t="shared" si="0"/>
        <v>Нет</v>
      </c>
      <c r="P17" s="19" t="str">
        <f t="shared" si="1"/>
        <v>Косвенный конкурент / заменитель</v>
      </c>
      <c r="Q17" s="19"/>
      <c r="R17" s="19" t="str">
        <f t="shared" si="2"/>
        <v>Косвенный конкурент / заменитель</v>
      </c>
      <c r="S17" s="19" t="s">
        <v>393</v>
      </c>
      <c r="T17" s="19" t="s">
        <v>899</v>
      </c>
      <c r="U17" s="19" t="s">
        <v>900</v>
      </c>
      <c r="V17" s="20">
        <v>46295</v>
      </c>
    </row>
    <row r="18" spans="1:22" ht="94.5">
      <c r="A18" s="19" t="s">
        <v>95</v>
      </c>
      <c r="B18" s="19" t="str">
        <f>IFERROR(IF(_xlfn.XLOOKUP(A18,'01_Компании'!$A$4:$A$103,'01_Компании'!$B$4:$B$103)="","",_xlfn.XLOOKUP(A18,'01_Компании'!$A$4:$A$103,'01_Компании'!$B$4:$B$103)),"")</f>
        <v>Creately</v>
      </c>
      <c r="C18" s="19" t="str">
        <f>IFERROR(IF(_xlfn.XLOOKUP(A18,'01_Компании'!$A$4:$A$103,'01_Компании'!$C$4:$C$103)="","",_xlfn.XLOOKUP(A18,'01_Компании'!$A$4:$A$103,'01_Компании'!$C$4:$C$103)),"")</f>
        <v>creately.com</v>
      </c>
      <c r="D18" s="19">
        <v>3</v>
      </c>
      <c r="E18" s="19">
        <v>3</v>
      </c>
      <c r="F18" s="19">
        <v>3</v>
      </c>
      <c r="G18" s="19">
        <v>3</v>
      </c>
      <c r="H18" s="19">
        <v>4</v>
      </c>
      <c r="I18" s="19">
        <v>2</v>
      </c>
      <c r="J18" s="19">
        <v>2</v>
      </c>
      <c r="K18" s="19">
        <v>4</v>
      </c>
      <c r="L18" s="19">
        <v>5</v>
      </c>
      <c r="M18" s="19"/>
      <c r="N18" s="21">
        <f>IF(COUNTA(D18:M18)=0,"",(D18*'03_Критерии'!$E$4+E18*'03_Критерии'!$E$5+F18*'03_Критерии'!$E$6+G18*'03_Критерии'!$E$7+H18*'03_Критерии'!$E$8+I18*'03_Критерии'!$E$9+J18*'03_Критерии'!$E$10+K18*'03_Критерии'!$E$11+L18*'03_Критерии'!$E$12+M18*'03_Критерии'!$E$13)/SUM('03_Критерии'!$E$4:$E$13))</f>
        <v>2.99</v>
      </c>
      <c r="O18" s="19" t="str">
        <f t="shared" si="0"/>
        <v>Нет</v>
      </c>
      <c r="P18" s="19" t="str">
        <f t="shared" si="1"/>
        <v>Косвенный конкурент / заменитель</v>
      </c>
      <c r="Q18" s="19"/>
      <c r="R18" s="19" t="str">
        <f t="shared" si="2"/>
        <v>Косвенный конкурент / заменитель</v>
      </c>
      <c r="S18" s="19" t="s">
        <v>393</v>
      </c>
      <c r="T18" s="19" t="s">
        <v>901</v>
      </c>
      <c r="U18" s="19" t="s">
        <v>902</v>
      </c>
      <c r="V18" s="20">
        <v>46295</v>
      </c>
    </row>
    <row r="19" spans="1:22" ht="94.5">
      <c r="A19" s="19" t="s">
        <v>96</v>
      </c>
      <c r="B19" s="19" t="str">
        <f>IFERROR(IF(_xlfn.XLOOKUP(A19,'01_Компании'!$A$4:$A$103,'01_Компании'!$B$4:$B$103)="","",_xlfn.XLOOKUP(A19,'01_Компании'!$A$4:$A$103,'01_Компании'!$B$4:$B$103)),"")</f>
        <v>Miro</v>
      </c>
      <c r="C19" s="19" t="str">
        <f>IFERROR(IF(_xlfn.XLOOKUP(A19,'01_Компании'!$A$4:$A$103,'01_Компании'!$C$4:$C$103)="","",_xlfn.XLOOKUP(A19,'01_Компании'!$A$4:$A$103,'01_Компании'!$C$4:$C$103)),"")</f>
        <v>miro.com</v>
      </c>
      <c r="D19" s="19">
        <v>2</v>
      </c>
      <c r="E19" s="19">
        <v>2</v>
      </c>
      <c r="F19" s="19">
        <v>2</v>
      </c>
      <c r="G19" s="19">
        <v>2</v>
      </c>
      <c r="H19" s="19">
        <v>3</v>
      </c>
      <c r="I19" s="19">
        <v>3</v>
      </c>
      <c r="J19" s="19">
        <v>4</v>
      </c>
      <c r="K19" s="19">
        <v>5</v>
      </c>
      <c r="L19" s="19">
        <v>5</v>
      </c>
      <c r="M19" s="19"/>
      <c r="N19" s="21">
        <f>IF(COUNTA(D19:M19)=0,"",(D19*'03_Критерии'!$E$4+E19*'03_Критерии'!$E$5+F19*'03_Критерии'!$E$6+G19*'03_Критерии'!$E$7+H19*'03_Критерии'!$E$8+I19*'03_Критерии'!$E$9+J19*'03_Критерии'!$E$10+K19*'03_Критерии'!$E$11+L19*'03_Критерии'!$E$12+M19*'03_Критерии'!$E$13)/SUM('03_Критерии'!$E$4:$E$13))</f>
        <v>2.57</v>
      </c>
      <c r="O19" s="19" t="str">
        <f t="shared" si="0"/>
        <v>Низкое совпадение задачи</v>
      </c>
      <c r="P19" s="19" t="str">
        <f t="shared" si="1"/>
        <v>Косвенный конкурент / заменитель</v>
      </c>
      <c r="Q19" s="19"/>
      <c r="R19" s="19" t="str">
        <f t="shared" si="2"/>
        <v>Косвенный конкурент / заменитель</v>
      </c>
      <c r="S19" s="19" t="s">
        <v>393</v>
      </c>
      <c r="T19" s="19" t="s">
        <v>903</v>
      </c>
      <c r="U19" s="19" t="s">
        <v>904</v>
      </c>
      <c r="V19" s="20">
        <v>46295</v>
      </c>
    </row>
    <row r="20" spans="1:22" ht="67.5">
      <c r="A20" s="19" t="s">
        <v>97</v>
      </c>
      <c r="B20" s="19" t="str">
        <f>IFERROR(IF(_xlfn.XLOOKUP(A20,'01_Компании'!$A$4:$A$103,'01_Компании'!$B$4:$B$103)="","",_xlfn.XLOOKUP(A20,'01_Компании'!$A$4:$A$103,'01_Компании'!$B$4:$B$103)),"")</f>
        <v>Excalidraw</v>
      </c>
      <c r="C20" s="19" t="str">
        <f>IFERROR(IF(_xlfn.XLOOKUP(A20,'01_Компании'!$A$4:$A$103,'01_Компании'!$C$4:$C$103)="","",_xlfn.XLOOKUP(A20,'01_Компании'!$A$4:$A$103,'01_Компании'!$C$4:$C$103)),"")</f>
        <v>excalidraw.com</v>
      </c>
      <c r="D20" s="19">
        <v>2</v>
      </c>
      <c r="E20" s="19">
        <v>3</v>
      </c>
      <c r="F20" s="19">
        <v>2</v>
      </c>
      <c r="G20" s="19">
        <v>2</v>
      </c>
      <c r="H20" s="19"/>
      <c r="I20" s="19">
        <v>3</v>
      </c>
      <c r="J20" s="19">
        <v>3</v>
      </c>
      <c r="K20" s="19"/>
      <c r="L20" s="19">
        <v>3</v>
      </c>
      <c r="M20" s="19"/>
      <c r="N20" s="21">
        <f>IF(COUNTA(D20:M20)=0,"",(D20*'03_Критерии'!$E$4+E20*'03_Критерии'!$E$5+F20*'03_Критерии'!$E$6+G20*'03_Критерии'!$E$7+H20*'03_Критерии'!$E$8+I20*'03_Критерии'!$E$9+J20*'03_Критерии'!$E$10+K20*'03_Критерии'!$E$11+L20*'03_Критерии'!$E$12+M20*'03_Критерии'!$E$13)/SUM('03_Критерии'!$E$4:$E$13))</f>
        <v>1.98</v>
      </c>
      <c r="O20" s="19" t="str">
        <f t="shared" si="0"/>
        <v>Низкое совпадение задачи</v>
      </c>
      <c r="P20" s="19" t="str">
        <f t="shared" si="1"/>
        <v>Смежная или потенциальная конкуренция</v>
      </c>
      <c r="Q20" s="19"/>
      <c r="R20" s="19" t="str">
        <f t="shared" si="2"/>
        <v>Смежная или потенциальная конкуренция</v>
      </c>
      <c r="S20" s="19" t="s">
        <v>393</v>
      </c>
      <c r="T20" s="19" t="s">
        <v>905</v>
      </c>
      <c r="U20" s="19" t="s">
        <v>906</v>
      </c>
      <c r="V20" s="20">
        <v>46295</v>
      </c>
    </row>
    <row r="21" spans="1:22" ht="81">
      <c r="A21" s="19" t="s">
        <v>98</v>
      </c>
      <c r="B21" s="19" t="str">
        <f>IFERROR(IF(_xlfn.XLOOKUP(A21,'01_Компании'!$A$4:$A$103,'01_Компании'!$B$4:$B$103)="","",_xlfn.XLOOKUP(A21,'01_Компании'!$A$4:$A$103,'01_Компании'!$B$4:$B$103)),"")</f>
        <v>dbdiagram.io</v>
      </c>
      <c r="C21" s="19" t="str">
        <f>IFERROR(IF(_xlfn.XLOOKUP(A21,'01_Компании'!$A$4:$A$103,'01_Компании'!$C$4:$C$103)="","",_xlfn.XLOOKUP(A21,'01_Компании'!$A$4:$A$103,'01_Компании'!$C$4:$C$103)),"")</f>
        <v>dbdiagram.io</v>
      </c>
      <c r="D21" s="19">
        <v>3</v>
      </c>
      <c r="E21" s="19">
        <v>3</v>
      </c>
      <c r="F21" s="19">
        <v>2</v>
      </c>
      <c r="G21" s="19">
        <v>4</v>
      </c>
      <c r="H21" s="19">
        <v>3</v>
      </c>
      <c r="I21" s="19">
        <v>3</v>
      </c>
      <c r="J21" s="19">
        <v>2</v>
      </c>
      <c r="K21" s="19">
        <v>5</v>
      </c>
      <c r="L21" s="19">
        <v>3</v>
      </c>
      <c r="M21" s="19"/>
      <c r="N21" s="21">
        <f>IF(COUNTA(D21:M21)=0,"",(D21*'03_Критерии'!$E$4+E21*'03_Критерии'!$E$5+F21*'03_Критерии'!$E$6+G21*'03_Критерии'!$E$7+H21*'03_Критерии'!$E$8+I21*'03_Критерии'!$E$9+J21*'03_Критерии'!$E$10+K21*'03_Критерии'!$E$11+L21*'03_Критерии'!$E$12+M21*'03_Критерии'!$E$13)/SUM('03_Критерии'!$E$4:$E$13))</f>
        <v>2.9</v>
      </c>
      <c r="O21" s="19" t="str">
        <f t="shared" si="0"/>
        <v>Низкая товарная заменяемость</v>
      </c>
      <c r="P21" s="19" t="str">
        <f t="shared" si="1"/>
        <v>Косвенный конкурент / заменитель</v>
      </c>
      <c r="Q21" s="19"/>
      <c r="R21" s="19" t="str">
        <f t="shared" si="2"/>
        <v>Косвенный конкурент / заменитель</v>
      </c>
      <c r="S21" s="19" t="s">
        <v>393</v>
      </c>
      <c r="T21" s="19" t="s">
        <v>907</v>
      </c>
      <c r="U21" s="19" t="s">
        <v>908</v>
      </c>
      <c r="V21" s="20">
        <v>46295</v>
      </c>
    </row>
    <row r="22" spans="1:22" ht="67.5">
      <c r="A22" s="19" t="s">
        <v>99</v>
      </c>
      <c r="B22" s="19" t="str">
        <f>IFERROR(IF(_xlfn.XLOOKUP(A22,'01_Компании'!$A$4:$A$103,'01_Компании'!$B$4:$B$103)="","",_xlfn.XLOOKUP(A22,'01_Компании'!$A$4:$A$103,'01_Компании'!$B$4:$B$103)),"")</f>
        <v>DrawSQL</v>
      </c>
      <c r="C22" s="19" t="str">
        <f>IFERROR(IF(_xlfn.XLOOKUP(A22,'01_Компании'!$A$4:$A$103,'01_Компании'!$C$4:$C$103)="","",_xlfn.XLOOKUP(A22,'01_Компании'!$A$4:$A$103,'01_Компании'!$C$4:$C$103)),"")</f>
        <v>drawsql.app</v>
      </c>
      <c r="D22" s="19">
        <v>3</v>
      </c>
      <c r="E22" s="19">
        <v>3</v>
      </c>
      <c r="F22" s="19">
        <v>2</v>
      </c>
      <c r="G22" s="19">
        <v>3</v>
      </c>
      <c r="H22" s="19"/>
      <c r="I22" s="19"/>
      <c r="J22" s="19">
        <v>2</v>
      </c>
      <c r="K22" s="19"/>
      <c r="L22" s="19">
        <v>2</v>
      </c>
      <c r="M22" s="19"/>
      <c r="N22" s="21">
        <f>IF(COUNTA(D22:M22)=0,"",(D22*'03_Критерии'!$E$4+E22*'03_Критерии'!$E$5+F22*'03_Критерии'!$E$6+G22*'03_Критерии'!$E$7+H22*'03_Критерии'!$E$8+I22*'03_Критерии'!$E$9+J22*'03_Критерии'!$E$10+K22*'03_Критерии'!$E$11+L22*'03_Критерии'!$E$12+M22*'03_Критерии'!$E$13)/SUM('03_Критерии'!$E$4:$E$13))</f>
        <v>1.93</v>
      </c>
      <c r="O22" s="19" t="str">
        <f t="shared" si="0"/>
        <v>Низкая товарная заменяемость</v>
      </c>
      <c r="P22" s="19" t="str">
        <f t="shared" si="1"/>
        <v>Смежная или потенциальная конкуренция</v>
      </c>
      <c r="Q22" s="19"/>
      <c r="R22" s="19" t="str">
        <f t="shared" si="2"/>
        <v>Смежная или потенциальная конкуренция</v>
      </c>
      <c r="S22" s="19" t="s">
        <v>393</v>
      </c>
      <c r="T22" s="19" t="s">
        <v>909</v>
      </c>
      <c r="U22" s="19" t="s">
        <v>910</v>
      </c>
      <c r="V22" s="20">
        <v>46295</v>
      </c>
    </row>
    <row r="23" spans="1:22" ht="67.5">
      <c r="A23" s="19" t="s">
        <v>100</v>
      </c>
      <c r="B23" s="19" t="str">
        <f>IFERROR(IF(_xlfn.XLOOKUP(A23,'01_Компании'!$A$4:$A$103,'01_Компании'!$B$4:$B$103)="","",_xlfn.XLOOKUP(A23,'01_Компании'!$A$4:$A$103,'01_Компании'!$B$4:$B$103)),"")</f>
        <v>Eraser</v>
      </c>
      <c r="C23" s="19" t="str">
        <f>IFERROR(IF(_xlfn.XLOOKUP(A23,'01_Компании'!$A$4:$A$103,'01_Компании'!$C$4:$C$103)="","",_xlfn.XLOOKUP(A23,'01_Компании'!$A$4:$A$103,'01_Компании'!$C$4:$C$103)),"")</f>
        <v>eraser.io</v>
      </c>
      <c r="D23" s="19">
        <v>4</v>
      </c>
      <c r="E23" s="19">
        <v>3</v>
      </c>
      <c r="F23" s="19">
        <v>3</v>
      </c>
      <c r="G23" s="19">
        <v>4</v>
      </c>
      <c r="H23" s="19">
        <v>2</v>
      </c>
      <c r="I23" s="19"/>
      <c r="J23" s="19">
        <v>2</v>
      </c>
      <c r="K23" s="19">
        <v>5</v>
      </c>
      <c r="L23" s="19">
        <v>3</v>
      </c>
      <c r="M23" s="19"/>
      <c r="N23" s="21">
        <f>IF(COUNTA(D23:M23)=0,"",(D23*'03_Критерии'!$E$4+E23*'03_Критерии'!$E$5+F23*'03_Критерии'!$E$6+G23*'03_Критерии'!$E$7+H23*'03_Критерии'!$E$8+I23*'03_Критерии'!$E$9+J23*'03_Критерии'!$E$10+K23*'03_Критерии'!$E$11+L23*'03_Критерии'!$E$12+M23*'03_Критерии'!$E$13)/SUM('03_Критерии'!$E$4:$E$13))</f>
        <v>2.96</v>
      </c>
      <c r="O23" s="19" t="str">
        <f t="shared" si="0"/>
        <v>Нет</v>
      </c>
      <c r="P23" s="19" t="str">
        <f t="shared" si="1"/>
        <v>Косвенный конкурент / заменитель</v>
      </c>
      <c r="Q23" s="19"/>
      <c r="R23" s="19" t="str">
        <f t="shared" si="2"/>
        <v>Косвенный конкурент / заменитель</v>
      </c>
      <c r="S23" s="19" t="s">
        <v>393</v>
      </c>
      <c r="T23" s="19" t="s">
        <v>913</v>
      </c>
      <c r="U23" s="19" t="s">
        <v>914</v>
      </c>
      <c r="V23" s="20">
        <v>46295</v>
      </c>
    </row>
    <row r="24" spans="1:22" ht="94.5">
      <c r="A24" s="19" t="s">
        <v>101</v>
      </c>
      <c r="B24" s="19" t="str">
        <f>IFERROR(IF(_xlfn.XLOOKUP(A24,'01_Компании'!$A$4:$A$103,'01_Компании'!$B$4:$B$103)="","",_xlfn.XLOOKUP(A24,'01_Компании'!$A$4:$A$103,'01_Компании'!$B$4:$B$103)),"")</f>
        <v>Whimsical</v>
      </c>
      <c r="C24" s="19" t="str">
        <f>IFERROR(IF(_xlfn.XLOOKUP(A24,'01_Компании'!$A$4:$A$103,'01_Компании'!$C$4:$C$103)="","",_xlfn.XLOOKUP(A24,'01_Компании'!$A$4:$A$103,'01_Компании'!$C$4:$C$103)),"")</f>
        <v>whimsical.com</v>
      </c>
      <c r="D24" s="19">
        <v>3</v>
      </c>
      <c r="E24" s="19">
        <v>3</v>
      </c>
      <c r="F24" s="19">
        <v>2</v>
      </c>
      <c r="G24" s="19">
        <v>3</v>
      </c>
      <c r="H24" s="19">
        <v>3</v>
      </c>
      <c r="I24" s="19"/>
      <c r="J24" s="19"/>
      <c r="K24" s="19">
        <v>5</v>
      </c>
      <c r="L24" s="19">
        <v>2</v>
      </c>
      <c r="M24" s="19"/>
      <c r="N24" s="21">
        <f>IF(COUNTA(D24:M24)=0,"",(D24*'03_Критерии'!$E$4+E24*'03_Критерии'!$E$5+F24*'03_Критерии'!$E$6+G24*'03_Критерии'!$E$7+H24*'03_Критерии'!$E$8+I24*'03_Критерии'!$E$9+J24*'03_Критерии'!$E$10+K24*'03_Критерии'!$E$11+L24*'03_Критерии'!$E$12+M24*'03_Критерии'!$E$13)/SUM('03_Критерии'!$E$4:$E$13))</f>
        <v>2.38</v>
      </c>
      <c r="O24" s="19" t="str">
        <f t="shared" si="0"/>
        <v>Низкая товарная заменяемость</v>
      </c>
      <c r="P24" s="19" t="str">
        <f t="shared" si="1"/>
        <v>Смежная или потенциальная конкуренция</v>
      </c>
      <c r="Q24" s="19"/>
      <c r="R24" s="19" t="str">
        <f t="shared" si="2"/>
        <v>Смежная или потенциальная конкуренция</v>
      </c>
      <c r="S24" s="19" t="s">
        <v>393</v>
      </c>
      <c r="T24" s="19" t="s">
        <v>916</v>
      </c>
      <c r="U24" s="19" t="s">
        <v>917</v>
      </c>
      <c r="V24" s="20">
        <v>46295</v>
      </c>
    </row>
    <row r="25" spans="1:22" ht="81">
      <c r="A25" s="19" t="s">
        <v>102</v>
      </c>
      <c r="B25" s="19" t="str">
        <f>IFERROR(IF(_xlfn.XLOOKUP(A25,'01_Компании'!$A$4:$A$103,'01_Компании'!$B$4:$B$103)="","",_xlfn.XLOOKUP(A25,'01_Компании'!$A$4:$A$103,'01_Компании'!$B$4:$B$103)),"")</f>
        <v>Microsoft Visio</v>
      </c>
      <c r="C25" s="19" t="str">
        <f>IFERROR(IF(_xlfn.XLOOKUP(A25,'01_Компании'!$A$4:$A$103,'01_Компании'!$C$4:$C$103)="","",_xlfn.XLOOKUP(A25,'01_Компании'!$A$4:$A$103,'01_Компании'!$C$4:$C$103)),"")</f>
        <v>microsoft.com/visio</v>
      </c>
      <c r="D25" s="19">
        <v>3</v>
      </c>
      <c r="E25" s="19">
        <v>3</v>
      </c>
      <c r="F25" s="19">
        <v>2</v>
      </c>
      <c r="G25" s="19">
        <v>2</v>
      </c>
      <c r="H25" s="19">
        <v>4</v>
      </c>
      <c r="I25" s="19">
        <v>2</v>
      </c>
      <c r="J25" s="19">
        <v>4</v>
      </c>
      <c r="K25" s="19">
        <v>4</v>
      </c>
      <c r="L25" s="19"/>
      <c r="M25" s="19"/>
      <c r="N25" s="21">
        <f>IF(COUNTA(D25:M25)=0,"",(D25*'03_Критерии'!$E$4+E25*'03_Критерии'!$E$5+F25*'03_Критерии'!$E$6+G25*'03_Критерии'!$E$7+H25*'03_Критерии'!$E$8+I25*'03_Критерии'!$E$9+J25*'03_Критерии'!$E$10+K25*'03_Критерии'!$E$11+L25*'03_Критерии'!$E$12+M25*'03_Критерии'!$E$13)/SUM('03_Критерии'!$E$4:$E$13))</f>
        <v>2.65</v>
      </c>
      <c r="O25" s="19" t="str">
        <f t="shared" si="0"/>
        <v>Низкая товарная заменяемость</v>
      </c>
      <c r="P25" s="19" t="str">
        <f t="shared" si="1"/>
        <v>Косвенный конкурент / заменитель</v>
      </c>
      <c r="Q25" s="19"/>
      <c r="R25" s="19" t="str">
        <f t="shared" si="2"/>
        <v>Косвенный конкурент / заменитель</v>
      </c>
      <c r="S25" s="19" t="s">
        <v>393</v>
      </c>
      <c r="T25" s="19" t="s">
        <v>919</v>
      </c>
      <c r="U25" s="19" t="s">
        <v>920</v>
      </c>
      <c r="V25" s="20">
        <v>46295</v>
      </c>
    </row>
    <row r="26" spans="1:22">
      <c r="A26" s="2" t="s">
        <v>103</v>
      </c>
      <c r="B26" s="2" t="str">
        <f>IFERROR(IF(_xlfn.XLOOKUP(A26,'01_Компании'!$A$4:$A$103,'01_Компании'!$B$4:$B$103)="","",_xlfn.XLOOKUP(A26,'01_Компании'!$A$4:$A$103,'01_Компании'!$B$4:$B$103)),"")</f>
        <v/>
      </c>
      <c r="C26" s="2" t="str">
        <f>IFERROR(IF(_xlfn.XLOOKUP(A26,'01_Компании'!$A$4:$A$103,'01_Компании'!$C$4:$C$103)="","",_xlfn.XLOOKUP(A26,'01_Компании'!$A$4:$A$103,'01_Компании'!$C$4:$C$103)),"")</f>
        <v/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6" t="str">
        <f>IF(COUNTA(D26:M26)=0,"",(D26*'03_Критерии'!$E$4+E26*'03_Критерии'!$E$5+F26*'03_Критерии'!$E$6+G26*'03_Критерии'!$E$7+H26*'03_Критерии'!$E$8+I26*'03_Критерии'!$E$9+J26*'03_Критерии'!$E$10+K26*'03_Критерии'!$E$11+L26*'03_Критерии'!$E$12+M26*'03_Критерии'!$E$13)/SUM('03_Критерии'!$E$4:$E$13))</f>
        <v/>
      </c>
      <c r="O26" s="2" t="str">
        <f t="shared" si="0"/>
        <v/>
      </c>
      <c r="P26" s="2" t="str">
        <f t="shared" si="1"/>
        <v/>
      </c>
      <c r="Q26" s="2"/>
      <c r="R26" s="2" t="str">
        <f t="shared" si="2"/>
        <v/>
      </c>
      <c r="S26" s="2"/>
      <c r="T26" s="2"/>
      <c r="U26" s="2"/>
      <c r="V26" s="5"/>
    </row>
    <row r="27" spans="1:22">
      <c r="A27" s="2" t="s">
        <v>104</v>
      </c>
      <c r="B27" s="2" t="str">
        <f>IFERROR(IF(_xlfn.XLOOKUP(A27,'01_Компании'!$A$4:$A$103,'01_Компании'!$B$4:$B$103)="","",_xlfn.XLOOKUP(A27,'01_Компании'!$A$4:$A$103,'01_Компании'!$B$4:$B$103)),"")</f>
        <v/>
      </c>
      <c r="C27" s="2" t="str">
        <f>IFERROR(IF(_xlfn.XLOOKUP(A27,'01_Компании'!$A$4:$A$103,'01_Компании'!$C$4:$C$103)="","",_xlfn.XLOOKUP(A27,'01_Компании'!$A$4:$A$103,'01_Компании'!$C$4:$C$103)),"")</f>
        <v/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6" t="str">
        <f>IF(COUNTA(D27:M27)=0,"",(D27*'03_Критерии'!$E$4+E27*'03_Критерии'!$E$5+F27*'03_Критерии'!$E$6+G27*'03_Критерии'!$E$7+H27*'03_Критерии'!$E$8+I27*'03_Критерии'!$E$9+J27*'03_Критерии'!$E$10+K27*'03_Критерии'!$E$11+L27*'03_Критерии'!$E$12+M27*'03_Критерии'!$E$13)/SUM('03_Критерии'!$E$4:$E$13))</f>
        <v/>
      </c>
      <c r="O27" s="2" t="str">
        <f t="shared" si="0"/>
        <v/>
      </c>
      <c r="P27" s="2" t="str">
        <f t="shared" si="1"/>
        <v/>
      </c>
      <c r="Q27" s="2"/>
      <c r="R27" s="2" t="str">
        <f t="shared" si="2"/>
        <v/>
      </c>
      <c r="S27" s="2"/>
      <c r="T27" s="2"/>
      <c r="U27" s="2"/>
      <c r="V27" s="5"/>
    </row>
    <row r="28" spans="1:22">
      <c r="A28" s="2" t="s">
        <v>105</v>
      </c>
      <c r="B28" s="2" t="str">
        <f>IFERROR(IF(_xlfn.XLOOKUP(A28,'01_Компании'!$A$4:$A$103,'01_Компании'!$B$4:$B$103)="","",_xlfn.XLOOKUP(A28,'01_Компании'!$A$4:$A$103,'01_Компании'!$B$4:$B$103)),"")</f>
        <v/>
      </c>
      <c r="C28" s="2" t="str">
        <f>IFERROR(IF(_xlfn.XLOOKUP(A28,'01_Компании'!$A$4:$A$103,'01_Компании'!$C$4:$C$103)="","",_xlfn.XLOOKUP(A28,'01_Компании'!$A$4:$A$103,'01_Компании'!$C$4:$C$103)),"")</f>
        <v/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6" t="str">
        <f>IF(COUNTA(D28:M28)=0,"",(D28*'03_Критерии'!$E$4+E28*'03_Критерии'!$E$5+F28*'03_Критерии'!$E$6+G28*'03_Критерии'!$E$7+H28*'03_Критерии'!$E$8+I28*'03_Критерии'!$E$9+J28*'03_Критерии'!$E$10+K28*'03_Критерии'!$E$11+L28*'03_Критерии'!$E$12+M28*'03_Критерии'!$E$13)/SUM('03_Критерии'!$E$4:$E$13))</f>
        <v/>
      </c>
      <c r="O28" s="2" t="str">
        <f t="shared" si="0"/>
        <v/>
      </c>
      <c r="P28" s="2" t="str">
        <f t="shared" si="1"/>
        <v/>
      </c>
      <c r="Q28" s="2"/>
      <c r="R28" s="2" t="str">
        <f t="shared" si="2"/>
        <v/>
      </c>
      <c r="S28" s="2"/>
      <c r="T28" s="2"/>
      <c r="U28" s="2"/>
      <c r="V28" s="5"/>
    </row>
    <row r="29" spans="1:22">
      <c r="A29" s="2" t="s">
        <v>106</v>
      </c>
      <c r="B29" s="2" t="str">
        <f>IFERROR(IF(_xlfn.XLOOKUP(A29,'01_Компании'!$A$4:$A$103,'01_Компании'!$B$4:$B$103)="","",_xlfn.XLOOKUP(A29,'01_Компании'!$A$4:$A$103,'01_Компании'!$B$4:$B$103)),"")</f>
        <v/>
      </c>
      <c r="C29" s="2" t="str">
        <f>IFERROR(IF(_xlfn.XLOOKUP(A29,'01_Компании'!$A$4:$A$103,'01_Компании'!$C$4:$C$103)="","",_xlfn.XLOOKUP(A29,'01_Компании'!$A$4:$A$103,'01_Компании'!$C$4:$C$103)),"")</f>
        <v/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6" t="str">
        <f>IF(COUNTA(D29:M29)=0,"",(D29*'03_Критерии'!$E$4+E29*'03_Критерии'!$E$5+F29*'03_Критерии'!$E$6+G29*'03_Критерии'!$E$7+H29*'03_Критерии'!$E$8+I29*'03_Критерии'!$E$9+J29*'03_Критерии'!$E$10+K29*'03_Критерии'!$E$11+L29*'03_Критерии'!$E$12+M29*'03_Критерии'!$E$13)/SUM('03_Критерии'!$E$4:$E$13))</f>
        <v/>
      </c>
      <c r="O29" s="2" t="str">
        <f t="shared" si="0"/>
        <v/>
      </c>
      <c r="P29" s="2" t="str">
        <f t="shared" si="1"/>
        <v/>
      </c>
      <c r="Q29" s="2"/>
      <c r="R29" s="2" t="str">
        <f t="shared" si="2"/>
        <v/>
      </c>
      <c r="S29" s="2"/>
      <c r="T29" s="2"/>
      <c r="U29" s="2"/>
      <c r="V29" s="5"/>
    </row>
    <row r="30" spans="1:22">
      <c r="A30" s="2" t="s">
        <v>107</v>
      </c>
      <c r="B30" s="2" t="str">
        <f>IFERROR(IF(_xlfn.XLOOKUP(A30,'01_Компании'!$A$4:$A$103,'01_Компании'!$B$4:$B$103)="","",_xlfn.XLOOKUP(A30,'01_Компании'!$A$4:$A$103,'01_Компании'!$B$4:$B$103)),"")</f>
        <v/>
      </c>
      <c r="C30" s="2" t="str">
        <f>IFERROR(IF(_xlfn.XLOOKUP(A30,'01_Компании'!$A$4:$A$103,'01_Компании'!$C$4:$C$103)="","",_xlfn.XLOOKUP(A30,'01_Компании'!$A$4:$A$103,'01_Компании'!$C$4:$C$103)),"")</f>
        <v/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6" t="str">
        <f>IF(COUNTA(D30:M30)=0,"",(D30*'03_Критерии'!$E$4+E30*'03_Критерии'!$E$5+F30*'03_Критерии'!$E$6+G30*'03_Критерии'!$E$7+H30*'03_Критерии'!$E$8+I30*'03_Критерии'!$E$9+J30*'03_Критерии'!$E$10+K30*'03_Критерии'!$E$11+L30*'03_Критерии'!$E$12+M30*'03_Критерии'!$E$13)/SUM('03_Критерии'!$E$4:$E$13))</f>
        <v/>
      </c>
      <c r="O30" s="2" t="str">
        <f t="shared" si="0"/>
        <v/>
      </c>
      <c r="P30" s="2" t="str">
        <f t="shared" si="1"/>
        <v/>
      </c>
      <c r="Q30" s="2"/>
      <c r="R30" s="2" t="str">
        <f t="shared" si="2"/>
        <v/>
      </c>
      <c r="S30" s="2"/>
      <c r="T30" s="2"/>
      <c r="U30" s="2"/>
      <c r="V30" s="5"/>
    </row>
    <row r="31" spans="1:22">
      <c r="A31" s="2" t="s">
        <v>108</v>
      </c>
      <c r="B31" s="2" t="str">
        <f>IFERROR(IF(_xlfn.XLOOKUP(A31,'01_Компании'!$A$4:$A$103,'01_Компании'!$B$4:$B$103)="","",_xlfn.XLOOKUP(A31,'01_Компании'!$A$4:$A$103,'01_Компании'!$B$4:$B$103)),"")</f>
        <v/>
      </c>
      <c r="C31" s="2" t="str">
        <f>IFERROR(IF(_xlfn.XLOOKUP(A31,'01_Компании'!$A$4:$A$103,'01_Компании'!$C$4:$C$103)="","",_xlfn.XLOOKUP(A31,'01_Компании'!$A$4:$A$103,'01_Компании'!$C$4:$C$103)),"")</f>
        <v/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6" t="str">
        <f>IF(COUNTA(D31:M31)=0,"",(D31*'03_Критерии'!$E$4+E31*'03_Критерии'!$E$5+F31*'03_Критерии'!$E$6+G31*'03_Критерии'!$E$7+H31*'03_Критерии'!$E$8+I31*'03_Критерии'!$E$9+J31*'03_Критерии'!$E$10+K31*'03_Критерии'!$E$11+L31*'03_Критерии'!$E$12+M31*'03_Критерии'!$E$13)/SUM('03_Критерии'!$E$4:$E$13))</f>
        <v/>
      </c>
      <c r="O31" s="2" t="str">
        <f t="shared" si="0"/>
        <v/>
      </c>
      <c r="P31" s="2" t="str">
        <f t="shared" si="1"/>
        <v/>
      </c>
      <c r="Q31" s="2"/>
      <c r="R31" s="2" t="str">
        <f t="shared" si="2"/>
        <v/>
      </c>
      <c r="S31" s="2"/>
      <c r="T31" s="2"/>
      <c r="U31" s="2"/>
      <c r="V31" s="5"/>
    </row>
    <row r="32" spans="1:22">
      <c r="A32" s="2" t="s">
        <v>109</v>
      </c>
      <c r="B32" s="2" t="str">
        <f>IFERROR(IF(_xlfn.XLOOKUP(A32,'01_Компании'!$A$4:$A$103,'01_Компании'!$B$4:$B$103)="","",_xlfn.XLOOKUP(A32,'01_Компании'!$A$4:$A$103,'01_Компании'!$B$4:$B$103)),"")</f>
        <v/>
      </c>
      <c r="C32" s="2" t="str">
        <f>IFERROR(IF(_xlfn.XLOOKUP(A32,'01_Компании'!$A$4:$A$103,'01_Компании'!$C$4:$C$103)="","",_xlfn.XLOOKUP(A32,'01_Компании'!$A$4:$A$103,'01_Компании'!$C$4:$C$103)),"")</f>
        <v/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6" t="str">
        <f>IF(COUNTA(D32:M32)=0,"",(D32*'03_Критерии'!$E$4+E32*'03_Критерии'!$E$5+F32*'03_Критерии'!$E$6+G32*'03_Критерии'!$E$7+H32*'03_Критерии'!$E$8+I32*'03_Критерии'!$E$9+J32*'03_Критерии'!$E$10+K32*'03_Критерии'!$E$11+L32*'03_Критерии'!$E$12+M32*'03_Критерии'!$E$13)/SUM('03_Критерии'!$E$4:$E$13))</f>
        <v/>
      </c>
      <c r="O32" s="2" t="str">
        <f t="shared" si="0"/>
        <v/>
      </c>
      <c r="P32" s="2" t="str">
        <f t="shared" si="1"/>
        <v/>
      </c>
      <c r="Q32" s="2"/>
      <c r="R32" s="2" t="str">
        <f t="shared" si="2"/>
        <v/>
      </c>
      <c r="S32" s="2"/>
      <c r="T32" s="2"/>
      <c r="U32" s="2"/>
      <c r="V32" s="5"/>
    </row>
    <row r="33" spans="1:22">
      <c r="A33" s="2" t="s">
        <v>110</v>
      </c>
      <c r="B33" s="2" t="str">
        <f>IFERROR(IF(_xlfn.XLOOKUP(A33,'01_Компании'!$A$4:$A$103,'01_Компании'!$B$4:$B$103)="","",_xlfn.XLOOKUP(A33,'01_Компании'!$A$4:$A$103,'01_Компании'!$B$4:$B$103)),"")</f>
        <v/>
      </c>
      <c r="C33" s="2" t="str">
        <f>IFERROR(IF(_xlfn.XLOOKUP(A33,'01_Компании'!$A$4:$A$103,'01_Компании'!$C$4:$C$103)="","",_xlfn.XLOOKUP(A33,'01_Компании'!$A$4:$A$103,'01_Компании'!$C$4:$C$103)),"")</f>
        <v/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6" t="str">
        <f>IF(COUNTA(D33:M33)=0,"",(D33*'03_Критерии'!$E$4+E33*'03_Критерии'!$E$5+F33*'03_Критерии'!$E$6+G33*'03_Критерии'!$E$7+H33*'03_Критерии'!$E$8+I33*'03_Критерии'!$E$9+J33*'03_Критерии'!$E$10+K33*'03_Критерии'!$E$11+L33*'03_Критерии'!$E$12+M33*'03_Критерии'!$E$13)/SUM('03_Критерии'!$E$4:$E$13))</f>
        <v/>
      </c>
      <c r="O33" s="2" t="str">
        <f t="shared" si="0"/>
        <v/>
      </c>
      <c r="P33" s="2" t="str">
        <f t="shared" si="1"/>
        <v/>
      </c>
      <c r="Q33" s="2"/>
      <c r="R33" s="2" t="str">
        <f t="shared" si="2"/>
        <v/>
      </c>
      <c r="S33" s="2"/>
      <c r="T33" s="2"/>
      <c r="U33" s="2"/>
      <c r="V33" s="5"/>
    </row>
    <row r="34" spans="1:22">
      <c r="A34" s="2" t="s">
        <v>111</v>
      </c>
      <c r="B34" s="2" t="str">
        <f>IFERROR(IF(_xlfn.XLOOKUP(A34,'01_Компании'!$A$4:$A$103,'01_Компании'!$B$4:$B$103)="","",_xlfn.XLOOKUP(A34,'01_Компании'!$A$4:$A$103,'01_Компании'!$B$4:$B$103)),"")</f>
        <v/>
      </c>
      <c r="C34" s="2" t="str">
        <f>IFERROR(IF(_xlfn.XLOOKUP(A34,'01_Компании'!$A$4:$A$103,'01_Компании'!$C$4:$C$103)="","",_xlfn.XLOOKUP(A34,'01_Компании'!$A$4:$A$103,'01_Компании'!$C$4:$C$103)),"")</f>
        <v/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6" t="str">
        <f>IF(COUNTA(D34:M34)=0,"",(D34*'03_Критерии'!$E$4+E34*'03_Критерии'!$E$5+F34*'03_Критерии'!$E$6+G34*'03_Критерии'!$E$7+H34*'03_Критерии'!$E$8+I34*'03_Критерии'!$E$9+J34*'03_Критерии'!$E$10+K34*'03_Критерии'!$E$11+L34*'03_Критерии'!$E$12+M34*'03_Критерии'!$E$13)/SUM('03_Критерии'!$E$4:$E$13))</f>
        <v/>
      </c>
      <c r="O34" s="2" t="str">
        <f t="shared" si="0"/>
        <v/>
      </c>
      <c r="P34" s="2" t="str">
        <f t="shared" si="1"/>
        <v/>
      </c>
      <c r="Q34" s="2"/>
      <c r="R34" s="2" t="str">
        <f t="shared" si="2"/>
        <v/>
      </c>
      <c r="S34" s="2"/>
      <c r="T34" s="2"/>
      <c r="U34" s="2"/>
      <c r="V34" s="5"/>
    </row>
    <row r="35" spans="1:22">
      <c r="A35" s="2" t="s">
        <v>112</v>
      </c>
      <c r="B35" s="2" t="str">
        <f>IFERROR(IF(_xlfn.XLOOKUP(A35,'01_Компании'!$A$4:$A$103,'01_Компании'!$B$4:$B$103)="","",_xlfn.XLOOKUP(A35,'01_Компании'!$A$4:$A$103,'01_Компании'!$B$4:$B$103)),"")</f>
        <v/>
      </c>
      <c r="C35" s="2" t="str">
        <f>IFERROR(IF(_xlfn.XLOOKUP(A35,'01_Компании'!$A$4:$A$103,'01_Компании'!$C$4:$C$103)="","",_xlfn.XLOOKUP(A35,'01_Компании'!$A$4:$A$103,'01_Компании'!$C$4:$C$103)),"")</f>
        <v/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6" t="str">
        <f>IF(COUNTA(D35:M35)=0,"",(D35*'03_Критерии'!$E$4+E35*'03_Критерии'!$E$5+F35*'03_Критерии'!$E$6+G35*'03_Критерии'!$E$7+H35*'03_Критерии'!$E$8+I35*'03_Критерии'!$E$9+J35*'03_Критерии'!$E$10+K35*'03_Критерии'!$E$11+L35*'03_Критерии'!$E$12+M35*'03_Критерии'!$E$13)/SUM('03_Критерии'!$E$4:$E$13))</f>
        <v/>
      </c>
      <c r="O35" s="2" t="str">
        <f t="shared" si="0"/>
        <v/>
      </c>
      <c r="P35" s="2" t="str">
        <f t="shared" si="1"/>
        <v/>
      </c>
      <c r="Q35" s="2"/>
      <c r="R35" s="2" t="str">
        <f t="shared" si="2"/>
        <v/>
      </c>
      <c r="S35" s="2"/>
      <c r="T35" s="2"/>
      <c r="U35" s="2"/>
      <c r="V35" s="5"/>
    </row>
    <row r="36" spans="1:22">
      <c r="A36" s="2" t="s">
        <v>113</v>
      </c>
      <c r="B36" s="2" t="str">
        <f>IFERROR(IF(_xlfn.XLOOKUP(A36,'01_Компании'!$A$4:$A$103,'01_Компании'!$B$4:$B$103)="","",_xlfn.XLOOKUP(A36,'01_Компании'!$A$4:$A$103,'01_Компании'!$B$4:$B$103)),"")</f>
        <v/>
      </c>
      <c r="C36" s="2" t="str">
        <f>IFERROR(IF(_xlfn.XLOOKUP(A36,'01_Компании'!$A$4:$A$103,'01_Компании'!$C$4:$C$103)="","",_xlfn.XLOOKUP(A36,'01_Компании'!$A$4:$A$103,'01_Компании'!$C$4:$C$103)),"")</f>
        <v/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6" t="str">
        <f>IF(COUNTA(D36:M36)=0,"",(D36*'03_Критерии'!$E$4+E36*'03_Критерии'!$E$5+F36*'03_Критерии'!$E$6+G36*'03_Критерии'!$E$7+H36*'03_Критерии'!$E$8+I36*'03_Критерии'!$E$9+J36*'03_Критерии'!$E$10+K36*'03_Критерии'!$E$11+L36*'03_Критерии'!$E$12+M36*'03_Критерии'!$E$13)/SUM('03_Критерии'!$E$4:$E$13))</f>
        <v/>
      </c>
      <c r="O36" s="2" t="str">
        <f t="shared" ref="O36:O67" si="3">IF(N36="","",IF(COUNTA(D36:M36)&lt;6,"Недостаточно данных",IF(D36&lt;3,"Низкое совпадение задачи",IF(F36&lt;3,"Низкая товарная заменяемость","Нет"))))</f>
        <v/>
      </c>
      <c r="P36" s="2" t="str">
        <f t="shared" ref="P36:P67" si="4">IF(N36="","",IF(O36="Недостаточно данных","Недостаточно данных",IF(OR(D36&lt;3,F36&lt;3),IF(N36&gt;=2.5,"Косвенный конкурент / заменитель",IF(N36&gt;=1.6,"Смежная или потенциальная конкуренция","Не конкурент / объект наблюдения")),IF(N36&gt;=4.2,"Прямой конкурент",IF(N36&gt;=3.4,"Близкий альтернативный конкурент",IF(N36&gt;=2.5,"Косвенный конкурент / заменитель",IF(N36&gt;=1.6,"Смежная или потенциальная конкуренция","Не конкурент / объект наблюдения")))))))</f>
        <v/>
      </c>
      <c r="Q36" s="2"/>
      <c r="R36" s="2" t="str">
        <f t="shared" ref="R36:R67" si="5">IF(Q36="",P36,Q36)</f>
        <v/>
      </c>
      <c r="S36" s="2"/>
      <c r="T36" s="2"/>
      <c r="U36" s="2"/>
      <c r="V36" s="5"/>
    </row>
    <row r="37" spans="1:22">
      <c r="A37" s="2" t="s">
        <v>114</v>
      </c>
      <c r="B37" s="2" t="str">
        <f>IFERROR(IF(_xlfn.XLOOKUP(A37,'01_Компании'!$A$4:$A$103,'01_Компании'!$B$4:$B$103)="","",_xlfn.XLOOKUP(A37,'01_Компании'!$A$4:$A$103,'01_Компании'!$B$4:$B$103)),"")</f>
        <v/>
      </c>
      <c r="C37" s="2" t="str">
        <f>IFERROR(IF(_xlfn.XLOOKUP(A37,'01_Компании'!$A$4:$A$103,'01_Компании'!$C$4:$C$103)="","",_xlfn.XLOOKUP(A37,'01_Компании'!$A$4:$A$103,'01_Компании'!$C$4:$C$103)),"")</f>
        <v/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6" t="str">
        <f>IF(COUNTA(D37:M37)=0,"",(D37*'03_Критерии'!$E$4+E37*'03_Критерии'!$E$5+F37*'03_Критерии'!$E$6+G37*'03_Критерии'!$E$7+H37*'03_Критерии'!$E$8+I37*'03_Критерии'!$E$9+J37*'03_Критерии'!$E$10+K37*'03_Критерии'!$E$11+L37*'03_Критерии'!$E$12+M37*'03_Критерии'!$E$13)/SUM('03_Критерии'!$E$4:$E$13))</f>
        <v/>
      </c>
      <c r="O37" s="2" t="str">
        <f t="shared" si="3"/>
        <v/>
      </c>
      <c r="P37" s="2" t="str">
        <f t="shared" si="4"/>
        <v/>
      </c>
      <c r="Q37" s="2"/>
      <c r="R37" s="2" t="str">
        <f t="shared" si="5"/>
        <v/>
      </c>
      <c r="S37" s="2"/>
      <c r="T37" s="2"/>
      <c r="U37" s="2"/>
      <c r="V37" s="5"/>
    </row>
    <row r="38" spans="1:22">
      <c r="A38" s="2" t="s">
        <v>115</v>
      </c>
      <c r="B38" s="2" t="str">
        <f>IFERROR(IF(_xlfn.XLOOKUP(A38,'01_Компании'!$A$4:$A$103,'01_Компании'!$B$4:$B$103)="","",_xlfn.XLOOKUP(A38,'01_Компании'!$A$4:$A$103,'01_Компании'!$B$4:$B$103)),"")</f>
        <v/>
      </c>
      <c r="C38" s="2" t="str">
        <f>IFERROR(IF(_xlfn.XLOOKUP(A38,'01_Компании'!$A$4:$A$103,'01_Компании'!$C$4:$C$103)="","",_xlfn.XLOOKUP(A38,'01_Компании'!$A$4:$A$103,'01_Компании'!$C$4:$C$103)),"")</f>
        <v/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6" t="str">
        <f>IF(COUNTA(D38:M38)=0,"",(D38*'03_Критерии'!$E$4+E38*'03_Критерии'!$E$5+F38*'03_Критерии'!$E$6+G38*'03_Критерии'!$E$7+H38*'03_Критерии'!$E$8+I38*'03_Критерии'!$E$9+J38*'03_Критерии'!$E$10+K38*'03_Критерии'!$E$11+L38*'03_Критерии'!$E$12+M38*'03_Критерии'!$E$13)/SUM('03_Критерии'!$E$4:$E$13))</f>
        <v/>
      </c>
      <c r="O38" s="2" t="str">
        <f t="shared" si="3"/>
        <v/>
      </c>
      <c r="P38" s="2" t="str">
        <f t="shared" si="4"/>
        <v/>
      </c>
      <c r="Q38" s="2"/>
      <c r="R38" s="2" t="str">
        <f t="shared" si="5"/>
        <v/>
      </c>
      <c r="S38" s="2"/>
      <c r="T38" s="2"/>
      <c r="U38" s="2"/>
      <c r="V38" s="5"/>
    </row>
    <row r="39" spans="1:22">
      <c r="A39" s="2" t="s">
        <v>116</v>
      </c>
      <c r="B39" s="2" t="str">
        <f>IFERROR(IF(_xlfn.XLOOKUP(A39,'01_Компании'!$A$4:$A$103,'01_Компании'!$B$4:$B$103)="","",_xlfn.XLOOKUP(A39,'01_Компании'!$A$4:$A$103,'01_Компании'!$B$4:$B$103)),"")</f>
        <v/>
      </c>
      <c r="C39" s="2" t="str">
        <f>IFERROR(IF(_xlfn.XLOOKUP(A39,'01_Компании'!$A$4:$A$103,'01_Компании'!$C$4:$C$103)="","",_xlfn.XLOOKUP(A39,'01_Компании'!$A$4:$A$103,'01_Компании'!$C$4:$C$103)),"")</f>
        <v/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6" t="str">
        <f>IF(COUNTA(D39:M39)=0,"",(D39*'03_Критерии'!$E$4+E39*'03_Критерии'!$E$5+F39*'03_Критерии'!$E$6+G39*'03_Критерии'!$E$7+H39*'03_Критерии'!$E$8+I39*'03_Критерии'!$E$9+J39*'03_Критерии'!$E$10+K39*'03_Критерии'!$E$11+L39*'03_Критерии'!$E$12+M39*'03_Критерии'!$E$13)/SUM('03_Критерии'!$E$4:$E$13))</f>
        <v/>
      </c>
      <c r="O39" s="2" t="str">
        <f t="shared" si="3"/>
        <v/>
      </c>
      <c r="P39" s="2" t="str">
        <f t="shared" si="4"/>
        <v/>
      </c>
      <c r="Q39" s="2"/>
      <c r="R39" s="2" t="str">
        <f t="shared" si="5"/>
        <v/>
      </c>
      <c r="S39" s="2"/>
      <c r="T39" s="2"/>
      <c r="U39" s="2"/>
      <c r="V39" s="5"/>
    </row>
    <row r="40" spans="1:22">
      <c r="A40" s="2" t="s">
        <v>117</v>
      </c>
      <c r="B40" s="2" t="str">
        <f>IFERROR(IF(_xlfn.XLOOKUP(A40,'01_Компании'!$A$4:$A$103,'01_Компании'!$B$4:$B$103)="","",_xlfn.XLOOKUP(A40,'01_Компании'!$A$4:$A$103,'01_Компании'!$B$4:$B$103)),"")</f>
        <v/>
      </c>
      <c r="C40" s="2" t="str">
        <f>IFERROR(IF(_xlfn.XLOOKUP(A40,'01_Компании'!$A$4:$A$103,'01_Компании'!$C$4:$C$103)="","",_xlfn.XLOOKUP(A40,'01_Компании'!$A$4:$A$103,'01_Компании'!$C$4:$C$103)),"")</f>
        <v/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6" t="str">
        <f>IF(COUNTA(D40:M40)=0,"",(D40*'03_Критерии'!$E$4+E40*'03_Критерии'!$E$5+F40*'03_Критерии'!$E$6+G40*'03_Критерии'!$E$7+H40*'03_Критерии'!$E$8+I40*'03_Критерии'!$E$9+J40*'03_Критерии'!$E$10+K40*'03_Критерии'!$E$11+L40*'03_Критерии'!$E$12+M40*'03_Критерии'!$E$13)/SUM('03_Критерии'!$E$4:$E$13))</f>
        <v/>
      </c>
      <c r="O40" s="2" t="str">
        <f t="shared" si="3"/>
        <v/>
      </c>
      <c r="P40" s="2" t="str">
        <f t="shared" si="4"/>
        <v/>
      </c>
      <c r="Q40" s="2"/>
      <c r="R40" s="2" t="str">
        <f t="shared" si="5"/>
        <v/>
      </c>
      <c r="S40" s="2"/>
      <c r="T40" s="2"/>
      <c r="U40" s="2"/>
      <c r="V40" s="5"/>
    </row>
    <row r="41" spans="1:22">
      <c r="A41" s="2" t="s">
        <v>118</v>
      </c>
      <c r="B41" s="2" t="str">
        <f>IFERROR(IF(_xlfn.XLOOKUP(A41,'01_Компании'!$A$4:$A$103,'01_Компании'!$B$4:$B$103)="","",_xlfn.XLOOKUP(A41,'01_Компании'!$A$4:$A$103,'01_Компании'!$B$4:$B$103)),"")</f>
        <v/>
      </c>
      <c r="C41" s="2" t="str">
        <f>IFERROR(IF(_xlfn.XLOOKUP(A41,'01_Компании'!$A$4:$A$103,'01_Компании'!$C$4:$C$103)="","",_xlfn.XLOOKUP(A41,'01_Компании'!$A$4:$A$103,'01_Компании'!$C$4:$C$103)),"")</f>
        <v/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6" t="str">
        <f>IF(COUNTA(D41:M41)=0,"",(D41*'03_Критерии'!$E$4+E41*'03_Критерии'!$E$5+F41*'03_Критерии'!$E$6+G41*'03_Критерии'!$E$7+H41*'03_Критерии'!$E$8+I41*'03_Критерии'!$E$9+J41*'03_Критерии'!$E$10+K41*'03_Критерии'!$E$11+L41*'03_Критерии'!$E$12+M41*'03_Критерии'!$E$13)/SUM('03_Критерии'!$E$4:$E$13))</f>
        <v/>
      </c>
      <c r="O41" s="2" t="str">
        <f t="shared" si="3"/>
        <v/>
      </c>
      <c r="P41" s="2" t="str">
        <f t="shared" si="4"/>
        <v/>
      </c>
      <c r="Q41" s="2"/>
      <c r="R41" s="2" t="str">
        <f t="shared" si="5"/>
        <v/>
      </c>
      <c r="S41" s="2"/>
      <c r="T41" s="2"/>
      <c r="U41" s="2"/>
      <c r="V41" s="5"/>
    </row>
    <row r="42" spans="1:22">
      <c r="A42" s="2" t="s">
        <v>119</v>
      </c>
      <c r="B42" s="2" t="str">
        <f>IFERROR(IF(_xlfn.XLOOKUP(A42,'01_Компании'!$A$4:$A$103,'01_Компании'!$B$4:$B$103)="","",_xlfn.XLOOKUP(A42,'01_Компании'!$A$4:$A$103,'01_Компании'!$B$4:$B$103)),"")</f>
        <v/>
      </c>
      <c r="C42" s="2" t="str">
        <f>IFERROR(IF(_xlfn.XLOOKUP(A42,'01_Компании'!$A$4:$A$103,'01_Компании'!$C$4:$C$103)="","",_xlfn.XLOOKUP(A42,'01_Компании'!$A$4:$A$103,'01_Компании'!$C$4:$C$103)),"")</f>
        <v/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6" t="str">
        <f>IF(COUNTA(D42:M42)=0,"",(D42*'03_Критерии'!$E$4+E42*'03_Критерии'!$E$5+F42*'03_Критерии'!$E$6+G42*'03_Критерии'!$E$7+H42*'03_Критерии'!$E$8+I42*'03_Критерии'!$E$9+J42*'03_Критерии'!$E$10+K42*'03_Критерии'!$E$11+L42*'03_Критерии'!$E$12+M42*'03_Критерии'!$E$13)/SUM('03_Критерии'!$E$4:$E$13))</f>
        <v/>
      </c>
      <c r="O42" s="2" t="str">
        <f t="shared" si="3"/>
        <v/>
      </c>
      <c r="P42" s="2" t="str">
        <f t="shared" si="4"/>
        <v/>
      </c>
      <c r="Q42" s="2"/>
      <c r="R42" s="2" t="str">
        <f t="shared" si="5"/>
        <v/>
      </c>
      <c r="S42" s="2"/>
      <c r="T42" s="2"/>
      <c r="U42" s="2"/>
      <c r="V42" s="5"/>
    </row>
    <row r="43" spans="1:22">
      <c r="A43" s="2" t="s">
        <v>120</v>
      </c>
      <c r="B43" s="2" t="str">
        <f>IFERROR(IF(_xlfn.XLOOKUP(A43,'01_Компании'!$A$4:$A$103,'01_Компании'!$B$4:$B$103)="","",_xlfn.XLOOKUP(A43,'01_Компании'!$A$4:$A$103,'01_Компании'!$B$4:$B$103)),"")</f>
        <v/>
      </c>
      <c r="C43" s="2" t="str">
        <f>IFERROR(IF(_xlfn.XLOOKUP(A43,'01_Компании'!$A$4:$A$103,'01_Компании'!$C$4:$C$103)="","",_xlfn.XLOOKUP(A43,'01_Компании'!$A$4:$A$103,'01_Компании'!$C$4:$C$103)),"")</f>
        <v/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6" t="str">
        <f>IF(COUNTA(D43:M43)=0,"",(D43*'03_Критерии'!$E$4+E43*'03_Критерии'!$E$5+F43*'03_Критерии'!$E$6+G43*'03_Критерии'!$E$7+H43*'03_Критерии'!$E$8+I43*'03_Критерии'!$E$9+J43*'03_Критерии'!$E$10+K43*'03_Критерии'!$E$11+L43*'03_Критерии'!$E$12+M43*'03_Критерии'!$E$13)/SUM('03_Критерии'!$E$4:$E$13))</f>
        <v/>
      </c>
      <c r="O43" s="2" t="str">
        <f t="shared" si="3"/>
        <v/>
      </c>
      <c r="P43" s="2" t="str">
        <f t="shared" si="4"/>
        <v/>
      </c>
      <c r="Q43" s="2"/>
      <c r="R43" s="2" t="str">
        <f t="shared" si="5"/>
        <v/>
      </c>
      <c r="S43" s="2"/>
      <c r="T43" s="2"/>
      <c r="U43" s="2"/>
      <c r="V43" s="5"/>
    </row>
    <row r="44" spans="1:22">
      <c r="A44" s="2" t="s">
        <v>121</v>
      </c>
      <c r="B44" s="2" t="str">
        <f>IFERROR(IF(_xlfn.XLOOKUP(A44,'01_Компании'!$A$4:$A$103,'01_Компании'!$B$4:$B$103)="","",_xlfn.XLOOKUP(A44,'01_Компании'!$A$4:$A$103,'01_Компании'!$B$4:$B$103)),"")</f>
        <v/>
      </c>
      <c r="C44" s="2" t="str">
        <f>IFERROR(IF(_xlfn.XLOOKUP(A44,'01_Компании'!$A$4:$A$103,'01_Компании'!$C$4:$C$103)="","",_xlfn.XLOOKUP(A44,'01_Компании'!$A$4:$A$103,'01_Компании'!$C$4:$C$103)),"")</f>
        <v/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6" t="str">
        <f>IF(COUNTA(D44:M44)=0,"",(D44*'03_Критерии'!$E$4+E44*'03_Критерии'!$E$5+F44*'03_Критерии'!$E$6+G44*'03_Критерии'!$E$7+H44*'03_Критерии'!$E$8+I44*'03_Критерии'!$E$9+J44*'03_Критерии'!$E$10+K44*'03_Критерии'!$E$11+L44*'03_Критерии'!$E$12+M44*'03_Критерии'!$E$13)/SUM('03_Критерии'!$E$4:$E$13))</f>
        <v/>
      </c>
      <c r="O44" s="2" t="str">
        <f t="shared" si="3"/>
        <v/>
      </c>
      <c r="P44" s="2" t="str">
        <f t="shared" si="4"/>
        <v/>
      </c>
      <c r="Q44" s="2"/>
      <c r="R44" s="2" t="str">
        <f t="shared" si="5"/>
        <v/>
      </c>
      <c r="S44" s="2"/>
      <c r="T44" s="2"/>
      <c r="U44" s="2"/>
      <c r="V44" s="5"/>
    </row>
    <row r="45" spans="1:22">
      <c r="A45" s="2" t="s">
        <v>122</v>
      </c>
      <c r="B45" s="2" t="str">
        <f>IFERROR(IF(_xlfn.XLOOKUP(A45,'01_Компании'!$A$4:$A$103,'01_Компании'!$B$4:$B$103)="","",_xlfn.XLOOKUP(A45,'01_Компании'!$A$4:$A$103,'01_Компании'!$B$4:$B$103)),"")</f>
        <v/>
      </c>
      <c r="C45" s="2" t="str">
        <f>IFERROR(IF(_xlfn.XLOOKUP(A45,'01_Компании'!$A$4:$A$103,'01_Компании'!$C$4:$C$103)="","",_xlfn.XLOOKUP(A45,'01_Компании'!$A$4:$A$103,'01_Компании'!$C$4:$C$103)),"")</f>
        <v/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6" t="str">
        <f>IF(COUNTA(D45:M45)=0,"",(D45*'03_Критерии'!$E$4+E45*'03_Критерии'!$E$5+F45*'03_Критерии'!$E$6+G45*'03_Критерии'!$E$7+H45*'03_Критерии'!$E$8+I45*'03_Критерии'!$E$9+J45*'03_Критерии'!$E$10+K45*'03_Критерии'!$E$11+L45*'03_Критерии'!$E$12+M45*'03_Критерии'!$E$13)/SUM('03_Критерии'!$E$4:$E$13))</f>
        <v/>
      </c>
      <c r="O45" s="2" t="str">
        <f t="shared" si="3"/>
        <v/>
      </c>
      <c r="P45" s="2" t="str">
        <f t="shared" si="4"/>
        <v/>
      </c>
      <c r="Q45" s="2"/>
      <c r="R45" s="2" t="str">
        <f t="shared" si="5"/>
        <v/>
      </c>
      <c r="S45" s="2"/>
      <c r="T45" s="2"/>
      <c r="U45" s="2"/>
      <c r="V45" s="5"/>
    </row>
    <row r="46" spans="1:22">
      <c r="A46" s="2" t="s">
        <v>123</v>
      </c>
      <c r="B46" s="2" t="str">
        <f>IFERROR(IF(_xlfn.XLOOKUP(A46,'01_Компании'!$A$4:$A$103,'01_Компании'!$B$4:$B$103)="","",_xlfn.XLOOKUP(A46,'01_Компании'!$A$4:$A$103,'01_Компании'!$B$4:$B$103)),"")</f>
        <v/>
      </c>
      <c r="C46" s="2" t="str">
        <f>IFERROR(IF(_xlfn.XLOOKUP(A46,'01_Компании'!$A$4:$A$103,'01_Компании'!$C$4:$C$103)="","",_xlfn.XLOOKUP(A46,'01_Компании'!$A$4:$A$103,'01_Компании'!$C$4:$C$103)),"")</f>
        <v/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6" t="str">
        <f>IF(COUNTA(D46:M46)=0,"",(D46*'03_Критерии'!$E$4+E46*'03_Критерии'!$E$5+F46*'03_Критерии'!$E$6+G46*'03_Критерии'!$E$7+H46*'03_Критерии'!$E$8+I46*'03_Критерии'!$E$9+J46*'03_Критерии'!$E$10+K46*'03_Критерии'!$E$11+L46*'03_Критерии'!$E$12+M46*'03_Критерии'!$E$13)/SUM('03_Критерии'!$E$4:$E$13))</f>
        <v/>
      </c>
      <c r="O46" s="2" t="str">
        <f t="shared" si="3"/>
        <v/>
      </c>
      <c r="P46" s="2" t="str">
        <f t="shared" si="4"/>
        <v/>
      </c>
      <c r="Q46" s="2"/>
      <c r="R46" s="2" t="str">
        <f t="shared" si="5"/>
        <v/>
      </c>
      <c r="S46" s="2"/>
      <c r="T46" s="2"/>
      <c r="U46" s="2"/>
      <c r="V46" s="5"/>
    </row>
    <row r="47" spans="1:22">
      <c r="A47" s="2" t="s">
        <v>124</v>
      </c>
      <c r="B47" s="2" t="str">
        <f>IFERROR(IF(_xlfn.XLOOKUP(A47,'01_Компании'!$A$4:$A$103,'01_Компании'!$B$4:$B$103)="","",_xlfn.XLOOKUP(A47,'01_Компании'!$A$4:$A$103,'01_Компании'!$B$4:$B$103)),"")</f>
        <v/>
      </c>
      <c r="C47" s="2" t="str">
        <f>IFERROR(IF(_xlfn.XLOOKUP(A47,'01_Компании'!$A$4:$A$103,'01_Компании'!$C$4:$C$103)="","",_xlfn.XLOOKUP(A47,'01_Компании'!$A$4:$A$103,'01_Компании'!$C$4:$C$103)),"")</f>
        <v/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6" t="str">
        <f>IF(COUNTA(D47:M47)=0,"",(D47*'03_Критерии'!$E$4+E47*'03_Критерии'!$E$5+F47*'03_Критерии'!$E$6+G47*'03_Критерии'!$E$7+H47*'03_Критерии'!$E$8+I47*'03_Критерии'!$E$9+J47*'03_Критерии'!$E$10+K47*'03_Критерии'!$E$11+L47*'03_Критерии'!$E$12+M47*'03_Критерии'!$E$13)/SUM('03_Критерии'!$E$4:$E$13))</f>
        <v/>
      </c>
      <c r="O47" s="2" t="str">
        <f t="shared" si="3"/>
        <v/>
      </c>
      <c r="P47" s="2" t="str">
        <f t="shared" si="4"/>
        <v/>
      </c>
      <c r="Q47" s="2"/>
      <c r="R47" s="2" t="str">
        <f t="shared" si="5"/>
        <v/>
      </c>
      <c r="S47" s="2"/>
      <c r="T47" s="2"/>
      <c r="U47" s="2"/>
      <c r="V47" s="5"/>
    </row>
    <row r="48" spans="1:22">
      <c r="A48" s="2" t="s">
        <v>125</v>
      </c>
      <c r="B48" s="2" t="str">
        <f>IFERROR(IF(_xlfn.XLOOKUP(A48,'01_Компании'!$A$4:$A$103,'01_Компании'!$B$4:$B$103)="","",_xlfn.XLOOKUP(A48,'01_Компании'!$A$4:$A$103,'01_Компании'!$B$4:$B$103)),"")</f>
        <v/>
      </c>
      <c r="C48" s="2" t="str">
        <f>IFERROR(IF(_xlfn.XLOOKUP(A48,'01_Компании'!$A$4:$A$103,'01_Компании'!$C$4:$C$103)="","",_xlfn.XLOOKUP(A48,'01_Компании'!$A$4:$A$103,'01_Компании'!$C$4:$C$103)),"")</f>
        <v/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6" t="str">
        <f>IF(COUNTA(D48:M48)=0,"",(D48*'03_Критерии'!$E$4+E48*'03_Критерии'!$E$5+F48*'03_Критерии'!$E$6+G48*'03_Критерии'!$E$7+H48*'03_Критерии'!$E$8+I48*'03_Критерии'!$E$9+J48*'03_Критерии'!$E$10+K48*'03_Критерии'!$E$11+L48*'03_Критерии'!$E$12+M48*'03_Критерии'!$E$13)/SUM('03_Критерии'!$E$4:$E$13))</f>
        <v/>
      </c>
      <c r="O48" s="2" t="str">
        <f t="shared" si="3"/>
        <v/>
      </c>
      <c r="P48" s="2" t="str">
        <f t="shared" si="4"/>
        <v/>
      </c>
      <c r="Q48" s="2"/>
      <c r="R48" s="2" t="str">
        <f t="shared" si="5"/>
        <v/>
      </c>
      <c r="S48" s="2"/>
      <c r="T48" s="2"/>
      <c r="U48" s="2"/>
      <c r="V48" s="5"/>
    </row>
    <row r="49" spans="1:22">
      <c r="A49" s="2" t="s">
        <v>126</v>
      </c>
      <c r="B49" s="2" t="str">
        <f>IFERROR(IF(_xlfn.XLOOKUP(A49,'01_Компании'!$A$4:$A$103,'01_Компании'!$B$4:$B$103)="","",_xlfn.XLOOKUP(A49,'01_Компании'!$A$4:$A$103,'01_Компании'!$B$4:$B$103)),"")</f>
        <v/>
      </c>
      <c r="C49" s="2" t="str">
        <f>IFERROR(IF(_xlfn.XLOOKUP(A49,'01_Компании'!$A$4:$A$103,'01_Компании'!$C$4:$C$103)="","",_xlfn.XLOOKUP(A49,'01_Компании'!$A$4:$A$103,'01_Компании'!$C$4:$C$103)),"")</f>
        <v/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6" t="str">
        <f>IF(COUNTA(D49:M49)=0,"",(D49*'03_Критерии'!$E$4+E49*'03_Критерии'!$E$5+F49*'03_Критерии'!$E$6+G49*'03_Критерии'!$E$7+H49*'03_Критерии'!$E$8+I49*'03_Критерии'!$E$9+J49*'03_Критерии'!$E$10+K49*'03_Критерии'!$E$11+L49*'03_Критерии'!$E$12+M49*'03_Критерии'!$E$13)/SUM('03_Критерии'!$E$4:$E$13))</f>
        <v/>
      </c>
      <c r="O49" s="2" t="str">
        <f t="shared" si="3"/>
        <v/>
      </c>
      <c r="P49" s="2" t="str">
        <f t="shared" si="4"/>
        <v/>
      </c>
      <c r="Q49" s="2"/>
      <c r="R49" s="2" t="str">
        <f t="shared" si="5"/>
        <v/>
      </c>
      <c r="S49" s="2"/>
      <c r="T49" s="2"/>
      <c r="U49" s="2"/>
      <c r="V49" s="5"/>
    </row>
    <row r="50" spans="1:22">
      <c r="A50" s="2" t="s">
        <v>127</v>
      </c>
      <c r="B50" s="2" t="str">
        <f>IFERROR(IF(_xlfn.XLOOKUP(A50,'01_Компании'!$A$4:$A$103,'01_Компании'!$B$4:$B$103)="","",_xlfn.XLOOKUP(A50,'01_Компании'!$A$4:$A$103,'01_Компании'!$B$4:$B$103)),"")</f>
        <v/>
      </c>
      <c r="C50" s="2" t="str">
        <f>IFERROR(IF(_xlfn.XLOOKUP(A50,'01_Компании'!$A$4:$A$103,'01_Компании'!$C$4:$C$103)="","",_xlfn.XLOOKUP(A50,'01_Компании'!$A$4:$A$103,'01_Компании'!$C$4:$C$103)),"")</f>
        <v/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6" t="str">
        <f>IF(COUNTA(D50:M50)=0,"",(D50*'03_Критерии'!$E$4+E50*'03_Критерии'!$E$5+F50*'03_Критерии'!$E$6+G50*'03_Критерии'!$E$7+H50*'03_Критерии'!$E$8+I50*'03_Критерии'!$E$9+J50*'03_Критерии'!$E$10+K50*'03_Критерии'!$E$11+L50*'03_Критерии'!$E$12+M50*'03_Критерии'!$E$13)/SUM('03_Критерии'!$E$4:$E$13))</f>
        <v/>
      </c>
      <c r="O50" s="2" t="str">
        <f t="shared" si="3"/>
        <v/>
      </c>
      <c r="P50" s="2" t="str">
        <f t="shared" si="4"/>
        <v/>
      </c>
      <c r="Q50" s="2"/>
      <c r="R50" s="2" t="str">
        <f t="shared" si="5"/>
        <v/>
      </c>
      <c r="S50" s="2"/>
      <c r="T50" s="2"/>
      <c r="U50" s="2"/>
      <c r="V50" s="5"/>
    </row>
    <row r="51" spans="1:22">
      <c r="A51" s="2" t="s">
        <v>128</v>
      </c>
      <c r="B51" s="2" t="str">
        <f>IFERROR(IF(_xlfn.XLOOKUP(A51,'01_Компании'!$A$4:$A$103,'01_Компании'!$B$4:$B$103)="","",_xlfn.XLOOKUP(A51,'01_Компании'!$A$4:$A$103,'01_Компании'!$B$4:$B$103)),"")</f>
        <v/>
      </c>
      <c r="C51" s="2" t="str">
        <f>IFERROR(IF(_xlfn.XLOOKUP(A51,'01_Компании'!$A$4:$A$103,'01_Компании'!$C$4:$C$103)="","",_xlfn.XLOOKUP(A51,'01_Компании'!$A$4:$A$103,'01_Компании'!$C$4:$C$103)),"")</f>
        <v/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6" t="str">
        <f>IF(COUNTA(D51:M51)=0,"",(D51*'03_Критерии'!$E$4+E51*'03_Критерии'!$E$5+F51*'03_Критерии'!$E$6+G51*'03_Критерии'!$E$7+H51*'03_Критерии'!$E$8+I51*'03_Критерии'!$E$9+J51*'03_Критерии'!$E$10+K51*'03_Критерии'!$E$11+L51*'03_Критерии'!$E$12+M51*'03_Критерии'!$E$13)/SUM('03_Критерии'!$E$4:$E$13))</f>
        <v/>
      </c>
      <c r="O51" s="2" t="str">
        <f t="shared" si="3"/>
        <v/>
      </c>
      <c r="P51" s="2" t="str">
        <f t="shared" si="4"/>
        <v/>
      </c>
      <c r="Q51" s="2"/>
      <c r="R51" s="2" t="str">
        <f t="shared" si="5"/>
        <v/>
      </c>
      <c r="S51" s="2"/>
      <c r="T51" s="2"/>
      <c r="U51" s="2"/>
      <c r="V51" s="5"/>
    </row>
    <row r="52" spans="1:22">
      <c r="A52" s="2" t="s">
        <v>129</v>
      </c>
      <c r="B52" s="2" t="str">
        <f>IFERROR(IF(_xlfn.XLOOKUP(A52,'01_Компании'!$A$4:$A$103,'01_Компании'!$B$4:$B$103)="","",_xlfn.XLOOKUP(A52,'01_Компании'!$A$4:$A$103,'01_Компании'!$B$4:$B$103)),"")</f>
        <v/>
      </c>
      <c r="C52" s="2" t="str">
        <f>IFERROR(IF(_xlfn.XLOOKUP(A52,'01_Компании'!$A$4:$A$103,'01_Компании'!$C$4:$C$103)="","",_xlfn.XLOOKUP(A52,'01_Компании'!$A$4:$A$103,'01_Компании'!$C$4:$C$103)),"")</f>
        <v/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6" t="str">
        <f>IF(COUNTA(D52:M52)=0,"",(D52*'03_Критерии'!$E$4+E52*'03_Критерии'!$E$5+F52*'03_Критерии'!$E$6+G52*'03_Критерии'!$E$7+H52*'03_Критерии'!$E$8+I52*'03_Критерии'!$E$9+J52*'03_Критерии'!$E$10+K52*'03_Критерии'!$E$11+L52*'03_Критерии'!$E$12+M52*'03_Критерии'!$E$13)/SUM('03_Критерии'!$E$4:$E$13))</f>
        <v/>
      </c>
      <c r="O52" s="2" t="str">
        <f t="shared" si="3"/>
        <v/>
      </c>
      <c r="P52" s="2" t="str">
        <f t="shared" si="4"/>
        <v/>
      </c>
      <c r="Q52" s="2"/>
      <c r="R52" s="2" t="str">
        <f t="shared" si="5"/>
        <v/>
      </c>
      <c r="S52" s="2"/>
      <c r="T52" s="2"/>
      <c r="U52" s="2"/>
      <c r="V52" s="5"/>
    </row>
    <row r="53" spans="1:22">
      <c r="A53" s="2" t="s">
        <v>130</v>
      </c>
      <c r="B53" s="2" t="str">
        <f>IFERROR(IF(_xlfn.XLOOKUP(A53,'01_Компании'!$A$4:$A$103,'01_Компании'!$B$4:$B$103)="","",_xlfn.XLOOKUP(A53,'01_Компании'!$A$4:$A$103,'01_Компании'!$B$4:$B$103)),"")</f>
        <v/>
      </c>
      <c r="C53" s="2" t="str">
        <f>IFERROR(IF(_xlfn.XLOOKUP(A53,'01_Компании'!$A$4:$A$103,'01_Компании'!$C$4:$C$103)="","",_xlfn.XLOOKUP(A53,'01_Компании'!$A$4:$A$103,'01_Компании'!$C$4:$C$103)),"")</f>
        <v/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6" t="str">
        <f>IF(COUNTA(D53:M53)=0,"",(D53*'03_Критерии'!$E$4+E53*'03_Критерии'!$E$5+F53*'03_Критерии'!$E$6+G53*'03_Критерии'!$E$7+H53*'03_Критерии'!$E$8+I53*'03_Критерии'!$E$9+J53*'03_Критерии'!$E$10+K53*'03_Критерии'!$E$11+L53*'03_Критерии'!$E$12+M53*'03_Критерии'!$E$13)/SUM('03_Критерии'!$E$4:$E$13))</f>
        <v/>
      </c>
      <c r="O53" s="2" t="str">
        <f t="shared" si="3"/>
        <v/>
      </c>
      <c r="P53" s="2" t="str">
        <f t="shared" si="4"/>
        <v/>
      </c>
      <c r="Q53" s="2"/>
      <c r="R53" s="2" t="str">
        <f t="shared" si="5"/>
        <v/>
      </c>
      <c r="S53" s="2"/>
      <c r="T53" s="2"/>
      <c r="U53" s="2"/>
      <c r="V53" s="5"/>
    </row>
    <row r="54" spans="1:22">
      <c r="A54" s="2" t="s">
        <v>131</v>
      </c>
      <c r="B54" s="2" t="str">
        <f>IFERROR(IF(_xlfn.XLOOKUP(A54,'01_Компании'!$A$4:$A$103,'01_Компании'!$B$4:$B$103)="","",_xlfn.XLOOKUP(A54,'01_Компании'!$A$4:$A$103,'01_Компании'!$B$4:$B$103)),"")</f>
        <v/>
      </c>
      <c r="C54" s="2" t="str">
        <f>IFERROR(IF(_xlfn.XLOOKUP(A54,'01_Компании'!$A$4:$A$103,'01_Компании'!$C$4:$C$103)="","",_xlfn.XLOOKUP(A54,'01_Компании'!$A$4:$A$103,'01_Компании'!$C$4:$C$103)),"")</f>
        <v/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6" t="str">
        <f>IF(COUNTA(D54:M54)=0,"",(D54*'03_Критерии'!$E$4+E54*'03_Критерии'!$E$5+F54*'03_Критерии'!$E$6+G54*'03_Критерии'!$E$7+H54*'03_Критерии'!$E$8+I54*'03_Критерии'!$E$9+J54*'03_Критерии'!$E$10+K54*'03_Критерии'!$E$11+L54*'03_Критерии'!$E$12+M54*'03_Критерии'!$E$13)/SUM('03_Критерии'!$E$4:$E$13))</f>
        <v/>
      </c>
      <c r="O54" s="2" t="str">
        <f t="shared" si="3"/>
        <v/>
      </c>
      <c r="P54" s="2" t="str">
        <f t="shared" si="4"/>
        <v/>
      </c>
      <c r="Q54" s="2"/>
      <c r="R54" s="2" t="str">
        <f t="shared" si="5"/>
        <v/>
      </c>
      <c r="S54" s="2"/>
      <c r="T54" s="2"/>
      <c r="U54" s="2"/>
      <c r="V54" s="5"/>
    </row>
    <row r="55" spans="1:22">
      <c r="A55" s="2" t="s">
        <v>132</v>
      </c>
      <c r="B55" s="2" t="str">
        <f>IFERROR(IF(_xlfn.XLOOKUP(A55,'01_Компании'!$A$4:$A$103,'01_Компании'!$B$4:$B$103)="","",_xlfn.XLOOKUP(A55,'01_Компании'!$A$4:$A$103,'01_Компании'!$B$4:$B$103)),"")</f>
        <v/>
      </c>
      <c r="C55" s="2" t="str">
        <f>IFERROR(IF(_xlfn.XLOOKUP(A55,'01_Компании'!$A$4:$A$103,'01_Компании'!$C$4:$C$103)="","",_xlfn.XLOOKUP(A55,'01_Компании'!$A$4:$A$103,'01_Компании'!$C$4:$C$103)),"")</f>
        <v/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6" t="str">
        <f>IF(COUNTA(D55:M55)=0,"",(D55*'03_Критерии'!$E$4+E55*'03_Критерии'!$E$5+F55*'03_Критерии'!$E$6+G55*'03_Критерии'!$E$7+H55*'03_Критерии'!$E$8+I55*'03_Критерии'!$E$9+J55*'03_Критерии'!$E$10+K55*'03_Критерии'!$E$11+L55*'03_Критерии'!$E$12+M55*'03_Критерии'!$E$13)/SUM('03_Критерии'!$E$4:$E$13))</f>
        <v/>
      </c>
      <c r="O55" s="2" t="str">
        <f t="shared" si="3"/>
        <v/>
      </c>
      <c r="P55" s="2" t="str">
        <f t="shared" si="4"/>
        <v/>
      </c>
      <c r="Q55" s="2"/>
      <c r="R55" s="2" t="str">
        <f t="shared" si="5"/>
        <v/>
      </c>
      <c r="S55" s="2"/>
      <c r="T55" s="2"/>
      <c r="U55" s="2"/>
      <c r="V55" s="5"/>
    </row>
    <row r="56" spans="1:22">
      <c r="A56" s="2" t="s">
        <v>133</v>
      </c>
      <c r="B56" s="2" t="str">
        <f>IFERROR(IF(_xlfn.XLOOKUP(A56,'01_Компании'!$A$4:$A$103,'01_Компании'!$B$4:$B$103)="","",_xlfn.XLOOKUP(A56,'01_Компании'!$A$4:$A$103,'01_Компании'!$B$4:$B$103)),"")</f>
        <v/>
      </c>
      <c r="C56" s="2" t="str">
        <f>IFERROR(IF(_xlfn.XLOOKUP(A56,'01_Компании'!$A$4:$A$103,'01_Компании'!$C$4:$C$103)="","",_xlfn.XLOOKUP(A56,'01_Компании'!$A$4:$A$103,'01_Компании'!$C$4:$C$103)),"")</f>
        <v/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6" t="str">
        <f>IF(COUNTA(D56:M56)=0,"",(D56*'03_Критерии'!$E$4+E56*'03_Критерии'!$E$5+F56*'03_Критерии'!$E$6+G56*'03_Критерии'!$E$7+H56*'03_Критерии'!$E$8+I56*'03_Критерии'!$E$9+J56*'03_Критерии'!$E$10+K56*'03_Критерии'!$E$11+L56*'03_Критерии'!$E$12+M56*'03_Критерии'!$E$13)/SUM('03_Критерии'!$E$4:$E$13))</f>
        <v/>
      </c>
      <c r="O56" s="2" t="str">
        <f t="shared" si="3"/>
        <v/>
      </c>
      <c r="P56" s="2" t="str">
        <f t="shared" si="4"/>
        <v/>
      </c>
      <c r="Q56" s="2"/>
      <c r="R56" s="2" t="str">
        <f t="shared" si="5"/>
        <v/>
      </c>
      <c r="S56" s="2"/>
      <c r="T56" s="2"/>
      <c r="U56" s="2"/>
      <c r="V56" s="5"/>
    </row>
    <row r="57" spans="1:22">
      <c r="A57" s="2" t="s">
        <v>134</v>
      </c>
      <c r="B57" s="2" t="str">
        <f>IFERROR(IF(_xlfn.XLOOKUP(A57,'01_Компании'!$A$4:$A$103,'01_Компании'!$B$4:$B$103)="","",_xlfn.XLOOKUP(A57,'01_Компании'!$A$4:$A$103,'01_Компании'!$B$4:$B$103)),"")</f>
        <v/>
      </c>
      <c r="C57" s="2" t="str">
        <f>IFERROR(IF(_xlfn.XLOOKUP(A57,'01_Компании'!$A$4:$A$103,'01_Компании'!$C$4:$C$103)="","",_xlfn.XLOOKUP(A57,'01_Компании'!$A$4:$A$103,'01_Компании'!$C$4:$C$103)),"")</f>
        <v/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6" t="str">
        <f>IF(COUNTA(D57:M57)=0,"",(D57*'03_Критерии'!$E$4+E57*'03_Критерии'!$E$5+F57*'03_Критерии'!$E$6+G57*'03_Критерии'!$E$7+H57*'03_Критерии'!$E$8+I57*'03_Критерии'!$E$9+J57*'03_Критерии'!$E$10+K57*'03_Критерии'!$E$11+L57*'03_Критерии'!$E$12+M57*'03_Критерии'!$E$13)/SUM('03_Критерии'!$E$4:$E$13))</f>
        <v/>
      </c>
      <c r="O57" s="2" t="str">
        <f t="shared" si="3"/>
        <v/>
      </c>
      <c r="P57" s="2" t="str">
        <f t="shared" si="4"/>
        <v/>
      </c>
      <c r="Q57" s="2"/>
      <c r="R57" s="2" t="str">
        <f t="shared" si="5"/>
        <v/>
      </c>
      <c r="S57" s="2"/>
      <c r="T57" s="2"/>
      <c r="U57" s="2"/>
      <c r="V57" s="5"/>
    </row>
    <row r="58" spans="1:22">
      <c r="A58" s="2" t="s">
        <v>135</v>
      </c>
      <c r="B58" s="2" t="str">
        <f>IFERROR(IF(_xlfn.XLOOKUP(A58,'01_Компании'!$A$4:$A$103,'01_Компании'!$B$4:$B$103)="","",_xlfn.XLOOKUP(A58,'01_Компании'!$A$4:$A$103,'01_Компании'!$B$4:$B$103)),"")</f>
        <v/>
      </c>
      <c r="C58" s="2" t="str">
        <f>IFERROR(IF(_xlfn.XLOOKUP(A58,'01_Компании'!$A$4:$A$103,'01_Компании'!$C$4:$C$103)="","",_xlfn.XLOOKUP(A58,'01_Компании'!$A$4:$A$103,'01_Компании'!$C$4:$C$103)),"")</f>
        <v/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6" t="str">
        <f>IF(COUNTA(D58:M58)=0,"",(D58*'03_Критерии'!$E$4+E58*'03_Критерии'!$E$5+F58*'03_Критерии'!$E$6+G58*'03_Критерии'!$E$7+H58*'03_Критерии'!$E$8+I58*'03_Критерии'!$E$9+J58*'03_Критерии'!$E$10+K58*'03_Критерии'!$E$11+L58*'03_Критерии'!$E$12+M58*'03_Критерии'!$E$13)/SUM('03_Критерии'!$E$4:$E$13))</f>
        <v/>
      </c>
      <c r="O58" s="2" t="str">
        <f t="shared" si="3"/>
        <v/>
      </c>
      <c r="P58" s="2" t="str">
        <f t="shared" si="4"/>
        <v/>
      </c>
      <c r="Q58" s="2"/>
      <c r="R58" s="2" t="str">
        <f t="shared" si="5"/>
        <v/>
      </c>
      <c r="S58" s="2"/>
      <c r="T58" s="2"/>
      <c r="U58" s="2"/>
      <c r="V58" s="5"/>
    </row>
    <row r="59" spans="1:22">
      <c r="A59" s="2" t="s">
        <v>136</v>
      </c>
      <c r="B59" s="2" t="str">
        <f>IFERROR(IF(_xlfn.XLOOKUP(A59,'01_Компании'!$A$4:$A$103,'01_Компании'!$B$4:$B$103)="","",_xlfn.XLOOKUP(A59,'01_Компании'!$A$4:$A$103,'01_Компании'!$B$4:$B$103)),"")</f>
        <v/>
      </c>
      <c r="C59" s="2" t="str">
        <f>IFERROR(IF(_xlfn.XLOOKUP(A59,'01_Компании'!$A$4:$A$103,'01_Компании'!$C$4:$C$103)="","",_xlfn.XLOOKUP(A59,'01_Компании'!$A$4:$A$103,'01_Компании'!$C$4:$C$103)),"")</f>
        <v/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6" t="str">
        <f>IF(COUNTA(D59:M59)=0,"",(D59*'03_Критерии'!$E$4+E59*'03_Критерии'!$E$5+F59*'03_Критерии'!$E$6+G59*'03_Критерии'!$E$7+H59*'03_Критерии'!$E$8+I59*'03_Критерии'!$E$9+J59*'03_Критерии'!$E$10+K59*'03_Критерии'!$E$11+L59*'03_Критерии'!$E$12+M59*'03_Критерии'!$E$13)/SUM('03_Критерии'!$E$4:$E$13))</f>
        <v/>
      </c>
      <c r="O59" s="2" t="str">
        <f t="shared" si="3"/>
        <v/>
      </c>
      <c r="P59" s="2" t="str">
        <f t="shared" si="4"/>
        <v/>
      </c>
      <c r="Q59" s="2"/>
      <c r="R59" s="2" t="str">
        <f t="shared" si="5"/>
        <v/>
      </c>
      <c r="S59" s="2"/>
      <c r="T59" s="2"/>
      <c r="U59" s="2"/>
      <c r="V59" s="5"/>
    </row>
    <row r="60" spans="1:22">
      <c r="A60" s="2" t="s">
        <v>137</v>
      </c>
      <c r="B60" s="2" t="str">
        <f>IFERROR(IF(_xlfn.XLOOKUP(A60,'01_Компании'!$A$4:$A$103,'01_Компании'!$B$4:$B$103)="","",_xlfn.XLOOKUP(A60,'01_Компании'!$A$4:$A$103,'01_Компании'!$B$4:$B$103)),"")</f>
        <v/>
      </c>
      <c r="C60" s="2" t="str">
        <f>IFERROR(IF(_xlfn.XLOOKUP(A60,'01_Компании'!$A$4:$A$103,'01_Компании'!$C$4:$C$103)="","",_xlfn.XLOOKUP(A60,'01_Компании'!$A$4:$A$103,'01_Компании'!$C$4:$C$103)),"")</f>
        <v/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6" t="str">
        <f>IF(COUNTA(D60:M60)=0,"",(D60*'03_Критерии'!$E$4+E60*'03_Критерии'!$E$5+F60*'03_Критерии'!$E$6+G60*'03_Критерии'!$E$7+H60*'03_Критерии'!$E$8+I60*'03_Критерии'!$E$9+J60*'03_Критерии'!$E$10+K60*'03_Критерии'!$E$11+L60*'03_Критерии'!$E$12+M60*'03_Критерии'!$E$13)/SUM('03_Критерии'!$E$4:$E$13))</f>
        <v/>
      </c>
      <c r="O60" s="2" t="str">
        <f t="shared" si="3"/>
        <v/>
      </c>
      <c r="P60" s="2" t="str">
        <f t="shared" si="4"/>
        <v/>
      </c>
      <c r="Q60" s="2"/>
      <c r="R60" s="2" t="str">
        <f t="shared" si="5"/>
        <v/>
      </c>
      <c r="S60" s="2"/>
      <c r="T60" s="2"/>
      <c r="U60" s="2"/>
      <c r="V60" s="5"/>
    </row>
    <row r="61" spans="1:22">
      <c r="A61" s="2" t="s">
        <v>138</v>
      </c>
      <c r="B61" s="2" t="str">
        <f>IFERROR(IF(_xlfn.XLOOKUP(A61,'01_Компании'!$A$4:$A$103,'01_Компании'!$B$4:$B$103)="","",_xlfn.XLOOKUP(A61,'01_Компании'!$A$4:$A$103,'01_Компании'!$B$4:$B$103)),"")</f>
        <v/>
      </c>
      <c r="C61" s="2" t="str">
        <f>IFERROR(IF(_xlfn.XLOOKUP(A61,'01_Компании'!$A$4:$A$103,'01_Компании'!$C$4:$C$103)="","",_xlfn.XLOOKUP(A61,'01_Компании'!$A$4:$A$103,'01_Компании'!$C$4:$C$103)),"")</f>
        <v/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6" t="str">
        <f>IF(COUNTA(D61:M61)=0,"",(D61*'03_Критерии'!$E$4+E61*'03_Критерии'!$E$5+F61*'03_Критерии'!$E$6+G61*'03_Критерии'!$E$7+H61*'03_Критерии'!$E$8+I61*'03_Критерии'!$E$9+J61*'03_Критерии'!$E$10+K61*'03_Критерии'!$E$11+L61*'03_Критерии'!$E$12+M61*'03_Критерии'!$E$13)/SUM('03_Критерии'!$E$4:$E$13))</f>
        <v/>
      </c>
      <c r="O61" s="2" t="str">
        <f t="shared" si="3"/>
        <v/>
      </c>
      <c r="P61" s="2" t="str">
        <f t="shared" si="4"/>
        <v/>
      </c>
      <c r="Q61" s="2"/>
      <c r="R61" s="2" t="str">
        <f t="shared" si="5"/>
        <v/>
      </c>
      <c r="S61" s="2"/>
      <c r="T61" s="2"/>
      <c r="U61" s="2"/>
      <c r="V61" s="5"/>
    </row>
    <row r="62" spans="1:22">
      <c r="A62" s="2" t="s">
        <v>139</v>
      </c>
      <c r="B62" s="2" t="str">
        <f>IFERROR(IF(_xlfn.XLOOKUP(A62,'01_Компании'!$A$4:$A$103,'01_Компании'!$B$4:$B$103)="","",_xlfn.XLOOKUP(A62,'01_Компании'!$A$4:$A$103,'01_Компании'!$B$4:$B$103)),"")</f>
        <v/>
      </c>
      <c r="C62" s="2" t="str">
        <f>IFERROR(IF(_xlfn.XLOOKUP(A62,'01_Компании'!$A$4:$A$103,'01_Компании'!$C$4:$C$103)="","",_xlfn.XLOOKUP(A62,'01_Компании'!$A$4:$A$103,'01_Компании'!$C$4:$C$103)),"")</f>
        <v/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6" t="str">
        <f>IF(COUNTA(D62:M62)=0,"",(D62*'03_Критерии'!$E$4+E62*'03_Критерии'!$E$5+F62*'03_Критерии'!$E$6+G62*'03_Критерии'!$E$7+H62*'03_Критерии'!$E$8+I62*'03_Критерии'!$E$9+J62*'03_Критерии'!$E$10+K62*'03_Критерии'!$E$11+L62*'03_Критерии'!$E$12+M62*'03_Критерии'!$E$13)/SUM('03_Критерии'!$E$4:$E$13))</f>
        <v/>
      </c>
      <c r="O62" s="2" t="str">
        <f t="shared" si="3"/>
        <v/>
      </c>
      <c r="P62" s="2" t="str">
        <f t="shared" si="4"/>
        <v/>
      </c>
      <c r="Q62" s="2"/>
      <c r="R62" s="2" t="str">
        <f t="shared" si="5"/>
        <v/>
      </c>
      <c r="S62" s="2"/>
      <c r="T62" s="2"/>
      <c r="U62" s="2"/>
      <c r="V62" s="5"/>
    </row>
    <row r="63" spans="1:22">
      <c r="A63" s="2" t="s">
        <v>140</v>
      </c>
      <c r="B63" s="2" t="str">
        <f>IFERROR(IF(_xlfn.XLOOKUP(A63,'01_Компании'!$A$4:$A$103,'01_Компании'!$B$4:$B$103)="","",_xlfn.XLOOKUP(A63,'01_Компании'!$A$4:$A$103,'01_Компании'!$B$4:$B$103)),"")</f>
        <v/>
      </c>
      <c r="C63" s="2" t="str">
        <f>IFERROR(IF(_xlfn.XLOOKUP(A63,'01_Компании'!$A$4:$A$103,'01_Компании'!$C$4:$C$103)="","",_xlfn.XLOOKUP(A63,'01_Компании'!$A$4:$A$103,'01_Компании'!$C$4:$C$103)),"")</f>
        <v/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6" t="str">
        <f>IF(COUNTA(D63:M63)=0,"",(D63*'03_Критерии'!$E$4+E63*'03_Критерии'!$E$5+F63*'03_Критерии'!$E$6+G63*'03_Критерии'!$E$7+H63*'03_Критерии'!$E$8+I63*'03_Критерии'!$E$9+J63*'03_Критерии'!$E$10+K63*'03_Критерии'!$E$11+L63*'03_Критерии'!$E$12+M63*'03_Критерии'!$E$13)/SUM('03_Критерии'!$E$4:$E$13))</f>
        <v/>
      </c>
      <c r="O63" s="2" t="str">
        <f t="shared" si="3"/>
        <v/>
      </c>
      <c r="P63" s="2" t="str">
        <f t="shared" si="4"/>
        <v/>
      </c>
      <c r="Q63" s="2"/>
      <c r="R63" s="2" t="str">
        <f t="shared" si="5"/>
        <v/>
      </c>
      <c r="S63" s="2"/>
      <c r="T63" s="2"/>
      <c r="U63" s="2"/>
      <c r="V63" s="5"/>
    </row>
    <row r="64" spans="1:22">
      <c r="A64" s="2" t="s">
        <v>141</v>
      </c>
      <c r="B64" s="2" t="str">
        <f>IFERROR(IF(_xlfn.XLOOKUP(A64,'01_Компании'!$A$4:$A$103,'01_Компании'!$B$4:$B$103)="","",_xlfn.XLOOKUP(A64,'01_Компании'!$A$4:$A$103,'01_Компании'!$B$4:$B$103)),"")</f>
        <v/>
      </c>
      <c r="C64" s="2" t="str">
        <f>IFERROR(IF(_xlfn.XLOOKUP(A64,'01_Компании'!$A$4:$A$103,'01_Компании'!$C$4:$C$103)="","",_xlfn.XLOOKUP(A64,'01_Компании'!$A$4:$A$103,'01_Компании'!$C$4:$C$103)),"")</f>
        <v/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6" t="str">
        <f>IF(COUNTA(D64:M64)=0,"",(D64*'03_Критерии'!$E$4+E64*'03_Критерии'!$E$5+F64*'03_Критерии'!$E$6+G64*'03_Критерии'!$E$7+H64*'03_Критерии'!$E$8+I64*'03_Критерии'!$E$9+J64*'03_Критерии'!$E$10+K64*'03_Критерии'!$E$11+L64*'03_Критерии'!$E$12+M64*'03_Критерии'!$E$13)/SUM('03_Критерии'!$E$4:$E$13))</f>
        <v/>
      </c>
      <c r="O64" s="2" t="str">
        <f t="shared" si="3"/>
        <v/>
      </c>
      <c r="P64" s="2" t="str">
        <f t="shared" si="4"/>
        <v/>
      </c>
      <c r="Q64" s="2"/>
      <c r="R64" s="2" t="str">
        <f t="shared" si="5"/>
        <v/>
      </c>
      <c r="S64" s="2"/>
      <c r="T64" s="2"/>
      <c r="U64" s="2"/>
      <c r="V64" s="5"/>
    </row>
    <row r="65" spans="1:22">
      <c r="A65" s="2" t="s">
        <v>142</v>
      </c>
      <c r="B65" s="2" t="str">
        <f>IFERROR(IF(_xlfn.XLOOKUP(A65,'01_Компании'!$A$4:$A$103,'01_Компании'!$B$4:$B$103)="","",_xlfn.XLOOKUP(A65,'01_Компании'!$A$4:$A$103,'01_Компании'!$B$4:$B$103)),"")</f>
        <v/>
      </c>
      <c r="C65" s="2" t="str">
        <f>IFERROR(IF(_xlfn.XLOOKUP(A65,'01_Компании'!$A$4:$A$103,'01_Компании'!$C$4:$C$103)="","",_xlfn.XLOOKUP(A65,'01_Компании'!$A$4:$A$103,'01_Компании'!$C$4:$C$103)),"")</f>
        <v/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6" t="str">
        <f>IF(COUNTA(D65:M65)=0,"",(D65*'03_Критерии'!$E$4+E65*'03_Критерии'!$E$5+F65*'03_Критерии'!$E$6+G65*'03_Критерии'!$E$7+H65*'03_Критерии'!$E$8+I65*'03_Критерии'!$E$9+J65*'03_Критерии'!$E$10+K65*'03_Критерии'!$E$11+L65*'03_Критерии'!$E$12+M65*'03_Критерии'!$E$13)/SUM('03_Критерии'!$E$4:$E$13))</f>
        <v/>
      </c>
      <c r="O65" s="2" t="str">
        <f t="shared" si="3"/>
        <v/>
      </c>
      <c r="P65" s="2" t="str">
        <f t="shared" si="4"/>
        <v/>
      </c>
      <c r="Q65" s="2"/>
      <c r="R65" s="2" t="str">
        <f t="shared" si="5"/>
        <v/>
      </c>
      <c r="S65" s="2"/>
      <c r="T65" s="2"/>
      <c r="U65" s="2"/>
      <c r="V65" s="5"/>
    </row>
    <row r="66" spans="1:22">
      <c r="A66" s="2" t="s">
        <v>143</v>
      </c>
      <c r="B66" s="2" t="str">
        <f>IFERROR(IF(_xlfn.XLOOKUP(A66,'01_Компании'!$A$4:$A$103,'01_Компании'!$B$4:$B$103)="","",_xlfn.XLOOKUP(A66,'01_Компании'!$A$4:$A$103,'01_Компании'!$B$4:$B$103)),"")</f>
        <v/>
      </c>
      <c r="C66" s="2" t="str">
        <f>IFERROR(IF(_xlfn.XLOOKUP(A66,'01_Компании'!$A$4:$A$103,'01_Компании'!$C$4:$C$103)="","",_xlfn.XLOOKUP(A66,'01_Компании'!$A$4:$A$103,'01_Компании'!$C$4:$C$103)),"")</f>
        <v/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6" t="str">
        <f>IF(COUNTA(D66:M66)=0,"",(D66*'03_Критерии'!$E$4+E66*'03_Критерии'!$E$5+F66*'03_Критерии'!$E$6+G66*'03_Критерии'!$E$7+H66*'03_Критерии'!$E$8+I66*'03_Критерии'!$E$9+J66*'03_Критерии'!$E$10+K66*'03_Критерии'!$E$11+L66*'03_Критерии'!$E$12+M66*'03_Критерии'!$E$13)/SUM('03_Критерии'!$E$4:$E$13))</f>
        <v/>
      </c>
      <c r="O66" s="2" t="str">
        <f t="shared" si="3"/>
        <v/>
      </c>
      <c r="P66" s="2" t="str">
        <f t="shared" si="4"/>
        <v/>
      </c>
      <c r="Q66" s="2"/>
      <c r="R66" s="2" t="str">
        <f t="shared" si="5"/>
        <v/>
      </c>
      <c r="S66" s="2"/>
      <c r="T66" s="2"/>
      <c r="U66" s="2"/>
      <c r="V66" s="5"/>
    </row>
    <row r="67" spans="1:22">
      <c r="A67" s="2" t="s">
        <v>144</v>
      </c>
      <c r="B67" s="2" t="str">
        <f>IFERROR(IF(_xlfn.XLOOKUP(A67,'01_Компании'!$A$4:$A$103,'01_Компании'!$B$4:$B$103)="","",_xlfn.XLOOKUP(A67,'01_Компании'!$A$4:$A$103,'01_Компании'!$B$4:$B$103)),"")</f>
        <v/>
      </c>
      <c r="C67" s="2" t="str">
        <f>IFERROR(IF(_xlfn.XLOOKUP(A67,'01_Компании'!$A$4:$A$103,'01_Компании'!$C$4:$C$103)="","",_xlfn.XLOOKUP(A67,'01_Компании'!$A$4:$A$103,'01_Компании'!$C$4:$C$103)),"")</f>
        <v/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6" t="str">
        <f>IF(COUNTA(D67:M67)=0,"",(D67*'03_Критерии'!$E$4+E67*'03_Критерии'!$E$5+F67*'03_Критерии'!$E$6+G67*'03_Критерии'!$E$7+H67*'03_Критерии'!$E$8+I67*'03_Критерии'!$E$9+J67*'03_Критерии'!$E$10+K67*'03_Критерии'!$E$11+L67*'03_Критерии'!$E$12+M67*'03_Критерии'!$E$13)/SUM('03_Критерии'!$E$4:$E$13))</f>
        <v/>
      </c>
      <c r="O67" s="2" t="str">
        <f t="shared" si="3"/>
        <v/>
      </c>
      <c r="P67" s="2" t="str">
        <f t="shared" si="4"/>
        <v/>
      </c>
      <c r="Q67" s="2"/>
      <c r="R67" s="2" t="str">
        <f t="shared" si="5"/>
        <v/>
      </c>
      <c r="S67" s="2"/>
      <c r="T67" s="2"/>
      <c r="U67" s="2"/>
      <c r="V67" s="5"/>
    </row>
    <row r="68" spans="1:22">
      <c r="A68" s="2" t="s">
        <v>145</v>
      </c>
      <c r="B68" s="2" t="str">
        <f>IFERROR(IF(_xlfn.XLOOKUP(A68,'01_Компании'!$A$4:$A$103,'01_Компании'!$B$4:$B$103)="","",_xlfn.XLOOKUP(A68,'01_Компании'!$A$4:$A$103,'01_Компании'!$B$4:$B$103)),"")</f>
        <v/>
      </c>
      <c r="C68" s="2" t="str">
        <f>IFERROR(IF(_xlfn.XLOOKUP(A68,'01_Компании'!$A$4:$A$103,'01_Компании'!$C$4:$C$103)="","",_xlfn.XLOOKUP(A68,'01_Компании'!$A$4:$A$103,'01_Компании'!$C$4:$C$103)),"")</f>
        <v/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6" t="str">
        <f>IF(COUNTA(D68:M68)=0,"",(D68*'03_Критерии'!$E$4+E68*'03_Критерии'!$E$5+F68*'03_Критерии'!$E$6+G68*'03_Критерии'!$E$7+H68*'03_Критерии'!$E$8+I68*'03_Критерии'!$E$9+J68*'03_Критерии'!$E$10+K68*'03_Критерии'!$E$11+L68*'03_Критерии'!$E$12+M68*'03_Критерии'!$E$13)/SUM('03_Критерии'!$E$4:$E$13))</f>
        <v/>
      </c>
      <c r="O68" s="2" t="str">
        <f t="shared" ref="O68:O99" si="6">IF(N68="","",IF(COUNTA(D68:M68)&lt;6,"Недостаточно данных",IF(D68&lt;3,"Низкое совпадение задачи",IF(F68&lt;3,"Низкая товарная заменяемость","Нет"))))</f>
        <v/>
      </c>
      <c r="P68" s="2" t="str">
        <f t="shared" ref="P68:P99" si="7">IF(N68="","",IF(O68="Недостаточно данных","Недостаточно данных",IF(OR(D68&lt;3,F68&lt;3),IF(N68&gt;=2.5,"Косвенный конкурент / заменитель",IF(N68&gt;=1.6,"Смежная или потенциальная конкуренция","Не конкурент / объект наблюдения")),IF(N68&gt;=4.2,"Прямой конкурент",IF(N68&gt;=3.4,"Близкий альтернативный конкурент",IF(N68&gt;=2.5,"Косвенный конкурент / заменитель",IF(N68&gt;=1.6,"Смежная или потенциальная конкуренция","Не конкурент / объект наблюдения")))))))</f>
        <v/>
      </c>
      <c r="Q68" s="2"/>
      <c r="R68" s="2" t="str">
        <f t="shared" ref="R68:R99" si="8">IF(Q68="",P68,Q68)</f>
        <v/>
      </c>
      <c r="S68" s="2"/>
      <c r="T68" s="2"/>
      <c r="U68" s="2"/>
      <c r="V68" s="5"/>
    </row>
    <row r="69" spans="1:22">
      <c r="A69" s="2" t="s">
        <v>146</v>
      </c>
      <c r="B69" s="2" t="str">
        <f>IFERROR(IF(_xlfn.XLOOKUP(A69,'01_Компании'!$A$4:$A$103,'01_Компании'!$B$4:$B$103)="","",_xlfn.XLOOKUP(A69,'01_Компании'!$A$4:$A$103,'01_Компании'!$B$4:$B$103)),"")</f>
        <v/>
      </c>
      <c r="C69" s="2" t="str">
        <f>IFERROR(IF(_xlfn.XLOOKUP(A69,'01_Компании'!$A$4:$A$103,'01_Компании'!$C$4:$C$103)="","",_xlfn.XLOOKUP(A69,'01_Компании'!$A$4:$A$103,'01_Компании'!$C$4:$C$103)),"")</f>
        <v/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6" t="str">
        <f>IF(COUNTA(D69:M69)=0,"",(D69*'03_Критерии'!$E$4+E69*'03_Критерии'!$E$5+F69*'03_Критерии'!$E$6+G69*'03_Критерии'!$E$7+H69*'03_Критерии'!$E$8+I69*'03_Критерии'!$E$9+J69*'03_Критерии'!$E$10+K69*'03_Критерии'!$E$11+L69*'03_Критерии'!$E$12+M69*'03_Критерии'!$E$13)/SUM('03_Критерии'!$E$4:$E$13))</f>
        <v/>
      </c>
      <c r="O69" s="2" t="str">
        <f t="shared" si="6"/>
        <v/>
      </c>
      <c r="P69" s="2" t="str">
        <f t="shared" si="7"/>
        <v/>
      </c>
      <c r="Q69" s="2"/>
      <c r="R69" s="2" t="str">
        <f t="shared" si="8"/>
        <v/>
      </c>
      <c r="S69" s="2"/>
      <c r="T69" s="2"/>
      <c r="U69" s="2"/>
      <c r="V69" s="5"/>
    </row>
    <row r="70" spans="1:22">
      <c r="A70" s="2" t="s">
        <v>147</v>
      </c>
      <c r="B70" s="2" t="str">
        <f>IFERROR(IF(_xlfn.XLOOKUP(A70,'01_Компании'!$A$4:$A$103,'01_Компании'!$B$4:$B$103)="","",_xlfn.XLOOKUP(A70,'01_Компании'!$A$4:$A$103,'01_Компании'!$B$4:$B$103)),"")</f>
        <v/>
      </c>
      <c r="C70" s="2" t="str">
        <f>IFERROR(IF(_xlfn.XLOOKUP(A70,'01_Компании'!$A$4:$A$103,'01_Компании'!$C$4:$C$103)="","",_xlfn.XLOOKUP(A70,'01_Компании'!$A$4:$A$103,'01_Компании'!$C$4:$C$103)),"")</f>
        <v/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6" t="str">
        <f>IF(COUNTA(D70:M70)=0,"",(D70*'03_Критерии'!$E$4+E70*'03_Критерии'!$E$5+F70*'03_Критерии'!$E$6+G70*'03_Критерии'!$E$7+H70*'03_Критерии'!$E$8+I70*'03_Критерии'!$E$9+J70*'03_Критерии'!$E$10+K70*'03_Критерии'!$E$11+L70*'03_Критерии'!$E$12+M70*'03_Критерии'!$E$13)/SUM('03_Критерии'!$E$4:$E$13))</f>
        <v/>
      </c>
      <c r="O70" s="2" t="str">
        <f t="shared" si="6"/>
        <v/>
      </c>
      <c r="P70" s="2" t="str">
        <f t="shared" si="7"/>
        <v/>
      </c>
      <c r="Q70" s="2"/>
      <c r="R70" s="2" t="str">
        <f t="shared" si="8"/>
        <v/>
      </c>
      <c r="S70" s="2"/>
      <c r="T70" s="2"/>
      <c r="U70" s="2"/>
      <c r="V70" s="5"/>
    </row>
    <row r="71" spans="1:22">
      <c r="A71" s="2" t="s">
        <v>148</v>
      </c>
      <c r="B71" s="2" t="str">
        <f>IFERROR(IF(_xlfn.XLOOKUP(A71,'01_Компании'!$A$4:$A$103,'01_Компании'!$B$4:$B$103)="","",_xlfn.XLOOKUP(A71,'01_Компании'!$A$4:$A$103,'01_Компании'!$B$4:$B$103)),"")</f>
        <v/>
      </c>
      <c r="C71" s="2" t="str">
        <f>IFERROR(IF(_xlfn.XLOOKUP(A71,'01_Компании'!$A$4:$A$103,'01_Компании'!$C$4:$C$103)="","",_xlfn.XLOOKUP(A71,'01_Компании'!$A$4:$A$103,'01_Компании'!$C$4:$C$103)),"")</f>
        <v/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6" t="str">
        <f>IF(COUNTA(D71:M71)=0,"",(D71*'03_Критерии'!$E$4+E71*'03_Критерии'!$E$5+F71*'03_Критерии'!$E$6+G71*'03_Критерии'!$E$7+H71*'03_Критерии'!$E$8+I71*'03_Критерии'!$E$9+J71*'03_Критерии'!$E$10+K71*'03_Критерии'!$E$11+L71*'03_Критерии'!$E$12+M71*'03_Критерии'!$E$13)/SUM('03_Критерии'!$E$4:$E$13))</f>
        <v/>
      </c>
      <c r="O71" s="2" t="str">
        <f t="shared" si="6"/>
        <v/>
      </c>
      <c r="P71" s="2" t="str">
        <f t="shared" si="7"/>
        <v/>
      </c>
      <c r="Q71" s="2"/>
      <c r="R71" s="2" t="str">
        <f t="shared" si="8"/>
        <v/>
      </c>
      <c r="S71" s="2"/>
      <c r="T71" s="2"/>
      <c r="U71" s="2"/>
      <c r="V71" s="5"/>
    </row>
    <row r="72" spans="1:22">
      <c r="A72" s="2" t="s">
        <v>149</v>
      </c>
      <c r="B72" s="2" t="str">
        <f>IFERROR(IF(_xlfn.XLOOKUP(A72,'01_Компании'!$A$4:$A$103,'01_Компании'!$B$4:$B$103)="","",_xlfn.XLOOKUP(A72,'01_Компании'!$A$4:$A$103,'01_Компании'!$B$4:$B$103)),"")</f>
        <v/>
      </c>
      <c r="C72" s="2" t="str">
        <f>IFERROR(IF(_xlfn.XLOOKUP(A72,'01_Компании'!$A$4:$A$103,'01_Компании'!$C$4:$C$103)="","",_xlfn.XLOOKUP(A72,'01_Компании'!$A$4:$A$103,'01_Компании'!$C$4:$C$103)),"")</f>
        <v/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6" t="str">
        <f>IF(COUNTA(D72:M72)=0,"",(D72*'03_Критерии'!$E$4+E72*'03_Критерии'!$E$5+F72*'03_Критерии'!$E$6+G72*'03_Критерии'!$E$7+H72*'03_Критерии'!$E$8+I72*'03_Критерии'!$E$9+J72*'03_Критерии'!$E$10+K72*'03_Критерии'!$E$11+L72*'03_Критерии'!$E$12+M72*'03_Критерии'!$E$13)/SUM('03_Критерии'!$E$4:$E$13))</f>
        <v/>
      </c>
      <c r="O72" s="2" t="str">
        <f t="shared" si="6"/>
        <v/>
      </c>
      <c r="P72" s="2" t="str">
        <f t="shared" si="7"/>
        <v/>
      </c>
      <c r="Q72" s="2"/>
      <c r="R72" s="2" t="str">
        <f t="shared" si="8"/>
        <v/>
      </c>
      <c r="S72" s="2"/>
      <c r="T72" s="2"/>
      <c r="U72" s="2"/>
      <c r="V72" s="5"/>
    </row>
    <row r="73" spans="1:22">
      <c r="A73" s="2" t="s">
        <v>150</v>
      </c>
      <c r="B73" s="2" t="str">
        <f>IFERROR(IF(_xlfn.XLOOKUP(A73,'01_Компании'!$A$4:$A$103,'01_Компании'!$B$4:$B$103)="","",_xlfn.XLOOKUP(A73,'01_Компании'!$A$4:$A$103,'01_Компании'!$B$4:$B$103)),"")</f>
        <v/>
      </c>
      <c r="C73" s="2" t="str">
        <f>IFERROR(IF(_xlfn.XLOOKUP(A73,'01_Компании'!$A$4:$A$103,'01_Компании'!$C$4:$C$103)="","",_xlfn.XLOOKUP(A73,'01_Компании'!$A$4:$A$103,'01_Компании'!$C$4:$C$103)),"")</f>
        <v/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6" t="str">
        <f>IF(COUNTA(D73:M73)=0,"",(D73*'03_Критерии'!$E$4+E73*'03_Критерии'!$E$5+F73*'03_Критерии'!$E$6+G73*'03_Критерии'!$E$7+H73*'03_Критерии'!$E$8+I73*'03_Критерии'!$E$9+J73*'03_Критерии'!$E$10+K73*'03_Критерии'!$E$11+L73*'03_Критерии'!$E$12+M73*'03_Критерии'!$E$13)/SUM('03_Критерии'!$E$4:$E$13))</f>
        <v/>
      </c>
      <c r="O73" s="2" t="str">
        <f t="shared" si="6"/>
        <v/>
      </c>
      <c r="P73" s="2" t="str">
        <f t="shared" si="7"/>
        <v/>
      </c>
      <c r="Q73" s="2"/>
      <c r="R73" s="2" t="str">
        <f t="shared" si="8"/>
        <v/>
      </c>
      <c r="S73" s="2"/>
      <c r="T73" s="2"/>
      <c r="U73" s="2"/>
      <c r="V73" s="5"/>
    </row>
    <row r="74" spans="1:22">
      <c r="A74" s="2" t="s">
        <v>151</v>
      </c>
      <c r="B74" s="2" t="str">
        <f>IFERROR(IF(_xlfn.XLOOKUP(A74,'01_Компании'!$A$4:$A$103,'01_Компании'!$B$4:$B$103)="","",_xlfn.XLOOKUP(A74,'01_Компании'!$A$4:$A$103,'01_Компании'!$B$4:$B$103)),"")</f>
        <v/>
      </c>
      <c r="C74" s="2" t="str">
        <f>IFERROR(IF(_xlfn.XLOOKUP(A74,'01_Компании'!$A$4:$A$103,'01_Компании'!$C$4:$C$103)="","",_xlfn.XLOOKUP(A74,'01_Компании'!$A$4:$A$103,'01_Компании'!$C$4:$C$103)),"")</f>
        <v/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6" t="str">
        <f>IF(COUNTA(D74:M74)=0,"",(D74*'03_Критерии'!$E$4+E74*'03_Критерии'!$E$5+F74*'03_Критерии'!$E$6+G74*'03_Критерии'!$E$7+H74*'03_Критерии'!$E$8+I74*'03_Критерии'!$E$9+J74*'03_Критерии'!$E$10+K74*'03_Критерии'!$E$11+L74*'03_Критерии'!$E$12+M74*'03_Критерии'!$E$13)/SUM('03_Критерии'!$E$4:$E$13))</f>
        <v/>
      </c>
      <c r="O74" s="2" t="str">
        <f t="shared" si="6"/>
        <v/>
      </c>
      <c r="P74" s="2" t="str">
        <f t="shared" si="7"/>
        <v/>
      </c>
      <c r="Q74" s="2"/>
      <c r="R74" s="2" t="str">
        <f t="shared" si="8"/>
        <v/>
      </c>
      <c r="S74" s="2"/>
      <c r="T74" s="2"/>
      <c r="U74" s="2"/>
      <c r="V74" s="5"/>
    </row>
    <row r="75" spans="1:22">
      <c r="A75" s="2" t="s">
        <v>152</v>
      </c>
      <c r="B75" s="2" t="str">
        <f>IFERROR(IF(_xlfn.XLOOKUP(A75,'01_Компании'!$A$4:$A$103,'01_Компании'!$B$4:$B$103)="","",_xlfn.XLOOKUP(A75,'01_Компании'!$A$4:$A$103,'01_Компании'!$B$4:$B$103)),"")</f>
        <v/>
      </c>
      <c r="C75" s="2" t="str">
        <f>IFERROR(IF(_xlfn.XLOOKUP(A75,'01_Компании'!$A$4:$A$103,'01_Компании'!$C$4:$C$103)="","",_xlfn.XLOOKUP(A75,'01_Компании'!$A$4:$A$103,'01_Компании'!$C$4:$C$103)),"")</f>
        <v/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6" t="str">
        <f>IF(COUNTA(D75:M75)=0,"",(D75*'03_Критерии'!$E$4+E75*'03_Критерии'!$E$5+F75*'03_Критерии'!$E$6+G75*'03_Критерии'!$E$7+H75*'03_Критерии'!$E$8+I75*'03_Критерии'!$E$9+J75*'03_Критерии'!$E$10+K75*'03_Критерии'!$E$11+L75*'03_Критерии'!$E$12+M75*'03_Критерии'!$E$13)/SUM('03_Критерии'!$E$4:$E$13))</f>
        <v/>
      </c>
      <c r="O75" s="2" t="str">
        <f t="shared" si="6"/>
        <v/>
      </c>
      <c r="P75" s="2" t="str">
        <f t="shared" si="7"/>
        <v/>
      </c>
      <c r="Q75" s="2"/>
      <c r="R75" s="2" t="str">
        <f t="shared" si="8"/>
        <v/>
      </c>
      <c r="S75" s="2"/>
      <c r="T75" s="2"/>
      <c r="U75" s="2"/>
      <c r="V75" s="5"/>
    </row>
    <row r="76" spans="1:22">
      <c r="A76" s="2" t="s">
        <v>153</v>
      </c>
      <c r="B76" s="2" t="str">
        <f>IFERROR(IF(_xlfn.XLOOKUP(A76,'01_Компании'!$A$4:$A$103,'01_Компании'!$B$4:$B$103)="","",_xlfn.XLOOKUP(A76,'01_Компании'!$A$4:$A$103,'01_Компании'!$B$4:$B$103)),"")</f>
        <v/>
      </c>
      <c r="C76" s="2" t="str">
        <f>IFERROR(IF(_xlfn.XLOOKUP(A76,'01_Компании'!$A$4:$A$103,'01_Компании'!$C$4:$C$103)="","",_xlfn.XLOOKUP(A76,'01_Компании'!$A$4:$A$103,'01_Компании'!$C$4:$C$103)),"")</f>
        <v/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6" t="str">
        <f>IF(COUNTA(D76:M76)=0,"",(D76*'03_Критерии'!$E$4+E76*'03_Критерии'!$E$5+F76*'03_Критерии'!$E$6+G76*'03_Критерии'!$E$7+H76*'03_Критерии'!$E$8+I76*'03_Критерии'!$E$9+J76*'03_Критерии'!$E$10+K76*'03_Критерии'!$E$11+L76*'03_Критерии'!$E$12+M76*'03_Критерии'!$E$13)/SUM('03_Критерии'!$E$4:$E$13))</f>
        <v/>
      </c>
      <c r="O76" s="2" t="str">
        <f t="shared" si="6"/>
        <v/>
      </c>
      <c r="P76" s="2" t="str">
        <f t="shared" si="7"/>
        <v/>
      </c>
      <c r="Q76" s="2"/>
      <c r="R76" s="2" t="str">
        <f t="shared" si="8"/>
        <v/>
      </c>
      <c r="S76" s="2"/>
      <c r="T76" s="2"/>
      <c r="U76" s="2"/>
      <c r="V76" s="5"/>
    </row>
    <row r="77" spans="1:22">
      <c r="A77" s="2" t="s">
        <v>154</v>
      </c>
      <c r="B77" s="2" t="str">
        <f>IFERROR(IF(_xlfn.XLOOKUP(A77,'01_Компании'!$A$4:$A$103,'01_Компании'!$B$4:$B$103)="","",_xlfn.XLOOKUP(A77,'01_Компании'!$A$4:$A$103,'01_Компании'!$B$4:$B$103)),"")</f>
        <v/>
      </c>
      <c r="C77" s="2" t="str">
        <f>IFERROR(IF(_xlfn.XLOOKUP(A77,'01_Компании'!$A$4:$A$103,'01_Компании'!$C$4:$C$103)="","",_xlfn.XLOOKUP(A77,'01_Компании'!$A$4:$A$103,'01_Компании'!$C$4:$C$103)),"")</f>
        <v/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6" t="str">
        <f>IF(COUNTA(D77:M77)=0,"",(D77*'03_Критерии'!$E$4+E77*'03_Критерии'!$E$5+F77*'03_Критерии'!$E$6+G77*'03_Критерии'!$E$7+H77*'03_Критерии'!$E$8+I77*'03_Критерии'!$E$9+J77*'03_Критерии'!$E$10+K77*'03_Критерии'!$E$11+L77*'03_Критерии'!$E$12+M77*'03_Критерии'!$E$13)/SUM('03_Критерии'!$E$4:$E$13))</f>
        <v/>
      </c>
      <c r="O77" s="2" t="str">
        <f t="shared" si="6"/>
        <v/>
      </c>
      <c r="P77" s="2" t="str">
        <f t="shared" si="7"/>
        <v/>
      </c>
      <c r="Q77" s="2"/>
      <c r="R77" s="2" t="str">
        <f t="shared" si="8"/>
        <v/>
      </c>
      <c r="S77" s="2"/>
      <c r="T77" s="2"/>
      <c r="U77" s="2"/>
      <c r="V77" s="5"/>
    </row>
    <row r="78" spans="1:22">
      <c r="A78" s="2" t="s">
        <v>155</v>
      </c>
      <c r="B78" s="2" t="str">
        <f>IFERROR(IF(_xlfn.XLOOKUP(A78,'01_Компании'!$A$4:$A$103,'01_Компании'!$B$4:$B$103)="","",_xlfn.XLOOKUP(A78,'01_Компании'!$A$4:$A$103,'01_Компании'!$B$4:$B$103)),"")</f>
        <v/>
      </c>
      <c r="C78" s="2" t="str">
        <f>IFERROR(IF(_xlfn.XLOOKUP(A78,'01_Компании'!$A$4:$A$103,'01_Компании'!$C$4:$C$103)="","",_xlfn.XLOOKUP(A78,'01_Компании'!$A$4:$A$103,'01_Компании'!$C$4:$C$103)),"")</f>
        <v/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6" t="str">
        <f>IF(COUNTA(D78:M78)=0,"",(D78*'03_Критерии'!$E$4+E78*'03_Критерии'!$E$5+F78*'03_Критерии'!$E$6+G78*'03_Критерии'!$E$7+H78*'03_Критерии'!$E$8+I78*'03_Критерии'!$E$9+J78*'03_Критерии'!$E$10+K78*'03_Критерии'!$E$11+L78*'03_Критерии'!$E$12+M78*'03_Критерии'!$E$13)/SUM('03_Критерии'!$E$4:$E$13))</f>
        <v/>
      </c>
      <c r="O78" s="2" t="str">
        <f t="shared" si="6"/>
        <v/>
      </c>
      <c r="P78" s="2" t="str">
        <f t="shared" si="7"/>
        <v/>
      </c>
      <c r="Q78" s="2"/>
      <c r="R78" s="2" t="str">
        <f t="shared" si="8"/>
        <v/>
      </c>
      <c r="S78" s="2"/>
      <c r="T78" s="2"/>
      <c r="U78" s="2"/>
      <c r="V78" s="5"/>
    </row>
    <row r="79" spans="1:22">
      <c r="A79" s="2" t="s">
        <v>156</v>
      </c>
      <c r="B79" s="2" t="str">
        <f>IFERROR(IF(_xlfn.XLOOKUP(A79,'01_Компании'!$A$4:$A$103,'01_Компании'!$B$4:$B$103)="","",_xlfn.XLOOKUP(A79,'01_Компании'!$A$4:$A$103,'01_Компании'!$B$4:$B$103)),"")</f>
        <v/>
      </c>
      <c r="C79" s="2" t="str">
        <f>IFERROR(IF(_xlfn.XLOOKUP(A79,'01_Компании'!$A$4:$A$103,'01_Компании'!$C$4:$C$103)="","",_xlfn.XLOOKUP(A79,'01_Компании'!$A$4:$A$103,'01_Компании'!$C$4:$C$103)),"")</f>
        <v/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6" t="str">
        <f>IF(COUNTA(D79:M79)=0,"",(D79*'03_Критерии'!$E$4+E79*'03_Критерии'!$E$5+F79*'03_Критерии'!$E$6+G79*'03_Критерии'!$E$7+H79*'03_Критерии'!$E$8+I79*'03_Критерии'!$E$9+J79*'03_Критерии'!$E$10+K79*'03_Критерии'!$E$11+L79*'03_Критерии'!$E$12+M79*'03_Критерии'!$E$13)/SUM('03_Критерии'!$E$4:$E$13))</f>
        <v/>
      </c>
      <c r="O79" s="2" t="str">
        <f t="shared" si="6"/>
        <v/>
      </c>
      <c r="P79" s="2" t="str">
        <f t="shared" si="7"/>
        <v/>
      </c>
      <c r="Q79" s="2"/>
      <c r="R79" s="2" t="str">
        <f t="shared" si="8"/>
        <v/>
      </c>
      <c r="S79" s="2"/>
      <c r="T79" s="2"/>
      <c r="U79" s="2"/>
      <c r="V79" s="5"/>
    </row>
    <row r="80" spans="1:22">
      <c r="A80" s="2" t="s">
        <v>157</v>
      </c>
      <c r="B80" s="2" t="str">
        <f>IFERROR(IF(_xlfn.XLOOKUP(A80,'01_Компании'!$A$4:$A$103,'01_Компании'!$B$4:$B$103)="","",_xlfn.XLOOKUP(A80,'01_Компании'!$A$4:$A$103,'01_Компании'!$B$4:$B$103)),"")</f>
        <v/>
      </c>
      <c r="C80" s="2" t="str">
        <f>IFERROR(IF(_xlfn.XLOOKUP(A80,'01_Компании'!$A$4:$A$103,'01_Компании'!$C$4:$C$103)="","",_xlfn.XLOOKUP(A80,'01_Компании'!$A$4:$A$103,'01_Компании'!$C$4:$C$103)),"")</f>
        <v/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6" t="str">
        <f>IF(COUNTA(D80:M80)=0,"",(D80*'03_Критерии'!$E$4+E80*'03_Критерии'!$E$5+F80*'03_Критерии'!$E$6+G80*'03_Критерии'!$E$7+H80*'03_Критерии'!$E$8+I80*'03_Критерии'!$E$9+J80*'03_Критерии'!$E$10+K80*'03_Критерии'!$E$11+L80*'03_Критерии'!$E$12+M80*'03_Критерии'!$E$13)/SUM('03_Критерии'!$E$4:$E$13))</f>
        <v/>
      </c>
      <c r="O80" s="2" t="str">
        <f t="shared" si="6"/>
        <v/>
      </c>
      <c r="P80" s="2" t="str">
        <f t="shared" si="7"/>
        <v/>
      </c>
      <c r="Q80" s="2"/>
      <c r="R80" s="2" t="str">
        <f t="shared" si="8"/>
        <v/>
      </c>
      <c r="S80" s="2"/>
      <c r="T80" s="2"/>
      <c r="U80" s="2"/>
      <c r="V80" s="5"/>
    </row>
    <row r="81" spans="1:22">
      <c r="A81" s="2" t="s">
        <v>158</v>
      </c>
      <c r="B81" s="2" t="str">
        <f>IFERROR(IF(_xlfn.XLOOKUP(A81,'01_Компании'!$A$4:$A$103,'01_Компании'!$B$4:$B$103)="","",_xlfn.XLOOKUP(A81,'01_Компании'!$A$4:$A$103,'01_Компании'!$B$4:$B$103)),"")</f>
        <v/>
      </c>
      <c r="C81" s="2" t="str">
        <f>IFERROR(IF(_xlfn.XLOOKUP(A81,'01_Компании'!$A$4:$A$103,'01_Компании'!$C$4:$C$103)="","",_xlfn.XLOOKUP(A81,'01_Компании'!$A$4:$A$103,'01_Компании'!$C$4:$C$103)),"")</f>
        <v/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6" t="str">
        <f>IF(COUNTA(D81:M81)=0,"",(D81*'03_Критерии'!$E$4+E81*'03_Критерии'!$E$5+F81*'03_Критерии'!$E$6+G81*'03_Критерии'!$E$7+H81*'03_Критерии'!$E$8+I81*'03_Критерии'!$E$9+J81*'03_Критерии'!$E$10+K81*'03_Критерии'!$E$11+L81*'03_Критерии'!$E$12+M81*'03_Критерии'!$E$13)/SUM('03_Критерии'!$E$4:$E$13))</f>
        <v/>
      </c>
      <c r="O81" s="2" t="str">
        <f t="shared" si="6"/>
        <v/>
      </c>
      <c r="P81" s="2" t="str">
        <f t="shared" si="7"/>
        <v/>
      </c>
      <c r="Q81" s="2"/>
      <c r="R81" s="2" t="str">
        <f t="shared" si="8"/>
        <v/>
      </c>
      <c r="S81" s="2"/>
      <c r="T81" s="2"/>
      <c r="U81" s="2"/>
      <c r="V81" s="5"/>
    </row>
    <row r="82" spans="1:22">
      <c r="A82" s="2" t="s">
        <v>159</v>
      </c>
      <c r="B82" s="2" t="str">
        <f>IFERROR(IF(_xlfn.XLOOKUP(A82,'01_Компании'!$A$4:$A$103,'01_Компании'!$B$4:$B$103)="","",_xlfn.XLOOKUP(A82,'01_Компании'!$A$4:$A$103,'01_Компании'!$B$4:$B$103)),"")</f>
        <v/>
      </c>
      <c r="C82" s="2" t="str">
        <f>IFERROR(IF(_xlfn.XLOOKUP(A82,'01_Компании'!$A$4:$A$103,'01_Компании'!$C$4:$C$103)="","",_xlfn.XLOOKUP(A82,'01_Компании'!$A$4:$A$103,'01_Компании'!$C$4:$C$103)),"")</f>
        <v/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6" t="str">
        <f>IF(COUNTA(D82:M82)=0,"",(D82*'03_Критерии'!$E$4+E82*'03_Критерии'!$E$5+F82*'03_Критерии'!$E$6+G82*'03_Критерии'!$E$7+H82*'03_Критерии'!$E$8+I82*'03_Критерии'!$E$9+J82*'03_Критерии'!$E$10+K82*'03_Критерии'!$E$11+L82*'03_Критерии'!$E$12+M82*'03_Критерии'!$E$13)/SUM('03_Критерии'!$E$4:$E$13))</f>
        <v/>
      </c>
      <c r="O82" s="2" t="str">
        <f t="shared" si="6"/>
        <v/>
      </c>
      <c r="P82" s="2" t="str">
        <f t="shared" si="7"/>
        <v/>
      </c>
      <c r="Q82" s="2"/>
      <c r="R82" s="2" t="str">
        <f t="shared" si="8"/>
        <v/>
      </c>
      <c r="S82" s="2"/>
      <c r="T82" s="2"/>
      <c r="U82" s="2"/>
      <c r="V82" s="5"/>
    </row>
    <row r="83" spans="1:22">
      <c r="A83" s="2" t="s">
        <v>160</v>
      </c>
      <c r="B83" s="2" t="str">
        <f>IFERROR(IF(_xlfn.XLOOKUP(A83,'01_Компании'!$A$4:$A$103,'01_Компании'!$B$4:$B$103)="","",_xlfn.XLOOKUP(A83,'01_Компании'!$A$4:$A$103,'01_Компании'!$B$4:$B$103)),"")</f>
        <v/>
      </c>
      <c r="C83" s="2" t="str">
        <f>IFERROR(IF(_xlfn.XLOOKUP(A83,'01_Компании'!$A$4:$A$103,'01_Компании'!$C$4:$C$103)="","",_xlfn.XLOOKUP(A83,'01_Компании'!$A$4:$A$103,'01_Компании'!$C$4:$C$103)),"")</f>
        <v/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6" t="str">
        <f>IF(COUNTA(D83:M83)=0,"",(D83*'03_Критерии'!$E$4+E83*'03_Критерии'!$E$5+F83*'03_Критерии'!$E$6+G83*'03_Критерии'!$E$7+H83*'03_Критерии'!$E$8+I83*'03_Критерии'!$E$9+J83*'03_Критерии'!$E$10+K83*'03_Критерии'!$E$11+L83*'03_Критерии'!$E$12+M83*'03_Критерии'!$E$13)/SUM('03_Критерии'!$E$4:$E$13))</f>
        <v/>
      </c>
      <c r="O83" s="2" t="str">
        <f t="shared" si="6"/>
        <v/>
      </c>
      <c r="P83" s="2" t="str">
        <f t="shared" si="7"/>
        <v/>
      </c>
      <c r="Q83" s="2"/>
      <c r="R83" s="2" t="str">
        <f t="shared" si="8"/>
        <v/>
      </c>
      <c r="S83" s="2"/>
      <c r="T83" s="2"/>
      <c r="U83" s="2"/>
      <c r="V83" s="5"/>
    </row>
    <row r="84" spans="1:22">
      <c r="A84" s="2" t="s">
        <v>161</v>
      </c>
      <c r="B84" s="2" t="str">
        <f>IFERROR(IF(_xlfn.XLOOKUP(A84,'01_Компании'!$A$4:$A$103,'01_Компании'!$B$4:$B$103)="","",_xlfn.XLOOKUP(A84,'01_Компании'!$A$4:$A$103,'01_Компании'!$B$4:$B$103)),"")</f>
        <v/>
      </c>
      <c r="C84" s="2" t="str">
        <f>IFERROR(IF(_xlfn.XLOOKUP(A84,'01_Компании'!$A$4:$A$103,'01_Компании'!$C$4:$C$103)="","",_xlfn.XLOOKUP(A84,'01_Компании'!$A$4:$A$103,'01_Компании'!$C$4:$C$103)),"")</f>
        <v/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6" t="str">
        <f>IF(COUNTA(D84:M84)=0,"",(D84*'03_Критерии'!$E$4+E84*'03_Критерии'!$E$5+F84*'03_Критерии'!$E$6+G84*'03_Критерии'!$E$7+H84*'03_Критерии'!$E$8+I84*'03_Критерии'!$E$9+J84*'03_Критерии'!$E$10+K84*'03_Критерии'!$E$11+L84*'03_Критерии'!$E$12+M84*'03_Критерии'!$E$13)/SUM('03_Критерии'!$E$4:$E$13))</f>
        <v/>
      </c>
      <c r="O84" s="2" t="str">
        <f t="shared" si="6"/>
        <v/>
      </c>
      <c r="P84" s="2" t="str">
        <f t="shared" si="7"/>
        <v/>
      </c>
      <c r="Q84" s="2"/>
      <c r="R84" s="2" t="str">
        <f t="shared" si="8"/>
        <v/>
      </c>
      <c r="S84" s="2"/>
      <c r="T84" s="2"/>
      <c r="U84" s="2"/>
      <c r="V84" s="5"/>
    </row>
    <row r="85" spans="1:22">
      <c r="A85" s="2" t="s">
        <v>162</v>
      </c>
      <c r="B85" s="2" t="str">
        <f>IFERROR(IF(_xlfn.XLOOKUP(A85,'01_Компании'!$A$4:$A$103,'01_Компании'!$B$4:$B$103)="","",_xlfn.XLOOKUP(A85,'01_Компании'!$A$4:$A$103,'01_Компании'!$B$4:$B$103)),"")</f>
        <v/>
      </c>
      <c r="C85" s="2" t="str">
        <f>IFERROR(IF(_xlfn.XLOOKUP(A85,'01_Компании'!$A$4:$A$103,'01_Компании'!$C$4:$C$103)="","",_xlfn.XLOOKUP(A85,'01_Компании'!$A$4:$A$103,'01_Компании'!$C$4:$C$103)),"")</f>
        <v/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6" t="str">
        <f>IF(COUNTA(D85:M85)=0,"",(D85*'03_Критерии'!$E$4+E85*'03_Критерии'!$E$5+F85*'03_Критерии'!$E$6+G85*'03_Критерии'!$E$7+H85*'03_Критерии'!$E$8+I85*'03_Критерии'!$E$9+J85*'03_Критерии'!$E$10+K85*'03_Критерии'!$E$11+L85*'03_Критерии'!$E$12+M85*'03_Критерии'!$E$13)/SUM('03_Критерии'!$E$4:$E$13))</f>
        <v/>
      </c>
      <c r="O85" s="2" t="str">
        <f t="shared" si="6"/>
        <v/>
      </c>
      <c r="P85" s="2" t="str">
        <f t="shared" si="7"/>
        <v/>
      </c>
      <c r="Q85" s="2"/>
      <c r="R85" s="2" t="str">
        <f t="shared" si="8"/>
        <v/>
      </c>
      <c r="S85" s="2"/>
      <c r="T85" s="2"/>
      <c r="U85" s="2"/>
      <c r="V85" s="5"/>
    </row>
    <row r="86" spans="1:22">
      <c r="A86" s="2" t="s">
        <v>163</v>
      </c>
      <c r="B86" s="2" t="str">
        <f>IFERROR(IF(_xlfn.XLOOKUP(A86,'01_Компании'!$A$4:$A$103,'01_Компании'!$B$4:$B$103)="","",_xlfn.XLOOKUP(A86,'01_Компании'!$A$4:$A$103,'01_Компании'!$B$4:$B$103)),"")</f>
        <v/>
      </c>
      <c r="C86" s="2" t="str">
        <f>IFERROR(IF(_xlfn.XLOOKUP(A86,'01_Компании'!$A$4:$A$103,'01_Компании'!$C$4:$C$103)="","",_xlfn.XLOOKUP(A86,'01_Компании'!$A$4:$A$103,'01_Компании'!$C$4:$C$103)),"")</f>
        <v/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6" t="str">
        <f>IF(COUNTA(D86:M86)=0,"",(D86*'03_Критерии'!$E$4+E86*'03_Критерии'!$E$5+F86*'03_Критерии'!$E$6+G86*'03_Критерии'!$E$7+H86*'03_Критерии'!$E$8+I86*'03_Критерии'!$E$9+J86*'03_Критерии'!$E$10+K86*'03_Критерии'!$E$11+L86*'03_Критерии'!$E$12+M86*'03_Критерии'!$E$13)/SUM('03_Критерии'!$E$4:$E$13))</f>
        <v/>
      </c>
      <c r="O86" s="2" t="str">
        <f t="shared" si="6"/>
        <v/>
      </c>
      <c r="P86" s="2" t="str">
        <f t="shared" si="7"/>
        <v/>
      </c>
      <c r="Q86" s="2"/>
      <c r="R86" s="2" t="str">
        <f t="shared" si="8"/>
        <v/>
      </c>
      <c r="S86" s="2"/>
      <c r="T86" s="2"/>
      <c r="U86" s="2"/>
      <c r="V86" s="5"/>
    </row>
    <row r="87" spans="1:22">
      <c r="A87" s="2" t="s">
        <v>164</v>
      </c>
      <c r="B87" s="2" t="str">
        <f>IFERROR(IF(_xlfn.XLOOKUP(A87,'01_Компании'!$A$4:$A$103,'01_Компании'!$B$4:$B$103)="","",_xlfn.XLOOKUP(A87,'01_Компании'!$A$4:$A$103,'01_Компании'!$B$4:$B$103)),"")</f>
        <v/>
      </c>
      <c r="C87" s="2" t="str">
        <f>IFERROR(IF(_xlfn.XLOOKUP(A87,'01_Компании'!$A$4:$A$103,'01_Компании'!$C$4:$C$103)="","",_xlfn.XLOOKUP(A87,'01_Компании'!$A$4:$A$103,'01_Компании'!$C$4:$C$103)),"")</f>
        <v/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6" t="str">
        <f>IF(COUNTA(D87:M87)=0,"",(D87*'03_Критерии'!$E$4+E87*'03_Критерии'!$E$5+F87*'03_Критерии'!$E$6+G87*'03_Критерии'!$E$7+H87*'03_Критерии'!$E$8+I87*'03_Критерии'!$E$9+J87*'03_Критерии'!$E$10+K87*'03_Критерии'!$E$11+L87*'03_Критерии'!$E$12+M87*'03_Критерии'!$E$13)/SUM('03_Критерии'!$E$4:$E$13))</f>
        <v/>
      </c>
      <c r="O87" s="2" t="str">
        <f t="shared" si="6"/>
        <v/>
      </c>
      <c r="P87" s="2" t="str">
        <f t="shared" si="7"/>
        <v/>
      </c>
      <c r="Q87" s="2"/>
      <c r="R87" s="2" t="str">
        <f t="shared" si="8"/>
        <v/>
      </c>
      <c r="S87" s="2"/>
      <c r="T87" s="2"/>
      <c r="U87" s="2"/>
      <c r="V87" s="5"/>
    </row>
    <row r="88" spans="1:22">
      <c r="A88" s="2" t="s">
        <v>165</v>
      </c>
      <c r="B88" s="2" t="str">
        <f>IFERROR(IF(_xlfn.XLOOKUP(A88,'01_Компании'!$A$4:$A$103,'01_Компании'!$B$4:$B$103)="","",_xlfn.XLOOKUP(A88,'01_Компании'!$A$4:$A$103,'01_Компании'!$B$4:$B$103)),"")</f>
        <v/>
      </c>
      <c r="C88" s="2" t="str">
        <f>IFERROR(IF(_xlfn.XLOOKUP(A88,'01_Компании'!$A$4:$A$103,'01_Компании'!$C$4:$C$103)="","",_xlfn.XLOOKUP(A88,'01_Компании'!$A$4:$A$103,'01_Компании'!$C$4:$C$103)),"")</f>
        <v/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6" t="str">
        <f>IF(COUNTA(D88:M88)=0,"",(D88*'03_Критерии'!$E$4+E88*'03_Критерии'!$E$5+F88*'03_Критерии'!$E$6+G88*'03_Критерии'!$E$7+H88*'03_Критерии'!$E$8+I88*'03_Критерии'!$E$9+J88*'03_Критерии'!$E$10+K88*'03_Критерии'!$E$11+L88*'03_Критерии'!$E$12+M88*'03_Критерии'!$E$13)/SUM('03_Критерии'!$E$4:$E$13))</f>
        <v/>
      </c>
      <c r="O88" s="2" t="str">
        <f t="shared" si="6"/>
        <v/>
      </c>
      <c r="P88" s="2" t="str">
        <f t="shared" si="7"/>
        <v/>
      </c>
      <c r="Q88" s="2"/>
      <c r="R88" s="2" t="str">
        <f t="shared" si="8"/>
        <v/>
      </c>
      <c r="S88" s="2"/>
      <c r="T88" s="2"/>
      <c r="U88" s="2"/>
      <c r="V88" s="5"/>
    </row>
    <row r="89" spans="1:22">
      <c r="A89" s="2" t="s">
        <v>166</v>
      </c>
      <c r="B89" s="2" t="str">
        <f>IFERROR(IF(_xlfn.XLOOKUP(A89,'01_Компании'!$A$4:$A$103,'01_Компании'!$B$4:$B$103)="","",_xlfn.XLOOKUP(A89,'01_Компании'!$A$4:$A$103,'01_Компании'!$B$4:$B$103)),"")</f>
        <v/>
      </c>
      <c r="C89" s="2" t="str">
        <f>IFERROR(IF(_xlfn.XLOOKUP(A89,'01_Компании'!$A$4:$A$103,'01_Компании'!$C$4:$C$103)="","",_xlfn.XLOOKUP(A89,'01_Компании'!$A$4:$A$103,'01_Компании'!$C$4:$C$103)),"")</f>
        <v/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6" t="str">
        <f>IF(COUNTA(D89:M89)=0,"",(D89*'03_Критерии'!$E$4+E89*'03_Критерии'!$E$5+F89*'03_Критерии'!$E$6+G89*'03_Критерии'!$E$7+H89*'03_Критерии'!$E$8+I89*'03_Критерии'!$E$9+J89*'03_Критерии'!$E$10+K89*'03_Критерии'!$E$11+L89*'03_Критерии'!$E$12+M89*'03_Критерии'!$E$13)/SUM('03_Критерии'!$E$4:$E$13))</f>
        <v/>
      </c>
      <c r="O89" s="2" t="str">
        <f t="shared" si="6"/>
        <v/>
      </c>
      <c r="P89" s="2" t="str">
        <f t="shared" si="7"/>
        <v/>
      </c>
      <c r="Q89" s="2"/>
      <c r="R89" s="2" t="str">
        <f t="shared" si="8"/>
        <v/>
      </c>
      <c r="S89" s="2"/>
      <c r="T89" s="2"/>
      <c r="U89" s="2"/>
      <c r="V89" s="5"/>
    </row>
    <row r="90" spans="1:22">
      <c r="A90" s="2" t="s">
        <v>167</v>
      </c>
      <c r="B90" s="2" t="str">
        <f>IFERROR(IF(_xlfn.XLOOKUP(A90,'01_Компании'!$A$4:$A$103,'01_Компании'!$B$4:$B$103)="","",_xlfn.XLOOKUP(A90,'01_Компании'!$A$4:$A$103,'01_Компании'!$B$4:$B$103)),"")</f>
        <v/>
      </c>
      <c r="C90" s="2" t="str">
        <f>IFERROR(IF(_xlfn.XLOOKUP(A90,'01_Компании'!$A$4:$A$103,'01_Компании'!$C$4:$C$103)="","",_xlfn.XLOOKUP(A90,'01_Компании'!$A$4:$A$103,'01_Компании'!$C$4:$C$103)),"")</f>
        <v/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6" t="str">
        <f>IF(COUNTA(D90:M90)=0,"",(D90*'03_Критерии'!$E$4+E90*'03_Критерии'!$E$5+F90*'03_Критерии'!$E$6+G90*'03_Критерии'!$E$7+H90*'03_Критерии'!$E$8+I90*'03_Критерии'!$E$9+J90*'03_Критерии'!$E$10+K90*'03_Критерии'!$E$11+L90*'03_Критерии'!$E$12+M90*'03_Критерии'!$E$13)/SUM('03_Критерии'!$E$4:$E$13))</f>
        <v/>
      </c>
      <c r="O90" s="2" t="str">
        <f t="shared" si="6"/>
        <v/>
      </c>
      <c r="P90" s="2" t="str">
        <f t="shared" si="7"/>
        <v/>
      </c>
      <c r="Q90" s="2"/>
      <c r="R90" s="2" t="str">
        <f t="shared" si="8"/>
        <v/>
      </c>
      <c r="S90" s="2"/>
      <c r="T90" s="2"/>
      <c r="U90" s="2"/>
      <c r="V90" s="5"/>
    </row>
    <row r="91" spans="1:22">
      <c r="A91" s="2" t="s">
        <v>168</v>
      </c>
      <c r="B91" s="2" t="str">
        <f>IFERROR(IF(_xlfn.XLOOKUP(A91,'01_Компании'!$A$4:$A$103,'01_Компании'!$B$4:$B$103)="","",_xlfn.XLOOKUP(A91,'01_Компании'!$A$4:$A$103,'01_Компании'!$B$4:$B$103)),"")</f>
        <v/>
      </c>
      <c r="C91" s="2" t="str">
        <f>IFERROR(IF(_xlfn.XLOOKUP(A91,'01_Компании'!$A$4:$A$103,'01_Компании'!$C$4:$C$103)="","",_xlfn.XLOOKUP(A91,'01_Компании'!$A$4:$A$103,'01_Компании'!$C$4:$C$103)),"")</f>
        <v/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6" t="str">
        <f>IF(COUNTA(D91:M91)=0,"",(D91*'03_Критерии'!$E$4+E91*'03_Критерии'!$E$5+F91*'03_Критерии'!$E$6+G91*'03_Критерии'!$E$7+H91*'03_Критерии'!$E$8+I91*'03_Критерии'!$E$9+J91*'03_Критерии'!$E$10+K91*'03_Критерии'!$E$11+L91*'03_Критерии'!$E$12+M91*'03_Критерии'!$E$13)/SUM('03_Критерии'!$E$4:$E$13))</f>
        <v/>
      </c>
      <c r="O91" s="2" t="str">
        <f t="shared" si="6"/>
        <v/>
      </c>
      <c r="P91" s="2" t="str">
        <f t="shared" si="7"/>
        <v/>
      </c>
      <c r="Q91" s="2"/>
      <c r="R91" s="2" t="str">
        <f t="shared" si="8"/>
        <v/>
      </c>
      <c r="S91" s="2"/>
      <c r="T91" s="2"/>
      <c r="U91" s="2"/>
      <c r="V91" s="5"/>
    </row>
    <row r="92" spans="1:22">
      <c r="A92" s="2" t="s">
        <v>169</v>
      </c>
      <c r="B92" s="2" t="str">
        <f>IFERROR(IF(_xlfn.XLOOKUP(A92,'01_Компании'!$A$4:$A$103,'01_Компании'!$B$4:$B$103)="","",_xlfn.XLOOKUP(A92,'01_Компании'!$A$4:$A$103,'01_Компании'!$B$4:$B$103)),"")</f>
        <v/>
      </c>
      <c r="C92" s="2" t="str">
        <f>IFERROR(IF(_xlfn.XLOOKUP(A92,'01_Компании'!$A$4:$A$103,'01_Компании'!$C$4:$C$103)="","",_xlfn.XLOOKUP(A92,'01_Компании'!$A$4:$A$103,'01_Компании'!$C$4:$C$103)),"")</f>
        <v/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6" t="str">
        <f>IF(COUNTA(D92:M92)=0,"",(D92*'03_Критерии'!$E$4+E92*'03_Критерии'!$E$5+F92*'03_Критерии'!$E$6+G92*'03_Критерии'!$E$7+H92*'03_Критерии'!$E$8+I92*'03_Критерии'!$E$9+J92*'03_Критерии'!$E$10+K92*'03_Критерии'!$E$11+L92*'03_Критерии'!$E$12+M92*'03_Критерии'!$E$13)/SUM('03_Критерии'!$E$4:$E$13))</f>
        <v/>
      </c>
      <c r="O92" s="2" t="str">
        <f t="shared" si="6"/>
        <v/>
      </c>
      <c r="P92" s="2" t="str">
        <f t="shared" si="7"/>
        <v/>
      </c>
      <c r="Q92" s="2"/>
      <c r="R92" s="2" t="str">
        <f t="shared" si="8"/>
        <v/>
      </c>
      <c r="S92" s="2"/>
      <c r="T92" s="2"/>
      <c r="U92" s="2"/>
      <c r="V92" s="5"/>
    </row>
    <row r="93" spans="1:22">
      <c r="A93" s="2" t="s">
        <v>170</v>
      </c>
      <c r="B93" s="2" t="str">
        <f>IFERROR(IF(_xlfn.XLOOKUP(A93,'01_Компании'!$A$4:$A$103,'01_Компании'!$B$4:$B$103)="","",_xlfn.XLOOKUP(A93,'01_Компании'!$A$4:$A$103,'01_Компании'!$B$4:$B$103)),"")</f>
        <v/>
      </c>
      <c r="C93" s="2" t="str">
        <f>IFERROR(IF(_xlfn.XLOOKUP(A93,'01_Компании'!$A$4:$A$103,'01_Компании'!$C$4:$C$103)="","",_xlfn.XLOOKUP(A93,'01_Компании'!$A$4:$A$103,'01_Компании'!$C$4:$C$103)),"")</f>
        <v/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6" t="str">
        <f>IF(COUNTA(D93:M93)=0,"",(D93*'03_Критерии'!$E$4+E93*'03_Критерии'!$E$5+F93*'03_Критерии'!$E$6+G93*'03_Критерии'!$E$7+H93*'03_Критерии'!$E$8+I93*'03_Критерии'!$E$9+J93*'03_Критерии'!$E$10+K93*'03_Критерии'!$E$11+L93*'03_Критерии'!$E$12+M93*'03_Критерии'!$E$13)/SUM('03_Критерии'!$E$4:$E$13))</f>
        <v/>
      </c>
      <c r="O93" s="2" t="str">
        <f t="shared" si="6"/>
        <v/>
      </c>
      <c r="P93" s="2" t="str">
        <f t="shared" si="7"/>
        <v/>
      </c>
      <c r="Q93" s="2"/>
      <c r="R93" s="2" t="str">
        <f t="shared" si="8"/>
        <v/>
      </c>
      <c r="S93" s="2"/>
      <c r="T93" s="2"/>
      <c r="U93" s="2"/>
      <c r="V93" s="5"/>
    </row>
    <row r="94" spans="1:22">
      <c r="A94" s="2" t="s">
        <v>171</v>
      </c>
      <c r="B94" s="2" t="str">
        <f>IFERROR(IF(_xlfn.XLOOKUP(A94,'01_Компании'!$A$4:$A$103,'01_Компании'!$B$4:$B$103)="","",_xlfn.XLOOKUP(A94,'01_Компании'!$A$4:$A$103,'01_Компании'!$B$4:$B$103)),"")</f>
        <v/>
      </c>
      <c r="C94" s="2" t="str">
        <f>IFERROR(IF(_xlfn.XLOOKUP(A94,'01_Компании'!$A$4:$A$103,'01_Компании'!$C$4:$C$103)="","",_xlfn.XLOOKUP(A94,'01_Компании'!$A$4:$A$103,'01_Компании'!$C$4:$C$103)),"")</f>
        <v/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6" t="str">
        <f>IF(COUNTA(D94:M94)=0,"",(D94*'03_Критерии'!$E$4+E94*'03_Критерии'!$E$5+F94*'03_Критерии'!$E$6+G94*'03_Критерии'!$E$7+H94*'03_Критерии'!$E$8+I94*'03_Критерии'!$E$9+J94*'03_Критерии'!$E$10+K94*'03_Критерии'!$E$11+L94*'03_Критерии'!$E$12+M94*'03_Критерии'!$E$13)/SUM('03_Критерии'!$E$4:$E$13))</f>
        <v/>
      </c>
      <c r="O94" s="2" t="str">
        <f t="shared" si="6"/>
        <v/>
      </c>
      <c r="P94" s="2" t="str">
        <f t="shared" si="7"/>
        <v/>
      </c>
      <c r="Q94" s="2"/>
      <c r="R94" s="2" t="str">
        <f t="shared" si="8"/>
        <v/>
      </c>
      <c r="S94" s="2"/>
      <c r="T94" s="2"/>
      <c r="U94" s="2"/>
      <c r="V94" s="5"/>
    </row>
    <row r="95" spans="1:22">
      <c r="A95" s="2" t="s">
        <v>172</v>
      </c>
      <c r="B95" s="2" t="str">
        <f>IFERROR(IF(_xlfn.XLOOKUP(A95,'01_Компании'!$A$4:$A$103,'01_Компании'!$B$4:$B$103)="","",_xlfn.XLOOKUP(A95,'01_Компании'!$A$4:$A$103,'01_Компании'!$B$4:$B$103)),"")</f>
        <v/>
      </c>
      <c r="C95" s="2" t="str">
        <f>IFERROR(IF(_xlfn.XLOOKUP(A95,'01_Компании'!$A$4:$A$103,'01_Компании'!$C$4:$C$103)="","",_xlfn.XLOOKUP(A95,'01_Компании'!$A$4:$A$103,'01_Компании'!$C$4:$C$103)),"")</f>
        <v/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6" t="str">
        <f>IF(COUNTA(D95:M95)=0,"",(D95*'03_Критерии'!$E$4+E95*'03_Критерии'!$E$5+F95*'03_Критерии'!$E$6+G95*'03_Критерии'!$E$7+H95*'03_Критерии'!$E$8+I95*'03_Критерии'!$E$9+J95*'03_Критерии'!$E$10+K95*'03_Критерии'!$E$11+L95*'03_Критерии'!$E$12+M95*'03_Критерии'!$E$13)/SUM('03_Критерии'!$E$4:$E$13))</f>
        <v/>
      </c>
      <c r="O95" s="2" t="str">
        <f t="shared" si="6"/>
        <v/>
      </c>
      <c r="P95" s="2" t="str">
        <f t="shared" si="7"/>
        <v/>
      </c>
      <c r="Q95" s="2"/>
      <c r="R95" s="2" t="str">
        <f t="shared" si="8"/>
        <v/>
      </c>
      <c r="S95" s="2"/>
      <c r="T95" s="2"/>
      <c r="U95" s="2"/>
      <c r="V95" s="5"/>
    </row>
    <row r="96" spans="1:22">
      <c r="A96" s="2" t="s">
        <v>173</v>
      </c>
      <c r="B96" s="2" t="str">
        <f>IFERROR(IF(_xlfn.XLOOKUP(A96,'01_Компании'!$A$4:$A$103,'01_Компании'!$B$4:$B$103)="","",_xlfn.XLOOKUP(A96,'01_Компании'!$A$4:$A$103,'01_Компании'!$B$4:$B$103)),"")</f>
        <v/>
      </c>
      <c r="C96" s="2" t="str">
        <f>IFERROR(IF(_xlfn.XLOOKUP(A96,'01_Компании'!$A$4:$A$103,'01_Компании'!$C$4:$C$103)="","",_xlfn.XLOOKUP(A96,'01_Компании'!$A$4:$A$103,'01_Компании'!$C$4:$C$103)),"")</f>
        <v/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6" t="str">
        <f>IF(COUNTA(D96:M96)=0,"",(D96*'03_Критерии'!$E$4+E96*'03_Критерии'!$E$5+F96*'03_Критерии'!$E$6+G96*'03_Критерии'!$E$7+H96*'03_Критерии'!$E$8+I96*'03_Критерии'!$E$9+J96*'03_Критерии'!$E$10+K96*'03_Критерии'!$E$11+L96*'03_Критерии'!$E$12+M96*'03_Критерии'!$E$13)/SUM('03_Критерии'!$E$4:$E$13))</f>
        <v/>
      </c>
      <c r="O96" s="2" t="str">
        <f t="shared" si="6"/>
        <v/>
      </c>
      <c r="P96" s="2" t="str">
        <f t="shared" si="7"/>
        <v/>
      </c>
      <c r="Q96" s="2"/>
      <c r="R96" s="2" t="str">
        <f t="shared" si="8"/>
        <v/>
      </c>
      <c r="S96" s="2"/>
      <c r="T96" s="2"/>
      <c r="U96" s="2"/>
      <c r="V96" s="5"/>
    </row>
    <row r="97" spans="1:22">
      <c r="A97" s="2" t="s">
        <v>174</v>
      </c>
      <c r="B97" s="2" t="str">
        <f>IFERROR(IF(_xlfn.XLOOKUP(A97,'01_Компании'!$A$4:$A$103,'01_Компании'!$B$4:$B$103)="","",_xlfn.XLOOKUP(A97,'01_Компании'!$A$4:$A$103,'01_Компании'!$B$4:$B$103)),"")</f>
        <v/>
      </c>
      <c r="C97" s="2" t="str">
        <f>IFERROR(IF(_xlfn.XLOOKUP(A97,'01_Компании'!$A$4:$A$103,'01_Компании'!$C$4:$C$103)="","",_xlfn.XLOOKUP(A97,'01_Компании'!$A$4:$A$103,'01_Компании'!$C$4:$C$103)),"")</f>
        <v/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6" t="str">
        <f>IF(COUNTA(D97:M97)=0,"",(D97*'03_Критерии'!$E$4+E97*'03_Критерии'!$E$5+F97*'03_Критерии'!$E$6+G97*'03_Критерии'!$E$7+H97*'03_Критерии'!$E$8+I97*'03_Критерии'!$E$9+J97*'03_Критерии'!$E$10+K97*'03_Критерии'!$E$11+L97*'03_Критерии'!$E$12+M97*'03_Критерии'!$E$13)/SUM('03_Критерии'!$E$4:$E$13))</f>
        <v/>
      </c>
      <c r="O97" s="2" t="str">
        <f t="shared" si="6"/>
        <v/>
      </c>
      <c r="P97" s="2" t="str">
        <f t="shared" si="7"/>
        <v/>
      </c>
      <c r="Q97" s="2"/>
      <c r="R97" s="2" t="str">
        <f t="shared" si="8"/>
        <v/>
      </c>
      <c r="S97" s="2"/>
      <c r="T97" s="2"/>
      <c r="U97" s="2"/>
      <c r="V97" s="5"/>
    </row>
    <row r="98" spans="1:22">
      <c r="A98" s="2" t="s">
        <v>175</v>
      </c>
      <c r="B98" s="2" t="str">
        <f>IFERROR(IF(_xlfn.XLOOKUP(A98,'01_Компании'!$A$4:$A$103,'01_Компании'!$B$4:$B$103)="","",_xlfn.XLOOKUP(A98,'01_Компании'!$A$4:$A$103,'01_Компании'!$B$4:$B$103)),"")</f>
        <v/>
      </c>
      <c r="C98" s="2" t="str">
        <f>IFERROR(IF(_xlfn.XLOOKUP(A98,'01_Компании'!$A$4:$A$103,'01_Компании'!$C$4:$C$103)="","",_xlfn.XLOOKUP(A98,'01_Компании'!$A$4:$A$103,'01_Компании'!$C$4:$C$103)),"")</f>
        <v/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6" t="str">
        <f>IF(COUNTA(D98:M98)=0,"",(D98*'03_Критерии'!$E$4+E98*'03_Критерии'!$E$5+F98*'03_Критерии'!$E$6+G98*'03_Критерии'!$E$7+H98*'03_Критерии'!$E$8+I98*'03_Критерии'!$E$9+J98*'03_Критерии'!$E$10+K98*'03_Критерии'!$E$11+L98*'03_Критерии'!$E$12+M98*'03_Критерии'!$E$13)/SUM('03_Критерии'!$E$4:$E$13))</f>
        <v/>
      </c>
      <c r="O98" s="2" t="str">
        <f t="shared" si="6"/>
        <v/>
      </c>
      <c r="P98" s="2" t="str">
        <f t="shared" si="7"/>
        <v/>
      </c>
      <c r="Q98" s="2"/>
      <c r="R98" s="2" t="str">
        <f t="shared" si="8"/>
        <v/>
      </c>
      <c r="S98" s="2"/>
      <c r="T98" s="2"/>
      <c r="U98" s="2"/>
      <c r="V98" s="5"/>
    </row>
    <row r="99" spans="1:22">
      <c r="A99" s="2" t="s">
        <v>176</v>
      </c>
      <c r="B99" s="2" t="str">
        <f>IFERROR(IF(_xlfn.XLOOKUP(A99,'01_Компании'!$A$4:$A$103,'01_Компании'!$B$4:$B$103)="","",_xlfn.XLOOKUP(A99,'01_Компании'!$A$4:$A$103,'01_Компании'!$B$4:$B$103)),"")</f>
        <v/>
      </c>
      <c r="C99" s="2" t="str">
        <f>IFERROR(IF(_xlfn.XLOOKUP(A99,'01_Компании'!$A$4:$A$103,'01_Компании'!$C$4:$C$103)="","",_xlfn.XLOOKUP(A99,'01_Компании'!$A$4:$A$103,'01_Компании'!$C$4:$C$103)),"")</f>
        <v/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6" t="str">
        <f>IF(COUNTA(D99:M99)=0,"",(D99*'03_Критерии'!$E$4+E99*'03_Критерии'!$E$5+F99*'03_Критерии'!$E$6+G99*'03_Критерии'!$E$7+H99*'03_Критерии'!$E$8+I99*'03_Критерии'!$E$9+J99*'03_Критерии'!$E$10+K99*'03_Критерии'!$E$11+L99*'03_Критерии'!$E$12+M99*'03_Критерии'!$E$13)/SUM('03_Критерии'!$E$4:$E$13))</f>
        <v/>
      </c>
      <c r="O99" s="2" t="str">
        <f t="shared" si="6"/>
        <v/>
      </c>
      <c r="P99" s="2" t="str">
        <f t="shared" si="7"/>
        <v/>
      </c>
      <c r="Q99" s="2"/>
      <c r="R99" s="2" t="str">
        <f t="shared" si="8"/>
        <v/>
      </c>
      <c r="S99" s="2"/>
      <c r="T99" s="2"/>
      <c r="U99" s="2"/>
      <c r="V99" s="5"/>
    </row>
    <row r="100" spans="1:22">
      <c r="A100" s="2" t="s">
        <v>177</v>
      </c>
      <c r="B100" s="2" t="str">
        <f>IFERROR(IF(_xlfn.XLOOKUP(A100,'01_Компании'!$A$4:$A$103,'01_Компании'!$B$4:$B$103)="","",_xlfn.XLOOKUP(A100,'01_Компании'!$A$4:$A$103,'01_Компании'!$B$4:$B$103)),"")</f>
        <v/>
      </c>
      <c r="C100" s="2" t="str">
        <f>IFERROR(IF(_xlfn.XLOOKUP(A100,'01_Компании'!$A$4:$A$103,'01_Компании'!$C$4:$C$103)="","",_xlfn.XLOOKUP(A100,'01_Компании'!$A$4:$A$103,'01_Компании'!$C$4:$C$103)),"")</f>
        <v/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6" t="str">
        <f>IF(COUNTA(D100:M100)=0,"",(D100*'03_Критерии'!$E$4+E100*'03_Критерии'!$E$5+F100*'03_Критерии'!$E$6+G100*'03_Критерии'!$E$7+H100*'03_Критерии'!$E$8+I100*'03_Критерии'!$E$9+J100*'03_Критерии'!$E$10+K100*'03_Критерии'!$E$11+L100*'03_Критерии'!$E$12+M100*'03_Критерии'!$E$13)/SUM('03_Критерии'!$E$4:$E$13))</f>
        <v/>
      </c>
      <c r="O100" s="2" t="str">
        <f t="shared" ref="O100:O131" si="9">IF(N100="","",IF(COUNTA(D100:M100)&lt;6,"Недостаточно данных",IF(D100&lt;3,"Низкое совпадение задачи",IF(F100&lt;3,"Низкая товарная заменяемость","Нет"))))</f>
        <v/>
      </c>
      <c r="P100" s="2" t="str">
        <f t="shared" ref="P100:P131" si="10">IF(N100="","",IF(O100="Недостаточно данных","Недостаточно данных",IF(OR(D100&lt;3,F100&lt;3),IF(N100&gt;=2.5,"Косвенный конкурент / заменитель",IF(N100&gt;=1.6,"Смежная или потенциальная конкуренция","Не конкурент / объект наблюдения")),IF(N100&gt;=4.2,"Прямой конкурент",IF(N100&gt;=3.4,"Близкий альтернативный конкурент",IF(N100&gt;=2.5,"Косвенный конкурент / заменитель",IF(N100&gt;=1.6,"Смежная или потенциальная конкуренция","Не конкурент / объект наблюдения")))))))</f>
        <v/>
      </c>
      <c r="Q100" s="2"/>
      <c r="R100" s="2" t="str">
        <f t="shared" ref="R100:R131" si="11">IF(Q100="",P100,Q100)</f>
        <v/>
      </c>
      <c r="S100" s="2"/>
      <c r="T100" s="2"/>
      <c r="U100" s="2"/>
      <c r="V100" s="5"/>
    </row>
    <row r="101" spans="1:22">
      <c r="A101" s="2" t="s">
        <v>178</v>
      </c>
      <c r="B101" s="2" t="str">
        <f>IFERROR(IF(_xlfn.XLOOKUP(A101,'01_Компании'!$A$4:$A$103,'01_Компании'!$B$4:$B$103)="","",_xlfn.XLOOKUP(A101,'01_Компании'!$A$4:$A$103,'01_Компании'!$B$4:$B$103)),"")</f>
        <v/>
      </c>
      <c r="C101" s="2" t="str">
        <f>IFERROR(IF(_xlfn.XLOOKUP(A101,'01_Компании'!$A$4:$A$103,'01_Компании'!$C$4:$C$103)="","",_xlfn.XLOOKUP(A101,'01_Компании'!$A$4:$A$103,'01_Компании'!$C$4:$C$103)),"")</f>
        <v/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6" t="str">
        <f>IF(COUNTA(D101:M101)=0,"",(D101*'03_Критерии'!$E$4+E101*'03_Критерии'!$E$5+F101*'03_Критерии'!$E$6+G101*'03_Критерии'!$E$7+H101*'03_Критерии'!$E$8+I101*'03_Критерии'!$E$9+J101*'03_Критерии'!$E$10+K101*'03_Критерии'!$E$11+L101*'03_Критерии'!$E$12+M101*'03_Критерии'!$E$13)/SUM('03_Критерии'!$E$4:$E$13))</f>
        <v/>
      </c>
      <c r="O101" s="2" t="str">
        <f t="shared" si="9"/>
        <v/>
      </c>
      <c r="P101" s="2" t="str">
        <f t="shared" si="10"/>
        <v/>
      </c>
      <c r="Q101" s="2"/>
      <c r="R101" s="2" t="str">
        <f t="shared" si="11"/>
        <v/>
      </c>
      <c r="S101" s="2"/>
      <c r="T101" s="2"/>
      <c r="U101" s="2"/>
      <c r="V101" s="5"/>
    </row>
    <row r="102" spans="1:22">
      <c r="A102" s="2" t="s">
        <v>179</v>
      </c>
      <c r="B102" s="2" t="str">
        <f>IFERROR(IF(_xlfn.XLOOKUP(A102,'01_Компании'!$A$4:$A$103,'01_Компании'!$B$4:$B$103)="","",_xlfn.XLOOKUP(A102,'01_Компании'!$A$4:$A$103,'01_Компании'!$B$4:$B$103)),"")</f>
        <v/>
      </c>
      <c r="C102" s="2" t="str">
        <f>IFERROR(IF(_xlfn.XLOOKUP(A102,'01_Компании'!$A$4:$A$103,'01_Компании'!$C$4:$C$103)="","",_xlfn.XLOOKUP(A102,'01_Компании'!$A$4:$A$103,'01_Компании'!$C$4:$C$103)),"")</f>
        <v/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6" t="str">
        <f>IF(COUNTA(D102:M102)=0,"",(D102*'03_Критерии'!$E$4+E102*'03_Критерии'!$E$5+F102*'03_Критерии'!$E$6+G102*'03_Критерии'!$E$7+H102*'03_Критерии'!$E$8+I102*'03_Критерии'!$E$9+J102*'03_Критерии'!$E$10+K102*'03_Критерии'!$E$11+L102*'03_Критерии'!$E$12+M102*'03_Критерии'!$E$13)/SUM('03_Критерии'!$E$4:$E$13))</f>
        <v/>
      </c>
      <c r="O102" s="2" t="str">
        <f t="shared" si="9"/>
        <v/>
      </c>
      <c r="P102" s="2" t="str">
        <f t="shared" si="10"/>
        <v/>
      </c>
      <c r="Q102" s="2"/>
      <c r="R102" s="2" t="str">
        <f t="shared" si="11"/>
        <v/>
      </c>
      <c r="S102" s="2"/>
      <c r="T102" s="2"/>
      <c r="U102" s="2"/>
      <c r="V102" s="5"/>
    </row>
    <row r="103" spans="1:22">
      <c r="A103" s="2" t="s">
        <v>180</v>
      </c>
      <c r="B103" s="2" t="str">
        <f>IFERROR(IF(_xlfn.XLOOKUP(A103,'01_Компании'!$A$4:$A$103,'01_Компании'!$B$4:$B$103)="","",_xlfn.XLOOKUP(A103,'01_Компании'!$A$4:$A$103,'01_Компании'!$B$4:$B$103)),"")</f>
        <v/>
      </c>
      <c r="C103" s="2" t="str">
        <f>IFERROR(IF(_xlfn.XLOOKUP(A103,'01_Компании'!$A$4:$A$103,'01_Компании'!$C$4:$C$103)="","",_xlfn.XLOOKUP(A103,'01_Компании'!$A$4:$A$103,'01_Компании'!$C$4:$C$103)),"")</f>
        <v/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6" t="str">
        <f>IF(COUNTA(D103:M103)=0,"",(D103*'03_Критерии'!$E$4+E103*'03_Критерии'!$E$5+F103*'03_Критерии'!$E$6+G103*'03_Критерии'!$E$7+H103*'03_Критерии'!$E$8+I103*'03_Критерии'!$E$9+J103*'03_Критерии'!$E$10+K103*'03_Критерии'!$E$11+L103*'03_Критерии'!$E$12+M103*'03_Критерии'!$E$13)/SUM('03_Критерии'!$E$4:$E$13))</f>
        <v/>
      </c>
      <c r="O103" s="2" t="str">
        <f t="shared" si="9"/>
        <v/>
      </c>
      <c r="P103" s="2" t="str">
        <f t="shared" si="10"/>
        <v/>
      </c>
      <c r="Q103" s="2"/>
      <c r="R103" s="2" t="str">
        <f t="shared" si="11"/>
        <v/>
      </c>
      <c r="S103" s="2"/>
      <c r="T103" s="2"/>
      <c r="U103" s="2"/>
      <c r="V103" s="5"/>
    </row>
  </sheetData>
  <mergeCells count="1">
    <mergeCell ref="A1:V1"/>
  </mergeCells>
  <conditionalFormatting sqref="N4:N103">
    <cfRule type="colorScale" priority="1">
      <colorScale>
        <cfvo type="min"/>
        <cfvo type="percentile" val="50"/>
        <cfvo type="max"/>
        <color rgb="FFFCE4D6"/>
        <color rgb="FFFFF2CC"/>
        <color rgb="FFDDEEDC"/>
      </colorScale>
    </cfRule>
  </conditionalFormatting>
  <conditionalFormatting sqref="R4:R103">
    <cfRule type="expression" dxfId="5" priority="2">
      <formula>R4="Прямой конкурент"</formula>
    </cfRule>
    <cfRule type="expression" dxfId="4" priority="3">
      <formula>R4="Близкий альтернативный конкурент"</formula>
    </cfRule>
    <cfRule type="expression" dxfId="3" priority="4">
      <formula>R4="Косвенный конкурент / заменитель"</formula>
    </cfRule>
    <cfRule type="expression" dxfId="2" priority="5">
      <formula>R4="Не конкурент / объект наблюдения"</formula>
    </cfRule>
  </conditionalFormatting>
  <conditionalFormatting sqref="S4:S103">
    <cfRule type="expression" dxfId="1" priority="6">
      <formula>S4="Проверено"</formula>
    </cfRule>
    <cfRule type="expression" dxfId="0" priority="7">
      <formula>S4="Требует уточнения"</formula>
    </cfRule>
  </conditionalFormatting>
  <dataValidations count="1">
    <dataValidation sqref="D4:M103" xr:uid="{00000000-0002-0000-0400-000000000000}">
      <formula1>0</formula1>
      <formula2>5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400-000001000000}">
          <x14:formula1>
            <xm:f>'08_Справочники'!$A$2:$A$7</xm:f>
          </x14:formula1>
          <xm:sqref>Q4:R103</xm:sqref>
        </x14:dataValidation>
        <x14:dataValidation type="list" allowBlank="1" showInputMessage="1" showErrorMessage="1" xr:uid="{D3EAE8DC-327D-4DCF-89F1-F93CE1DDFD79}">
          <x14:formula1>
            <xm:f>'08_Справочники'!$B$2:$B$6</xm:f>
          </x14:formula1>
          <xm:sqref>S4:S103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"/>
  <sheetViews>
    <sheetView workbookViewId="0"/>
  </sheetViews>
  <sheetFormatPr defaultRowHeight="13.5"/>
  <cols>
    <col min="1" max="1" width="32" customWidth="1"/>
    <col min="2" max="2" width="45" customWidth="1"/>
    <col min="3" max="3" width="34" customWidth="1"/>
    <col min="4" max="4" width="16" customWidth="1"/>
    <col min="5" max="5" width="32" customWidth="1"/>
    <col min="6" max="6" width="45" customWidth="1"/>
    <col min="7" max="7" width="34" customWidth="1"/>
  </cols>
  <sheetData>
    <row r="1" spans="1:26" ht="16.05" customHeight="1">
      <c r="A1" s="10" t="s">
        <v>306</v>
      </c>
      <c r="B1" s="11" t="s">
        <v>306</v>
      </c>
      <c r="C1" s="11" t="s">
        <v>306</v>
      </c>
      <c r="D1" s="11" t="s">
        <v>306</v>
      </c>
      <c r="E1" s="11" t="s">
        <v>306</v>
      </c>
      <c r="F1" s="11" t="s">
        <v>306</v>
      </c>
      <c r="G1" s="11" t="s">
        <v>306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3" spans="1:26" ht="13.9">
      <c r="A3" s="1" t="s">
        <v>307</v>
      </c>
      <c r="B3" s="1" t="s">
        <v>308</v>
      </c>
      <c r="C3" s="1" t="s">
        <v>309</v>
      </c>
      <c r="D3" s="1" t="s">
        <v>310</v>
      </c>
      <c r="E3" s="1" t="s">
        <v>311</v>
      </c>
      <c r="F3" s="1" t="s">
        <v>312</v>
      </c>
      <c r="G3" s="1" t="s">
        <v>313</v>
      </c>
    </row>
    <row r="4" spans="1:26" ht="40.5">
      <c r="A4" s="2" t="s">
        <v>314</v>
      </c>
      <c r="B4" s="2" t="s">
        <v>315</v>
      </c>
      <c r="C4" s="2" t="s">
        <v>316</v>
      </c>
      <c r="D4" s="2" t="s">
        <v>317</v>
      </c>
      <c r="E4" s="2" t="s">
        <v>318</v>
      </c>
      <c r="F4" s="2" t="s">
        <v>319</v>
      </c>
      <c r="G4" s="2" t="s">
        <v>320</v>
      </c>
    </row>
    <row r="5" spans="1:26" ht="40.5">
      <c r="A5" s="2" t="s">
        <v>321</v>
      </c>
      <c r="B5" s="2" t="s">
        <v>322</v>
      </c>
      <c r="C5" s="2" t="s">
        <v>323</v>
      </c>
      <c r="D5" s="2" t="s">
        <v>324</v>
      </c>
      <c r="E5" s="2" t="s">
        <v>325</v>
      </c>
      <c r="F5" s="2" t="s">
        <v>326</v>
      </c>
      <c r="G5" s="2" t="s">
        <v>327</v>
      </c>
    </row>
    <row r="6" spans="1:26" ht="40.5">
      <c r="A6" s="2" t="s">
        <v>328</v>
      </c>
      <c r="B6" s="2" t="s">
        <v>329</v>
      </c>
      <c r="C6" s="2" t="s">
        <v>330</v>
      </c>
      <c r="D6" s="2" t="s">
        <v>331</v>
      </c>
      <c r="E6" s="2" t="s">
        <v>332</v>
      </c>
      <c r="F6" s="2" t="s">
        <v>333</v>
      </c>
      <c r="G6" s="2" t="s">
        <v>334</v>
      </c>
    </row>
    <row r="7" spans="1:26" ht="54">
      <c r="A7" s="2" t="s">
        <v>335</v>
      </c>
      <c r="B7" s="2" t="s">
        <v>336</v>
      </c>
      <c r="C7" s="2" t="s">
        <v>337</v>
      </c>
      <c r="D7" s="2" t="s">
        <v>338</v>
      </c>
      <c r="E7" s="2" t="s">
        <v>339</v>
      </c>
      <c r="F7" s="2" t="s">
        <v>340</v>
      </c>
      <c r="G7" s="2" t="s">
        <v>341</v>
      </c>
    </row>
    <row r="8" spans="1:26" ht="40.5">
      <c r="A8" s="2" t="s">
        <v>342</v>
      </c>
      <c r="B8" s="2" t="s">
        <v>343</v>
      </c>
      <c r="C8" s="2" t="s">
        <v>344</v>
      </c>
      <c r="D8" s="2" t="s">
        <v>345</v>
      </c>
      <c r="E8" s="2" t="s">
        <v>346</v>
      </c>
      <c r="F8" s="2" t="s">
        <v>347</v>
      </c>
      <c r="G8" s="2" t="s">
        <v>348</v>
      </c>
    </row>
    <row r="9" spans="1:26" ht="27">
      <c r="A9" s="2" t="s">
        <v>349</v>
      </c>
      <c r="B9" s="2" t="s">
        <v>350</v>
      </c>
      <c r="C9" s="2" t="s">
        <v>351</v>
      </c>
      <c r="D9" s="2" t="s">
        <v>352</v>
      </c>
      <c r="E9" s="2" t="s">
        <v>353</v>
      </c>
      <c r="F9" s="2" t="s">
        <v>354</v>
      </c>
      <c r="G9" s="2" t="s">
        <v>355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8"/>
  <sheetViews>
    <sheetView workbookViewId="0"/>
  </sheetViews>
  <sheetFormatPr defaultRowHeight="13.5"/>
  <cols>
    <col min="1" max="1" width="38" customWidth="1"/>
    <col min="2" max="2" width="30" customWidth="1"/>
    <col min="3" max="3" width="34" customWidth="1"/>
    <col min="4" max="4" width="12" customWidth="1"/>
    <col min="5" max="5" width="34" customWidth="1"/>
    <col min="6" max="6" width="48" customWidth="1"/>
  </cols>
  <sheetData>
    <row r="1" spans="1:26" ht="16.05" customHeight="1">
      <c r="A1" s="10" t="s">
        <v>356</v>
      </c>
      <c r="B1" s="11" t="s">
        <v>356</v>
      </c>
      <c r="C1" s="11" t="s">
        <v>356</v>
      </c>
      <c r="D1" s="11" t="s">
        <v>356</v>
      </c>
      <c r="E1" s="11" t="s">
        <v>356</v>
      </c>
      <c r="F1" s="11" t="s">
        <v>356</v>
      </c>
      <c r="G1" s="11" t="s">
        <v>356</v>
      </c>
      <c r="H1" s="11" t="s">
        <v>356</v>
      </c>
      <c r="I1" s="11" t="s">
        <v>356</v>
      </c>
      <c r="J1" s="11" t="s">
        <v>356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3" spans="1:26" ht="13.9">
      <c r="A3" s="1" t="s">
        <v>357</v>
      </c>
      <c r="B3" s="1" t="s">
        <v>358</v>
      </c>
      <c r="C3" s="2"/>
      <c r="D3" s="2"/>
      <c r="E3" s="2"/>
      <c r="F3" s="2"/>
    </row>
    <row r="4" spans="1:26">
      <c r="A4" s="2" t="s">
        <v>359</v>
      </c>
      <c r="B4" s="2">
        <f>COUNTA('01_Компании'!$B$4:$B$103)</f>
        <v>22</v>
      </c>
      <c r="C4" s="2"/>
      <c r="D4" s="2"/>
      <c r="E4" s="2"/>
      <c r="F4" s="2"/>
    </row>
    <row r="5" spans="1:26">
      <c r="A5" s="2" t="s">
        <v>360</v>
      </c>
      <c r="B5" s="2">
        <f>COUNT('04_Оценка'!$N$4:$N$103)</f>
        <v>22</v>
      </c>
      <c r="C5" s="2"/>
      <c r="D5" s="2"/>
      <c r="E5" s="2"/>
      <c r="F5" s="2"/>
    </row>
    <row r="6" spans="1:26">
      <c r="A6" s="2" t="s">
        <v>361</v>
      </c>
      <c r="B6" s="6">
        <f>IFERROR(AVERAGE('04_Оценка'!$N$4:$N$103),"")</f>
        <v>2.8263636363636362</v>
      </c>
      <c r="C6" s="2"/>
      <c r="D6" s="2"/>
      <c r="E6" s="2"/>
      <c r="F6" s="2"/>
    </row>
    <row r="7" spans="1:26">
      <c r="A7" s="2" t="s">
        <v>362</v>
      </c>
      <c r="B7" s="2">
        <f>COUNTIF('04_Оценка'!$R$4:$R$103,"Прямой конкурент")</f>
        <v>1</v>
      </c>
      <c r="C7" s="2"/>
      <c r="D7" s="2"/>
      <c r="E7" s="2"/>
      <c r="F7" s="2"/>
    </row>
    <row r="8" spans="1:26" ht="27">
      <c r="A8" s="2" t="s">
        <v>363</v>
      </c>
      <c r="B8" s="2">
        <f>COUNTIF('04_Оценка'!$R$4:$R$103,"Близкий альтернативный конкурент")</f>
        <v>4</v>
      </c>
      <c r="C8" s="2"/>
      <c r="D8" s="2"/>
      <c r="E8" s="2"/>
      <c r="F8" s="2"/>
    </row>
    <row r="9" spans="1:26">
      <c r="A9" s="2"/>
      <c r="B9" s="2"/>
      <c r="C9" s="2"/>
      <c r="D9" s="2"/>
      <c r="E9" s="2"/>
      <c r="F9" s="2"/>
    </row>
    <row r="10" spans="1:26" ht="27.75">
      <c r="A10" s="1" t="s">
        <v>364</v>
      </c>
      <c r="B10" s="1" t="s">
        <v>365</v>
      </c>
      <c r="C10" s="1" t="s">
        <v>366</v>
      </c>
      <c r="D10" s="1" t="s">
        <v>367</v>
      </c>
      <c r="E10" s="2"/>
      <c r="F10" s="2"/>
    </row>
    <row r="11" spans="1:26" ht="67.5">
      <c r="A11" s="2" t="s">
        <v>314</v>
      </c>
      <c r="B11" s="2">
        <f>COUNTIF('04_Оценка'!$R$4:$R$103,A11)</f>
        <v>1</v>
      </c>
      <c r="C11" s="7">
        <f t="shared" ref="C11:C16" si="0">IFERROR(B11/SUM($B$11:$B$16),0)</f>
        <v>4.5454545454545456E-2</v>
      </c>
      <c r="D11" s="2" t="s">
        <v>368</v>
      </c>
      <c r="E11" s="2"/>
      <c r="F11" s="2"/>
    </row>
    <row r="12" spans="1:26" ht="67.5">
      <c r="A12" s="2" t="s">
        <v>321</v>
      </c>
      <c r="B12" s="2">
        <f>COUNTIF('04_Оценка'!$R$4:$R$103,A12)</f>
        <v>4</v>
      </c>
      <c r="C12" s="7">
        <f t="shared" si="0"/>
        <v>0.18181818181818182</v>
      </c>
      <c r="D12" s="2" t="s">
        <v>369</v>
      </c>
      <c r="E12" s="2"/>
      <c r="F12" s="2"/>
    </row>
    <row r="13" spans="1:26" ht="67.5">
      <c r="A13" s="2" t="s">
        <v>328</v>
      </c>
      <c r="B13" s="2">
        <f>COUNTIF('04_Оценка'!$R$4:$R$103,A13)</f>
        <v>9</v>
      </c>
      <c r="C13" s="7">
        <f t="shared" si="0"/>
        <v>0.40909090909090912</v>
      </c>
      <c r="D13" s="2" t="s">
        <v>370</v>
      </c>
      <c r="E13" s="2"/>
      <c r="F13" s="2"/>
    </row>
    <row r="14" spans="1:26" ht="40.5">
      <c r="A14" s="2" t="s">
        <v>335</v>
      </c>
      <c r="B14" s="2">
        <f>COUNTIF('04_Оценка'!$R$4:$R$103,A14)</f>
        <v>7</v>
      </c>
      <c r="C14" s="7">
        <f t="shared" si="0"/>
        <v>0.31818181818181818</v>
      </c>
      <c r="D14" s="2" t="s">
        <v>371</v>
      </c>
      <c r="E14" s="2"/>
      <c r="F14" s="2"/>
    </row>
    <row r="15" spans="1:26" ht="40.5">
      <c r="A15" s="2" t="s">
        <v>342</v>
      </c>
      <c r="B15" s="2">
        <f>COUNTIF('04_Оценка'!$R$4:$R$103,A15)</f>
        <v>0</v>
      </c>
      <c r="C15" s="7">
        <f t="shared" si="0"/>
        <v>0</v>
      </c>
      <c r="D15" s="2" t="s">
        <v>372</v>
      </c>
      <c r="E15" s="2"/>
      <c r="F15" s="2"/>
    </row>
    <row r="16" spans="1:26" ht="40.5">
      <c r="A16" s="2" t="s">
        <v>349</v>
      </c>
      <c r="B16" s="2">
        <f>COUNTIF('04_Оценка'!$R$4:$R$103,A16)</f>
        <v>1</v>
      </c>
      <c r="C16" s="7">
        <f t="shared" si="0"/>
        <v>4.5454545454545456E-2</v>
      </c>
      <c r="D16" s="2" t="s">
        <v>373</v>
      </c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 ht="27.75">
      <c r="A18" s="1" t="s">
        <v>374</v>
      </c>
      <c r="B18" s="1" t="s">
        <v>69</v>
      </c>
      <c r="C18" s="1" t="s">
        <v>70</v>
      </c>
      <c r="D18" s="1" t="s">
        <v>375</v>
      </c>
      <c r="E18" s="1" t="s">
        <v>42</v>
      </c>
      <c r="F18" s="1" t="s">
        <v>376</v>
      </c>
    </row>
    <row r="19" spans="1:6">
      <c r="A19" s="19">
        <v>1</v>
      </c>
      <c r="B19" s="19" t="str" cm="1">
        <f t="array" ref="B19">IF(D19="","",INDEX('04_Оценка'!$B$4:$B$103,_xlfn.AGGREGATE(15,6,(ROW('04_Оценка'!$N$4:$N$103)-ROW('04_Оценка'!$N$4)+1)/('04_Оценка'!$N$4:$N$103=D19),COUNTIF($D$19:D19,D19))))</f>
        <v>PlantUML</v>
      </c>
      <c r="C19" s="19" t="str" cm="1">
        <f t="array" ref="C19">IF(D19="","",INDEX('04_Оценка'!$C$4:$C$103,_xlfn.AGGREGATE(15,6,(ROW('04_Оценка'!$N$4:$N$103)-ROW('04_Оценка'!$N$4)+1)/('04_Оценка'!$N$4:$N$103=D19),COUNTIF($D$19:D19,D19))))</f>
        <v>plantuml.com</v>
      </c>
      <c r="D19" s="21">
        <f>IFERROR(LARGE('04_Оценка'!$N$4:$N$103,A19),"")</f>
        <v>4.0999999999999996</v>
      </c>
      <c r="E19" s="19" t="str" cm="1">
        <f t="array" ref="E19">IF(D19="","",INDEX('04_Оценка'!$R$4:$R$103,_xlfn.AGGREGATE(15,6,(ROW('04_Оценка'!$N$4:$N$103)-ROW('04_Оценка'!$N$4)+1)/('04_Оценка'!$N$4:$N$103=D19),COUNTIF($D$19:D19,D19))))</f>
        <v>Прямой конкурент</v>
      </c>
      <c r="F19" s="19" t="str" cm="1">
        <f t="array" ref="F19">IF(D19="","",INDEX('04_Оценка'!$T$4:$T$103,_xlfn.AGGREGATE(15,6,(ROW('04_Оценка'!$N$4:$N$103)-ROW('04_Оценка'!$N$4)+1)/('04_Оценка'!$N$4:$N$103=D19),COUNTIF($D$19:D19,D19))))</f>
        <v>Экспертная корректировка: Расчётный балл 4,10 лишь на 0,10 ниже порога 4,20; по правилу методики (индекс 65-79 и постоянное присутствие в тех же запросах) допускается повышение до прямого. Подтверждения: (1) запрос «plantuml» - 200 запросов в месяц в Беларуси (Вордстат, 29.08-27.09.2026), максимум среди брендов текстовых DSL; (2) страница товара и описание совпадают с задачей NotaCode (title/description 30.09.2026); (3) ЛР1 табл. 44 относит PlantUML к прямым конкурентам; (4) плагины IDE: 3 712 111 установок VS Marketplace и 5 014 362 загрузки JetBrains (ЛР2-3). Уверенность: средняя. Similarweb Pro: 739 657 визитов в месяц (июнь-август 2026). Вордстат, Беларусь: 200 запр. в месяц. Цена: открытый код, бесплатно (ЛР1, табл. 42). Главное обещание совпадает с задачей NotaCode: диаграммы UML из текста.</v>
      </c>
    </row>
    <row r="20" spans="1:6">
      <c r="A20" s="19">
        <v>2</v>
      </c>
      <c r="B20" s="19" t="str" cm="1">
        <f t="array" ref="B20">IF(D20="","",INDEX('04_Оценка'!$B$4:$B$103,_xlfn.AGGREGATE(15,6,(ROW('04_Оценка'!$N$4:$N$103)-ROW('04_Оценка'!$N$4)+1)/('04_Оценка'!$N$4:$N$103=D20),COUNTIF($D$19:D20,D20))))</f>
        <v>Mermaid (библиотека)</v>
      </c>
      <c r="C20" s="19" t="str" cm="1">
        <f t="array" ref="C20">IF(D20="","",INDEX('04_Оценка'!$C$4:$C$103,_xlfn.AGGREGATE(15,6,(ROW('04_Оценка'!$N$4:$N$103)-ROW('04_Оценка'!$N$4)+1)/('04_Оценка'!$N$4:$N$103=D20),COUNTIF($D$19:D20,D20))))</f>
        <v>mermaid.js.org</v>
      </c>
      <c r="D20" s="21">
        <f>IFERROR(LARGE('04_Оценка'!$N$4:$N$103,A20),"")</f>
        <v>4.07</v>
      </c>
      <c r="E20" s="19" t="str" cm="1">
        <f t="array" ref="E20">IF(D20="","",INDEX('04_Оценка'!$R$4:$R$103,_xlfn.AGGREGATE(15,6,(ROW('04_Оценка'!$N$4:$N$103)-ROW('04_Оценка'!$N$4)+1)/('04_Оценка'!$N$4:$N$103=D20),COUNTIF($D$19:D20,D20))))</f>
        <v>Близкий альтернативный конкурент</v>
      </c>
      <c r="F20" s="19" t="str" cm="1">
        <f t="array" ref="F20">IF(D20="","",INDEX('04_Оценка'!$T$4:$T$103,_xlfn.AGGREGATE(15,6,(ROW('04_Оценка'!$N$4:$N$103)-ROW('04_Оценка'!$N$4)+1)/('04_Оценка'!$N$4:$N$103=D20),COUNTIF($D$19:D20,D20))))</f>
        <v>Уверенность: средняя. Similarweb Pro: 442 646 визитов в месяц (июнь-август 2026). Вордстат, Беларусь: 19 запр. в месяц. Цена: открытый код (MIT); платные планы у Mermaid Chart. Задача та же (диаграммы из текста и кода), нотаций UML/BPMN/IDEF как набора с проверкой правил в описании нет.</v>
      </c>
    </row>
    <row r="21" spans="1:6">
      <c r="A21" s="19">
        <v>3</v>
      </c>
      <c r="B21" s="19" t="str" cm="1">
        <f t="array" ref="B21">IF(D21="","",INDEX('04_Оценка'!$B$4:$B$103,_xlfn.AGGREGATE(15,6,(ROW('04_Оценка'!$N$4:$N$103)-ROW('04_Оценка'!$N$4)+1)/('04_Оценка'!$N$4:$N$103=D21),COUNTIF($D$19:D21,D21))))</f>
        <v>PlantText</v>
      </c>
      <c r="C21" s="19" t="str" cm="1">
        <f t="array" ref="C21">IF(D21="","",INDEX('04_Оценка'!$C$4:$C$103,_xlfn.AGGREGATE(15,6,(ROW('04_Оценка'!$N$4:$N$103)-ROW('04_Оценка'!$N$4)+1)/('04_Оценка'!$N$4:$N$103=D21),COUNTIF($D$19:D21,D21))))</f>
        <v>planttext.com</v>
      </c>
      <c r="D21" s="21">
        <f>IFERROR(LARGE('04_Оценка'!$N$4:$N$103,A21),"")</f>
        <v>3.72</v>
      </c>
      <c r="E21" s="19" t="str" cm="1">
        <f t="array" ref="E21">IF(D21="","",INDEX('04_Оценка'!$R$4:$R$103,_xlfn.AGGREGATE(15,6,(ROW('04_Оценка'!$N$4:$N$103)-ROW('04_Оценка'!$N$4)+1)/('04_Оценка'!$N$4:$N$103=D21),COUNTIF($D$19:D21,D21))))</f>
        <v>Близкий альтернативный конкурент</v>
      </c>
      <c r="F21" s="19" t="str" cm="1">
        <f t="array" ref="F21">IF(D21="","",INDEX('04_Оценка'!$T$4:$T$103,_xlfn.AGGREGATE(15,6,(ROW('04_Оценка'!$N$4:$N$103)-ROW('04_Оценка'!$N$4)+1)/('04_Оценка'!$N$4:$N$103=D21),COUNTIF($D$19:D21,D21))))</f>
        <v>Уверенность: средняя. Similarweb Pro: 339 451 визитов в месяц (июнь-август 2026). Вордстат, Беларусь: 9 запр. в месяц. Цена: заголовок страницы: Free &amp; Fast. В заголовке заявлены бесплатность и онлайн-доступ; редактор поверх PlantUML.</v>
      </c>
    </row>
    <row r="22" spans="1:6">
      <c r="A22" s="19">
        <v>4</v>
      </c>
      <c r="B22" s="19" t="str" cm="1">
        <f t="array" ref="B22">IF(D22="","",INDEX('04_Оценка'!$B$4:$B$103,_xlfn.AGGREGATE(15,6,(ROW('04_Оценка'!$N$4:$N$103)-ROW('04_Оценка'!$N$4)+1)/('04_Оценка'!$N$4:$N$103=D22),COUNTIF($D$19:D22,D22))))</f>
        <v>Mermaid Chart</v>
      </c>
      <c r="C22" s="19" t="str" cm="1">
        <f t="array" ref="C22">IF(D22="","",INDEX('04_Оценка'!$C$4:$C$103,_xlfn.AGGREGATE(15,6,(ROW('04_Оценка'!$N$4:$N$103)-ROW('04_Оценка'!$N$4)+1)/('04_Оценка'!$N$4:$N$103=D22),COUNTIF($D$19:D22,D22))))</f>
        <v>mermaidchart.com</v>
      </c>
      <c r="D22" s="21">
        <f>IFERROR(LARGE('04_Оценка'!$N$4:$N$103,A22),"")</f>
        <v>3.71</v>
      </c>
      <c r="E22" s="19" t="str" cm="1">
        <f t="array" ref="E22">IF(D22="","",INDEX('04_Оценка'!$R$4:$R$103,_xlfn.AGGREGATE(15,6,(ROW('04_Оценка'!$N$4:$N$103)-ROW('04_Оценка'!$N$4)+1)/('04_Оценка'!$N$4:$N$103=D22),COUNTIF($D$19:D22,D22))))</f>
        <v>Близкий альтернативный конкурент</v>
      </c>
      <c r="F22" s="19" t="str" cm="1">
        <f t="array" ref="F22">IF(D22="","",INDEX('04_Оценка'!$T$4:$T$103,_xlfn.AGGREGATE(15,6,(ROW('04_Оценка'!$N$4:$N$103)-ROW('04_Оценка'!$N$4)+1)/('04_Оценка'!$N$4:$N$103=D22),COUNTIF($D$19:D22,D22))))</f>
        <v>Уверенность: средняя. Similarweb Pro: 2 535 визитов в месяц (июнь-август 2026). Вордстат, Беларусь: 0 запр. в месяц. Тарифы: Free (до 6 диаграмм, 15 AI-кредитов). Платная надстройка над Mermaid; домен, вероятно, перенесён на mermaid.ai (трафик mermaidchart.com -82,22 %).</v>
      </c>
    </row>
    <row r="23" spans="1:6">
      <c r="A23" s="19">
        <v>5</v>
      </c>
      <c r="B23" s="19" t="str" cm="1">
        <f t="array" ref="B23">IF(D23="","",INDEX('04_Оценка'!$B$4:$B$103,_xlfn.AGGREGATE(15,6,(ROW('04_Оценка'!$N$4:$N$103)-ROW('04_Оценка'!$N$4)+1)/('04_Оценка'!$N$4:$N$103=D23),COUNTIF($D$19:D23,D23))))</f>
        <v>Visual Paradigm</v>
      </c>
      <c r="C23" s="19" t="str" cm="1">
        <f t="array" ref="C23">IF(D23="","",INDEX('04_Оценка'!$C$4:$C$103,_xlfn.AGGREGATE(15,6,(ROW('04_Оценка'!$N$4:$N$103)-ROW('04_Оценка'!$N$4)+1)/('04_Оценка'!$N$4:$N$103=D23),COUNTIF($D$19:D23,D23))))</f>
        <v>visual-paradigm.com</v>
      </c>
      <c r="D23" s="21">
        <f>IFERROR(LARGE('04_Оценка'!$N$4:$N$103,A23),"")</f>
        <v>3.63</v>
      </c>
      <c r="E23" s="19" t="str" cm="1">
        <f t="array" ref="E23">IF(D23="","",INDEX('04_Оценка'!$R$4:$R$103,_xlfn.AGGREGATE(15,6,(ROW('04_Оценка'!$N$4:$N$103)-ROW('04_Оценка'!$N$4)+1)/('04_Оценка'!$N$4:$N$103=D23),COUNTIF($D$19:D23,D23))))</f>
        <v>Близкий альтернативный конкурент</v>
      </c>
      <c r="F23" s="19" t="str" cm="1">
        <f t="array" ref="F23">IF(D23="","",INDEX('04_Оценка'!$T$4:$T$103,_xlfn.AGGREGATE(15,6,(ROW('04_Оценка'!$N$4:$N$103)-ROW('04_Оценка'!$N$4)+1)/('04_Оценка'!$N$4:$N$103=D23),COUNTIF($D$19:D23,D23))))</f>
        <v>Уверенность: средняя. Similarweb Pro: 1 516 000 визитов в месяц (июнь-август 2026). Вордстат, Беларусь: 46 запр. в месяц. Тарифы: Подписка: Modeler 6, Standard 19, Professional 35, Enterprise 89 USD в месяц. Широкий набор нотаций и ИИ; графический ввод, ценовой уровень выше NotaCode.</v>
      </c>
    </row>
    <row r="24" spans="1:6">
      <c r="A24" s="19">
        <v>6</v>
      </c>
      <c r="B24" s="19" t="str" cm="1">
        <f t="array" ref="B24">IF(D24="","",INDEX('04_Оценка'!$B$4:$B$103,_xlfn.AGGREGATE(15,6,(ROW('04_Оценка'!$N$4:$N$103)-ROW('04_Оценка'!$N$4)+1)/('04_Оценка'!$N$4:$N$103=D24),COUNTIF($D$19:D24,D24))))</f>
        <v>draw.io (diagrams.net)</v>
      </c>
      <c r="C24" s="19" t="str" cm="1">
        <f t="array" ref="C24">IF(D24="","",INDEX('04_Оценка'!$C$4:$C$103,_xlfn.AGGREGATE(15,6,(ROW('04_Оценка'!$N$4:$N$103)-ROW('04_Оценка'!$N$4)+1)/('04_Оценка'!$N$4:$N$103=D24),COUNTIF($D$19:D24,D24))))</f>
        <v>app.diagrams.net</v>
      </c>
      <c r="D24" s="21">
        <f>IFERROR(LARGE('04_Оценка'!$N$4:$N$103,A24),"")</f>
        <v>3.24</v>
      </c>
      <c r="E24" s="19" t="str" cm="1">
        <f t="array" ref="E24">IF(D24="","",INDEX('04_Оценка'!$R$4:$R$103,_xlfn.AGGREGATE(15,6,(ROW('04_Оценка'!$N$4:$N$103)-ROW('04_Оценка'!$N$4)+1)/('04_Оценка'!$N$4:$N$103=D24),COUNTIF($D$19:D24,D24))))</f>
        <v>Косвенный конкурент / заменитель</v>
      </c>
      <c r="F24" s="19" t="str" cm="1">
        <f t="array" ref="F24">IF(D24="","",INDEX('04_Оценка'!$T$4:$T$103,_xlfn.AGGREGATE(15,6,(ROW('04_Оценка'!$N$4:$N$103)-ROW('04_Оценка'!$N$4)+1)/('04_Оценка'!$N$4:$N$103=D24),COUNTIF($D$19:D24,D24))))</f>
        <v>Уверенность: средняя. Similarweb Pro: 8 497 000 визитов в месяц (июнь-август 2026). Вордстат, Беларусь: 1072 запр. в месяц. Цена: полностью бесплатный, открытый код (Apache 2.0) (ЛР1, табл. 42). Универсальный графический редактор; бесплатный, открытый код, заявлено более 100 млн пользователей.</v>
      </c>
    </row>
    <row r="25" spans="1:6">
      <c r="A25" s="19">
        <v>7</v>
      </c>
      <c r="B25" s="19" t="str" cm="1">
        <f t="array" ref="B25">IF(D25="","",INDEX('04_Оценка'!$B$4:$B$103,_xlfn.AGGREGATE(15,6,(ROW('04_Оценка'!$N$4:$N$103)-ROW('04_Оценка'!$N$4)+1)/('04_Оценка'!$N$4:$N$103=D25),COUNTIF($D$19:D25,D25))))</f>
        <v>Lucidchart</v>
      </c>
      <c r="C25" s="19" t="str" cm="1">
        <f t="array" ref="C25">IF(D25="","",INDEX('04_Оценка'!$C$4:$C$103,_xlfn.AGGREGATE(15,6,(ROW('04_Оценка'!$N$4:$N$103)-ROW('04_Оценка'!$N$4)+1)/('04_Оценка'!$N$4:$N$103=D25),COUNTIF($D$19:D25,D25))))</f>
        <v>lucidchart.com</v>
      </c>
      <c r="D25" s="21">
        <f>IFERROR(LARGE('04_Оценка'!$N$4:$N$103,A25),"")</f>
        <v>3.13</v>
      </c>
      <c r="E25" s="19" t="str" cm="1">
        <f t="array" ref="E25">IF(D25="","",INDEX('04_Оценка'!$R$4:$R$103,_xlfn.AGGREGATE(15,6,(ROW('04_Оценка'!$N$4:$N$103)-ROW('04_Оценка'!$N$4)+1)/('04_Оценка'!$N$4:$N$103=D25),COUNTIF($D$19:D25,D25))))</f>
        <v>Косвенный конкурент / заменитель</v>
      </c>
      <c r="F25" s="19" t="str" cm="1">
        <f t="array" ref="F25">IF(D25="","",INDEX('04_Оценка'!$T$4:$T$103,_xlfn.AGGREGATE(15,6,(ROW('04_Оценка'!$N$4:$N$103)-ROW('04_Оценка'!$N$4)+1)/('04_Оценка'!$N$4:$N$103=D25),COUNTIF($D$19:D25,D25))))</f>
        <v>Уверенность: средняя. Similarweb Pro: 703 574 визитов в месяц (июнь-август 2026). Вордстат, Беларусь: 24 запр. в месяц. Тарифы: Free (3 редактируемых документа, 75 фигур на документ). Главная страница вернула HTTP 403; описание продукта не получено, оценка по ЛР1, ЛР2-3, G2, Capterra.</v>
      </c>
    </row>
    <row r="26" spans="1:6">
      <c r="A26" s="19">
        <v>8</v>
      </c>
      <c r="B26" s="19" t="str" cm="1">
        <f t="array" ref="B26">IF(D26="","",INDEX('04_Оценка'!$B$4:$B$103,_xlfn.AGGREGATE(15,6,(ROW('04_Оценка'!$N$4:$N$103)-ROW('04_Оценка'!$N$4)+1)/('04_Оценка'!$N$4:$N$103=D26),COUNTIF($D$19:D26,D26))))</f>
        <v>Creately</v>
      </c>
      <c r="C26" s="19" t="str" cm="1">
        <f t="array" ref="C26">IF(D26="","",INDEX('04_Оценка'!$C$4:$C$103,_xlfn.AGGREGATE(15,6,(ROW('04_Оценка'!$N$4:$N$103)-ROW('04_Оценка'!$N$4)+1)/('04_Оценка'!$N$4:$N$103=D26),COUNTIF($D$19:D26,D26))))</f>
        <v>creately.com</v>
      </c>
      <c r="D26" s="21">
        <f>IFERROR(LARGE('04_Оценка'!$N$4:$N$103,A26),"")</f>
        <v>2.99</v>
      </c>
      <c r="E26" s="19" t="str" cm="1">
        <f t="array" ref="E26">IF(D26="","",INDEX('04_Оценка'!$R$4:$R$103,_xlfn.AGGREGATE(15,6,(ROW('04_Оценка'!$N$4:$N$103)-ROW('04_Оценка'!$N$4)+1)/('04_Оценка'!$N$4:$N$103=D26),COUNTIF($D$19:D26,D26))))</f>
        <v>Косвенный конкурент / заменитель</v>
      </c>
      <c r="F26" s="19" t="str" cm="1">
        <f t="array" ref="F26">IF(D26="","",INDEX('04_Оценка'!$T$4:$T$103,_xlfn.AGGREGATE(15,6,(ROW('04_Оценка'!$N$4:$N$103)-ROW('04_Оценка'!$N$4)+1)/('04_Оценка'!$N$4:$N$103=D26),COUNTIF($D$19:D26,D26))))</f>
        <v>Уверенность: средняя. Similarweb Pro: 784 067 визитов в месяц (июнь-август 2026). Вордстат, Беларусь: 4 запр. в месяц. Тарифы: Платные тарифы от 5 до 89 USD в месяц (ЛР2-3, табл. 70: 15,14 - 269,54 BYN). Универсальный редактор; отзывы на Trustpilot низкие (1,9 из 5 при 58 отзывах).</v>
      </c>
    </row>
    <row r="27" spans="1:6">
      <c r="A27" s="19">
        <v>9</v>
      </c>
      <c r="B27" s="19" t="str" cm="1">
        <f t="array" ref="B27">IF(D27="","",INDEX('04_Оценка'!$B$4:$B$103,_xlfn.AGGREGATE(15,6,(ROW('04_Оценка'!$N$4:$N$103)-ROW('04_Оценка'!$N$4)+1)/('04_Оценка'!$N$4:$N$103=D27),COUNTIF($D$19:D27,D27))))</f>
        <v>Eraser</v>
      </c>
      <c r="C27" s="19" t="str" cm="1">
        <f t="array" ref="C27">IF(D27="","",INDEX('04_Оценка'!$C$4:$C$103,_xlfn.AGGREGATE(15,6,(ROW('04_Оценка'!$N$4:$N$103)-ROW('04_Оценка'!$N$4)+1)/('04_Оценка'!$N$4:$N$103=D27),COUNTIF($D$19:D27,D27))))</f>
        <v>eraser.io</v>
      </c>
      <c r="D27" s="21">
        <f>IFERROR(LARGE('04_Оценка'!$N$4:$N$103,A27),"")</f>
        <v>2.96</v>
      </c>
      <c r="E27" s="19" t="str" cm="1">
        <f t="array" ref="E27">IF(D27="","",INDEX('04_Оценка'!$R$4:$R$103,_xlfn.AGGREGATE(15,6,(ROW('04_Оценка'!$N$4:$N$103)-ROW('04_Оценка'!$N$4)+1)/('04_Оценка'!$N$4:$N$103=D27),COUNTIF($D$19:D27,D27))))</f>
        <v>Косвенный конкурент / заменитель</v>
      </c>
      <c r="F27" s="19" t="str" cm="1">
        <f t="array" ref="F27">IF(D27="","",INDEX('04_Оценка'!$T$4:$T$103,_xlfn.AGGREGATE(15,6,(ROW('04_Оценка'!$N$4:$N$103)-ROW('04_Оценка'!$N$4)+1)/('04_Оценка'!$N$4:$N$103=D27),COUNTIF($D$19:D27,D27))))</f>
        <v>Уверенность: средняя. Вордстат, Беларусь: 2 запр. в месяц. Тарифы: Free (0 USD. ИИ-режим сопоставим с режимами ИИ-ассистента NotaCode; раздел обзора Similarweb данных не показал.</v>
      </c>
    </row>
    <row r="28" spans="1:6">
      <c r="A28" s="19">
        <v>10</v>
      </c>
      <c r="B28" s="19" t="str" cm="1">
        <f t="array" ref="B28">IF(D28="","",INDEX('04_Оценка'!$B$4:$B$103,_xlfn.AGGREGATE(15,6,(ROW('04_Оценка'!$N$4:$N$103)-ROW('04_Оценка'!$N$4)+1)/('04_Оценка'!$N$4:$N$103=D28),COUNTIF($D$19:D28,D28))))</f>
        <v>dbdiagram.io</v>
      </c>
      <c r="C28" s="19" t="str" cm="1">
        <f t="array" ref="C28">IF(D28="","",INDEX('04_Оценка'!$C$4:$C$103,_xlfn.AGGREGATE(15,6,(ROW('04_Оценка'!$N$4:$N$103)-ROW('04_Оценка'!$N$4)+1)/('04_Оценка'!$N$4:$N$103=D28),COUNTIF($D$19:D28,D28))))</f>
        <v>dbdiagram.io</v>
      </c>
      <c r="D28" s="21">
        <f>IFERROR(LARGE('04_Оценка'!$N$4:$N$103,A28),"")</f>
        <v>2.9</v>
      </c>
      <c r="E28" s="19" t="str" cm="1">
        <f t="array" ref="E28">IF(D28="","",INDEX('04_Оценка'!$R$4:$R$103,_xlfn.AGGREGATE(15,6,(ROW('04_Оценка'!$N$4:$N$103)-ROW('04_Оценка'!$N$4)+1)/('04_Оценка'!$N$4:$N$103=D28),COUNTIF($D$19:D28,D28))))</f>
        <v>Косвенный конкурент / заменитель</v>
      </c>
      <c r="F28" s="19" t="str" cm="1">
        <f t="array" ref="F28">IF(D28="","",INDEX('04_Оценка'!$T$4:$T$103,_xlfn.AGGREGATE(15,6,(ROW('04_Оценка'!$N$4:$N$103)-ROW('04_Оценка'!$N$4)+1)/('04_Оценка'!$N$4:$N$103=D28),COUNTIF($D$19:D28,D28))))</f>
        <v>Уверенность: средняя. Similarweb Pro: 655 207 визитов в месяц (июнь-август 2026). Вордстат, Беларусь: 2 запр. в месяц. Цена: описание: free tool; платный тариф около 8 USD (ЛР2-3). Одна нотация (ERD) с вводом текстом; ERD входит в первую волну нотаций NotaCode.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3"/>
  <sheetViews>
    <sheetView workbookViewId="0"/>
  </sheetViews>
  <sheetFormatPr defaultRowHeight="13.5"/>
  <cols>
    <col min="1" max="1" width="8" customWidth="1"/>
    <col min="2" max="2" width="28" customWidth="1"/>
    <col min="3" max="4" width="22" customWidth="1"/>
    <col min="5" max="5" width="14" customWidth="1"/>
    <col min="6" max="6" width="34" customWidth="1"/>
    <col min="7" max="7" width="30" customWidth="1"/>
    <col min="8" max="9" width="34" customWidth="1"/>
    <col min="10" max="10" width="14" customWidth="1"/>
    <col min="11" max="11" width="18" customWidth="1"/>
  </cols>
  <sheetData>
    <row r="1" spans="1:26" ht="16.05" customHeight="1">
      <c r="A1" s="10" t="s">
        <v>377</v>
      </c>
      <c r="B1" s="11" t="s">
        <v>377</v>
      </c>
      <c r="C1" s="11" t="s">
        <v>377</v>
      </c>
      <c r="D1" s="11" t="s">
        <v>377</v>
      </c>
      <c r="E1" s="11" t="s">
        <v>377</v>
      </c>
      <c r="F1" s="11" t="s">
        <v>377</v>
      </c>
      <c r="G1" s="11" t="s">
        <v>377</v>
      </c>
      <c r="H1" s="11" t="s">
        <v>377</v>
      </c>
      <c r="I1" s="11" t="s">
        <v>377</v>
      </c>
      <c r="J1" s="11" t="s">
        <v>377</v>
      </c>
      <c r="K1" s="11" t="s">
        <v>377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3" spans="1:26" ht="27.75">
      <c r="A3" s="1" t="s">
        <v>68</v>
      </c>
      <c r="B3" s="1" t="s">
        <v>69</v>
      </c>
      <c r="C3" s="1" t="s">
        <v>378</v>
      </c>
      <c r="D3" s="1" t="s">
        <v>379</v>
      </c>
      <c r="E3" s="1" t="s">
        <v>298</v>
      </c>
      <c r="F3" s="1" t="s">
        <v>42</v>
      </c>
      <c r="G3" s="1" t="s">
        <v>380</v>
      </c>
      <c r="H3" s="1" t="s">
        <v>80</v>
      </c>
      <c r="I3" s="1" t="s">
        <v>381</v>
      </c>
      <c r="J3" s="1" t="s">
        <v>76</v>
      </c>
      <c r="K3" s="1" t="s">
        <v>78</v>
      </c>
    </row>
    <row r="4" spans="1:26" ht="27">
      <c r="A4" s="19" t="s">
        <v>81</v>
      </c>
      <c r="B4" s="19" t="str">
        <f>IFERROR(IF(_xlfn.XLOOKUP(A4,'04_Оценка'!$A$4:$A$103,'04_Оценка'!$B$4:$B$103)="","",_xlfn.XLOOKUP(A4,'04_Оценка'!$A$4:$A$103,'04_Оценка'!$B$4:$B$103)),"")</f>
        <v>PlantUML</v>
      </c>
      <c r="C4" s="21">
        <f>IFERROR(AVERAGE('04_Оценка'!D4,'04_Оценка'!F4),"")</f>
        <v>4.5</v>
      </c>
      <c r="D4" s="21">
        <f>IFERROR(AVERAGE('04_Оценка'!E4,'04_Оценка'!J4),"")</f>
        <v>4</v>
      </c>
      <c r="E4" s="21">
        <f>IFERROR('04_Оценка'!N4,"")</f>
        <v>4.0999999999999996</v>
      </c>
      <c r="F4" s="19" t="str">
        <f>IFERROR('04_Оценка'!R4,"")</f>
        <v>Прямой конкурент</v>
      </c>
      <c r="G4" s="19" t="str">
        <f>IF(E4="","",IF(OR(F4="Недостаточно данных",C4="",D4=""),"Нет данных",IF(AND(C4&gt;=4,D4&gt;=4),"Ядро прямой конкуренции",IF(AND(C4&gt;=3,D4&gt;=3),"Близкая альтернатива",IF(C4&gt;=3,"Функциональный заменитель",IF(D4&gt;=3,"Аудиторное пересечение","Периферия"))))))</f>
        <v>Ядро прямой конкуренции</v>
      </c>
      <c r="H4" s="19" t="s">
        <v>864</v>
      </c>
      <c r="I4" s="19" t="s">
        <v>865</v>
      </c>
      <c r="J4" s="19" t="str">
        <f>IFERROR(IF(_xlfn.XLOOKUP(A4,'01_Компании'!$A$4:$A$103,'01_Компании'!$I$4:$I$103)="","",_xlfn.XLOOKUP(A4,'01_Компании'!$A$4:$A$103,'01_Компании'!$I$4:$I$103)),"")</f>
        <v>Высокий</v>
      </c>
      <c r="K4" s="19" t="str">
        <f>IFERROR(IF(_xlfn.XLOOKUP(A4,'04_Оценка'!$A$4:$A$103,'04_Оценка'!$S$4:$S$103)="","",_xlfn.XLOOKUP(A4,'04_Оценка'!$A$4:$A$103,'04_Оценка'!$S$4:$S$103)),"")</f>
        <v>В работе</v>
      </c>
    </row>
    <row r="5" spans="1:26" ht="27">
      <c r="A5" s="19" t="s">
        <v>82</v>
      </c>
      <c r="B5" s="19" t="str">
        <f>IFERROR(IF(_xlfn.XLOOKUP(A5,'04_Оценка'!$A$4:$A$103,'04_Оценка'!$B$4:$B$103)="","",_xlfn.XLOOKUP(A5,'04_Оценка'!$A$4:$A$103,'04_Оценка'!$B$4:$B$103)),"")</f>
        <v>Mermaid (библиотека)</v>
      </c>
      <c r="C5" s="21">
        <f>IFERROR(AVERAGE('04_Оценка'!D5,'04_Оценка'!F5),"")</f>
        <v>4.5</v>
      </c>
      <c r="D5" s="21">
        <f>IFERROR(AVERAGE('04_Оценка'!E5,'04_Оценка'!J5),"")</f>
        <v>3.5</v>
      </c>
      <c r="E5" s="21">
        <f>IFERROR('04_Оценка'!N5,"")</f>
        <v>4.07</v>
      </c>
      <c r="F5" s="19" t="str">
        <f>IFERROR('04_Оценка'!R5,"")</f>
        <v>Близкий альтернативный конкурент</v>
      </c>
      <c r="G5" s="19" t="str">
        <f>IF(E5="","",IF(OR(F5="Недостаточно данных",C5="",D5=""),"Нет данных",IF(AND(C5&gt;=4,D5&gt;=4),"Ядро прямой конкуренции",IF(AND(C5&gt;=3,D5&gt;=3),"Близкая альтернатива",IF(C5&gt;=3,"Функциональный заменитель",IF(D5&gt;=3,"Аудиторное пересечение","Периферия"))))))</f>
        <v>Близкая альтернатива</v>
      </c>
      <c r="H5" s="19" t="s">
        <v>864</v>
      </c>
      <c r="I5" s="19" t="s">
        <v>865</v>
      </c>
      <c r="J5" s="19" t="str">
        <f>IFERROR(IF(_xlfn.XLOOKUP(A5,'01_Компании'!$A$4:$A$103,'01_Компании'!$I$4:$I$103)="","",_xlfn.XLOOKUP(A5,'01_Компании'!$A$4:$A$103,'01_Компании'!$I$4:$I$103)),"")</f>
        <v>Высокий</v>
      </c>
      <c r="K5" s="19" t="str">
        <f>IFERROR(IF(_xlfn.XLOOKUP(A5,'04_Оценка'!$A$4:$A$103,'04_Оценка'!$S$4:$S$103)="","",_xlfn.XLOOKUP(A5,'04_Оценка'!$A$4:$A$103,'04_Оценка'!$S$4:$S$103)),"")</f>
        <v>В работе</v>
      </c>
    </row>
    <row r="6" spans="1:26" ht="27">
      <c r="A6" s="19" t="s">
        <v>83</v>
      </c>
      <c r="B6" s="19" t="str">
        <f>IFERROR(IF(_xlfn.XLOOKUP(A6,'04_Оценка'!$A$4:$A$103,'04_Оценка'!$B$4:$B$103)="","",_xlfn.XLOOKUP(A6,'04_Оценка'!$A$4:$A$103,'04_Оценка'!$B$4:$B$103)),"")</f>
        <v>Mermaid Chart</v>
      </c>
      <c r="C6" s="21">
        <f>IFERROR(AVERAGE('04_Оценка'!D6,'04_Оценка'!F6),"")</f>
        <v>4.5</v>
      </c>
      <c r="D6" s="21">
        <f>IFERROR(AVERAGE('04_Оценка'!E6,'04_Оценка'!J6),"")</f>
        <v>2.5</v>
      </c>
      <c r="E6" s="21">
        <f>IFERROR('04_Оценка'!N6,"")</f>
        <v>3.71</v>
      </c>
      <c r="F6" s="19" t="str">
        <f>IFERROR('04_Оценка'!R6,"")</f>
        <v>Близкий альтернативный конкурент</v>
      </c>
      <c r="G6" s="19" t="str">
        <f>IF(E6="","",IF(OR(F6="Недостаточно данных",C6="",D6=""),"Нет данных",IF(AND(C6&gt;=4,D6&gt;=4),"Ядро прямой конкуренции",IF(AND(C6&gt;=3,D6&gt;=3),"Близкая альтернатива",IF(C6&gt;=3,"Функциональный заменитель",IF(D6&gt;=3,"Аудиторное пересечение","Периферия"))))))</f>
        <v>Функциональный заменитель</v>
      </c>
      <c r="H6" s="19" t="s">
        <v>864</v>
      </c>
      <c r="I6" s="19" t="s">
        <v>870</v>
      </c>
      <c r="J6" s="19" t="str">
        <f>IFERROR(IF(_xlfn.XLOOKUP(A6,'01_Компании'!$A$4:$A$103,'01_Компании'!$I$4:$I$103)="","",_xlfn.XLOOKUP(A6,'01_Компании'!$A$4:$A$103,'01_Компании'!$I$4:$I$103)),"")</f>
        <v>Высокий</v>
      </c>
      <c r="K6" s="19" t="str">
        <f>IFERROR(IF(_xlfn.XLOOKUP(A6,'04_Оценка'!$A$4:$A$103,'04_Оценка'!$S$4:$S$103)="","",_xlfn.XLOOKUP(A6,'04_Оценка'!$A$4:$A$103,'04_Оценка'!$S$4:$S$103)),"")</f>
        <v>В работе</v>
      </c>
    </row>
    <row r="7" spans="1:26" ht="27">
      <c r="A7" s="19" t="s">
        <v>84</v>
      </c>
      <c r="B7" s="19" t="str">
        <f>IFERROR(IF(_xlfn.XLOOKUP(A7,'04_Оценка'!$A$4:$A$103,'04_Оценка'!$B$4:$B$103)="","",_xlfn.XLOOKUP(A7,'04_Оценка'!$A$4:$A$103,'04_Оценка'!$B$4:$B$103)),"")</f>
        <v>D2 (Terrastruct)</v>
      </c>
      <c r="C7" s="21">
        <f>IFERROR(AVERAGE('04_Оценка'!D7,'04_Оценка'!F7),"")</f>
        <v>3.5</v>
      </c>
      <c r="D7" s="21">
        <f>IFERROR(AVERAGE('04_Оценка'!E7,'04_Оценка'!J7),"")</f>
        <v>2.5</v>
      </c>
      <c r="E7" s="21">
        <f>IFERROR('04_Оценка'!N7,"")</f>
        <v>2.82</v>
      </c>
      <c r="F7" s="19" t="str">
        <f>IFERROR('04_Оценка'!R7,"")</f>
        <v>Косвенный конкурент / заменитель</v>
      </c>
      <c r="G7" s="19" t="str">
        <f>IF(E7="","",IF(OR(F7="Недостаточно данных",C7="",D7=""),"Нет данных",IF(AND(C7&gt;=4,D7&gt;=4),"Ядро прямой конкуренции",IF(AND(C7&gt;=3,D7&gt;=3),"Близкая альтернатива",IF(C7&gt;=3,"Функциональный заменитель",IF(D7&gt;=3,"Аудиторное пересечение","Периферия"))))))</f>
        <v>Функциональный заменитель</v>
      </c>
      <c r="H7" s="19" t="s">
        <v>873</v>
      </c>
      <c r="I7" s="19" t="s">
        <v>874</v>
      </c>
      <c r="J7" s="19" t="str">
        <f>IFERROR(IF(_xlfn.XLOOKUP(A7,'01_Компании'!$A$4:$A$103,'01_Компании'!$I$4:$I$103)="","",_xlfn.XLOOKUP(A7,'01_Компании'!$A$4:$A$103,'01_Компании'!$I$4:$I$103)),"")</f>
        <v>Средний</v>
      </c>
      <c r="K7" s="19" t="str">
        <f>IFERROR(IF(_xlfn.XLOOKUP(A7,'04_Оценка'!$A$4:$A$103,'04_Оценка'!$S$4:$S$103)="","",_xlfn.XLOOKUP(A7,'04_Оценка'!$A$4:$A$103,'04_Оценка'!$S$4:$S$103)),"")</f>
        <v>В работе</v>
      </c>
    </row>
    <row r="8" spans="1:26" ht="27">
      <c r="A8" s="19" t="s">
        <v>85</v>
      </c>
      <c r="B8" s="19" t="str">
        <f>IFERROR(IF(_xlfn.XLOOKUP(A8,'04_Оценка'!$A$4:$A$103,'04_Оценка'!$B$4:$B$103)="","",_xlfn.XLOOKUP(A8,'04_Оценка'!$A$4:$A$103,'04_Оценка'!$B$4:$B$103)),"")</f>
        <v>Kroki</v>
      </c>
      <c r="C8" s="21">
        <f>IFERROR(AVERAGE('04_Оценка'!D8,'04_Оценка'!F8),"")</f>
        <v>2.5</v>
      </c>
      <c r="D8" s="21">
        <f>IFERROR(AVERAGE('04_Оценка'!E8,'04_Оценка'!J8),"")</f>
        <v>2.5</v>
      </c>
      <c r="E8" s="21">
        <f>IFERROR('04_Оценка'!N8,"")</f>
        <v>2.0699999999999998</v>
      </c>
      <c r="F8" s="19" t="str">
        <f>IFERROR('04_Оценка'!R8,"")</f>
        <v>Смежная или потенциальная конкуренция</v>
      </c>
      <c r="G8" s="19" t="str">
        <f>IF(E8="","",IF(OR(F8="Недостаточно данных",C8="",D8=""),"Нет данных",IF(AND(C8&gt;=4,D8&gt;=4),"Ядро прямой конкуренции",IF(AND(C8&gt;=3,D8&gt;=3),"Близкая альтернатива",IF(C8&gt;=3,"Функциональный заменитель",IF(D8&gt;=3,"Аудиторное пересечение","Периферия"))))))</f>
        <v>Периферия</v>
      </c>
      <c r="H8" s="19" t="s">
        <v>877</v>
      </c>
      <c r="I8" s="19" t="s">
        <v>878</v>
      </c>
      <c r="J8" s="19" t="str">
        <f>IFERROR(IF(_xlfn.XLOOKUP(A8,'01_Компании'!$A$4:$A$103,'01_Компании'!$I$4:$I$103)="","",_xlfn.XLOOKUP(A8,'01_Компании'!$A$4:$A$103,'01_Компании'!$I$4:$I$103)),"")</f>
        <v>Низкий</v>
      </c>
      <c r="K8" s="19" t="str">
        <f>IFERROR(IF(_xlfn.XLOOKUP(A8,'04_Оценка'!$A$4:$A$103,'04_Оценка'!$S$4:$S$103)="","",_xlfn.XLOOKUP(A8,'04_Оценка'!$A$4:$A$103,'04_Оценка'!$S$4:$S$103)),"")</f>
        <v>В работе</v>
      </c>
    </row>
    <row r="9" spans="1:26" ht="27">
      <c r="A9" s="19" t="s">
        <v>86</v>
      </c>
      <c r="B9" s="19" t="str">
        <f>IFERROR(IF(_xlfn.XLOOKUP(A9,'04_Оценка'!$A$4:$A$103,'04_Оценка'!$B$4:$B$103)="","",_xlfn.XLOOKUP(A9,'04_Оценка'!$A$4:$A$103,'04_Оценка'!$B$4:$B$103)),"")</f>
        <v>PlantText</v>
      </c>
      <c r="C9" s="21">
        <f>IFERROR(AVERAGE('04_Оценка'!D9,'04_Оценка'!F9),"")</f>
        <v>4.5</v>
      </c>
      <c r="D9" s="21">
        <f>IFERROR(AVERAGE('04_Оценка'!E9,'04_Оценка'!J9),"")</f>
        <v>3</v>
      </c>
      <c r="E9" s="21">
        <f>IFERROR('04_Оценка'!N9,"")</f>
        <v>3.72</v>
      </c>
      <c r="F9" s="19" t="str">
        <f>IFERROR('04_Оценка'!R9,"")</f>
        <v>Близкий альтернативный конкурент</v>
      </c>
      <c r="G9" s="19" t="str">
        <f>IF(E9="","",IF(OR(F9="Недостаточно данных",C9="",D9=""),"Нет данных",IF(AND(C9&gt;=4,D9&gt;=4),"Ядро прямой конкуренции",IF(AND(C9&gt;=3,D9&gt;=3),"Близкая альтернатива",IF(C9&gt;=3,"Функциональный заменитель",IF(D9&gt;=3,"Аудиторное пересечение","Периферия"))))))</f>
        <v>Близкая альтернатива</v>
      </c>
      <c r="H9" s="19" t="s">
        <v>864</v>
      </c>
      <c r="I9" s="19" t="s">
        <v>874</v>
      </c>
      <c r="J9" s="19" t="str">
        <f>IFERROR(IF(_xlfn.XLOOKUP(A9,'01_Компании'!$A$4:$A$103,'01_Компании'!$I$4:$I$103)="","",_xlfn.XLOOKUP(A9,'01_Компании'!$A$4:$A$103,'01_Компании'!$I$4:$I$103)),"")</f>
        <v>Средний</v>
      </c>
      <c r="K9" s="19" t="str">
        <f>IFERROR(IF(_xlfn.XLOOKUP(A9,'04_Оценка'!$A$4:$A$103,'04_Оценка'!$S$4:$S$103)="","",_xlfn.XLOOKUP(A9,'04_Оценка'!$A$4:$A$103,'04_Оценка'!$S$4:$S$103)),"")</f>
        <v>В работе</v>
      </c>
    </row>
    <row r="10" spans="1:26" ht="27">
      <c r="A10" s="19" t="s">
        <v>87</v>
      </c>
      <c r="B10" s="19" t="str">
        <f>IFERROR(IF(_xlfn.XLOOKUP(A10,'04_Оценка'!$A$4:$A$103,'04_Оценка'!$B$4:$B$103)="","",_xlfn.XLOOKUP(A10,'04_Оценка'!$A$4:$A$103,'04_Оценка'!$B$4:$B$103)),"")</f>
        <v>StarUML</v>
      </c>
      <c r="C10" s="21">
        <f>IFERROR(AVERAGE('04_Оценка'!D10,'04_Оценка'!F10),"")</f>
        <v>3.5</v>
      </c>
      <c r="D10" s="21">
        <f>IFERROR(AVERAGE('04_Оценка'!E10,'04_Оценка'!J10),"")</f>
        <v>3.5</v>
      </c>
      <c r="E10" s="21">
        <f>IFERROR('04_Оценка'!N10,"")</f>
        <v>2.81</v>
      </c>
      <c r="F10" s="19" t="str">
        <f>IFERROR('04_Оценка'!R10,"")</f>
        <v>Косвенный конкурент / заменитель</v>
      </c>
      <c r="G10" s="19" t="str">
        <f>IF(E10="","",IF(OR(F10="Недостаточно данных",C10="",D10=""),"Нет данных",IF(AND(C10&gt;=4,D10&gt;=4),"Ядро прямой конкуренции",IF(AND(C10&gt;=3,D10&gt;=3),"Близкая альтернатива",IF(C10&gt;=3,"Функциональный заменитель",IF(D10&gt;=3,"Аудиторное пересечение","Периферия"))))))</f>
        <v>Близкая альтернатива</v>
      </c>
      <c r="H10" s="19" t="s">
        <v>877</v>
      </c>
      <c r="I10" s="19" t="s">
        <v>883</v>
      </c>
      <c r="J10" s="19" t="str">
        <f>IFERROR(IF(_xlfn.XLOOKUP(A10,'01_Компании'!$A$4:$A$103,'01_Компании'!$I$4:$I$103)="","",_xlfn.XLOOKUP(A10,'01_Компании'!$A$4:$A$103,'01_Компании'!$I$4:$I$103)),"")</f>
        <v>Средний</v>
      </c>
      <c r="K10" s="19" t="str">
        <f>IFERROR(IF(_xlfn.XLOOKUP(A10,'04_Оценка'!$A$4:$A$103,'04_Оценка'!$S$4:$S$103)="","",_xlfn.XLOOKUP(A10,'04_Оценка'!$A$4:$A$103,'04_Оценка'!$S$4:$S$103)),"")</f>
        <v>В работе</v>
      </c>
    </row>
    <row r="11" spans="1:26" ht="27">
      <c r="A11" s="19" t="s">
        <v>88</v>
      </c>
      <c r="B11" s="19" t="str">
        <f>IFERROR(IF(_xlfn.XLOOKUP(A11,'04_Оценка'!$A$4:$A$103,'04_Оценка'!$B$4:$B$103)="","",_xlfn.XLOOKUP(A11,'04_Оценка'!$A$4:$A$103,'04_Оценка'!$B$4:$B$103)),"")</f>
        <v>Visual Paradigm</v>
      </c>
      <c r="C11" s="21">
        <f>IFERROR(AVERAGE('04_Оценка'!D11,'04_Оценка'!F11),"")</f>
        <v>4</v>
      </c>
      <c r="D11" s="21">
        <f>IFERROR(AVERAGE('04_Оценка'!E11,'04_Оценка'!J11),"")</f>
        <v>4</v>
      </c>
      <c r="E11" s="21">
        <f>IFERROR('04_Оценка'!N11,"")</f>
        <v>3.63</v>
      </c>
      <c r="F11" s="19" t="str">
        <f>IFERROR('04_Оценка'!R11,"")</f>
        <v>Близкий альтернативный конкурент</v>
      </c>
      <c r="G11" s="19" t="str">
        <f>IF(E11="","",IF(OR(F11="Недостаточно данных",C11="",D11=""),"Нет данных",IF(AND(C11&gt;=4,D11&gt;=4),"Ядро прямой конкуренции",IF(AND(C11&gt;=3,D11&gt;=3),"Близкая альтернатива",IF(C11&gt;=3,"Функциональный заменитель",IF(D11&gt;=3,"Аудиторное пересечение","Периферия"))))))</f>
        <v>Ядро прямой конкуренции</v>
      </c>
      <c r="H11" s="19" t="s">
        <v>886</v>
      </c>
      <c r="I11" s="19" t="s">
        <v>874</v>
      </c>
      <c r="J11" s="19" t="str">
        <f>IFERROR(IF(_xlfn.XLOOKUP(A11,'01_Компании'!$A$4:$A$103,'01_Компании'!$I$4:$I$103)="","",_xlfn.XLOOKUP(A11,'01_Компании'!$A$4:$A$103,'01_Компании'!$I$4:$I$103)),"")</f>
        <v>Высокий</v>
      </c>
      <c r="K11" s="19" t="str">
        <f>IFERROR(IF(_xlfn.XLOOKUP(A11,'04_Оценка'!$A$4:$A$103,'04_Оценка'!$S$4:$S$103)="","",_xlfn.XLOOKUP(A11,'04_Оценка'!$A$4:$A$103,'04_Оценка'!$S$4:$S$103)),"")</f>
        <v>В работе</v>
      </c>
    </row>
    <row r="12" spans="1:26" ht="27">
      <c r="A12" s="19" t="s">
        <v>89</v>
      </c>
      <c r="B12" s="19" t="str">
        <f>IFERROR(IF(_xlfn.XLOOKUP(A12,'04_Оценка'!$A$4:$A$103,'04_Оценка'!$B$4:$B$103)="","",_xlfn.XLOOKUP(A12,'04_Оценка'!$A$4:$A$103,'04_Оценка'!$B$4:$B$103)),"")</f>
        <v>Sparx Systems (Enterprise Architect)</v>
      </c>
      <c r="C12" s="21">
        <f>IFERROR(AVERAGE('04_Оценка'!D12,'04_Оценка'!F12),"")</f>
        <v>3.5</v>
      </c>
      <c r="D12" s="21">
        <f>IFERROR(AVERAGE('04_Оценка'!E12,'04_Оценка'!J12),"")</f>
        <v>4</v>
      </c>
      <c r="E12" s="21">
        <f>IFERROR('04_Оценка'!N12,"")</f>
        <v>1.9</v>
      </c>
      <c r="F12" s="19" t="str">
        <f>IFERROR('04_Оценка'!R12,"")</f>
        <v>Недостаточно данных</v>
      </c>
      <c r="G12" s="19" t="str">
        <f>IF(E12="","",IF(OR(F12="Недостаточно данных",C12="",D12=""),"Нет данных",IF(AND(C12&gt;=4,D12&gt;=4),"Ядро прямой конкуренции",IF(AND(C12&gt;=3,D12&gt;=3),"Близкая альтернатива",IF(C12&gt;=3,"Функциональный заменитель",IF(D12&gt;=3,"Аудиторное пересечение","Периферия"))))))</f>
        <v>Нет данных</v>
      </c>
      <c r="H12" s="19" t="s">
        <v>889</v>
      </c>
      <c r="I12" s="19" t="s">
        <v>883</v>
      </c>
      <c r="J12" s="19" t="str">
        <f>IFERROR(IF(_xlfn.XLOOKUP(A12,'01_Компании'!$A$4:$A$103,'01_Компании'!$I$4:$I$103)="","",_xlfn.XLOOKUP(A12,'01_Компании'!$A$4:$A$103,'01_Компании'!$I$4:$I$103)),"")</f>
        <v>Низкий</v>
      </c>
      <c r="K12" s="19" t="str">
        <f>IFERROR(IF(_xlfn.XLOOKUP(A12,'04_Оценка'!$A$4:$A$103,'04_Оценка'!$S$4:$S$103)="","",_xlfn.XLOOKUP(A12,'04_Оценка'!$A$4:$A$103,'04_Оценка'!$S$4:$S$103)),"")</f>
        <v>Требует уточнения</v>
      </c>
    </row>
    <row r="13" spans="1:26" ht="27">
      <c r="A13" s="19" t="s">
        <v>90</v>
      </c>
      <c r="B13" s="19" t="str">
        <f>IFERROR(IF(_xlfn.XLOOKUP(A13,'04_Оценка'!$A$4:$A$103,'04_Оценка'!$B$4:$B$103)="","",_xlfn.XLOOKUP(A13,'04_Оценка'!$A$4:$A$103,'04_Оценка'!$B$4:$B$103)),"")</f>
        <v>bpmn.io</v>
      </c>
      <c r="C13" s="21">
        <f>IFERROR(AVERAGE('04_Оценка'!D13,'04_Оценка'!F13),"")</f>
        <v>2.5</v>
      </c>
      <c r="D13" s="21">
        <f>IFERROR(AVERAGE('04_Оценка'!E13,'04_Оценка'!J13),"")</f>
        <v>3.5</v>
      </c>
      <c r="E13" s="21">
        <f>IFERROR('04_Оценка'!N13,"")</f>
        <v>2.44</v>
      </c>
      <c r="F13" s="19" t="str">
        <f>IFERROR('04_Оценка'!R13,"")</f>
        <v>Смежная или потенциальная конкуренция</v>
      </c>
      <c r="G13" s="19" t="str">
        <f>IF(E13="","",IF(OR(F13="Недостаточно данных",C13="",D13=""),"Нет данных",IF(AND(C13&gt;=4,D13&gt;=4),"Ядро прямой конкуренции",IF(AND(C13&gt;=3,D13&gt;=3),"Близкая альтернатива",IF(C13&gt;=3,"Функциональный заменитель",IF(D13&gt;=3,"Аудиторное пересечение","Периферия"))))))</f>
        <v>Аудиторное пересечение</v>
      </c>
      <c r="H13" s="19" t="s">
        <v>873</v>
      </c>
      <c r="I13" s="19" t="s">
        <v>874</v>
      </c>
      <c r="J13" s="19" t="str">
        <f>IFERROR(IF(_xlfn.XLOOKUP(A13,'01_Компании'!$A$4:$A$103,'01_Компании'!$I$4:$I$103)="","",_xlfn.XLOOKUP(A13,'01_Компании'!$A$4:$A$103,'01_Компании'!$I$4:$I$103)),"")</f>
        <v>Средний</v>
      </c>
      <c r="K13" s="19" t="str">
        <f>IFERROR(IF(_xlfn.XLOOKUP(A13,'04_Оценка'!$A$4:$A$103,'04_Оценка'!$S$4:$S$103)="","",_xlfn.XLOOKUP(A13,'04_Оценка'!$A$4:$A$103,'04_Оценка'!$S$4:$S$103)),"")</f>
        <v>В работе</v>
      </c>
    </row>
    <row r="14" spans="1:26" ht="27">
      <c r="A14" s="19" t="s">
        <v>91</v>
      </c>
      <c r="B14" s="19" t="str">
        <f>IFERROR(IF(_xlfn.XLOOKUP(A14,'04_Оценка'!$A$4:$A$103,'04_Оценка'!$B$4:$B$103)="","",_xlfn.XLOOKUP(A14,'04_Оценка'!$A$4:$A$103,'04_Оценка'!$B$4:$B$103)),"")</f>
        <v>Camunda (Modeler)</v>
      </c>
      <c r="C14" s="21">
        <f>IFERROR(AVERAGE('04_Оценка'!D14,'04_Оценка'!F14),"")</f>
        <v>2</v>
      </c>
      <c r="D14" s="21">
        <f>IFERROR(AVERAGE('04_Оценка'!E14,'04_Оценка'!J14),"")</f>
        <v>2.5</v>
      </c>
      <c r="E14" s="21">
        <f>IFERROR('04_Оценка'!N14,"")</f>
        <v>1.92</v>
      </c>
      <c r="F14" s="19" t="str">
        <f>IFERROR('04_Оценка'!R14,"")</f>
        <v>Смежная или потенциальная конкуренция</v>
      </c>
      <c r="G14" s="19" t="str">
        <f>IF(E14="","",IF(OR(F14="Недостаточно данных",C14="",D14=""),"Нет данных",IF(AND(C14&gt;=4,D14&gt;=4),"Ядро прямой конкуренции",IF(AND(C14&gt;=3,D14&gt;=3),"Близкая альтернатива",IF(C14&gt;=3,"Функциональный заменитель",IF(D14&gt;=3,"Аудиторное пересечение","Периферия"))))))</f>
        <v>Периферия</v>
      </c>
      <c r="H14" s="19" t="s">
        <v>873</v>
      </c>
      <c r="I14" s="19" t="s">
        <v>883</v>
      </c>
      <c r="J14" s="19" t="str">
        <f>IFERROR(IF(_xlfn.XLOOKUP(A14,'01_Компании'!$A$4:$A$103,'01_Компании'!$I$4:$I$103)="","",_xlfn.XLOOKUP(A14,'01_Компании'!$A$4:$A$103,'01_Компании'!$I$4:$I$103)),"")</f>
        <v>Низкий</v>
      </c>
      <c r="K14" s="19" t="str">
        <f>IFERROR(IF(_xlfn.XLOOKUP(A14,'04_Оценка'!$A$4:$A$103,'04_Оценка'!$S$4:$S$103)="","",_xlfn.XLOOKUP(A14,'04_Оценка'!$A$4:$A$103,'04_Оценка'!$S$4:$S$103)),"")</f>
        <v>В работе</v>
      </c>
    </row>
    <row r="15" spans="1:26" ht="27">
      <c r="A15" s="19" t="s">
        <v>92</v>
      </c>
      <c r="B15" s="19" t="str">
        <f>IFERROR(IF(_xlfn.XLOOKUP(A15,'04_Оценка'!$A$4:$A$103,'04_Оценка'!$B$4:$B$103)="","",_xlfn.XLOOKUP(A15,'04_Оценка'!$A$4:$A$103,'04_Оценка'!$B$4:$B$103)),"")</f>
        <v>Storm (StormBPMN)</v>
      </c>
      <c r="C15" s="21">
        <f>IFERROR(AVERAGE('04_Оценка'!D15,'04_Оценка'!F15),"")</f>
        <v>2.5</v>
      </c>
      <c r="D15" s="21">
        <f>IFERROR(AVERAGE('04_Оценка'!E15,'04_Оценка'!J15),"")</f>
        <v>4</v>
      </c>
      <c r="E15" s="21">
        <f>IFERROR('04_Оценка'!N15,"")</f>
        <v>2.2599999999999998</v>
      </c>
      <c r="F15" s="19" t="str">
        <f>IFERROR('04_Оценка'!R15,"")</f>
        <v>Смежная или потенциальная конкуренция</v>
      </c>
      <c r="G15" s="19" t="str">
        <f>IF(E15="","",IF(OR(F15="Недостаточно данных",C15="",D15=""),"Нет данных",IF(AND(C15&gt;=4,D15&gt;=4),"Ядро прямой конкуренции",IF(AND(C15&gt;=3,D15&gt;=3),"Близкая альтернатива",IF(C15&gt;=3,"Функциональный заменитель",IF(D15&gt;=3,"Аудиторное пересечение","Периферия"))))))</f>
        <v>Аудиторное пересечение</v>
      </c>
      <c r="H15" s="19" t="s">
        <v>877</v>
      </c>
      <c r="I15" s="19" t="s">
        <v>883</v>
      </c>
      <c r="J15" s="19" t="str">
        <f>IFERROR(IF(_xlfn.XLOOKUP(A15,'01_Компании'!$A$4:$A$103,'01_Компании'!$I$4:$I$103)="","",_xlfn.XLOOKUP(A15,'01_Компании'!$A$4:$A$103,'01_Компании'!$I$4:$I$103)),"")</f>
        <v>Средний</v>
      </c>
      <c r="K15" s="19" t="str">
        <f>IFERROR(IF(_xlfn.XLOOKUP(A15,'04_Оценка'!$A$4:$A$103,'04_Оценка'!$S$4:$S$103)="","",_xlfn.XLOOKUP(A15,'04_Оценка'!$A$4:$A$103,'04_Оценка'!$S$4:$S$103)),"")</f>
        <v>В работе</v>
      </c>
    </row>
    <row r="16" spans="1:26" ht="27">
      <c r="A16" s="19" t="s">
        <v>93</v>
      </c>
      <c r="B16" s="19" t="str">
        <f>IFERROR(IF(_xlfn.XLOOKUP(A16,'04_Оценка'!$A$4:$A$103,'04_Оценка'!$B$4:$B$103)="","",_xlfn.XLOOKUP(A16,'04_Оценка'!$A$4:$A$103,'04_Оценка'!$B$4:$B$103)),"")</f>
        <v>draw.io (diagrams.net)</v>
      </c>
      <c r="C16" s="21">
        <f>IFERROR(AVERAGE('04_Оценка'!D16,'04_Оценка'!F16),"")</f>
        <v>3</v>
      </c>
      <c r="D16" s="21">
        <f>IFERROR(AVERAGE('04_Оценка'!E16,'04_Оценка'!J16),"")</f>
        <v>4</v>
      </c>
      <c r="E16" s="21">
        <f>IFERROR('04_Оценка'!N16,"")</f>
        <v>3.24</v>
      </c>
      <c r="F16" s="19" t="str">
        <f>IFERROR('04_Оценка'!R16,"")</f>
        <v>Косвенный конкурент / заменитель</v>
      </c>
      <c r="G16" s="19" t="str">
        <f>IF(E16="","",IF(OR(F16="Недостаточно данных",C16="",D16=""),"Нет данных",IF(AND(C16&gt;=4,D16&gt;=4),"Ядро прямой конкуренции",IF(AND(C16&gt;=3,D16&gt;=3),"Близкая альтернатива",IF(C16&gt;=3,"Функциональный заменитель",IF(D16&gt;=3,"Аудиторное пересечение","Периферия"))))))</f>
        <v>Близкая альтернатива</v>
      </c>
      <c r="H16" s="19" t="s">
        <v>864</v>
      </c>
      <c r="I16" s="19" t="s">
        <v>898</v>
      </c>
      <c r="J16" s="19" t="str">
        <f>IFERROR(IF(_xlfn.XLOOKUP(A16,'01_Компании'!$A$4:$A$103,'01_Компании'!$I$4:$I$103)="","",_xlfn.XLOOKUP(A16,'01_Компании'!$A$4:$A$103,'01_Компании'!$I$4:$I$103)),"")</f>
        <v>Высокий</v>
      </c>
      <c r="K16" s="19" t="str">
        <f>IFERROR(IF(_xlfn.XLOOKUP(A16,'04_Оценка'!$A$4:$A$103,'04_Оценка'!$S$4:$S$103)="","",_xlfn.XLOOKUP(A16,'04_Оценка'!$A$4:$A$103,'04_Оценка'!$S$4:$S$103)),"")</f>
        <v>В работе</v>
      </c>
    </row>
    <row r="17" spans="1:11" ht="27">
      <c r="A17" s="19" t="s">
        <v>94</v>
      </c>
      <c r="B17" s="19" t="str">
        <f>IFERROR(IF(_xlfn.XLOOKUP(A17,'04_Оценка'!$A$4:$A$103,'04_Оценка'!$B$4:$B$103)="","",_xlfn.XLOOKUP(A17,'04_Оценка'!$A$4:$A$103,'04_Оценка'!$B$4:$B$103)),"")</f>
        <v>Lucidchart</v>
      </c>
      <c r="C17" s="21">
        <f>IFERROR(AVERAGE('04_Оценка'!D17,'04_Оценка'!F17),"")</f>
        <v>3</v>
      </c>
      <c r="D17" s="21">
        <f>IFERROR(AVERAGE('04_Оценка'!E17,'04_Оценка'!J17),"")</f>
        <v>3</v>
      </c>
      <c r="E17" s="21">
        <f>IFERROR('04_Оценка'!N17,"")</f>
        <v>3.13</v>
      </c>
      <c r="F17" s="19" t="str">
        <f>IFERROR('04_Оценка'!R17,"")</f>
        <v>Косвенный конкурент / заменитель</v>
      </c>
      <c r="G17" s="19" t="str">
        <f>IF(E17="","",IF(OR(F17="Недостаточно данных",C17="",D17=""),"Нет данных",IF(AND(C17&gt;=4,D17&gt;=4),"Ядро прямой конкуренции",IF(AND(C17&gt;=3,D17&gt;=3),"Близкая альтернатива",IF(C17&gt;=3,"Функциональный заменитель",IF(D17&gt;=3,"Аудиторное пересечение","Периферия"))))))</f>
        <v>Близкая альтернатива</v>
      </c>
      <c r="H17" s="19" t="s">
        <v>886</v>
      </c>
      <c r="I17" s="19" t="s">
        <v>874</v>
      </c>
      <c r="J17" s="19" t="str">
        <f>IFERROR(IF(_xlfn.XLOOKUP(A17,'01_Компании'!$A$4:$A$103,'01_Компании'!$I$4:$I$103)="","",_xlfn.XLOOKUP(A17,'01_Компании'!$A$4:$A$103,'01_Компании'!$I$4:$I$103)),"")</f>
        <v>Средний</v>
      </c>
      <c r="K17" s="19" t="str">
        <f>IFERROR(IF(_xlfn.XLOOKUP(A17,'04_Оценка'!$A$4:$A$103,'04_Оценка'!$S$4:$S$103)="","",_xlfn.XLOOKUP(A17,'04_Оценка'!$A$4:$A$103,'04_Оценка'!$S$4:$S$103)),"")</f>
        <v>В работе</v>
      </c>
    </row>
    <row r="18" spans="1:11" ht="27">
      <c r="A18" s="19" t="s">
        <v>95</v>
      </c>
      <c r="B18" s="19" t="str">
        <f>IFERROR(IF(_xlfn.XLOOKUP(A18,'04_Оценка'!$A$4:$A$103,'04_Оценка'!$B$4:$B$103)="","",_xlfn.XLOOKUP(A18,'04_Оценка'!$A$4:$A$103,'04_Оценка'!$B$4:$B$103)),"")</f>
        <v>Creately</v>
      </c>
      <c r="C18" s="21">
        <f>IFERROR(AVERAGE('04_Оценка'!D18,'04_Оценка'!F18),"")</f>
        <v>3</v>
      </c>
      <c r="D18" s="21">
        <f>IFERROR(AVERAGE('04_Оценка'!E18,'04_Оценка'!J18),"")</f>
        <v>2.5</v>
      </c>
      <c r="E18" s="21">
        <f>IFERROR('04_Оценка'!N18,"")</f>
        <v>2.99</v>
      </c>
      <c r="F18" s="19" t="str">
        <f>IFERROR('04_Оценка'!R18,"")</f>
        <v>Косвенный конкурент / заменитель</v>
      </c>
      <c r="G18" s="19" t="str">
        <f>IF(E18="","",IF(OR(F18="Недостаточно данных",C18="",D18=""),"Нет данных",IF(AND(C18&gt;=4,D18&gt;=4),"Ядро прямой конкуренции",IF(AND(C18&gt;=3,D18&gt;=3),"Близкая альтернатива",IF(C18&gt;=3,"Функциональный заменитель",IF(D18&gt;=3,"Аудиторное пересечение","Периферия"))))))</f>
        <v>Функциональный заменитель</v>
      </c>
      <c r="H18" s="19" t="s">
        <v>886</v>
      </c>
      <c r="I18" s="19" t="s">
        <v>874</v>
      </c>
      <c r="J18" s="19" t="str">
        <f>IFERROR(IF(_xlfn.XLOOKUP(A18,'01_Компании'!$A$4:$A$103,'01_Компании'!$I$4:$I$103)="","",_xlfn.XLOOKUP(A18,'01_Компании'!$A$4:$A$103,'01_Компании'!$I$4:$I$103)),"")</f>
        <v>Низкий</v>
      </c>
      <c r="K18" s="19" t="str">
        <f>IFERROR(IF(_xlfn.XLOOKUP(A18,'04_Оценка'!$A$4:$A$103,'04_Оценка'!$S$4:$S$103)="","",_xlfn.XLOOKUP(A18,'04_Оценка'!$A$4:$A$103,'04_Оценка'!$S$4:$S$103)),"")</f>
        <v>В работе</v>
      </c>
    </row>
    <row r="19" spans="1:11" ht="27">
      <c r="A19" s="19" t="s">
        <v>96</v>
      </c>
      <c r="B19" s="19" t="str">
        <f>IFERROR(IF(_xlfn.XLOOKUP(A19,'04_Оценка'!$A$4:$A$103,'04_Оценка'!$B$4:$B$103)="","",_xlfn.XLOOKUP(A19,'04_Оценка'!$A$4:$A$103,'04_Оценка'!$B$4:$B$103)),"")</f>
        <v>Miro</v>
      </c>
      <c r="C19" s="21">
        <f>IFERROR(AVERAGE('04_Оценка'!D19,'04_Оценка'!F19),"")</f>
        <v>2</v>
      </c>
      <c r="D19" s="21">
        <f>IFERROR(AVERAGE('04_Оценка'!E19,'04_Оценка'!J19),"")</f>
        <v>3</v>
      </c>
      <c r="E19" s="21">
        <f>IFERROR('04_Оценка'!N19,"")</f>
        <v>2.57</v>
      </c>
      <c r="F19" s="19" t="str">
        <f>IFERROR('04_Оценка'!R19,"")</f>
        <v>Косвенный конкурент / заменитель</v>
      </c>
      <c r="G19" s="19" t="str">
        <f>IF(E19="","",IF(OR(F19="Недостаточно данных",C19="",D19=""),"Нет данных",IF(AND(C19&gt;=4,D19&gt;=4),"Ядро прямой конкуренции",IF(AND(C19&gt;=3,D19&gt;=3),"Близкая альтернатива",IF(C19&gt;=3,"Функциональный заменитель",IF(D19&gt;=3,"Аудиторное пересечение","Периферия"))))))</f>
        <v>Аудиторное пересечение</v>
      </c>
      <c r="H19" s="19" t="s">
        <v>886</v>
      </c>
      <c r="I19" s="19" t="s">
        <v>874</v>
      </c>
      <c r="J19" s="19" t="str">
        <f>IFERROR(IF(_xlfn.XLOOKUP(A19,'01_Компании'!$A$4:$A$103,'01_Компании'!$I$4:$I$103)="","",_xlfn.XLOOKUP(A19,'01_Компании'!$A$4:$A$103,'01_Компании'!$I$4:$I$103)),"")</f>
        <v>Низкий</v>
      </c>
      <c r="K19" s="19" t="str">
        <f>IFERROR(IF(_xlfn.XLOOKUP(A19,'04_Оценка'!$A$4:$A$103,'04_Оценка'!$S$4:$S$103)="","",_xlfn.XLOOKUP(A19,'04_Оценка'!$A$4:$A$103,'04_Оценка'!$S$4:$S$103)),"")</f>
        <v>В работе</v>
      </c>
    </row>
    <row r="20" spans="1:11" ht="27">
      <c r="A20" s="19" t="s">
        <v>97</v>
      </c>
      <c r="B20" s="19" t="str">
        <f>IFERROR(IF(_xlfn.XLOOKUP(A20,'04_Оценка'!$A$4:$A$103,'04_Оценка'!$B$4:$B$103)="","",_xlfn.XLOOKUP(A20,'04_Оценка'!$A$4:$A$103,'04_Оценка'!$B$4:$B$103)),"")</f>
        <v>Excalidraw</v>
      </c>
      <c r="C20" s="21">
        <f>IFERROR(AVERAGE('04_Оценка'!D20,'04_Оценка'!F20),"")</f>
        <v>2</v>
      </c>
      <c r="D20" s="21">
        <f>IFERROR(AVERAGE('04_Оценка'!E20,'04_Оценка'!J20),"")</f>
        <v>3</v>
      </c>
      <c r="E20" s="21">
        <f>IFERROR('04_Оценка'!N20,"")</f>
        <v>1.98</v>
      </c>
      <c r="F20" s="19" t="str">
        <f>IFERROR('04_Оценка'!R20,"")</f>
        <v>Смежная или потенциальная конкуренция</v>
      </c>
      <c r="G20" s="19" t="str">
        <f>IF(E20="","",IF(OR(F20="Недостаточно данных",C20="",D20=""),"Нет данных",IF(AND(C20&gt;=4,D20&gt;=4),"Ядро прямой конкуренции",IF(AND(C20&gt;=3,D20&gt;=3),"Близкая альтернатива",IF(C20&gt;=3,"Функциональный заменитель",IF(D20&gt;=3,"Аудиторное пересечение","Периферия"))))))</f>
        <v>Аудиторное пересечение</v>
      </c>
      <c r="H20" s="19" t="s">
        <v>877</v>
      </c>
      <c r="I20" s="19" t="s">
        <v>878</v>
      </c>
      <c r="J20" s="19" t="str">
        <f>IFERROR(IF(_xlfn.XLOOKUP(A20,'01_Компании'!$A$4:$A$103,'01_Компании'!$I$4:$I$103)="","",_xlfn.XLOOKUP(A20,'01_Компании'!$A$4:$A$103,'01_Компании'!$I$4:$I$103)),"")</f>
        <v>Низкий</v>
      </c>
      <c r="K20" s="19" t="str">
        <f>IFERROR(IF(_xlfn.XLOOKUP(A20,'04_Оценка'!$A$4:$A$103,'04_Оценка'!$S$4:$S$103)="","",_xlfn.XLOOKUP(A20,'04_Оценка'!$A$4:$A$103,'04_Оценка'!$S$4:$S$103)),"")</f>
        <v>В работе</v>
      </c>
    </row>
    <row r="21" spans="1:11" ht="27">
      <c r="A21" s="19" t="s">
        <v>98</v>
      </c>
      <c r="B21" s="19" t="str">
        <f>IFERROR(IF(_xlfn.XLOOKUP(A21,'04_Оценка'!$A$4:$A$103,'04_Оценка'!$B$4:$B$103)="","",_xlfn.XLOOKUP(A21,'04_Оценка'!$A$4:$A$103,'04_Оценка'!$B$4:$B$103)),"")</f>
        <v>dbdiagram.io</v>
      </c>
      <c r="C21" s="21">
        <f>IFERROR(AVERAGE('04_Оценка'!D21,'04_Оценка'!F21),"")</f>
        <v>2.5</v>
      </c>
      <c r="D21" s="21">
        <f>IFERROR(AVERAGE('04_Оценка'!E21,'04_Оценка'!J21),"")</f>
        <v>2.5</v>
      </c>
      <c r="E21" s="21">
        <f>IFERROR('04_Оценка'!N21,"")</f>
        <v>2.9</v>
      </c>
      <c r="F21" s="19" t="str">
        <f>IFERROR('04_Оценка'!R21,"")</f>
        <v>Косвенный конкурент / заменитель</v>
      </c>
      <c r="G21" s="19" t="str">
        <f>IF(E21="","",IF(OR(F21="Недостаточно данных",C21="",D21=""),"Нет данных",IF(AND(C21&gt;=4,D21&gt;=4),"Ядро прямой конкуренции",IF(AND(C21&gt;=3,D21&gt;=3),"Близкая альтернатива",IF(C21&gt;=3,"Функциональный заменитель",IF(D21&gt;=3,"Аудиторное пересечение","Периферия"))))))</f>
        <v>Периферия</v>
      </c>
      <c r="H21" s="19" t="s">
        <v>886</v>
      </c>
      <c r="I21" s="19" t="s">
        <v>874</v>
      </c>
      <c r="J21" s="19" t="str">
        <f>IFERROR(IF(_xlfn.XLOOKUP(A21,'01_Компании'!$A$4:$A$103,'01_Компании'!$I$4:$I$103)="","",_xlfn.XLOOKUP(A21,'01_Компании'!$A$4:$A$103,'01_Компании'!$I$4:$I$103)),"")</f>
        <v>Средний</v>
      </c>
      <c r="K21" s="19" t="str">
        <f>IFERROR(IF(_xlfn.XLOOKUP(A21,'04_Оценка'!$A$4:$A$103,'04_Оценка'!$S$4:$S$103)="","",_xlfn.XLOOKUP(A21,'04_Оценка'!$A$4:$A$103,'04_Оценка'!$S$4:$S$103)),"")</f>
        <v>В работе</v>
      </c>
    </row>
    <row r="22" spans="1:11" ht="27">
      <c r="A22" s="19" t="s">
        <v>99</v>
      </c>
      <c r="B22" s="19" t="str">
        <f>IFERROR(IF(_xlfn.XLOOKUP(A22,'04_Оценка'!$A$4:$A$103,'04_Оценка'!$B$4:$B$103)="","",_xlfn.XLOOKUP(A22,'04_Оценка'!$A$4:$A$103,'04_Оценка'!$B$4:$B$103)),"")</f>
        <v>DrawSQL</v>
      </c>
      <c r="C22" s="21">
        <f>IFERROR(AVERAGE('04_Оценка'!D22,'04_Оценка'!F22),"")</f>
        <v>2.5</v>
      </c>
      <c r="D22" s="21">
        <f>IFERROR(AVERAGE('04_Оценка'!E22,'04_Оценка'!J22),"")</f>
        <v>2.5</v>
      </c>
      <c r="E22" s="21">
        <f>IFERROR('04_Оценка'!N22,"")</f>
        <v>1.93</v>
      </c>
      <c r="F22" s="19" t="str">
        <f>IFERROR('04_Оценка'!R22,"")</f>
        <v>Смежная или потенциальная конкуренция</v>
      </c>
      <c r="G22" s="19" t="str">
        <f>IF(E22="","",IF(OR(F22="Недостаточно данных",C22="",D22=""),"Нет данных",IF(AND(C22&gt;=4,D22&gt;=4),"Ядро прямой конкуренции",IF(AND(C22&gt;=3,D22&gt;=3),"Близкая альтернатива",IF(C22&gt;=3,"Функциональный заменитель",IF(D22&gt;=3,"Аудиторное пересечение","Периферия"))))))</f>
        <v>Периферия</v>
      </c>
      <c r="H22" s="19" t="s">
        <v>911</v>
      </c>
      <c r="I22" s="19" t="s">
        <v>912</v>
      </c>
      <c r="J22" s="19" t="str">
        <f>IFERROR(IF(_xlfn.XLOOKUP(A22,'01_Компании'!$A$4:$A$103,'01_Компании'!$I$4:$I$103)="","",_xlfn.XLOOKUP(A22,'01_Компании'!$A$4:$A$103,'01_Компании'!$I$4:$I$103)),"")</f>
        <v>Низкий</v>
      </c>
      <c r="K22" s="19" t="str">
        <f>IFERROR(IF(_xlfn.XLOOKUP(A22,'04_Оценка'!$A$4:$A$103,'04_Оценка'!$S$4:$S$103)="","",_xlfn.XLOOKUP(A22,'04_Оценка'!$A$4:$A$103,'04_Оценка'!$S$4:$S$103)),"")</f>
        <v>В работе</v>
      </c>
    </row>
    <row r="23" spans="1:11" ht="27">
      <c r="A23" s="19" t="s">
        <v>100</v>
      </c>
      <c r="B23" s="19" t="str">
        <f>IFERROR(IF(_xlfn.XLOOKUP(A23,'04_Оценка'!$A$4:$A$103,'04_Оценка'!$B$4:$B$103)="","",_xlfn.XLOOKUP(A23,'04_Оценка'!$A$4:$A$103,'04_Оценка'!$B$4:$B$103)),"")</f>
        <v>Eraser</v>
      </c>
      <c r="C23" s="21">
        <f>IFERROR(AVERAGE('04_Оценка'!D23,'04_Оценка'!F23),"")</f>
        <v>3.5</v>
      </c>
      <c r="D23" s="21">
        <f>IFERROR(AVERAGE('04_Оценка'!E23,'04_Оценка'!J23),"")</f>
        <v>2.5</v>
      </c>
      <c r="E23" s="21">
        <f>IFERROR('04_Оценка'!N23,"")</f>
        <v>2.96</v>
      </c>
      <c r="F23" s="19" t="str">
        <f>IFERROR('04_Оценка'!R23,"")</f>
        <v>Косвенный конкурент / заменитель</v>
      </c>
      <c r="G23" s="19" t="str">
        <f>IF(E23="","",IF(OR(F23="Недостаточно данных",C23="",D23=""),"Нет данных",IF(AND(C23&gt;=4,D23&gt;=4),"Ядро прямой конкуренции",IF(AND(C23&gt;=3,D23&gt;=3),"Близкая альтернатива",IF(C23&gt;=3,"Функциональный заменитель",IF(D23&gt;=3,"Аудиторное пересечение","Периферия"))))))</f>
        <v>Функциональный заменитель</v>
      </c>
      <c r="H23" s="19" t="s">
        <v>873</v>
      </c>
      <c r="I23" s="19" t="s">
        <v>915</v>
      </c>
      <c r="J23" s="19" t="str">
        <f>IFERROR(IF(_xlfn.XLOOKUP(A23,'01_Компании'!$A$4:$A$103,'01_Компании'!$I$4:$I$103)="","",_xlfn.XLOOKUP(A23,'01_Компании'!$A$4:$A$103,'01_Компании'!$I$4:$I$103)),"")</f>
        <v>Высокий</v>
      </c>
      <c r="K23" s="19" t="str">
        <f>IFERROR(IF(_xlfn.XLOOKUP(A23,'04_Оценка'!$A$4:$A$103,'04_Оценка'!$S$4:$S$103)="","",_xlfn.XLOOKUP(A23,'04_Оценка'!$A$4:$A$103,'04_Оценка'!$S$4:$S$103)),"")</f>
        <v>В работе</v>
      </c>
    </row>
    <row r="24" spans="1:11" ht="27">
      <c r="A24" s="19" t="s">
        <v>101</v>
      </c>
      <c r="B24" s="19" t="str">
        <f>IFERROR(IF(_xlfn.XLOOKUP(A24,'04_Оценка'!$A$4:$A$103,'04_Оценка'!$B$4:$B$103)="","",_xlfn.XLOOKUP(A24,'04_Оценка'!$A$4:$A$103,'04_Оценка'!$B$4:$B$103)),"")</f>
        <v>Whimsical</v>
      </c>
      <c r="C24" s="21">
        <f>IFERROR(AVERAGE('04_Оценка'!D24,'04_Оценка'!F24),"")</f>
        <v>2.5</v>
      </c>
      <c r="D24" s="21">
        <f>IFERROR(AVERAGE('04_Оценка'!E24,'04_Оценка'!J24),"")</f>
        <v>3</v>
      </c>
      <c r="E24" s="21">
        <f>IFERROR('04_Оценка'!N24,"")</f>
        <v>2.38</v>
      </c>
      <c r="F24" s="19" t="str">
        <f>IFERROR('04_Оценка'!R24,"")</f>
        <v>Смежная или потенциальная конкуренция</v>
      </c>
      <c r="G24" s="19" t="str">
        <f>IF(E24="","",IF(OR(F24="Недостаточно данных",C24="",D24=""),"Нет данных",IF(AND(C24&gt;=4,D24&gt;=4),"Ядро прямой конкуренции",IF(AND(C24&gt;=3,D24&gt;=3),"Близкая альтернатива",IF(C24&gt;=3,"Функциональный заменитель",IF(D24&gt;=3,"Аудиторное пересечение","Периферия"))))))</f>
        <v>Аудиторное пересечение</v>
      </c>
      <c r="H24" s="19" t="s">
        <v>877</v>
      </c>
      <c r="I24" s="19" t="s">
        <v>918</v>
      </c>
      <c r="J24" s="19" t="str">
        <f>IFERROR(IF(_xlfn.XLOOKUP(A24,'01_Компании'!$A$4:$A$103,'01_Компании'!$I$4:$I$103)="","",_xlfn.XLOOKUP(A24,'01_Компании'!$A$4:$A$103,'01_Компании'!$I$4:$I$103)),"")</f>
        <v>Низкий</v>
      </c>
      <c r="K24" s="19" t="str">
        <f>IFERROR(IF(_xlfn.XLOOKUP(A24,'04_Оценка'!$A$4:$A$103,'04_Оценка'!$S$4:$S$103)="","",_xlfn.XLOOKUP(A24,'04_Оценка'!$A$4:$A$103,'04_Оценка'!$S$4:$S$103)),"")</f>
        <v>В работе</v>
      </c>
    </row>
    <row r="25" spans="1:11" ht="27">
      <c r="A25" s="19" t="s">
        <v>102</v>
      </c>
      <c r="B25" s="19" t="str">
        <f>IFERROR(IF(_xlfn.XLOOKUP(A25,'04_Оценка'!$A$4:$A$103,'04_Оценка'!$B$4:$B$103)="","",_xlfn.XLOOKUP(A25,'04_Оценка'!$A$4:$A$103,'04_Оценка'!$B$4:$B$103)),"")</f>
        <v>Microsoft Visio</v>
      </c>
      <c r="C25" s="21">
        <f>IFERROR(AVERAGE('04_Оценка'!D25,'04_Оценка'!F25),"")</f>
        <v>2.5</v>
      </c>
      <c r="D25" s="21">
        <f>IFERROR(AVERAGE('04_Оценка'!E25,'04_Оценка'!J25),"")</f>
        <v>3.5</v>
      </c>
      <c r="E25" s="21">
        <f>IFERROR('04_Оценка'!N25,"")</f>
        <v>2.65</v>
      </c>
      <c r="F25" s="19" t="str">
        <f>IFERROR('04_Оценка'!R25,"")</f>
        <v>Косвенный конкурент / заменитель</v>
      </c>
      <c r="G25" s="19" t="str">
        <f>IF(E25="","",IF(OR(F25="Недостаточно данных",C25="",D25=""),"Нет данных",IF(AND(C25&gt;=4,D25&gt;=4),"Ядро прямой конкуренции",IF(AND(C25&gt;=3,D25&gt;=3),"Близкая альтернатива",IF(C25&gt;=3,"Функциональный заменитель",IF(D25&gt;=3,"Аудиторное пересечение","Периферия"))))))</f>
        <v>Аудиторное пересечение</v>
      </c>
      <c r="H25" s="19" t="s">
        <v>921</v>
      </c>
      <c r="I25" s="19" t="s">
        <v>922</v>
      </c>
      <c r="J25" s="19" t="str">
        <f>IFERROR(IF(_xlfn.XLOOKUP(A25,'01_Компании'!$A$4:$A$103,'01_Компании'!$I$4:$I$103)="","",_xlfn.XLOOKUP(A25,'01_Компании'!$A$4:$A$103,'01_Компании'!$I$4:$I$103)),"")</f>
        <v>Средний</v>
      </c>
      <c r="K25" s="19" t="str">
        <f>IFERROR(IF(_xlfn.XLOOKUP(A25,'04_Оценка'!$A$4:$A$103,'04_Оценка'!$S$4:$S$103)="","",_xlfn.XLOOKUP(A25,'04_Оценка'!$A$4:$A$103,'04_Оценка'!$S$4:$S$103)),"")</f>
        <v>В работе</v>
      </c>
    </row>
    <row r="26" spans="1:11">
      <c r="A26" s="2" t="s">
        <v>103</v>
      </c>
      <c r="B26" s="2" t="str">
        <f>IFERROR(IF(_xlfn.XLOOKUP(A26,'04_Оценка'!$A$4:$A$103,'04_Оценка'!$B$4:$B$103)="","",_xlfn.XLOOKUP(A26,'04_Оценка'!$A$4:$A$103,'04_Оценка'!$B$4:$B$103)),"")</f>
        <v/>
      </c>
      <c r="C26" s="6" t="str">
        <f>IFERROR(AVERAGE('04_Оценка'!D26,'04_Оценка'!F26),"")</f>
        <v/>
      </c>
      <c r="D26" s="6" t="str">
        <f>IFERROR(AVERAGE('04_Оценка'!E26,'04_Оценка'!J26),"")</f>
        <v/>
      </c>
      <c r="E26" s="6" t="str">
        <f>IFERROR('04_Оценка'!N26,"")</f>
        <v/>
      </c>
      <c r="F26" s="2" t="str">
        <f>IFERROR('04_Оценка'!R26,"")</f>
        <v/>
      </c>
      <c r="G26" s="2" t="str">
        <f>IF(E26="","",IF(OR(F26="Недостаточно данных",C26="",D26=""),"Нет данных",IF(AND(C26&gt;=4,D26&gt;=4),"Ядро прямой конкуренции",IF(AND(C26&gt;=3,D26&gt;=3),"Близкая альтернатива",IF(C26&gt;=3,"Функциональный заменитель",IF(D26&gt;=3,"Аудиторное пересечение","Периферия"))))))</f>
        <v/>
      </c>
      <c r="H26" s="2"/>
      <c r="I26" s="2"/>
      <c r="J26" s="2" t="str">
        <f>IFERROR(IF(_xlfn.XLOOKUP(A26,'01_Компании'!$A$4:$A$103,'01_Компании'!$I$4:$I$103)="","",_xlfn.XLOOKUP(A26,'01_Компании'!$A$4:$A$103,'01_Компании'!$I$4:$I$103)),"")</f>
        <v/>
      </c>
      <c r="K26" s="2" t="str">
        <f>IFERROR(IF(_xlfn.XLOOKUP(A26,'04_Оценка'!$A$4:$A$103,'04_Оценка'!$S$4:$S$103)="","",_xlfn.XLOOKUP(A26,'04_Оценка'!$A$4:$A$103,'04_Оценка'!$S$4:$S$103)),"")</f>
        <v/>
      </c>
    </row>
    <row r="27" spans="1:11">
      <c r="A27" s="2" t="s">
        <v>104</v>
      </c>
      <c r="B27" s="2" t="str">
        <f>IFERROR(IF(_xlfn.XLOOKUP(A27,'04_Оценка'!$A$4:$A$103,'04_Оценка'!$B$4:$B$103)="","",_xlfn.XLOOKUP(A27,'04_Оценка'!$A$4:$A$103,'04_Оценка'!$B$4:$B$103)),"")</f>
        <v/>
      </c>
      <c r="C27" s="6" t="str">
        <f>IFERROR(AVERAGE('04_Оценка'!D27,'04_Оценка'!F27),"")</f>
        <v/>
      </c>
      <c r="D27" s="6" t="str">
        <f>IFERROR(AVERAGE('04_Оценка'!E27,'04_Оценка'!J27),"")</f>
        <v/>
      </c>
      <c r="E27" s="6" t="str">
        <f>IFERROR('04_Оценка'!N27,"")</f>
        <v/>
      </c>
      <c r="F27" s="2" t="str">
        <f>IFERROR('04_Оценка'!R27,"")</f>
        <v/>
      </c>
      <c r="G27" s="2" t="str">
        <f>IF(E27="","",IF(OR(F27="Недостаточно данных",C27="",D27=""),"Нет данных",IF(AND(C27&gt;=4,D27&gt;=4),"Ядро прямой конкуренции",IF(AND(C27&gt;=3,D27&gt;=3),"Близкая альтернатива",IF(C27&gt;=3,"Функциональный заменитель",IF(D27&gt;=3,"Аудиторное пересечение","Периферия"))))))</f>
        <v/>
      </c>
      <c r="H27" s="2"/>
      <c r="I27" s="2"/>
      <c r="J27" s="2" t="str">
        <f>IFERROR(IF(_xlfn.XLOOKUP(A27,'01_Компании'!$A$4:$A$103,'01_Компании'!$I$4:$I$103)="","",_xlfn.XLOOKUP(A27,'01_Компании'!$A$4:$A$103,'01_Компании'!$I$4:$I$103)),"")</f>
        <v/>
      </c>
      <c r="K27" s="2" t="str">
        <f>IFERROR(IF(_xlfn.XLOOKUP(A27,'04_Оценка'!$A$4:$A$103,'04_Оценка'!$S$4:$S$103)="","",_xlfn.XLOOKUP(A27,'04_Оценка'!$A$4:$A$103,'04_Оценка'!$S$4:$S$103)),"")</f>
        <v/>
      </c>
    </row>
    <row r="28" spans="1:11">
      <c r="A28" s="2" t="s">
        <v>105</v>
      </c>
      <c r="B28" s="2" t="str">
        <f>IFERROR(IF(_xlfn.XLOOKUP(A28,'04_Оценка'!$A$4:$A$103,'04_Оценка'!$B$4:$B$103)="","",_xlfn.XLOOKUP(A28,'04_Оценка'!$A$4:$A$103,'04_Оценка'!$B$4:$B$103)),"")</f>
        <v/>
      </c>
      <c r="C28" s="6" t="str">
        <f>IFERROR(AVERAGE('04_Оценка'!D28,'04_Оценка'!F28),"")</f>
        <v/>
      </c>
      <c r="D28" s="6" t="str">
        <f>IFERROR(AVERAGE('04_Оценка'!E28,'04_Оценка'!J28),"")</f>
        <v/>
      </c>
      <c r="E28" s="6" t="str">
        <f>IFERROR('04_Оценка'!N28,"")</f>
        <v/>
      </c>
      <c r="F28" s="2" t="str">
        <f>IFERROR('04_Оценка'!R28,"")</f>
        <v/>
      </c>
      <c r="G28" s="2" t="str">
        <f>IF(E28="","",IF(OR(F28="Недостаточно данных",C28="",D28=""),"Нет данных",IF(AND(C28&gt;=4,D28&gt;=4),"Ядро прямой конкуренции",IF(AND(C28&gt;=3,D28&gt;=3),"Близкая альтернатива",IF(C28&gt;=3,"Функциональный заменитель",IF(D28&gt;=3,"Аудиторное пересечение","Периферия"))))))</f>
        <v/>
      </c>
      <c r="H28" s="2"/>
      <c r="I28" s="2"/>
      <c r="J28" s="2" t="str">
        <f>IFERROR(IF(_xlfn.XLOOKUP(A28,'01_Компании'!$A$4:$A$103,'01_Компании'!$I$4:$I$103)="","",_xlfn.XLOOKUP(A28,'01_Компании'!$A$4:$A$103,'01_Компании'!$I$4:$I$103)),"")</f>
        <v/>
      </c>
      <c r="K28" s="2" t="str">
        <f>IFERROR(IF(_xlfn.XLOOKUP(A28,'04_Оценка'!$A$4:$A$103,'04_Оценка'!$S$4:$S$103)="","",_xlfn.XLOOKUP(A28,'04_Оценка'!$A$4:$A$103,'04_Оценка'!$S$4:$S$103)),"")</f>
        <v/>
      </c>
    </row>
    <row r="29" spans="1:11">
      <c r="A29" s="2" t="s">
        <v>106</v>
      </c>
      <c r="B29" s="2" t="str">
        <f>IFERROR(IF(_xlfn.XLOOKUP(A29,'04_Оценка'!$A$4:$A$103,'04_Оценка'!$B$4:$B$103)="","",_xlfn.XLOOKUP(A29,'04_Оценка'!$A$4:$A$103,'04_Оценка'!$B$4:$B$103)),"")</f>
        <v/>
      </c>
      <c r="C29" s="6" t="str">
        <f>IFERROR(AVERAGE('04_Оценка'!D29,'04_Оценка'!F29),"")</f>
        <v/>
      </c>
      <c r="D29" s="6" t="str">
        <f>IFERROR(AVERAGE('04_Оценка'!E29,'04_Оценка'!J29),"")</f>
        <v/>
      </c>
      <c r="E29" s="6" t="str">
        <f>IFERROR('04_Оценка'!N29,"")</f>
        <v/>
      </c>
      <c r="F29" s="2" t="str">
        <f>IFERROR('04_Оценка'!R29,"")</f>
        <v/>
      </c>
      <c r="G29" s="2" t="str">
        <f>IF(E29="","",IF(OR(F29="Недостаточно данных",C29="",D29=""),"Нет данных",IF(AND(C29&gt;=4,D29&gt;=4),"Ядро прямой конкуренции",IF(AND(C29&gt;=3,D29&gt;=3),"Близкая альтернатива",IF(C29&gt;=3,"Функциональный заменитель",IF(D29&gt;=3,"Аудиторное пересечение","Периферия"))))))</f>
        <v/>
      </c>
      <c r="H29" s="2"/>
      <c r="I29" s="2"/>
      <c r="J29" s="2" t="str">
        <f>IFERROR(IF(_xlfn.XLOOKUP(A29,'01_Компании'!$A$4:$A$103,'01_Компании'!$I$4:$I$103)="","",_xlfn.XLOOKUP(A29,'01_Компании'!$A$4:$A$103,'01_Компании'!$I$4:$I$103)),"")</f>
        <v/>
      </c>
      <c r="K29" s="2" t="str">
        <f>IFERROR(IF(_xlfn.XLOOKUP(A29,'04_Оценка'!$A$4:$A$103,'04_Оценка'!$S$4:$S$103)="","",_xlfn.XLOOKUP(A29,'04_Оценка'!$A$4:$A$103,'04_Оценка'!$S$4:$S$103)),"")</f>
        <v/>
      </c>
    </row>
    <row r="30" spans="1:11">
      <c r="A30" s="2" t="s">
        <v>107</v>
      </c>
      <c r="B30" s="2" t="str">
        <f>IFERROR(IF(_xlfn.XLOOKUP(A30,'04_Оценка'!$A$4:$A$103,'04_Оценка'!$B$4:$B$103)="","",_xlfn.XLOOKUP(A30,'04_Оценка'!$A$4:$A$103,'04_Оценка'!$B$4:$B$103)),"")</f>
        <v/>
      </c>
      <c r="C30" s="6" t="str">
        <f>IFERROR(AVERAGE('04_Оценка'!D30,'04_Оценка'!F30),"")</f>
        <v/>
      </c>
      <c r="D30" s="6" t="str">
        <f>IFERROR(AVERAGE('04_Оценка'!E30,'04_Оценка'!J30),"")</f>
        <v/>
      </c>
      <c r="E30" s="6" t="str">
        <f>IFERROR('04_Оценка'!N30,"")</f>
        <v/>
      </c>
      <c r="F30" s="2" t="str">
        <f>IFERROR('04_Оценка'!R30,"")</f>
        <v/>
      </c>
      <c r="G30" s="2" t="str">
        <f>IF(E30="","",IF(OR(F30="Недостаточно данных",C30="",D30=""),"Нет данных",IF(AND(C30&gt;=4,D30&gt;=4),"Ядро прямой конкуренции",IF(AND(C30&gt;=3,D30&gt;=3),"Близкая альтернатива",IF(C30&gt;=3,"Функциональный заменитель",IF(D30&gt;=3,"Аудиторное пересечение","Периферия"))))))</f>
        <v/>
      </c>
      <c r="H30" s="2"/>
      <c r="I30" s="2"/>
      <c r="J30" s="2" t="str">
        <f>IFERROR(IF(_xlfn.XLOOKUP(A30,'01_Компании'!$A$4:$A$103,'01_Компании'!$I$4:$I$103)="","",_xlfn.XLOOKUP(A30,'01_Компании'!$A$4:$A$103,'01_Компании'!$I$4:$I$103)),"")</f>
        <v/>
      </c>
      <c r="K30" s="2" t="str">
        <f>IFERROR(IF(_xlfn.XLOOKUP(A30,'04_Оценка'!$A$4:$A$103,'04_Оценка'!$S$4:$S$103)="","",_xlfn.XLOOKUP(A30,'04_Оценка'!$A$4:$A$103,'04_Оценка'!$S$4:$S$103)),"")</f>
        <v/>
      </c>
    </row>
    <row r="31" spans="1:11">
      <c r="A31" s="2" t="s">
        <v>108</v>
      </c>
      <c r="B31" s="2" t="str">
        <f>IFERROR(IF(_xlfn.XLOOKUP(A31,'04_Оценка'!$A$4:$A$103,'04_Оценка'!$B$4:$B$103)="","",_xlfn.XLOOKUP(A31,'04_Оценка'!$A$4:$A$103,'04_Оценка'!$B$4:$B$103)),"")</f>
        <v/>
      </c>
      <c r="C31" s="6" t="str">
        <f>IFERROR(AVERAGE('04_Оценка'!D31,'04_Оценка'!F31),"")</f>
        <v/>
      </c>
      <c r="D31" s="6" t="str">
        <f>IFERROR(AVERAGE('04_Оценка'!E31,'04_Оценка'!J31),"")</f>
        <v/>
      </c>
      <c r="E31" s="6" t="str">
        <f>IFERROR('04_Оценка'!N31,"")</f>
        <v/>
      </c>
      <c r="F31" s="2" t="str">
        <f>IFERROR('04_Оценка'!R31,"")</f>
        <v/>
      </c>
      <c r="G31" s="2" t="str">
        <f>IF(E31="","",IF(OR(F31="Недостаточно данных",C31="",D31=""),"Нет данных",IF(AND(C31&gt;=4,D31&gt;=4),"Ядро прямой конкуренции",IF(AND(C31&gt;=3,D31&gt;=3),"Близкая альтернатива",IF(C31&gt;=3,"Функциональный заменитель",IF(D31&gt;=3,"Аудиторное пересечение","Периферия"))))))</f>
        <v/>
      </c>
      <c r="H31" s="2"/>
      <c r="I31" s="2"/>
      <c r="J31" s="2" t="str">
        <f>IFERROR(IF(_xlfn.XLOOKUP(A31,'01_Компании'!$A$4:$A$103,'01_Компании'!$I$4:$I$103)="","",_xlfn.XLOOKUP(A31,'01_Компании'!$A$4:$A$103,'01_Компании'!$I$4:$I$103)),"")</f>
        <v/>
      </c>
      <c r="K31" s="2" t="str">
        <f>IFERROR(IF(_xlfn.XLOOKUP(A31,'04_Оценка'!$A$4:$A$103,'04_Оценка'!$S$4:$S$103)="","",_xlfn.XLOOKUP(A31,'04_Оценка'!$A$4:$A$103,'04_Оценка'!$S$4:$S$103)),"")</f>
        <v/>
      </c>
    </row>
    <row r="32" spans="1:11">
      <c r="A32" s="2" t="s">
        <v>109</v>
      </c>
      <c r="B32" s="2" t="str">
        <f>IFERROR(IF(_xlfn.XLOOKUP(A32,'04_Оценка'!$A$4:$A$103,'04_Оценка'!$B$4:$B$103)="","",_xlfn.XLOOKUP(A32,'04_Оценка'!$A$4:$A$103,'04_Оценка'!$B$4:$B$103)),"")</f>
        <v/>
      </c>
      <c r="C32" s="6" t="str">
        <f>IFERROR(AVERAGE('04_Оценка'!D32,'04_Оценка'!F32),"")</f>
        <v/>
      </c>
      <c r="D32" s="6" t="str">
        <f>IFERROR(AVERAGE('04_Оценка'!E32,'04_Оценка'!J32),"")</f>
        <v/>
      </c>
      <c r="E32" s="6" t="str">
        <f>IFERROR('04_Оценка'!N32,"")</f>
        <v/>
      </c>
      <c r="F32" s="2" t="str">
        <f>IFERROR('04_Оценка'!R32,"")</f>
        <v/>
      </c>
      <c r="G32" s="2" t="str">
        <f>IF(E32="","",IF(OR(F32="Недостаточно данных",C32="",D32=""),"Нет данных",IF(AND(C32&gt;=4,D32&gt;=4),"Ядро прямой конкуренции",IF(AND(C32&gt;=3,D32&gt;=3),"Близкая альтернатива",IF(C32&gt;=3,"Функциональный заменитель",IF(D32&gt;=3,"Аудиторное пересечение","Периферия"))))))</f>
        <v/>
      </c>
      <c r="H32" s="2"/>
      <c r="I32" s="2"/>
      <c r="J32" s="2" t="str">
        <f>IFERROR(IF(_xlfn.XLOOKUP(A32,'01_Компании'!$A$4:$A$103,'01_Компании'!$I$4:$I$103)="","",_xlfn.XLOOKUP(A32,'01_Компании'!$A$4:$A$103,'01_Компании'!$I$4:$I$103)),"")</f>
        <v/>
      </c>
      <c r="K32" s="2" t="str">
        <f>IFERROR(IF(_xlfn.XLOOKUP(A32,'04_Оценка'!$A$4:$A$103,'04_Оценка'!$S$4:$S$103)="","",_xlfn.XLOOKUP(A32,'04_Оценка'!$A$4:$A$103,'04_Оценка'!$S$4:$S$103)),"")</f>
        <v/>
      </c>
    </row>
    <row r="33" spans="1:11">
      <c r="A33" s="2" t="s">
        <v>110</v>
      </c>
      <c r="B33" s="2" t="str">
        <f>IFERROR(IF(_xlfn.XLOOKUP(A33,'04_Оценка'!$A$4:$A$103,'04_Оценка'!$B$4:$B$103)="","",_xlfn.XLOOKUP(A33,'04_Оценка'!$A$4:$A$103,'04_Оценка'!$B$4:$B$103)),"")</f>
        <v/>
      </c>
      <c r="C33" s="6" t="str">
        <f>IFERROR(AVERAGE('04_Оценка'!D33,'04_Оценка'!F33),"")</f>
        <v/>
      </c>
      <c r="D33" s="6" t="str">
        <f>IFERROR(AVERAGE('04_Оценка'!E33,'04_Оценка'!J33),"")</f>
        <v/>
      </c>
      <c r="E33" s="6" t="str">
        <f>IFERROR('04_Оценка'!N33,"")</f>
        <v/>
      </c>
      <c r="F33" s="2" t="str">
        <f>IFERROR('04_Оценка'!R33,"")</f>
        <v/>
      </c>
      <c r="G33" s="2" t="str">
        <f>IF(E33="","",IF(OR(F33="Недостаточно данных",C33="",D33=""),"Нет данных",IF(AND(C33&gt;=4,D33&gt;=4),"Ядро прямой конкуренции",IF(AND(C33&gt;=3,D33&gt;=3),"Близкая альтернатива",IF(C33&gt;=3,"Функциональный заменитель",IF(D33&gt;=3,"Аудиторное пересечение","Периферия"))))))</f>
        <v/>
      </c>
      <c r="H33" s="2"/>
      <c r="I33" s="2"/>
      <c r="J33" s="2" t="str">
        <f>IFERROR(IF(_xlfn.XLOOKUP(A33,'01_Компании'!$A$4:$A$103,'01_Компании'!$I$4:$I$103)="","",_xlfn.XLOOKUP(A33,'01_Компании'!$A$4:$A$103,'01_Компании'!$I$4:$I$103)),"")</f>
        <v/>
      </c>
      <c r="K33" s="2" t="str">
        <f>IFERROR(IF(_xlfn.XLOOKUP(A33,'04_Оценка'!$A$4:$A$103,'04_Оценка'!$S$4:$S$103)="","",_xlfn.XLOOKUP(A33,'04_Оценка'!$A$4:$A$103,'04_Оценка'!$S$4:$S$103)),"")</f>
        <v/>
      </c>
    </row>
    <row r="34" spans="1:11">
      <c r="A34" s="2" t="s">
        <v>111</v>
      </c>
      <c r="B34" s="2" t="str">
        <f>IFERROR(IF(_xlfn.XLOOKUP(A34,'04_Оценка'!$A$4:$A$103,'04_Оценка'!$B$4:$B$103)="","",_xlfn.XLOOKUP(A34,'04_Оценка'!$A$4:$A$103,'04_Оценка'!$B$4:$B$103)),"")</f>
        <v/>
      </c>
      <c r="C34" s="6" t="str">
        <f>IFERROR(AVERAGE('04_Оценка'!D34,'04_Оценка'!F34),"")</f>
        <v/>
      </c>
      <c r="D34" s="6" t="str">
        <f>IFERROR(AVERAGE('04_Оценка'!E34,'04_Оценка'!J34),"")</f>
        <v/>
      </c>
      <c r="E34" s="6" t="str">
        <f>IFERROR('04_Оценка'!N34,"")</f>
        <v/>
      </c>
      <c r="F34" s="2" t="str">
        <f>IFERROR('04_Оценка'!R34,"")</f>
        <v/>
      </c>
      <c r="G34" s="2" t="str">
        <f>IF(E34="","",IF(OR(F34="Недостаточно данных",C34="",D34=""),"Нет данных",IF(AND(C34&gt;=4,D34&gt;=4),"Ядро прямой конкуренции",IF(AND(C34&gt;=3,D34&gt;=3),"Близкая альтернатива",IF(C34&gt;=3,"Функциональный заменитель",IF(D34&gt;=3,"Аудиторное пересечение","Периферия"))))))</f>
        <v/>
      </c>
      <c r="H34" s="2"/>
      <c r="I34" s="2"/>
      <c r="J34" s="2" t="str">
        <f>IFERROR(IF(_xlfn.XLOOKUP(A34,'01_Компании'!$A$4:$A$103,'01_Компании'!$I$4:$I$103)="","",_xlfn.XLOOKUP(A34,'01_Компании'!$A$4:$A$103,'01_Компании'!$I$4:$I$103)),"")</f>
        <v/>
      </c>
      <c r="K34" s="2" t="str">
        <f>IFERROR(IF(_xlfn.XLOOKUP(A34,'04_Оценка'!$A$4:$A$103,'04_Оценка'!$S$4:$S$103)="","",_xlfn.XLOOKUP(A34,'04_Оценка'!$A$4:$A$103,'04_Оценка'!$S$4:$S$103)),"")</f>
        <v/>
      </c>
    </row>
    <row r="35" spans="1:11">
      <c r="A35" s="2" t="s">
        <v>112</v>
      </c>
      <c r="B35" s="2" t="str">
        <f>IFERROR(IF(_xlfn.XLOOKUP(A35,'04_Оценка'!$A$4:$A$103,'04_Оценка'!$B$4:$B$103)="","",_xlfn.XLOOKUP(A35,'04_Оценка'!$A$4:$A$103,'04_Оценка'!$B$4:$B$103)),"")</f>
        <v/>
      </c>
      <c r="C35" s="6" t="str">
        <f>IFERROR(AVERAGE('04_Оценка'!D35,'04_Оценка'!F35),"")</f>
        <v/>
      </c>
      <c r="D35" s="6" t="str">
        <f>IFERROR(AVERAGE('04_Оценка'!E35,'04_Оценка'!J35),"")</f>
        <v/>
      </c>
      <c r="E35" s="6" t="str">
        <f>IFERROR('04_Оценка'!N35,"")</f>
        <v/>
      </c>
      <c r="F35" s="2" t="str">
        <f>IFERROR('04_Оценка'!R35,"")</f>
        <v/>
      </c>
      <c r="G35" s="2" t="str">
        <f>IF(E35="","",IF(OR(F35="Недостаточно данных",C35="",D35=""),"Нет данных",IF(AND(C35&gt;=4,D35&gt;=4),"Ядро прямой конкуренции",IF(AND(C35&gt;=3,D35&gt;=3),"Близкая альтернатива",IF(C35&gt;=3,"Функциональный заменитель",IF(D35&gt;=3,"Аудиторное пересечение","Периферия"))))))</f>
        <v/>
      </c>
      <c r="H35" s="2"/>
      <c r="I35" s="2"/>
      <c r="J35" s="2" t="str">
        <f>IFERROR(IF(_xlfn.XLOOKUP(A35,'01_Компании'!$A$4:$A$103,'01_Компании'!$I$4:$I$103)="","",_xlfn.XLOOKUP(A35,'01_Компании'!$A$4:$A$103,'01_Компании'!$I$4:$I$103)),"")</f>
        <v/>
      </c>
      <c r="K35" s="2" t="str">
        <f>IFERROR(IF(_xlfn.XLOOKUP(A35,'04_Оценка'!$A$4:$A$103,'04_Оценка'!$S$4:$S$103)="","",_xlfn.XLOOKUP(A35,'04_Оценка'!$A$4:$A$103,'04_Оценка'!$S$4:$S$103)),"")</f>
        <v/>
      </c>
    </row>
    <row r="36" spans="1:11">
      <c r="A36" s="2" t="s">
        <v>113</v>
      </c>
      <c r="B36" s="2" t="str">
        <f>IFERROR(IF(_xlfn.XLOOKUP(A36,'04_Оценка'!$A$4:$A$103,'04_Оценка'!$B$4:$B$103)="","",_xlfn.XLOOKUP(A36,'04_Оценка'!$A$4:$A$103,'04_Оценка'!$B$4:$B$103)),"")</f>
        <v/>
      </c>
      <c r="C36" s="6" t="str">
        <f>IFERROR(AVERAGE('04_Оценка'!D36,'04_Оценка'!F36),"")</f>
        <v/>
      </c>
      <c r="D36" s="6" t="str">
        <f>IFERROR(AVERAGE('04_Оценка'!E36,'04_Оценка'!J36),"")</f>
        <v/>
      </c>
      <c r="E36" s="6" t="str">
        <f>IFERROR('04_Оценка'!N36,"")</f>
        <v/>
      </c>
      <c r="F36" s="2" t="str">
        <f>IFERROR('04_Оценка'!R36,"")</f>
        <v/>
      </c>
      <c r="G36" s="2" t="str">
        <f>IF(E36="","",IF(OR(F36="Недостаточно данных",C36="",D36=""),"Нет данных",IF(AND(C36&gt;=4,D36&gt;=4),"Ядро прямой конкуренции",IF(AND(C36&gt;=3,D36&gt;=3),"Близкая альтернатива",IF(C36&gt;=3,"Функциональный заменитель",IF(D36&gt;=3,"Аудиторное пересечение","Периферия"))))))</f>
        <v/>
      </c>
      <c r="H36" s="2"/>
      <c r="I36" s="2"/>
      <c r="J36" s="2" t="str">
        <f>IFERROR(IF(_xlfn.XLOOKUP(A36,'01_Компании'!$A$4:$A$103,'01_Компании'!$I$4:$I$103)="","",_xlfn.XLOOKUP(A36,'01_Компании'!$A$4:$A$103,'01_Компании'!$I$4:$I$103)),"")</f>
        <v/>
      </c>
      <c r="K36" s="2" t="str">
        <f>IFERROR(IF(_xlfn.XLOOKUP(A36,'04_Оценка'!$A$4:$A$103,'04_Оценка'!$S$4:$S$103)="","",_xlfn.XLOOKUP(A36,'04_Оценка'!$A$4:$A$103,'04_Оценка'!$S$4:$S$103)),"")</f>
        <v/>
      </c>
    </row>
    <row r="37" spans="1:11">
      <c r="A37" s="2" t="s">
        <v>114</v>
      </c>
      <c r="B37" s="2" t="str">
        <f>IFERROR(IF(_xlfn.XLOOKUP(A37,'04_Оценка'!$A$4:$A$103,'04_Оценка'!$B$4:$B$103)="","",_xlfn.XLOOKUP(A37,'04_Оценка'!$A$4:$A$103,'04_Оценка'!$B$4:$B$103)),"")</f>
        <v/>
      </c>
      <c r="C37" s="6" t="str">
        <f>IFERROR(AVERAGE('04_Оценка'!D37,'04_Оценка'!F37),"")</f>
        <v/>
      </c>
      <c r="D37" s="6" t="str">
        <f>IFERROR(AVERAGE('04_Оценка'!E37,'04_Оценка'!J37),"")</f>
        <v/>
      </c>
      <c r="E37" s="6" t="str">
        <f>IFERROR('04_Оценка'!N37,"")</f>
        <v/>
      </c>
      <c r="F37" s="2" t="str">
        <f>IFERROR('04_Оценка'!R37,"")</f>
        <v/>
      </c>
      <c r="G37" s="2" t="str">
        <f>IF(E37="","",IF(OR(F37="Недостаточно данных",C37="",D37=""),"Нет данных",IF(AND(C37&gt;=4,D37&gt;=4),"Ядро прямой конкуренции",IF(AND(C37&gt;=3,D37&gt;=3),"Близкая альтернатива",IF(C37&gt;=3,"Функциональный заменитель",IF(D37&gt;=3,"Аудиторное пересечение","Периферия"))))))</f>
        <v/>
      </c>
      <c r="H37" s="2"/>
      <c r="I37" s="2"/>
      <c r="J37" s="2" t="str">
        <f>IFERROR(IF(_xlfn.XLOOKUP(A37,'01_Компании'!$A$4:$A$103,'01_Компании'!$I$4:$I$103)="","",_xlfn.XLOOKUP(A37,'01_Компании'!$A$4:$A$103,'01_Компании'!$I$4:$I$103)),"")</f>
        <v/>
      </c>
      <c r="K37" s="2" t="str">
        <f>IFERROR(IF(_xlfn.XLOOKUP(A37,'04_Оценка'!$A$4:$A$103,'04_Оценка'!$S$4:$S$103)="","",_xlfn.XLOOKUP(A37,'04_Оценка'!$A$4:$A$103,'04_Оценка'!$S$4:$S$103)),"")</f>
        <v/>
      </c>
    </row>
    <row r="38" spans="1:11">
      <c r="A38" s="2" t="s">
        <v>115</v>
      </c>
      <c r="B38" s="2" t="str">
        <f>IFERROR(IF(_xlfn.XLOOKUP(A38,'04_Оценка'!$A$4:$A$103,'04_Оценка'!$B$4:$B$103)="","",_xlfn.XLOOKUP(A38,'04_Оценка'!$A$4:$A$103,'04_Оценка'!$B$4:$B$103)),"")</f>
        <v/>
      </c>
      <c r="C38" s="6" t="str">
        <f>IFERROR(AVERAGE('04_Оценка'!D38,'04_Оценка'!F38),"")</f>
        <v/>
      </c>
      <c r="D38" s="6" t="str">
        <f>IFERROR(AVERAGE('04_Оценка'!E38,'04_Оценка'!J38),"")</f>
        <v/>
      </c>
      <c r="E38" s="6" t="str">
        <f>IFERROR('04_Оценка'!N38,"")</f>
        <v/>
      </c>
      <c r="F38" s="2" t="str">
        <f>IFERROR('04_Оценка'!R38,"")</f>
        <v/>
      </c>
      <c r="G38" s="2" t="str">
        <f>IF(E38="","",IF(OR(F38="Недостаточно данных",C38="",D38=""),"Нет данных",IF(AND(C38&gt;=4,D38&gt;=4),"Ядро прямой конкуренции",IF(AND(C38&gt;=3,D38&gt;=3),"Близкая альтернатива",IF(C38&gt;=3,"Функциональный заменитель",IF(D38&gt;=3,"Аудиторное пересечение","Периферия"))))))</f>
        <v/>
      </c>
      <c r="H38" s="2"/>
      <c r="I38" s="2"/>
      <c r="J38" s="2" t="str">
        <f>IFERROR(IF(_xlfn.XLOOKUP(A38,'01_Компании'!$A$4:$A$103,'01_Компании'!$I$4:$I$103)="","",_xlfn.XLOOKUP(A38,'01_Компании'!$A$4:$A$103,'01_Компании'!$I$4:$I$103)),"")</f>
        <v/>
      </c>
      <c r="K38" s="2" t="str">
        <f>IFERROR(IF(_xlfn.XLOOKUP(A38,'04_Оценка'!$A$4:$A$103,'04_Оценка'!$S$4:$S$103)="","",_xlfn.XLOOKUP(A38,'04_Оценка'!$A$4:$A$103,'04_Оценка'!$S$4:$S$103)),"")</f>
        <v/>
      </c>
    </row>
    <row r="39" spans="1:11">
      <c r="A39" s="2" t="s">
        <v>116</v>
      </c>
      <c r="B39" s="2" t="str">
        <f>IFERROR(IF(_xlfn.XLOOKUP(A39,'04_Оценка'!$A$4:$A$103,'04_Оценка'!$B$4:$B$103)="","",_xlfn.XLOOKUP(A39,'04_Оценка'!$A$4:$A$103,'04_Оценка'!$B$4:$B$103)),"")</f>
        <v/>
      </c>
      <c r="C39" s="6" t="str">
        <f>IFERROR(AVERAGE('04_Оценка'!D39,'04_Оценка'!F39),"")</f>
        <v/>
      </c>
      <c r="D39" s="6" t="str">
        <f>IFERROR(AVERAGE('04_Оценка'!E39,'04_Оценка'!J39),"")</f>
        <v/>
      </c>
      <c r="E39" s="6" t="str">
        <f>IFERROR('04_Оценка'!N39,"")</f>
        <v/>
      </c>
      <c r="F39" s="2" t="str">
        <f>IFERROR('04_Оценка'!R39,"")</f>
        <v/>
      </c>
      <c r="G39" s="2" t="str">
        <f>IF(E39="","",IF(OR(F39="Недостаточно данных",C39="",D39=""),"Нет данных",IF(AND(C39&gt;=4,D39&gt;=4),"Ядро прямой конкуренции",IF(AND(C39&gt;=3,D39&gt;=3),"Близкая альтернатива",IF(C39&gt;=3,"Функциональный заменитель",IF(D39&gt;=3,"Аудиторное пересечение","Периферия"))))))</f>
        <v/>
      </c>
      <c r="H39" s="2"/>
      <c r="I39" s="2"/>
      <c r="J39" s="2" t="str">
        <f>IFERROR(IF(_xlfn.XLOOKUP(A39,'01_Компании'!$A$4:$A$103,'01_Компании'!$I$4:$I$103)="","",_xlfn.XLOOKUP(A39,'01_Компании'!$A$4:$A$103,'01_Компании'!$I$4:$I$103)),"")</f>
        <v/>
      </c>
      <c r="K39" s="2" t="str">
        <f>IFERROR(IF(_xlfn.XLOOKUP(A39,'04_Оценка'!$A$4:$A$103,'04_Оценка'!$S$4:$S$103)="","",_xlfn.XLOOKUP(A39,'04_Оценка'!$A$4:$A$103,'04_Оценка'!$S$4:$S$103)),"")</f>
        <v/>
      </c>
    </row>
    <row r="40" spans="1:11">
      <c r="A40" s="2" t="s">
        <v>117</v>
      </c>
      <c r="B40" s="2" t="str">
        <f>IFERROR(IF(_xlfn.XLOOKUP(A40,'04_Оценка'!$A$4:$A$103,'04_Оценка'!$B$4:$B$103)="","",_xlfn.XLOOKUP(A40,'04_Оценка'!$A$4:$A$103,'04_Оценка'!$B$4:$B$103)),"")</f>
        <v/>
      </c>
      <c r="C40" s="6" t="str">
        <f>IFERROR(AVERAGE('04_Оценка'!D40,'04_Оценка'!F40),"")</f>
        <v/>
      </c>
      <c r="D40" s="6" t="str">
        <f>IFERROR(AVERAGE('04_Оценка'!E40,'04_Оценка'!J40),"")</f>
        <v/>
      </c>
      <c r="E40" s="6" t="str">
        <f>IFERROR('04_Оценка'!N40,"")</f>
        <v/>
      </c>
      <c r="F40" s="2" t="str">
        <f>IFERROR('04_Оценка'!R40,"")</f>
        <v/>
      </c>
      <c r="G40" s="2" t="str">
        <f>IF(E40="","",IF(OR(F40="Недостаточно данных",C40="",D40=""),"Нет данных",IF(AND(C40&gt;=4,D40&gt;=4),"Ядро прямой конкуренции",IF(AND(C40&gt;=3,D40&gt;=3),"Близкая альтернатива",IF(C40&gt;=3,"Функциональный заменитель",IF(D40&gt;=3,"Аудиторное пересечение","Периферия"))))))</f>
        <v/>
      </c>
      <c r="H40" s="2"/>
      <c r="I40" s="2"/>
      <c r="J40" s="2" t="str">
        <f>IFERROR(IF(_xlfn.XLOOKUP(A40,'01_Компании'!$A$4:$A$103,'01_Компании'!$I$4:$I$103)="","",_xlfn.XLOOKUP(A40,'01_Компании'!$A$4:$A$103,'01_Компании'!$I$4:$I$103)),"")</f>
        <v/>
      </c>
      <c r="K40" s="2" t="str">
        <f>IFERROR(IF(_xlfn.XLOOKUP(A40,'04_Оценка'!$A$4:$A$103,'04_Оценка'!$S$4:$S$103)="","",_xlfn.XLOOKUP(A40,'04_Оценка'!$A$4:$A$103,'04_Оценка'!$S$4:$S$103)),"")</f>
        <v/>
      </c>
    </row>
    <row r="41" spans="1:11">
      <c r="A41" s="2" t="s">
        <v>118</v>
      </c>
      <c r="B41" s="2" t="str">
        <f>IFERROR(IF(_xlfn.XLOOKUP(A41,'04_Оценка'!$A$4:$A$103,'04_Оценка'!$B$4:$B$103)="","",_xlfn.XLOOKUP(A41,'04_Оценка'!$A$4:$A$103,'04_Оценка'!$B$4:$B$103)),"")</f>
        <v/>
      </c>
      <c r="C41" s="6" t="str">
        <f>IFERROR(AVERAGE('04_Оценка'!D41,'04_Оценка'!F41),"")</f>
        <v/>
      </c>
      <c r="D41" s="6" t="str">
        <f>IFERROR(AVERAGE('04_Оценка'!E41,'04_Оценка'!J41),"")</f>
        <v/>
      </c>
      <c r="E41" s="6" t="str">
        <f>IFERROR('04_Оценка'!N41,"")</f>
        <v/>
      </c>
      <c r="F41" s="2" t="str">
        <f>IFERROR('04_Оценка'!R41,"")</f>
        <v/>
      </c>
      <c r="G41" s="2" t="str">
        <f>IF(E41="","",IF(OR(F41="Недостаточно данных",C41="",D41=""),"Нет данных",IF(AND(C41&gt;=4,D41&gt;=4),"Ядро прямой конкуренции",IF(AND(C41&gt;=3,D41&gt;=3),"Близкая альтернатива",IF(C41&gt;=3,"Функциональный заменитель",IF(D41&gt;=3,"Аудиторное пересечение","Периферия"))))))</f>
        <v/>
      </c>
      <c r="H41" s="2"/>
      <c r="I41" s="2"/>
      <c r="J41" s="2" t="str">
        <f>IFERROR(IF(_xlfn.XLOOKUP(A41,'01_Компании'!$A$4:$A$103,'01_Компании'!$I$4:$I$103)="","",_xlfn.XLOOKUP(A41,'01_Компании'!$A$4:$A$103,'01_Компании'!$I$4:$I$103)),"")</f>
        <v/>
      </c>
      <c r="K41" s="2" t="str">
        <f>IFERROR(IF(_xlfn.XLOOKUP(A41,'04_Оценка'!$A$4:$A$103,'04_Оценка'!$S$4:$S$103)="","",_xlfn.XLOOKUP(A41,'04_Оценка'!$A$4:$A$103,'04_Оценка'!$S$4:$S$103)),"")</f>
        <v/>
      </c>
    </row>
    <row r="42" spans="1:11">
      <c r="A42" s="2" t="s">
        <v>119</v>
      </c>
      <c r="B42" s="2" t="str">
        <f>IFERROR(IF(_xlfn.XLOOKUP(A42,'04_Оценка'!$A$4:$A$103,'04_Оценка'!$B$4:$B$103)="","",_xlfn.XLOOKUP(A42,'04_Оценка'!$A$4:$A$103,'04_Оценка'!$B$4:$B$103)),"")</f>
        <v/>
      </c>
      <c r="C42" s="6" t="str">
        <f>IFERROR(AVERAGE('04_Оценка'!D42,'04_Оценка'!F42),"")</f>
        <v/>
      </c>
      <c r="D42" s="6" t="str">
        <f>IFERROR(AVERAGE('04_Оценка'!E42,'04_Оценка'!J42),"")</f>
        <v/>
      </c>
      <c r="E42" s="6" t="str">
        <f>IFERROR('04_Оценка'!N42,"")</f>
        <v/>
      </c>
      <c r="F42" s="2" t="str">
        <f>IFERROR('04_Оценка'!R42,"")</f>
        <v/>
      </c>
      <c r="G42" s="2" t="str">
        <f>IF(E42="","",IF(OR(F42="Недостаточно данных",C42="",D42=""),"Нет данных",IF(AND(C42&gt;=4,D42&gt;=4),"Ядро прямой конкуренции",IF(AND(C42&gt;=3,D42&gt;=3),"Близкая альтернатива",IF(C42&gt;=3,"Функциональный заменитель",IF(D42&gt;=3,"Аудиторное пересечение","Периферия"))))))</f>
        <v/>
      </c>
      <c r="H42" s="2"/>
      <c r="I42" s="2"/>
      <c r="J42" s="2" t="str">
        <f>IFERROR(IF(_xlfn.XLOOKUP(A42,'01_Компании'!$A$4:$A$103,'01_Компании'!$I$4:$I$103)="","",_xlfn.XLOOKUP(A42,'01_Компании'!$A$4:$A$103,'01_Компании'!$I$4:$I$103)),"")</f>
        <v/>
      </c>
      <c r="K42" s="2" t="str">
        <f>IFERROR(IF(_xlfn.XLOOKUP(A42,'04_Оценка'!$A$4:$A$103,'04_Оценка'!$S$4:$S$103)="","",_xlfn.XLOOKUP(A42,'04_Оценка'!$A$4:$A$103,'04_Оценка'!$S$4:$S$103)),"")</f>
        <v/>
      </c>
    </row>
    <row r="43" spans="1:11">
      <c r="A43" s="2" t="s">
        <v>120</v>
      </c>
      <c r="B43" s="2" t="str">
        <f>IFERROR(IF(_xlfn.XLOOKUP(A43,'04_Оценка'!$A$4:$A$103,'04_Оценка'!$B$4:$B$103)="","",_xlfn.XLOOKUP(A43,'04_Оценка'!$A$4:$A$103,'04_Оценка'!$B$4:$B$103)),"")</f>
        <v/>
      </c>
      <c r="C43" s="6" t="str">
        <f>IFERROR(AVERAGE('04_Оценка'!D43,'04_Оценка'!F43),"")</f>
        <v/>
      </c>
      <c r="D43" s="6" t="str">
        <f>IFERROR(AVERAGE('04_Оценка'!E43,'04_Оценка'!J43),"")</f>
        <v/>
      </c>
      <c r="E43" s="6" t="str">
        <f>IFERROR('04_Оценка'!N43,"")</f>
        <v/>
      </c>
      <c r="F43" s="2" t="str">
        <f>IFERROR('04_Оценка'!R43,"")</f>
        <v/>
      </c>
      <c r="G43" s="2" t="str">
        <f>IF(E43="","",IF(OR(F43="Недостаточно данных",C43="",D43=""),"Нет данных",IF(AND(C43&gt;=4,D43&gt;=4),"Ядро прямой конкуренции",IF(AND(C43&gt;=3,D43&gt;=3),"Близкая альтернатива",IF(C43&gt;=3,"Функциональный заменитель",IF(D43&gt;=3,"Аудиторное пересечение","Периферия"))))))</f>
        <v/>
      </c>
      <c r="H43" s="2"/>
      <c r="I43" s="2"/>
      <c r="J43" s="2" t="str">
        <f>IFERROR(IF(_xlfn.XLOOKUP(A43,'01_Компании'!$A$4:$A$103,'01_Компании'!$I$4:$I$103)="","",_xlfn.XLOOKUP(A43,'01_Компании'!$A$4:$A$103,'01_Компании'!$I$4:$I$103)),"")</f>
        <v/>
      </c>
      <c r="K43" s="2" t="str">
        <f>IFERROR(IF(_xlfn.XLOOKUP(A43,'04_Оценка'!$A$4:$A$103,'04_Оценка'!$S$4:$S$103)="","",_xlfn.XLOOKUP(A43,'04_Оценка'!$A$4:$A$103,'04_Оценка'!$S$4:$S$103)),"")</f>
        <v/>
      </c>
    </row>
    <row r="44" spans="1:11">
      <c r="A44" s="2" t="s">
        <v>121</v>
      </c>
      <c r="B44" s="2" t="str">
        <f>IFERROR(IF(_xlfn.XLOOKUP(A44,'04_Оценка'!$A$4:$A$103,'04_Оценка'!$B$4:$B$103)="","",_xlfn.XLOOKUP(A44,'04_Оценка'!$A$4:$A$103,'04_Оценка'!$B$4:$B$103)),"")</f>
        <v/>
      </c>
      <c r="C44" s="6" t="str">
        <f>IFERROR(AVERAGE('04_Оценка'!D44,'04_Оценка'!F44),"")</f>
        <v/>
      </c>
      <c r="D44" s="6" t="str">
        <f>IFERROR(AVERAGE('04_Оценка'!E44,'04_Оценка'!J44),"")</f>
        <v/>
      </c>
      <c r="E44" s="6" t="str">
        <f>IFERROR('04_Оценка'!N44,"")</f>
        <v/>
      </c>
      <c r="F44" s="2" t="str">
        <f>IFERROR('04_Оценка'!R44,"")</f>
        <v/>
      </c>
      <c r="G44" s="2" t="str">
        <f>IF(E44="","",IF(OR(F44="Недостаточно данных",C44="",D44=""),"Нет данных",IF(AND(C44&gt;=4,D44&gt;=4),"Ядро прямой конкуренции",IF(AND(C44&gt;=3,D44&gt;=3),"Близкая альтернатива",IF(C44&gt;=3,"Функциональный заменитель",IF(D44&gt;=3,"Аудиторное пересечение","Периферия"))))))</f>
        <v/>
      </c>
      <c r="H44" s="2"/>
      <c r="I44" s="2"/>
      <c r="J44" s="2" t="str">
        <f>IFERROR(IF(_xlfn.XLOOKUP(A44,'01_Компании'!$A$4:$A$103,'01_Компании'!$I$4:$I$103)="","",_xlfn.XLOOKUP(A44,'01_Компании'!$A$4:$A$103,'01_Компании'!$I$4:$I$103)),"")</f>
        <v/>
      </c>
      <c r="K44" s="2" t="str">
        <f>IFERROR(IF(_xlfn.XLOOKUP(A44,'04_Оценка'!$A$4:$A$103,'04_Оценка'!$S$4:$S$103)="","",_xlfn.XLOOKUP(A44,'04_Оценка'!$A$4:$A$103,'04_Оценка'!$S$4:$S$103)),"")</f>
        <v/>
      </c>
    </row>
    <row r="45" spans="1:11">
      <c r="A45" s="2" t="s">
        <v>122</v>
      </c>
      <c r="B45" s="2" t="str">
        <f>IFERROR(IF(_xlfn.XLOOKUP(A45,'04_Оценка'!$A$4:$A$103,'04_Оценка'!$B$4:$B$103)="","",_xlfn.XLOOKUP(A45,'04_Оценка'!$A$4:$A$103,'04_Оценка'!$B$4:$B$103)),"")</f>
        <v/>
      </c>
      <c r="C45" s="6" t="str">
        <f>IFERROR(AVERAGE('04_Оценка'!D45,'04_Оценка'!F45),"")</f>
        <v/>
      </c>
      <c r="D45" s="6" t="str">
        <f>IFERROR(AVERAGE('04_Оценка'!E45,'04_Оценка'!J45),"")</f>
        <v/>
      </c>
      <c r="E45" s="6" t="str">
        <f>IFERROR('04_Оценка'!N45,"")</f>
        <v/>
      </c>
      <c r="F45" s="2" t="str">
        <f>IFERROR('04_Оценка'!R45,"")</f>
        <v/>
      </c>
      <c r="G45" s="2" t="str">
        <f>IF(E45="","",IF(OR(F45="Недостаточно данных",C45="",D45=""),"Нет данных",IF(AND(C45&gt;=4,D45&gt;=4),"Ядро прямой конкуренции",IF(AND(C45&gt;=3,D45&gt;=3),"Близкая альтернатива",IF(C45&gt;=3,"Функциональный заменитель",IF(D45&gt;=3,"Аудиторное пересечение","Периферия"))))))</f>
        <v/>
      </c>
      <c r="H45" s="2"/>
      <c r="I45" s="2"/>
      <c r="J45" s="2" t="str">
        <f>IFERROR(IF(_xlfn.XLOOKUP(A45,'01_Компании'!$A$4:$A$103,'01_Компании'!$I$4:$I$103)="","",_xlfn.XLOOKUP(A45,'01_Компании'!$A$4:$A$103,'01_Компании'!$I$4:$I$103)),"")</f>
        <v/>
      </c>
      <c r="K45" s="2" t="str">
        <f>IFERROR(IF(_xlfn.XLOOKUP(A45,'04_Оценка'!$A$4:$A$103,'04_Оценка'!$S$4:$S$103)="","",_xlfn.XLOOKUP(A45,'04_Оценка'!$A$4:$A$103,'04_Оценка'!$S$4:$S$103)),"")</f>
        <v/>
      </c>
    </row>
    <row r="46" spans="1:11">
      <c r="A46" s="2" t="s">
        <v>123</v>
      </c>
      <c r="B46" s="2" t="str">
        <f>IFERROR(IF(_xlfn.XLOOKUP(A46,'04_Оценка'!$A$4:$A$103,'04_Оценка'!$B$4:$B$103)="","",_xlfn.XLOOKUP(A46,'04_Оценка'!$A$4:$A$103,'04_Оценка'!$B$4:$B$103)),"")</f>
        <v/>
      </c>
      <c r="C46" s="6" t="str">
        <f>IFERROR(AVERAGE('04_Оценка'!D46,'04_Оценка'!F46),"")</f>
        <v/>
      </c>
      <c r="D46" s="6" t="str">
        <f>IFERROR(AVERAGE('04_Оценка'!E46,'04_Оценка'!J46),"")</f>
        <v/>
      </c>
      <c r="E46" s="6" t="str">
        <f>IFERROR('04_Оценка'!N46,"")</f>
        <v/>
      </c>
      <c r="F46" s="2" t="str">
        <f>IFERROR('04_Оценка'!R46,"")</f>
        <v/>
      </c>
      <c r="G46" s="2" t="str">
        <f>IF(E46="","",IF(OR(F46="Недостаточно данных",C46="",D46=""),"Нет данных",IF(AND(C46&gt;=4,D46&gt;=4),"Ядро прямой конкуренции",IF(AND(C46&gt;=3,D46&gt;=3),"Близкая альтернатива",IF(C46&gt;=3,"Функциональный заменитель",IF(D46&gt;=3,"Аудиторное пересечение","Периферия"))))))</f>
        <v/>
      </c>
      <c r="H46" s="2"/>
      <c r="I46" s="2"/>
      <c r="J46" s="2" t="str">
        <f>IFERROR(IF(_xlfn.XLOOKUP(A46,'01_Компании'!$A$4:$A$103,'01_Компании'!$I$4:$I$103)="","",_xlfn.XLOOKUP(A46,'01_Компании'!$A$4:$A$103,'01_Компании'!$I$4:$I$103)),"")</f>
        <v/>
      </c>
      <c r="K46" s="2" t="str">
        <f>IFERROR(IF(_xlfn.XLOOKUP(A46,'04_Оценка'!$A$4:$A$103,'04_Оценка'!$S$4:$S$103)="","",_xlfn.XLOOKUP(A46,'04_Оценка'!$A$4:$A$103,'04_Оценка'!$S$4:$S$103)),"")</f>
        <v/>
      </c>
    </row>
    <row r="47" spans="1:11">
      <c r="A47" s="2" t="s">
        <v>124</v>
      </c>
      <c r="B47" s="2" t="str">
        <f>IFERROR(IF(_xlfn.XLOOKUP(A47,'04_Оценка'!$A$4:$A$103,'04_Оценка'!$B$4:$B$103)="","",_xlfn.XLOOKUP(A47,'04_Оценка'!$A$4:$A$103,'04_Оценка'!$B$4:$B$103)),"")</f>
        <v/>
      </c>
      <c r="C47" s="6" t="str">
        <f>IFERROR(AVERAGE('04_Оценка'!D47,'04_Оценка'!F47),"")</f>
        <v/>
      </c>
      <c r="D47" s="6" t="str">
        <f>IFERROR(AVERAGE('04_Оценка'!E47,'04_Оценка'!J47),"")</f>
        <v/>
      </c>
      <c r="E47" s="6" t="str">
        <f>IFERROR('04_Оценка'!N47,"")</f>
        <v/>
      </c>
      <c r="F47" s="2" t="str">
        <f>IFERROR('04_Оценка'!R47,"")</f>
        <v/>
      </c>
      <c r="G47" s="2" t="str">
        <f>IF(E47="","",IF(OR(F47="Недостаточно данных",C47="",D47=""),"Нет данных",IF(AND(C47&gt;=4,D47&gt;=4),"Ядро прямой конкуренции",IF(AND(C47&gt;=3,D47&gt;=3),"Близкая альтернатива",IF(C47&gt;=3,"Функциональный заменитель",IF(D47&gt;=3,"Аудиторное пересечение","Периферия"))))))</f>
        <v/>
      </c>
      <c r="H47" s="2"/>
      <c r="I47" s="2"/>
      <c r="J47" s="2" t="str">
        <f>IFERROR(IF(_xlfn.XLOOKUP(A47,'01_Компании'!$A$4:$A$103,'01_Компании'!$I$4:$I$103)="","",_xlfn.XLOOKUP(A47,'01_Компании'!$A$4:$A$103,'01_Компании'!$I$4:$I$103)),"")</f>
        <v/>
      </c>
      <c r="K47" s="2" t="str">
        <f>IFERROR(IF(_xlfn.XLOOKUP(A47,'04_Оценка'!$A$4:$A$103,'04_Оценка'!$S$4:$S$103)="","",_xlfn.XLOOKUP(A47,'04_Оценка'!$A$4:$A$103,'04_Оценка'!$S$4:$S$103)),"")</f>
        <v/>
      </c>
    </row>
    <row r="48" spans="1:11">
      <c r="A48" s="2" t="s">
        <v>125</v>
      </c>
      <c r="B48" s="2" t="str">
        <f>IFERROR(IF(_xlfn.XLOOKUP(A48,'04_Оценка'!$A$4:$A$103,'04_Оценка'!$B$4:$B$103)="","",_xlfn.XLOOKUP(A48,'04_Оценка'!$A$4:$A$103,'04_Оценка'!$B$4:$B$103)),"")</f>
        <v/>
      </c>
      <c r="C48" s="6" t="str">
        <f>IFERROR(AVERAGE('04_Оценка'!D48,'04_Оценка'!F48),"")</f>
        <v/>
      </c>
      <c r="D48" s="6" t="str">
        <f>IFERROR(AVERAGE('04_Оценка'!E48,'04_Оценка'!J48),"")</f>
        <v/>
      </c>
      <c r="E48" s="6" t="str">
        <f>IFERROR('04_Оценка'!N48,"")</f>
        <v/>
      </c>
      <c r="F48" s="2" t="str">
        <f>IFERROR('04_Оценка'!R48,"")</f>
        <v/>
      </c>
      <c r="G48" s="2" t="str">
        <f>IF(E48="","",IF(OR(F48="Недостаточно данных",C48="",D48=""),"Нет данных",IF(AND(C48&gt;=4,D48&gt;=4),"Ядро прямой конкуренции",IF(AND(C48&gt;=3,D48&gt;=3),"Близкая альтернатива",IF(C48&gt;=3,"Функциональный заменитель",IF(D48&gt;=3,"Аудиторное пересечение","Периферия"))))))</f>
        <v/>
      </c>
      <c r="H48" s="2"/>
      <c r="I48" s="2"/>
      <c r="J48" s="2" t="str">
        <f>IFERROR(IF(_xlfn.XLOOKUP(A48,'01_Компании'!$A$4:$A$103,'01_Компании'!$I$4:$I$103)="","",_xlfn.XLOOKUP(A48,'01_Компании'!$A$4:$A$103,'01_Компании'!$I$4:$I$103)),"")</f>
        <v/>
      </c>
      <c r="K48" s="2" t="str">
        <f>IFERROR(IF(_xlfn.XLOOKUP(A48,'04_Оценка'!$A$4:$A$103,'04_Оценка'!$S$4:$S$103)="","",_xlfn.XLOOKUP(A48,'04_Оценка'!$A$4:$A$103,'04_Оценка'!$S$4:$S$103)),"")</f>
        <v/>
      </c>
    </row>
    <row r="49" spans="1:11">
      <c r="A49" s="2" t="s">
        <v>126</v>
      </c>
      <c r="B49" s="2" t="str">
        <f>IFERROR(IF(_xlfn.XLOOKUP(A49,'04_Оценка'!$A$4:$A$103,'04_Оценка'!$B$4:$B$103)="","",_xlfn.XLOOKUP(A49,'04_Оценка'!$A$4:$A$103,'04_Оценка'!$B$4:$B$103)),"")</f>
        <v/>
      </c>
      <c r="C49" s="6" t="str">
        <f>IFERROR(AVERAGE('04_Оценка'!D49,'04_Оценка'!F49),"")</f>
        <v/>
      </c>
      <c r="D49" s="6" t="str">
        <f>IFERROR(AVERAGE('04_Оценка'!E49,'04_Оценка'!J49),"")</f>
        <v/>
      </c>
      <c r="E49" s="6" t="str">
        <f>IFERROR('04_Оценка'!N49,"")</f>
        <v/>
      </c>
      <c r="F49" s="2" t="str">
        <f>IFERROR('04_Оценка'!R49,"")</f>
        <v/>
      </c>
      <c r="G49" s="2" t="str">
        <f>IF(E49="","",IF(OR(F49="Недостаточно данных",C49="",D49=""),"Нет данных",IF(AND(C49&gt;=4,D49&gt;=4),"Ядро прямой конкуренции",IF(AND(C49&gt;=3,D49&gt;=3),"Близкая альтернатива",IF(C49&gt;=3,"Функциональный заменитель",IF(D49&gt;=3,"Аудиторное пересечение","Периферия"))))))</f>
        <v/>
      </c>
      <c r="H49" s="2"/>
      <c r="I49" s="2"/>
      <c r="J49" s="2" t="str">
        <f>IFERROR(IF(_xlfn.XLOOKUP(A49,'01_Компании'!$A$4:$A$103,'01_Компании'!$I$4:$I$103)="","",_xlfn.XLOOKUP(A49,'01_Компании'!$A$4:$A$103,'01_Компании'!$I$4:$I$103)),"")</f>
        <v/>
      </c>
      <c r="K49" s="2" t="str">
        <f>IFERROR(IF(_xlfn.XLOOKUP(A49,'04_Оценка'!$A$4:$A$103,'04_Оценка'!$S$4:$S$103)="","",_xlfn.XLOOKUP(A49,'04_Оценка'!$A$4:$A$103,'04_Оценка'!$S$4:$S$103)),"")</f>
        <v/>
      </c>
    </row>
    <row r="50" spans="1:11">
      <c r="A50" s="2" t="s">
        <v>127</v>
      </c>
      <c r="B50" s="2" t="str">
        <f>IFERROR(IF(_xlfn.XLOOKUP(A50,'04_Оценка'!$A$4:$A$103,'04_Оценка'!$B$4:$B$103)="","",_xlfn.XLOOKUP(A50,'04_Оценка'!$A$4:$A$103,'04_Оценка'!$B$4:$B$103)),"")</f>
        <v/>
      </c>
      <c r="C50" s="6" t="str">
        <f>IFERROR(AVERAGE('04_Оценка'!D50,'04_Оценка'!F50),"")</f>
        <v/>
      </c>
      <c r="D50" s="6" t="str">
        <f>IFERROR(AVERAGE('04_Оценка'!E50,'04_Оценка'!J50),"")</f>
        <v/>
      </c>
      <c r="E50" s="6" t="str">
        <f>IFERROR('04_Оценка'!N50,"")</f>
        <v/>
      </c>
      <c r="F50" s="2" t="str">
        <f>IFERROR('04_Оценка'!R50,"")</f>
        <v/>
      </c>
      <c r="G50" s="2" t="str">
        <f>IF(E50="","",IF(OR(F50="Недостаточно данных",C50="",D50=""),"Нет данных",IF(AND(C50&gt;=4,D50&gt;=4),"Ядро прямой конкуренции",IF(AND(C50&gt;=3,D50&gt;=3),"Близкая альтернатива",IF(C50&gt;=3,"Функциональный заменитель",IF(D50&gt;=3,"Аудиторное пересечение","Периферия"))))))</f>
        <v/>
      </c>
      <c r="H50" s="2"/>
      <c r="I50" s="2"/>
      <c r="J50" s="2" t="str">
        <f>IFERROR(IF(_xlfn.XLOOKUP(A50,'01_Компании'!$A$4:$A$103,'01_Компании'!$I$4:$I$103)="","",_xlfn.XLOOKUP(A50,'01_Компании'!$A$4:$A$103,'01_Компании'!$I$4:$I$103)),"")</f>
        <v/>
      </c>
      <c r="K50" s="2" t="str">
        <f>IFERROR(IF(_xlfn.XLOOKUP(A50,'04_Оценка'!$A$4:$A$103,'04_Оценка'!$S$4:$S$103)="","",_xlfn.XLOOKUP(A50,'04_Оценка'!$A$4:$A$103,'04_Оценка'!$S$4:$S$103)),"")</f>
        <v/>
      </c>
    </row>
    <row r="51" spans="1:11">
      <c r="A51" s="2" t="s">
        <v>128</v>
      </c>
      <c r="B51" s="2" t="str">
        <f>IFERROR(IF(_xlfn.XLOOKUP(A51,'04_Оценка'!$A$4:$A$103,'04_Оценка'!$B$4:$B$103)="","",_xlfn.XLOOKUP(A51,'04_Оценка'!$A$4:$A$103,'04_Оценка'!$B$4:$B$103)),"")</f>
        <v/>
      </c>
      <c r="C51" s="6" t="str">
        <f>IFERROR(AVERAGE('04_Оценка'!D51,'04_Оценка'!F51),"")</f>
        <v/>
      </c>
      <c r="D51" s="6" t="str">
        <f>IFERROR(AVERAGE('04_Оценка'!E51,'04_Оценка'!J51),"")</f>
        <v/>
      </c>
      <c r="E51" s="6" t="str">
        <f>IFERROR('04_Оценка'!N51,"")</f>
        <v/>
      </c>
      <c r="F51" s="2" t="str">
        <f>IFERROR('04_Оценка'!R51,"")</f>
        <v/>
      </c>
      <c r="G51" s="2" t="str">
        <f>IF(E51="","",IF(OR(F51="Недостаточно данных",C51="",D51=""),"Нет данных",IF(AND(C51&gt;=4,D51&gt;=4),"Ядро прямой конкуренции",IF(AND(C51&gt;=3,D51&gt;=3),"Близкая альтернатива",IF(C51&gt;=3,"Функциональный заменитель",IF(D51&gt;=3,"Аудиторное пересечение","Периферия"))))))</f>
        <v/>
      </c>
      <c r="H51" s="2"/>
      <c r="I51" s="2"/>
      <c r="J51" s="2" t="str">
        <f>IFERROR(IF(_xlfn.XLOOKUP(A51,'01_Компании'!$A$4:$A$103,'01_Компании'!$I$4:$I$103)="","",_xlfn.XLOOKUP(A51,'01_Компании'!$A$4:$A$103,'01_Компании'!$I$4:$I$103)),"")</f>
        <v/>
      </c>
      <c r="K51" s="2" t="str">
        <f>IFERROR(IF(_xlfn.XLOOKUP(A51,'04_Оценка'!$A$4:$A$103,'04_Оценка'!$S$4:$S$103)="","",_xlfn.XLOOKUP(A51,'04_Оценка'!$A$4:$A$103,'04_Оценка'!$S$4:$S$103)),"")</f>
        <v/>
      </c>
    </row>
    <row r="52" spans="1:11">
      <c r="A52" s="2" t="s">
        <v>129</v>
      </c>
      <c r="B52" s="2" t="str">
        <f>IFERROR(IF(_xlfn.XLOOKUP(A52,'04_Оценка'!$A$4:$A$103,'04_Оценка'!$B$4:$B$103)="","",_xlfn.XLOOKUP(A52,'04_Оценка'!$A$4:$A$103,'04_Оценка'!$B$4:$B$103)),"")</f>
        <v/>
      </c>
      <c r="C52" s="6" t="str">
        <f>IFERROR(AVERAGE('04_Оценка'!D52,'04_Оценка'!F52),"")</f>
        <v/>
      </c>
      <c r="D52" s="6" t="str">
        <f>IFERROR(AVERAGE('04_Оценка'!E52,'04_Оценка'!J52),"")</f>
        <v/>
      </c>
      <c r="E52" s="6" t="str">
        <f>IFERROR('04_Оценка'!N52,"")</f>
        <v/>
      </c>
      <c r="F52" s="2" t="str">
        <f>IFERROR('04_Оценка'!R52,"")</f>
        <v/>
      </c>
      <c r="G52" s="2" t="str">
        <f>IF(E52="","",IF(OR(F52="Недостаточно данных",C52="",D52=""),"Нет данных",IF(AND(C52&gt;=4,D52&gt;=4),"Ядро прямой конкуренции",IF(AND(C52&gt;=3,D52&gt;=3),"Близкая альтернатива",IF(C52&gt;=3,"Функциональный заменитель",IF(D52&gt;=3,"Аудиторное пересечение","Периферия"))))))</f>
        <v/>
      </c>
      <c r="H52" s="2"/>
      <c r="I52" s="2"/>
      <c r="J52" s="2" t="str">
        <f>IFERROR(IF(_xlfn.XLOOKUP(A52,'01_Компании'!$A$4:$A$103,'01_Компании'!$I$4:$I$103)="","",_xlfn.XLOOKUP(A52,'01_Компании'!$A$4:$A$103,'01_Компании'!$I$4:$I$103)),"")</f>
        <v/>
      </c>
      <c r="K52" s="2" t="str">
        <f>IFERROR(IF(_xlfn.XLOOKUP(A52,'04_Оценка'!$A$4:$A$103,'04_Оценка'!$S$4:$S$103)="","",_xlfn.XLOOKUP(A52,'04_Оценка'!$A$4:$A$103,'04_Оценка'!$S$4:$S$103)),"")</f>
        <v/>
      </c>
    </row>
    <row r="53" spans="1:11">
      <c r="A53" s="2" t="s">
        <v>130</v>
      </c>
      <c r="B53" s="2" t="str">
        <f>IFERROR(IF(_xlfn.XLOOKUP(A53,'04_Оценка'!$A$4:$A$103,'04_Оценка'!$B$4:$B$103)="","",_xlfn.XLOOKUP(A53,'04_Оценка'!$A$4:$A$103,'04_Оценка'!$B$4:$B$103)),"")</f>
        <v/>
      </c>
      <c r="C53" s="6" t="str">
        <f>IFERROR(AVERAGE('04_Оценка'!D53,'04_Оценка'!F53),"")</f>
        <v/>
      </c>
      <c r="D53" s="6" t="str">
        <f>IFERROR(AVERAGE('04_Оценка'!E53,'04_Оценка'!J53),"")</f>
        <v/>
      </c>
      <c r="E53" s="6" t="str">
        <f>IFERROR('04_Оценка'!N53,"")</f>
        <v/>
      </c>
      <c r="F53" s="2" t="str">
        <f>IFERROR('04_Оценка'!R53,"")</f>
        <v/>
      </c>
      <c r="G53" s="2" t="str">
        <f>IF(E53="","",IF(OR(F53="Недостаточно данных",C53="",D53=""),"Нет данных",IF(AND(C53&gt;=4,D53&gt;=4),"Ядро прямой конкуренции",IF(AND(C53&gt;=3,D53&gt;=3),"Близкая альтернатива",IF(C53&gt;=3,"Функциональный заменитель",IF(D53&gt;=3,"Аудиторное пересечение","Периферия"))))))</f>
        <v/>
      </c>
      <c r="H53" s="2"/>
      <c r="I53" s="2"/>
      <c r="J53" s="2" t="str">
        <f>IFERROR(IF(_xlfn.XLOOKUP(A53,'01_Компании'!$A$4:$A$103,'01_Компании'!$I$4:$I$103)="","",_xlfn.XLOOKUP(A53,'01_Компании'!$A$4:$A$103,'01_Компании'!$I$4:$I$103)),"")</f>
        <v/>
      </c>
      <c r="K53" s="2" t="str">
        <f>IFERROR(IF(_xlfn.XLOOKUP(A53,'04_Оценка'!$A$4:$A$103,'04_Оценка'!$S$4:$S$103)="","",_xlfn.XLOOKUP(A53,'04_Оценка'!$A$4:$A$103,'04_Оценка'!$S$4:$S$103)),"")</f>
        <v/>
      </c>
    </row>
    <row r="54" spans="1:11">
      <c r="A54" s="2" t="s">
        <v>131</v>
      </c>
      <c r="B54" s="2" t="str">
        <f>IFERROR(IF(_xlfn.XLOOKUP(A54,'04_Оценка'!$A$4:$A$103,'04_Оценка'!$B$4:$B$103)="","",_xlfn.XLOOKUP(A54,'04_Оценка'!$A$4:$A$103,'04_Оценка'!$B$4:$B$103)),"")</f>
        <v/>
      </c>
      <c r="C54" s="6" t="str">
        <f>IFERROR(AVERAGE('04_Оценка'!D54,'04_Оценка'!F54),"")</f>
        <v/>
      </c>
      <c r="D54" s="6" t="str">
        <f>IFERROR(AVERAGE('04_Оценка'!E54,'04_Оценка'!J54),"")</f>
        <v/>
      </c>
      <c r="E54" s="6" t="str">
        <f>IFERROR('04_Оценка'!N54,"")</f>
        <v/>
      </c>
      <c r="F54" s="2" t="str">
        <f>IFERROR('04_Оценка'!R54,"")</f>
        <v/>
      </c>
      <c r="G54" s="2" t="str">
        <f>IF(E54="","",IF(OR(F54="Недостаточно данных",C54="",D54=""),"Нет данных",IF(AND(C54&gt;=4,D54&gt;=4),"Ядро прямой конкуренции",IF(AND(C54&gt;=3,D54&gt;=3),"Близкая альтернатива",IF(C54&gt;=3,"Функциональный заменитель",IF(D54&gt;=3,"Аудиторное пересечение","Периферия"))))))</f>
        <v/>
      </c>
      <c r="H54" s="2"/>
      <c r="I54" s="2"/>
      <c r="J54" s="2" t="str">
        <f>IFERROR(IF(_xlfn.XLOOKUP(A54,'01_Компании'!$A$4:$A$103,'01_Компании'!$I$4:$I$103)="","",_xlfn.XLOOKUP(A54,'01_Компании'!$A$4:$A$103,'01_Компании'!$I$4:$I$103)),"")</f>
        <v/>
      </c>
      <c r="K54" s="2" t="str">
        <f>IFERROR(IF(_xlfn.XLOOKUP(A54,'04_Оценка'!$A$4:$A$103,'04_Оценка'!$S$4:$S$103)="","",_xlfn.XLOOKUP(A54,'04_Оценка'!$A$4:$A$103,'04_Оценка'!$S$4:$S$103)),"")</f>
        <v/>
      </c>
    </row>
    <row r="55" spans="1:11">
      <c r="A55" s="2" t="s">
        <v>132</v>
      </c>
      <c r="B55" s="2" t="str">
        <f>IFERROR(IF(_xlfn.XLOOKUP(A55,'04_Оценка'!$A$4:$A$103,'04_Оценка'!$B$4:$B$103)="","",_xlfn.XLOOKUP(A55,'04_Оценка'!$A$4:$A$103,'04_Оценка'!$B$4:$B$103)),"")</f>
        <v/>
      </c>
      <c r="C55" s="6" t="str">
        <f>IFERROR(AVERAGE('04_Оценка'!D55,'04_Оценка'!F55),"")</f>
        <v/>
      </c>
      <c r="D55" s="6" t="str">
        <f>IFERROR(AVERAGE('04_Оценка'!E55,'04_Оценка'!J55),"")</f>
        <v/>
      </c>
      <c r="E55" s="6" t="str">
        <f>IFERROR('04_Оценка'!N55,"")</f>
        <v/>
      </c>
      <c r="F55" s="2" t="str">
        <f>IFERROR('04_Оценка'!R55,"")</f>
        <v/>
      </c>
      <c r="G55" s="2" t="str">
        <f>IF(E55="","",IF(OR(F55="Недостаточно данных",C55="",D55=""),"Нет данных",IF(AND(C55&gt;=4,D55&gt;=4),"Ядро прямой конкуренции",IF(AND(C55&gt;=3,D55&gt;=3),"Близкая альтернатива",IF(C55&gt;=3,"Функциональный заменитель",IF(D55&gt;=3,"Аудиторное пересечение","Периферия"))))))</f>
        <v/>
      </c>
      <c r="H55" s="2"/>
      <c r="I55" s="2"/>
      <c r="J55" s="2" t="str">
        <f>IFERROR(IF(_xlfn.XLOOKUP(A55,'01_Компании'!$A$4:$A$103,'01_Компании'!$I$4:$I$103)="","",_xlfn.XLOOKUP(A55,'01_Компании'!$A$4:$A$103,'01_Компании'!$I$4:$I$103)),"")</f>
        <v/>
      </c>
      <c r="K55" s="2" t="str">
        <f>IFERROR(IF(_xlfn.XLOOKUP(A55,'04_Оценка'!$A$4:$A$103,'04_Оценка'!$S$4:$S$103)="","",_xlfn.XLOOKUP(A55,'04_Оценка'!$A$4:$A$103,'04_Оценка'!$S$4:$S$103)),"")</f>
        <v/>
      </c>
    </row>
    <row r="56" spans="1:11">
      <c r="A56" s="2" t="s">
        <v>133</v>
      </c>
      <c r="B56" s="2" t="str">
        <f>IFERROR(IF(_xlfn.XLOOKUP(A56,'04_Оценка'!$A$4:$A$103,'04_Оценка'!$B$4:$B$103)="","",_xlfn.XLOOKUP(A56,'04_Оценка'!$A$4:$A$103,'04_Оценка'!$B$4:$B$103)),"")</f>
        <v/>
      </c>
      <c r="C56" s="6" t="str">
        <f>IFERROR(AVERAGE('04_Оценка'!D56,'04_Оценка'!F56),"")</f>
        <v/>
      </c>
      <c r="D56" s="6" t="str">
        <f>IFERROR(AVERAGE('04_Оценка'!E56,'04_Оценка'!J56),"")</f>
        <v/>
      </c>
      <c r="E56" s="6" t="str">
        <f>IFERROR('04_Оценка'!N56,"")</f>
        <v/>
      </c>
      <c r="F56" s="2" t="str">
        <f>IFERROR('04_Оценка'!R56,"")</f>
        <v/>
      </c>
      <c r="G56" s="2" t="str">
        <f>IF(E56="","",IF(OR(F56="Недостаточно данных",C56="",D56=""),"Нет данных",IF(AND(C56&gt;=4,D56&gt;=4),"Ядро прямой конкуренции",IF(AND(C56&gt;=3,D56&gt;=3),"Близкая альтернатива",IF(C56&gt;=3,"Функциональный заменитель",IF(D56&gt;=3,"Аудиторное пересечение","Периферия"))))))</f>
        <v/>
      </c>
      <c r="H56" s="2"/>
      <c r="I56" s="2"/>
      <c r="J56" s="2" t="str">
        <f>IFERROR(IF(_xlfn.XLOOKUP(A56,'01_Компании'!$A$4:$A$103,'01_Компании'!$I$4:$I$103)="","",_xlfn.XLOOKUP(A56,'01_Компании'!$A$4:$A$103,'01_Компании'!$I$4:$I$103)),"")</f>
        <v/>
      </c>
      <c r="K56" s="2" t="str">
        <f>IFERROR(IF(_xlfn.XLOOKUP(A56,'04_Оценка'!$A$4:$A$103,'04_Оценка'!$S$4:$S$103)="","",_xlfn.XLOOKUP(A56,'04_Оценка'!$A$4:$A$103,'04_Оценка'!$S$4:$S$103)),"")</f>
        <v/>
      </c>
    </row>
    <row r="57" spans="1:11">
      <c r="A57" s="2" t="s">
        <v>134</v>
      </c>
      <c r="B57" s="2" t="str">
        <f>IFERROR(IF(_xlfn.XLOOKUP(A57,'04_Оценка'!$A$4:$A$103,'04_Оценка'!$B$4:$B$103)="","",_xlfn.XLOOKUP(A57,'04_Оценка'!$A$4:$A$103,'04_Оценка'!$B$4:$B$103)),"")</f>
        <v/>
      </c>
      <c r="C57" s="6" t="str">
        <f>IFERROR(AVERAGE('04_Оценка'!D57,'04_Оценка'!F57),"")</f>
        <v/>
      </c>
      <c r="D57" s="6" t="str">
        <f>IFERROR(AVERAGE('04_Оценка'!E57,'04_Оценка'!J57),"")</f>
        <v/>
      </c>
      <c r="E57" s="6" t="str">
        <f>IFERROR('04_Оценка'!N57,"")</f>
        <v/>
      </c>
      <c r="F57" s="2" t="str">
        <f>IFERROR('04_Оценка'!R57,"")</f>
        <v/>
      </c>
      <c r="G57" s="2" t="str">
        <f>IF(E57="","",IF(OR(F57="Недостаточно данных",C57="",D57=""),"Нет данных",IF(AND(C57&gt;=4,D57&gt;=4),"Ядро прямой конкуренции",IF(AND(C57&gt;=3,D57&gt;=3),"Близкая альтернатива",IF(C57&gt;=3,"Функциональный заменитель",IF(D57&gt;=3,"Аудиторное пересечение","Периферия"))))))</f>
        <v/>
      </c>
      <c r="H57" s="2"/>
      <c r="I57" s="2"/>
      <c r="J57" s="2" t="str">
        <f>IFERROR(IF(_xlfn.XLOOKUP(A57,'01_Компании'!$A$4:$A$103,'01_Компании'!$I$4:$I$103)="","",_xlfn.XLOOKUP(A57,'01_Компании'!$A$4:$A$103,'01_Компании'!$I$4:$I$103)),"")</f>
        <v/>
      </c>
      <c r="K57" s="2" t="str">
        <f>IFERROR(IF(_xlfn.XLOOKUP(A57,'04_Оценка'!$A$4:$A$103,'04_Оценка'!$S$4:$S$103)="","",_xlfn.XLOOKUP(A57,'04_Оценка'!$A$4:$A$103,'04_Оценка'!$S$4:$S$103)),"")</f>
        <v/>
      </c>
    </row>
    <row r="58" spans="1:11">
      <c r="A58" s="2" t="s">
        <v>135</v>
      </c>
      <c r="B58" s="2" t="str">
        <f>IFERROR(IF(_xlfn.XLOOKUP(A58,'04_Оценка'!$A$4:$A$103,'04_Оценка'!$B$4:$B$103)="","",_xlfn.XLOOKUP(A58,'04_Оценка'!$A$4:$A$103,'04_Оценка'!$B$4:$B$103)),"")</f>
        <v/>
      </c>
      <c r="C58" s="6" t="str">
        <f>IFERROR(AVERAGE('04_Оценка'!D58,'04_Оценка'!F58),"")</f>
        <v/>
      </c>
      <c r="D58" s="6" t="str">
        <f>IFERROR(AVERAGE('04_Оценка'!E58,'04_Оценка'!J58),"")</f>
        <v/>
      </c>
      <c r="E58" s="6" t="str">
        <f>IFERROR('04_Оценка'!N58,"")</f>
        <v/>
      </c>
      <c r="F58" s="2" t="str">
        <f>IFERROR('04_Оценка'!R58,"")</f>
        <v/>
      </c>
      <c r="G58" s="2" t="str">
        <f>IF(E58="","",IF(OR(F58="Недостаточно данных",C58="",D58=""),"Нет данных",IF(AND(C58&gt;=4,D58&gt;=4),"Ядро прямой конкуренции",IF(AND(C58&gt;=3,D58&gt;=3),"Близкая альтернатива",IF(C58&gt;=3,"Функциональный заменитель",IF(D58&gt;=3,"Аудиторное пересечение","Периферия"))))))</f>
        <v/>
      </c>
      <c r="H58" s="2"/>
      <c r="I58" s="2"/>
      <c r="J58" s="2" t="str">
        <f>IFERROR(IF(_xlfn.XLOOKUP(A58,'01_Компании'!$A$4:$A$103,'01_Компании'!$I$4:$I$103)="","",_xlfn.XLOOKUP(A58,'01_Компании'!$A$4:$A$103,'01_Компании'!$I$4:$I$103)),"")</f>
        <v/>
      </c>
      <c r="K58" s="2" t="str">
        <f>IFERROR(IF(_xlfn.XLOOKUP(A58,'04_Оценка'!$A$4:$A$103,'04_Оценка'!$S$4:$S$103)="","",_xlfn.XLOOKUP(A58,'04_Оценка'!$A$4:$A$103,'04_Оценка'!$S$4:$S$103)),"")</f>
        <v/>
      </c>
    </row>
    <row r="59" spans="1:11">
      <c r="A59" s="2" t="s">
        <v>136</v>
      </c>
      <c r="B59" s="2" t="str">
        <f>IFERROR(IF(_xlfn.XLOOKUP(A59,'04_Оценка'!$A$4:$A$103,'04_Оценка'!$B$4:$B$103)="","",_xlfn.XLOOKUP(A59,'04_Оценка'!$A$4:$A$103,'04_Оценка'!$B$4:$B$103)),"")</f>
        <v/>
      </c>
      <c r="C59" s="6" t="str">
        <f>IFERROR(AVERAGE('04_Оценка'!D59,'04_Оценка'!F59),"")</f>
        <v/>
      </c>
      <c r="D59" s="6" t="str">
        <f>IFERROR(AVERAGE('04_Оценка'!E59,'04_Оценка'!J59),"")</f>
        <v/>
      </c>
      <c r="E59" s="6" t="str">
        <f>IFERROR('04_Оценка'!N59,"")</f>
        <v/>
      </c>
      <c r="F59" s="2" t="str">
        <f>IFERROR('04_Оценка'!R59,"")</f>
        <v/>
      </c>
      <c r="G59" s="2" t="str">
        <f>IF(E59="","",IF(OR(F59="Недостаточно данных",C59="",D59=""),"Нет данных",IF(AND(C59&gt;=4,D59&gt;=4),"Ядро прямой конкуренции",IF(AND(C59&gt;=3,D59&gt;=3),"Близкая альтернатива",IF(C59&gt;=3,"Функциональный заменитель",IF(D59&gt;=3,"Аудиторное пересечение","Периферия"))))))</f>
        <v/>
      </c>
      <c r="H59" s="2"/>
      <c r="I59" s="2"/>
      <c r="J59" s="2" t="str">
        <f>IFERROR(IF(_xlfn.XLOOKUP(A59,'01_Компании'!$A$4:$A$103,'01_Компании'!$I$4:$I$103)="","",_xlfn.XLOOKUP(A59,'01_Компании'!$A$4:$A$103,'01_Компании'!$I$4:$I$103)),"")</f>
        <v/>
      </c>
      <c r="K59" s="2" t="str">
        <f>IFERROR(IF(_xlfn.XLOOKUP(A59,'04_Оценка'!$A$4:$A$103,'04_Оценка'!$S$4:$S$103)="","",_xlfn.XLOOKUP(A59,'04_Оценка'!$A$4:$A$103,'04_Оценка'!$S$4:$S$103)),"")</f>
        <v/>
      </c>
    </row>
    <row r="60" spans="1:11">
      <c r="A60" s="2" t="s">
        <v>137</v>
      </c>
      <c r="B60" s="2" t="str">
        <f>IFERROR(IF(_xlfn.XLOOKUP(A60,'04_Оценка'!$A$4:$A$103,'04_Оценка'!$B$4:$B$103)="","",_xlfn.XLOOKUP(A60,'04_Оценка'!$A$4:$A$103,'04_Оценка'!$B$4:$B$103)),"")</f>
        <v/>
      </c>
      <c r="C60" s="6" t="str">
        <f>IFERROR(AVERAGE('04_Оценка'!D60,'04_Оценка'!F60),"")</f>
        <v/>
      </c>
      <c r="D60" s="6" t="str">
        <f>IFERROR(AVERAGE('04_Оценка'!E60,'04_Оценка'!J60),"")</f>
        <v/>
      </c>
      <c r="E60" s="6" t="str">
        <f>IFERROR('04_Оценка'!N60,"")</f>
        <v/>
      </c>
      <c r="F60" s="2" t="str">
        <f>IFERROR('04_Оценка'!R60,"")</f>
        <v/>
      </c>
      <c r="G60" s="2" t="str">
        <f>IF(E60="","",IF(OR(F60="Недостаточно данных",C60="",D60=""),"Нет данных",IF(AND(C60&gt;=4,D60&gt;=4),"Ядро прямой конкуренции",IF(AND(C60&gt;=3,D60&gt;=3),"Близкая альтернатива",IF(C60&gt;=3,"Функциональный заменитель",IF(D60&gt;=3,"Аудиторное пересечение","Периферия"))))))</f>
        <v/>
      </c>
      <c r="H60" s="2"/>
      <c r="I60" s="2"/>
      <c r="J60" s="2" t="str">
        <f>IFERROR(IF(_xlfn.XLOOKUP(A60,'01_Компании'!$A$4:$A$103,'01_Компании'!$I$4:$I$103)="","",_xlfn.XLOOKUP(A60,'01_Компании'!$A$4:$A$103,'01_Компании'!$I$4:$I$103)),"")</f>
        <v/>
      </c>
      <c r="K60" s="2" t="str">
        <f>IFERROR(IF(_xlfn.XLOOKUP(A60,'04_Оценка'!$A$4:$A$103,'04_Оценка'!$S$4:$S$103)="","",_xlfn.XLOOKUP(A60,'04_Оценка'!$A$4:$A$103,'04_Оценка'!$S$4:$S$103)),"")</f>
        <v/>
      </c>
    </row>
    <row r="61" spans="1:11">
      <c r="A61" s="2" t="s">
        <v>138</v>
      </c>
      <c r="B61" s="2" t="str">
        <f>IFERROR(IF(_xlfn.XLOOKUP(A61,'04_Оценка'!$A$4:$A$103,'04_Оценка'!$B$4:$B$103)="","",_xlfn.XLOOKUP(A61,'04_Оценка'!$A$4:$A$103,'04_Оценка'!$B$4:$B$103)),"")</f>
        <v/>
      </c>
      <c r="C61" s="6" t="str">
        <f>IFERROR(AVERAGE('04_Оценка'!D61,'04_Оценка'!F61),"")</f>
        <v/>
      </c>
      <c r="D61" s="6" t="str">
        <f>IFERROR(AVERAGE('04_Оценка'!E61,'04_Оценка'!J61),"")</f>
        <v/>
      </c>
      <c r="E61" s="6" t="str">
        <f>IFERROR('04_Оценка'!N61,"")</f>
        <v/>
      </c>
      <c r="F61" s="2" t="str">
        <f>IFERROR('04_Оценка'!R61,"")</f>
        <v/>
      </c>
      <c r="G61" s="2" t="str">
        <f>IF(E61="","",IF(OR(F61="Недостаточно данных",C61="",D61=""),"Нет данных",IF(AND(C61&gt;=4,D61&gt;=4),"Ядро прямой конкуренции",IF(AND(C61&gt;=3,D61&gt;=3),"Близкая альтернатива",IF(C61&gt;=3,"Функциональный заменитель",IF(D61&gt;=3,"Аудиторное пересечение","Периферия"))))))</f>
        <v/>
      </c>
      <c r="H61" s="2"/>
      <c r="I61" s="2"/>
      <c r="J61" s="2" t="str">
        <f>IFERROR(IF(_xlfn.XLOOKUP(A61,'01_Компании'!$A$4:$A$103,'01_Компании'!$I$4:$I$103)="","",_xlfn.XLOOKUP(A61,'01_Компании'!$A$4:$A$103,'01_Компании'!$I$4:$I$103)),"")</f>
        <v/>
      </c>
      <c r="K61" s="2" t="str">
        <f>IFERROR(IF(_xlfn.XLOOKUP(A61,'04_Оценка'!$A$4:$A$103,'04_Оценка'!$S$4:$S$103)="","",_xlfn.XLOOKUP(A61,'04_Оценка'!$A$4:$A$103,'04_Оценка'!$S$4:$S$103)),"")</f>
        <v/>
      </c>
    </row>
    <row r="62" spans="1:11">
      <c r="A62" s="2" t="s">
        <v>139</v>
      </c>
      <c r="B62" s="2" t="str">
        <f>IFERROR(IF(_xlfn.XLOOKUP(A62,'04_Оценка'!$A$4:$A$103,'04_Оценка'!$B$4:$B$103)="","",_xlfn.XLOOKUP(A62,'04_Оценка'!$A$4:$A$103,'04_Оценка'!$B$4:$B$103)),"")</f>
        <v/>
      </c>
      <c r="C62" s="6" t="str">
        <f>IFERROR(AVERAGE('04_Оценка'!D62,'04_Оценка'!F62),"")</f>
        <v/>
      </c>
      <c r="D62" s="6" t="str">
        <f>IFERROR(AVERAGE('04_Оценка'!E62,'04_Оценка'!J62),"")</f>
        <v/>
      </c>
      <c r="E62" s="6" t="str">
        <f>IFERROR('04_Оценка'!N62,"")</f>
        <v/>
      </c>
      <c r="F62" s="2" t="str">
        <f>IFERROR('04_Оценка'!R62,"")</f>
        <v/>
      </c>
      <c r="G62" s="2" t="str">
        <f>IF(E62="","",IF(OR(F62="Недостаточно данных",C62="",D62=""),"Нет данных",IF(AND(C62&gt;=4,D62&gt;=4),"Ядро прямой конкуренции",IF(AND(C62&gt;=3,D62&gt;=3),"Близкая альтернатива",IF(C62&gt;=3,"Функциональный заменитель",IF(D62&gt;=3,"Аудиторное пересечение","Периферия"))))))</f>
        <v/>
      </c>
      <c r="H62" s="2"/>
      <c r="I62" s="2"/>
      <c r="J62" s="2" t="str">
        <f>IFERROR(IF(_xlfn.XLOOKUP(A62,'01_Компании'!$A$4:$A$103,'01_Компании'!$I$4:$I$103)="","",_xlfn.XLOOKUP(A62,'01_Компании'!$A$4:$A$103,'01_Компании'!$I$4:$I$103)),"")</f>
        <v/>
      </c>
      <c r="K62" s="2" t="str">
        <f>IFERROR(IF(_xlfn.XLOOKUP(A62,'04_Оценка'!$A$4:$A$103,'04_Оценка'!$S$4:$S$103)="","",_xlfn.XLOOKUP(A62,'04_Оценка'!$A$4:$A$103,'04_Оценка'!$S$4:$S$103)),"")</f>
        <v/>
      </c>
    </row>
    <row r="63" spans="1:11">
      <c r="A63" s="2" t="s">
        <v>140</v>
      </c>
      <c r="B63" s="2" t="str">
        <f>IFERROR(IF(_xlfn.XLOOKUP(A63,'04_Оценка'!$A$4:$A$103,'04_Оценка'!$B$4:$B$103)="","",_xlfn.XLOOKUP(A63,'04_Оценка'!$A$4:$A$103,'04_Оценка'!$B$4:$B$103)),"")</f>
        <v/>
      </c>
      <c r="C63" s="6" t="str">
        <f>IFERROR(AVERAGE('04_Оценка'!D63,'04_Оценка'!F63),"")</f>
        <v/>
      </c>
      <c r="D63" s="6" t="str">
        <f>IFERROR(AVERAGE('04_Оценка'!E63,'04_Оценка'!J63),"")</f>
        <v/>
      </c>
      <c r="E63" s="6" t="str">
        <f>IFERROR('04_Оценка'!N63,"")</f>
        <v/>
      </c>
      <c r="F63" s="2" t="str">
        <f>IFERROR('04_Оценка'!R63,"")</f>
        <v/>
      </c>
      <c r="G63" s="2" t="str">
        <f>IF(E63="","",IF(OR(F63="Недостаточно данных",C63="",D63=""),"Нет данных",IF(AND(C63&gt;=4,D63&gt;=4),"Ядро прямой конкуренции",IF(AND(C63&gt;=3,D63&gt;=3),"Близкая альтернатива",IF(C63&gt;=3,"Функциональный заменитель",IF(D63&gt;=3,"Аудиторное пересечение","Периферия"))))))</f>
        <v/>
      </c>
      <c r="H63" s="2"/>
      <c r="I63" s="2"/>
      <c r="J63" s="2" t="str">
        <f>IFERROR(IF(_xlfn.XLOOKUP(A63,'01_Компании'!$A$4:$A$103,'01_Компании'!$I$4:$I$103)="","",_xlfn.XLOOKUP(A63,'01_Компании'!$A$4:$A$103,'01_Компании'!$I$4:$I$103)),"")</f>
        <v/>
      </c>
      <c r="K63" s="2" t="str">
        <f>IFERROR(IF(_xlfn.XLOOKUP(A63,'04_Оценка'!$A$4:$A$103,'04_Оценка'!$S$4:$S$103)="","",_xlfn.XLOOKUP(A63,'04_Оценка'!$A$4:$A$103,'04_Оценка'!$S$4:$S$103)),"")</f>
        <v/>
      </c>
    </row>
    <row r="64" spans="1:11">
      <c r="A64" s="2" t="s">
        <v>141</v>
      </c>
      <c r="B64" s="2" t="str">
        <f>IFERROR(IF(_xlfn.XLOOKUP(A64,'04_Оценка'!$A$4:$A$103,'04_Оценка'!$B$4:$B$103)="","",_xlfn.XLOOKUP(A64,'04_Оценка'!$A$4:$A$103,'04_Оценка'!$B$4:$B$103)),"")</f>
        <v/>
      </c>
      <c r="C64" s="6" t="str">
        <f>IFERROR(AVERAGE('04_Оценка'!D64,'04_Оценка'!F64),"")</f>
        <v/>
      </c>
      <c r="D64" s="6" t="str">
        <f>IFERROR(AVERAGE('04_Оценка'!E64,'04_Оценка'!J64),"")</f>
        <v/>
      </c>
      <c r="E64" s="6" t="str">
        <f>IFERROR('04_Оценка'!N64,"")</f>
        <v/>
      </c>
      <c r="F64" s="2" t="str">
        <f>IFERROR('04_Оценка'!R64,"")</f>
        <v/>
      </c>
      <c r="G64" s="2" t="str">
        <f>IF(E64="","",IF(OR(F64="Недостаточно данных",C64="",D64=""),"Нет данных",IF(AND(C64&gt;=4,D64&gt;=4),"Ядро прямой конкуренции",IF(AND(C64&gt;=3,D64&gt;=3),"Близкая альтернатива",IF(C64&gt;=3,"Функциональный заменитель",IF(D64&gt;=3,"Аудиторное пересечение","Периферия"))))))</f>
        <v/>
      </c>
      <c r="H64" s="2"/>
      <c r="I64" s="2"/>
      <c r="J64" s="2" t="str">
        <f>IFERROR(IF(_xlfn.XLOOKUP(A64,'01_Компании'!$A$4:$A$103,'01_Компании'!$I$4:$I$103)="","",_xlfn.XLOOKUP(A64,'01_Компании'!$A$4:$A$103,'01_Компании'!$I$4:$I$103)),"")</f>
        <v/>
      </c>
      <c r="K64" s="2" t="str">
        <f>IFERROR(IF(_xlfn.XLOOKUP(A64,'04_Оценка'!$A$4:$A$103,'04_Оценка'!$S$4:$S$103)="","",_xlfn.XLOOKUP(A64,'04_Оценка'!$A$4:$A$103,'04_Оценка'!$S$4:$S$103)),"")</f>
        <v/>
      </c>
    </row>
    <row r="65" spans="1:11">
      <c r="A65" s="2" t="s">
        <v>142</v>
      </c>
      <c r="B65" s="2" t="str">
        <f>IFERROR(IF(_xlfn.XLOOKUP(A65,'04_Оценка'!$A$4:$A$103,'04_Оценка'!$B$4:$B$103)="","",_xlfn.XLOOKUP(A65,'04_Оценка'!$A$4:$A$103,'04_Оценка'!$B$4:$B$103)),"")</f>
        <v/>
      </c>
      <c r="C65" s="6" t="str">
        <f>IFERROR(AVERAGE('04_Оценка'!D65,'04_Оценка'!F65),"")</f>
        <v/>
      </c>
      <c r="D65" s="6" t="str">
        <f>IFERROR(AVERAGE('04_Оценка'!E65,'04_Оценка'!J65),"")</f>
        <v/>
      </c>
      <c r="E65" s="6" t="str">
        <f>IFERROR('04_Оценка'!N65,"")</f>
        <v/>
      </c>
      <c r="F65" s="2" t="str">
        <f>IFERROR('04_Оценка'!R65,"")</f>
        <v/>
      </c>
      <c r="G65" s="2" t="str">
        <f>IF(E65="","",IF(OR(F65="Недостаточно данных",C65="",D65=""),"Нет данных",IF(AND(C65&gt;=4,D65&gt;=4),"Ядро прямой конкуренции",IF(AND(C65&gt;=3,D65&gt;=3),"Близкая альтернатива",IF(C65&gt;=3,"Функциональный заменитель",IF(D65&gt;=3,"Аудиторное пересечение","Периферия"))))))</f>
        <v/>
      </c>
      <c r="H65" s="2"/>
      <c r="I65" s="2"/>
      <c r="J65" s="2" t="str">
        <f>IFERROR(IF(_xlfn.XLOOKUP(A65,'01_Компании'!$A$4:$A$103,'01_Компании'!$I$4:$I$103)="","",_xlfn.XLOOKUP(A65,'01_Компании'!$A$4:$A$103,'01_Компании'!$I$4:$I$103)),"")</f>
        <v/>
      </c>
      <c r="K65" s="2" t="str">
        <f>IFERROR(IF(_xlfn.XLOOKUP(A65,'04_Оценка'!$A$4:$A$103,'04_Оценка'!$S$4:$S$103)="","",_xlfn.XLOOKUP(A65,'04_Оценка'!$A$4:$A$103,'04_Оценка'!$S$4:$S$103)),"")</f>
        <v/>
      </c>
    </row>
    <row r="66" spans="1:11">
      <c r="A66" s="2" t="s">
        <v>143</v>
      </c>
      <c r="B66" s="2" t="str">
        <f>IFERROR(IF(_xlfn.XLOOKUP(A66,'04_Оценка'!$A$4:$A$103,'04_Оценка'!$B$4:$B$103)="","",_xlfn.XLOOKUP(A66,'04_Оценка'!$A$4:$A$103,'04_Оценка'!$B$4:$B$103)),"")</f>
        <v/>
      </c>
      <c r="C66" s="6" t="str">
        <f>IFERROR(AVERAGE('04_Оценка'!D66,'04_Оценка'!F66),"")</f>
        <v/>
      </c>
      <c r="D66" s="6" t="str">
        <f>IFERROR(AVERAGE('04_Оценка'!E66,'04_Оценка'!J66),"")</f>
        <v/>
      </c>
      <c r="E66" s="6" t="str">
        <f>IFERROR('04_Оценка'!N66,"")</f>
        <v/>
      </c>
      <c r="F66" s="2" t="str">
        <f>IFERROR('04_Оценка'!R66,"")</f>
        <v/>
      </c>
      <c r="G66" s="2" t="str">
        <f>IF(E66="","",IF(OR(F66="Недостаточно данных",C66="",D66=""),"Нет данных",IF(AND(C66&gt;=4,D66&gt;=4),"Ядро прямой конкуренции",IF(AND(C66&gt;=3,D66&gt;=3),"Близкая альтернатива",IF(C66&gt;=3,"Функциональный заменитель",IF(D66&gt;=3,"Аудиторное пересечение","Периферия"))))))</f>
        <v/>
      </c>
      <c r="H66" s="2"/>
      <c r="I66" s="2"/>
      <c r="J66" s="2" t="str">
        <f>IFERROR(IF(_xlfn.XLOOKUP(A66,'01_Компании'!$A$4:$A$103,'01_Компании'!$I$4:$I$103)="","",_xlfn.XLOOKUP(A66,'01_Компании'!$A$4:$A$103,'01_Компании'!$I$4:$I$103)),"")</f>
        <v/>
      </c>
      <c r="K66" s="2" t="str">
        <f>IFERROR(IF(_xlfn.XLOOKUP(A66,'04_Оценка'!$A$4:$A$103,'04_Оценка'!$S$4:$S$103)="","",_xlfn.XLOOKUP(A66,'04_Оценка'!$A$4:$A$103,'04_Оценка'!$S$4:$S$103)),"")</f>
        <v/>
      </c>
    </row>
    <row r="67" spans="1:11">
      <c r="A67" s="2" t="s">
        <v>144</v>
      </c>
      <c r="B67" s="2" t="str">
        <f>IFERROR(IF(_xlfn.XLOOKUP(A67,'04_Оценка'!$A$4:$A$103,'04_Оценка'!$B$4:$B$103)="","",_xlfn.XLOOKUP(A67,'04_Оценка'!$A$4:$A$103,'04_Оценка'!$B$4:$B$103)),"")</f>
        <v/>
      </c>
      <c r="C67" s="6" t="str">
        <f>IFERROR(AVERAGE('04_Оценка'!D67,'04_Оценка'!F67),"")</f>
        <v/>
      </c>
      <c r="D67" s="6" t="str">
        <f>IFERROR(AVERAGE('04_Оценка'!E67,'04_Оценка'!J67),"")</f>
        <v/>
      </c>
      <c r="E67" s="6" t="str">
        <f>IFERROR('04_Оценка'!N67,"")</f>
        <v/>
      </c>
      <c r="F67" s="2" t="str">
        <f>IFERROR('04_Оценка'!R67,"")</f>
        <v/>
      </c>
      <c r="G67" s="2" t="str">
        <f>IF(E67="","",IF(OR(F67="Недостаточно данных",C67="",D67=""),"Нет данных",IF(AND(C67&gt;=4,D67&gt;=4),"Ядро прямой конкуренции",IF(AND(C67&gt;=3,D67&gt;=3),"Близкая альтернатива",IF(C67&gt;=3,"Функциональный заменитель",IF(D67&gt;=3,"Аудиторное пересечение","Периферия"))))))</f>
        <v/>
      </c>
      <c r="H67" s="2"/>
      <c r="I67" s="2"/>
      <c r="J67" s="2" t="str">
        <f>IFERROR(IF(_xlfn.XLOOKUP(A67,'01_Компании'!$A$4:$A$103,'01_Компании'!$I$4:$I$103)="","",_xlfn.XLOOKUP(A67,'01_Компании'!$A$4:$A$103,'01_Компании'!$I$4:$I$103)),"")</f>
        <v/>
      </c>
      <c r="K67" s="2" t="str">
        <f>IFERROR(IF(_xlfn.XLOOKUP(A67,'04_Оценка'!$A$4:$A$103,'04_Оценка'!$S$4:$S$103)="","",_xlfn.XLOOKUP(A67,'04_Оценка'!$A$4:$A$103,'04_Оценка'!$S$4:$S$103)),"")</f>
        <v/>
      </c>
    </row>
    <row r="68" spans="1:11">
      <c r="A68" s="2" t="s">
        <v>145</v>
      </c>
      <c r="B68" s="2" t="str">
        <f>IFERROR(IF(_xlfn.XLOOKUP(A68,'04_Оценка'!$A$4:$A$103,'04_Оценка'!$B$4:$B$103)="","",_xlfn.XLOOKUP(A68,'04_Оценка'!$A$4:$A$103,'04_Оценка'!$B$4:$B$103)),"")</f>
        <v/>
      </c>
      <c r="C68" s="6" t="str">
        <f>IFERROR(AVERAGE('04_Оценка'!D68,'04_Оценка'!F68),"")</f>
        <v/>
      </c>
      <c r="D68" s="6" t="str">
        <f>IFERROR(AVERAGE('04_Оценка'!E68,'04_Оценка'!J68),"")</f>
        <v/>
      </c>
      <c r="E68" s="6" t="str">
        <f>IFERROR('04_Оценка'!N68,"")</f>
        <v/>
      </c>
      <c r="F68" s="2" t="str">
        <f>IFERROR('04_Оценка'!R68,"")</f>
        <v/>
      </c>
      <c r="G68" s="2" t="str">
        <f>IF(E68="","",IF(OR(F68="Недостаточно данных",C68="",D68=""),"Нет данных",IF(AND(C68&gt;=4,D68&gt;=4),"Ядро прямой конкуренции",IF(AND(C68&gt;=3,D68&gt;=3),"Близкая альтернатива",IF(C68&gt;=3,"Функциональный заменитель",IF(D68&gt;=3,"Аудиторное пересечение","Периферия"))))))</f>
        <v/>
      </c>
      <c r="H68" s="2"/>
      <c r="I68" s="2"/>
      <c r="J68" s="2" t="str">
        <f>IFERROR(IF(_xlfn.XLOOKUP(A68,'01_Компании'!$A$4:$A$103,'01_Компании'!$I$4:$I$103)="","",_xlfn.XLOOKUP(A68,'01_Компании'!$A$4:$A$103,'01_Компании'!$I$4:$I$103)),"")</f>
        <v/>
      </c>
      <c r="K68" s="2" t="str">
        <f>IFERROR(IF(_xlfn.XLOOKUP(A68,'04_Оценка'!$A$4:$A$103,'04_Оценка'!$S$4:$S$103)="","",_xlfn.XLOOKUP(A68,'04_Оценка'!$A$4:$A$103,'04_Оценка'!$S$4:$S$103)),"")</f>
        <v/>
      </c>
    </row>
    <row r="69" spans="1:11">
      <c r="A69" s="2" t="s">
        <v>146</v>
      </c>
      <c r="B69" s="2" t="str">
        <f>IFERROR(IF(_xlfn.XLOOKUP(A69,'04_Оценка'!$A$4:$A$103,'04_Оценка'!$B$4:$B$103)="","",_xlfn.XLOOKUP(A69,'04_Оценка'!$A$4:$A$103,'04_Оценка'!$B$4:$B$103)),"")</f>
        <v/>
      </c>
      <c r="C69" s="6" t="str">
        <f>IFERROR(AVERAGE('04_Оценка'!D69,'04_Оценка'!F69),"")</f>
        <v/>
      </c>
      <c r="D69" s="6" t="str">
        <f>IFERROR(AVERAGE('04_Оценка'!E69,'04_Оценка'!J69),"")</f>
        <v/>
      </c>
      <c r="E69" s="6" t="str">
        <f>IFERROR('04_Оценка'!N69,"")</f>
        <v/>
      </c>
      <c r="F69" s="2" t="str">
        <f>IFERROR('04_Оценка'!R69,"")</f>
        <v/>
      </c>
      <c r="G69" s="2" t="str">
        <f>IF(E69="","",IF(OR(F69="Недостаточно данных",C69="",D69=""),"Нет данных",IF(AND(C69&gt;=4,D69&gt;=4),"Ядро прямой конкуренции",IF(AND(C69&gt;=3,D69&gt;=3),"Близкая альтернатива",IF(C69&gt;=3,"Функциональный заменитель",IF(D69&gt;=3,"Аудиторное пересечение","Периферия"))))))</f>
        <v/>
      </c>
      <c r="H69" s="2"/>
      <c r="I69" s="2"/>
      <c r="J69" s="2" t="str">
        <f>IFERROR(IF(_xlfn.XLOOKUP(A69,'01_Компании'!$A$4:$A$103,'01_Компании'!$I$4:$I$103)="","",_xlfn.XLOOKUP(A69,'01_Компании'!$A$4:$A$103,'01_Компании'!$I$4:$I$103)),"")</f>
        <v/>
      </c>
      <c r="K69" s="2" t="str">
        <f>IFERROR(IF(_xlfn.XLOOKUP(A69,'04_Оценка'!$A$4:$A$103,'04_Оценка'!$S$4:$S$103)="","",_xlfn.XLOOKUP(A69,'04_Оценка'!$A$4:$A$103,'04_Оценка'!$S$4:$S$103)),"")</f>
        <v/>
      </c>
    </row>
    <row r="70" spans="1:11">
      <c r="A70" s="2" t="s">
        <v>147</v>
      </c>
      <c r="B70" s="2" t="str">
        <f>IFERROR(IF(_xlfn.XLOOKUP(A70,'04_Оценка'!$A$4:$A$103,'04_Оценка'!$B$4:$B$103)="","",_xlfn.XLOOKUP(A70,'04_Оценка'!$A$4:$A$103,'04_Оценка'!$B$4:$B$103)),"")</f>
        <v/>
      </c>
      <c r="C70" s="6" t="str">
        <f>IFERROR(AVERAGE('04_Оценка'!D70,'04_Оценка'!F70),"")</f>
        <v/>
      </c>
      <c r="D70" s="6" t="str">
        <f>IFERROR(AVERAGE('04_Оценка'!E70,'04_Оценка'!J70),"")</f>
        <v/>
      </c>
      <c r="E70" s="6" t="str">
        <f>IFERROR('04_Оценка'!N70,"")</f>
        <v/>
      </c>
      <c r="F70" s="2" t="str">
        <f>IFERROR('04_Оценка'!R70,"")</f>
        <v/>
      </c>
      <c r="G70" s="2" t="str">
        <f>IF(E70="","",IF(OR(F70="Недостаточно данных",C70="",D70=""),"Нет данных",IF(AND(C70&gt;=4,D70&gt;=4),"Ядро прямой конкуренции",IF(AND(C70&gt;=3,D70&gt;=3),"Близкая альтернатива",IF(C70&gt;=3,"Функциональный заменитель",IF(D70&gt;=3,"Аудиторное пересечение","Периферия"))))))</f>
        <v/>
      </c>
      <c r="H70" s="2"/>
      <c r="I70" s="2"/>
      <c r="J70" s="2" t="str">
        <f>IFERROR(IF(_xlfn.XLOOKUP(A70,'01_Компании'!$A$4:$A$103,'01_Компании'!$I$4:$I$103)="","",_xlfn.XLOOKUP(A70,'01_Компании'!$A$4:$A$103,'01_Компании'!$I$4:$I$103)),"")</f>
        <v/>
      </c>
      <c r="K70" s="2" t="str">
        <f>IFERROR(IF(_xlfn.XLOOKUP(A70,'04_Оценка'!$A$4:$A$103,'04_Оценка'!$S$4:$S$103)="","",_xlfn.XLOOKUP(A70,'04_Оценка'!$A$4:$A$103,'04_Оценка'!$S$4:$S$103)),"")</f>
        <v/>
      </c>
    </row>
    <row r="71" spans="1:11">
      <c r="A71" s="2" t="s">
        <v>148</v>
      </c>
      <c r="B71" s="2" t="str">
        <f>IFERROR(IF(_xlfn.XLOOKUP(A71,'04_Оценка'!$A$4:$A$103,'04_Оценка'!$B$4:$B$103)="","",_xlfn.XLOOKUP(A71,'04_Оценка'!$A$4:$A$103,'04_Оценка'!$B$4:$B$103)),"")</f>
        <v/>
      </c>
      <c r="C71" s="6" t="str">
        <f>IFERROR(AVERAGE('04_Оценка'!D71,'04_Оценка'!F71),"")</f>
        <v/>
      </c>
      <c r="D71" s="6" t="str">
        <f>IFERROR(AVERAGE('04_Оценка'!E71,'04_Оценка'!J71),"")</f>
        <v/>
      </c>
      <c r="E71" s="6" t="str">
        <f>IFERROR('04_Оценка'!N71,"")</f>
        <v/>
      </c>
      <c r="F71" s="2" t="str">
        <f>IFERROR('04_Оценка'!R71,"")</f>
        <v/>
      </c>
      <c r="G71" s="2" t="str">
        <f>IF(E71="","",IF(OR(F71="Недостаточно данных",C71="",D71=""),"Нет данных",IF(AND(C71&gt;=4,D71&gt;=4),"Ядро прямой конкуренции",IF(AND(C71&gt;=3,D71&gt;=3),"Близкая альтернатива",IF(C71&gt;=3,"Функциональный заменитель",IF(D71&gt;=3,"Аудиторное пересечение","Периферия"))))))</f>
        <v/>
      </c>
      <c r="H71" s="2"/>
      <c r="I71" s="2"/>
      <c r="J71" s="2" t="str">
        <f>IFERROR(IF(_xlfn.XLOOKUP(A71,'01_Компании'!$A$4:$A$103,'01_Компании'!$I$4:$I$103)="","",_xlfn.XLOOKUP(A71,'01_Компании'!$A$4:$A$103,'01_Компании'!$I$4:$I$103)),"")</f>
        <v/>
      </c>
      <c r="K71" s="2" t="str">
        <f>IFERROR(IF(_xlfn.XLOOKUP(A71,'04_Оценка'!$A$4:$A$103,'04_Оценка'!$S$4:$S$103)="","",_xlfn.XLOOKUP(A71,'04_Оценка'!$A$4:$A$103,'04_Оценка'!$S$4:$S$103)),"")</f>
        <v/>
      </c>
    </row>
    <row r="72" spans="1:11">
      <c r="A72" s="2" t="s">
        <v>149</v>
      </c>
      <c r="B72" s="2" t="str">
        <f>IFERROR(IF(_xlfn.XLOOKUP(A72,'04_Оценка'!$A$4:$A$103,'04_Оценка'!$B$4:$B$103)="","",_xlfn.XLOOKUP(A72,'04_Оценка'!$A$4:$A$103,'04_Оценка'!$B$4:$B$103)),"")</f>
        <v/>
      </c>
      <c r="C72" s="6" t="str">
        <f>IFERROR(AVERAGE('04_Оценка'!D72,'04_Оценка'!F72),"")</f>
        <v/>
      </c>
      <c r="D72" s="6" t="str">
        <f>IFERROR(AVERAGE('04_Оценка'!E72,'04_Оценка'!J72),"")</f>
        <v/>
      </c>
      <c r="E72" s="6" t="str">
        <f>IFERROR('04_Оценка'!N72,"")</f>
        <v/>
      </c>
      <c r="F72" s="2" t="str">
        <f>IFERROR('04_Оценка'!R72,"")</f>
        <v/>
      </c>
      <c r="G72" s="2" t="str">
        <f>IF(E72="","",IF(OR(F72="Недостаточно данных",C72="",D72=""),"Нет данных",IF(AND(C72&gt;=4,D72&gt;=4),"Ядро прямой конкуренции",IF(AND(C72&gt;=3,D72&gt;=3),"Близкая альтернатива",IF(C72&gt;=3,"Функциональный заменитель",IF(D72&gt;=3,"Аудиторное пересечение","Периферия"))))))</f>
        <v/>
      </c>
      <c r="H72" s="2"/>
      <c r="I72" s="2"/>
      <c r="J72" s="2" t="str">
        <f>IFERROR(IF(_xlfn.XLOOKUP(A72,'01_Компании'!$A$4:$A$103,'01_Компании'!$I$4:$I$103)="","",_xlfn.XLOOKUP(A72,'01_Компании'!$A$4:$A$103,'01_Компании'!$I$4:$I$103)),"")</f>
        <v/>
      </c>
      <c r="K72" s="2" t="str">
        <f>IFERROR(IF(_xlfn.XLOOKUP(A72,'04_Оценка'!$A$4:$A$103,'04_Оценка'!$S$4:$S$103)="","",_xlfn.XLOOKUP(A72,'04_Оценка'!$A$4:$A$103,'04_Оценка'!$S$4:$S$103)),"")</f>
        <v/>
      </c>
    </row>
    <row r="73" spans="1:11">
      <c r="A73" s="2" t="s">
        <v>150</v>
      </c>
      <c r="B73" s="2" t="str">
        <f>IFERROR(IF(_xlfn.XLOOKUP(A73,'04_Оценка'!$A$4:$A$103,'04_Оценка'!$B$4:$B$103)="","",_xlfn.XLOOKUP(A73,'04_Оценка'!$A$4:$A$103,'04_Оценка'!$B$4:$B$103)),"")</f>
        <v/>
      </c>
      <c r="C73" s="6" t="str">
        <f>IFERROR(AVERAGE('04_Оценка'!D73,'04_Оценка'!F73),"")</f>
        <v/>
      </c>
      <c r="D73" s="6" t="str">
        <f>IFERROR(AVERAGE('04_Оценка'!E73,'04_Оценка'!J73),"")</f>
        <v/>
      </c>
      <c r="E73" s="6" t="str">
        <f>IFERROR('04_Оценка'!N73,"")</f>
        <v/>
      </c>
      <c r="F73" s="2" t="str">
        <f>IFERROR('04_Оценка'!R73,"")</f>
        <v/>
      </c>
      <c r="G73" s="2" t="str">
        <f>IF(E73="","",IF(OR(F73="Недостаточно данных",C73="",D73=""),"Нет данных",IF(AND(C73&gt;=4,D73&gt;=4),"Ядро прямой конкуренции",IF(AND(C73&gt;=3,D73&gt;=3),"Близкая альтернатива",IF(C73&gt;=3,"Функциональный заменитель",IF(D73&gt;=3,"Аудиторное пересечение","Периферия"))))))</f>
        <v/>
      </c>
      <c r="H73" s="2"/>
      <c r="I73" s="2"/>
      <c r="J73" s="2" t="str">
        <f>IFERROR(IF(_xlfn.XLOOKUP(A73,'01_Компании'!$A$4:$A$103,'01_Компании'!$I$4:$I$103)="","",_xlfn.XLOOKUP(A73,'01_Компании'!$A$4:$A$103,'01_Компании'!$I$4:$I$103)),"")</f>
        <v/>
      </c>
      <c r="K73" s="2" t="str">
        <f>IFERROR(IF(_xlfn.XLOOKUP(A73,'04_Оценка'!$A$4:$A$103,'04_Оценка'!$S$4:$S$103)="","",_xlfn.XLOOKUP(A73,'04_Оценка'!$A$4:$A$103,'04_Оценка'!$S$4:$S$103)),"")</f>
        <v/>
      </c>
    </row>
    <row r="74" spans="1:11">
      <c r="A74" s="2" t="s">
        <v>151</v>
      </c>
      <c r="B74" s="2" t="str">
        <f>IFERROR(IF(_xlfn.XLOOKUP(A74,'04_Оценка'!$A$4:$A$103,'04_Оценка'!$B$4:$B$103)="","",_xlfn.XLOOKUP(A74,'04_Оценка'!$A$4:$A$103,'04_Оценка'!$B$4:$B$103)),"")</f>
        <v/>
      </c>
      <c r="C74" s="6" t="str">
        <f>IFERROR(AVERAGE('04_Оценка'!D74,'04_Оценка'!F74),"")</f>
        <v/>
      </c>
      <c r="D74" s="6" t="str">
        <f>IFERROR(AVERAGE('04_Оценка'!E74,'04_Оценка'!J74),"")</f>
        <v/>
      </c>
      <c r="E74" s="6" t="str">
        <f>IFERROR('04_Оценка'!N74,"")</f>
        <v/>
      </c>
      <c r="F74" s="2" t="str">
        <f>IFERROR('04_Оценка'!R74,"")</f>
        <v/>
      </c>
      <c r="G74" s="2" t="str">
        <f>IF(E74="","",IF(OR(F74="Недостаточно данных",C74="",D74=""),"Нет данных",IF(AND(C74&gt;=4,D74&gt;=4),"Ядро прямой конкуренции",IF(AND(C74&gt;=3,D74&gt;=3),"Близкая альтернатива",IF(C74&gt;=3,"Функциональный заменитель",IF(D74&gt;=3,"Аудиторное пересечение","Периферия"))))))</f>
        <v/>
      </c>
      <c r="H74" s="2"/>
      <c r="I74" s="2"/>
      <c r="J74" s="2" t="str">
        <f>IFERROR(IF(_xlfn.XLOOKUP(A74,'01_Компании'!$A$4:$A$103,'01_Компании'!$I$4:$I$103)="","",_xlfn.XLOOKUP(A74,'01_Компании'!$A$4:$A$103,'01_Компании'!$I$4:$I$103)),"")</f>
        <v/>
      </c>
      <c r="K74" s="2" t="str">
        <f>IFERROR(IF(_xlfn.XLOOKUP(A74,'04_Оценка'!$A$4:$A$103,'04_Оценка'!$S$4:$S$103)="","",_xlfn.XLOOKUP(A74,'04_Оценка'!$A$4:$A$103,'04_Оценка'!$S$4:$S$103)),"")</f>
        <v/>
      </c>
    </row>
    <row r="75" spans="1:11">
      <c r="A75" s="2" t="s">
        <v>152</v>
      </c>
      <c r="B75" s="2" t="str">
        <f>IFERROR(IF(_xlfn.XLOOKUP(A75,'04_Оценка'!$A$4:$A$103,'04_Оценка'!$B$4:$B$103)="","",_xlfn.XLOOKUP(A75,'04_Оценка'!$A$4:$A$103,'04_Оценка'!$B$4:$B$103)),"")</f>
        <v/>
      </c>
      <c r="C75" s="6" t="str">
        <f>IFERROR(AVERAGE('04_Оценка'!D75,'04_Оценка'!F75),"")</f>
        <v/>
      </c>
      <c r="D75" s="6" t="str">
        <f>IFERROR(AVERAGE('04_Оценка'!E75,'04_Оценка'!J75),"")</f>
        <v/>
      </c>
      <c r="E75" s="6" t="str">
        <f>IFERROR('04_Оценка'!N75,"")</f>
        <v/>
      </c>
      <c r="F75" s="2" t="str">
        <f>IFERROR('04_Оценка'!R75,"")</f>
        <v/>
      </c>
      <c r="G75" s="2" t="str">
        <f>IF(E75="","",IF(OR(F75="Недостаточно данных",C75="",D75=""),"Нет данных",IF(AND(C75&gt;=4,D75&gt;=4),"Ядро прямой конкуренции",IF(AND(C75&gt;=3,D75&gt;=3),"Близкая альтернатива",IF(C75&gt;=3,"Функциональный заменитель",IF(D75&gt;=3,"Аудиторное пересечение","Периферия"))))))</f>
        <v/>
      </c>
      <c r="H75" s="2"/>
      <c r="I75" s="2"/>
      <c r="J75" s="2" t="str">
        <f>IFERROR(IF(_xlfn.XLOOKUP(A75,'01_Компании'!$A$4:$A$103,'01_Компании'!$I$4:$I$103)="","",_xlfn.XLOOKUP(A75,'01_Компании'!$A$4:$A$103,'01_Компании'!$I$4:$I$103)),"")</f>
        <v/>
      </c>
      <c r="K75" s="2" t="str">
        <f>IFERROR(IF(_xlfn.XLOOKUP(A75,'04_Оценка'!$A$4:$A$103,'04_Оценка'!$S$4:$S$103)="","",_xlfn.XLOOKUP(A75,'04_Оценка'!$A$4:$A$103,'04_Оценка'!$S$4:$S$103)),"")</f>
        <v/>
      </c>
    </row>
    <row r="76" spans="1:11">
      <c r="A76" s="2" t="s">
        <v>153</v>
      </c>
      <c r="B76" s="2" t="str">
        <f>IFERROR(IF(_xlfn.XLOOKUP(A76,'04_Оценка'!$A$4:$A$103,'04_Оценка'!$B$4:$B$103)="","",_xlfn.XLOOKUP(A76,'04_Оценка'!$A$4:$A$103,'04_Оценка'!$B$4:$B$103)),"")</f>
        <v/>
      </c>
      <c r="C76" s="6" t="str">
        <f>IFERROR(AVERAGE('04_Оценка'!D76,'04_Оценка'!F76),"")</f>
        <v/>
      </c>
      <c r="D76" s="6" t="str">
        <f>IFERROR(AVERAGE('04_Оценка'!E76,'04_Оценка'!J76),"")</f>
        <v/>
      </c>
      <c r="E76" s="6" t="str">
        <f>IFERROR('04_Оценка'!N76,"")</f>
        <v/>
      </c>
      <c r="F76" s="2" t="str">
        <f>IFERROR('04_Оценка'!R76,"")</f>
        <v/>
      </c>
      <c r="G76" s="2" t="str">
        <f>IF(E76="","",IF(OR(F76="Недостаточно данных",C76="",D76=""),"Нет данных",IF(AND(C76&gt;=4,D76&gt;=4),"Ядро прямой конкуренции",IF(AND(C76&gt;=3,D76&gt;=3),"Близкая альтернатива",IF(C76&gt;=3,"Функциональный заменитель",IF(D76&gt;=3,"Аудиторное пересечение","Периферия"))))))</f>
        <v/>
      </c>
      <c r="H76" s="2"/>
      <c r="I76" s="2"/>
      <c r="J76" s="2" t="str">
        <f>IFERROR(IF(_xlfn.XLOOKUP(A76,'01_Компании'!$A$4:$A$103,'01_Компании'!$I$4:$I$103)="","",_xlfn.XLOOKUP(A76,'01_Компании'!$A$4:$A$103,'01_Компании'!$I$4:$I$103)),"")</f>
        <v/>
      </c>
      <c r="K76" s="2" t="str">
        <f>IFERROR(IF(_xlfn.XLOOKUP(A76,'04_Оценка'!$A$4:$A$103,'04_Оценка'!$S$4:$S$103)="","",_xlfn.XLOOKUP(A76,'04_Оценка'!$A$4:$A$103,'04_Оценка'!$S$4:$S$103)),"")</f>
        <v/>
      </c>
    </row>
    <row r="77" spans="1:11">
      <c r="A77" s="2" t="s">
        <v>154</v>
      </c>
      <c r="B77" s="2" t="str">
        <f>IFERROR(IF(_xlfn.XLOOKUP(A77,'04_Оценка'!$A$4:$A$103,'04_Оценка'!$B$4:$B$103)="","",_xlfn.XLOOKUP(A77,'04_Оценка'!$A$4:$A$103,'04_Оценка'!$B$4:$B$103)),"")</f>
        <v/>
      </c>
      <c r="C77" s="6" t="str">
        <f>IFERROR(AVERAGE('04_Оценка'!D77,'04_Оценка'!F77),"")</f>
        <v/>
      </c>
      <c r="D77" s="6" t="str">
        <f>IFERROR(AVERAGE('04_Оценка'!E77,'04_Оценка'!J77),"")</f>
        <v/>
      </c>
      <c r="E77" s="6" t="str">
        <f>IFERROR('04_Оценка'!N77,"")</f>
        <v/>
      </c>
      <c r="F77" s="2" t="str">
        <f>IFERROR('04_Оценка'!R77,"")</f>
        <v/>
      </c>
      <c r="G77" s="2" t="str">
        <f>IF(E77="","",IF(OR(F77="Недостаточно данных",C77="",D77=""),"Нет данных",IF(AND(C77&gt;=4,D77&gt;=4),"Ядро прямой конкуренции",IF(AND(C77&gt;=3,D77&gt;=3),"Близкая альтернатива",IF(C77&gt;=3,"Функциональный заменитель",IF(D77&gt;=3,"Аудиторное пересечение","Периферия"))))))</f>
        <v/>
      </c>
      <c r="H77" s="2"/>
      <c r="I77" s="2"/>
      <c r="J77" s="2" t="str">
        <f>IFERROR(IF(_xlfn.XLOOKUP(A77,'01_Компании'!$A$4:$A$103,'01_Компании'!$I$4:$I$103)="","",_xlfn.XLOOKUP(A77,'01_Компании'!$A$4:$A$103,'01_Компании'!$I$4:$I$103)),"")</f>
        <v/>
      </c>
      <c r="K77" s="2" t="str">
        <f>IFERROR(IF(_xlfn.XLOOKUP(A77,'04_Оценка'!$A$4:$A$103,'04_Оценка'!$S$4:$S$103)="","",_xlfn.XLOOKUP(A77,'04_Оценка'!$A$4:$A$103,'04_Оценка'!$S$4:$S$103)),"")</f>
        <v/>
      </c>
    </row>
    <row r="78" spans="1:11">
      <c r="A78" s="2" t="s">
        <v>155</v>
      </c>
      <c r="B78" s="2" t="str">
        <f>IFERROR(IF(_xlfn.XLOOKUP(A78,'04_Оценка'!$A$4:$A$103,'04_Оценка'!$B$4:$B$103)="","",_xlfn.XLOOKUP(A78,'04_Оценка'!$A$4:$A$103,'04_Оценка'!$B$4:$B$103)),"")</f>
        <v/>
      </c>
      <c r="C78" s="6" t="str">
        <f>IFERROR(AVERAGE('04_Оценка'!D78,'04_Оценка'!F78),"")</f>
        <v/>
      </c>
      <c r="D78" s="6" t="str">
        <f>IFERROR(AVERAGE('04_Оценка'!E78,'04_Оценка'!J78),"")</f>
        <v/>
      </c>
      <c r="E78" s="6" t="str">
        <f>IFERROR('04_Оценка'!N78,"")</f>
        <v/>
      </c>
      <c r="F78" s="2" t="str">
        <f>IFERROR('04_Оценка'!R78,"")</f>
        <v/>
      </c>
      <c r="G78" s="2" t="str">
        <f>IF(E78="","",IF(OR(F78="Недостаточно данных",C78="",D78=""),"Нет данных",IF(AND(C78&gt;=4,D78&gt;=4),"Ядро прямой конкуренции",IF(AND(C78&gt;=3,D78&gt;=3),"Близкая альтернатива",IF(C78&gt;=3,"Функциональный заменитель",IF(D78&gt;=3,"Аудиторное пересечение","Периферия"))))))</f>
        <v/>
      </c>
      <c r="H78" s="2"/>
      <c r="I78" s="2"/>
      <c r="J78" s="2" t="str">
        <f>IFERROR(IF(_xlfn.XLOOKUP(A78,'01_Компании'!$A$4:$A$103,'01_Компании'!$I$4:$I$103)="","",_xlfn.XLOOKUP(A78,'01_Компании'!$A$4:$A$103,'01_Компании'!$I$4:$I$103)),"")</f>
        <v/>
      </c>
      <c r="K78" s="2" t="str">
        <f>IFERROR(IF(_xlfn.XLOOKUP(A78,'04_Оценка'!$A$4:$A$103,'04_Оценка'!$S$4:$S$103)="","",_xlfn.XLOOKUP(A78,'04_Оценка'!$A$4:$A$103,'04_Оценка'!$S$4:$S$103)),"")</f>
        <v/>
      </c>
    </row>
    <row r="79" spans="1:11">
      <c r="A79" s="2" t="s">
        <v>156</v>
      </c>
      <c r="B79" s="2" t="str">
        <f>IFERROR(IF(_xlfn.XLOOKUP(A79,'04_Оценка'!$A$4:$A$103,'04_Оценка'!$B$4:$B$103)="","",_xlfn.XLOOKUP(A79,'04_Оценка'!$A$4:$A$103,'04_Оценка'!$B$4:$B$103)),"")</f>
        <v/>
      </c>
      <c r="C79" s="6" t="str">
        <f>IFERROR(AVERAGE('04_Оценка'!D79,'04_Оценка'!F79),"")</f>
        <v/>
      </c>
      <c r="D79" s="6" t="str">
        <f>IFERROR(AVERAGE('04_Оценка'!E79,'04_Оценка'!J79),"")</f>
        <v/>
      </c>
      <c r="E79" s="6" t="str">
        <f>IFERROR('04_Оценка'!N79,"")</f>
        <v/>
      </c>
      <c r="F79" s="2" t="str">
        <f>IFERROR('04_Оценка'!R79,"")</f>
        <v/>
      </c>
      <c r="G79" s="2" t="str">
        <f>IF(E79="","",IF(OR(F79="Недостаточно данных",C79="",D79=""),"Нет данных",IF(AND(C79&gt;=4,D79&gt;=4),"Ядро прямой конкуренции",IF(AND(C79&gt;=3,D79&gt;=3),"Близкая альтернатива",IF(C79&gt;=3,"Функциональный заменитель",IF(D79&gt;=3,"Аудиторное пересечение","Периферия"))))))</f>
        <v/>
      </c>
      <c r="H79" s="2"/>
      <c r="I79" s="2"/>
      <c r="J79" s="2" t="str">
        <f>IFERROR(IF(_xlfn.XLOOKUP(A79,'01_Компании'!$A$4:$A$103,'01_Компании'!$I$4:$I$103)="","",_xlfn.XLOOKUP(A79,'01_Компании'!$A$4:$A$103,'01_Компании'!$I$4:$I$103)),"")</f>
        <v/>
      </c>
      <c r="K79" s="2" t="str">
        <f>IFERROR(IF(_xlfn.XLOOKUP(A79,'04_Оценка'!$A$4:$A$103,'04_Оценка'!$S$4:$S$103)="","",_xlfn.XLOOKUP(A79,'04_Оценка'!$A$4:$A$103,'04_Оценка'!$S$4:$S$103)),"")</f>
        <v/>
      </c>
    </row>
    <row r="80" spans="1:11">
      <c r="A80" s="2" t="s">
        <v>157</v>
      </c>
      <c r="B80" s="2" t="str">
        <f>IFERROR(IF(_xlfn.XLOOKUP(A80,'04_Оценка'!$A$4:$A$103,'04_Оценка'!$B$4:$B$103)="","",_xlfn.XLOOKUP(A80,'04_Оценка'!$A$4:$A$103,'04_Оценка'!$B$4:$B$103)),"")</f>
        <v/>
      </c>
      <c r="C80" s="6" t="str">
        <f>IFERROR(AVERAGE('04_Оценка'!D80,'04_Оценка'!F80),"")</f>
        <v/>
      </c>
      <c r="D80" s="6" t="str">
        <f>IFERROR(AVERAGE('04_Оценка'!E80,'04_Оценка'!J80),"")</f>
        <v/>
      </c>
      <c r="E80" s="6" t="str">
        <f>IFERROR('04_Оценка'!N80,"")</f>
        <v/>
      </c>
      <c r="F80" s="2" t="str">
        <f>IFERROR('04_Оценка'!R80,"")</f>
        <v/>
      </c>
      <c r="G80" s="2" t="str">
        <f>IF(E80="","",IF(OR(F80="Недостаточно данных",C80="",D80=""),"Нет данных",IF(AND(C80&gt;=4,D80&gt;=4),"Ядро прямой конкуренции",IF(AND(C80&gt;=3,D80&gt;=3),"Близкая альтернатива",IF(C80&gt;=3,"Функциональный заменитель",IF(D80&gt;=3,"Аудиторное пересечение","Периферия"))))))</f>
        <v/>
      </c>
      <c r="H80" s="2"/>
      <c r="I80" s="2"/>
      <c r="J80" s="2" t="str">
        <f>IFERROR(IF(_xlfn.XLOOKUP(A80,'01_Компании'!$A$4:$A$103,'01_Компании'!$I$4:$I$103)="","",_xlfn.XLOOKUP(A80,'01_Компании'!$A$4:$A$103,'01_Компании'!$I$4:$I$103)),"")</f>
        <v/>
      </c>
      <c r="K80" s="2" t="str">
        <f>IFERROR(IF(_xlfn.XLOOKUP(A80,'04_Оценка'!$A$4:$A$103,'04_Оценка'!$S$4:$S$103)="","",_xlfn.XLOOKUP(A80,'04_Оценка'!$A$4:$A$103,'04_Оценка'!$S$4:$S$103)),"")</f>
        <v/>
      </c>
    </row>
    <row r="81" spans="1:11">
      <c r="A81" s="2" t="s">
        <v>158</v>
      </c>
      <c r="B81" s="2" t="str">
        <f>IFERROR(IF(_xlfn.XLOOKUP(A81,'04_Оценка'!$A$4:$A$103,'04_Оценка'!$B$4:$B$103)="","",_xlfn.XLOOKUP(A81,'04_Оценка'!$A$4:$A$103,'04_Оценка'!$B$4:$B$103)),"")</f>
        <v/>
      </c>
      <c r="C81" s="6" t="str">
        <f>IFERROR(AVERAGE('04_Оценка'!D81,'04_Оценка'!F81),"")</f>
        <v/>
      </c>
      <c r="D81" s="6" t="str">
        <f>IFERROR(AVERAGE('04_Оценка'!E81,'04_Оценка'!J81),"")</f>
        <v/>
      </c>
      <c r="E81" s="6" t="str">
        <f>IFERROR('04_Оценка'!N81,"")</f>
        <v/>
      </c>
      <c r="F81" s="2" t="str">
        <f>IFERROR('04_Оценка'!R81,"")</f>
        <v/>
      </c>
      <c r="G81" s="2" t="str">
        <f>IF(E81="","",IF(OR(F81="Недостаточно данных",C81="",D81=""),"Нет данных",IF(AND(C81&gt;=4,D81&gt;=4),"Ядро прямой конкуренции",IF(AND(C81&gt;=3,D81&gt;=3),"Близкая альтернатива",IF(C81&gt;=3,"Функциональный заменитель",IF(D81&gt;=3,"Аудиторное пересечение","Периферия"))))))</f>
        <v/>
      </c>
      <c r="H81" s="2"/>
      <c r="I81" s="2"/>
      <c r="J81" s="2" t="str">
        <f>IFERROR(IF(_xlfn.XLOOKUP(A81,'01_Компании'!$A$4:$A$103,'01_Компании'!$I$4:$I$103)="","",_xlfn.XLOOKUP(A81,'01_Компании'!$A$4:$A$103,'01_Компании'!$I$4:$I$103)),"")</f>
        <v/>
      </c>
      <c r="K81" s="2" t="str">
        <f>IFERROR(IF(_xlfn.XLOOKUP(A81,'04_Оценка'!$A$4:$A$103,'04_Оценка'!$S$4:$S$103)="","",_xlfn.XLOOKUP(A81,'04_Оценка'!$A$4:$A$103,'04_Оценка'!$S$4:$S$103)),"")</f>
        <v/>
      </c>
    </row>
    <row r="82" spans="1:11">
      <c r="A82" s="2" t="s">
        <v>159</v>
      </c>
      <c r="B82" s="2" t="str">
        <f>IFERROR(IF(_xlfn.XLOOKUP(A82,'04_Оценка'!$A$4:$A$103,'04_Оценка'!$B$4:$B$103)="","",_xlfn.XLOOKUP(A82,'04_Оценка'!$A$4:$A$103,'04_Оценка'!$B$4:$B$103)),"")</f>
        <v/>
      </c>
      <c r="C82" s="6" t="str">
        <f>IFERROR(AVERAGE('04_Оценка'!D82,'04_Оценка'!F82),"")</f>
        <v/>
      </c>
      <c r="D82" s="6" t="str">
        <f>IFERROR(AVERAGE('04_Оценка'!E82,'04_Оценка'!J82),"")</f>
        <v/>
      </c>
      <c r="E82" s="6" t="str">
        <f>IFERROR('04_Оценка'!N82,"")</f>
        <v/>
      </c>
      <c r="F82" s="2" t="str">
        <f>IFERROR('04_Оценка'!R82,"")</f>
        <v/>
      </c>
      <c r="G82" s="2" t="str">
        <f>IF(E82="","",IF(OR(F82="Недостаточно данных",C82="",D82=""),"Нет данных",IF(AND(C82&gt;=4,D82&gt;=4),"Ядро прямой конкуренции",IF(AND(C82&gt;=3,D82&gt;=3),"Близкая альтернатива",IF(C82&gt;=3,"Функциональный заменитель",IF(D82&gt;=3,"Аудиторное пересечение","Периферия"))))))</f>
        <v/>
      </c>
      <c r="H82" s="2"/>
      <c r="I82" s="2"/>
      <c r="J82" s="2" t="str">
        <f>IFERROR(IF(_xlfn.XLOOKUP(A82,'01_Компании'!$A$4:$A$103,'01_Компании'!$I$4:$I$103)="","",_xlfn.XLOOKUP(A82,'01_Компании'!$A$4:$A$103,'01_Компании'!$I$4:$I$103)),"")</f>
        <v/>
      </c>
      <c r="K82" s="2" t="str">
        <f>IFERROR(IF(_xlfn.XLOOKUP(A82,'04_Оценка'!$A$4:$A$103,'04_Оценка'!$S$4:$S$103)="","",_xlfn.XLOOKUP(A82,'04_Оценка'!$A$4:$A$103,'04_Оценка'!$S$4:$S$103)),"")</f>
        <v/>
      </c>
    </row>
    <row r="83" spans="1:11">
      <c r="A83" s="2" t="s">
        <v>160</v>
      </c>
      <c r="B83" s="2" t="str">
        <f>IFERROR(IF(_xlfn.XLOOKUP(A83,'04_Оценка'!$A$4:$A$103,'04_Оценка'!$B$4:$B$103)="","",_xlfn.XLOOKUP(A83,'04_Оценка'!$A$4:$A$103,'04_Оценка'!$B$4:$B$103)),"")</f>
        <v/>
      </c>
      <c r="C83" s="6" t="str">
        <f>IFERROR(AVERAGE('04_Оценка'!D83,'04_Оценка'!F83),"")</f>
        <v/>
      </c>
      <c r="D83" s="6" t="str">
        <f>IFERROR(AVERAGE('04_Оценка'!E83,'04_Оценка'!J83),"")</f>
        <v/>
      </c>
      <c r="E83" s="6" t="str">
        <f>IFERROR('04_Оценка'!N83,"")</f>
        <v/>
      </c>
      <c r="F83" s="2" t="str">
        <f>IFERROR('04_Оценка'!R83,"")</f>
        <v/>
      </c>
      <c r="G83" s="2" t="str">
        <f>IF(E83="","",IF(OR(F83="Недостаточно данных",C83="",D83=""),"Нет данных",IF(AND(C83&gt;=4,D83&gt;=4),"Ядро прямой конкуренции",IF(AND(C83&gt;=3,D83&gt;=3),"Близкая альтернатива",IF(C83&gt;=3,"Функциональный заменитель",IF(D83&gt;=3,"Аудиторное пересечение","Периферия"))))))</f>
        <v/>
      </c>
      <c r="H83" s="2"/>
      <c r="I83" s="2"/>
      <c r="J83" s="2" t="str">
        <f>IFERROR(IF(_xlfn.XLOOKUP(A83,'01_Компании'!$A$4:$A$103,'01_Компании'!$I$4:$I$103)="","",_xlfn.XLOOKUP(A83,'01_Компании'!$A$4:$A$103,'01_Компании'!$I$4:$I$103)),"")</f>
        <v/>
      </c>
      <c r="K83" s="2" t="str">
        <f>IFERROR(IF(_xlfn.XLOOKUP(A83,'04_Оценка'!$A$4:$A$103,'04_Оценка'!$S$4:$S$103)="","",_xlfn.XLOOKUP(A83,'04_Оценка'!$A$4:$A$103,'04_Оценка'!$S$4:$S$103)),"")</f>
        <v/>
      </c>
    </row>
    <row r="84" spans="1:11">
      <c r="A84" s="2" t="s">
        <v>161</v>
      </c>
      <c r="B84" s="2" t="str">
        <f>IFERROR(IF(_xlfn.XLOOKUP(A84,'04_Оценка'!$A$4:$A$103,'04_Оценка'!$B$4:$B$103)="","",_xlfn.XLOOKUP(A84,'04_Оценка'!$A$4:$A$103,'04_Оценка'!$B$4:$B$103)),"")</f>
        <v/>
      </c>
      <c r="C84" s="6" t="str">
        <f>IFERROR(AVERAGE('04_Оценка'!D84,'04_Оценка'!F84),"")</f>
        <v/>
      </c>
      <c r="D84" s="6" t="str">
        <f>IFERROR(AVERAGE('04_Оценка'!E84,'04_Оценка'!J84),"")</f>
        <v/>
      </c>
      <c r="E84" s="6" t="str">
        <f>IFERROR('04_Оценка'!N84,"")</f>
        <v/>
      </c>
      <c r="F84" s="2" t="str">
        <f>IFERROR('04_Оценка'!R84,"")</f>
        <v/>
      </c>
      <c r="G84" s="2" t="str">
        <f>IF(E84="","",IF(OR(F84="Недостаточно данных",C84="",D84=""),"Нет данных",IF(AND(C84&gt;=4,D84&gt;=4),"Ядро прямой конкуренции",IF(AND(C84&gt;=3,D84&gt;=3),"Близкая альтернатива",IF(C84&gt;=3,"Функциональный заменитель",IF(D84&gt;=3,"Аудиторное пересечение","Периферия"))))))</f>
        <v/>
      </c>
      <c r="H84" s="2"/>
      <c r="I84" s="2"/>
      <c r="J84" s="2" t="str">
        <f>IFERROR(IF(_xlfn.XLOOKUP(A84,'01_Компании'!$A$4:$A$103,'01_Компании'!$I$4:$I$103)="","",_xlfn.XLOOKUP(A84,'01_Компании'!$A$4:$A$103,'01_Компании'!$I$4:$I$103)),"")</f>
        <v/>
      </c>
      <c r="K84" s="2" t="str">
        <f>IFERROR(IF(_xlfn.XLOOKUP(A84,'04_Оценка'!$A$4:$A$103,'04_Оценка'!$S$4:$S$103)="","",_xlfn.XLOOKUP(A84,'04_Оценка'!$A$4:$A$103,'04_Оценка'!$S$4:$S$103)),"")</f>
        <v/>
      </c>
    </row>
    <row r="85" spans="1:11">
      <c r="A85" s="2" t="s">
        <v>162</v>
      </c>
      <c r="B85" s="2" t="str">
        <f>IFERROR(IF(_xlfn.XLOOKUP(A85,'04_Оценка'!$A$4:$A$103,'04_Оценка'!$B$4:$B$103)="","",_xlfn.XLOOKUP(A85,'04_Оценка'!$A$4:$A$103,'04_Оценка'!$B$4:$B$103)),"")</f>
        <v/>
      </c>
      <c r="C85" s="6" t="str">
        <f>IFERROR(AVERAGE('04_Оценка'!D85,'04_Оценка'!F85),"")</f>
        <v/>
      </c>
      <c r="D85" s="6" t="str">
        <f>IFERROR(AVERAGE('04_Оценка'!E85,'04_Оценка'!J85),"")</f>
        <v/>
      </c>
      <c r="E85" s="6" t="str">
        <f>IFERROR('04_Оценка'!N85,"")</f>
        <v/>
      </c>
      <c r="F85" s="2" t="str">
        <f>IFERROR('04_Оценка'!R85,"")</f>
        <v/>
      </c>
      <c r="G85" s="2" t="str">
        <f>IF(E85="","",IF(OR(F85="Недостаточно данных",C85="",D85=""),"Нет данных",IF(AND(C85&gt;=4,D85&gt;=4),"Ядро прямой конкуренции",IF(AND(C85&gt;=3,D85&gt;=3),"Близкая альтернатива",IF(C85&gt;=3,"Функциональный заменитель",IF(D85&gt;=3,"Аудиторное пересечение","Периферия"))))))</f>
        <v/>
      </c>
      <c r="H85" s="2"/>
      <c r="I85" s="2"/>
      <c r="J85" s="2" t="str">
        <f>IFERROR(IF(_xlfn.XLOOKUP(A85,'01_Компании'!$A$4:$A$103,'01_Компании'!$I$4:$I$103)="","",_xlfn.XLOOKUP(A85,'01_Компании'!$A$4:$A$103,'01_Компании'!$I$4:$I$103)),"")</f>
        <v/>
      </c>
      <c r="K85" s="2" t="str">
        <f>IFERROR(IF(_xlfn.XLOOKUP(A85,'04_Оценка'!$A$4:$A$103,'04_Оценка'!$S$4:$S$103)="","",_xlfn.XLOOKUP(A85,'04_Оценка'!$A$4:$A$103,'04_Оценка'!$S$4:$S$103)),"")</f>
        <v/>
      </c>
    </row>
    <row r="86" spans="1:11">
      <c r="A86" s="2" t="s">
        <v>163</v>
      </c>
      <c r="B86" s="2" t="str">
        <f>IFERROR(IF(_xlfn.XLOOKUP(A86,'04_Оценка'!$A$4:$A$103,'04_Оценка'!$B$4:$B$103)="","",_xlfn.XLOOKUP(A86,'04_Оценка'!$A$4:$A$103,'04_Оценка'!$B$4:$B$103)),"")</f>
        <v/>
      </c>
      <c r="C86" s="6" t="str">
        <f>IFERROR(AVERAGE('04_Оценка'!D86,'04_Оценка'!F86),"")</f>
        <v/>
      </c>
      <c r="D86" s="6" t="str">
        <f>IFERROR(AVERAGE('04_Оценка'!E86,'04_Оценка'!J86),"")</f>
        <v/>
      </c>
      <c r="E86" s="6" t="str">
        <f>IFERROR('04_Оценка'!N86,"")</f>
        <v/>
      </c>
      <c r="F86" s="2" t="str">
        <f>IFERROR('04_Оценка'!R86,"")</f>
        <v/>
      </c>
      <c r="G86" s="2" t="str">
        <f>IF(E86="","",IF(OR(F86="Недостаточно данных",C86="",D86=""),"Нет данных",IF(AND(C86&gt;=4,D86&gt;=4),"Ядро прямой конкуренции",IF(AND(C86&gt;=3,D86&gt;=3),"Близкая альтернатива",IF(C86&gt;=3,"Функциональный заменитель",IF(D86&gt;=3,"Аудиторное пересечение","Периферия"))))))</f>
        <v/>
      </c>
      <c r="H86" s="2"/>
      <c r="I86" s="2"/>
      <c r="J86" s="2" t="str">
        <f>IFERROR(IF(_xlfn.XLOOKUP(A86,'01_Компании'!$A$4:$A$103,'01_Компании'!$I$4:$I$103)="","",_xlfn.XLOOKUP(A86,'01_Компании'!$A$4:$A$103,'01_Компании'!$I$4:$I$103)),"")</f>
        <v/>
      </c>
      <c r="K86" s="2" t="str">
        <f>IFERROR(IF(_xlfn.XLOOKUP(A86,'04_Оценка'!$A$4:$A$103,'04_Оценка'!$S$4:$S$103)="","",_xlfn.XLOOKUP(A86,'04_Оценка'!$A$4:$A$103,'04_Оценка'!$S$4:$S$103)),"")</f>
        <v/>
      </c>
    </row>
    <row r="87" spans="1:11">
      <c r="A87" s="2" t="s">
        <v>164</v>
      </c>
      <c r="B87" s="2" t="str">
        <f>IFERROR(IF(_xlfn.XLOOKUP(A87,'04_Оценка'!$A$4:$A$103,'04_Оценка'!$B$4:$B$103)="","",_xlfn.XLOOKUP(A87,'04_Оценка'!$A$4:$A$103,'04_Оценка'!$B$4:$B$103)),"")</f>
        <v/>
      </c>
      <c r="C87" s="6" t="str">
        <f>IFERROR(AVERAGE('04_Оценка'!D87,'04_Оценка'!F87),"")</f>
        <v/>
      </c>
      <c r="D87" s="6" t="str">
        <f>IFERROR(AVERAGE('04_Оценка'!E87,'04_Оценка'!J87),"")</f>
        <v/>
      </c>
      <c r="E87" s="6" t="str">
        <f>IFERROR('04_Оценка'!N87,"")</f>
        <v/>
      </c>
      <c r="F87" s="2" t="str">
        <f>IFERROR('04_Оценка'!R87,"")</f>
        <v/>
      </c>
      <c r="G87" s="2" t="str">
        <f>IF(E87="","",IF(OR(F87="Недостаточно данных",C87="",D87=""),"Нет данных",IF(AND(C87&gt;=4,D87&gt;=4),"Ядро прямой конкуренции",IF(AND(C87&gt;=3,D87&gt;=3),"Близкая альтернатива",IF(C87&gt;=3,"Функциональный заменитель",IF(D87&gt;=3,"Аудиторное пересечение","Периферия"))))))</f>
        <v/>
      </c>
      <c r="H87" s="2"/>
      <c r="I87" s="2"/>
      <c r="J87" s="2" t="str">
        <f>IFERROR(IF(_xlfn.XLOOKUP(A87,'01_Компании'!$A$4:$A$103,'01_Компании'!$I$4:$I$103)="","",_xlfn.XLOOKUP(A87,'01_Компании'!$A$4:$A$103,'01_Компании'!$I$4:$I$103)),"")</f>
        <v/>
      </c>
      <c r="K87" s="2" t="str">
        <f>IFERROR(IF(_xlfn.XLOOKUP(A87,'04_Оценка'!$A$4:$A$103,'04_Оценка'!$S$4:$S$103)="","",_xlfn.XLOOKUP(A87,'04_Оценка'!$A$4:$A$103,'04_Оценка'!$S$4:$S$103)),"")</f>
        <v/>
      </c>
    </row>
    <row r="88" spans="1:11">
      <c r="A88" s="2" t="s">
        <v>165</v>
      </c>
      <c r="B88" s="2" t="str">
        <f>IFERROR(IF(_xlfn.XLOOKUP(A88,'04_Оценка'!$A$4:$A$103,'04_Оценка'!$B$4:$B$103)="","",_xlfn.XLOOKUP(A88,'04_Оценка'!$A$4:$A$103,'04_Оценка'!$B$4:$B$103)),"")</f>
        <v/>
      </c>
      <c r="C88" s="6" t="str">
        <f>IFERROR(AVERAGE('04_Оценка'!D88,'04_Оценка'!F88),"")</f>
        <v/>
      </c>
      <c r="D88" s="6" t="str">
        <f>IFERROR(AVERAGE('04_Оценка'!E88,'04_Оценка'!J88),"")</f>
        <v/>
      </c>
      <c r="E88" s="6" t="str">
        <f>IFERROR('04_Оценка'!N88,"")</f>
        <v/>
      </c>
      <c r="F88" s="2" t="str">
        <f>IFERROR('04_Оценка'!R88,"")</f>
        <v/>
      </c>
      <c r="G88" s="2" t="str">
        <f>IF(E88="","",IF(OR(F88="Недостаточно данных",C88="",D88=""),"Нет данных",IF(AND(C88&gt;=4,D88&gt;=4),"Ядро прямой конкуренции",IF(AND(C88&gt;=3,D88&gt;=3),"Близкая альтернатива",IF(C88&gt;=3,"Функциональный заменитель",IF(D88&gt;=3,"Аудиторное пересечение","Периферия"))))))</f>
        <v/>
      </c>
      <c r="H88" s="2"/>
      <c r="I88" s="2"/>
      <c r="J88" s="2" t="str">
        <f>IFERROR(IF(_xlfn.XLOOKUP(A88,'01_Компании'!$A$4:$A$103,'01_Компании'!$I$4:$I$103)="","",_xlfn.XLOOKUP(A88,'01_Компании'!$A$4:$A$103,'01_Компании'!$I$4:$I$103)),"")</f>
        <v/>
      </c>
      <c r="K88" s="2" t="str">
        <f>IFERROR(IF(_xlfn.XLOOKUP(A88,'04_Оценка'!$A$4:$A$103,'04_Оценка'!$S$4:$S$103)="","",_xlfn.XLOOKUP(A88,'04_Оценка'!$A$4:$A$103,'04_Оценка'!$S$4:$S$103)),"")</f>
        <v/>
      </c>
    </row>
    <row r="89" spans="1:11">
      <c r="A89" s="2" t="s">
        <v>166</v>
      </c>
      <c r="B89" s="2" t="str">
        <f>IFERROR(IF(_xlfn.XLOOKUP(A89,'04_Оценка'!$A$4:$A$103,'04_Оценка'!$B$4:$B$103)="","",_xlfn.XLOOKUP(A89,'04_Оценка'!$A$4:$A$103,'04_Оценка'!$B$4:$B$103)),"")</f>
        <v/>
      </c>
      <c r="C89" s="6" t="str">
        <f>IFERROR(AVERAGE('04_Оценка'!D89,'04_Оценка'!F89),"")</f>
        <v/>
      </c>
      <c r="D89" s="6" t="str">
        <f>IFERROR(AVERAGE('04_Оценка'!E89,'04_Оценка'!J89),"")</f>
        <v/>
      </c>
      <c r="E89" s="6" t="str">
        <f>IFERROR('04_Оценка'!N89,"")</f>
        <v/>
      </c>
      <c r="F89" s="2" t="str">
        <f>IFERROR('04_Оценка'!R89,"")</f>
        <v/>
      </c>
      <c r="G89" s="2" t="str">
        <f>IF(E89="","",IF(OR(F89="Недостаточно данных",C89="",D89=""),"Нет данных",IF(AND(C89&gt;=4,D89&gt;=4),"Ядро прямой конкуренции",IF(AND(C89&gt;=3,D89&gt;=3),"Близкая альтернатива",IF(C89&gt;=3,"Функциональный заменитель",IF(D89&gt;=3,"Аудиторное пересечение","Периферия"))))))</f>
        <v/>
      </c>
      <c r="H89" s="2"/>
      <c r="I89" s="2"/>
      <c r="J89" s="2" t="str">
        <f>IFERROR(IF(_xlfn.XLOOKUP(A89,'01_Компании'!$A$4:$A$103,'01_Компании'!$I$4:$I$103)="","",_xlfn.XLOOKUP(A89,'01_Компании'!$A$4:$A$103,'01_Компании'!$I$4:$I$103)),"")</f>
        <v/>
      </c>
      <c r="K89" s="2" t="str">
        <f>IFERROR(IF(_xlfn.XLOOKUP(A89,'04_Оценка'!$A$4:$A$103,'04_Оценка'!$S$4:$S$103)="","",_xlfn.XLOOKUP(A89,'04_Оценка'!$A$4:$A$103,'04_Оценка'!$S$4:$S$103)),"")</f>
        <v/>
      </c>
    </row>
    <row r="90" spans="1:11">
      <c r="A90" s="2" t="s">
        <v>167</v>
      </c>
      <c r="B90" s="2" t="str">
        <f>IFERROR(IF(_xlfn.XLOOKUP(A90,'04_Оценка'!$A$4:$A$103,'04_Оценка'!$B$4:$B$103)="","",_xlfn.XLOOKUP(A90,'04_Оценка'!$A$4:$A$103,'04_Оценка'!$B$4:$B$103)),"")</f>
        <v/>
      </c>
      <c r="C90" s="6" t="str">
        <f>IFERROR(AVERAGE('04_Оценка'!D90,'04_Оценка'!F90),"")</f>
        <v/>
      </c>
      <c r="D90" s="6" t="str">
        <f>IFERROR(AVERAGE('04_Оценка'!E90,'04_Оценка'!J90),"")</f>
        <v/>
      </c>
      <c r="E90" s="6" t="str">
        <f>IFERROR('04_Оценка'!N90,"")</f>
        <v/>
      </c>
      <c r="F90" s="2" t="str">
        <f>IFERROR('04_Оценка'!R90,"")</f>
        <v/>
      </c>
      <c r="G90" s="2" t="str">
        <f>IF(E90="","",IF(OR(F90="Недостаточно данных",C90="",D90=""),"Нет данных",IF(AND(C90&gt;=4,D90&gt;=4),"Ядро прямой конкуренции",IF(AND(C90&gt;=3,D90&gt;=3),"Близкая альтернатива",IF(C90&gt;=3,"Функциональный заменитель",IF(D90&gt;=3,"Аудиторное пересечение","Периферия"))))))</f>
        <v/>
      </c>
      <c r="H90" s="2"/>
      <c r="I90" s="2"/>
      <c r="J90" s="2" t="str">
        <f>IFERROR(IF(_xlfn.XLOOKUP(A90,'01_Компании'!$A$4:$A$103,'01_Компании'!$I$4:$I$103)="","",_xlfn.XLOOKUP(A90,'01_Компании'!$A$4:$A$103,'01_Компании'!$I$4:$I$103)),"")</f>
        <v/>
      </c>
      <c r="K90" s="2" t="str">
        <f>IFERROR(IF(_xlfn.XLOOKUP(A90,'04_Оценка'!$A$4:$A$103,'04_Оценка'!$S$4:$S$103)="","",_xlfn.XLOOKUP(A90,'04_Оценка'!$A$4:$A$103,'04_Оценка'!$S$4:$S$103)),"")</f>
        <v/>
      </c>
    </row>
    <row r="91" spans="1:11">
      <c r="A91" s="2" t="s">
        <v>168</v>
      </c>
      <c r="B91" s="2" t="str">
        <f>IFERROR(IF(_xlfn.XLOOKUP(A91,'04_Оценка'!$A$4:$A$103,'04_Оценка'!$B$4:$B$103)="","",_xlfn.XLOOKUP(A91,'04_Оценка'!$A$4:$A$103,'04_Оценка'!$B$4:$B$103)),"")</f>
        <v/>
      </c>
      <c r="C91" s="6" t="str">
        <f>IFERROR(AVERAGE('04_Оценка'!D91,'04_Оценка'!F91),"")</f>
        <v/>
      </c>
      <c r="D91" s="6" t="str">
        <f>IFERROR(AVERAGE('04_Оценка'!E91,'04_Оценка'!J91),"")</f>
        <v/>
      </c>
      <c r="E91" s="6" t="str">
        <f>IFERROR('04_Оценка'!N91,"")</f>
        <v/>
      </c>
      <c r="F91" s="2" t="str">
        <f>IFERROR('04_Оценка'!R91,"")</f>
        <v/>
      </c>
      <c r="G91" s="2" t="str">
        <f>IF(E91="","",IF(OR(F91="Недостаточно данных",C91="",D91=""),"Нет данных",IF(AND(C91&gt;=4,D91&gt;=4),"Ядро прямой конкуренции",IF(AND(C91&gt;=3,D91&gt;=3),"Близкая альтернатива",IF(C91&gt;=3,"Функциональный заменитель",IF(D91&gt;=3,"Аудиторное пересечение","Периферия"))))))</f>
        <v/>
      </c>
      <c r="H91" s="2"/>
      <c r="I91" s="2"/>
      <c r="J91" s="2" t="str">
        <f>IFERROR(IF(_xlfn.XLOOKUP(A91,'01_Компании'!$A$4:$A$103,'01_Компании'!$I$4:$I$103)="","",_xlfn.XLOOKUP(A91,'01_Компании'!$A$4:$A$103,'01_Компании'!$I$4:$I$103)),"")</f>
        <v/>
      </c>
      <c r="K91" s="2" t="str">
        <f>IFERROR(IF(_xlfn.XLOOKUP(A91,'04_Оценка'!$A$4:$A$103,'04_Оценка'!$S$4:$S$103)="","",_xlfn.XLOOKUP(A91,'04_Оценка'!$A$4:$A$103,'04_Оценка'!$S$4:$S$103)),"")</f>
        <v/>
      </c>
    </row>
    <row r="92" spans="1:11">
      <c r="A92" s="2" t="s">
        <v>169</v>
      </c>
      <c r="B92" s="2" t="str">
        <f>IFERROR(IF(_xlfn.XLOOKUP(A92,'04_Оценка'!$A$4:$A$103,'04_Оценка'!$B$4:$B$103)="","",_xlfn.XLOOKUP(A92,'04_Оценка'!$A$4:$A$103,'04_Оценка'!$B$4:$B$103)),"")</f>
        <v/>
      </c>
      <c r="C92" s="6" t="str">
        <f>IFERROR(AVERAGE('04_Оценка'!D92,'04_Оценка'!F92),"")</f>
        <v/>
      </c>
      <c r="D92" s="6" t="str">
        <f>IFERROR(AVERAGE('04_Оценка'!E92,'04_Оценка'!J92),"")</f>
        <v/>
      </c>
      <c r="E92" s="6" t="str">
        <f>IFERROR('04_Оценка'!N92,"")</f>
        <v/>
      </c>
      <c r="F92" s="2" t="str">
        <f>IFERROR('04_Оценка'!R92,"")</f>
        <v/>
      </c>
      <c r="G92" s="2" t="str">
        <f>IF(E92="","",IF(OR(F92="Недостаточно данных",C92="",D92=""),"Нет данных",IF(AND(C92&gt;=4,D92&gt;=4),"Ядро прямой конкуренции",IF(AND(C92&gt;=3,D92&gt;=3),"Близкая альтернатива",IF(C92&gt;=3,"Функциональный заменитель",IF(D92&gt;=3,"Аудиторное пересечение","Периферия"))))))</f>
        <v/>
      </c>
      <c r="H92" s="2"/>
      <c r="I92" s="2"/>
      <c r="J92" s="2" t="str">
        <f>IFERROR(IF(_xlfn.XLOOKUP(A92,'01_Компании'!$A$4:$A$103,'01_Компании'!$I$4:$I$103)="","",_xlfn.XLOOKUP(A92,'01_Компании'!$A$4:$A$103,'01_Компании'!$I$4:$I$103)),"")</f>
        <v/>
      </c>
      <c r="K92" s="2" t="str">
        <f>IFERROR(IF(_xlfn.XLOOKUP(A92,'04_Оценка'!$A$4:$A$103,'04_Оценка'!$S$4:$S$103)="","",_xlfn.XLOOKUP(A92,'04_Оценка'!$A$4:$A$103,'04_Оценка'!$S$4:$S$103)),"")</f>
        <v/>
      </c>
    </row>
    <row r="93" spans="1:11">
      <c r="A93" s="2" t="s">
        <v>170</v>
      </c>
      <c r="B93" s="2" t="str">
        <f>IFERROR(IF(_xlfn.XLOOKUP(A93,'04_Оценка'!$A$4:$A$103,'04_Оценка'!$B$4:$B$103)="","",_xlfn.XLOOKUP(A93,'04_Оценка'!$A$4:$A$103,'04_Оценка'!$B$4:$B$103)),"")</f>
        <v/>
      </c>
      <c r="C93" s="6" t="str">
        <f>IFERROR(AVERAGE('04_Оценка'!D93,'04_Оценка'!F93),"")</f>
        <v/>
      </c>
      <c r="D93" s="6" t="str">
        <f>IFERROR(AVERAGE('04_Оценка'!E93,'04_Оценка'!J93),"")</f>
        <v/>
      </c>
      <c r="E93" s="6" t="str">
        <f>IFERROR('04_Оценка'!N93,"")</f>
        <v/>
      </c>
      <c r="F93" s="2" t="str">
        <f>IFERROR('04_Оценка'!R93,"")</f>
        <v/>
      </c>
      <c r="G93" s="2" t="str">
        <f>IF(E93="","",IF(OR(F93="Недостаточно данных",C93="",D93=""),"Нет данных",IF(AND(C93&gt;=4,D93&gt;=4),"Ядро прямой конкуренции",IF(AND(C93&gt;=3,D93&gt;=3),"Близкая альтернатива",IF(C93&gt;=3,"Функциональный заменитель",IF(D93&gt;=3,"Аудиторное пересечение","Периферия"))))))</f>
        <v/>
      </c>
      <c r="H93" s="2"/>
      <c r="I93" s="2"/>
      <c r="J93" s="2" t="str">
        <f>IFERROR(IF(_xlfn.XLOOKUP(A93,'01_Компании'!$A$4:$A$103,'01_Компании'!$I$4:$I$103)="","",_xlfn.XLOOKUP(A93,'01_Компании'!$A$4:$A$103,'01_Компании'!$I$4:$I$103)),"")</f>
        <v/>
      </c>
      <c r="K93" s="2" t="str">
        <f>IFERROR(IF(_xlfn.XLOOKUP(A93,'04_Оценка'!$A$4:$A$103,'04_Оценка'!$S$4:$S$103)="","",_xlfn.XLOOKUP(A93,'04_Оценка'!$A$4:$A$103,'04_Оценка'!$S$4:$S$103)),"")</f>
        <v/>
      </c>
    </row>
    <row r="94" spans="1:11">
      <c r="A94" s="2" t="s">
        <v>171</v>
      </c>
      <c r="B94" s="2" t="str">
        <f>IFERROR(IF(_xlfn.XLOOKUP(A94,'04_Оценка'!$A$4:$A$103,'04_Оценка'!$B$4:$B$103)="","",_xlfn.XLOOKUP(A94,'04_Оценка'!$A$4:$A$103,'04_Оценка'!$B$4:$B$103)),"")</f>
        <v/>
      </c>
      <c r="C94" s="6" t="str">
        <f>IFERROR(AVERAGE('04_Оценка'!D94,'04_Оценка'!F94),"")</f>
        <v/>
      </c>
      <c r="D94" s="6" t="str">
        <f>IFERROR(AVERAGE('04_Оценка'!E94,'04_Оценка'!J94),"")</f>
        <v/>
      </c>
      <c r="E94" s="6" t="str">
        <f>IFERROR('04_Оценка'!N94,"")</f>
        <v/>
      </c>
      <c r="F94" s="2" t="str">
        <f>IFERROR('04_Оценка'!R94,"")</f>
        <v/>
      </c>
      <c r="G94" s="2" t="str">
        <f>IF(E94="","",IF(OR(F94="Недостаточно данных",C94="",D94=""),"Нет данных",IF(AND(C94&gt;=4,D94&gt;=4),"Ядро прямой конкуренции",IF(AND(C94&gt;=3,D94&gt;=3),"Близкая альтернатива",IF(C94&gt;=3,"Функциональный заменитель",IF(D94&gt;=3,"Аудиторное пересечение","Периферия"))))))</f>
        <v/>
      </c>
      <c r="H94" s="2"/>
      <c r="I94" s="2"/>
      <c r="J94" s="2" t="str">
        <f>IFERROR(IF(_xlfn.XLOOKUP(A94,'01_Компании'!$A$4:$A$103,'01_Компании'!$I$4:$I$103)="","",_xlfn.XLOOKUP(A94,'01_Компании'!$A$4:$A$103,'01_Компании'!$I$4:$I$103)),"")</f>
        <v/>
      </c>
      <c r="K94" s="2" t="str">
        <f>IFERROR(IF(_xlfn.XLOOKUP(A94,'04_Оценка'!$A$4:$A$103,'04_Оценка'!$S$4:$S$103)="","",_xlfn.XLOOKUP(A94,'04_Оценка'!$A$4:$A$103,'04_Оценка'!$S$4:$S$103)),"")</f>
        <v/>
      </c>
    </row>
    <row r="95" spans="1:11">
      <c r="A95" s="2" t="s">
        <v>172</v>
      </c>
      <c r="B95" s="2" t="str">
        <f>IFERROR(IF(_xlfn.XLOOKUP(A95,'04_Оценка'!$A$4:$A$103,'04_Оценка'!$B$4:$B$103)="","",_xlfn.XLOOKUP(A95,'04_Оценка'!$A$4:$A$103,'04_Оценка'!$B$4:$B$103)),"")</f>
        <v/>
      </c>
      <c r="C95" s="6" t="str">
        <f>IFERROR(AVERAGE('04_Оценка'!D95,'04_Оценка'!F95),"")</f>
        <v/>
      </c>
      <c r="D95" s="6" t="str">
        <f>IFERROR(AVERAGE('04_Оценка'!E95,'04_Оценка'!J95),"")</f>
        <v/>
      </c>
      <c r="E95" s="6" t="str">
        <f>IFERROR('04_Оценка'!N95,"")</f>
        <v/>
      </c>
      <c r="F95" s="2" t="str">
        <f>IFERROR('04_Оценка'!R95,"")</f>
        <v/>
      </c>
      <c r="G95" s="2" t="str">
        <f>IF(E95="","",IF(OR(F95="Недостаточно данных",C95="",D95=""),"Нет данных",IF(AND(C95&gt;=4,D95&gt;=4),"Ядро прямой конкуренции",IF(AND(C95&gt;=3,D95&gt;=3),"Близкая альтернатива",IF(C95&gt;=3,"Функциональный заменитель",IF(D95&gt;=3,"Аудиторное пересечение","Периферия"))))))</f>
        <v/>
      </c>
      <c r="H95" s="2"/>
      <c r="I95" s="2"/>
      <c r="J95" s="2" t="str">
        <f>IFERROR(IF(_xlfn.XLOOKUP(A95,'01_Компании'!$A$4:$A$103,'01_Компании'!$I$4:$I$103)="","",_xlfn.XLOOKUP(A95,'01_Компании'!$A$4:$A$103,'01_Компании'!$I$4:$I$103)),"")</f>
        <v/>
      </c>
      <c r="K95" s="2" t="str">
        <f>IFERROR(IF(_xlfn.XLOOKUP(A95,'04_Оценка'!$A$4:$A$103,'04_Оценка'!$S$4:$S$103)="","",_xlfn.XLOOKUP(A95,'04_Оценка'!$A$4:$A$103,'04_Оценка'!$S$4:$S$103)),"")</f>
        <v/>
      </c>
    </row>
    <row r="96" spans="1:11">
      <c r="A96" s="2" t="s">
        <v>173</v>
      </c>
      <c r="B96" s="2" t="str">
        <f>IFERROR(IF(_xlfn.XLOOKUP(A96,'04_Оценка'!$A$4:$A$103,'04_Оценка'!$B$4:$B$103)="","",_xlfn.XLOOKUP(A96,'04_Оценка'!$A$4:$A$103,'04_Оценка'!$B$4:$B$103)),"")</f>
        <v/>
      </c>
      <c r="C96" s="6" t="str">
        <f>IFERROR(AVERAGE('04_Оценка'!D96,'04_Оценка'!F96),"")</f>
        <v/>
      </c>
      <c r="D96" s="6" t="str">
        <f>IFERROR(AVERAGE('04_Оценка'!E96,'04_Оценка'!J96),"")</f>
        <v/>
      </c>
      <c r="E96" s="6" t="str">
        <f>IFERROR('04_Оценка'!N96,"")</f>
        <v/>
      </c>
      <c r="F96" s="2" t="str">
        <f>IFERROR('04_Оценка'!R96,"")</f>
        <v/>
      </c>
      <c r="G96" s="2" t="str">
        <f>IF(E96="","",IF(OR(F96="Недостаточно данных",C96="",D96=""),"Нет данных",IF(AND(C96&gt;=4,D96&gt;=4),"Ядро прямой конкуренции",IF(AND(C96&gt;=3,D96&gt;=3),"Близкая альтернатива",IF(C96&gt;=3,"Функциональный заменитель",IF(D96&gt;=3,"Аудиторное пересечение","Периферия"))))))</f>
        <v/>
      </c>
      <c r="H96" s="2"/>
      <c r="I96" s="2"/>
      <c r="J96" s="2" t="str">
        <f>IFERROR(IF(_xlfn.XLOOKUP(A96,'01_Компании'!$A$4:$A$103,'01_Компании'!$I$4:$I$103)="","",_xlfn.XLOOKUP(A96,'01_Компании'!$A$4:$A$103,'01_Компании'!$I$4:$I$103)),"")</f>
        <v/>
      </c>
      <c r="K96" s="2" t="str">
        <f>IFERROR(IF(_xlfn.XLOOKUP(A96,'04_Оценка'!$A$4:$A$103,'04_Оценка'!$S$4:$S$103)="","",_xlfn.XLOOKUP(A96,'04_Оценка'!$A$4:$A$103,'04_Оценка'!$S$4:$S$103)),"")</f>
        <v/>
      </c>
    </row>
    <row r="97" spans="1:11">
      <c r="A97" s="2" t="s">
        <v>174</v>
      </c>
      <c r="B97" s="2" t="str">
        <f>IFERROR(IF(_xlfn.XLOOKUP(A97,'04_Оценка'!$A$4:$A$103,'04_Оценка'!$B$4:$B$103)="","",_xlfn.XLOOKUP(A97,'04_Оценка'!$A$4:$A$103,'04_Оценка'!$B$4:$B$103)),"")</f>
        <v/>
      </c>
      <c r="C97" s="6" t="str">
        <f>IFERROR(AVERAGE('04_Оценка'!D97,'04_Оценка'!F97),"")</f>
        <v/>
      </c>
      <c r="D97" s="6" t="str">
        <f>IFERROR(AVERAGE('04_Оценка'!E97,'04_Оценка'!J97),"")</f>
        <v/>
      </c>
      <c r="E97" s="6" t="str">
        <f>IFERROR('04_Оценка'!N97,"")</f>
        <v/>
      </c>
      <c r="F97" s="2" t="str">
        <f>IFERROR('04_Оценка'!R97,"")</f>
        <v/>
      </c>
      <c r="G97" s="2" t="str">
        <f>IF(E97="","",IF(OR(F97="Недостаточно данных",C97="",D97=""),"Нет данных",IF(AND(C97&gt;=4,D97&gt;=4),"Ядро прямой конкуренции",IF(AND(C97&gt;=3,D97&gt;=3),"Близкая альтернатива",IF(C97&gt;=3,"Функциональный заменитель",IF(D97&gt;=3,"Аудиторное пересечение","Периферия"))))))</f>
        <v/>
      </c>
      <c r="H97" s="2"/>
      <c r="I97" s="2"/>
      <c r="J97" s="2" t="str">
        <f>IFERROR(IF(_xlfn.XLOOKUP(A97,'01_Компании'!$A$4:$A$103,'01_Компании'!$I$4:$I$103)="","",_xlfn.XLOOKUP(A97,'01_Компании'!$A$4:$A$103,'01_Компании'!$I$4:$I$103)),"")</f>
        <v/>
      </c>
      <c r="K97" s="2" t="str">
        <f>IFERROR(IF(_xlfn.XLOOKUP(A97,'04_Оценка'!$A$4:$A$103,'04_Оценка'!$S$4:$S$103)="","",_xlfn.XLOOKUP(A97,'04_Оценка'!$A$4:$A$103,'04_Оценка'!$S$4:$S$103)),"")</f>
        <v/>
      </c>
    </row>
    <row r="98" spans="1:11">
      <c r="A98" s="2" t="s">
        <v>175</v>
      </c>
      <c r="B98" s="2" t="str">
        <f>IFERROR(IF(_xlfn.XLOOKUP(A98,'04_Оценка'!$A$4:$A$103,'04_Оценка'!$B$4:$B$103)="","",_xlfn.XLOOKUP(A98,'04_Оценка'!$A$4:$A$103,'04_Оценка'!$B$4:$B$103)),"")</f>
        <v/>
      </c>
      <c r="C98" s="6" t="str">
        <f>IFERROR(AVERAGE('04_Оценка'!D98,'04_Оценка'!F98),"")</f>
        <v/>
      </c>
      <c r="D98" s="6" t="str">
        <f>IFERROR(AVERAGE('04_Оценка'!E98,'04_Оценка'!J98),"")</f>
        <v/>
      </c>
      <c r="E98" s="6" t="str">
        <f>IFERROR('04_Оценка'!N98,"")</f>
        <v/>
      </c>
      <c r="F98" s="2" t="str">
        <f>IFERROR('04_Оценка'!R98,"")</f>
        <v/>
      </c>
      <c r="G98" s="2" t="str">
        <f>IF(E98="","",IF(OR(F98="Недостаточно данных",C98="",D98=""),"Нет данных",IF(AND(C98&gt;=4,D98&gt;=4),"Ядро прямой конкуренции",IF(AND(C98&gt;=3,D98&gt;=3),"Близкая альтернатива",IF(C98&gt;=3,"Функциональный заменитель",IF(D98&gt;=3,"Аудиторное пересечение","Периферия"))))))</f>
        <v/>
      </c>
      <c r="H98" s="2"/>
      <c r="I98" s="2"/>
      <c r="J98" s="2" t="str">
        <f>IFERROR(IF(_xlfn.XLOOKUP(A98,'01_Компании'!$A$4:$A$103,'01_Компании'!$I$4:$I$103)="","",_xlfn.XLOOKUP(A98,'01_Компании'!$A$4:$A$103,'01_Компании'!$I$4:$I$103)),"")</f>
        <v/>
      </c>
      <c r="K98" s="2" t="str">
        <f>IFERROR(IF(_xlfn.XLOOKUP(A98,'04_Оценка'!$A$4:$A$103,'04_Оценка'!$S$4:$S$103)="","",_xlfn.XLOOKUP(A98,'04_Оценка'!$A$4:$A$103,'04_Оценка'!$S$4:$S$103)),"")</f>
        <v/>
      </c>
    </row>
    <row r="99" spans="1:11">
      <c r="A99" s="2" t="s">
        <v>176</v>
      </c>
      <c r="B99" s="2" t="str">
        <f>IFERROR(IF(_xlfn.XLOOKUP(A99,'04_Оценка'!$A$4:$A$103,'04_Оценка'!$B$4:$B$103)="","",_xlfn.XLOOKUP(A99,'04_Оценка'!$A$4:$A$103,'04_Оценка'!$B$4:$B$103)),"")</f>
        <v/>
      </c>
      <c r="C99" s="6" t="str">
        <f>IFERROR(AVERAGE('04_Оценка'!D99,'04_Оценка'!F99),"")</f>
        <v/>
      </c>
      <c r="D99" s="6" t="str">
        <f>IFERROR(AVERAGE('04_Оценка'!E99,'04_Оценка'!J99),"")</f>
        <v/>
      </c>
      <c r="E99" s="6" t="str">
        <f>IFERROR('04_Оценка'!N99,"")</f>
        <v/>
      </c>
      <c r="F99" s="2" t="str">
        <f>IFERROR('04_Оценка'!R99,"")</f>
        <v/>
      </c>
      <c r="G99" s="2" t="str">
        <f>IF(E99="","",IF(OR(F99="Недостаточно данных",C99="",D99=""),"Нет данных",IF(AND(C99&gt;=4,D99&gt;=4),"Ядро прямой конкуренции",IF(AND(C99&gt;=3,D99&gt;=3),"Близкая альтернатива",IF(C99&gt;=3,"Функциональный заменитель",IF(D99&gt;=3,"Аудиторное пересечение","Периферия"))))))</f>
        <v/>
      </c>
      <c r="H99" s="2"/>
      <c r="I99" s="2"/>
      <c r="J99" s="2" t="str">
        <f>IFERROR(IF(_xlfn.XLOOKUP(A99,'01_Компании'!$A$4:$A$103,'01_Компании'!$I$4:$I$103)="","",_xlfn.XLOOKUP(A99,'01_Компании'!$A$4:$A$103,'01_Компании'!$I$4:$I$103)),"")</f>
        <v/>
      </c>
      <c r="K99" s="2" t="str">
        <f>IFERROR(IF(_xlfn.XLOOKUP(A99,'04_Оценка'!$A$4:$A$103,'04_Оценка'!$S$4:$S$103)="","",_xlfn.XLOOKUP(A99,'04_Оценка'!$A$4:$A$103,'04_Оценка'!$S$4:$S$103)),"")</f>
        <v/>
      </c>
    </row>
    <row r="100" spans="1:11">
      <c r="A100" s="2" t="s">
        <v>177</v>
      </c>
      <c r="B100" s="2" t="str">
        <f>IFERROR(IF(_xlfn.XLOOKUP(A100,'04_Оценка'!$A$4:$A$103,'04_Оценка'!$B$4:$B$103)="","",_xlfn.XLOOKUP(A100,'04_Оценка'!$A$4:$A$103,'04_Оценка'!$B$4:$B$103)),"")</f>
        <v/>
      </c>
      <c r="C100" s="6" t="str">
        <f>IFERROR(AVERAGE('04_Оценка'!D100,'04_Оценка'!F100),"")</f>
        <v/>
      </c>
      <c r="D100" s="6" t="str">
        <f>IFERROR(AVERAGE('04_Оценка'!E100,'04_Оценка'!J100),"")</f>
        <v/>
      </c>
      <c r="E100" s="6" t="str">
        <f>IFERROR('04_Оценка'!N100,"")</f>
        <v/>
      </c>
      <c r="F100" s="2" t="str">
        <f>IFERROR('04_Оценка'!R100,"")</f>
        <v/>
      </c>
      <c r="G100" s="2" t="str">
        <f>IF(E100="","",IF(OR(F100="Недостаточно данных",C100="",D100=""),"Нет данных",IF(AND(C100&gt;=4,D100&gt;=4),"Ядро прямой конкуренции",IF(AND(C100&gt;=3,D100&gt;=3),"Близкая альтернатива",IF(C100&gt;=3,"Функциональный заменитель",IF(D100&gt;=3,"Аудиторное пересечение","Периферия"))))))</f>
        <v/>
      </c>
      <c r="H100" s="2"/>
      <c r="I100" s="2"/>
      <c r="J100" s="2" t="str">
        <f>IFERROR(IF(_xlfn.XLOOKUP(A100,'01_Компании'!$A$4:$A$103,'01_Компании'!$I$4:$I$103)="","",_xlfn.XLOOKUP(A100,'01_Компании'!$A$4:$A$103,'01_Компании'!$I$4:$I$103)),"")</f>
        <v/>
      </c>
      <c r="K100" s="2" t="str">
        <f>IFERROR(IF(_xlfn.XLOOKUP(A100,'04_Оценка'!$A$4:$A$103,'04_Оценка'!$S$4:$S$103)="","",_xlfn.XLOOKUP(A100,'04_Оценка'!$A$4:$A$103,'04_Оценка'!$S$4:$S$103)),"")</f>
        <v/>
      </c>
    </row>
    <row r="101" spans="1:11">
      <c r="A101" s="2" t="s">
        <v>178</v>
      </c>
      <c r="B101" s="2" t="str">
        <f>IFERROR(IF(_xlfn.XLOOKUP(A101,'04_Оценка'!$A$4:$A$103,'04_Оценка'!$B$4:$B$103)="","",_xlfn.XLOOKUP(A101,'04_Оценка'!$A$4:$A$103,'04_Оценка'!$B$4:$B$103)),"")</f>
        <v/>
      </c>
      <c r="C101" s="6" t="str">
        <f>IFERROR(AVERAGE('04_Оценка'!D101,'04_Оценка'!F101),"")</f>
        <v/>
      </c>
      <c r="D101" s="6" t="str">
        <f>IFERROR(AVERAGE('04_Оценка'!E101,'04_Оценка'!J101),"")</f>
        <v/>
      </c>
      <c r="E101" s="6" t="str">
        <f>IFERROR('04_Оценка'!N101,"")</f>
        <v/>
      </c>
      <c r="F101" s="2" t="str">
        <f>IFERROR('04_Оценка'!R101,"")</f>
        <v/>
      </c>
      <c r="G101" s="2" t="str">
        <f>IF(E101="","",IF(OR(F101="Недостаточно данных",C101="",D101=""),"Нет данных",IF(AND(C101&gt;=4,D101&gt;=4),"Ядро прямой конкуренции",IF(AND(C101&gt;=3,D101&gt;=3),"Близкая альтернатива",IF(C101&gt;=3,"Функциональный заменитель",IF(D101&gt;=3,"Аудиторное пересечение","Периферия"))))))</f>
        <v/>
      </c>
      <c r="H101" s="2"/>
      <c r="I101" s="2"/>
      <c r="J101" s="2" t="str">
        <f>IFERROR(IF(_xlfn.XLOOKUP(A101,'01_Компании'!$A$4:$A$103,'01_Компании'!$I$4:$I$103)="","",_xlfn.XLOOKUP(A101,'01_Компании'!$A$4:$A$103,'01_Компании'!$I$4:$I$103)),"")</f>
        <v/>
      </c>
      <c r="K101" s="2" t="str">
        <f>IFERROR(IF(_xlfn.XLOOKUP(A101,'04_Оценка'!$A$4:$A$103,'04_Оценка'!$S$4:$S$103)="","",_xlfn.XLOOKUP(A101,'04_Оценка'!$A$4:$A$103,'04_Оценка'!$S$4:$S$103)),"")</f>
        <v/>
      </c>
    </row>
    <row r="102" spans="1:11">
      <c r="A102" s="2" t="s">
        <v>179</v>
      </c>
      <c r="B102" s="2" t="str">
        <f>IFERROR(IF(_xlfn.XLOOKUP(A102,'04_Оценка'!$A$4:$A$103,'04_Оценка'!$B$4:$B$103)="","",_xlfn.XLOOKUP(A102,'04_Оценка'!$A$4:$A$103,'04_Оценка'!$B$4:$B$103)),"")</f>
        <v/>
      </c>
      <c r="C102" s="6" t="str">
        <f>IFERROR(AVERAGE('04_Оценка'!D102,'04_Оценка'!F102),"")</f>
        <v/>
      </c>
      <c r="D102" s="6" t="str">
        <f>IFERROR(AVERAGE('04_Оценка'!E102,'04_Оценка'!J102),"")</f>
        <v/>
      </c>
      <c r="E102" s="6" t="str">
        <f>IFERROR('04_Оценка'!N102,"")</f>
        <v/>
      </c>
      <c r="F102" s="2" t="str">
        <f>IFERROR('04_Оценка'!R102,"")</f>
        <v/>
      </c>
      <c r="G102" s="2" t="str">
        <f>IF(E102="","",IF(OR(F102="Недостаточно данных",C102="",D102=""),"Нет данных",IF(AND(C102&gt;=4,D102&gt;=4),"Ядро прямой конкуренции",IF(AND(C102&gt;=3,D102&gt;=3),"Близкая альтернатива",IF(C102&gt;=3,"Функциональный заменитель",IF(D102&gt;=3,"Аудиторное пересечение","Периферия"))))))</f>
        <v/>
      </c>
      <c r="H102" s="2"/>
      <c r="I102" s="2"/>
      <c r="J102" s="2" t="str">
        <f>IFERROR(IF(_xlfn.XLOOKUP(A102,'01_Компании'!$A$4:$A$103,'01_Компании'!$I$4:$I$103)="","",_xlfn.XLOOKUP(A102,'01_Компании'!$A$4:$A$103,'01_Компании'!$I$4:$I$103)),"")</f>
        <v/>
      </c>
      <c r="K102" s="2" t="str">
        <f>IFERROR(IF(_xlfn.XLOOKUP(A102,'04_Оценка'!$A$4:$A$103,'04_Оценка'!$S$4:$S$103)="","",_xlfn.XLOOKUP(A102,'04_Оценка'!$A$4:$A$103,'04_Оценка'!$S$4:$S$103)),"")</f>
        <v/>
      </c>
    </row>
    <row r="103" spans="1:11">
      <c r="A103" s="2" t="s">
        <v>180</v>
      </c>
      <c r="B103" s="2" t="str">
        <f>IFERROR(IF(_xlfn.XLOOKUP(A103,'04_Оценка'!$A$4:$A$103,'04_Оценка'!$B$4:$B$103)="","",_xlfn.XLOOKUP(A103,'04_Оценка'!$A$4:$A$103,'04_Оценка'!$B$4:$B$103)),"")</f>
        <v/>
      </c>
      <c r="C103" s="6" t="str">
        <f>IFERROR(AVERAGE('04_Оценка'!D103,'04_Оценка'!F103),"")</f>
        <v/>
      </c>
      <c r="D103" s="6" t="str">
        <f>IFERROR(AVERAGE('04_Оценка'!E103,'04_Оценка'!J103),"")</f>
        <v/>
      </c>
      <c r="E103" s="6" t="str">
        <f>IFERROR('04_Оценка'!N103,"")</f>
        <v/>
      </c>
      <c r="F103" s="2" t="str">
        <f>IFERROR('04_Оценка'!R103,"")</f>
        <v/>
      </c>
      <c r="G103" s="2" t="str">
        <f>IF(E103="","",IF(OR(F103="Недостаточно данных",C103="",D103=""),"Нет данных",IF(AND(C103&gt;=4,D103&gt;=4),"Ядро прямой конкуренции",IF(AND(C103&gt;=3,D103&gt;=3),"Близкая альтернатива",IF(C103&gt;=3,"Функциональный заменитель",IF(D103&gt;=3,"Аудиторное пересечение","Периферия"))))))</f>
        <v/>
      </c>
      <c r="H103" s="2"/>
      <c r="I103" s="2"/>
      <c r="J103" s="2" t="str">
        <f>IFERROR(IF(_xlfn.XLOOKUP(A103,'01_Компании'!$A$4:$A$103,'01_Компании'!$I$4:$I$103)="","",_xlfn.XLOOKUP(A103,'01_Компании'!$A$4:$A$103,'01_Компании'!$I$4:$I$103)),"")</f>
        <v/>
      </c>
      <c r="K103" s="2" t="str">
        <f>IFERROR(IF(_xlfn.XLOOKUP(A103,'04_Оценка'!$A$4:$A$103,'04_Оценка'!$S$4:$S$103)="","",_xlfn.XLOOKUP(A103,'04_Оценка'!$A$4:$A$103,'04_Оценка'!$S$4:$S$103)),"")</f>
        <v/>
      </c>
    </row>
  </sheetData>
  <mergeCells count="1">
    <mergeCell ref="A1:K1"/>
  </mergeCells>
  <conditionalFormatting sqref="C4:E103">
    <cfRule type="colorScale" priority="1">
      <colorScale>
        <cfvo type="min"/>
        <cfvo type="percentile" val="50"/>
        <cfvo type="max"/>
        <color rgb="FFFCE4D6"/>
        <color rgb="FFFFF2CC"/>
        <color rgb="FFDDEEDC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0"/>
  <sheetViews>
    <sheetView workbookViewId="0">
      <selection sqref="A1:H1"/>
    </sheetView>
  </sheetViews>
  <sheetFormatPr defaultRowHeight="13.5"/>
  <cols>
    <col min="1" max="1" width="32" customWidth="1"/>
    <col min="2" max="2" width="20" customWidth="1"/>
    <col min="3" max="3" width="14" customWidth="1"/>
    <col min="4" max="4" width="28" customWidth="1"/>
    <col min="6" max="6" width="12" customWidth="1"/>
    <col min="7" max="7" width="36" customWidth="1"/>
  </cols>
  <sheetData>
    <row r="1" spans="1:26" ht="16.05" customHeight="1">
      <c r="A1" s="14" t="s">
        <v>382</v>
      </c>
      <c r="B1" s="14" t="s">
        <v>383</v>
      </c>
      <c r="C1" s="14" t="s">
        <v>384</v>
      </c>
      <c r="D1" s="14" t="s">
        <v>385</v>
      </c>
      <c r="E1" s="11" t="s">
        <v>386</v>
      </c>
      <c r="F1" s="14" t="s">
        <v>387</v>
      </c>
      <c r="G1" s="14" t="s">
        <v>388</v>
      </c>
      <c r="H1" s="11" t="s">
        <v>386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2" t="s">
        <v>314</v>
      </c>
      <c r="B2" s="2" t="s">
        <v>389</v>
      </c>
      <c r="C2" s="2" t="s">
        <v>390</v>
      </c>
      <c r="D2" s="2" t="s">
        <v>204</v>
      </c>
      <c r="E2" s="2"/>
      <c r="F2" s="2" t="s">
        <v>391</v>
      </c>
      <c r="G2" s="2" t="s">
        <v>392</v>
      </c>
    </row>
    <row r="3" spans="1:26">
      <c r="A3" s="2" t="s">
        <v>321</v>
      </c>
      <c r="B3" s="2" t="s">
        <v>393</v>
      </c>
      <c r="C3" s="2" t="s">
        <v>394</v>
      </c>
      <c r="D3" s="2" t="s">
        <v>213</v>
      </c>
      <c r="E3" s="2"/>
      <c r="F3" s="2">
        <v>0</v>
      </c>
      <c r="G3" s="2" t="s">
        <v>395</v>
      </c>
    </row>
    <row r="4" spans="1:26">
      <c r="A4" s="2" t="s">
        <v>328</v>
      </c>
      <c r="B4" s="2" t="s">
        <v>396</v>
      </c>
      <c r="C4" s="2" t="s">
        <v>397</v>
      </c>
      <c r="D4" s="2" t="s">
        <v>398</v>
      </c>
      <c r="E4" s="2"/>
      <c r="F4" s="2">
        <v>1</v>
      </c>
      <c r="G4" s="2" t="s">
        <v>399</v>
      </c>
    </row>
    <row r="5" spans="1:26" ht="27">
      <c r="A5" s="2" t="s">
        <v>335</v>
      </c>
      <c r="B5" s="2" t="s">
        <v>400</v>
      </c>
      <c r="C5" s="2"/>
      <c r="D5" s="2" t="s">
        <v>401</v>
      </c>
      <c r="E5" s="2"/>
      <c r="F5" s="2">
        <v>2</v>
      </c>
      <c r="G5" s="2" t="s">
        <v>402</v>
      </c>
    </row>
    <row r="6" spans="1:26">
      <c r="A6" s="2" t="s">
        <v>342</v>
      </c>
      <c r="B6" s="2" t="s">
        <v>403</v>
      </c>
      <c r="C6" s="2"/>
      <c r="D6" s="2" t="s">
        <v>404</v>
      </c>
      <c r="E6" s="2"/>
      <c r="F6" s="2">
        <v>3</v>
      </c>
      <c r="G6" s="2" t="s">
        <v>405</v>
      </c>
    </row>
    <row r="7" spans="1:26">
      <c r="A7" s="2" t="s">
        <v>349</v>
      </c>
      <c r="B7" s="2"/>
      <c r="C7" s="2"/>
      <c r="D7" s="2" t="s">
        <v>406</v>
      </c>
      <c r="E7" s="2"/>
      <c r="F7" s="2">
        <v>4</v>
      </c>
      <c r="G7" s="2" t="s">
        <v>407</v>
      </c>
    </row>
    <row r="8" spans="1:26">
      <c r="A8" s="2"/>
      <c r="B8" s="2"/>
      <c r="C8" s="2"/>
      <c r="D8" s="2" t="s">
        <v>408</v>
      </c>
      <c r="E8" s="2"/>
      <c r="F8" s="2">
        <v>5</v>
      </c>
      <c r="G8" s="2" t="s">
        <v>409</v>
      </c>
    </row>
    <row r="9" spans="1:26">
      <c r="A9" s="2"/>
      <c r="B9" s="2"/>
      <c r="C9" s="2"/>
      <c r="D9" s="2" t="s">
        <v>410</v>
      </c>
      <c r="E9" s="2"/>
      <c r="F9" s="2"/>
      <c r="G9" s="2"/>
    </row>
    <row r="10" spans="1:26">
      <c r="A10" s="2"/>
      <c r="B10" s="2"/>
      <c r="C10" s="2"/>
      <c r="D10" s="2" t="s">
        <v>411</v>
      </c>
      <c r="E10" s="2"/>
      <c r="F10" s="2"/>
      <c r="G10" s="2"/>
    </row>
    <row r="11" spans="1:26">
      <c r="A11" s="2"/>
      <c r="B11" s="2"/>
      <c r="C11" s="2"/>
      <c r="D11" s="2" t="s">
        <v>412</v>
      </c>
      <c r="E11" s="2"/>
      <c r="F11" s="2"/>
      <c r="G11" s="2"/>
    </row>
    <row r="12" spans="1:26">
      <c r="A12" s="2"/>
      <c r="B12" s="2"/>
      <c r="C12" s="2"/>
      <c r="D12" s="2"/>
      <c r="E12" s="2"/>
      <c r="F12" s="2"/>
      <c r="G12" s="2"/>
    </row>
    <row r="13" spans="1:26">
      <c r="A13" s="2"/>
      <c r="B13" s="2"/>
      <c r="C13" s="2"/>
      <c r="D13" s="2"/>
      <c r="E13" s="2"/>
      <c r="F13" s="2"/>
      <c r="G13" s="2"/>
    </row>
    <row r="14" spans="1:26">
      <c r="A14" s="2"/>
      <c r="B14" s="2"/>
      <c r="C14" s="2"/>
      <c r="D14" s="2"/>
      <c r="E14" s="2"/>
      <c r="F14" s="2"/>
      <c r="G14" s="2"/>
    </row>
    <row r="15" spans="1:26">
      <c r="A15" s="2"/>
      <c r="B15" s="2"/>
      <c r="C15" s="2"/>
      <c r="D15" s="2"/>
      <c r="E15" s="2"/>
      <c r="F15" s="2"/>
      <c r="G15" s="2"/>
    </row>
    <row r="16" spans="1:26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E6A52-DBE2-4DF9-98BE-E8407680FA90}">
  <dimension ref="A1:C29"/>
  <sheetViews>
    <sheetView workbookViewId="0"/>
  </sheetViews>
  <sheetFormatPr defaultRowHeight="12.75"/>
  <cols>
    <col min="1" max="1" width="34.5625" style="15" customWidth="1"/>
    <col min="2" max="2" width="8.5625" style="15" customWidth="1"/>
    <col min="3" max="3" width="150.5625" style="15" customWidth="1"/>
    <col min="4" max="16384" width="9" style="15"/>
  </cols>
  <sheetData>
    <row r="1" spans="1:3" ht="15">
      <c r="A1" s="16" t="s">
        <v>923</v>
      </c>
    </row>
    <row r="3" spans="1:3" ht="13.15">
      <c r="A3" s="17" t="s">
        <v>924</v>
      </c>
      <c r="B3" s="17" t="s">
        <v>193</v>
      </c>
      <c r="C3" s="17" t="s">
        <v>56</v>
      </c>
    </row>
    <row r="4" spans="1:3" ht="25.5">
      <c r="A4" s="18" t="s">
        <v>925</v>
      </c>
      <c r="B4" s="18" t="s">
        <v>926</v>
      </c>
      <c r="C4" s="18" t="s">
        <v>927</v>
      </c>
    </row>
    <row r="5" spans="1:3">
      <c r="A5" s="18" t="s">
        <v>925</v>
      </c>
      <c r="B5" s="18" t="s">
        <v>928</v>
      </c>
      <c r="C5" s="18" t="s">
        <v>929</v>
      </c>
    </row>
    <row r="6" spans="1:3">
      <c r="A6" s="18" t="s">
        <v>925</v>
      </c>
      <c r="B6" s="18" t="s">
        <v>930</v>
      </c>
      <c r="C6" s="18" t="s">
        <v>931</v>
      </c>
    </row>
    <row r="7" spans="1:3" ht="25.5">
      <c r="A7" s="18" t="s">
        <v>925</v>
      </c>
      <c r="B7" s="18" t="s">
        <v>932</v>
      </c>
      <c r="C7" s="18" t="s">
        <v>933</v>
      </c>
    </row>
    <row r="8" spans="1:3" ht="25.5">
      <c r="A8" s="18" t="s">
        <v>925</v>
      </c>
      <c r="B8" s="18" t="s">
        <v>934</v>
      </c>
      <c r="C8" s="18" t="s">
        <v>935</v>
      </c>
    </row>
    <row r="9" spans="1:3" ht="25.5">
      <c r="A9" s="18" t="s">
        <v>925</v>
      </c>
      <c r="B9" s="18" t="s">
        <v>936</v>
      </c>
      <c r="C9" s="18" t="s">
        <v>937</v>
      </c>
    </row>
    <row r="10" spans="1:3" ht="38.25">
      <c r="A10" s="18" t="s">
        <v>925</v>
      </c>
      <c r="B10" s="18" t="s">
        <v>938</v>
      </c>
      <c r="C10" s="18" t="s">
        <v>939</v>
      </c>
    </row>
    <row r="11" spans="1:3" ht="25.5">
      <c r="A11" s="18" t="s">
        <v>925</v>
      </c>
      <c r="B11" s="18" t="s">
        <v>940</v>
      </c>
      <c r="C11" s="18" t="s">
        <v>941</v>
      </c>
    </row>
    <row r="12" spans="1:3" ht="25.5">
      <c r="A12" s="18" t="s">
        <v>942</v>
      </c>
      <c r="B12" s="18" t="s">
        <v>943</v>
      </c>
      <c r="C12" s="18" t="s">
        <v>944</v>
      </c>
    </row>
    <row r="13" spans="1:3" ht="25.5">
      <c r="A13" s="18" t="s">
        <v>942</v>
      </c>
      <c r="B13" s="18" t="s">
        <v>945</v>
      </c>
      <c r="C13" s="18" t="s">
        <v>946</v>
      </c>
    </row>
    <row r="14" spans="1:3" ht="25.5">
      <c r="A14" s="18" t="s">
        <v>947</v>
      </c>
      <c r="B14" s="18" t="s">
        <v>948</v>
      </c>
      <c r="C14" s="18" t="s">
        <v>949</v>
      </c>
    </row>
    <row r="15" spans="1:3" ht="25.5">
      <c r="A15" s="18" t="s">
        <v>947</v>
      </c>
      <c r="B15" s="18" t="s">
        <v>950</v>
      </c>
      <c r="C15" s="18" t="s">
        <v>951</v>
      </c>
    </row>
    <row r="16" spans="1:3" ht="25.5">
      <c r="A16" s="18" t="s">
        <v>947</v>
      </c>
      <c r="B16" s="18" t="s">
        <v>952</v>
      </c>
      <c r="C16" s="18" t="s">
        <v>953</v>
      </c>
    </row>
    <row r="17" spans="1:3" ht="25.5">
      <c r="A17" s="18" t="s">
        <v>947</v>
      </c>
      <c r="B17" s="18" t="s">
        <v>954</v>
      </c>
      <c r="C17" s="18" t="s">
        <v>955</v>
      </c>
    </row>
    <row r="18" spans="1:3" ht="25.5">
      <c r="A18" s="18" t="s">
        <v>947</v>
      </c>
      <c r="B18" s="18" t="s">
        <v>956</v>
      </c>
      <c r="C18" s="18" t="s">
        <v>957</v>
      </c>
    </row>
    <row r="19" spans="1:3" ht="25.5">
      <c r="A19" s="18" t="s">
        <v>947</v>
      </c>
      <c r="B19" s="18" t="s">
        <v>958</v>
      </c>
      <c r="C19" s="18" t="s">
        <v>959</v>
      </c>
    </row>
    <row r="20" spans="1:3" ht="25.5">
      <c r="A20" s="18" t="s">
        <v>947</v>
      </c>
      <c r="B20" s="18" t="s">
        <v>960</v>
      </c>
      <c r="C20" s="18" t="s">
        <v>961</v>
      </c>
    </row>
    <row r="21" spans="1:3" ht="38.25">
      <c r="A21" s="18" t="s">
        <v>947</v>
      </c>
      <c r="B21" s="18" t="s">
        <v>962</v>
      </c>
      <c r="C21" s="18" t="s">
        <v>963</v>
      </c>
    </row>
    <row r="22" spans="1:3" ht="25.5">
      <c r="A22" s="18" t="s">
        <v>947</v>
      </c>
      <c r="B22" s="18" t="s">
        <v>964</v>
      </c>
      <c r="C22" s="18" t="s">
        <v>965</v>
      </c>
    </row>
    <row r="23" spans="1:3" ht="25.5">
      <c r="A23" s="18" t="s">
        <v>966</v>
      </c>
      <c r="B23" s="18" t="s">
        <v>967</v>
      </c>
      <c r="C23" s="18" t="s">
        <v>968</v>
      </c>
    </row>
    <row r="24" spans="1:3">
      <c r="A24" s="18" t="s">
        <v>966</v>
      </c>
      <c r="B24" s="18" t="s">
        <v>969</v>
      </c>
      <c r="C24" s="18" t="s">
        <v>970</v>
      </c>
    </row>
    <row r="25" spans="1:3">
      <c r="A25" s="18" t="s">
        <v>966</v>
      </c>
      <c r="B25" s="18" t="s">
        <v>971</v>
      </c>
      <c r="C25" s="18" t="s">
        <v>972</v>
      </c>
    </row>
    <row r="26" spans="1:3">
      <c r="A26" s="18" t="s">
        <v>966</v>
      </c>
      <c r="B26" s="18" t="s">
        <v>973</v>
      </c>
      <c r="C26" s="18" t="s">
        <v>974</v>
      </c>
    </row>
    <row r="27" spans="1:3" ht="25.5">
      <c r="A27" s="18" t="s">
        <v>966</v>
      </c>
      <c r="B27" s="18" t="s">
        <v>975</v>
      </c>
      <c r="C27" s="18" t="s">
        <v>976</v>
      </c>
    </row>
    <row r="28" spans="1:3">
      <c r="A28" s="18" t="s">
        <v>966</v>
      </c>
      <c r="B28" s="18" t="s">
        <v>977</v>
      </c>
      <c r="C28" s="18" t="s">
        <v>978</v>
      </c>
    </row>
    <row r="29" spans="1:3">
      <c r="A29" s="18" t="s">
        <v>966</v>
      </c>
      <c r="B29" s="18" t="s">
        <v>979</v>
      </c>
      <c r="C29" s="18" t="s">
        <v>980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00_Инструкция</vt:lpstr>
      <vt:lpstr>01_Компании</vt:lpstr>
      <vt:lpstr>02_Доказательства</vt:lpstr>
      <vt:lpstr>03_Критерии</vt:lpstr>
      <vt:lpstr>04_Оценка</vt:lpstr>
      <vt:lpstr>05_Уровни</vt:lpstr>
      <vt:lpstr>06_Сводка</vt:lpstr>
      <vt:lpstr>07_Карта</vt:lpstr>
      <vt:lpstr>08_Справочники</vt:lpstr>
      <vt:lpstr>09_Журнал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Классификация компаний по уровням конкуренции: NotaCode</dc:title>
  <dc:creator>К. А. Хаджинова</dc:creator>
  <dc:description/>
  <cp:lastModifiedBy>К. А. Хаджинова</cp:lastModifiedBy>
  <dcterms:modified xsi:type="dcterms:W3CDTF">2026-10-01T21:00:11Z</dcterms:modified>
</cp:coreProperties>
</file>