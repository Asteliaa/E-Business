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ИИТ\ЭлектронныйБизнес\ЛР5_Анализ_конкурентов\Excel\"/>
    </mc:Choice>
  </mc:AlternateContent>
  <xr:revisionPtr revIDLastSave="0" documentId="13_ncr:1_{922C47A6-B3F0-4859-B13D-FAA318976293}" xr6:coauthVersionLast="47" xr6:coauthVersionMax="47" xr10:uidLastSave="{00000000-0000-0000-0000-000000000000}"/>
  <bookViews>
    <workbookView xWindow="3008" yWindow="458" windowWidth="12022" windowHeight="10972" xr2:uid="{00000000-000D-0000-FFFF-FFFF00000000}"/>
  </bookViews>
  <sheets>
    <sheet name="00_Инструкция" sheetId="1" r:id="rId1"/>
    <sheet name="01_Конкуренты" sheetId="2" r:id="rId2"/>
    <sheet name="02_Карта_сайтов" sheetId="3" r:id="rId3"/>
    <sheet name="03_Левитт" sheetId="4" r:id="rId4"/>
    <sheet name="04_Кано" sheetId="5" r:id="rId5"/>
    <sheet name="05_Матрица_товара" sheetId="6" r:id="rId6"/>
    <sheet name="06_Сравнение" sheetId="7" r:id="rId7"/>
    <sheet name="07_Стандарт_рынка" sheetId="8" r:id="rId8"/>
    <sheet name="08_Преимущества" sheetId="9" r:id="rId9"/>
    <sheet name="09_Дашборд" sheetId="10" r:id="rId10"/>
    <sheet name="99_Справочники" sheetId="11" r:id="rId11"/>
    <sheet name="98_Журнал"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90" i="7" l="1"/>
  <c r="L91" i="7" s="1"/>
  <c r="H17" i="10" s="1"/>
  <c r="K90" i="7"/>
  <c r="K91" i="7" s="1"/>
  <c r="J90" i="7"/>
  <c r="J91" i="7" s="1"/>
  <c r="F17" i="10" s="1"/>
  <c r="I90" i="7"/>
  <c r="I91" i="7" s="1"/>
  <c r="E17" i="10" s="1"/>
  <c r="H90" i="7"/>
  <c r="H91" i="7" s="1"/>
  <c r="D17" i="10" s="1"/>
  <c r="G90" i="7"/>
  <c r="G91" i="7" s="1"/>
  <c r="C17" i="10" s="1"/>
  <c r="F90" i="7"/>
  <c r="B16" i="10" s="1"/>
  <c r="E90" i="7"/>
  <c r="E91" i="7" s="1"/>
  <c r="A17" i="10" s="1"/>
  <c r="G10" i="10"/>
  <c r="K9" i="10"/>
  <c r="G9" i="10"/>
  <c r="K8" i="10"/>
  <c r="G8" i="10"/>
  <c r="B8" i="10"/>
  <c r="K7" i="10"/>
  <c r="G7" i="10"/>
  <c r="B7" i="10"/>
  <c r="K6" i="10"/>
  <c r="G6" i="10"/>
  <c r="B6" i="10"/>
  <c r="K5" i="10"/>
  <c r="G5" i="10"/>
  <c r="B5" i="10"/>
  <c r="L206" i="9"/>
  <c r="M206" i="9" s="1"/>
  <c r="M205" i="9"/>
  <c r="L205" i="9"/>
  <c r="L204" i="9"/>
  <c r="M204" i="9" s="1"/>
  <c r="L203" i="9"/>
  <c r="M203" i="9" s="1"/>
  <c r="L202" i="9"/>
  <c r="M202" i="9" s="1"/>
  <c r="L201" i="9"/>
  <c r="M201" i="9" s="1"/>
  <c r="L200" i="9"/>
  <c r="M200" i="9" s="1"/>
  <c r="L199" i="9"/>
  <c r="M199" i="9" s="1"/>
  <c r="L198" i="9"/>
  <c r="M198" i="9" s="1"/>
  <c r="M197" i="9"/>
  <c r="L197" i="9"/>
  <c r="L196" i="9"/>
  <c r="M196" i="9" s="1"/>
  <c r="L195" i="9"/>
  <c r="M195" i="9" s="1"/>
  <c r="L194" i="9"/>
  <c r="M194" i="9" s="1"/>
  <c r="L193" i="9"/>
  <c r="M193" i="9" s="1"/>
  <c r="L192" i="9"/>
  <c r="M192" i="9" s="1"/>
  <c r="M191" i="9"/>
  <c r="L191" i="9"/>
  <c r="L190" i="9"/>
  <c r="M190" i="9" s="1"/>
  <c r="L189" i="9"/>
  <c r="M189" i="9" s="1"/>
  <c r="L188" i="9"/>
  <c r="M188" i="9" s="1"/>
  <c r="L187" i="9"/>
  <c r="M187" i="9" s="1"/>
  <c r="L186" i="9"/>
  <c r="M186" i="9" s="1"/>
  <c r="L185" i="9"/>
  <c r="M185" i="9" s="1"/>
  <c r="L184" i="9"/>
  <c r="M184" i="9" s="1"/>
  <c r="M183" i="9"/>
  <c r="L183" i="9"/>
  <c r="L182" i="9"/>
  <c r="M182" i="9" s="1"/>
  <c r="L181" i="9"/>
  <c r="M181" i="9" s="1"/>
  <c r="L180" i="9"/>
  <c r="M180" i="9" s="1"/>
  <c r="L179" i="9"/>
  <c r="M179" i="9" s="1"/>
  <c r="L178" i="9"/>
  <c r="M178" i="9" s="1"/>
  <c r="L177" i="9"/>
  <c r="M177" i="9" s="1"/>
  <c r="L176" i="9"/>
  <c r="M176" i="9" s="1"/>
  <c r="M175" i="9"/>
  <c r="L175" i="9"/>
  <c r="L174" i="9"/>
  <c r="M174" i="9" s="1"/>
  <c r="M173" i="9"/>
  <c r="L173" i="9"/>
  <c r="L172" i="9"/>
  <c r="M172" i="9" s="1"/>
  <c r="L171" i="9"/>
  <c r="M171" i="9" s="1"/>
  <c r="L170" i="9"/>
  <c r="M170" i="9" s="1"/>
  <c r="L169" i="9"/>
  <c r="M169" i="9" s="1"/>
  <c r="L168" i="9"/>
  <c r="M168" i="9" s="1"/>
  <c r="M167" i="9"/>
  <c r="L167" i="9"/>
  <c r="M166" i="9"/>
  <c r="L166" i="9"/>
  <c r="L165" i="9"/>
  <c r="M165" i="9" s="1"/>
  <c r="L164" i="9"/>
  <c r="M164" i="9" s="1"/>
  <c r="L163" i="9"/>
  <c r="M163" i="9" s="1"/>
  <c r="L162" i="9"/>
  <c r="M162" i="9" s="1"/>
  <c r="L161" i="9"/>
  <c r="M161" i="9" s="1"/>
  <c r="L160" i="9"/>
  <c r="M160" i="9" s="1"/>
  <c r="L159" i="9"/>
  <c r="M159" i="9" s="1"/>
  <c r="M158" i="9"/>
  <c r="L158" i="9"/>
  <c r="M157" i="9"/>
  <c r="L157" i="9"/>
  <c r="L156" i="9"/>
  <c r="M156" i="9" s="1"/>
  <c r="L155" i="9"/>
  <c r="M155" i="9" s="1"/>
  <c r="L154" i="9"/>
  <c r="M154" i="9" s="1"/>
  <c r="L153" i="9"/>
  <c r="M153" i="9" s="1"/>
  <c r="L152" i="9"/>
  <c r="M152" i="9" s="1"/>
  <c r="L151" i="9"/>
  <c r="M151" i="9" s="1"/>
  <c r="M150" i="9"/>
  <c r="L150" i="9"/>
  <c r="M149" i="9"/>
  <c r="L149" i="9"/>
  <c r="L148" i="9"/>
  <c r="M148" i="9" s="1"/>
  <c r="L147" i="9"/>
  <c r="M147" i="9" s="1"/>
  <c r="L146" i="9"/>
  <c r="M146" i="9" s="1"/>
  <c r="L145" i="9"/>
  <c r="M145" i="9" s="1"/>
  <c r="L144" i="9"/>
  <c r="M144" i="9" s="1"/>
  <c r="L143" i="9"/>
  <c r="M143" i="9" s="1"/>
  <c r="L142" i="9"/>
  <c r="M142" i="9" s="1"/>
  <c r="M141" i="9"/>
  <c r="L141" i="9"/>
  <c r="L140" i="9"/>
  <c r="M140" i="9" s="1"/>
  <c r="L139" i="9"/>
  <c r="M139" i="9" s="1"/>
  <c r="L138" i="9"/>
  <c r="M138" i="9" s="1"/>
  <c r="L137" i="9"/>
  <c r="M137" i="9" s="1"/>
  <c r="L136" i="9"/>
  <c r="M136" i="9" s="1"/>
  <c r="M135" i="9"/>
  <c r="L135" i="9"/>
  <c r="L134" i="9"/>
  <c r="M134" i="9" s="1"/>
  <c r="M133" i="9"/>
  <c r="L133" i="9"/>
  <c r="L132" i="9"/>
  <c r="M132" i="9" s="1"/>
  <c r="L131" i="9"/>
  <c r="M131" i="9" s="1"/>
  <c r="L130" i="9"/>
  <c r="M130" i="9" s="1"/>
  <c r="L129" i="9"/>
  <c r="M129" i="9" s="1"/>
  <c r="L128" i="9"/>
  <c r="M128" i="9" s="1"/>
  <c r="L127" i="9"/>
  <c r="M127" i="9" s="1"/>
  <c r="M126" i="9"/>
  <c r="L126" i="9"/>
  <c r="L125" i="9"/>
  <c r="M125" i="9" s="1"/>
  <c r="L124" i="9"/>
  <c r="M124" i="9" s="1"/>
  <c r="L123" i="9"/>
  <c r="M123" i="9" s="1"/>
  <c r="L122" i="9"/>
  <c r="M122" i="9" s="1"/>
  <c r="L121" i="9"/>
  <c r="M121" i="9" s="1"/>
  <c r="L120" i="9"/>
  <c r="M120" i="9" s="1"/>
  <c r="M119" i="9"/>
  <c r="L119" i="9"/>
  <c r="L118" i="9"/>
  <c r="M118" i="9" s="1"/>
  <c r="L117" i="9"/>
  <c r="M117" i="9" s="1"/>
  <c r="L116" i="9"/>
  <c r="M116" i="9" s="1"/>
  <c r="L115" i="9"/>
  <c r="M115" i="9" s="1"/>
  <c r="L114" i="9"/>
  <c r="M114" i="9" s="1"/>
  <c r="L113" i="9"/>
  <c r="M113" i="9" s="1"/>
  <c r="L112" i="9"/>
  <c r="M112" i="9" s="1"/>
  <c r="M111" i="9"/>
  <c r="L111" i="9"/>
  <c r="M110" i="9"/>
  <c r="L110" i="9"/>
  <c r="L109" i="9"/>
  <c r="M109" i="9" s="1"/>
  <c r="L108" i="9"/>
  <c r="M108" i="9" s="1"/>
  <c r="L107" i="9"/>
  <c r="M107" i="9" s="1"/>
  <c r="L106" i="9"/>
  <c r="M106" i="9" s="1"/>
  <c r="L105" i="9"/>
  <c r="M105" i="9" s="1"/>
  <c r="L104" i="9"/>
  <c r="M104" i="9" s="1"/>
  <c r="M103" i="9"/>
  <c r="L103" i="9"/>
  <c r="M102" i="9"/>
  <c r="L102" i="9"/>
  <c r="M101" i="9"/>
  <c r="L101" i="9"/>
  <c r="L100" i="9"/>
  <c r="M100" i="9" s="1"/>
  <c r="L99" i="9"/>
  <c r="M99" i="9" s="1"/>
  <c r="L98" i="9"/>
  <c r="M98" i="9" s="1"/>
  <c r="L97" i="9"/>
  <c r="M97" i="9" s="1"/>
  <c r="L96" i="9"/>
  <c r="M96" i="9" s="1"/>
  <c r="L95" i="9"/>
  <c r="M95" i="9" s="1"/>
  <c r="M94" i="9"/>
  <c r="L94" i="9"/>
  <c r="L93" i="9"/>
  <c r="M93" i="9" s="1"/>
  <c r="L92" i="9"/>
  <c r="M92" i="9" s="1"/>
  <c r="L91" i="9"/>
  <c r="M91" i="9" s="1"/>
  <c r="L90" i="9"/>
  <c r="M90" i="9" s="1"/>
  <c r="L89" i="9"/>
  <c r="M89" i="9" s="1"/>
  <c r="L88" i="9"/>
  <c r="M88" i="9" s="1"/>
  <c r="L87" i="9"/>
  <c r="M87" i="9" s="1"/>
  <c r="M86" i="9"/>
  <c r="L86" i="9"/>
  <c r="M85" i="9"/>
  <c r="L85" i="9"/>
  <c r="L84" i="9"/>
  <c r="M84" i="9" s="1"/>
  <c r="L83" i="9"/>
  <c r="M83" i="9" s="1"/>
  <c r="L82" i="9"/>
  <c r="M82" i="9" s="1"/>
  <c r="L81" i="9"/>
  <c r="M81" i="9" s="1"/>
  <c r="L80" i="9"/>
  <c r="M80" i="9" s="1"/>
  <c r="M79" i="9"/>
  <c r="L79" i="9"/>
  <c r="L78" i="9"/>
  <c r="M78" i="9" s="1"/>
  <c r="M77" i="9"/>
  <c r="L77" i="9"/>
  <c r="L76" i="9"/>
  <c r="M76" i="9" s="1"/>
  <c r="L75" i="9"/>
  <c r="M75" i="9" s="1"/>
  <c r="L74" i="9"/>
  <c r="M74" i="9" s="1"/>
  <c r="L73" i="9"/>
  <c r="M73" i="9" s="1"/>
  <c r="L72" i="9"/>
  <c r="M72" i="9" s="1"/>
  <c r="L71" i="9"/>
  <c r="M71" i="9" s="1"/>
  <c r="L70" i="9"/>
  <c r="M70" i="9" s="1"/>
  <c r="M69" i="9"/>
  <c r="L69" i="9"/>
  <c r="L68" i="9"/>
  <c r="M68" i="9" s="1"/>
  <c r="L67" i="9"/>
  <c r="M67" i="9" s="1"/>
  <c r="L66" i="9"/>
  <c r="M66" i="9" s="1"/>
  <c r="L65" i="9"/>
  <c r="M65" i="9" s="1"/>
  <c r="L64" i="9"/>
  <c r="M64" i="9" s="1"/>
  <c r="M63" i="9"/>
  <c r="L63" i="9"/>
  <c r="L62" i="9"/>
  <c r="M62" i="9" s="1"/>
  <c r="L61" i="9"/>
  <c r="M61" i="9" s="1"/>
  <c r="L60" i="9"/>
  <c r="M60" i="9" s="1"/>
  <c r="L59" i="9"/>
  <c r="M59" i="9" s="1"/>
  <c r="L58" i="9"/>
  <c r="M58" i="9" s="1"/>
  <c r="L57" i="9"/>
  <c r="M57" i="9" s="1"/>
  <c r="L56" i="9"/>
  <c r="M56" i="9" s="1"/>
  <c r="M55" i="9"/>
  <c r="L55" i="9"/>
  <c r="M54" i="9"/>
  <c r="L54" i="9"/>
  <c r="L53" i="9"/>
  <c r="M53" i="9" s="1"/>
  <c r="L52" i="9"/>
  <c r="M52" i="9" s="1"/>
  <c r="L51" i="9"/>
  <c r="M51" i="9" s="1"/>
  <c r="L50" i="9"/>
  <c r="M50" i="9" s="1"/>
  <c r="L49" i="9"/>
  <c r="M49" i="9" s="1"/>
  <c r="L48" i="9"/>
  <c r="M48" i="9" s="1"/>
  <c r="M47" i="9"/>
  <c r="L47" i="9"/>
  <c r="L46" i="9"/>
  <c r="M46" i="9" s="1"/>
  <c r="M45" i="9"/>
  <c r="L45" i="9"/>
  <c r="L44" i="9"/>
  <c r="M44" i="9" s="1"/>
  <c r="L43" i="9"/>
  <c r="M43" i="9" s="1"/>
  <c r="L42" i="9"/>
  <c r="M42" i="9" s="1"/>
  <c r="L41" i="9"/>
  <c r="M41" i="9" s="1"/>
  <c r="L40" i="9"/>
  <c r="M40" i="9" s="1"/>
  <c r="M39" i="9"/>
  <c r="L39" i="9"/>
  <c r="M38" i="9"/>
  <c r="L38" i="9"/>
  <c r="L37" i="9"/>
  <c r="M37" i="9" s="1"/>
  <c r="L36" i="9"/>
  <c r="M36" i="9" s="1"/>
  <c r="L35" i="9"/>
  <c r="M35" i="9" s="1"/>
  <c r="L34" i="9"/>
  <c r="M34" i="9" s="1"/>
  <c r="L33" i="9"/>
  <c r="M33" i="9" s="1"/>
  <c r="L32" i="9"/>
  <c r="M32" i="9" s="1"/>
  <c r="L31" i="9"/>
  <c r="M31" i="9" s="1"/>
  <c r="M30" i="9"/>
  <c r="L30" i="9"/>
  <c r="M29" i="9"/>
  <c r="L29" i="9"/>
  <c r="L28" i="9"/>
  <c r="M28" i="9" s="1"/>
  <c r="L27" i="9"/>
  <c r="M27" i="9" s="1"/>
  <c r="L26" i="9"/>
  <c r="M26" i="9" s="1"/>
  <c r="L25" i="9"/>
  <c r="M25" i="9" s="1"/>
  <c r="L24" i="9"/>
  <c r="M24" i="9" s="1"/>
  <c r="L23" i="9"/>
  <c r="M23" i="9" s="1"/>
  <c r="M22" i="9"/>
  <c r="L22" i="9"/>
  <c r="M21" i="9"/>
  <c r="L21" i="9"/>
  <c r="L20" i="9"/>
  <c r="M20" i="9" s="1"/>
  <c r="L19" i="9"/>
  <c r="M19" i="9" s="1"/>
  <c r="L18" i="9"/>
  <c r="M18" i="9" s="1"/>
  <c r="L17" i="9"/>
  <c r="M17" i="9" s="1"/>
  <c r="L16" i="9"/>
  <c r="M16" i="9" s="1"/>
  <c r="L15" i="9"/>
  <c r="M15" i="9" s="1"/>
  <c r="L14" i="9"/>
  <c r="M14" i="9" s="1"/>
  <c r="L13" i="9"/>
  <c r="M13" i="9" s="1"/>
  <c r="L12" i="9"/>
  <c r="M12" i="9" s="1"/>
  <c r="L11" i="9"/>
  <c r="M11" i="9" s="1"/>
  <c r="L10" i="9"/>
  <c r="M10" i="9" s="1"/>
  <c r="L9" i="9"/>
  <c r="M9" i="9" s="1"/>
  <c r="L8" i="9"/>
  <c r="M8" i="9" s="1"/>
  <c r="M7" i="9"/>
  <c r="L7" i="9"/>
  <c r="I206" i="8"/>
  <c r="G206" i="8"/>
  <c r="I205" i="8"/>
  <c r="G205" i="8"/>
  <c r="I204" i="8"/>
  <c r="G204" i="8"/>
  <c r="I203" i="8"/>
  <c r="G203" i="8"/>
  <c r="I202" i="8"/>
  <c r="G202" i="8"/>
  <c r="I201" i="8"/>
  <c r="G201" i="8"/>
  <c r="I200" i="8"/>
  <c r="G200" i="8"/>
  <c r="I199" i="8"/>
  <c r="G199" i="8"/>
  <c r="I198" i="8"/>
  <c r="G198" i="8"/>
  <c r="I197" i="8"/>
  <c r="G197" i="8"/>
  <c r="I196" i="8"/>
  <c r="G196" i="8"/>
  <c r="I195" i="8"/>
  <c r="G195" i="8"/>
  <c r="I194" i="8"/>
  <c r="G194" i="8"/>
  <c r="I193" i="8"/>
  <c r="G193" i="8"/>
  <c r="I192" i="8"/>
  <c r="G192" i="8"/>
  <c r="I191" i="8"/>
  <c r="G191" i="8"/>
  <c r="I190" i="8"/>
  <c r="G190" i="8"/>
  <c r="I189" i="8"/>
  <c r="G189" i="8"/>
  <c r="I188" i="8"/>
  <c r="G188" i="8"/>
  <c r="I187" i="8"/>
  <c r="G187" i="8"/>
  <c r="I186" i="8"/>
  <c r="G186" i="8"/>
  <c r="I185" i="8"/>
  <c r="G185" i="8"/>
  <c r="I184" i="8"/>
  <c r="G184" i="8"/>
  <c r="I183" i="8"/>
  <c r="G183" i="8"/>
  <c r="I182" i="8"/>
  <c r="G182" i="8"/>
  <c r="I181" i="8"/>
  <c r="G181" i="8"/>
  <c r="I180" i="8"/>
  <c r="G180" i="8"/>
  <c r="I179" i="8"/>
  <c r="G179" i="8"/>
  <c r="I178" i="8"/>
  <c r="G178" i="8"/>
  <c r="I177" i="8"/>
  <c r="G177" i="8"/>
  <c r="I176" i="8"/>
  <c r="G176" i="8"/>
  <c r="I175" i="8"/>
  <c r="G175" i="8"/>
  <c r="I174" i="8"/>
  <c r="G174" i="8"/>
  <c r="I173" i="8"/>
  <c r="G173" i="8"/>
  <c r="I172" i="8"/>
  <c r="G172" i="8"/>
  <c r="I171" i="8"/>
  <c r="G171" i="8"/>
  <c r="I170" i="8"/>
  <c r="G170" i="8"/>
  <c r="I169" i="8"/>
  <c r="G169" i="8"/>
  <c r="I168" i="8"/>
  <c r="G168" i="8"/>
  <c r="I167" i="8"/>
  <c r="G167" i="8"/>
  <c r="I166" i="8"/>
  <c r="G166" i="8"/>
  <c r="I165" i="8"/>
  <c r="G165" i="8"/>
  <c r="I164" i="8"/>
  <c r="G164" i="8"/>
  <c r="I163" i="8"/>
  <c r="G163" i="8"/>
  <c r="I162" i="8"/>
  <c r="G162" i="8"/>
  <c r="I161" i="8"/>
  <c r="G161" i="8"/>
  <c r="I160" i="8"/>
  <c r="G160" i="8"/>
  <c r="I159" i="8"/>
  <c r="G159" i="8"/>
  <c r="I158" i="8"/>
  <c r="G158" i="8"/>
  <c r="I157" i="8"/>
  <c r="G157" i="8"/>
  <c r="I156" i="8"/>
  <c r="G156" i="8"/>
  <c r="I155" i="8"/>
  <c r="G155" i="8"/>
  <c r="I154" i="8"/>
  <c r="G154" i="8"/>
  <c r="I153" i="8"/>
  <c r="G153" i="8"/>
  <c r="I152" i="8"/>
  <c r="G152" i="8"/>
  <c r="I151" i="8"/>
  <c r="G151" i="8"/>
  <c r="I150" i="8"/>
  <c r="G150" i="8"/>
  <c r="I149" i="8"/>
  <c r="G149" i="8"/>
  <c r="I148" i="8"/>
  <c r="G148" i="8"/>
  <c r="I147" i="8"/>
  <c r="G147" i="8"/>
  <c r="I146" i="8"/>
  <c r="G146" i="8"/>
  <c r="I145" i="8"/>
  <c r="G145" i="8"/>
  <c r="I144" i="8"/>
  <c r="G144" i="8"/>
  <c r="I143" i="8"/>
  <c r="G143" i="8"/>
  <c r="I142" i="8"/>
  <c r="G142" i="8"/>
  <c r="I141" i="8"/>
  <c r="G141" i="8"/>
  <c r="I140" i="8"/>
  <c r="G140" i="8"/>
  <c r="I139" i="8"/>
  <c r="G139" i="8"/>
  <c r="I138" i="8"/>
  <c r="G138" i="8"/>
  <c r="I137" i="8"/>
  <c r="G137" i="8"/>
  <c r="I136" i="8"/>
  <c r="G136" i="8"/>
  <c r="I135" i="8"/>
  <c r="G135" i="8"/>
  <c r="I134" i="8"/>
  <c r="G134" i="8"/>
  <c r="I133" i="8"/>
  <c r="G133" i="8"/>
  <c r="I132" i="8"/>
  <c r="G132" i="8"/>
  <c r="I131" i="8"/>
  <c r="G131" i="8"/>
  <c r="I130" i="8"/>
  <c r="G130" i="8"/>
  <c r="I129" i="8"/>
  <c r="G129" i="8"/>
  <c r="I128" i="8"/>
  <c r="G128" i="8"/>
  <c r="I127" i="8"/>
  <c r="G127" i="8"/>
  <c r="I126" i="8"/>
  <c r="G126" i="8"/>
  <c r="I125" i="8"/>
  <c r="G125" i="8"/>
  <c r="I124" i="8"/>
  <c r="G124" i="8"/>
  <c r="I123" i="8"/>
  <c r="G123" i="8"/>
  <c r="I122" i="8"/>
  <c r="G122" i="8"/>
  <c r="I121" i="8"/>
  <c r="G121" i="8"/>
  <c r="I120" i="8"/>
  <c r="G120" i="8"/>
  <c r="I119" i="8"/>
  <c r="G119" i="8"/>
  <c r="I118" i="8"/>
  <c r="G118" i="8"/>
  <c r="I117" i="8"/>
  <c r="G117" i="8"/>
  <c r="I116" i="8"/>
  <c r="G116" i="8"/>
  <c r="I115" i="8"/>
  <c r="G115" i="8"/>
  <c r="I114" i="8"/>
  <c r="G114" i="8"/>
  <c r="I113" i="8"/>
  <c r="G113" i="8"/>
  <c r="I112" i="8"/>
  <c r="G112" i="8"/>
  <c r="I111" i="8"/>
  <c r="G111" i="8"/>
  <c r="I110" i="8"/>
  <c r="G110" i="8"/>
  <c r="I109" i="8"/>
  <c r="G109" i="8"/>
  <c r="I108" i="8"/>
  <c r="G108" i="8"/>
  <c r="I107" i="8"/>
  <c r="G107" i="8"/>
  <c r="I106" i="8"/>
  <c r="G106" i="8"/>
  <c r="I105" i="8"/>
  <c r="G105" i="8"/>
  <c r="I104" i="8"/>
  <c r="G104" i="8"/>
  <c r="I103" i="8"/>
  <c r="G103" i="8"/>
  <c r="I102" i="8"/>
  <c r="G102" i="8"/>
  <c r="I101" i="8"/>
  <c r="G101" i="8"/>
  <c r="I100" i="8"/>
  <c r="G100" i="8"/>
  <c r="I99" i="8"/>
  <c r="G99" i="8"/>
  <c r="I98" i="8"/>
  <c r="G98" i="8"/>
  <c r="I97" i="8"/>
  <c r="G97" i="8"/>
  <c r="I96" i="8"/>
  <c r="G96" i="8"/>
  <c r="I95" i="8"/>
  <c r="G95" i="8"/>
  <c r="I94" i="8"/>
  <c r="G94" i="8"/>
  <c r="I93" i="8"/>
  <c r="G93" i="8"/>
  <c r="I92" i="8"/>
  <c r="G92" i="8"/>
  <c r="I91" i="8"/>
  <c r="G91" i="8"/>
  <c r="I90" i="8"/>
  <c r="G90" i="8"/>
  <c r="I89" i="8"/>
  <c r="G89" i="8"/>
  <c r="I88" i="8"/>
  <c r="G88" i="8"/>
  <c r="I87" i="8"/>
  <c r="G87" i="8"/>
  <c r="I86" i="8"/>
  <c r="G86" i="8"/>
  <c r="I85" i="8"/>
  <c r="G85" i="8"/>
  <c r="I84" i="8"/>
  <c r="G84" i="8"/>
  <c r="I83" i="8"/>
  <c r="G83" i="8"/>
  <c r="I82" i="8"/>
  <c r="G82" i="8"/>
  <c r="I81" i="8"/>
  <c r="G81" i="8"/>
  <c r="I80" i="8"/>
  <c r="G80" i="8"/>
  <c r="I79" i="8"/>
  <c r="G79" i="8"/>
  <c r="I78" i="8"/>
  <c r="G78" i="8"/>
  <c r="I77" i="8"/>
  <c r="G77" i="8"/>
  <c r="I76" i="8"/>
  <c r="G76" i="8"/>
  <c r="I75" i="8"/>
  <c r="G75" i="8"/>
  <c r="I74" i="8"/>
  <c r="G74" i="8"/>
  <c r="I73" i="8"/>
  <c r="G73" i="8"/>
  <c r="I72" i="8"/>
  <c r="G72" i="8"/>
  <c r="I71" i="8"/>
  <c r="G71" i="8"/>
  <c r="I70" i="8"/>
  <c r="G70" i="8"/>
  <c r="I69" i="8"/>
  <c r="G69" i="8"/>
  <c r="I68" i="8"/>
  <c r="G68" i="8"/>
  <c r="I67" i="8"/>
  <c r="G67" i="8"/>
  <c r="I66" i="8"/>
  <c r="G66" i="8"/>
  <c r="I65" i="8"/>
  <c r="G65" i="8"/>
  <c r="I64" i="8"/>
  <c r="G64" i="8"/>
  <c r="I63" i="8"/>
  <c r="G63" i="8"/>
  <c r="I62" i="8"/>
  <c r="G62" i="8"/>
  <c r="I61" i="8"/>
  <c r="G61" i="8"/>
  <c r="I60" i="8"/>
  <c r="G60" i="8"/>
  <c r="I59" i="8"/>
  <c r="G59" i="8"/>
  <c r="I58" i="8"/>
  <c r="G58" i="8"/>
  <c r="I57" i="8"/>
  <c r="G57" i="8"/>
  <c r="I56" i="8"/>
  <c r="G56" i="8"/>
  <c r="I55" i="8"/>
  <c r="G55" i="8"/>
  <c r="I54" i="8"/>
  <c r="G54" i="8"/>
  <c r="I53" i="8"/>
  <c r="G53" i="8"/>
  <c r="I52" i="8"/>
  <c r="G52" i="8"/>
  <c r="I51" i="8"/>
  <c r="G51" i="8"/>
  <c r="I50" i="8"/>
  <c r="G50" i="8"/>
  <c r="I49" i="8"/>
  <c r="G49" i="8"/>
  <c r="I48" i="8"/>
  <c r="G48" i="8"/>
  <c r="I47" i="8"/>
  <c r="G47" i="8"/>
  <c r="I46" i="8"/>
  <c r="G46" i="8"/>
  <c r="I45" i="8"/>
  <c r="G45" i="8"/>
  <c r="I44" i="8"/>
  <c r="G44" i="8"/>
  <c r="I43" i="8"/>
  <c r="G43" i="8"/>
  <c r="I42" i="8"/>
  <c r="G42" i="8"/>
  <c r="I41" i="8"/>
  <c r="G41" i="8"/>
  <c r="I40" i="8"/>
  <c r="G40" i="8"/>
  <c r="I39" i="8"/>
  <c r="G39" i="8"/>
  <c r="I38" i="8"/>
  <c r="G38" i="8"/>
  <c r="I37" i="8"/>
  <c r="G37" i="8"/>
  <c r="I36" i="8"/>
  <c r="G36" i="8"/>
  <c r="I35" i="8"/>
  <c r="G35" i="8"/>
  <c r="G34" i="8"/>
  <c r="I34" i="8" s="1"/>
  <c r="I33" i="8"/>
  <c r="G33" i="8"/>
  <c r="I32" i="8"/>
  <c r="G32" i="8"/>
  <c r="G31" i="8"/>
  <c r="I31" i="8" s="1"/>
  <c r="I30" i="8"/>
  <c r="G30" i="8"/>
  <c r="G29" i="8"/>
  <c r="I29" i="8" s="1"/>
  <c r="G28" i="8"/>
  <c r="I28" i="8" s="1"/>
  <c r="G27" i="8"/>
  <c r="I27" i="8" s="1"/>
  <c r="G26" i="8"/>
  <c r="I26" i="8" s="1"/>
  <c r="G25" i="8"/>
  <c r="I25" i="8" s="1"/>
  <c r="G24" i="8"/>
  <c r="I24" i="8" s="1"/>
  <c r="I23" i="8"/>
  <c r="G23" i="8"/>
  <c r="I22" i="8"/>
  <c r="G22" i="8"/>
  <c r="I21" i="8"/>
  <c r="G21" i="8"/>
  <c r="G20" i="8"/>
  <c r="I20" i="8" s="1"/>
  <c r="I19" i="8"/>
  <c r="G19" i="8"/>
  <c r="G18" i="8"/>
  <c r="I18" i="8" s="1"/>
  <c r="G17" i="8"/>
  <c r="I17" i="8" s="1"/>
  <c r="G16" i="8"/>
  <c r="I16" i="8" s="1"/>
  <c r="G15" i="8"/>
  <c r="I15" i="8" s="1"/>
  <c r="I14" i="8"/>
  <c r="G14" i="8"/>
  <c r="I13" i="8"/>
  <c r="G13" i="8"/>
  <c r="G12" i="8"/>
  <c r="I12" i="8" s="1"/>
  <c r="I11" i="8"/>
  <c r="G11" i="8"/>
  <c r="I10" i="8"/>
  <c r="G10" i="8"/>
  <c r="G9" i="8"/>
  <c r="I9" i="8" s="1"/>
  <c r="I8" i="8"/>
  <c r="G8" i="8"/>
  <c r="G7" i="8"/>
  <c r="I7" i="8" s="1"/>
  <c r="G16" i="10"/>
  <c r="E16" i="10"/>
  <c r="D16" i="10"/>
  <c r="C16" i="10"/>
  <c r="N86" i="7"/>
  <c r="O86" i="7" s="1"/>
  <c r="M86" i="7"/>
  <c r="N85" i="7"/>
  <c r="O85" i="7" s="1"/>
  <c r="M85" i="7"/>
  <c r="N84" i="7"/>
  <c r="O84" i="7" s="1"/>
  <c r="M84" i="7"/>
  <c r="N83" i="7"/>
  <c r="O83" i="7" s="1"/>
  <c r="M83" i="7"/>
  <c r="N82" i="7"/>
  <c r="O82" i="7" s="1"/>
  <c r="M82" i="7"/>
  <c r="N81" i="7"/>
  <c r="O81" i="7" s="1"/>
  <c r="M81" i="7"/>
  <c r="N80" i="7"/>
  <c r="O80" i="7" s="1"/>
  <c r="M80" i="7"/>
  <c r="N79" i="7"/>
  <c r="O79" i="7" s="1"/>
  <c r="M79" i="7"/>
  <c r="N78" i="7"/>
  <c r="O78" i="7" s="1"/>
  <c r="M78" i="7"/>
  <c r="N77" i="7"/>
  <c r="O77" i="7" s="1"/>
  <c r="M77" i="7"/>
  <c r="N76" i="7"/>
  <c r="O76" i="7" s="1"/>
  <c r="M76" i="7"/>
  <c r="N75" i="7"/>
  <c r="O75" i="7" s="1"/>
  <c r="M75" i="7"/>
  <c r="N74" i="7"/>
  <c r="O74" i="7" s="1"/>
  <c r="M74" i="7"/>
  <c r="N73" i="7"/>
  <c r="O73" i="7" s="1"/>
  <c r="M73" i="7"/>
  <c r="N72" i="7"/>
  <c r="O72" i="7" s="1"/>
  <c r="M72" i="7"/>
  <c r="N71" i="7"/>
  <c r="O71" i="7" s="1"/>
  <c r="M71" i="7"/>
  <c r="N70" i="7"/>
  <c r="O70" i="7" s="1"/>
  <c r="M70" i="7"/>
  <c r="N69" i="7"/>
  <c r="O69" i="7" s="1"/>
  <c r="M69" i="7"/>
  <c r="N68" i="7"/>
  <c r="O68" i="7" s="1"/>
  <c r="M68" i="7"/>
  <c r="N67" i="7"/>
  <c r="O67" i="7" s="1"/>
  <c r="M67" i="7"/>
  <c r="N66" i="7"/>
  <c r="O66" i="7" s="1"/>
  <c r="M66" i="7"/>
  <c r="N65" i="7"/>
  <c r="O65" i="7" s="1"/>
  <c r="M65" i="7"/>
  <c r="N64" i="7"/>
  <c r="O64" i="7" s="1"/>
  <c r="M64" i="7"/>
  <c r="N63" i="7"/>
  <c r="O63" i="7" s="1"/>
  <c r="M63" i="7"/>
  <c r="N62" i="7"/>
  <c r="O62" i="7" s="1"/>
  <c r="M62" i="7"/>
  <c r="N61" i="7"/>
  <c r="O61" i="7" s="1"/>
  <c r="M61" i="7"/>
  <c r="N60" i="7"/>
  <c r="O60" i="7" s="1"/>
  <c r="M60" i="7"/>
  <c r="N59" i="7"/>
  <c r="O59" i="7" s="1"/>
  <c r="M59" i="7"/>
  <c r="N58" i="7"/>
  <c r="O58" i="7" s="1"/>
  <c r="M58" i="7"/>
  <c r="N57" i="7"/>
  <c r="O57" i="7" s="1"/>
  <c r="M57" i="7"/>
  <c r="N56" i="7"/>
  <c r="O56" i="7" s="1"/>
  <c r="M56" i="7"/>
  <c r="N55" i="7"/>
  <c r="O55" i="7" s="1"/>
  <c r="M55" i="7"/>
  <c r="N54" i="7"/>
  <c r="O54" i="7" s="1"/>
  <c r="M54" i="7"/>
  <c r="N53" i="7"/>
  <c r="O53" i="7" s="1"/>
  <c r="M53" i="7"/>
  <c r="N52" i="7"/>
  <c r="O52" i="7" s="1"/>
  <c r="M52" i="7"/>
  <c r="N51" i="7"/>
  <c r="O51" i="7" s="1"/>
  <c r="M51" i="7"/>
  <c r="N50" i="7"/>
  <c r="O50" i="7" s="1"/>
  <c r="M50" i="7"/>
  <c r="N49" i="7"/>
  <c r="O49" i="7" s="1"/>
  <c r="M49" i="7"/>
  <c r="N48" i="7"/>
  <c r="O48" i="7" s="1"/>
  <c r="M48" i="7"/>
  <c r="N47" i="7"/>
  <c r="O47" i="7" s="1"/>
  <c r="M47" i="7"/>
  <c r="N46" i="7"/>
  <c r="O46" i="7" s="1"/>
  <c r="M46" i="7"/>
  <c r="N45" i="7"/>
  <c r="O45" i="7" s="1"/>
  <c r="M45" i="7"/>
  <c r="N44" i="7"/>
  <c r="O44" i="7" s="1"/>
  <c r="M44" i="7"/>
  <c r="N43" i="7"/>
  <c r="O43" i="7" s="1"/>
  <c r="M43" i="7"/>
  <c r="N42" i="7"/>
  <c r="O42" i="7" s="1"/>
  <c r="M42" i="7"/>
  <c r="N41" i="7"/>
  <c r="O41" i="7" s="1"/>
  <c r="M41" i="7"/>
  <c r="N40" i="7"/>
  <c r="O40" i="7" s="1"/>
  <c r="M40" i="7"/>
  <c r="N39" i="7"/>
  <c r="O39" i="7" s="1"/>
  <c r="M39" i="7"/>
  <c r="N38" i="7"/>
  <c r="O38" i="7" s="1"/>
  <c r="M38" i="7"/>
  <c r="N37" i="7"/>
  <c r="O37" i="7" s="1"/>
  <c r="M37" i="7"/>
  <c r="N36" i="7"/>
  <c r="O36" i="7" s="1"/>
  <c r="M36" i="7"/>
  <c r="N35" i="7"/>
  <c r="O35" i="7" s="1"/>
  <c r="M35" i="7"/>
  <c r="N34" i="7"/>
  <c r="O34" i="7" s="1"/>
  <c r="M34" i="7"/>
  <c r="N33" i="7"/>
  <c r="O33" i="7" s="1"/>
  <c r="M33" i="7"/>
  <c r="N32" i="7"/>
  <c r="O32" i="7" s="1"/>
  <c r="M32" i="7"/>
  <c r="N31" i="7"/>
  <c r="O31" i="7" s="1"/>
  <c r="M31" i="7"/>
  <c r="N30" i="7"/>
  <c r="O30" i="7" s="1"/>
  <c r="M30" i="7"/>
  <c r="N29" i="7"/>
  <c r="O29" i="7" s="1"/>
  <c r="M29" i="7"/>
  <c r="N28" i="7"/>
  <c r="O28" i="7" s="1"/>
  <c r="M28" i="7"/>
  <c r="N27" i="7"/>
  <c r="O27" i="7" s="1"/>
  <c r="M27" i="7"/>
  <c r="N26" i="7"/>
  <c r="O26" i="7" s="1"/>
  <c r="M26" i="7"/>
  <c r="N25" i="7"/>
  <c r="O25" i="7" s="1"/>
  <c r="M25" i="7"/>
  <c r="N24" i="7"/>
  <c r="O24" i="7" s="1"/>
  <c r="M24" i="7"/>
  <c r="N23" i="7"/>
  <c r="O23" i="7" s="1"/>
  <c r="M23" i="7"/>
  <c r="N22" i="7"/>
  <c r="O22" i="7" s="1"/>
  <c r="M22" i="7"/>
  <c r="N21" i="7"/>
  <c r="O21" i="7" s="1"/>
  <c r="M21" i="7"/>
  <c r="N20" i="7"/>
  <c r="O20" i="7" s="1"/>
  <c r="M20" i="7"/>
  <c r="N19" i="7"/>
  <c r="O19" i="7" s="1"/>
  <c r="M19" i="7"/>
  <c r="N18" i="7"/>
  <c r="O18" i="7" s="1"/>
  <c r="M18" i="7"/>
  <c r="N17" i="7"/>
  <c r="O17" i="7" s="1"/>
  <c r="M17" i="7"/>
  <c r="N16" i="7"/>
  <c r="O16" i="7" s="1"/>
  <c r="M16" i="7"/>
  <c r="N15" i="7"/>
  <c r="O15" i="7" s="1"/>
  <c r="M15" i="7"/>
  <c r="N14" i="7"/>
  <c r="O14" i="7" s="1"/>
  <c r="M14" i="7"/>
  <c r="N13" i="7"/>
  <c r="O13" i="7" s="1"/>
  <c r="M13" i="7"/>
  <c r="N12" i="7"/>
  <c r="O12" i="7" s="1"/>
  <c r="M12" i="7"/>
  <c r="N11" i="7"/>
  <c r="O11" i="7" s="1"/>
  <c r="M11" i="7"/>
  <c r="N10" i="7"/>
  <c r="O10" i="7" s="1"/>
  <c r="M10" i="7"/>
  <c r="N9" i="7"/>
  <c r="O9" i="7" s="1"/>
  <c r="M9" i="7"/>
  <c r="N8" i="7"/>
  <c r="O8" i="7" s="1"/>
  <c r="M8" i="7"/>
  <c r="N7" i="7"/>
  <c r="O7" i="7" s="1"/>
  <c r="M7" i="7"/>
  <c r="J206" i="5"/>
  <c r="H206" i="5"/>
  <c r="J205" i="5"/>
  <c r="H205" i="5"/>
  <c r="J204" i="5"/>
  <c r="H204" i="5"/>
  <c r="J203" i="5"/>
  <c r="H203" i="5"/>
  <c r="J202" i="5"/>
  <c r="H202" i="5"/>
  <c r="J201" i="5"/>
  <c r="H201" i="5"/>
  <c r="J200" i="5"/>
  <c r="H200" i="5"/>
  <c r="J199" i="5"/>
  <c r="H199" i="5"/>
  <c r="J198" i="5"/>
  <c r="H198" i="5"/>
  <c r="J197" i="5"/>
  <c r="H197" i="5"/>
  <c r="J196" i="5"/>
  <c r="H196" i="5"/>
  <c r="J195" i="5"/>
  <c r="H195" i="5"/>
  <c r="J194" i="5"/>
  <c r="H194" i="5"/>
  <c r="J193" i="5"/>
  <c r="H193" i="5"/>
  <c r="J192" i="5"/>
  <c r="H192" i="5"/>
  <c r="J191" i="5"/>
  <c r="H191" i="5"/>
  <c r="J190" i="5"/>
  <c r="H190" i="5"/>
  <c r="J189" i="5"/>
  <c r="H189" i="5"/>
  <c r="J188" i="5"/>
  <c r="H188" i="5"/>
  <c r="J187" i="5"/>
  <c r="H187" i="5"/>
  <c r="J186" i="5"/>
  <c r="H186" i="5"/>
  <c r="J185" i="5"/>
  <c r="H185" i="5"/>
  <c r="J184" i="5"/>
  <c r="H184" i="5"/>
  <c r="J183" i="5"/>
  <c r="H183" i="5"/>
  <c r="J182" i="5"/>
  <c r="H182" i="5"/>
  <c r="J181" i="5"/>
  <c r="H181" i="5"/>
  <c r="J180" i="5"/>
  <c r="H180" i="5"/>
  <c r="J179" i="5"/>
  <c r="H179" i="5"/>
  <c r="J178" i="5"/>
  <c r="H178" i="5"/>
  <c r="J177" i="5"/>
  <c r="H177" i="5"/>
  <c r="J176" i="5"/>
  <c r="H176" i="5"/>
  <c r="J175" i="5"/>
  <c r="H175" i="5"/>
  <c r="J174" i="5"/>
  <c r="H174" i="5"/>
  <c r="J173" i="5"/>
  <c r="H173" i="5"/>
  <c r="J172" i="5"/>
  <c r="H172" i="5"/>
  <c r="J171" i="5"/>
  <c r="H171" i="5"/>
  <c r="J170" i="5"/>
  <c r="H170" i="5"/>
  <c r="J169" i="5"/>
  <c r="H169" i="5"/>
  <c r="J168" i="5"/>
  <c r="H168" i="5"/>
  <c r="J167" i="5"/>
  <c r="H167" i="5"/>
  <c r="J166" i="5"/>
  <c r="H166" i="5"/>
  <c r="J165" i="5"/>
  <c r="H165" i="5"/>
  <c r="J164" i="5"/>
  <c r="H164" i="5"/>
  <c r="J163" i="5"/>
  <c r="H163" i="5"/>
  <c r="J162" i="5"/>
  <c r="H162" i="5"/>
  <c r="J161" i="5"/>
  <c r="H161" i="5"/>
  <c r="J160" i="5"/>
  <c r="H160" i="5"/>
  <c r="J159" i="5"/>
  <c r="H159" i="5"/>
  <c r="J158" i="5"/>
  <c r="H158" i="5"/>
  <c r="J157" i="5"/>
  <c r="H157" i="5"/>
  <c r="J156" i="5"/>
  <c r="H156" i="5"/>
  <c r="J155" i="5"/>
  <c r="H155" i="5"/>
  <c r="J154" i="5"/>
  <c r="H154" i="5"/>
  <c r="J153" i="5"/>
  <c r="H153" i="5"/>
  <c r="J152" i="5"/>
  <c r="H152" i="5"/>
  <c r="J151" i="5"/>
  <c r="H151" i="5"/>
  <c r="J150" i="5"/>
  <c r="H150" i="5"/>
  <c r="J149" i="5"/>
  <c r="H149" i="5"/>
  <c r="J148" i="5"/>
  <c r="H148" i="5"/>
  <c r="J147" i="5"/>
  <c r="H147" i="5"/>
  <c r="J146" i="5"/>
  <c r="H146" i="5"/>
  <c r="J145" i="5"/>
  <c r="H145" i="5"/>
  <c r="J144" i="5"/>
  <c r="H144" i="5"/>
  <c r="J143" i="5"/>
  <c r="H143" i="5"/>
  <c r="J142" i="5"/>
  <c r="H142" i="5"/>
  <c r="J141" i="5"/>
  <c r="H141" i="5"/>
  <c r="J140" i="5"/>
  <c r="H140" i="5"/>
  <c r="J139" i="5"/>
  <c r="H139" i="5"/>
  <c r="J138" i="5"/>
  <c r="H138" i="5"/>
  <c r="J137" i="5"/>
  <c r="H137" i="5"/>
  <c r="J136" i="5"/>
  <c r="H136" i="5"/>
  <c r="J135" i="5"/>
  <c r="H135" i="5"/>
  <c r="J134" i="5"/>
  <c r="H134" i="5"/>
  <c r="J133" i="5"/>
  <c r="H133" i="5"/>
  <c r="J132" i="5"/>
  <c r="H132" i="5"/>
  <c r="J131" i="5"/>
  <c r="H131" i="5"/>
  <c r="J130" i="5"/>
  <c r="H130" i="5"/>
  <c r="J129" i="5"/>
  <c r="H129" i="5"/>
  <c r="J128" i="5"/>
  <c r="H128" i="5"/>
  <c r="J127" i="5"/>
  <c r="H127" i="5"/>
  <c r="J126" i="5"/>
  <c r="H126" i="5"/>
  <c r="J125" i="5"/>
  <c r="H125" i="5"/>
  <c r="J124" i="5"/>
  <c r="H124" i="5"/>
  <c r="J123" i="5"/>
  <c r="H123" i="5"/>
  <c r="J122" i="5"/>
  <c r="H122" i="5"/>
  <c r="J121" i="5"/>
  <c r="H121" i="5"/>
  <c r="J120" i="5"/>
  <c r="H120" i="5"/>
  <c r="J119" i="5"/>
  <c r="H119" i="5"/>
  <c r="J118" i="5"/>
  <c r="H118" i="5"/>
  <c r="J117" i="5"/>
  <c r="H117" i="5"/>
  <c r="J116" i="5"/>
  <c r="H116" i="5"/>
  <c r="J115" i="5"/>
  <c r="H115" i="5"/>
  <c r="J114" i="5"/>
  <c r="H114" i="5"/>
  <c r="J113" i="5"/>
  <c r="H113" i="5"/>
  <c r="J112" i="5"/>
  <c r="H112" i="5"/>
  <c r="J111" i="5"/>
  <c r="H111" i="5"/>
  <c r="J110" i="5"/>
  <c r="H110" i="5"/>
  <c r="J109" i="5"/>
  <c r="H109" i="5"/>
  <c r="J108" i="5"/>
  <c r="H108" i="5"/>
  <c r="J107" i="5"/>
  <c r="H107" i="5"/>
  <c r="J106" i="5"/>
  <c r="H106" i="5"/>
  <c r="J105" i="5"/>
  <c r="H105" i="5"/>
  <c r="J104" i="5"/>
  <c r="H104" i="5"/>
  <c r="J103" i="5"/>
  <c r="H103" i="5"/>
  <c r="J102" i="5"/>
  <c r="H102" i="5"/>
  <c r="J101" i="5"/>
  <c r="H101" i="5"/>
  <c r="J100" i="5"/>
  <c r="H100" i="5"/>
  <c r="J99" i="5"/>
  <c r="H99" i="5"/>
  <c r="J98" i="5"/>
  <c r="H98" i="5"/>
  <c r="J97" i="5"/>
  <c r="H97" i="5"/>
  <c r="J96" i="5"/>
  <c r="H96" i="5"/>
  <c r="J95" i="5"/>
  <c r="H95" i="5"/>
  <c r="J94" i="5"/>
  <c r="H94" i="5"/>
  <c r="J93" i="5"/>
  <c r="H93" i="5"/>
  <c r="J92" i="5"/>
  <c r="H92" i="5"/>
  <c r="J91" i="5"/>
  <c r="H91" i="5"/>
  <c r="J90" i="5"/>
  <c r="H90" i="5"/>
  <c r="J89" i="5"/>
  <c r="H89" i="5"/>
  <c r="J88" i="5"/>
  <c r="H88" i="5"/>
  <c r="J87" i="5"/>
  <c r="H87" i="5"/>
  <c r="J86" i="5"/>
  <c r="H86" i="5"/>
  <c r="J85" i="5"/>
  <c r="H85" i="5"/>
  <c r="J84" i="5"/>
  <c r="H84" i="5"/>
  <c r="J83" i="5"/>
  <c r="H83" i="5"/>
  <c r="J82" i="5"/>
  <c r="H82" i="5"/>
  <c r="J81" i="5"/>
  <c r="H81" i="5"/>
  <c r="J80" i="5"/>
  <c r="H80" i="5"/>
  <c r="J79" i="5"/>
  <c r="H79" i="5"/>
  <c r="J78" i="5"/>
  <c r="H78" i="5"/>
  <c r="J77" i="5"/>
  <c r="H77" i="5"/>
  <c r="J76" i="5"/>
  <c r="H76" i="5"/>
  <c r="J75" i="5"/>
  <c r="H75" i="5"/>
  <c r="J74" i="5"/>
  <c r="H74" i="5"/>
  <c r="J73" i="5"/>
  <c r="H73" i="5"/>
  <c r="J72" i="5"/>
  <c r="H72" i="5"/>
  <c r="J71" i="5"/>
  <c r="H71" i="5"/>
  <c r="J70" i="5"/>
  <c r="H70" i="5"/>
  <c r="J69" i="5"/>
  <c r="H69" i="5"/>
  <c r="J68" i="5"/>
  <c r="H68" i="5"/>
  <c r="J67" i="5"/>
  <c r="H67" i="5"/>
  <c r="J66" i="5"/>
  <c r="H66" i="5"/>
  <c r="J65" i="5"/>
  <c r="H65" i="5"/>
  <c r="J64" i="5"/>
  <c r="H64" i="5"/>
  <c r="J63" i="5"/>
  <c r="H63" i="5"/>
  <c r="J62" i="5"/>
  <c r="H62" i="5"/>
  <c r="J61" i="5"/>
  <c r="H61" i="5"/>
  <c r="J60" i="5"/>
  <c r="H60" i="5"/>
  <c r="J59" i="5"/>
  <c r="H59" i="5"/>
  <c r="J58" i="5"/>
  <c r="H58" i="5"/>
  <c r="J57" i="5"/>
  <c r="H57" i="5"/>
  <c r="J56" i="5"/>
  <c r="H56" i="5"/>
  <c r="J55" i="5"/>
  <c r="H55" i="5"/>
  <c r="J54" i="5"/>
  <c r="H54" i="5"/>
  <c r="J53" i="5"/>
  <c r="H53" i="5"/>
  <c r="J52" i="5"/>
  <c r="H52" i="5"/>
  <c r="J51" i="5"/>
  <c r="H51" i="5"/>
  <c r="J50" i="5"/>
  <c r="H50" i="5"/>
  <c r="J49" i="5"/>
  <c r="H49" i="5"/>
  <c r="J48" i="5"/>
  <c r="H48" i="5"/>
  <c r="J47" i="5"/>
  <c r="H47" i="5"/>
  <c r="J46" i="5"/>
  <c r="H46" i="5"/>
  <c r="J45" i="5"/>
  <c r="H45" i="5"/>
  <c r="J44" i="5"/>
  <c r="H44" i="5"/>
  <c r="J43" i="5"/>
  <c r="H43" i="5"/>
  <c r="J42" i="5"/>
  <c r="H42" i="5"/>
  <c r="J41" i="5"/>
  <c r="H41" i="5"/>
  <c r="J40" i="5"/>
  <c r="H40" i="5"/>
  <c r="J39" i="5"/>
  <c r="H39" i="5"/>
  <c r="J38" i="5"/>
  <c r="H38" i="5"/>
  <c r="J37" i="5"/>
  <c r="H37" i="5"/>
  <c r="H36" i="5"/>
  <c r="J36" i="5" s="1"/>
  <c r="J35" i="5"/>
  <c r="H35" i="5"/>
  <c r="H34" i="5"/>
  <c r="J34" i="5" s="1"/>
  <c r="J33" i="5"/>
  <c r="H33" i="5"/>
  <c r="J32" i="5"/>
  <c r="H32" i="5"/>
  <c r="H31" i="5"/>
  <c r="J31" i="5" s="1"/>
  <c r="J30" i="5"/>
  <c r="H30" i="5"/>
  <c r="H29" i="5"/>
  <c r="J29" i="5" s="1"/>
  <c r="J28" i="5"/>
  <c r="H28" i="5"/>
  <c r="H27" i="5"/>
  <c r="J27" i="5" s="1"/>
  <c r="H26" i="5"/>
  <c r="J26" i="5" s="1"/>
  <c r="H25" i="5"/>
  <c r="J25" i="5" s="1"/>
  <c r="H24" i="5"/>
  <c r="J24" i="5" s="1"/>
  <c r="H23" i="5"/>
  <c r="J23" i="5" s="1"/>
  <c r="J22" i="5"/>
  <c r="H22" i="5"/>
  <c r="J21" i="5"/>
  <c r="H21" i="5"/>
  <c r="H20" i="5"/>
  <c r="J20" i="5" s="1"/>
  <c r="J19" i="5"/>
  <c r="H19" i="5"/>
  <c r="H18" i="5"/>
  <c r="J18" i="5" s="1"/>
  <c r="J17" i="5"/>
  <c r="H17" i="5"/>
  <c r="H16" i="5"/>
  <c r="J16" i="5" s="1"/>
  <c r="H15" i="5"/>
  <c r="J15" i="5" s="1"/>
  <c r="H14" i="5"/>
  <c r="J14" i="5" s="1"/>
  <c r="J13" i="5"/>
  <c r="H13" i="5"/>
  <c r="J12" i="5"/>
  <c r="H12" i="5"/>
  <c r="J11" i="5"/>
  <c r="H11" i="5"/>
  <c r="H10" i="5"/>
  <c r="J10" i="5" s="1"/>
  <c r="H9" i="5"/>
  <c r="J9" i="5" s="1"/>
  <c r="J8" i="5"/>
  <c r="H8" i="5"/>
  <c r="H7" i="5"/>
  <c r="J7" i="5" s="1"/>
  <c r="M306" i="4"/>
  <c r="L306" i="4"/>
  <c r="L305" i="4"/>
  <c r="M305" i="4" s="1"/>
  <c r="L304" i="4"/>
  <c r="M304" i="4" s="1"/>
  <c r="L303" i="4"/>
  <c r="M303" i="4" s="1"/>
  <c r="L302" i="4"/>
  <c r="M302" i="4" s="1"/>
  <c r="L301" i="4"/>
  <c r="M301" i="4" s="1"/>
  <c r="L300" i="4"/>
  <c r="M300" i="4" s="1"/>
  <c r="L299" i="4"/>
  <c r="M299" i="4" s="1"/>
  <c r="L298" i="4"/>
  <c r="M298" i="4" s="1"/>
  <c r="M297" i="4"/>
  <c r="L297" i="4"/>
  <c r="L296" i="4"/>
  <c r="M296" i="4" s="1"/>
  <c r="L295" i="4"/>
  <c r="M295" i="4" s="1"/>
  <c r="L294" i="4"/>
  <c r="M294" i="4" s="1"/>
  <c r="L293" i="4"/>
  <c r="M293" i="4" s="1"/>
  <c r="L292" i="4"/>
  <c r="M292" i="4" s="1"/>
  <c r="L291" i="4"/>
  <c r="M291" i="4" s="1"/>
  <c r="M290" i="4"/>
  <c r="L290" i="4"/>
  <c r="L289" i="4"/>
  <c r="M289" i="4" s="1"/>
  <c r="L288" i="4"/>
  <c r="M288" i="4" s="1"/>
  <c r="L287" i="4"/>
  <c r="M287" i="4" s="1"/>
  <c r="L286" i="4"/>
  <c r="M286" i="4" s="1"/>
  <c r="L285" i="4"/>
  <c r="M285" i="4" s="1"/>
  <c r="L284" i="4"/>
  <c r="M284" i="4" s="1"/>
  <c r="L283" i="4"/>
  <c r="M283" i="4" s="1"/>
  <c r="L282" i="4"/>
  <c r="M282" i="4" s="1"/>
  <c r="M281" i="4"/>
  <c r="L281" i="4"/>
  <c r="L280" i="4"/>
  <c r="M280" i="4" s="1"/>
  <c r="L279" i="4"/>
  <c r="M279" i="4" s="1"/>
  <c r="L278" i="4"/>
  <c r="M278" i="4" s="1"/>
  <c r="L277" i="4"/>
  <c r="M277" i="4" s="1"/>
  <c r="L276" i="4"/>
  <c r="M276" i="4" s="1"/>
  <c r="M275" i="4"/>
  <c r="L275" i="4"/>
  <c r="L274" i="4"/>
  <c r="M274" i="4" s="1"/>
  <c r="M273" i="4"/>
  <c r="L273" i="4"/>
  <c r="L272" i="4"/>
  <c r="M272" i="4" s="1"/>
  <c r="L271" i="4"/>
  <c r="M271" i="4" s="1"/>
  <c r="L270" i="4"/>
  <c r="M270" i="4" s="1"/>
  <c r="L269" i="4"/>
  <c r="M269" i="4" s="1"/>
  <c r="L268" i="4"/>
  <c r="M268" i="4" s="1"/>
  <c r="L267" i="4"/>
  <c r="M267" i="4" s="1"/>
  <c r="M266" i="4"/>
  <c r="L266" i="4"/>
  <c r="L265" i="4"/>
  <c r="M265" i="4" s="1"/>
  <c r="L264" i="4"/>
  <c r="M264" i="4" s="1"/>
  <c r="L263" i="4"/>
  <c r="M263" i="4" s="1"/>
  <c r="L262" i="4"/>
  <c r="M262" i="4" s="1"/>
  <c r="L261" i="4"/>
  <c r="M261" i="4" s="1"/>
  <c r="L260" i="4"/>
  <c r="M260" i="4" s="1"/>
  <c r="M259" i="4"/>
  <c r="L259" i="4"/>
  <c r="L258" i="4"/>
  <c r="M258" i="4" s="1"/>
  <c r="L257" i="4"/>
  <c r="M257" i="4" s="1"/>
  <c r="L256" i="4"/>
  <c r="M256" i="4" s="1"/>
  <c r="L255" i="4"/>
  <c r="M255" i="4" s="1"/>
  <c r="L254" i="4"/>
  <c r="M254" i="4" s="1"/>
  <c r="L253" i="4"/>
  <c r="M253" i="4" s="1"/>
  <c r="L252" i="4"/>
  <c r="M252" i="4" s="1"/>
  <c r="L251" i="4"/>
  <c r="M251" i="4" s="1"/>
  <c r="M250" i="4"/>
  <c r="L250" i="4"/>
  <c r="L249" i="4"/>
  <c r="M249" i="4" s="1"/>
  <c r="L248" i="4"/>
  <c r="M248" i="4" s="1"/>
  <c r="L247" i="4"/>
  <c r="M247" i="4" s="1"/>
  <c r="L246" i="4"/>
  <c r="M246" i="4" s="1"/>
  <c r="L245" i="4"/>
  <c r="M245" i="4" s="1"/>
  <c r="L244" i="4"/>
  <c r="M244" i="4" s="1"/>
  <c r="M243" i="4"/>
  <c r="L243" i="4"/>
  <c r="L242" i="4"/>
  <c r="M242" i="4" s="1"/>
  <c r="M241" i="4"/>
  <c r="L241" i="4"/>
  <c r="L240" i="4"/>
  <c r="M240" i="4" s="1"/>
  <c r="L239" i="4"/>
  <c r="M239" i="4" s="1"/>
  <c r="L238" i="4"/>
  <c r="M238" i="4" s="1"/>
  <c r="L237" i="4"/>
  <c r="M237" i="4" s="1"/>
  <c r="L236" i="4"/>
  <c r="M236" i="4" s="1"/>
  <c r="L235" i="4"/>
  <c r="M235" i="4" s="1"/>
  <c r="M234" i="4"/>
  <c r="L234" i="4"/>
  <c r="L233" i="4"/>
  <c r="M233" i="4" s="1"/>
  <c r="L232" i="4"/>
  <c r="M232" i="4" s="1"/>
  <c r="L231" i="4"/>
  <c r="M231" i="4" s="1"/>
  <c r="L230" i="4"/>
  <c r="M230" i="4" s="1"/>
  <c r="L229" i="4"/>
  <c r="M229" i="4" s="1"/>
  <c r="L228" i="4"/>
  <c r="M228" i="4" s="1"/>
  <c r="L227" i="4"/>
  <c r="M227" i="4" s="1"/>
  <c r="M226" i="4"/>
  <c r="L226" i="4"/>
  <c r="M225" i="4"/>
  <c r="L225" i="4"/>
  <c r="L224" i="4"/>
  <c r="M224" i="4" s="1"/>
  <c r="L223" i="4"/>
  <c r="M223" i="4" s="1"/>
  <c r="L222" i="4"/>
  <c r="M222" i="4" s="1"/>
  <c r="L221" i="4"/>
  <c r="M221" i="4" s="1"/>
  <c r="L220" i="4"/>
  <c r="M220" i="4" s="1"/>
  <c r="M219" i="4"/>
  <c r="L219" i="4"/>
  <c r="L218" i="4"/>
  <c r="M218" i="4" s="1"/>
  <c r="L217" i="4"/>
  <c r="M217" i="4" s="1"/>
  <c r="L216" i="4"/>
  <c r="M216" i="4" s="1"/>
  <c r="L215" i="4"/>
  <c r="M215" i="4" s="1"/>
  <c r="L214" i="4"/>
  <c r="M214" i="4" s="1"/>
  <c r="L213" i="4"/>
  <c r="M213" i="4" s="1"/>
  <c r="L212" i="4"/>
  <c r="M212" i="4" s="1"/>
  <c r="L211" i="4"/>
  <c r="M211" i="4" s="1"/>
  <c r="L210" i="4"/>
  <c r="M210" i="4" s="1"/>
  <c r="M209" i="4"/>
  <c r="L209" i="4"/>
  <c r="L208" i="4"/>
  <c r="M208" i="4" s="1"/>
  <c r="L207" i="4"/>
  <c r="M207" i="4" s="1"/>
  <c r="L206" i="4"/>
  <c r="M206" i="4" s="1"/>
  <c r="L205" i="4"/>
  <c r="M205" i="4" s="1"/>
  <c r="L204" i="4"/>
  <c r="M204" i="4" s="1"/>
  <c r="L203" i="4"/>
  <c r="M203" i="4" s="1"/>
  <c r="L202" i="4"/>
  <c r="M202" i="4" s="1"/>
  <c r="L201" i="4"/>
  <c r="M201" i="4" s="1"/>
  <c r="L200" i="4"/>
  <c r="M200" i="4" s="1"/>
  <c r="L199" i="4"/>
  <c r="M199" i="4" s="1"/>
  <c r="L198" i="4"/>
  <c r="M198" i="4" s="1"/>
  <c r="L197" i="4"/>
  <c r="M197" i="4" s="1"/>
  <c r="L196" i="4"/>
  <c r="M196" i="4" s="1"/>
  <c r="L195" i="4"/>
  <c r="M195" i="4" s="1"/>
  <c r="M194" i="4"/>
  <c r="L194" i="4"/>
  <c r="L193" i="4"/>
  <c r="M193" i="4" s="1"/>
  <c r="L192" i="4"/>
  <c r="M192" i="4" s="1"/>
  <c r="L191" i="4"/>
  <c r="M191" i="4" s="1"/>
  <c r="L190" i="4"/>
  <c r="M190" i="4" s="1"/>
  <c r="L189" i="4"/>
  <c r="M189" i="4" s="1"/>
  <c r="L188" i="4"/>
  <c r="M188" i="4" s="1"/>
  <c r="M187" i="4"/>
  <c r="L187" i="4"/>
  <c r="L186" i="4"/>
  <c r="M186" i="4" s="1"/>
  <c r="M185" i="4"/>
  <c r="L185" i="4"/>
  <c r="L184" i="4"/>
  <c r="M184" i="4" s="1"/>
  <c r="L183" i="4"/>
  <c r="M183" i="4" s="1"/>
  <c r="L182" i="4"/>
  <c r="M182" i="4" s="1"/>
  <c r="L181" i="4"/>
  <c r="M181" i="4" s="1"/>
  <c r="L180" i="4"/>
  <c r="M180" i="4" s="1"/>
  <c r="M179" i="4"/>
  <c r="L179" i="4"/>
  <c r="M178" i="4"/>
  <c r="L178" i="4"/>
  <c r="L177" i="4"/>
  <c r="M177" i="4" s="1"/>
  <c r="L176" i="4"/>
  <c r="M176" i="4" s="1"/>
  <c r="L175" i="4"/>
  <c r="M175" i="4" s="1"/>
  <c r="L174" i="4"/>
  <c r="M174" i="4" s="1"/>
  <c r="L173" i="4"/>
  <c r="M173" i="4" s="1"/>
  <c r="L172" i="4"/>
  <c r="M172" i="4" s="1"/>
  <c r="L171" i="4"/>
  <c r="M171" i="4" s="1"/>
  <c r="L170" i="4"/>
  <c r="M170" i="4" s="1"/>
  <c r="L169" i="4"/>
  <c r="M169" i="4" s="1"/>
  <c r="L168" i="4"/>
  <c r="M168" i="4" s="1"/>
  <c r="L167" i="4"/>
  <c r="M167" i="4" s="1"/>
  <c r="L166" i="4"/>
  <c r="M166" i="4" s="1"/>
  <c r="L165" i="4"/>
  <c r="M165" i="4" s="1"/>
  <c r="L164" i="4"/>
  <c r="M164" i="4" s="1"/>
  <c r="L163" i="4"/>
  <c r="M163" i="4" s="1"/>
  <c r="M162" i="4"/>
  <c r="L162" i="4"/>
  <c r="L161" i="4"/>
  <c r="M161" i="4" s="1"/>
  <c r="L160" i="4"/>
  <c r="M160" i="4" s="1"/>
  <c r="L159" i="4"/>
  <c r="M159" i="4" s="1"/>
  <c r="L158" i="4"/>
  <c r="M158" i="4" s="1"/>
  <c r="L157" i="4"/>
  <c r="M157" i="4" s="1"/>
  <c r="L156" i="4"/>
  <c r="M156" i="4" s="1"/>
  <c r="L155" i="4"/>
  <c r="M155" i="4" s="1"/>
  <c r="L154" i="4"/>
  <c r="M154" i="4" s="1"/>
  <c r="L153" i="4"/>
  <c r="M153" i="4" s="1"/>
  <c r="L152" i="4"/>
  <c r="M152" i="4" s="1"/>
  <c r="L151" i="4"/>
  <c r="M151" i="4" s="1"/>
  <c r="L150" i="4"/>
  <c r="M150" i="4" s="1"/>
  <c r="L149" i="4"/>
  <c r="M149" i="4" s="1"/>
  <c r="L148" i="4"/>
  <c r="M148" i="4" s="1"/>
  <c r="L147" i="4"/>
  <c r="M147" i="4" s="1"/>
  <c r="M146" i="4"/>
  <c r="L146" i="4"/>
  <c r="L145" i="4"/>
  <c r="M145" i="4" s="1"/>
  <c r="L144" i="4"/>
  <c r="M144" i="4" s="1"/>
  <c r="L143" i="4"/>
  <c r="M143" i="4" s="1"/>
  <c r="L142" i="4"/>
  <c r="M142" i="4" s="1"/>
  <c r="L141" i="4"/>
  <c r="M141" i="4" s="1"/>
  <c r="L140" i="4"/>
  <c r="M140" i="4" s="1"/>
  <c r="L139" i="4"/>
  <c r="M139" i="4" s="1"/>
  <c r="L138" i="4"/>
  <c r="M138" i="4" s="1"/>
  <c r="L137" i="4"/>
  <c r="M137" i="4" s="1"/>
  <c r="L136" i="4"/>
  <c r="M136" i="4" s="1"/>
  <c r="L135" i="4"/>
  <c r="M135" i="4" s="1"/>
  <c r="L134" i="4"/>
  <c r="M134" i="4" s="1"/>
  <c r="L133" i="4"/>
  <c r="M133" i="4" s="1"/>
  <c r="L132" i="4"/>
  <c r="M132" i="4" s="1"/>
  <c r="M131" i="4"/>
  <c r="L131" i="4"/>
  <c r="L130" i="4"/>
  <c r="M130" i="4" s="1"/>
  <c r="M129" i="4"/>
  <c r="L129" i="4"/>
  <c r="L128" i="4"/>
  <c r="M128" i="4" s="1"/>
  <c r="L127" i="4"/>
  <c r="M127" i="4" s="1"/>
  <c r="L126" i="4"/>
  <c r="M126" i="4" s="1"/>
  <c r="L125" i="4"/>
  <c r="M125" i="4" s="1"/>
  <c r="L124" i="4"/>
  <c r="M124" i="4" s="1"/>
  <c r="L123" i="4"/>
  <c r="M123" i="4" s="1"/>
  <c r="L122" i="4"/>
  <c r="M122" i="4" s="1"/>
  <c r="M121" i="4"/>
  <c r="L121" i="4"/>
  <c r="L120" i="4"/>
  <c r="M120" i="4" s="1"/>
  <c r="L119" i="4"/>
  <c r="M119" i="4" s="1"/>
  <c r="L118" i="4"/>
  <c r="M118" i="4" s="1"/>
  <c r="L117" i="4"/>
  <c r="M117" i="4" s="1"/>
  <c r="L116" i="4"/>
  <c r="M116" i="4" s="1"/>
  <c r="M115" i="4"/>
  <c r="L115" i="4"/>
  <c r="L114" i="4"/>
  <c r="M114" i="4" s="1"/>
  <c r="L113" i="4"/>
  <c r="M113" i="4" s="1"/>
  <c r="L112" i="4"/>
  <c r="M112" i="4" s="1"/>
  <c r="L111" i="4"/>
  <c r="M111" i="4" s="1"/>
  <c r="L110" i="4"/>
  <c r="M110" i="4" s="1"/>
  <c r="L109" i="4"/>
  <c r="M109" i="4" s="1"/>
  <c r="L108" i="4"/>
  <c r="M108" i="4" s="1"/>
  <c r="L107" i="4"/>
  <c r="M107" i="4" s="1"/>
  <c r="L106" i="4"/>
  <c r="M106" i="4" s="1"/>
  <c r="L105" i="4"/>
  <c r="M105" i="4" s="1"/>
  <c r="L104" i="4"/>
  <c r="M104" i="4" s="1"/>
  <c r="L103" i="4"/>
  <c r="M103" i="4" s="1"/>
  <c r="L102" i="4"/>
  <c r="M102" i="4" s="1"/>
  <c r="L101" i="4"/>
  <c r="M101" i="4" s="1"/>
  <c r="L100" i="4"/>
  <c r="M100" i="4" s="1"/>
  <c r="M99" i="4"/>
  <c r="L99" i="4"/>
  <c r="L98" i="4"/>
  <c r="M98" i="4" s="1"/>
  <c r="M97" i="4"/>
  <c r="L97" i="4"/>
  <c r="L96" i="4"/>
  <c r="M96" i="4" s="1"/>
  <c r="L95" i="4"/>
  <c r="M95" i="4" s="1"/>
  <c r="L94" i="4"/>
  <c r="M94" i="4" s="1"/>
  <c r="L93" i="4"/>
  <c r="M93" i="4" s="1"/>
  <c r="L92" i="4"/>
  <c r="M92" i="4" s="1"/>
  <c r="L91" i="4"/>
  <c r="M91" i="4" s="1"/>
  <c r="L90" i="4"/>
  <c r="M90" i="4" s="1"/>
  <c r="L89" i="4"/>
  <c r="M89" i="4" s="1"/>
  <c r="L88" i="4"/>
  <c r="M88" i="4" s="1"/>
  <c r="L87" i="4"/>
  <c r="M87" i="4" s="1"/>
  <c r="L86" i="4"/>
  <c r="M86" i="4" s="1"/>
  <c r="L85" i="4"/>
  <c r="M85" i="4" s="1"/>
  <c r="L84" i="4"/>
  <c r="M84" i="4" s="1"/>
  <c r="L83" i="4"/>
  <c r="M83" i="4" s="1"/>
  <c r="L82" i="4"/>
  <c r="M82" i="4" s="1"/>
  <c r="M81" i="4"/>
  <c r="L81" i="4"/>
  <c r="L80" i="4"/>
  <c r="M80" i="4" s="1"/>
  <c r="L79" i="4"/>
  <c r="M79" i="4" s="1"/>
  <c r="L78" i="4"/>
  <c r="M78" i="4" s="1"/>
  <c r="L77" i="4"/>
  <c r="M77" i="4" s="1"/>
  <c r="L76" i="4"/>
  <c r="M76" i="4" s="1"/>
  <c r="L75" i="4"/>
  <c r="M75" i="4" s="1"/>
  <c r="L74" i="4"/>
  <c r="M74" i="4" s="1"/>
  <c r="L73" i="4"/>
  <c r="M73" i="4" s="1"/>
  <c r="L72" i="4"/>
  <c r="M72" i="4" s="1"/>
  <c r="L71" i="4"/>
  <c r="M71" i="4" s="1"/>
  <c r="L70" i="4"/>
  <c r="M70" i="4" s="1"/>
  <c r="L69" i="4"/>
  <c r="M69" i="4" s="1"/>
  <c r="L68" i="4"/>
  <c r="M68" i="4" s="1"/>
  <c r="L67" i="4"/>
  <c r="M67" i="4" s="1"/>
  <c r="M66" i="4"/>
  <c r="L66" i="4"/>
  <c r="L65" i="4"/>
  <c r="M65" i="4" s="1"/>
  <c r="L64" i="4"/>
  <c r="M64" i="4" s="1"/>
  <c r="L63" i="4"/>
  <c r="M63" i="4" s="1"/>
  <c r="L62" i="4"/>
  <c r="M62" i="4" s="1"/>
  <c r="L61" i="4"/>
  <c r="M61" i="4" s="1"/>
  <c r="L60" i="4"/>
  <c r="M60" i="4" s="1"/>
  <c r="L59" i="4"/>
  <c r="M59" i="4" s="1"/>
  <c r="L58" i="4"/>
  <c r="M58" i="4" s="1"/>
  <c r="L57" i="4"/>
  <c r="M57" i="4" s="1"/>
  <c r="L56" i="4"/>
  <c r="M56" i="4" s="1"/>
  <c r="L55" i="4"/>
  <c r="M55" i="4" s="1"/>
  <c r="L54" i="4"/>
  <c r="M54" i="4" s="1"/>
  <c r="L53" i="4"/>
  <c r="M53" i="4" s="1"/>
  <c r="L52" i="4"/>
  <c r="M52" i="4" s="1"/>
  <c r="L51" i="4"/>
  <c r="M51" i="4" s="1"/>
  <c r="L50" i="4"/>
  <c r="M50" i="4" s="1"/>
  <c r="M49" i="4"/>
  <c r="L49" i="4"/>
  <c r="L48" i="4"/>
  <c r="M48" i="4" s="1"/>
  <c r="L47" i="4"/>
  <c r="M47" i="4" s="1"/>
  <c r="L46" i="4"/>
  <c r="M46" i="4" s="1"/>
  <c r="L45" i="4"/>
  <c r="M45" i="4" s="1"/>
  <c r="L44" i="4"/>
  <c r="M44" i="4" s="1"/>
  <c r="L43" i="4"/>
  <c r="M43" i="4" s="1"/>
  <c r="L42" i="4"/>
  <c r="M42" i="4" s="1"/>
  <c r="L41" i="4"/>
  <c r="M41" i="4" s="1"/>
  <c r="L40" i="4"/>
  <c r="M40" i="4" s="1"/>
  <c r="L39" i="4"/>
  <c r="M39" i="4" s="1"/>
  <c r="L38" i="4"/>
  <c r="M38" i="4" s="1"/>
  <c r="L37" i="4"/>
  <c r="M37" i="4" s="1"/>
  <c r="L36" i="4"/>
  <c r="M36" i="4" s="1"/>
  <c r="L35" i="4"/>
  <c r="M35" i="4" s="1"/>
  <c r="L34" i="4"/>
  <c r="M34" i="4" s="1"/>
  <c r="L33" i="4"/>
  <c r="M33" i="4" s="1"/>
  <c r="L32" i="4"/>
  <c r="M32" i="4" s="1"/>
  <c r="L31" i="4"/>
  <c r="M31" i="4" s="1"/>
  <c r="L30" i="4"/>
  <c r="M30" i="4" s="1"/>
  <c r="L29" i="4"/>
  <c r="M29" i="4" s="1"/>
  <c r="L28" i="4"/>
  <c r="M28" i="4" s="1"/>
  <c r="L27" i="4"/>
  <c r="M27" i="4" s="1"/>
  <c r="L26" i="4"/>
  <c r="M26" i="4" s="1"/>
  <c r="L25" i="4"/>
  <c r="M25" i="4" s="1"/>
  <c r="L24" i="4"/>
  <c r="M24" i="4" s="1"/>
  <c r="L23" i="4"/>
  <c r="M23" i="4" s="1"/>
  <c r="L22" i="4"/>
  <c r="M22" i="4" s="1"/>
  <c r="L21" i="4"/>
  <c r="M21" i="4" s="1"/>
  <c r="L20" i="4"/>
  <c r="M20" i="4" s="1"/>
  <c r="L19" i="4"/>
  <c r="M19" i="4" s="1"/>
  <c r="L18" i="4"/>
  <c r="M18" i="4" s="1"/>
  <c r="L17" i="4"/>
  <c r="M17" i="4" s="1"/>
  <c r="L16" i="4"/>
  <c r="M16" i="4" s="1"/>
  <c r="L15" i="4"/>
  <c r="M15" i="4" s="1"/>
  <c r="L14" i="4"/>
  <c r="M14" i="4" s="1"/>
  <c r="L13" i="4"/>
  <c r="M13" i="4" s="1"/>
  <c r="L12" i="4"/>
  <c r="M12" i="4" s="1"/>
  <c r="L11" i="4"/>
  <c r="M11" i="4" s="1"/>
  <c r="L10" i="4"/>
  <c r="L7" i="10" s="1"/>
  <c r="L9" i="4"/>
  <c r="M9" i="4" s="1"/>
  <c r="L8" i="4"/>
  <c r="M8" i="4" s="1"/>
  <c r="L7" i="4"/>
  <c r="M7" i="4" s="1"/>
  <c r="F16" i="10" l="1"/>
  <c r="L6" i="10"/>
  <c r="M10" i="4"/>
  <c r="H7" i="10"/>
  <c r="F91" i="7"/>
  <c r="B17" i="10" s="1"/>
  <c r="H8" i="10"/>
  <c r="B10" i="10"/>
  <c r="L8" i="10"/>
  <c r="H9" i="10"/>
  <c r="L9" i="10"/>
  <c r="L5" i="10"/>
  <c r="H10" i="10"/>
  <c r="H6" i="10"/>
  <c r="H16" i="10"/>
  <c r="B11" i="10"/>
  <c r="A16" i="10"/>
  <c r="G17" i="10"/>
  <c r="B9" i="10"/>
  <c r="H5" i="10"/>
</calcChain>
</file>

<file path=xl/sharedStrings.xml><?xml version="1.0" encoding="utf-8"?>
<sst xmlns="http://schemas.openxmlformats.org/spreadsheetml/2006/main" count="3146" uniqueCount="1537">
  <si>
    <t>Excel-шаблон анализа конкурентов по сайтам</t>
  </si>
  <si>
    <t>Назначение: определить рыночный стандарт цифрового товара, выделить конкурентные преимущества по товару и сформулировать сам цифровой товар через модель Левитта и модель Кано.</t>
  </si>
  <si>
    <t>Раздел</t>
  </si>
  <si>
    <t>Что делать</t>
  </si>
  <si>
    <t>Результат</t>
  </si>
  <si>
    <t>1. Реестр конкурентов</t>
  </si>
  <si>
    <t>Заполнить лист «01_Конкуренты»: прямые конкуренты, косвенные конкуренты, эталонные сайты для наблюдения за лучшей практикой.</t>
  </si>
  <si>
    <t>Сформирован сопоставимый контур анализа.</t>
  </si>
  <si>
    <t>2. Карта сайта</t>
  </si>
  <si>
    <t>Зафиксировать проверенные страницы: главная, лендинг товара, тарифы, функциональные страницы, личный кабинет, поддержка, вопросы и ответы, блог, документация.</t>
  </si>
  <si>
    <t>Появляется проверяемая база доказательств, а не субъективное впечатление.</t>
  </si>
  <si>
    <t>3. Модель Левитта</t>
  </si>
  <si>
    <t>Разложить цифровой товар на уровни: базовая выгода, родовой товар, ожидаемый товар, расширенный товар, потенциальный товар.</t>
  </si>
  <si>
    <t>Понятно, что именно продает конкурент и за счет каких уровней формируется ценность.</t>
  </si>
  <si>
    <t>4. Модель Кано</t>
  </si>
  <si>
    <t>Классифицировать функции и признаки товара: обязательные, линейные, привлекательные, безразличные, обратные, неясные.</t>
  </si>
  <si>
    <t>Понятно, какие признаки должны быть обязательно, какие повышают удовлетворенность, а какие создают отличие.</t>
  </si>
  <si>
    <t>5. Сравнение</t>
  </si>
  <si>
    <t>Оценить конкурентов по критериям товара, сайта и цифрового сервиса по шкале 0–5.</t>
  </si>
  <si>
    <t>Получается количественная карта сильных и слабых сторон.</t>
  </si>
  <si>
    <t>6. Рыночный стандарт</t>
  </si>
  <si>
    <t>Определить признаки, встречающиеся у большинства конкурентов, особенно если они относятся к обязательным или линейным требованиям Кано.</t>
  </si>
  <si>
    <t>Сформулирован минимально приемлемый состав цифрового товара на рынке.</t>
  </si>
  <si>
    <t>7. Преимущества</t>
  </si>
  <si>
    <t>Выделить признаки, которые редки, хорошо реализованы, заметны пользователю и повышают воспринимаемую ценность.</t>
  </si>
  <si>
    <t>Сформирован список конкурентных преимуществ и гипотез дифференциации.</t>
  </si>
  <si>
    <t>8. Итоговая формулировка товара</t>
  </si>
  <si>
    <t>На листе «05_Матрица_товара» собрать описание целевого цифрового товара: для кого, какую задачу решает, какие функции включает, где границы продукта.</t>
  </si>
  <si>
    <t>Получено предметное определение цифрового товара и требований к его составу.</t>
  </si>
  <si>
    <t>Шкалы оценки</t>
  </si>
  <si>
    <t>Шкала</t>
  </si>
  <si>
    <t>0</t>
  </si>
  <si>
    <t>1</t>
  </si>
  <si>
    <t>2</t>
  </si>
  <si>
    <t>3</t>
  </si>
  <si>
    <t>4</t>
  </si>
  <si>
    <t>5</t>
  </si>
  <si>
    <t>Когда применять</t>
  </si>
  <si>
    <t>Интерпретация</t>
  </si>
  <si>
    <t>Наличие признака</t>
  </si>
  <si>
    <t>Нет</t>
  </si>
  <si>
    <t>Есть частично</t>
  </si>
  <si>
    <t>Есть явно</t>
  </si>
  <si>
    <t>Есть полно</t>
  </si>
  <si>
    <t>Для бинарных и полуколичественных признаков</t>
  </si>
  <si>
    <t>0 — отсутствует; 1–3 — степень проявления.</t>
  </si>
  <si>
    <t>Сила реализации</t>
  </si>
  <si>
    <t>Слабая</t>
  </si>
  <si>
    <t>Средняя</t>
  </si>
  <si>
    <t>Сильная</t>
  </si>
  <si>
    <t>Для уровня Левитта и качества функции</t>
  </si>
  <si>
    <t>3 означает, что признак хорошо заметен и функционально раскрыт.</t>
  </si>
  <si>
    <t>Пользовательская ценность</t>
  </si>
  <si>
    <t>Низкая</t>
  </si>
  <si>
    <t>Умеренная</t>
  </si>
  <si>
    <t>Высокая</t>
  </si>
  <si>
    <t>Очень высокая</t>
  </si>
  <si>
    <t>Критическая</t>
  </si>
  <si>
    <t>Для оценки влияния на решение о покупке/регистрации/использовании</t>
  </si>
  <si>
    <t>4–5 — признак способен влиять на выбор товара.</t>
  </si>
  <si>
    <t>Сравнение конкурентов</t>
  </si>
  <si>
    <t>Очень слабо</t>
  </si>
  <si>
    <t>Слабо</t>
  </si>
  <si>
    <t>Средне</t>
  </si>
  <si>
    <t>Сильно</t>
  </si>
  <si>
    <t>Лучший уровень</t>
  </si>
  <si>
    <t>Для листа «06_Сравнение»</t>
  </si>
  <si>
    <t>Оценки сопоставимы только при одинаковой логике анализа.</t>
  </si>
  <si>
    <t>01. Реестр конкурентов и сайтов</t>
  </si>
  <si>
    <t>Заполните список конкурентов и базовые параметры. ID конкурента используется в остальных листах для связки данных.</t>
  </si>
  <si>
    <t>ID</t>
  </si>
  <si>
    <t>Наименование конкурента</t>
  </si>
  <si>
    <t>Сайт</t>
  </si>
  <si>
    <t>Страна/рынок</t>
  </si>
  <si>
    <t>Тип конкурента</t>
  </si>
  <si>
    <t>Сегмент аудитории</t>
  </si>
  <si>
    <t>Модель монетизации</t>
  </si>
  <si>
    <t>Цифровой товар по сайту</t>
  </si>
  <si>
    <t>Приоритет анализа</t>
  </si>
  <si>
    <t>Статус</t>
  </si>
  <si>
    <t>Комментарий</t>
  </si>
  <si>
    <t>C01</t>
  </si>
  <si>
    <t>Не начато</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</si>
  <si>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</si>
  <si>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</si>
  <si>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</si>
  <si>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</si>
  <si>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</si>
  <si>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</si>
  <si>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</si>
  <si>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</si>
  <si>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</si>
  <si>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</si>
  <si>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</si>
  <si>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</si>
  <si>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</si>
  <si>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</si>
  <si>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</si>
  <si>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</si>
  <si>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</si>
  <si>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</si>
  <si>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</si>
  <si>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</si>
  <si>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</si>
  <si>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</si>
  <si>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</si>
  <si>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</si>
  <si>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</si>
  <si>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C27</t>
  </si>
  <si>
    <t>C28</t>
  </si>
  <si>
    <t>C29</t>
  </si>
  <si>
    <t>C30</t>
  </si>
  <si>
    <t>02. Карта страниц сайта конкурента</t>
  </si>
  <si>
    <t>Фиксируйте каждую страницу, которая стала источником вывода. Это повышает воспроизводимость анализа и качество итоговых решений.</t>
  </si>
  <si>
    <t>ID конкурента</t>
  </si>
  <si>
    <t>Раздел/страница</t>
  </si>
  <si>
    <t>URL</t>
  </si>
  <si>
    <t>Тип страницы</t>
  </si>
  <si>
    <t>Цель анализа</t>
  </si>
  <si>
    <t>Что извлекаем</t>
  </si>
  <si>
    <t>Дата просмотра</t>
  </si>
  <si>
    <t>Скриншот/архив</t>
  </si>
  <si>
    <t>Достоверность 1–5</t>
  </si>
  <si>
    <t>Краткий вывод</t>
  </si>
  <si>
    <t>03. Анализ цифрового товара по модели Левитта</t>
  </si>
  <si>
    <t>Разложите товар конкурента на уровни: от базовой выгоды до потенциального развития. Оценка признака рассчитывается автоматически.</t>
  </si>
  <si>
    <t>Товар/предложение</t>
  </si>
  <si>
    <t>URL/страница</t>
  </si>
  <si>
    <t>Уровень товара по Левитту</t>
  </si>
  <si>
    <t>Элемент товара / признак</t>
  </si>
  <si>
    <t>Как проявлен на сайте</t>
  </si>
  <si>
    <t>Доказательство</t>
  </si>
  <si>
    <t>Наличие 0/1</t>
  </si>
  <si>
    <t>Сила реализации 0–3</t>
  </si>
  <si>
    <t>Понятность 0–3</t>
  </si>
  <si>
    <t>Влияние на ценность 1–5</t>
  </si>
  <si>
    <t>Оценка признака</t>
  </si>
  <si>
    <t>Роль признака</t>
  </si>
  <si>
    <t>Примечание</t>
  </si>
  <si>
    <t>04. Классификация признаков по модели Кано</t>
  </si>
  <si>
    <t>Классифицируйте требования к цифровому товару: что обязательно, что прямо повышает удовлетворенность, а что создает эффект привлекательности.</t>
  </si>
  <si>
    <t>ID требования</t>
  </si>
  <si>
    <t>Функция / признак товара</t>
  </si>
  <si>
    <t>Пользовательская задача</t>
  </si>
  <si>
    <t>Доказательства с сайтов</t>
  </si>
  <si>
    <t>Категория Кано</t>
  </si>
  <si>
    <t>Вес 1–5</t>
  </si>
  <si>
    <t>Кол-во конкурентов с признаком</t>
  </si>
  <si>
    <t>Доля конкурентов</t>
  </si>
  <si>
    <t>Средняя сила реализации 0–5</t>
  </si>
  <si>
    <t>Решение для своего товара</t>
  </si>
  <si>
    <t>Ответственный</t>
  </si>
  <si>
    <t>R001</t>
  </si>
  <si>
    <t>R002</t>
  </si>
  <si>
    <t>R003</t>
  </si>
  <si>
    <t>R004</t>
  </si>
  <si>
    <t>R005</t>
  </si>
  <si>
    <t>R006</t>
  </si>
  <si>
    <t>R007</t>
  </si>
  <si>
    <t>R008</t>
  </si>
  <si>
    <t>R009</t>
  </si>
  <si>
    <t>R010</t>
  </si>
  <si>
    <t>R011</t>
  </si>
  <si>
    <t>R012</t>
  </si>
  <si>
    <t>R013</t>
  </si>
  <si>
    <t>R014</t>
  </si>
  <si>
    <t>R015</t>
  </si>
  <si>
    <t>R016</t>
  </si>
  <si>
    <t>R017</t>
  </si>
  <si>
    <t>R018</t>
  </si>
  <si>
    <t>R019</t>
  </si>
  <si>
    <t>R020</t>
  </si>
  <si>
    <t>R021</t>
  </si>
  <si>
    <t>R022</t>
  </si>
  <si>
    <t>R023</t>
  </si>
  <si>
    <t>R024</t>
  </si>
  <si>
    <t>R025</t>
  </si>
  <si>
    <t>R026</t>
  </si>
  <si>
    <t>R027</t>
  </si>
  <si>
    <t>R028</t>
  </si>
  <si>
    <t>R029</t>
  </si>
  <si>
    <t>R030</t>
  </si>
  <si>
    <t>R031</t>
  </si>
  <si>
    <t>R032</t>
  </si>
  <si>
    <t>R033</t>
  </si>
  <si>
    <t>R034</t>
  </si>
  <si>
    <t>R035</t>
  </si>
  <si>
    <t>R036</t>
  </si>
  <si>
    <t>R037</t>
  </si>
  <si>
    <t>R038</t>
  </si>
  <si>
    <t>R039</t>
  </si>
  <si>
    <t>R040</t>
  </si>
  <si>
    <t>R041</t>
  </si>
  <si>
    <t>R042</t>
  </si>
  <si>
    <t>R043</t>
  </si>
  <si>
    <t>R044</t>
  </si>
  <si>
    <t>R045</t>
  </si>
  <si>
    <t>R046</t>
  </si>
  <si>
    <t>R047</t>
  </si>
  <si>
    <t>R048</t>
  </si>
  <si>
    <t>R049</t>
  </si>
  <si>
    <t>R050</t>
  </si>
  <si>
    <t>R051</t>
  </si>
  <si>
    <t>R052</t>
  </si>
  <si>
    <t>R053</t>
  </si>
  <si>
    <t>R054</t>
  </si>
  <si>
    <t>R055</t>
  </si>
  <si>
    <t>R056</t>
  </si>
  <si>
    <t>R057</t>
  </si>
  <si>
    <t>R058</t>
  </si>
  <si>
    <t>R059</t>
  </si>
  <si>
    <t>R060</t>
  </si>
  <si>
    <t>R061</t>
  </si>
  <si>
    <t>R062</t>
  </si>
  <si>
    <t>R063</t>
  </si>
  <si>
    <t>R064</t>
  </si>
  <si>
    <t>R065</t>
  </si>
  <si>
    <t>R066</t>
  </si>
  <si>
    <t>R067</t>
  </si>
  <si>
    <t>R068</t>
  </si>
  <si>
    <t>R069</t>
  </si>
  <si>
    <t>R070</t>
  </si>
  <si>
    <t>R071</t>
  </si>
  <si>
    <t>R072</t>
  </si>
  <si>
    <t>R073</t>
  </si>
  <si>
    <t>R074</t>
  </si>
  <si>
    <t>R075</t>
  </si>
  <si>
    <t>R076</t>
  </si>
  <si>
    <t>R077</t>
  </si>
  <si>
    <t>R078</t>
  </si>
  <si>
    <t>R079</t>
  </si>
  <si>
    <t>R080</t>
  </si>
  <si>
    <t>R081</t>
  </si>
  <si>
    <t>R082</t>
  </si>
  <si>
    <t>R083</t>
  </si>
  <si>
    <t>R084</t>
  </si>
  <si>
    <t>R085</t>
  </si>
  <si>
    <t>R086</t>
  </si>
  <si>
    <t>R087</t>
  </si>
  <si>
    <t>R088</t>
  </si>
  <si>
    <t>R089</t>
  </si>
  <si>
    <t>R090</t>
  </si>
  <si>
    <t>R091</t>
  </si>
  <si>
    <t>R092</t>
  </si>
  <si>
    <t>R093</t>
  </si>
  <si>
    <t>R094</t>
  </si>
  <si>
    <t>R095</t>
  </si>
  <si>
    <t>R096</t>
  </si>
  <si>
    <t>R097</t>
  </si>
  <si>
    <t>R098</t>
  </si>
  <si>
    <t>R099</t>
  </si>
  <si>
    <t>R100</t>
  </si>
  <si>
    <t>R101</t>
  </si>
  <si>
    <t>R102</t>
  </si>
  <si>
    <t>R103</t>
  </si>
  <si>
    <t>R104</t>
  </si>
  <si>
    <t>R105</t>
  </si>
  <si>
    <t>R106</t>
  </si>
  <si>
    <t>R107</t>
  </si>
  <si>
    <t>R108</t>
  </si>
  <si>
    <t>R109</t>
  </si>
  <si>
    <t>R110</t>
  </si>
  <si>
    <t>R111</t>
  </si>
  <si>
    <t>R112</t>
  </si>
  <si>
    <t>R113</t>
  </si>
  <si>
    <t>R114</t>
  </si>
  <si>
    <t>R115</t>
  </si>
  <si>
    <t>R116</t>
  </si>
  <si>
    <t>R117</t>
  </si>
  <si>
    <t>R118</t>
  </si>
  <si>
    <t>R119</t>
  </si>
  <si>
    <t>R120</t>
  </si>
  <si>
    <t>R121</t>
  </si>
  <si>
    <t>R122</t>
  </si>
  <si>
    <t>R123</t>
  </si>
  <si>
    <t>R124</t>
  </si>
  <si>
    <t>R125</t>
  </si>
  <si>
    <t>R126</t>
  </si>
  <si>
    <t>R127</t>
  </si>
  <si>
    <t>R128</t>
  </si>
  <si>
    <t>R129</t>
  </si>
  <si>
    <t>R130</t>
  </si>
  <si>
    <t>R131</t>
  </si>
  <si>
    <t>R132</t>
  </si>
  <si>
    <t>R133</t>
  </si>
  <si>
    <t>R134</t>
  </si>
  <si>
    <t>R135</t>
  </si>
  <si>
    <t>R136</t>
  </si>
  <si>
    <t>R137</t>
  </si>
  <si>
    <t>R138</t>
  </si>
  <si>
    <t>R139</t>
  </si>
  <si>
    <t>R140</t>
  </si>
  <si>
    <t>R141</t>
  </si>
  <si>
    <t>R142</t>
  </si>
  <si>
    <t>R143</t>
  </si>
  <si>
    <t>R144</t>
  </si>
  <si>
    <t>R145</t>
  </si>
  <si>
    <t>R146</t>
  </si>
  <si>
    <t>R147</t>
  </si>
  <si>
    <t>R148</t>
  </si>
  <si>
    <t>R149</t>
  </si>
  <si>
    <t>R150</t>
  </si>
  <si>
    <t>R151</t>
  </si>
  <si>
    <t>R152</t>
  </si>
  <si>
    <t>R153</t>
  </si>
  <si>
    <t>R154</t>
  </si>
  <si>
    <t>R155</t>
  </si>
  <si>
    <t>R156</t>
  </si>
  <si>
    <t>R157</t>
  </si>
  <si>
    <t>R158</t>
  </si>
  <si>
    <t>R159</t>
  </si>
  <si>
    <t>R160</t>
  </si>
  <si>
    <t>R161</t>
  </si>
  <si>
    <t>R162</t>
  </si>
  <si>
    <t>R163</t>
  </si>
  <si>
    <t>R164</t>
  </si>
  <si>
    <t>R165</t>
  </si>
  <si>
    <t>R166</t>
  </si>
  <si>
    <t>R167</t>
  </si>
  <si>
    <t>R168</t>
  </si>
  <si>
    <t>R169</t>
  </si>
  <si>
    <t>R170</t>
  </si>
  <si>
    <t>R171</t>
  </si>
  <si>
    <t>R172</t>
  </si>
  <si>
    <t>R173</t>
  </si>
  <si>
    <t>R174</t>
  </si>
  <si>
    <t>R175</t>
  </si>
  <si>
    <t>R176</t>
  </si>
  <si>
    <t>R177</t>
  </si>
  <si>
    <t>R178</t>
  </si>
  <si>
    <t>R179</t>
  </si>
  <si>
    <t>R180</t>
  </si>
  <si>
    <t>R181</t>
  </si>
  <si>
    <t>R182</t>
  </si>
  <si>
    <t>R183</t>
  </si>
  <si>
    <t>R184</t>
  </si>
  <si>
    <t>R185</t>
  </si>
  <si>
    <t>R186</t>
  </si>
  <si>
    <t>R187</t>
  </si>
  <si>
    <t>R188</t>
  </si>
  <si>
    <t>R189</t>
  </si>
  <si>
    <t>R190</t>
  </si>
  <si>
    <t>R191</t>
  </si>
  <si>
    <t>R192</t>
  </si>
  <si>
    <t>R193</t>
  </si>
  <si>
    <t>R194</t>
  </si>
  <si>
    <t>R195</t>
  </si>
  <si>
    <t>R196</t>
  </si>
  <si>
    <t>R197</t>
  </si>
  <si>
    <t>R198</t>
  </si>
  <si>
    <t>R199</t>
  </si>
  <si>
    <t>R200</t>
  </si>
  <si>
    <t>05. Определение цифрового товара</t>
  </si>
  <si>
    <t>Используйте этот лист для итогового синтеза: какие элементы входят в цифровой товар, какие являются обязательными, а какие формируют отличие.</t>
  </si>
  <si>
    <t>Блок определения</t>
  </si>
  <si>
    <t>Вопрос для анализа</t>
  </si>
  <si>
    <t>Вывод по рынку</t>
  </si>
  <si>
    <t>Доказательства</t>
  </si>
  <si>
    <t>Связь с Левиттом</t>
  </si>
  <si>
    <t>Связь с Кано</t>
  </si>
  <si>
    <t>Статус для своего товара</t>
  </si>
  <si>
    <t>Минимальная реализация</t>
  </si>
  <si>
    <t>Расширенная реализация</t>
  </si>
  <si>
    <t>Риск исключения</t>
  </si>
  <si>
    <t>Решение</t>
  </si>
  <si>
    <t>Целевая пользовательская задача</t>
  </si>
  <si>
    <t>Какую основную задачу обещает решить товар?</t>
  </si>
  <si>
    <t>1. Базовая выгода</t>
  </si>
  <si>
    <t>Обязательное / Линейное</t>
  </si>
  <si>
    <t>Пользовательский сегмент</t>
  </si>
  <si>
    <t>Для кого товар явно предназначен по сайту конкурентов?</t>
  </si>
  <si>
    <t>Линейное</t>
  </si>
  <si>
    <t>Родовой товар</t>
  </si>
  <si>
    <t>Какой минимальный цифровой объект продается: сервис, приложение, платформа, курс, кабинет, база данных, подписка?</t>
  </si>
  <si>
    <t>2. Родовой товар</t>
  </si>
  <si>
    <t>Обязательное</t>
  </si>
  <si>
    <t>Ожидаемый состав</t>
  </si>
  <si>
    <t>Какие функции пользователь считает нормой рынка?</t>
  </si>
  <si>
    <t>3. Ожидаемый товар</t>
  </si>
  <si>
    <t>Интерфейс и доступ</t>
  </si>
  <si>
    <t>Как организован доступ: сайт, приложение, личный кабинет, мобильная версия, интеграции?</t>
  </si>
  <si>
    <t>Оплата и тарифы</t>
  </si>
  <si>
    <t>Какой способ оплаты и представления тарифов является нормой?</t>
  </si>
  <si>
    <t>Поддержка и сопровождение</t>
  </si>
  <si>
    <t>Какой уровень поддержки включен в товар?</t>
  </si>
  <si>
    <t>Расширение ценности</t>
  </si>
  <si>
    <t>Какие дополнительные функции повышают ценность: персонализация, аналитика, рекомендации, автоматизация?</t>
  </si>
  <si>
    <t>4. Расширенный товар</t>
  </si>
  <si>
    <t>Линейное / Привлекательное</t>
  </si>
  <si>
    <t>Доверие и доказательства</t>
  </si>
  <si>
    <t>Какие элементы подтверждают надежность: кейсы, отзывы, сертификаты, политика безопасности, гарантии?</t>
  </si>
  <si>
    <t>Потенциальное развитие</t>
  </si>
  <si>
    <t>Какие будущие возможности видны по дорожной карте, интеграциям, пробным функциям, технологиям?</t>
  </si>
  <si>
    <t>5. Потенциальный товар</t>
  </si>
  <si>
    <t>Привлекательное</t>
  </si>
  <si>
    <t>Граница товара</t>
  </si>
  <si>
    <t>Что входит в товар, а что остается услугой, сопровождением или маркетинговым обещанием?</t>
  </si>
  <si>
    <t>Все уровни</t>
  </si>
  <si>
    <t>Все категории</t>
  </si>
  <si>
    <t>Формулировка товара</t>
  </si>
  <si>
    <t>Сформулируйте итог: цифровой товар — это… для… который решает… за счет…</t>
  </si>
  <si>
    <t>Синтез</t>
  </si>
  <si>
    <t>06. Сравнительная оценка конкурентов</t>
  </si>
  <si>
    <t>Оцените каждый критерий по шкале 0–5. Вес показывает влияние критерия на товарную конкурентоспособность.</t>
  </si>
  <si>
    <t>ID критерия</t>
  </si>
  <si>
    <t>Группа</t>
  </si>
  <si>
    <t>Критерий</t>
  </si>
  <si>
    <t>Вес</t>
  </si>
  <si>
    <t>Среднее</t>
  </si>
  <si>
    <t>Лучший балл</t>
  </si>
  <si>
    <t>Лидер</t>
  </si>
  <si>
    <t>P01</t>
  </si>
  <si>
    <t>Сущность товара</t>
  </si>
  <si>
    <t>На сайте ясно понятно, какой цифровой товар предлагается</t>
  </si>
  <si>
    <t>P02</t>
  </si>
  <si>
    <t>Целевая пользовательская задача сформулирована конкретно</t>
  </si>
  <si>
    <t>P03</t>
  </si>
  <si>
    <t>Граница товара отделена от консультаций, сопровождения и маркетинговых обещаний</t>
  </si>
  <si>
    <t>P04</t>
  </si>
  <si>
    <t>Функциональность</t>
  </si>
  <si>
    <t>Ключевые функции товара раскрыты через сценарии использования</t>
  </si>
  <si>
    <t>P05</t>
  </si>
  <si>
    <t>Есть демонстрация интерфейса, личного кабинета или результата работы</t>
  </si>
  <si>
    <t>P06</t>
  </si>
  <si>
    <t>Есть пробный доступ, демоверсия, бесплатный фрагмент или понятный вход в использование</t>
  </si>
  <si>
    <t>P07</t>
  </si>
  <si>
    <t>Ценность</t>
  </si>
  <si>
    <t>Показана измеримая выгода: экономия времени, денег, снижение риска, рост результата</t>
  </si>
  <si>
    <t>P08</t>
  </si>
  <si>
    <t>Преимущества связаны с функциями товара, а не только с рекламными обещаниями</t>
  </si>
  <si>
    <t>P09</t>
  </si>
  <si>
    <t>Есть сравнение тарифов, комплектаций или уровней доступа</t>
  </si>
  <si>
    <t>P10</t>
  </si>
  <si>
    <t>Доверие</t>
  </si>
  <si>
    <t>Есть отзывы, кейсы, примеры клиентов или подтверждения результата</t>
  </si>
  <si>
    <t>P11</t>
  </si>
  <si>
    <t>Раскрыты безопасность, обработка данных, юридические условия, гарантии</t>
  </si>
  <si>
    <t>P12</t>
  </si>
  <si>
    <t>Есть прозрачные контакты, реквизиты, команда или сведения о поставщике</t>
  </si>
  <si>
    <t>P13</t>
  </si>
  <si>
    <t>Интерфейс</t>
  </si>
  <si>
    <t>Путь пользователя к покупке/регистрации короткий и понятный</t>
  </si>
  <si>
    <t>P14</t>
  </si>
  <si>
    <t>Призыв к действию соответствует стадии выбора: узнать, попробовать, купить, запросить демо</t>
  </si>
  <si>
    <t>P15</t>
  </si>
  <si>
    <t>Навигация помогает понять состав товара без лишнего поиска</t>
  </si>
  <si>
    <t>P16</t>
  </si>
  <si>
    <t>Тарифы и оплата</t>
  </si>
  <si>
    <t>Цена, состав тарифа и ограничения раскрыты ясно</t>
  </si>
  <si>
    <t>P17</t>
  </si>
  <si>
    <t>Оплата, возврат, пробный период или условия подключения объяснены без неопределенности</t>
  </si>
  <si>
    <t>P18</t>
  </si>
  <si>
    <t>Сопровождение</t>
  </si>
  <si>
    <t>Поддержка и обучение встроены в товарное предложение</t>
  </si>
  <si>
    <t>P19</t>
  </si>
  <si>
    <t>Есть база знаний, вопросы и ответы, инструкции или документация</t>
  </si>
  <si>
    <t>P20</t>
  </si>
  <si>
    <t>Расширение товара</t>
  </si>
  <si>
    <t>Есть персонализация, рекомендации, интеграции, автоматизация или аналитика</t>
  </si>
  <si>
    <t>P21</t>
  </si>
  <si>
    <t>Есть признаки будущего развития товара: дорожная карта, обновления, новые функции</t>
  </si>
  <si>
    <t>P22</t>
  </si>
  <si>
    <t>Дифференциация</t>
  </si>
  <si>
    <t>Есть уникальные или редкие товарные признаки</t>
  </si>
  <si>
    <t>P23</t>
  </si>
  <si>
    <t>Отличия хорошо объяснены через пользовательскую ценность</t>
  </si>
  <si>
    <t>P24</t>
  </si>
  <si>
    <t>Рыночный стандарт</t>
  </si>
  <si>
    <t>На сайте закрыты обязательные требования категории</t>
  </si>
  <si>
    <t>P25</t>
  </si>
  <si>
    <t>Предложение не уступает большинству конкурентов по базовым ожиданиям</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</si>
  <si>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</si>
  <si>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</si>
  <si>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</si>
  <si>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</si>
  <si>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</si>
  <si>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</si>
  <si>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</si>
  <si>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</si>
  <si>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</si>
  <si>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</si>
  <si>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</si>
  <si>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</si>
  <si>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</si>
  <si>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</si>
  <si>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</si>
  <si>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</si>
  <si>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</si>
  <si>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</si>
  <si>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</si>
  <si>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</si>
  <si>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</si>
  <si>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</si>
  <si>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</si>
  <si>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</si>
  <si>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</si>
  <si>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</si>
  <si>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</si>
  <si>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</si>
  <si>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</si>
  <si>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</si>
  <si>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</si>
  <si>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</si>
  <si>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</si>
  <si>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</si>
  <si>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</si>
  <si>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</si>
  <si>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</si>
  <si>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</si>
  <si>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</si>
  <si>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</si>
  <si>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</si>
  <si>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</si>
  <si>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</si>
  <si>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</si>
  <si>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</si>
  <si>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</si>
  <si>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</si>
  <si>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</si>
  <si>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</si>
  <si>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</si>
  <si>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</si>
  <si>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</si>
  <si>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</si>
  <si>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</si>
  <si>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</si>
  <si>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Итоговый взвешенный балл</t>
  </si>
  <si>
    <t>07. Определение рыночного стандарта</t>
  </si>
  <si>
    <t>Лист позволяет отделить обязательную норму рынка от зон дифференциации и спорных признаков.</t>
  </si>
  <si>
    <t>ID признака</t>
  </si>
  <si>
    <t>Признак / требование</t>
  </si>
  <si>
    <t>Источник</t>
  </si>
  <si>
    <t>Уровень Левитта</t>
  </si>
  <si>
    <t>Кол-во конкурентов</t>
  </si>
  <si>
    <t>Средняя сила 0–5</t>
  </si>
  <si>
    <t>Минимальная формулировка стандарта</t>
  </si>
  <si>
    <t>Что проверить дополнительно</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</si>
  <si>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</si>
  <si>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</si>
  <si>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</si>
  <si>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</si>
  <si>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</si>
  <si>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</si>
  <si>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</si>
  <si>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</si>
  <si>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</si>
  <si>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</si>
  <si>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</si>
  <si>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</si>
  <si>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</si>
  <si>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</si>
  <si>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</si>
  <si>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</si>
  <si>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</si>
  <si>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</si>
  <si>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</si>
  <si>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</si>
  <si>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</si>
  <si>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</si>
  <si>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</si>
  <si>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</si>
  <si>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</si>
  <si>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</si>
  <si>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</si>
  <si>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</si>
  <si>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</si>
  <si>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</si>
  <si>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</si>
  <si>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</si>
  <si>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</si>
  <si>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</si>
  <si>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</si>
  <si>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</si>
  <si>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</si>
  <si>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</si>
  <si>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</si>
  <si>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</si>
  <si>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</si>
  <si>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</si>
  <si>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</si>
  <si>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</si>
  <si>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</si>
  <si>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</si>
  <si>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</si>
  <si>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</si>
  <si>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</si>
  <si>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</si>
  <si>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</si>
  <si>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</si>
  <si>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</si>
  <si>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</si>
  <si>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</si>
  <si>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</si>
  <si>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</si>
  <si>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</si>
  <si>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</si>
  <si>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</si>
  <si>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</si>
  <si>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</si>
  <si>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</si>
  <si>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</si>
  <si>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</si>
  <si>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</si>
  <si>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</si>
  <si>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</si>
  <si>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</si>
  <si>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</si>
  <si>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</si>
  <si>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</si>
  <si>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</si>
  <si>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</si>
  <si>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</si>
  <si>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</si>
  <si>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</si>
  <si>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</si>
  <si>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</si>
  <si>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</si>
  <si>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</si>
  <si>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</si>
  <si>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</si>
  <si>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</si>
  <si>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</si>
  <si>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</si>
  <si>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</si>
  <si>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</si>
  <si>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</si>
  <si>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</si>
  <si>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</si>
  <si>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</si>
  <si>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</si>
  <si>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</si>
  <si>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</si>
  <si>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</si>
  <si>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</si>
  <si>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</si>
  <si>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</si>
  <si>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</si>
  <si>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</si>
  <si>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</si>
  <si>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</si>
  <si>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</si>
  <si>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</si>
  <si>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</si>
  <si>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</si>
  <si>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</si>
  <si>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</si>
  <si>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</si>
  <si>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</si>
  <si>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</si>
  <si>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</si>
  <si>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</si>
  <si>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</si>
  <si>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</si>
  <si>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</si>
  <si>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</si>
  <si>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</si>
  <si>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</si>
  <si>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</si>
  <si>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</si>
  <si>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</si>
  <si>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</si>
  <si>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</si>
  <si>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</si>
  <si>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</si>
  <si>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</si>
  <si>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</si>
  <si>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</si>
  <si>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</si>
  <si>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</si>
  <si>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</si>
  <si>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</si>
  <si>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</si>
  <si>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</si>
  <si>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</si>
  <si>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</si>
  <si>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</si>
  <si>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</si>
  <si>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</si>
  <si>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</si>
  <si>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</si>
  <si>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</si>
  <si>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</si>
  <si>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</si>
  <si>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</si>
  <si>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</si>
  <si>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</si>
  <si>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</si>
  <si>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</si>
  <si>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</si>
  <si>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</si>
  <si>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</si>
  <si>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</si>
  <si>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</si>
  <si>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</si>
  <si>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</si>
  <si>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</si>
  <si>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</si>
  <si>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</si>
  <si>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</si>
  <si>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</si>
  <si>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</si>
  <si>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</si>
  <si>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</si>
  <si>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</si>
  <si>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</si>
  <si>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</si>
  <si>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</si>
  <si>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</si>
  <si>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</si>
  <si>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</si>
  <si>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</si>
  <si>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</si>
  <si>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</si>
  <si>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</si>
  <si>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</si>
  <si>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</si>
  <si>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</si>
  <si>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</si>
  <si>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</si>
  <si>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</si>
  <si>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</si>
  <si>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</si>
  <si>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</si>
  <si>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</si>
  <si>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</si>
  <si>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</si>
  <si>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</si>
  <si>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</si>
  <si>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</si>
  <si>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</si>
  <si>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</si>
  <si>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</si>
  <si>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</si>
  <si>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</si>
  <si>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</si>
  <si>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</si>
  <si>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</si>
  <si>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08. Выявление конкурентных преимуществ по товару</t>
  </si>
  <si>
    <t>Преимущество фиксируется только при наличии доказательства с сайта, пользовательской ценности и отличия от среднего рынка.</t>
  </si>
  <si>
    <t>Признак преимущества</t>
  </si>
  <si>
    <t>Доказательство / URL</t>
  </si>
  <si>
    <t>Тип преимущества</t>
  </si>
  <si>
    <t>Редкость 1–5</t>
  </si>
  <si>
    <t>Сила 1–5</t>
  </si>
  <si>
    <t>Пользовательская ценность 1–5</t>
  </si>
  <si>
    <t>Качество доказательства 1–5</t>
  </si>
  <si>
    <t>Индекс преимущества</t>
  </si>
  <si>
    <t>Вывод</t>
  </si>
  <si>
    <t>Как использовать для своего товара</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</si>
  <si>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</si>
  <si>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</si>
  <si>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</si>
  <si>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</si>
  <si>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</si>
  <si>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</si>
  <si>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</si>
  <si>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</si>
  <si>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</si>
  <si>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</si>
  <si>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</si>
  <si>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</si>
  <si>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</si>
  <si>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</si>
  <si>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</si>
  <si>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</si>
  <si>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</si>
  <si>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</si>
  <si>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</si>
  <si>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</si>
  <si>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</si>
  <si>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</si>
  <si>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</si>
  <si>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</si>
  <si>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</si>
  <si>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</si>
  <si>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</si>
  <si>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</si>
  <si>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</si>
  <si>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</si>
  <si>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</si>
  <si>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</si>
  <si>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</si>
  <si>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</si>
  <si>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</si>
  <si>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</si>
  <si>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</si>
  <si>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</si>
  <si>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</si>
  <si>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</si>
  <si>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</si>
  <si>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</si>
  <si>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</si>
  <si>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</si>
  <si>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</si>
  <si>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</si>
  <si>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</si>
  <si>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</si>
  <si>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</si>
  <si>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</si>
  <si>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</si>
  <si>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</si>
  <si>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</si>
  <si>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</si>
  <si>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</si>
  <si>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</si>
  <si>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</si>
  <si>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</si>
  <si>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</si>
  <si>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</si>
  <si>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</si>
  <si>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</si>
  <si>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</si>
  <si>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</si>
  <si>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</si>
  <si>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</si>
  <si>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</si>
  <si>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</si>
  <si>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</si>
  <si>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</si>
  <si>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</si>
  <si>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</si>
  <si>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</si>
  <si>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</si>
  <si>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</si>
  <si>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</si>
  <si>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</si>
  <si>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</si>
  <si>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</si>
  <si>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</si>
  <si>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</si>
  <si>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</si>
  <si>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</si>
  <si>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</si>
  <si>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</si>
  <si>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</si>
  <si>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</si>
  <si>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</si>
  <si>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</si>
  <si>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</si>
  <si>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</si>
  <si>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</si>
  <si>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</si>
  <si>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</si>
  <si>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</si>
  <si>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</si>
  <si>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</si>
  <si>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</si>
  <si>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</si>
  <si>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</si>
  <si>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</si>
  <si>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</si>
  <si>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</si>
  <si>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</si>
  <si>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</si>
  <si>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</si>
  <si>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</si>
  <si>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</si>
  <si>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</si>
  <si>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</si>
  <si>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</si>
  <si>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</si>
  <si>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</si>
  <si>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</si>
  <si>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</si>
  <si>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</si>
  <si>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</si>
  <si>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</si>
  <si>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</si>
  <si>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</si>
  <si>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</si>
  <si>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</si>
  <si>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</si>
  <si>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</si>
  <si>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</si>
  <si>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</si>
  <si>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</si>
  <si>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</si>
  <si>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</si>
  <si>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</si>
  <si>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</si>
  <si>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</si>
  <si>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</si>
  <si>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</si>
  <si>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</si>
  <si>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</si>
  <si>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</si>
  <si>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</si>
  <si>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</si>
  <si>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</si>
  <si>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</si>
  <si>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</si>
  <si>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</si>
  <si>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</si>
  <si>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</si>
  <si>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</si>
  <si>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</si>
  <si>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</si>
  <si>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</si>
  <si>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</si>
  <si>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</si>
  <si>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</si>
  <si>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</si>
  <si>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</si>
  <si>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</si>
  <si>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</si>
  <si>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</si>
  <si>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</si>
  <si>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</si>
  <si>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</si>
  <si>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</si>
  <si>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</si>
  <si>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</si>
  <si>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</si>
  <si>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</si>
  <si>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</si>
  <si>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</si>
  <si>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</si>
  <si>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</si>
  <si>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</si>
  <si>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</si>
  <si>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</si>
  <si>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</si>
  <si>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</si>
  <si>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</si>
  <si>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</si>
  <si>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</si>
  <si>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</si>
  <si>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</si>
  <si>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</si>
  <si>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</si>
  <si>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</si>
  <si>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</si>
  <si>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</si>
  <si>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</si>
  <si>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</si>
  <si>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</si>
  <si>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</si>
  <si>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</si>
  <si>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</si>
  <si>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</si>
  <si>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</si>
  <si>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</si>
  <si>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</si>
  <si>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</si>
  <si>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</si>
  <si>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</si>
  <si>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</si>
  <si>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</si>
  <si>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</si>
  <si>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09. Дашборд анализа цифрового товара</t>
  </si>
  <si>
    <t>Сводные показатели обновляются после заполнения листов. Используйте лист для контроля полноты анализа и обсуждения итоговых выводов.</t>
  </si>
  <si>
    <t>Показатель</t>
  </si>
  <si>
    <t>Значение</t>
  </si>
  <si>
    <t>Норма контроля</t>
  </si>
  <si>
    <t>Количество</t>
  </si>
  <si>
    <t>Доля</t>
  </si>
  <si>
    <t>Кол-во признаков</t>
  </si>
  <si>
    <t>Средняя оценка</t>
  </si>
  <si>
    <t>Конкурентов в анализе</t>
  </si>
  <si>
    <t>5–12</t>
  </si>
  <si>
    <t>Меньше 5 — риск случайных выводов.</t>
  </si>
  <si>
    <t>Проверенных страниц</t>
  </si>
  <si>
    <t>30+</t>
  </si>
  <si>
    <t>Желательно несколько типов страниц по каждому конкуренту.</t>
  </si>
  <si>
    <t>Признаков по Левитту</t>
  </si>
  <si>
    <t>40+</t>
  </si>
  <si>
    <t>Нужны признаки по всем уровням товара.</t>
  </si>
  <si>
    <t>Требований по Кано</t>
  </si>
  <si>
    <t>25+</t>
  </si>
  <si>
    <t>Обязательные и привлекательные признаки должны быть разделены.</t>
  </si>
  <si>
    <t>Безразличное</t>
  </si>
  <si>
    <t>Рыночных стандартов</t>
  </si>
  <si>
    <t>по факту</t>
  </si>
  <si>
    <t>Это минимальная планка цифрового товара.</t>
  </si>
  <si>
    <t>Обратное</t>
  </si>
  <si>
    <t>Зон дифференциации</t>
  </si>
  <si>
    <t>Это пространство для конкурентного отличия.</t>
  </si>
  <si>
    <t>Неясное</t>
  </si>
  <si>
    <t>Сильных преимуществ</t>
  </si>
  <si>
    <t>Проверять доказательства и воспроизводимость.</t>
  </si>
  <si>
    <t>Итоговые баллы конкурентов</t>
  </si>
  <si>
    <t>Итоговые управленческие выводы</t>
  </si>
  <si>
    <t>1. Минимальный состав цифрового товара</t>
  </si>
  <si>
    <t>2. Признаки, которые нельзя игнорировать</t>
  </si>
  <si>
    <t>3. Главные зоны дифференциации</t>
  </si>
  <si>
    <t>4. Лучшие практики конкурентов</t>
  </si>
  <si>
    <t>5. Риски копирования конкурентов без проверки спроса</t>
  </si>
  <si>
    <t>99. Справочники для заполнения</t>
  </si>
  <si>
    <t>Лист содержит подсказки по классификациям, используемым в шаблоне.</t>
  </si>
  <si>
    <t>Справочник</t>
  </si>
  <si>
    <t>Пояснение</t>
  </si>
  <si>
    <t>Уровни Левитта</t>
  </si>
  <si>
    <t>Главная задача и ценность для пользователя.</t>
  </si>
  <si>
    <t>Минимальная форма товара: сервис, приложение, кабинет, база, подписка.</t>
  </si>
  <si>
    <t>То, что пользователь считает нормой категории.</t>
  </si>
  <si>
    <t>Дополнительные элементы, повышающие ценность и доверие.</t>
  </si>
  <si>
    <t>Будущие функции, развитие, интеграции, персонализация, данные.</t>
  </si>
  <si>
    <t>Категории Кано</t>
  </si>
  <si>
    <t>Отсутствие вызывает неудовлетворенность; наличие обычно воспринимается как норма.</t>
  </si>
  <si>
    <t>Чем лучше реализовано, тем выше удовлетворенность и готовность выбрать товар.</t>
  </si>
  <si>
    <t>Не ожидается большинством, но создает положительное отличие.</t>
  </si>
  <si>
    <t>Слабо влияет на выбор и удовлетворенность.</t>
  </si>
  <si>
    <t>Может снижать удовлетворенность или создавать отторжение.</t>
  </si>
  <si>
    <t>Недостаточно данных для классификации.</t>
  </si>
  <si>
    <t>Типы преимуществ</t>
  </si>
  <si>
    <t>Функциональное</t>
  </si>
  <si>
    <t>Лучший набор функций или качество их реализации.</t>
  </si>
  <si>
    <t>Экономическое</t>
  </si>
  <si>
    <t>Цена, стоимость владения, экономия ресурсов.</t>
  </si>
  <si>
    <t>Интерфейсное</t>
  </si>
  <si>
    <t>Простота, скорость и понятность пользовательского пути.</t>
  </si>
  <si>
    <t>Сервисное</t>
  </si>
  <si>
    <t>Поддержка, сопровождение, обучение, гарантия результата.</t>
  </si>
  <si>
    <t>Доверительное</t>
  </si>
  <si>
    <t>Доказательства надежности, безопасность, репутация.</t>
  </si>
  <si>
    <t>Данные и аналитика</t>
  </si>
  <si>
    <t>Персонализация, рекомендации, отчеты, прогнозы.</t>
  </si>
  <si>
    <t>Сетевой эффект</t>
  </si>
  <si>
    <t>Ценность растет с числом пользователей, участников, данных или партнеров.</t>
  </si>
  <si>
    <t>Интеграционное</t>
  </si>
  <si>
    <t>Связь с другими системами и процессами пользователя.</t>
  </si>
  <si>
    <t>Контентное</t>
  </si>
  <si>
    <t>Качество, глубина, эксклюзивность или регулярность материалов.</t>
  </si>
  <si>
    <t>PlantUML</t>
  </si>
  <si>
    <t>plantuml.com</t>
  </si>
  <si>
    <t>Весь мир (английский язык)</t>
  </si>
  <si>
    <t>Прямой конкурент</t>
  </si>
  <si>
    <t>Разработчики, студенты, архитекторы ПО</t>
  </si>
  <si>
    <t>Бесплатно, открытый код</t>
  </si>
  <si>
    <t>Построение UML-диаграмм из текстового описания, экспорт PNG, LaTeX, EPS, SVG. Главная страница: «Open-source tool that uses simple textual descriptions to draw beautiful UML diagrams»</t>
  </si>
  <si>
    <t>Высокий</t>
  </si>
  <si>
    <t>Завершён</t>
  </si>
  <si>
    <t>Выборка из части A (поле «Переходит в части B и C»); страницы просмотрены 01.10.2026</t>
  </si>
  <si>
    <t>Mermaid (библиотека)</t>
  </si>
  <si>
    <t>mermaid.js.org</t>
  </si>
  <si>
    <t>Близкий альтернативный конкурент</t>
  </si>
  <si>
    <t>Разработчики, авторы технической документации</t>
  </si>
  <si>
    <t>Бесплатно, открытый код (MIT); платные планы у Mermaid Chart</t>
  </si>
  <si>
    <t>Диаграммы и визуализации из текста и кода (JavaScript-библиотека). Главная страница: «Create diagrams and visualizations using text and code»</t>
  </si>
  <si>
    <t>Mermaid Chart</t>
  </si>
  <si>
    <t>mermaidchart.com</t>
  </si>
  <si>
    <t>Весь мир (США, Великобритания, Япония в топ-странах)</t>
  </si>
  <si>
    <t>Команды разработки и документации</t>
  </si>
  <si>
    <t>Условно-бесплатная: Free, Plus 10 USD, Premium 20 USD, Enterprise</t>
  </si>
  <si>
    <t>Облачный редактор диаграмм Mermaid с тарифами Free, Plus, Premium. Главная страница: «Create diagrams, flowcharts, and documentation with Mermaid»; «You already think in systems»</t>
  </si>
  <si>
    <t>Storm (StormBPMN)</t>
  </si>
  <si>
    <t>stormbpmn.com</t>
  </si>
  <si>
    <t>Россия и СНГ (Россия 62,99 %, Беларусь 2,49 %)</t>
  </si>
  <si>
    <t>Смежная или потенциальная конкуренция</t>
  </si>
  <si>
    <t>Процессные аналитики, русскоязычный рынок</t>
  </si>
  <si>
    <t>Условно-бесплатная: Персональный бесплатно, Команда, Бизнес, Enterprise on-prem (руб.)</t>
  </si>
  <si>
    <t>Платформа из семи модулей: редактор, реестр, архитектура, оргструктура, опросы, ИИ, симуляция. Главная страница: «Соберите все процессы компании»; «Одна платформа - девять модулей процессного управления»</t>
  </si>
  <si>
    <t>Средний</t>
  </si>
  <si>
    <t>draw.io (diagrams.net)</t>
  </si>
  <si>
    <t>app.diagrams.net</t>
  </si>
  <si>
    <t>Весь мир (США, Индонезия, Индия, Китай, Россия)</t>
  </si>
  <si>
    <t>Косвенный конкурент / заменитель</t>
  </si>
  <si>
    <t>Студенты, разработчики, команды</t>
  </si>
  <si>
    <t>Бесплатно, открытый код (Apache 2.0)</t>
  </si>
  <si>
    <t>Бесплатный онлайн-редактор блок-схем, UML, ER и других диаграмм. Главная страница: «Security-first diagramming for teams»; «Free, open source diagramming application with 100M+ users»</t>
  </si>
  <si>
    <t>Lucidchart</t>
  </si>
  <si>
    <t>lucidchart.com</t>
  </si>
  <si>
    <t>Весь мир (США, Мексика, Бразилия в топ-странах)</t>
  </si>
  <si>
    <t>Команды, бизнес-пользователи</t>
  </si>
  <si>
    <t>Условно-бесплатная: Free, Individual 9 USD, Team 10 USD, Enterprise</t>
  </si>
  <si>
    <t>Облачный редактор диаграмм с тарифами Free, Individual, Team, Enterprise. Главная страница: «Diagramming powered by intelligence»: диаграммы с ИИ, данными и автоматизацией</t>
  </si>
  <si>
    <t>Eraser</t>
  </si>
  <si>
    <t>eraser.io</t>
  </si>
  <si>
    <t>Весь мир</t>
  </si>
  <si>
    <t>Инженерные команды, разработчики</t>
  </si>
  <si>
    <t>Условно-бесплатная: Free, Starter 15 USD, Business 45 USD, Enterprise</t>
  </si>
  <si>
    <t>Создание технических диаграмм с помощью ИИ. Главная страница: «AI for diagrams that matter»; «Create technical diagrams using AI»</t>
  </si>
  <si>
    <t>Whimsical</t>
  </si>
  <si>
    <t>whimsical.com</t>
  </si>
  <si>
    <t>Команды продуктов</t>
  </si>
  <si>
    <t>Условно-бесплатная: Free, Pro 10 USD, Business 20 USD</t>
  </si>
  <si>
    <t>Редактор диаграмм, схем интерфейсов и документов; тарифы Free, Pro, Business (страница тарифов, 01.10.2026). Главная страница: «The whiteboard for product builders»: диаграммы, схемы интерфейсов, документы</t>
  </si>
  <si>
    <t>Низкий</t>
  </si>
  <si>
    <t>Главная</t>
  </si>
  <si>
    <t>https://plantuml.com/</t>
  </si>
  <si>
    <t>Определить обещание и состав товара</t>
  </si>
  <si>
    <t>Заголовок, разделы, тарифы, ключевые признаки</t>
  </si>
  <si>
    <t>Текст страницы, запрос 01.10.2026</t>
  </si>
  <si>
    <t>Заголовок: Open-source tool that uses simple textual descriptions to draw beautif. Признаки в тексте: integr, export, uml, erd</t>
  </si>
  <si>
    <t>Документация</t>
  </si>
  <si>
    <t>https://plantuml.com/faq</t>
  </si>
  <si>
    <t>Глубина документации, поддержка нотаций</t>
  </si>
  <si>
    <t>Заголовок: Frequently Asked Questions. Признаки в тексте: free, integr, export, uml</t>
  </si>
  <si>
    <t>https://plantuml.com/running</t>
  </si>
  <si>
    <t>Заголовок отсутствует. Признаки в тексте: integr, api, export, uml</t>
  </si>
  <si>
    <t>https://plantuml.com/download</t>
  </si>
  <si>
    <t>Заголовок отсутствует. Признаки в тексте: integr, uml</t>
  </si>
  <si>
    <t>https://plantuml.com/class-diagram</t>
  </si>
  <si>
    <t>Заголовок: Class Diagram syntax and features. Признаки в тексте: integr, security, uml</t>
  </si>
  <si>
    <t>https://plantuml.com/ie-diagram</t>
  </si>
  <si>
    <t>Заголовок: Information Engineering diagram syntax and features. Признаки в тексте: integr, erd</t>
  </si>
  <si>
    <t>https://plantuml.com/activity-diagram-beta</t>
  </si>
  <si>
    <t>Заголовок: New Activity Diagram Beta syntax and features. Признаки в тексте: integr, templates, security, uml</t>
  </si>
  <si>
    <t>Репозиторий GitHub</t>
  </si>
  <si>
    <t>https://github.com/plantuml/plantuml</t>
  </si>
  <si>
    <t>Сообщество</t>
  </si>
  <si>
    <t>Открытый код, лицензия, активность</t>
  </si>
  <si>
    <t>Звёзды, форки, дата обновления</t>
  </si>
  <si>
    <t>GitHub API, ЛР4</t>
  </si>
  <si>
    <t>13 346 звёзд, лицензия LGPL-3.0, обновление 2026-09-30</t>
  </si>
  <si>
    <t>https://mermaid.js.org/</t>
  </si>
  <si>
    <t>Заголовок: Mermaid | Diagramming and charting tool. Признаки в тексте: ai, integr</t>
  </si>
  <si>
    <t>https://mermaid.js.org/intro/</t>
  </si>
  <si>
    <t>Заголовок: About Mermaid | Mermaid. Признаки в тексте: ai, collab, integr, api, security, erd</t>
  </si>
  <si>
    <t>https://mermaid.js.org/intro/getting-started.html</t>
  </si>
  <si>
    <t>Заголовок: Mermaid User Guide | Mermaid. Признаки в тексте: free, ai, collab, integr, api, export</t>
  </si>
  <si>
    <t>Интеграции</t>
  </si>
  <si>
    <t>https://mermaid.js.org/ecosystem/integrations-community.html</t>
  </si>
  <si>
    <t>Интеграции и экосистема</t>
  </si>
  <si>
    <t>Заголовок: Integrations | Mermaid. Признаки в тексте: ai, integr, api, export, security, uml</t>
  </si>
  <si>
    <t>https://mermaid.js.org/syntax/classDiagram.html</t>
  </si>
  <si>
    <t>Заголовок: Class diagrams | Mermaid. Признаки в тексте: ai, integr, api, security, uml, erd</t>
  </si>
  <si>
    <t>https://mermaid.js.org/syntax/entityRelationshipDiagram.html</t>
  </si>
  <si>
    <t>Заголовок: Entity Relationship Diagrams | Mermaid. Признаки в тексте: ai, integr, api, security, erd</t>
  </si>
  <si>
    <t>https://mermaid.js.org/syntax/flowchart.html</t>
  </si>
  <si>
    <t>Заголовок: Flowcharts Syntax | Mermaid. Признаки в тексте: ai, integr, api, security, erd</t>
  </si>
  <si>
    <t>https://github.com/mermaid-js/mermaid</t>
  </si>
  <si>
    <t>90 489 звёзд, лицензия MIT, обновление 2026-09-30</t>
  </si>
  <si>
    <t>https://github.com/mermaid-js/mermaid-live-editor</t>
  </si>
  <si>
    <t>6 836 звёзд, лицензия MIT, обновление 2026-09-30</t>
  </si>
  <si>
    <t>https://mermaid.ai/</t>
  </si>
  <si>
    <t>Заголовок: Mermaid. Признаки в тексте: free, pricing, ai, collab, integr, api</t>
  </si>
  <si>
    <t>https://mermaid.ai/docs/guides/intro</t>
  </si>
  <si>
    <t>Заголовок: User guides — Mermaid Chart. Признаки в тексте: free, pricing, ai, collab, integr, api</t>
  </si>
  <si>
    <t>Тарифы</t>
  </si>
  <si>
    <t>https://mermaid.ai/pricing/</t>
  </si>
  <si>
    <t>Состав тарифов и условия оплаты</t>
  </si>
  <si>
    <t>Просмотр во встроенном браузере</t>
  </si>
  <si>
    <t>Тарифы: Basic Free, Plus 10 USD, Premium 20 USD, Enterprise по запросу</t>
  </si>
  <si>
    <t>https://stormbpmn.com/</t>
  </si>
  <si>
    <t>Заголовок: Storm — платформа процессного управления. Признаки в тексте: ai, security, bpmn</t>
  </si>
  <si>
    <t>https://stormbpmn.com/pricing</t>
  </si>
  <si>
    <t>Заголовок: Все о тарифах Stormbpmn: Team, Business, Enterprise. Признаки в тексте: ai, api, security, bpmn</t>
  </si>
  <si>
    <t>Блог и обновления</t>
  </si>
  <si>
    <t>https://stormbpmn.com/blog</t>
  </si>
  <si>
    <t>Развитие продукта и контент</t>
  </si>
  <si>
    <t>Заголовок: Блог о бизнес-процессах, BPMN и Camunda. Признаки в тексте: ai, uml, bpmn</t>
  </si>
  <si>
    <t>https://www.drawio.com/</t>
  </si>
  <si>
    <t>Заголовок: Security-first diagramming for teams | draw.io. Признаки в тексте: free, pricing, collab, integr, export, security</t>
  </si>
  <si>
    <t>https://www.drawio.com/blog/</t>
  </si>
  <si>
    <t>Заголовок: Blog | draw.io. Признаки в тексте: free, ai, collab, integr, api, export</t>
  </si>
  <si>
    <t>https://github.com/jgraph/drawio</t>
  </si>
  <si>
    <t>8 502 звёзд, лицензия Apache-2.0, обновление 2026-09-25</t>
  </si>
  <si>
    <t>https://github.com/jgraph/drawio-desktop</t>
  </si>
  <si>
    <t>63 351 звёзд, лицензия GPL-3.0, обновление 2026-09-28</t>
  </si>
  <si>
    <t>https://lucid.co/lucidchart</t>
  </si>
  <si>
    <t>Главная: «Diagramming powered by intelligence»; ИИ, шаблоны, интеграции</t>
  </si>
  <si>
    <t>https://lucid.app/pricing/lucidchart</t>
  </si>
  <si>
    <t>Тарифы: Free 0 USD, Individual 9 USD, Team 10 USD, Enterprise по запросу</t>
  </si>
  <si>
    <t>https://www.eraser.io/</t>
  </si>
  <si>
    <t>Заголовок: Eraser – AI for diagrams that matter. Признаки в тексте: free, pricing, ai, integr, api, export</t>
  </si>
  <si>
    <t>https://www.eraser.io/pricing</t>
  </si>
  <si>
    <t>Заголовок: Pricing – Eraser. Признаки в тексте: free, pricing, ai, collab, integr, api</t>
  </si>
  <si>
    <t>ИИ-функции</t>
  </si>
  <si>
    <t>https://www.eraser.io/ai</t>
  </si>
  <si>
    <t>ИИ-функции товара</t>
  </si>
  <si>
    <t>Заголовок: Eraser AI. Признаки в тексте: free, pricing, ai, collab, integr, api</t>
  </si>
  <si>
    <t>https://www.eraser.io/diagramgpt</t>
  </si>
  <si>
    <t>Заголовок: DiagramGPT – AI diagram generator created by Eraser. Признаки в тексте: free, pricing, ai, integr, api, export</t>
  </si>
  <si>
    <t>https://docs.eraser.io/</t>
  </si>
  <si>
    <t>Заголовок: Eraser docs. Признаки в тексте: pricing, ai, collab, integr, api, export</t>
  </si>
  <si>
    <t>https://whimsical.com/</t>
  </si>
  <si>
    <t>Заголовок: Whimsical — The whiteboard for product builders. Признаки в тексте: free, pricing, ai, collab, integr, templates</t>
  </si>
  <si>
    <t>https://whimsical.com/pricing</t>
  </si>
  <si>
    <t>Заголовок: Whimsical Pricing - Free &amp; Paid Plans. Признаки в тексте: free, pricing, ai, collab, integr, export</t>
  </si>
  <si>
    <t>Безопасность</t>
  </si>
  <si>
    <t>https://whimsical.com/company/security</t>
  </si>
  <si>
    <t>Безопасность и приватность</t>
  </si>
  <si>
    <t>Заголовок: Security | Whimsical. Признаки в тексте: free, pricing, ai, integr, templates, security</t>
  </si>
  <si>
    <t>Шаблоны</t>
  </si>
  <si>
    <t>https://whimsical.com/templates</t>
  </si>
  <si>
    <t>Шаблоны и готовые образцы</t>
  </si>
  <si>
    <t>Заголовок: Templates - Whimsical. Признаки в тексте: free, pricing, ai, integr, templates, security</t>
  </si>
  <si>
    <t>https://whimsical.com/ai</t>
  </si>
  <si>
    <t>Заголовок: Whimsical AI. Признаки в тексте: free, pricing, ai, integr, templates, security</t>
  </si>
  <si>
    <t>https://whimsical.com/diagrams</t>
  </si>
  <si>
    <t>Заголовок: Whimsical Diagrams, Flowcharts, and Mind Maps. Признаки в тексте: free, pricing, ai, collab, integr, templates</t>
  </si>
  <si>
    <t>Основное обещание главной страницы</t>
  </si>
  <si>
    <t>«Open-source tool that uses simple textual descriptions to draw beautiful UML diagrams»</t>
  </si>
  <si>
    <t>Главная страница, просмотр 01.10.2026</t>
  </si>
  <si>
    <t>Форма поставки товара</t>
  </si>
  <si>
    <t>Текстовый DSL, открытый код: Построение UML-диаграмм из текстового описания, экспорт PNG, LaTeX, EPS, SVG</t>
  </si>
  <si>
    <t>Страницы сайта, ЛР1 табл. 42, ЛР4</t>
  </si>
  <si>
    <t>Описание диаграммы текстом (DSL)</t>
  </si>
  <si>
    <t>Признак найден на просмотренных страницах: описание диаграммы текстом (dsl)</t>
  </si>
  <si>
    <t>Страницы сайта, просмотр 01.10.2026</t>
  </si>
  <si>
    <t>Бесплатный доступ или Free-тариф</t>
  </si>
  <si>
    <t>Открытый код; раздел лицензирования на странице загрузки</t>
  </si>
  <si>
    <t>Интеграции с другими сервисами</t>
  </si>
  <si>
    <t>Признак найден на просмотренных страницах: интеграции с другими сервисами</t>
  </si>
  <si>
    <t>Открытый код и сообщество</t>
  </si>
  <si>
    <t>Признак найден на просмотренных страницах: открытый код и сообщество</t>
  </si>
  <si>
    <t>Независимые отзывы и оценки</t>
  </si>
  <si>
    <t>Признак найден на просмотренных страницах: независимые отзывы и оценки</t>
  </si>
  <si>
    <t>Экспорт диаграмм (PNG, SVG, PDF и др.)</t>
  </si>
  <si>
    <t>Признак найден на просмотренных страницах: экспорт диаграмм (png, svg, pdf и др.)</t>
  </si>
  <si>
    <t>Документация и руководства</t>
  </si>
  <si>
    <t>Признак найден на просмотренных страницах: документация и руководства</t>
  </si>
  <si>
    <t>Диаграммы UML</t>
  </si>
  <si>
    <t>Признак найден на просмотренных страницах: диаграммы uml</t>
  </si>
  <si>
    <t>Диаграммы ERD</t>
  </si>
  <si>
    <t>Признак найден на просмотренных страницах: диаграммы erd</t>
  </si>
  <si>
    <t>Развёртывание на своём сервере</t>
  </si>
  <si>
    <t>Признак найден на просмотренных страницах: развёртывание на своём сервере</t>
  </si>
  <si>
    <t>Настольное приложение</t>
  </si>
  <si>
    <t>Признак найден на просмотренных страницах: настольное приложение</t>
  </si>
  <si>
    <t>«Create diagrams and visualizations using text and code»</t>
  </si>
  <si>
    <t>Текстовый DSL, открытый код: Диаграммы и визуализации из текста и кода (JavaScript-библиотека)</t>
  </si>
  <si>
    <t>Открытый код (MIT); платные планы вынесены в Mermaid Chart</t>
  </si>
  <si>
    <t>API или платформа разработчика</t>
  </si>
  <si>
    <t>Признак найден на просмотренных страницах: api или платформа разработчика</t>
  </si>
  <si>
    <t>https://www.mermaidchart.com/</t>
  </si>
  <si>
    <t>«Create diagrams, flowcharts, and documentation with Mermaid»; «You already think in systems»</t>
  </si>
  <si>
    <t>Облачный сервис на основе Mermaid: Облачный редактор диаграмм Mermaid с тарифами Free, Plus, Premium</t>
  </si>
  <si>
    <t>Basic Free: до 6 диаграмм, 15 ИИ-кредитов</t>
  </si>
  <si>
    <t>Платная подписка по тарифным уровням</t>
  </si>
  <si>
    <t>Plus 10 USD, Premium 20 USD за пользователя в месяц при оплате за год</t>
  </si>
  <si>
    <t>Открытая страница тарифов</t>
  </si>
  <si>
    <t>Признак найден на просмотренных страницах: открытая страница тарифов</t>
  </si>
  <si>
    <t>Корпоративный тариф (Enterprise или on-prem)</t>
  </si>
  <si>
    <t>Признак найден на просмотренных страницах: корпоративный тариф (enterprise или on-prem)</t>
  </si>
  <si>
    <t>Скидка или цена при годовой оплате</t>
  </si>
  <si>
    <t>Признак найден на просмотренных страницах: скидка или цена при годовой оплате</t>
  </si>
  <si>
    <t>Бесплатные гости или зрители</t>
  </si>
  <si>
    <t>Unlimited free viewer seats в Premium</t>
  </si>
  <si>
    <t>ИИ-генерация или ИИ-помощник</t>
  </si>
  <si>
    <t>ИИ-кредиты: 15 (Basic), 300 (Plus), 2 000 в год (Premium)</t>
  </si>
  <si>
    <t>Данные о числе пользователей или клиентов на сайте</t>
  </si>
  <si>
    <t>«trusted by over 5M people and over 200k companies»</t>
  </si>
  <si>
    <t>Раздел или упоминание о безопасности и приватности</t>
  </si>
  <si>
    <t>Признак найден на просмотренных страницах: раздел или упоминание о безопасности и приватности</t>
  </si>
  <si>
    <t>Единый вход SSO или SAML</t>
  </si>
  <si>
    <t>Строка SSO в таблице сравнения (Enterprise)</t>
  </si>
  <si>
    <t>Вход и личный кабинет</t>
  </si>
  <si>
    <t>Признак найден на просмотренных страницах: вход и личный кабинет</t>
  </si>
  <si>
    <t>Совместная работа в реальном времени</t>
  </si>
  <si>
    <t>Признак найден на просмотренных страницах: совместная работа в реальном времени</t>
  </si>
  <si>
    <t>История версий</t>
  </si>
  <si>
    <t>Признак найден на просмотренных страницах: история версий</t>
  </si>
  <si>
    <t>Признаки развития (ИИ-помощник, MCP, новые функции)</t>
  </si>
  <si>
    <t>Признак найден на просмотренных страницах: признаки развития (ии-помощник, mcp, новые функции)</t>
  </si>
  <si>
    <t>«Соберите все процессы компании»; «Одна платформа - девять модулей процессного управления»</t>
  </si>
  <si>
    <t>Платформа процессного управления: Платформа из семи модулей: редактор, реестр, архитектура, оргструктура, опросы, ИИ, симуляция</t>
  </si>
  <si>
    <t>Тариф «Персональный» бесплатно: до 50 моделей, ИИ-помощник безлимитно, делиться процессами 5 раз</t>
  </si>
  <si>
    <t>Команда 1 200 руб. (1 500 руб. помесячно), Бизнес 4 720 руб. (5 900 руб.) за пользователя в месяц</t>
  </si>
  <si>
    <t>Enterprise на сервере заказчика от 990 тыс. руб. в год: on-prem, SSO, API, аудит</t>
  </si>
  <si>
    <t>Скидка 20 % при годовой оплате; для юридических лиц 1 800 руб. и 5 900 руб.</t>
  </si>
  <si>
    <t>100 бесплатных гостей на участника в тарифе «Команда»</t>
  </si>
  <si>
    <t>ИИ-ассистент во всех облачных тарифах, включая бесплатный</t>
  </si>
  <si>
    <t>«Нам доверяют больше 1 000 клиентов»</t>
  </si>
  <si>
    <t>Признак найден на просмотренных страницах: единый вход sso или saml</t>
  </si>
  <si>
    <t>Диаграммы BPMN</t>
  </si>
  <si>
    <t>Признак найден на просмотренных страницах: диаграммы bpmn</t>
  </si>
  <si>
    <t>Русскоязычный интерфейс и тарифы в рублях</t>
  </si>
  <si>
    <t>Тарифы в рублях; Россия 62,99 % трафика (Similarweb Pro)</t>
  </si>
  <si>
    <t>https://app.diagrams.net/</t>
  </si>
  <si>
    <t>«Security-first diagramming for teams»; «Free, open source diagramming application with 100M+ users»</t>
  </si>
  <si>
    <t>Универсальный редактор диаграмм, открытый код: Бесплатный онлайн-редактор блок-схем, UML, ER и других диаграмм</t>
  </si>
  <si>
    <t>Бесплатное приложение с открытым кодом (Apache 2.0): «No enterprise tier for SSO»</t>
  </si>
  <si>
    <t>«100M+ users»</t>
  </si>
  <si>
    <t>https://www.lucidchart.com/</t>
  </si>
  <si>
    <t>«Diagramming powered by intelligence»: диаграммы с ИИ, данными и автоматизацией</t>
  </si>
  <si>
    <t>Универсальный редактор диаграмм (подписка): Облачный редактор диаграмм с тарифами Free, Individual, Team, Enterprise</t>
  </si>
  <si>
    <t>Free 0 USD: 3 редактируемых документа, 75 фигур на документ, 100 шаблонов</t>
  </si>
  <si>
    <t>Individual 9 USD, Team 10 USD за пользователя в месяц при оплате за год</t>
  </si>
  <si>
    <t>Пробный период платного тарифа</t>
  </si>
  <si>
    <t>Пробный период 7 дней со всеми платными функциями, карта нужна при регистрации</t>
  </si>
  <si>
    <t>Признак найден на просмотренных страницах: ии-генерация или ии-помощник</t>
  </si>
  <si>
    <t>«trusted partner of 99% of the Fortune 500»</t>
  </si>
  <si>
    <t>SAML authentication в тарифе Enterprise</t>
  </si>
  <si>
    <t>Шаблоны диаграмм</t>
  </si>
  <si>
    <t>100 шаблонов в Free; более 1 000 премиум-шаблонов в платных тарифах</t>
  </si>
  <si>
    <t>«AI for diagrams that matter»; «Create technical diagrams using AI»</t>
  </si>
  <si>
    <t>ИИ-генерация технических диаграмм: Создание технических диаграмм с помощью ИИ</t>
  </si>
  <si>
    <t>Free 0 USD за участника: 3 файла, 3 ИИ-диаграммы, 7 дней истории, diagram-as-code</t>
  </si>
  <si>
    <t>Starter 15 USD (20 USD помесячно), Business 45 USD (60 USD) за участника в месяц</t>
  </si>
  <si>
    <t>Starter 15 USD при годовой оплате против 20 USD помесячно</t>
  </si>
  <si>
    <t>Unlimited guests на всех тарифах</t>
  </si>
  <si>
    <t>ИИ-диаграммы: 3 (Free), 40 (Starter), 250 (Business), без лимита (Enterprise)</t>
  </si>
  <si>
    <t>SAML SSO в тарифе Business</t>
  </si>
  <si>
    <t>Признак найден на просмотренных страницах: шаблоны диаграмм</t>
  </si>
  <si>
    <t>7 дней (Free), 90 дней (Starter), без ограничений (Business)</t>
  </si>
  <si>
    <t>«The whiteboard for product builders»: диаграммы, схемы интерфейсов, документы</t>
  </si>
  <si>
    <t>Универсальный редактор диаграмм и досок: Редактор диаграмм, схем интерфейсов и документов; тарифы Free, Pro, Business (страница тарифов, 01.10.2026)</t>
  </si>
  <si>
    <t>Free 0 USD: 50 объектов доски и 50 блоков документа в месяц, водяной знак при экспорте</t>
  </si>
  <si>
    <t>Pro 10 USD, Business 20 USD за редактора в месяц</t>
  </si>
  <si>
    <t>Viewers и Guests: Unlimited на всех тарифах</t>
  </si>
  <si>
    <t>SAML SSO и SCIM в тарифе Business</t>
  </si>
  <si>
    <t>7 дней (Free), 90 дней (Pro), без ограничений (Business)</t>
  </si>
  <si>
    <t>Быстро создавать и версионировать диаграммы как код</t>
  </si>
  <si>
    <t>Главные страницы PlantUML, Mermaid, Mermaid Chart; «Diagram-as-code» в тарифе Free Eraser; «Diagram as code» на lucid.co/lucidchart. Категория Кано - экспертная классификация по распространённости и роли признака (опрос не проводился)</t>
  </si>
  <si>
    <t>Включить в минимальный состав NotaCode</t>
  </si>
  <si>
    <t>К. А. Хаджинова</t>
  </si>
  <si>
    <t>Начать работу без оплаты</t>
  </si>
  <si>
    <t>Открытый код или тариф Free на страницах 8 из 8 конкурентов. Категория Кано - экспертная классификация по распространённости и роли признака (опрос не проводился)</t>
  </si>
  <si>
    <t>Получить расширенные возможности за оплату</t>
  </si>
  <si>
    <t>Страницы тарифов Mermaid Chart, Storm, Lucidchart, Eraser, Whimsical. Категория Кано - экспертная классификация по распространённости и роли признака (опрос не проводился)</t>
  </si>
  <si>
    <t>Реализовать на уровне рынка</t>
  </si>
  <si>
    <t>Понять цену и состав тарифа до регистрации</t>
  </si>
  <si>
    <t>Страницы тарифов (01.10.2026). Категория Кано - экспертная классификация по распространённости и роли признака (опрос не проводился)</t>
  </si>
  <si>
    <t>Подключить организацию целиком</t>
  </si>
  <si>
    <t>Enterprise по запросу на страницах тарифов; Storm: on-prem от 990 тыс. руб. в год. Категория Кано - экспертная классификация по распространённости и роли признака (опрос не проводился)</t>
  </si>
  <si>
    <t>Не приоритет для сегмента студентов и аналитиков</t>
  </si>
  <si>
    <t>Снизить стоимость при долгом использовании</t>
  </si>
  <si>
    <t>Цены «billed annually» (Mermaid Chart, Lucidchart, Eraser), скидка 20 % (Storm). Категория Кано - экспертная классификация по распространённости и роли признака (опрос не проводился)</t>
  </si>
  <si>
    <t>Проверить платные функции до оплаты</t>
  </si>
  <si>
    <t>FAQ Lucidchart: пробный период 7 дней. Категория Кано - экспертная классификация по распространённости и роли признака (опрос не проводился)</t>
  </si>
  <si>
    <t>Показать диаграмму без оплаты за каждого читателя</t>
  </si>
  <si>
    <t>Unlimited viewer seats (Mermaid Chart Premium); 100 гостей на участника (Storm); unlimited guests (Eraser, Whimsical). Категория Кано - экспертная классификация по распространённости и роли признака (опрос не проводился)</t>
  </si>
  <si>
    <t>Рассмотреть как дифференциатор Pro</t>
  </si>
  <si>
    <t>Ускорить создание диаграммы по описанию</t>
  </si>
  <si>
    <t>ИИ-кредиты (Mermaid Chart); ИИ-ассистент (Storm); Lucid AI; Eraser AI; ИИ в Whimsical. Категория Кано - экспертная классификация по распространённости и роли признака (опрос не проводился)</t>
  </si>
  <si>
    <t>Встроить инструмент в рабочие процессы</t>
  </si>
  <si>
    <t>Разделы и упоминания интеграций на страницах 8 из 8 конкурентов. Категория Кано - экспертная классификация по распространённости и роли признака (опрос не проводился)</t>
  </si>
  <si>
    <t>Автоматизировать генерацию диаграмм</t>
  </si>
  <si>
    <t>API Mermaid; пункт API в меню Mermaid Chart; API в Enterprise Storm; Developer platform Lucidchart; API calls Eraser. Категория Кано - экспертная классификация по распространённости и роли признака (опрос не проводился)</t>
  </si>
  <si>
    <t>Доверять инструменту и расширять его</t>
  </si>
  <si>
    <t>GitHub API, 30.09.2026; лицензия Apache 2.0 у draw.io. Категория Кано - экспертная классификация по распространённости и роли признака (опрос не проводился)</t>
  </si>
  <si>
    <t>Оценить качество до выбора</t>
  </si>
  <si>
    <t>G2, Capterra, Trustpilot, каталоги расширений (ЛР2-3, ЛР4). Категория Кано - экспертная классификация по распространённости и роли признака (опрос не проводился)</t>
  </si>
  <si>
    <t>Оценить масштаб и надёжность продукта</t>
  </si>
  <si>
    <t>5M человек и 200k компаний (Mermaid Chart); более 1 000 клиентов (Storm); 100M+ пользователей (draw.io); 99 % Fortune 500 (Lucidchart). Категория Кано - экспертная классификация по распространённости и роли признака (опрос не проводился)</t>
  </si>
  <si>
    <t>Понять, где хранятся данные</t>
  </si>
  <si>
    <t>Страница Security (Whimsical); раздел безопасности (Lucidchart, Eraser); privacy-first (draw.io). Категория Кано - экспертная классификация по распространённости и роли признака (опрос не проводился)</t>
  </si>
  <si>
    <t>Подключить корпоративную учётную запись</t>
  </si>
  <si>
    <t>SSO или SAML в старших тарифах. Категория Кано - экспертная классификация по распространённости и роли признака (опрос не проводился)</t>
  </si>
  <si>
    <t>Сохранять диаграммы и настройки</t>
  </si>
  <si>
    <t>Ссылки на вход на главных страницах. Категория Кано - экспертная классификация по распространённости и роли признака (опрос не проводился)</t>
  </si>
  <si>
    <t>Начать работу с готового образца</t>
  </si>
  <si>
    <t>100 шаблонов в Free и более 1 000 в платных тарифах (Lucidchart); раздел шаблонов Eraser и Whimsical. Категория Кано - экспертная классификация по распространённости и роли признака (опрос не проводился)</t>
  </si>
  <si>
    <t>Редактировать диаграмму командой</t>
  </si>
  <si>
    <t>Real-time collaboration (draw.io, Lucidchart, Whimsical); совместное редактирование в браузере (Storm); Co-editing (Mermaid Chart). Категория Кано - экспертная классификация по распространённости и роли признака (опрос не проводился)</t>
  </si>
  <si>
    <t>Вставить диаграмму в документ или презентацию</t>
  </si>
  <si>
    <t>Экспорт упомянут на страницах 8 из 8 конкурентов (PNG, SVG, PDF, DOCX у Storm, Visio у Lucidchart). Категория Кано - экспертная классификация по распространённости и роли признака (опрос не проводился)</t>
  </si>
  <si>
    <t>Вернуться к предыдущей версии</t>
  </si>
  <si>
    <t>7 и 90 дней (Eraser, Whimsical); Revision history (Lucidchart Team); версионирование (меню Storm). Категория Кано - экспертная классификация по распространённости и роли признака (опрос не проводился)</t>
  </si>
  <si>
    <t>Научиться пользоваться без обращения в поддержку</t>
  </si>
  <si>
    <t>PlantUML Language Reference Guide; Mermaid User Guide; docs.mermaidchart.com; docs.eraser.io; Learning center Lucidchart. Категория Кано - экспертная классификация по распространённости и роли признака (опрос не проводился)</t>
  </si>
  <si>
    <t>Строить диаграммы классов, последовательностей и др.</t>
  </si>
  <si>
    <t>Страницы class-diagram (PlantUML, Mermaid); UML в описании draw.io; UML-шаблоны Lucidchart. Категория Кано - экспертная классификация по распространённости и роли признака (опрос не проводился)</t>
  </si>
  <si>
    <t>Моделировать бизнес-процессы</t>
  </si>
  <si>
    <t>Редактор BPMN 2.0 (Storm); BPMN-шаблон (Lucidchart); упоминание BPMN на сайте Eraser. Категория Кано - экспертная классификация по распространённости и роли признака (опрос не проводился)</t>
  </si>
  <si>
    <t>Описывать структуру базы данных</t>
  </si>
  <si>
    <t>Страницы entityRelationshipDiagram (Mermaid), ie-diagram (PlantUML); ER в описании draw.io; ERD markup (Lucidchart). Категория Кано - экспертная классификация по распространённости и роли признака (опрос не проводился)</t>
  </si>
  <si>
    <t>Хранить данные внутри организации</t>
  </si>
  <si>
    <t>Страницы running и download (PlantUML); библиотека Mermaid; on-prem (Storm); Flexible deployments (Eraser Enterprise). Категория Кано - экспертная классификация по распространённости и роли признака (опрос не проводился)</t>
  </si>
  <si>
    <t>Работать без браузера</t>
  </si>
  <si>
    <t>Загрузка PlantUML; drawio-desktop (GitHub); Desktop app в таблице тарифов Whimsical. Категория Кано - экспертная классификация по распространённости и роли признака (опрос не проводился)</t>
  </si>
  <si>
    <t>Работать на русском языке и платить в рублях</t>
  </si>
  <si>
    <t>Сайт и тарифы Storm на русском языке, цены в рублях. Категория Кано - экспертная классификация по распространённости и роли признака (опрос не проводился)</t>
  </si>
  <si>
    <t>Видеть, что продукт развивается</t>
  </si>
  <si>
    <t>MCP-интеграция (Storm); метки NEW: Lucid AI, Developer platform (Lucidchart); ИИ-кредиты (Mermaid Chart); AI-first (Eraser). Категория Кано - экспертная классификация по распространённости и роли признака (опрос не проводился)</t>
  </si>
  <si>
    <t>Несколько нотаций (UML, BPMN, ERD) в одном инструменте</t>
  </si>
  <si>
    <t>Работать с разными нотациями без смены инструмента</t>
  </si>
  <si>
    <t>Lucidchart: UML-, BPMN-шаблоны и ERD markup (lucid.co/lucidchart)</t>
  </si>
  <si>
    <t>Рассмотреть как дифференциатор: полный набор нотаций проекта</t>
  </si>
  <si>
    <t>Нотации IDEF0, DFD, сети Петри</t>
  </si>
  <si>
    <t>Строить диаграммы по учебным и отраслевым стандартам</t>
  </si>
  <si>
    <t>На просмотренных страницах 8 конкурентов не найдены (IDEF упомянут в блоге Storm)</t>
  </si>
  <si>
    <t>Дифференциатор NotaCode: у конкурентов не найден</t>
  </si>
  <si>
    <t>Проверка правил нотации при вводе</t>
  </si>
  <si>
    <t>Получать подсказки об ошибках в модели</t>
  </si>
  <si>
    <t>🔲 ДОСНЯТЬ: проверка работы продуктов (тест редакторов)</t>
  </si>
  <si>
    <t>🔲 ДОСНЯТЬ: решение после проверки продуктов</t>
  </si>
  <si>
    <t>Импорт форматов PlantUML, Mermaid, D2, draw.io, BPMN XML</t>
  </si>
  <si>
    <t>Перенести существующие диаграммы</t>
  </si>
  <si>
    <t>🔲 ДОСНЯТЬ: проверка работы продуктов (Visio import найден у Lucidchart)</t>
  </si>
  <si>
    <t>Рынок обещает три вида задач: диаграммы из текста (PlantUML, Mermaid, Mermaid Chart, Eraser), рисование в редакторе (draw.io, Lucidchart, Whimsical), управление процессами (Storm); ИИ-генерация есть у 5 из 8.</t>
  </si>
  <si>
    <t>Главные страницы и страницы ИИ (01.10.2026)</t>
  </si>
  <si>
    <t>Принять</t>
  </si>
  <si>
    <t>Построение диаграммы по текстовому описанию</t>
  </si>
  <si>
    <t>ИИ-генерация диаграммы по описанию</t>
  </si>
  <si>
    <t>Обязательно</t>
  </si>
  <si>
    <t>Основа продукта</t>
  </si>
  <si>
    <t>Явные аудитории: разработчики и технические писатели (PlantUML, Mermaid), команды и бизнес-пользователи (Mermaid Chart, Lucidchart, Whimsical), процессные аналитики (Storm), инженерные команды (Eraser).</t>
  </si>
  <si>
    <t>Главные страницы, ЛР4 карточки</t>
  </si>
  <si>
    <t>Студенты и аналитики ПО</t>
  </si>
  <si>
    <t>Преподаватели и команды</t>
  </si>
  <si>
    <t>Сегмент NotaCode: студенты (Free), аналитики и разработчики (Pro)</t>
  </si>
  <si>
    <t>Родовой товар: онлайн-редактор с кодом диаграммы (PlantUML server, Mermaid Live), облачный SaaS (Mermaid Chart, Lucidchart, Eraser, Whimsical, Storm) или бесплатное приложение (draw.io).</t>
  </si>
  <si>
    <t>Страницы продуктов и тарифов</t>
  </si>
  <si>
    <t>Веб-IDE «диаграммы как код» (PWA)</t>
  </si>
  <si>
    <t>Настольный режим и отдельный сервер</t>
  </si>
  <si>
    <t>Форма поставки NotaCode - PWA</t>
  </si>
  <si>
    <t>Ожидаемый состав: UML (4 из 8), ERD (6 из 8), экспорт (8 из 8), документация (6 из 8), вход (5 из 8), шаблоны (3 из 8).</t>
  </si>
  <si>
    <t>Страницы документации и продуктов</t>
  </si>
  <si>
    <t>UML, BPMN, ERD, экспорт PNG/SVG/PDF, документация</t>
  </si>
  <si>
    <t>Шаблоны, история версий</t>
  </si>
  <si>
    <t>Включить</t>
  </si>
  <si>
    <t>IDEF0, DFD, сети Петри у конкурентов не найдены: отличие NotaCode</t>
  </si>
  <si>
    <t>Доступ: открытый код или Free-тариф у 8 из 8; вход и личный кабинет у 5 из 8; совместная работа у 6 из 8.</t>
  </si>
  <si>
    <t>Главные страницы и тарифы</t>
  </si>
  <si>
    <t>Работа в браузере без установки, Free-доступ</t>
  </si>
  <si>
    <t>Совместное редактирование</t>
  </si>
  <si>
    <t>Коллаборация - линейное требование</t>
  </si>
  <si>
    <t>Тарифы открыты у 5 из 8: Free плюс подписка 9-20 USD за пользователя в месяц (Mermaid Chart 10 и 20, Lucidchart 9 и 10, Eraser 15 и 45, Whimsical 10 и 20); цены при годовой оплате у 4 из 8.</t>
  </si>
  <si>
    <t>Страницы тарифов (01.10.2026)</t>
  </si>
  <si>
    <t>Free и Pro 40 USD в год (48 USD при 4 x 12 рядом)</t>
  </si>
  <si>
    <t>Командный тариф за пользователя</t>
  </si>
  <si>
    <t>Цена Pro ниже минимальных тарифов конкурентов (от 9 USD в месяц)</t>
  </si>
  <si>
    <t>Поддержка: документация у 6 из 8, учебный центр у Lucidchart, раздел поддержки у Whimsical; чат поддержки не проверялся.</t>
  </si>
  <si>
    <t>Страницы документации и поддержки</t>
  </si>
  <si>
    <t>Документация и примеры</t>
  </si>
  <si>
    <t>Обучающие материалы для студентов</t>
  </si>
  <si>
    <t>Документация - обязательное требование</t>
  </si>
  <si>
    <t>Расширение ценности: ИИ у 5 из 8, API у 5 из 8, интеграции у 8 из 8, история версий у 5 из 8.</t>
  </si>
  <si>
    <t>Страницы тарифов и продуктов</t>
  </si>
  <si>
    <t>Рассмотреть</t>
  </si>
  <si>
    <t>ИИ-помощник и экспорт</t>
  </si>
  <si>
    <t>API, интеграции, история версий</t>
  </si>
  <si>
    <t>ИИ - привлекательное требование</t>
  </si>
  <si>
    <t>Доверие: независимые отзывы у 7 из 8, данные о числе пользователей на сайте у 4 из 8, раздел о безопасности у 6 из 8, открытый код у 3 из 8.</t>
  </si>
  <si>
    <t>G2, Capterra, Trustpilot, страницы сайтов</t>
  </si>
  <si>
    <t>Политика конфиденциальности, примеры</t>
  </si>
  <si>
    <t>Открытый репозиторий, отзывы</t>
  </si>
  <si>
    <t>Пока продукт до MVP: отзывов нет</t>
  </si>
  <si>
    <t>Потенциал: ИИ-помощник и MCP (Storm), Lucid AI и платформа разработчика (Lucidchart), ИИ-кредиты (Mermaid Chart).</t>
  </si>
  <si>
    <t>Страницы сайтов</t>
  </si>
  <si>
    <t>Не требуется в минимальной версии</t>
  </si>
  <si>
    <t>ИИ-помощник, платформа разработчика</t>
  </si>
  <si>
    <t>Развитие после MVP</t>
  </si>
  <si>
    <t>Граница товара: у всех восьми товар - сервис или библиотека; консультации и обучение не входят в тарифы Free и Pro.</t>
  </si>
  <si>
    <t>Страницы тарифов</t>
  </si>
  <si>
    <t>Сервис без консультаций</t>
  </si>
  <si>
    <t>Платное обучение</t>
  </si>
  <si>
    <t>Консультации вне границы товара</t>
  </si>
  <si>
    <t>Рынок: цифровой товар диаграмм - онлайн-редактор или библиотека с кодом диаграммы для разработчиков и аналитиков, бесплатный доступ и платная подписка, экспорт, документация.</t>
  </si>
  <si>
    <t>Сводка по листам 03, 04, 07</t>
  </si>
  <si>
    <t>Цифровой товар NotaCode - это веб-IDE «диаграммы как код» для студентов и аналитиков ПО, который решает задачу построения и проверки диаграмм UML, BPMN, ERD, IDEF0 и DFD по текстовому описанию за счёт онлайн-редактора с экспортом, бесплатного уровня Free и подписки Pro 40 USD в год.</t>
  </si>
  <si>
    <t>Главные страницы PlantUML, Mermaid, Mermaid Chart; «Diagram-as-code» в тарифе Free Eraser; «Diagram as code» на lucid.co/lucidchart</t>
  </si>
  <si>
    <t>Признак есть у 5 из 8 конкурентов; входит в минимальный состав товара</t>
  </si>
  <si>
    <t>Открытый код или тариф Free на страницах 8 из 8 конкурентов</t>
  </si>
  <si>
    <t>Признак есть у 8 из 8 конкурентов; входит в минимальный состав товара</t>
  </si>
  <si>
    <t>Страницы тарифов Mermaid Chart, Storm, Lucidchart, Eraser, Whimsical</t>
  </si>
  <si>
    <t>Признак есть у 5 из 8 конкурентов; реализовать на уровне рынка</t>
  </si>
  <si>
    <t>Enterprise по запросу на страницах тарифов; Storm: on-prem от 990 тыс. руб. в год</t>
  </si>
  <si>
    <t>Признак есть у 4 из 8 конкурентов; не приоритет</t>
  </si>
  <si>
    <t>Цены «billed annually» (Mermaid Chart, Lucidchart, Eraser), скидка 20 % (Storm)</t>
  </si>
  <si>
    <t>Признак есть у 4 из 8 конкурентов; реализовать на уровне рынка</t>
  </si>
  <si>
    <t>FAQ Lucidchart: пробный период 7 дней</t>
  </si>
  <si>
    <t>Признак есть у 1 из 8 конкурентов; не приоритет</t>
  </si>
  <si>
    <t>Unlimited viewer seats (Mermaid Chart Premium); 100 гостей на участника (Storm); unlimited guests (Eraser, Whimsical)</t>
  </si>
  <si>
    <t>Признак есть у 4 из 8 конкурентов; кандидат на дифференциацию</t>
  </si>
  <si>
    <t>ИИ-кредиты (Mermaid Chart); ИИ-ассистент (Storm); Lucid AI; Eraser AI; ИИ в Whimsical</t>
  </si>
  <si>
    <t>Признак есть у 5 из 8 конкурентов; кандидат на дифференциацию</t>
  </si>
  <si>
    <t>Разделы и упоминания интеграций на страницах 8 из 8 конкурентов</t>
  </si>
  <si>
    <t>Признак есть у 8 из 8 конкурентов; реализовать на уровне рынка</t>
  </si>
  <si>
    <t>API Mermaid; пункт API в меню Mermaid Chart; API в Enterprise Storm; Developer platform Lucidchart; API calls Eraser</t>
  </si>
  <si>
    <t>GitHub API, 30.09.2026; лицензия Apache 2.0 у draw.io</t>
  </si>
  <si>
    <t>Признак есть у 3 из 8 конкурентов; кандидат на дифференциацию</t>
  </si>
  <si>
    <t>G2, Capterra, Trustpilot, каталоги расширений (ЛР2-3, ЛР4)</t>
  </si>
  <si>
    <t>Признак есть у 7 из 8 конкурентов; реализовать на уровне рынка</t>
  </si>
  <si>
    <t>5M человек и 200k компаний (Mermaid Chart); более 1 000 клиентов (Storm); 100M+ пользователей (draw.io); 99 % Fortune 500 (Lucidchart)</t>
  </si>
  <si>
    <t>Страница Security (Whimsical); раздел безопасности (Lucidchart, Eraser); privacy-first (draw.io)</t>
  </si>
  <si>
    <t>Признак есть у 6 из 8 конкурентов; реализовать на уровне рынка</t>
  </si>
  <si>
    <t>SSO или SAML в старших тарифах</t>
  </si>
  <si>
    <t>Признак есть у 5 из 8 конкурентов; не приоритет</t>
  </si>
  <si>
    <t>Ссылки на вход на главных страницах</t>
  </si>
  <si>
    <t>100 шаблонов в Free и более 1 000 в платных тарифах (Lucidchart); раздел шаблонов Eraser и Whimsical</t>
  </si>
  <si>
    <t>Признак есть у 3 из 8 конкурентов; реализовать на уровне рынка</t>
  </si>
  <si>
    <t>Real-time collaboration (draw.io, Lucidchart, Whimsical); совместное редактирование в браузере (Storm); Co-editing (Mermaid Chart)</t>
  </si>
  <si>
    <t>Экспорт упомянут на страницах 8 из 8 конкурентов (PNG, SVG, PDF, DOCX у Storm, Visio у Lucidchart)</t>
  </si>
  <si>
    <t>7 и 90 дней (Eraser, Whimsical); Revision history (Lucidchart Team); версионирование (меню Storm)</t>
  </si>
  <si>
    <t>PlantUML Language Reference Guide; Mermaid User Guide; docs.mermaidchart.com; docs.eraser.io; Learning center Lucidchart</t>
  </si>
  <si>
    <t>Признак есть у 6 из 8 конкурентов; входит в минимальный состав товара</t>
  </si>
  <si>
    <t>Страницы class-diagram (PlantUML, Mermaid); UML в описании draw.io; UML-шаблоны Lucidchart</t>
  </si>
  <si>
    <t>Признак есть у 4 из 8 конкурентов; входит в минимальный состав товара</t>
  </si>
  <si>
    <t>Редактор BPMN 2.0 (Storm); BPMN-шаблон (Lucidchart); упоминание BPMN на сайте Eraser</t>
  </si>
  <si>
    <t>Страницы entityRelationshipDiagram (Mermaid), ie-diagram (PlantUML); ER в описании draw.io; ERD markup (Lucidchart)</t>
  </si>
  <si>
    <t>Страницы running и download (PlantUML); библиотека Mermaid; on-prem (Storm); Flexible deployments (Eraser Enterprise)</t>
  </si>
  <si>
    <t>Загрузка PlantUML; drawio-desktop (GitHub); Desktop app в таблице тарифов Whimsical</t>
  </si>
  <si>
    <t>Признак есть у 3 из 8 конкурентов; не приоритет</t>
  </si>
  <si>
    <t>Сайт и тарифы Storm на русском языке, цены в рублях</t>
  </si>
  <si>
    <t>Признак есть у 1 из 8 конкурентов; кандидат на дифференциацию</t>
  </si>
  <si>
    <t>MCP-интеграция (Storm); метки NEW: Lucid AI, Developer platform (Lucidchart); ИИ-кредиты (Mermaid Chart); AI-first (Eraser)</t>
  </si>
  <si>
    <t>ИИ-генерация и diagram-as-code в одном продукте</t>
  </si>
  <si>
    <t>«AI for diagrams that matter»; тариф Free включает diagram-as-code и 3 ИИ-диаграммы (eraser.io, 01.10.2026)</t>
  </si>
  <si>
    <t>Девять модулей процессного управления и русскоязычный рынок с тарифами в рублях</t>
  </si>
  <si>
    <t>stormbpmn.com и /pricing, 01.10.2026; Россия 62,99 % трафика</t>
  </si>
  <si>
    <t>Глубина товара и масштаб: 100 шаблонов в Free, Visio import, SAML, Fortune 500</t>
  </si>
  <si>
    <t>lucid.app/pricing/lucidchart и lucid.co/lucidchart, 01.10.2026</t>
  </si>
  <si>
    <t>Бесплатное приложение без enterprise-тарифа, privacy-first, 100M+ пользователей</t>
  </si>
  <si>
    <t>drawio.com, 01.10.2026; GitHub (ЛР4)</t>
  </si>
  <si>
    <t>Открытая экосистема интеграций и крупнейшее сообщество (90 489 звёзд)</t>
  </si>
  <si>
    <t>mermaid.js.org/ecosystem; GitHub (ЛР4)</t>
  </si>
  <si>
    <t>Широкий набор UML-диаграмм и запуск на собственном сервере</t>
  </si>
  <si>
    <t>plantuml.com/running и /class-diagram, 01.10.2026</t>
  </si>
  <si>
    <t>Прозрачные тарифы и зрители без оплаты в Premium</t>
  </si>
  <si>
    <t>mermaid.ai/pricing, 01.10.2026</t>
  </si>
  <si>
    <t>Неограниченные гости и зрители на всех тарифах</t>
  </si>
  <si>
    <t>whimsical.com/pricing, 01.10.2026</t>
  </si>
  <si>
    <t>Минимальный состав: бесплатный доступ (8 из 8), экспорт (8 из 8), интеграции (8 из 8), UML (4 из 8), ERD (6 из 8), документация (6 из 8), открытая страница тарифов (5 из 8).</t>
  </si>
  <si>
    <t>Нельзя игнорировать: Free-тариф, экспорт, понятные тарифы с ценой за пользователя в месяц, документация, ИИ-генерация (5 из 8) и интеграции.</t>
  </si>
  <si>
    <t>Зоны дифференциации NotaCode: IDEF0, DFD и сети Петри на просмотренных сайтах не найдены; полный набор UML, BPMN, ERD найден только у Lucidchart; тарифы в рублях - только у Storm.</t>
  </si>
  <si>
    <t>Лучшие практики: прозрачные тарифы с ИИ-лимитами (Eraser, Mermaid Chart), шаблоны в бесплатном тарифе (Lucidchart), зрители без оплаты (Whimsical, Mermaid Chart), открытая экосистема (Mermaid).</t>
  </si>
  <si>
    <t>Риск: копировать тарифы за пользователя без проверки спроса студентов; цена Pro 40 USD в год ниже минимальных тарифов конкурентов (от 9 USD в месяц), её нужно подтвердить опросом.</t>
  </si>
  <si>
    <t>Журнал рабочей копии: источники, правила, ограничения</t>
  </si>
  <si>
    <t>Код</t>
  </si>
  <si>
    <t>Содержание</t>
  </si>
  <si>
    <t>Исправление шаблона</t>
  </si>
  <si>
    <t>Д-1</t>
  </si>
  <si>
    <t>Лист 06_Сравнение, строки 90 и 91 (итоговый балл и интерпретация): формулы столбцов F-L ссылались на столбец E (баллы C01), поэтому итог был одинаковым (3,28) у всех конкурентов. Ссылки заменены на собственные столбцы (E-L); логика формулы сохранена.</t>
  </si>
  <si>
    <t>Д-2</t>
  </si>
  <si>
    <t>Лист 06_Сравнение, столбец O (Лидер) в пустых строках P26-P80: MAX пустого диапазона даёт 0, MATCH не находит значение, результат #Н/Д. Формула обёрнута в IFERROR (при пустых баллах - пустая ячейка).</t>
  </si>
  <si>
    <t>Источники</t>
  </si>
  <si>
    <t>И-1</t>
  </si>
  <si>
    <t>Страницы 8 конкурентов (главные, тарифы, документация, интеграции, шаблоны, безопасность, блог): автоматическое извлечение текста 01.10.2026 (Материалы_собранные/sajty_konkurentov_stranicy_2026-10-01.json) и чтение во встроенном браузере (Lucidchart, тарифы Mermaid Chart); данные ЛР1-ЛР4 от 30.09.2026.</t>
  </si>
  <si>
    <t>Выборка</t>
  </si>
  <si>
    <t>В-1</t>
  </si>
  <si>
    <t>8 компаний из 22 части A (поле «Переходит в части B и C»). Тип конкурента - итоговый уровень из части A.</t>
  </si>
  <si>
    <t>Правило</t>
  </si>
  <si>
    <t>П-1</t>
  </si>
  <si>
    <t>Признак засчитывается, если он найден на просмотренных страницах; отсутствие на просмотренных страницах не доказывает отсутствия у продукта (значения занижают долю).</t>
  </si>
  <si>
    <t>П-2</t>
  </si>
  <si>
    <t>Достоверность в 02_Карта_сайтов: 5 - страница прочитана целиком (тарифы, Lucidchart, Mermaid Chart) или данные GitHub API; 4 - автоматическое извлечение текста.</t>
  </si>
  <si>
    <t>П-3</t>
  </si>
  <si>
    <t>03_Левитт: сила реализации 3, если признак явно описан на странице (цена, тариф, функция), 2 - найден по ключевым словам; понятность 3 для SaaS-сайтов с отдельными разделами, 2 для остальных; влияние на ценность 1-5 - по типу признака.</t>
  </si>
  <si>
    <t>П-4</t>
  </si>
  <si>
    <t>Категории Кано присвоены экспертно (по распространённости и роли признака для студентов и аналитиков ПО); опрос по методу Кано не проводился. Требования без данных помечены «Неясное».</t>
  </si>
  <si>
    <t>П-5</t>
  </si>
  <si>
    <t>06_Сравнение: баллы 0-5 по 25 критериям поставлены по просмотренным страницам; пусто - критерий не подтверждён страницами. Итог - взвешенный балл шаблона.</t>
  </si>
  <si>
    <t>П-6</t>
  </si>
  <si>
    <t>08_Преимущества: редкость, сила, ценность и качество доказательства - экспертные оценки 1-5 по просмотренным страницам и данным ЛР4.</t>
  </si>
  <si>
    <t>Нормы дашборда</t>
  </si>
  <si>
    <t>К-1</t>
  </si>
  <si>
    <t>Страниц: 40 (норма 30+); признаков по Левитту: 153 (норма 40+); требований по Кано: 33 (норма 25+).</t>
  </si>
  <si>
    <t>Итог сравнения</t>
  </si>
  <si>
    <t>К-2</t>
  </si>
  <si>
    <t>Итоговые баллы: Lucidchart 4,64; Mermaid Chart 4,48; Eraser 4,46; Storm (StormBPMN) 4,26; Whimsical 4,05; draw.io (diagrams.net) 4,01; Mermaid (библиотека) 3,35; PlantUML 3,28.</t>
  </si>
  <si>
    <t>Ограничения</t>
  </si>
  <si>
    <t>О-1</t>
  </si>
  <si>
    <t>Оценки экспертные; страницы просмотрены с одного устройства. 🔲 ДОСНЯТЬ: проверка работы продуктов (проверка правил нотации, импорт форматов), опрос для категорий Кано.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</si>
</sst>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font>
      <sz val="11"/>
      <name val="Carlito"/>
    </font>
    <font>
      <b/>
      <sz val="16"/>
      <color rgb="FFFFFFFF"/>
      <name val="Carlito"/>
    </font>
    <font>
      <sz val="10"/>
      <color rgb="FF111827"/>
      <name val="Carlito"/>
    </font>
    <font>
      <b/>
      <sz val="10"/>
      <color rgb="FFFFFFFF"/>
      <name val="Carlito"/>
    </font>
    <font>
      <sz val="10"/>
      <color rgb="FF111827"/>
      <name val="Carlito"/>
    </font>
    <font>
      <b/>
      <sz val="11"/>
      <color rgb="FFFFFFFF"/>
      <name val="Carlito"/>
    </font>
    <font>
      <b/>
      <sz val="10"/>
      <color rgb="FF1E3A8A"/>
      <name val="Carlito"/>
    </font>
    <font>
      <b/>
      <sz val="10"/>
      <color rgb="FF111827"/>
      <name val="Carlito"/>
    </font>
    <font>
      <b/>
      <sz val="12"/>
      <color rgb="FF111827"/>
      <name val="Carlito"/>
    </font>
    <font>
      <sz val="10"/>
      <name val="Carlito"/>
    </font>
    <font>
      <b/>
      <sz val="12"/>
      <name val="Carlito"/>
    </font>
    <font>
      <sz val="11"/>
      <name val="Carlito"/>
    </font>
    <font>
      <b/>
      <sz val="10"/>
      <name val="Carlito"/>
      <charset val="204"/>
    </font>
    <font>
      <b/>
      <sz val="12"/>
      <name val="Carlito"/>
      <charset val="204"/>
    </font>
  </fonts>
  <fills count="10">
    <fill>
      <patternFill patternType="none"/>
    </fill>
    <fill>
      <patternFill patternType="gray125"/>
    </fill>
    <fill>
      <patternFill patternType="solid">
        <fgColor rgb="FF1F4E5F"/>
      </patternFill>
    </fill>
    <fill>
      <patternFill patternType="solid">
        <fgColor rgb="FFCCFBF1"/>
      </patternFill>
    </fill>
    <fill>
      <patternFill patternType="solid">
        <fgColor rgb="FF0F766E"/>
      </patternFill>
    </fill>
    <fill>
      <patternFill patternType="solid">
        <fgColor rgb="FFEEF2FF"/>
      </patternFill>
    </fill>
    <fill>
      <patternFill patternType="solid">
        <fgColor rgb="FFDBEAFE"/>
      </patternFill>
    </fill>
    <fill>
      <patternFill patternType="solid">
        <fgColor rgb="FFDCFCE7"/>
      </patternFill>
    </fill>
    <fill>
      <patternFill patternType="solid">
        <fgColor rgb="FFFAFAFA"/>
      </patternFill>
    </fill>
    <fill>
      <patternFill patternType="solid">
        <fgColor rgb="FFF2F2F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21">
    <xf numFmtId="0" fontId="0" fillId="0" borderId="0" xfId="0"/>
    <xf numFmtId="0" fontId="3" fillId="4" borderId="0" xfId="1" applyFont="1" applyFill="1" applyAlignment="1">
      <alignment horizontal="center" vertical="center" wrapText="1"/>
    </xf>
    <xf numFmtId="0" fontId="4" fillId="0" borderId="0" xfId="1" applyFont="1" applyAlignment="1">
      <alignment vertical="top" wrapText="1"/>
    </xf>
    <xf numFmtId="0" fontId="6" fillId="5" borderId="0" xfId="1" applyFont="1" applyFill="1" applyAlignment="1">
      <alignment vertical="top" wrapText="1"/>
    </xf>
    <xf numFmtId="164" fontId="4" fillId="0" borderId="0" xfId="1" applyNumberFormat="1" applyFont="1" applyAlignment="1">
      <alignment vertical="top" wrapText="1"/>
    </xf>
    <xf numFmtId="9" fontId="4" fillId="0" borderId="0" xfId="1" applyNumberFormat="1" applyFont="1" applyAlignment="1">
      <alignment vertical="top" wrapText="1"/>
    </xf>
    <xf numFmtId="0" fontId="5" fillId="2" borderId="0" xfId="1" applyFont="1" applyFill="1" applyAlignment="1">
      <alignment horizontal="center"/>
    </xf>
    <xf numFmtId="0" fontId="7" fillId="2" borderId="0" xfId="1" applyFont="1" applyFill="1" applyAlignment="1">
      <alignment horizontal="center" vertical="top" wrapText="1"/>
    </xf>
    <xf numFmtId="0" fontId="8" fillId="6" borderId="0" xfId="1" applyFont="1" applyFill="1" applyAlignment="1">
      <alignment horizontal="center" vertical="top" wrapText="1"/>
    </xf>
    <xf numFmtId="0" fontId="9" fillId="0" borderId="0" xfId="1" applyFont="1" applyAlignment="1">
      <alignment horizontal="center" wrapText="1"/>
    </xf>
    <xf numFmtId="0" fontId="10" fillId="7" borderId="0" xfId="1" applyFont="1" applyFill="1" applyAlignment="1">
      <alignment horizontal="center" wrapText="1"/>
    </xf>
    <xf numFmtId="0" fontId="7" fillId="3" borderId="0" xfId="1" applyFont="1" applyFill="1" applyAlignment="1">
      <alignment vertical="top" wrapText="1"/>
    </xf>
    <xf numFmtId="0" fontId="1" fillId="2" borderId="0" xfId="1" applyFont="1" applyFill="1" applyAlignment="1">
      <alignment horizontal="left" vertical="center" wrapText="1"/>
    </xf>
    <xf numFmtId="0" fontId="1" fillId="2" borderId="0" xfId="1" applyFont="1" applyFill="1" applyAlignment="1">
      <alignment horizontal="left" vertical="center"/>
    </xf>
    <xf numFmtId="0" fontId="2" fillId="3" borderId="0" xfId="1" applyFont="1" applyFill="1" applyAlignment="1">
      <alignment horizontal="left" vertical="center" wrapText="1"/>
    </xf>
    <xf numFmtId="0" fontId="5" fillId="2" borderId="0" xfId="1" applyFont="1" applyFill="1"/>
    <xf numFmtId="0" fontId="4" fillId="8" borderId="0" xfId="1" applyFont="1" applyFill="1" applyAlignment="1">
      <alignment vertical="top" wrapText="1"/>
    </xf>
    <xf numFmtId="0" fontId="9" fillId="0" borderId="0" xfId="0" applyFont="1"/>
    <xf numFmtId="0" fontId="13" fillId="0" borderId="0" xfId="0" applyFont="1"/>
    <xf numFmtId="0" fontId="12" fillId="9" borderId="1" xfId="0" applyFont="1" applyFill="1" applyBorder="1"/>
    <xf numFmtId="0" fontId="9" fillId="0" borderId="1" xfId="0" applyFont="1" applyBorder="1" applyAlignment="1">
      <alignment vertical="top"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t>Распределение требований по Кано</a:t>
            </a:r>
          </a:p>
        </c:rich>
      </c:tx>
      <c:overlay val="0"/>
    </c:title>
    <c:autoTitleDeleted val="0"/>
    <c:plotArea>
      <c:layout/>
      <c:barChart>
        <c:barDir val="col"/>
        <c:grouping val="clustered"/>
        <c:varyColors val="0"/>
        <c:ser>
          <c:idx val="0"/>
          <c:order val="0"/>
          <c:tx>
            <c:v>Количество</c:v>
          </c:tx>
          <c:invertIfNegative val="1"/>
          <c:cat>
            <c:strRef>
              <c:f>'09_Дашборд'!$F$5:$F$10</c:f>
              <c:strCache>
                <c:ptCount val="6"/>
                <c:pt idx="0">
                  <c:v>Обязательное</c:v>
                </c:pt>
                <c:pt idx="1">
                  <c:v>Линейное</c:v>
                </c:pt>
                <c:pt idx="2">
                  <c:v>Привлекательное</c:v>
                </c:pt>
                <c:pt idx="3">
                  <c:v>Безразличное</c:v>
                </c:pt>
                <c:pt idx="4">
                  <c:v>Обратное</c:v>
                </c:pt>
                <c:pt idx="5">
                  <c:v>Неясное</c:v>
                </c:pt>
              </c:strCache>
            </c:strRef>
          </c:cat>
          <c:val>
            <c:numRef>
              <c:f>'09_Дашборд'!$G$5:$G$10</c:f>
              <c:numCache>
                <c:formatCode>General</c:formatCode>
                <c:ptCount val="6"/>
                <c:pt idx="0">
                  <c:v>7</c:v>
                </c:pt>
                <c:pt idx="1">
                  <c:v>11</c:v>
                </c:pt>
                <c:pt idx="2">
                  <c:v>9</c:v>
                </c:pt>
                <c:pt idx="3">
                  <c:v>4</c:v>
                </c:pt>
                <c:pt idx="4">
                  <c:v>0</c:v>
                </c:pt>
                <c:pt idx="5">
                  <c:v>2</c:v>
                </c:pt>
              </c:numCache>
            </c:numRef>
          </c:val>
          <c:extLst>
            <c:ext xmlns:c16="http://schemas.microsoft.com/office/drawing/2014/chart" uri="{C3380CC4-5D6E-409C-BE32-E72D297353CC}">
              <c16:uniqueId val="{00000000-8345-4950-8C7C-DDD38C99B4A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c:style val="2"/>
  <c:chart>
    <c:title>
      <c:tx>
        <c:rich>
          <a:bodyPr/>
          <a:lstStyle/>
          <a:p>
            <a:r>
              <a:t>Итоговые баллы конкурентов</a:t>
            </a:r>
          </a:p>
        </c:rich>
      </c:tx>
      <c:overlay val="0"/>
    </c:title>
    <c:autoTitleDeleted val="0"/>
    <c:plotArea>
      <c:layout/>
      <c:barChart>
        <c:barDir val="col"/>
        <c:grouping val="clustered"/>
        <c:varyColors val="0"/>
        <c:ser>
          <c:idx val="0"/>
          <c:order val="0"/>
          <c:tx>
            <c:v>C02</c:v>
          </c:tx>
          <c:invertIfNegative val="1"/>
          <c:cat>
            <c:numRef>
              <c:f>'09_Дашборд'!$A$16</c:f>
              <c:numCache>
                <c:formatCode>General</c:formatCode>
                <c:ptCount val="1"/>
                <c:pt idx="0">
                  <c:v>3.28</c:v>
                </c:pt>
              </c:numCache>
            </c:numRef>
          </c:cat>
          <c:val>
            <c:numRef>
              <c:f>'09_Дашборд'!$B$16</c:f>
              <c:numCache>
                <c:formatCode>General</c:formatCode>
                <c:ptCount val="1"/>
                <c:pt idx="0">
                  <c:v>3.35</c:v>
                </c:pt>
              </c:numCache>
            </c:numRef>
          </c:val>
          <c:extLst>
            <c:ext xmlns:c16="http://schemas.microsoft.com/office/drawing/2014/chart" uri="{C3380CC4-5D6E-409C-BE32-E72D297353CC}">
              <c16:uniqueId val="{00000000-896C-40E1-8001-A99EFCE1E2ED}"/>
            </c:ext>
          </c:extLst>
        </c:ser>
        <c:ser>
          <c:idx val="1"/>
          <c:order val="1"/>
          <c:tx>
            <c:v>C03</c:v>
          </c:tx>
          <c:invertIfNegative val="1"/>
          <c:cat>
            <c:numRef>
              <c:f>'09_Дашборд'!$A$16</c:f>
              <c:numCache>
                <c:formatCode>General</c:formatCode>
                <c:ptCount val="1"/>
                <c:pt idx="0">
                  <c:v>3.28</c:v>
                </c:pt>
              </c:numCache>
            </c:numRef>
          </c:cat>
          <c:val>
            <c:numRef>
              <c:f>'09_Дашборд'!$C$16</c:f>
              <c:numCache>
                <c:formatCode>General</c:formatCode>
                <c:ptCount val="1"/>
                <c:pt idx="0">
                  <c:v>4.4800000000000004</c:v>
                </c:pt>
              </c:numCache>
            </c:numRef>
          </c:val>
          <c:extLst>
            <c:ext xmlns:c16="http://schemas.microsoft.com/office/drawing/2014/chart" uri="{C3380CC4-5D6E-409C-BE32-E72D297353CC}">
              <c16:uniqueId val="{00000001-896C-40E1-8001-A99EFCE1E2ED}"/>
            </c:ext>
          </c:extLst>
        </c:ser>
        <c:ser>
          <c:idx val="2"/>
          <c:order val="2"/>
          <c:tx>
            <c:v>C04</c:v>
          </c:tx>
          <c:invertIfNegative val="1"/>
          <c:cat>
            <c:numRef>
              <c:f>'09_Дашборд'!$A$16</c:f>
              <c:numCache>
                <c:formatCode>General</c:formatCode>
                <c:ptCount val="1"/>
                <c:pt idx="0">
                  <c:v>3.28</c:v>
                </c:pt>
              </c:numCache>
            </c:numRef>
          </c:cat>
          <c:val>
            <c:numRef>
              <c:f>'09_Дашборд'!$D$16</c:f>
              <c:numCache>
                <c:formatCode>General</c:formatCode>
                <c:ptCount val="1"/>
                <c:pt idx="0">
                  <c:v>4.26</c:v>
                </c:pt>
              </c:numCache>
            </c:numRef>
          </c:val>
          <c:extLst>
            <c:ext xmlns:c16="http://schemas.microsoft.com/office/drawing/2014/chart" uri="{C3380CC4-5D6E-409C-BE32-E72D297353CC}">
              <c16:uniqueId val="{00000002-896C-40E1-8001-A99EFCE1E2ED}"/>
            </c:ext>
          </c:extLst>
        </c:ser>
        <c:ser>
          <c:idx val="3"/>
          <c:order val="3"/>
          <c:tx>
            <c:v>C05</c:v>
          </c:tx>
          <c:invertIfNegative val="1"/>
          <c:cat>
            <c:numRef>
              <c:f>'09_Дашборд'!$A$16</c:f>
              <c:numCache>
                <c:formatCode>General</c:formatCode>
                <c:ptCount val="1"/>
                <c:pt idx="0">
                  <c:v>3.28</c:v>
                </c:pt>
              </c:numCache>
            </c:numRef>
          </c:cat>
          <c:val>
            <c:numRef>
              <c:f>'09_Дашборд'!$E$16</c:f>
              <c:numCache>
                <c:formatCode>General</c:formatCode>
                <c:ptCount val="1"/>
                <c:pt idx="0">
                  <c:v>4.01</c:v>
                </c:pt>
              </c:numCache>
            </c:numRef>
          </c:val>
          <c:extLst>
            <c:ext xmlns:c16="http://schemas.microsoft.com/office/drawing/2014/chart" uri="{C3380CC4-5D6E-409C-BE32-E72D297353CC}">
              <c16:uniqueId val="{00000003-896C-40E1-8001-A99EFCE1E2ED}"/>
            </c:ext>
          </c:extLst>
        </c:ser>
        <c:ser>
          <c:idx val="4"/>
          <c:order val="4"/>
          <c:tx>
            <c:v>C06</c:v>
          </c:tx>
          <c:invertIfNegative val="1"/>
          <c:cat>
            <c:numRef>
              <c:f>'09_Дашборд'!$A$16</c:f>
              <c:numCache>
                <c:formatCode>General</c:formatCode>
                <c:ptCount val="1"/>
                <c:pt idx="0">
                  <c:v>3.28</c:v>
                </c:pt>
              </c:numCache>
            </c:numRef>
          </c:cat>
          <c:val>
            <c:numRef>
              <c:f>'09_Дашборд'!$F$16</c:f>
              <c:numCache>
                <c:formatCode>General</c:formatCode>
                <c:ptCount val="1"/>
                <c:pt idx="0">
                  <c:v>4.6399999999999997</c:v>
                </c:pt>
              </c:numCache>
            </c:numRef>
          </c:val>
          <c:extLst>
            <c:ext xmlns:c16="http://schemas.microsoft.com/office/drawing/2014/chart" uri="{C3380CC4-5D6E-409C-BE32-E72D297353CC}">
              <c16:uniqueId val="{00000004-896C-40E1-8001-A99EFCE1E2ED}"/>
            </c:ext>
          </c:extLst>
        </c:ser>
        <c:ser>
          <c:idx val="5"/>
          <c:order val="5"/>
          <c:tx>
            <c:v>C07</c:v>
          </c:tx>
          <c:invertIfNegative val="1"/>
          <c:cat>
            <c:numRef>
              <c:f>'09_Дашборд'!$A$16</c:f>
              <c:numCache>
                <c:formatCode>General</c:formatCode>
                <c:ptCount val="1"/>
                <c:pt idx="0">
                  <c:v>3.28</c:v>
                </c:pt>
              </c:numCache>
            </c:numRef>
          </c:cat>
          <c:val>
            <c:numRef>
              <c:f>'09_Дашборд'!$G$16</c:f>
              <c:numCache>
                <c:formatCode>General</c:formatCode>
                <c:ptCount val="1"/>
                <c:pt idx="0">
                  <c:v>4.46</c:v>
                </c:pt>
              </c:numCache>
            </c:numRef>
          </c:val>
          <c:extLst>
            <c:ext xmlns:c16="http://schemas.microsoft.com/office/drawing/2014/chart" uri="{C3380CC4-5D6E-409C-BE32-E72D297353CC}">
              <c16:uniqueId val="{00000005-896C-40E1-8001-A99EFCE1E2ED}"/>
            </c:ext>
          </c:extLst>
        </c:ser>
        <c:ser>
          <c:idx val="6"/>
          <c:order val="6"/>
          <c:tx>
            <c:v>C08</c:v>
          </c:tx>
          <c:invertIfNegative val="1"/>
          <c:cat>
            <c:numRef>
              <c:f>'09_Дашборд'!$A$16</c:f>
              <c:numCache>
                <c:formatCode>General</c:formatCode>
                <c:ptCount val="1"/>
                <c:pt idx="0">
                  <c:v>3.28</c:v>
                </c:pt>
              </c:numCache>
            </c:numRef>
          </c:cat>
          <c:val>
            <c:numRef>
              <c:f>'09_Дашборд'!$H$16</c:f>
              <c:numCache>
                <c:formatCode>General</c:formatCode>
                <c:ptCount val="1"/>
                <c:pt idx="0">
                  <c:v>4.05</c:v>
                </c:pt>
              </c:numCache>
            </c:numRef>
          </c:val>
          <c:extLst>
            <c:ext xmlns:c16="http://schemas.microsoft.com/office/drawing/2014/chart" uri="{C3380CC4-5D6E-409C-BE32-E72D297353CC}">
              <c16:uniqueId val="{00000006-896C-40E1-8001-A99EFCE1E2E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11</xdr:row>
      <xdr:rowOff>0</xdr:rowOff>
    </xdr:from>
    <xdr:to>
      <xdr:col>12</xdr:col>
      <xdr:colOff>0</xdr:colOff>
      <xdr:row>27</xdr:row>
      <xdr:rowOff>0</xdr:rowOff>
    </xdr:to>
    <xdr:graphicFrame macro="">
      <xdr:nvGraphicFramePr>
        <xdr:cNvPr id="2" name="Chart">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8</xdr:col>
      <xdr:colOff>0</xdr:colOff>
      <xdr:row>43</xdr:row>
      <xdr:rowOff>0</xdr:rowOff>
    </xdr:to>
    <xdr:graphicFrame macro="">
      <xdr:nvGraphicFramePr>
        <xdr:cNvPr id="3" name="Chart">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etitorsTable" displayName="CompetitorsTable" ref="A6:K36">
  <tableColumns count="11">
    <tableColumn id="1" xr3:uid="{00000000-0010-0000-0000-000001000000}" name="ID"/>
    <tableColumn id="2" xr3:uid="{00000000-0010-0000-0000-000002000000}" name="Наименование конкурента"/>
    <tableColumn id="3" xr3:uid="{00000000-0010-0000-0000-000003000000}" name="Сайт"/>
    <tableColumn id="4" xr3:uid="{00000000-0010-0000-0000-000004000000}" name="Страна/рынок"/>
    <tableColumn id="5" xr3:uid="{00000000-0010-0000-0000-000005000000}" name="Тип конкурента"/>
    <tableColumn id="6" xr3:uid="{00000000-0010-0000-0000-000006000000}" name="Сегмент аудитории"/>
    <tableColumn id="7" xr3:uid="{00000000-0010-0000-0000-000007000000}" name="Модель монетизации"/>
    <tableColumn id="8" xr3:uid="{00000000-0010-0000-0000-000008000000}" name="Цифровой товар по сайту"/>
    <tableColumn id="9" xr3:uid="{00000000-0010-0000-0000-000009000000}" name="Приоритет анализа"/>
    <tableColumn id="10" xr3:uid="{00000000-0010-0000-0000-00000A000000}" name="Статус"/>
    <tableColumn id="11" xr3:uid="{00000000-0010-0000-0000-00000B000000}" name="Комментарий"/>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iteMapTable" displayName="SiteMapTable" ref="A6:J206">
  <tableColumns count="10">
    <tableColumn id="1" xr3:uid="{00000000-0010-0000-0100-000001000000}" name="ID конкурента"/>
    <tableColumn id="2" xr3:uid="{00000000-0010-0000-0100-000002000000}" name="Раздел/страница"/>
    <tableColumn id="3" xr3:uid="{00000000-0010-0000-0100-000003000000}" name="URL"/>
    <tableColumn id="4" xr3:uid="{00000000-0010-0000-0100-000004000000}" name="Тип страницы"/>
    <tableColumn id="5" xr3:uid="{00000000-0010-0000-0100-000005000000}" name="Цель анализа"/>
    <tableColumn id="6" xr3:uid="{00000000-0010-0000-0100-000006000000}" name="Что извлекаем"/>
    <tableColumn id="7" xr3:uid="{00000000-0010-0000-0100-000007000000}" name="Дата просмотра"/>
    <tableColumn id="8" xr3:uid="{00000000-0010-0000-0100-000008000000}" name="Скриншот/архив"/>
    <tableColumn id="9" xr3:uid="{00000000-0010-0000-0100-000009000000}" name="Достоверность 1–5"/>
    <tableColumn id="10" xr3:uid="{00000000-0010-0000-0100-00000A000000}" name="Краткий вывод"/>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evittTable" displayName="LevittTable" ref="A6:N306">
  <tableColumns count="14">
    <tableColumn id="1" xr3:uid="{00000000-0010-0000-0200-000001000000}" name="ID конкурента"/>
    <tableColumn id="2" xr3:uid="{00000000-0010-0000-0200-000002000000}" name="Товар/предложение"/>
    <tableColumn id="3" xr3:uid="{00000000-0010-0000-0200-000003000000}" name="URL/страница"/>
    <tableColumn id="4" xr3:uid="{00000000-0010-0000-0200-000004000000}" name="Уровень товара по Левитту"/>
    <tableColumn id="5" xr3:uid="{00000000-0010-0000-0200-000005000000}" name="Элемент товара / признак"/>
    <tableColumn id="6" xr3:uid="{00000000-0010-0000-0200-000006000000}" name="Как проявлен на сайте"/>
    <tableColumn id="7" xr3:uid="{00000000-0010-0000-0200-000007000000}" name="Доказательство"/>
    <tableColumn id="8" xr3:uid="{00000000-0010-0000-0200-000008000000}" name="Наличие 0/1"/>
    <tableColumn id="9" xr3:uid="{00000000-0010-0000-0200-000009000000}" name="Сила реализации 0–3"/>
    <tableColumn id="10" xr3:uid="{00000000-0010-0000-0200-00000A000000}" name="Понятность 0–3"/>
    <tableColumn id="11" xr3:uid="{00000000-0010-0000-0200-00000B000000}" name="Влияние на ценность 1–5"/>
    <tableColumn id="12" xr3:uid="{00000000-0010-0000-0200-00000C000000}" name="Оценка признака"/>
    <tableColumn id="13" xr3:uid="{00000000-0010-0000-0200-00000D000000}" name="Роль признака"/>
    <tableColumn id="14" xr3:uid="{00000000-0010-0000-0200-00000E000000}" name="Примечание"/>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anoTable" displayName="KanoTable" ref="A6:M206">
  <tableColumns count="13">
    <tableColumn id="1" xr3:uid="{00000000-0010-0000-0300-000001000000}" name="ID требования"/>
    <tableColumn id="2" xr3:uid="{00000000-0010-0000-0300-000002000000}" name="Функция / признак товара"/>
    <tableColumn id="3" xr3:uid="{00000000-0010-0000-0300-000003000000}" name="Пользовательская задача"/>
    <tableColumn id="4" xr3:uid="{00000000-0010-0000-0300-000004000000}" name="Доказательства с сайтов"/>
    <tableColumn id="5" xr3:uid="{00000000-0010-0000-0300-000005000000}" name="Категория Кано"/>
    <tableColumn id="6" xr3:uid="{00000000-0010-0000-0300-000006000000}" name="Вес 1–5"/>
    <tableColumn id="7" xr3:uid="{00000000-0010-0000-0300-000007000000}" name="Кол-во конкурентов с признаком"/>
    <tableColumn id="8" xr3:uid="{00000000-0010-0000-0300-000008000000}" name="Доля конкурентов"/>
    <tableColumn id="9" xr3:uid="{00000000-0010-0000-0300-000009000000}" name="Средняя сила реализации 0–5"/>
    <tableColumn id="10" xr3:uid="{00000000-0010-0000-0300-00000A000000}" name="Интерпретация"/>
    <tableColumn id="11" xr3:uid="{00000000-0010-0000-0300-00000B000000}" name="Решение для своего товара"/>
    <tableColumn id="12" xr3:uid="{00000000-0010-0000-0300-00000C000000}" name="Ответственный"/>
    <tableColumn id="13" xr3:uid="{00000000-0010-0000-0300-00000D000000}" name="Примечание"/>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ductMatrixTable" displayName="ProductMatrixTable" ref="A6:L56">
  <tableColumns count="12">
    <tableColumn id="1" xr3:uid="{00000000-0010-0000-0400-000001000000}" name="Блок определения"/>
    <tableColumn id="2" xr3:uid="{00000000-0010-0000-0400-000002000000}" name="Вопрос для анализа"/>
    <tableColumn id="3" xr3:uid="{00000000-0010-0000-0400-000003000000}" name="Вывод по рынку"/>
    <tableColumn id="4" xr3:uid="{00000000-0010-0000-0400-000004000000}" name="Доказательства"/>
    <tableColumn id="5" xr3:uid="{00000000-0010-0000-0400-000005000000}" name="Связь с Левиттом"/>
    <tableColumn id="6" xr3:uid="{00000000-0010-0000-0400-000006000000}" name="Связь с Кано"/>
    <tableColumn id="7" xr3:uid="{00000000-0010-0000-0400-000007000000}" name="Статус для своего товара"/>
    <tableColumn id="8" xr3:uid="{00000000-0010-0000-0400-000008000000}" name="Минимальная реализация"/>
    <tableColumn id="9" xr3:uid="{00000000-0010-0000-0400-000009000000}" name="Расширенная реализация"/>
    <tableColumn id="10" xr3:uid="{00000000-0010-0000-0400-00000A000000}" name="Риск исключения"/>
    <tableColumn id="11" xr3:uid="{00000000-0010-0000-0400-00000B000000}" name="Решение"/>
    <tableColumn id="12" xr3:uid="{00000000-0010-0000-0400-00000C000000}" name="Комментарий"/>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parisonTable" displayName="ComparisonTable" ref="A6:O86">
  <tableColumns count="15">
    <tableColumn id="1" xr3:uid="{00000000-0010-0000-0500-000001000000}" name="ID критерия"/>
    <tableColumn id="2" xr3:uid="{00000000-0010-0000-0500-000002000000}" name="Группа"/>
    <tableColumn id="3" xr3:uid="{00000000-0010-0000-0500-000003000000}" name="Критерий"/>
    <tableColumn id="4" xr3:uid="{00000000-0010-0000-0500-000004000000}" name="Вес"/>
    <tableColumn id="5" xr3:uid="{00000000-0010-0000-0500-000005000000}" name="C01"/>
    <tableColumn id="6" xr3:uid="{00000000-0010-0000-0500-000006000000}" name="C02"/>
    <tableColumn id="7" xr3:uid="{00000000-0010-0000-0500-000007000000}" name="C03"/>
    <tableColumn id="8" xr3:uid="{00000000-0010-0000-0500-000008000000}" name="C04"/>
    <tableColumn id="9" xr3:uid="{00000000-0010-0000-0500-000009000000}" name="C05"/>
    <tableColumn id="10" xr3:uid="{00000000-0010-0000-0500-00000A000000}" name="C06"/>
    <tableColumn id="11" xr3:uid="{00000000-0010-0000-0500-00000B000000}" name="C07"/>
    <tableColumn id="12" xr3:uid="{00000000-0010-0000-0500-00000C000000}" name="C08"/>
    <tableColumn id="13" xr3:uid="{00000000-0010-0000-0500-00000D000000}" name="Среднее"/>
    <tableColumn id="14" xr3:uid="{00000000-0010-0000-0500-00000E000000}" name="Лучший балл"/>
    <tableColumn id="15" xr3:uid="{00000000-0010-0000-0500-00000F000000}" name="Лидер"/>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rketStandardTable" displayName="MarketStandardTable" ref="A6:L206">
  <tableColumns count="12">
    <tableColumn id="1" xr3:uid="{00000000-0010-0000-0600-000001000000}" name="ID признака"/>
    <tableColumn id="2" xr3:uid="{00000000-0010-0000-0600-000002000000}" name="Признак / требование"/>
    <tableColumn id="3" xr3:uid="{00000000-0010-0000-0600-000003000000}" name="Источник"/>
    <tableColumn id="4" xr3:uid="{00000000-0010-0000-0600-000004000000}" name="Уровень Левитта"/>
    <tableColumn id="5" xr3:uid="{00000000-0010-0000-0600-000005000000}" name="Категория Кано"/>
    <tableColumn id="6" xr3:uid="{00000000-0010-0000-0600-000006000000}" name="Кол-во конкурентов"/>
    <tableColumn id="7" xr3:uid="{00000000-0010-0000-0600-000007000000}" name="Доля конкурентов"/>
    <tableColumn id="8" xr3:uid="{00000000-0010-0000-0600-000008000000}" name="Средняя сила 0–5"/>
    <tableColumn id="9" xr3:uid="{00000000-0010-0000-0600-000009000000}" name="Статус"/>
    <tableColumn id="10" xr3:uid="{00000000-0010-0000-0600-00000A000000}" name="Минимальная формулировка стандарта"/>
    <tableColumn id="11" xr3:uid="{00000000-0010-0000-0600-00000B000000}" name="Что проверить дополнительно"/>
    <tableColumn id="12" xr3:uid="{00000000-0010-0000-0600-00000C000000}" name="Комментарий"/>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dvantageTable" displayName="AdvantageTable" ref="A6:N206">
  <tableColumns count="14">
    <tableColumn id="1" xr3:uid="{00000000-0010-0000-0700-000001000000}" name="ID"/>
    <tableColumn id="2" xr3:uid="{00000000-0010-0000-0700-000002000000}" name="ID конкурента"/>
    <tableColumn id="3" xr3:uid="{00000000-0010-0000-0700-000003000000}" name="Признак преимущества"/>
    <tableColumn id="4" xr3:uid="{00000000-0010-0000-0700-000004000000}" name="Доказательство / URL"/>
    <tableColumn id="5" xr3:uid="{00000000-0010-0000-0700-000005000000}" name="Уровень Левитта"/>
    <tableColumn id="6" xr3:uid="{00000000-0010-0000-0700-000006000000}" name="Категория Кано"/>
    <tableColumn id="7" xr3:uid="{00000000-0010-0000-0700-000007000000}" name="Тип преимущества"/>
    <tableColumn id="8" xr3:uid="{00000000-0010-0000-0700-000008000000}" name="Редкость 1–5"/>
    <tableColumn id="9" xr3:uid="{00000000-0010-0000-0700-000009000000}" name="Сила 1–5"/>
    <tableColumn id="10" xr3:uid="{00000000-0010-0000-0700-00000A000000}" name="Пользовательская ценность 1–5"/>
    <tableColumn id="11" xr3:uid="{00000000-0010-0000-0700-00000B000000}" name="Качество доказательства 1–5"/>
    <tableColumn id="12" xr3:uid="{00000000-0010-0000-0700-00000C000000}" name="Индекс преимущества"/>
    <tableColumn id="13" xr3:uid="{00000000-0010-0000-0700-00000D000000}" name="Вывод"/>
    <tableColumn id="14" xr3:uid="{00000000-0010-0000-0700-00000E000000}" name="Как использовать для своего товара"/>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tabSelected="1" workbookViewId="0">
      <selection sqref="A1:I1"/>
    </sheetView>
  </sheetViews>
  <sheetFormatPr defaultRowHeight="13.5"/>
  <cols>
    <col min="1" max="1" width="24" customWidth="1"/>
    <col min="2" max="2" width="72" customWidth="1"/>
    <col min="3" max="3" width="52" customWidth="1"/>
    <col min="4" max="7" width="14" customWidth="1"/>
    <col min="8" max="9" width="42" customWidth="1"/>
  </cols>
  <sheetData>
    <row r="1" spans="1:9" ht="16.05" customHeight="1">
      <c r="A1" s="12" t="s">
        <v>0</v>
      </c>
      <c r="B1" s="13"/>
      <c r="C1" s="13"/>
      <c r="D1" s="13"/>
      <c r="E1" s="13"/>
      <c r="F1" s="13"/>
      <c r="G1" s="13"/>
      <c r="H1" s="13"/>
      <c r="I1" s="13"/>
    </row>
    <row r="2" spans="1:9" ht="21" customHeight="1">
      <c r="A2" s="14" t="s">
        <v>1</v>
      </c>
      <c r="B2" s="14"/>
      <c r="C2" s="14"/>
      <c r="D2" s="14"/>
      <c r="E2" s="14"/>
      <c r="F2" s="14"/>
      <c r="G2" s="14"/>
      <c r="H2" s="14"/>
      <c r="I2" s="14"/>
    </row>
    <row r="4" spans="1:9" ht="17" customHeight="1">
      <c r="A4" s="1" t="s">
        <v>2</v>
      </c>
      <c r="B4" s="1" t="s">
        <v>3</v>
      </c>
      <c r="C4" s="1" t="s">
        <v>4</v>
      </c>
    </row>
    <row r="5" spans="1:9" ht="25.5">
      <c r="A5" s="2" t="s">
        <v>5</v>
      </c>
      <c r="B5" s="2" t="s">
        <v>6</v>
      </c>
      <c r="C5" s="2" t="s">
        <v>7</v>
      </c>
    </row>
    <row r="6" spans="1:9" ht="38.25">
      <c r="A6" s="2" t="s">
        <v>8</v>
      </c>
      <c r="B6" s="2" t="s">
        <v>9</v>
      </c>
      <c r="C6" s="2" t="s">
        <v>10</v>
      </c>
    </row>
    <row r="7" spans="1:9" ht="25.5">
      <c r="A7" s="2" t="s">
        <v>11</v>
      </c>
      <c r="B7" s="2" t="s">
        <v>12</v>
      </c>
      <c r="C7" s="2" t="s">
        <v>13</v>
      </c>
    </row>
    <row r="8" spans="1:9" ht="25.5">
      <c r="A8" s="2" t="s">
        <v>14</v>
      </c>
      <c r="B8" s="2" t="s">
        <v>15</v>
      </c>
      <c r="C8" s="2" t="s">
        <v>16</v>
      </c>
    </row>
    <row r="9" spans="1:9">
      <c r="A9" s="2" t="s">
        <v>17</v>
      </c>
      <c r="B9" s="2" t="s">
        <v>18</v>
      </c>
      <c r="C9" s="2" t="s">
        <v>19</v>
      </c>
    </row>
    <row r="10" spans="1:9" ht="25.5">
      <c r="A10" s="2" t="s">
        <v>20</v>
      </c>
      <c r="B10" s="2" t="s">
        <v>21</v>
      </c>
      <c r="C10" s="2" t="s">
        <v>22</v>
      </c>
    </row>
    <row r="11" spans="1:9" ht="25.5">
      <c r="A11" s="2" t="s">
        <v>23</v>
      </c>
      <c r="B11" s="2" t="s">
        <v>24</v>
      </c>
      <c r="C11" s="2" t="s">
        <v>25</v>
      </c>
    </row>
    <row r="12" spans="1:9" ht="25.5">
      <c r="A12" s="2" t="s">
        <v>26</v>
      </c>
      <c r="B12" s="2" t="s">
        <v>27</v>
      </c>
      <c r="C12" s="2" t="s">
        <v>28</v>
      </c>
    </row>
    <row r="14" spans="1:9" ht="12" customHeight="1">
      <c r="A14" s="15" t="s">
        <v>29</v>
      </c>
      <c r="B14" s="15"/>
      <c r="C14" s="15"/>
      <c r="D14" s="15"/>
      <c r="E14" s="15"/>
      <c r="F14" s="15"/>
      <c r="G14" s="15"/>
      <c r="H14" s="15"/>
      <c r="I14" s="15"/>
    </row>
    <row r="15" spans="1:9" ht="17" customHeight="1">
      <c r="A15" s="1" t="s">
        <v>30</v>
      </c>
      <c r="B15" s="1" t="s">
        <v>31</v>
      </c>
      <c r="C15" s="1" t="s">
        <v>32</v>
      </c>
      <c r="D15" s="1" t="s">
        <v>33</v>
      </c>
      <c r="E15" s="1" t="s">
        <v>34</v>
      </c>
      <c r="F15" s="1" t="s">
        <v>35</v>
      </c>
      <c r="G15" s="1" t="s">
        <v>36</v>
      </c>
      <c r="H15" s="1" t="s">
        <v>37</v>
      </c>
      <c r="I15" s="1" t="s">
        <v>38</v>
      </c>
    </row>
    <row r="16" spans="1:9">
      <c r="A16" s="2" t="s">
        <v>39</v>
      </c>
      <c r="B16" s="2" t="s">
        <v>40</v>
      </c>
      <c r="C16" s="2" t="s">
        <v>41</v>
      </c>
      <c r="D16" s="2" t="s">
        <v>42</v>
      </c>
      <c r="E16" s="2" t="s">
        <v>43</v>
      </c>
      <c r="F16" s="2"/>
      <c r="G16" s="2"/>
      <c r="H16" s="2" t="s">
        <v>44</v>
      </c>
      <c r="I16" s="2" t="s">
        <v>45</v>
      </c>
    </row>
    <row r="17" spans="1:9" ht="25.5">
      <c r="A17" s="2" t="s">
        <v>46</v>
      </c>
      <c r="B17" s="2" t="s">
        <v>40</v>
      </c>
      <c r="C17" s="2" t="s">
        <v>47</v>
      </c>
      <c r="D17" s="2" t="s">
        <v>48</v>
      </c>
      <c r="E17" s="2" t="s">
        <v>49</v>
      </c>
      <c r="F17" s="2"/>
      <c r="G17" s="2"/>
      <c r="H17" s="2" t="s">
        <v>50</v>
      </c>
      <c r="I17" s="2" t="s">
        <v>51</v>
      </c>
    </row>
    <row r="18" spans="1:9" ht="25.5">
      <c r="A18" s="2" t="s">
        <v>52</v>
      </c>
      <c r="B18" s="2" t="s">
        <v>40</v>
      </c>
      <c r="C18" s="2" t="s">
        <v>53</v>
      </c>
      <c r="D18" s="2" t="s">
        <v>54</v>
      </c>
      <c r="E18" s="2" t="s">
        <v>55</v>
      </c>
      <c r="F18" s="2" t="s">
        <v>56</v>
      </c>
      <c r="G18" s="2" t="s">
        <v>57</v>
      </c>
      <c r="H18" s="2" t="s">
        <v>58</v>
      </c>
      <c r="I18" s="2" t="s">
        <v>59</v>
      </c>
    </row>
    <row r="19" spans="1:9" ht="25.5">
      <c r="A19" s="2" t="s">
        <v>60</v>
      </c>
      <c r="B19" s="2" t="s">
        <v>40</v>
      </c>
      <c r="C19" s="2" t="s">
        <v>61</v>
      </c>
      <c r="D19" s="2" t="s">
        <v>62</v>
      </c>
      <c r="E19" s="2" t="s">
        <v>63</v>
      </c>
      <c r="F19" s="2" t="s">
        <v>64</v>
      </c>
      <c r="G19" s="2" t="s">
        <v>65</v>
      </c>
      <c r="H19" s="2" t="s">
        <v>66</v>
      </c>
      <c r="I19" s="2" t="s">
        <v>67</v>
      </c>
    </row>
  </sheetData>
  <mergeCells count="3">
    <mergeCell ref="A1:I1"/>
    <mergeCell ref="A2:I2"/>
    <mergeCell ref="A14: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6"/>
  <sheetViews>
    <sheetView workbookViewId="0"/>
  </sheetViews>
  <sheetFormatPr defaultRowHeight="13.5"/>
  <cols>
    <col min="1" max="1" width="9" customWidth="1"/>
    <col min="2" max="2" width="28" customWidth="1"/>
    <col min="3" max="3" width="32" customWidth="1"/>
    <col min="4" max="4" width="18" customWidth="1"/>
    <col min="5" max="5" width="22" customWidth="1"/>
    <col min="6" max="6" width="28" customWidth="1"/>
    <col min="7" max="7" width="26" customWidth="1"/>
    <col min="8" max="8" width="36" customWidth="1"/>
    <col min="9" max="9" width="16" customWidth="1"/>
    <col min="10" max="10" width="18" customWidth="1"/>
    <col min="11" max="11" width="38" customWidth="1"/>
  </cols>
  <sheetData>
    <row r="1" spans="1:11" ht="16.05" customHeight="1">
      <c r="A1" s="12" t="s">
        <v>68</v>
      </c>
      <c r="B1" s="13"/>
      <c r="C1" s="13"/>
      <c r="D1" s="13"/>
      <c r="E1" s="13"/>
      <c r="F1" s="13"/>
      <c r="G1" s="13"/>
      <c r="H1" s="13"/>
      <c r="I1" s="13"/>
      <c r="J1" s="13"/>
      <c r="K1" s="13"/>
    </row>
    <row r="2" spans="1:11" ht="21" customHeight="1">
      <c r="A2" s="14" t="s">
        <v>69</v>
      </c>
      <c r="B2" s="14"/>
      <c r="C2" s="14"/>
      <c r="D2" s="14"/>
      <c r="E2" s="14"/>
      <c r="F2" s="14"/>
      <c r="G2" s="14"/>
      <c r="H2" s="14"/>
      <c r="I2" s="14"/>
      <c r="J2" s="14"/>
      <c r="K2" s="14"/>
    </row>
    <row r="6" spans="1:11" ht="17" customHeight="1">
      <c r="A6" s="1" t="s">
        <v>70</v>
      </c>
      <c r="B6" s="1" t="s">
        <v>71</v>
      </c>
      <c r="C6" s="1" t="s">
        <v>72</v>
      </c>
      <c r="D6" s="1" t="s">
        <v>73</v>
      </c>
      <c r="E6" s="1" t="s">
        <v>74</v>
      </c>
      <c r="F6" s="1" t="s">
        <v>75</v>
      </c>
      <c r="G6" s="1" t="s">
        <v>76</v>
      </c>
      <c r="H6" s="1" t="s">
        <v>77</v>
      </c>
      <c r="I6" s="1" t="s">
        <v>78</v>
      </c>
      <c r="J6" s="1" t="s">
        <v>79</v>
      </c>
      <c r="K6" s="1" t="s">
        <v>80</v>
      </c>
    </row>
    <row r="7" spans="1:11" ht="63.75">
      <c r="A7" s="3" t="s">
        <v>81</v>
      </c>
      <c r="B7" s="2" t="s">
        <v>1023</v>
      </c>
      <c r="C7" s="2" t="s">
        <v>1024</v>
      </c>
      <c r="D7" s="2" t="s">
        <v>1025</v>
      </c>
      <c r="E7" s="2" t="s">
        <v>1026</v>
      </c>
      <c r="F7" s="2" t="s">
        <v>1027</v>
      </c>
      <c r="G7" s="2" t="s">
        <v>1028</v>
      </c>
      <c r="H7" s="2" t="s">
        <v>1029</v>
      </c>
      <c r="I7" s="2" t="s">
        <v>1030</v>
      </c>
      <c r="J7" s="2" t="s">
        <v>1031</v>
      </c>
      <c r="K7" s="2" t="s">
        <v>1032</v>
      </c>
    </row>
    <row r="8" spans="1:11" ht="51">
      <c r="A8" s="3" t="s">
        <v>83</v>
      </c>
      <c r="B8" s="2" t="s">
        <v>1033</v>
      </c>
      <c r="C8" s="2" t="s">
        <v>1034</v>
      </c>
      <c r="D8" s="2" t="s">
        <v>1025</v>
      </c>
      <c r="E8" s="2" t="s">
        <v>1035</v>
      </c>
      <c r="F8" s="2" t="s">
        <v>1036</v>
      </c>
      <c r="G8" s="2" t="s">
        <v>1037</v>
      </c>
      <c r="H8" s="2" t="s">
        <v>1038</v>
      </c>
      <c r="I8" s="2" t="s">
        <v>1030</v>
      </c>
      <c r="J8" s="2" t="s">
        <v>1031</v>
      </c>
      <c r="K8" s="2" t="s">
        <v>1032</v>
      </c>
    </row>
    <row r="9" spans="1:11" ht="63.75">
      <c r="A9" s="3" t="s">
        <v>84</v>
      </c>
      <c r="B9" s="2" t="s">
        <v>1039</v>
      </c>
      <c r="C9" s="2" t="s">
        <v>1040</v>
      </c>
      <c r="D9" s="2" t="s">
        <v>1041</v>
      </c>
      <c r="E9" s="2" t="s">
        <v>1035</v>
      </c>
      <c r="F9" s="2" t="s">
        <v>1042</v>
      </c>
      <c r="G9" s="2" t="s">
        <v>1043</v>
      </c>
      <c r="H9" s="2" t="s">
        <v>1044</v>
      </c>
      <c r="I9" s="2" t="s">
        <v>1030</v>
      </c>
      <c r="J9" s="2" t="s">
        <v>1031</v>
      </c>
      <c r="K9" s="2" t="s">
        <v>1032</v>
      </c>
    </row>
    <row r="10" spans="1:11" ht="76.5">
      <c r="A10" s="3" t="s">
        <v>85</v>
      </c>
      <c r="B10" s="2" t="s">
        <v>1045</v>
      </c>
      <c r="C10" s="2" t="s">
        <v>1046</v>
      </c>
      <c r="D10" s="2" t="s">
        <v>1047</v>
      </c>
      <c r="E10" s="2" t="s">
        <v>1048</v>
      </c>
      <c r="F10" s="2" t="s">
        <v>1049</v>
      </c>
      <c r="G10" s="2" t="s">
        <v>1050</v>
      </c>
      <c r="H10" s="2" t="s">
        <v>1051</v>
      </c>
      <c r="I10" s="2" t="s">
        <v>1052</v>
      </c>
      <c r="J10" s="2" t="s">
        <v>1031</v>
      </c>
      <c r="K10" s="2" t="s">
        <v>1032</v>
      </c>
    </row>
    <row r="11" spans="1:11" ht="63.75">
      <c r="A11" s="3" t="s">
        <v>86</v>
      </c>
      <c r="B11" s="2" t="s">
        <v>1053</v>
      </c>
      <c r="C11" s="2" t="s">
        <v>1054</v>
      </c>
      <c r="D11" s="2" t="s">
        <v>1055</v>
      </c>
      <c r="E11" s="2" t="s">
        <v>1056</v>
      </c>
      <c r="F11" s="2" t="s">
        <v>1057</v>
      </c>
      <c r="G11" s="2" t="s">
        <v>1058</v>
      </c>
      <c r="H11" s="2" t="s">
        <v>1059</v>
      </c>
      <c r="I11" s="2" t="s">
        <v>1030</v>
      </c>
      <c r="J11" s="2" t="s">
        <v>1031</v>
      </c>
      <c r="K11" s="2" t="s">
        <v>1032</v>
      </c>
    </row>
    <row r="12" spans="1:11" ht="63.75">
      <c r="A12" s="3" t="s">
        <v>87</v>
      </c>
      <c r="B12" s="2" t="s">
        <v>1060</v>
      </c>
      <c r="C12" s="2" t="s">
        <v>1061</v>
      </c>
      <c r="D12" s="2" t="s">
        <v>1062</v>
      </c>
      <c r="E12" s="2" t="s">
        <v>1056</v>
      </c>
      <c r="F12" s="2" t="s">
        <v>1063</v>
      </c>
      <c r="G12" s="2" t="s">
        <v>1064</v>
      </c>
      <c r="H12" s="2" t="s">
        <v>1065</v>
      </c>
      <c r="I12" s="2" t="s">
        <v>1052</v>
      </c>
      <c r="J12" s="2" t="s">
        <v>1031</v>
      </c>
      <c r="K12" s="2" t="s">
        <v>1032</v>
      </c>
    </row>
    <row r="13" spans="1:11" ht="51">
      <c r="A13" s="3" t="s">
        <v>88</v>
      </c>
      <c r="B13" s="2" t="s">
        <v>1066</v>
      </c>
      <c r="C13" s="2" t="s">
        <v>1067</v>
      </c>
      <c r="D13" s="2" t="s">
        <v>1068</v>
      </c>
      <c r="E13" s="2" t="s">
        <v>1056</v>
      </c>
      <c r="F13" s="2" t="s">
        <v>1069</v>
      </c>
      <c r="G13" s="2" t="s">
        <v>1070</v>
      </c>
      <c r="H13" s="2" t="s">
        <v>1071</v>
      </c>
      <c r="I13" s="2" t="s">
        <v>1030</v>
      </c>
      <c r="J13" s="2" t="s">
        <v>1031</v>
      </c>
      <c r="K13" s="2" t="s">
        <v>1032</v>
      </c>
    </row>
    <row r="14" spans="1:11" ht="76.5">
      <c r="A14" s="3" t="s">
        <v>89</v>
      </c>
      <c r="B14" s="2" t="s">
        <v>1072</v>
      </c>
      <c r="C14" s="2" t="s">
        <v>1073</v>
      </c>
      <c r="D14" s="2" t="s">
        <v>1068</v>
      </c>
      <c r="E14" s="2" t="s">
        <v>1048</v>
      </c>
      <c r="F14" s="2" t="s">
        <v>1074</v>
      </c>
      <c r="G14" s="2" t="s">
        <v>1075</v>
      </c>
      <c r="H14" s="2" t="s">
        <v>1076</v>
      </c>
      <c r="I14" s="2" t="s">
        <v>1077</v>
      </c>
      <c r="J14" s="2" t="s">
        <v>1031</v>
      </c>
      <c r="K14" s="2" t="s">
        <v>1032</v>
      </c>
    </row>
    <row r="15" spans="1:11">
      <c r="A15" s="3" t="s">
        <v>90</v>
      </c>
      <c r="B15" s="2"/>
      <c r="C15" s="2"/>
      <c r="D15" s="2"/>
      <c r="E15" s="2"/>
      <c r="F15" s="2"/>
      <c r="G15" s="2"/>
      <c r="H15" s="2"/>
      <c r="I15" s="2"/>
      <c r="J15" s="2" t="s">
        <v>82</v>
      </c>
      <c r="K15" s="2"/>
    </row>
    <row r="16" spans="1:11">
      <c r="A16" s="3" t="s">
        <v>91</v>
      </c>
      <c r="B16" s="2"/>
      <c r="C16" s="2"/>
      <c r="D16" s="2"/>
      <c r="E16" s="2"/>
      <c r="F16" s="2"/>
      <c r="G16" s="2"/>
      <c r="H16" s="2"/>
      <c r="I16" s="2"/>
      <c r="J16" s="2" t="s">
        <v>82</v>
      </c>
      <c r="K16" s="2"/>
    </row>
    <row r="17" spans="1:11">
      <c r="A17" s="3" t="s">
        <v>92</v>
      </c>
      <c r="B17" s="2"/>
      <c r="C17" s="2"/>
      <c r="D17" s="2"/>
      <c r="E17" s="2"/>
      <c r="F17" s="2"/>
      <c r="G17" s="2"/>
      <c r="H17" s="2"/>
      <c r="I17" s="2"/>
      <c r="J17" s="2" t="s">
        <v>82</v>
      </c>
      <c r="K17" s="2"/>
    </row>
    <row r="18" spans="1:11">
      <c r="A18" s="3" t="s">
        <v>93</v>
      </c>
      <c r="B18" s="2"/>
      <c r="C18" s="2"/>
      <c r="D18" s="2"/>
      <c r="E18" s="2"/>
      <c r="F18" s="2"/>
      <c r="G18" s="2"/>
      <c r="H18" s="2"/>
      <c r="I18" s="2"/>
      <c r="J18" s="2" t="s">
        <v>82</v>
      </c>
      <c r="K18" s="2"/>
    </row>
    <row r="19" spans="1:11">
      <c r="A19" s="3" t="s">
        <v>94</v>
      </c>
      <c r="B19" s="2"/>
      <c r="C19" s="2"/>
      <c r="D19" s="2"/>
      <c r="E19" s="2"/>
      <c r="F19" s="2"/>
      <c r="G19" s="2"/>
      <c r="H19" s="2"/>
      <c r="I19" s="2"/>
      <c r="J19" s="2" t="s">
        <v>82</v>
      </c>
      <c r="K19" s="2"/>
    </row>
    <row r="20" spans="1:11">
      <c r="A20" s="3" t="s">
        <v>95</v>
      </c>
      <c r="B20" s="2"/>
      <c r="C20" s="2"/>
      <c r="D20" s="2"/>
      <c r="E20" s="2"/>
      <c r="F20" s="2"/>
      <c r="G20" s="2"/>
      <c r="H20" s="2"/>
      <c r="I20" s="2"/>
      <c r="J20" s="2" t="s">
        <v>82</v>
      </c>
      <c r="K20" s="2"/>
    </row>
    <row r="21" spans="1:11">
      <c r="A21" s="3" t="s">
        <v>96</v>
      </c>
      <c r="B21" s="2"/>
      <c r="C21" s="2"/>
      <c r="D21" s="2"/>
      <c r="E21" s="2"/>
      <c r="F21" s="2"/>
      <c r="G21" s="2"/>
      <c r="H21" s="2"/>
      <c r="I21" s="2"/>
      <c r="J21" s="2" t="s">
        <v>82</v>
      </c>
      <c r="K21" s="2"/>
    </row>
    <row r="22" spans="1:11">
      <c r="A22" s="3" t="s">
        <v>97</v>
      </c>
      <c r="B22" s="2"/>
      <c r="C22" s="2"/>
      <c r="D22" s="2"/>
      <c r="E22" s="2"/>
      <c r="F22" s="2"/>
      <c r="G22" s="2"/>
      <c r="H22" s="2"/>
      <c r="I22" s="2"/>
      <c r="J22" s="2" t="s">
        <v>82</v>
      </c>
      <c r="K22" s="2"/>
    </row>
    <row r="23" spans="1:11">
      <c r="A23" s="3" t="s">
        <v>98</v>
      </c>
      <c r="B23" s="2"/>
      <c r="C23" s="2"/>
      <c r="D23" s="2"/>
      <c r="E23" s="2"/>
      <c r="F23" s="2"/>
      <c r="G23" s="2"/>
      <c r="H23" s="2"/>
      <c r="I23" s="2"/>
      <c r="J23" s="2" t="s">
        <v>82</v>
      </c>
      <c r="K23" s="2"/>
    </row>
    <row r="24" spans="1:11">
      <c r="A24" s="3" t="s">
        <v>99</v>
      </c>
      <c r="B24" s="2"/>
      <c r="C24" s="2"/>
      <c r="D24" s="2"/>
      <c r="E24" s="2"/>
      <c r="F24" s="2"/>
      <c r="G24" s="2"/>
      <c r="H24" s="2"/>
      <c r="I24" s="2"/>
      <c r="J24" s="2" t="s">
        <v>82</v>
      </c>
      <c r="K24" s="2"/>
    </row>
    <row r="25" spans="1:11">
      <c r="A25" s="3" t="s">
        <v>100</v>
      </c>
      <c r="B25" s="2"/>
      <c r="C25" s="2"/>
      <c r="D25" s="2"/>
      <c r="E25" s="2"/>
      <c r="F25" s="2"/>
      <c r="G25" s="2"/>
      <c r="H25" s="2"/>
      <c r="I25" s="2"/>
      <c r="J25" s="2" t="s">
        <v>82</v>
      </c>
      <c r="K25" s="2"/>
    </row>
    <row r="26" spans="1:11">
      <c r="A26" s="3" t="s">
        <v>101</v>
      </c>
      <c r="B26" s="2"/>
      <c r="C26" s="2"/>
      <c r="D26" s="2"/>
      <c r="E26" s="2"/>
      <c r="F26" s="2"/>
      <c r="G26" s="2"/>
      <c r="H26" s="2"/>
      <c r="I26" s="2"/>
      <c r="J26" s="2" t="s">
        <v>82</v>
      </c>
      <c r="K26" s="2"/>
    </row>
    <row r="27" spans="1:11">
      <c r="A27" s="3" t="s">
        <v>102</v>
      </c>
      <c r="B27" s="2"/>
      <c r="C27" s="2"/>
      <c r="D27" s="2"/>
      <c r="E27" s="2"/>
      <c r="F27" s="2"/>
      <c r="G27" s="2"/>
      <c r="H27" s="2"/>
      <c r="I27" s="2"/>
      <c r="J27" s="2" t="s">
        <v>82</v>
      </c>
      <c r="K27" s="2"/>
    </row>
    <row r="28" spans="1:11">
      <c r="A28" s="3" t="s">
        <v>103</v>
      </c>
      <c r="B28" s="2"/>
      <c r="C28" s="2"/>
      <c r="D28" s="2"/>
      <c r="E28" s="2"/>
      <c r="F28" s="2"/>
      <c r="G28" s="2"/>
      <c r="H28" s="2"/>
      <c r="I28" s="2"/>
      <c r="J28" s="2" t="s">
        <v>82</v>
      </c>
      <c r="K28" s="2"/>
    </row>
    <row r="29" spans="1:11">
      <c r="A29" s="3" t="s">
        <v>104</v>
      </c>
      <c r="B29" s="2"/>
      <c r="C29" s="2"/>
      <c r="D29" s="2"/>
      <c r="E29" s="2"/>
      <c r="F29" s="2"/>
      <c r="G29" s="2"/>
      <c r="H29" s="2"/>
      <c r="I29" s="2"/>
      <c r="J29" s="2" t="s">
        <v>82</v>
      </c>
      <c r="K29" s="2"/>
    </row>
    <row r="30" spans="1:11">
      <c r="A30" s="3" t="s">
        <v>105</v>
      </c>
      <c r="B30" s="2"/>
      <c r="C30" s="2"/>
      <c r="D30" s="2"/>
      <c r="E30" s="2"/>
      <c r="F30" s="2"/>
      <c r="G30" s="2"/>
      <c r="H30" s="2"/>
      <c r="I30" s="2"/>
      <c r="J30" s="2" t="s">
        <v>82</v>
      </c>
      <c r="K30" s="2"/>
    </row>
    <row r="31" spans="1:11">
      <c r="A31" s="3" t="s">
        <v>106</v>
      </c>
      <c r="B31" s="2"/>
      <c r="C31" s="2"/>
      <c r="D31" s="2"/>
      <c r="E31" s="2"/>
      <c r="F31" s="2"/>
      <c r="G31" s="2"/>
      <c r="H31" s="2"/>
      <c r="I31" s="2"/>
      <c r="J31" s="2" t="s">
        <v>82</v>
      </c>
      <c r="K31" s="2"/>
    </row>
    <row r="32" spans="1:11">
      <c r="A32" s="3" t="s">
        <v>107</v>
      </c>
      <c r="B32" s="2"/>
      <c r="C32" s="2"/>
      <c r="D32" s="2"/>
      <c r="E32" s="2"/>
      <c r="F32" s="2"/>
      <c r="G32" s="2"/>
      <c r="H32" s="2"/>
      <c r="I32" s="2"/>
      <c r="J32" s="2" t="s">
        <v>82</v>
      </c>
      <c r="K32" s="2"/>
    </row>
    <row r="33" spans="1:11">
      <c r="A33" s="3" t="s">
        <v>108</v>
      </c>
      <c r="B33" s="2"/>
      <c r="C33" s="2"/>
      <c r="D33" s="2"/>
      <c r="E33" s="2"/>
      <c r="F33" s="2"/>
      <c r="G33" s="2"/>
      <c r="H33" s="2"/>
      <c r="I33" s="2"/>
      <c r="J33" s="2" t="s">
        <v>82</v>
      </c>
      <c r="K33" s="2"/>
    </row>
    <row r="34" spans="1:11">
      <c r="A34" s="3" t="s">
        <v>109</v>
      </c>
      <c r="B34" s="2"/>
      <c r="C34" s="2"/>
      <c r="D34" s="2"/>
      <c r="E34" s="2"/>
      <c r="F34" s="2"/>
      <c r="G34" s="2"/>
      <c r="H34" s="2"/>
      <c r="I34" s="2"/>
      <c r="J34" s="2" t="s">
        <v>82</v>
      </c>
      <c r="K34" s="2"/>
    </row>
    <row r="35" spans="1:11">
      <c r="A35" s="3" t="s">
        <v>110</v>
      </c>
      <c r="B35" s="2"/>
      <c r="C35" s="2"/>
      <c r="D35" s="2"/>
      <c r="E35" s="2"/>
      <c r="F35" s="2"/>
      <c r="G35" s="2"/>
      <c r="H35" s="2"/>
      <c r="I35" s="2"/>
      <c r="J35" s="2" t="s">
        <v>82</v>
      </c>
      <c r="K35" s="2"/>
    </row>
    <row r="36" spans="1:11">
      <c r="A36" s="3" t="s">
        <v>111</v>
      </c>
      <c r="B36" s="2"/>
      <c r="C36" s="2"/>
      <c r="D36" s="2"/>
      <c r="E36" s="2"/>
      <c r="F36" s="2"/>
      <c r="G36" s="2"/>
      <c r="H36" s="2"/>
      <c r="I36" s="2"/>
      <c r="J36" s="2" t="s">
        <v>82</v>
      </c>
      <c r="K36" s="2"/>
    </row>
  </sheetData>
  <mergeCells count="2">
    <mergeCell ref="A1:K1"/>
    <mergeCell ref="A2:K2"/>
  </mergeCells>
  <dataValidations count="4">
    <dataValidation type="list" sqref="E7:E36" xr:uid="{00000000-0002-0000-0100-000000000000}">
      <formula1>"Прямой конкурент,Косвенный конкурент,Заменитель,Эталон лучшей практики,Смежный рынок"</formula1>
    </dataValidation>
    <dataValidation type="list" sqref="G7:G36" xr:uid="{00000000-0002-0000-0100-000001000000}">
      <formula1>"Разовая покупка,Подписка,Комиссия,Бесплатно + платные функции,Реклама,Лидогенерация,Корпоративная лицензия,Смешанная модель"</formula1>
    </dataValidation>
    <dataValidation type="list" sqref="I7:I36" xr:uid="{00000000-0002-0000-0100-000002000000}">
      <formula1>"1,2,3,4,5"</formula1>
    </dataValidation>
    <dataValidation type="list" sqref="J7:J36" xr:uid="{00000000-0002-0000-0100-000003000000}">
      <formula1>"Не начато,В работе,Проверено,Исключено"</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6"/>
  <sheetViews>
    <sheetView workbookViewId="0"/>
  </sheetViews>
  <sheetFormatPr defaultRowHeight="13.5"/>
  <cols>
    <col min="1" max="1" width="12" customWidth="1"/>
    <col min="2" max="2" width="30" customWidth="1"/>
    <col min="3" max="3" width="42" customWidth="1"/>
    <col min="4" max="4" width="24" customWidth="1"/>
    <col min="5" max="5" width="36" customWidth="1"/>
    <col min="6" max="6" width="38" customWidth="1"/>
    <col min="7" max="7" width="16" customWidth="1"/>
    <col min="8" max="8" width="30" customWidth="1"/>
    <col min="9" max="9" width="16" customWidth="1"/>
    <col min="10" max="10" width="44" customWidth="1"/>
  </cols>
  <sheetData>
    <row r="1" spans="1:10" ht="16.05" customHeight="1">
      <c r="A1" s="12" t="s">
        <v>112</v>
      </c>
      <c r="B1" s="13"/>
      <c r="C1" s="13"/>
      <c r="D1" s="13"/>
      <c r="E1" s="13"/>
      <c r="F1" s="13"/>
      <c r="G1" s="13"/>
      <c r="H1" s="13"/>
      <c r="I1" s="13"/>
      <c r="J1" s="13"/>
    </row>
    <row r="2" spans="1:10" ht="21" customHeight="1">
      <c r="A2" s="14" t="s">
        <v>113</v>
      </c>
      <c r="B2" s="14"/>
      <c r="C2" s="14"/>
      <c r="D2" s="14"/>
      <c r="E2" s="14"/>
      <c r="F2" s="14"/>
      <c r="G2" s="14"/>
      <c r="H2" s="14"/>
      <c r="I2" s="14"/>
      <c r="J2" s="14"/>
    </row>
    <row r="6" spans="1:10" ht="17" customHeight="1">
      <c r="A6" s="1" t="s">
        <v>114</v>
      </c>
      <c r="B6" s="1" t="s">
        <v>115</v>
      </c>
      <c r="C6" s="1" t="s">
        <v>116</v>
      </c>
      <c r="D6" s="1" t="s">
        <v>117</v>
      </c>
      <c r="E6" s="1" t="s">
        <v>118</v>
      </c>
      <c r="F6" s="1" t="s">
        <v>119</v>
      </c>
      <c r="G6" s="1" t="s">
        <v>120</v>
      </c>
      <c r="H6" s="1" t="s">
        <v>121</v>
      </c>
      <c r="I6" s="1" t="s">
        <v>122</v>
      </c>
      <c r="J6" s="1" t="s">
        <v>123</v>
      </c>
    </row>
    <row r="7" spans="1:10" ht="38.25">
      <c r="A7" s="2" t="s">
        <v>81</v>
      </c>
      <c r="B7" s="2" t="s">
        <v>1078</v>
      </c>
      <c r="C7" s="2" t="s">
        <v>1079</v>
      </c>
      <c r="D7" s="2" t="s">
        <v>1078</v>
      </c>
      <c r="E7" s="2" t="s">
        <v>1080</v>
      </c>
      <c r="F7" s="2" t="s">
        <v>1081</v>
      </c>
      <c r="G7" s="4">
        <v>46296</v>
      </c>
      <c r="H7" s="2" t="s">
        <v>1082</v>
      </c>
      <c r="I7" s="2">
        <v>4</v>
      </c>
      <c r="J7" s="2" t="s">
        <v>1083</v>
      </c>
    </row>
    <row r="8" spans="1:10" ht="25.5">
      <c r="A8" s="2" t="s">
        <v>81</v>
      </c>
      <c r="B8" s="2" t="s">
        <v>1084</v>
      </c>
      <c r="C8" s="2" t="s">
        <v>1085</v>
      </c>
      <c r="D8" s="2" t="s">
        <v>1084</v>
      </c>
      <c r="E8" s="2" t="s">
        <v>1086</v>
      </c>
      <c r="F8" s="2" t="s">
        <v>1081</v>
      </c>
      <c r="G8" s="4">
        <v>46296</v>
      </c>
      <c r="H8" s="2" t="s">
        <v>1082</v>
      </c>
      <c r="I8" s="2">
        <v>4</v>
      </c>
      <c r="J8" s="2" t="s">
        <v>1087</v>
      </c>
    </row>
    <row r="9" spans="1:10" ht="25.5">
      <c r="A9" s="2" t="s">
        <v>81</v>
      </c>
      <c r="B9" s="2" t="s">
        <v>1084</v>
      </c>
      <c r="C9" s="2" t="s">
        <v>1088</v>
      </c>
      <c r="D9" s="2" t="s">
        <v>1084</v>
      </c>
      <c r="E9" s="2" t="s">
        <v>1086</v>
      </c>
      <c r="F9" s="2" t="s">
        <v>1081</v>
      </c>
      <c r="G9" s="4">
        <v>46296</v>
      </c>
      <c r="H9" s="2" t="s">
        <v>1082</v>
      </c>
      <c r="I9" s="2">
        <v>4</v>
      </c>
      <c r="J9" s="2" t="s">
        <v>1089</v>
      </c>
    </row>
    <row r="10" spans="1:10" ht="25.5">
      <c r="A10" s="2" t="s">
        <v>81</v>
      </c>
      <c r="B10" s="2" t="s">
        <v>1084</v>
      </c>
      <c r="C10" s="2" t="s">
        <v>1090</v>
      </c>
      <c r="D10" s="2" t="s">
        <v>1084</v>
      </c>
      <c r="E10" s="2" t="s">
        <v>1086</v>
      </c>
      <c r="F10" s="2" t="s">
        <v>1081</v>
      </c>
      <c r="G10" s="4">
        <v>46296</v>
      </c>
      <c r="H10" s="2" t="s">
        <v>1082</v>
      </c>
      <c r="I10" s="2">
        <v>4</v>
      </c>
      <c r="J10" s="2" t="s">
        <v>1091</v>
      </c>
    </row>
    <row r="11" spans="1:10" ht="25.5">
      <c r="A11" s="2" t="s">
        <v>81</v>
      </c>
      <c r="B11" s="2" t="s">
        <v>1084</v>
      </c>
      <c r="C11" s="2" t="s">
        <v>1092</v>
      </c>
      <c r="D11" s="2" t="s">
        <v>1084</v>
      </c>
      <c r="E11" s="2" t="s">
        <v>1086</v>
      </c>
      <c r="F11" s="2" t="s">
        <v>1081</v>
      </c>
      <c r="G11" s="4">
        <v>46296</v>
      </c>
      <c r="H11" s="2" t="s">
        <v>1082</v>
      </c>
      <c r="I11" s="2">
        <v>4</v>
      </c>
      <c r="J11" s="2" t="s">
        <v>1093</v>
      </c>
    </row>
    <row r="12" spans="1:10" ht="25.5">
      <c r="A12" s="2" t="s">
        <v>81</v>
      </c>
      <c r="B12" s="2" t="s">
        <v>1084</v>
      </c>
      <c r="C12" s="2" t="s">
        <v>1094</v>
      </c>
      <c r="D12" s="2" t="s">
        <v>1084</v>
      </c>
      <c r="E12" s="2" t="s">
        <v>1086</v>
      </c>
      <c r="F12" s="2" t="s">
        <v>1081</v>
      </c>
      <c r="G12" s="4">
        <v>46296</v>
      </c>
      <c r="H12" s="2" t="s">
        <v>1082</v>
      </c>
      <c r="I12" s="2">
        <v>4</v>
      </c>
      <c r="J12" s="2" t="s">
        <v>1095</v>
      </c>
    </row>
    <row r="13" spans="1:10" ht="38.25">
      <c r="A13" s="2" t="s">
        <v>81</v>
      </c>
      <c r="B13" s="2" t="s">
        <v>1084</v>
      </c>
      <c r="C13" s="2" t="s">
        <v>1096</v>
      </c>
      <c r="D13" s="2" t="s">
        <v>1084</v>
      </c>
      <c r="E13" s="2" t="s">
        <v>1086</v>
      </c>
      <c r="F13" s="2" t="s">
        <v>1081</v>
      </c>
      <c r="G13" s="4">
        <v>46296</v>
      </c>
      <c r="H13" s="2" t="s">
        <v>1082</v>
      </c>
      <c r="I13" s="2">
        <v>4</v>
      </c>
      <c r="J13" s="2" t="s">
        <v>1097</v>
      </c>
    </row>
    <row r="14" spans="1:10" ht="25.5">
      <c r="A14" s="2" t="s">
        <v>81</v>
      </c>
      <c r="B14" s="2" t="s">
        <v>1098</v>
      </c>
      <c r="C14" s="2" t="s">
        <v>1099</v>
      </c>
      <c r="D14" s="2" t="s">
        <v>1100</v>
      </c>
      <c r="E14" s="2" t="s">
        <v>1101</v>
      </c>
      <c r="F14" s="2" t="s">
        <v>1102</v>
      </c>
      <c r="G14" s="4">
        <v>46295</v>
      </c>
      <c r="H14" s="2" t="s">
        <v>1103</v>
      </c>
      <c r="I14" s="2">
        <v>5</v>
      </c>
      <c r="J14" s="2" t="s">
        <v>1104</v>
      </c>
    </row>
    <row r="15" spans="1:10" ht="25.5">
      <c r="A15" s="2" t="s">
        <v>83</v>
      </c>
      <c r="B15" s="2" t="s">
        <v>1078</v>
      </c>
      <c r="C15" s="2" t="s">
        <v>1105</v>
      </c>
      <c r="D15" s="2" t="s">
        <v>1078</v>
      </c>
      <c r="E15" s="2" t="s">
        <v>1080</v>
      </c>
      <c r="F15" s="2" t="s">
        <v>1081</v>
      </c>
      <c r="G15" s="4">
        <v>46296</v>
      </c>
      <c r="H15" s="2" t="s">
        <v>1082</v>
      </c>
      <c r="I15" s="2">
        <v>4</v>
      </c>
      <c r="J15" s="2" t="s">
        <v>1106</v>
      </c>
    </row>
    <row r="16" spans="1:10" ht="25.5">
      <c r="A16" s="2" t="s">
        <v>83</v>
      </c>
      <c r="B16" s="2" t="s">
        <v>1084</v>
      </c>
      <c r="C16" s="2" t="s">
        <v>1107</v>
      </c>
      <c r="D16" s="2" t="s">
        <v>1084</v>
      </c>
      <c r="E16" s="2" t="s">
        <v>1086</v>
      </c>
      <c r="F16" s="2" t="s">
        <v>1081</v>
      </c>
      <c r="G16" s="4">
        <v>46296</v>
      </c>
      <c r="H16" s="2" t="s">
        <v>1082</v>
      </c>
      <c r="I16" s="2">
        <v>4</v>
      </c>
      <c r="J16" s="2" t="s">
        <v>1108</v>
      </c>
    </row>
    <row r="17" spans="1:10" ht="25.5">
      <c r="A17" s="2" t="s">
        <v>83</v>
      </c>
      <c r="B17" s="2" t="s">
        <v>1084</v>
      </c>
      <c r="C17" s="2" t="s">
        <v>1109</v>
      </c>
      <c r="D17" s="2" t="s">
        <v>1084</v>
      </c>
      <c r="E17" s="2" t="s">
        <v>1086</v>
      </c>
      <c r="F17" s="2" t="s">
        <v>1081</v>
      </c>
      <c r="G17" s="4">
        <v>46296</v>
      </c>
      <c r="H17" s="2" t="s">
        <v>1082</v>
      </c>
      <c r="I17" s="2">
        <v>4</v>
      </c>
      <c r="J17" s="2" t="s">
        <v>1110</v>
      </c>
    </row>
    <row r="18" spans="1:10" ht="25.5">
      <c r="A18" s="2" t="s">
        <v>83</v>
      </c>
      <c r="B18" s="2" t="s">
        <v>1111</v>
      </c>
      <c r="C18" s="2" t="s">
        <v>1112</v>
      </c>
      <c r="D18" s="2" t="s">
        <v>1111</v>
      </c>
      <c r="E18" s="2" t="s">
        <v>1113</v>
      </c>
      <c r="F18" s="2" t="s">
        <v>1081</v>
      </c>
      <c r="G18" s="4">
        <v>46296</v>
      </c>
      <c r="H18" s="2" t="s">
        <v>1082</v>
      </c>
      <c r="I18" s="2">
        <v>4</v>
      </c>
      <c r="J18" s="2" t="s">
        <v>1114</v>
      </c>
    </row>
    <row r="19" spans="1:10" ht="25.5">
      <c r="A19" s="2" t="s">
        <v>83</v>
      </c>
      <c r="B19" s="2" t="s">
        <v>1084</v>
      </c>
      <c r="C19" s="2" t="s">
        <v>1115</v>
      </c>
      <c r="D19" s="2" t="s">
        <v>1084</v>
      </c>
      <c r="E19" s="2" t="s">
        <v>1086</v>
      </c>
      <c r="F19" s="2" t="s">
        <v>1081</v>
      </c>
      <c r="G19" s="4">
        <v>46296</v>
      </c>
      <c r="H19" s="2" t="s">
        <v>1082</v>
      </c>
      <c r="I19" s="2">
        <v>4</v>
      </c>
      <c r="J19" s="2" t="s">
        <v>1116</v>
      </c>
    </row>
    <row r="20" spans="1:10" ht="25.5">
      <c r="A20" s="2" t="s">
        <v>83</v>
      </c>
      <c r="B20" s="2" t="s">
        <v>1084</v>
      </c>
      <c r="C20" s="2" t="s">
        <v>1117</v>
      </c>
      <c r="D20" s="2" t="s">
        <v>1084</v>
      </c>
      <c r="E20" s="2" t="s">
        <v>1086</v>
      </c>
      <c r="F20" s="2" t="s">
        <v>1081</v>
      </c>
      <c r="G20" s="4">
        <v>46296</v>
      </c>
      <c r="H20" s="2" t="s">
        <v>1082</v>
      </c>
      <c r="I20" s="2">
        <v>4</v>
      </c>
      <c r="J20" s="2" t="s">
        <v>1118</v>
      </c>
    </row>
    <row r="21" spans="1:10" ht="25.5">
      <c r="A21" s="2" t="s">
        <v>83</v>
      </c>
      <c r="B21" s="2" t="s">
        <v>1084</v>
      </c>
      <c r="C21" s="2" t="s">
        <v>1119</v>
      </c>
      <c r="D21" s="2" t="s">
        <v>1084</v>
      </c>
      <c r="E21" s="2" t="s">
        <v>1086</v>
      </c>
      <c r="F21" s="2" t="s">
        <v>1081</v>
      </c>
      <c r="G21" s="4">
        <v>46296</v>
      </c>
      <c r="H21" s="2" t="s">
        <v>1082</v>
      </c>
      <c r="I21" s="2">
        <v>4</v>
      </c>
      <c r="J21" s="2" t="s">
        <v>1120</v>
      </c>
    </row>
    <row r="22" spans="1:10">
      <c r="A22" s="2" t="s">
        <v>83</v>
      </c>
      <c r="B22" s="2" t="s">
        <v>1098</v>
      </c>
      <c r="C22" s="2" t="s">
        <v>1121</v>
      </c>
      <c r="D22" s="2" t="s">
        <v>1100</v>
      </c>
      <c r="E22" s="2" t="s">
        <v>1101</v>
      </c>
      <c r="F22" s="2" t="s">
        <v>1102</v>
      </c>
      <c r="G22" s="4">
        <v>46295</v>
      </c>
      <c r="H22" s="2" t="s">
        <v>1103</v>
      </c>
      <c r="I22" s="2">
        <v>5</v>
      </c>
      <c r="J22" s="2" t="s">
        <v>1122</v>
      </c>
    </row>
    <row r="23" spans="1:10">
      <c r="A23" s="2" t="s">
        <v>83</v>
      </c>
      <c r="B23" s="2" t="s">
        <v>1098</v>
      </c>
      <c r="C23" s="2" t="s">
        <v>1123</v>
      </c>
      <c r="D23" s="2" t="s">
        <v>1100</v>
      </c>
      <c r="E23" s="2" t="s">
        <v>1101</v>
      </c>
      <c r="F23" s="2" t="s">
        <v>1102</v>
      </c>
      <c r="G23" s="4">
        <v>46295</v>
      </c>
      <c r="H23" s="2" t="s">
        <v>1103</v>
      </c>
      <c r="I23" s="2">
        <v>5</v>
      </c>
      <c r="J23" s="2" t="s">
        <v>1124</v>
      </c>
    </row>
    <row r="24" spans="1:10" ht="25.5">
      <c r="A24" s="2" t="s">
        <v>84</v>
      </c>
      <c r="B24" s="2" t="s">
        <v>1078</v>
      </c>
      <c r="C24" s="2" t="s">
        <v>1125</v>
      </c>
      <c r="D24" s="2" t="s">
        <v>1078</v>
      </c>
      <c r="E24" s="2" t="s">
        <v>1080</v>
      </c>
      <c r="F24" s="2" t="s">
        <v>1081</v>
      </c>
      <c r="G24" s="4">
        <v>46296</v>
      </c>
      <c r="H24" s="2" t="s">
        <v>1082</v>
      </c>
      <c r="I24" s="2">
        <v>4</v>
      </c>
      <c r="J24" s="2" t="s">
        <v>1126</v>
      </c>
    </row>
    <row r="25" spans="1:10" ht="25.5">
      <c r="A25" s="2" t="s">
        <v>84</v>
      </c>
      <c r="B25" s="2" t="s">
        <v>1084</v>
      </c>
      <c r="C25" s="2" t="s">
        <v>1127</v>
      </c>
      <c r="D25" s="2" t="s">
        <v>1084</v>
      </c>
      <c r="E25" s="2" t="s">
        <v>1086</v>
      </c>
      <c r="F25" s="2" t="s">
        <v>1081</v>
      </c>
      <c r="G25" s="4">
        <v>46296</v>
      </c>
      <c r="H25" s="2" t="s">
        <v>1082</v>
      </c>
      <c r="I25" s="2">
        <v>4</v>
      </c>
      <c r="J25" s="2" t="s">
        <v>1128</v>
      </c>
    </row>
    <row r="26" spans="1:10" ht="25.5">
      <c r="A26" s="2" t="s">
        <v>84</v>
      </c>
      <c r="B26" s="2" t="s">
        <v>1129</v>
      </c>
      <c r="C26" s="2" t="s">
        <v>1130</v>
      </c>
      <c r="D26" s="2" t="s">
        <v>1129</v>
      </c>
      <c r="E26" s="2" t="s">
        <v>1131</v>
      </c>
      <c r="F26" s="2" t="s">
        <v>1081</v>
      </c>
      <c r="G26" s="4">
        <v>46296</v>
      </c>
      <c r="H26" s="2" t="s">
        <v>1132</v>
      </c>
      <c r="I26" s="2">
        <v>5</v>
      </c>
      <c r="J26" s="2" t="s">
        <v>1133</v>
      </c>
    </row>
    <row r="27" spans="1:10" ht="25.5">
      <c r="A27" s="2" t="s">
        <v>85</v>
      </c>
      <c r="B27" s="2" t="s">
        <v>1078</v>
      </c>
      <c r="C27" s="2" t="s">
        <v>1134</v>
      </c>
      <c r="D27" s="2" t="s">
        <v>1078</v>
      </c>
      <c r="E27" s="2" t="s">
        <v>1080</v>
      </c>
      <c r="F27" s="2" t="s">
        <v>1081</v>
      </c>
      <c r="G27" s="4">
        <v>46296</v>
      </c>
      <c r="H27" s="2" t="s">
        <v>1082</v>
      </c>
      <c r="I27" s="2">
        <v>4</v>
      </c>
      <c r="J27" s="2" t="s">
        <v>1135</v>
      </c>
    </row>
    <row r="28" spans="1:10" ht="38.25">
      <c r="A28" s="2" t="s">
        <v>85</v>
      </c>
      <c r="B28" s="2" t="s">
        <v>1129</v>
      </c>
      <c r="C28" s="2" t="s">
        <v>1136</v>
      </c>
      <c r="D28" s="2" t="s">
        <v>1129</v>
      </c>
      <c r="E28" s="2" t="s">
        <v>1131</v>
      </c>
      <c r="F28" s="2" t="s">
        <v>1081</v>
      </c>
      <c r="G28" s="4">
        <v>46296</v>
      </c>
      <c r="H28" s="2" t="s">
        <v>1082</v>
      </c>
      <c r="I28" s="2">
        <v>5</v>
      </c>
      <c r="J28" s="2" t="s">
        <v>1137</v>
      </c>
    </row>
    <row r="29" spans="1:10" ht="25.5">
      <c r="A29" s="2" t="s">
        <v>85</v>
      </c>
      <c r="B29" s="2" t="s">
        <v>1138</v>
      </c>
      <c r="C29" s="2" t="s">
        <v>1139</v>
      </c>
      <c r="D29" s="2" t="s">
        <v>1138</v>
      </c>
      <c r="E29" s="2" t="s">
        <v>1140</v>
      </c>
      <c r="F29" s="2" t="s">
        <v>1081</v>
      </c>
      <c r="G29" s="4">
        <v>46296</v>
      </c>
      <c r="H29" s="2" t="s">
        <v>1082</v>
      </c>
      <c r="I29" s="2">
        <v>4</v>
      </c>
      <c r="J29" s="2" t="s">
        <v>1141</v>
      </c>
    </row>
    <row r="30" spans="1:10" ht="38.25">
      <c r="A30" s="2" t="s">
        <v>86</v>
      </c>
      <c r="B30" s="2" t="s">
        <v>1078</v>
      </c>
      <c r="C30" s="2" t="s">
        <v>1142</v>
      </c>
      <c r="D30" s="2" t="s">
        <v>1078</v>
      </c>
      <c r="E30" s="2" t="s">
        <v>1080</v>
      </c>
      <c r="F30" s="2" t="s">
        <v>1081</v>
      </c>
      <c r="G30" s="4">
        <v>46296</v>
      </c>
      <c r="H30" s="2" t="s">
        <v>1082</v>
      </c>
      <c r="I30" s="2">
        <v>4</v>
      </c>
      <c r="J30" s="2" t="s">
        <v>1143</v>
      </c>
    </row>
    <row r="31" spans="1:10" ht="25.5">
      <c r="A31" s="2" t="s">
        <v>86</v>
      </c>
      <c r="B31" s="2" t="s">
        <v>1138</v>
      </c>
      <c r="C31" s="2" t="s">
        <v>1144</v>
      </c>
      <c r="D31" s="2" t="s">
        <v>1138</v>
      </c>
      <c r="E31" s="2" t="s">
        <v>1140</v>
      </c>
      <c r="F31" s="2" t="s">
        <v>1081</v>
      </c>
      <c r="G31" s="4">
        <v>46296</v>
      </c>
      <c r="H31" s="2" t="s">
        <v>1082</v>
      </c>
      <c r="I31" s="2">
        <v>4</v>
      </c>
      <c r="J31" s="2" t="s">
        <v>1145</v>
      </c>
    </row>
    <row r="32" spans="1:10" ht="25.5">
      <c r="A32" s="2" t="s">
        <v>86</v>
      </c>
      <c r="B32" s="2" t="s">
        <v>1098</v>
      </c>
      <c r="C32" s="2" t="s">
        <v>1146</v>
      </c>
      <c r="D32" s="2" t="s">
        <v>1100</v>
      </c>
      <c r="E32" s="2" t="s">
        <v>1101</v>
      </c>
      <c r="F32" s="2" t="s">
        <v>1102</v>
      </c>
      <c r="G32" s="4">
        <v>46295</v>
      </c>
      <c r="H32" s="2" t="s">
        <v>1103</v>
      </c>
      <c r="I32" s="2">
        <v>5</v>
      </c>
      <c r="J32" s="2" t="s">
        <v>1147</v>
      </c>
    </row>
    <row r="33" spans="1:10" ht="25.5">
      <c r="A33" s="2" t="s">
        <v>86</v>
      </c>
      <c r="B33" s="2" t="s">
        <v>1098</v>
      </c>
      <c r="C33" s="2" t="s">
        <v>1148</v>
      </c>
      <c r="D33" s="2" t="s">
        <v>1100</v>
      </c>
      <c r="E33" s="2" t="s">
        <v>1101</v>
      </c>
      <c r="F33" s="2" t="s">
        <v>1102</v>
      </c>
      <c r="G33" s="4">
        <v>46295</v>
      </c>
      <c r="H33" s="2" t="s">
        <v>1103</v>
      </c>
      <c r="I33" s="2">
        <v>5</v>
      </c>
      <c r="J33" s="2" t="s">
        <v>1149</v>
      </c>
    </row>
    <row r="34" spans="1:10" ht="25.5">
      <c r="A34" s="2" t="s">
        <v>87</v>
      </c>
      <c r="B34" s="2" t="s">
        <v>1078</v>
      </c>
      <c r="C34" s="2" t="s">
        <v>1150</v>
      </c>
      <c r="D34" s="2" t="s">
        <v>1078</v>
      </c>
      <c r="E34" s="2" t="s">
        <v>1080</v>
      </c>
      <c r="F34" s="2" t="s">
        <v>1081</v>
      </c>
      <c r="G34" s="4">
        <v>46296</v>
      </c>
      <c r="H34" s="2" t="s">
        <v>1132</v>
      </c>
      <c r="I34" s="2">
        <v>5</v>
      </c>
      <c r="J34" s="2" t="s">
        <v>1151</v>
      </c>
    </row>
    <row r="35" spans="1:10" ht="25.5">
      <c r="A35" s="2" t="s">
        <v>87</v>
      </c>
      <c r="B35" s="2" t="s">
        <v>1129</v>
      </c>
      <c r="C35" s="2" t="s">
        <v>1152</v>
      </c>
      <c r="D35" s="2" t="s">
        <v>1129</v>
      </c>
      <c r="E35" s="2" t="s">
        <v>1131</v>
      </c>
      <c r="F35" s="2" t="s">
        <v>1081</v>
      </c>
      <c r="G35" s="4">
        <v>46296</v>
      </c>
      <c r="H35" s="2" t="s">
        <v>1132</v>
      </c>
      <c r="I35" s="2">
        <v>5</v>
      </c>
      <c r="J35" s="2" t="s">
        <v>1153</v>
      </c>
    </row>
    <row r="36" spans="1:10" ht="25.5">
      <c r="A36" s="2" t="s">
        <v>88</v>
      </c>
      <c r="B36" s="2" t="s">
        <v>1078</v>
      </c>
      <c r="C36" s="2" t="s">
        <v>1154</v>
      </c>
      <c r="D36" s="2" t="s">
        <v>1078</v>
      </c>
      <c r="E36" s="2" t="s">
        <v>1080</v>
      </c>
      <c r="F36" s="2" t="s">
        <v>1081</v>
      </c>
      <c r="G36" s="4">
        <v>46296</v>
      </c>
      <c r="H36" s="2" t="s">
        <v>1082</v>
      </c>
      <c r="I36" s="2">
        <v>4</v>
      </c>
      <c r="J36" s="2" t="s">
        <v>1155</v>
      </c>
    </row>
    <row r="37" spans="1:10" ht="25.5">
      <c r="A37" s="2" t="s">
        <v>88</v>
      </c>
      <c r="B37" s="2" t="s">
        <v>1129</v>
      </c>
      <c r="C37" s="2" t="s">
        <v>1156</v>
      </c>
      <c r="D37" s="2" t="s">
        <v>1129</v>
      </c>
      <c r="E37" s="2" t="s">
        <v>1131</v>
      </c>
      <c r="F37" s="2" t="s">
        <v>1081</v>
      </c>
      <c r="G37" s="4">
        <v>46296</v>
      </c>
      <c r="H37" s="2" t="s">
        <v>1082</v>
      </c>
      <c r="I37" s="2">
        <v>5</v>
      </c>
      <c r="J37" s="2" t="s">
        <v>1157</v>
      </c>
    </row>
    <row r="38" spans="1:10" ht="25.5">
      <c r="A38" s="2" t="s">
        <v>88</v>
      </c>
      <c r="B38" s="2" t="s">
        <v>1158</v>
      </c>
      <c r="C38" s="2" t="s">
        <v>1159</v>
      </c>
      <c r="D38" s="2" t="s">
        <v>1158</v>
      </c>
      <c r="E38" s="2" t="s">
        <v>1160</v>
      </c>
      <c r="F38" s="2" t="s">
        <v>1081</v>
      </c>
      <c r="G38" s="4">
        <v>46296</v>
      </c>
      <c r="H38" s="2" t="s">
        <v>1082</v>
      </c>
      <c r="I38" s="2">
        <v>4</v>
      </c>
      <c r="J38" s="2" t="s">
        <v>1161</v>
      </c>
    </row>
    <row r="39" spans="1:10" ht="38.25">
      <c r="A39" s="2" t="s">
        <v>88</v>
      </c>
      <c r="B39" s="2" t="s">
        <v>1158</v>
      </c>
      <c r="C39" s="2" t="s">
        <v>1162</v>
      </c>
      <c r="D39" s="2" t="s">
        <v>1158</v>
      </c>
      <c r="E39" s="2" t="s">
        <v>1160</v>
      </c>
      <c r="F39" s="2" t="s">
        <v>1081</v>
      </c>
      <c r="G39" s="4">
        <v>46296</v>
      </c>
      <c r="H39" s="2" t="s">
        <v>1082</v>
      </c>
      <c r="I39" s="2">
        <v>4</v>
      </c>
      <c r="J39" s="2" t="s">
        <v>1163</v>
      </c>
    </row>
    <row r="40" spans="1:10" ht="25.5">
      <c r="A40" s="2" t="s">
        <v>88</v>
      </c>
      <c r="B40" s="2" t="s">
        <v>1084</v>
      </c>
      <c r="C40" s="2" t="s">
        <v>1164</v>
      </c>
      <c r="D40" s="2" t="s">
        <v>1084</v>
      </c>
      <c r="E40" s="2" t="s">
        <v>1086</v>
      </c>
      <c r="F40" s="2" t="s">
        <v>1081</v>
      </c>
      <c r="G40" s="4">
        <v>46296</v>
      </c>
      <c r="H40" s="2" t="s">
        <v>1082</v>
      </c>
      <c r="I40" s="2">
        <v>4</v>
      </c>
      <c r="J40" s="2" t="s">
        <v>1165</v>
      </c>
    </row>
    <row r="41" spans="1:10" ht="38.25">
      <c r="A41" s="2" t="s">
        <v>89</v>
      </c>
      <c r="B41" s="2" t="s">
        <v>1078</v>
      </c>
      <c r="C41" s="2" t="s">
        <v>1166</v>
      </c>
      <c r="D41" s="2" t="s">
        <v>1078</v>
      </c>
      <c r="E41" s="2" t="s">
        <v>1080</v>
      </c>
      <c r="F41" s="2" t="s">
        <v>1081</v>
      </c>
      <c r="G41" s="4">
        <v>46296</v>
      </c>
      <c r="H41" s="2" t="s">
        <v>1082</v>
      </c>
      <c r="I41" s="2">
        <v>4</v>
      </c>
      <c r="J41" s="2" t="s">
        <v>1167</v>
      </c>
    </row>
    <row r="42" spans="1:10" ht="25.5">
      <c r="A42" s="2" t="s">
        <v>89</v>
      </c>
      <c r="B42" s="2" t="s">
        <v>1129</v>
      </c>
      <c r="C42" s="2" t="s">
        <v>1168</v>
      </c>
      <c r="D42" s="2" t="s">
        <v>1129</v>
      </c>
      <c r="E42" s="2" t="s">
        <v>1131</v>
      </c>
      <c r="F42" s="2" t="s">
        <v>1081</v>
      </c>
      <c r="G42" s="4">
        <v>46296</v>
      </c>
      <c r="H42" s="2" t="s">
        <v>1082</v>
      </c>
      <c r="I42" s="2">
        <v>5</v>
      </c>
      <c r="J42" s="2" t="s">
        <v>1169</v>
      </c>
    </row>
    <row r="43" spans="1:10" ht="25.5">
      <c r="A43" s="2" t="s">
        <v>89</v>
      </c>
      <c r="B43" s="2" t="s">
        <v>1170</v>
      </c>
      <c r="C43" s="2" t="s">
        <v>1171</v>
      </c>
      <c r="D43" s="2" t="s">
        <v>1170</v>
      </c>
      <c r="E43" s="2" t="s">
        <v>1172</v>
      </c>
      <c r="F43" s="2" t="s">
        <v>1081</v>
      </c>
      <c r="G43" s="4">
        <v>46296</v>
      </c>
      <c r="H43" s="2" t="s">
        <v>1082</v>
      </c>
      <c r="I43" s="2">
        <v>4</v>
      </c>
      <c r="J43" s="2" t="s">
        <v>1173</v>
      </c>
    </row>
    <row r="44" spans="1:10" ht="25.5">
      <c r="A44" s="2" t="s">
        <v>89</v>
      </c>
      <c r="B44" s="2" t="s">
        <v>1174</v>
      </c>
      <c r="C44" s="2" t="s">
        <v>1175</v>
      </c>
      <c r="D44" s="2" t="s">
        <v>1174</v>
      </c>
      <c r="E44" s="2" t="s">
        <v>1176</v>
      </c>
      <c r="F44" s="2" t="s">
        <v>1081</v>
      </c>
      <c r="G44" s="4">
        <v>46296</v>
      </c>
      <c r="H44" s="2" t="s">
        <v>1082</v>
      </c>
      <c r="I44" s="2">
        <v>4</v>
      </c>
      <c r="J44" s="2" t="s">
        <v>1177</v>
      </c>
    </row>
    <row r="45" spans="1:10" ht="25.5">
      <c r="A45" s="2" t="s">
        <v>89</v>
      </c>
      <c r="B45" s="2" t="s">
        <v>1158</v>
      </c>
      <c r="C45" s="2" t="s">
        <v>1178</v>
      </c>
      <c r="D45" s="2" t="s">
        <v>1158</v>
      </c>
      <c r="E45" s="2" t="s">
        <v>1160</v>
      </c>
      <c r="F45" s="2" t="s">
        <v>1081</v>
      </c>
      <c r="G45" s="4">
        <v>46296</v>
      </c>
      <c r="H45" s="2" t="s">
        <v>1082</v>
      </c>
      <c r="I45" s="2">
        <v>4</v>
      </c>
      <c r="J45" s="2" t="s">
        <v>1179</v>
      </c>
    </row>
    <row r="46" spans="1:10" ht="38.25">
      <c r="A46" s="2" t="s">
        <v>89</v>
      </c>
      <c r="B46" s="2" t="s">
        <v>1084</v>
      </c>
      <c r="C46" s="2" t="s">
        <v>1180</v>
      </c>
      <c r="D46" s="2" t="s">
        <v>1084</v>
      </c>
      <c r="E46" s="2" t="s">
        <v>1086</v>
      </c>
      <c r="F46" s="2" t="s">
        <v>1081</v>
      </c>
      <c r="G46" s="4">
        <v>46296</v>
      </c>
      <c r="H46" s="2" t="s">
        <v>1082</v>
      </c>
      <c r="I46" s="2">
        <v>4</v>
      </c>
      <c r="J46" s="2" t="s">
        <v>1181</v>
      </c>
    </row>
    <row r="47" spans="1:10">
      <c r="A47" s="2"/>
      <c r="B47" s="2"/>
      <c r="C47" s="2"/>
      <c r="D47" s="2"/>
      <c r="E47" s="2"/>
      <c r="F47" s="2"/>
      <c r="G47" s="4"/>
      <c r="H47" s="2"/>
      <c r="I47" s="2"/>
      <c r="J47" s="2"/>
    </row>
    <row r="48" spans="1:10">
      <c r="A48" s="2"/>
      <c r="B48" s="2"/>
      <c r="C48" s="2"/>
      <c r="D48" s="2"/>
      <c r="E48" s="2"/>
      <c r="F48" s="2"/>
      <c r="G48" s="4"/>
      <c r="H48" s="2"/>
      <c r="I48" s="2"/>
      <c r="J48" s="2"/>
    </row>
    <row r="49" spans="1:10">
      <c r="A49" s="2"/>
      <c r="B49" s="2"/>
      <c r="C49" s="2"/>
      <c r="D49" s="2"/>
      <c r="E49" s="2"/>
      <c r="F49" s="2"/>
      <c r="G49" s="4"/>
      <c r="H49" s="2"/>
      <c r="I49" s="2"/>
      <c r="J49" s="2"/>
    </row>
    <row r="50" spans="1:10">
      <c r="A50" s="2"/>
      <c r="B50" s="2"/>
      <c r="C50" s="2"/>
      <c r="D50" s="2"/>
      <c r="E50" s="2"/>
      <c r="F50" s="2"/>
      <c r="G50" s="4"/>
      <c r="H50" s="2"/>
      <c r="I50" s="2"/>
      <c r="J50" s="2"/>
    </row>
    <row r="51" spans="1:10">
      <c r="A51" s="2"/>
      <c r="B51" s="2"/>
      <c r="C51" s="2"/>
      <c r="D51" s="2"/>
      <c r="E51" s="2"/>
      <c r="F51" s="2"/>
      <c r="G51" s="4"/>
      <c r="H51" s="2"/>
      <c r="I51" s="2"/>
      <c r="J51" s="2"/>
    </row>
    <row r="52" spans="1:10">
      <c r="A52" s="2"/>
      <c r="B52" s="2"/>
      <c r="C52" s="2"/>
      <c r="D52" s="2"/>
      <c r="E52" s="2"/>
      <c r="F52" s="2"/>
      <c r="G52" s="4"/>
      <c r="H52" s="2"/>
      <c r="I52" s="2"/>
      <c r="J52" s="2"/>
    </row>
    <row r="53" spans="1:10">
      <c r="A53" s="2"/>
      <c r="B53" s="2"/>
      <c r="C53" s="2"/>
      <c r="D53" s="2"/>
      <c r="E53" s="2"/>
      <c r="F53" s="2"/>
      <c r="G53" s="4"/>
      <c r="H53" s="2"/>
      <c r="I53" s="2"/>
      <c r="J53" s="2"/>
    </row>
    <row r="54" spans="1:10">
      <c r="A54" s="2"/>
      <c r="B54" s="2"/>
      <c r="C54" s="2"/>
      <c r="D54" s="2"/>
      <c r="E54" s="2"/>
      <c r="F54" s="2"/>
      <c r="G54" s="4"/>
      <c r="H54" s="2"/>
      <c r="I54" s="2"/>
      <c r="J54" s="2"/>
    </row>
    <row r="55" spans="1:10">
      <c r="A55" s="2"/>
      <c r="B55" s="2"/>
      <c r="C55" s="2"/>
      <c r="D55" s="2"/>
      <c r="E55" s="2"/>
      <c r="F55" s="2"/>
      <c r="G55" s="4"/>
      <c r="H55" s="2"/>
      <c r="I55" s="2"/>
      <c r="J55" s="2"/>
    </row>
    <row r="56" spans="1:10">
      <c r="A56" s="2"/>
      <c r="B56" s="2"/>
      <c r="C56" s="2"/>
      <c r="D56" s="2"/>
      <c r="E56" s="2"/>
      <c r="F56" s="2"/>
      <c r="G56" s="4"/>
      <c r="H56" s="2"/>
      <c r="I56" s="2"/>
      <c r="J56" s="2"/>
    </row>
    <row r="57" spans="1:10">
      <c r="A57" s="2"/>
      <c r="B57" s="2"/>
      <c r="C57" s="2"/>
      <c r="D57" s="2"/>
      <c r="E57" s="2"/>
      <c r="F57" s="2"/>
      <c r="G57" s="4"/>
      <c r="H57" s="2"/>
      <c r="I57" s="2"/>
      <c r="J57" s="2"/>
    </row>
    <row r="58" spans="1:10">
      <c r="A58" s="2"/>
      <c r="B58" s="2"/>
      <c r="C58" s="2"/>
      <c r="D58" s="2"/>
      <c r="E58" s="2"/>
      <c r="F58" s="2"/>
      <c r="G58" s="4"/>
      <c r="H58" s="2"/>
      <c r="I58" s="2"/>
      <c r="J58" s="2"/>
    </row>
    <row r="59" spans="1:10">
      <c r="A59" s="2"/>
      <c r="B59" s="2"/>
      <c r="C59" s="2"/>
      <c r="D59" s="2"/>
      <c r="E59" s="2"/>
      <c r="F59" s="2"/>
      <c r="G59" s="4"/>
      <c r="H59" s="2"/>
      <c r="I59" s="2"/>
      <c r="J59" s="2"/>
    </row>
    <row r="60" spans="1:10">
      <c r="A60" s="2"/>
      <c r="B60" s="2"/>
      <c r="C60" s="2"/>
      <c r="D60" s="2"/>
      <c r="E60" s="2"/>
      <c r="F60" s="2"/>
      <c r="G60" s="4"/>
      <c r="H60" s="2"/>
      <c r="I60" s="2"/>
      <c r="J60" s="2"/>
    </row>
    <row r="61" spans="1:10">
      <c r="A61" s="2"/>
      <c r="B61" s="2"/>
      <c r="C61" s="2"/>
      <c r="D61" s="2"/>
      <c r="E61" s="2"/>
      <c r="F61" s="2"/>
      <c r="G61" s="4"/>
      <c r="H61" s="2"/>
      <c r="I61" s="2"/>
      <c r="J61" s="2"/>
    </row>
    <row r="62" spans="1:10">
      <c r="A62" s="2"/>
      <c r="B62" s="2"/>
      <c r="C62" s="2"/>
      <c r="D62" s="2"/>
      <c r="E62" s="2"/>
      <c r="F62" s="2"/>
      <c r="G62" s="4"/>
      <c r="H62" s="2"/>
      <c r="I62" s="2"/>
      <c r="J62" s="2"/>
    </row>
    <row r="63" spans="1:10">
      <c r="A63" s="2"/>
      <c r="B63" s="2"/>
      <c r="C63" s="2"/>
      <c r="D63" s="2"/>
      <c r="E63" s="2"/>
      <c r="F63" s="2"/>
      <c r="G63" s="4"/>
      <c r="H63" s="2"/>
      <c r="I63" s="2"/>
      <c r="J63" s="2"/>
    </row>
    <row r="64" spans="1:10">
      <c r="A64" s="2"/>
      <c r="B64" s="2"/>
      <c r="C64" s="2"/>
      <c r="D64" s="2"/>
      <c r="E64" s="2"/>
      <c r="F64" s="2"/>
      <c r="G64" s="4"/>
      <c r="H64" s="2"/>
      <c r="I64" s="2"/>
      <c r="J64" s="2"/>
    </row>
    <row r="65" spans="1:10">
      <c r="A65" s="2"/>
      <c r="B65" s="2"/>
      <c r="C65" s="2"/>
      <c r="D65" s="2"/>
      <c r="E65" s="2"/>
      <c r="F65" s="2"/>
      <c r="G65" s="4"/>
      <c r="H65" s="2"/>
      <c r="I65" s="2"/>
      <c r="J65" s="2"/>
    </row>
    <row r="66" spans="1:10">
      <c r="A66" s="2"/>
      <c r="B66" s="2"/>
      <c r="C66" s="2"/>
      <c r="D66" s="2"/>
      <c r="E66" s="2"/>
      <c r="F66" s="2"/>
      <c r="G66" s="4"/>
      <c r="H66" s="2"/>
      <c r="I66" s="2"/>
      <c r="J66" s="2"/>
    </row>
    <row r="67" spans="1:10">
      <c r="A67" s="2"/>
      <c r="B67" s="2"/>
      <c r="C67" s="2"/>
      <c r="D67" s="2"/>
      <c r="E67" s="2"/>
      <c r="F67" s="2"/>
      <c r="G67" s="4"/>
      <c r="H67" s="2"/>
      <c r="I67" s="2"/>
      <c r="J67" s="2"/>
    </row>
    <row r="68" spans="1:10">
      <c r="A68" s="2"/>
      <c r="B68" s="2"/>
      <c r="C68" s="2"/>
      <c r="D68" s="2"/>
      <c r="E68" s="2"/>
      <c r="F68" s="2"/>
      <c r="G68" s="4"/>
      <c r="H68" s="2"/>
      <c r="I68" s="2"/>
      <c r="J68" s="2"/>
    </row>
    <row r="69" spans="1:10">
      <c r="A69" s="2"/>
      <c r="B69" s="2"/>
      <c r="C69" s="2"/>
      <c r="D69" s="2"/>
      <c r="E69" s="2"/>
      <c r="F69" s="2"/>
      <c r="G69" s="4"/>
      <c r="H69" s="2"/>
      <c r="I69" s="2"/>
      <c r="J69" s="2"/>
    </row>
    <row r="70" spans="1:10">
      <c r="A70" s="2"/>
      <c r="B70" s="2"/>
      <c r="C70" s="2"/>
      <c r="D70" s="2"/>
      <c r="E70" s="2"/>
      <c r="F70" s="2"/>
      <c r="G70" s="4"/>
      <c r="H70" s="2"/>
      <c r="I70" s="2"/>
      <c r="J70" s="2"/>
    </row>
    <row r="71" spans="1:10">
      <c r="A71" s="2"/>
      <c r="B71" s="2"/>
      <c r="C71" s="2"/>
      <c r="D71" s="2"/>
      <c r="E71" s="2"/>
      <c r="F71" s="2"/>
      <c r="G71" s="4"/>
      <c r="H71" s="2"/>
      <c r="I71" s="2"/>
      <c r="J71" s="2"/>
    </row>
    <row r="72" spans="1:10">
      <c r="A72" s="2"/>
      <c r="B72" s="2"/>
      <c r="C72" s="2"/>
      <c r="D72" s="2"/>
      <c r="E72" s="2"/>
      <c r="F72" s="2"/>
      <c r="G72" s="4"/>
      <c r="H72" s="2"/>
      <c r="I72" s="2"/>
      <c r="J72" s="2"/>
    </row>
    <row r="73" spans="1:10">
      <c r="A73" s="2"/>
      <c r="B73" s="2"/>
      <c r="C73" s="2"/>
      <c r="D73" s="2"/>
      <c r="E73" s="2"/>
      <c r="F73" s="2"/>
      <c r="G73" s="4"/>
      <c r="H73" s="2"/>
      <c r="I73" s="2"/>
      <c r="J73" s="2"/>
    </row>
    <row r="74" spans="1:10">
      <c r="A74" s="2"/>
      <c r="B74" s="2"/>
      <c r="C74" s="2"/>
      <c r="D74" s="2"/>
      <c r="E74" s="2"/>
      <c r="F74" s="2"/>
      <c r="G74" s="4"/>
      <c r="H74" s="2"/>
      <c r="I74" s="2"/>
      <c r="J74" s="2"/>
    </row>
    <row r="75" spans="1:10">
      <c r="A75" s="2"/>
      <c r="B75" s="2"/>
      <c r="C75" s="2"/>
      <c r="D75" s="2"/>
      <c r="E75" s="2"/>
      <c r="F75" s="2"/>
      <c r="G75" s="4"/>
      <c r="H75" s="2"/>
      <c r="I75" s="2"/>
      <c r="J75" s="2"/>
    </row>
    <row r="76" spans="1:10">
      <c r="A76" s="2"/>
      <c r="B76" s="2"/>
      <c r="C76" s="2"/>
      <c r="D76" s="2"/>
      <c r="E76" s="2"/>
      <c r="F76" s="2"/>
      <c r="G76" s="4"/>
      <c r="H76" s="2"/>
      <c r="I76" s="2"/>
      <c r="J76" s="2"/>
    </row>
    <row r="77" spans="1:10">
      <c r="A77" s="2"/>
      <c r="B77" s="2"/>
      <c r="C77" s="2"/>
      <c r="D77" s="2"/>
      <c r="E77" s="2"/>
      <c r="F77" s="2"/>
      <c r="G77" s="4"/>
      <c r="H77" s="2"/>
      <c r="I77" s="2"/>
      <c r="J77" s="2"/>
    </row>
    <row r="78" spans="1:10">
      <c r="A78" s="2"/>
      <c r="B78" s="2"/>
      <c r="C78" s="2"/>
      <c r="D78" s="2"/>
      <c r="E78" s="2"/>
      <c r="F78" s="2"/>
      <c r="G78" s="4"/>
      <c r="H78" s="2"/>
      <c r="I78" s="2"/>
      <c r="J78" s="2"/>
    </row>
    <row r="79" spans="1:10">
      <c r="A79" s="2"/>
      <c r="B79" s="2"/>
      <c r="C79" s="2"/>
      <c r="D79" s="2"/>
      <c r="E79" s="2"/>
      <c r="F79" s="2"/>
      <c r="G79" s="4"/>
      <c r="H79" s="2"/>
      <c r="I79" s="2"/>
      <c r="J79" s="2"/>
    </row>
    <row r="80" spans="1:10">
      <c r="A80" s="2"/>
      <c r="B80" s="2"/>
      <c r="C80" s="2"/>
      <c r="D80" s="2"/>
      <c r="E80" s="2"/>
      <c r="F80" s="2"/>
      <c r="G80" s="4"/>
      <c r="H80" s="2"/>
      <c r="I80" s="2"/>
      <c r="J80" s="2"/>
    </row>
    <row r="81" spans="1:10">
      <c r="A81" s="2"/>
      <c r="B81" s="2"/>
      <c r="C81" s="2"/>
      <c r="D81" s="2"/>
      <c r="E81" s="2"/>
      <c r="F81" s="2"/>
      <c r="G81" s="4"/>
      <c r="H81" s="2"/>
      <c r="I81" s="2"/>
      <c r="J81" s="2"/>
    </row>
    <row r="82" spans="1:10">
      <c r="A82" s="2"/>
      <c r="B82" s="2"/>
      <c r="C82" s="2"/>
      <c r="D82" s="2"/>
      <c r="E82" s="2"/>
      <c r="F82" s="2"/>
      <c r="G82" s="4"/>
      <c r="H82" s="2"/>
      <c r="I82" s="2"/>
      <c r="J82" s="2"/>
    </row>
    <row r="83" spans="1:10">
      <c r="A83" s="2"/>
      <c r="B83" s="2"/>
      <c r="C83" s="2"/>
      <c r="D83" s="2"/>
      <c r="E83" s="2"/>
      <c r="F83" s="2"/>
      <c r="G83" s="4"/>
      <c r="H83" s="2"/>
      <c r="I83" s="2"/>
      <c r="J83" s="2"/>
    </row>
    <row r="84" spans="1:10">
      <c r="A84" s="2"/>
      <c r="B84" s="2"/>
      <c r="C84" s="2"/>
      <c r="D84" s="2"/>
      <c r="E84" s="2"/>
      <c r="F84" s="2"/>
      <c r="G84" s="4"/>
      <c r="H84" s="2"/>
      <c r="I84" s="2"/>
      <c r="J84" s="2"/>
    </row>
    <row r="85" spans="1:10">
      <c r="A85" s="2"/>
      <c r="B85" s="2"/>
      <c r="C85" s="2"/>
      <c r="D85" s="2"/>
      <c r="E85" s="2"/>
      <c r="F85" s="2"/>
      <c r="G85" s="4"/>
      <c r="H85" s="2"/>
      <c r="I85" s="2"/>
      <c r="J85" s="2"/>
    </row>
    <row r="86" spans="1:10">
      <c r="A86" s="2"/>
      <c r="B86" s="2"/>
      <c r="C86" s="2"/>
      <c r="D86" s="2"/>
      <c r="E86" s="2"/>
      <c r="F86" s="2"/>
      <c r="G86" s="4"/>
      <c r="H86" s="2"/>
      <c r="I86" s="2"/>
      <c r="J86" s="2"/>
    </row>
    <row r="87" spans="1:10">
      <c r="A87" s="2"/>
      <c r="B87" s="2"/>
      <c r="C87" s="2"/>
      <c r="D87" s="2"/>
      <c r="E87" s="2"/>
      <c r="F87" s="2"/>
      <c r="G87" s="4"/>
      <c r="H87" s="2"/>
      <c r="I87" s="2"/>
      <c r="J87" s="2"/>
    </row>
    <row r="88" spans="1:10">
      <c r="A88" s="2"/>
      <c r="B88" s="2"/>
      <c r="C88" s="2"/>
      <c r="D88" s="2"/>
      <c r="E88" s="2"/>
      <c r="F88" s="2"/>
      <c r="G88" s="4"/>
      <c r="H88" s="2"/>
      <c r="I88" s="2"/>
      <c r="J88" s="2"/>
    </row>
    <row r="89" spans="1:10">
      <c r="A89" s="2"/>
      <c r="B89" s="2"/>
      <c r="C89" s="2"/>
      <c r="D89" s="2"/>
      <c r="E89" s="2"/>
      <c r="F89" s="2"/>
      <c r="G89" s="4"/>
      <c r="H89" s="2"/>
      <c r="I89" s="2"/>
      <c r="J89" s="2"/>
    </row>
    <row r="90" spans="1:10">
      <c r="A90" s="2"/>
      <c r="B90" s="2"/>
      <c r="C90" s="2"/>
      <c r="D90" s="2"/>
      <c r="E90" s="2"/>
      <c r="F90" s="2"/>
      <c r="G90" s="4"/>
      <c r="H90" s="2"/>
      <c r="I90" s="2"/>
      <c r="J90" s="2"/>
    </row>
    <row r="91" spans="1:10">
      <c r="A91" s="2"/>
      <c r="B91" s="2"/>
      <c r="C91" s="2"/>
      <c r="D91" s="2"/>
      <c r="E91" s="2"/>
      <c r="F91" s="2"/>
      <c r="G91" s="4"/>
      <c r="H91" s="2"/>
      <c r="I91" s="2"/>
      <c r="J91" s="2"/>
    </row>
    <row r="92" spans="1:10">
      <c r="A92" s="2"/>
      <c r="B92" s="2"/>
      <c r="C92" s="2"/>
      <c r="D92" s="2"/>
      <c r="E92" s="2"/>
      <c r="F92" s="2"/>
      <c r="G92" s="4"/>
      <c r="H92" s="2"/>
      <c r="I92" s="2"/>
      <c r="J92" s="2"/>
    </row>
    <row r="93" spans="1:10">
      <c r="A93" s="2"/>
      <c r="B93" s="2"/>
      <c r="C93" s="2"/>
      <c r="D93" s="2"/>
      <c r="E93" s="2"/>
      <c r="F93" s="2"/>
      <c r="G93" s="4"/>
      <c r="H93" s="2"/>
      <c r="I93" s="2"/>
      <c r="J93" s="2"/>
    </row>
    <row r="94" spans="1:10">
      <c r="A94" s="2"/>
      <c r="B94" s="2"/>
      <c r="C94" s="2"/>
      <c r="D94" s="2"/>
      <c r="E94" s="2"/>
      <c r="F94" s="2"/>
      <c r="G94" s="4"/>
      <c r="H94" s="2"/>
      <c r="I94" s="2"/>
      <c r="J94" s="2"/>
    </row>
    <row r="95" spans="1:10">
      <c r="A95" s="2"/>
      <c r="B95" s="2"/>
      <c r="C95" s="2"/>
      <c r="D95" s="2"/>
      <c r="E95" s="2"/>
      <c r="F95" s="2"/>
      <c r="G95" s="4"/>
      <c r="H95" s="2"/>
      <c r="I95" s="2"/>
      <c r="J95" s="2"/>
    </row>
    <row r="96" spans="1:10">
      <c r="A96" s="2"/>
      <c r="B96" s="2"/>
      <c r="C96" s="2"/>
      <c r="D96" s="2"/>
      <c r="E96" s="2"/>
      <c r="F96" s="2"/>
      <c r="G96" s="4"/>
      <c r="H96" s="2"/>
      <c r="I96" s="2"/>
      <c r="J96" s="2"/>
    </row>
    <row r="97" spans="1:10">
      <c r="A97" s="2"/>
      <c r="B97" s="2"/>
      <c r="C97" s="2"/>
      <c r="D97" s="2"/>
      <c r="E97" s="2"/>
      <c r="F97" s="2"/>
      <c r="G97" s="4"/>
      <c r="H97" s="2"/>
      <c r="I97" s="2"/>
      <c r="J97" s="2"/>
    </row>
    <row r="98" spans="1:10">
      <c r="A98" s="2"/>
      <c r="B98" s="2"/>
      <c r="C98" s="2"/>
      <c r="D98" s="2"/>
      <c r="E98" s="2"/>
      <c r="F98" s="2"/>
      <c r="G98" s="4"/>
      <c r="H98" s="2"/>
      <c r="I98" s="2"/>
      <c r="J98" s="2"/>
    </row>
    <row r="99" spans="1:10">
      <c r="A99" s="2"/>
      <c r="B99" s="2"/>
      <c r="C99" s="2"/>
      <c r="D99" s="2"/>
      <c r="E99" s="2"/>
      <c r="F99" s="2"/>
      <c r="G99" s="4"/>
      <c r="H99" s="2"/>
      <c r="I99" s="2"/>
      <c r="J99" s="2"/>
    </row>
    <row r="100" spans="1:10">
      <c r="A100" s="2"/>
      <c r="B100" s="2"/>
      <c r="C100" s="2"/>
      <c r="D100" s="2"/>
      <c r="E100" s="2"/>
      <c r="F100" s="2"/>
      <c r="G100" s="4"/>
      <c r="H100" s="2"/>
      <c r="I100" s="2"/>
      <c r="J100" s="2"/>
    </row>
    <row r="101" spans="1:10">
      <c r="A101" s="2"/>
      <c r="B101" s="2"/>
      <c r="C101" s="2"/>
      <c r="D101" s="2"/>
      <c r="E101" s="2"/>
      <c r="F101" s="2"/>
      <c r="G101" s="4"/>
      <c r="H101" s="2"/>
      <c r="I101" s="2"/>
      <c r="J101" s="2"/>
    </row>
    <row r="102" spans="1:10">
      <c r="A102" s="2"/>
      <c r="B102" s="2"/>
      <c r="C102" s="2"/>
      <c r="D102" s="2"/>
      <c r="E102" s="2"/>
      <c r="F102" s="2"/>
      <c r="G102" s="4"/>
      <c r="H102" s="2"/>
      <c r="I102" s="2"/>
      <c r="J102" s="2"/>
    </row>
    <row r="103" spans="1:10">
      <c r="A103" s="2"/>
      <c r="B103" s="2"/>
      <c r="C103" s="2"/>
      <c r="D103" s="2"/>
      <c r="E103" s="2"/>
      <c r="F103" s="2"/>
      <c r="G103" s="4"/>
      <c r="H103" s="2"/>
      <c r="I103" s="2"/>
      <c r="J103" s="2"/>
    </row>
    <row r="104" spans="1:10">
      <c r="A104" s="2"/>
      <c r="B104" s="2"/>
      <c r="C104" s="2"/>
      <c r="D104" s="2"/>
      <c r="E104" s="2"/>
      <c r="F104" s="2"/>
      <c r="G104" s="4"/>
      <c r="H104" s="2"/>
      <c r="I104" s="2"/>
      <c r="J104" s="2"/>
    </row>
    <row r="105" spans="1:10">
      <c r="A105" s="2"/>
      <c r="B105" s="2"/>
      <c r="C105" s="2"/>
      <c r="D105" s="2"/>
      <c r="E105" s="2"/>
      <c r="F105" s="2"/>
      <c r="G105" s="4"/>
      <c r="H105" s="2"/>
      <c r="I105" s="2"/>
      <c r="J105" s="2"/>
    </row>
    <row r="106" spans="1:10">
      <c r="A106" s="2"/>
      <c r="B106" s="2"/>
      <c r="C106" s="2"/>
      <c r="D106" s="2"/>
      <c r="E106" s="2"/>
      <c r="F106" s="2"/>
      <c r="G106" s="4"/>
      <c r="H106" s="2"/>
      <c r="I106" s="2"/>
      <c r="J106" s="2"/>
    </row>
    <row r="107" spans="1:10">
      <c r="A107" s="2"/>
      <c r="B107" s="2"/>
      <c r="C107" s="2"/>
      <c r="D107" s="2"/>
      <c r="E107" s="2"/>
      <c r="F107" s="2"/>
      <c r="G107" s="4"/>
      <c r="H107" s="2"/>
      <c r="I107" s="2"/>
      <c r="J107" s="2"/>
    </row>
    <row r="108" spans="1:10">
      <c r="A108" s="2"/>
      <c r="B108" s="2"/>
      <c r="C108" s="2"/>
      <c r="D108" s="2"/>
      <c r="E108" s="2"/>
      <c r="F108" s="2"/>
      <c r="G108" s="4"/>
      <c r="H108" s="2"/>
      <c r="I108" s="2"/>
      <c r="J108" s="2"/>
    </row>
    <row r="109" spans="1:10">
      <c r="A109" s="2"/>
      <c r="B109" s="2"/>
      <c r="C109" s="2"/>
      <c r="D109" s="2"/>
      <c r="E109" s="2"/>
      <c r="F109" s="2"/>
      <c r="G109" s="4"/>
      <c r="H109" s="2"/>
      <c r="I109" s="2"/>
      <c r="J109" s="2"/>
    </row>
    <row r="110" spans="1:10">
      <c r="A110" s="2"/>
      <c r="B110" s="2"/>
      <c r="C110" s="2"/>
      <c r="D110" s="2"/>
      <c r="E110" s="2"/>
      <c r="F110" s="2"/>
      <c r="G110" s="4"/>
      <c r="H110" s="2"/>
      <c r="I110" s="2"/>
      <c r="J110" s="2"/>
    </row>
    <row r="111" spans="1:10">
      <c r="A111" s="2"/>
      <c r="B111" s="2"/>
      <c r="C111" s="2"/>
      <c r="D111" s="2"/>
      <c r="E111" s="2"/>
      <c r="F111" s="2"/>
      <c r="G111" s="4"/>
      <c r="H111" s="2"/>
      <c r="I111" s="2"/>
      <c r="J111" s="2"/>
    </row>
    <row r="112" spans="1:10">
      <c r="A112" s="2"/>
      <c r="B112" s="2"/>
      <c r="C112" s="2"/>
      <c r="D112" s="2"/>
      <c r="E112" s="2"/>
      <c r="F112" s="2"/>
      <c r="G112" s="4"/>
      <c r="H112" s="2"/>
      <c r="I112" s="2"/>
      <c r="J112" s="2"/>
    </row>
    <row r="113" spans="1:10">
      <c r="A113" s="2"/>
      <c r="B113" s="2"/>
      <c r="C113" s="2"/>
      <c r="D113" s="2"/>
      <c r="E113" s="2"/>
      <c r="F113" s="2"/>
      <c r="G113" s="4"/>
      <c r="H113" s="2"/>
      <c r="I113" s="2"/>
      <c r="J113" s="2"/>
    </row>
    <row r="114" spans="1:10">
      <c r="A114" s="2"/>
      <c r="B114" s="2"/>
      <c r="C114" s="2"/>
      <c r="D114" s="2"/>
      <c r="E114" s="2"/>
      <c r="F114" s="2"/>
      <c r="G114" s="4"/>
      <c r="H114" s="2"/>
      <c r="I114" s="2"/>
      <c r="J114" s="2"/>
    </row>
    <row r="115" spans="1:10">
      <c r="A115" s="2"/>
      <c r="B115" s="2"/>
      <c r="C115" s="2"/>
      <c r="D115" s="2"/>
      <c r="E115" s="2"/>
      <c r="F115" s="2"/>
      <c r="G115" s="4"/>
      <c r="H115" s="2"/>
      <c r="I115" s="2"/>
      <c r="J115" s="2"/>
    </row>
    <row r="116" spans="1:10">
      <c r="A116" s="2"/>
      <c r="B116" s="2"/>
      <c r="C116" s="2"/>
      <c r="D116" s="2"/>
      <c r="E116" s="2"/>
      <c r="F116" s="2"/>
      <c r="G116" s="4"/>
      <c r="H116" s="2"/>
      <c r="I116" s="2"/>
      <c r="J116" s="2"/>
    </row>
    <row r="117" spans="1:10">
      <c r="A117" s="2"/>
      <c r="B117" s="2"/>
      <c r="C117" s="2"/>
      <c r="D117" s="2"/>
      <c r="E117" s="2"/>
      <c r="F117" s="2"/>
      <c r="G117" s="4"/>
      <c r="H117" s="2"/>
      <c r="I117" s="2"/>
      <c r="J117" s="2"/>
    </row>
    <row r="118" spans="1:10">
      <c r="A118" s="2"/>
      <c r="B118" s="2"/>
      <c r="C118" s="2"/>
      <c r="D118" s="2"/>
      <c r="E118" s="2"/>
      <c r="F118" s="2"/>
      <c r="G118" s="4"/>
      <c r="H118" s="2"/>
      <c r="I118" s="2"/>
      <c r="J118" s="2"/>
    </row>
    <row r="119" spans="1:10">
      <c r="A119" s="2"/>
      <c r="B119" s="2"/>
      <c r="C119" s="2"/>
      <c r="D119" s="2"/>
      <c r="E119" s="2"/>
      <c r="F119" s="2"/>
      <c r="G119" s="4"/>
      <c r="H119" s="2"/>
      <c r="I119" s="2"/>
      <c r="J119" s="2"/>
    </row>
    <row r="120" spans="1:10">
      <c r="A120" s="2"/>
      <c r="B120" s="2"/>
      <c r="C120" s="2"/>
      <c r="D120" s="2"/>
      <c r="E120" s="2"/>
      <c r="F120" s="2"/>
      <c r="G120" s="4"/>
      <c r="H120" s="2"/>
      <c r="I120" s="2"/>
      <c r="J120" s="2"/>
    </row>
    <row r="121" spans="1:10">
      <c r="A121" s="2"/>
      <c r="B121" s="2"/>
      <c r="C121" s="2"/>
      <c r="D121" s="2"/>
      <c r="E121" s="2"/>
      <c r="F121" s="2"/>
      <c r="G121" s="4"/>
      <c r="H121" s="2"/>
      <c r="I121" s="2"/>
      <c r="J121" s="2"/>
    </row>
    <row r="122" spans="1:10">
      <c r="A122" s="2"/>
      <c r="B122" s="2"/>
      <c r="C122" s="2"/>
      <c r="D122" s="2"/>
      <c r="E122" s="2"/>
      <c r="F122" s="2"/>
      <c r="G122" s="4"/>
      <c r="H122" s="2"/>
      <c r="I122" s="2"/>
      <c r="J122" s="2"/>
    </row>
    <row r="123" spans="1:10">
      <c r="A123" s="2"/>
      <c r="B123" s="2"/>
      <c r="C123" s="2"/>
      <c r="D123" s="2"/>
      <c r="E123" s="2"/>
      <c r="F123" s="2"/>
      <c r="G123" s="4"/>
      <c r="H123" s="2"/>
      <c r="I123" s="2"/>
      <c r="J123" s="2"/>
    </row>
    <row r="124" spans="1:10">
      <c r="A124" s="2"/>
      <c r="B124" s="2"/>
      <c r="C124" s="2"/>
      <c r="D124" s="2"/>
      <c r="E124" s="2"/>
      <c r="F124" s="2"/>
      <c r="G124" s="4"/>
      <c r="H124" s="2"/>
      <c r="I124" s="2"/>
      <c r="J124" s="2"/>
    </row>
    <row r="125" spans="1:10">
      <c r="A125" s="2"/>
      <c r="B125" s="2"/>
      <c r="C125" s="2"/>
      <c r="D125" s="2"/>
      <c r="E125" s="2"/>
      <c r="F125" s="2"/>
      <c r="G125" s="4"/>
      <c r="H125" s="2"/>
      <c r="I125" s="2"/>
      <c r="J125" s="2"/>
    </row>
    <row r="126" spans="1:10">
      <c r="A126" s="2"/>
      <c r="B126" s="2"/>
      <c r="C126" s="2"/>
      <c r="D126" s="2"/>
      <c r="E126" s="2"/>
      <c r="F126" s="2"/>
      <c r="G126" s="4"/>
      <c r="H126" s="2"/>
      <c r="I126" s="2"/>
      <c r="J126" s="2"/>
    </row>
    <row r="127" spans="1:10">
      <c r="A127" s="2"/>
      <c r="B127" s="2"/>
      <c r="C127" s="2"/>
      <c r="D127" s="2"/>
      <c r="E127" s="2"/>
      <c r="F127" s="2"/>
      <c r="G127" s="4"/>
      <c r="H127" s="2"/>
      <c r="I127" s="2"/>
      <c r="J127" s="2"/>
    </row>
    <row r="128" spans="1:10">
      <c r="A128" s="2"/>
      <c r="B128" s="2"/>
      <c r="C128" s="2"/>
      <c r="D128" s="2"/>
      <c r="E128" s="2"/>
      <c r="F128" s="2"/>
      <c r="G128" s="4"/>
      <c r="H128" s="2"/>
      <c r="I128" s="2"/>
      <c r="J128" s="2"/>
    </row>
    <row r="129" spans="1:10">
      <c r="A129" s="2"/>
      <c r="B129" s="2"/>
      <c r="C129" s="2"/>
      <c r="D129" s="2"/>
      <c r="E129" s="2"/>
      <c r="F129" s="2"/>
      <c r="G129" s="4"/>
      <c r="H129" s="2"/>
      <c r="I129" s="2"/>
      <c r="J129" s="2"/>
    </row>
    <row r="130" spans="1:10">
      <c r="A130" s="2"/>
      <c r="B130" s="2"/>
      <c r="C130" s="2"/>
      <c r="D130" s="2"/>
      <c r="E130" s="2"/>
      <c r="F130" s="2"/>
      <c r="G130" s="4"/>
      <c r="H130" s="2"/>
      <c r="I130" s="2"/>
      <c r="J130" s="2"/>
    </row>
    <row r="131" spans="1:10">
      <c r="A131" s="2"/>
      <c r="B131" s="2"/>
      <c r="C131" s="2"/>
      <c r="D131" s="2"/>
      <c r="E131" s="2"/>
      <c r="F131" s="2"/>
      <c r="G131" s="4"/>
      <c r="H131" s="2"/>
      <c r="I131" s="2"/>
      <c r="J131" s="2"/>
    </row>
    <row r="132" spans="1:10">
      <c r="A132" s="2"/>
      <c r="B132" s="2"/>
      <c r="C132" s="2"/>
      <c r="D132" s="2"/>
      <c r="E132" s="2"/>
      <c r="F132" s="2"/>
      <c r="G132" s="4"/>
      <c r="H132" s="2"/>
      <c r="I132" s="2"/>
      <c r="J132" s="2"/>
    </row>
    <row r="133" spans="1:10">
      <c r="A133" s="2"/>
      <c r="B133" s="2"/>
      <c r="C133" s="2"/>
      <c r="D133" s="2"/>
      <c r="E133" s="2"/>
      <c r="F133" s="2"/>
      <c r="G133" s="4"/>
      <c r="H133" s="2"/>
      <c r="I133" s="2"/>
      <c r="J133" s="2"/>
    </row>
    <row r="134" spans="1:10">
      <c r="A134" s="2"/>
      <c r="B134" s="2"/>
      <c r="C134" s="2"/>
      <c r="D134" s="2"/>
      <c r="E134" s="2"/>
      <c r="F134" s="2"/>
      <c r="G134" s="4"/>
      <c r="H134" s="2"/>
      <c r="I134" s="2"/>
      <c r="J134" s="2"/>
    </row>
    <row r="135" spans="1:10">
      <c r="A135" s="2"/>
      <c r="B135" s="2"/>
      <c r="C135" s="2"/>
      <c r="D135" s="2"/>
      <c r="E135" s="2"/>
      <c r="F135" s="2"/>
      <c r="G135" s="4"/>
      <c r="H135" s="2"/>
      <c r="I135" s="2"/>
      <c r="J135" s="2"/>
    </row>
    <row r="136" spans="1:10">
      <c r="A136" s="2"/>
      <c r="B136" s="2"/>
      <c r="C136" s="2"/>
      <c r="D136" s="2"/>
      <c r="E136" s="2"/>
      <c r="F136" s="2"/>
      <c r="G136" s="4"/>
      <c r="H136" s="2"/>
      <c r="I136" s="2"/>
      <c r="J136" s="2"/>
    </row>
    <row r="137" spans="1:10">
      <c r="A137" s="2"/>
      <c r="B137" s="2"/>
      <c r="C137" s="2"/>
      <c r="D137" s="2"/>
      <c r="E137" s="2"/>
      <c r="F137" s="2"/>
      <c r="G137" s="4"/>
      <c r="H137" s="2"/>
      <c r="I137" s="2"/>
      <c r="J137" s="2"/>
    </row>
    <row r="138" spans="1:10">
      <c r="A138" s="2"/>
      <c r="B138" s="2"/>
      <c r="C138" s="2"/>
      <c r="D138" s="2"/>
      <c r="E138" s="2"/>
      <c r="F138" s="2"/>
      <c r="G138" s="4"/>
      <c r="H138" s="2"/>
      <c r="I138" s="2"/>
      <c r="J138" s="2"/>
    </row>
    <row r="139" spans="1:10">
      <c r="A139" s="2"/>
      <c r="B139" s="2"/>
      <c r="C139" s="2"/>
      <c r="D139" s="2"/>
      <c r="E139" s="2"/>
      <c r="F139" s="2"/>
      <c r="G139" s="4"/>
      <c r="H139" s="2"/>
      <c r="I139" s="2"/>
      <c r="J139" s="2"/>
    </row>
    <row r="140" spans="1:10">
      <c r="A140" s="2"/>
      <c r="B140" s="2"/>
      <c r="C140" s="2"/>
      <c r="D140" s="2"/>
      <c r="E140" s="2"/>
      <c r="F140" s="2"/>
      <c r="G140" s="4"/>
      <c r="H140" s="2"/>
      <c r="I140" s="2"/>
      <c r="J140" s="2"/>
    </row>
    <row r="141" spans="1:10">
      <c r="A141" s="2"/>
      <c r="B141" s="2"/>
      <c r="C141" s="2"/>
      <c r="D141" s="2"/>
      <c r="E141" s="2"/>
      <c r="F141" s="2"/>
      <c r="G141" s="4"/>
      <c r="H141" s="2"/>
      <c r="I141" s="2"/>
      <c r="J141" s="2"/>
    </row>
    <row r="142" spans="1:10">
      <c r="A142" s="2"/>
      <c r="B142" s="2"/>
      <c r="C142" s="2"/>
      <c r="D142" s="2"/>
      <c r="E142" s="2"/>
      <c r="F142" s="2"/>
      <c r="G142" s="4"/>
      <c r="H142" s="2"/>
      <c r="I142" s="2"/>
      <c r="J142" s="2"/>
    </row>
    <row r="143" spans="1:10">
      <c r="A143" s="2"/>
      <c r="B143" s="2"/>
      <c r="C143" s="2"/>
      <c r="D143" s="2"/>
      <c r="E143" s="2"/>
      <c r="F143" s="2"/>
      <c r="G143" s="4"/>
      <c r="H143" s="2"/>
      <c r="I143" s="2"/>
      <c r="J143" s="2"/>
    </row>
    <row r="144" spans="1:10">
      <c r="A144" s="2"/>
      <c r="B144" s="2"/>
      <c r="C144" s="2"/>
      <c r="D144" s="2"/>
      <c r="E144" s="2"/>
      <c r="F144" s="2"/>
      <c r="G144" s="4"/>
      <c r="H144" s="2"/>
      <c r="I144" s="2"/>
      <c r="J144" s="2"/>
    </row>
    <row r="145" spans="1:10">
      <c r="A145" s="2"/>
      <c r="B145" s="2"/>
      <c r="C145" s="2"/>
      <c r="D145" s="2"/>
      <c r="E145" s="2"/>
      <c r="F145" s="2"/>
      <c r="G145" s="4"/>
      <c r="H145" s="2"/>
      <c r="I145" s="2"/>
      <c r="J145" s="2"/>
    </row>
    <row r="146" spans="1:10">
      <c r="A146" s="2"/>
      <c r="B146" s="2"/>
      <c r="C146" s="2"/>
      <c r="D146" s="2"/>
      <c r="E146" s="2"/>
      <c r="F146" s="2"/>
      <c r="G146" s="4"/>
      <c r="H146" s="2"/>
      <c r="I146" s="2"/>
      <c r="J146" s="2"/>
    </row>
    <row r="147" spans="1:10">
      <c r="A147" s="2"/>
      <c r="B147" s="2"/>
      <c r="C147" s="2"/>
      <c r="D147" s="2"/>
      <c r="E147" s="2"/>
      <c r="F147" s="2"/>
      <c r="G147" s="4"/>
      <c r="H147" s="2"/>
      <c r="I147" s="2"/>
      <c r="J147" s="2"/>
    </row>
    <row r="148" spans="1:10">
      <c r="A148" s="2"/>
      <c r="B148" s="2"/>
      <c r="C148" s="2"/>
      <c r="D148" s="2"/>
      <c r="E148" s="2"/>
      <c r="F148" s="2"/>
      <c r="G148" s="4"/>
      <c r="H148" s="2"/>
      <c r="I148" s="2"/>
      <c r="J148" s="2"/>
    </row>
    <row r="149" spans="1:10">
      <c r="A149" s="2"/>
      <c r="B149" s="2"/>
      <c r="C149" s="2"/>
      <c r="D149" s="2"/>
      <c r="E149" s="2"/>
      <c r="F149" s="2"/>
      <c r="G149" s="4"/>
      <c r="H149" s="2"/>
      <c r="I149" s="2"/>
      <c r="J149" s="2"/>
    </row>
    <row r="150" spans="1:10">
      <c r="A150" s="2"/>
      <c r="B150" s="2"/>
      <c r="C150" s="2"/>
      <c r="D150" s="2"/>
      <c r="E150" s="2"/>
      <c r="F150" s="2"/>
      <c r="G150" s="4"/>
      <c r="H150" s="2"/>
      <c r="I150" s="2"/>
      <c r="J150" s="2"/>
    </row>
    <row r="151" spans="1:10">
      <c r="A151" s="2"/>
      <c r="B151" s="2"/>
      <c r="C151" s="2"/>
      <c r="D151" s="2"/>
      <c r="E151" s="2"/>
      <c r="F151" s="2"/>
      <c r="G151" s="4"/>
      <c r="H151" s="2"/>
      <c r="I151" s="2"/>
      <c r="J151" s="2"/>
    </row>
    <row r="152" spans="1:10">
      <c r="A152" s="2"/>
      <c r="B152" s="2"/>
      <c r="C152" s="2"/>
      <c r="D152" s="2"/>
      <c r="E152" s="2"/>
      <c r="F152" s="2"/>
      <c r="G152" s="4"/>
      <c r="H152" s="2"/>
      <c r="I152" s="2"/>
      <c r="J152" s="2"/>
    </row>
    <row r="153" spans="1:10">
      <c r="A153" s="2"/>
      <c r="B153" s="2"/>
      <c r="C153" s="2"/>
      <c r="D153" s="2"/>
      <c r="E153" s="2"/>
      <c r="F153" s="2"/>
      <c r="G153" s="4"/>
      <c r="H153" s="2"/>
      <c r="I153" s="2"/>
      <c r="J153" s="2"/>
    </row>
    <row r="154" spans="1:10">
      <c r="A154" s="2"/>
      <c r="B154" s="2"/>
      <c r="C154" s="2"/>
      <c r="D154" s="2"/>
      <c r="E154" s="2"/>
      <c r="F154" s="2"/>
      <c r="G154" s="4"/>
      <c r="H154" s="2"/>
      <c r="I154" s="2"/>
      <c r="J154" s="2"/>
    </row>
    <row r="155" spans="1:10">
      <c r="A155" s="2"/>
      <c r="B155" s="2"/>
      <c r="C155" s="2"/>
      <c r="D155" s="2"/>
      <c r="E155" s="2"/>
      <c r="F155" s="2"/>
      <c r="G155" s="4"/>
      <c r="H155" s="2"/>
      <c r="I155" s="2"/>
      <c r="J155" s="2"/>
    </row>
    <row r="156" spans="1:10">
      <c r="A156" s="2"/>
      <c r="B156" s="2"/>
      <c r="C156" s="2"/>
      <c r="D156" s="2"/>
      <c r="E156" s="2"/>
      <c r="F156" s="2"/>
      <c r="G156" s="4"/>
      <c r="H156" s="2"/>
      <c r="I156" s="2"/>
      <c r="J156" s="2"/>
    </row>
    <row r="157" spans="1:10">
      <c r="A157" s="2"/>
      <c r="B157" s="2"/>
      <c r="C157" s="2"/>
      <c r="D157" s="2"/>
      <c r="E157" s="2"/>
      <c r="F157" s="2"/>
      <c r="G157" s="4"/>
      <c r="H157" s="2"/>
      <c r="I157" s="2"/>
      <c r="J157" s="2"/>
    </row>
    <row r="158" spans="1:10">
      <c r="A158" s="2"/>
      <c r="B158" s="2"/>
      <c r="C158" s="2"/>
      <c r="D158" s="2"/>
      <c r="E158" s="2"/>
      <c r="F158" s="2"/>
      <c r="G158" s="4"/>
      <c r="H158" s="2"/>
      <c r="I158" s="2"/>
      <c r="J158" s="2"/>
    </row>
    <row r="159" spans="1:10">
      <c r="A159" s="2"/>
      <c r="B159" s="2"/>
      <c r="C159" s="2"/>
      <c r="D159" s="2"/>
      <c r="E159" s="2"/>
      <c r="F159" s="2"/>
      <c r="G159" s="4"/>
      <c r="H159" s="2"/>
      <c r="I159" s="2"/>
      <c r="J159" s="2"/>
    </row>
    <row r="160" spans="1:10">
      <c r="A160" s="2"/>
      <c r="B160" s="2"/>
      <c r="C160" s="2"/>
      <c r="D160" s="2"/>
      <c r="E160" s="2"/>
      <c r="F160" s="2"/>
      <c r="G160" s="4"/>
      <c r="H160" s="2"/>
      <c r="I160" s="2"/>
      <c r="J160" s="2"/>
    </row>
    <row r="161" spans="1:10">
      <c r="A161" s="2"/>
      <c r="B161" s="2"/>
      <c r="C161" s="2"/>
      <c r="D161" s="2"/>
      <c r="E161" s="2"/>
      <c r="F161" s="2"/>
      <c r="G161" s="4"/>
      <c r="H161" s="2"/>
      <c r="I161" s="2"/>
      <c r="J161" s="2"/>
    </row>
    <row r="162" spans="1:10">
      <c r="A162" s="2"/>
      <c r="B162" s="2"/>
      <c r="C162" s="2"/>
      <c r="D162" s="2"/>
      <c r="E162" s="2"/>
      <c r="F162" s="2"/>
      <c r="G162" s="4"/>
      <c r="H162" s="2"/>
      <c r="I162" s="2"/>
      <c r="J162" s="2"/>
    </row>
    <row r="163" spans="1:10">
      <c r="A163" s="2"/>
      <c r="B163" s="2"/>
      <c r="C163" s="2"/>
      <c r="D163" s="2"/>
      <c r="E163" s="2"/>
      <c r="F163" s="2"/>
      <c r="G163" s="4"/>
      <c r="H163" s="2"/>
      <c r="I163" s="2"/>
      <c r="J163" s="2"/>
    </row>
    <row r="164" spans="1:10">
      <c r="A164" s="2"/>
      <c r="B164" s="2"/>
      <c r="C164" s="2"/>
      <c r="D164" s="2"/>
      <c r="E164" s="2"/>
      <c r="F164" s="2"/>
      <c r="G164" s="4"/>
      <c r="H164" s="2"/>
      <c r="I164" s="2"/>
      <c r="J164" s="2"/>
    </row>
    <row r="165" spans="1:10">
      <c r="A165" s="2"/>
      <c r="B165" s="2"/>
      <c r="C165" s="2"/>
      <c r="D165" s="2"/>
      <c r="E165" s="2"/>
      <c r="F165" s="2"/>
      <c r="G165" s="4"/>
      <c r="H165" s="2"/>
      <c r="I165" s="2"/>
      <c r="J165" s="2"/>
    </row>
    <row r="166" spans="1:10">
      <c r="A166" s="2"/>
      <c r="B166" s="2"/>
      <c r="C166" s="2"/>
      <c r="D166" s="2"/>
      <c r="E166" s="2"/>
      <c r="F166" s="2"/>
      <c r="G166" s="4"/>
      <c r="H166" s="2"/>
      <c r="I166" s="2"/>
      <c r="J166" s="2"/>
    </row>
    <row r="167" spans="1:10">
      <c r="A167" s="2"/>
      <c r="B167" s="2"/>
      <c r="C167" s="2"/>
      <c r="D167" s="2"/>
      <c r="E167" s="2"/>
      <c r="F167" s="2"/>
      <c r="G167" s="4"/>
      <c r="H167" s="2"/>
      <c r="I167" s="2"/>
      <c r="J167" s="2"/>
    </row>
    <row r="168" spans="1:10">
      <c r="A168" s="2"/>
      <c r="B168" s="2"/>
      <c r="C168" s="2"/>
      <c r="D168" s="2"/>
      <c r="E168" s="2"/>
      <c r="F168" s="2"/>
      <c r="G168" s="4"/>
      <c r="H168" s="2"/>
      <c r="I168" s="2"/>
      <c r="J168" s="2"/>
    </row>
    <row r="169" spans="1:10">
      <c r="A169" s="2"/>
      <c r="B169" s="2"/>
      <c r="C169" s="2"/>
      <c r="D169" s="2"/>
      <c r="E169" s="2"/>
      <c r="F169" s="2"/>
      <c r="G169" s="4"/>
      <c r="H169" s="2"/>
      <c r="I169" s="2"/>
      <c r="J169" s="2"/>
    </row>
    <row r="170" spans="1:10">
      <c r="A170" s="2"/>
      <c r="B170" s="2"/>
      <c r="C170" s="2"/>
      <c r="D170" s="2"/>
      <c r="E170" s="2"/>
      <c r="F170" s="2"/>
      <c r="G170" s="4"/>
      <c r="H170" s="2"/>
      <c r="I170" s="2"/>
      <c r="J170" s="2"/>
    </row>
    <row r="171" spans="1:10">
      <c r="A171" s="2"/>
      <c r="B171" s="2"/>
      <c r="C171" s="2"/>
      <c r="D171" s="2"/>
      <c r="E171" s="2"/>
      <c r="F171" s="2"/>
      <c r="G171" s="4"/>
      <c r="H171" s="2"/>
      <c r="I171" s="2"/>
      <c r="J171" s="2"/>
    </row>
    <row r="172" spans="1:10">
      <c r="A172" s="2"/>
      <c r="B172" s="2"/>
      <c r="C172" s="2"/>
      <c r="D172" s="2"/>
      <c r="E172" s="2"/>
      <c r="F172" s="2"/>
      <c r="G172" s="4"/>
      <c r="H172" s="2"/>
      <c r="I172" s="2"/>
      <c r="J172" s="2"/>
    </row>
    <row r="173" spans="1:10">
      <c r="A173" s="2"/>
      <c r="B173" s="2"/>
      <c r="C173" s="2"/>
      <c r="D173" s="2"/>
      <c r="E173" s="2"/>
      <c r="F173" s="2"/>
      <c r="G173" s="4"/>
      <c r="H173" s="2"/>
      <c r="I173" s="2"/>
      <c r="J173" s="2"/>
    </row>
    <row r="174" spans="1:10">
      <c r="A174" s="2"/>
      <c r="B174" s="2"/>
      <c r="C174" s="2"/>
      <c r="D174" s="2"/>
      <c r="E174" s="2"/>
      <c r="F174" s="2"/>
      <c r="G174" s="4"/>
      <c r="H174" s="2"/>
      <c r="I174" s="2"/>
      <c r="J174" s="2"/>
    </row>
    <row r="175" spans="1:10">
      <c r="A175" s="2"/>
      <c r="B175" s="2"/>
      <c r="C175" s="2"/>
      <c r="D175" s="2"/>
      <c r="E175" s="2"/>
      <c r="F175" s="2"/>
      <c r="G175" s="4"/>
      <c r="H175" s="2"/>
      <c r="I175" s="2"/>
      <c r="J175" s="2"/>
    </row>
    <row r="176" spans="1:10">
      <c r="A176" s="2"/>
      <c r="B176" s="2"/>
      <c r="C176" s="2"/>
      <c r="D176" s="2"/>
      <c r="E176" s="2"/>
      <c r="F176" s="2"/>
      <c r="G176" s="4"/>
      <c r="H176" s="2"/>
      <c r="I176" s="2"/>
      <c r="J176" s="2"/>
    </row>
    <row r="177" spans="1:10">
      <c r="A177" s="2"/>
      <c r="B177" s="2"/>
      <c r="C177" s="2"/>
      <c r="D177" s="2"/>
      <c r="E177" s="2"/>
      <c r="F177" s="2"/>
      <c r="G177" s="4"/>
      <c r="H177" s="2"/>
      <c r="I177" s="2"/>
      <c r="J177" s="2"/>
    </row>
    <row r="178" spans="1:10">
      <c r="A178" s="2"/>
      <c r="B178" s="2"/>
      <c r="C178" s="2"/>
      <c r="D178" s="2"/>
      <c r="E178" s="2"/>
      <c r="F178" s="2"/>
      <c r="G178" s="4"/>
      <c r="H178" s="2"/>
      <c r="I178" s="2"/>
      <c r="J178" s="2"/>
    </row>
    <row r="179" spans="1:10">
      <c r="A179" s="2"/>
      <c r="B179" s="2"/>
      <c r="C179" s="2"/>
      <c r="D179" s="2"/>
      <c r="E179" s="2"/>
      <c r="F179" s="2"/>
      <c r="G179" s="4"/>
      <c r="H179" s="2"/>
      <c r="I179" s="2"/>
      <c r="J179" s="2"/>
    </row>
    <row r="180" spans="1:10">
      <c r="A180" s="2"/>
      <c r="B180" s="2"/>
      <c r="C180" s="2"/>
      <c r="D180" s="2"/>
      <c r="E180" s="2"/>
      <c r="F180" s="2"/>
      <c r="G180" s="4"/>
      <c r="H180" s="2"/>
      <c r="I180" s="2"/>
      <c r="J180" s="2"/>
    </row>
    <row r="181" spans="1:10">
      <c r="A181" s="2"/>
      <c r="B181" s="2"/>
      <c r="C181" s="2"/>
      <c r="D181" s="2"/>
      <c r="E181" s="2"/>
      <c r="F181" s="2"/>
      <c r="G181" s="4"/>
      <c r="H181" s="2"/>
      <c r="I181" s="2"/>
      <c r="J181" s="2"/>
    </row>
    <row r="182" spans="1:10">
      <c r="A182" s="2"/>
      <c r="B182" s="2"/>
      <c r="C182" s="2"/>
      <c r="D182" s="2"/>
      <c r="E182" s="2"/>
      <c r="F182" s="2"/>
      <c r="G182" s="4"/>
      <c r="H182" s="2"/>
      <c r="I182" s="2"/>
      <c r="J182" s="2"/>
    </row>
    <row r="183" spans="1:10">
      <c r="A183" s="2"/>
      <c r="B183" s="2"/>
      <c r="C183" s="2"/>
      <c r="D183" s="2"/>
      <c r="E183" s="2"/>
      <c r="F183" s="2"/>
      <c r="G183" s="4"/>
      <c r="H183" s="2"/>
      <c r="I183" s="2"/>
      <c r="J183" s="2"/>
    </row>
    <row r="184" spans="1:10">
      <c r="A184" s="2"/>
      <c r="B184" s="2"/>
      <c r="C184" s="2"/>
      <c r="D184" s="2"/>
      <c r="E184" s="2"/>
      <c r="F184" s="2"/>
      <c r="G184" s="4"/>
      <c r="H184" s="2"/>
      <c r="I184" s="2"/>
      <c r="J184" s="2"/>
    </row>
    <row r="185" spans="1:10">
      <c r="A185" s="2"/>
      <c r="B185" s="2"/>
      <c r="C185" s="2"/>
      <c r="D185" s="2"/>
      <c r="E185" s="2"/>
      <c r="F185" s="2"/>
      <c r="G185" s="4"/>
      <c r="H185" s="2"/>
      <c r="I185" s="2"/>
      <c r="J185" s="2"/>
    </row>
    <row r="186" spans="1:10">
      <c r="A186" s="2"/>
      <c r="B186" s="2"/>
      <c r="C186" s="2"/>
      <c r="D186" s="2"/>
      <c r="E186" s="2"/>
      <c r="F186" s="2"/>
      <c r="G186" s="4"/>
      <c r="H186" s="2"/>
      <c r="I186" s="2"/>
      <c r="J186" s="2"/>
    </row>
    <row r="187" spans="1:10">
      <c r="A187" s="2"/>
      <c r="B187" s="2"/>
      <c r="C187" s="2"/>
      <c r="D187" s="2"/>
      <c r="E187" s="2"/>
      <c r="F187" s="2"/>
      <c r="G187" s="4"/>
      <c r="H187" s="2"/>
      <c r="I187" s="2"/>
      <c r="J187" s="2"/>
    </row>
    <row r="188" spans="1:10">
      <c r="A188" s="2"/>
      <c r="B188" s="2"/>
      <c r="C188" s="2"/>
      <c r="D188" s="2"/>
      <c r="E188" s="2"/>
      <c r="F188" s="2"/>
      <c r="G188" s="4"/>
      <c r="H188" s="2"/>
      <c r="I188" s="2"/>
      <c r="J188" s="2"/>
    </row>
    <row r="189" spans="1:10">
      <c r="A189" s="2"/>
      <c r="B189" s="2"/>
      <c r="C189" s="2"/>
      <c r="D189" s="2"/>
      <c r="E189" s="2"/>
      <c r="F189" s="2"/>
      <c r="G189" s="4"/>
      <c r="H189" s="2"/>
      <c r="I189" s="2"/>
      <c r="J189" s="2"/>
    </row>
    <row r="190" spans="1:10">
      <c r="A190" s="2"/>
      <c r="B190" s="2"/>
      <c r="C190" s="2"/>
      <c r="D190" s="2"/>
      <c r="E190" s="2"/>
      <c r="F190" s="2"/>
      <c r="G190" s="4"/>
      <c r="H190" s="2"/>
      <c r="I190" s="2"/>
      <c r="J190" s="2"/>
    </row>
    <row r="191" spans="1:10">
      <c r="A191" s="2"/>
      <c r="B191" s="2"/>
      <c r="C191" s="2"/>
      <c r="D191" s="2"/>
      <c r="E191" s="2"/>
      <c r="F191" s="2"/>
      <c r="G191" s="4"/>
      <c r="H191" s="2"/>
      <c r="I191" s="2"/>
      <c r="J191" s="2"/>
    </row>
    <row r="192" spans="1:10">
      <c r="A192" s="2"/>
      <c r="B192" s="2"/>
      <c r="C192" s="2"/>
      <c r="D192" s="2"/>
      <c r="E192" s="2"/>
      <c r="F192" s="2"/>
      <c r="G192" s="4"/>
      <c r="H192" s="2"/>
      <c r="I192" s="2"/>
      <c r="J192" s="2"/>
    </row>
    <row r="193" spans="1:10">
      <c r="A193" s="2"/>
      <c r="B193" s="2"/>
      <c r="C193" s="2"/>
      <c r="D193" s="2"/>
      <c r="E193" s="2"/>
      <c r="F193" s="2"/>
      <c r="G193" s="4"/>
      <c r="H193" s="2"/>
      <c r="I193" s="2"/>
      <c r="J193" s="2"/>
    </row>
    <row r="194" spans="1:10">
      <c r="A194" s="2"/>
      <c r="B194" s="2"/>
      <c r="C194" s="2"/>
      <c r="D194" s="2"/>
      <c r="E194" s="2"/>
      <c r="F194" s="2"/>
      <c r="G194" s="4"/>
      <c r="H194" s="2"/>
      <c r="I194" s="2"/>
      <c r="J194" s="2"/>
    </row>
    <row r="195" spans="1:10">
      <c r="A195" s="2"/>
      <c r="B195" s="2"/>
      <c r="C195" s="2"/>
      <c r="D195" s="2"/>
      <c r="E195" s="2"/>
      <c r="F195" s="2"/>
      <c r="G195" s="4"/>
      <c r="H195" s="2"/>
      <c r="I195" s="2"/>
      <c r="J195" s="2"/>
    </row>
    <row r="196" spans="1:10">
      <c r="A196" s="2"/>
      <c r="B196" s="2"/>
      <c r="C196" s="2"/>
      <c r="D196" s="2"/>
      <c r="E196" s="2"/>
      <c r="F196" s="2"/>
      <c r="G196" s="4"/>
      <c r="H196" s="2"/>
      <c r="I196" s="2"/>
      <c r="J196" s="2"/>
    </row>
    <row r="197" spans="1:10">
      <c r="A197" s="2"/>
      <c r="B197" s="2"/>
      <c r="C197" s="2"/>
      <c r="D197" s="2"/>
      <c r="E197" s="2"/>
      <c r="F197" s="2"/>
      <c r="G197" s="4"/>
      <c r="H197" s="2"/>
      <c r="I197" s="2"/>
      <c r="J197" s="2"/>
    </row>
    <row r="198" spans="1:10">
      <c r="A198" s="2"/>
      <c r="B198" s="2"/>
      <c r="C198" s="2"/>
      <c r="D198" s="2"/>
      <c r="E198" s="2"/>
      <c r="F198" s="2"/>
      <c r="G198" s="4"/>
      <c r="H198" s="2"/>
      <c r="I198" s="2"/>
      <c r="J198" s="2"/>
    </row>
    <row r="199" spans="1:10">
      <c r="A199" s="2"/>
      <c r="B199" s="2"/>
      <c r="C199" s="2"/>
      <c r="D199" s="2"/>
      <c r="E199" s="2"/>
      <c r="F199" s="2"/>
      <c r="G199" s="4"/>
      <c r="H199" s="2"/>
      <c r="I199" s="2"/>
      <c r="J199" s="2"/>
    </row>
    <row r="200" spans="1:10">
      <c r="A200" s="2"/>
      <c r="B200" s="2"/>
      <c r="C200" s="2"/>
      <c r="D200" s="2"/>
      <c r="E200" s="2"/>
      <c r="F200" s="2"/>
      <c r="G200" s="4"/>
      <c r="H200" s="2"/>
      <c r="I200" s="2"/>
      <c r="J200" s="2"/>
    </row>
    <row r="201" spans="1:10">
      <c r="A201" s="2"/>
      <c r="B201" s="2"/>
      <c r="C201" s="2"/>
      <c r="D201" s="2"/>
      <c r="E201" s="2"/>
      <c r="F201" s="2"/>
      <c r="G201" s="4"/>
      <c r="H201" s="2"/>
      <c r="I201" s="2"/>
      <c r="J201" s="2"/>
    </row>
    <row r="202" spans="1:10">
      <c r="A202" s="2"/>
      <c r="B202" s="2"/>
      <c r="C202" s="2"/>
      <c r="D202" s="2"/>
      <c r="E202" s="2"/>
      <c r="F202" s="2"/>
      <c r="G202" s="4"/>
      <c r="H202" s="2"/>
      <c r="I202" s="2"/>
      <c r="J202" s="2"/>
    </row>
    <row r="203" spans="1:10">
      <c r="A203" s="2"/>
      <c r="B203" s="2"/>
      <c r="C203" s="2"/>
      <c r="D203" s="2"/>
      <c r="E203" s="2"/>
      <c r="F203" s="2"/>
      <c r="G203" s="4"/>
      <c r="H203" s="2"/>
      <c r="I203" s="2"/>
      <c r="J203" s="2"/>
    </row>
    <row r="204" spans="1:10">
      <c r="A204" s="2"/>
      <c r="B204" s="2"/>
      <c r="C204" s="2"/>
      <c r="D204" s="2"/>
      <c r="E204" s="2"/>
      <c r="F204" s="2"/>
      <c r="G204" s="4"/>
      <c r="H204" s="2"/>
      <c r="I204" s="2"/>
      <c r="J204" s="2"/>
    </row>
    <row r="205" spans="1:10">
      <c r="A205" s="2"/>
      <c r="B205" s="2"/>
      <c r="C205" s="2"/>
      <c r="D205" s="2"/>
      <c r="E205" s="2"/>
      <c r="F205" s="2"/>
      <c r="G205" s="4"/>
      <c r="H205" s="2"/>
      <c r="I205" s="2"/>
      <c r="J205" s="2"/>
    </row>
    <row r="206" spans="1:10">
      <c r="A206" s="2"/>
      <c r="B206" s="2"/>
      <c r="C206" s="2"/>
      <c r="D206" s="2"/>
      <c r="E206" s="2"/>
      <c r="F206" s="2"/>
      <c r="G206" s="4"/>
      <c r="H206" s="2"/>
      <c r="I206" s="2"/>
      <c r="J206" s="2"/>
    </row>
  </sheetData>
  <mergeCells count="2">
    <mergeCell ref="A1:J1"/>
    <mergeCell ref="A2:J2"/>
  </mergeCells>
  <dataValidations count="2">
    <dataValidation type="list" sqref="D7:D206" xr:uid="{00000000-0002-0000-0200-000000000000}">
      <formula1>"Главная страница,Лендинг товара,Тарифы,Функции,Каталог/карточка,Регистрация,Личный кабинет,Оплата,Поддержка,FAQ,Документация,Блог/медиа,Отзывы/кейсы,Правовые документы"</formula1>
    </dataValidation>
    <dataValidation type="list" sqref="I7:I206" xr:uid="{00000000-0002-0000-0200-000001000000}">
      <formula1>"1,2,3,4,5"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06"/>
  <sheetViews>
    <sheetView workbookViewId="0"/>
  </sheetViews>
  <sheetFormatPr defaultRowHeight="13.5"/>
  <cols>
    <col min="1" max="1" width="12" customWidth="1"/>
    <col min="2" max="2" width="28" customWidth="1"/>
    <col min="3" max="3" width="36" customWidth="1"/>
    <col min="4" max="4" width="30" customWidth="1"/>
    <col min="5" max="5" width="34" customWidth="1"/>
    <col min="6" max="6" width="40" customWidth="1"/>
    <col min="7" max="7" width="42" customWidth="1"/>
    <col min="8" max="8" width="13" customWidth="1"/>
    <col min="9" max="10" width="15" customWidth="1"/>
    <col min="11" max="11" width="16" customWidth="1"/>
    <col min="12" max="12" width="15" customWidth="1"/>
    <col min="13" max="13" width="20" customWidth="1"/>
    <col min="14" max="14" width="36" customWidth="1"/>
  </cols>
  <sheetData>
    <row r="1" spans="1:14" ht="16.05" customHeight="1">
      <c r="A1" s="12" t="s">
        <v>124</v>
      </c>
      <c r="B1" s="13"/>
      <c r="C1" s="13"/>
      <c r="D1" s="13"/>
      <c r="E1" s="13"/>
      <c r="F1" s="13"/>
      <c r="G1" s="13"/>
      <c r="H1" s="13"/>
      <c r="I1" s="13"/>
      <c r="J1" s="13"/>
      <c r="K1" s="13"/>
      <c r="L1" s="13"/>
      <c r="M1" s="13"/>
      <c r="N1" s="13"/>
    </row>
    <row r="2" spans="1:14" ht="21" customHeight="1">
      <c r="A2" s="14" t="s">
        <v>125</v>
      </c>
      <c r="B2" s="14"/>
      <c r="C2" s="14"/>
      <c r="D2" s="14"/>
      <c r="E2" s="14"/>
      <c r="F2" s="14"/>
      <c r="G2" s="14"/>
      <c r="H2" s="14"/>
      <c r="I2" s="14"/>
      <c r="J2" s="14"/>
      <c r="K2" s="14"/>
      <c r="L2" s="14"/>
      <c r="M2" s="14"/>
      <c r="N2" s="14"/>
    </row>
    <row r="6" spans="1:14" ht="17" customHeight="1">
      <c r="A6" s="1" t="s">
        <v>114</v>
      </c>
      <c r="B6" s="1" t="s">
        <v>126</v>
      </c>
      <c r="C6" s="1" t="s">
        <v>127</v>
      </c>
      <c r="D6" s="1" t="s">
        <v>128</v>
      </c>
      <c r="E6" s="1" t="s">
        <v>129</v>
      </c>
      <c r="F6" s="1" t="s">
        <v>130</v>
      </c>
      <c r="G6" s="1" t="s">
        <v>131</v>
      </c>
      <c r="H6" s="1" t="s">
        <v>132</v>
      </c>
      <c r="I6" s="1" t="s">
        <v>133</v>
      </c>
      <c r="J6" s="1" t="s">
        <v>134</v>
      </c>
      <c r="K6" s="1" t="s">
        <v>135</v>
      </c>
      <c r="L6" s="1" t="s">
        <v>136</v>
      </c>
      <c r="M6" s="1" t="s">
        <v>137</v>
      </c>
      <c r="N6" s="1" t="s">
        <v>138</v>
      </c>
    </row>
    <row r="7" spans="1:14" ht="25.5">
      <c r="A7" s="2" t="s">
        <v>81</v>
      </c>
      <c r="B7" s="2" t="s">
        <v>1023</v>
      </c>
      <c r="C7" s="2" t="s">
        <v>1079</v>
      </c>
      <c r="D7" s="2" t="s">
        <v>367</v>
      </c>
      <c r="E7" s="2" t="s">
        <v>1182</v>
      </c>
      <c r="F7" s="2" t="s">
        <v>1183</v>
      </c>
      <c r="G7" s="2" t="s">
        <v>1184</v>
      </c>
      <c r="H7" s="2">
        <v>1</v>
      </c>
      <c r="I7" s="2">
        <v>3</v>
      </c>
      <c r="J7" s="2">
        <v>3</v>
      </c>
      <c r="K7" s="2">
        <v>5</v>
      </c>
      <c r="L7" s="2">
        <f t="shared" ref="L7:L70" si="0">IF(OR(H7="",I7="",J7="",K7=""),"",ROUND(H7*((I7+J7)/6)*K7,2))</f>
        <v>5</v>
      </c>
      <c r="M7" s="2" t="str">
        <f t="shared" ref="M7:M70" si="1">IF(L7="","",IF(AND(L7&gt;=3.5,H7=1),"Сильный признак",IF(AND(L7&gt;=2,H7=1),"Рабочий признак",IF(H7=1,"Слабый признак","Отсутствует"))))</f>
        <v>Сильный признак</v>
      </c>
      <c r="N7" s="2"/>
    </row>
    <row r="8" spans="1:14" ht="38.25">
      <c r="A8" s="2" t="s">
        <v>81</v>
      </c>
      <c r="B8" s="2" t="s">
        <v>1023</v>
      </c>
      <c r="C8" s="2" t="s">
        <v>1079</v>
      </c>
      <c r="D8" s="2" t="s">
        <v>374</v>
      </c>
      <c r="E8" s="2" t="s">
        <v>1185</v>
      </c>
      <c r="F8" s="2" t="s">
        <v>1186</v>
      </c>
      <c r="G8" s="2" t="s">
        <v>1187</v>
      </c>
      <c r="H8" s="2">
        <v>1</v>
      </c>
      <c r="I8" s="2">
        <v>3</v>
      </c>
      <c r="J8" s="2">
        <v>3</v>
      </c>
      <c r="K8" s="2">
        <v>4</v>
      </c>
      <c r="L8" s="2">
        <f t="shared" si="0"/>
        <v>4</v>
      </c>
      <c r="M8" s="2" t="str">
        <f t="shared" si="1"/>
        <v>Сильный признак</v>
      </c>
      <c r="N8" s="2"/>
    </row>
    <row r="9" spans="1:14" ht="25.5">
      <c r="A9" s="2" t="s">
        <v>81</v>
      </c>
      <c r="B9" s="2" t="s">
        <v>1023</v>
      </c>
      <c r="C9" s="2" t="s">
        <v>1079</v>
      </c>
      <c r="D9" s="2" t="s">
        <v>374</v>
      </c>
      <c r="E9" s="2" t="s">
        <v>1188</v>
      </c>
      <c r="F9" s="2" t="s">
        <v>1189</v>
      </c>
      <c r="G9" s="2" t="s">
        <v>1190</v>
      </c>
      <c r="H9" s="2">
        <v>1</v>
      </c>
      <c r="I9" s="2">
        <v>3</v>
      </c>
      <c r="J9" s="2">
        <v>2</v>
      </c>
      <c r="K9" s="2">
        <v>5</v>
      </c>
      <c r="L9" s="2">
        <f t="shared" si="0"/>
        <v>4.17</v>
      </c>
      <c r="M9" s="2" t="str">
        <f t="shared" si="1"/>
        <v>Сильный признак</v>
      </c>
      <c r="N9" s="2"/>
    </row>
    <row r="10" spans="1:14" ht="25.5">
      <c r="A10" s="2" t="s">
        <v>81</v>
      </c>
      <c r="B10" s="2" t="s">
        <v>1023</v>
      </c>
      <c r="C10" s="2" t="s">
        <v>1079</v>
      </c>
      <c r="D10" s="2" t="s">
        <v>378</v>
      </c>
      <c r="E10" s="2" t="s">
        <v>1191</v>
      </c>
      <c r="F10" s="2" t="s">
        <v>1192</v>
      </c>
      <c r="G10" s="2" t="s">
        <v>1190</v>
      </c>
      <c r="H10" s="2">
        <v>1</v>
      </c>
      <c r="I10" s="2">
        <v>3</v>
      </c>
      <c r="J10" s="2">
        <v>2</v>
      </c>
      <c r="K10" s="2">
        <v>5</v>
      </c>
      <c r="L10" s="2">
        <f t="shared" si="0"/>
        <v>4.17</v>
      </c>
      <c r="M10" s="2" t="str">
        <f t="shared" si="1"/>
        <v>Сильный признак</v>
      </c>
      <c r="N10" s="2"/>
    </row>
    <row r="11" spans="1:14" ht="25.5">
      <c r="A11" s="2" t="s">
        <v>81</v>
      </c>
      <c r="B11" s="2" t="s">
        <v>1023</v>
      </c>
      <c r="C11" s="2" t="s">
        <v>1079</v>
      </c>
      <c r="D11" s="2" t="s">
        <v>378</v>
      </c>
      <c r="E11" s="2" t="s">
        <v>1193</v>
      </c>
      <c r="F11" s="2" t="s">
        <v>1194</v>
      </c>
      <c r="G11" s="2" t="s">
        <v>1190</v>
      </c>
      <c r="H11" s="2">
        <v>1</v>
      </c>
      <c r="I11" s="2">
        <v>2</v>
      </c>
      <c r="J11" s="2">
        <v>2</v>
      </c>
      <c r="K11" s="2">
        <v>4</v>
      </c>
      <c r="L11" s="2">
        <f t="shared" si="0"/>
        <v>2.67</v>
      </c>
      <c r="M11" s="2" t="str">
        <f t="shared" si="1"/>
        <v>Рабочий признак</v>
      </c>
      <c r="N11" s="2"/>
    </row>
    <row r="12" spans="1:14" ht="25.5">
      <c r="A12" s="2" t="s">
        <v>81</v>
      </c>
      <c r="B12" s="2" t="s">
        <v>1023</v>
      </c>
      <c r="C12" s="2" t="s">
        <v>1079</v>
      </c>
      <c r="D12" s="2" t="s">
        <v>387</v>
      </c>
      <c r="E12" s="2" t="s">
        <v>1195</v>
      </c>
      <c r="F12" s="2" t="s">
        <v>1196</v>
      </c>
      <c r="G12" s="2" t="s">
        <v>1190</v>
      </c>
      <c r="H12" s="2">
        <v>1</v>
      </c>
      <c r="I12" s="2">
        <v>2</v>
      </c>
      <c r="J12" s="2">
        <v>2</v>
      </c>
      <c r="K12" s="2">
        <v>4</v>
      </c>
      <c r="L12" s="2">
        <f t="shared" si="0"/>
        <v>2.67</v>
      </c>
      <c r="M12" s="2" t="str">
        <f t="shared" si="1"/>
        <v>Рабочий признак</v>
      </c>
      <c r="N12" s="2"/>
    </row>
    <row r="13" spans="1:14" ht="25.5">
      <c r="A13" s="2" t="s">
        <v>81</v>
      </c>
      <c r="B13" s="2" t="s">
        <v>1023</v>
      </c>
      <c r="C13" s="2" t="s">
        <v>1079</v>
      </c>
      <c r="D13" s="2" t="s">
        <v>387</v>
      </c>
      <c r="E13" s="2" t="s">
        <v>1197</v>
      </c>
      <c r="F13" s="2" t="s">
        <v>1198</v>
      </c>
      <c r="G13" s="2" t="s">
        <v>1190</v>
      </c>
      <c r="H13" s="2">
        <v>1</v>
      </c>
      <c r="I13" s="2">
        <v>2</v>
      </c>
      <c r="J13" s="2">
        <v>2</v>
      </c>
      <c r="K13" s="2">
        <v>3</v>
      </c>
      <c r="L13" s="2">
        <f t="shared" si="0"/>
        <v>2</v>
      </c>
      <c r="M13" s="2" t="str">
        <f t="shared" si="1"/>
        <v>Рабочий признак</v>
      </c>
      <c r="N13" s="2"/>
    </row>
    <row r="14" spans="1:14" ht="25.5">
      <c r="A14" s="2" t="s">
        <v>81</v>
      </c>
      <c r="B14" s="2" t="s">
        <v>1023</v>
      </c>
      <c r="C14" s="2" t="s">
        <v>1079</v>
      </c>
      <c r="D14" s="2" t="s">
        <v>378</v>
      </c>
      <c r="E14" s="2" t="s">
        <v>1199</v>
      </c>
      <c r="F14" s="2" t="s">
        <v>1200</v>
      </c>
      <c r="G14" s="2" t="s">
        <v>1190</v>
      </c>
      <c r="H14" s="2">
        <v>1</v>
      </c>
      <c r="I14" s="2">
        <v>3</v>
      </c>
      <c r="J14" s="2">
        <v>2</v>
      </c>
      <c r="K14" s="2">
        <v>5</v>
      </c>
      <c r="L14" s="2">
        <f t="shared" si="0"/>
        <v>4.17</v>
      </c>
      <c r="M14" s="2" t="str">
        <f t="shared" si="1"/>
        <v>Сильный признак</v>
      </c>
      <c r="N14" s="2"/>
    </row>
    <row r="15" spans="1:14" ht="25.5">
      <c r="A15" s="2" t="s">
        <v>81</v>
      </c>
      <c r="B15" s="2" t="s">
        <v>1023</v>
      </c>
      <c r="C15" s="2" t="s">
        <v>1079</v>
      </c>
      <c r="D15" s="2" t="s">
        <v>378</v>
      </c>
      <c r="E15" s="2" t="s">
        <v>1201</v>
      </c>
      <c r="F15" s="2" t="s">
        <v>1202</v>
      </c>
      <c r="G15" s="2" t="s">
        <v>1190</v>
      </c>
      <c r="H15" s="2">
        <v>1</v>
      </c>
      <c r="I15" s="2">
        <v>3</v>
      </c>
      <c r="J15" s="2">
        <v>2</v>
      </c>
      <c r="K15" s="2">
        <v>4</v>
      </c>
      <c r="L15" s="2">
        <f t="shared" si="0"/>
        <v>3.33</v>
      </c>
      <c r="M15" s="2" t="str">
        <f t="shared" si="1"/>
        <v>Рабочий признак</v>
      </c>
      <c r="N15" s="2"/>
    </row>
    <row r="16" spans="1:14" ht="25.5">
      <c r="A16" s="2" t="s">
        <v>81</v>
      </c>
      <c r="B16" s="2" t="s">
        <v>1023</v>
      </c>
      <c r="C16" s="2" t="s">
        <v>1079</v>
      </c>
      <c r="D16" s="2" t="s">
        <v>378</v>
      </c>
      <c r="E16" s="2" t="s">
        <v>1203</v>
      </c>
      <c r="F16" s="2" t="s">
        <v>1204</v>
      </c>
      <c r="G16" s="2" t="s">
        <v>1190</v>
      </c>
      <c r="H16" s="2">
        <v>1</v>
      </c>
      <c r="I16" s="2">
        <v>3</v>
      </c>
      <c r="J16" s="2">
        <v>2</v>
      </c>
      <c r="K16" s="2">
        <v>5</v>
      </c>
      <c r="L16" s="2">
        <f t="shared" si="0"/>
        <v>4.17</v>
      </c>
      <c r="M16" s="2" t="str">
        <f t="shared" si="1"/>
        <v>Сильный признак</v>
      </c>
      <c r="N16" s="2"/>
    </row>
    <row r="17" spans="1:14" ht="25.5">
      <c r="A17" s="2" t="s">
        <v>81</v>
      </c>
      <c r="B17" s="2" t="s">
        <v>1023</v>
      </c>
      <c r="C17" s="2" t="s">
        <v>1079</v>
      </c>
      <c r="D17" s="2" t="s">
        <v>387</v>
      </c>
      <c r="E17" s="2" t="s">
        <v>1205</v>
      </c>
      <c r="F17" s="2" t="s">
        <v>1206</v>
      </c>
      <c r="G17" s="2" t="s">
        <v>1190</v>
      </c>
      <c r="H17" s="2">
        <v>1</v>
      </c>
      <c r="I17" s="2">
        <v>3</v>
      </c>
      <c r="J17" s="2">
        <v>2</v>
      </c>
      <c r="K17" s="2">
        <v>4</v>
      </c>
      <c r="L17" s="2">
        <f t="shared" si="0"/>
        <v>3.33</v>
      </c>
      <c r="M17" s="2" t="str">
        <f t="shared" si="1"/>
        <v>Рабочий признак</v>
      </c>
      <c r="N17" s="2"/>
    </row>
    <row r="18" spans="1:14" ht="25.5">
      <c r="A18" s="2" t="s">
        <v>81</v>
      </c>
      <c r="B18" s="2" t="s">
        <v>1023</v>
      </c>
      <c r="C18" s="2" t="s">
        <v>1079</v>
      </c>
      <c r="D18" s="2" t="s">
        <v>387</v>
      </c>
      <c r="E18" s="2" t="s">
        <v>1207</v>
      </c>
      <c r="F18" s="2" t="s">
        <v>1208</v>
      </c>
      <c r="G18" s="2" t="s">
        <v>1190</v>
      </c>
      <c r="H18" s="2">
        <v>1</v>
      </c>
      <c r="I18" s="2">
        <v>2</v>
      </c>
      <c r="J18" s="2">
        <v>2</v>
      </c>
      <c r="K18" s="2">
        <v>3</v>
      </c>
      <c r="L18" s="2">
        <f t="shared" si="0"/>
        <v>2</v>
      </c>
      <c r="M18" s="2" t="str">
        <f t="shared" si="1"/>
        <v>Рабочий признак</v>
      </c>
      <c r="N18" s="2"/>
    </row>
    <row r="19" spans="1:14" ht="25.5">
      <c r="A19" s="2" t="s">
        <v>81</v>
      </c>
      <c r="B19" s="2" t="s">
        <v>1023</v>
      </c>
      <c r="C19" s="2" t="s">
        <v>1079</v>
      </c>
      <c r="D19" s="2" t="s">
        <v>387</v>
      </c>
      <c r="E19" s="2" t="s">
        <v>1209</v>
      </c>
      <c r="F19" s="2" t="s">
        <v>1210</v>
      </c>
      <c r="G19" s="2" t="s">
        <v>1190</v>
      </c>
      <c r="H19" s="2">
        <v>1</v>
      </c>
      <c r="I19" s="2">
        <v>2</v>
      </c>
      <c r="J19" s="2">
        <v>2</v>
      </c>
      <c r="K19" s="2">
        <v>2</v>
      </c>
      <c r="L19" s="2">
        <f t="shared" si="0"/>
        <v>1.33</v>
      </c>
      <c r="M19" s="2" t="str">
        <f t="shared" si="1"/>
        <v>Слабый признак</v>
      </c>
      <c r="N19" s="2"/>
    </row>
    <row r="20" spans="1:14" ht="25.5">
      <c r="A20" s="2" t="s">
        <v>83</v>
      </c>
      <c r="B20" s="2" t="s">
        <v>1033</v>
      </c>
      <c r="C20" s="2" t="s">
        <v>1105</v>
      </c>
      <c r="D20" s="2" t="s">
        <v>367</v>
      </c>
      <c r="E20" s="2" t="s">
        <v>1182</v>
      </c>
      <c r="F20" s="2" t="s">
        <v>1211</v>
      </c>
      <c r="G20" s="2" t="s">
        <v>1184</v>
      </c>
      <c r="H20" s="2">
        <v>1</v>
      </c>
      <c r="I20" s="2">
        <v>3</v>
      </c>
      <c r="J20" s="2">
        <v>3</v>
      </c>
      <c r="K20" s="2">
        <v>5</v>
      </c>
      <c r="L20" s="2">
        <f t="shared" si="0"/>
        <v>5</v>
      </c>
      <c r="M20" s="2" t="str">
        <f t="shared" si="1"/>
        <v>Сильный признак</v>
      </c>
      <c r="N20" s="2"/>
    </row>
    <row r="21" spans="1:14" ht="38.25">
      <c r="A21" s="2" t="s">
        <v>83</v>
      </c>
      <c r="B21" s="2" t="s">
        <v>1033</v>
      </c>
      <c r="C21" s="2" t="s">
        <v>1105</v>
      </c>
      <c r="D21" s="2" t="s">
        <v>374</v>
      </c>
      <c r="E21" s="2" t="s">
        <v>1185</v>
      </c>
      <c r="F21" s="2" t="s">
        <v>1212</v>
      </c>
      <c r="G21" s="2" t="s">
        <v>1187</v>
      </c>
      <c r="H21" s="2">
        <v>1</v>
      </c>
      <c r="I21" s="2">
        <v>3</v>
      </c>
      <c r="J21" s="2">
        <v>3</v>
      </c>
      <c r="K21" s="2">
        <v>4</v>
      </c>
      <c r="L21" s="2">
        <f t="shared" si="0"/>
        <v>4</v>
      </c>
      <c r="M21" s="2" t="str">
        <f t="shared" si="1"/>
        <v>Сильный признак</v>
      </c>
      <c r="N21" s="2"/>
    </row>
    <row r="22" spans="1:14" ht="25.5">
      <c r="A22" s="2" t="s">
        <v>83</v>
      </c>
      <c r="B22" s="2" t="s">
        <v>1033</v>
      </c>
      <c r="C22" s="2" t="s">
        <v>1105</v>
      </c>
      <c r="D22" s="2" t="s">
        <v>374</v>
      </c>
      <c r="E22" s="2" t="s">
        <v>1188</v>
      </c>
      <c r="F22" s="2" t="s">
        <v>1189</v>
      </c>
      <c r="G22" s="2" t="s">
        <v>1190</v>
      </c>
      <c r="H22" s="2">
        <v>1</v>
      </c>
      <c r="I22" s="2">
        <v>3</v>
      </c>
      <c r="J22" s="2">
        <v>2</v>
      </c>
      <c r="K22" s="2">
        <v>5</v>
      </c>
      <c r="L22" s="2">
        <f t="shared" si="0"/>
        <v>4.17</v>
      </c>
      <c r="M22" s="2" t="str">
        <f t="shared" si="1"/>
        <v>Сильный признак</v>
      </c>
      <c r="N22" s="2"/>
    </row>
    <row r="23" spans="1:14" ht="25.5">
      <c r="A23" s="2" t="s">
        <v>83</v>
      </c>
      <c r="B23" s="2" t="s">
        <v>1033</v>
      </c>
      <c r="C23" s="2" t="s">
        <v>1105</v>
      </c>
      <c r="D23" s="2" t="s">
        <v>378</v>
      </c>
      <c r="E23" s="2" t="s">
        <v>1191</v>
      </c>
      <c r="F23" s="2" t="s">
        <v>1213</v>
      </c>
      <c r="G23" s="2" t="s">
        <v>1190</v>
      </c>
      <c r="H23" s="2">
        <v>1</v>
      </c>
      <c r="I23" s="2">
        <v>3</v>
      </c>
      <c r="J23" s="2">
        <v>2</v>
      </c>
      <c r="K23" s="2">
        <v>5</v>
      </c>
      <c r="L23" s="2">
        <f t="shared" si="0"/>
        <v>4.17</v>
      </c>
      <c r="M23" s="2" t="str">
        <f t="shared" si="1"/>
        <v>Сильный признак</v>
      </c>
      <c r="N23" s="2"/>
    </row>
    <row r="24" spans="1:14" ht="25.5">
      <c r="A24" s="2" t="s">
        <v>83</v>
      </c>
      <c r="B24" s="2" t="s">
        <v>1033</v>
      </c>
      <c r="C24" s="2" t="s">
        <v>1105</v>
      </c>
      <c r="D24" s="2" t="s">
        <v>378</v>
      </c>
      <c r="E24" s="2" t="s">
        <v>1193</v>
      </c>
      <c r="F24" s="2" t="s">
        <v>1194</v>
      </c>
      <c r="G24" s="2" t="s">
        <v>1190</v>
      </c>
      <c r="H24" s="2">
        <v>1</v>
      </c>
      <c r="I24" s="2">
        <v>2</v>
      </c>
      <c r="J24" s="2">
        <v>2</v>
      </c>
      <c r="K24" s="2">
        <v>4</v>
      </c>
      <c r="L24" s="2">
        <f t="shared" si="0"/>
        <v>2.67</v>
      </c>
      <c r="M24" s="2" t="str">
        <f t="shared" si="1"/>
        <v>Рабочий признак</v>
      </c>
      <c r="N24" s="2"/>
    </row>
    <row r="25" spans="1:14" ht="25.5">
      <c r="A25" s="2" t="s">
        <v>83</v>
      </c>
      <c r="B25" s="2" t="s">
        <v>1033</v>
      </c>
      <c r="C25" s="2" t="s">
        <v>1105</v>
      </c>
      <c r="D25" s="2" t="s">
        <v>387</v>
      </c>
      <c r="E25" s="2" t="s">
        <v>1214</v>
      </c>
      <c r="F25" s="2" t="s">
        <v>1215</v>
      </c>
      <c r="G25" s="2" t="s">
        <v>1190</v>
      </c>
      <c r="H25" s="2">
        <v>1</v>
      </c>
      <c r="I25" s="2">
        <v>3</v>
      </c>
      <c r="J25" s="2">
        <v>2</v>
      </c>
      <c r="K25" s="2">
        <v>3</v>
      </c>
      <c r="L25" s="2">
        <f t="shared" si="0"/>
        <v>2.5</v>
      </c>
      <c r="M25" s="2" t="str">
        <f t="shared" si="1"/>
        <v>Рабочий признак</v>
      </c>
      <c r="N25" s="2"/>
    </row>
    <row r="26" spans="1:14" ht="25.5">
      <c r="A26" s="2" t="s">
        <v>83</v>
      </c>
      <c r="B26" s="2" t="s">
        <v>1033</v>
      </c>
      <c r="C26" s="2" t="s">
        <v>1105</v>
      </c>
      <c r="D26" s="2" t="s">
        <v>387</v>
      </c>
      <c r="E26" s="2" t="s">
        <v>1195</v>
      </c>
      <c r="F26" s="2" t="s">
        <v>1196</v>
      </c>
      <c r="G26" s="2" t="s">
        <v>1190</v>
      </c>
      <c r="H26" s="2">
        <v>1</v>
      </c>
      <c r="I26" s="2">
        <v>2</v>
      </c>
      <c r="J26" s="2">
        <v>2</v>
      </c>
      <c r="K26" s="2">
        <v>4</v>
      </c>
      <c r="L26" s="2">
        <f t="shared" si="0"/>
        <v>2.67</v>
      </c>
      <c r="M26" s="2" t="str">
        <f t="shared" si="1"/>
        <v>Рабочий признак</v>
      </c>
      <c r="N26" s="2"/>
    </row>
    <row r="27" spans="1:14" ht="25.5">
      <c r="A27" s="2" t="s">
        <v>83</v>
      </c>
      <c r="B27" s="2" t="s">
        <v>1033</v>
      </c>
      <c r="C27" s="2" t="s">
        <v>1105</v>
      </c>
      <c r="D27" s="2" t="s">
        <v>387</v>
      </c>
      <c r="E27" s="2" t="s">
        <v>1197</v>
      </c>
      <c r="F27" s="2" t="s">
        <v>1198</v>
      </c>
      <c r="G27" s="2" t="s">
        <v>1190</v>
      </c>
      <c r="H27" s="2">
        <v>1</v>
      </c>
      <c r="I27" s="2">
        <v>2</v>
      </c>
      <c r="J27" s="2">
        <v>2</v>
      </c>
      <c r="K27" s="2">
        <v>3</v>
      </c>
      <c r="L27" s="2">
        <f t="shared" si="0"/>
        <v>2</v>
      </c>
      <c r="M27" s="2" t="str">
        <f t="shared" si="1"/>
        <v>Рабочий признак</v>
      </c>
      <c r="N27" s="2"/>
    </row>
    <row r="28" spans="1:14" ht="25.5">
      <c r="A28" s="2" t="s">
        <v>83</v>
      </c>
      <c r="B28" s="2" t="s">
        <v>1033</v>
      </c>
      <c r="C28" s="2" t="s">
        <v>1105</v>
      </c>
      <c r="D28" s="2" t="s">
        <v>378</v>
      </c>
      <c r="E28" s="2" t="s">
        <v>1199</v>
      </c>
      <c r="F28" s="2" t="s">
        <v>1200</v>
      </c>
      <c r="G28" s="2" t="s">
        <v>1190</v>
      </c>
      <c r="H28" s="2">
        <v>1</v>
      </c>
      <c r="I28" s="2">
        <v>3</v>
      </c>
      <c r="J28" s="2">
        <v>2</v>
      </c>
      <c r="K28" s="2">
        <v>5</v>
      </c>
      <c r="L28" s="2">
        <f t="shared" si="0"/>
        <v>4.17</v>
      </c>
      <c r="M28" s="2" t="str">
        <f t="shared" si="1"/>
        <v>Сильный признак</v>
      </c>
      <c r="N28" s="2"/>
    </row>
    <row r="29" spans="1:14" ht="25.5">
      <c r="A29" s="2" t="s">
        <v>83</v>
      </c>
      <c r="B29" s="2" t="s">
        <v>1033</v>
      </c>
      <c r="C29" s="2" t="s">
        <v>1105</v>
      </c>
      <c r="D29" s="2" t="s">
        <v>378</v>
      </c>
      <c r="E29" s="2" t="s">
        <v>1201</v>
      </c>
      <c r="F29" s="2" t="s">
        <v>1202</v>
      </c>
      <c r="G29" s="2" t="s">
        <v>1190</v>
      </c>
      <c r="H29" s="2">
        <v>1</v>
      </c>
      <c r="I29" s="2">
        <v>3</v>
      </c>
      <c r="J29" s="2">
        <v>2</v>
      </c>
      <c r="K29" s="2">
        <v>4</v>
      </c>
      <c r="L29" s="2">
        <f t="shared" si="0"/>
        <v>3.33</v>
      </c>
      <c r="M29" s="2" t="str">
        <f t="shared" si="1"/>
        <v>Рабочий признак</v>
      </c>
      <c r="N29" s="2"/>
    </row>
    <row r="30" spans="1:14" ht="25.5">
      <c r="A30" s="2" t="s">
        <v>83</v>
      </c>
      <c r="B30" s="2" t="s">
        <v>1033</v>
      </c>
      <c r="C30" s="2" t="s">
        <v>1105</v>
      </c>
      <c r="D30" s="2" t="s">
        <v>378</v>
      </c>
      <c r="E30" s="2" t="s">
        <v>1203</v>
      </c>
      <c r="F30" s="2" t="s">
        <v>1204</v>
      </c>
      <c r="G30" s="2" t="s">
        <v>1190</v>
      </c>
      <c r="H30" s="2">
        <v>1</v>
      </c>
      <c r="I30" s="2">
        <v>3</v>
      </c>
      <c r="J30" s="2">
        <v>2</v>
      </c>
      <c r="K30" s="2">
        <v>5</v>
      </c>
      <c r="L30" s="2">
        <f t="shared" si="0"/>
        <v>4.17</v>
      </c>
      <c r="M30" s="2" t="str">
        <f t="shared" si="1"/>
        <v>Сильный признак</v>
      </c>
      <c r="N30" s="2"/>
    </row>
    <row r="31" spans="1:14" ht="25.5">
      <c r="A31" s="2" t="s">
        <v>83</v>
      </c>
      <c r="B31" s="2" t="s">
        <v>1033</v>
      </c>
      <c r="C31" s="2" t="s">
        <v>1105</v>
      </c>
      <c r="D31" s="2" t="s">
        <v>387</v>
      </c>
      <c r="E31" s="2" t="s">
        <v>1205</v>
      </c>
      <c r="F31" s="2" t="s">
        <v>1206</v>
      </c>
      <c r="G31" s="2" t="s">
        <v>1190</v>
      </c>
      <c r="H31" s="2">
        <v>1</v>
      </c>
      <c r="I31" s="2">
        <v>3</v>
      </c>
      <c r="J31" s="2">
        <v>2</v>
      </c>
      <c r="K31" s="2">
        <v>4</v>
      </c>
      <c r="L31" s="2">
        <f t="shared" si="0"/>
        <v>3.33</v>
      </c>
      <c r="M31" s="2" t="str">
        <f t="shared" si="1"/>
        <v>Рабочий признак</v>
      </c>
      <c r="N31" s="2"/>
    </row>
    <row r="32" spans="1:14" ht="25.5">
      <c r="A32" s="2" t="s">
        <v>83</v>
      </c>
      <c r="B32" s="2" t="s">
        <v>1033</v>
      </c>
      <c r="C32" s="2" t="s">
        <v>1105</v>
      </c>
      <c r="D32" s="2" t="s">
        <v>387</v>
      </c>
      <c r="E32" s="2" t="s">
        <v>1207</v>
      </c>
      <c r="F32" s="2" t="s">
        <v>1208</v>
      </c>
      <c r="G32" s="2" t="s">
        <v>1190</v>
      </c>
      <c r="H32" s="2">
        <v>1</v>
      </c>
      <c r="I32" s="2">
        <v>2</v>
      </c>
      <c r="J32" s="2">
        <v>2</v>
      </c>
      <c r="K32" s="2">
        <v>3</v>
      </c>
      <c r="L32" s="2">
        <f t="shared" si="0"/>
        <v>2</v>
      </c>
      <c r="M32" s="2" t="str">
        <f t="shared" si="1"/>
        <v>Рабочий признак</v>
      </c>
      <c r="N32" s="2"/>
    </row>
    <row r="33" spans="1:14" ht="25.5">
      <c r="A33" s="2" t="s">
        <v>84</v>
      </c>
      <c r="B33" s="2" t="s">
        <v>1039</v>
      </c>
      <c r="C33" s="2" t="s">
        <v>1216</v>
      </c>
      <c r="D33" s="2" t="s">
        <v>367</v>
      </c>
      <c r="E33" s="2" t="s">
        <v>1182</v>
      </c>
      <c r="F33" s="2" t="s">
        <v>1217</v>
      </c>
      <c r="G33" s="2" t="s">
        <v>1184</v>
      </c>
      <c r="H33" s="2">
        <v>1</v>
      </c>
      <c r="I33" s="2">
        <v>3</v>
      </c>
      <c r="J33" s="2">
        <v>3</v>
      </c>
      <c r="K33" s="2">
        <v>5</v>
      </c>
      <c r="L33" s="2">
        <f t="shared" si="0"/>
        <v>5</v>
      </c>
      <c r="M33" s="2" t="str">
        <f t="shared" si="1"/>
        <v>Сильный признак</v>
      </c>
      <c r="N33" s="2"/>
    </row>
    <row r="34" spans="1:14" ht="38.25">
      <c r="A34" s="2" t="s">
        <v>84</v>
      </c>
      <c r="B34" s="2" t="s">
        <v>1039</v>
      </c>
      <c r="C34" s="2" t="s">
        <v>1216</v>
      </c>
      <c r="D34" s="2" t="s">
        <v>374</v>
      </c>
      <c r="E34" s="2" t="s">
        <v>1185</v>
      </c>
      <c r="F34" s="2" t="s">
        <v>1218</v>
      </c>
      <c r="G34" s="2" t="s">
        <v>1187</v>
      </c>
      <c r="H34" s="2">
        <v>1</v>
      </c>
      <c r="I34" s="2">
        <v>3</v>
      </c>
      <c r="J34" s="2">
        <v>3</v>
      </c>
      <c r="K34" s="2">
        <v>4</v>
      </c>
      <c r="L34" s="2">
        <f t="shared" si="0"/>
        <v>4</v>
      </c>
      <c r="M34" s="2" t="str">
        <f t="shared" si="1"/>
        <v>Сильный признак</v>
      </c>
      <c r="N34" s="2"/>
    </row>
    <row r="35" spans="1:14" ht="25.5">
      <c r="A35" s="2" t="s">
        <v>84</v>
      </c>
      <c r="B35" s="2" t="s">
        <v>1039</v>
      </c>
      <c r="C35" s="2" t="s">
        <v>1216</v>
      </c>
      <c r="D35" s="2" t="s">
        <v>374</v>
      </c>
      <c r="E35" s="2" t="s">
        <v>1188</v>
      </c>
      <c r="F35" s="2" t="s">
        <v>1189</v>
      </c>
      <c r="G35" s="2" t="s">
        <v>1190</v>
      </c>
      <c r="H35" s="2">
        <v>1</v>
      </c>
      <c r="I35" s="2">
        <v>3</v>
      </c>
      <c r="J35" s="2">
        <v>3</v>
      </c>
      <c r="K35" s="2">
        <v>5</v>
      </c>
      <c r="L35" s="2">
        <f t="shared" si="0"/>
        <v>5</v>
      </c>
      <c r="M35" s="2" t="str">
        <f t="shared" si="1"/>
        <v>Сильный признак</v>
      </c>
      <c r="N35" s="2"/>
    </row>
    <row r="36" spans="1:14">
      <c r="A36" s="2" t="s">
        <v>84</v>
      </c>
      <c r="B36" s="2" t="s">
        <v>1039</v>
      </c>
      <c r="C36" s="2" t="s">
        <v>1130</v>
      </c>
      <c r="D36" s="2" t="s">
        <v>378</v>
      </c>
      <c r="E36" s="2" t="s">
        <v>1191</v>
      </c>
      <c r="F36" s="2" t="s">
        <v>1219</v>
      </c>
      <c r="G36" s="2" t="s">
        <v>1190</v>
      </c>
      <c r="H36" s="2">
        <v>1</v>
      </c>
      <c r="I36" s="2">
        <v>3</v>
      </c>
      <c r="J36" s="2">
        <v>3</v>
      </c>
      <c r="K36" s="2">
        <v>5</v>
      </c>
      <c r="L36" s="2">
        <f t="shared" si="0"/>
        <v>5</v>
      </c>
      <c r="M36" s="2" t="str">
        <f t="shared" si="1"/>
        <v>Сильный признак</v>
      </c>
      <c r="N36" s="2"/>
    </row>
    <row r="37" spans="1:14" ht="25.5">
      <c r="A37" s="2" t="s">
        <v>84</v>
      </c>
      <c r="B37" s="2" t="s">
        <v>1039</v>
      </c>
      <c r="C37" s="2" t="s">
        <v>1130</v>
      </c>
      <c r="D37" s="2" t="s">
        <v>378</v>
      </c>
      <c r="E37" s="2" t="s">
        <v>1220</v>
      </c>
      <c r="F37" s="2" t="s">
        <v>1221</v>
      </c>
      <c r="G37" s="2" t="s">
        <v>1190</v>
      </c>
      <c r="H37" s="2">
        <v>1</v>
      </c>
      <c r="I37" s="2">
        <v>3</v>
      </c>
      <c r="J37" s="2">
        <v>3</v>
      </c>
      <c r="K37" s="2">
        <v>4</v>
      </c>
      <c r="L37" s="2">
        <f t="shared" si="0"/>
        <v>4</v>
      </c>
      <c r="M37" s="2" t="str">
        <f t="shared" si="1"/>
        <v>Сильный признак</v>
      </c>
      <c r="N37" s="2"/>
    </row>
    <row r="38" spans="1:14" ht="25.5">
      <c r="A38" s="2" t="s">
        <v>84</v>
      </c>
      <c r="B38" s="2" t="s">
        <v>1039</v>
      </c>
      <c r="C38" s="2" t="s">
        <v>1130</v>
      </c>
      <c r="D38" s="2" t="s">
        <v>378</v>
      </c>
      <c r="E38" s="2" t="s">
        <v>1222</v>
      </c>
      <c r="F38" s="2" t="s">
        <v>1223</v>
      </c>
      <c r="G38" s="2" t="s">
        <v>1190</v>
      </c>
      <c r="H38" s="2">
        <v>1</v>
      </c>
      <c r="I38" s="2">
        <v>3</v>
      </c>
      <c r="J38" s="2">
        <v>3</v>
      </c>
      <c r="K38" s="2">
        <v>5</v>
      </c>
      <c r="L38" s="2">
        <f t="shared" si="0"/>
        <v>5</v>
      </c>
      <c r="M38" s="2" t="str">
        <f t="shared" si="1"/>
        <v>Сильный признак</v>
      </c>
      <c r="N38" s="2"/>
    </row>
    <row r="39" spans="1:14" ht="25.5">
      <c r="A39" s="2" t="s">
        <v>84</v>
      </c>
      <c r="B39" s="2" t="s">
        <v>1039</v>
      </c>
      <c r="C39" s="2" t="s">
        <v>1130</v>
      </c>
      <c r="D39" s="2" t="s">
        <v>387</v>
      </c>
      <c r="E39" s="2" t="s">
        <v>1224</v>
      </c>
      <c r="F39" s="2" t="s">
        <v>1225</v>
      </c>
      <c r="G39" s="2" t="s">
        <v>1190</v>
      </c>
      <c r="H39" s="2">
        <v>1</v>
      </c>
      <c r="I39" s="2">
        <v>3</v>
      </c>
      <c r="J39" s="2">
        <v>3</v>
      </c>
      <c r="K39" s="2">
        <v>2</v>
      </c>
      <c r="L39" s="2">
        <f t="shared" si="0"/>
        <v>2</v>
      </c>
      <c r="M39" s="2" t="str">
        <f t="shared" si="1"/>
        <v>Рабочий признак</v>
      </c>
      <c r="N39" s="2"/>
    </row>
    <row r="40" spans="1:14" ht="25.5">
      <c r="A40" s="2" t="s">
        <v>84</v>
      </c>
      <c r="B40" s="2" t="s">
        <v>1039</v>
      </c>
      <c r="C40" s="2" t="s">
        <v>1130</v>
      </c>
      <c r="D40" s="2" t="s">
        <v>378</v>
      </c>
      <c r="E40" s="2" t="s">
        <v>1226</v>
      </c>
      <c r="F40" s="2" t="s">
        <v>1227</v>
      </c>
      <c r="G40" s="2" t="s">
        <v>1190</v>
      </c>
      <c r="H40" s="2">
        <v>1</v>
      </c>
      <c r="I40" s="2">
        <v>3</v>
      </c>
      <c r="J40" s="2">
        <v>3</v>
      </c>
      <c r="K40" s="2">
        <v>3</v>
      </c>
      <c r="L40" s="2">
        <f t="shared" si="0"/>
        <v>3</v>
      </c>
      <c r="M40" s="2" t="str">
        <f t="shared" si="1"/>
        <v>Рабочий признак</v>
      </c>
      <c r="N40" s="2"/>
    </row>
    <row r="41" spans="1:14">
      <c r="A41" s="2" t="s">
        <v>84</v>
      </c>
      <c r="B41" s="2" t="s">
        <v>1039</v>
      </c>
      <c r="C41" s="2" t="s">
        <v>1130</v>
      </c>
      <c r="D41" s="2" t="s">
        <v>387</v>
      </c>
      <c r="E41" s="2" t="s">
        <v>1228</v>
      </c>
      <c r="F41" s="2" t="s">
        <v>1229</v>
      </c>
      <c r="G41" s="2" t="s">
        <v>1190</v>
      </c>
      <c r="H41" s="2">
        <v>1</v>
      </c>
      <c r="I41" s="2">
        <v>3</v>
      </c>
      <c r="J41" s="2">
        <v>3</v>
      </c>
      <c r="K41" s="2">
        <v>3</v>
      </c>
      <c r="L41" s="2">
        <f t="shared" si="0"/>
        <v>3</v>
      </c>
      <c r="M41" s="2" t="str">
        <f t="shared" si="1"/>
        <v>Рабочий признак</v>
      </c>
      <c r="N41" s="2"/>
    </row>
    <row r="42" spans="1:14" ht="25.5">
      <c r="A42" s="2" t="s">
        <v>84</v>
      </c>
      <c r="B42" s="2" t="s">
        <v>1039</v>
      </c>
      <c r="C42" s="2" t="s">
        <v>1216</v>
      </c>
      <c r="D42" s="2" t="s">
        <v>387</v>
      </c>
      <c r="E42" s="2" t="s">
        <v>1230</v>
      </c>
      <c r="F42" s="2" t="s">
        <v>1231</v>
      </c>
      <c r="G42" s="2" t="s">
        <v>1190</v>
      </c>
      <c r="H42" s="2">
        <v>1</v>
      </c>
      <c r="I42" s="2">
        <v>3</v>
      </c>
      <c r="J42" s="2">
        <v>3</v>
      </c>
      <c r="K42" s="2">
        <v>4</v>
      </c>
      <c r="L42" s="2">
        <f t="shared" si="0"/>
        <v>4</v>
      </c>
      <c r="M42" s="2" t="str">
        <f t="shared" si="1"/>
        <v>Сильный признак</v>
      </c>
      <c r="N42" s="2"/>
    </row>
    <row r="43" spans="1:14" ht="25.5">
      <c r="A43" s="2" t="s">
        <v>84</v>
      </c>
      <c r="B43" s="2" t="s">
        <v>1039</v>
      </c>
      <c r="C43" s="2" t="s">
        <v>1216</v>
      </c>
      <c r="D43" s="2" t="s">
        <v>378</v>
      </c>
      <c r="E43" s="2" t="s">
        <v>1193</v>
      </c>
      <c r="F43" s="2" t="s">
        <v>1194</v>
      </c>
      <c r="G43" s="2" t="s">
        <v>1190</v>
      </c>
      <c r="H43" s="2">
        <v>1</v>
      </c>
      <c r="I43" s="2">
        <v>2</v>
      </c>
      <c r="J43" s="2">
        <v>3</v>
      </c>
      <c r="K43" s="2">
        <v>4</v>
      </c>
      <c r="L43" s="2">
        <f t="shared" si="0"/>
        <v>3.33</v>
      </c>
      <c r="M43" s="2" t="str">
        <f t="shared" si="1"/>
        <v>Рабочий признак</v>
      </c>
      <c r="N43" s="2"/>
    </row>
    <row r="44" spans="1:14" ht="25.5">
      <c r="A44" s="2" t="s">
        <v>84</v>
      </c>
      <c r="B44" s="2" t="s">
        <v>1039</v>
      </c>
      <c r="C44" s="2" t="s">
        <v>1216</v>
      </c>
      <c r="D44" s="2" t="s">
        <v>387</v>
      </c>
      <c r="E44" s="2" t="s">
        <v>1214</v>
      </c>
      <c r="F44" s="2" t="s">
        <v>1215</v>
      </c>
      <c r="G44" s="2" t="s">
        <v>1190</v>
      </c>
      <c r="H44" s="2">
        <v>1</v>
      </c>
      <c r="I44" s="2">
        <v>3</v>
      </c>
      <c r="J44" s="2">
        <v>3</v>
      </c>
      <c r="K44" s="2">
        <v>3</v>
      </c>
      <c r="L44" s="2">
        <f t="shared" si="0"/>
        <v>3</v>
      </c>
      <c r="M44" s="2" t="str">
        <f t="shared" si="1"/>
        <v>Рабочий признак</v>
      </c>
      <c r="N44" s="2"/>
    </row>
    <row r="45" spans="1:14" ht="25.5">
      <c r="A45" s="2" t="s">
        <v>84</v>
      </c>
      <c r="B45" s="2" t="s">
        <v>1039</v>
      </c>
      <c r="C45" s="2" t="s">
        <v>1216</v>
      </c>
      <c r="D45" s="2" t="s">
        <v>387</v>
      </c>
      <c r="E45" s="2" t="s">
        <v>1197</v>
      </c>
      <c r="F45" s="2" t="s">
        <v>1198</v>
      </c>
      <c r="G45" s="2" t="s">
        <v>1190</v>
      </c>
      <c r="H45" s="2">
        <v>1</v>
      </c>
      <c r="I45" s="2">
        <v>2</v>
      </c>
      <c r="J45" s="2">
        <v>3</v>
      </c>
      <c r="K45" s="2">
        <v>3</v>
      </c>
      <c r="L45" s="2">
        <f t="shared" si="0"/>
        <v>2.5</v>
      </c>
      <c r="M45" s="2" t="str">
        <f t="shared" si="1"/>
        <v>Рабочий признак</v>
      </c>
      <c r="N45" s="2"/>
    </row>
    <row r="46" spans="1:14" ht="25.5">
      <c r="A46" s="2" t="s">
        <v>84</v>
      </c>
      <c r="B46" s="2" t="s">
        <v>1039</v>
      </c>
      <c r="C46" s="2" t="s">
        <v>1216</v>
      </c>
      <c r="D46" s="2" t="s">
        <v>387</v>
      </c>
      <c r="E46" s="2" t="s">
        <v>1232</v>
      </c>
      <c r="F46" s="2" t="s">
        <v>1233</v>
      </c>
      <c r="G46" s="2" t="s">
        <v>1190</v>
      </c>
      <c r="H46" s="2">
        <v>1</v>
      </c>
      <c r="I46" s="2">
        <v>2</v>
      </c>
      <c r="J46" s="2">
        <v>3</v>
      </c>
      <c r="K46" s="2">
        <v>3</v>
      </c>
      <c r="L46" s="2">
        <f t="shared" si="0"/>
        <v>2.5</v>
      </c>
      <c r="M46" s="2" t="str">
        <f t="shared" si="1"/>
        <v>Рабочий признак</v>
      </c>
      <c r="N46" s="2"/>
    </row>
    <row r="47" spans="1:14" ht="38.25">
      <c r="A47" s="2" t="s">
        <v>84</v>
      </c>
      <c r="B47" s="2" t="s">
        <v>1039</v>
      </c>
      <c r="C47" s="2" t="s">
        <v>1216</v>
      </c>
      <c r="D47" s="2" t="s">
        <v>387</v>
      </c>
      <c r="E47" s="2" t="s">
        <v>1234</v>
      </c>
      <c r="F47" s="2" t="s">
        <v>1235</v>
      </c>
      <c r="G47" s="2" t="s">
        <v>1190</v>
      </c>
      <c r="H47" s="2">
        <v>1</v>
      </c>
      <c r="I47" s="2">
        <v>2</v>
      </c>
      <c r="J47" s="2">
        <v>3</v>
      </c>
      <c r="K47" s="2">
        <v>3</v>
      </c>
      <c r="L47" s="2">
        <f t="shared" si="0"/>
        <v>2.5</v>
      </c>
      <c r="M47" s="2" t="str">
        <f t="shared" si="1"/>
        <v>Рабочий признак</v>
      </c>
      <c r="N47" s="2"/>
    </row>
    <row r="48" spans="1:14">
      <c r="A48" s="2" t="s">
        <v>84</v>
      </c>
      <c r="B48" s="2" t="s">
        <v>1039</v>
      </c>
      <c r="C48" s="2" t="s">
        <v>1130</v>
      </c>
      <c r="D48" s="2" t="s">
        <v>387</v>
      </c>
      <c r="E48" s="2" t="s">
        <v>1236</v>
      </c>
      <c r="F48" s="2" t="s">
        <v>1237</v>
      </c>
      <c r="G48" s="2" t="s">
        <v>1190</v>
      </c>
      <c r="H48" s="2">
        <v>1</v>
      </c>
      <c r="I48" s="2">
        <v>3</v>
      </c>
      <c r="J48" s="2">
        <v>3</v>
      </c>
      <c r="K48" s="2">
        <v>2</v>
      </c>
      <c r="L48" s="2">
        <f t="shared" si="0"/>
        <v>2</v>
      </c>
      <c r="M48" s="2" t="str">
        <f t="shared" si="1"/>
        <v>Рабочий признак</v>
      </c>
      <c r="N48" s="2"/>
    </row>
    <row r="49" spans="1:14" ht="25.5">
      <c r="A49" s="2" t="s">
        <v>84</v>
      </c>
      <c r="B49" s="2" t="s">
        <v>1039</v>
      </c>
      <c r="C49" s="2" t="s">
        <v>1216</v>
      </c>
      <c r="D49" s="2" t="s">
        <v>378</v>
      </c>
      <c r="E49" s="2" t="s">
        <v>1238</v>
      </c>
      <c r="F49" s="2" t="s">
        <v>1239</v>
      </c>
      <c r="G49" s="2" t="s">
        <v>1190</v>
      </c>
      <c r="H49" s="2">
        <v>1</v>
      </c>
      <c r="I49" s="2">
        <v>2</v>
      </c>
      <c r="J49" s="2">
        <v>3</v>
      </c>
      <c r="K49" s="2">
        <v>3</v>
      </c>
      <c r="L49" s="2">
        <f t="shared" si="0"/>
        <v>2.5</v>
      </c>
      <c r="M49" s="2" t="str">
        <f t="shared" si="1"/>
        <v>Рабочий признак</v>
      </c>
      <c r="N49" s="2"/>
    </row>
    <row r="50" spans="1:14" ht="25.5">
      <c r="A50" s="2" t="s">
        <v>84</v>
      </c>
      <c r="B50" s="2" t="s">
        <v>1039</v>
      </c>
      <c r="C50" s="2" t="s">
        <v>1216</v>
      </c>
      <c r="D50" s="2" t="s">
        <v>378</v>
      </c>
      <c r="E50" s="2" t="s">
        <v>1240</v>
      </c>
      <c r="F50" s="2" t="s">
        <v>1241</v>
      </c>
      <c r="G50" s="2" t="s">
        <v>1190</v>
      </c>
      <c r="H50" s="2">
        <v>1</v>
      </c>
      <c r="I50" s="2">
        <v>3</v>
      </c>
      <c r="J50" s="2">
        <v>3</v>
      </c>
      <c r="K50" s="2">
        <v>4</v>
      </c>
      <c r="L50" s="2">
        <f t="shared" si="0"/>
        <v>4</v>
      </c>
      <c r="M50" s="2" t="str">
        <f t="shared" si="1"/>
        <v>Сильный признак</v>
      </c>
      <c r="N50" s="2"/>
    </row>
    <row r="51" spans="1:14" ht="25.5">
      <c r="A51" s="2" t="s">
        <v>84</v>
      </c>
      <c r="B51" s="2" t="s">
        <v>1039</v>
      </c>
      <c r="C51" s="2" t="s">
        <v>1216</v>
      </c>
      <c r="D51" s="2" t="s">
        <v>378</v>
      </c>
      <c r="E51" s="2" t="s">
        <v>1199</v>
      </c>
      <c r="F51" s="2" t="s">
        <v>1200</v>
      </c>
      <c r="G51" s="2" t="s">
        <v>1190</v>
      </c>
      <c r="H51" s="2">
        <v>1</v>
      </c>
      <c r="I51" s="2">
        <v>3</v>
      </c>
      <c r="J51" s="2">
        <v>3</v>
      </c>
      <c r="K51" s="2">
        <v>5</v>
      </c>
      <c r="L51" s="2">
        <f t="shared" si="0"/>
        <v>5</v>
      </c>
      <c r="M51" s="2" t="str">
        <f t="shared" si="1"/>
        <v>Сильный признак</v>
      </c>
      <c r="N51" s="2"/>
    </row>
    <row r="52" spans="1:14" ht="25.5">
      <c r="A52" s="2" t="s">
        <v>84</v>
      </c>
      <c r="B52" s="2" t="s">
        <v>1039</v>
      </c>
      <c r="C52" s="2" t="s">
        <v>1216</v>
      </c>
      <c r="D52" s="2" t="s">
        <v>387</v>
      </c>
      <c r="E52" s="2" t="s">
        <v>1242</v>
      </c>
      <c r="F52" s="2" t="s">
        <v>1243</v>
      </c>
      <c r="G52" s="2" t="s">
        <v>1190</v>
      </c>
      <c r="H52" s="2">
        <v>1</v>
      </c>
      <c r="I52" s="2">
        <v>3</v>
      </c>
      <c r="J52" s="2">
        <v>3</v>
      </c>
      <c r="K52" s="2">
        <v>3</v>
      </c>
      <c r="L52" s="2">
        <f t="shared" si="0"/>
        <v>3</v>
      </c>
      <c r="M52" s="2" t="str">
        <f t="shared" si="1"/>
        <v>Рабочий признак</v>
      </c>
      <c r="N52" s="2"/>
    </row>
    <row r="53" spans="1:14" ht="25.5">
      <c r="A53" s="2" t="s">
        <v>84</v>
      </c>
      <c r="B53" s="2" t="s">
        <v>1039</v>
      </c>
      <c r="C53" s="2" t="s">
        <v>1216</v>
      </c>
      <c r="D53" s="2" t="s">
        <v>378</v>
      </c>
      <c r="E53" s="2" t="s">
        <v>1201</v>
      </c>
      <c r="F53" s="2" t="s">
        <v>1202</v>
      </c>
      <c r="G53" s="2" t="s">
        <v>1190</v>
      </c>
      <c r="H53" s="2">
        <v>1</v>
      </c>
      <c r="I53" s="2">
        <v>3</v>
      </c>
      <c r="J53" s="2">
        <v>3</v>
      </c>
      <c r="K53" s="2">
        <v>4</v>
      </c>
      <c r="L53" s="2">
        <f t="shared" si="0"/>
        <v>4</v>
      </c>
      <c r="M53" s="2" t="str">
        <f t="shared" si="1"/>
        <v>Сильный признак</v>
      </c>
      <c r="N53" s="2"/>
    </row>
    <row r="54" spans="1:14" ht="25.5">
      <c r="A54" s="2" t="s">
        <v>84</v>
      </c>
      <c r="B54" s="2" t="s">
        <v>1039</v>
      </c>
      <c r="C54" s="2" t="s">
        <v>1216</v>
      </c>
      <c r="D54" s="2" t="s">
        <v>387</v>
      </c>
      <c r="E54" s="2" t="s">
        <v>1205</v>
      </c>
      <c r="F54" s="2" t="s">
        <v>1206</v>
      </c>
      <c r="G54" s="2" t="s">
        <v>1190</v>
      </c>
      <c r="H54" s="2">
        <v>1</v>
      </c>
      <c r="I54" s="2">
        <v>3</v>
      </c>
      <c r="J54" s="2">
        <v>3</v>
      </c>
      <c r="K54" s="2">
        <v>4</v>
      </c>
      <c r="L54" s="2">
        <f t="shared" si="0"/>
        <v>4</v>
      </c>
      <c r="M54" s="2" t="str">
        <f t="shared" si="1"/>
        <v>Сильный признак</v>
      </c>
      <c r="N54" s="2"/>
    </row>
    <row r="55" spans="1:14" ht="38.25">
      <c r="A55" s="2" t="s">
        <v>84</v>
      </c>
      <c r="B55" s="2" t="s">
        <v>1039</v>
      </c>
      <c r="C55" s="2" t="s">
        <v>1216</v>
      </c>
      <c r="D55" s="2" t="s">
        <v>393</v>
      </c>
      <c r="E55" s="2" t="s">
        <v>1244</v>
      </c>
      <c r="F55" s="2" t="s">
        <v>1245</v>
      </c>
      <c r="G55" s="2" t="s">
        <v>1190</v>
      </c>
      <c r="H55" s="2">
        <v>1</v>
      </c>
      <c r="I55" s="2">
        <v>2</v>
      </c>
      <c r="J55" s="2">
        <v>3</v>
      </c>
      <c r="K55" s="2">
        <v>3</v>
      </c>
      <c r="L55" s="2">
        <f t="shared" si="0"/>
        <v>2.5</v>
      </c>
      <c r="M55" s="2" t="str">
        <f t="shared" si="1"/>
        <v>Рабочий признак</v>
      </c>
      <c r="N55" s="2"/>
    </row>
    <row r="56" spans="1:14" ht="38.25">
      <c r="A56" s="2" t="s">
        <v>85</v>
      </c>
      <c r="B56" s="2" t="s">
        <v>1045</v>
      </c>
      <c r="C56" s="2" t="s">
        <v>1134</v>
      </c>
      <c r="D56" s="2" t="s">
        <v>367</v>
      </c>
      <c r="E56" s="2" t="s">
        <v>1182</v>
      </c>
      <c r="F56" s="2" t="s">
        <v>1246</v>
      </c>
      <c r="G56" s="2" t="s">
        <v>1184</v>
      </c>
      <c r="H56" s="2">
        <v>1</v>
      </c>
      <c r="I56" s="2">
        <v>3</v>
      </c>
      <c r="J56" s="2">
        <v>3</v>
      </c>
      <c r="K56" s="2">
        <v>5</v>
      </c>
      <c r="L56" s="2">
        <f t="shared" si="0"/>
        <v>5</v>
      </c>
      <c r="M56" s="2" t="str">
        <f t="shared" si="1"/>
        <v>Сильный признак</v>
      </c>
      <c r="N56" s="2"/>
    </row>
    <row r="57" spans="1:14" ht="51">
      <c r="A57" s="2" t="s">
        <v>85</v>
      </c>
      <c r="B57" s="2" t="s">
        <v>1045</v>
      </c>
      <c r="C57" s="2" t="s">
        <v>1134</v>
      </c>
      <c r="D57" s="2" t="s">
        <v>374</v>
      </c>
      <c r="E57" s="2" t="s">
        <v>1185</v>
      </c>
      <c r="F57" s="2" t="s">
        <v>1247</v>
      </c>
      <c r="G57" s="2" t="s">
        <v>1187</v>
      </c>
      <c r="H57" s="2">
        <v>1</v>
      </c>
      <c r="I57" s="2">
        <v>3</v>
      </c>
      <c r="J57" s="2">
        <v>3</v>
      </c>
      <c r="K57" s="2">
        <v>4</v>
      </c>
      <c r="L57" s="2">
        <f t="shared" si="0"/>
        <v>4</v>
      </c>
      <c r="M57" s="2" t="str">
        <f t="shared" si="1"/>
        <v>Сильный признак</v>
      </c>
      <c r="N57" s="2"/>
    </row>
    <row r="58" spans="1:14" ht="38.25">
      <c r="A58" s="2" t="s">
        <v>85</v>
      </c>
      <c r="B58" s="2" t="s">
        <v>1045</v>
      </c>
      <c r="C58" s="2" t="s">
        <v>1136</v>
      </c>
      <c r="D58" s="2" t="s">
        <v>378</v>
      </c>
      <c r="E58" s="2" t="s">
        <v>1191</v>
      </c>
      <c r="F58" s="2" t="s">
        <v>1248</v>
      </c>
      <c r="G58" s="2" t="s">
        <v>1190</v>
      </c>
      <c r="H58" s="2">
        <v>1</v>
      </c>
      <c r="I58" s="2">
        <v>3</v>
      </c>
      <c r="J58" s="2">
        <v>3</v>
      </c>
      <c r="K58" s="2">
        <v>5</v>
      </c>
      <c r="L58" s="2">
        <f t="shared" si="0"/>
        <v>5</v>
      </c>
      <c r="M58" s="2" t="str">
        <f t="shared" si="1"/>
        <v>Сильный признак</v>
      </c>
      <c r="N58" s="2"/>
    </row>
    <row r="59" spans="1:14" ht="38.25">
      <c r="A59" s="2" t="s">
        <v>85</v>
      </c>
      <c r="B59" s="2" t="s">
        <v>1045</v>
      </c>
      <c r="C59" s="2" t="s">
        <v>1136</v>
      </c>
      <c r="D59" s="2" t="s">
        <v>378</v>
      </c>
      <c r="E59" s="2" t="s">
        <v>1220</v>
      </c>
      <c r="F59" s="2" t="s">
        <v>1249</v>
      </c>
      <c r="G59" s="2" t="s">
        <v>1190</v>
      </c>
      <c r="H59" s="2">
        <v>1</v>
      </c>
      <c r="I59" s="2">
        <v>3</v>
      </c>
      <c r="J59" s="2">
        <v>3</v>
      </c>
      <c r="K59" s="2">
        <v>4</v>
      </c>
      <c r="L59" s="2">
        <f t="shared" si="0"/>
        <v>4</v>
      </c>
      <c r="M59" s="2" t="str">
        <f t="shared" si="1"/>
        <v>Сильный признак</v>
      </c>
      <c r="N59" s="2"/>
    </row>
    <row r="60" spans="1:14" ht="25.5">
      <c r="A60" s="2" t="s">
        <v>85</v>
      </c>
      <c r="B60" s="2" t="s">
        <v>1045</v>
      </c>
      <c r="C60" s="2" t="s">
        <v>1136</v>
      </c>
      <c r="D60" s="2" t="s">
        <v>378</v>
      </c>
      <c r="E60" s="2" t="s">
        <v>1222</v>
      </c>
      <c r="F60" s="2" t="s">
        <v>1223</v>
      </c>
      <c r="G60" s="2" t="s">
        <v>1190</v>
      </c>
      <c r="H60" s="2">
        <v>1</v>
      </c>
      <c r="I60" s="2">
        <v>3</v>
      </c>
      <c r="J60" s="2">
        <v>3</v>
      </c>
      <c r="K60" s="2">
        <v>5</v>
      </c>
      <c r="L60" s="2">
        <f t="shared" si="0"/>
        <v>5</v>
      </c>
      <c r="M60" s="2" t="str">
        <f t="shared" si="1"/>
        <v>Сильный признак</v>
      </c>
      <c r="N60" s="2"/>
    </row>
    <row r="61" spans="1:14" ht="25.5">
      <c r="A61" s="2" t="s">
        <v>85</v>
      </c>
      <c r="B61" s="2" t="s">
        <v>1045</v>
      </c>
      <c r="C61" s="2" t="s">
        <v>1136</v>
      </c>
      <c r="D61" s="2" t="s">
        <v>387</v>
      </c>
      <c r="E61" s="2" t="s">
        <v>1224</v>
      </c>
      <c r="F61" s="2" t="s">
        <v>1250</v>
      </c>
      <c r="G61" s="2" t="s">
        <v>1190</v>
      </c>
      <c r="H61" s="2">
        <v>1</v>
      </c>
      <c r="I61" s="2">
        <v>3</v>
      </c>
      <c r="J61" s="2">
        <v>3</v>
      </c>
      <c r="K61" s="2">
        <v>2</v>
      </c>
      <c r="L61" s="2">
        <f t="shared" si="0"/>
        <v>2</v>
      </c>
      <c r="M61" s="2" t="str">
        <f t="shared" si="1"/>
        <v>Рабочий признак</v>
      </c>
      <c r="N61" s="2"/>
    </row>
    <row r="62" spans="1:14" ht="25.5">
      <c r="A62" s="2" t="s">
        <v>85</v>
      </c>
      <c r="B62" s="2" t="s">
        <v>1045</v>
      </c>
      <c r="C62" s="2" t="s">
        <v>1136</v>
      </c>
      <c r="D62" s="2" t="s">
        <v>378</v>
      </c>
      <c r="E62" s="2" t="s">
        <v>1226</v>
      </c>
      <c r="F62" s="2" t="s">
        <v>1251</v>
      </c>
      <c r="G62" s="2" t="s">
        <v>1190</v>
      </c>
      <c r="H62" s="2">
        <v>1</v>
      </c>
      <c r="I62" s="2">
        <v>3</v>
      </c>
      <c r="J62" s="2">
        <v>3</v>
      </c>
      <c r="K62" s="2">
        <v>3</v>
      </c>
      <c r="L62" s="2">
        <f t="shared" si="0"/>
        <v>3</v>
      </c>
      <c r="M62" s="2" t="str">
        <f t="shared" si="1"/>
        <v>Рабочий признак</v>
      </c>
      <c r="N62" s="2"/>
    </row>
    <row r="63" spans="1:14" ht="25.5">
      <c r="A63" s="2" t="s">
        <v>85</v>
      </c>
      <c r="B63" s="2" t="s">
        <v>1045</v>
      </c>
      <c r="C63" s="2" t="s">
        <v>1136</v>
      </c>
      <c r="D63" s="2" t="s">
        <v>387</v>
      </c>
      <c r="E63" s="2" t="s">
        <v>1228</v>
      </c>
      <c r="F63" s="2" t="s">
        <v>1252</v>
      </c>
      <c r="G63" s="2" t="s">
        <v>1190</v>
      </c>
      <c r="H63" s="2">
        <v>1</v>
      </c>
      <c r="I63" s="2">
        <v>3</v>
      </c>
      <c r="J63" s="2">
        <v>3</v>
      </c>
      <c r="K63" s="2">
        <v>3</v>
      </c>
      <c r="L63" s="2">
        <f t="shared" si="0"/>
        <v>3</v>
      </c>
      <c r="M63" s="2" t="str">
        <f t="shared" si="1"/>
        <v>Рабочий признак</v>
      </c>
      <c r="N63" s="2"/>
    </row>
    <row r="64" spans="1:14" ht="25.5">
      <c r="A64" s="2" t="s">
        <v>85</v>
      </c>
      <c r="B64" s="2" t="s">
        <v>1045</v>
      </c>
      <c r="C64" s="2" t="s">
        <v>1134</v>
      </c>
      <c r="D64" s="2" t="s">
        <v>387</v>
      </c>
      <c r="E64" s="2" t="s">
        <v>1230</v>
      </c>
      <c r="F64" s="2" t="s">
        <v>1253</v>
      </c>
      <c r="G64" s="2" t="s">
        <v>1190</v>
      </c>
      <c r="H64" s="2">
        <v>1</v>
      </c>
      <c r="I64" s="2">
        <v>3</v>
      </c>
      <c r="J64" s="2">
        <v>3</v>
      </c>
      <c r="K64" s="2">
        <v>4</v>
      </c>
      <c r="L64" s="2">
        <f t="shared" si="0"/>
        <v>4</v>
      </c>
      <c r="M64" s="2" t="str">
        <f t="shared" si="1"/>
        <v>Сильный признак</v>
      </c>
      <c r="N64" s="2"/>
    </row>
    <row r="65" spans="1:14" ht="25.5">
      <c r="A65" s="2" t="s">
        <v>85</v>
      </c>
      <c r="B65" s="2" t="s">
        <v>1045</v>
      </c>
      <c r="C65" s="2" t="s">
        <v>1134</v>
      </c>
      <c r="D65" s="2" t="s">
        <v>378</v>
      </c>
      <c r="E65" s="2" t="s">
        <v>1193</v>
      </c>
      <c r="F65" s="2" t="s">
        <v>1194</v>
      </c>
      <c r="G65" s="2" t="s">
        <v>1190</v>
      </c>
      <c r="H65" s="2">
        <v>1</v>
      </c>
      <c r="I65" s="2">
        <v>2</v>
      </c>
      <c r="J65" s="2">
        <v>3</v>
      </c>
      <c r="K65" s="2">
        <v>4</v>
      </c>
      <c r="L65" s="2">
        <f t="shared" si="0"/>
        <v>3.33</v>
      </c>
      <c r="M65" s="2" t="str">
        <f t="shared" si="1"/>
        <v>Рабочий признак</v>
      </c>
      <c r="N65" s="2"/>
    </row>
    <row r="66" spans="1:14" ht="25.5">
      <c r="A66" s="2" t="s">
        <v>85</v>
      </c>
      <c r="B66" s="2" t="s">
        <v>1045</v>
      </c>
      <c r="C66" s="2" t="s">
        <v>1134</v>
      </c>
      <c r="D66" s="2" t="s">
        <v>387</v>
      </c>
      <c r="E66" s="2" t="s">
        <v>1214</v>
      </c>
      <c r="F66" s="2" t="s">
        <v>1215</v>
      </c>
      <c r="G66" s="2" t="s">
        <v>1190</v>
      </c>
      <c r="H66" s="2">
        <v>1</v>
      </c>
      <c r="I66" s="2">
        <v>3</v>
      </c>
      <c r="J66" s="2">
        <v>3</v>
      </c>
      <c r="K66" s="2">
        <v>3</v>
      </c>
      <c r="L66" s="2">
        <f t="shared" si="0"/>
        <v>3</v>
      </c>
      <c r="M66" s="2" t="str">
        <f t="shared" si="1"/>
        <v>Рабочий признак</v>
      </c>
      <c r="N66" s="2"/>
    </row>
    <row r="67" spans="1:14" ht="25.5">
      <c r="A67" s="2" t="s">
        <v>85</v>
      </c>
      <c r="B67" s="2" t="s">
        <v>1045</v>
      </c>
      <c r="C67" s="2" t="s">
        <v>1134</v>
      </c>
      <c r="D67" s="2" t="s">
        <v>387</v>
      </c>
      <c r="E67" s="2" t="s">
        <v>1232</v>
      </c>
      <c r="F67" s="2" t="s">
        <v>1254</v>
      </c>
      <c r="G67" s="2" t="s">
        <v>1190</v>
      </c>
      <c r="H67" s="2">
        <v>1</v>
      </c>
      <c r="I67" s="2">
        <v>2</v>
      </c>
      <c r="J67" s="2">
        <v>3</v>
      </c>
      <c r="K67" s="2">
        <v>3</v>
      </c>
      <c r="L67" s="2">
        <f t="shared" si="0"/>
        <v>2.5</v>
      </c>
      <c r="M67" s="2" t="str">
        <f t="shared" si="1"/>
        <v>Рабочий признак</v>
      </c>
      <c r="N67" s="2"/>
    </row>
    <row r="68" spans="1:14" ht="38.25">
      <c r="A68" s="2" t="s">
        <v>85</v>
      </c>
      <c r="B68" s="2" t="s">
        <v>1045</v>
      </c>
      <c r="C68" s="2" t="s">
        <v>1134</v>
      </c>
      <c r="D68" s="2" t="s">
        <v>387</v>
      </c>
      <c r="E68" s="2" t="s">
        <v>1234</v>
      </c>
      <c r="F68" s="2" t="s">
        <v>1235</v>
      </c>
      <c r="G68" s="2" t="s">
        <v>1190</v>
      </c>
      <c r="H68" s="2">
        <v>1</v>
      </c>
      <c r="I68" s="2">
        <v>2</v>
      </c>
      <c r="J68" s="2">
        <v>3</v>
      </c>
      <c r="K68" s="2">
        <v>3</v>
      </c>
      <c r="L68" s="2">
        <f t="shared" si="0"/>
        <v>2.5</v>
      </c>
      <c r="M68" s="2" t="str">
        <f t="shared" si="1"/>
        <v>Рабочий признак</v>
      </c>
      <c r="N68" s="2"/>
    </row>
    <row r="69" spans="1:14" ht="25.5">
      <c r="A69" s="2" t="s">
        <v>85</v>
      </c>
      <c r="B69" s="2" t="s">
        <v>1045</v>
      </c>
      <c r="C69" s="2" t="s">
        <v>1136</v>
      </c>
      <c r="D69" s="2" t="s">
        <v>387</v>
      </c>
      <c r="E69" s="2" t="s">
        <v>1236</v>
      </c>
      <c r="F69" s="2" t="s">
        <v>1255</v>
      </c>
      <c r="G69" s="2" t="s">
        <v>1190</v>
      </c>
      <c r="H69" s="2">
        <v>1</v>
      </c>
      <c r="I69" s="2">
        <v>3</v>
      </c>
      <c r="J69" s="2">
        <v>3</v>
      </c>
      <c r="K69" s="2">
        <v>2</v>
      </c>
      <c r="L69" s="2">
        <f t="shared" si="0"/>
        <v>2</v>
      </c>
      <c r="M69" s="2" t="str">
        <f t="shared" si="1"/>
        <v>Рабочий признак</v>
      </c>
      <c r="N69" s="2"/>
    </row>
    <row r="70" spans="1:14" ht="25.5">
      <c r="A70" s="2" t="s">
        <v>85</v>
      </c>
      <c r="B70" s="2" t="s">
        <v>1045</v>
      </c>
      <c r="C70" s="2" t="s">
        <v>1134</v>
      </c>
      <c r="D70" s="2" t="s">
        <v>378</v>
      </c>
      <c r="E70" s="2" t="s">
        <v>1238</v>
      </c>
      <c r="F70" s="2" t="s">
        <v>1239</v>
      </c>
      <c r="G70" s="2" t="s">
        <v>1190</v>
      </c>
      <c r="H70" s="2">
        <v>1</v>
      </c>
      <c r="I70" s="2">
        <v>2</v>
      </c>
      <c r="J70" s="2">
        <v>3</v>
      </c>
      <c r="K70" s="2">
        <v>3</v>
      </c>
      <c r="L70" s="2">
        <f t="shared" si="0"/>
        <v>2.5</v>
      </c>
      <c r="M70" s="2" t="str">
        <f t="shared" si="1"/>
        <v>Рабочий признак</v>
      </c>
      <c r="N70" s="2"/>
    </row>
    <row r="71" spans="1:14" ht="25.5">
      <c r="A71" s="2" t="s">
        <v>85</v>
      </c>
      <c r="B71" s="2" t="s">
        <v>1045</v>
      </c>
      <c r="C71" s="2" t="s">
        <v>1134</v>
      </c>
      <c r="D71" s="2" t="s">
        <v>378</v>
      </c>
      <c r="E71" s="2" t="s">
        <v>1240</v>
      </c>
      <c r="F71" s="2" t="s">
        <v>1241</v>
      </c>
      <c r="G71" s="2" t="s">
        <v>1190</v>
      </c>
      <c r="H71" s="2">
        <v>1</v>
      </c>
      <c r="I71" s="2">
        <v>3</v>
      </c>
      <c r="J71" s="2">
        <v>3</v>
      </c>
      <c r="K71" s="2">
        <v>4</v>
      </c>
      <c r="L71" s="2">
        <f t="shared" ref="L71:L134" si="2">IF(OR(H71="",I71="",J71="",K71=""),"",ROUND(H71*((I71+J71)/6)*K71,2))</f>
        <v>4</v>
      </c>
      <c r="M71" s="2" t="str">
        <f t="shared" ref="M71:M134" si="3">IF(L71="","",IF(AND(L71&gt;=3.5,H71=1),"Сильный признак",IF(AND(L71&gt;=2,H71=1),"Рабочий признак",IF(H71=1,"Слабый признак","Отсутствует"))))</f>
        <v>Сильный признак</v>
      </c>
      <c r="N71" s="2"/>
    </row>
    <row r="72" spans="1:14" ht="25.5">
      <c r="A72" s="2" t="s">
        <v>85</v>
      </c>
      <c r="B72" s="2" t="s">
        <v>1045</v>
      </c>
      <c r="C72" s="2" t="s">
        <v>1134</v>
      </c>
      <c r="D72" s="2" t="s">
        <v>378</v>
      </c>
      <c r="E72" s="2" t="s">
        <v>1199</v>
      </c>
      <c r="F72" s="2" t="s">
        <v>1200</v>
      </c>
      <c r="G72" s="2" t="s">
        <v>1190</v>
      </c>
      <c r="H72" s="2">
        <v>1</v>
      </c>
      <c r="I72" s="2">
        <v>3</v>
      </c>
      <c r="J72" s="2">
        <v>3</v>
      </c>
      <c r="K72" s="2">
        <v>5</v>
      </c>
      <c r="L72" s="2">
        <f t="shared" si="2"/>
        <v>5</v>
      </c>
      <c r="M72" s="2" t="str">
        <f t="shared" si="3"/>
        <v>Сильный признак</v>
      </c>
      <c r="N72" s="2"/>
    </row>
    <row r="73" spans="1:14" ht="25.5">
      <c r="A73" s="2" t="s">
        <v>85</v>
      </c>
      <c r="B73" s="2" t="s">
        <v>1045</v>
      </c>
      <c r="C73" s="2" t="s">
        <v>1134</v>
      </c>
      <c r="D73" s="2" t="s">
        <v>387</v>
      </c>
      <c r="E73" s="2" t="s">
        <v>1242</v>
      </c>
      <c r="F73" s="2" t="s">
        <v>1243</v>
      </c>
      <c r="G73" s="2" t="s">
        <v>1190</v>
      </c>
      <c r="H73" s="2">
        <v>1</v>
      </c>
      <c r="I73" s="2">
        <v>3</v>
      </c>
      <c r="J73" s="2">
        <v>3</v>
      </c>
      <c r="K73" s="2">
        <v>3</v>
      </c>
      <c r="L73" s="2">
        <f t="shared" si="2"/>
        <v>3</v>
      </c>
      <c r="M73" s="2" t="str">
        <f t="shared" si="3"/>
        <v>Рабочий признак</v>
      </c>
      <c r="N73" s="2"/>
    </row>
    <row r="74" spans="1:14" ht="25.5">
      <c r="A74" s="2" t="s">
        <v>85</v>
      </c>
      <c r="B74" s="2" t="s">
        <v>1045</v>
      </c>
      <c r="C74" s="2" t="s">
        <v>1134</v>
      </c>
      <c r="D74" s="2" t="s">
        <v>387</v>
      </c>
      <c r="E74" s="2" t="s">
        <v>1256</v>
      </c>
      <c r="F74" s="2" t="s">
        <v>1257</v>
      </c>
      <c r="G74" s="2" t="s">
        <v>1190</v>
      </c>
      <c r="H74" s="2">
        <v>1</v>
      </c>
      <c r="I74" s="2">
        <v>3</v>
      </c>
      <c r="J74" s="2">
        <v>3</v>
      </c>
      <c r="K74" s="2">
        <v>4</v>
      </c>
      <c r="L74" s="2">
        <f t="shared" si="2"/>
        <v>4</v>
      </c>
      <c r="M74" s="2" t="str">
        <f t="shared" si="3"/>
        <v>Сильный признак</v>
      </c>
      <c r="N74" s="2"/>
    </row>
    <row r="75" spans="1:14" ht="25.5">
      <c r="A75" s="2" t="s">
        <v>85</v>
      </c>
      <c r="B75" s="2" t="s">
        <v>1045</v>
      </c>
      <c r="C75" s="2" t="s">
        <v>1134</v>
      </c>
      <c r="D75" s="2" t="s">
        <v>387</v>
      </c>
      <c r="E75" s="2" t="s">
        <v>1207</v>
      </c>
      <c r="F75" s="2" t="s">
        <v>1208</v>
      </c>
      <c r="G75" s="2" t="s">
        <v>1190</v>
      </c>
      <c r="H75" s="2">
        <v>1</v>
      </c>
      <c r="I75" s="2">
        <v>2</v>
      </c>
      <c r="J75" s="2">
        <v>3</v>
      </c>
      <c r="K75" s="2">
        <v>3</v>
      </c>
      <c r="L75" s="2">
        <f t="shared" si="2"/>
        <v>2.5</v>
      </c>
      <c r="M75" s="2" t="str">
        <f t="shared" si="3"/>
        <v>Рабочий признак</v>
      </c>
      <c r="N75" s="2"/>
    </row>
    <row r="76" spans="1:14" ht="25.5">
      <c r="A76" s="2" t="s">
        <v>85</v>
      </c>
      <c r="B76" s="2" t="s">
        <v>1045</v>
      </c>
      <c r="C76" s="2" t="s">
        <v>1134</v>
      </c>
      <c r="D76" s="2" t="s">
        <v>387</v>
      </c>
      <c r="E76" s="2" t="s">
        <v>1258</v>
      </c>
      <c r="F76" s="2" t="s">
        <v>1259</v>
      </c>
      <c r="G76" s="2" t="s">
        <v>1190</v>
      </c>
      <c r="H76" s="2">
        <v>1</v>
      </c>
      <c r="I76" s="2">
        <v>2</v>
      </c>
      <c r="J76" s="2">
        <v>3</v>
      </c>
      <c r="K76" s="2">
        <v>4</v>
      </c>
      <c r="L76" s="2">
        <f t="shared" si="2"/>
        <v>3.33</v>
      </c>
      <c r="M76" s="2" t="str">
        <f t="shared" si="3"/>
        <v>Рабочий признак</v>
      </c>
      <c r="N76" s="2"/>
    </row>
    <row r="77" spans="1:14" ht="38.25">
      <c r="A77" s="2" t="s">
        <v>85</v>
      </c>
      <c r="B77" s="2" t="s">
        <v>1045</v>
      </c>
      <c r="C77" s="2" t="s">
        <v>1134</v>
      </c>
      <c r="D77" s="2" t="s">
        <v>393</v>
      </c>
      <c r="E77" s="2" t="s">
        <v>1244</v>
      </c>
      <c r="F77" s="2" t="s">
        <v>1245</v>
      </c>
      <c r="G77" s="2" t="s">
        <v>1190</v>
      </c>
      <c r="H77" s="2">
        <v>1</v>
      </c>
      <c r="I77" s="2">
        <v>2</v>
      </c>
      <c r="J77" s="2">
        <v>3</v>
      </c>
      <c r="K77" s="2">
        <v>3</v>
      </c>
      <c r="L77" s="2">
        <f t="shared" si="2"/>
        <v>2.5</v>
      </c>
      <c r="M77" s="2" t="str">
        <f t="shared" si="3"/>
        <v>Рабочий признак</v>
      </c>
      <c r="N77" s="2"/>
    </row>
    <row r="78" spans="1:14" ht="38.25">
      <c r="A78" s="2" t="s">
        <v>86</v>
      </c>
      <c r="B78" s="2" t="s">
        <v>1053</v>
      </c>
      <c r="C78" s="2" t="s">
        <v>1260</v>
      </c>
      <c r="D78" s="2" t="s">
        <v>367</v>
      </c>
      <c r="E78" s="2" t="s">
        <v>1182</v>
      </c>
      <c r="F78" s="2" t="s">
        <v>1261</v>
      </c>
      <c r="G78" s="2" t="s">
        <v>1184</v>
      </c>
      <c r="H78" s="2">
        <v>1</v>
      </c>
      <c r="I78" s="2">
        <v>3</v>
      </c>
      <c r="J78" s="2">
        <v>3</v>
      </c>
      <c r="K78" s="2">
        <v>5</v>
      </c>
      <c r="L78" s="2">
        <f t="shared" si="2"/>
        <v>5</v>
      </c>
      <c r="M78" s="2" t="str">
        <f t="shared" si="3"/>
        <v>Сильный признак</v>
      </c>
      <c r="N78" s="2"/>
    </row>
    <row r="79" spans="1:14" ht="38.25">
      <c r="A79" s="2" t="s">
        <v>86</v>
      </c>
      <c r="B79" s="2" t="s">
        <v>1053</v>
      </c>
      <c r="C79" s="2" t="s">
        <v>1260</v>
      </c>
      <c r="D79" s="2" t="s">
        <v>374</v>
      </c>
      <c r="E79" s="2" t="s">
        <v>1185</v>
      </c>
      <c r="F79" s="2" t="s">
        <v>1262</v>
      </c>
      <c r="G79" s="2" t="s">
        <v>1187</v>
      </c>
      <c r="H79" s="2">
        <v>1</v>
      </c>
      <c r="I79" s="2">
        <v>3</v>
      </c>
      <c r="J79" s="2">
        <v>3</v>
      </c>
      <c r="K79" s="2">
        <v>4</v>
      </c>
      <c r="L79" s="2">
        <f t="shared" si="2"/>
        <v>4</v>
      </c>
      <c r="M79" s="2" t="str">
        <f t="shared" si="3"/>
        <v>Сильный признак</v>
      </c>
      <c r="N79" s="2"/>
    </row>
    <row r="80" spans="1:14" ht="25.5">
      <c r="A80" s="2" t="s">
        <v>86</v>
      </c>
      <c r="B80" s="2" t="s">
        <v>1053</v>
      </c>
      <c r="C80" s="2" t="s">
        <v>1260</v>
      </c>
      <c r="D80" s="2" t="s">
        <v>378</v>
      </c>
      <c r="E80" s="2" t="s">
        <v>1191</v>
      </c>
      <c r="F80" s="2" t="s">
        <v>1263</v>
      </c>
      <c r="G80" s="2" t="s">
        <v>1190</v>
      </c>
      <c r="H80" s="2">
        <v>1</v>
      </c>
      <c r="I80" s="2">
        <v>3</v>
      </c>
      <c r="J80" s="2">
        <v>2</v>
      </c>
      <c r="K80" s="2">
        <v>5</v>
      </c>
      <c r="L80" s="2">
        <f t="shared" si="2"/>
        <v>4.17</v>
      </c>
      <c r="M80" s="2" t="str">
        <f t="shared" si="3"/>
        <v>Сильный признак</v>
      </c>
      <c r="N80" s="2"/>
    </row>
    <row r="81" spans="1:14" ht="25.5">
      <c r="A81" s="2" t="s">
        <v>86</v>
      </c>
      <c r="B81" s="2" t="s">
        <v>1053</v>
      </c>
      <c r="C81" s="2" t="s">
        <v>1260</v>
      </c>
      <c r="D81" s="2" t="s">
        <v>378</v>
      </c>
      <c r="E81" s="2" t="s">
        <v>1193</v>
      </c>
      <c r="F81" s="2" t="s">
        <v>1194</v>
      </c>
      <c r="G81" s="2" t="s">
        <v>1190</v>
      </c>
      <c r="H81" s="2">
        <v>1</v>
      </c>
      <c r="I81" s="2">
        <v>2</v>
      </c>
      <c r="J81" s="2">
        <v>2</v>
      </c>
      <c r="K81" s="2">
        <v>4</v>
      </c>
      <c r="L81" s="2">
        <f t="shared" si="2"/>
        <v>2.67</v>
      </c>
      <c r="M81" s="2" t="str">
        <f t="shared" si="3"/>
        <v>Рабочий признак</v>
      </c>
      <c r="N81" s="2"/>
    </row>
    <row r="82" spans="1:14" ht="25.5">
      <c r="A82" s="2" t="s">
        <v>86</v>
      </c>
      <c r="B82" s="2" t="s">
        <v>1053</v>
      </c>
      <c r="C82" s="2" t="s">
        <v>1260</v>
      </c>
      <c r="D82" s="2" t="s">
        <v>387</v>
      </c>
      <c r="E82" s="2" t="s">
        <v>1195</v>
      </c>
      <c r="F82" s="2" t="s">
        <v>1196</v>
      </c>
      <c r="G82" s="2" t="s">
        <v>1190</v>
      </c>
      <c r="H82" s="2">
        <v>1</v>
      </c>
      <c r="I82" s="2">
        <v>2</v>
      </c>
      <c r="J82" s="2">
        <v>2</v>
      </c>
      <c r="K82" s="2">
        <v>4</v>
      </c>
      <c r="L82" s="2">
        <f t="shared" si="2"/>
        <v>2.67</v>
      </c>
      <c r="M82" s="2" t="str">
        <f t="shared" si="3"/>
        <v>Рабочий признак</v>
      </c>
      <c r="N82" s="2"/>
    </row>
    <row r="83" spans="1:14" ht="25.5">
      <c r="A83" s="2" t="s">
        <v>86</v>
      </c>
      <c r="B83" s="2" t="s">
        <v>1053</v>
      </c>
      <c r="C83" s="2" t="s">
        <v>1260</v>
      </c>
      <c r="D83" s="2" t="s">
        <v>387</v>
      </c>
      <c r="E83" s="2" t="s">
        <v>1197</v>
      </c>
      <c r="F83" s="2" t="s">
        <v>1198</v>
      </c>
      <c r="G83" s="2" t="s">
        <v>1190</v>
      </c>
      <c r="H83" s="2">
        <v>1</v>
      </c>
      <c r="I83" s="2">
        <v>2</v>
      </c>
      <c r="J83" s="2">
        <v>2</v>
      </c>
      <c r="K83" s="2">
        <v>3</v>
      </c>
      <c r="L83" s="2">
        <f t="shared" si="2"/>
        <v>2</v>
      </c>
      <c r="M83" s="2" t="str">
        <f t="shared" si="3"/>
        <v>Рабочий признак</v>
      </c>
      <c r="N83" s="2"/>
    </row>
    <row r="84" spans="1:14" ht="25.5">
      <c r="A84" s="2" t="s">
        <v>86</v>
      </c>
      <c r="B84" s="2" t="s">
        <v>1053</v>
      </c>
      <c r="C84" s="2" t="s">
        <v>1260</v>
      </c>
      <c r="D84" s="2" t="s">
        <v>387</v>
      </c>
      <c r="E84" s="2" t="s">
        <v>1232</v>
      </c>
      <c r="F84" s="2" t="s">
        <v>1264</v>
      </c>
      <c r="G84" s="2" t="s">
        <v>1190</v>
      </c>
      <c r="H84" s="2">
        <v>1</v>
      </c>
      <c r="I84" s="2">
        <v>2</v>
      </c>
      <c r="J84" s="2">
        <v>2</v>
      </c>
      <c r="K84" s="2">
        <v>3</v>
      </c>
      <c r="L84" s="2">
        <f t="shared" si="2"/>
        <v>2</v>
      </c>
      <c r="M84" s="2" t="str">
        <f t="shared" si="3"/>
        <v>Рабочий признак</v>
      </c>
      <c r="N84" s="2"/>
    </row>
    <row r="85" spans="1:14" ht="38.25">
      <c r="A85" s="2" t="s">
        <v>86</v>
      </c>
      <c r="B85" s="2" t="s">
        <v>1053</v>
      </c>
      <c r="C85" s="2" t="s">
        <v>1260</v>
      </c>
      <c r="D85" s="2" t="s">
        <v>387</v>
      </c>
      <c r="E85" s="2" t="s">
        <v>1234</v>
      </c>
      <c r="F85" s="2" t="s">
        <v>1235</v>
      </c>
      <c r="G85" s="2" t="s">
        <v>1190</v>
      </c>
      <c r="H85" s="2">
        <v>1</v>
      </c>
      <c r="I85" s="2">
        <v>2</v>
      </c>
      <c r="J85" s="2">
        <v>2</v>
      </c>
      <c r="K85" s="2">
        <v>3</v>
      </c>
      <c r="L85" s="2">
        <f t="shared" si="2"/>
        <v>2</v>
      </c>
      <c r="M85" s="2" t="str">
        <f t="shared" si="3"/>
        <v>Рабочий признак</v>
      </c>
      <c r="N85" s="2"/>
    </row>
    <row r="86" spans="1:14" ht="25.5">
      <c r="A86" s="2" t="s">
        <v>86</v>
      </c>
      <c r="B86" s="2" t="s">
        <v>1053</v>
      </c>
      <c r="C86" s="2" t="s">
        <v>1260</v>
      </c>
      <c r="D86" s="2" t="s">
        <v>378</v>
      </c>
      <c r="E86" s="2" t="s">
        <v>1238</v>
      </c>
      <c r="F86" s="2" t="s">
        <v>1239</v>
      </c>
      <c r="G86" s="2" t="s">
        <v>1190</v>
      </c>
      <c r="H86" s="2">
        <v>1</v>
      </c>
      <c r="I86" s="2">
        <v>2</v>
      </c>
      <c r="J86" s="2">
        <v>2</v>
      </c>
      <c r="K86" s="2">
        <v>3</v>
      </c>
      <c r="L86" s="2">
        <f t="shared" si="2"/>
        <v>2</v>
      </c>
      <c r="M86" s="2" t="str">
        <f t="shared" si="3"/>
        <v>Рабочий признак</v>
      </c>
      <c r="N86" s="2"/>
    </row>
    <row r="87" spans="1:14" ht="25.5">
      <c r="A87" s="2" t="s">
        <v>86</v>
      </c>
      <c r="B87" s="2" t="s">
        <v>1053</v>
      </c>
      <c r="C87" s="2" t="s">
        <v>1260</v>
      </c>
      <c r="D87" s="2" t="s">
        <v>378</v>
      </c>
      <c r="E87" s="2" t="s">
        <v>1240</v>
      </c>
      <c r="F87" s="2" t="s">
        <v>1241</v>
      </c>
      <c r="G87" s="2" t="s">
        <v>1190</v>
      </c>
      <c r="H87" s="2">
        <v>1</v>
      </c>
      <c r="I87" s="2">
        <v>3</v>
      </c>
      <c r="J87" s="2">
        <v>2</v>
      </c>
      <c r="K87" s="2">
        <v>4</v>
      </c>
      <c r="L87" s="2">
        <f t="shared" si="2"/>
        <v>3.33</v>
      </c>
      <c r="M87" s="2" t="str">
        <f t="shared" si="3"/>
        <v>Рабочий признак</v>
      </c>
      <c r="N87" s="2"/>
    </row>
    <row r="88" spans="1:14" ht="25.5">
      <c r="A88" s="2" t="s">
        <v>86</v>
      </c>
      <c r="B88" s="2" t="s">
        <v>1053</v>
      </c>
      <c r="C88" s="2" t="s">
        <v>1260</v>
      </c>
      <c r="D88" s="2" t="s">
        <v>378</v>
      </c>
      <c r="E88" s="2" t="s">
        <v>1199</v>
      </c>
      <c r="F88" s="2" t="s">
        <v>1200</v>
      </c>
      <c r="G88" s="2" t="s">
        <v>1190</v>
      </c>
      <c r="H88" s="2">
        <v>1</v>
      </c>
      <c r="I88" s="2">
        <v>3</v>
      </c>
      <c r="J88" s="2">
        <v>2</v>
      </c>
      <c r="K88" s="2">
        <v>5</v>
      </c>
      <c r="L88" s="2">
        <f t="shared" si="2"/>
        <v>4.17</v>
      </c>
      <c r="M88" s="2" t="str">
        <f t="shared" si="3"/>
        <v>Сильный признак</v>
      </c>
      <c r="N88" s="2"/>
    </row>
    <row r="89" spans="1:14" ht="25.5">
      <c r="A89" s="2" t="s">
        <v>86</v>
      </c>
      <c r="B89" s="2" t="s">
        <v>1053</v>
      </c>
      <c r="C89" s="2" t="s">
        <v>1260</v>
      </c>
      <c r="D89" s="2" t="s">
        <v>378</v>
      </c>
      <c r="E89" s="2" t="s">
        <v>1201</v>
      </c>
      <c r="F89" s="2" t="s">
        <v>1202</v>
      </c>
      <c r="G89" s="2" t="s">
        <v>1190</v>
      </c>
      <c r="H89" s="2">
        <v>1</v>
      </c>
      <c r="I89" s="2">
        <v>3</v>
      </c>
      <c r="J89" s="2">
        <v>2</v>
      </c>
      <c r="K89" s="2">
        <v>4</v>
      </c>
      <c r="L89" s="2">
        <f t="shared" si="2"/>
        <v>3.33</v>
      </c>
      <c r="M89" s="2" t="str">
        <f t="shared" si="3"/>
        <v>Рабочий признак</v>
      </c>
      <c r="N89" s="2"/>
    </row>
    <row r="90" spans="1:14" ht="25.5">
      <c r="A90" s="2" t="s">
        <v>86</v>
      </c>
      <c r="B90" s="2" t="s">
        <v>1053</v>
      </c>
      <c r="C90" s="2" t="s">
        <v>1260</v>
      </c>
      <c r="D90" s="2" t="s">
        <v>378</v>
      </c>
      <c r="E90" s="2" t="s">
        <v>1203</v>
      </c>
      <c r="F90" s="2" t="s">
        <v>1204</v>
      </c>
      <c r="G90" s="2" t="s">
        <v>1190</v>
      </c>
      <c r="H90" s="2">
        <v>1</v>
      </c>
      <c r="I90" s="2">
        <v>3</v>
      </c>
      <c r="J90" s="2">
        <v>2</v>
      </c>
      <c r="K90" s="2">
        <v>5</v>
      </c>
      <c r="L90" s="2">
        <f t="shared" si="2"/>
        <v>4.17</v>
      </c>
      <c r="M90" s="2" t="str">
        <f t="shared" si="3"/>
        <v>Сильный признак</v>
      </c>
      <c r="N90" s="2"/>
    </row>
    <row r="91" spans="1:14" ht="25.5">
      <c r="A91" s="2" t="s">
        <v>86</v>
      </c>
      <c r="B91" s="2" t="s">
        <v>1053</v>
      </c>
      <c r="C91" s="2" t="s">
        <v>1260</v>
      </c>
      <c r="D91" s="2" t="s">
        <v>387</v>
      </c>
      <c r="E91" s="2" t="s">
        <v>1205</v>
      </c>
      <c r="F91" s="2" t="s">
        <v>1206</v>
      </c>
      <c r="G91" s="2" t="s">
        <v>1190</v>
      </c>
      <c r="H91" s="2">
        <v>1</v>
      </c>
      <c r="I91" s="2">
        <v>3</v>
      </c>
      <c r="J91" s="2">
        <v>2</v>
      </c>
      <c r="K91" s="2">
        <v>4</v>
      </c>
      <c r="L91" s="2">
        <f t="shared" si="2"/>
        <v>3.33</v>
      </c>
      <c r="M91" s="2" t="str">
        <f t="shared" si="3"/>
        <v>Рабочий признак</v>
      </c>
      <c r="N91" s="2"/>
    </row>
    <row r="92" spans="1:14" ht="25.5">
      <c r="A92" s="2" t="s">
        <v>86</v>
      </c>
      <c r="B92" s="2" t="s">
        <v>1053</v>
      </c>
      <c r="C92" s="2" t="s">
        <v>1260</v>
      </c>
      <c r="D92" s="2" t="s">
        <v>387</v>
      </c>
      <c r="E92" s="2" t="s">
        <v>1209</v>
      </c>
      <c r="F92" s="2" t="s">
        <v>1210</v>
      </c>
      <c r="G92" s="2" t="s">
        <v>1190</v>
      </c>
      <c r="H92" s="2">
        <v>1</v>
      </c>
      <c r="I92" s="2">
        <v>2</v>
      </c>
      <c r="J92" s="2">
        <v>2</v>
      </c>
      <c r="K92" s="2">
        <v>2</v>
      </c>
      <c r="L92" s="2">
        <f t="shared" si="2"/>
        <v>1.33</v>
      </c>
      <c r="M92" s="2" t="str">
        <f t="shared" si="3"/>
        <v>Слабый признак</v>
      </c>
      <c r="N92" s="2"/>
    </row>
    <row r="93" spans="1:14" ht="25.5">
      <c r="A93" s="2" t="s">
        <v>87</v>
      </c>
      <c r="B93" s="2" t="s">
        <v>1060</v>
      </c>
      <c r="C93" s="2" t="s">
        <v>1265</v>
      </c>
      <c r="D93" s="2" t="s">
        <v>367</v>
      </c>
      <c r="E93" s="2" t="s">
        <v>1182</v>
      </c>
      <c r="F93" s="2" t="s">
        <v>1266</v>
      </c>
      <c r="G93" s="2" t="s">
        <v>1184</v>
      </c>
      <c r="H93" s="2">
        <v>1</v>
      </c>
      <c r="I93" s="2">
        <v>3</v>
      </c>
      <c r="J93" s="2">
        <v>3</v>
      </c>
      <c r="K93" s="2">
        <v>5</v>
      </c>
      <c r="L93" s="2">
        <f t="shared" si="2"/>
        <v>5</v>
      </c>
      <c r="M93" s="2" t="str">
        <f t="shared" si="3"/>
        <v>Сильный признак</v>
      </c>
      <c r="N93" s="2"/>
    </row>
    <row r="94" spans="1:14" ht="38.25">
      <c r="A94" s="2" t="s">
        <v>87</v>
      </c>
      <c r="B94" s="2" t="s">
        <v>1060</v>
      </c>
      <c r="C94" s="2" t="s">
        <v>1265</v>
      </c>
      <c r="D94" s="2" t="s">
        <v>374</v>
      </c>
      <c r="E94" s="2" t="s">
        <v>1185</v>
      </c>
      <c r="F94" s="2" t="s">
        <v>1267</v>
      </c>
      <c r="G94" s="2" t="s">
        <v>1187</v>
      </c>
      <c r="H94" s="2">
        <v>1</v>
      </c>
      <c r="I94" s="2">
        <v>3</v>
      </c>
      <c r="J94" s="2">
        <v>3</v>
      </c>
      <c r="K94" s="2">
        <v>4</v>
      </c>
      <c r="L94" s="2">
        <f t="shared" si="2"/>
        <v>4</v>
      </c>
      <c r="M94" s="2" t="str">
        <f t="shared" si="3"/>
        <v>Сильный признак</v>
      </c>
      <c r="N94" s="2"/>
    </row>
    <row r="95" spans="1:14" ht="25.5">
      <c r="A95" s="2" t="s">
        <v>87</v>
      </c>
      <c r="B95" s="2" t="s">
        <v>1060</v>
      </c>
      <c r="C95" s="2" t="s">
        <v>1265</v>
      </c>
      <c r="D95" s="2" t="s">
        <v>374</v>
      </c>
      <c r="E95" s="2" t="s">
        <v>1188</v>
      </c>
      <c r="F95" s="2" t="s">
        <v>1189</v>
      </c>
      <c r="G95" s="2" t="s">
        <v>1190</v>
      </c>
      <c r="H95" s="2">
        <v>1</v>
      </c>
      <c r="I95" s="2">
        <v>3</v>
      </c>
      <c r="J95" s="2">
        <v>3</v>
      </c>
      <c r="K95" s="2">
        <v>5</v>
      </c>
      <c r="L95" s="2">
        <f t="shared" si="2"/>
        <v>5</v>
      </c>
      <c r="M95" s="2" t="str">
        <f t="shared" si="3"/>
        <v>Сильный признак</v>
      </c>
      <c r="N95" s="2"/>
    </row>
    <row r="96" spans="1:14" ht="25.5">
      <c r="A96" s="2" t="s">
        <v>87</v>
      </c>
      <c r="B96" s="2" t="s">
        <v>1060</v>
      </c>
      <c r="C96" s="2" t="s">
        <v>1152</v>
      </c>
      <c r="D96" s="2" t="s">
        <v>378</v>
      </c>
      <c r="E96" s="2" t="s">
        <v>1191</v>
      </c>
      <c r="F96" s="2" t="s">
        <v>1268</v>
      </c>
      <c r="G96" s="2" t="s">
        <v>1190</v>
      </c>
      <c r="H96" s="2">
        <v>1</v>
      </c>
      <c r="I96" s="2">
        <v>3</v>
      </c>
      <c r="J96" s="2">
        <v>3</v>
      </c>
      <c r="K96" s="2">
        <v>5</v>
      </c>
      <c r="L96" s="2">
        <f t="shared" si="2"/>
        <v>5</v>
      </c>
      <c r="M96" s="2" t="str">
        <f t="shared" si="3"/>
        <v>Сильный признак</v>
      </c>
      <c r="N96" s="2"/>
    </row>
    <row r="97" spans="1:14" ht="25.5">
      <c r="A97" s="2" t="s">
        <v>87</v>
      </c>
      <c r="B97" s="2" t="s">
        <v>1060</v>
      </c>
      <c r="C97" s="2" t="s">
        <v>1152</v>
      </c>
      <c r="D97" s="2" t="s">
        <v>378</v>
      </c>
      <c r="E97" s="2" t="s">
        <v>1220</v>
      </c>
      <c r="F97" s="2" t="s">
        <v>1269</v>
      </c>
      <c r="G97" s="2" t="s">
        <v>1190</v>
      </c>
      <c r="H97" s="2">
        <v>1</v>
      </c>
      <c r="I97" s="2">
        <v>3</v>
      </c>
      <c r="J97" s="2">
        <v>3</v>
      </c>
      <c r="K97" s="2">
        <v>4</v>
      </c>
      <c r="L97" s="2">
        <f t="shared" si="2"/>
        <v>4</v>
      </c>
      <c r="M97" s="2" t="str">
        <f t="shared" si="3"/>
        <v>Сильный признак</v>
      </c>
      <c r="N97" s="2"/>
    </row>
    <row r="98" spans="1:14" ht="25.5">
      <c r="A98" s="2" t="s">
        <v>87</v>
      </c>
      <c r="B98" s="2" t="s">
        <v>1060</v>
      </c>
      <c r="C98" s="2" t="s">
        <v>1152</v>
      </c>
      <c r="D98" s="2" t="s">
        <v>378</v>
      </c>
      <c r="E98" s="2" t="s">
        <v>1222</v>
      </c>
      <c r="F98" s="2" t="s">
        <v>1223</v>
      </c>
      <c r="G98" s="2" t="s">
        <v>1190</v>
      </c>
      <c r="H98" s="2">
        <v>1</v>
      </c>
      <c r="I98" s="2">
        <v>3</v>
      </c>
      <c r="J98" s="2">
        <v>3</v>
      </c>
      <c r="K98" s="2">
        <v>5</v>
      </c>
      <c r="L98" s="2">
        <f t="shared" si="2"/>
        <v>5</v>
      </c>
      <c r="M98" s="2" t="str">
        <f t="shared" si="3"/>
        <v>Сильный признак</v>
      </c>
      <c r="N98" s="2"/>
    </row>
    <row r="99" spans="1:14" ht="25.5">
      <c r="A99" s="2" t="s">
        <v>87</v>
      </c>
      <c r="B99" s="2" t="s">
        <v>1060</v>
      </c>
      <c r="C99" s="2" t="s">
        <v>1152</v>
      </c>
      <c r="D99" s="2" t="s">
        <v>387</v>
      </c>
      <c r="E99" s="2" t="s">
        <v>1224</v>
      </c>
      <c r="F99" s="2" t="s">
        <v>1225</v>
      </c>
      <c r="G99" s="2" t="s">
        <v>1190</v>
      </c>
      <c r="H99" s="2">
        <v>1</v>
      </c>
      <c r="I99" s="2">
        <v>3</v>
      </c>
      <c r="J99" s="2">
        <v>3</v>
      </c>
      <c r="K99" s="2">
        <v>2</v>
      </c>
      <c r="L99" s="2">
        <f t="shared" si="2"/>
        <v>2</v>
      </c>
      <c r="M99" s="2" t="str">
        <f t="shared" si="3"/>
        <v>Рабочий признак</v>
      </c>
      <c r="N99" s="2"/>
    </row>
    <row r="100" spans="1:14" ht="25.5">
      <c r="A100" s="2" t="s">
        <v>87</v>
      </c>
      <c r="B100" s="2" t="s">
        <v>1060</v>
      </c>
      <c r="C100" s="2" t="s">
        <v>1152</v>
      </c>
      <c r="D100" s="2" t="s">
        <v>378</v>
      </c>
      <c r="E100" s="2" t="s">
        <v>1226</v>
      </c>
      <c r="F100" s="2" t="s">
        <v>1227</v>
      </c>
      <c r="G100" s="2" t="s">
        <v>1190</v>
      </c>
      <c r="H100" s="2">
        <v>1</v>
      </c>
      <c r="I100" s="2">
        <v>3</v>
      </c>
      <c r="J100" s="2">
        <v>3</v>
      </c>
      <c r="K100" s="2">
        <v>3</v>
      </c>
      <c r="L100" s="2">
        <f t="shared" si="2"/>
        <v>3</v>
      </c>
      <c r="M100" s="2" t="str">
        <f t="shared" si="3"/>
        <v>Рабочий признак</v>
      </c>
      <c r="N100" s="2"/>
    </row>
    <row r="101" spans="1:14" ht="25.5">
      <c r="A101" s="2" t="s">
        <v>87</v>
      </c>
      <c r="B101" s="2" t="s">
        <v>1060</v>
      </c>
      <c r="C101" s="2" t="s">
        <v>1152</v>
      </c>
      <c r="D101" s="2" t="s">
        <v>378</v>
      </c>
      <c r="E101" s="2" t="s">
        <v>1270</v>
      </c>
      <c r="F101" s="2" t="s">
        <v>1271</v>
      </c>
      <c r="G101" s="2" t="s">
        <v>1190</v>
      </c>
      <c r="H101" s="2">
        <v>1</v>
      </c>
      <c r="I101" s="2">
        <v>3</v>
      </c>
      <c r="J101" s="2">
        <v>3</v>
      </c>
      <c r="K101" s="2">
        <v>2</v>
      </c>
      <c r="L101" s="2">
        <f t="shared" si="2"/>
        <v>2</v>
      </c>
      <c r="M101" s="2" t="str">
        <f t="shared" si="3"/>
        <v>Рабочий признак</v>
      </c>
      <c r="N101" s="2"/>
    </row>
    <row r="102" spans="1:14" ht="25.5">
      <c r="A102" s="2" t="s">
        <v>87</v>
      </c>
      <c r="B102" s="2" t="s">
        <v>1060</v>
      </c>
      <c r="C102" s="2" t="s">
        <v>1265</v>
      </c>
      <c r="D102" s="2" t="s">
        <v>387</v>
      </c>
      <c r="E102" s="2" t="s">
        <v>1230</v>
      </c>
      <c r="F102" s="2" t="s">
        <v>1272</v>
      </c>
      <c r="G102" s="2" t="s">
        <v>1190</v>
      </c>
      <c r="H102" s="2">
        <v>1</v>
      </c>
      <c r="I102" s="2">
        <v>3</v>
      </c>
      <c r="J102" s="2">
        <v>3</v>
      </c>
      <c r="K102" s="2">
        <v>4</v>
      </c>
      <c r="L102" s="2">
        <f t="shared" si="2"/>
        <v>4</v>
      </c>
      <c r="M102" s="2" t="str">
        <f t="shared" si="3"/>
        <v>Сильный признак</v>
      </c>
      <c r="N102" s="2"/>
    </row>
    <row r="103" spans="1:14" ht="25.5">
      <c r="A103" s="2" t="s">
        <v>87</v>
      </c>
      <c r="B103" s="2" t="s">
        <v>1060</v>
      </c>
      <c r="C103" s="2" t="s">
        <v>1265</v>
      </c>
      <c r="D103" s="2" t="s">
        <v>378</v>
      </c>
      <c r="E103" s="2" t="s">
        <v>1193</v>
      </c>
      <c r="F103" s="2" t="s">
        <v>1194</v>
      </c>
      <c r="G103" s="2" t="s">
        <v>1190</v>
      </c>
      <c r="H103" s="2">
        <v>1</v>
      </c>
      <c r="I103" s="2">
        <v>2</v>
      </c>
      <c r="J103" s="2">
        <v>3</v>
      </c>
      <c r="K103" s="2">
        <v>4</v>
      </c>
      <c r="L103" s="2">
        <f t="shared" si="2"/>
        <v>3.33</v>
      </c>
      <c r="M103" s="2" t="str">
        <f t="shared" si="3"/>
        <v>Рабочий признак</v>
      </c>
      <c r="N103" s="2"/>
    </row>
    <row r="104" spans="1:14" ht="25.5">
      <c r="A104" s="2" t="s">
        <v>87</v>
      </c>
      <c r="B104" s="2" t="s">
        <v>1060</v>
      </c>
      <c r="C104" s="2" t="s">
        <v>1265</v>
      </c>
      <c r="D104" s="2" t="s">
        <v>387</v>
      </c>
      <c r="E104" s="2" t="s">
        <v>1214</v>
      </c>
      <c r="F104" s="2" t="s">
        <v>1215</v>
      </c>
      <c r="G104" s="2" t="s">
        <v>1190</v>
      </c>
      <c r="H104" s="2">
        <v>1</v>
      </c>
      <c r="I104" s="2">
        <v>3</v>
      </c>
      <c r="J104" s="2">
        <v>3</v>
      </c>
      <c r="K104" s="2">
        <v>3</v>
      </c>
      <c r="L104" s="2">
        <f t="shared" si="2"/>
        <v>3</v>
      </c>
      <c r="M104" s="2" t="str">
        <f t="shared" si="3"/>
        <v>Рабочий признак</v>
      </c>
      <c r="N104" s="2"/>
    </row>
    <row r="105" spans="1:14" ht="25.5">
      <c r="A105" s="2" t="s">
        <v>87</v>
      </c>
      <c r="B105" s="2" t="s">
        <v>1060</v>
      </c>
      <c r="C105" s="2" t="s">
        <v>1265</v>
      </c>
      <c r="D105" s="2" t="s">
        <v>387</v>
      </c>
      <c r="E105" s="2" t="s">
        <v>1197</v>
      </c>
      <c r="F105" s="2" t="s">
        <v>1198</v>
      </c>
      <c r="G105" s="2" t="s">
        <v>1190</v>
      </c>
      <c r="H105" s="2">
        <v>1</v>
      </c>
      <c r="I105" s="2">
        <v>2</v>
      </c>
      <c r="J105" s="2">
        <v>3</v>
      </c>
      <c r="K105" s="2">
        <v>3</v>
      </c>
      <c r="L105" s="2">
        <f t="shared" si="2"/>
        <v>2.5</v>
      </c>
      <c r="M105" s="2" t="str">
        <f t="shared" si="3"/>
        <v>Рабочий признак</v>
      </c>
      <c r="N105" s="2"/>
    </row>
    <row r="106" spans="1:14" ht="25.5">
      <c r="A106" s="2" t="s">
        <v>87</v>
      </c>
      <c r="B106" s="2" t="s">
        <v>1060</v>
      </c>
      <c r="C106" s="2" t="s">
        <v>1265</v>
      </c>
      <c r="D106" s="2" t="s">
        <v>387</v>
      </c>
      <c r="E106" s="2" t="s">
        <v>1232</v>
      </c>
      <c r="F106" s="2" t="s">
        <v>1273</v>
      </c>
      <c r="G106" s="2" t="s">
        <v>1190</v>
      </c>
      <c r="H106" s="2">
        <v>1</v>
      </c>
      <c r="I106" s="2">
        <v>2</v>
      </c>
      <c r="J106" s="2">
        <v>3</v>
      </c>
      <c r="K106" s="2">
        <v>3</v>
      </c>
      <c r="L106" s="2">
        <f t="shared" si="2"/>
        <v>2.5</v>
      </c>
      <c r="M106" s="2" t="str">
        <f t="shared" si="3"/>
        <v>Рабочий признак</v>
      </c>
      <c r="N106" s="2"/>
    </row>
    <row r="107" spans="1:14" ht="38.25">
      <c r="A107" s="2" t="s">
        <v>87</v>
      </c>
      <c r="B107" s="2" t="s">
        <v>1060</v>
      </c>
      <c r="C107" s="2" t="s">
        <v>1265</v>
      </c>
      <c r="D107" s="2" t="s">
        <v>387</v>
      </c>
      <c r="E107" s="2" t="s">
        <v>1234</v>
      </c>
      <c r="F107" s="2" t="s">
        <v>1235</v>
      </c>
      <c r="G107" s="2" t="s">
        <v>1190</v>
      </c>
      <c r="H107" s="2">
        <v>1</v>
      </c>
      <c r="I107" s="2">
        <v>2</v>
      </c>
      <c r="J107" s="2">
        <v>3</v>
      </c>
      <c r="K107" s="2">
        <v>3</v>
      </c>
      <c r="L107" s="2">
        <f t="shared" si="2"/>
        <v>2.5</v>
      </c>
      <c r="M107" s="2" t="str">
        <f t="shared" si="3"/>
        <v>Рабочий признак</v>
      </c>
      <c r="N107" s="2"/>
    </row>
    <row r="108" spans="1:14">
      <c r="A108" s="2" t="s">
        <v>87</v>
      </c>
      <c r="B108" s="2" t="s">
        <v>1060</v>
      </c>
      <c r="C108" s="2" t="s">
        <v>1152</v>
      </c>
      <c r="D108" s="2" t="s">
        <v>387</v>
      </c>
      <c r="E108" s="2" t="s">
        <v>1236</v>
      </c>
      <c r="F108" s="2" t="s">
        <v>1274</v>
      </c>
      <c r="G108" s="2" t="s">
        <v>1190</v>
      </c>
      <c r="H108" s="2">
        <v>1</v>
      </c>
      <c r="I108" s="2">
        <v>3</v>
      </c>
      <c r="J108" s="2">
        <v>3</v>
      </c>
      <c r="K108" s="2">
        <v>2</v>
      </c>
      <c r="L108" s="2">
        <f t="shared" si="2"/>
        <v>2</v>
      </c>
      <c r="M108" s="2" t="str">
        <f t="shared" si="3"/>
        <v>Рабочий признак</v>
      </c>
      <c r="N108" s="2"/>
    </row>
    <row r="109" spans="1:14" ht="25.5">
      <c r="A109" s="2" t="s">
        <v>87</v>
      </c>
      <c r="B109" s="2" t="s">
        <v>1060</v>
      </c>
      <c r="C109" s="2" t="s">
        <v>1265</v>
      </c>
      <c r="D109" s="2" t="s">
        <v>378</v>
      </c>
      <c r="E109" s="2" t="s">
        <v>1238</v>
      </c>
      <c r="F109" s="2" t="s">
        <v>1239</v>
      </c>
      <c r="G109" s="2" t="s">
        <v>1190</v>
      </c>
      <c r="H109" s="2">
        <v>1</v>
      </c>
      <c r="I109" s="2">
        <v>2</v>
      </c>
      <c r="J109" s="2">
        <v>3</v>
      </c>
      <c r="K109" s="2">
        <v>3</v>
      </c>
      <c r="L109" s="2">
        <f t="shared" si="2"/>
        <v>2.5</v>
      </c>
      <c r="M109" s="2" t="str">
        <f t="shared" si="3"/>
        <v>Рабочий признак</v>
      </c>
      <c r="N109" s="2"/>
    </row>
    <row r="110" spans="1:14" ht="25.5">
      <c r="A110" s="2" t="s">
        <v>87</v>
      </c>
      <c r="B110" s="2" t="s">
        <v>1060</v>
      </c>
      <c r="C110" s="2" t="s">
        <v>1265</v>
      </c>
      <c r="D110" s="2" t="s">
        <v>378</v>
      </c>
      <c r="E110" s="2" t="s">
        <v>1275</v>
      </c>
      <c r="F110" s="2" t="s">
        <v>1276</v>
      </c>
      <c r="G110" s="2" t="s">
        <v>1190</v>
      </c>
      <c r="H110" s="2">
        <v>1</v>
      </c>
      <c r="I110" s="2">
        <v>3</v>
      </c>
      <c r="J110" s="2">
        <v>3</v>
      </c>
      <c r="K110" s="2">
        <v>4</v>
      </c>
      <c r="L110" s="2">
        <f t="shared" si="2"/>
        <v>4</v>
      </c>
      <c r="M110" s="2" t="str">
        <f t="shared" si="3"/>
        <v>Сильный признак</v>
      </c>
      <c r="N110" s="2"/>
    </row>
    <row r="111" spans="1:14" ht="25.5">
      <c r="A111" s="2" t="s">
        <v>87</v>
      </c>
      <c r="B111" s="2" t="s">
        <v>1060</v>
      </c>
      <c r="C111" s="2" t="s">
        <v>1265</v>
      </c>
      <c r="D111" s="2" t="s">
        <v>378</v>
      </c>
      <c r="E111" s="2" t="s">
        <v>1240</v>
      </c>
      <c r="F111" s="2" t="s">
        <v>1241</v>
      </c>
      <c r="G111" s="2" t="s">
        <v>1190</v>
      </c>
      <c r="H111" s="2">
        <v>1</v>
      </c>
      <c r="I111" s="2">
        <v>3</v>
      </c>
      <c r="J111" s="2">
        <v>3</v>
      </c>
      <c r="K111" s="2">
        <v>4</v>
      </c>
      <c r="L111" s="2">
        <f t="shared" si="2"/>
        <v>4</v>
      </c>
      <c r="M111" s="2" t="str">
        <f t="shared" si="3"/>
        <v>Сильный признак</v>
      </c>
      <c r="N111" s="2"/>
    </row>
    <row r="112" spans="1:14" ht="25.5">
      <c r="A112" s="2" t="s">
        <v>87</v>
      </c>
      <c r="B112" s="2" t="s">
        <v>1060</v>
      </c>
      <c r="C112" s="2" t="s">
        <v>1265</v>
      </c>
      <c r="D112" s="2" t="s">
        <v>378</v>
      </c>
      <c r="E112" s="2" t="s">
        <v>1199</v>
      </c>
      <c r="F112" s="2" t="s">
        <v>1200</v>
      </c>
      <c r="G112" s="2" t="s">
        <v>1190</v>
      </c>
      <c r="H112" s="2">
        <v>1</v>
      </c>
      <c r="I112" s="2">
        <v>3</v>
      </c>
      <c r="J112" s="2">
        <v>3</v>
      </c>
      <c r="K112" s="2">
        <v>5</v>
      </c>
      <c r="L112" s="2">
        <f t="shared" si="2"/>
        <v>5</v>
      </c>
      <c r="M112" s="2" t="str">
        <f t="shared" si="3"/>
        <v>Сильный признак</v>
      </c>
      <c r="N112" s="2"/>
    </row>
    <row r="113" spans="1:14" ht="25.5">
      <c r="A113" s="2" t="s">
        <v>87</v>
      </c>
      <c r="B113" s="2" t="s">
        <v>1060</v>
      </c>
      <c r="C113" s="2" t="s">
        <v>1265</v>
      </c>
      <c r="D113" s="2" t="s">
        <v>387</v>
      </c>
      <c r="E113" s="2" t="s">
        <v>1242</v>
      </c>
      <c r="F113" s="2" t="s">
        <v>1243</v>
      </c>
      <c r="G113" s="2" t="s">
        <v>1190</v>
      </c>
      <c r="H113" s="2">
        <v>1</v>
      </c>
      <c r="I113" s="2">
        <v>3</v>
      </c>
      <c r="J113" s="2">
        <v>3</v>
      </c>
      <c r="K113" s="2">
        <v>3</v>
      </c>
      <c r="L113" s="2">
        <f t="shared" si="2"/>
        <v>3</v>
      </c>
      <c r="M113" s="2" t="str">
        <f t="shared" si="3"/>
        <v>Рабочий признак</v>
      </c>
      <c r="N113" s="2"/>
    </row>
    <row r="114" spans="1:14" ht="25.5">
      <c r="A114" s="2" t="s">
        <v>87</v>
      </c>
      <c r="B114" s="2" t="s">
        <v>1060</v>
      </c>
      <c r="C114" s="2" t="s">
        <v>1265</v>
      </c>
      <c r="D114" s="2" t="s">
        <v>378</v>
      </c>
      <c r="E114" s="2" t="s">
        <v>1201</v>
      </c>
      <c r="F114" s="2" t="s">
        <v>1202</v>
      </c>
      <c r="G114" s="2" t="s">
        <v>1190</v>
      </c>
      <c r="H114" s="2">
        <v>1</v>
      </c>
      <c r="I114" s="2">
        <v>3</v>
      </c>
      <c r="J114" s="2">
        <v>3</v>
      </c>
      <c r="K114" s="2">
        <v>4</v>
      </c>
      <c r="L114" s="2">
        <f t="shared" si="2"/>
        <v>4</v>
      </c>
      <c r="M114" s="2" t="str">
        <f t="shared" si="3"/>
        <v>Сильный признак</v>
      </c>
      <c r="N114" s="2"/>
    </row>
    <row r="115" spans="1:14" ht="25.5">
      <c r="A115" s="2" t="s">
        <v>87</v>
      </c>
      <c r="B115" s="2" t="s">
        <v>1060</v>
      </c>
      <c r="C115" s="2" t="s">
        <v>1265</v>
      </c>
      <c r="D115" s="2" t="s">
        <v>378</v>
      </c>
      <c r="E115" s="2" t="s">
        <v>1203</v>
      </c>
      <c r="F115" s="2" t="s">
        <v>1204</v>
      </c>
      <c r="G115" s="2" t="s">
        <v>1190</v>
      </c>
      <c r="H115" s="2">
        <v>1</v>
      </c>
      <c r="I115" s="2">
        <v>3</v>
      </c>
      <c r="J115" s="2">
        <v>3</v>
      </c>
      <c r="K115" s="2">
        <v>5</v>
      </c>
      <c r="L115" s="2">
        <f t="shared" si="2"/>
        <v>5</v>
      </c>
      <c r="M115" s="2" t="str">
        <f t="shared" si="3"/>
        <v>Сильный признак</v>
      </c>
      <c r="N115" s="2"/>
    </row>
    <row r="116" spans="1:14" ht="25.5">
      <c r="A116" s="2" t="s">
        <v>87</v>
      </c>
      <c r="B116" s="2" t="s">
        <v>1060</v>
      </c>
      <c r="C116" s="2" t="s">
        <v>1265</v>
      </c>
      <c r="D116" s="2" t="s">
        <v>387</v>
      </c>
      <c r="E116" s="2" t="s">
        <v>1256</v>
      </c>
      <c r="F116" s="2" t="s">
        <v>1257</v>
      </c>
      <c r="G116" s="2" t="s">
        <v>1190</v>
      </c>
      <c r="H116" s="2">
        <v>1</v>
      </c>
      <c r="I116" s="2">
        <v>3</v>
      </c>
      <c r="J116" s="2">
        <v>3</v>
      </c>
      <c r="K116" s="2">
        <v>4</v>
      </c>
      <c r="L116" s="2">
        <f t="shared" si="2"/>
        <v>4</v>
      </c>
      <c r="M116" s="2" t="str">
        <f t="shared" si="3"/>
        <v>Сильный признак</v>
      </c>
      <c r="N116" s="2"/>
    </row>
    <row r="117" spans="1:14" ht="25.5">
      <c r="A117" s="2" t="s">
        <v>87</v>
      </c>
      <c r="B117" s="2" t="s">
        <v>1060</v>
      </c>
      <c r="C117" s="2" t="s">
        <v>1265</v>
      </c>
      <c r="D117" s="2" t="s">
        <v>387</v>
      </c>
      <c r="E117" s="2" t="s">
        <v>1205</v>
      </c>
      <c r="F117" s="2" t="s">
        <v>1206</v>
      </c>
      <c r="G117" s="2" t="s">
        <v>1190</v>
      </c>
      <c r="H117" s="2">
        <v>1</v>
      </c>
      <c r="I117" s="2">
        <v>3</v>
      </c>
      <c r="J117" s="2">
        <v>3</v>
      </c>
      <c r="K117" s="2">
        <v>4</v>
      </c>
      <c r="L117" s="2">
        <f t="shared" si="2"/>
        <v>4</v>
      </c>
      <c r="M117" s="2" t="str">
        <f t="shared" si="3"/>
        <v>Сильный признак</v>
      </c>
      <c r="N117" s="2"/>
    </row>
    <row r="118" spans="1:14" ht="38.25">
      <c r="A118" s="2" t="s">
        <v>87</v>
      </c>
      <c r="B118" s="2" t="s">
        <v>1060</v>
      </c>
      <c r="C118" s="2" t="s">
        <v>1265</v>
      </c>
      <c r="D118" s="2" t="s">
        <v>393</v>
      </c>
      <c r="E118" s="2" t="s">
        <v>1244</v>
      </c>
      <c r="F118" s="2" t="s">
        <v>1245</v>
      </c>
      <c r="G118" s="2" t="s">
        <v>1190</v>
      </c>
      <c r="H118" s="2">
        <v>1</v>
      </c>
      <c r="I118" s="2">
        <v>2</v>
      </c>
      <c r="J118" s="2">
        <v>3</v>
      </c>
      <c r="K118" s="2">
        <v>3</v>
      </c>
      <c r="L118" s="2">
        <f t="shared" si="2"/>
        <v>2.5</v>
      </c>
      <c r="M118" s="2" t="str">
        <f t="shared" si="3"/>
        <v>Рабочий признак</v>
      </c>
      <c r="N118" s="2"/>
    </row>
    <row r="119" spans="1:14" ht="25.5">
      <c r="A119" s="2" t="s">
        <v>88</v>
      </c>
      <c r="B119" s="2" t="s">
        <v>1066</v>
      </c>
      <c r="C119" s="2" t="s">
        <v>1154</v>
      </c>
      <c r="D119" s="2" t="s">
        <v>367</v>
      </c>
      <c r="E119" s="2" t="s">
        <v>1182</v>
      </c>
      <c r="F119" s="2" t="s">
        <v>1277</v>
      </c>
      <c r="G119" s="2" t="s">
        <v>1184</v>
      </c>
      <c r="H119" s="2">
        <v>1</v>
      </c>
      <c r="I119" s="2">
        <v>3</v>
      </c>
      <c r="J119" s="2">
        <v>3</v>
      </c>
      <c r="K119" s="2">
        <v>5</v>
      </c>
      <c r="L119" s="2">
        <f t="shared" si="2"/>
        <v>5</v>
      </c>
      <c r="M119" s="2" t="str">
        <f t="shared" si="3"/>
        <v>Сильный признак</v>
      </c>
      <c r="N119" s="2"/>
    </row>
    <row r="120" spans="1:14" ht="25.5">
      <c r="A120" s="2" t="s">
        <v>88</v>
      </c>
      <c r="B120" s="2" t="s">
        <v>1066</v>
      </c>
      <c r="C120" s="2" t="s">
        <v>1154</v>
      </c>
      <c r="D120" s="2" t="s">
        <v>374</v>
      </c>
      <c r="E120" s="2" t="s">
        <v>1185</v>
      </c>
      <c r="F120" s="2" t="s">
        <v>1278</v>
      </c>
      <c r="G120" s="2" t="s">
        <v>1187</v>
      </c>
      <c r="H120" s="2">
        <v>1</v>
      </c>
      <c r="I120" s="2">
        <v>3</v>
      </c>
      <c r="J120" s="2">
        <v>3</v>
      </c>
      <c r="K120" s="2">
        <v>4</v>
      </c>
      <c r="L120" s="2">
        <f t="shared" si="2"/>
        <v>4</v>
      </c>
      <c r="M120" s="2" t="str">
        <f t="shared" si="3"/>
        <v>Сильный признак</v>
      </c>
      <c r="N120" s="2"/>
    </row>
    <row r="121" spans="1:14" ht="25.5">
      <c r="A121" s="2" t="s">
        <v>88</v>
      </c>
      <c r="B121" s="2" t="s">
        <v>1066</v>
      </c>
      <c r="C121" s="2" t="s">
        <v>1154</v>
      </c>
      <c r="D121" s="2" t="s">
        <v>374</v>
      </c>
      <c r="E121" s="2" t="s">
        <v>1188</v>
      </c>
      <c r="F121" s="2" t="s">
        <v>1189</v>
      </c>
      <c r="G121" s="2" t="s">
        <v>1190</v>
      </c>
      <c r="H121" s="2">
        <v>1</v>
      </c>
      <c r="I121" s="2">
        <v>3</v>
      </c>
      <c r="J121" s="2">
        <v>3</v>
      </c>
      <c r="K121" s="2">
        <v>5</v>
      </c>
      <c r="L121" s="2">
        <f t="shared" si="2"/>
        <v>5</v>
      </c>
      <c r="M121" s="2" t="str">
        <f t="shared" si="3"/>
        <v>Сильный признак</v>
      </c>
      <c r="N121" s="2"/>
    </row>
    <row r="122" spans="1:14" ht="25.5">
      <c r="A122" s="2" t="s">
        <v>88</v>
      </c>
      <c r="B122" s="2" t="s">
        <v>1066</v>
      </c>
      <c r="C122" s="2" t="s">
        <v>1156</v>
      </c>
      <c r="D122" s="2" t="s">
        <v>378</v>
      </c>
      <c r="E122" s="2" t="s">
        <v>1191</v>
      </c>
      <c r="F122" s="2" t="s">
        <v>1279</v>
      </c>
      <c r="G122" s="2" t="s">
        <v>1190</v>
      </c>
      <c r="H122" s="2">
        <v>1</v>
      </c>
      <c r="I122" s="2">
        <v>3</v>
      </c>
      <c r="J122" s="2">
        <v>3</v>
      </c>
      <c r="K122" s="2">
        <v>5</v>
      </c>
      <c r="L122" s="2">
        <f t="shared" si="2"/>
        <v>5</v>
      </c>
      <c r="M122" s="2" t="str">
        <f t="shared" si="3"/>
        <v>Сильный признак</v>
      </c>
      <c r="N122" s="2"/>
    </row>
    <row r="123" spans="1:14" ht="25.5">
      <c r="A123" s="2" t="s">
        <v>88</v>
      </c>
      <c r="B123" s="2" t="s">
        <v>1066</v>
      </c>
      <c r="C123" s="2" t="s">
        <v>1156</v>
      </c>
      <c r="D123" s="2" t="s">
        <v>378</v>
      </c>
      <c r="E123" s="2" t="s">
        <v>1220</v>
      </c>
      <c r="F123" s="2" t="s">
        <v>1280</v>
      </c>
      <c r="G123" s="2" t="s">
        <v>1190</v>
      </c>
      <c r="H123" s="2">
        <v>1</v>
      </c>
      <c r="I123" s="2">
        <v>3</v>
      </c>
      <c r="J123" s="2">
        <v>3</v>
      </c>
      <c r="K123" s="2">
        <v>4</v>
      </c>
      <c r="L123" s="2">
        <f t="shared" si="2"/>
        <v>4</v>
      </c>
      <c r="M123" s="2" t="str">
        <f t="shared" si="3"/>
        <v>Сильный признак</v>
      </c>
      <c r="N123" s="2"/>
    </row>
    <row r="124" spans="1:14" ht="25.5">
      <c r="A124" s="2" t="s">
        <v>88</v>
      </c>
      <c r="B124" s="2" t="s">
        <v>1066</v>
      </c>
      <c r="C124" s="2" t="s">
        <v>1156</v>
      </c>
      <c r="D124" s="2" t="s">
        <v>378</v>
      </c>
      <c r="E124" s="2" t="s">
        <v>1222</v>
      </c>
      <c r="F124" s="2" t="s">
        <v>1223</v>
      </c>
      <c r="G124" s="2" t="s">
        <v>1190</v>
      </c>
      <c r="H124" s="2">
        <v>1</v>
      </c>
      <c r="I124" s="2">
        <v>3</v>
      </c>
      <c r="J124" s="2">
        <v>3</v>
      </c>
      <c r="K124" s="2">
        <v>5</v>
      </c>
      <c r="L124" s="2">
        <f t="shared" si="2"/>
        <v>5</v>
      </c>
      <c r="M124" s="2" t="str">
        <f t="shared" si="3"/>
        <v>Сильный признак</v>
      </c>
      <c r="N124" s="2"/>
    </row>
    <row r="125" spans="1:14" ht="25.5">
      <c r="A125" s="2" t="s">
        <v>88</v>
      </c>
      <c r="B125" s="2" t="s">
        <v>1066</v>
      </c>
      <c r="C125" s="2" t="s">
        <v>1156</v>
      </c>
      <c r="D125" s="2" t="s">
        <v>387</v>
      </c>
      <c r="E125" s="2" t="s">
        <v>1224</v>
      </c>
      <c r="F125" s="2" t="s">
        <v>1225</v>
      </c>
      <c r="G125" s="2" t="s">
        <v>1190</v>
      </c>
      <c r="H125" s="2">
        <v>1</v>
      </c>
      <c r="I125" s="2">
        <v>3</v>
      </c>
      <c r="J125" s="2">
        <v>3</v>
      </c>
      <c r="K125" s="2">
        <v>2</v>
      </c>
      <c r="L125" s="2">
        <f t="shared" si="2"/>
        <v>2</v>
      </c>
      <c r="M125" s="2" t="str">
        <f t="shared" si="3"/>
        <v>Рабочий признак</v>
      </c>
      <c r="N125" s="2"/>
    </row>
    <row r="126" spans="1:14" ht="25.5">
      <c r="A126" s="2" t="s">
        <v>88</v>
      </c>
      <c r="B126" s="2" t="s">
        <v>1066</v>
      </c>
      <c r="C126" s="2" t="s">
        <v>1156</v>
      </c>
      <c r="D126" s="2" t="s">
        <v>378</v>
      </c>
      <c r="E126" s="2" t="s">
        <v>1226</v>
      </c>
      <c r="F126" s="2" t="s">
        <v>1281</v>
      </c>
      <c r="G126" s="2" t="s">
        <v>1190</v>
      </c>
      <c r="H126" s="2">
        <v>1</v>
      </c>
      <c r="I126" s="2">
        <v>3</v>
      </c>
      <c r="J126" s="2">
        <v>3</v>
      </c>
      <c r="K126" s="2">
        <v>3</v>
      </c>
      <c r="L126" s="2">
        <f t="shared" si="2"/>
        <v>3</v>
      </c>
      <c r="M126" s="2" t="str">
        <f t="shared" si="3"/>
        <v>Рабочий признак</v>
      </c>
      <c r="N126" s="2"/>
    </row>
    <row r="127" spans="1:14">
      <c r="A127" s="2" t="s">
        <v>88</v>
      </c>
      <c r="B127" s="2" t="s">
        <v>1066</v>
      </c>
      <c r="C127" s="2" t="s">
        <v>1156</v>
      </c>
      <c r="D127" s="2" t="s">
        <v>387</v>
      </c>
      <c r="E127" s="2" t="s">
        <v>1228</v>
      </c>
      <c r="F127" s="2" t="s">
        <v>1282</v>
      </c>
      <c r="G127" s="2" t="s">
        <v>1190</v>
      </c>
      <c r="H127" s="2">
        <v>1</v>
      </c>
      <c r="I127" s="2">
        <v>3</v>
      </c>
      <c r="J127" s="2">
        <v>3</v>
      </c>
      <c r="K127" s="2">
        <v>3</v>
      </c>
      <c r="L127" s="2">
        <f t="shared" si="2"/>
        <v>3</v>
      </c>
      <c r="M127" s="2" t="str">
        <f t="shared" si="3"/>
        <v>Рабочий признак</v>
      </c>
      <c r="N127" s="2"/>
    </row>
    <row r="128" spans="1:14" ht="25.5">
      <c r="A128" s="2" t="s">
        <v>88</v>
      </c>
      <c r="B128" s="2" t="s">
        <v>1066</v>
      </c>
      <c r="C128" s="2" t="s">
        <v>1156</v>
      </c>
      <c r="D128" s="2" t="s">
        <v>387</v>
      </c>
      <c r="E128" s="2" t="s">
        <v>1230</v>
      </c>
      <c r="F128" s="2" t="s">
        <v>1283</v>
      </c>
      <c r="G128" s="2" t="s">
        <v>1190</v>
      </c>
      <c r="H128" s="2">
        <v>1</v>
      </c>
      <c r="I128" s="2">
        <v>3</v>
      </c>
      <c r="J128" s="2">
        <v>3</v>
      </c>
      <c r="K128" s="2">
        <v>4</v>
      </c>
      <c r="L128" s="2">
        <f t="shared" si="2"/>
        <v>4</v>
      </c>
      <c r="M128" s="2" t="str">
        <f t="shared" si="3"/>
        <v>Сильный признак</v>
      </c>
      <c r="N128" s="2"/>
    </row>
    <row r="129" spans="1:14" ht="25.5">
      <c r="A129" s="2" t="s">
        <v>88</v>
      </c>
      <c r="B129" s="2" t="s">
        <v>1066</v>
      </c>
      <c r="C129" s="2" t="s">
        <v>1154</v>
      </c>
      <c r="D129" s="2" t="s">
        <v>378</v>
      </c>
      <c r="E129" s="2" t="s">
        <v>1193</v>
      </c>
      <c r="F129" s="2" t="s">
        <v>1194</v>
      </c>
      <c r="G129" s="2" t="s">
        <v>1190</v>
      </c>
      <c r="H129" s="2">
        <v>1</v>
      </c>
      <c r="I129" s="2">
        <v>2</v>
      </c>
      <c r="J129" s="2">
        <v>3</v>
      </c>
      <c r="K129" s="2">
        <v>4</v>
      </c>
      <c r="L129" s="2">
        <f t="shared" si="2"/>
        <v>3.33</v>
      </c>
      <c r="M129" s="2" t="str">
        <f t="shared" si="3"/>
        <v>Рабочий признак</v>
      </c>
      <c r="N129" s="2"/>
    </row>
    <row r="130" spans="1:14" ht="25.5">
      <c r="A130" s="2" t="s">
        <v>88</v>
      </c>
      <c r="B130" s="2" t="s">
        <v>1066</v>
      </c>
      <c r="C130" s="2" t="s">
        <v>1154</v>
      </c>
      <c r="D130" s="2" t="s">
        <v>387</v>
      </c>
      <c r="E130" s="2" t="s">
        <v>1214</v>
      </c>
      <c r="F130" s="2" t="s">
        <v>1215</v>
      </c>
      <c r="G130" s="2" t="s">
        <v>1190</v>
      </c>
      <c r="H130" s="2">
        <v>1</v>
      </c>
      <c r="I130" s="2">
        <v>3</v>
      </c>
      <c r="J130" s="2">
        <v>3</v>
      </c>
      <c r="K130" s="2">
        <v>3</v>
      </c>
      <c r="L130" s="2">
        <f t="shared" si="2"/>
        <v>3</v>
      </c>
      <c r="M130" s="2" t="str">
        <f t="shared" si="3"/>
        <v>Рабочий признак</v>
      </c>
      <c r="N130" s="2"/>
    </row>
    <row r="131" spans="1:14" ht="25.5">
      <c r="A131" s="2" t="s">
        <v>88</v>
      </c>
      <c r="B131" s="2" t="s">
        <v>1066</v>
      </c>
      <c r="C131" s="2" t="s">
        <v>1154</v>
      </c>
      <c r="D131" s="2" t="s">
        <v>387</v>
      </c>
      <c r="E131" s="2" t="s">
        <v>1197</v>
      </c>
      <c r="F131" s="2" t="s">
        <v>1198</v>
      </c>
      <c r="G131" s="2" t="s">
        <v>1190</v>
      </c>
      <c r="H131" s="2">
        <v>1</v>
      </c>
      <c r="I131" s="2">
        <v>2</v>
      </c>
      <c r="J131" s="2">
        <v>3</v>
      </c>
      <c r="K131" s="2">
        <v>3</v>
      </c>
      <c r="L131" s="2">
        <f t="shared" si="2"/>
        <v>2.5</v>
      </c>
      <c r="M131" s="2" t="str">
        <f t="shared" si="3"/>
        <v>Рабочий признак</v>
      </c>
      <c r="N131" s="2"/>
    </row>
    <row r="132" spans="1:14" ht="38.25">
      <c r="A132" s="2" t="s">
        <v>88</v>
      </c>
      <c r="B132" s="2" t="s">
        <v>1066</v>
      </c>
      <c r="C132" s="2" t="s">
        <v>1154</v>
      </c>
      <c r="D132" s="2" t="s">
        <v>387</v>
      </c>
      <c r="E132" s="2" t="s">
        <v>1234</v>
      </c>
      <c r="F132" s="2" t="s">
        <v>1235</v>
      </c>
      <c r="G132" s="2" t="s">
        <v>1190</v>
      </c>
      <c r="H132" s="2">
        <v>1</v>
      </c>
      <c r="I132" s="2">
        <v>2</v>
      </c>
      <c r="J132" s="2">
        <v>3</v>
      </c>
      <c r="K132" s="2">
        <v>3</v>
      </c>
      <c r="L132" s="2">
        <f t="shared" si="2"/>
        <v>2.5</v>
      </c>
      <c r="M132" s="2" t="str">
        <f t="shared" si="3"/>
        <v>Рабочий признак</v>
      </c>
      <c r="N132" s="2"/>
    </row>
    <row r="133" spans="1:14">
      <c r="A133" s="2" t="s">
        <v>88</v>
      </c>
      <c r="B133" s="2" t="s">
        <v>1066</v>
      </c>
      <c r="C133" s="2" t="s">
        <v>1156</v>
      </c>
      <c r="D133" s="2" t="s">
        <v>387</v>
      </c>
      <c r="E133" s="2" t="s">
        <v>1236</v>
      </c>
      <c r="F133" s="2" t="s">
        <v>1284</v>
      </c>
      <c r="G133" s="2" t="s">
        <v>1190</v>
      </c>
      <c r="H133" s="2">
        <v>1</v>
      </c>
      <c r="I133" s="2">
        <v>3</v>
      </c>
      <c r="J133" s="2">
        <v>3</v>
      </c>
      <c r="K133" s="2">
        <v>2</v>
      </c>
      <c r="L133" s="2">
        <f t="shared" si="2"/>
        <v>2</v>
      </c>
      <c r="M133" s="2" t="str">
        <f t="shared" si="3"/>
        <v>Рабочий признак</v>
      </c>
      <c r="N133" s="2"/>
    </row>
    <row r="134" spans="1:14" ht="25.5">
      <c r="A134" s="2" t="s">
        <v>88</v>
      </c>
      <c r="B134" s="2" t="s">
        <v>1066</v>
      </c>
      <c r="C134" s="2" t="s">
        <v>1154</v>
      </c>
      <c r="D134" s="2" t="s">
        <v>378</v>
      </c>
      <c r="E134" s="2" t="s">
        <v>1238</v>
      </c>
      <c r="F134" s="2" t="s">
        <v>1239</v>
      </c>
      <c r="G134" s="2" t="s">
        <v>1190</v>
      </c>
      <c r="H134" s="2">
        <v>1</v>
      </c>
      <c r="I134" s="2">
        <v>2</v>
      </c>
      <c r="J134" s="2">
        <v>3</v>
      </c>
      <c r="K134" s="2">
        <v>3</v>
      </c>
      <c r="L134" s="2">
        <f t="shared" si="2"/>
        <v>2.5</v>
      </c>
      <c r="M134" s="2" t="str">
        <f t="shared" si="3"/>
        <v>Рабочий признак</v>
      </c>
      <c r="N134" s="2"/>
    </row>
    <row r="135" spans="1:14" ht="25.5">
      <c r="A135" s="2" t="s">
        <v>88</v>
      </c>
      <c r="B135" s="2" t="s">
        <v>1066</v>
      </c>
      <c r="C135" s="2" t="s">
        <v>1154</v>
      </c>
      <c r="D135" s="2" t="s">
        <v>378</v>
      </c>
      <c r="E135" s="2" t="s">
        <v>1275</v>
      </c>
      <c r="F135" s="2" t="s">
        <v>1285</v>
      </c>
      <c r="G135" s="2" t="s">
        <v>1190</v>
      </c>
      <c r="H135" s="2">
        <v>1</v>
      </c>
      <c r="I135" s="2">
        <v>3</v>
      </c>
      <c r="J135" s="2">
        <v>3</v>
      </c>
      <c r="K135" s="2">
        <v>4</v>
      </c>
      <c r="L135" s="2">
        <f t="shared" ref="L135:L198" si="4">IF(OR(H135="",I135="",J135="",K135=""),"",ROUND(H135*((I135+J135)/6)*K135,2))</f>
        <v>4</v>
      </c>
      <c r="M135" s="2" t="str">
        <f t="shared" ref="M135:M198" si="5">IF(L135="","",IF(AND(L135&gt;=3.5,H135=1),"Сильный признак",IF(AND(L135&gt;=2,H135=1),"Рабочий признак",IF(H135=1,"Слабый признак","Отсутствует"))))</f>
        <v>Сильный признак</v>
      </c>
      <c r="N135" s="2"/>
    </row>
    <row r="136" spans="1:14" ht="25.5">
      <c r="A136" s="2" t="s">
        <v>88</v>
      </c>
      <c r="B136" s="2" t="s">
        <v>1066</v>
      </c>
      <c r="C136" s="2" t="s">
        <v>1154</v>
      </c>
      <c r="D136" s="2" t="s">
        <v>378</v>
      </c>
      <c r="E136" s="2" t="s">
        <v>1240</v>
      </c>
      <c r="F136" s="2" t="s">
        <v>1241</v>
      </c>
      <c r="G136" s="2" t="s">
        <v>1190</v>
      </c>
      <c r="H136" s="2">
        <v>1</v>
      </c>
      <c r="I136" s="2">
        <v>3</v>
      </c>
      <c r="J136" s="2">
        <v>3</v>
      </c>
      <c r="K136" s="2">
        <v>4</v>
      </c>
      <c r="L136" s="2">
        <f t="shared" si="4"/>
        <v>4</v>
      </c>
      <c r="M136" s="2" t="str">
        <f t="shared" si="5"/>
        <v>Сильный признак</v>
      </c>
      <c r="N136" s="2"/>
    </row>
    <row r="137" spans="1:14" ht="25.5">
      <c r="A137" s="2" t="s">
        <v>88</v>
      </c>
      <c r="B137" s="2" t="s">
        <v>1066</v>
      </c>
      <c r="C137" s="2" t="s">
        <v>1154</v>
      </c>
      <c r="D137" s="2" t="s">
        <v>378</v>
      </c>
      <c r="E137" s="2" t="s">
        <v>1199</v>
      </c>
      <c r="F137" s="2" t="s">
        <v>1200</v>
      </c>
      <c r="G137" s="2" t="s">
        <v>1190</v>
      </c>
      <c r="H137" s="2">
        <v>1</v>
      </c>
      <c r="I137" s="2">
        <v>3</v>
      </c>
      <c r="J137" s="2">
        <v>3</v>
      </c>
      <c r="K137" s="2">
        <v>5</v>
      </c>
      <c r="L137" s="2">
        <f t="shared" si="4"/>
        <v>5</v>
      </c>
      <c r="M137" s="2" t="str">
        <f t="shared" si="5"/>
        <v>Сильный признак</v>
      </c>
      <c r="N137" s="2"/>
    </row>
    <row r="138" spans="1:14" ht="25.5">
      <c r="A138" s="2" t="s">
        <v>88</v>
      </c>
      <c r="B138" s="2" t="s">
        <v>1066</v>
      </c>
      <c r="C138" s="2" t="s">
        <v>1156</v>
      </c>
      <c r="D138" s="2" t="s">
        <v>387</v>
      </c>
      <c r="E138" s="2" t="s">
        <v>1242</v>
      </c>
      <c r="F138" s="2" t="s">
        <v>1286</v>
      </c>
      <c r="G138" s="2" t="s">
        <v>1190</v>
      </c>
      <c r="H138" s="2">
        <v>1</v>
      </c>
      <c r="I138" s="2">
        <v>3</v>
      </c>
      <c r="J138" s="2">
        <v>3</v>
      </c>
      <c r="K138" s="2">
        <v>3</v>
      </c>
      <c r="L138" s="2">
        <f t="shared" si="4"/>
        <v>3</v>
      </c>
      <c r="M138" s="2" t="str">
        <f t="shared" si="5"/>
        <v>Рабочий признак</v>
      </c>
      <c r="N138" s="2"/>
    </row>
    <row r="139" spans="1:14" ht="25.5">
      <c r="A139" s="2" t="s">
        <v>88</v>
      </c>
      <c r="B139" s="2" t="s">
        <v>1066</v>
      </c>
      <c r="C139" s="2" t="s">
        <v>1154</v>
      </c>
      <c r="D139" s="2" t="s">
        <v>378</v>
      </c>
      <c r="E139" s="2" t="s">
        <v>1201</v>
      </c>
      <c r="F139" s="2" t="s">
        <v>1202</v>
      </c>
      <c r="G139" s="2" t="s">
        <v>1190</v>
      </c>
      <c r="H139" s="2">
        <v>1</v>
      </c>
      <c r="I139" s="2">
        <v>3</v>
      </c>
      <c r="J139" s="2">
        <v>3</v>
      </c>
      <c r="K139" s="2">
        <v>4</v>
      </c>
      <c r="L139" s="2">
        <f t="shared" si="4"/>
        <v>4</v>
      </c>
      <c r="M139" s="2" t="str">
        <f t="shared" si="5"/>
        <v>Сильный признак</v>
      </c>
      <c r="N139" s="2"/>
    </row>
    <row r="140" spans="1:14" ht="25.5">
      <c r="A140" s="2" t="s">
        <v>88</v>
      </c>
      <c r="B140" s="2" t="s">
        <v>1066</v>
      </c>
      <c r="C140" s="2" t="s">
        <v>1154</v>
      </c>
      <c r="D140" s="2" t="s">
        <v>387</v>
      </c>
      <c r="E140" s="2" t="s">
        <v>1256</v>
      </c>
      <c r="F140" s="2" t="s">
        <v>1257</v>
      </c>
      <c r="G140" s="2" t="s">
        <v>1190</v>
      </c>
      <c r="H140" s="2">
        <v>1</v>
      </c>
      <c r="I140" s="2">
        <v>3</v>
      </c>
      <c r="J140" s="2">
        <v>3</v>
      </c>
      <c r="K140" s="2">
        <v>4</v>
      </c>
      <c r="L140" s="2">
        <f t="shared" si="4"/>
        <v>4</v>
      </c>
      <c r="M140" s="2" t="str">
        <f t="shared" si="5"/>
        <v>Сильный признак</v>
      </c>
      <c r="N140" s="2"/>
    </row>
    <row r="141" spans="1:14" ht="25.5">
      <c r="A141" s="2" t="s">
        <v>88</v>
      </c>
      <c r="B141" s="2" t="s">
        <v>1066</v>
      </c>
      <c r="C141" s="2" t="s">
        <v>1154</v>
      </c>
      <c r="D141" s="2" t="s">
        <v>387</v>
      </c>
      <c r="E141" s="2" t="s">
        <v>1205</v>
      </c>
      <c r="F141" s="2" t="s">
        <v>1206</v>
      </c>
      <c r="G141" s="2" t="s">
        <v>1190</v>
      </c>
      <c r="H141" s="2">
        <v>1</v>
      </c>
      <c r="I141" s="2">
        <v>3</v>
      </c>
      <c r="J141" s="2">
        <v>3</v>
      </c>
      <c r="K141" s="2">
        <v>4</v>
      </c>
      <c r="L141" s="2">
        <f t="shared" si="4"/>
        <v>4</v>
      </c>
      <c r="M141" s="2" t="str">
        <f t="shared" si="5"/>
        <v>Сильный признак</v>
      </c>
      <c r="N141" s="2"/>
    </row>
    <row r="142" spans="1:14" ht="25.5">
      <c r="A142" s="2" t="s">
        <v>88</v>
      </c>
      <c r="B142" s="2" t="s">
        <v>1066</v>
      </c>
      <c r="C142" s="2" t="s">
        <v>1154</v>
      </c>
      <c r="D142" s="2" t="s">
        <v>387</v>
      </c>
      <c r="E142" s="2" t="s">
        <v>1207</v>
      </c>
      <c r="F142" s="2" t="s">
        <v>1208</v>
      </c>
      <c r="G142" s="2" t="s">
        <v>1190</v>
      </c>
      <c r="H142" s="2">
        <v>1</v>
      </c>
      <c r="I142" s="2">
        <v>2</v>
      </c>
      <c r="J142" s="2">
        <v>3</v>
      </c>
      <c r="K142" s="2">
        <v>3</v>
      </c>
      <c r="L142" s="2">
        <f t="shared" si="4"/>
        <v>2.5</v>
      </c>
      <c r="M142" s="2" t="str">
        <f t="shared" si="5"/>
        <v>Рабочий признак</v>
      </c>
      <c r="N142" s="2"/>
    </row>
    <row r="143" spans="1:14" ht="38.25">
      <c r="A143" s="2" t="s">
        <v>88</v>
      </c>
      <c r="B143" s="2" t="s">
        <v>1066</v>
      </c>
      <c r="C143" s="2" t="s">
        <v>1154</v>
      </c>
      <c r="D143" s="2" t="s">
        <v>393</v>
      </c>
      <c r="E143" s="2" t="s">
        <v>1244</v>
      </c>
      <c r="F143" s="2" t="s">
        <v>1245</v>
      </c>
      <c r="G143" s="2" t="s">
        <v>1190</v>
      </c>
      <c r="H143" s="2">
        <v>1</v>
      </c>
      <c r="I143" s="2">
        <v>2</v>
      </c>
      <c r="J143" s="2">
        <v>3</v>
      </c>
      <c r="K143" s="2">
        <v>3</v>
      </c>
      <c r="L143" s="2">
        <f t="shared" si="4"/>
        <v>2.5</v>
      </c>
      <c r="M143" s="2" t="str">
        <f t="shared" si="5"/>
        <v>Рабочий признак</v>
      </c>
      <c r="N143" s="2"/>
    </row>
    <row r="144" spans="1:14" ht="25.5">
      <c r="A144" s="2" t="s">
        <v>89</v>
      </c>
      <c r="B144" s="2" t="s">
        <v>1072</v>
      </c>
      <c r="C144" s="2" t="s">
        <v>1166</v>
      </c>
      <c r="D144" s="2" t="s">
        <v>367</v>
      </c>
      <c r="E144" s="2" t="s">
        <v>1182</v>
      </c>
      <c r="F144" s="2" t="s">
        <v>1287</v>
      </c>
      <c r="G144" s="2" t="s">
        <v>1184</v>
      </c>
      <c r="H144" s="2">
        <v>1</v>
      </c>
      <c r="I144" s="2">
        <v>3</v>
      </c>
      <c r="J144" s="2">
        <v>3</v>
      </c>
      <c r="K144" s="2">
        <v>5</v>
      </c>
      <c r="L144" s="2">
        <f t="shared" si="4"/>
        <v>5</v>
      </c>
      <c r="M144" s="2" t="str">
        <f t="shared" si="5"/>
        <v>Сильный признак</v>
      </c>
      <c r="N144" s="2"/>
    </row>
    <row r="145" spans="1:14" ht="51">
      <c r="A145" s="2" t="s">
        <v>89</v>
      </c>
      <c r="B145" s="2" t="s">
        <v>1072</v>
      </c>
      <c r="C145" s="2" t="s">
        <v>1166</v>
      </c>
      <c r="D145" s="2" t="s">
        <v>374</v>
      </c>
      <c r="E145" s="2" t="s">
        <v>1185</v>
      </c>
      <c r="F145" s="2" t="s">
        <v>1288</v>
      </c>
      <c r="G145" s="2" t="s">
        <v>1187</v>
      </c>
      <c r="H145" s="2">
        <v>1</v>
      </c>
      <c r="I145" s="2">
        <v>3</v>
      </c>
      <c r="J145" s="2">
        <v>3</v>
      </c>
      <c r="K145" s="2">
        <v>4</v>
      </c>
      <c r="L145" s="2">
        <f t="shared" si="4"/>
        <v>4</v>
      </c>
      <c r="M145" s="2" t="str">
        <f t="shared" si="5"/>
        <v>Сильный признак</v>
      </c>
      <c r="N145" s="2"/>
    </row>
    <row r="146" spans="1:14" ht="25.5">
      <c r="A146" s="2" t="s">
        <v>89</v>
      </c>
      <c r="B146" s="2" t="s">
        <v>1072</v>
      </c>
      <c r="C146" s="2" t="s">
        <v>1168</v>
      </c>
      <c r="D146" s="2" t="s">
        <v>378</v>
      </c>
      <c r="E146" s="2" t="s">
        <v>1191</v>
      </c>
      <c r="F146" s="2" t="s">
        <v>1289</v>
      </c>
      <c r="G146" s="2" t="s">
        <v>1190</v>
      </c>
      <c r="H146" s="2">
        <v>1</v>
      </c>
      <c r="I146" s="2">
        <v>3</v>
      </c>
      <c r="J146" s="2">
        <v>3</v>
      </c>
      <c r="K146" s="2">
        <v>5</v>
      </c>
      <c r="L146" s="2">
        <f t="shared" si="4"/>
        <v>5</v>
      </c>
      <c r="M146" s="2" t="str">
        <f t="shared" si="5"/>
        <v>Сильный признак</v>
      </c>
      <c r="N146" s="2"/>
    </row>
    <row r="147" spans="1:14" ht="25.5">
      <c r="A147" s="2" t="s">
        <v>89</v>
      </c>
      <c r="B147" s="2" t="s">
        <v>1072</v>
      </c>
      <c r="C147" s="2" t="s">
        <v>1168</v>
      </c>
      <c r="D147" s="2" t="s">
        <v>378</v>
      </c>
      <c r="E147" s="2" t="s">
        <v>1220</v>
      </c>
      <c r="F147" s="2" t="s">
        <v>1290</v>
      </c>
      <c r="G147" s="2" t="s">
        <v>1190</v>
      </c>
      <c r="H147" s="2">
        <v>1</v>
      </c>
      <c r="I147" s="2">
        <v>3</v>
      </c>
      <c r="J147" s="2">
        <v>3</v>
      </c>
      <c r="K147" s="2">
        <v>4</v>
      </c>
      <c r="L147" s="2">
        <f t="shared" si="4"/>
        <v>4</v>
      </c>
      <c r="M147" s="2" t="str">
        <f t="shared" si="5"/>
        <v>Сильный признак</v>
      </c>
      <c r="N147" s="2"/>
    </row>
    <row r="148" spans="1:14" ht="25.5">
      <c r="A148" s="2" t="s">
        <v>89</v>
      </c>
      <c r="B148" s="2" t="s">
        <v>1072</v>
      </c>
      <c r="C148" s="2" t="s">
        <v>1168</v>
      </c>
      <c r="D148" s="2" t="s">
        <v>378</v>
      </c>
      <c r="E148" s="2" t="s">
        <v>1222</v>
      </c>
      <c r="F148" s="2" t="s">
        <v>1223</v>
      </c>
      <c r="G148" s="2" t="s">
        <v>1190</v>
      </c>
      <c r="H148" s="2">
        <v>1</v>
      </c>
      <c r="I148" s="2">
        <v>3</v>
      </c>
      <c r="J148" s="2">
        <v>3</v>
      </c>
      <c r="K148" s="2">
        <v>5</v>
      </c>
      <c r="L148" s="2">
        <f t="shared" si="4"/>
        <v>5</v>
      </c>
      <c r="M148" s="2" t="str">
        <f t="shared" si="5"/>
        <v>Сильный признак</v>
      </c>
      <c r="N148" s="2"/>
    </row>
    <row r="149" spans="1:14">
      <c r="A149" s="2" t="s">
        <v>89</v>
      </c>
      <c r="B149" s="2" t="s">
        <v>1072</v>
      </c>
      <c r="C149" s="2" t="s">
        <v>1168</v>
      </c>
      <c r="D149" s="2" t="s">
        <v>387</v>
      </c>
      <c r="E149" s="2" t="s">
        <v>1228</v>
      </c>
      <c r="F149" s="2" t="s">
        <v>1291</v>
      </c>
      <c r="G149" s="2" t="s">
        <v>1190</v>
      </c>
      <c r="H149" s="2">
        <v>1</v>
      </c>
      <c r="I149" s="2">
        <v>3</v>
      </c>
      <c r="J149" s="2">
        <v>3</v>
      </c>
      <c r="K149" s="2">
        <v>3</v>
      </c>
      <c r="L149" s="2">
        <f t="shared" si="4"/>
        <v>3</v>
      </c>
      <c r="M149" s="2" t="str">
        <f t="shared" si="5"/>
        <v>Рабочий признак</v>
      </c>
      <c r="N149" s="2"/>
    </row>
    <row r="150" spans="1:14" ht="25.5">
      <c r="A150" s="2" t="s">
        <v>89</v>
      </c>
      <c r="B150" s="2" t="s">
        <v>1072</v>
      </c>
      <c r="C150" s="2" t="s">
        <v>1168</v>
      </c>
      <c r="D150" s="2" t="s">
        <v>387</v>
      </c>
      <c r="E150" s="2" t="s">
        <v>1230</v>
      </c>
      <c r="F150" s="2" t="s">
        <v>1272</v>
      </c>
      <c r="G150" s="2" t="s">
        <v>1190</v>
      </c>
      <c r="H150" s="2">
        <v>1</v>
      </c>
      <c r="I150" s="2">
        <v>3</v>
      </c>
      <c r="J150" s="2">
        <v>3</v>
      </c>
      <c r="K150" s="2">
        <v>4</v>
      </c>
      <c r="L150" s="2">
        <f t="shared" si="4"/>
        <v>4</v>
      </c>
      <c r="M150" s="2" t="str">
        <f t="shared" si="5"/>
        <v>Сильный признак</v>
      </c>
      <c r="N150" s="2"/>
    </row>
    <row r="151" spans="1:14" ht="25.5">
      <c r="A151" s="2" t="s">
        <v>89</v>
      </c>
      <c r="B151" s="2" t="s">
        <v>1072</v>
      </c>
      <c r="C151" s="2" t="s">
        <v>1166</v>
      </c>
      <c r="D151" s="2" t="s">
        <v>378</v>
      </c>
      <c r="E151" s="2" t="s">
        <v>1193</v>
      </c>
      <c r="F151" s="2" t="s">
        <v>1194</v>
      </c>
      <c r="G151" s="2" t="s">
        <v>1190</v>
      </c>
      <c r="H151" s="2">
        <v>1</v>
      </c>
      <c r="I151" s="2">
        <v>2</v>
      </c>
      <c r="J151" s="2">
        <v>3</v>
      </c>
      <c r="K151" s="2">
        <v>4</v>
      </c>
      <c r="L151" s="2">
        <f t="shared" si="4"/>
        <v>3.33</v>
      </c>
      <c r="M151" s="2" t="str">
        <f t="shared" si="5"/>
        <v>Рабочий признак</v>
      </c>
      <c r="N151" s="2"/>
    </row>
    <row r="152" spans="1:14" ht="25.5">
      <c r="A152" s="2" t="s">
        <v>89</v>
      </c>
      <c r="B152" s="2" t="s">
        <v>1072</v>
      </c>
      <c r="C152" s="2" t="s">
        <v>1166</v>
      </c>
      <c r="D152" s="2" t="s">
        <v>387</v>
      </c>
      <c r="E152" s="2" t="s">
        <v>1197</v>
      </c>
      <c r="F152" s="2" t="s">
        <v>1198</v>
      </c>
      <c r="G152" s="2" t="s">
        <v>1190</v>
      </c>
      <c r="H152" s="2">
        <v>1</v>
      </c>
      <c r="I152" s="2">
        <v>2</v>
      </c>
      <c r="J152" s="2">
        <v>3</v>
      </c>
      <c r="K152" s="2">
        <v>3</v>
      </c>
      <c r="L152" s="2">
        <f t="shared" si="4"/>
        <v>2.5</v>
      </c>
      <c r="M152" s="2" t="str">
        <f t="shared" si="5"/>
        <v>Рабочий признак</v>
      </c>
      <c r="N152" s="2"/>
    </row>
    <row r="153" spans="1:14" ht="38.25">
      <c r="A153" s="2" t="s">
        <v>89</v>
      </c>
      <c r="B153" s="2" t="s">
        <v>1072</v>
      </c>
      <c r="C153" s="2" t="s">
        <v>1166</v>
      </c>
      <c r="D153" s="2" t="s">
        <v>387</v>
      </c>
      <c r="E153" s="2" t="s">
        <v>1234</v>
      </c>
      <c r="F153" s="2" t="s">
        <v>1235</v>
      </c>
      <c r="G153" s="2" t="s">
        <v>1190</v>
      </c>
      <c r="H153" s="2">
        <v>1</v>
      </c>
      <c r="I153" s="2">
        <v>2</v>
      </c>
      <c r="J153" s="2">
        <v>3</v>
      </c>
      <c r="K153" s="2">
        <v>3</v>
      </c>
      <c r="L153" s="2">
        <f t="shared" si="4"/>
        <v>2.5</v>
      </c>
      <c r="M153" s="2" t="str">
        <f t="shared" si="5"/>
        <v>Рабочий признак</v>
      </c>
      <c r="N153" s="2"/>
    </row>
    <row r="154" spans="1:14">
      <c r="A154" s="2" t="s">
        <v>89</v>
      </c>
      <c r="B154" s="2" t="s">
        <v>1072</v>
      </c>
      <c r="C154" s="2" t="s">
        <v>1168</v>
      </c>
      <c r="D154" s="2" t="s">
        <v>387</v>
      </c>
      <c r="E154" s="2" t="s">
        <v>1236</v>
      </c>
      <c r="F154" s="2" t="s">
        <v>1292</v>
      </c>
      <c r="G154" s="2" t="s">
        <v>1190</v>
      </c>
      <c r="H154" s="2">
        <v>1</v>
      </c>
      <c r="I154" s="2">
        <v>3</v>
      </c>
      <c r="J154" s="2">
        <v>3</v>
      </c>
      <c r="K154" s="2">
        <v>2</v>
      </c>
      <c r="L154" s="2">
        <f t="shared" si="4"/>
        <v>2</v>
      </c>
      <c r="M154" s="2" t="str">
        <f t="shared" si="5"/>
        <v>Рабочий признак</v>
      </c>
      <c r="N154" s="2"/>
    </row>
    <row r="155" spans="1:14" ht="25.5">
      <c r="A155" s="2" t="s">
        <v>89</v>
      </c>
      <c r="B155" s="2" t="s">
        <v>1072</v>
      </c>
      <c r="C155" s="2" t="s">
        <v>1166</v>
      </c>
      <c r="D155" s="2" t="s">
        <v>378</v>
      </c>
      <c r="E155" s="2" t="s">
        <v>1275</v>
      </c>
      <c r="F155" s="2" t="s">
        <v>1285</v>
      </c>
      <c r="G155" s="2" t="s">
        <v>1190</v>
      </c>
      <c r="H155" s="2">
        <v>1</v>
      </c>
      <c r="I155" s="2">
        <v>3</v>
      </c>
      <c r="J155" s="2">
        <v>3</v>
      </c>
      <c r="K155" s="2">
        <v>4</v>
      </c>
      <c r="L155" s="2">
        <f t="shared" si="4"/>
        <v>4</v>
      </c>
      <c r="M155" s="2" t="str">
        <f t="shared" si="5"/>
        <v>Сильный признак</v>
      </c>
      <c r="N155" s="2"/>
    </row>
    <row r="156" spans="1:14" ht="25.5">
      <c r="A156" s="2" t="s">
        <v>89</v>
      </c>
      <c r="B156" s="2" t="s">
        <v>1072</v>
      </c>
      <c r="C156" s="2" t="s">
        <v>1166</v>
      </c>
      <c r="D156" s="2" t="s">
        <v>378</v>
      </c>
      <c r="E156" s="2" t="s">
        <v>1240</v>
      </c>
      <c r="F156" s="2" t="s">
        <v>1241</v>
      </c>
      <c r="G156" s="2" t="s">
        <v>1190</v>
      </c>
      <c r="H156" s="2">
        <v>1</v>
      </c>
      <c r="I156" s="2">
        <v>3</v>
      </c>
      <c r="J156" s="2">
        <v>3</v>
      </c>
      <c r="K156" s="2">
        <v>4</v>
      </c>
      <c r="L156" s="2">
        <f t="shared" si="4"/>
        <v>4</v>
      </c>
      <c r="M156" s="2" t="str">
        <f t="shared" si="5"/>
        <v>Сильный признак</v>
      </c>
      <c r="N156" s="2"/>
    </row>
    <row r="157" spans="1:14" ht="25.5">
      <c r="A157" s="2" t="s">
        <v>89</v>
      </c>
      <c r="B157" s="2" t="s">
        <v>1072</v>
      </c>
      <c r="C157" s="2" t="s">
        <v>1166</v>
      </c>
      <c r="D157" s="2" t="s">
        <v>378</v>
      </c>
      <c r="E157" s="2" t="s">
        <v>1199</v>
      </c>
      <c r="F157" s="2" t="s">
        <v>1200</v>
      </c>
      <c r="G157" s="2" t="s">
        <v>1190</v>
      </c>
      <c r="H157" s="2">
        <v>1</v>
      </c>
      <c r="I157" s="2">
        <v>3</v>
      </c>
      <c r="J157" s="2">
        <v>3</v>
      </c>
      <c r="K157" s="2">
        <v>5</v>
      </c>
      <c r="L157" s="2">
        <f t="shared" si="4"/>
        <v>5</v>
      </c>
      <c r="M157" s="2" t="str">
        <f t="shared" si="5"/>
        <v>Сильный признак</v>
      </c>
      <c r="N157" s="2"/>
    </row>
    <row r="158" spans="1:14" ht="25.5">
      <c r="A158" s="2" t="s">
        <v>89</v>
      </c>
      <c r="B158" s="2" t="s">
        <v>1072</v>
      </c>
      <c r="C158" s="2" t="s">
        <v>1168</v>
      </c>
      <c r="D158" s="2" t="s">
        <v>387</v>
      </c>
      <c r="E158" s="2" t="s">
        <v>1242</v>
      </c>
      <c r="F158" s="2" t="s">
        <v>1293</v>
      </c>
      <c r="G158" s="2" t="s">
        <v>1190</v>
      </c>
      <c r="H158" s="2">
        <v>1</v>
      </c>
      <c r="I158" s="2">
        <v>3</v>
      </c>
      <c r="J158" s="2">
        <v>3</v>
      </c>
      <c r="K158" s="2">
        <v>3</v>
      </c>
      <c r="L158" s="2">
        <f t="shared" si="4"/>
        <v>3</v>
      </c>
      <c r="M158" s="2" t="str">
        <f t="shared" si="5"/>
        <v>Рабочий признак</v>
      </c>
      <c r="N158" s="2"/>
    </row>
    <row r="159" spans="1:14" ht="25.5">
      <c r="A159" s="2" t="s">
        <v>89</v>
      </c>
      <c r="B159" s="2" t="s">
        <v>1072</v>
      </c>
      <c r="C159" s="2" t="s">
        <v>1166</v>
      </c>
      <c r="D159" s="2" t="s">
        <v>387</v>
      </c>
      <c r="E159" s="2" t="s">
        <v>1209</v>
      </c>
      <c r="F159" s="2" t="s">
        <v>1210</v>
      </c>
      <c r="G159" s="2" t="s">
        <v>1190</v>
      </c>
      <c r="H159" s="2">
        <v>1</v>
      </c>
      <c r="I159" s="2">
        <v>2</v>
      </c>
      <c r="J159" s="2">
        <v>3</v>
      </c>
      <c r="K159" s="2">
        <v>2</v>
      </c>
      <c r="L159" s="2">
        <f t="shared" si="4"/>
        <v>1.67</v>
      </c>
      <c r="M159" s="2" t="str">
        <f t="shared" si="5"/>
        <v>Слабый признак</v>
      </c>
      <c r="N159" s="2"/>
    </row>
    <row r="160" spans="1:14">
      <c r="A160" s="2"/>
      <c r="B160" s="2"/>
      <c r="C160" s="2"/>
      <c r="D160" s="2"/>
      <c r="E160" s="2"/>
      <c r="F160" s="2"/>
      <c r="G160" s="2"/>
      <c r="H160" s="2"/>
      <c r="I160" s="2"/>
      <c r="J160" s="2"/>
      <c r="K160" s="2"/>
      <c r="L160" s="2" t="str">
        <f t="shared" si="4"/>
        <v/>
      </c>
      <c r="M160" s="2" t="str">
        <f t="shared" si="5"/>
        <v/>
      </c>
      <c r="N160" s="2"/>
    </row>
    <row r="161" spans="1:14">
      <c r="A161" s="2"/>
      <c r="B161" s="2"/>
      <c r="C161" s="2"/>
      <c r="D161" s="2"/>
      <c r="E161" s="2"/>
      <c r="F161" s="2"/>
      <c r="G161" s="2"/>
      <c r="H161" s="2"/>
      <c r="I161" s="2"/>
      <c r="J161" s="2"/>
      <c r="K161" s="2"/>
      <c r="L161" s="2" t="str">
        <f t="shared" si="4"/>
        <v/>
      </c>
      <c r="M161" s="2" t="str">
        <f t="shared" si="5"/>
        <v/>
      </c>
      <c r="N161" s="2"/>
    </row>
    <row r="162" spans="1:14">
      <c r="A162" s="2"/>
      <c r="B162" s="2"/>
      <c r="C162" s="2"/>
      <c r="D162" s="2"/>
      <c r="E162" s="2"/>
      <c r="F162" s="2"/>
      <c r="G162" s="2"/>
      <c r="H162" s="2"/>
      <c r="I162" s="2"/>
      <c r="J162" s="2"/>
      <c r="K162" s="2"/>
      <c r="L162" s="2" t="str">
        <f t="shared" si="4"/>
        <v/>
      </c>
      <c r="M162" s="2" t="str">
        <f t="shared" si="5"/>
        <v/>
      </c>
      <c r="N162" s="2"/>
    </row>
    <row r="163" spans="1:14">
      <c r="A163" s="2"/>
      <c r="B163" s="2"/>
      <c r="C163" s="2"/>
      <c r="D163" s="2"/>
      <c r="E163" s="2"/>
      <c r="F163" s="2"/>
      <c r="G163" s="2"/>
      <c r="H163" s="2"/>
      <c r="I163" s="2"/>
      <c r="J163" s="2"/>
      <c r="K163" s="2"/>
      <c r="L163" s="2" t="str">
        <f t="shared" si="4"/>
        <v/>
      </c>
      <c r="M163" s="2" t="str">
        <f t="shared" si="5"/>
        <v/>
      </c>
      <c r="N163" s="2"/>
    </row>
    <row r="164" spans="1:14">
      <c r="A164" s="2"/>
      <c r="B164" s="2"/>
      <c r="C164" s="2"/>
      <c r="D164" s="2"/>
      <c r="E164" s="2"/>
      <c r="F164" s="2"/>
      <c r="G164" s="2"/>
      <c r="H164" s="2"/>
      <c r="I164" s="2"/>
      <c r="J164" s="2"/>
      <c r="K164" s="2"/>
      <c r="L164" s="2" t="str">
        <f t="shared" si="4"/>
        <v/>
      </c>
      <c r="M164" s="2" t="str">
        <f t="shared" si="5"/>
        <v/>
      </c>
      <c r="N164" s="2"/>
    </row>
    <row r="165" spans="1:14">
      <c r="A165" s="2"/>
      <c r="B165" s="2"/>
      <c r="C165" s="2"/>
      <c r="D165" s="2"/>
      <c r="E165" s="2"/>
      <c r="F165" s="2"/>
      <c r="G165" s="2"/>
      <c r="H165" s="2"/>
      <c r="I165" s="2"/>
      <c r="J165" s="2"/>
      <c r="K165" s="2"/>
      <c r="L165" s="2" t="str">
        <f t="shared" si="4"/>
        <v/>
      </c>
      <c r="M165" s="2" t="str">
        <f t="shared" si="5"/>
        <v/>
      </c>
      <c r="N165" s="2"/>
    </row>
    <row r="166" spans="1:14">
      <c r="A166" s="2"/>
      <c r="B166" s="2"/>
      <c r="C166" s="2"/>
      <c r="D166" s="2"/>
      <c r="E166" s="2"/>
      <c r="F166" s="2"/>
      <c r="G166" s="2"/>
      <c r="H166" s="2"/>
      <c r="I166" s="2"/>
      <c r="J166" s="2"/>
      <c r="K166" s="2"/>
      <c r="L166" s="2" t="str">
        <f t="shared" si="4"/>
        <v/>
      </c>
      <c r="M166" s="2" t="str">
        <f t="shared" si="5"/>
        <v/>
      </c>
      <c r="N166" s="2"/>
    </row>
    <row r="167" spans="1:14">
      <c r="A167" s="2"/>
      <c r="B167" s="2"/>
      <c r="C167" s="2"/>
      <c r="D167" s="2"/>
      <c r="E167" s="2"/>
      <c r="F167" s="2"/>
      <c r="G167" s="2"/>
      <c r="H167" s="2"/>
      <c r="I167" s="2"/>
      <c r="J167" s="2"/>
      <c r="K167" s="2"/>
      <c r="L167" s="2" t="str">
        <f t="shared" si="4"/>
        <v/>
      </c>
      <c r="M167" s="2" t="str">
        <f t="shared" si="5"/>
        <v/>
      </c>
      <c r="N167" s="2"/>
    </row>
    <row r="168" spans="1:14">
      <c r="A168" s="2"/>
      <c r="B168" s="2"/>
      <c r="C168" s="2"/>
      <c r="D168" s="2"/>
      <c r="E168" s="2"/>
      <c r="F168" s="2"/>
      <c r="G168" s="2"/>
      <c r="H168" s="2"/>
      <c r="I168" s="2"/>
      <c r="J168" s="2"/>
      <c r="K168" s="2"/>
      <c r="L168" s="2" t="str">
        <f t="shared" si="4"/>
        <v/>
      </c>
      <c r="M168" s="2" t="str">
        <f t="shared" si="5"/>
        <v/>
      </c>
      <c r="N168" s="2"/>
    </row>
    <row r="169" spans="1:14">
      <c r="A169" s="2"/>
      <c r="B169" s="2"/>
      <c r="C169" s="2"/>
      <c r="D169" s="2"/>
      <c r="E169" s="2"/>
      <c r="F169" s="2"/>
      <c r="G169" s="2"/>
      <c r="H169" s="2"/>
      <c r="I169" s="2"/>
      <c r="J169" s="2"/>
      <c r="K169" s="2"/>
      <c r="L169" s="2" t="str">
        <f t="shared" si="4"/>
        <v/>
      </c>
      <c r="M169" s="2" t="str">
        <f t="shared" si="5"/>
        <v/>
      </c>
      <c r="N169" s="2"/>
    </row>
    <row r="170" spans="1:14">
      <c r="A170" s="2"/>
      <c r="B170" s="2"/>
      <c r="C170" s="2"/>
      <c r="D170" s="2"/>
      <c r="E170" s="2"/>
      <c r="F170" s="2"/>
      <c r="G170" s="2"/>
      <c r="H170" s="2"/>
      <c r="I170" s="2"/>
      <c r="J170" s="2"/>
      <c r="K170" s="2"/>
      <c r="L170" s="2" t="str">
        <f t="shared" si="4"/>
        <v/>
      </c>
      <c r="M170" s="2" t="str">
        <f t="shared" si="5"/>
        <v/>
      </c>
      <c r="N170" s="2"/>
    </row>
    <row r="171" spans="1:14">
      <c r="A171" s="2"/>
      <c r="B171" s="2"/>
      <c r="C171" s="2"/>
      <c r="D171" s="2"/>
      <c r="E171" s="2"/>
      <c r="F171" s="2"/>
      <c r="G171" s="2"/>
      <c r="H171" s="2"/>
      <c r="I171" s="2"/>
      <c r="J171" s="2"/>
      <c r="K171" s="2"/>
      <c r="L171" s="2" t="str">
        <f t="shared" si="4"/>
        <v/>
      </c>
      <c r="M171" s="2" t="str">
        <f t="shared" si="5"/>
        <v/>
      </c>
      <c r="N171" s="2"/>
    </row>
    <row r="172" spans="1:14">
      <c r="A172" s="2"/>
      <c r="B172" s="2"/>
      <c r="C172" s="2"/>
      <c r="D172" s="2"/>
      <c r="E172" s="2"/>
      <c r="F172" s="2"/>
      <c r="G172" s="2"/>
      <c r="H172" s="2"/>
      <c r="I172" s="2"/>
      <c r="J172" s="2"/>
      <c r="K172" s="2"/>
      <c r="L172" s="2" t="str">
        <f t="shared" si="4"/>
        <v/>
      </c>
      <c r="M172" s="2" t="str">
        <f t="shared" si="5"/>
        <v/>
      </c>
      <c r="N172" s="2"/>
    </row>
    <row r="173" spans="1:14">
      <c r="A173" s="2"/>
      <c r="B173" s="2"/>
      <c r="C173" s="2"/>
      <c r="D173" s="2"/>
      <c r="E173" s="2"/>
      <c r="F173" s="2"/>
      <c r="G173" s="2"/>
      <c r="H173" s="2"/>
      <c r="I173" s="2"/>
      <c r="J173" s="2"/>
      <c r="K173" s="2"/>
      <c r="L173" s="2" t="str">
        <f t="shared" si="4"/>
        <v/>
      </c>
      <c r="M173" s="2" t="str">
        <f t="shared" si="5"/>
        <v/>
      </c>
      <c r="N173" s="2"/>
    </row>
    <row r="174" spans="1:14">
      <c r="A174" s="2"/>
      <c r="B174" s="2"/>
      <c r="C174" s="2"/>
      <c r="D174" s="2"/>
      <c r="E174" s="2"/>
      <c r="F174" s="2"/>
      <c r="G174" s="2"/>
      <c r="H174" s="2"/>
      <c r="I174" s="2"/>
      <c r="J174" s="2"/>
      <c r="K174" s="2"/>
      <c r="L174" s="2" t="str">
        <f t="shared" si="4"/>
        <v/>
      </c>
      <c r="M174" s="2" t="str">
        <f t="shared" si="5"/>
        <v/>
      </c>
      <c r="N174" s="2"/>
    </row>
    <row r="175" spans="1:14">
      <c r="A175" s="2"/>
      <c r="B175" s="2"/>
      <c r="C175" s="2"/>
      <c r="D175" s="2"/>
      <c r="E175" s="2"/>
      <c r="F175" s="2"/>
      <c r="G175" s="2"/>
      <c r="H175" s="2"/>
      <c r="I175" s="2"/>
      <c r="J175" s="2"/>
      <c r="K175" s="2"/>
      <c r="L175" s="2" t="str">
        <f t="shared" si="4"/>
        <v/>
      </c>
      <c r="M175" s="2" t="str">
        <f t="shared" si="5"/>
        <v/>
      </c>
      <c r="N175" s="2"/>
    </row>
    <row r="176" spans="1:14">
      <c r="A176" s="2"/>
      <c r="B176" s="2"/>
      <c r="C176" s="2"/>
      <c r="D176" s="2"/>
      <c r="E176" s="2"/>
      <c r="F176" s="2"/>
      <c r="G176" s="2"/>
      <c r="H176" s="2"/>
      <c r="I176" s="2"/>
      <c r="J176" s="2"/>
      <c r="K176" s="2"/>
      <c r="L176" s="2" t="str">
        <f t="shared" si="4"/>
        <v/>
      </c>
      <c r="M176" s="2" t="str">
        <f t="shared" si="5"/>
        <v/>
      </c>
      <c r="N176" s="2"/>
    </row>
    <row r="177" spans="1:14">
      <c r="A177" s="2"/>
      <c r="B177" s="2"/>
      <c r="C177" s="2"/>
      <c r="D177" s="2"/>
      <c r="E177" s="2"/>
      <c r="F177" s="2"/>
      <c r="G177" s="2"/>
      <c r="H177" s="2"/>
      <c r="I177" s="2"/>
      <c r="J177" s="2"/>
      <c r="K177" s="2"/>
      <c r="L177" s="2" t="str">
        <f t="shared" si="4"/>
        <v/>
      </c>
      <c r="M177" s="2" t="str">
        <f t="shared" si="5"/>
        <v/>
      </c>
      <c r="N177" s="2"/>
    </row>
    <row r="178" spans="1:14">
      <c r="A178" s="2"/>
      <c r="B178" s="2"/>
      <c r="C178" s="2"/>
      <c r="D178" s="2"/>
      <c r="E178" s="2"/>
      <c r="F178" s="2"/>
      <c r="G178" s="2"/>
      <c r="H178" s="2"/>
      <c r="I178" s="2"/>
      <c r="J178" s="2"/>
      <c r="K178" s="2"/>
      <c r="L178" s="2" t="str">
        <f t="shared" si="4"/>
        <v/>
      </c>
      <c r="M178" s="2" t="str">
        <f t="shared" si="5"/>
        <v/>
      </c>
      <c r="N178" s="2"/>
    </row>
    <row r="179" spans="1:14">
      <c r="A179" s="2"/>
      <c r="B179" s="2"/>
      <c r="C179" s="2"/>
      <c r="D179" s="2"/>
      <c r="E179" s="2"/>
      <c r="F179" s="2"/>
      <c r="G179" s="2"/>
      <c r="H179" s="2"/>
      <c r="I179" s="2"/>
      <c r="J179" s="2"/>
      <c r="K179" s="2"/>
      <c r="L179" s="2" t="str">
        <f t="shared" si="4"/>
        <v/>
      </c>
      <c r="M179" s="2" t="str">
        <f t="shared" si="5"/>
        <v/>
      </c>
      <c r="N179" s="2"/>
    </row>
    <row r="180" spans="1:14">
      <c r="A180" s="2"/>
      <c r="B180" s="2"/>
      <c r="C180" s="2"/>
      <c r="D180" s="2"/>
      <c r="E180" s="2"/>
      <c r="F180" s="2"/>
      <c r="G180" s="2"/>
      <c r="H180" s="2"/>
      <c r="I180" s="2"/>
      <c r="J180" s="2"/>
      <c r="K180" s="2"/>
      <c r="L180" s="2" t="str">
        <f t="shared" si="4"/>
        <v/>
      </c>
      <c r="M180" s="2" t="str">
        <f t="shared" si="5"/>
        <v/>
      </c>
      <c r="N180" s="2"/>
    </row>
    <row r="181" spans="1:14">
      <c r="A181" s="2"/>
      <c r="B181" s="2"/>
      <c r="C181" s="2"/>
      <c r="D181" s="2"/>
      <c r="E181" s="2"/>
      <c r="F181" s="2"/>
      <c r="G181" s="2"/>
      <c r="H181" s="2"/>
      <c r="I181" s="2"/>
      <c r="J181" s="2"/>
      <c r="K181" s="2"/>
      <c r="L181" s="2" t="str">
        <f t="shared" si="4"/>
        <v/>
      </c>
      <c r="M181" s="2" t="str">
        <f t="shared" si="5"/>
        <v/>
      </c>
      <c r="N181" s="2"/>
    </row>
    <row r="182" spans="1:14">
      <c r="A182" s="2"/>
      <c r="B182" s="2"/>
      <c r="C182" s="2"/>
      <c r="D182" s="2"/>
      <c r="E182" s="2"/>
      <c r="F182" s="2"/>
      <c r="G182" s="2"/>
      <c r="H182" s="2"/>
      <c r="I182" s="2"/>
      <c r="J182" s="2"/>
      <c r="K182" s="2"/>
      <c r="L182" s="2" t="str">
        <f t="shared" si="4"/>
        <v/>
      </c>
      <c r="M182" s="2" t="str">
        <f t="shared" si="5"/>
        <v/>
      </c>
      <c r="N182" s="2"/>
    </row>
    <row r="183" spans="1:14">
      <c r="A183" s="2"/>
      <c r="B183" s="2"/>
      <c r="C183" s="2"/>
      <c r="D183" s="2"/>
      <c r="E183" s="2"/>
      <c r="F183" s="2"/>
      <c r="G183" s="2"/>
      <c r="H183" s="2"/>
      <c r="I183" s="2"/>
      <c r="J183" s="2"/>
      <c r="K183" s="2"/>
      <c r="L183" s="2" t="str">
        <f t="shared" si="4"/>
        <v/>
      </c>
      <c r="M183" s="2" t="str">
        <f t="shared" si="5"/>
        <v/>
      </c>
      <c r="N183" s="2"/>
    </row>
    <row r="184" spans="1:14">
      <c r="A184" s="2"/>
      <c r="B184" s="2"/>
      <c r="C184" s="2"/>
      <c r="D184" s="2"/>
      <c r="E184" s="2"/>
      <c r="F184" s="2"/>
      <c r="G184" s="2"/>
      <c r="H184" s="2"/>
      <c r="I184" s="2"/>
      <c r="J184" s="2"/>
      <c r="K184" s="2"/>
      <c r="L184" s="2" t="str">
        <f t="shared" si="4"/>
        <v/>
      </c>
      <c r="M184" s="2" t="str">
        <f t="shared" si="5"/>
        <v/>
      </c>
      <c r="N184" s="2"/>
    </row>
    <row r="185" spans="1:14">
      <c r="A185" s="2"/>
      <c r="B185" s="2"/>
      <c r="C185" s="2"/>
      <c r="D185" s="2"/>
      <c r="E185" s="2"/>
      <c r="F185" s="2"/>
      <c r="G185" s="2"/>
      <c r="H185" s="2"/>
      <c r="I185" s="2"/>
      <c r="J185" s="2"/>
      <c r="K185" s="2"/>
      <c r="L185" s="2" t="str">
        <f t="shared" si="4"/>
        <v/>
      </c>
      <c r="M185" s="2" t="str">
        <f t="shared" si="5"/>
        <v/>
      </c>
      <c r="N185" s="2"/>
    </row>
    <row r="186" spans="1:14">
      <c r="A186" s="2"/>
      <c r="B186" s="2"/>
      <c r="C186" s="2"/>
      <c r="D186" s="2"/>
      <c r="E186" s="2"/>
      <c r="F186" s="2"/>
      <c r="G186" s="2"/>
      <c r="H186" s="2"/>
      <c r="I186" s="2"/>
      <c r="J186" s="2"/>
      <c r="K186" s="2"/>
      <c r="L186" s="2" t="str">
        <f t="shared" si="4"/>
        <v/>
      </c>
      <c r="M186" s="2" t="str">
        <f t="shared" si="5"/>
        <v/>
      </c>
      <c r="N186" s="2"/>
    </row>
    <row r="187" spans="1:14">
      <c r="A187" s="2"/>
      <c r="B187" s="2"/>
      <c r="C187" s="2"/>
      <c r="D187" s="2"/>
      <c r="E187" s="2"/>
      <c r="F187" s="2"/>
      <c r="G187" s="2"/>
      <c r="H187" s="2"/>
      <c r="I187" s="2"/>
      <c r="J187" s="2"/>
      <c r="K187" s="2"/>
      <c r="L187" s="2" t="str">
        <f t="shared" si="4"/>
        <v/>
      </c>
      <c r="M187" s="2" t="str">
        <f t="shared" si="5"/>
        <v/>
      </c>
      <c r="N187" s="2"/>
    </row>
    <row r="188" spans="1:14">
      <c r="A188" s="2"/>
      <c r="B188" s="2"/>
      <c r="C188" s="2"/>
      <c r="D188" s="2"/>
      <c r="E188" s="2"/>
      <c r="F188" s="2"/>
      <c r="G188" s="2"/>
      <c r="H188" s="2"/>
      <c r="I188" s="2"/>
      <c r="J188" s="2"/>
      <c r="K188" s="2"/>
      <c r="L188" s="2" t="str">
        <f t="shared" si="4"/>
        <v/>
      </c>
      <c r="M188" s="2" t="str">
        <f t="shared" si="5"/>
        <v/>
      </c>
      <c r="N188" s="2"/>
    </row>
    <row r="189" spans="1:14">
      <c r="A189" s="2"/>
      <c r="B189" s="2"/>
      <c r="C189" s="2"/>
      <c r="D189" s="2"/>
      <c r="E189" s="2"/>
      <c r="F189" s="2"/>
      <c r="G189" s="2"/>
      <c r="H189" s="2"/>
      <c r="I189" s="2"/>
      <c r="J189" s="2"/>
      <c r="K189" s="2"/>
      <c r="L189" s="2" t="str">
        <f t="shared" si="4"/>
        <v/>
      </c>
      <c r="M189" s="2" t="str">
        <f t="shared" si="5"/>
        <v/>
      </c>
      <c r="N189" s="2"/>
    </row>
    <row r="190" spans="1:14">
      <c r="A190" s="2"/>
      <c r="B190" s="2"/>
      <c r="C190" s="2"/>
      <c r="D190" s="2"/>
      <c r="E190" s="2"/>
      <c r="F190" s="2"/>
      <c r="G190" s="2"/>
      <c r="H190" s="2"/>
      <c r="I190" s="2"/>
      <c r="J190" s="2"/>
      <c r="K190" s="2"/>
      <c r="L190" s="2" t="str">
        <f t="shared" si="4"/>
        <v/>
      </c>
      <c r="M190" s="2" t="str">
        <f t="shared" si="5"/>
        <v/>
      </c>
      <c r="N190" s="2"/>
    </row>
    <row r="191" spans="1:14">
      <c r="A191" s="2"/>
      <c r="B191" s="2"/>
      <c r="C191" s="2"/>
      <c r="D191" s="2"/>
      <c r="E191" s="2"/>
      <c r="F191" s="2"/>
      <c r="G191" s="2"/>
      <c r="H191" s="2"/>
      <c r="I191" s="2"/>
      <c r="J191" s="2"/>
      <c r="K191" s="2"/>
      <c r="L191" s="2" t="str">
        <f t="shared" si="4"/>
        <v/>
      </c>
      <c r="M191" s="2" t="str">
        <f t="shared" si="5"/>
        <v/>
      </c>
      <c r="N191" s="2"/>
    </row>
    <row r="192" spans="1:14">
      <c r="A192" s="2"/>
      <c r="B192" s="2"/>
      <c r="C192" s="2"/>
      <c r="D192" s="2"/>
      <c r="E192" s="2"/>
      <c r="F192" s="2"/>
      <c r="G192" s="2"/>
      <c r="H192" s="2"/>
      <c r="I192" s="2"/>
      <c r="J192" s="2"/>
      <c r="K192" s="2"/>
      <c r="L192" s="2" t="str">
        <f t="shared" si="4"/>
        <v/>
      </c>
      <c r="M192" s="2" t="str">
        <f t="shared" si="5"/>
        <v/>
      </c>
      <c r="N192" s="2"/>
    </row>
    <row r="193" spans="1:14">
      <c r="A193" s="2"/>
      <c r="B193" s="2"/>
      <c r="C193" s="2"/>
      <c r="D193" s="2"/>
      <c r="E193" s="2"/>
      <c r="F193" s="2"/>
      <c r="G193" s="2"/>
      <c r="H193" s="2"/>
      <c r="I193" s="2"/>
      <c r="J193" s="2"/>
      <c r="K193" s="2"/>
      <c r="L193" s="2" t="str">
        <f t="shared" si="4"/>
        <v/>
      </c>
      <c r="M193" s="2" t="str">
        <f t="shared" si="5"/>
        <v/>
      </c>
      <c r="N193" s="2"/>
    </row>
    <row r="194" spans="1:14">
      <c r="A194" s="2"/>
      <c r="B194" s="2"/>
      <c r="C194" s="2"/>
      <c r="D194" s="2"/>
      <c r="E194" s="2"/>
      <c r="F194" s="2"/>
      <c r="G194" s="2"/>
      <c r="H194" s="2"/>
      <c r="I194" s="2"/>
      <c r="J194" s="2"/>
      <c r="K194" s="2"/>
      <c r="L194" s="2" t="str">
        <f t="shared" si="4"/>
        <v/>
      </c>
      <c r="M194" s="2" t="str">
        <f t="shared" si="5"/>
        <v/>
      </c>
      <c r="N194" s="2"/>
    </row>
    <row r="195" spans="1:14">
      <c r="A195" s="2"/>
      <c r="B195" s="2"/>
      <c r="C195" s="2"/>
      <c r="D195" s="2"/>
      <c r="E195" s="2"/>
      <c r="F195" s="2"/>
      <c r="G195" s="2"/>
      <c r="H195" s="2"/>
      <c r="I195" s="2"/>
      <c r="J195" s="2"/>
      <c r="K195" s="2"/>
      <c r="L195" s="2" t="str">
        <f t="shared" si="4"/>
        <v/>
      </c>
      <c r="M195" s="2" t="str">
        <f t="shared" si="5"/>
        <v/>
      </c>
      <c r="N195" s="2"/>
    </row>
    <row r="196" spans="1:14">
      <c r="A196" s="2"/>
      <c r="B196" s="2"/>
      <c r="C196" s="2"/>
      <c r="D196" s="2"/>
      <c r="E196" s="2"/>
      <c r="F196" s="2"/>
      <c r="G196" s="2"/>
      <c r="H196" s="2"/>
      <c r="I196" s="2"/>
      <c r="J196" s="2"/>
      <c r="K196" s="2"/>
      <c r="L196" s="2" t="str">
        <f t="shared" si="4"/>
        <v/>
      </c>
      <c r="M196" s="2" t="str">
        <f t="shared" si="5"/>
        <v/>
      </c>
      <c r="N196" s="2"/>
    </row>
    <row r="197" spans="1:14">
      <c r="A197" s="2"/>
      <c r="B197" s="2"/>
      <c r="C197" s="2"/>
      <c r="D197" s="2"/>
      <c r="E197" s="2"/>
      <c r="F197" s="2"/>
      <c r="G197" s="2"/>
      <c r="H197" s="2"/>
      <c r="I197" s="2"/>
      <c r="J197" s="2"/>
      <c r="K197" s="2"/>
      <c r="L197" s="2" t="str">
        <f t="shared" si="4"/>
        <v/>
      </c>
      <c r="M197" s="2" t="str">
        <f t="shared" si="5"/>
        <v/>
      </c>
      <c r="N197" s="2"/>
    </row>
    <row r="198" spans="1:14">
      <c r="A198" s="2"/>
      <c r="B198" s="2"/>
      <c r="C198" s="2"/>
      <c r="D198" s="2"/>
      <c r="E198" s="2"/>
      <c r="F198" s="2"/>
      <c r="G198" s="2"/>
      <c r="H198" s="2"/>
      <c r="I198" s="2"/>
      <c r="J198" s="2"/>
      <c r="K198" s="2"/>
      <c r="L198" s="2" t="str">
        <f t="shared" si="4"/>
        <v/>
      </c>
      <c r="M198" s="2" t="str">
        <f t="shared" si="5"/>
        <v/>
      </c>
      <c r="N198" s="2"/>
    </row>
    <row r="199" spans="1:14">
      <c r="A199" s="2"/>
      <c r="B199" s="2"/>
      <c r="C199" s="2"/>
      <c r="D199" s="2"/>
      <c r="E199" s="2"/>
      <c r="F199" s="2"/>
      <c r="G199" s="2"/>
      <c r="H199" s="2"/>
      <c r="I199" s="2"/>
      <c r="J199" s="2"/>
      <c r="K199" s="2"/>
      <c r="L199" s="2" t="str">
        <f t="shared" ref="L199:L262" si="6">IF(OR(H199="",I199="",J199="",K199=""),"",ROUND(H199*((I199+J199)/6)*K199,2))</f>
        <v/>
      </c>
      <c r="M199" s="2" t="str">
        <f t="shared" ref="M199:M262" si="7">IF(L199="","",IF(AND(L199&gt;=3.5,H199=1),"Сильный признак",IF(AND(L199&gt;=2,H199=1),"Рабочий признак",IF(H199=1,"Слабый признак","Отсутствует"))))</f>
        <v/>
      </c>
      <c r="N199" s="2"/>
    </row>
    <row r="200" spans="1:14">
      <c r="A200" s="2"/>
      <c r="B200" s="2"/>
      <c r="C200" s="2"/>
      <c r="D200" s="2"/>
      <c r="E200" s="2"/>
      <c r="F200" s="2"/>
      <c r="G200" s="2"/>
      <c r="H200" s="2"/>
      <c r="I200" s="2"/>
      <c r="J200" s="2"/>
      <c r="K200" s="2"/>
      <c r="L200" s="2" t="str">
        <f t="shared" si="6"/>
        <v/>
      </c>
      <c r="M200" s="2" t="str">
        <f t="shared" si="7"/>
        <v/>
      </c>
      <c r="N200" s="2"/>
    </row>
    <row r="201" spans="1:14">
      <c r="A201" s="2"/>
      <c r="B201" s="2"/>
      <c r="C201" s="2"/>
      <c r="D201" s="2"/>
      <c r="E201" s="2"/>
      <c r="F201" s="2"/>
      <c r="G201" s="2"/>
      <c r="H201" s="2"/>
      <c r="I201" s="2"/>
      <c r="J201" s="2"/>
      <c r="K201" s="2"/>
      <c r="L201" s="2" t="str">
        <f t="shared" si="6"/>
        <v/>
      </c>
      <c r="M201" s="2" t="str">
        <f t="shared" si="7"/>
        <v/>
      </c>
      <c r="N201" s="2"/>
    </row>
    <row r="202" spans="1:14">
      <c r="A202" s="2"/>
      <c r="B202" s="2"/>
      <c r="C202" s="2"/>
      <c r="D202" s="2"/>
      <c r="E202" s="2"/>
      <c r="F202" s="2"/>
      <c r="G202" s="2"/>
      <c r="H202" s="2"/>
      <c r="I202" s="2"/>
      <c r="J202" s="2"/>
      <c r="K202" s="2"/>
      <c r="L202" s="2" t="str">
        <f t="shared" si="6"/>
        <v/>
      </c>
      <c r="M202" s="2" t="str">
        <f t="shared" si="7"/>
        <v/>
      </c>
      <c r="N202" s="2"/>
    </row>
    <row r="203" spans="1:14">
      <c r="A203" s="2"/>
      <c r="B203" s="2"/>
      <c r="C203" s="2"/>
      <c r="D203" s="2"/>
      <c r="E203" s="2"/>
      <c r="F203" s="2"/>
      <c r="G203" s="2"/>
      <c r="H203" s="2"/>
      <c r="I203" s="2"/>
      <c r="J203" s="2"/>
      <c r="K203" s="2"/>
      <c r="L203" s="2" t="str">
        <f t="shared" si="6"/>
        <v/>
      </c>
      <c r="M203" s="2" t="str">
        <f t="shared" si="7"/>
        <v/>
      </c>
      <c r="N203" s="2"/>
    </row>
    <row r="204" spans="1:14">
      <c r="A204" s="2"/>
      <c r="B204" s="2"/>
      <c r="C204" s="2"/>
      <c r="D204" s="2"/>
      <c r="E204" s="2"/>
      <c r="F204" s="2"/>
      <c r="G204" s="2"/>
      <c r="H204" s="2"/>
      <c r="I204" s="2"/>
      <c r="J204" s="2"/>
      <c r="K204" s="2"/>
      <c r="L204" s="2" t="str">
        <f t="shared" si="6"/>
        <v/>
      </c>
      <c r="M204" s="2" t="str">
        <f t="shared" si="7"/>
        <v/>
      </c>
      <c r="N204" s="2"/>
    </row>
    <row r="205" spans="1:14">
      <c r="A205" s="2"/>
      <c r="B205" s="2"/>
      <c r="C205" s="2"/>
      <c r="D205" s="2"/>
      <c r="E205" s="2"/>
      <c r="F205" s="2"/>
      <c r="G205" s="2"/>
      <c r="H205" s="2"/>
      <c r="I205" s="2"/>
      <c r="J205" s="2"/>
      <c r="K205" s="2"/>
      <c r="L205" s="2" t="str">
        <f t="shared" si="6"/>
        <v/>
      </c>
      <c r="M205" s="2" t="str">
        <f t="shared" si="7"/>
        <v/>
      </c>
      <c r="N205" s="2"/>
    </row>
    <row r="206" spans="1:14">
      <c r="A206" s="2"/>
      <c r="B206" s="2"/>
      <c r="C206" s="2"/>
      <c r="D206" s="2"/>
      <c r="E206" s="2"/>
      <c r="F206" s="2"/>
      <c r="G206" s="2"/>
      <c r="H206" s="2"/>
      <c r="I206" s="2"/>
      <c r="J206" s="2"/>
      <c r="K206" s="2"/>
      <c r="L206" s="2" t="str">
        <f t="shared" si="6"/>
        <v/>
      </c>
      <c r="M206" s="2" t="str">
        <f t="shared" si="7"/>
        <v/>
      </c>
      <c r="N206" s="2"/>
    </row>
    <row r="207" spans="1:14">
      <c r="A207" s="2"/>
      <c r="B207" s="2"/>
      <c r="C207" s="2"/>
      <c r="D207" s="2"/>
      <c r="E207" s="2"/>
      <c r="F207" s="2"/>
      <c r="G207" s="2"/>
      <c r="H207" s="2"/>
      <c r="I207" s="2"/>
      <c r="J207" s="2"/>
      <c r="K207" s="2"/>
      <c r="L207" s="2" t="str">
        <f t="shared" si="6"/>
        <v/>
      </c>
      <c r="M207" s="2" t="str">
        <f t="shared" si="7"/>
        <v/>
      </c>
      <c r="N207" s="2"/>
    </row>
    <row r="208" spans="1:14">
      <c r="A208" s="2"/>
      <c r="B208" s="2"/>
      <c r="C208" s="2"/>
      <c r="D208" s="2"/>
      <c r="E208" s="2"/>
      <c r="F208" s="2"/>
      <c r="G208" s="2"/>
      <c r="H208" s="2"/>
      <c r="I208" s="2"/>
      <c r="J208" s="2"/>
      <c r="K208" s="2"/>
      <c r="L208" s="2" t="str">
        <f t="shared" si="6"/>
        <v/>
      </c>
      <c r="M208" s="2" t="str">
        <f t="shared" si="7"/>
        <v/>
      </c>
      <c r="N208" s="2"/>
    </row>
    <row r="209" spans="1:14">
      <c r="A209" s="2"/>
      <c r="B209" s="2"/>
      <c r="C209" s="2"/>
      <c r="D209" s="2"/>
      <c r="E209" s="2"/>
      <c r="F209" s="2"/>
      <c r="G209" s="2"/>
      <c r="H209" s="2"/>
      <c r="I209" s="2"/>
      <c r="J209" s="2"/>
      <c r="K209" s="2"/>
      <c r="L209" s="2" t="str">
        <f t="shared" si="6"/>
        <v/>
      </c>
      <c r="M209" s="2" t="str">
        <f t="shared" si="7"/>
        <v/>
      </c>
      <c r="N209" s="2"/>
    </row>
    <row r="210" spans="1:14">
      <c r="A210" s="2"/>
      <c r="B210" s="2"/>
      <c r="C210" s="2"/>
      <c r="D210" s="2"/>
      <c r="E210" s="2"/>
      <c r="F210" s="2"/>
      <c r="G210" s="2"/>
      <c r="H210" s="2"/>
      <c r="I210" s="2"/>
      <c r="J210" s="2"/>
      <c r="K210" s="2"/>
      <c r="L210" s="2" t="str">
        <f t="shared" si="6"/>
        <v/>
      </c>
      <c r="M210" s="2" t="str">
        <f t="shared" si="7"/>
        <v/>
      </c>
      <c r="N210" s="2"/>
    </row>
    <row r="211" spans="1:14">
      <c r="A211" s="2"/>
      <c r="B211" s="2"/>
      <c r="C211" s="2"/>
      <c r="D211" s="2"/>
      <c r="E211" s="2"/>
      <c r="F211" s="2"/>
      <c r="G211" s="2"/>
      <c r="H211" s="2"/>
      <c r="I211" s="2"/>
      <c r="J211" s="2"/>
      <c r="K211" s="2"/>
      <c r="L211" s="2" t="str">
        <f t="shared" si="6"/>
        <v/>
      </c>
      <c r="M211" s="2" t="str">
        <f t="shared" si="7"/>
        <v/>
      </c>
      <c r="N211" s="2"/>
    </row>
    <row r="212" spans="1:14">
      <c r="A212" s="2"/>
      <c r="B212" s="2"/>
      <c r="C212" s="2"/>
      <c r="D212" s="2"/>
      <c r="E212" s="2"/>
      <c r="F212" s="2"/>
      <c r="G212" s="2"/>
      <c r="H212" s="2"/>
      <c r="I212" s="2"/>
      <c r="J212" s="2"/>
      <c r="K212" s="2"/>
      <c r="L212" s="2" t="str">
        <f t="shared" si="6"/>
        <v/>
      </c>
      <c r="M212" s="2" t="str">
        <f t="shared" si="7"/>
        <v/>
      </c>
      <c r="N212" s="2"/>
    </row>
    <row r="213" spans="1:14">
      <c r="A213" s="2"/>
      <c r="B213" s="2"/>
      <c r="C213" s="2"/>
      <c r="D213" s="2"/>
      <c r="E213" s="2"/>
      <c r="F213" s="2"/>
      <c r="G213" s="2"/>
      <c r="H213" s="2"/>
      <c r="I213" s="2"/>
      <c r="J213" s="2"/>
      <c r="K213" s="2"/>
      <c r="L213" s="2" t="str">
        <f t="shared" si="6"/>
        <v/>
      </c>
      <c r="M213" s="2" t="str">
        <f t="shared" si="7"/>
        <v/>
      </c>
      <c r="N213" s="2"/>
    </row>
    <row r="214" spans="1:14">
      <c r="A214" s="2"/>
      <c r="B214" s="2"/>
      <c r="C214" s="2"/>
      <c r="D214" s="2"/>
      <c r="E214" s="2"/>
      <c r="F214" s="2"/>
      <c r="G214" s="2"/>
      <c r="H214" s="2"/>
      <c r="I214" s="2"/>
      <c r="J214" s="2"/>
      <c r="K214" s="2"/>
      <c r="L214" s="2" t="str">
        <f t="shared" si="6"/>
        <v/>
      </c>
      <c r="M214" s="2" t="str">
        <f t="shared" si="7"/>
        <v/>
      </c>
      <c r="N214" s="2"/>
    </row>
    <row r="215" spans="1:14">
      <c r="A215" s="2"/>
      <c r="B215" s="2"/>
      <c r="C215" s="2"/>
      <c r="D215" s="2"/>
      <c r="E215" s="2"/>
      <c r="F215" s="2"/>
      <c r="G215" s="2"/>
      <c r="H215" s="2"/>
      <c r="I215" s="2"/>
      <c r="J215" s="2"/>
      <c r="K215" s="2"/>
      <c r="L215" s="2" t="str">
        <f t="shared" si="6"/>
        <v/>
      </c>
      <c r="M215" s="2" t="str">
        <f t="shared" si="7"/>
        <v/>
      </c>
      <c r="N215" s="2"/>
    </row>
    <row r="216" spans="1:14">
      <c r="A216" s="2"/>
      <c r="B216" s="2"/>
      <c r="C216" s="2"/>
      <c r="D216" s="2"/>
      <c r="E216" s="2"/>
      <c r="F216" s="2"/>
      <c r="G216" s="2"/>
      <c r="H216" s="2"/>
      <c r="I216" s="2"/>
      <c r="J216" s="2"/>
      <c r="K216" s="2"/>
      <c r="L216" s="2" t="str">
        <f t="shared" si="6"/>
        <v/>
      </c>
      <c r="M216" s="2" t="str">
        <f t="shared" si="7"/>
        <v/>
      </c>
      <c r="N216" s="2"/>
    </row>
    <row r="217" spans="1:14">
      <c r="A217" s="2"/>
      <c r="B217" s="2"/>
      <c r="C217" s="2"/>
      <c r="D217" s="2"/>
      <c r="E217" s="2"/>
      <c r="F217" s="2"/>
      <c r="G217" s="2"/>
      <c r="H217" s="2"/>
      <c r="I217" s="2"/>
      <c r="J217" s="2"/>
      <c r="K217" s="2"/>
      <c r="L217" s="2" t="str">
        <f t="shared" si="6"/>
        <v/>
      </c>
      <c r="M217" s="2" t="str">
        <f t="shared" si="7"/>
        <v/>
      </c>
      <c r="N217" s="2"/>
    </row>
    <row r="218" spans="1:14">
      <c r="A218" s="2"/>
      <c r="B218" s="2"/>
      <c r="C218" s="2"/>
      <c r="D218" s="2"/>
      <c r="E218" s="2"/>
      <c r="F218" s="2"/>
      <c r="G218" s="2"/>
      <c r="H218" s="2"/>
      <c r="I218" s="2"/>
      <c r="J218" s="2"/>
      <c r="K218" s="2"/>
      <c r="L218" s="2" t="str">
        <f t="shared" si="6"/>
        <v/>
      </c>
      <c r="M218" s="2" t="str">
        <f t="shared" si="7"/>
        <v/>
      </c>
      <c r="N218" s="2"/>
    </row>
    <row r="219" spans="1:14">
      <c r="A219" s="2"/>
      <c r="B219" s="2"/>
      <c r="C219" s="2"/>
      <c r="D219" s="2"/>
      <c r="E219" s="2"/>
      <c r="F219" s="2"/>
      <c r="G219" s="2"/>
      <c r="H219" s="2"/>
      <c r="I219" s="2"/>
      <c r="J219" s="2"/>
      <c r="K219" s="2"/>
      <c r="L219" s="2" t="str">
        <f t="shared" si="6"/>
        <v/>
      </c>
      <c r="M219" s="2" t="str">
        <f t="shared" si="7"/>
        <v/>
      </c>
      <c r="N219" s="2"/>
    </row>
    <row r="220" spans="1:14">
      <c r="A220" s="2"/>
      <c r="B220" s="2"/>
      <c r="C220" s="2"/>
      <c r="D220" s="2"/>
      <c r="E220" s="2"/>
      <c r="F220" s="2"/>
      <c r="G220" s="2"/>
      <c r="H220" s="2"/>
      <c r="I220" s="2"/>
      <c r="J220" s="2"/>
      <c r="K220" s="2"/>
      <c r="L220" s="2" t="str">
        <f t="shared" si="6"/>
        <v/>
      </c>
      <c r="M220" s="2" t="str">
        <f t="shared" si="7"/>
        <v/>
      </c>
      <c r="N220" s="2"/>
    </row>
    <row r="221" spans="1:14">
      <c r="A221" s="2"/>
      <c r="B221" s="2"/>
      <c r="C221" s="2"/>
      <c r="D221" s="2"/>
      <c r="E221" s="2"/>
      <c r="F221" s="2"/>
      <c r="G221" s="2"/>
      <c r="H221" s="2"/>
      <c r="I221" s="2"/>
      <c r="J221" s="2"/>
      <c r="K221" s="2"/>
      <c r="L221" s="2" t="str">
        <f t="shared" si="6"/>
        <v/>
      </c>
      <c r="M221" s="2" t="str">
        <f t="shared" si="7"/>
        <v/>
      </c>
      <c r="N221" s="2"/>
    </row>
    <row r="222" spans="1:14">
      <c r="A222" s="2"/>
      <c r="B222" s="2"/>
      <c r="C222" s="2"/>
      <c r="D222" s="2"/>
      <c r="E222" s="2"/>
      <c r="F222" s="2"/>
      <c r="G222" s="2"/>
      <c r="H222" s="2"/>
      <c r="I222" s="2"/>
      <c r="J222" s="2"/>
      <c r="K222" s="2"/>
      <c r="L222" s="2" t="str">
        <f t="shared" si="6"/>
        <v/>
      </c>
      <c r="M222" s="2" t="str">
        <f t="shared" si="7"/>
        <v/>
      </c>
      <c r="N222" s="2"/>
    </row>
    <row r="223" spans="1:14">
      <c r="A223" s="2"/>
      <c r="B223" s="2"/>
      <c r="C223" s="2"/>
      <c r="D223" s="2"/>
      <c r="E223" s="2"/>
      <c r="F223" s="2"/>
      <c r="G223" s="2"/>
      <c r="H223" s="2"/>
      <c r="I223" s="2"/>
      <c r="J223" s="2"/>
      <c r="K223" s="2"/>
      <c r="L223" s="2" t="str">
        <f t="shared" si="6"/>
        <v/>
      </c>
      <c r="M223" s="2" t="str">
        <f t="shared" si="7"/>
        <v/>
      </c>
      <c r="N223" s="2"/>
    </row>
    <row r="224" spans="1:14">
      <c r="A224" s="2"/>
      <c r="B224" s="2"/>
      <c r="C224" s="2"/>
      <c r="D224" s="2"/>
      <c r="E224" s="2"/>
      <c r="F224" s="2"/>
      <c r="G224" s="2"/>
      <c r="H224" s="2"/>
      <c r="I224" s="2"/>
      <c r="J224" s="2"/>
      <c r="K224" s="2"/>
      <c r="L224" s="2" t="str">
        <f t="shared" si="6"/>
        <v/>
      </c>
      <c r="M224" s="2" t="str">
        <f t="shared" si="7"/>
        <v/>
      </c>
      <c r="N224" s="2"/>
    </row>
    <row r="225" spans="1:14">
      <c r="A225" s="2"/>
      <c r="B225" s="2"/>
      <c r="C225" s="2"/>
      <c r="D225" s="2"/>
      <c r="E225" s="2"/>
      <c r="F225" s="2"/>
      <c r="G225" s="2"/>
      <c r="H225" s="2"/>
      <c r="I225" s="2"/>
      <c r="J225" s="2"/>
      <c r="K225" s="2"/>
      <c r="L225" s="2" t="str">
        <f t="shared" si="6"/>
        <v/>
      </c>
      <c r="M225" s="2" t="str">
        <f t="shared" si="7"/>
        <v/>
      </c>
      <c r="N225" s="2"/>
    </row>
    <row r="226" spans="1:14">
      <c r="A226" s="2"/>
      <c r="B226" s="2"/>
      <c r="C226" s="2"/>
      <c r="D226" s="2"/>
      <c r="E226" s="2"/>
      <c r="F226" s="2"/>
      <c r="G226" s="2"/>
      <c r="H226" s="2"/>
      <c r="I226" s="2"/>
      <c r="J226" s="2"/>
      <c r="K226" s="2"/>
      <c r="L226" s="2" t="str">
        <f t="shared" si="6"/>
        <v/>
      </c>
      <c r="M226" s="2" t="str">
        <f t="shared" si="7"/>
        <v/>
      </c>
      <c r="N226" s="2"/>
    </row>
    <row r="227" spans="1:14">
      <c r="A227" s="2"/>
      <c r="B227" s="2"/>
      <c r="C227" s="2"/>
      <c r="D227" s="2"/>
      <c r="E227" s="2"/>
      <c r="F227" s="2"/>
      <c r="G227" s="2"/>
      <c r="H227" s="2"/>
      <c r="I227" s="2"/>
      <c r="J227" s="2"/>
      <c r="K227" s="2"/>
      <c r="L227" s="2" t="str">
        <f t="shared" si="6"/>
        <v/>
      </c>
      <c r="M227" s="2" t="str">
        <f t="shared" si="7"/>
        <v/>
      </c>
      <c r="N227" s="2"/>
    </row>
    <row r="228" spans="1:14">
      <c r="A228" s="2"/>
      <c r="B228" s="2"/>
      <c r="C228" s="2"/>
      <c r="D228" s="2"/>
      <c r="E228" s="2"/>
      <c r="F228" s="2"/>
      <c r="G228" s="2"/>
      <c r="H228" s="2"/>
      <c r="I228" s="2"/>
      <c r="J228" s="2"/>
      <c r="K228" s="2"/>
      <c r="L228" s="2" t="str">
        <f t="shared" si="6"/>
        <v/>
      </c>
      <c r="M228" s="2" t="str">
        <f t="shared" si="7"/>
        <v/>
      </c>
      <c r="N228" s="2"/>
    </row>
    <row r="229" spans="1:14">
      <c r="A229" s="2"/>
      <c r="B229" s="2"/>
      <c r="C229" s="2"/>
      <c r="D229" s="2"/>
      <c r="E229" s="2"/>
      <c r="F229" s="2"/>
      <c r="G229" s="2"/>
      <c r="H229" s="2"/>
      <c r="I229" s="2"/>
      <c r="J229" s="2"/>
      <c r="K229" s="2"/>
      <c r="L229" s="2" t="str">
        <f t="shared" si="6"/>
        <v/>
      </c>
      <c r="M229" s="2" t="str">
        <f t="shared" si="7"/>
        <v/>
      </c>
      <c r="N229" s="2"/>
    </row>
    <row r="230" spans="1:14">
      <c r="A230" s="2"/>
      <c r="B230" s="2"/>
      <c r="C230" s="2"/>
      <c r="D230" s="2"/>
      <c r="E230" s="2"/>
      <c r="F230" s="2"/>
      <c r="G230" s="2"/>
      <c r="H230" s="2"/>
      <c r="I230" s="2"/>
      <c r="J230" s="2"/>
      <c r="K230" s="2"/>
      <c r="L230" s="2" t="str">
        <f t="shared" si="6"/>
        <v/>
      </c>
      <c r="M230" s="2" t="str">
        <f t="shared" si="7"/>
        <v/>
      </c>
      <c r="N230" s="2"/>
    </row>
    <row r="231" spans="1:14">
      <c r="A231" s="2"/>
      <c r="B231" s="2"/>
      <c r="C231" s="2"/>
      <c r="D231" s="2"/>
      <c r="E231" s="2"/>
      <c r="F231" s="2"/>
      <c r="G231" s="2"/>
      <c r="H231" s="2"/>
      <c r="I231" s="2"/>
      <c r="J231" s="2"/>
      <c r="K231" s="2"/>
      <c r="L231" s="2" t="str">
        <f t="shared" si="6"/>
        <v/>
      </c>
      <c r="M231" s="2" t="str">
        <f t="shared" si="7"/>
        <v/>
      </c>
      <c r="N231" s="2"/>
    </row>
    <row r="232" spans="1:14">
      <c r="A232" s="2"/>
      <c r="B232" s="2"/>
      <c r="C232" s="2"/>
      <c r="D232" s="2"/>
      <c r="E232" s="2"/>
      <c r="F232" s="2"/>
      <c r="G232" s="2"/>
      <c r="H232" s="2"/>
      <c r="I232" s="2"/>
      <c r="J232" s="2"/>
      <c r="K232" s="2"/>
      <c r="L232" s="2" t="str">
        <f t="shared" si="6"/>
        <v/>
      </c>
      <c r="M232" s="2" t="str">
        <f t="shared" si="7"/>
        <v/>
      </c>
      <c r="N232" s="2"/>
    </row>
    <row r="233" spans="1:14">
      <c r="A233" s="2"/>
      <c r="B233" s="2"/>
      <c r="C233" s="2"/>
      <c r="D233" s="2"/>
      <c r="E233" s="2"/>
      <c r="F233" s="2"/>
      <c r="G233" s="2"/>
      <c r="H233" s="2"/>
      <c r="I233" s="2"/>
      <c r="J233" s="2"/>
      <c r="K233" s="2"/>
      <c r="L233" s="2" t="str">
        <f t="shared" si="6"/>
        <v/>
      </c>
      <c r="M233" s="2" t="str">
        <f t="shared" si="7"/>
        <v/>
      </c>
      <c r="N233" s="2"/>
    </row>
    <row r="234" spans="1:14">
      <c r="A234" s="2"/>
      <c r="B234" s="2"/>
      <c r="C234" s="2"/>
      <c r="D234" s="2"/>
      <c r="E234" s="2"/>
      <c r="F234" s="2"/>
      <c r="G234" s="2"/>
      <c r="H234" s="2"/>
      <c r="I234" s="2"/>
      <c r="J234" s="2"/>
      <c r="K234" s="2"/>
      <c r="L234" s="2" t="str">
        <f t="shared" si="6"/>
        <v/>
      </c>
      <c r="M234" s="2" t="str">
        <f t="shared" si="7"/>
        <v/>
      </c>
      <c r="N234" s="2"/>
    </row>
    <row r="235" spans="1:14">
      <c r="A235" s="2"/>
      <c r="B235" s="2"/>
      <c r="C235" s="2"/>
      <c r="D235" s="2"/>
      <c r="E235" s="2"/>
      <c r="F235" s="2"/>
      <c r="G235" s="2"/>
      <c r="H235" s="2"/>
      <c r="I235" s="2"/>
      <c r="J235" s="2"/>
      <c r="K235" s="2"/>
      <c r="L235" s="2" t="str">
        <f t="shared" si="6"/>
        <v/>
      </c>
      <c r="M235" s="2" t="str">
        <f t="shared" si="7"/>
        <v/>
      </c>
      <c r="N235" s="2"/>
    </row>
    <row r="236" spans="1:14">
      <c r="A236" s="2"/>
      <c r="B236" s="2"/>
      <c r="C236" s="2"/>
      <c r="D236" s="2"/>
      <c r="E236" s="2"/>
      <c r="F236" s="2"/>
      <c r="G236" s="2"/>
      <c r="H236" s="2"/>
      <c r="I236" s="2"/>
      <c r="J236" s="2"/>
      <c r="K236" s="2"/>
      <c r="L236" s="2" t="str">
        <f t="shared" si="6"/>
        <v/>
      </c>
      <c r="M236" s="2" t="str">
        <f t="shared" si="7"/>
        <v/>
      </c>
      <c r="N236" s="2"/>
    </row>
    <row r="237" spans="1:14">
      <c r="A237" s="2"/>
      <c r="B237" s="2"/>
      <c r="C237" s="2"/>
      <c r="D237" s="2"/>
      <c r="E237" s="2"/>
      <c r="F237" s="2"/>
      <c r="G237" s="2"/>
      <c r="H237" s="2"/>
      <c r="I237" s="2"/>
      <c r="J237" s="2"/>
      <c r="K237" s="2"/>
      <c r="L237" s="2" t="str">
        <f t="shared" si="6"/>
        <v/>
      </c>
      <c r="M237" s="2" t="str">
        <f t="shared" si="7"/>
        <v/>
      </c>
      <c r="N237" s="2"/>
    </row>
    <row r="238" spans="1:14">
      <c r="A238" s="2"/>
      <c r="B238" s="2"/>
      <c r="C238" s="2"/>
      <c r="D238" s="2"/>
      <c r="E238" s="2"/>
      <c r="F238" s="2"/>
      <c r="G238" s="2"/>
      <c r="H238" s="2"/>
      <c r="I238" s="2"/>
      <c r="J238" s="2"/>
      <c r="K238" s="2"/>
      <c r="L238" s="2" t="str">
        <f t="shared" si="6"/>
        <v/>
      </c>
      <c r="M238" s="2" t="str">
        <f t="shared" si="7"/>
        <v/>
      </c>
      <c r="N238" s="2"/>
    </row>
    <row r="239" spans="1:14">
      <c r="A239" s="2"/>
      <c r="B239" s="2"/>
      <c r="C239" s="2"/>
      <c r="D239" s="2"/>
      <c r="E239" s="2"/>
      <c r="F239" s="2"/>
      <c r="G239" s="2"/>
      <c r="H239" s="2"/>
      <c r="I239" s="2"/>
      <c r="J239" s="2"/>
      <c r="K239" s="2"/>
      <c r="L239" s="2" t="str">
        <f t="shared" si="6"/>
        <v/>
      </c>
      <c r="M239" s="2" t="str">
        <f t="shared" si="7"/>
        <v/>
      </c>
      <c r="N239" s="2"/>
    </row>
    <row r="240" spans="1:14">
      <c r="A240" s="2"/>
      <c r="B240" s="2"/>
      <c r="C240" s="2"/>
      <c r="D240" s="2"/>
      <c r="E240" s="2"/>
      <c r="F240" s="2"/>
      <c r="G240" s="2"/>
      <c r="H240" s="2"/>
      <c r="I240" s="2"/>
      <c r="J240" s="2"/>
      <c r="K240" s="2"/>
      <c r="L240" s="2" t="str">
        <f t="shared" si="6"/>
        <v/>
      </c>
      <c r="M240" s="2" t="str">
        <f t="shared" si="7"/>
        <v/>
      </c>
      <c r="N240" s="2"/>
    </row>
    <row r="241" spans="1:14">
      <c r="A241" s="2"/>
      <c r="B241" s="2"/>
      <c r="C241" s="2"/>
      <c r="D241" s="2"/>
      <c r="E241" s="2"/>
      <c r="F241" s="2"/>
      <c r="G241" s="2"/>
      <c r="H241" s="2"/>
      <c r="I241" s="2"/>
      <c r="J241" s="2"/>
      <c r="K241" s="2"/>
      <c r="L241" s="2" t="str">
        <f t="shared" si="6"/>
        <v/>
      </c>
      <c r="M241" s="2" t="str">
        <f t="shared" si="7"/>
        <v/>
      </c>
      <c r="N241" s="2"/>
    </row>
    <row r="242" spans="1:14">
      <c r="A242" s="2"/>
      <c r="B242" s="2"/>
      <c r="C242" s="2"/>
      <c r="D242" s="2"/>
      <c r="E242" s="2"/>
      <c r="F242" s="2"/>
      <c r="G242" s="2"/>
      <c r="H242" s="2"/>
      <c r="I242" s="2"/>
      <c r="J242" s="2"/>
      <c r="K242" s="2"/>
      <c r="L242" s="2" t="str">
        <f t="shared" si="6"/>
        <v/>
      </c>
      <c r="M242" s="2" t="str">
        <f t="shared" si="7"/>
        <v/>
      </c>
      <c r="N242" s="2"/>
    </row>
    <row r="243" spans="1:14">
      <c r="A243" s="2"/>
      <c r="B243" s="2"/>
      <c r="C243" s="2"/>
      <c r="D243" s="2"/>
      <c r="E243" s="2"/>
      <c r="F243" s="2"/>
      <c r="G243" s="2"/>
      <c r="H243" s="2"/>
      <c r="I243" s="2"/>
      <c r="J243" s="2"/>
      <c r="K243" s="2"/>
      <c r="L243" s="2" t="str">
        <f t="shared" si="6"/>
        <v/>
      </c>
      <c r="M243" s="2" t="str">
        <f t="shared" si="7"/>
        <v/>
      </c>
      <c r="N243" s="2"/>
    </row>
    <row r="244" spans="1:14">
      <c r="A244" s="2"/>
      <c r="B244" s="2"/>
      <c r="C244" s="2"/>
      <c r="D244" s="2"/>
      <c r="E244" s="2"/>
      <c r="F244" s="2"/>
      <c r="G244" s="2"/>
      <c r="H244" s="2"/>
      <c r="I244" s="2"/>
      <c r="J244" s="2"/>
      <c r="K244" s="2"/>
      <c r="L244" s="2" t="str">
        <f t="shared" si="6"/>
        <v/>
      </c>
      <c r="M244" s="2" t="str">
        <f t="shared" si="7"/>
        <v/>
      </c>
      <c r="N244" s="2"/>
    </row>
    <row r="245" spans="1:14">
      <c r="A245" s="2"/>
      <c r="B245" s="2"/>
      <c r="C245" s="2"/>
      <c r="D245" s="2"/>
      <c r="E245" s="2"/>
      <c r="F245" s="2"/>
      <c r="G245" s="2"/>
      <c r="H245" s="2"/>
      <c r="I245" s="2"/>
      <c r="J245" s="2"/>
      <c r="K245" s="2"/>
      <c r="L245" s="2" t="str">
        <f t="shared" si="6"/>
        <v/>
      </c>
      <c r="M245" s="2" t="str">
        <f t="shared" si="7"/>
        <v/>
      </c>
      <c r="N245" s="2"/>
    </row>
    <row r="246" spans="1:14">
      <c r="A246" s="2"/>
      <c r="B246" s="2"/>
      <c r="C246" s="2"/>
      <c r="D246" s="2"/>
      <c r="E246" s="2"/>
      <c r="F246" s="2"/>
      <c r="G246" s="2"/>
      <c r="H246" s="2"/>
      <c r="I246" s="2"/>
      <c r="J246" s="2"/>
      <c r="K246" s="2"/>
      <c r="L246" s="2" t="str">
        <f t="shared" si="6"/>
        <v/>
      </c>
      <c r="M246" s="2" t="str">
        <f t="shared" si="7"/>
        <v/>
      </c>
      <c r="N246" s="2"/>
    </row>
    <row r="247" spans="1:14">
      <c r="A247" s="2"/>
      <c r="B247" s="2"/>
      <c r="C247" s="2"/>
      <c r="D247" s="2"/>
      <c r="E247" s="2"/>
      <c r="F247" s="2"/>
      <c r="G247" s="2"/>
      <c r="H247" s="2"/>
      <c r="I247" s="2"/>
      <c r="J247" s="2"/>
      <c r="K247" s="2"/>
      <c r="L247" s="2" t="str">
        <f t="shared" si="6"/>
        <v/>
      </c>
      <c r="M247" s="2" t="str">
        <f t="shared" si="7"/>
        <v/>
      </c>
      <c r="N247" s="2"/>
    </row>
    <row r="248" spans="1:14">
      <c r="A248" s="2"/>
      <c r="B248" s="2"/>
      <c r="C248" s="2"/>
      <c r="D248" s="2"/>
      <c r="E248" s="2"/>
      <c r="F248" s="2"/>
      <c r="G248" s="2"/>
      <c r="H248" s="2"/>
      <c r="I248" s="2"/>
      <c r="J248" s="2"/>
      <c r="K248" s="2"/>
      <c r="L248" s="2" t="str">
        <f t="shared" si="6"/>
        <v/>
      </c>
      <c r="M248" s="2" t="str">
        <f t="shared" si="7"/>
        <v/>
      </c>
      <c r="N248" s="2"/>
    </row>
    <row r="249" spans="1:14">
      <c r="A249" s="2"/>
      <c r="B249" s="2"/>
      <c r="C249" s="2"/>
      <c r="D249" s="2"/>
      <c r="E249" s="2"/>
      <c r="F249" s="2"/>
      <c r="G249" s="2"/>
      <c r="H249" s="2"/>
      <c r="I249" s="2"/>
      <c r="J249" s="2"/>
      <c r="K249" s="2"/>
      <c r="L249" s="2" t="str">
        <f t="shared" si="6"/>
        <v/>
      </c>
      <c r="M249" s="2" t="str">
        <f t="shared" si="7"/>
        <v/>
      </c>
      <c r="N249" s="2"/>
    </row>
    <row r="250" spans="1:14">
      <c r="A250" s="2"/>
      <c r="B250" s="2"/>
      <c r="C250" s="2"/>
      <c r="D250" s="2"/>
      <c r="E250" s="2"/>
      <c r="F250" s="2"/>
      <c r="G250" s="2"/>
      <c r="H250" s="2"/>
      <c r="I250" s="2"/>
      <c r="J250" s="2"/>
      <c r="K250" s="2"/>
      <c r="L250" s="2" t="str">
        <f t="shared" si="6"/>
        <v/>
      </c>
      <c r="M250" s="2" t="str">
        <f t="shared" si="7"/>
        <v/>
      </c>
      <c r="N250" s="2"/>
    </row>
    <row r="251" spans="1:14">
      <c r="A251" s="2"/>
      <c r="B251" s="2"/>
      <c r="C251" s="2"/>
      <c r="D251" s="2"/>
      <c r="E251" s="2"/>
      <c r="F251" s="2"/>
      <c r="G251" s="2"/>
      <c r="H251" s="2"/>
      <c r="I251" s="2"/>
      <c r="J251" s="2"/>
      <c r="K251" s="2"/>
      <c r="L251" s="2" t="str">
        <f t="shared" si="6"/>
        <v/>
      </c>
      <c r="M251" s="2" t="str">
        <f t="shared" si="7"/>
        <v/>
      </c>
      <c r="N251" s="2"/>
    </row>
    <row r="252" spans="1:14">
      <c r="A252" s="2"/>
      <c r="B252" s="2"/>
      <c r="C252" s="2"/>
      <c r="D252" s="2"/>
      <c r="E252" s="2"/>
      <c r="F252" s="2"/>
      <c r="G252" s="2"/>
      <c r="H252" s="2"/>
      <c r="I252" s="2"/>
      <c r="J252" s="2"/>
      <c r="K252" s="2"/>
      <c r="L252" s="2" t="str">
        <f t="shared" si="6"/>
        <v/>
      </c>
      <c r="M252" s="2" t="str">
        <f t="shared" si="7"/>
        <v/>
      </c>
      <c r="N252" s="2"/>
    </row>
    <row r="253" spans="1:14">
      <c r="A253" s="2"/>
      <c r="B253" s="2"/>
      <c r="C253" s="2"/>
      <c r="D253" s="2"/>
      <c r="E253" s="2"/>
      <c r="F253" s="2"/>
      <c r="G253" s="2"/>
      <c r="H253" s="2"/>
      <c r="I253" s="2"/>
      <c r="J253" s="2"/>
      <c r="K253" s="2"/>
      <c r="L253" s="2" t="str">
        <f t="shared" si="6"/>
        <v/>
      </c>
      <c r="M253" s="2" t="str">
        <f t="shared" si="7"/>
        <v/>
      </c>
      <c r="N253" s="2"/>
    </row>
    <row r="254" spans="1:14">
      <c r="A254" s="2"/>
      <c r="B254" s="2"/>
      <c r="C254" s="2"/>
      <c r="D254" s="2"/>
      <c r="E254" s="2"/>
      <c r="F254" s="2"/>
      <c r="G254" s="2"/>
      <c r="H254" s="2"/>
      <c r="I254" s="2"/>
      <c r="J254" s="2"/>
      <c r="K254" s="2"/>
      <c r="L254" s="2" t="str">
        <f t="shared" si="6"/>
        <v/>
      </c>
      <c r="M254" s="2" t="str">
        <f t="shared" si="7"/>
        <v/>
      </c>
      <c r="N254" s="2"/>
    </row>
    <row r="255" spans="1:14">
      <c r="A255" s="2"/>
      <c r="B255" s="2"/>
      <c r="C255" s="2"/>
      <c r="D255" s="2"/>
      <c r="E255" s="2"/>
      <c r="F255" s="2"/>
      <c r="G255" s="2"/>
      <c r="H255" s="2"/>
      <c r="I255" s="2"/>
      <c r="J255" s="2"/>
      <c r="K255" s="2"/>
      <c r="L255" s="2" t="str">
        <f t="shared" si="6"/>
        <v/>
      </c>
      <c r="M255" s="2" t="str">
        <f t="shared" si="7"/>
        <v/>
      </c>
      <c r="N255" s="2"/>
    </row>
    <row r="256" spans="1:14">
      <c r="A256" s="2"/>
      <c r="B256" s="2"/>
      <c r="C256" s="2"/>
      <c r="D256" s="2"/>
      <c r="E256" s="2"/>
      <c r="F256" s="2"/>
      <c r="G256" s="2"/>
      <c r="H256" s="2"/>
      <c r="I256" s="2"/>
      <c r="J256" s="2"/>
      <c r="K256" s="2"/>
      <c r="L256" s="2" t="str">
        <f t="shared" si="6"/>
        <v/>
      </c>
      <c r="M256" s="2" t="str">
        <f t="shared" si="7"/>
        <v/>
      </c>
      <c r="N256" s="2"/>
    </row>
    <row r="257" spans="1:14">
      <c r="A257" s="2"/>
      <c r="B257" s="2"/>
      <c r="C257" s="2"/>
      <c r="D257" s="2"/>
      <c r="E257" s="2"/>
      <c r="F257" s="2"/>
      <c r="G257" s="2"/>
      <c r="H257" s="2"/>
      <c r="I257" s="2"/>
      <c r="J257" s="2"/>
      <c r="K257" s="2"/>
      <c r="L257" s="2" t="str">
        <f t="shared" si="6"/>
        <v/>
      </c>
      <c r="M257" s="2" t="str">
        <f t="shared" si="7"/>
        <v/>
      </c>
      <c r="N257" s="2"/>
    </row>
    <row r="258" spans="1:14">
      <c r="A258" s="2"/>
      <c r="B258" s="2"/>
      <c r="C258" s="2"/>
      <c r="D258" s="2"/>
      <c r="E258" s="2"/>
      <c r="F258" s="2"/>
      <c r="G258" s="2"/>
      <c r="H258" s="2"/>
      <c r="I258" s="2"/>
      <c r="J258" s="2"/>
      <c r="K258" s="2"/>
      <c r="L258" s="2" t="str">
        <f t="shared" si="6"/>
        <v/>
      </c>
      <c r="M258" s="2" t="str">
        <f t="shared" si="7"/>
        <v/>
      </c>
      <c r="N258" s="2"/>
    </row>
    <row r="259" spans="1:14">
      <c r="A259" s="2"/>
      <c r="B259" s="2"/>
      <c r="C259" s="2"/>
      <c r="D259" s="2"/>
      <c r="E259" s="2"/>
      <c r="F259" s="2"/>
      <c r="G259" s="2"/>
      <c r="H259" s="2"/>
      <c r="I259" s="2"/>
      <c r="J259" s="2"/>
      <c r="K259" s="2"/>
      <c r="L259" s="2" t="str">
        <f t="shared" si="6"/>
        <v/>
      </c>
      <c r="M259" s="2" t="str">
        <f t="shared" si="7"/>
        <v/>
      </c>
      <c r="N259" s="2"/>
    </row>
    <row r="260" spans="1:14">
      <c r="A260" s="2"/>
      <c r="B260" s="2"/>
      <c r="C260" s="2"/>
      <c r="D260" s="2"/>
      <c r="E260" s="2"/>
      <c r="F260" s="2"/>
      <c r="G260" s="2"/>
      <c r="H260" s="2"/>
      <c r="I260" s="2"/>
      <c r="J260" s="2"/>
      <c r="K260" s="2"/>
      <c r="L260" s="2" t="str">
        <f t="shared" si="6"/>
        <v/>
      </c>
      <c r="M260" s="2" t="str">
        <f t="shared" si="7"/>
        <v/>
      </c>
      <c r="N260" s="2"/>
    </row>
    <row r="261" spans="1:14">
      <c r="A261" s="2"/>
      <c r="B261" s="2"/>
      <c r="C261" s="2"/>
      <c r="D261" s="2"/>
      <c r="E261" s="2"/>
      <c r="F261" s="2"/>
      <c r="G261" s="2"/>
      <c r="H261" s="2"/>
      <c r="I261" s="2"/>
      <c r="J261" s="2"/>
      <c r="K261" s="2"/>
      <c r="L261" s="2" t="str">
        <f t="shared" si="6"/>
        <v/>
      </c>
      <c r="M261" s="2" t="str">
        <f t="shared" si="7"/>
        <v/>
      </c>
      <c r="N261" s="2"/>
    </row>
    <row r="262" spans="1:14">
      <c r="A262" s="2"/>
      <c r="B262" s="2"/>
      <c r="C262" s="2"/>
      <c r="D262" s="2"/>
      <c r="E262" s="2"/>
      <c r="F262" s="2"/>
      <c r="G262" s="2"/>
      <c r="H262" s="2"/>
      <c r="I262" s="2"/>
      <c r="J262" s="2"/>
      <c r="K262" s="2"/>
      <c r="L262" s="2" t="str">
        <f t="shared" si="6"/>
        <v/>
      </c>
      <c r="M262" s="2" t="str">
        <f t="shared" si="7"/>
        <v/>
      </c>
      <c r="N262" s="2"/>
    </row>
    <row r="263" spans="1:14">
      <c r="A263" s="2"/>
      <c r="B263" s="2"/>
      <c r="C263" s="2"/>
      <c r="D263" s="2"/>
      <c r="E263" s="2"/>
      <c r="F263" s="2"/>
      <c r="G263" s="2"/>
      <c r="H263" s="2"/>
      <c r="I263" s="2"/>
      <c r="J263" s="2"/>
      <c r="K263" s="2"/>
      <c r="L263" s="2" t="str">
        <f t="shared" ref="L263:L326" si="8">IF(OR(H263="",I263="",J263="",K263=""),"",ROUND(H263*((I263+J263)/6)*K263,2))</f>
        <v/>
      </c>
      <c r="M263" s="2" t="str">
        <f t="shared" ref="M263:M326" si="9">IF(L263="","",IF(AND(L263&gt;=3.5,H263=1),"Сильный признак",IF(AND(L263&gt;=2,H263=1),"Рабочий признак",IF(H263=1,"Слабый признак","Отсутствует"))))</f>
        <v/>
      </c>
      <c r="N263" s="2"/>
    </row>
    <row r="264" spans="1:14">
      <c r="A264" s="2"/>
      <c r="B264" s="2"/>
      <c r="C264" s="2"/>
      <c r="D264" s="2"/>
      <c r="E264" s="2"/>
      <c r="F264" s="2"/>
      <c r="G264" s="2"/>
      <c r="H264" s="2"/>
      <c r="I264" s="2"/>
      <c r="J264" s="2"/>
      <c r="K264" s="2"/>
      <c r="L264" s="2" t="str">
        <f t="shared" si="8"/>
        <v/>
      </c>
      <c r="M264" s="2" t="str">
        <f t="shared" si="9"/>
        <v/>
      </c>
      <c r="N264" s="2"/>
    </row>
    <row r="265" spans="1:14">
      <c r="A265" s="2"/>
      <c r="B265" s="2"/>
      <c r="C265" s="2"/>
      <c r="D265" s="2"/>
      <c r="E265" s="2"/>
      <c r="F265" s="2"/>
      <c r="G265" s="2"/>
      <c r="H265" s="2"/>
      <c r="I265" s="2"/>
      <c r="J265" s="2"/>
      <c r="K265" s="2"/>
      <c r="L265" s="2" t="str">
        <f t="shared" si="8"/>
        <v/>
      </c>
      <c r="M265" s="2" t="str">
        <f t="shared" si="9"/>
        <v/>
      </c>
      <c r="N265" s="2"/>
    </row>
    <row r="266" spans="1:14">
      <c r="A266" s="2"/>
      <c r="B266" s="2"/>
      <c r="C266" s="2"/>
      <c r="D266" s="2"/>
      <c r="E266" s="2"/>
      <c r="F266" s="2"/>
      <c r="G266" s="2"/>
      <c r="H266" s="2"/>
      <c r="I266" s="2"/>
      <c r="J266" s="2"/>
      <c r="K266" s="2"/>
      <c r="L266" s="2" t="str">
        <f t="shared" si="8"/>
        <v/>
      </c>
      <c r="M266" s="2" t="str">
        <f t="shared" si="9"/>
        <v/>
      </c>
      <c r="N266" s="2"/>
    </row>
    <row r="267" spans="1:14">
      <c r="A267" s="2"/>
      <c r="B267" s="2"/>
      <c r="C267" s="2"/>
      <c r="D267" s="2"/>
      <c r="E267" s="2"/>
      <c r="F267" s="2"/>
      <c r="G267" s="2"/>
      <c r="H267" s="2"/>
      <c r="I267" s="2"/>
      <c r="J267" s="2"/>
      <c r="K267" s="2"/>
      <c r="L267" s="2" t="str">
        <f t="shared" si="8"/>
        <v/>
      </c>
      <c r="M267" s="2" t="str">
        <f t="shared" si="9"/>
        <v/>
      </c>
      <c r="N267" s="2"/>
    </row>
    <row r="268" spans="1:14">
      <c r="A268" s="2"/>
      <c r="B268" s="2"/>
      <c r="C268" s="2"/>
      <c r="D268" s="2"/>
      <c r="E268" s="2"/>
      <c r="F268" s="2"/>
      <c r="G268" s="2"/>
      <c r="H268" s="2"/>
      <c r="I268" s="2"/>
      <c r="J268" s="2"/>
      <c r="K268" s="2"/>
      <c r="L268" s="2" t="str">
        <f t="shared" si="8"/>
        <v/>
      </c>
      <c r="M268" s="2" t="str">
        <f t="shared" si="9"/>
        <v/>
      </c>
      <c r="N268" s="2"/>
    </row>
    <row r="269" spans="1:14">
      <c r="A269" s="2"/>
      <c r="B269" s="2"/>
      <c r="C269" s="2"/>
      <c r="D269" s="2"/>
      <c r="E269" s="2"/>
      <c r="F269" s="2"/>
      <c r="G269" s="2"/>
      <c r="H269" s="2"/>
      <c r="I269" s="2"/>
      <c r="J269" s="2"/>
      <c r="K269" s="2"/>
      <c r="L269" s="2" t="str">
        <f t="shared" si="8"/>
        <v/>
      </c>
      <c r="M269" s="2" t="str">
        <f t="shared" si="9"/>
        <v/>
      </c>
      <c r="N269" s="2"/>
    </row>
    <row r="270" spans="1:14">
      <c r="A270" s="2"/>
      <c r="B270" s="2"/>
      <c r="C270" s="2"/>
      <c r="D270" s="2"/>
      <c r="E270" s="2"/>
      <c r="F270" s="2"/>
      <c r="G270" s="2"/>
      <c r="H270" s="2"/>
      <c r="I270" s="2"/>
      <c r="J270" s="2"/>
      <c r="K270" s="2"/>
      <c r="L270" s="2" t="str">
        <f t="shared" si="8"/>
        <v/>
      </c>
      <c r="M270" s="2" t="str">
        <f t="shared" si="9"/>
        <v/>
      </c>
      <c r="N270" s="2"/>
    </row>
    <row r="271" spans="1:14">
      <c r="A271" s="2"/>
      <c r="B271" s="2"/>
      <c r="C271" s="2"/>
      <c r="D271" s="2"/>
      <c r="E271" s="2"/>
      <c r="F271" s="2"/>
      <c r="G271" s="2"/>
      <c r="H271" s="2"/>
      <c r="I271" s="2"/>
      <c r="J271" s="2"/>
      <c r="K271" s="2"/>
      <c r="L271" s="2" t="str">
        <f t="shared" si="8"/>
        <v/>
      </c>
      <c r="M271" s="2" t="str">
        <f t="shared" si="9"/>
        <v/>
      </c>
      <c r="N271" s="2"/>
    </row>
    <row r="272" spans="1:14">
      <c r="A272" s="2"/>
      <c r="B272" s="2"/>
      <c r="C272" s="2"/>
      <c r="D272" s="2"/>
      <c r="E272" s="2"/>
      <c r="F272" s="2"/>
      <c r="G272" s="2"/>
      <c r="H272" s="2"/>
      <c r="I272" s="2"/>
      <c r="J272" s="2"/>
      <c r="K272" s="2"/>
      <c r="L272" s="2" t="str">
        <f t="shared" si="8"/>
        <v/>
      </c>
      <c r="M272" s="2" t="str">
        <f t="shared" si="9"/>
        <v/>
      </c>
      <c r="N272" s="2"/>
    </row>
    <row r="273" spans="1:14">
      <c r="A273" s="2"/>
      <c r="B273" s="2"/>
      <c r="C273" s="2"/>
      <c r="D273" s="2"/>
      <c r="E273" s="2"/>
      <c r="F273" s="2"/>
      <c r="G273" s="2"/>
      <c r="H273" s="2"/>
      <c r="I273" s="2"/>
      <c r="J273" s="2"/>
      <c r="K273" s="2"/>
      <c r="L273" s="2" t="str">
        <f t="shared" si="8"/>
        <v/>
      </c>
      <c r="M273" s="2" t="str">
        <f t="shared" si="9"/>
        <v/>
      </c>
      <c r="N273" s="2"/>
    </row>
    <row r="274" spans="1:14">
      <c r="A274" s="2"/>
      <c r="B274" s="2"/>
      <c r="C274" s="2"/>
      <c r="D274" s="2"/>
      <c r="E274" s="2"/>
      <c r="F274" s="2"/>
      <c r="G274" s="2"/>
      <c r="H274" s="2"/>
      <c r="I274" s="2"/>
      <c r="J274" s="2"/>
      <c r="K274" s="2"/>
      <c r="L274" s="2" t="str">
        <f t="shared" si="8"/>
        <v/>
      </c>
      <c r="M274" s="2" t="str">
        <f t="shared" si="9"/>
        <v/>
      </c>
      <c r="N274" s="2"/>
    </row>
    <row r="275" spans="1:14">
      <c r="A275" s="2"/>
      <c r="B275" s="2"/>
      <c r="C275" s="2"/>
      <c r="D275" s="2"/>
      <c r="E275" s="2"/>
      <c r="F275" s="2"/>
      <c r="G275" s="2"/>
      <c r="H275" s="2"/>
      <c r="I275" s="2"/>
      <c r="J275" s="2"/>
      <c r="K275" s="2"/>
      <c r="L275" s="2" t="str">
        <f t="shared" si="8"/>
        <v/>
      </c>
      <c r="M275" s="2" t="str">
        <f t="shared" si="9"/>
        <v/>
      </c>
      <c r="N275" s="2"/>
    </row>
    <row r="276" spans="1:14">
      <c r="A276" s="2"/>
      <c r="B276" s="2"/>
      <c r="C276" s="2"/>
      <c r="D276" s="2"/>
      <c r="E276" s="2"/>
      <c r="F276" s="2"/>
      <c r="G276" s="2"/>
      <c r="H276" s="2"/>
      <c r="I276" s="2"/>
      <c r="J276" s="2"/>
      <c r="K276" s="2"/>
      <c r="L276" s="2" t="str">
        <f t="shared" si="8"/>
        <v/>
      </c>
      <c r="M276" s="2" t="str">
        <f t="shared" si="9"/>
        <v/>
      </c>
      <c r="N276" s="2"/>
    </row>
    <row r="277" spans="1:14">
      <c r="A277" s="2"/>
      <c r="B277" s="2"/>
      <c r="C277" s="2"/>
      <c r="D277" s="2"/>
      <c r="E277" s="2"/>
      <c r="F277" s="2"/>
      <c r="G277" s="2"/>
      <c r="H277" s="2"/>
      <c r="I277" s="2"/>
      <c r="J277" s="2"/>
      <c r="K277" s="2"/>
      <c r="L277" s="2" t="str">
        <f t="shared" si="8"/>
        <v/>
      </c>
      <c r="M277" s="2" t="str">
        <f t="shared" si="9"/>
        <v/>
      </c>
      <c r="N277" s="2"/>
    </row>
    <row r="278" spans="1:14">
      <c r="A278" s="2"/>
      <c r="B278" s="2"/>
      <c r="C278" s="2"/>
      <c r="D278" s="2"/>
      <c r="E278" s="2"/>
      <c r="F278" s="2"/>
      <c r="G278" s="2"/>
      <c r="H278" s="2"/>
      <c r="I278" s="2"/>
      <c r="J278" s="2"/>
      <c r="K278" s="2"/>
      <c r="L278" s="2" t="str">
        <f t="shared" si="8"/>
        <v/>
      </c>
      <c r="M278" s="2" t="str">
        <f t="shared" si="9"/>
        <v/>
      </c>
      <c r="N278" s="2"/>
    </row>
    <row r="279" spans="1:14">
      <c r="A279" s="2"/>
      <c r="B279" s="2"/>
      <c r="C279" s="2"/>
      <c r="D279" s="2"/>
      <c r="E279" s="2"/>
      <c r="F279" s="2"/>
      <c r="G279" s="2"/>
      <c r="H279" s="2"/>
      <c r="I279" s="2"/>
      <c r="J279" s="2"/>
      <c r="K279" s="2"/>
      <c r="L279" s="2" t="str">
        <f t="shared" si="8"/>
        <v/>
      </c>
      <c r="M279" s="2" t="str">
        <f t="shared" si="9"/>
        <v/>
      </c>
      <c r="N279" s="2"/>
    </row>
    <row r="280" spans="1:14">
      <c r="A280" s="2"/>
      <c r="B280" s="2"/>
      <c r="C280" s="2"/>
      <c r="D280" s="2"/>
      <c r="E280" s="2"/>
      <c r="F280" s="2"/>
      <c r="G280" s="2"/>
      <c r="H280" s="2"/>
      <c r="I280" s="2"/>
      <c r="J280" s="2"/>
      <c r="K280" s="2"/>
      <c r="L280" s="2" t="str">
        <f t="shared" si="8"/>
        <v/>
      </c>
      <c r="M280" s="2" t="str">
        <f t="shared" si="9"/>
        <v/>
      </c>
      <c r="N280" s="2"/>
    </row>
    <row r="281" spans="1:14">
      <c r="A281" s="2"/>
      <c r="B281" s="2"/>
      <c r="C281" s="2"/>
      <c r="D281" s="2"/>
      <c r="E281" s="2"/>
      <c r="F281" s="2"/>
      <c r="G281" s="2"/>
      <c r="H281" s="2"/>
      <c r="I281" s="2"/>
      <c r="J281" s="2"/>
      <c r="K281" s="2"/>
      <c r="L281" s="2" t="str">
        <f t="shared" si="8"/>
        <v/>
      </c>
      <c r="M281" s="2" t="str">
        <f t="shared" si="9"/>
        <v/>
      </c>
      <c r="N281" s="2"/>
    </row>
    <row r="282" spans="1:14">
      <c r="A282" s="2"/>
      <c r="B282" s="2"/>
      <c r="C282" s="2"/>
      <c r="D282" s="2"/>
      <c r="E282" s="2"/>
      <c r="F282" s="2"/>
      <c r="G282" s="2"/>
      <c r="H282" s="2"/>
      <c r="I282" s="2"/>
      <c r="J282" s="2"/>
      <c r="K282" s="2"/>
      <c r="L282" s="2" t="str">
        <f t="shared" si="8"/>
        <v/>
      </c>
      <c r="M282" s="2" t="str">
        <f t="shared" si="9"/>
        <v/>
      </c>
      <c r="N282" s="2"/>
    </row>
    <row r="283" spans="1:14">
      <c r="A283" s="2"/>
      <c r="B283" s="2"/>
      <c r="C283" s="2"/>
      <c r="D283" s="2"/>
      <c r="E283" s="2"/>
      <c r="F283" s="2"/>
      <c r="G283" s="2"/>
      <c r="H283" s="2"/>
      <c r="I283" s="2"/>
      <c r="J283" s="2"/>
      <c r="K283" s="2"/>
      <c r="L283" s="2" t="str">
        <f t="shared" si="8"/>
        <v/>
      </c>
      <c r="M283" s="2" t="str">
        <f t="shared" si="9"/>
        <v/>
      </c>
      <c r="N283" s="2"/>
    </row>
    <row r="284" spans="1:14">
      <c r="A284" s="2"/>
      <c r="B284" s="2"/>
      <c r="C284" s="2"/>
      <c r="D284" s="2"/>
      <c r="E284" s="2"/>
      <c r="F284" s="2"/>
      <c r="G284" s="2"/>
      <c r="H284" s="2"/>
      <c r="I284" s="2"/>
      <c r="J284" s="2"/>
      <c r="K284" s="2"/>
      <c r="L284" s="2" t="str">
        <f t="shared" si="8"/>
        <v/>
      </c>
      <c r="M284" s="2" t="str">
        <f t="shared" si="9"/>
        <v/>
      </c>
      <c r="N284" s="2"/>
    </row>
    <row r="285" spans="1:14">
      <c r="A285" s="2"/>
      <c r="B285" s="2"/>
      <c r="C285" s="2"/>
      <c r="D285" s="2"/>
      <c r="E285" s="2"/>
      <c r="F285" s="2"/>
      <c r="G285" s="2"/>
      <c r="H285" s="2"/>
      <c r="I285" s="2"/>
      <c r="J285" s="2"/>
      <c r="K285" s="2"/>
      <c r="L285" s="2" t="str">
        <f t="shared" si="8"/>
        <v/>
      </c>
      <c r="M285" s="2" t="str">
        <f t="shared" si="9"/>
        <v/>
      </c>
      <c r="N285" s="2"/>
    </row>
    <row r="286" spans="1:14">
      <c r="A286" s="2"/>
      <c r="B286" s="2"/>
      <c r="C286" s="2"/>
      <c r="D286" s="2"/>
      <c r="E286" s="2"/>
      <c r="F286" s="2"/>
      <c r="G286" s="2"/>
      <c r="H286" s="2"/>
      <c r="I286" s="2"/>
      <c r="J286" s="2"/>
      <c r="K286" s="2"/>
      <c r="L286" s="2" t="str">
        <f t="shared" si="8"/>
        <v/>
      </c>
      <c r="M286" s="2" t="str">
        <f t="shared" si="9"/>
        <v/>
      </c>
      <c r="N286" s="2"/>
    </row>
    <row r="287" spans="1:14">
      <c r="A287" s="2"/>
      <c r="B287" s="2"/>
      <c r="C287" s="2"/>
      <c r="D287" s="2"/>
      <c r="E287" s="2"/>
      <c r="F287" s="2"/>
      <c r="G287" s="2"/>
      <c r="H287" s="2"/>
      <c r="I287" s="2"/>
      <c r="J287" s="2"/>
      <c r="K287" s="2"/>
      <c r="L287" s="2" t="str">
        <f t="shared" si="8"/>
        <v/>
      </c>
      <c r="M287" s="2" t="str">
        <f t="shared" si="9"/>
        <v/>
      </c>
      <c r="N287" s="2"/>
    </row>
    <row r="288" spans="1:14">
      <c r="A288" s="2"/>
      <c r="B288" s="2"/>
      <c r="C288" s="2"/>
      <c r="D288" s="2"/>
      <c r="E288" s="2"/>
      <c r="F288" s="2"/>
      <c r="G288" s="2"/>
      <c r="H288" s="2"/>
      <c r="I288" s="2"/>
      <c r="J288" s="2"/>
      <c r="K288" s="2"/>
      <c r="L288" s="2" t="str">
        <f t="shared" si="8"/>
        <v/>
      </c>
      <c r="M288" s="2" t="str">
        <f t="shared" si="9"/>
        <v/>
      </c>
      <c r="N288" s="2"/>
    </row>
    <row r="289" spans="1:14">
      <c r="A289" s="2"/>
      <c r="B289" s="2"/>
      <c r="C289" s="2"/>
      <c r="D289" s="2"/>
      <c r="E289" s="2"/>
      <c r="F289" s="2"/>
      <c r="G289" s="2"/>
      <c r="H289" s="2"/>
      <c r="I289" s="2"/>
      <c r="J289" s="2"/>
      <c r="K289" s="2"/>
      <c r="L289" s="2" t="str">
        <f t="shared" si="8"/>
        <v/>
      </c>
      <c r="M289" s="2" t="str">
        <f t="shared" si="9"/>
        <v/>
      </c>
      <c r="N289" s="2"/>
    </row>
    <row r="290" spans="1:14">
      <c r="A290" s="2"/>
      <c r="B290" s="2"/>
      <c r="C290" s="2"/>
      <c r="D290" s="2"/>
      <c r="E290" s="2"/>
      <c r="F290" s="2"/>
      <c r="G290" s="2"/>
      <c r="H290" s="2"/>
      <c r="I290" s="2"/>
      <c r="J290" s="2"/>
      <c r="K290" s="2"/>
      <c r="L290" s="2" t="str">
        <f t="shared" si="8"/>
        <v/>
      </c>
      <c r="M290" s="2" t="str">
        <f t="shared" si="9"/>
        <v/>
      </c>
      <c r="N290" s="2"/>
    </row>
    <row r="291" spans="1:14">
      <c r="A291" s="2"/>
      <c r="B291" s="2"/>
      <c r="C291" s="2"/>
      <c r="D291" s="2"/>
      <c r="E291" s="2"/>
      <c r="F291" s="2"/>
      <c r="G291" s="2"/>
      <c r="H291" s="2"/>
      <c r="I291" s="2"/>
      <c r="J291" s="2"/>
      <c r="K291" s="2"/>
      <c r="L291" s="2" t="str">
        <f t="shared" si="8"/>
        <v/>
      </c>
      <c r="M291" s="2" t="str">
        <f t="shared" si="9"/>
        <v/>
      </c>
      <c r="N291" s="2"/>
    </row>
    <row r="292" spans="1:14">
      <c r="A292" s="2"/>
      <c r="B292" s="2"/>
      <c r="C292" s="2"/>
      <c r="D292" s="2"/>
      <c r="E292" s="2"/>
      <c r="F292" s="2"/>
      <c r="G292" s="2"/>
      <c r="H292" s="2"/>
      <c r="I292" s="2"/>
      <c r="J292" s="2"/>
      <c r="K292" s="2"/>
      <c r="L292" s="2" t="str">
        <f t="shared" si="8"/>
        <v/>
      </c>
      <c r="M292" s="2" t="str">
        <f t="shared" si="9"/>
        <v/>
      </c>
      <c r="N292" s="2"/>
    </row>
    <row r="293" spans="1:14">
      <c r="A293" s="2"/>
      <c r="B293" s="2"/>
      <c r="C293" s="2"/>
      <c r="D293" s="2"/>
      <c r="E293" s="2"/>
      <c r="F293" s="2"/>
      <c r="G293" s="2"/>
      <c r="H293" s="2"/>
      <c r="I293" s="2"/>
      <c r="J293" s="2"/>
      <c r="K293" s="2"/>
      <c r="L293" s="2" t="str">
        <f t="shared" si="8"/>
        <v/>
      </c>
      <c r="M293" s="2" t="str">
        <f t="shared" si="9"/>
        <v/>
      </c>
      <c r="N293" s="2"/>
    </row>
    <row r="294" spans="1:14">
      <c r="A294" s="2"/>
      <c r="B294" s="2"/>
      <c r="C294" s="2"/>
      <c r="D294" s="2"/>
      <c r="E294" s="2"/>
      <c r="F294" s="2"/>
      <c r="G294" s="2"/>
      <c r="H294" s="2"/>
      <c r="I294" s="2"/>
      <c r="J294" s="2"/>
      <c r="K294" s="2"/>
      <c r="L294" s="2" t="str">
        <f t="shared" si="8"/>
        <v/>
      </c>
      <c r="M294" s="2" t="str">
        <f t="shared" si="9"/>
        <v/>
      </c>
      <c r="N294" s="2"/>
    </row>
    <row r="295" spans="1:14">
      <c r="A295" s="2"/>
      <c r="B295" s="2"/>
      <c r="C295" s="2"/>
      <c r="D295" s="2"/>
      <c r="E295" s="2"/>
      <c r="F295" s="2"/>
      <c r="G295" s="2"/>
      <c r="H295" s="2"/>
      <c r="I295" s="2"/>
      <c r="J295" s="2"/>
      <c r="K295" s="2"/>
      <c r="L295" s="2" t="str">
        <f t="shared" si="8"/>
        <v/>
      </c>
      <c r="M295" s="2" t="str">
        <f t="shared" si="9"/>
        <v/>
      </c>
      <c r="N295" s="2"/>
    </row>
    <row r="296" spans="1:14">
      <c r="A296" s="2"/>
      <c r="B296" s="2"/>
      <c r="C296" s="2"/>
      <c r="D296" s="2"/>
      <c r="E296" s="2"/>
      <c r="F296" s="2"/>
      <c r="G296" s="2"/>
      <c r="H296" s="2"/>
      <c r="I296" s="2"/>
      <c r="J296" s="2"/>
      <c r="K296" s="2"/>
      <c r="L296" s="2" t="str">
        <f t="shared" si="8"/>
        <v/>
      </c>
      <c r="M296" s="2" t="str">
        <f t="shared" si="9"/>
        <v/>
      </c>
      <c r="N296" s="2"/>
    </row>
    <row r="297" spans="1:14">
      <c r="A297" s="2"/>
      <c r="B297" s="2"/>
      <c r="C297" s="2"/>
      <c r="D297" s="2"/>
      <c r="E297" s="2"/>
      <c r="F297" s="2"/>
      <c r="G297" s="2"/>
      <c r="H297" s="2"/>
      <c r="I297" s="2"/>
      <c r="J297" s="2"/>
      <c r="K297" s="2"/>
      <c r="L297" s="2" t="str">
        <f t="shared" si="8"/>
        <v/>
      </c>
      <c r="M297" s="2" t="str">
        <f t="shared" si="9"/>
        <v/>
      </c>
      <c r="N297" s="2"/>
    </row>
    <row r="298" spans="1:14">
      <c r="A298" s="2"/>
      <c r="B298" s="2"/>
      <c r="C298" s="2"/>
      <c r="D298" s="2"/>
      <c r="E298" s="2"/>
      <c r="F298" s="2"/>
      <c r="G298" s="2"/>
      <c r="H298" s="2"/>
      <c r="I298" s="2"/>
      <c r="J298" s="2"/>
      <c r="K298" s="2"/>
      <c r="L298" s="2" t="str">
        <f t="shared" si="8"/>
        <v/>
      </c>
      <c r="M298" s="2" t="str">
        <f t="shared" si="9"/>
        <v/>
      </c>
      <c r="N298" s="2"/>
    </row>
    <row r="299" spans="1:14">
      <c r="A299" s="2"/>
      <c r="B299" s="2"/>
      <c r="C299" s="2"/>
      <c r="D299" s="2"/>
      <c r="E299" s="2"/>
      <c r="F299" s="2"/>
      <c r="G299" s="2"/>
      <c r="H299" s="2"/>
      <c r="I299" s="2"/>
      <c r="J299" s="2"/>
      <c r="K299" s="2"/>
      <c r="L299" s="2" t="str">
        <f t="shared" si="8"/>
        <v/>
      </c>
      <c r="M299" s="2" t="str">
        <f t="shared" si="9"/>
        <v/>
      </c>
      <c r="N299" s="2"/>
    </row>
    <row r="300" spans="1:14">
      <c r="A300" s="2"/>
      <c r="B300" s="2"/>
      <c r="C300" s="2"/>
      <c r="D300" s="2"/>
      <c r="E300" s="2"/>
      <c r="F300" s="2"/>
      <c r="G300" s="2"/>
      <c r="H300" s="2"/>
      <c r="I300" s="2"/>
      <c r="J300" s="2"/>
      <c r="K300" s="2"/>
      <c r="L300" s="2" t="str">
        <f t="shared" si="8"/>
        <v/>
      </c>
      <c r="M300" s="2" t="str">
        <f t="shared" si="9"/>
        <v/>
      </c>
      <c r="N300" s="2"/>
    </row>
    <row r="301" spans="1:14">
      <c r="A301" s="2"/>
      <c r="B301" s="2"/>
      <c r="C301" s="2"/>
      <c r="D301" s="2"/>
      <c r="E301" s="2"/>
      <c r="F301" s="2"/>
      <c r="G301" s="2"/>
      <c r="H301" s="2"/>
      <c r="I301" s="2"/>
      <c r="J301" s="2"/>
      <c r="K301" s="2"/>
      <c r="L301" s="2" t="str">
        <f t="shared" si="8"/>
        <v/>
      </c>
      <c r="M301" s="2" t="str">
        <f t="shared" si="9"/>
        <v/>
      </c>
      <c r="N301" s="2"/>
    </row>
    <row r="302" spans="1:14">
      <c r="A302" s="2"/>
      <c r="B302" s="2"/>
      <c r="C302" s="2"/>
      <c r="D302" s="2"/>
      <c r="E302" s="2"/>
      <c r="F302" s="2"/>
      <c r="G302" s="2"/>
      <c r="H302" s="2"/>
      <c r="I302" s="2"/>
      <c r="J302" s="2"/>
      <c r="K302" s="2"/>
      <c r="L302" s="2" t="str">
        <f t="shared" si="8"/>
        <v/>
      </c>
      <c r="M302" s="2" t="str">
        <f t="shared" si="9"/>
        <v/>
      </c>
      <c r="N302" s="2"/>
    </row>
    <row r="303" spans="1:14">
      <c r="A303" s="2"/>
      <c r="B303" s="2"/>
      <c r="C303" s="2"/>
      <c r="D303" s="2"/>
      <c r="E303" s="2"/>
      <c r="F303" s="2"/>
      <c r="G303" s="2"/>
      <c r="H303" s="2"/>
      <c r="I303" s="2"/>
      <c r="J303" s="2"/>
      <c r="K303" s="2"/>
      <c r="L303" s="2" t="str">
        <f t="shared" si="8"/>
        <v/>
      </c>
      <c r="M303" s="2" t="str">
        <f t="shared" si="9"/>
        <v/>
      </c>
      <c r="N303" s="2"/>
    </row>
    <row r="304" spans="1:14">
      <c r="A304" s="2"/>
      <c r="B304" s="2"/>
      <c r="C304" s="2"/>
      <c r="D304" s="2"/>
      <c r="E304" s="2"/>
      <c r="F304" s="2"/>
      <c r="G304" s="2"/>
      <c r="H304" s="2"/>
      <c r="I304" s="2"/>
      <c r="J304" s="2"/>
      <c r="K304" s="2"/>
      <c r="L304" s="2" t="str">
        <f t="shared" si="8"/>
        <v/>
      </c>
      <c r="M304" s="2" t="str">
        <f t="shared" si="9"/>
        <v/>
      </c>
      <c r="N304" s="2"/>
    </row>
    <row r="305" spans="1:14">
      <c r="A305" s="2"/>
      <c r="B305" s="2"/>
      <c r="C305" s="2"/>
      <c r="D305" s="2"/>
      <c r="E305" s="2"/>
      <c r="F305" s="2"/>
      <c r="G305" s="2"/>
      <c r="H305" s="2"/>
      <c r="I305" s="2"/>
      <c r="J305" s="2"/>
      <c r="K305" s="2"/>
      <c r="L305" s="2" t="str">
        <f t="shared" si="8"/>
        <v/>
      </c>
      <c r="M305" s="2" t="str">
        <f t="shared" si="9"/>
        <v/>
      </c>
      <c r="N305" s="2"/>
    </row>
    <row r="306" spans="1:14">
      <c r="A306" s="2"/>
      <c r="B306" s="2"/>
      <c r="C306" s="2"/>
      <c r="D306" s="2"/>
      <c r="E306" s="2"/>
      <c r="F306" s="2"/>
      <c r="G306" s="2"/>
      <c r="H306" s="2"/>
      <c r="I306" s="2"/>
      <c r="J306" s="2"/>
      <c r="K306" s="2"/>
      <c r="L306" s="2" t="str">
        <f t="shared" si="8"/>
        <v/>
      </c>
      <c r="M306" s="2" t="str">
        <f t="shared" si="9"/>
        <v/>
      </c>
      <c r="N306" s="2"/>
    </row>
  </sheetData>
  <mergeCells count="2">
    <mergeCell ref="A1:N1"/>
    <mergeCell ref="A2:N2"/>
  </mergeCells>
  <conditionalFormatting sqref="L7:L306">
    <cfRule type="colorScale" priority="1">
      <colorScale>
        <cfvo type="min"/>
        <cfvo type="percentile" val="50"/>
        <cfvo type="max"/>
        <color rgb="FFFEE2E2"/>
        <color rgb="FFFEF3C7"/>
        <color rgb="FFDCFCE7"/>
      </colorScale>
    </cfRule>
  </conditionalFormatting>
  <dataValidations count="4">
    <dataValidation type="list" sqref="D7:D306" xr:uid="{00000000-0002-0000-0300-000000000000}">
      <formula1>"1. Базовая выгода,2. Родовой товар,3. Ожидаемый товар,4. Расширенный товар,5. Потенциальный товар"</formula1>
    </dataValidation>
    <dataValidation type="list" sqref="H7:H306" xr:uid="{00000000-0002-0000-0300-000001000000}">
      <formula1>"0,1"</formula1>
    </dataValidation>
    <dataValidation type="list" sqref="I7:J306" xr:uid="{00000000-0002-0000-0300-000002000000}">
      <formula1>"0,1,2,3"</formula1>
    </dataValidation>
    <dataValidation type="list" sqref="K7:K306" xr:uid="{00000000-0002-0000-0300-000003000000}">
      <formula1>"1,2,3,4,5"</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6"/>
  <sheetViews>
    <sheetView workbookViewId="0"/>
  </sheetViews>
  <sheetFormatPr defaultRowHeight="13.5"/>
  <cols>
    <col min="1" max="1" width="12" customWidth="1"/>
    <col min="2" max="3" width="34" customWidth="1"/>
    <col min="4" max="4" width="42" customWidth="1"/>
    <col min="5" max="5" width="22" customWidth="1"/>
    <col min="6" max="6" width="12" customWidth="1"/>
    <col min="7" max="7" width="18" customWidth="1"/>
    <col min="8" max="8" width="15" customWidth="1"/>
    <col min="9" max="9" width="18" customWidth="1"/>
    <col min="10" max="11" width="36" customWidth="1"/>
    <col min="12" max="12" width="18" customWidth="1"/>
    <col min="13" max="13" width="32" customWidth="1"/>
  </cols>
  <sheetData>
    <row r="1" spans="1:13" ht="16.05" customHeight="1">
      <c r="A1" s="12" t="s">
        <v>139</v>
      </c>
      <c r="B1" s="13"/>
      <c r="C1" s="13"/>
      <c r="D1" s="13"/>
      <c r="E1" s="13"/>
      <c r="F1" s="13"/>
      <c r="G1" s="13"/>
      <c r="H1" s="13"/>
      <c r="I1" s="13"/>
      <c r="J1" s="13"/>
      <c r="K1" s="13"/>
      <c r="L1" s="13"/>
      <c r="M1" s="13"/>
    </row>
    <row r="2" spans="1:13" ht="21" customHeight="1">
      <c r="A2" s="14" t="s">
        <v>140</v>
      </c>
      <c r="B2" s="14"/>
      <c r="C2" s="14"/>
      <c r="D2" s="14"/>
      <c r="E2" s="14"/>
      <c r="F2" s="14"/>
      <c r="G2" s="14"/>
      <c r="H2" s="14"/>
      <c r="I2" s="14"/>
      <c r="J2" s="14"/>
      <c r="K2" s="14"/>
      <c r="L2" s="14"/>
      <c r="M2" s="14"/>
    </row>
    <row r="6" spans="1:13" ht="17" customHeight="1">
      <c r="A6" s="1" t="s">
        <v>141</v>
      </c>
      <c r="B6" s="1" t="s">
        <v>142</v>
      </c>
      <c r="C6" s="1" t="s">
        <v>143</v>
      </c>
      <c r="D6" s="1" t="s">
        <v>144</v>
      </c>
      <c r="E6" s="1" t="s">
        <v>145</v>
      </c>
      <c r="F6" s="1" t="s">
        <v>146</v>
      </c>
      <c r="G6" s="1" t="s">
        <v>147</v>
      </c>
      <c r="H6" s="1" t="s">
        <v>148</v>
      </c>
      <c r="I6" s="1" t="s">
        <v>149</v>
      </c>
      <c r="J6" s="1" t="s">
        <v>38</v>
      </c>
      <c r="K6" s="1" t="s">
        <v>150</v>
      </c>
      <c r="L6" s="1" t="s">
        <v>151</v>
      </c>
      <c r="M6" s="1" t="s">
        <v>138</v>
      </c>
    </row>
    <row r="7" spans="1:13" ht="76.5">
      <c r="A7" s="2" t="s">
        <v>152</v>
      </c>
      <c r="B7" s="2" t="s">
        <v>1188</v>
      </c>
      <c r="C7" s="2" t="s">
        <v>1294</v>
      </c>
      <c r="D7" s="2" t="s">
        <v>1295</v>
      </c>
      <c r="E7" s="2" t="s">
        <v>375</v>
      </c>
      <c r="F7" s="2">
        <v>5</v>
      </c>
      <c r="G7" s="2">
        <v>5</v>
      </c>
      <c r="H7" s="5">
        <f>IF(G7="","",IFERROR(G7/MAX(1,COUNTIF('01_Конкуренты'!$B$7:$B$36,"?*")),""))</f>
        <v>0.625</v>
      </c>
      <c r="I7" s="2">
        <v>5</v>
      </c>
      <c r="J7" s="2" t="str">
        <f t="shared" ref="J7:J38" si="0">IF(B7="","",IF(E7="Обязательное",IF(H7&gt;=0.6,"Минимальный рыночный стандарт","Потенциальный обязательный разрыв"),IF(E7="Линейное",IF(H7&gt;=0.5,"Конкурентная норма с влиянием на выбор","Зона усиления ценности"),IF(E7="Привлекательное",IF(H7&lt;0.5,"Зона дифференциации","Переходит в ожидаемую норму"),IF(E7="Безразличное","Не делать при дефиците ресурсов",IF(E7="Обратное","Исключить или проверить риск отторжения","Требует проверки"))))))</f>
        <v>Минимальный рыночный стандарт</v>
      </c>
      <c r="K7" s="2" t="s">
        <v>1296</v>
      </c>
      <c r="L7" s="2" t="s">
        <v>1297</v>
      </c>
      <c r="M7" s="2"/>
    </row>
    <row r="8" spans="1:13" ht="51">
      <c r="A8" s="2" t="s">
        <v>153</v>
      </c>
      <c r="B8" s="2" t="s">
        <v>1191</v>
      </c>
      <c r="C8" s="2" t="s">
        <v>1298</v>
      </c>
      <c r="D8" s="2" t="s">
        <v>1299</v>
      </c>
      <c r="E8" s="2" t="s">
        <v>375</v>
      </c>
      <c r="F8" s="2">
        <v>5</v>
      </c>
      <c r="G8" s="2">
        <v>8</v>
      </c>
      <c r="H8" s="5">
        <f>IF(G8="","",IFERROR(G8/MAX(1,COUNTIF('01_Конкуренты'!$B$7:$B$36,"?*")),""))</f>
        <v>1</v>
      </c>
      <c r="I8" s="2">
        <v>5</v>
      </c>
      <c r="J8" s="2" t="str">
        <f t="shared" si="0"/>
        <v>Минимальный рыночный стандарт</v>
      </c>
      <c r="K8" s="2" t="s">
        <v>1296</v>
      </c>
      <c r="L8" s="2" t="s">
        <v>1297</v>
      </c>
      <c r="M8" s="2"/>
    </row>
    <row r="9" spans="1:13" ht="63.75">
      <c r="A9" s="2" t="s">
        <v>154</v>
      </c>
      <c r="B9" s="2" t="s">
        <v>1220</v>
      </c>
      <c r="C9" s="2" t="s">
        <v>1300</v>
      </c>
      <c r="D9" s="2" t="s">
        <v>1301</v>
      </c>
      <c r="E9" s="2" t="s">
        <v>371</v>
      </c>
      <c r="F9" s="2">
        <v>4</v>
      </c>
      <c r="G9" s="2">
        <v>5</v>
      </c>
      <c r="H9" s="5">
        <f>IF(G9="","",IFERROR(G9/MAX(1,COUNTIF('01_Конкуренты'!$B$7:$B$36,"?*")),""))</f>
        <v>0.625</v>
      </c>
      <c r="I9" s="2">
        <v>5</v>
      </c>
      <c r="J9" s="2" t="str">
        <f t="shared" si="0"/>
        <v>Конкурентная норма с влиянием на выбор</v>
      </c>
      <c r="K9" s="2" t="s">
        <v>1302</v>
      </c>
      <c r="L9" s="2" t="s">
        <v>1297</v>
      </c>
      <c r="M9" s="2"/>
    </row>
    <row r="10" spans="1:13" ht="51">
      <c r="A10" s="2" t="s">
        <v>155</v>
      </c>
      <c r="B10" s="2" t="s">
        <v>1222</v>
      </c>
      <c r="C10" s="2" t="s">
        <v>1303</v>
      </c>
      <c r="D10" s="2" t="s">
        <v>1304</v>
      </c>
      <c r="E10" s="2" t="s">
        <v>375</v>
      </c>
      <c r="F10" s="2">
        <v>5</v>
      </c>
      <c r="G10" s="2">
        <v>5</v>
      </c>
      <c r="H10" s="5">
        <f>IF(G10="","",IFERROR(G10/MAX(1,COUNTIF('01_Конкуренты'!$B$7:$B$36,"?*")),""))</f>
        <v>0.625</v>
      </c>
      <c r="I10" s="2">
        <v>5</v>
      </c>
      <c r="J10" s="2" t="str">
        <f t="shared" si="0"/>
        <v>Минимальный рыночный стандарт</v>
      </c>
      <c r="K10" s="2" t="s">
        <v>1296</v>
      </c>
      <c r="L10" s="2" t="s">
        <v>1297</v>
      </c>
      <c r="M10" s="2"/>
    </row>
    <row r="11" spans="1:13" ht="63.75">
      <c r="A11" s="2" t="s">
        <v>156</v>
      </c>
      <c r="B11" s="2" t="s">
        <v>1224</v>
      </c>
      <c r="C11" s="2" t="s">
        <v>1305</v>
      </c>
      <c r="D11" s="2" t="s">
        <v>1306</v>
      </c>
      <c r="E11" s="2" t="s">
        <v>970</v>
      </c>
      <c r="F11" s="2">
        <v>2</v>
      </c>
      <c r="G11" s="2">
        <v>4</v>
      </c>
      <c r="H11" s="5">
        <f>IF(G11="","",IFERROR(G11/MAX(1,COUNTIF('01_Конкуренты'!$B$7:$B$36,"?*")),""))</f>
        <v>0.5</v>
      </c>
      <c r="I11" s="2">
        <v>5</v>
      </c>
      <c r="J11" s="2" t="str">
        <f t="shared" si="0"/>
        <v>Не делать при дефиците ресурсов</v>
      </c>
      <c r="K11" s="2" t="s">
        <v>1307</v>
      </c>
      <c r="L11" s="2" t="s">
        <v>1297</v>
      </c>
      <c r="M11" s="2"/>
    </row>
    <row r="12" spans="1:13" ht="63.75">
      <c r="A12" s="2" t="s">
        <v>157</v>
      </c>
      <c r="B12" s="2" t="s">
        <v>1226</v>
      </c>
      <c r="C12" s="2" t="s">
        <v>1308</v>
      </c>
      <c r="D12" s="2" t="s">
        <v>1309</v>
      </c>
      <c r="E12" s="2" t="s">
        <v>371</v>
      </c>
      <c r="F12" s="2">
        <v>3</v>
      </c>
      <c r="G12" s="2">
        <v>4</v>
      </c>
      <c r="H12" s="5">
        <f>IF(G12="","",IFERROR(G12/MAX(1,COUNTIF('01_Конкуренты'!$B$7:$B$36,"?*")),""))</f>
        <v>0.5</v>
      </c>
      <c r="I12" s="2">
        <v>5</v>
      </c>
      <c r="J12" s="2" t="str">
        <f t="shared" si="0"/>
        <v>Конкурентная норма с влиянием на выбор</v>
      </c>
      <c r="K12" s="2" t="s">
        <v>1302</v>
      </c>
      <c r="L12" s="2" t="s">
        <v>1297</v>
      </c>
      <c r="M12" s="2"/>
    </row>
    <row r="13" spans="1:13" ht="51">
      <c r="A13" s="2" t="s">
        <v>158</v>
      </c>
      <c r="B13" s="2" t="s">
        <v>1270</v>
      </c>
      <c r="C13" s="2" t="s">
        <v>1310</v>
      </c>
      <c r="D13" s="2" t="s">
        <v>1311</v>
      </c>
      <c r="E13" s="2" t="s">
        <v>970</v>
      </c>
      <c r="F13" s="2">
        <v>2</v>
      </c>
      <c r="G13" s="2">
        <v>1</v>
      </c>
      <c r="H13" s="5">
        <f>IF(G13="","",IFERROR(G13/MAX(1,COUNTIF('01_Конкуренты'!$B$7:$B$36,"?*")),""))</f>
        <v>0.125</v>
      </c>
      <c r="I13" s="2">
        <v>5</v>
      </c>
      <c r="J13" s="2" t="str">
        <f t="shared" si="0"/>
        <v>Не делать при дефиците ресурсов</v>
      </c>
      <c r="K13" s="2" t="s">
        <v>1307</v>
      </c>
      <c r="L13" s="2" t="s">
        <v>1297</v>
      </c>
      <c r="M13" s="2"/>
    </row>
    <row r="14" spans="1:13" ht="63.75">
      <c r="A14" s="2" t="s">
        <v>159</v>
      </c>
      <c r="B14" s="2" t="s">
        <v>1228</v>
      </c>
      <c r="C14" s="2" t="s">
        <v>1312</v>
      </c>
      <c r="D14" s="2" t="s">
        <v>1313</v>
      </c>
      <c r="E14" s="2" t="s">
        <v>394</v>
      </c>
      <c r="F14" s="2">
        <v>3</v>
      </c>
      <c r="G14" s="2">
        <v>4</v>
      </c>
      <c r="H14" s="5">
        <f>IF(G14="","",IFERROR(G14/MAX(1,COUNTIF('01_Конкуренты'!$B$7:$B$36,"?*")),""))</f>
        <v>0.5</v>
      </c>
      <c r="I14" s="2">
        <v>5</v>
      </c>
      <c r="J14" s="2" t="str">
        <f t="shared" si="0"/>
        <v>Переходит в ожидаемую норму</v>
      </c>
      <c r="K14" s="2" t="s">
        <v>1314</v>
      </c>
      <c r="L14" s="2" t="s">
        <v>1297</v>
      </c>
      <c r="M14" s="2"/>
    </row>
    <row r="15" spans="1:13" ht="63.75">
      <c r="A15" s="2" t="s">
        <v>160</v>
      </c>
      <c r="B15" s="2" t="s">
        <v>1230</v>
      </c>
      <c r="C15" s="2" t="s">
        <v>1315</v>
      </c>
      <c r="D15" s="2" t="s">
        <v>1316</v>
      </c>
      <c r="E15" s="2" t="s">
        <v>394</v>
      </c>
      <c r="F15" s="2">
        <v>4</v>
      </c>
      <c r="G15" s="2">
        <v>5</v>
      </c>
      <c r="H15" s="5">
        <f>IF(G15="","",IFERROR(G15/MAX(1,COUNTIF('01_Конкуренты'!$B$7:$B$36,"?*")),""))</f>
        <v>0.625</v>
      </c>
      <c r="I15" s="2">
        <v>5</v>
      </c>
      <c r="J15" s="2" t="str">
        <f t="shared" si="0"/>
        <v>Переходит в ожидаемую норму</v>
      </c>
      <c r="K15" s="2" t="s">
        <v>1314</v>
      </c>
      <c r="L15" s="2" t="s">
        <v>1297</v>
      </c>
      <c r="M15" s="2"/>
    </row>
    <row r="16" spans="1:13" ht="51">
      <c r="A16" s="2" t="s">
        <v>161</v>
      </c>
      <c r="B16" s="2" t="s">
        <v>1193</v>
      </c>
      <c r="C16" s="2" t="s">
        <v>1317</v>
      </c>
      <c r="D16" s="2" t="s">
        <v>1318</v>
      </c>
      <c r="E16" s="2" t="s">
        <v>371</v>
      </c>
      <c r="F16" s="2">
        <v>4</v>
      </c>
      <c r="G16" s="2">
        <v>8</v>
      </c>
      <c r="H16" s="5">
        <f>IF(G16="","",IFERROR(G16/MAX(1,COUNTIF('01_Конкуренты'!$B$7:$B$36,"?*")),""))</f>
        <v>1</v>
      </c>
      <c r="I16" s="2">
        <v>3.33</v>
      </c>
      <c r="J16" s="2" t="str">
        <f t="shared" si="0"/>
        <v>Конкурентная норма с влиянием на выбор</v>
      </c>
      <c r="K16" s="2" t="s">
        <v>1302</v>
      </c>
      <c r="L16" s="2" t="s">
        <v>1297</v>
      </c>
      <c r="M16" s="2"/>
    </row>
    <row r="17" spans="1:13" ht="63.75">
      <c r="A17" s="2" t="s">
        <v>162</v>
      </c>
      <c r="B17" s="2" t="s">
        <v>1214</v>
      </c>
      <c r="C17" s="2" t="s">
        <v>1319</v>
      </c>
      <c r="D17" s="2" t="s">
        <v>1320</v>
      </c>
      <c r="E17" s="2" t="s">
        <v>394</v>
      </c>
      <c r="F17" s="2">
        <v>3</v>
      </c>
      <c r="G17" s="2">
        <v>5</v>
      </c>
      <c r="H17" s="5">
        <f>IF(G17="","",IFERROR(G17/MAX(1,COUNTIF('01_Конкуренты'!$B$7:$B$36,"?*")),""))</f>
        <v>0.625</v>
      </c>
      <c r="I17" s="2">
        <v>5</v>
      </c>
      <c r="J17" s="2" t="str">
        <f t="shared" si="0"/>
        <v>Переходит в ожидаемую норму</v>
      </c>
      <c r="K17" s="2" t="s">
        <v>1314</v>
      </c>
      <c r="L17" s="2" t="s">
        <v>1297</v>
      </c>
      <c r="M17" s="2"/>
    </row>
    <row r="18" spans="1:13" ht="51">
      <c r="A18" s="2" t="s">
        <v>163</v>
      </c>
      <c r="B18" s="2" t="s">
        <v>1195</v>
      </c>
      <c r="C18" s="2" t="s">
        <v>1321</v>
      </c>
      <c r="D18" s="2" t="s">
        <v>1322</v>
      </c>
      <c r="E18" s="2" t="s">
        <v>394</v>
      </c>
      <c r="F18" s="2">
        <v>4</v>
      </c>
      <c r="G18" s="2">
        <v>3</v>
      </c>
      <c r="H18" s="5">
        <f>IF(G18="","",IFERROR(G18/MAX(1,COUNTIF('01_Конкуренты'!$B$7:$B$36,"?*")),""))</f>
        <v>0.375</v>
      </c>
      <c r="I18" s="2">
        <v>3.33</v>
      </c>
      <c r="J18" s="2" t="str">
        <f t="shared" si="0"/>
        <v>Зона дифференциации</v>
      </c>
      <c r="K18" s="2" t="s">
        <v>1314</v>
      </c>
      <c r="L18" s="2" t="s">
        <v>1297</v>
      </c>
      <c r="M18" s="2"/>
    </row>
    <row r="19" spans="1:13" ht="51">
      <c r="A19" s="2" t="s">
        <v>164</v>
      </c>
      <c r="B19" s="2" t="s">
        <v>1197</v>
      </c>
      <c r="C19" s="2" t="s">
        <v>1323</v>
      </c>
      <c r="D19" s="2" t="s">
        <v>1324</v>
      </c>
      <c r="E19" s="2" t="s">
        <v>371</v>
      </c>
      <c r="F19" s="2">
        <v>3</v>
      </c>
      <c r="G19" s="2">
        <v>7</v>
      </c>
      <c r="H19" s="5">
        <f>IF(G19="","",IFERROR(G19/MAX(1,COUNTIF('01_Конкуренты'!$B$7:$B$36,"?*")),""))</f>
        <v>0.875</v>
      </c>
      <c r="I19" s="2">
        <v>3.33</v>
      </c>
      <c r="J19" s="2" t="str">
        <f t="shared" si="0"/>
        <v>Конкурентная норма с влиянием на выбор</v>
      </c>
      <c r="K19" s="2" t="s">
        <v>1302</v>
      </c>
      <c r="L19" s="2" t="s">
        <v>1297</v>
      </c>
      <c r="M19" s="2"/>
    </row>
    <row r="20" spans="1:13" ht="76.5">
      <c r="A20" s="2" t="s">
        <v>165</v>
      </c>
      <c r="B20" s="2" t="s">
        <v>1232</v>
      </c>
      <c r="C20" s="2" t="s">
        <v>1325</v>
      </c>
      <c r="D20" s="2" t="s">
        <v>1326</v>
      </c>
      <c r="E20" s="2" t="s">
        <v>371</v>
      </c>
      <c r="F20" s="2">
        <v>3</v>
      </c>
      <c r="G20" s="2">
        <v>4</v>
      </c>
      <c r="H20" s="5">
        <f>IF(G20="","",IFERROR(G20/MAX(1,COUNTIF('01_Конкуренты'!$B$7:$B$36,"?*")),""))</f>
        <v>0.5</v>
      </c>
      <c r="I20" s="2">
        <v>3.33</v>
      </c>
      <c r="J20" s="2" t="str">
        <f t="shared" si="0"/>
        <v>Конкурентная норма с влиянием на выбор</v>
      </c>
      <c r="K20" s="2" t="s">
        <v>1302</v>
      </c>
      <c r="L20" s="2" t="s">
        <v>1297</v>
      </c>
      <c r="M20" s="2"/>
    </row>
    <row r="21" spans="1:13" ht="63.75">
      <c r="A21" s="2" t="s">
        <v>166</v>
      </c>
      <c r="B21" s="2" t="s">
        <v>1234</v>
      </c>
      <c r="C21" s="2" t="s">
        <v>1327</v>
      </c>
      <c r="D21" s="2" t="s">
        <v>1328</v>
      </c>
      <c r="E21" s="2" t="s">
        <v>371</v>
      </c>
      <c r="F21" s="2">
        <v>3</v>
      </c>
      <c r="G21" s="2">
        <v>6</v>
      </c>
      <c r="H21" s="5">
        <f>IF(G21="","",IFERROR(G21/MAX(1,COUNTIF('01_Конкуренты'!$B$7:$B$36,"?*")),""))</f>
        <v>0.75</v>
      </c>
      <c r="I21" s="2">
        <v>3.33</v>
      </c>
      <c r="J21" s="2" t="str">
        <f t="shared" si="0"/>
        <v>Конкурентная норма с влиянием на выбор</v>
      </c>
      <c r="K21" s="2" t="s">
        <v>1302</v>
      </c>
      <c r="L21" s="2" t="s">
        <v>1297</v>
      </c>
      <c r="M21" s="2"/>
    </row>
    <row r="22" spans="1:13" ht="51">
      <c r="A22" s="2" t="s">
        <v>167</v>
      </c>
      <c r="B22" s="2" t="s">
        <v>1236</v>
      </c>
      <c r="C22" s="2" t="s">
        <v>1329</v>
      </c>
      <c r="D22" s="2" t="s">
        <v>1330</v>
      </c>
      <c r="E22" s="2" t="s">
        <v>970</v>
      </c>
      <c r="F22" s="2">
        <v>2</v>
      </c>
      <c r="G22" s="2">
        <v>5</v>
      </c>
      <c r="H22" s="5">
        <f>IF(G22="","",IFERROR(G22/MAX(1,COUNTIF('01_Конкуренты'!$B$7:$B$36,"?*")),""))</f>
        <v>0.625</v>
      </c>
      <c r="I22" s="2">
        <v>5</v>
      </c>
      <c r="J22" s="2" t="str">
        <f t="shared" si="0"/>
        <v>Не делать при дефиците ресурсов</v>
      </c>
      <c r="K22" s="2" t="s">
        <v>1307</v>
      </c>
      <c r="L22" s="2" t="s">
        <v>1297</v>
      </c>
      <c r="M22" s="2"/>
    </row>
    <row r="23" spans="1:13" ht="51">
      <c r="A23" s="2" t="s">
        <v>168</v>
      </c>
      <c r="B23" s="2" t="s">
        <v>1238</v>
      </c>
      <c r="C23" s="2" t="s">
        <v>1331</v>
      </c>
      <c r="D23" s="2" t="s">
        <v>1332</v>
      </c>
      <c r="E23" s="2" t="s">
        <v>375</v>
      </c>
      <c r="F23" s="2">
        <v>3</v>
      </c>
      <c r="G23" s="2">
        <v>5</v>
      </c>
      <c r="H23" s="5">
        <f>IF(G23="","",IFERROR(G23/MAX(1,COUNTIF('01_Конкуренты'!$B$7:$B$36,"?*")),""))</f>
        <v>0.625</v>
      </c>
      <c r="I23" s="2">
        <v>3.33</v>
      </c>
      <c r="J23" s="2" t="str">
        <f t="shared" si="0"/>
        <v>Минимальный рыночный стандарт</v>
      </c>
      <c r="K23" s="2" t="s">
        <v>1296</v>
      </c>
      <c r="L23" s="2" t="s">
        <v>1297</v>
      </c>
      <c r="M23" s="2"/>
    </row>
    <row r="24" spans="1:13" ht="63.75">
      <c r="A24" s="2" t="s">
        <v>169</v>
      </c>
      <c r="B24" s="2" t="s">
        <v>1275</v>
      </c>
      <c r="C24" s="2" t="s">
        <v>1333</v>
      </c>
      <c r="D24" s="2" t="s">
        <v>1334</v>
      </c>
      <c r="E24" s="2" t="s">
        <v>371</v>
      </c>
      <c r="F24" s="2">
        <v>4</v>
      </c>
      <c r="G24" s="2">
        <v>3</v>
      </c>
      <c r="H24" s="5">
        <f>IF(G24="","",IFERROR(G24/MAX(1,COUNTIF('01_Конкуренты'!$B$7:$B$36,"?*")),""))</f>
        <v>0.375</v>
      </c>
      <c r="I24" s="2">
        <v>5</v>
      </c>
      <c r="J24" s="2" t="str">
        <f t="shared" si="0"/>
        <v>Зона усиления ценности</v>
      </c>
      <c r="K24" s="2" t="s">
        <v>1302</v>
      </c>
      <c r="L24" s="2" t="s">
        <v>1297</v>
      </c>
      <c r="M24" s="2"/>
    </row>
    <row r="25" spans="1:13" ht="76.5">
      <c r="A25" s="2" t="s">
        <v>170</v>
      </c>
      <c r="B25" s="2" t="s">
        <v>1240</v>
      </c>
      <c r="C25" s="2" t="s">
        <v>1335</v>
      </c>
      <c r="D25" s="2" t="s">
        <v>1336</v>
      </c>
      <c r="E25" s="2" t="s">
        <v>371</v>
      </c>
      <c r="F25" s="2">
        <v>4</v>
      </c>
      <c r="G25" s="2">
        <v>6</v>
      </c>
      <c r="H25" s="5">
        <f>IF(G25="","",IFERROR(G25/MAX(1,COUNTIF('01_Конкуренты'!$B$7:$B$36,"?*")),""))</f>
        <v>0.75</v>
      </c>
      <c r="I25" s="2">
        <v>5</v>
      </c>
      <c r="J25" s="2" t="str">
        <f t="shared" si="0"/>
        <v>Конкурентная норма с влиянием на выбор</v>
      </c>
      <c r="K25" s="2" t="s">
        <v>1302</v>
      </c>
      <c r="L25" s="2" t="s">
        <v>1297</v>
      </c>
      <c r="M25" s="2"/>
    </row>
    <row r="26" spans="1:13" ht="63.75">
      <c r="A26" s="2" t="s">
        <v>171</v>
      </c>
      <c r="B26" s="2" t="s">
        <v>1199</v>
      </c>
      <c r="C26" s="2" t="s">
        <v>1337</v>
      </c>
      <c r="D26" s="2" t="s">
        <v>1338</v>
      </c>
      <c r="E26" s="2" t="s">
        <v>375</v>
      </c>
      <c r="F26" s="2">
        <v>5</v>
      </c>
      <c r="G26" s="2">
        <v>8</v>
      </c>
      <c r="H26" s="5">
        <f>IF(G26="","",IFERROR(G26/MAX(1,COUNTIF('01_Конкуренты'!$B$7:$B$36,"?*")),""))</f>
        <v>1</v>
      </c>
      <c r="I26" s="2">
        <v>5</v>
      </c>
      <c r="J26" s="2" t="str">
        <f t="shared" si="0"/>
        <v>Минимальный рыночный стандарт</v>
      </c>
      <c r="K26" s="2" t="s">
        <v>1296</v>
      </c>
      <c r="L26" s="2" t="s">
        <v>1297</v>
      </c>
      <c r="M26" s="2"/>
    </row>
    <row r="27" spans="1:13" ht="63.75">
      <c r="A27" s="2" t="s">
        <v>172</v>
      </c>
      <c r="B27" s="2" t="s">
        <v>1242</v>
      </c>
      <c r="C27" s="2" t="s">
        <v>1339</v>
      </c>
      <c r="D27" s="2" t="s">
        <v>1340</v>
      </c>
      <c r="E27" s="2" t="s">
        <v>371</v>
      </c>
      <c r="F27" s="2">
        <v>3</v>
      </c>
      <c r="G27" s="2">
        <v>5</v>
      </c>
      <c r="H27" s="5">
        <f>IF(G27="","",IFERROR(G27/MAX(1,COUNTIF('01_Конкуренты'!$B$7:$B$36,"?*")),""))</f>
        <v>0.625</v>
      </c>
      <c r="I27" s="2">
        <v>5</v>
      </c>
      <c r="J27" s="2" t="str">
        <f t="shared" si="0"/>
        <v>Конкурентная норма с влиянием на выбор</v>
      </c>
      <c r="K27" s="2" t="s">
        <v>1302</v>
      </c>
      <c r="L27" s="2" t="s">
        <v>1297</v>
      </c>
      <c r="M27" s="2"/>
    </row>
    <row r="28" spans="1:13" ht="76.5">
      <c r="A28" s="2" t="s">
        <v>173</v>
      </c>
      <c r="B28" s="2" t="s">
        <v>1201</v>
      </c>
      <c r="C28" s="2" t="s">
        <v>1341</v>
      </c>
      <c r="D28" s="2" t="s">
        <v>1342</v>
      </c>
      <c r="E28" s="2" t="s">
        <v>375</v>
      </c>
      <c r="F28" s="2">
        <v>4</v>
      </c>
      <c r="G28" s="2">
        <v>6</v>
      </c>
      <c r="H28" s="5">
        <f>IF(G28="","",IFERROR(G28/MAX(1,COUNTIF('01_Конкуренты'!$B$7:$B$36,"?*")),""))</f>
        <v>0.75</v>
      </c>
      <c r="I28" s="2">
        <v>5</v>
      </c>
      <c r="J28" s="2" t="str">
        <f t="shared" si="0"/>
        <v>Минимальный рыночный стандарт</v>
      </c>
      <c r="K28" s="2" t="s">
        <v>1296</v>
      </c>
      <c r="L28" s="2" t="s">
        <v>1297</v>
      </c>
      <c r="M28" s="2"/>
    </row>
    <row r="29" spans="1:13" ht="63.75">
      <c r="A29" s="2" t="s">
        <v>174</v>
      </c>
      <c r="B29" s="2" t="s">
        <v>1203</v>
      </c>
      <c r="C29" s="2" t="s">
        <v>1343</v>
      </c>
      <c r="D29" s="2" t="s">
        <v>1344</v>
      </c>
      <c r="E29" s="2" t="s">
        <v>375</v>
      </c>
      <c r="F29" s="2">
        <v>5</v>
      </c>
      <c r="G29" s="2">
        <v>4</v>
      </c>
      <c r="H29" s="5">
        <f>IF(G29="","",IFERROR(G29/MAX(1,COUNTIF('01_Конкуренты'!$B$7:$B$36,"?*")),""))</f>
        <v>0.5</v>
      </c>
      <c r="I29" s="2">
        <v>5</v>
      </c>
      <c r="J29" s="2" t="str">
        <f t="shared" si="0"/>
        <v>Потенциальный обязательный разрыв</v>
      </c>
      <c r="K29" s="2" t="s">
        <v>1296</v>
      </c>
      <c r="L29" s="2" t="s">
        <v>1297</v>
      </c>
      <c r="M29" s="2"/>
    </row>
    <row r="30" spans="1:13" ht="63.75">
      <c r="A30" s="2" t="s">
        <v>175</v>
      </c>
      <c r="B30" s="2" t="s">
        <v>1256</v>
      </c>
      <c r="C30" s="2" t="s">
        <v>1345</v>
      </c>
      <c r="D30" s="2" t="s">
        <v>1346</v>
      </c>
      <c r="E30" s="2" t="s">
        <v>371</v>
      </c>
      <c r="F30" s="2">
        <v>4</v>
      </c>
      <c r="G30" s="2">
        <v>3</v>
      </c>
      <c r="H30" s="5">
        <f>IF(G30="","",IFERROR(G30/MAX(1,COUNTIF('01_Конкуренты'!$B$7:$B$36,"?*")),""))</f>
        <v>0.375</v>
      </c>
      <c r="I30" s="2">
        <v>5</v>
      </c>
      <c r="J30" s="2" t="str">
        <f t="shared" si="0"/>
        <v>Зона усиления ценности</v>
      </c>
      <c r="K30" s="2" t="s">
        <v>1302</v>
      </c>
      <c r="L30" s="2" t="s">
        <v>1297</v>
      </c>
      <c r="M30" s="2"/>
    </row>
    <row r="31" spans="1:13" ht="63.75">
      <c r="A31" s="2" t="s">
        <v>176</v>
      </c>
      <c r="B31" s="2" t="s">
        <v>1205</v>
      </c>
      <c r="C31" s="2" t="s">
        <v>1347</v>
      </c>
      <c r="D31" s="2" t="s">
        <v>1348</v>
      </c>
      <c r="E31" s="2" t="s">
        <v>371</v>
      </c>
      <c r="F31" s="2">
        <v>4</v>
      </c>
      <c r="G31" s="2">
        <v>6</v>
      </c>
      <c r="H31" s="5">
        <f>IF(G31="","",IFERROR(G31/MAX(1,COUNTIF('01_Конкуренты'!$B$7:$B$36,"?*")),""))</f>
        <v>0.75</v>
      </c>
      <c r="I31" s="2">
        <v>5</v>
      </c>
      <c r="J31" s="2" t="str">
        <f t="shared" si="0"/>
        <v>Конкурентная норма с влиянием на выбор</v>
      </c>
      <c r="K31" s="2" t="s">
        <v>1302</v>
      </c>
      <c r="L31" s="2" t="s">
        <v>1297</v>
      </c>
      <c r="M31" s="2"/>
    </row>
    <row r="32" spans="1:13" ht="76.5">
      <c r="A32" s="2" t="s">
        <v>177</v>
      </c>
      <c r="B32" s="2" t="s">
        <v>1207</v>
      </c>
      <c r="C32" s="2" t="s">
        <v>1349</v>
      </c>
      <c r="D32" s="2" t="s">
        <v>1350</v>
      </c>
      <c r="E32" s="2" t="s">
        <v>394</v>
      </c>
      <c r="F32" s="2">
        <v>3</v>
      </c>
      <c r="G32" s="2">
        <v>4</v>
      </c>
      <c r="H32" s="5">
        <f>IF(G32="","",IFERROR(G32/MAX(1,COUNTIF('01_Конкуренты'!$B$7:$B$36,"?*")),""))</f>
        <v>0.5</v>
      </c>
      <c r="I32" s="2">
        <v>3.33</v>
      </c>
      <c r="J32" s="2" t="str">
        <f t="shared" si="0"/>
        <v>Переходит в ожидаемую норму</v>
      </c>
      <c r="K32" s="2" t="s">
        <v>1314</v>
      </c>
      <c r="L32" s="2" t="s">
        <v>1297</v>
      </c>
      <c r="M32" s="2"/>
    </row>
    <row r="33" spans="1:13" ht="63.75">
      <c r="A33" s="2" t="s">
        <v>178</v>
      </c>
      <c r="B33" s="2" t="s">
        <v>1209</v>
      </c>
      <c r="C33" s="2" t="s">
        <v>1351</v>
      </c>
      <c r="D33" s="2" t="s">
        <v>1352</v>
      </c>
      <c r="E33" s="2" t="s">
        <v>970</v>
      </c>
      <c r="F33" s="2">
        <v>2</v>
      </c>
      <c r="G33" s="2">
        <v>3</v>
      </c>
      <c r="H33" s="5">
        <f>IF(G33="","",IFERROR(G33/MAX(1,COUNTIF('01_Конкуренты'!$B$7:$B$36,"?*")),""))</f>
        <v>0.375</v>
      </c>
      <c r="I33" s="2">
        <v>3.33</v>
      </c>
      <c r="J33" s="2" t="str">
        <f t="shared" si="0"/>
        <v>Не делать при дефиците ресурсов</v>
      </c>
      <c r="K33" s="2" t="s">
        <v>1307</v>
      </c>
      <c r="L33" s="2" t="s">
        <v>1297</v>
      </c>
      <c r="M33" s="2"/>
    </row>
    <row r="34" spans="1:13" ht="51">
      <c r="A34" s="2" t="s">
        <v>179</v>
      </c>
      <c r="B34" s="2" t="s">
        <v>1258</v>
      </c>
      <c r="C34" s="2" t="s">
        <v>1353</v>
      </c>
      <c r="D34" s="2" t="s">
        <v>1354</v>
      </c>
      <c r="E34" s="2" t="s">
        <v>394</v>
      </c>
      <c r="F34" s="2">
        <v>4</v>
      </c>
      <c r="G34" s="2">
        <v>1</v>
      </c>
      <c r="H34" s="5">
        <f>IF(G34="","",IFERROR(G34/MAX(1,COUNTIF('01_Конкуренты'!$B$7:$B$36,"?*")),""))</f>
        <v>0.125</v>
      </c>
      <c r="I34" s="2">
        <v>3.33</v>
      </c>
      <c r="J34" s="2" t="str">
        <f t="shared" si="0"/>
        <v>Зона дифференциации</v>
      </c>
      <c r="K34" s="2" t="s">
        <v>1314</v>
      </c>
      <c r="L34" s="2" t="s">
        <v>1297</v>
      </c>
      <c r="M34" s="2"/>
    </row>
    <row r="35" spans="1:13" ht="76.5">
      <c r="A35" s="2" t="s">
        <v>180</v>
      </c>
      <c r="B35" s="2" t="s">
        <v>1244</v>
      </c>
      <c r="C35" s="2" t="s">
        <v>1355</v>
      </c>
      <c r="D35" s="2" t="s">
        <v>1356</v>
      </c>
      <c r="E35" s="2" t="s">
        <v>394</v>
      </c>
      <c r="F35" s="2">
        <v>3</v>
      </c>
      <c r="G35" s="2">
        <v>4</v>
      </c>
      <c r="H35" s="5">
        <f>IF(G35="","",IFERROR(G35/MAX(1,COUNTIF('01_Конкуренты'!$B$7:$B$36,"?*")),""))</f>
        <v>0.5</v>
      </c>
      <c r="I35" s="2">
        <v>3.33</v>
      </c>
      <c r="J35" s="2" t="str">
        <f t="shared" si="0"/>
        <v>Переходит в ожидаемую норму</v>
      </c>
      <c r="K35" s="2" t="s">
        <v>1314</v>
      </c>
      <c r="L35" s="2" t="s">
        <v>1297</v>
      </c>
      <c r="M35" s="2"/>
    </row>
    <row r="36" spans="1:13" ht="25.5">
      <c r="A36" s="2" t="s">
        <v>181</v>
      </c>
      <c r="B36" s="2" t="s">
        <v>1357</v>
      </c>
      <c r="C36" s="2" t="s">
        <v>1358</v>
      </c>
      <c r="D36" s="2" t="s">
        <v>1359</v>
      </c>
      <c r="E36" s="2" t="s">
        <v>394</v>
      </c>
      <c r="F36" s="2">
        <v>5</v>
      </c>
      <c r="G36" s="2">
        <v>1</v>
      </c>
      <c r="H36" s="5">
        <f>IF(G36="","",IFERROR(G36/MAX(1,COUNTIF('01_Конкуренты'!$B$7:$B$36,"?*")),""))</f>
        <v>0.125</v>
      </c>
      <c r="I36" s="2"/>
      <c r="J36" s="2" t="str">
        <f t="shared" si="0"/>
        <v>Зона дифференциации</v>
      </c>
      <c r="K36" s="2" t="s">
        <v>1360</v>
      </c>
      <c r="L36" s="2" t="s">
        <v>1297</v>
      </c>
      <c r="M36" s="2"/>
    </row>
    <row r="37" spans="1:13" ht="25.5">
      <c r="A37" s="2" t="s">
        <v>182</v>
      </c>
      <c r="B37" s="2" t="s">
        <v>1361</v>
      </c>
      <c r="C37" s="2" t="s">
        <v>1362</v>
      </c>
      <c r="D37" s="2" t="s">
        <v>1363</v>
      </c>
      <c r="E37" s="2" t="s">
        <v>394</v>
      </c>
      <c r="F37" s="2">
        <v>5</v>
      </c>
      <c r="G37" s="2">
        <v>0</v>
      </c>
      <c r="H37" s="5">
        <f>IF(G37="","",IFERROR(G37/MAX(1,COUNTIF('01_Конкуренты'!$B$7:$B$36,"?*")),""))</f>
        <v>0</v>
      </c>
      <c r="I37" s="2"/>
      <c r="J37" s="2" t="str">
        <f t="shared" si="0"/>
        <v>Зона дифференциации</v>
      </c>
      <c r="K37" s="2" t="s">
        <v>1364</v>
      </c>
      <c r="L37" s="2" t="s">
        <v>1297</v>
      </c>
      <c r="M37" s="2"/>
    </row>
    <row r="38" spans="1:13" ht="25.5">
      <c r="A38" s="2" t="s">
        <v>183</v>
      </c>
      <c r="B38" s="2" t="s">
        <v>1365</v>
      </c>
      <c r="C38" s="2" t="s">
        <v>1366</v>
      </c>
      <c r="D38" s="2" t="s">
        <v>1367</v>
      </c>
      <c r="E38" s="2" t="s">
        <v>977</v>
      </c>
      <c r="F38" s="2">
        <v>4</v>
      </c>
      <c r="G38" s="2"/>
      <c r="H38" s="5" t="str">
        <f>IF(G38="","",IFERROR(G38/MAX(1,COUNTIF('01_Конкуренты'!$B$7:$B$36,"?*")),""))</f>
        <v/>
      </c>
      <c r="I38" s="2"/>
      <c r="J38" s="2" t="str">
        <f t="shared" si="0"/>
        <v>Требует проверки</v>
      </c>
      <c r="K38" s="2" t="s">
        <v>1368</v>
      </c>
      <c r="L38" s="2" t="s">
        <v>1297</v>
      </c>
      <c r="M38" s="2"/>
    </row>
    <row r="39" spans="1:13" ht="25.5">
      <c r="A39" s="2" t="s">
        <v>184</v>
      </c>
      <c r="B39" s="2" t="s">
        <v>1369</v>
      </c>
      <c r="C39" s="2" t="s">
        <v>1370</v>
      </c>
      <c r="D39" s="2" t="s">
        <v>1371</v>
      </c>
      <c r="E39" s="2" t="s">
        <v>977</v>
      </c>
      <c r="F39" s="2">
        <v>4</v>
      </c>
      <c r="G39" s="2"/>
      <c r="H39" s="5" t="str">
        <f>IF(G39="","",IFERROR(G39/MAX(1,COUNTIF('01_Конкуренты'!$B$7:$B$36,"?*")),""))</f>
        <v/>
      </c>
      <c r="I39" s="2"/>
      <c r="J39" s="2" t="str">
        <f t="shared" ref="J39:J70" si="1">IF(B39="","",IF(E39="Обязательное",IF(H39&gt;=0.6,"Минимальный рыночный стандарт","Потенциальный обязательный разрыв"),IF(E39="Линейное",IF(H39&gt;=0.5,"Конкурентная норма с влиянием на выбор","Зона усиления ценности"),IF(E39="Привлекательное",IF(H39&lt;0.5,"Зона дифференциации","Переходит в ожидаемую норму"),IF(E39="Безразличное","Не делать при дефиците ресурсов",IF(E39="Обратное","Исключить или проверить риск отторжения","Требует проверки"))))))</f>
        <v>Требует проверки</v>
      </c>
      <c r="K39" s="2" t="s">
        <v>1368</v>
      </c>
      <c r="L39" s="2" t="s">
        <v>1297</v>
      </c>
      <c r="M39" s="2"/>
    </row>
    <row r="40" spans="1:13">
      <c r="A40" s="2" t="s">
        <v>185</v>
      </c>
      <c r="B40" s="2"/>
      <c r="C40" s="2"/>
      <c r="D40" s="2"/>
      <c r="E40" s="2"/>
      <c r="F40" s="2"/>
      <c r="G40" s="2"/>
      <c r="H40" s="5" t="str">
        <f>IF(G40="","",IFERROR(G40/MAX(1,COUNTIF('01_Конкуренты'!$B$7:$B$36,"?*")),""))</f>
        <v/>
      </c>
      <c r="I40" s="2"/>
      <c r="J40" s="2" t="str">
        <f t="shared" si="1"/>
        <v/>
      </c>
      <c r="K40" s="2"/>
      <c r="L40" s="2"/>
      <c r="M40" s="2"/>
    </row>
    <row r="41" spans="1:13">
      <c r="A41" s="2" t="s">
        <v>186</v>
      </c>
      <c r="B41" s="2"/>
      <c r="C41" s="2"/>
      <c r="D41" s="2"/>
      <c r="E41" s="2"/>
      <c r="F41" s="2"/>
      <c r="G41" s="2"/>
      <c r="H41" s="5" t="str">
        <f>IF(G41="","",IFERROR(G41/MAX(1,COUNTIF('01_Конкуренты'!$B$7:$B$36,"?*")),""))</f>
        <v/>
      </c>
      <c r="I41" s="2"/>
      <c r="J41" s="2" t="str">
        <f t="shared" si="1"/>
        <v/>
      </c>
      <c r="K41" s="2"/>
      <c r="L41" s="2"/>
      <c r="M41" s="2"/>
    </row>
    <row r="42" spans="1:13">
      <c r="A42" s="2" t="s">
        <v>187</v>
      </c>
      <c r="B42" s="2"/>
      <c r="C42" s="2"/>
      <c r="D42" s="2"/>
      <c r="E42" s="2"/>
      <c r="F42" s="2"/>
      <c r="G42" s="2"/>
      <c r="H42" s="5" t="str">
        <f>IF(G42="","",IFERROR(G42/MAX(1,COUNTIF('01_Конкуренты'!$B$7:$B$36,"?*")),""))</f>
        <v/>
      </c>
      <c r="I42" s="2"/>
      <c r="J42" s="2" t="str">
        <f t="shared" si="1"/>
        <v/>
      </c>
      <c r="K42" s="2"/>
      <c r="L42" s="2"/>
      <c r="M42" s="2"/>
    </row>
    <row r="43" spans="1:13">
      <c r="A43" s="2" t="s">
        <v>188</v>
      </c>
      <c r="B43" s="2"/>
      <c r="C43" s="2"/>
      <c r="D43" s="2"/>
      <c r="E43" s="2"/>
      <c r="F43" s="2"/>
      <c r="G43" s="2"/>
      <c r="H43" s="5" t="str">
        <f>IF(G43="","",IFERROR(G43/MAX(1,COUNTIF('01_Конкуренты'!$B$7:$B$36,"?*")),""))</f>
        <v/>
      </c>
      <c r="I43" s="2"/>
      <c r="J43" s="2" t="str">
        <f t="shared" si="1"/>
        <v/>
      </c>
      <c r="K43" s="2"/>
      <c r="L43" s="2"/>
      <c r="M43" s="2"/>
    </row>
    <row r="44" spans="1:13">
      <c r="A44" s="2" t="s">
        <v>189</v>
      </c>
      <c r="B44" s="2"/>
      <c r="C44" s="2"/>
      <c r="D44" s="2"/>
      <c r="E44" s="2"/>
      <c r="F44" s="2"/>
      <c r="G44" s="2"/>
      <c r="H44" s="5" t="str">
        <f>IF(G44="","",IFERROR(G44/MAX(1,COUNTIF('01_Конкуренты'!$B$7:$B$36,"?*")),""))</f>
        <v/>
      </c>
      <c r="I44" s="2"/>
      <c r="J44" s="2" t="str">
        <f t="shared" si="1"/>
        <v/>
      </c>
      <c r="K44" s="2"/>
      <c r="L44" s="2"/>
      <c r="M44" s="2"/>
    </row>
    <row r="45" spans="1:13">
      <c r="A45" s="2" t="s">
        <v>190</v>
      </c>
      <c r="B45" s="2"/>
      <c r="C45" s="2"/>
      <c r="D45" s="2"/>
      <c r="E45" s="2"/>
      <c r="F45" s="2"/>
      <c r="G45" s="2"/>
      <c r="H45" s="5" t="str">
        <f>IF(G45="","",IFERROR(G45/MAX(1,COUNTIF('01_Конкуренты'!$B$7:$B$36,"?*")),""))</f>
        <v/>
      </c>
      <c r="I45" s="2"/>
      <c r="J45" s="2" t="str">
        <f t="shared" si="1"/>
        <v/>
      </c>
      <c r="K45" s="2"/>
      <c r="L45" s="2"/>
      <c r="M45" s="2"/>
    </row>
    <row r="46" spans="1:13">
      <c r="A46" s="2" t="s">
        <v>191</v>
      </c>
      <c r="B46" s="2"/>
      <c r="C46" s="2"/>
      <c r="D46" s="2"/>
      <c r="E46" s="2"/>
      <c r="F46" s="2"/>
      <c r="G46" s="2"/>
      <c r="H46" s="5" t="str">
        <f>IF(G46="","",IFERROR(G46/MAX(1,COUNTIF('01_Конкуренты'!$B$7:$B$36,"?*")),""))</f>
        <v/>
      </c>
      <c r="I46" s="2"/>
      <c r="J46" s="2" t="str">
        <f t="shared" si="1"/>
        <v/>
      </c>
      <c r="K46" s="2"/>
      <c r="L46" s="2"/>
      <c r="M46" s="2"/>
    </row>
    <row r="47" spans="1:13">
      <c r="A47" s="2" t="s">
        <v>192</v>
      </c>
      <c r="B47" s="2"/>
      <c r="C47" s="2"/>
      <c r="D47" s="2"/>
      <c r="E47" s="2"/>
      <c r="F47" s="2"/>
      <c r="G47" s="2"/>
      <c r="H47" s="5" t="str">
        <f>IF(G47="","",IFERROR(G47/MAX(1,COUNTIF('01_Конкуренты'!$B$7:$B$36,"?*")),""))</f>
        <v/>
      </c>
      <c r="I47" s="2"/>
      <c r="J47" s="2" t="str">
        <f t="shared" si="1"/>
        <v/>
      </c>
      <c r="K47" s="2"/>
      <c r="L47" s="2"/>
      <c r="M47" s="2"/>
    </row>
    <row r="48" spans="1:13">
      <c r="A48" s="2" t="s">
        <v>193</v>
      </c>
      <c r="B48" s="2"/>
      <c r="C48" s="2"/>
      <c r="D48" s="2"/>
      <c r="E48" s="2"/>
      <c r="F48" s="2"/>
      <c r="G48" s="2"/>
      <c r="H48" s="5" t="str">
        <f>IF(G48="","",IFERROR(G48/MAX(1,COUNTIF('01_Конкуренты'!$B$7:$B$36,"?*")),""))</f>
        <v/>
      </c>
      <c r="I48" s="2"/>
      <c r="J48" s="2" t="str">
        <f t="shared" si="1"/>
        <v/>
      </c>
      <c r="K48" s="2"/>
      <c r="L48" s="2"/>
      <c r="M48" s="2"/>
    </row>
    <row r="49" spans="1:13">
      <c r="A49" s="2" t="s">
        <v>194</v>
      </c>
      <c r="B49" s="2"/>
      <c r="C49" s="2"/>
      <c r="D49" s="2"/>
      <c r="E49" s="2"/>
      <c r="F49" s="2"/>
      <c r="G49" s="2"/>
      <c r="H49" s="5" t="str">
        <f>IF(G49="","",IFERROR(G49/MAX(1,COUNTIF('01_Конкуренты'!$B$7:$B$36,"?*")),""))</f>
        <v/>
      </c>
      <c r="I49" s="2"/>
      <c r="J49" s="2" t="str">
        <f t="shared" si="1"/>
        <v/>
      </c>
      <c r="K49" s="2"/>
      <c r="L49" s="2"/>
      <c r="M49" s="2"/>
    </row>
    <row r="50" spans="1:13">
      <c r="A50" s="2" t="s">
        <v>195</v>
      </c>
      <c r="B50" s="2"/>
      <c r="C50" s="2"/>
      <c r="D50" s="2"/>
      <c r="E50" s="2"/>
      <c r="F50" s="2"/>
      <c r="G50" s="2"/>
      <c r="H50" s="5" t="str">
        <f>IF(G50="","",IFERROR(G50/MAX(1,COUNTIF('01_Конкуренты'!$B$7:$B$36,"?*")),""))</f>
        <v/>
      </c>
      <c r="I50" s="2"/>
      <c r="J50" s="2" t="str">
        <f t="shared" si="1"/>
        <v/>
      </c>
      <c r="K50" s="2"/>
      <c r="L50" s="2"/>
      <c r="M50" s="2"/>
    </row>
    <row r="51" spans="1:13">
      <c r="A51" s="2" t="s">
        <v>196</v>
      </c>
      <c r="B51" s="2"/>
      <c r="C51" s="2"/>
      <c r="D51" s="2"/>
      <c r="E51" s="2"/>
      <c r="F51" s="2"/>
      <c r="G51" s="2"/>
      <c r="H51" s="5" t="str">
        <f>IF(G51="","",IFERROR(G51/MAX(1,COUNTIF('01_Конкуренты'!$B$7:$B$36,"?*")),""))</f>
        <v/>
      </c>
      <c r="I51" s="2"/>
      <c r="J51" s="2" t="str">
        <f t="shared" si="1"/>
        <v/>
      </c>
      <c r="K51" s="2"/>
      <c r="L51" s="2"/>
      <c r="M51" s="2"/>
    </row>
    <row r="52" spans="1:13">
      <c r="A52" s="2" t="s">
        <v>197</v>
      </c>
      <c r="B52" s="2"/>
      <c r="C52" s="2"/>
      <c r="D52" s="2"/>
      <c r="E52" s="2"/>
      <c r="F52" s="2"/>
      <c r="G52" s="2"/>
      <c r="H52" s="5" t="str">
        <f>IF(G52="","",IFERROR(G52/MAX(1,COUNTIF('01_Конкуренты'!$B$7:$B$36,"?*")),""))</f>
        <v/>
      </c>
      <c r="I52" s="2"/>
      <c r="J52" s="2" t="str">
        <f t="shared" si="1"/>
        <v/>
      </c>
      <c r="K52" s="2"/>
      <c r="L52" s="2"/>
      <c r="M52" s="2"/>
    </row>
    <row r="53" spans="1:13">
      <c r="A53" s="2" t="s">
        <v>198</v>
      </c>
      <c r="B53" s="2"/>
      <c r="C53" s="2"/>
      <c r="D53" s="2"/>
      <c r="E53" s="2"/>
      <c r="F53" s="2"/>
      <c r="G53" s="2"/>
      <c r="H53" s="5" t="str">
        <f>IF(G53="","",IFERROR(G53/MAX(1,COUNTIF('01_Конкуренты'!$B$7:$B$36,"?*")),""))</f>
        <v/>
      </c>
      <c r="I53" s="2"/>
      <c r="J53" s="2" t="str">
        <f t="shared" si="1"/>
        <v/>
      </c>
      <c r="K53" s="2"/>
      <c r="L53" s="2"/>
      <c r="M53" s="2"/>
    </row>
    <row r="54" spans="1:13">
      <c r="A54" s="2" t="s">
        <v>199</v>
      </c>
      <c r="B54" s="2"/>
      <c r="C54" s="2"/>
      <c r="D54" s="2"/>
      <c r="E54" s="2"/>
      <c r="F54" s="2"/>
      <c r="G54" s="2"/>
      <c r="H54" s="5" t="str">
        <f>IF(G54="","",IFERROR(G54/MAX(1,COUNTIF('01_Конкуренты'!$B$7:$B$36,"?*")),""))</f>
        <v/>
      </c>
      <c r="I54" s="2"/>
      <c r="J54" s="2" t="str">
        <f t="shared" si="1"/>
        <v/>
      </c>
      <c r="K54" s="2"/>
      <c r="L54" s="2"/>
      <c r="M54" s="2"/>
    </row>
    <row r="55" spans="1:13">
      <c r="A55" s="2" t="s">
        <v>200</v>
      </c>
      <c r="B55" s="2"/>
      <c r="C55" s="2"/>
      <c r="D55" s="2"/>
      <c r="E55" s="2"/>
      <c r="F55" s="2"/>
      <c r="G55" s="2"/>
      <c r="H55" s="5" t="str">
        <f>IF(G55="","",IFERROR(G55/MAX(1,COUNTIF('01_Конкуренты'!$B$7:$B$36,"?*")),""))</f>
        <v/>
      </c>
      <c r="I55" s="2"/>
      <c r="J55" s="2" t="str">
        <f t="shared" si="1"/>
        <v/>
      </c>
      <c r="K55" s="2"/>
      <c r="L55" s="2"/>
      <c r="M55" s="2"/>
    </row>
    <row r="56" spans="1:13">
      <c r="A56" s="2" t="s">
        <v>201</v>
      </c>
      <c r="B56" s="2"/>
      <c r="C56" s="2"/>
      <c r="D56" s="2"/>
      <c r="E56" s="2"/>
      <c r="F56" s="2"/>
      <c r="G56" s="2"/>
      <c r="H56" s="5" t="str">
        <f>IF(G56="","",IFERROR(G56/MAX(1,COUNTIF('01_Конкуренты'!$B$7:$B$36,"?*")),""))</f>
        <v/>
      </c>
      <c r="I56" s="2"/>
      <c r="J56" s="2" t="str">
        <f t="shared" si="1"/>
        <v/>
      </c>
      <c r="K56" s="2"/>
      <c r="L56" s="2"/>
      <c r="M56" s="2"/>
    </row>
    <row r="57" spans="1:13">
      <c r="A57" s="2" t="s">
        <v>202</v>
      </c>
      <c r="B57" s="2"/>
      <c r="C57" s="2"/>
      <c r="D57" s="2"/>
      <c r="E57" s="2"/>
      <c r="F57" s="2"/>
      <c r="G57" s="2"/>
      <c r="H57" s="5" t="str">
        <f>IF(G57="","",IFERROR(G57/MAX(1,COUNTIF('01_Конкуренты'!$B$7:$B$36,"?*")),""))</f>
        <v/>
      </c>
      <c r="I57" s="2"/>
      <c r="J57" s="2" t="str">
        <f t="shared" si="1"/>
        <v/>
      </c>
      <c r="K57" s="2"/>
      <c r="L57" s="2"/>
      <c r="M57" s="2"/>
    </row>
    <row r="58" spans="1:13">
      <c r="A58" s="2" t="s">
        <v>203</v>
      </c>
      <c r="B58" s="2"/>
      <c r="C58" s="2"/>
      <c r="D58" s="2"/>
      <c r="E58" s="2"/>
      <c r="F58" s="2"/>
      <c r="G58" s="2"/>
      <c r="H58" s="5" t="str">
        <f>IF(G58="","",IFERROR(G58/MAX(1,COUNTIF('01_Конкуренты'!$B$7:$B$36,"?*")),""))</f>
        <v/>
      </c>
      <c r="I58" s="2"/>
      <c r="J58" s="2" t="str">
        <f t="shared" si="1"/>
        <v/>
      </c>
      <c r="K58" s="2"/>
      <c r="L58" s="2"/>
      <c r="M58" s="2"/>
    </row>
    <row r="59" spans="1:13">
      <c r="A59" s="2" t="s">
        <v>204</v>
      </c>
      <c r="B59" s="2"/>
      <c r="C59" s="2"/>
      <c r="D59" s="2"/>
      <c r="E59" s="2"/>
      <c r="F59" s="2"/>
      <c r="G59" s="2"/>
      <c r="H59" s="5" t="str">
        <f>IF(G59="","",IFERROR(G59/MAX(1,COUNTIF('01_Конкуренты'!$B$7:$B$36,"?*")),""))</f>
        <v/>
      </c>
      <c r="I59" s="2"/>
      <c r="J59" s="2" t="str">
        <f t="shared" si="1"/>
        <v/>
      </c>
      <c r="K59" s="2"/>
      <c r="L59" s="2"/>
      <c r="M59" s="2"/>
    </row>
    <row r="60" spans="1:13">
      <c r="A60" s="2" t="s">
        <v>205</v>
      </c>
      <c r="B60" s="2"/>
      <c r="C60" s="2"/>
      <c r="D60" s="2"/>
      <c r="E60" s="2"/>
      <c r="F60" s="2"/>
      <c r="G60" s="2"/>
      <c r="H60" s="5" t="str">
        <f>IF(G60="","",IFERROR(G60/MAX(1,COUNTIF('01_Конкуренты'!$B$7:$B$36,"?*")),""))</f>
        <v/>
      </c>
      <c r="I60" s="2"/>
      <c r="J60" s="2" t="str">
        <f t="shared" si="1"/>
        <v/>
      </c>
      <c r="K60" s="2"/>
      <c r="L60" s="2"/>
      <c r="M60" s="2"/>
    </row>
    <row r="61" spans="1:13">
      <c r="A61" s="2" t="s">
        <v>206</v>
      </c>
      <c r="B61" s="2"/>
      <c r="C61" s="2"/>
      <c r="D61" s="2"/>
      <c r="E61" s="2"/>
      <c r="F61" s="2"/>
      <c r="G61" s="2"/>
      <c r="H61" s="5" t="str">
        <f>IF(G61="","",IFERROR(G61/MAX(1,COUNTIF('01_Конкуренты'!$B$7:$B$36,"?*")),""))</f>
        <v/>
      </c>
      <c r="I61" s="2"/>
      <c r="J61" s="2" t="str">
        <f t="shared" si="1"/>
        <v/>
      </c>
      <c r="K61" s="2"/>
      <c r="L61" s="2"/>
      <c r="M61" s="2"/>
    </row>
    <row r="62" spans="1:13">
      <c r="A62" s="2" t="s">
        <v>207</v>
      </c>
      <c r="B62" s="2"/>
      <c r="C62" s="2"/>
      <c r="D62" s="2"/>
      <c r="E62" s="2"/>
      <c r="F62" s="2"/>
      <c r="G62" s="2"/>
      <c r="H62" s="5" t="str">
        <f>IF(G62="","",IFERROR(G62/MAX(1,COUNTIF('01_Конкуренты'!$B$7:$B$36,"?*")),""))</f>
        <v/>
      </c>
      <c r="I62" s="2"/>
      <c r="J62" s="2" t="str">
        <f t="shared" si="1"/>
        <v/>
      </c>
      <c r="K62" s="2"/>
      <c r="L62" s="2"/>
      <c r="M62" s="2"/>
    </row>
    <row r="63" spans="1:13">
      <c r="A63" s="2" t="s">
        <v>208</v>
      </c>
      <c r="B63" s="2"/>
      <c r="C63" s="2"/>
      <c r="D63" s="2"/>
      <c r="E63" s="2"/>
      <c r="F63" s="2"/>
      <c r="G63" s="2"/>
      <c r="H63" s="5" t="str">
        <f>IF(G63="","",IFERROR(G63/MAX(1,COUNTIF('01_Конкуренты'!$B$7:$B$36,"?*")),""))</f>
        <v/>
      </c>
      <c r="I63" s="2"/>
      <c r="J63" s="2" t="str">
        <f t="shared" si="1"/>
        <v/>
      </c>
      <c r="K63" s="2"/>
      <c r="L63" s="2"/>
      <c r="M63" s="2"/>
    </row>
    <row r="64" spans="1:13">
      <c r="A64" s="2" t="s">
        <v>209</v>
      </c>
      <c r="B64" s="2"/>
      <c r="C64" s="2"/>
      <c r="D64" s="2"/>
      <c r="E64" s="2"/>
      <c r="F64" s="2"/>
      <c r="G64" s="2"/>
      <c r="H64" s="5" t="str">
        <f>IF(G64="","",IFERROR(G64/MAX(1,COUNTIF('01_Конкуренты'!$B$7:$B$36,"?*")),""))</f>
        <v/>
      </c>
      <c r="I64" s="2"/>
      <c r="J64" s="2" t="str">
        <f t="shared" si="1"/>
        <v/>
      </c>
      <c r="K64" s="2"/>
      <c r="L64" s="2"/>
      <c r="M64" s="2"/>
    </row>
    <row r="65" spans="1:13">
      <c r="A65" s="2" t="s">
        <v>210</v>
      </c>
      <c r="B65" s="2"/>
      <c r="C65" s="2"/>
      <c r="D65" s="2"/>
      <c r="E65" s="2"/>
      <c r="F65" s="2"/>
      <c r="G65" s="2"/>
      <c r="H65" s="5" t="str">
        <f>IF(G65="","",IFERROR(G65/MAX(1,COUNTIF('01_Конкуренты'!$B$7:$B$36,"?*")),""))</f>
        <v/>
      </c>
      <c r="I65" s="2"/>
      <c r="J65" s="2" t="str">
        <f t="shared" si="1"/>
        <v/>
      </c>
      <c r="K65" s="2"/>
      <c r="L65" s="2"/>
      <c r="M65" s="2"/>
    </row>
    <row r="66" spans="1:13">
      <c r="A66" s="2" t="s">
        <v>211</v>
      </c>
      <c r="B66" s="2"/>
      <c r="C66" s="2"/>
      <c r="D66" s="2"/>
      <c r="E66" s="2"/>
      <c r="F66" s="2"/>
      <c r="G66" s="2"/>
      <c r="H66" s="5" t="str">
        <f>IF(G66="","",IFERROR(G66/MAX(1,COUNTIF('01_Конкуренты'!$B$7:$B$36,"?*")),""))</f>
        <v/>
      </c>
      <c r="I66" s="2"/>
      <c r="J66" s="2" t="str">
        <f t="shared" si="1"/>
        <v/>
      </c>
      <c r="K66" s="2"/>
      <c r="L66" s="2"/>
      <c r="M66" s="2"/>
    </row>
    <row r="67" spans="1:13">
      <c r="A67" s="2" t="s">
        <v>212</v>
      </c>
      <c r="B67" s="2"/>
      <c r="C67" s="2"/>
      <c r="D67" s="2"/>
      <c r="E67" s="2"/>
      <c r="F67" s="2"/>
      <c r="G67" s="2"/>
      <c r="H67" s="5" t="str">
        <f>IF(G67="","",IFERROR(G67/MAX(1,COUNTIF('01_Конкуренты'!$B$7:$B$36,"?*")),""))</f>
        <v/>
      </c>
      <c r="I67" s="2"/>
      <c r="J67" s="2" t="str">
        <f t="shared" si="1"/>
        <v/>
      </c>
      <c r="K67" s="2"/>
      <c r="L67" s="2"/>
      <c r="M67" s="2"/>
    </row>
    <row r="68" spans="1:13">
      <c r="A68" s="2" t="s">
        <v>213</v>
      </c>
      <c r="B68" s="2"/>
      <c r="C68" s="2"/>
      <c r="D68" s="2"/>
      <c r="E68" s="2"/>
      <c r="F68" s="2"/>
      <c r="G68" s="2"/>
      <c r="H68" s="5" t="str">
        <f>IF(G68="","",IFERROR(G68/MAX(1,COUNTIF('01_Конкуренты'!$B$7:$B$36,"?*")),""))</f>
        <v/>
      </c>
      <c r="I68" s="2"/>
      <c r="J68" s="2" t="str">
        <f t="shared" si="1"/>
        <v/>
      </c>
      <c r="K68" s="2"/>
      <c r="L68" s="2"/>
      <c r="M68" s="2"/>
    </row>
    <row r="69" spans="1:13">
      <c r="A69" s="2" t="s">
        <v>214</v>
      </c>
      <c r="B69" s="2"/>
      <c r="C69" s="2"/>
      <c r="D69" s="2"/>
      <c r="E69" s="2"/>
      <c r="F69" s="2"/>
      <c r="G69" s="2"/>
      <c r="H69" s="5" t="str">
        <f>IF(G69="","",IFERROR(G69/MAX(1,COUNTIF('01_Конкуренты'!$B$7:$B$36,"?*")),""))</f>
        <v/>
      </c>
      <c r="I69" s="2"/>
      <c r="J69" s="2" t="str">
        <f t="shared" si="1"/>
        <v/>
      </c>
      <c r="K69" s="2"/>
      <c r="L69" s="2"/>
      <c r="M69" s="2"/>
    </row>
    <row r="70" spans="1:13">
      <c r="A70" s="2" t="s">
        <v>215</v>
      </c>
      <c r="B70" s="2"/>
      <c r="C70" s="2"/>
      <c r="D70" s="2"/>
      <c r="E70" s="2"/>
      <c r="F70" s="2"/>
      <c r="G70" s="2"/>
      <c r="H70" s="5" t="str">
        <f>IF(G70="","",IFERROR(G70/MAX(1,COUNTIF('01_Конкуренты'!$B$7:$B$36,"?*")),""))</f>
        <v/>
      </c>
      <c r="I70" s="2"/>
      <c r="J70" s="2" t="str">
        <f t="shared" si="1"/>
        <v/>
      </c>
      <c r="K70" s="2"/>
      <c r="L70" s="2"/>
      <c r="M70" s="2"/>
    </row>
    <row r="71" spans="1:13">
      <c r="A71" s="2" t="s">
        <v>216</v>
      </c>
      <c r="B71" s="2"/>
      <c r="C71" s="2"/>
      <c r="D71" s="2"/>
      <c r="E71" s="2"/>
      <c r="F71" s="2"/>
      <c r="G71" s="2"/>
      <c r="H71" s="5" t="str">
        <f>IF(G71="","",IFERROR(G71/MAX(1,COUNTIF('01_Конкуренты'!$B$7:$B$36,"?*")),""))</f>
        <v/>
      </c>
      <c r="I71" s="2"/>
      <c r="J71" s="2" t="str">
        <f t="shared" ref="J71:J102" si="2">IF(B71="","",IF(E71="Обязательное",IF(H71&gt;=0.6,"Минимальный рыночный стандарт","Потенциальный обязательный разрыв"),IF(E71="Линейное",IF(H71&gt;=0.5,"Конкурентная норма с влиянием на выбор","Зона усиления ценности"),IF(E71="Привлекательное",IF(H71&lt;0.5,"Зона дифференциации","Переходит в ожидаемую норму"),IF(E71="Безразличное","Не делать при дефиците ресурсов",IF(E71="Обратное","Исключить или проверить риск отторжения","Требует проверки"))))))</f>
        <v/>
      </c>
      <c r="K71" s="2"/>
      <c r="L71" s="2"/>
      <c r="M71" s="2"/>
    </row>
    <row r="72" spans="1:13">
      <c r="A72" s="2" t="s">
        <v>217</v>
      </c>
      <c r="B72" s="2"/>
      <c r="C72" s="2"/>
      <c r="D72" s="2"/>
      <c r="E72" s="2"/>
      <c r="F72" s="2"/>
      <c r="G72" s="2"/>
      <c r="H72" s="5" t="str">
        <f>IF(G72="","",IFERROR(G72/MAX(1,COUNTIF('01_Конкуренты'!$B$7:$B$36,"?*")),""))</f>
        <v/>
      </c>
      <c r="I72" s="2"/>
      <c r="J72" s="2" t="str">
        <f t="shared" si="2"/>
        <v/>
      </c>
      <c r="K72" s="2"/>
      <c r="L72" s="2"/>
      <c r="M72" s="2"/>
    </row>
    <row r="73" spans="1:13">
      <c r="A73" s="2" t="s">
        <v>218</v>
      </c>
      <c r="B73" s="2"/>
      <c r="C73" s="2"/>
      <c r="D73" s="2"/>
      <c r="E73" s="2"/>
      <c r="F73" s="2"/>
      <c r="G73" s="2"/>
      <c r="H73" s="5" t="str">
        <f>IF(G73="","",IFERROR(G73/MAX(1,COUNTIF('01_Конкуренты'!$B$7:$B$36,"?*")),""))</f>
        <v/>
      </c>
      <c r="I73" s="2"/>
      <c r="J73" s="2" t="str">
        <f t="shared" si="2"/>
        <v/>
      </c>
      <c r="K73" s="2"/>
      <c r="L73" s="2"/>
      <c r="M73" s="2"/>
    </row>
    <row r="74" spans="1:13">
      <c r="A74" s="2" t="s">
        <v>219</v>
      </c>
      <c r="B74" s="2"/>
      <c r="C74" s="2"/>
      <c r="D74" s="2"/>
      <c r="E74" s="2"/>
      <c r="F74" s="2"/>
      <c r="G74" s="2"/>
      <c r="H74" s="5" t="str">
        <f>IF(G74="","",IFERROR(G74/MAX(1,COUNTIF('01_Конкуренты'!$B$7:$B$36,"?*")),""))</f>
        <v/>
      </c>
      <c r="I74" s="2"/>
      <c r="J74" s="2" t="str">
        <f t="shared" si="2"/>
        <v/>
      </c>
      <c r="K74" s="2"/>
      <c r="L74" s="2"/>
      <c r="M74" s="2"/>
    </row>
    <row r="75" spans="1:13">
      <c r="A75" s="2" t="s">
        <v>220</v>
      </c>
      <c r="B75" s="2"/>
      <c r="C75" s="2"/>
      <c r="D75" s="2"/>
      <c r="E75" s="2"/>
      <c r="F75" s="2"/>
      <c r="G75" s="2"/>
      <c r="H75" s="5" t="str">
        <f>IF(G75="","",IFERROR(G75/MAX(1,COUNTIF('01_Конкуренты'!$B$7:$B$36,"?*")),""))</f>
        <v/>
      </c>
      <c r="I75" s="2"/>
      <c r="J75" s="2" t="str">
        <f t="shared" si="2"/>
        <v/>
      </c>
      <c r="K75" s="2"/>
      <c r="L75" s="2"/>
      <c r="M75" s="2"/>
    </row>
    <row r="76" spans="1:13">
      <c r="A76" s="2" t="s">
        <v>221</v>
      </c>
      <c r="B76" s="2"/>
      <c r="C76" s="2"/>
      <c r="D76" s="2"/>
      <c r="E76" s="2"/>
      <c r="F76" s="2"/>
      <c r="G76" s="2"/>
      <c r="H76" s="5" t="str">
        <f>IF(G76="","",IFERROR(G76/MAX(1,COUNTIF('01_Конкуренты'!$B$7:$B$36,"?*")),""))</f>
        <v/>
      </c>
      <c r="I76" s="2"/>
      <c r="J76" s="2" t="str">
        <f t="shared" si="2"/>
        <v/>
      </c>
      <c r="K76" s="2"/>
      <c r="L76" s="2"/>
      <c r="M76" s="2"/>
    </row>
    <row r="77" spans="1:13">
      <c r="A77" s="2" t="s">
        <v>222</v>
      </c>
      <c r="B77" s="2"/>
      <c r="C77" s="2"/>
      <c r="D77" s="2"/>
      <c r="E77" s="2"/>
      <c r="F77" s="2"/>
      <c r="G77" s="2"/>
      <c r="H77" s="5" t="str">
        <f>IF(G77="","",IFERROR(G77/MAX(1,COUNTIF('01_Конкуренты'!$B$7:$B$36,"?*")),""))</f>
        <v/>
      </c>
      <c r="I77" s="2"/>
      <c r="J77" s="2" t="str">
        <f t="shared" si="2"/>
        <v/>
      </c>
      <c r="K77" s="2"/>
      <c r="L77" s="2"/>
      <c r="M77" s="2"/>
    </row>
    <row r="78" spans="1:13">
      <c r="A78" s="2" t="s">
        <v>223</v>
      </c>
      <c r="B78" s="2"/>
      <c r="C78" s="2"/>
      <c r="D78" s="2"/>
      <c r="E78" s="2"/>
      <c r="F78" s="2"/>
      <c r="G78" s="2"/>
      <c r="H78" s="5" t="str">
        <f>IF(G78="","",IFERROR(G78/MAX(1,COUNTIF('01_Конкуренты'!$B$7:$B$36,"?*")),""))</f>
        <v/>
      </c>
      <c r="I78" s="2"/>
      <c r="J78" s="2" t="str">
        <f t="shared" si="2"/>
        <v/>
      </c>
      <c r="K78" s="2"/>
      <c r="L78" s="2"/>
      <c r="M78" s="2"/>
    </row>
    <row r="79" spans="1:13">
      <c r="A79" s="2" t="s">
        <v>224</v>
      </c>
      <c r="B79" s="2"/>
      <c r="C79" s="2"/>
      <c r="D79" s="2"/>
      <c r="E79" s="2"/>
      <c r="F79" s="2"/>
      <c r="G79" s="2"/>
      <c r="H79" s="5" t="str">
        <f>IF(G79="","",IFERROR(G79/MAX(1,COUNTIF('01_Конкуренты'!$B$7:$B$36,"?*")),""))</f>
        <v/>
      </c>
      <c r="I79" s="2"/>
      <c r="J79" s="2" t="str">
        <f t="shared" si="2"/>
        <v/>
      </c>
      <c r="K79" s="2"/>
      <c r="L79" s="2"/>
      <c r="M79" s="2"/>
    </row>
    <row r="80" spans="1:13">
      <c r="A80" s="2" t="s">
        <v>225</v>
      </c>
      <c r="B80" s="2"/>
      <c r="C80" s="2"/>
      <c r="D80" s="2"/>
      <c r="E80" s="2"/>
      <c r="F80" s="2"/>
      <c r="G80" s="2"/>
      <c r="H80" s="5" t="str">
        <f>IF(G80="","",IFERROR(G80/MAX(1,COUNTIF('01_Конкуренты'!$B$7:$B$36,"?*")),""))</f>
        <v/>
      </c>
      <c r="I80" s="2"/>
      <c r="J80" s="2" t="str">
        <f t="shared" si="2"/>
        <v/>
      </c>
      <c r="K80" s="2"/>
      <c r="L80" s="2"/>
      <c r="M80" s="2"/>
    </row>
    <row r="81" spans="1:13">
      <c r="A81" s="2" t="s">
        <v>226</v>
      </c>
      <c r="B81" s="2"/>
      <c r="C81" s="2"/>
      <c r="D81" s="2"/>
      <c r="E81" s="2"/>
      <c r="F81" s="2"/>
      <c r="G81" s="2"/>
      <c r="H81" s="5" t="str">
        <f>IF(G81="","",IFERROR(G81/MAX(1,COUNTIF('01_Конкуренты'!$B$7:$B$36,"?*")),""))</f>
        <v/>
      </c>
      <c r="I81" s="2"/>
      <c r="J81" s="2" t="str">
        <f t="shared" si="2"/>
        <v/>
      </c>
      <c r="K81" s="2"/>
      <c r="L81" s="2"/>
      <c r="M81" s="2"/>
    </row>
    <row r="82" spans="1:13">
      <c r="A82" s="2" t="s">
        <v>227</v>
      </c>
      <c r="B82" s="2"/>
      <c r="C82" s="2"/>
      <c r="D82" s="2"/>
      <c r="E82" s="2"/>
      <c r="F82" s="2"/>
      <c r="G82" s="2"/>
      <c r="H82" s="5" t="str">
        <f>IF(G82="","",IFERROR(G82/MAX(1,COUNTIF('01_Конкуренты'!$B$7:$B$36,"?*")),""))</f>
        <v/>
      </c>
      <c r="I82" s="2"/>
      <c r="J82" s="2" t="str">
        <f t="shared" si="2"/>
        <v/>
      </c>
      <c r="K82" s="2"/>
      <c r="L82" s="2"/>
      <c r="M82" s="2"/>
    </row>
    <row r="83" spans="1:13">
      <c r="A83" s="2" t="s">
        <v>228</v>
      </c>
      <c r="B83" s="2"/>
      <c r="C83" s="2"/>
      <c r="D83" s="2"/>
      <c r="E83" s="2"/>
      <c r="F83" s="2"/>
      <c r="G83" s="2"/>
      <c r="H83" s="5" t="str">
        <f>IF(G83="","",IFERROR(G83/MAX(1,COUNTIF('01_Конкуренты'!$B$7:$B$36,"?*")),""))</f>
        <v/>
      </c>
      <c r="I83" s="2"/>
      <c r="J83" s="2" t="str">
        <f t="shared" si="2"/>
        <v/>
      </c>
      <c r="K83" s="2"/>
      <c r="L83" s="2"/>
      <c r="M83" s="2"/>
    </row>
    <row r="84" spans="1:13">
      <c r="A84" s="2" t="s">
        <v>229</v>
      </c>
      <c r="B84" s="2"/>
      <c r="C84" s="2"/>
      <c r="D84" s="2"/>
      <c r="E84" s="2"/>
      <c r="F84" s="2"/>
      <c r="G84" s="2"/>
      <c r="H84" s="5" t="str">
        <f>IF(G84="","",IFERROR(G84/MAX(1,COUNTIF('01_Конкуренты'!$B$7:$B$36,"?*")),""))</f>
        <v/>
      </c>
      <c r="I84" s="2"/>
      <c r="J84" s="2" t="str">
        <f t="shared" si="2"/>
        <v/>
      </c>
      <c r="K84" s="2"/>
      <c r="L84" s="2"/>
      <c r="M84" s="2"/>
    </row>
    <row r="85" spans="1:13">
      <c r="A85" s="2" t="s">
        <v>230</v>
      </c>
      <c r="B85" s="2"/>
      <c r="C85" s="2"/>
      <c r="D85" s="2"/>
      <c r="E85" s="2"/>
      <c r="F85" s="2"/>
      <c r="G85" s="2"/>
      <c r="H85" s="5" t="str">
        <f>IF(G85="","",IFERROR(G85/MAX(1,COUNTIF('01_Конкуренты'!$B$7:$B$36,"?*")),""))</f>
        <v/>
      </c>
      <c r="I85" s="2"/>
      <c r="J85" s="2" t="str">
        <f t="shared" si="2"/>
        <v/>
      </c>
      <c r="K85" s="2"/>
      <c r="L85" s="2"/>
      <c r="M85" s="2"/>
    </row>
    <row r="86" spans="1:13">
      <c r="A86" s="2" t="s">
        <v>231</v>
      </c>
      <c r="B86" s="2"/>
      <c r="C86" s="2"/>
      <c r="D86" s="2"/>
      <c r="E86" s="2"/>
      <c r="F86" s="2"/>
      <c r="G86" s="2"/>
      <c r="H86" s="5" t="str">
        <f>IF(G86="","",IFERROR(G86/MAX(1,COUNTIF('01_Конкуренты'!$B$7:$B$36,"?*")),""))</f>
        <v/>
      </c>
      <c r="I86" s="2"/>
      <c r="J86" s="2" t="str">
        <f t="shared" si="2"/>
        <v/>
      </c>
      <c r="K86" s="2"/>
      <c r="L86" s="2"/>
      <c r="M86" s="2"/>
    </row>
    <row r="87" spans="1:13">
      <c r="A87" s="2" t="s">
        <v>232</v>
      </c>
      <c r="B87" s="2"/>
      <c r="C87" s="2"/>
      <c r="D87" s="2"/>
      <c r="E87" s="2"/>
      <c r="F87" s="2"/>
      <c r="G87" s="2"/>
      <c r="H87" s="5" t="str">
        <f>IF(G87="","",IFERROR(G87/MAX(1,COUNTIF('01_Конкуренты'!$B$7:$B$36,"?*")),""))</f>
        <v/>
      </c>
      <c r="I87" s="2"/>
      <c r="J87" s="2" t="str">
        <f t="shared" si="2"/>
        <v/>
      </c>
      <c r="K87" s="2"/>
      <c r="L87" s="2"/>
      <c r="M87" s="2"/>
    </row>
    <row r="88" spans="1:13">
      <c r="A88" s="2" t="s">
        <v>233</v>
      </c>
      <c r="B88" s="2"/>
      <c r="C88" s="2"/>
      <c r="D88" s="2"/>
      <c r="E88" s="2"/>
      <c r="F88" s="2"/>
      <c r="G88" s="2"/>
      <c r="H88" s="5" t="str">
        <f>IF(G88="","",IFERROR(G88/MAX(1,COUNTIF('01_Конкуренты'!$B$7:$B$36,"?*")),""))</f>
        <v/>
      </c>
      <c r="I88" s="2"/>
      <c r="J88" s="2" t="str">
        <f t="shared" si="2"/>
        <v/>
      </c>
      <c r="K88" s="2"/>
      <c r="L88" s="2"/>
      <c r="M88" s="2"/>
    </row>
    <row r="89" spans="1:13">
      <c r="A89" s="2" t="s">
        <v>234</v>
      </c>
      <c r="B89" s="2"/>
      <c r="C89" s="2"/>
      <c r="D89" s="2"/>
      <c r="E89" s="2"/>
      <c r="F89" s="2"/>
      <c r="G89" s="2"/>
      <c r="H89" s="5" t="str">
        <f>IF(G89="","",IFERROR(G89/MAX(1,COUNTIF('01_Конкуренты'!$B$7:$B$36,"?*")),""))</f>
        <v/>
      </c>
      <c r="I89" s="2"/>
      <c r="J89" s="2" t="str">
        <f t="shared" si="2"/>
        <v/>
      </c>
      <c r="K89" s="2"/>
      <c r="L89" s="2"/>
      <c r="M89" s="2"/>
    </row>
    <row r="90" spans="1:13">
      <c r="A90" s="2" t="s">
        <v>235</v>
      </c>
      <c r="B90" s="2"/>
      <c r="C90" s="2"/>
      <c r="D90" s="2"/>
      <c r="E90" s="2"/>
      <c r="F90" s="2"/>
      <c r="G90" s="2"/>
      <c r="H90" s="5" t="str">
        <f>IF(G90="","",IFERROR(G90/MAX(1,COUNTIF('01_Конкуренты'!$B$7:$B$36,"?*")),""))</f>
        <v/>
      </c>
      <c r="I90" s="2"/>
      <c r="J90" s="2" t="str">
        <f t="shared" si="2"/>
        <v/>
      </c>
      <c r="K90" s="2"/>
      <c r="L90" s="2"/>
      <c r="M90" s="2"/>
    </row>
    <row r="91" spans="1:13">
      <c r="A91" s="2" t="s">
        <v>236</v>
      </c>
      <c r="B91" s="2"/>
      <c r="C91" s="2"/>
      <c r="D91" s="2"/>
      <c r="E91" s="2"/>
      <c r="F91" s="2"/>
      <c r="G91" s="2"/>
      <c r="H91" s="5" t="str">
        <f>IF(G91="","",IFERROR(G91/MAX(1,COUNTIF('01_Конкуренты'!$B$7:$B$36,"?*")),""))</f>
        <v/>
      </c>
      <c r="I91" s="2"/>
      <c r="J91" s="2" t="str">
        <f t="shared" si="2"/>
        <v/>
      </c>
      <c r="K91" s="2"/>
      <c r="L91" s="2"/>
      <c r="M91" s="2"/>
    </row>
    <row r="92" spans="1:13">
      <c r="A92" s="2" t="s">
        <v>237</v>
      </c>
      <c r="B92" s="2"/>
      <c r="C92" s="2"/>
      <c r="D92" s="2"/>
      <c r="E92" s="2"/>
      <c r="F92" s="2"/>
      <c r="G92" s="2"/>
      <c r="H92" s="5" t="str">
        <f>IF(G92="","",IFERROR(G92/MAX(1,COUNTIF('01_Конкуренты'!$B$7:$B$36,"?*")),""))</f>
        <v/>
      </c>
      <c r="I92" s="2"/>
      <c r="J92" s="2" t="str">
        <f t="shared" si="2"/>
        <v/>
      </c>
      <c r="K92" s="2"/>
      <c r="L92" s="2"/>
      <c r="M92" s="2"/>
    </row>
    <row r="93" spans="1:13">
      <c r="A93" s="2" t="s">
        <v>238</v>
      </c>
      <c r="B93" s="2"/>
      <c r="C93" s="2"/>
      <c r="D93" s="2"/>
      <c r="E93" s="2"/>
      <c r="F93" s="2"/>
      <c r="G93" s="2"/>
      <c r="H93" s="5" t="str">
        <f>IF(G93="","",IFERROR(G93/MAX(1,COUNTIF('01_Конкуренты'!$B$7:$B$36,"?*")),""))</f>
        <v/>
      </c>
      <c r="I93" s="2"/>
      <c r="J93" s="2" t="str">
        <f t="shared" si="2"/>
        <v/>
      </c>
      <c r="K93" s="2"/>
      <c r="L93" s="2"/>
      <c r="M93" s="2"/>
    </row>
    <row r="94" spans="1:13">
      <c r="A94" s="2" t="s">
        <v>239</v>
      </c>
      <c r="B94" s="2"/>
      <c r="C94" s="2"/>
      <c r="D94" s="2"/>
      <c r="E94" s="2"/>
      <c r="F94" s="2"/>
      <c r="G94" s="2"/>
      <c r="H94" s="5" t="str">
        <f>IF(G94="","",IFERROR(G94/MAX(1,COUNTIF('01_Конкуренты'!$B$7:$B$36,"?*")),""))</f>
        <v/>
      </c>
      <c r="I94" s="2"/>
      <c r="J94" s="2" t="str">
        <f t="shared" si="2"/>
        <v/>
      </c>
      <c r="K94" s="2"/>
      <c r="L94" s="2"/>
      <c r="M94" s="2"/>
    </row>
    <row r="95" spans="1:13">
      <c r="A95" s="2" t="s">
        <v>240</v>
      </c>
      <c r="B95" s="2"/>
      <c r="C95" s="2"/>
      <c r="D95" s="2"/>
      <c r="E95" s="2"/>
      <c r="F95" s="2"/>
      <c r="G95" s="2"/>
      <c r="H95" s="5" t="str">
        <f>IF(G95="","",IFERROR(G95/MAX(1,COUNTIF('01_Конкуренты'!$B$7:$B$36,"?*")),""))</f>
        <v/>
      </c>
      <c r="I95" s="2"/>
      <c r="J95" s="2" t="str">
        <f t="shared" si="2"/>
        <v/>
      </c>
      <c r="K95" s="2"/>
      <c r="L95" s="2"/>
      <c r="M95" s="2"/>
    </row>
    <row r="96" spans="1:13">
      <c r="A96" s="2" t="s">
        <v>241</v>
      </c>
      <c r="B96" s="2"/>
      <c r="C96" s="2"/>
      <c r="D96" s="2"/>
      <c r="E96" s="2"/>
      <c r="F96" s="2"/>
      <c r="G96" s="2"/>
      <c r="H96" s="5" t="str">
        <f>IF(G96="","",IFERROR(G96/MAX(1,COUNTIF('01_Конкуренты'!$B$7:$B$36,"?*")),""))</f>
        <v/>
      </c>
      <c r="I96" s="2"/>
      <c r="J96" s="2" t="str">
        <f t="shared" si="2"/>
        <v/>
      </c>
      <c r="K96" s="2"/>
      <c r="L96" s="2"/>
      <c r="M96" s="2"/>
    </row>
    <row r="97" spans="1:13">
      <c r="A97" s="2" t="s">
        <v>242</v>
      </c>
      <c r="B97" s="2"/>
      <c r="C97" s="2"/>
      <c r="D97" s="2"/>
      <c r="E97" s="2"/>
      <c r="F97" s="2"/>
      <c r="G97" s="2"/>
      <c r="H97" s="5" t="str">
        <f>IF(G97="","",IFERROR(G97/MAX(1,COUNTIF('01_Конкуренты'!$B$7:$B$36,"?*")),""))</f>
        <v/>
      </c>
      <c r="I97" s="2"/>
      <c r="J97" s="2" t="str">
        <f t="shared" si="2"/>
        <v/>
      </c>
      <c r="K97" s="2"/>
      <c r="L97" s="2"/>
      <c r="M97" s="2"/>
    </row>
    <row r="98" spans="1:13">
      <c r="A98" s="2" t="s">
        <v>243</v>
      </c>
      <c r="B98" s="2"/>
      <c r="C98" s="2"/>
      <c r="D98" s="2"/>
      <c r="E98" s="2"/>
      <c r="F98" s="2"/>
      <c r="G98" s="2"/>
      <c r="H98" s="5" t="str">
        <f>IF(G98="","",IFERROR(G98/MAX(1,COUNTIF('01_Конкуренты'!$B$7:$B$36,"?*")),""))</f>
        <v/>
      </c>
      <c r="I98" s="2"/>
      <c r="J98" s="2" t="str">
        <f t="shared" si="2"/>
        <v/>
      </c>
      <c r="K98" s="2"/>
      <c r="L98" s="2"/>
      <c r="M98" s="2"/>
    </row>
    <row r="99" spans="1:13">
      <c r="A99" s="2" t="s">
        <v>244</v>
      </c>
      <c r="B99" s="2"/>
      <c r="C99" s="2"/>
      <c r="D99" s="2"/>
      <c r="E99" s="2"/>
      <c r="F99" s="2"/>
      <c r="G99" s="2"/>
      <c r="H99" s="5" t="str">
        <f>IF(G99="","",IFERROR(G99/MAX(1,COUNTIF('01_Конкуренты'!$B$7:$B$36,"?*")),""))</f>
        <v/>
      </c>
      <c r="I99" s="2"/>
      <c r="J99" s="2" t="str">
        <f t="shared" si="2"/>
        <v/>
      </c>
      <c r="K99" s="2"/>
      <c r="L99" s="2"/>
      <c r="M99" s="2"/>
    </row>
    <row r="100" spans="1:13">
      <c r="A100" s="2" t="s">
        <v>245</v>
      </c>
      <c r="B100" s="2"/>
      <c r="C100" s="2"/>
      <c r="D100" s="2"/>
      <c r="E100" s="2"/>
      <c r="F100" s="2"/>
      <c r="G100" s="2"/>
      <c r="H100" s="5" t="str">
        <f>IF(G100="","",IFERROR(G100/MAX(1,COUNTIF('01_Конкуренты'!$B$7:$B$36,"?*")),""))</f>
        <v/>
      </c>
      <c r="I100" s="2"/>
      <c r="J100" s="2" t="str">
        <f t="shared" si="2"/>
        <v/>
      </c>
      <c r="K100" s="2"/>
      <c r="L100" s="2"/>
      <c r="M100" s="2"/>
    </row>
    <row r="101" spans="1:13">
      <c r="A101" s="2" t="s">
        <v>246</v>
      </c>
      <c r="B101" s="2"/>
      <c r="C101" s="2"/>
      <c r="D101" s="2"/>
      <c r="E101" s="2"/>
      <c r="F101" s="2"/>
      <c r="G101" s="2"/>
      <c r="H101" s="5" t="str">
        <f>IF(G101="","",IFERROR(G101/MAX(1,COUNTIF('01_Конкуренты'!$B$7:$B$36,"?*")),""))</f>
        <v/>
      </c>
      <c r="I101" s="2"/>
      <c r="J101" s="2" t="str">
        <f t="shared" si="2"/>
        <v/>
      </c>
      <c r="K101" s="2"/>
      <c r="L101" s="2"/>
      <c r="M101" s="2"/>
    </row>
    <row r="102" spans="1:13">
      <c r="A102" s="2" t="s">
        <v>247</v>
      </c>
      <c r="B102" s="2"/>
      <c r="C102" s="2"/>
      <c r="D102" s="2"/>
      <c r="E102" s="2"/>
      <c r="F102" s="2"/>
      <c r="G102" s="2"/>
      <c r="H102" s="5" t="str">
        <f>IF(G102="","",IFERROR(G102/MAX(1,COUNTIF('01_Конкуренты'!$B$7:$B$36,"?*")),""))</f>
        <v/>
      </c>
      <c r="I102" s="2"/>
      <c r="J102" s="2" t="str">
        <f t="shared" si="2"/>
        <v/>
      </c>
      <c r="K102" s="2"/>
      <c r="L102" s="2"/>
      <c r="M102" s="2"/>
    </row>
    <row r="103" spans="1:13">
      <c r="A103" s="2" t="s">
        <v>248</v>
      </c>
      <c r="B103" s="2"/>
      <c r="C103" s="2"/>
      <c r="D103" s="2"/>
      <c r="E103" s="2"/>
      <c r="F103" s="2"/>
      <c r="G103" s="2"/>
      <c r="H103" s="5" t="str">
        <f>IF(G103="","",IFERROR(G103/MAX(1,COUNTIF('01_Конкуренты'!$B$7:$B$36,"?*")),""))</f>
        <v/>
      </c>
      <c r="I103" s="2"/>
      <c r="J103" s="2" t="str">
        <f t="shared" ref="J103:J134" si="3">IF(B103="","",IF(E103="Обязательное",IF(H103&gt;=0.6,"Минимальный рыночный стандарт","Потенциальный обязательный разрыв"),IF(E103="Линейное",IF(H103&gt;=0.5,"Конкурентная норма с влиянием на выбор","Зона усиления ценности"),IF(E103="Привлекательное",IF(H103&lt;0.5,"Зона дифференциации","Переходит в ожидаемую норму"),IF(E103="Безразличное","Не делать при дефиците ресурсов",IF(E103="Обратное","Исключить или проверить риск отторжения","Требует проверки"))))))</f>
        <v/>
      </c>
      <c r="K103" s="2"/>
      <c r="L103" s="2"/>
      <c r="M103" s="2"/>
    </row>
    <row r="104" spans="1:13">
      <c r="A104" s="2" t="s">
        <v>249</v>
      </c>
      <c r="B104" s="2"/>
      <c r="C104" s="2"/>
      <c r="D104" s="2"/>
      <c r="E104" s="2"/>
      <c r="F104" s="2"/>
      <c r="G104" s="2"/>
      <c r="H104" s="5" t="str">
        <f>IF(G104="","",IFERROR(G104/MAX(1,COUNTIF('01_Конкуренты'!$B$7:$B$36,"?*")),""))</f>
        <v/>
      </c>
      <c r="I104" s="2"/>
      <c r="J104" s="2" t="str">
        <f t="shared" si="3"/>
        <v/>
      </c>
      <c r="K104" s="2"/>
      <c r="L104" s="2"/>
      <c r="M104" s="2"/>
    </row>
    <row r="105" spans="1:13">
      <c r="A105" s="2" t="s">
        <v>250</v>
      </c>
      <c r="B105" s="2"/>
      <c r="C105" s="2"/>
      <c r="D105" s="2"/>
      <c r="E105" s="2"/>
      <c r="F105" s="2"/>
      <c r="G105" s="2"/>
      <c r="H105" s="5" t="str">
        <f>IF(G105="","",IFERROR(G105/MAX(1,COUNTIF('01_Конкуренты'!$B$7:$B$36,"?*")),""))</f>
        <v/>
      </c>
      <c r="I105" s="2"/>
      <c r="J105" s="2" t="str">
        <f t="shared" si="3"/>
        <v/>
      </c>
      <c r="K105" s="2"/>
      <c r="L105" s="2"/>
      <c r="M105" s="2"/>
    </row>
    <row r="106" spans="1:13">
      <c r="A106" s="2" t="s">
        <v>251</v>
      </c>
      <c r="B106" s="2"/>
      <c r="C106" s="2"/>
      <c r="D106" s="2"/>
      <c r="E106" s="2"/>
      <c r="F106" s="2"/>
      <c r="G106" s="2"/>
      <c r="H106" s="5" t="str">
        <f>IF(G106="","",IFERROR(G106/MAX(1,COUNTIF('01_Конкуренты'!$B$7:$B$36,"?*")),""))</f>
        <v/>
      </c>
      <c r="I106" s="2"/>
      <c r="J106" s="2" t="str">
        <f t="shared" si="3"/>
        <v/>
      </c>
      <c r="K106" s="2"/>
      <c r="L106" s="2"/>
      <c r="M106" s="2"/>
    </row>
    <row r="107" spans="1:13">
      <c r="A107" s="2" t="s">
        <v>252</v>
      </c>
      <c r="B107" s="2"/>
      <c r="C107" s="2"/>
      <c r="D107" s="2"/>
      <c r="E107" s="2"/>
      <c r="F107" s="2"/>
      <c r="G107" s="2"/>
      <c r="H107" s="5" t="str">
        <f>IF(G107="","",IFERROR(G107/MAX(1,COUNTIF('01_Конкуренты'!$B$7:$B$36,"?*")),""))</f>
        <v/>
      </c>
      <c r="I107" s="2"/>
      <c r="J107" s="2" t="str">
        <f t="shared" si="3"/>
        <v/>
      </c>
      <c r="K107" s="2"/>
      <c r="L107" s="2"/>
      <c r="M107" s="2"/>
    </row>
    <row r="108" spans="1:13">
      <c r="A108" s="2" t="s">
        <v>253</v>
      </c>
      <c r="B108" s="2"/>
      <c r="C108" s="2"/>
      <c r="D108" s="2"/>
      <c r="E108" s="2"/>
      <c r="F108" s="2"/>
      <c r="G108" s="2"/>
      <c r="H108" s="5" t="str">
        <f>IF(G108="","",IFERROR(G108/MAX(1,COUNTIF('01_Конкуренты'!$B$7:$B$36,"?*")),""))</f>
        <v/>
      </c>
      <c r="I108" s="2"/>
      <c r="J108" s="2" t="str">
        <f t="shared" si="3"/>
        <v/>
      </c>
      <c r="K108" s="2"/>
      <c r="L108" s="2"/>
      <c r="M108" s="2"/>
    </row>
    <row r="109" spans="1:13">
      <c r="A109" s="2" t="s">
        <v>254</v>
      </c>
      <c r="B109" s="2"/>
      <c r="C109" s="2"/>
      <c r="D109" s="2"/>
      <c r="E109" s="2"/>
      <c r="F109" s="2"/>
      <c r="G109" s="2"/>
      <c r="H109" s="5" t="str">
        <f>IF(G109="","",IFERROR(G109/MAX(1,COUNTIF('01_Конкуренты'!$B$7:$B$36,"?*")),""))</f>
        <v/>
      </c>
      <c r="I109" s="2"/>
      <c r="J109" s="2" t="str">
        <f t="shared" si="3"/>
        <v/>
      </c>
      <c r="K109" s="2"/>
      <c r="L109" s="2"/>
      <c r="M109" s="2"/>
    </row>
    <row r="110" spans="1:13">
      <c r="A110" s="2" t="s">
        <v>255</v>
      </c>
      <c r="B110" s="2"/>
      <c r="C110" s="2"/>
      <c r="D110" s="2"/>
      <c r="E110" s="2"/>
      <c r="F110" s="2"/>
      <c r="G110" s="2"/>
      <c r="H110" s="5" t="str">
        <f>IF(G110="","",IFERROR(G110/MAX(1,COUNTIF('01_Конкуренты'!$B$7:$B$36,"?*")),""))</f>
        <v/>
      </c>
      <c r="I110" s="2"/>
      <c r="J110" s="2" t="str">
        <f t="shared" si="3"/>
        <v/>
      </c>
      <c r="K110" s="2"/>
      <c r="L110" s="2"/>
      <c r="M110" s="2"/>
    </row>
    <row r="111" spans="1:13">
      <c r="A111" s="2" t="s">
        <v>256</v>
      </c>
      <c r="B111" s="2"/>
      <c r="C111" s="2"/>
      <c r="D111" s="2"/>
      <c r="E111" s="2"/>
      <c r="F111" s="2"/>
      <c r="G111" s="2"/>
      <c r="H111" s="5" t="str">
        <f>IF(G111="","",IFERROR(G111/MAX(1,COUNTIF('01_Конкуренты'!$B$7:$B$36,"?*")),""))</f>
        <v/>
      </c>
      <c r="I111" s="2"/>
      <c r="J111" s="2" t="str">
        <f t="shared" si="3"/>
        <v/>
      </c>
      <c r="K111" s="2"/>
      <c r="L111" s="2"/>
      <c r="M111" s="2"/>
    </row>
    <row r="112" spans="1:13">
      <c r="A112" s="2" t="s">
        <v>257</v>
      </c>
      <c r="B112" s="2"/>
      <c r="C112" s="2"/>
      <c r="D112" s="2"/>
      <c r="E112" s="2"/>
      <c r="F112" s="2"/>
      <c r="G112" s="2"/>
      <c r="H112" s="5" t="str">
        <f>IF(G112="","",IFERROR(G112/MAX(1,COUNTIF('01_Конкуренты'!$B$7:$B$36,"?*")),""))</f>
        <v/>
      </c>
      <c r="I112" s="2"/>
      <c r="J112" s="2" t="str">
        <f t="shared" si="3"/>
        <v/>
      </c>
      <c r="K112" s="2"/>
      <c r="L112" s="2"/>
      <c r="M112" s="2"/>
    </row>
    <row r="113" spans="1:13">
      <c r="A113" s="2" t="s">
        <v>258</v>
      </c>
      <c r="B113" s="2"/>
      <c r="C113" s="2"/>
      <c r="D113" s="2"/>
      <c r="E113" s="2"/>
      <c r="F113" s="2"/>
      <c r="G113" s="2"/>
      <c r="H113" s="5" t="str">
        <f>IF(G113="","",IFERROR(G113/MAX(1,COUNTIF('01_Конкуренты'!$B$7:$B$36,"?*")),""))</f>
        <v/>
      </c>
      <c r="I113" s="2"/>
      <c r="J113" s="2" t="str">
        <f t="shared" si="3"/>
        <v/>
      </c>
      <c r="K113" s="2"/>
      <c r="L113" s="2"/>
      <c r="M113" s="2"/>
    </row>
    <row r="114" spans="1:13">
      <c r="A114" s="2" t="s">
        <v>259</v>
      </c>
      <c r="B114" s="2"/>
      <c r="C114" s="2"/>
      <c r="D114" s="2"/>
      <c r="E114" s="2"/>
      <c r="F114" s="2"/>
      <c r="G114" s="2"/>
      <c r="H114" s="5" t="str">
        <f>IF(G114="","",IFERROR(G114/MAX(1,COUNTIF('01_Конкуренты'!$B$7:$B$36,"?*")),""))</f>
        <v/>
      </c>
      <c r="I114" s="2"/>
      <c r="J114" s="2" t="str">
        <f t="shared" si="3"/>
        <v/>
      </c>
      <c r="K114" s="2"/>
      <c r="L114" s="2"/>
      <c r="M114" s="2"/>
    </row>
    <row r="115" spans="1:13">
      <c r="A115" s="2" t="s">
        <v>260</v>
      </c>
      <c r="B115" s="2"/>
      <c r="C115" s="2"/>
      <c r="D115" s="2"/>
      <c r="E115" s="2"/>
      <c r="F115" s="2"/>
      <c r="G115" s="2"/>
      <c r="H115" s="5" t="str">
        <f>IF(G115="","",IFERROR(G115/MAX(1,COUNTIF('01_Конкуренты'!$B$7:$B$36,"?*")),""))</f>
        <v/>
      </c>
      <c r="I115" s="2"/>
      <c r="J115" s="2" t="str">
        <f t="shared" si="3"/>
        <v/>
      </c>
      <c r="K115" s="2"/>
      <c r="L115" s="2"/>
      <c r="M115" s="2"/>
    </row>
    <row r="116" spans="1:13">
      <c r="A116" s="2" t="s">
        <v>261</v>
      </c>
      <c r="B116" s="2"/>
      <c r="C116" s="2"/>
      <c r="D116" s="2"/>
      <c r="E116" s="2"/>
      <c r="F116" s="2"/>
      <c r="G116" s="2"/>
      <c r="H116" s="5" t="str">
        <f>IF(G116="","",IFERROR(G116/MAX(1,COUNTIF('01_Конкуренты'!$B$7:$B$36,"?*")),""))</f>
        <v/>
      </c>
      <c r="I116" s="2"/>
      <c r="J116" s="2" t="str">
        <f t="shared" si="3"/>
        <v/>
      </c>
      <c r="K116" s="2"/>
      <c r="L116" s="2"/>
      <c r="M116" s="2"/>
    </row>
    <row r="117" spans="1:13">
      <c r="A117" s="2" t="s">
        <v>262</v>
      </c>
      <c r="B117" s="2"/>
      <c r="C117" s="2"/>
      <c r="D117" s="2"/>
      <c r="E117" s="2"/>
      <c r="F117" s="2"/>
      <c r="G117" s="2"/>
      <c r="H117" s="5" t="str">
        <f>IF(G117="","",IFERROR(G117/MAX(1,COUNTIF('01_Конкуренты'!$B$7:$B$36,"?*")),""))</f>
        <v/>
      </c>
      <c r="I117" s="2"/>
      <c r="J117" s="2" t="str">
        <f t="shared" si="3"/>
        <v/>
      </c>
      <c r="K117" s="2"/>
      <c r="L117" s="2"/>
      <c r="M117" s="2"/>
    </row>
    <row r="118" spans="1:13">
      <c r="A118" s="2" t="s">
        <v>263</v>
      </c>
      <c r="B118" s="2"/>
      <c r="C118" s="2"/>
      <c r="D118" s="2"/>
      <c r="E118" s="2"/>
      <c r="F118" s="2"/>
      <c r="G118" s="2"/>
      <c r="H118" s="5" t="str">
        <f>IF(G118="","",IFERROR(G118/MAX(1,COUNTIF('01_Конкуренты'!$B$7:$B$36,"?*")),""))</f>
        <v/>
      </c>
      <c r="I118" s="2"/>
      <c r="J118" s="2" t="str">
        <f t="shared" si="3"/>
        <v/>
      </c>
      <c r="K118" s="2"/>
      <c r="L118" s="2"/>
      <c r="M118" s="2"/>
    </row>
    <row r="119" spans="1:13">
      <c r="A119" s="2" t="s">
        <v>264</v>
      </c>
      <c r="B119" s="2"/>
      <c r="C119" s="2"/>
      <c r="D119" s="2"/>
      <c r="E119" s="2"/>
      <c r="F119" s="2"/>
      <c r="G119" s="2"/>
      <c r="H119" s="5" t="str">
        <f>IF(G119="","",IFERROR(G119/MAX(1,COUNTIF('01_Конкуренты'!$B$7:$B$36,"?*")),""))</f>
        <v/>
      </c>
      <c r="I119" s="2"/>
      <c r="J119" s="2" t="str">
        <f t="shared" si="3"/>
        <v/>
      </c>
      <c r="K119" s="2"/>
      <c r="L119" s="2"/>
      <c r="M119" s="2"/>
    </row>
    <row r="120" spans="1:13">
      <c r="A120" s="2" t="s">
        <v>265</v>
      </c>
      <c r="B120" s="2"/>
      <c r="C120" s="2"/>
      <c r="D120" s="2"/>
      <c r="E120" s="2"/>
      <c r="F120" s="2"/>
      <c r="G120" s="2"/>
      <c r="H120" s="5" t="str">
        <f>IF(G120="","",IFERROR(G120/MAX(1,COUNTIF('01_Конкуренты'!$B$7:$B$36,"?*")),""))</f>
        <v/>
      </c>
      <c r="I120" s="2"/>
      <c r="J120" s="2" t="str">
        <f t="shared" si="3"/>
        <v/>
      </c>
      <c r="K120" s="2"/>
      <c r="L120" s="2"/>
      <c r="M120" s="2"/>
    </row>
    <row r="121" spans="1:13">
      <c r="A121" s="2" t="s">
        <v>266</v>
      </c>
      <c r="B121" s="2"/>
      <c r="C121" s="2"/>
      <c r="D121" s="2"/>
      <c r="E121" s="2"/>
      <c r="F121" s="2"/>
      <c r="G121" s="2"/>
      <c r="H121" s="5" t="str">
        <f>IF(G121="","",IFERROR(G121/MAX(1,COUNTIF('01_Конкуренты'!$B$7:$B$36,"?*")),""))</f>
        <v/>
      </c>
      <c r="I121" s="2"/>
      <c r="J121" s="2" t="str">
        <f t="shared" si="3"/>
        <v/>
      </c>
      <c r="K121" s="2"/>
      <c r="L121" s="2"/>
      <c r="M121" s="2"/>
    </row>
    <row r="122" spans="1:13">
      <c r="A122" s="2" t="s">
        <v>267</v>
      </c>
      <c r="B122" s="2"/>
      <c r="C122" s="2"/>
      <c r="D122" s="2"/>
      <c r="E122" s="2"/>
      <c r="F122" s="2"/>
      <c r="G122" s="2"/>
      <c r="H122" s="5" t="str">
        <f>IF(G122="","",IFERROR(G122/MAX(1,COUNTIF('01_Конкуренты'!$B$7:$B$36,"?*")),""))</f>
        <v/>
      </c>
      <c r="I122" s="2"/>
      <c r="J122" s="2" t="str">
        <f t="shared" si="3"/>
        <v/>
      </c>
      <c r="K122" s="2"/>
      <c r="L122" s="2"/>
      <c r="M122" s="2"/>
    </row>
    <row r="123" spans="1:13">
      <c r="A123" s="2" t="s">
        <v>268</v>
      </c>
      <c r="B123" s="2"/>
      <c r="C123" s="2"/>
      <c r="D123" s="2"/>
      <c r="E123" s="2"/>
      <c r="F123" s="2"/>
      <c r="G123" s="2"/>
      <c r="H123" s="5" t="str">
        <f>IF(G123="","",IFERROR(G123/MAX(1,COUNTIF('01_Конкуренты'!$B$7:$B$36,"?*")),""))</f>
        <v/>
      </c>
      <c r="I123" s="2"/>
      <c r="J123" s="2" t="str">
        <f t="shared" si="3"/>
        <v/>
      </c>
      <c r="K123" s="2"/>
      <c r="L123" s="2"/>
      <c r="M123" s="2"/>
    </row>
    <row r="124" spans="1:13">
      <c r="A124" s="2" t="s">
        <v>269</v>
      </c>
      <c r="B124" s="2"/>
      <c r="C124" s="2"/>
      <c r="D124" s="2"/>
      <c r="E124" s="2"/>
      <c r="F124" s="2"/>
      <c r="G124" s="2"/>
      <c r="H124" s="5" t="str">
        <f>IF(G124="","",IFERROR(G124/MAX(1,COUNTIF('01_Конкуренты'!$B$7:$B$36,"?*")),""))</f>
        <v/>
      </c>
      <c r="I124" s="2"/>
      <c r="J124" s="2" t="str">
        <f t="shared" si="3"/>
        <v/>
      </c>
      <c r="K124" s="2"/>
      <c r="L124" s="2"/>
      <c r="M124" s="2"/>
    </row>
    <row r="125" spans="1:13">
      <c r="A125" s="2" t="s">
        <v>270</v>
      </c>
      <c r="B125" s="2"/>
      <c r="C125" s="2"/>
      <c r="D125" s="2"/>
      <c r="E125" s="2"/>
      <c r="F125" s="2"/>
      <c r="G125" s="2"/>
      <c r="H125" s="5" t="str">
        <f>IF(G125="","",IFERROR(G125/MAX(1,COUNTIF('01_Конкуренты'!$B$7:$B$36,"?*")),""))</f>
        <v/>
      </c>
      <c r="I125" s="2"/>
      <c r="J125" s="2" t="str">
        <f t="shared" si="3"/>
        <v/>
      </c>
      <c r="K125" s="2"/>
      <c r="L125" s="2"/>
      <c r="M125" s="2"/>
    </row>
    <row r="126" spans="1:13">
      <c r="A126" s="2" t="s">
        <v>271</v>
      </c>
      <c r="B126" s="2"/>
      <c r="C126" s="2"/>
      <c r="D126" s="2"/>
      <c r="E126" s="2"/>
      <c r="F126" s="2"/>
      <c r="G126" s="2"/>
      <c r="H126" s="5" t="str">
        <f>IF(G126="","",IFERROR(G126/MAX(1,COUNTIF('01_Конкуренты'!$B$7:$B$36,"?*")),""))</f>
        <v/>
      </c>
      <c r="I126" s="2"/>
      <c r="J126" s="2" t="str">
        <f t="shared" si="3"/>
        <v/>
      </c>
      <c r="K126" s="2"/>
      <c r="L126" s="2"/>
      <c r="M126" s="2"/>
    </row>
    <row r="127" spans="1:13">
      <c r="A127" s="2" t="s">
        <v>272</v>
      </c>
      <c r="B127" s="2"/>
      <c r="C127" s="2"/>
      <c r="D127" s="2"/>
      <c r="E127" s="2"/>
      <c r="F127" s="2"/>
      <c r="G127" s="2"/>
      <c r="H127" s="5" t="str">
        <f>IF(G127="","",IFERROR(G127/MAX(1,COUNTIF('01_Конкуренты'!$B$7:$B$36,"?*")),""))</f>
        <v/>
      </c>
      <c r="I127" s="2"/>
      <c r="J127" s="2" t="str">
        <f t="shared" si="3"/>
        <v/>
      </c>
      <c r="K127" s="2"/>
      <c r="L127" s="2"/>
      <c r="M127" s="2"/>
    </row>
    <row r="128" spans="1:13">
      <c r="A128" s="2" t="s">
        <v>273</v>
      </c>
      <c r="B128" s="2"/>
      <c r="C128" s="2"/>
      <c r="D128" s="2"/>
      <c r="E128" s="2"/>
      <c r="F128" s="2"/>
      <c r="G128" s="2"/>
      <c r="H128" s="5" t="str">
        <f>IF(G128="","",IFERROR(G128/MAX(1,COUNTIF('01_Конкуренты'!$B$7:$B$36,"?*")),""))</f>
        <v/>
      </c>
      <c r="I128" s="2"/>
      <c r="J128" s="2" t="str">
        <f t="shared" si="3"/>
        <v/>
      </c>
      <c r="K128" s="2"/>
      <c r="L128" s="2"/>
      <c r="M128" s="2"/>
    </row>
    <row r="129" spans="1:13">
      <c r="A129" s="2" t="s">
        <v>274</v>
      </c>
      <c r="B129" s="2"/>
      <c r="C129" s="2"/>
      <c r="D129" s="2"/>
      <c r="E129" s="2"/>
      <c r="F129" s="2"/>
      <c r="G129" s="2"/>
      <c r="H129" s="5" t="str">
        <f>IF(G129="","",IFERROR(G129/MAX(1,COUNTIF('01_Конкуренты'!$B$7:$B$36,"?*")),""))</f>
        <v/>
      </c>
      <c r="I129" s="2"/>
      <c r="J129" s="2" t="str">
        <f t="shared" si="3"/>
        <v/>
      </c>
      <c r="K129" s="2"/>
      <c r="L129" s="2"/>
      <c r="M129" s="2"/>
    </row>
    <row r="130" spans="1:13">
      <c r="A130" s="2" t="s">
        <v>275</v>
      </c>
      <c r="B130" s="2"/>
      <c r="C130" s="2"/>
      <c r="D130" s="2"/>
      <c r="E130" s="2"/>
      <c r="F130" s="2"/>
      <c r="G130" s="2"/>
      <c r="H130" s="5" t="str">
        <f>IF(G130="","",IFERROR(G130/MAX(1,COUNTIF('01_Конкуренты'!$B$7:$B$36,"?*")),""))</f>
        <v/>
      </c>
      <c r="I130" s="2"/>
      <c r="J130" s="2" t="str">
        <f t="shared" si="3"/>
        <v/>
      </c>
      <c r="K130" s="2"/>
      <c r="L130" s="2"/>
      <c r="M130" s="2"/>
    </row>
    <row r="131" spans="1:13">
      <c r="A131" s="2" t="s">
        <v>276</v>
      </c>
      <c r="B131" s="2"/>
      <c r="C131" s="2"/>
      <c r="D131" s="2"/>
      <c r="E131" s="2"/>
      <c r="F131" s="2"/>
      <c r="G131" s="2"/>
      <c r="H131" s="5" t="str">
        <f>IF(G131="","",IFERROR(G131/MAX(1,COUNTIF('01_Конкуренты'!$B$7:$B$36,"?*")),""))</f>
        <v/>
      </c>
      <c r="I131" s="2"/>
      <c r="J131" s="2" t="str">
        <f t="shared" si="3"/>
        <v/>
      </c>
      <c r="K131" s="2"/>
      <c r="L131" s="2"/>
      <c r="M131" s="2"/>
    </row>
    <row r="132" spans="1:13">
      <c r="A132" s="2" t="s">
        <v>277</v>
      </c>
      <c r="B132" s="2"/>
      <c r="C132" s="2"/>
      <c r="D132" s="2"/>
      <c r="E132" s="2"/>
      <c r="F132" s="2"/>
      <c r="G132" s="2"/>
      <c r="H132" s="5" t="str">
        <f>IF(G132="","",IFERROR(G132/MAX(1,COUNTIF('01_Конкуренты'!$B$7:$B$36,"?*")),""))</f>
        <v/>
      </c>
      <c r="I132" s="2"/>
      <c r="J132" s="2" t="str">
        <f t="shared" si="3"/>
        <v/>
      </c>
      <c r="K132" s="2"/>
      <c r="L132" s="2"/>
      <c r="M132" s="2"/>
    </row>
    <row r="133" spans="1:13">
      <c r="A133" s="2" t="s">
        <v>278</v>
      </c>
      <c r="B133" s="2"/>
      <c r="C133" s="2"/>
      <c r="D133" s="2"/>
      <c r="E133" s="2"/>
      <c r="F133" s="2"/>
      <c r="G133" s="2"/>
      <c r="H133" s="5" t="str">
        <f>IF(G133="","",IFERROR(G133/MAX(1,COUNTIF('01_Конкуренты'!$B$7:$B$36,"?*")),""))</f>
        <v/>
      </c>
      <c r="I133" s="2"/>
      <c r="J133" s="2" t="str">
        <f t="shared" si="3"/>
        <v/>
      </c>
      <c r="K133" s="2"/>
      <c r="L133" s="2"/>
      <c r="M133" s="2"/>
    </row>
    <row r="134" spans="1:13">
      <c r="A134" s="2" t="s">
        <v>279</v>
      </c>
      <c r="B134" s="2"/>
      <c r="C134" s="2"/>
      <c r="D134" s="2"/>
      <c r="E134" s="2"/>
      <c r="F134" s="2"/>
      <c r="G134" s="2"/>
      <c r="H134" s="5" t="str">
        <f>IF(G134="","",IFERROR(G134/MAX(1,COUNTIF('01_Конкуренты'!$B$7:$B$36,"?*")),""))</f>
        <v/>
      </c>
      <c r="I134" s="2"/>
      <c r="J134" s="2" t="str">
        <f t="shared" si="3"/>
        <v/>
      </c>
      <c r="K134" s="2"/>
      <c r="L134" s="2"/>
      <c r="M134" s="2"/>
    </row>
    <row r="135" spans="1:13">
      <c r="A135" s="2" t="s">
        <v>280</v>
      </c>
      <c r="B135" s="2"/>
      <c r="C135" s="2"/>
      <c r="D135" s="2"/>
      <c r="E135" s="2"/>
      <c r="F135" s="2"/>
      <c r="G135" s="2"/>
      <c r="H135" s="5" t="str">
        <f>IF(G135="","",IFERROR(G135/MAX(1,COUNTIF('01_Конкуренты'!$B$7:$B$36,"?*")),""))</f>
        <v/>
      </c>
      <c r="I135" s="2"/>
      <c r="J135" s="2" t="str">
        <f t="shared" ref="J135:J166" si="4">IF(B135="","",IF(E135="Обязательное",IF(H135&gt;=0.6,"Минимальный рыночный стандарт","Потенциальный обязательный разрыв"),IF(E135="Линейное",IF(H135&gt;=0.5,"Конкурентная норма с влиянием на выбор","Зона усиления ценности"),IF(E135="Привлекательное",IF(H135&lt;0.5,"Зона дифференциации","Переходит в ожидаемую норму"),IF(E135="Безразличное","Не делать при дефиците ресурсов",IF(E135="Обратное","Исключить или проверить риск отторжения","Требует проверки"))))))</f>
        <v/>
      </c>
      <c r="K135" s="2"/>
      <c r="L135" s="2"/>
      <c r="M135" s="2"/>
    </row>
    <row r="136" spans="1:13">
      <c r="A136" s="2" t="s">
        <v>281</v>
      </c>
      <c r="B136" s="2"/>
      <c r="C136" s="2"/>
      <c r="D136" s="2"/>
      <c r="E136" s="2"/>
      <c r="F136" s="2"/>
      <c r="G136" s="2"/>
      <c r="H136" s="5" t="str">
        <f>IF(G136="","",IFERROR(G136/MAX(1,COUNTIF('01_Конкуренты'!$B$7:$B$36,"?*")),""))</f>
        <v/>
      </c>
      <c r="I136" s="2"/>
      <c r="J136" s="2" t="str">
        <f t="shared" si="4"/>
        <v/>
      </c>
      <c r="K136" s="2"/>
      <c r="L136" s="2"/>
      <c r="M136" s="2"/>
    </row>
    <row r="137" spans="1:13">
      <c r="A137" s="2" t="s">
        <v>282</v>
      </c>
      <c r="B137" s="2"/>
      <c r="C137" s="2"/>
      <c r="D137" s="2"/>
      <c r="E137" s="2"/>
      <c r="F137" s="2"/>
      <c r="G137" s="2"/>
      <c r="H137" s="5" t="str">
        <f>IF(G137="","",IFERROR(G137/MAX(1,COUNTIF('01_Конкуренты'!$B$7:$B$36,"?*")),""))</f>
        <v/>
      </c>
      <c r="I137" s="2"/>
      <c r="J137" s="2" t="str">
        <f t="shared" si="4"/>
        <v/>
      </c>
      <c r="K137" s="2"/>
      <c r="L137" s="2"/>
      <c r="M137" s="2"/>
    </row>
    <row r="138" spans="1:13">
      <c r="A138" s="2" t="s">
        <v>283</v>
      </c>
      <c r="B138" s="2"/>
      <c r="C138" s="2"/>
      <c r="D138" s="2"/>
      <c r="E138" s="2"/>
      <c r="F138" s="2"/>
      <c r="G138" s="2"/>
      <c r="H138" s="5" t="str">
        <f>IF(G138="","",IFERROR(G138/MAX(1,COUNTIF('01_Конкуренты'!$B$7:$B$36,"?*")),""))</f>
        <v/>
      </c>
      <c r="I138" s="2"/>
      <c r="J138" s="2" t="str">
        <f t="shared" si="4"/>
        <v/>
      </c>
      <c r="K138" s="2"/>
      <c r="L138" s="2"/>
      <c r="M138" s="2"/>
    </row>
    <row r="139" spans="1:13">
      <c r="A139" s="2" t="s">
        <v>284</v>
      </c>
      <c r="B139" s="2"/>
      <c r="C139" s="2"/>
      <c r="D139" s="2"/>
      <c r="E139" s="2"/>
      <c r="F139" s="2"/>
      <c r="G139" s="2"/>
      <c r="H139" s="5" t="str">
        <f>IF(G139="","",IFERROR(G139/MAX(1,COUNTIF('01_Конкуренты'!$B$7:$B$36,"?*")),""))</f>
        <v/>
      </c>
      <c r="I139" s="2"/>
      <c r="J139" s="2" t="str">
        <f t="shared" si="4"/>
        <v/>
      </c>
      <c r="K139" s="2"/>
      <c r="L139" s="2"/>
      <c r="M139" s="2"/>
    </row>
    <row r="140" spans="1:13">
      <c r="A140" s="2" t="s">
        <v>285</v>
      </c>
      <c r="B140" s="2"/>
      <c r="C140" s="2"/>
      <c r="D140" s="2"/>
      <c r="E140" s="2"/>
      <c r="F140" s="2"/>
      <c r="G140" s="2"/>
      <c r="H140" s="5" t="str">
        <f>IF(G140="","",IFERROR(G140/MAX(1,COUNTIF('01_Конкуренты'!$B$7:$B$36,"?*")),""))</f>
        <v/>
      </c>
      <c r="I140" s="2"/>
      <c r="J140" s="2" t="str">
        <f t="shared" si="4"/>
        <v/>
      </c>
      <c r="K140" s="2"/>
      <c r="L140" s="2"/>
      <c r="M140" s="2"/>
    </row>
    <row r="141" spans="1:13">
      <c r="A141" s="2" t="s">
        <v>286</v>
      </c>
      <c r="B141" s="2"/>
      <c r="C141" s="2"/>
      <c r="D141" s="2"/>
      <c r="E141" s="2"/>
      <c r="F141" s="2"/>
      <c r="G141" s="2"/>
      <c r="H141" s="5" t="str">
        <f>IF(G141="","",IFERROR(G141/MAX(1,COUNTIF('01_Конкуренты'!$B$7:$B$36,"?*")),""))</f>
        <v/>
      </c>
      <c r="I141" s="2"/>
      <c r="J141" s="2" t="str">
        <f t="shared" si="4"/>
        <v/>
      </c>
      <c r="K141" s="2"/>
      <c r="L141" s="2"/>
      <c r="M141" s="2"/>
    </row>
    <row r="142" spans="1:13">
      <c r="A142" s="2" t="s">
        <v>287</v>
      </c>
      <c r="B142" s="2"/>
      <c r="C142" s="2"/>
      <c r="D142" s="2"/>
      <c r="E142" s="2"/>
      <c r="F142" s="2"/>
      <c r="G142" s="2"/>
      <c r="H142" s="5" t="str">
        <f>IF(G142="","",IFERROR(G142/MAX(1,COUNTIF('01_Конкуренты'!$B$7:$B$36,"?*")),""))</f>
        <v/>
      </c>
      <c r="I142" s="2"/>
      <c r="J142" s="2" t="str">
        <f t="shared" si="4"/>
        <v/>
      </c>
      <c r="K142" s="2"/>
      <c r="L142" s="2"/>
      <c r="M142" s="2"/>
    </row>
    <row r="143" spans="1:13">
      <c r="A143" s="2" t="s">
        <v>288</v>
      </c>
      <c r="B143" s="2"/>
      <c r="C143" s="2"/>
      <c r="D143" s="2"/>
      <c r="E143" s="2"/>
      <c r="F143" s="2"/>
      <c r="G143" s="2"/>
      <c r="H143" s="5" t="str">
        <f>IF(G143="","",IFERROR(G143/MAX(1,COUNTIF('01_Конкуренты'!$B$7:$B$36,"?*")),""))</f>
        <v/>
      </c>
      <c r="I143" s="2"/>
      <c r="J143" s="2" t="str">
        <f t="shared" si="4"/>
        <v/>
      </c>
      <c r="K143" s="2"/>
      <c r="L143" s="2"/>
      <c r="M143" s="2"/>
    </row>
    <row r="144" spans="1:13">
      <c r="A144" s="2" t="s">
        <v>289</v>
      </c>
      <c r="B144" s="2"/>
      <c r="C144" s="2"/>
      <c r="D144" s="2"/>
      <c r="E144" s="2"/>
      <c r="F144" s="2"/>
      <c r="G144" s="2"/>
      <c r="H144" s="5" t="str">
        <f>IF(G144="","",IFERROR(G144/MAX(1,COUNTIF('01_Конкуренты'!$B$7:$B$36,"?*")),""))</f>
        <v/>
      </c>
      <c r="I144" s="2"/>
      <c r="J144" s="2" t="str">
        <f t="shared" si="4"/>
        <v/>
      </c>
      <c r="K144" s="2"/>
      <c r="L144" s="2"/>
      <c r="M144" s="2"/>
    </row>
    <row r="145" spans="1:13">
      <c r="A145" s="2" t="s">
        <v>290</v>
      </c>
      <c r="B145" s="2"/>
      <c r="C145" s="2"/>
      <c r="D145" s="2"/>
      <c r="E145" s="2"/>
      <c r="F145" s="2"/>
      <c r="G145" s="2"/>
      <c r="H145" s="5" t="str">
        <f>IF(G145="","",IFERROR(G145/MAX(1,COUNTIF('01_Конкуренты'!$B$7:$B$36,"?*")),""))</f>
        <v/>
      </c>
      <c r="I145" s="2"/>
      <c r="J145" s="2" t="str">
        <f t="shared" si="4"/>
        <v/>
      </c>
      <c r="K145" s="2"/>
      <c r="L145" s="2"/>
      <c r="M145" s="2"/>
    </row>
    <row r="146" spans="1:13">
      <c r="A146" s="2" t="s">
        <v>291</v>
      </c>
      <c r="B146" s="2"/>
      <c r="C146" s="2"/>
      <c r="D146" s="2"/>
      <c r="E146" s="2"/>
      <c r="F146" s="2"/>
      <c r="G146" s="2"/>
      <c r="H146" s="5" t="str">
        <f>IF(G146="","",IFERROR(G146/MAX(1,COUNTIF('01_Конкуренты'!$B$7:$B$36,"?*")),""))</f>
        <v/>
      </c>
      <c r="I146" s="2"/>
      <c r="J146" s="2" t="str">
        <f t="shared" si="4"/>
        <v/>
      </c>
      <c r="K146" s="2"/>
      <c r="L146" s="2"/>
      <c r="M146" s="2"/>
    </row>
    <row r="147" spans="1:13">
      <c r="A147" s="2" t="s">
        <v>292</v>
      </c>
      <c r="B147" s="2"/>
      <c r="C147" s="2"/>
      <c r="D147" s="2"/>
      <c r="E147" s="2"/>
      <c r="F147" s="2"/>
      <c r="G147" s="2"/>
      <c r="H147" s="5" t="str">
        <f>IF(G147="","",IFERROR(G147/MAX(1,COUNTIF('01_Конкуренты'!$B$7:$B$36,"?*")),""))</f>
        <v/>
      </c>
      <c r="I147" s="2"/>
      <c r="J147" s="2" t="str">
        <f t="shared" si="4"/>
        <v/>
      </c>
      <c r="K147" s="2"/>
      <c r="L147" s="2"/>
      <c r="M147" s="2"/>
    </row>
    <row r="148" spans="1:13">
      <c r="A148" s="2" t="s">
        <v>293</v>
      </c>
      <c r="B148" s="2"/>
      <c r="C148" s="2"/>
      <c r="D148" s="2"/>
      <c r="E148" s="2"/>
      <c r="F148" s="2"/>
      <c r="G148" s="2"/>
      <c r="H148" s="5" t="str">
        <f>IF(G148="","",IFERROR(G148/MAX(1,COUNTIF('01_Конкуренты'!$B$7:$B$36,"?*")),""))</f>
        <v/>
      </c>
      <c r="I148" s="2"/>
      <c r="J148" s="2" t="str">
        <f t="shared" si="4"/>
        <v/>
      </c>
      <c r="K148" s="2"/>
      <c r="L148" s="2"/>
      <c r="M148" s="2"/>
    </row>
    <row r="149" spans="1:13">
      <c r="A149" s="2" t="s">
        <v>294</v>
      </c>
      <c r="B149" s="2"/>
      <c r="C149" s="2"/>
      <c r="D149" s="2"/>
      <c r="E149" s="2"/>
      <c r="F149" s="2"/>
      <c r="G149" s="2"/>
      <c r="H149" s="5" t="str">
        <f>IF(G149="","",IFERROR(G149/MAX(1,COUNTIF('01_Конкуренты'!$B$7:$B$36,"?*")),""))</f>
        <v/>
      </c>
      <c r="I149" s="2"/>
      <c r="J149" s="2" t="str">
        <f t="shared" si="4"/>
        <v/>
      </c>
      <c r="K149" s="2"/>
      <c r="L149" s="2"/>
      <c r="M149" s="2"/>
    </row>
    <row r="150" spans="1:13">
      <c r="A150" s="2" t="s">
        <v>295</v>
      </c>
      <c r="B150" s="2"/>
      <c r="C150" s="2"/>
      <c r="D150" s="2"/>
      <c r="E150" s="2"/>
      <c r="F150" s="2"/>
      <c r="G150" s="2"/>
      <c r="H150" s="5" t="str">
        <f>IF(G150="","",IFERROR(G150/MAX(1,COUNTIF('01_Конкуренты'!$B$7:$B$36,"?*")),""))</f>
        <v/>
      </c>
      <c r="I150" s="2"/>
      <c r="J150" s="2" t="str">
        <f t="shared" si="4"/>
        <v/>
      </c>
      <c r="K150" s="2"/>
      <c r="L150" s="2"/>
      <c r="M150" s="2"/>
    </row>
    <row r="151" spans="1:13">
      <c r="A151" s="2" t="s">
        <v>296</v>
      </c>
      <c r="B151" s="2"/>
      <c r="C151" s="2"/>
      <c r="D151" s="2"/>
      <c r="E151" s="2"/>
      <c r="F151" s="2"/>
      <c r="G151" s="2"/>
      <c r="H151" s="5" t="str">
        <f>IF(G151="","",IFERROR(G151/MAX(1,COUNTIF('01_Конкуренты'!$B$7:$B$36,"?*")),""))</f>
        <v/>
      </c>
      <c r="I151" s="2"/>
      <c r="J151" s="2" t="str">
        <f t="shared" si="4"/>
        <v/>
      </c>
      <c r="K151" s="2"/>
      <c r="L151" s="2"/>
      <c r="M151" s="2"/>
    </row>
    <row r="152" spans="1:13">
      <c r="A152" s="2" t="s">
        <v>297</v>
      </c>
      <c r="B152" s="2"/>
      <c r="C152" s="2"/>
      <c r="D152" s="2"/>
      <c r="E152" s="2"/>
      <c r="F152" s="2"/>
      <c r="G152" s="2"/>
      <c r="H152" s="5" t="str">
        <f>IF(G152="","",IFERROR(G152/MAX(1,COUNTIF('01_Конкуренты'!$B$7:$B$36,"?*")),""))</f>
        <v/>
      </c>
      <c r="I152" s="2"/>
      <c r="J152" s="2" t="str">
        <f t="shared" si="4"/>
        <v/>
      </c>
      <c r="K152" s="2"/>
      <c r="L152" s="2"/>
      <c r="M152" s="2"/>
    </row>
    <row r="153" spans="1:13">
      <c r="A153" s="2" t="s">
        <v>298</v>
      </c>
      <c r="B153" s="2"/>
      <c r="C153" s="2"/>
      <c r="D153" s="2"/>
      <c r="E153" s="2"/>
      <c r="F153" s="2"/>
      <c r="G153" s="2"/>
      <c r="H153" s="5" t="str">
        <f>IF(G153="","",IFERROR(G153/MAX(1,COUNTIF('01_Конкуренты'!$B$7:$B$36,"?*")),""))</f>
        <v/>
      </c>
      <c r="I153" s="2"/>
      <c r="J153" s="2" t="str">
        <f t="shared" si="4"/>
        <v/>
      </c>
      <c r="K153" s="2"/>
      <c r="L153" s="2"/>
      <c r="M153" s="2"/>
    </row>
    <row r="154" spans="1:13">
      <c r="A154" s="2" t="s">
        <v>299</v>
      </c>
      <c r="B154" s="2"/>
      <c r="C154" s="2"/>
      <c r="D154" s="2"/>
      <c r="E154" s="2"/>
      <c r="F154" s="2"/>
      <c r="G154" s="2"/>
      <c r="H154" s="5" t="str">
        <f>IF(G154="","",IFERROR(G154/MAX(1,COUNTIF('01_Конкуренты'!$B$7:$B$36,"?*")),""))</f>
        <v/>
      </c>
      <c r="I154" s="2"/>
      <c r="J154" s="2" t="str">
        <f t="shared" si="4"/>
        <v/>
      </c>
      <c r="K154" s="2"/>
      <c r="L154" s="2"/>
      <c r="M154" s="2"/>
    </row>
    <row r="155" spans="1:13">
      <c r="A155" s="2" t="s">
        <v>300</v>
      </c>
      <c r="B155" s="2"/>
      <c r="C155" s="2"/>
      <c r="D155" s="2"/>
      <c r="E155" s="2"/>
      <c r="F155" s="2"/>
      <c r="G155" s="2"/>
      <c r="H155" s="5" t="str">
        <f>IF(G155="","",IFERROR(G155/MAX(1,COUNTIF('01_Конкуренты'!$B$7:$B$36,"?*")),""))</f>
        <v/>
      </c>
      <c r="I155" s="2"/>
      <c r="J155" s="2" t="str">
        <f t="shared" si="4"/>
        <v/>
      </c>
      <c r="K155" s="2"/>
      <c r="L155" s="2"/>
      <c r="M155" s="2"/>
    </row>
    <row r="156" spans="1:13">
      <c r="A156" s="2" t="s">
        <v>301</v>
      </c>
      <c r="B156" s="2"/>
      <c r="C156" s="2"/>
      <c r="D156" s="2"/>
      <c r="E156" s="2"/>
      <c r="F156" s="2"/>
      <c r="G156" s="2"/>
      <c r="H156" s="5" t="str">
        <f>IF(G156="","",IFERROR(G156/MAX(1,COUNTIF('01_Конкуренты'!$B$7:$B$36,"?*")),""))</f>
        <v/>
      </c>
      <c r="I156" s="2"/>
      <c r="J156" s="2" t="str">
        <f t="shared" si="4"/>
        <v/>
      </c>
      <c r="K156" s="2"/>
      <c r="L156" s="2"/>
      <c r="M156" s="2"/>
    </row>
    <row r="157" spans="1:13">
      <c r="A157" s="2" t="s">
        <v>302</v>
      </c>
      <c r="B157" s="2"/>
      <c r="C157" s="2"/>
      <c r="D157" s="2"/>
      <c r="E157" s="2"/>
      <c r="F157" s="2"/>
      <c r="G157" s="2"/>
      <c r="H157" s="5" t="str">
        <f>IF(G157="","",IFERROR(G157/MAX(1,COUNTIF('01_Конкуренты'!$B$7:$B$36,"?*")),""))</f>
        <v/>
      </c>
      <c r="I157" s="2"/>
      <c r="J157" s="2" t="str">
        <f t="shared" si="4"/>
        <v/>
      </c>
      <c r="K157" s="2"/>
      <c r="L157" s="2"/>
      <c r="M157" s="2"/>
    </row>
    <row r="158" spans="1:13">
      <c r="A158" s="2" t="s">
        <v>303</v>
      </c>
      <c r="B158" s="2"/>
      <c r="C158" s="2"/>
      <c r="D158" s="2"/>
      <c r="E158" s="2"/>
      <c r="F158" s="2"/>
      <c r="G158" s="2"/>
      <c r="H158" s="5" t="str">
        <f>IF(G158="","",IFERROR(G158/MAX(1,COUNTIF('01_Конкуренты'!$B$7:$B$36,"?*")),""))</f>
        <v/>
      </c>
      <c r="I158" s="2"/>
      <c r="J158" s="2" t="str">
        <f t="shared" si="4"/>
        <v/>
      </c>
      <c r="K158" s="2"/>
      <c r="L158" s="2"/>
      <c r="M158" s="2"/>
    </row>
    <row r="159" spans="1:13">
      <c r="A159" s="2" t="s">
        <v>304</v>
      </c>
      <c r="B159" s="2"/>
      <c r="C159" s="2"/>
      <c r="D159" s="2"/>
      <c r="E159" s="2"/>
      <c r="F159" s="2"/>
      <c r="G159" s="2"/>
      <c r="H159" s="5" t="str">
        <f>IF(G159="","",IFERROR(G159/MAX(1,COUNTIF('01_Конкуренты'!$B$7:$B$36,"?*")),""))</f>
        <v/>
      </c>
      <c r="I159" s="2"/>
      <c r="J159" s="2" t="str">
        <f t="shared" si="4"/>
        <v/>
      </c>
      <c r="K159" s="2"/>
      <c r="L159" s="2"/>
      <c r="M159" s="2"/>
    </row>
    <row r="160" spans="1:13">
      <c r="A160" s="2" t="s">
        <v>305</v>
      </c>
      <c r="B160" s="2"/>
      <c r="C160" s="2"/>
      <c r="D160" s="2"/>
      <c r="E160" s="2"/>
      <c r="F160" s="2"/>
      <c r="G160" s="2"/>
      <c r="H160" s="5" t="str">
        <f>IF(G160="","",IFERROR(G160/MAX(1,COUNTIF('01_Конкуренты'!$B$7:$B$36,"?*")),""))</f>
        <v/>
      </c>
      <c r="I160" s="2"/>
      <c r="J160" s="2" t="str">
        <f t="shared" si="4"/>
        <v/>
      </c>
      <c r="K160" s="2"/>
      <c r="L160" s="2"/>
      <c r="M160" s="2"/>
    </row>
    <row r="161" spans="1:13">
      <c r="A161" s="2" t="s">
        <v>306</v>
      </c>
      <c r="B161" s="2"/>
      <c r="C161" s="2"/>
      <c r="D161" s="2"/>
      <c r="E161" s="2"/>
      <c r="F161" s="2"/>
      <c r="G161" s="2"/>
      <c r="H161" s="5" t="str">
        <f>IF(G161="","",IFERROR(G161/MAX(1,COUNTIF('01_Конкуренты'!$B$7:$B$36,"?*")),""))</f>
        <v/>
      </c>
      <c r="I161" s="2"/>
      <c r="J161" s="2" t="str">
        <f t="shared" si="4"/>
        <v/>
      </c>
      <c r="K161" s="2"/>
      <c r="L161" s="2"/>
      <c r="M161" s="2"/>
    </row>
    <row r="162" spans="1:13">
      <c r="A162" s="2" t="s">
        <v>307</v>
      </c>
      <c r="B162" s="2"/>
      <c r="C162" s="2"/>
      <c r="D162" s="2"/>
      <c r="E162" s="2"/>
      <c r="F162" s="2"/>
      <c r="G162" s="2"/>
      <c r="H162" s="5" t="str">
        <f>IF(G162="","",IFERROR(G162/MAX(1,COUNTIF('01_Конкуренты'!$B$7:$B$36,"?*")),""))</f>
        <v/>
      </c>
      <c r="I162" s="2"/>
      <c r="J162" s="2" t="str">
        <f t="shared" si="4"/>
        <v/>
      </c>
      <c r="K162" s="2"/>
      <c r="L162" s="2"/>
      <c r="M162" s="2"/>
    </row>
    <row r="163" spans="1:13">
      <c r="A163" s="2" t="s">
        <v>308</v>
      </c>
      <c r="B163" s="2"/>
      <c r="C163" s="2"/>
      <c r="D163" s="2"/>
      <c r="E163" s="2"/>
      <c r="F163" s="2"/>
      <c r="G163" s="2"/>
      <c r="H163" s="5" t="str">
        <f>IF(G163="","",IFERROR(G163/MAX(1,COUNTIF('01_Конкуренты'!$B$7:$B$36,"?*")),""))</f>
        <v/>
      </c>
      <c r="I163" s="2"/>
      <c r="J163" s="2" t="str">
        <f t="shared" si="4"/>
        <v/>
      </c>
      <c r="K163" s="2"/>
      <c r="L163" s="2"/>
      <c r="M163" s="2"/>
    </row>
    <row r="164" spans="1:13">
      <c r="A164" s="2" t="s">
        <v>309</v>
      </c>
      <c r="B164" s="2"/>
      <c r="C164" s="2"/>
      <c r="D164" s="2"/>
      <c r="E164" s="2"/>
      <c r="F164" s="2"/>
      <c r="G164" s="2"/>
      <c r="H164" s="5" t="str">
        <f>IF(G164="","",IFERROR(G164/MAX(1,COUNTIF('01_Конкуренты'!$B$7:$B$36,"?*")),""))</f>
        <v/>
      </c>
      <c r="I164" s="2"/>
      <c r="J164" s="2" t="str">
        <f t="shared" si="4"/>
        <v/>
      </c>
      <c r="K164" s="2"/>
      <c r="L164" s="2"/>
      <c r="M164" s="2"/>
    </row>
    <row r="165" spans="1:13">
      <c r="A165" s="2" t="s">
        <v>310</v>
      </c>
      <c r="B165" s="2"/>
      <c r="C165" s="2"/>
      <c r="D165" s="2"/>
      <c r="E165" s="2"/>
      <c r="F165" s="2"/>
      <c r="G165" s="2"/>
      <c r="H165" s="5" t="str">
        <f>IF(G165="","",IFERROR(G165/MAX(1,COUNTIF('01_Конкуренты'!$B$7:$B$36,"?*")),""))</f>
        <v/>
      </c>
      <c r="I165" s="2"/>
      <c r="J165" s="2" t="str">
        <f t="shared" si="4"/>
        <v/>
      </c>
      <c r="K165" s="2"/>
      <c r="L165" s="2"/>
      <c r="M165" s="2"/>
    </row>
    <row r="166" spans="1:13">
      <c r="A166" s="2" t="s">
        <v>311</v>
      </c>
      <c r="B166" s="2"/>
      <c r="C166" s="2"/>
      <c r="D166" s="2"/>
      <c r="E166" s="2"/>
      <c r="F166" s="2"/>
      <c r="G166" s="2"/>
      <c r="H166" s="5" t="str">
        <f>IF(G166="","",IFERROR(G166/MAX(1,COUNTIF('01_Конкуренты'!$B$7:$B$36,"?*")),""))</f>
        <v/>
      </c>
      <c r="I166" s="2"/>
      <c r="J166" s="2" t="str">
        <f t="shared" si="4"/>
        <v/>
      </c>
      <c r="K166" s="2"/>
      <c r="L166" s="2"/>
      <c r="M166" s="2"/>
    </row>
    <row r="167" spans="1:13">
      <c r="A167" s="2" t="s">
        <v>312</v>
      </c>
      <c r="B167" s="2"/>
      <c r="C167" s="2"/>
      <c r="D167" s="2"/>
      <c r="E167" s="2"/>
      <c r="F167" s="2"/>
      <c r="G167" s="2"/>
      <c r="H167" s="5" t="str">
        <f>IF(G167="","",IFERROR(G167/MAX(1,COUNTIF('01_Конкуренты'!$B$7:$B$36,"?*")),""))</f>
        <v/>
      </c>
      <c r="I167" s="2"/>
      <c r="J167" s="2" t="str">
        <f t="shared" ref="J167:J198" si="5">IF(B167="","",IF(E167="Обязательное",IF(H167&gt;=0.6,"Минимальный рыночный стандарт","Потенциальный обязательный разрыв"),IF(E167="Линейное",IF(H167&gt;=0.5,"Конкурентная норма с влиянием на выбор","Зона усиления ценности"),IF(E167="Привлекательное",IF(H167&lt;0.5,"Зона дифференциации","Переходит в ожидаемую норму"),IF(E167="Безразличное","Не делать при дефиците ресурсов",IF(E167="Обратное","Исключить или проверить риск отторжения","Требует проверки"))))))</f>
        <v/>
      </c>
      <c r="K167" s="2"/>
      <c r="L167" s="2"/>
      <c r="M167" s="2"/>
    </row>
    <row r="168" spans="1:13">
      <c r="A168" s="2" t="s">
        <v>313</v>
      </c>
      <c r="B168" s="2"/>
      <c r="C168" s="2"/>
      <c r="D168" s="2"/>
      <c r="E168" s="2"/>
      <c r="F168" s="2"/>
      <c r="G168" s="2"/>
      <c r="H168" s="5" t="str">
        <f>IF(G168="","",IFERROR(G168/MAX(1,COUNTIF('01_Конкуренты'!$B$7:$B$36,"?*")),""))</f>
        <v/>
      </c>
      <c r="I168" s="2"/>
      <c r="J168" s="2" t="str">
        <f t="shared" si="5"/>
        <v/>
      </c>
      <c r="K168" s="2"/>
      <c r="L168" s="2"/>
      <c r="M168" s="2"/>
    </row>
    <row r="169" spans="1:13">
      <c r="A169" s="2" t="s">
        <v>314</v>
      </c>
      <c r="B169" s="2"/>
      <c r="C169" s="2"/>
      <c r="D169" s="2"/>
      <c r="E169" s="2"/>
      <c r="F169" s="2"/>
      <c r="G169" s="2"/>
      <c r="H169" s="5" t="str">
        <f>IF(G169="","",IFERROR(G169/MAX(1,COUNTIF('01_Конкуренты'!$B$7:$B$36,"?*")),""))</f>
        <v/>
      </c>
      <c r="I169" s="2"/>
      <c r="J169" s="2" t="str">
        <f t="shared" si="5"/>
        <v/>
      </c>
      <c r="K169" s="2"/>
      <c r="L169" s="2"/>
      <c r="M169" s="2"/>
    </row>
    <row r="170" spans="1:13">
      <c r="A170" s="2" t="s">
        <v>315</v>
      </c>
      <c r="B170" s="2"/>
      <c r="C170" s="2"/>
      <c r="D170" s="2"/>
      <c r="E170" s="2"/>
      <c r="F170" s="2"/>
      <c r="G170" s="2"/>
      <c r="H170" s="5" t="str">
        <f>IF(G170="","",IFERROR(G170/MAX(1,COUNTIF('01_Конкуренты'!$B$7:$B$36,"?*")),""))</f>
        <v/>
      </c>
      <c r="I170" s="2"/>
      <c r="J170" s="2" t="str">
        <f t="shared" si="5"/>
        <v/>
      </c>
      <c r="K170" s="2"/>
      <c r="L170" s="2"/>
      <c r="M170" s="2"/>
    </row>
    <row r="171" spans="1:13">
      <c r="A171" s="2" t="s">
        <v>316</v>
      </c>
      <c r="B171" s="2"/>
      <c r="C171" s="2"/>
      <c r="D171" s="2"/>
      <c r="E171" s="2"/>
      <c r="F171" s="2"/>
      <c r="G171" s="2"/>
      <c r="H171" s="5" t="str">
        <f>IF(G171="","",IFERROR(G171/MAX(1,COUNTIF('01_Конкуренты'!$B$7:$B$36,"?*")),""))</f>
        <v/>
      </c>
      <c r="I171" s="2"/>
      <c r="J171" s="2" t="str">
        <f t="shared" si="5"/>
        <v/>
      </c>
      <c r="K171" s="2"/>
      <c r="L171" s="2"/>
      <c r="M171" s="2"/>
    </row>
    <row r="172" spans="1:13">
      <c r="A172" s="2" t="s">
        <v>317</v>
      </c>
      <c r="B172" s="2"/>
      <c r="C172" s="2"/>
      <c r="D172" s="2"/>
      <c r="E172" s="2"/>
      <c r="F172" s="2"/>
      <c r="G172" s="2"/>
      <c r="H172" s="5" t="str">
        <f>IF(G172="","",IFERROR(G172/MAX(1,COUNTIF('01_Конкуренты'!$B$7:$B$36,"?*")),""))</f>
        <v/>
      </c>
      <c r="I172" s="2"/>
      <c r="J172" s="2" t="str">
        <f t="shared" si="5"/>
        <v/>
      </c>
      <c r="K172" s="2"/>
      <c r="L172" s="2"/>
      <c r="M172" s="2"/>
    </row>
    <row r="173" spans="1:13">
      <c r="A173" s="2" t="s">
        <v>318</v>
      </c>
      <c r="B173" s="2"/>
      <c r="C173" s="2"/>
      <c r="D173" s="2"/>
      <c r="E173" s="2"/>
      <c r="F173" s="2"/>
      <c r="G173" s="2"/>
      <c r="H173" s="5" t="str">
        <f>IF(G173="","",IFERROR(G173/MAX(1,COUNTIF('01_Конкуренты'!$B$7:$B$36,"?*")),""))</f>
        <v/>
      </c>
      <c r="I173" s="2"/>
      <c r="J173" s="2" t="str">
        <f t="shared" si="5"/>
        <v/>
      </c>
      <c r="K173" s="2"/>
      <c r="L173" s="2"/>
      <c r="M173" s="2"/>
    </row>
    <row r="174" spans="1:13">
      <c r="A174" s="2" t="s">
        <v>319</v>
      </c>
      <c r="B174" s="2"/>
      <c r="C174" s="2"/>
      <c r="D174" s="2"/>
      <c r="E174" s="2"/>
      <c r="F174" s="2"/>
      <c r="G174" s="2"/>
      <c r="H174" s="5" t="str">
        <f>IF(G174="","",IFERROR(G174/MAX(1,COUNTIF('01_Конкуренты'!$B$7:$B$36,"?*")),""))</f>
        <v/>
      </c>
      <c r="I174" s="2"/>
      <c r="J174" s="2" t="str">
        <f t="shared" si="5"/>
        <v/>
      </c>
      <c r="K174" s="2"/>
      <c r="L174" s="2"/>
      <c r="M174" s="2"/>
    </row>
    <row r="175" spans="1:13">
      <c r="A175" s="2" t="s">
        <v>320</v>
      </c>
      <c r="B175" s="2"/>
      <c r="C175" s="2"/>
      <c r="D175" s="2"/>
      <c r="E175" s="2"/>
      <c r="F175" s="2"/>
      <c r="G175" s="2"/>
      <c r="H175" s="5" t="str">
        <f>IF(G175="","",IFERROR(G175/MAX(1,COUNTIF('01_Конкуренты'!$B$7:$B$36,"?*")),""))</f>
        <v/>
      </c>
      <c r="I175" s="2"/>
      <c r="J175" s="2" t="str">
        <f t="shared" si="5"/>
        <v/>
      </c>
      <c r="K175" s="2"/>
      <c r="L175" s="2"/>
      <c r="M175" s="2"/>
    </row>
    <row r="176" spans="1:13">
      <c r="A176" s="2" t="s">
        <v>321</v>
      </c>
      <c r="B176" s="2"/>
      <c r="C176" s="2"/>
      <c r="D176" s="2"/>
      <c r="E176" s="2"/>
      <c r="F176" s="2"/>
      <c r="G176" s="2"/>
      <c r="H176" s="5" t="str">
        <f>IF(G176="","",IFERROR(G176/MAX(1,COUNTIF('01_Конкуренты'!$B$7:$B$36,"?*")),""))</f>
        <v/>
      </c>
      <c r="I176" s="2"/>
      <c r="J176" s="2" t="str">
        <f t="shared" si="5"/>
        <v/>
      </c>
      <c r="K176" s="2"/>
      <c r="L176" s="2"/>
      <c r="M176" s="2"/>
    </row>
    <row r="177" spans="1:13">
      <c r="A177" s="2" t="s">
        <v>322</v>
      </c>
      <c r="B177" s="2"/>
      <c r="C177" s="2"/>
      <c r="D177" s="2"/>
      <c r="E177" s="2"/>
      <c r="F177" s="2"/>
      <c r="G177" s="2"/>
      <c r="H177" s="5" t="str">
        <f>IF(G177="","",IFERROR(G177/MAX(1,COUNTIF('01_Конкуренты'!$B$7:$B$36,"?*")),""))</f>
        <v/>
      </c>
      <c r="I177" s="2"/>
      <c r="J177" s="2" t="str">
        <f t="shared" si="5"/>
        <v/>
      </c>
      <c r="K177" s="2"/>
      <c r="L177" s="2"/>
      <c r="M177" s="2"/>
    </row>
    <row r="178" spans="1:13">
      <c r="A178" s="2" t="s">
        <v>323</v>
      </c>
      <c r="B178" s="2"/>
      <c r="C178" s="2"/>
      <c r="D178" s="2"/>
      <c r="E178" s="2"/>
      <c r="F178" s="2"/>
      <c r="G178" s="2"/>
      <c r="H178" s="5" t="str">
        <f>IF(G178="","",IFERROR(G178/MAX(1,COUNTIF('01_Конкуренты'!$B$7:$B$36,"?*")),""))</f>
        <v/>
      </c>
      <c r="I178" s="2"/>
      <c r="J178" s="2" t="str">
        <f t="shared" si="5"/>
        <v/>
      </c>
      <c r="K178" s="2"/>
      <c r="L178" s="2"/>
      <c r="M178" s="2"/>
    </row>
    <row r="179" spans="1:13">
      <c r="A179" s="2" t="s">
        <v>324</v>
      </c>
      <c r="B179" s="2"/>
      <c r="C179" s="2"/>
      <c r="D179" s="2"/>
      <c r="E179" s="2"/>
      <c r="F179" s="2"/>
      <c r="G179" s="2"/>
      <c r="H179" s="5" t="str">
        <f>IF(G179="","",IFERROR(G179/MAX(1,COUNTIF('01_Конкуренты'!$B$7:$B$36,"?*")),""))</f>
        <v/>
      </c>
      <c r="I179" s="2"/>
      <c r="J179" s="2" t="str">
        <f t="shared" si="5"/>
        <v/>
      </c>
      <c r="K179" s="2"/>
      <c r="L179" s="2"/>
      <c r="M179" s="2"/>
    </row>
    <row r="180" spans="1:13">
      <c r="A180" s="2" t="s">
        <v>325</v>
      </c>
      <c r="B180" s="2"/>
      <c r="C180" s="2"/>
      <c r="D180" s="2"/>
      <c r="E180" s="2"/>
      <c r="F180" s="2"/>
      <c r="G180" s="2"/>
      <c r="H180" s="5" t="str">
        <f>IF(G180="","",IFERROR(G180/MAX(1,COUNTIF('01_Конкуренты'!$B$7:$B$36,"?*")),""))</f>
        <v/>
      </c>
      <c r="I180" s="2"/>
      <c r="J180" s="2" t="str">
        <f t="shared" si="5"/>
        <v/>
      </c>
      <c r="K180" s="2"/>
      <c r="L180" s="2"/>
      <c r="M180" s="2"/>
    </row>
    <row r="181" spans="1:13">
      <c r="A181" s="2" t="s">
        <v>326</v>
      </c>
      <c r="B181" s="2"/>
      <c r="C181" s="2"/>
      <c r="D181" s="2"/>
      <c r="E181" s="2"/>
      <c r="F181" s="2"/>
      <c r="G181" s="2"/>
      <c r="H181" s="5" t="str">
        <f>IF(G181="","",IFERROR(G181/MAX(1,COUNTIF('01_Конкуренты'!$B$7:$B$36,"?*")),""))</f>
        <v/>
      </c>
      <c r="I181" s="2"/>
      <c r="J181" s="2" t="str">
        <f t="shared" si="5"/>
        <v/>
      </c>
      <c r="K181" s="2"/>
      <c r="L181" s="2"/>
      <c r="M181" s="2"/>
    </row>
    <row r="182" spans="1:13">
      <c r="A182" s="2" t="s">
        <v>327</v>
      </c>
      <c r="B182" s="2"/>
      <c r="C182" s="2"/>
      <c r="D182" s="2"/>
      <c r="E182" s="2"/>
      <c r="F182" s="2"/>
      <c r="G182" s="2"/>
      <c r="H182" s="5" t="str">
        <f>IF(G182="","",IFERROR(G182/MAX(1,COUNTIF('01_Конкуренты'!$B$7:$B$36,"?*")),""))</f>
        <v/>
      </c>
      <c r="I182" s="2"/>
      <c r="J182" s="2" t="str">
        <f t="shared" si="5"/>
        <v/>
      </c>
      <c r="K182" s="2"/>
      <c r="L182" s="2"/>
      <c r="M182" s="2"/>
    </row>
    <row r="183" spans="1:13">
      <c r="A183" s="2" t="s">
        <v>328</v>
      </c>
      <c r="B183" s="2"/>
      <c r="C183" s="2"/>
      <c r="D183" s="2"/>
      <c r="E183" s="2"/>
      <c r="F183" s="2"/>
      <c r="G183" s="2"/>
      <c r="H183" s="5" t="str">
        <f>IF(G183="","",IFERROR(G183/MAX(1,COUNTIF('01_Конкуренты'!$B$7:$B$36,"?*")),""))</f>
        <v/>
      </c>
      <c r="I183" s="2"/>
      <c r="J183" s="2" t="str">
        <f t="shared" si="5"/>
        <v/>
      </c>
      <c r="K183" s="2"/>
      <c r="L183" s="2"/>
      <c r="M183" s="2"/>
    </row>
    <row r="184" spans="1:13">
      <c r="A184" s="2" t="s">
        <v>329</v>
      </c>
      <c r="B184" s="2"/>
      <c r="C184" s="2"/>
      <c r="D184" s="2"/>
      <c r="E184" s="2"/>
      <c r="F184" s="2"/>
      <c r="G184" s="2"/>
      <c r="H184" s="5" t="str">
        <f>IF(G184="","",IFERROR(G184/MAX(1,COUNTIF('01_Конкуренты'!$B$7:$B$36,"?*")),""))</f>
        <v/>
      </c>
      <c r="I184" s="2"/>
      <c r="J184" s="2" t="str">
        <f t="shared" si="5"/>
        <v/>
      </c>
      <c r="K184" s="2"/>
      <c r="L184" s="2"/>
      <c r="M184" s="2"/>
    </row>
    <row r="185" spans="1:13">
      <c r="A185" s="2" t="s">
        <v>330</v>
      </c>
      <c r="B185" s="2"/>
      <c r="C185" s="2"/>
      <c r="D185" s="2"/>
      <c r="E185" s="2"/>
      <c r="F185" s="2"/>
      <c r="G185" s="2"/>
      <c r="H185" s="5" t="str">
        <f>IF(G185="","",IFERROR(G185/MAX(1,COUNTIF('01_Конкуренты'!$B$7:$B$36,"?*")),""))</f>
        <v/>
      </c>
      <c r="I185" s="2"/>
      <c r="J185" s="2" t="str">
        <f t="shared" si="5"/>
        <v/>
      </c>
      <c r="K185" s="2"/>
      <c r="L185" s="2"/>
      <c r="M185" s="2"/>
    </row>
    <row r="186" spans="1:13">
      <c r="A186" s="2" t="s">
        <v>331</v>
      </c>
      <c r="B186" s="2"/>
      <c r="C186" s="2"/>
      <c r="D186" s="2"/>
      <c r="E186" s="2"/>
      <c r="F186" s="2"/>
      <c r="G186" s="2"/>
      <c r="H186" s="5" t="str">
        <f>IF(G186="","",IFERROR(G186/MAX(1,COUNTIF('01_Конкуренты'!$B$7:$B$36,"?*")),""))</f>
        <v/>
      </c>
      <c r="I186" s="2"/>
      <c r="J186" s="2" t="str">
        <f t="shared" si="5"/>
        <v/>
      </c>
      <c r="K186" s="2"/>
      <c r="L186" s="2"/>
      <c r="M186" s="2"/>
    </row>
    <row r="187" spans="1:13">
      <c r="A187" s="2" t="s">
        <v>332</v>
      </c>
      <c r="B187" s="2"/>
      <c r="C187" s="2"/>
      <c r="D187" s="2"/>
      <c r="E187" s="2"/>
      <c r="F187" s="2"/>
      <c r="G187" s="2"/>
      <c r="H187" s="5" t="str">
        <f>IF(G187="","",IFERROR(G187/MAX(1,COUNTIF('01_Конкуренты'!$B$7:$B$36,"?*")),""))</f>
        <v/>
      </c>
      <c r="I187" s="2"/>
      <c r="J187" s="2" t="str">
        <f t="shared" si="5"/>
        <v/>
      </c>
      <c r="K187" s="2"/>
      <c r="L187" s="2"/>
      <c r="M187" s="2"/>
    </row>
    <row r="188" spans="1:13">
      <c r="A188" s="2" t="s">
        <v>333</v>
      </c>
      <c r="B188" s="2"/>
      <c r="C188" s="2"/>
      <c r="D188" s="2"/>
      <c r="E188" s="2"/>
      <c r="F188" s="2"/>
      <c r="G188" s="2"/>
      <c r="H188" s="5" t="str">
        <f>IF(G188="","",IFERROR(G188/MAX(1,COUNTIF('01_Конкуренты'!$B$7:$B$36,"?*")),""))</f>
        <v/>
      </c>
      <c r="I188" s="2"/>
      <c r="J188" s="2" t="str">
        <f t="shared" si="5"/>
        <v/>
      </c>
      <c r="K188" s="2"/>
      <c r="L188" s="2"/>
      <c r="M188" s="2"/>
    </row>
    <row r="189" spans="1:13">
      <c r="A189" s="2" t="s">
        <v>334</v>
      </c>
      <c r="B189" s="2"/>
      <c r="C189" s="2"/>
      <c r="D189" s="2"/>
      <c r="E189" s="2"/>
      <c r="F189" s="2"/>
      <c r="G189" s="2"/>
      <c r="H189" s="5" t="str">
        <f>IF(G189="","",IFERROR(G189/MAX(1,COUNTIF('01_Конкуренты'!$B$7:$B$36,"?*")),""))</f>
        <v/>
      </c>
      <c r="I189" s="2"/>
      <c r="J189" s="2" t="str">
        <f t="shared" si="5"/>
        <v/>
      </c>
      <c r="K189" s="2"/>
      <c r="L189" s="2"/>
      <c r="M189" s="2"/>
    </row>
    <row r="190" spans="1:13">
      <c r="A190" s="2" t="s">
        <v>335</v>
      </c>
      <c r="B190" s="2"/>
      <c r="C190" s="2"/>
      <c r="D190" s="2"/>
      <c r="E190" s="2"/>
      <c r="F190" s="2"/>
      <c r="G190" s="2"/>
      <c r="H190" s="5" t="str">
        <f>IF(G190="","",IFERROR(G190/MAX(1,COUNTIF('01_Конкуренты'!$B$7:$B$36,"?*")),""))</f>
        <v/>
      </c>
      <c r="I190" s="2"/>
      <c r="J190" s="2" t="str">
        <f t="shared" si="5"/>
        <v/>
      </c>
      <c r="K190" s="2"/>
      <c r="L190" s="2"/>
      <c r="M190" s="2"/>
    </row>
    <row r="191" spans="1:13">
      <c r="A191" s="2" t="s">
        <v>336</v>
      </c>
      <c r="B191" s="2"/>
      <c r="C191" s="2"/>
      <c r="D191" s="2"/>
      <c r="E191" s="2"/>
      <c r="F191" s="2"/>
      <c r="G191" s="2"/>
      <c r="H191" s="5" t="str">
        <f>IF(G191="","",IFERROR(G191/MAX(1,COUNTIF('01_Конкуренты'!$B$7:$B$36,"?*")),""))</f>
        <v/>
      </c>
      <c r="I191" s="2"/>
      <c r="J191" s="2" t="str">
        <f t="shared" si="5"/>
        <v/>
      </c>
      <c r="K191" s="2"/>
      <c r="L191" s="2"/>
      <c r="M191" s="2"/>
    </row>
    <row r="192" spans="1:13">
      <c r="A192" s="2" t="s">
        <v>337</v>
      </c>
      <c r="B192" s="2"/>
      <c r="C192" s="2"/>
      <c r="D192" s="2"/>
      <c r="E192" s="2"/>
      <c r="F192" s="2"/>
      <c r="G192" s="2"/>
      <c r="H192" s="5" t="str">
        <f>IF(G192="","",IFERROR(G192/MAX(1,COUNTIF('01_Конкуренты'!$B$7:$B$36,"?*")),""))</f>
        <v/>
      </c>
      <c r="I192" s="2"/>
      <c r="J192" s="2" t="str">
        <f t="shared" si="5"/>
        <v/>
      </c>
      <c r="K192" s="2"/>
      <c r="L192" s="2"/>
      <c r="M192" s="2"/>
    </row>
    <row r="193" spans="1:13">
      <c r="A193" s="2" t="s">
        <v>338</v>
      </c>
      <c r="B193" s="2"/>
      <c r="C193" s="2"/>
      <c r="D193" s="2"/>
      <c r="E193" s="2"/>
      <c r="F193" s="2"/>
      <c r="G193" s="2"/>
      <c r="H193" s="5" t="str">
        <f>IF(G193="","",IFERROR(G193/MAX(1,COUNTIF('01_Конкуренты'!$B$7:$B$36,"?*")),""))</f>
        <v/>
      </c>
      <c r="I193" s="2"/>
      <c r="J193" s="2" t="str">
        <f t="shared" si="5"/>
        <v/>
      </c>
      <c r="K193" s="2"/>
      <c r="L193" s="2"/>
      <c r="M193" s="2"/>
    </row>
    <row r="194" spans="1:13">
      <c r="A194" s="2" t="s">
        <v>339</v>
      </c>
      <c r="B194" s="2"/>
      <c r="C194" s="2"/>
      <c r="D194" s="2"/>
      <c r="E194" s="2"/>
      <c r="F194" s="2"/>
      <c r="G194" s="2"/>
      <c r="H194" s="5" t="str">
        <f>IF(G194="","",IFERROR(G194/MAX(1,COUNTIF('01_Конкуренты'!$B$7:$B$36,"?*")),""))</f>
        <v/>
      </c>
      <c r="I194" s="2"/>
      <c r="J194" s="2" t="str">
        <f t="shared" si="5"/>
        <v/>
      </c>
      <c r="K194" s="2"/>
      <c r="L194" s="2"/>
      <c r="M194" s="2"/>
    </row>
    <row r="195" spans="1:13">
      <c r="A195" s="2" t="s">
        <v>340</v>
      </c>
      <c r="B195" s="2"/>
      <c r="C195" s="2"/>
      <c r="D195" s="2"/>
      <c r="E195" s="2"/>
      <c r="F195" s="2"/>
      <c r="G195" s="2"/>
      <c r="H195" s="5" t="str">
        <f>IF(G195="","",IFERROR(G195/MAX(1,COUNTIF('01_Конкуренты'!$B$7:$B$36,"?*")),""))</f>
        <v/>
      </c>
      <c r="I195" s="2"/>
      <c r="J195" s="2" t="str">
        <f t="shared" si="5"/>
        <v/>
      </c>
      <c r="K195" s="2"/>
      <c r="L195" s="2"/>
      <c r="M195" s="2"/>
    </row>
    <row r="196" spans="1:13">
      <c r="A196" s="2" t="s">
        <v>341</v>
      </c>
      <c r="B196" s="2"/>
      <c r="C196" s="2"/>
      <c r="D196" s="2"/>
      <c r="E196" s="2"/>
      <c r="F196" s="2"/>
      <c r="G196" s="2"/>
      <c r="H196" s="5" t="str">
        <f>IF(G196="","",IFERROR(G196/MAX(1,COUNTIF('01_Конкуренты'!$B$7:$B$36,"?*")),""))</f>
        <v/>
      </c>
      <c r="I196" s="2"/>
      <c r="J196" s="2" t="str">
        <f t="shared" si="5"/>
        <v/>
      </c>
      <c r="K196" s="2"/>
      <c r="L196" s="2"/>
      <c r="M196" s="2"/>
    </row>
    <row r="197" spans="1:13">
      <c r="A197" s="2" t="s">
        <v>342</v>
      </c>
      <c r="B197" s="2"/>
      <c r="C197" s="2"/>
      <c r="D197" s="2"/>
      <c r="E197" s="2"/>
      <c r="F197" s="2"/>
      <c r="G197" s="2"/>
      <c r="H197" s="5" t="str">
        <f>IF(G197="","",IFERROR(G197/MAX(1,COUNTIF('01_Конкуренты'!$B$7:$B$36,"?*")),""))</f>
        <v/>
      </c>
      <c r="I197" s="2"/>
      <c r="J197" s="2" t="str">
        <f t="shared" si="5"/>
        <v/>
      </c>
      <c r="K197" s="2"/>
      <c r="L197" s="2"/>
      <c r="M197" s="2"/>
    </row>
    <row r="198" spans="1:13">
      <c r="A198" s="2" t="s">
        <v>343</v>
      </c>
      <c r="B198" s="2"/>
      <c r="C198" s="2"/>
      <c r="D198" s="2"/>
      <c r="E198" s="2"/>
      <c r="F198" s="2"/>
      <c r="G198" s="2"/>
      <c r="H198" s="5" t="str">
        <f>IF(G198="","",IFERROR(G198/MAX(1,COUNTIF('01_Конкуренты'!$B$7:$B$36,"?*")),""))</f>
        <v/>
      </c>
      <c r="I198" s="2"/>
      <c r="J198" s="2" t="str">
        <f t="shared" si="5"/>
        <v/>
      </c>
      <c r="K198" s="2"/>
      <c r="L198" s="2"/>
      <c r="M198" s="2"/>
    </row>
    <row r="199" spans="1:13">
      <c r="A199" s="2" t="s">
        <v>344</v>
      </c>
      <c r="B199" s="2"/>
      <c r="C199" s="2"/>
      <c r="D199" s="2"/>
      <c r="E199" s="2"/>
      <c r="F199" s="2"/>
      <c r="G199" s="2"/>
      <c r="H199" s="5" t="str">
        <f>IF(G199="","",IFERROR(G199/MAX(1,COUNTIF('01_Конкуренты'!$B$7:$B$36,"?*")),""))</f>
        <v/>
      </c>
      <c r="I199" s="2"/>
      <c r="J199" s="2" t="str">
        <f t="shared" ref="J199:J206" si="6">IF(B199="","",IF(E199="Обязательное",IF(H199&gt;=0.6,"Минимальный рыночный стандарт","Потенциальный обязательный разрыв"),IF(E199="Линейное",IF(H199&gt;=0.5,"Конкурентная норма с влиянием на выбор","Зона усиления ценности"),IF(E199="Привлекательное",IF(H199&lt;0.5,"Зона дифференциации","Переходит в ожидаемую норму"),IF(E199="Безразличное","Не делать при дефиците ресурсов",IF(E199="Обратное","Исключить или проверить риск отторжения","Требует проверки"))))))</f>
        <v/>
      </c>
      <c r="K199" s="2"/>
      <c r="L199" s="2"/>
      <c r="M199" s="2"/>
    </row>
    <row r="200" spans="1:13">
      <c r="A200" s="2" t="s">
        <v>345</v>
      </c>
      <c r="B200" s="2"/>
      <c r="C200" s="2"/>
      <c r="D200" s="2"/>
      <c r="E200" s="2"/>
      <c r="F200" s="2"/>
      <c r="G200" s="2"/>
      <c r="H200" s="5" t="str">
        <f>IF(G200="","",IFERROR(G200/MAX(1,COUNTIF('01_Конкуренты'!$B$7:$B$36,"?*")),""))</f>
        <v/>
      </c>
      <c r="I200" s="2"/>
      <c r="J200" s="2" t="str">
        <f t="shared" si="6"/>
        <v/>
      </c>
      <c r="K200" s="2"/>
      <c r="L200" s="2"/>
      <c r="M200" s="2"/>
    </row>
    <row r="201" spans="1:13">
      <c r="A201" s="2" t="s">
        <v>346</v>
      </c>
      <c r="B201" s="2"/>
      <c r="C201" s="2"/>
      <c r="D201" s="2"/>
      <c r="E201" s="2"/>
      <c r="F201" s="2"/>
      <c r="G201" s="2"/>
      <c r="H201" s="5" t="str">
        <f>IF(G201="","",IFERROR(G201/MAX(1,COUNTIF('01_Конкуренты'!$B$7:$B$36,"?*")),""))</f>
        <v/>
      </c>
      <c r="I201" s="2"/>
      <c r="J201" s="2" t="str">
        <f t="shared" si="6"/>
        <v/>
      </c>
      <c r="K201" s="2"/>
      <c r="L201" s="2"/>
      <c r="M201" s="2"/>
    </row>
    <row r="202" spans="1:13">
      <c r="A202" s="2" t="s">
        <v>347</v>
      </c>
      <c r="B202" s="2"/>
      <c r="C202" s="2"/>
      <c r="D202" s="2"/>
      <c r="E202" s="2"/>
      <c r="F202" s="2"/>
      <c r="G202" s="2"/>
      <c r="H202" s="5" t="str">
        <f>IF(G202="","",IFERROR(G202/MAX(1,COUNTIF('01_Конкуренты'!$B$7:$B$36,"?*")),""))</f>
        <v/>
      </c>
      <c r="I202" s="2"/>
      <c r="J202" s="2" t="str">
        <f t="shared" si="6"/>
        <v/>
      </c>
      <c r="K202" s="2"/>
      <c r="L202" s="2"/>
      <c r="M202" s="2"/>
    </row>
    <row r="203" spans="1:13">
      <c r="A203" s="2" t="s">
        <v>348</v>
      </c>
      <c r="B203" s="2"/>
      <c r="C203" s="2"/>
      <c r="D203" s="2"/>
      <c r="E203" s="2"/>
      <c r="F203" s="2"/>
      <c r="G203" s="2"/>
      <c r="H203" s="5" t="str">
        <f>IF(G203="","",IFERROR(G203/MAX(1,COUNTIF('01_Конкуренты'!$B$7:$B$36,"?*")),""))</f>
        <v/>
      </c>
      <c r="I203" s="2"/>
      <c r="J203" s="2" t="str">
        <f t="shared" si="6"/>
        <v/>
      </c>
      <c r="K203" s="2"/>
      <c r="L203" s="2"/>
      <c r="M203" s="2"/>
    </row>
    <row r="204" spans="1:13">
      <c r="A204" s="2" t="s">
        <v>349</v>
      </c>
      <c r="B204" s="2"/>
      <c r="C204" s="2"/>
      <c r="D204" s="2"/>
      <c r="E204" s="2"/>
      <c r="F204" s="2"/>
      <c r="G204" s="2"/>
      <c r="H204" s="5" t="str">
        <f>IF(G204="","",IFERROR(G204/MAX(1,COUNTIF('01_Конкуренты'!$B$7:$B$36,"?*")),""))</f>
        <v/>
      </c>
      <c r="I204" s="2"/>
      <c r="J204" s="2" t="str">
        <f t="shared" si="6"/>
        <v/>
      </c>
      <c r="K204" s="2"/>
      <c r="L204" s="2"/>
      <c r="M204" s="2"/>
    </row>
    <row r="205" spans="1:13">
      <c r="A205" s="2" t="s">
        <v>350</v>
      </c>
      <c r="B205" s="2"/>
      <c r="C205" s="2"/>
      <c r="D205" s="2"/>
      <c r="E205" s="2"/>
      <c r="F205" s="2"/>
      <c r="G205" s="2"/>
      <c r="H205" s="5" t="str">
        <f>IF(G205="","",IFERROR(G205/MAX(1,COUNTIF('01_Конкуренты'!$B$7:$B$36,"?*")),""))</f>
        <v/>
      </c>
      <c r="I205" s="2"/>
      <c r="J205" s="2" t="str">
        <f t="shared" si="6"/>
        <v/>
      </c>
      <c r="K205" s="2"/>
      <c r="L205" s="2"/>
      <c r="M205" s="2"/>
    </row>
    <row r="206" spans="1:13">
      <c r="A206" s="2" t="s">
        <v>351</v>
      </c>
      <c r="B206" s="2"/>
      <c r="C206" s="2"/>
      <c r="D206" s="2"/>
      <c r="E206" s="2"/>
      <c r="F206" s="2"/>
      <c r="G206" s="2"/>
      <c r="H206" s="5" t="str">
        <f>IF(G206="","",IFERROR(G206/MAX(1,COUNTIF('01_Конкуренты'!$B$7:$B$36,"?*")),""))</f>
        <v/>
      </c>
      <c r="I206" s="2"/>
      <c r="J206" s="2" t="str">
        <f t="shared" si="6"/>
        <v/>
      </c>
      <c r="K206" s="2"/>
      <c r="L206" s="2"/>
      <c r="M206" s="2"/>
    </row>
  </sheetData>
  <mergeCells count="2">
    <mergeCell ref="A1:M1"/>
    <mergeCell ref="A2:M2"/>
  </mergeCells>
  <conditionalFormatting sqref="H7:H206">
    <cfRule type="dataBar" priority="1">
      <dataBar>
        <cfvo type="min"/>
        <cfvo type="max"/>
        <color rgb="FF60A5FA"/>
      </dataBar>
    </cfRule>
  </conditionalFormatting>
  <conditionalFormatting sqref="H7:H206">
    <cfRule type="dataBar" priority="2">
      <dataBar>
        <cfvo type="min"/>
        <cfvo type="max"/>
        <color rgb="FF60A5FA"/>
      </dataBar>
      <extLst>
        <ext xmlns:x14="http://schemas.microsoft.com/office/spreadsheetml/2009/9/main" uri="{B025F937-C7B1-47D3-B67F-A62EFF666E3E}">
          <x14:id>{5F47C1BD-5D68-D06A-0567-7D3093CE3390}</x14:id>
        </ext>
      </extLst>
    </cfRule>
  </conditionalFormatting>
  <dataValidations count="3">
    <dataValidation type="list" sqref="E7:E206" xr:uid="{00000000-0002-0000-0400-000000000000}">
      <formula1>"Обязательное,Линейное,Привлекательное,Безразличное,Обратное,Неясное"</formula1>
    </dataValidation>
    <dataValidation type="list" sqref="F7:F206" xr:uid="{00000000-0002-0000-0400-000001000000}">
      <formula1>"1,2,3,4,5"</formula1>
    </dataValidation>
    <dataValidation type="list" sqref="I7:I206" xr:uid="{00000000-0002-0000-04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F47C1BD-5D68-D06A-0567-7D3093CE3390}">
            <x14:dataBar>
              <x14:cfvo type="min"/>
              <x14:cfvo type="max"/>
              <x14:negativeFillColor auto="1"/>
              <x14:axisColor auto="1"/>
            </x14:dataBar>
          </x14:cfRule>
          <xm:sqref>H7:H206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6"/>
  <sheetViews>
    <sheetView workbookViewId="0"/>
  </sheetViews>
  <sheetFormatPr defaultRowHeight="13.5"/>
  <cols>
    <col min="1" max="1" width="24" customWidth="1"/>
    <col min="2" max="3" width="38" customWidth="1"/>
    <col min="4" max="4" width="42" customWidth="1"/>
    <col min="5" max="6" width="24" customWidth="1"/>
    <col min="7" max="7" width="22" customWidth="1"/>
    <col min="8" max="9" width="32" customWidth="1"/>
    <col min="10" max="10" width="26" customWidth="1"/>
    <col min="11" max="11" width="22" customWidth="1"/>
    <col min="12" max="12" width="32" customWidth="1"/>
  </cols>
  <sheetData>
    <row r="1" spans="1:12" ht="16.05" customHeight="1">
      <c r="A1" s="12" t="s">
        <v>352</v>
      </c>
      <c r="B1" s="13"/>
      <c r="C1" s="13"/>
      <c r="D1" s="13"/>
      <c r="E1" s="13"/>
      <c r="F1" s="13"/>
      <c r="G1" s="13"/>
      <c r="H1" s="13"/>
      <c r="I1" s="13"/>
      <c r="J1" s="13"/>
      <c r="K1" s="13"/>
      <c r="L1" s="13"/>
    </row>
    <row r="2" spans="1:12" ht="21" customHeight="1">
      <c r="A2" s="14" t="s">
        <v>353</v>
      </c>
      <c r="B2" s="14"/>
      <c r="C2" s="14"/>
      <c r="D2" s="14"/>
      <c r="E2" s="14"/>
      <c r="F2" s="14"/>
      <c r="G2" s="14"/>
      <c r="H2" s="14"/>
      <c r="I2" s="14"/>
      <c r="J2" s="14"/>
      <c r="K2" s="14"/>
      <c r="L2" s="14"/>
    </row>
    <row r="6" spans="1:12" ht="17" customHeight="1">
      <c r="A6" s="1" t="s">
        <v>354</v>
      </c>
      <c r="B6" s="1" t="s">
        <v>355</v>
      </c>
      <c r="C6" s="1" t="s">
        <v>356</v>
      </c>
      <c r="D6" s="1" t="s">
        <v>357</v>
      </c>
      <c r="E6" s="1" t="s">
        <v>358</v>
      </c>
      <c r="F6" s="1" t="s">
        <v>359</v>
      </c>
      <c r="G6" s="1" t="s">
        <v>360</v>
      </c>
      <c r="H6" s="1" t="s">
        <v>361</v>
      </c>
      <c r="I6" s="1" t="s">
        <v>362</v>
      </c>
      <c r="J6" s="1" t="s">
        <v>363</v>
      </c>
      <c r="K6" s="1" t="s">
        <v>364</v>
      </c>
      <c r="L6" s="1" t="s">
        <v>80</v>
      </c>
    </row>
    <row r="7" spans="1:12" ht="76.5">
      <c r="A7" s="2" t="s">
        <v>365</v>
      </c>
      <c r="B7" s="2" t="s">
        <v>366</v>
      </c>
      <c r="C7" s="2" t="s">
        <v>1372</v>
      </c>
      <c r="D7" s="2" t="s">
        <v>1373</v>
      </c>
      <c r="E7" s="2" t="s">
        <v>367</v>
      </c>
      <c r="F7" s="2" t="s">
        <v>368</v>
      </c>
      <c r="G7" s="2" t="s">
        <v>1374</v>
      </c>
      <c r="H7" s="2" t="s">
        <v>1375</v>
      </c>
      <c r="I7" s="2" t="s">
        <v>1376</v>
      </c>
      <c r="J7" s="2" t="s">
        <v>1077</v>
      </c>
      <c r="K7" s="2" t="s">
        <v>1377</v>
      </c>
      <c r="L7" s="2" t="s">
        <v>1378</v>
      </c>
    </row>
    <row r="8" spans="1:12" ht="76.5">
      <c r="A8" s="2" t="s">
        <v>369</v>
      </c>
      <c r="B8" s="2" t="s">
        <v>370</v>
      </c>
      <c r="C8" s="2" t="s">
        <v>1379</v>
      </c>
      <c r="D8" s="2" t="s">
        <v>1380</v>
      </c>
      <c r="E8" s="2" t="s">
        <v>367</v>
      </c>
      <c r="F8" s="2" t="s">
        <v>371</v>
      </c>
      <c r="G8" s="2" t="s">
        <v>1374</v>
      </c>
      <c r="H8" s="2" t="s">
        <v>1381</v>
      </c>
      <c r="I8" s="2" t="s">
        <v>1382</v>
      </c>
      <c r="J8" s="2" t="s">
        <v>1077</v>
      </c>
      <c r="K8" s="2" t="s">
        <v>1377</v>
      </c>
      <c r="L8" s="2" t="s">
        <v>1383</v>
      </c>
    </row>
    <row r="9" spans="1:12" ht="63.75">
      <c r="A9" s="2" t="s">
        <v>372</v>
      </c>
      <c r="B9" s="2" t="s">
        <v>373</v>
      </c>
      <c r="C9" s="2" t="s">
        <v>1384</v>
      </c>
      <c r="D9" s="2" t="s">
        <v>1385</v>
      </c>
      <c r="E9" s="2" t="s">
        <v>374</v>
      </c>
      <c r="F9" s="2" t="s">
        <v>375</v>
      </c>
      <c r="G9" s="2" t="s">
        <v>1374</v>
      </c>
      <c r="H9" s="2" t="s">
        <v>1386</v>
      </c>
      <c r="I9" s="2" t="s">
        <v>1387</v>
      </c>
      <c r="J9" s="2" t="s">
        <v>1077</v>
      </c>
      <c r="K9" s="2" t="s">
        <v>1377</v>
      </c>
      <c r="L9" s="2" t="s">
        <v>1388</v>
      </c>
    </row>
    <row r="10" spans="1:12" ht="38.25">
      <c r="A10" s="2" t="s">
        <v>376</v>
      </c>
      <c r="B10" s="2" t="s">
        <v>377</v>
      </c>
      <c r="C10" s="2" t="s">
        <v>1389</v>
      </c>
      <c r="D10" s="2" t="s">
        <v>1390</v>
      </c>
      <c r="E10" s="2" t="s">
        <v>378</v>
      </c>
      <c r="F10" s="2" t="s">
        <v>375</v>
      </c>
      <c r="G10" s="2" t="s">
        <v>1374</v>
      </c>
      <c r="H10" s="2" t="s">
        <v>1391</v>
      </c>
      <c r="I10" s="2" t="s">
        <v>1392</v>
      </c>
      <c r="J10" s="2" t="s">
        <v>1052</v>
      </c>
      <c r="K10" s="2" t="s">
        <v>1393</v>
      </c>
      <c r="L10" s="2" t="s">
        <v>1394</v>
      </c>
    </row>
    <row r="11" spans="1:12" ht="38.25">
      <c r="A11" s="2" t="s">
        <v>379</v>
      </c>
      <c r="B11" s="2" t="s">
        <v>380</v>
      </c>
      <c r="C11" s="2" t="s">
        <v>1395</v>
      </c>
      <c r="D11" s="2" t="s">
        <v>1396</v>
      </c>
      <c r="E11" s="2" t="s">
        <v>378</v>
      </c>
      <c r="F11" s="2" t="s">
        <v>368</v>
      </c>
      <c r="G11" s="2" t="s">
        <v>1374</v>
      </c>
      <c r="H11" s="2" t="s">
        <v>1397</v>
      </c>
      <c r="I11" s="2" t="s">
        <v>1398</v>
      </c>
      <c r="J11" s="2" t="s">
        <v>1077</v>
      </c>
      <c r="K11" s="2" t="s">
        <v>1393</v>
      </c>
      <c r="L11" s="2" t="s">
        <v>1399</v>
      </c>
    </row>
    <row r="12" spans="1:12" ht="63.75">
      <c r="A12" s="2" t="s">
        <v>381</v>
      </c>
      <c r="B12" s="2" t="s">
        <v>382</v>
      </c>
      <c r="C12" s="2" t="s">
        <v>1400</v>
      </c>
      <c r="D12" s="2" t="s">
        <v>1401</v>
      </c>
      <c r="E12" s="2" t="s">
        <v>378</v>
      </c>
      <c r="F12" s="2" t="s">
        <v>375</v>
      </c>
      <c r="G12" s="2" t="s">
        <v>1374</v>
      </c>
      <c r="H12" s="2" t="s">
        <v>1402</v>
      </c>
      <c r="I12" s="2" t="s">
        <v>1403</v>
      </c>
      <c r="J12" s="2" t="s">
        <v>1052</v>
      </c>
      <c r="K12" s="2" t="s">
        <v>1393</v>
      </c>
      <c r="L12" s="2" t="s">
        <v>1404</v>
      </c>
    </row>
    <row r="13" spans="1:12" ht="38.25">
      <c r="A13" s="2" t="s">
        <v>383</v>
      </c>
      <c r="B13" s="2" t="s">
        <v>384</v>
      </c>
      <c r="C13" s="2" t="s">
        <v>1405</v>
      </c>
      <c r="D13" s="2" t="s">
        <v>1406</v>
      </c>
      <c r="E13" s="2" t="s">
        <v>378</v>
      </c>
      <c r="F13" s="2" t="s">
        <v>371</v>
      </c>
      <c r="G13" s="2" t="s">
        <v>1374</v>
      </c>
      <c r="H13" s="2" t="s">
        <v>1407</v>
      </c>
      <c r="I13" s="2" t="s">
        <v>1408</v>
      </c>
      <c r="J13" s="2" t="s">
        <v>1052</v>
      </c>
      <c r="K13" s="2" t="s">
        <v>1393</v>
      </c>
      <c r="L13" s="2" t="s">
        <v>1409</v>
      </c>
    </row>
    <row r="14" spans="1:12" ht="38.25">
      <c r="A14" s="2" t="s">
        <v>385</v>
      </c>
      <c r="B14" s="2" t="s">
        <v>386</v>
      </c>
      <c r="C14" s="2" t="s">
        <v>1410</v>
      </c>
      <c r="D14" s="2" t="s">
        <v>1411</v>
      </c>
      <c r="E14" s="2" t="s">
        <v>387</v>
      </c>
      <c r="F14" s="2" t="s">
        <v>388</v>
      </c>
      <c r="G14" s="2" t="s">
        <v>1412</v>
      </c>
      <c r="H14" s="2" t="s">
        <v>1413</v>
      </c>
      <c r="I14" s="2" t="s">
        <v>1414</v>
      </c>
      <c r="J14" s="2" t="s">
        <v>1052</v>
      </c>
      <c r="K14" s="2" t="s">
        <v>1412</v>
      </c>
      <c r="L14" s="2" t="s">
        <v>1415</v>
      </c>
    </row>
    <row r="15" spans="1:12" ht="51">
      <c r="A15" s="2" t="s">
        <v>389</v>
      </c>
      <c r="B15" s="2" t="s">
        <v>390</v>
      </c>
      <c r="C15" s="2" t="s">
        <v>1416</v>
      </c>
      <c r="D15" s="2" t="s">
        <v>1417</v>
      </c>
      <c r="E15" s="2" t="s">
        <v>387</v>
      </c>
      <c r="F15" s="2" t="s">
        <v>371</v>
      </c>
      <c r="G15" s="2" t="s">
        <v>1374</v>
      </c>
      <c r="H15" s="2" t="s">
        <v>1418</v>
      </c>
      <c r="I15" s="2" t="s">
        <v>1419</v>
      </c>
      <c r="J15" s="2" t="s">
        <v>1052</v>
      </c>
      <c r="K15" s="2" t="s">
        <v>1393</v>
      </c>
      <c r="L15" s="2" t="s">
        <v>1420</v>
      </c>
    </row>
    <row r="16" spans="1:12" ht="38.25">
      <c r="A16" s="2" t="s">
        <v>391</v>
      </c>
      <c r="B16" s="2" t="s">
        <v>392</v>
      </c>
      <c r="C16" s="2" t="s">
        <v>1421</v>
      </c>
      <c r="D16" s="2" t="s">
        <v>1422</v>
      </c>
      <c r="E16" s="2" t="s">
        <v>393</v>
      </c>
      <c r="F16" s="2" t="s">
        <v>394</v>
      </c>
      <c r="G16" s="2" t="s">
        <v>1412</v>
      </c>
      <c r="H16" s="2" t="s">
        <v>1423</v>
      </c>
      <c r="I16" s="2" t="s">
        <v>1424</v>
      </c>
      <c r="J16" s="2" t="s">
        <v>1052</v>
      </c>
      <c r="K16" s="2" t="s">
        <v>1412</v>
      </c>
      <c r="L16" s="2" t="s">
        <v>1425</v>
      </c>
    </row>
    <row r="17" spans="1:12" ht="38.25">
      <c r="A17" s="2" t="s">
        <v>395</v>
      </c>
      <c r="B17" s="2" t="s">
        <v>396</v>
      </c>
      <c r="C17" s="2" t="s">
        <v>1426</v>
      </c>
      <c r="D17" s="2" t="s">
        <v>1427</v>
      </c>
      <c r="E17" s="2" t="s">
        <v>397</v>
      </c>
      <c r="F17" s="2" t="s">
        <v>398</v>
      </c>
      <c r="G17" s="2" t="s">
        <v>1374</v>
      </c>
      <c r="H17" s="2" t="s">
        <v>1428</v>
      </c>
      <c r="I17" s="2" t="s">
        <v>1429</v>
      </c>
      <c r="J17" s="2" t="s">
        <v>1077</v>
      </c>
      <c r="K17" s="2" t="s">
        <v>1374</v>
      </c>
      <c r="L17" s="2" t="s">
        <v>1430</v>
      </c>
    </row>
    <row r="18" spans="1:12" ht="114.75">
      <c r="A18" s="2" t="s">
        <v>399</v>
      </c>
      <c r="B18" s="2" t="s">
        <v>400</v>
      </c>
      <c r="C18" s="2" t="s">
        <v>1431</v>
      </c>
      <c r="D18" s="2" t="s">
        <v>1432</v>
      </c>
      <c r="E18" s="2" t="s">
        <v>401</v>
      </c>
      <c r="F18" s="2" t="s">
        <v>401</v>
      </c>
      <c r="G18" s="2"/>
      <c r="H18" s="2" t="s">
        <v>1433</v>
      </c>
      <c r="I18" s="2"/>
      <c r="J18" s="2"/>
      <c r="K18" s="2" t="s">
        <v>1374</v>
      </c>
      <c r="L18" s="2"/>
    </row>
    <row r="19" spans="1:12">
      <c r="A19" s="2"/>
      <c r="B19" s="2"/>
      <c r="C19" s="2"/>
      <c r="D19" s="2"/>
      <c r="E19" s="2"/>
      <c r="F19" s="2"/>
      <c r="G19" s="2"/>
      <c r="H19" s="2"/>
      <c r="I19" s="2"/>
      <c r="J19" s="2"/>
      <c r="K19" s="2"/>
      <c r="L19" s="2"/>
    </row>
    <row r="20" spans="1:12">
      <c r="A20" s="2"/>
      <c r="B20" s="2"/>
      <c r="C20" s="2"/>
      <c r="D20" s="2"/>
      <c r="E20" s="2"/>
      <c r="F20" s="2"/>
      <c r="G20" s="2"/>
      <c r="H20" s="2"/>
      <c r="I20" s="2"/>
      <c r="J20" s="2"/>
      <c r="K20" s="2"/>
      <c r="L20" s="2"/>
    </row>
    <row r="21" spans="1:12">
      <c r="A21" s="2"/>
      <c r="B21" s="2"/>
      <c r="C21" s="2"/>
      <c r="D21" s="2"/>
      <c r="E21" s="2"/>
      <c r="F21" s="2"/>
      <c r="G21" s="2"/>
      <c r="H21" s="2"/>
      <c r="I21" s="2"/>
      <c r="J21" s="2"/>
      <c r="K21" s="2"/>
      <c r="L21" s="2"/>
    </row>
    <row r="22" spans="1:12">
      <c r="A22" s="2"/>
      <c r="B22" s="2"/>
      <c r="C22" s="2"/>
      <c r="D22" s="2"/>
      <c r="E22" s="2"/>
      <c r="F22" s="2"/>
      <c r="G22" s="2"/>
      <c r="H22" s="2"/>
      <c r="I22" s="2"/>
      <c r="J22" s="2"/>
      <c r="K22" s="2"/>
      <c r="L22" s="2"/>
    </row>
    <row r="23" spans="1:12">
      <c r="A23" s="2"/>
      <c r="B23" s="2"/>
      <c r="C23" s="2"/>
      <c r="D23" s="2"/>
      <c r="E23" s="2"/>
      <c r="F23" s="2"/>
      <c r="G23" s="2"/>
      <c r="H23" s="2"/>
      <c r="I23" s="2"/>
      <c r="J23" s="2"/>
      <c r="K23" s="2"/>
      <c r="L23" s="2"/>
    </row>
    <row r="24" spans="1:12">
      <c r="A24" s="2"/>
      <c r="B24" s="2"/>
      <c r="C24" s="2"/>
      <c r="D24" s="2"/>
      <c r="E24" s="2"/>
      <c r="F24" s="2"/>
      <c r="G24" s="2"/>
      <c r="H24" s="2"/>
      <c r="I24" s="2"/>
      <c r="J24" s="2"/>
      <c r="K24" s="2"/>
      <c r="L24" s="2"/>
    </row>
    <row r="25" spans="1:12">
      <c r="A25" s="2"/>
      <c r="B25" s="2"/>
      <c r="C25" s="2"/>
      <c r="D25" s="2"/>
      <c r="E25" s="2"/>
      <c r="F25" s="2"/>
      <c r="G25" s="2"/>
      <c r="H25" s="2"/>
      <c r="I25" s="2"/>
      <c r="J25" s="2"/>
      <c r="K25" s="2"/>
      <c r="L25" s="2"/>
    </row>
    <row r="26" spans="1:12">
      <c r="A26" s="2"/>
      <c r="B26" s="2"/>
      <c r="C26" s="2"/>
      <c r="D26" s="2"/>
      <c r="E26" s="2"/>
      <c r="F26" s="2"/>
      <c r="G26" s="2"/>
      <c r="H26" s="2"/>
      <c r="I26" s="2"/>
      <c r="J26" s="2"/>
      <c r="K26" s="2"/>
      <c r="L26" s="2"/>
    </row>
    <row r="27" spans="1:12">
      <c r="A27" s="2"/>
      <c r="B27" s="2"/>
      <c r="C27" s="2"/>
      <c r="D27" s="2"/>
      <c r="E27" s="2"/>
      <c r="F27" s="2"/>
      <c r="G27" s="2"/>
      <c r="H27" s="2"/>
      <c r="I27" s="2"/>
      <c r="J27" s="2"/>
      <c r="K27" s="2"/>
      <c r="L27" s="2"/>
    </row>
    <row r="28" spans="1:12">
      <c r="A28" s="2"/>
      <c r="B28" s="2"/>
      <c r="C28" s="2"/>
      <c r="D28" s="2"/>
      <c r="E28" s="2"/>
      <c r="F28" s="2"/>
      <c r="G28" s="2"/>
      <c r="H28" s="2"/>
      <c r="I28" s="2"/>
      <c r="J28" s="2"/>
      <c r="K28" s="2"/>
      <c r="L28" s="2"/>
    </row>
    <row r="29" spans="1:12">
      <c r="A29" s="2"/>
      <c r="B29" s="2"/>
      <c r="C29" s="2"/>
      <c r="D29" s="2"/>
      <c r="E29" s="2"/>
      <c r="F29" s="2"/>
      <c r="G29" s="2"/>
      <c r="H29" s="2"/>
      <c r="I29" s="2"/>
      <c r="J29" s="2"/>
      <c r="K29" s="2"/>
      <c r="L29" s="2"/>
    </row>
    <row r="30" spans="1:12">
      <c r="A30" s="2"/>
      <c r="B30" s="2"/>
      <c r="C30" s="2"/>
      <c r="D30" s="2"/>
      <c r="E30" s="2"/>
      <c r="F30" s="2"/>
      <c r="G30" s="2"/>
      <c r="H30" s="2"/>
      <c r="I30" s="2"/>
      <c r="J30" s="2"/>
      <c r="K30" s="2"/>
      <c r="L30" s="2"/>
    </row>
    <row r="31" spans="1:12">
      <c r="A31" s="2"/>
      <c r="B31" s="2"/>
      <c r="C31" s="2"/>
      <c r="D31" s="2"/>
      <c r="E31" s="2"/>
      <c r="F31" s="2"/>
      <c r="G31" s="2"/>
      <c r="H31" s="2"/>
      <c r="I31" s="2"/>
      <c r="J31" s="2"/>
      <c r="K31" s="2"/>
      <c r="L31" s="2"/>
    </row>
    <row r="32" spans="1:12">
      <c r="A32" s="2"/>
      <c r="B32" s="2"/>
      <c r="C32" s="2"/>
      <c r="D32" s="2"/>
      <c r="E32" s="2"/>
      <c r="F32" s="2"/>
      <c r="G32" s="2"/>
      <c r="H32" s="2"/>
      <c r="I32" s="2"/>
      <c r="J32" s="2"/>
      <c r="K32" s="2"/>
      <c r="L32" s="2"/>
    </row>
    <row r="33" spans="1:12">
      <c r="A33" s="2"/>
      <c r="B33" s="2"/>
      <c r="C33" s="2"/>
      <c r="D33" s="2"/>
      <c r="E33" s="2"/>
      <c r="F33" s="2"/>
      <c r="G33" s="2"/>
      <c r="H33" s="2"/>
      <c r="I33" s="2"/>
      <c r="J33" s="2"/>
      <c r="K33" s="2"/>
      <c r="L33" s="2"/>
    </row>
    <row r="34" spans="1:12">
      <c r="A34" s="2"/>
      <c r="B34" s="2"/>
      <c r="C34" s="2"/>
      <c r="D34" s="2"/>
      <c r="E34" s="2"/>
      <c r="F34" s="2"/>
      <c r="G34" s="2"/>
      <c r="H34" s="2"/>
      <c r="I34" s="2"/>
      <c r="J34" s="2"/>
      <c r="K34" s="2"/>
      <c r="L34" s="2"/>
    </row>
    <row r="35" spans="1:12">
      <c r="A35" s="2"/>
      <c r="B35" s="2"/>
      <c r="C35" s="2"/>
      <c r="D35" s="2"/>
      <c r="E35" s="2"/>
      <c r="F35" s="2"/>
      <c r="G35" s="2"/>
      <c r="H35" s="2"/>
      <c r="I35" s="2"/>
      <c r="J35" s="2"/>
      <c r="K35" s="2"/>
      <c r="L35" s="2"/>
    </row>
    <row r="36" spans="1:12">
      <c r="A36" s="2"/>
      <c r="B36" s="2"/>
      <c r="C36" s="2"/>
      <c r="D36" s="2"/>
      <c r="E36" s="2"/>
      <c r="F36" s="2"/>
      <c r="G36" s="2"/>
      <c r="H36" s="2"/>
      <c r="I36" s="2"/>
      <c r="J36" s="2"/>
      <c r="K36" s="2"/>
      <c r="L36" s="2"/>
    </row>
    <row r="37" spans="1:12">
      <c r="A37" s="2"/>
      <c r="B37" s="2"/>
      <c r="C37" s="2"/>
      <c r="D37" s="2"/>
      <c r="E37" s="2"/>
      <c r="F37" s="2"/>
      <c r="G37" s="2"/>
      <c r="H37" s="2"/>
      <c r="I37" s="2"/>
      <c r="J37" s="2"/>
      <c r="K37" s="2"/>
      <c r="L37" s="2"/>
    </row>
    <row r="38" spans="1:12">
      <c r="A38" s="2"/>
      <c r="B38" s="2"/>
      <c r="C38" s="2"/>
      <c r="D38" s="2"/>
      <c r="E38" s="2"/>
      <c r="F38" s="2"/>
      <c r="G38" s="2"/>
      <c r="H38" s="2"/>
      <c r="I38" s="2"/>
      <c r="J38" s="2"/>
      <c r="K38" s="2"/>
      <c r="L38" s="2"/>
    </row>
    <row r="39" spans="1:12">
      <c r="A39" s="2"/>
      <c r="B39" s="2"/>
      <c r="C39" s="2"/>
      <c r="D39" s="2"/>
      <c r="E39" s="2"/>
      <c r="F39" s="2"/>
      <c r="G39" s="2"/>
      <c r="H39" s="2"/>
      <c r="I39" s="2"/>
      <c r="J39" s="2"/>
      <c r="K39" s="2"/>
      <c r="L39" s="2"/>
    </row>
    <row r="40" spans="1:12">
      <c r="A40" s="2"/>
      <c r="B40" s="2"/>
      <c r="C40" s="2"/>
      <c r="D40" s="2"/>
      <c r="E40" s="2"/>
      <c r="F40" s="2"/>
      <c r="G40" s="2"/>
      <c r="H40" s="2"/>
      <c r="I40" s="2"/>
      <c r="J40" s="2"/>
      <c r="K40" s="2"/>
      <c r="L40" s="2"/>
    </row>
    <row r="41" spans="1:12">
      <c r="A41" s="2"/>
      <c r="B41" s="2"/>
      <c r="C41" s="2"/>
      <c r="D41" s="2"/>
      <c r="E41" s="2"/>
      <c r="F41" s="2"/>
      <c r="G41" s="2"/>
      <c r="H41" s="2"/>
      <c r="I41" s="2"/>
      <c r="J41" s="2"/>
      <c r="K41" s="2"/>
      <c r="L41" s="2"/>
    </row>
    <row r="42" spans="1:12">
      <c r="A42" s="2"/>
      <c r="B42" s="2"/>
      <c r="C42" s="2"/>
      <c r="D42" s="2"/>
      <c r="E42" s="2"/>
      <c r="F42" s="2"/>
      <c r="G42" s="2"/>
      <c r="H42" s="2"/>
      <c r="I42" s="2"/>
      <c r="J42" s="2"/>
      <c r="K42" s="2"/>
      <c r="L42" s="2"/>
    </row>
    <row r="43" spans="1:12">
      <c r="A43" s="2"/>
      <c r="B43" s="2"/>
      <c r="C43" s="2"/>
      <c r="D43" s="2"/>
      <c r="E43" s="2"/>
      <c r="F43" s="2"/>
      <c r="G43" s="2"/>
      <c r="H43" s="2"/>
      <c r="I43" s="2"/>
      <c r="J43" s="2"/>
      <c r="K43" s="2"/>
      <c r="L43" s="2"/>
    </row>
    <row r="44" spans="1:12">
      <c r="A44" s="2"/>
      <c r="B44" s="2"/>
      <c r="C44" s="2"/>
      <c r="D44" s="2"/>
      <c r="E44" s="2"/>
      <c r="F44" s="2"/>
      <c r="G44" s="2"/>
      <c r="H44" s="2"/>
      <c r="I44" s="2"/>
      <c r="J44" s="2"/>
      <c r="K44" s="2"/>
      <c r="L44" s="2"/>
    </row>
    <row r="45" spans="1:12">
      <c r="A45" s="2"/>
      <c r="B45" s="2"/>
      <c r="C45" s="2"/>
      <c r="D45" s="2"/>
      <c r="E45" s="2"/>
      <c r="F45" s="2"/>
      <c r="G45" s="2"/>
      <c r="H45" s="2"/>
      <c r="I45" s="2"/>
      <c r="J45" s="2"/>
      <c r="K45" s="2"/>
      <c r="L45" s="2"/>
    </row>
    <row r="46" spans="1:12">
      <c r="A46" s="2"/>
      <c r="B46" s="2"/>
      <c r="C46" s="2"/>
      <c r="D46" s="2"/>
      <c r="E46" s="2"/>
      <c r="F46" s="2"/>
      <c r="G46" s="2"/>
      <c r="H46" s="2"/>
      <c r="I46" s="2"/>
      <c r="J46" s="2"/>
      <c r="K46" s="2"/>
      <c r="L46" s="2"/>
    </row>
    <row r="47" spans="1:12">
      <c r="A47" s="2"/>
      <c r="B47" s="2"/>
      <c r="C47" s="2"/>
      <c r="D47" s="2"/>
      <c r="E47" s="2"/>
      <c r="F47" s="2"/>
      <c r="G47" s="2"/>
      <c r="H47" s="2"/>
      <c r="I47" s="2"/>
      <c r="J47" s="2"/>
      <c r="K47" s="2"/>
      <c r="L47" s="2"/>
    </row>
    <row r="48" spans="1:12">
      <c r="A48" s="2"/>
      <c r="B48" s="2"/>
      <c r="C48" s="2"/>
      <c r="D48" s="2"/>
      <c r="E48" s="2"/>
      <c r="F48" s="2"/>
      <c r="G48" s="2"/>
      <c r="H48" s="2"/>
      <c r="I48" s="2"/>
      <c r="J48" s="2"/>
      <c r="K48" s="2"/>
      <c r="L48" s="2"/>
    </row>
    <row r="49" spans="1:12">
      <c r="A49" s="2"/>
      <c r="B49" s="2"/>
      <c r="C49" s="2"/>
      <c r="D49" s="2"/>
      <c r="E49" s="2"/>
      <c r="F49" s="2"/>
      <c r="G49" s="2"/>
      <c r="H49" s="2"/>
      <c r="I49" s="2"/>
      <c r="J49" s="2"/>
      <c r="K49" s="2"/>
      <c r="L49" s="2"/>
    </row>
    <row r="50" spans="1:12">
      <c r="A50" s="2"/>
      <c r="B50" s="2"/>
      <c r="C50" s="2"/>
      <c r="D50" s="2"/>
      <c r="E50" s="2"/>
      <c r="F50" s="2"/>
      <c r="G50" s="2"/>
      <c r="H50" s="2"/>
      <c r="I50" s="2"/>
      <c r="J50" s="2"/>
      <c r="K50" s="2"/>
      <c r="L50" s="2"/>
    </row>
    <row r="51" spans="1:12">
      <c r="A51" s="2"/>
      <c r="B51" s="2"/>
      <c r="C51" s="2"/>
      <c r="D51" s="2"/>
      <c r="E51" s="2"/>
      <c r="F51" s="2"/>
      <c r="G51" s="2"/>
      <c r="H51" s="2"/>
      <c r="I51" s="2"/>
      <c r="J51" s="2"/>
      <c r="K51" s="2"/>
      <c r="L51" s="2"/>
    </row>
    <row r="52" spans="1:12">
      <c r="A52" s="2"/>
      <c r="B52" s="2"/>
      <c r="C52" s="2"/>
      <c r="D52" s="2"/>
      <c r="E52" s="2"/>
      <c r="F52" s="2"/>
      <c r="G52" s="2"/>
      <c r="H52" s="2"/>
      <c r="I52" s="2"/>
      <c r="J52" s="2"/>
      <c r="K52" s="2"/>
      <c r="L52" s="2"/>
    </row>
    <row r="53" spans="1:12">
      <c r="A53" s="2"/>
      <c r="B53" s="2"/>
      <c r="C53" s="2"/>
      <c r="D53" s="2"/>
      <c r="E53" s="2"/>
      <c r="F53" s="2"/>
      <c r="G53" s="2"/>
      <c r="H53" s="2"/>
      <c r="I53" s="2"/>
      <c r="J53" s="2"/>
      <c r="K53" s="2"/>
      <c r="L53" s="2"/>
    </row>
    <row r="54" spans="1:12">
      <c r="A54" s="2"/>
      <c r="B54" s="2"/>
      <c r="C54" s="2"/>
      <c r="D54" s="2"/>
      <c r="E54" s="2"/>
      <c r="F54" s="2"/>
      <c r="G54" s="2"/>
      <c r="H54" s="2"/>
      <c r="I54" s="2"/>
      <c r="J54" s="2"/>
      <c r="K54" s="2"/>
      <c r="L54" s="2"/>
    </row>
    <row r="55" spans="1:12">
      <c r="A55" s="2"/>
      <c r="B55" s="2"/>
      <c r="C55" s="2"/>
      <c r="D55" s="2"/>
      <c r="E55" s="2"/>
      <c r="F55" s="2"/>
      <c r="G55" s="2"/>
      <c r="H55" s="2"/>
      <c r="I55" s="2"/>
      <c r="J55" s="2"/>
      <c r="K55" s="2"/>
      <c r="L55" s="2"/>
    </row>
    <row r="56" spans="1:12">
      <c r="A56" s="2"/>
      <c r="B56" s="2"/>
      <c r="C56" s="2"/>
      <c r="D56" s="2"/>
      <c r="E56" s="2"/>
      <c r="F56" s="2"/>
      <c r="G56" s="2"/>
      <c r="H56" s="2"/>
      <c r="I56" s="2"/>
      <c r="J56" s="2"/>
      <c r="K56" s="2"/>
      <c r="L56" s="2"/>
    </row>
  </sheetData>
  <mergeCells count="2">
    <mergeCell ref="A1:L1"/>
    <mergeCell ref="A2:L2"/>
  </mergeCells>
  <dataValidations count="2">
    <dataValidation type="list" sqref="G7:G56" xr:uid="{00000000-0002-0000-0500-000000000000}">
      <formula1>"Обязательно включить,Включить при наличии ресурсов,Использовать как преимущество,Проверить гипотезу,Исключить"</formula1>
    </dataValidation>
    <dataValidation type="list" sqref="K7:K56" xr:uid="{00000000-0002-0000-0500-000001000000}">
      <formula1>"Включить,Отложить,Проверить,Исключить"</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1"/>
  <sheetViews>
    <sheetView workbookViewId="0"/>
  </sheetViews>
  <sheetFormatPr defaultRowHeight="13.5"/>
  <cols>
    <col min="1" max="1" width="12" customWidth="1"/>
    <col min="2" max="2" width="22" customWidth="1"/>
    <col min="3" max="3" width="52" customWidth="1"/>
    <col min="4" max="12" width="10" customWidth="1"/>
    <col min="13" max="14" width="12" customWidth="1"/>
    <col min="15" max="15" width="14" customWidth="1"/>
  </cols>
  <sheetData>
    <row r="1" spans="1:15" ht="16.05" customHeight="1">
      <c r="A1" s="12" t="s">
        <v>402</v>
      </c>
      <c r="B1" s="13"/>
      <c r="C1" s="13"/>
      <c r="D1" s="13"/>
      <c r="E1" s="13"/>
      <c r="F1" s="13"/>
      <c r="G1" s="13"/>
      <c r="H1" s="13"/>
      <c r="I1" s="13"/>
      <c r="J1" s="13"/>
      <c r="K1" s="13"/>
      <c r="L1" s="13"/>
      <c r="M1" s="13"/>
      <c r="N1" s="13"/>
      <c r="O1" s="13"/>
    </row>
    <row r="2" spans="1:15" ht="21" customHeight="1">
      <c r="A2" s="14" t="s">
        <v>403</v>
      </c>
      <c r="B2" s="14"/>
      <c r="C2" s="14"/>
      <c r="D2" s="14"/>
      <c r="E2" s="14"/>
      <c r="F2" s="14"/>
      <c r="G2" s="14"/>
      <c r="H2" s="14"/>
      <c r="I2" s="14"/>
      <c r="J2" s="14"/>
      <c r="K2" s="14"/>
      <c r="L2" s="14"/>
      <c r="M2" s="14"/>
      <c r="N2" s="14"/>
      <c r="O2" s="14"/>
    </row>
    <row r="6" spans="1:15" ht="17" customHeight="1">
      <c r="A6" s="1" t="s">
        <v>404</v>
      </c>
      <c r="B6" s="1" t="s">
        <v>405</v>
      </c>
      <c r="C6" s="1" t="s">
        <v>406</v>
      </c>
      <c r="D6" s="1" t="s">
        <v>407</v>
      </c>
      <c r="E6" s="1" t="s">
        <v>81</v>
      </c>
      <c r="F6" s="1" t="s">
        <v>83</v>
      </c>
      <c r="G6" s="1" t="s">
        <v>84</v>
      </c>
      <c r="H6" s="1" t="s">
        <v>85</v>
      </c>
      <c r="I6" s="1" t="s">
        <v>86</v>
      </c>
      <c r="J6" s="1" t="s">
        <v>87</v>
      </c>
      <c r="K6" s="1" t="s">
        <v>88</v>
      </c>
      <c r="L6" s="1" t="s">
        <v>89</v>
      </c>
      <c r="M6" s="1" t="s">
        <v>408</v>
      </c>
      <c r="N6" s="1" t="s">
        <v>409</v>
      </c>
      <c r="O6" s="1" t="s">
        <v>410</v>
      </c>
    </row>
    <row r="7" spans="1:15">
      <c r="A7" s="2" t="s">
        <v>411</v>
      </c>
      <c r="B7" s="2" t="s">
        <v>412</v>
      </c>
      <c r="C7" s="2" t="s">
        <v>413</v>
      </c>
      <c r="D7" s="2">
        <v>5</v>
      </c>
      <c r="E7" s="2">
        <v>5</v>
      </c>
      <c r="F7" s="2">
        <v>5</v>
      </c>
      <c r="G7" s="2">
        <v>5</v>
      </c>
      <c r="H7" s="2">
        <v>5</v>
      </c>
      <c r="I7" s="2">
        <v>5</v>
      </c>
      <c r="J7" s="2">
        <v>5</v>
      </c>
      <c r="K7" s="2">
        <v>5</v>
      </c>
      <c r="L7" s="2">
        <v>5</v>
      </c>
      <c r="M7" s="2">
        <f t="shared" ref="M7:M38" si="0">IFERROR(AVERAGE(E7:L7),"")</f>
        <v>5</v>
      </c>
      <c r="N7" s="2">
        <f t="shared" ref="N7:N38" si="1">IFERROR(MAX(E7:L7),"")</f>
        <v>5</v>
      </c>
      <c r="O7" s="2" t="str">
        <f>IF(N7="","",IFERROR(INDEX($E$6:$L$6,1,MATCH(N7,E7:L7,0)),""))</f>
        <v>C01</v>
      </c>
    </row>
    <row r="8" spans="1:15">
      <c r="A8" s="2" t="s">
        <v>414</v>
      </c>
      <c r="B8" s="2" t="s">
        <v>412</v>
      </c>
      <c r="C8" s="2" t="s">
        <v>415</v>
      </c>
      <c r="D8" s="2">
        <v>5</v>
      </c>
      <c r="E8" s="2">
        <v>4</v>
      </c>
      <c r="F8" s="2">
        <v>4</v>
      </c>
      <c r="G8" s="2">
        <v>5</v>
      </c>
      <c r="H8" s="2">
        <v>4</v>
      </c>
      <c r="I8" s="2">
        <v>4</v>
      </c>
      <c r="J8" s="2">
        <v>4</v>
      </c>
      <c r="K8" s="2">
        <v>5</v>
      </c>
      <c r="L8" s="2">
        <v>4</v>
      </c>
      <c r="M8" s="2">
        <f t="shared" si="0"/>
        <v>4.25</v>
      </c>
      <c r="N8" s="2">
        <f t="shared" si="1"/>
        <v>5</v>
      </c>
      <c r="O8" s="2" t="str">
        <f>IF(N8="","",IFERROR(INDEX($E$6:$L$6,1,MATCH(N8,E8:L8,0)),""))</f>
        <v>C03</v>
      </c>
    </row>
    <row r="9" spans="1:15" ht="25.5">
      <c r="A9" s="2" t="s">
        <v>416</v>
      </c>
      <c r="B9" s="2" t="s">
        <v>412</v>
      </c>
      <c r="C9" s="2" t="s">
        <v>417</v>
      </c>
      <c r="D9" s="2">
        <v>4</v>
      </c>
      <c r="E9" s="2">
        <v>4</v>
      </c>
      <c r="F9" s="2">
        <v>4</v>
      </c>
      <c r="G9" s="2">
        <v>4</v>
      </c>
      <c r="H9" s="2">
        <v>4</v>
      </c>
      <c r="I9" s="2">
        <v>4</v>
      </c>
      <c r="J9" s="2">
        <v>4</v>
      </c>
      <c r="K9" s="2">
        <v>4</v>
      </c>
      <c r="L9" s="2">
        <v>3</v>
      </c>
      <c r="M9" s="2">
        <f t="shared" si="0"/>
        <v>3.875</v>
      </c>
      <c r="N9" s="2">
        <f t="shared" si="1"/>
        <v>4</v>
      </c>
      <c r="O9" s="2" t="str">
        <f>IF(N9="","",IFERROR(INDEX($E$6:$L$6,1,MATCH(N9,E9:L9,0)),""))</f>
        <v>C01</v>
      </c>
    </row>
    <row r="10" spans="1:15" ht="25.5">
      <c r="A10" s="2" t="s">
        <v>418</v>
      </c>
      <c r="B10" s="2" t="s">
        <v>419</v>
      </c>
      <c r="C10" s="2" t="s">
        <v>420</v>
      </c>
      <c r="D10" s="2">
        <v>5</v>
      </c>
      <c r="E10" s="2">
        <v>4</v>
      </c>
      <c r="F10" s="2">
        <v>4</v>
      </c>
      <c r="G10" s="2">
        <v>5</v>
      </c>
      <c r="H10" s="2">
        <v>5</v>
      </c>
      <c r="I10" s="2">
        <v>4</v>
      </c>
      <c r="J10" s="2">
        <v>5</v>
      </c>
      <c r="K10" s="2">
        <v>5</v>
      </c>
      <c r="L10" s="2">
        <v>4</v>
      </c>
      <c r="M10" s="2">
        <f t="shared" si="0"/>
        <v>4.5</v>
      </c>
      <c r="N10" s="2">
        <f t="shared" si="1"/>
        <v>5</v>
      </c>
      <c r="O10" s="2" t="str">
        <f>IF(N10="","",IFERROR(INDEX($E$6:$L$6,1,MATCH(N10,E10:L10,0)),""))</f>
        <v>C03</v>
      </c>
    </row>
    <row r="11" spans="1:15" ht="25.5">
      <c r="A11" s="2" t="s">
        <v>421</v>
      </c>
      <c r="B11" s="2" t="s">
        <v>419</v>
      </c>
      <c r="C11" s="2" t="s">
        <v>422</v>
      </c>
      <c r="D11" s="2">
        <v>4</v>
      </c>
      <c r="E11" s="2">
        <v>4</v>
      </c>
      <c r="F11" s="2">
        <v>4</v>
      </c>
      <c r="G11" s="2">
        <v>4</v>
      </c>
      <c r="H11" s="2"/>
      <c r="I11" s="2">
        <v>4</v>
      </c>
      <c r="J11" s="2">
        <v>5</v>
      </c>
      <c r="K11" s="2">
        <v>4</v>
      </c>
      <c r="L11" s="2">
        <v>4</v>
      </c>
      <c r="M11" s="2">
        <f t="shared" si="0"/>
        <v>4.1428571428571432</v>
      </c>
      <c r="N11" s="2">
        <f t="shared" si="1"/>
        <v>5</v>
      </c>
      <c r="O11" s="2" t="str">
        <f>IF(N11="","",IFERROR(INDEX($E$6:$L$6,1,MATCH(N11,E11:L11,0)),""))</f>
        <v>C06</v>
      </c>
    </row>
    <row r="12" spans="1:15" ht="25.5">
      <c r="A12" s="2" t="s">
        <v>423</v>
      </c>
      <c r="B12" s="2" t="s">
        <v>419</v>
      </c>
      <c r="C12" s="2" t="s">
        <v>424</v>
      </c>
      <c r="D12" s="2">
        <v>4</v>
      </c>
      <c r="E12" s="2">
        <v>5</v>
      </c>
      <c r="F12" s="2">
        <v>5</v>
      </c>
      <c r="G12" s="2">
        <v>5</v>
      </c>
      <c r="H12" s="2">
        <v>5</v>
      </c>
      <c r="I12" s="2">
        <v>5</v>
      </c>
      <c r="J12" s="2">
        <v>5</v>
      </c>
      <c r="K12" s="2">
        <v>5</v>
      </c>
      <c r="L12" s="2">
        <v>5</v>
      </c>
      <c r="M12" s="2">
        <f t="shared" si="0"/>
        <v>5</v>
      </c>
      <c r="N12" s="2">
        <f t="shared" si="1"/>
        <v>5</v>
      </c>
      <c r="O12" s="2" t="str">
        <f>IF(N12="","",IFERROR(INDEX($E$6:$L$6,1,MATCH(N12,E12:L12,0)),""))</f>
        <v>C01</v>
      </c>
    </row>
    <row r="13" spans="1:15" ht="25.5">
      <c r="A13" s="2" t="s">
        <v>425</v>
      </c>
      <c r="B13" s="2" t="s">
        <v>426</v>
      </c>
      <c r="C13" s="2" t="s">
        <v>427</v>
      </c>
      <c r="D13" s="2">
        <v>5</v>
      </c>
      <c r="E13" s="2">
        <v>2</v>
      </c>
      <c r="F13" s="2">
        <v>2</v>
      </c>
      <c r="G13" s="2">
        <v>4</v>
      </c>
      <c r="H13" s="2">
        <v>3</v>
      </c>
      <c r="I13" s="2">
        <v>3</v>
      </c>
      <c r="J13" s="2">
        <v>4</v>
      </c>
      <c r="K13" s="2">
        <v>4</v>
      </c>
      <c r="L13" s="2">
        <v>3</v>
      </c>
      <c r="M13" s="2">
        <f t="shared" si="0"/>
        <v>3.125</v>
      </c>
      <c r="N13" s="2">
        <f t="shared" si="1"/>
        <v>4</v>
      </c>
      <c r="O13" s="2" t="str">
        <f>IF(N13="","",IFERROR(INDEX($E$6:$L$6,1,MATCH(N13,E13:L13,0)),""))</f>
        <v>C03</v>
      </c>
    </row>
    <row r="14" spans="1:15" ht="25.5">
      <c r="A14" s="2" t="s">
        <v>428</v>
      </c>
      <c r="B14" s="2" t="s">
        <v>426</v>
      </c>
      <c r="C14" s="2" t="s">
        <v>429</v>
      </c>
      <c r="D14" s="2">
        <v>5</v>
      </c>
      <c r="E14" s="2">
        <v>3</v>
      </c>
      <c r="F14" s="2">
        <v>3</v>
      </c>
      <c r="G14" s="2">
        <v>4</v>
      </c>
      <c r="H14" s="2">
        <v>4</v>
      </c>
      <c r="I14" s="2">
        <v>4</v>
      </c>
      <c r="J14" s="2">
        <v>5</v>
      </c>
      <c r="K14" s="2">
        <v>5</v>
      </c>
      <c r="L14" s="2">
        <v>4</v>
      </c>
      <c r="M14" s="2">
        <f t="shared" si="0"/>
        <v>4</v>
      </c>
      <c r="N14" s="2">
        <f t="shared" si="1"/>
        <v>5</v>
      </c>
      <c r="O14" s="2" t="str">
        <f>IF(N14="","",IFERROR(INDEX($E$6:$L$6,1,MATCH(N14,E14:L14,0)),""))</f>
        <v>C06</v>
      </c>
    </row>
    <row r="15" spans="1:15">
      <c r="A15" s="2" t="s">
        <v>430</v>
      </c>
      <c r="B15" s="2" t="s">
        <v>426</v>
      </c>
      <c r="C15" s="2" t="s">
        <v>431</v>
      </c>
      <c r="D15" s="2">
        <v>4</v>
      </c>
      <c r="E15" s="2">
        <v>2</v>
      </c>
      <c r="F15" s="2">
        <v>1</v>
      </c>
      <c r="G15" s="2">
        <v>5</v>
      </c>
      <c r="H15" s="2">
        <v>5</v>
      </c>
      <c r="I15" s="2">
        <v>2</v>
      </c>
      <c r="J15" s="2">
        <v>5</v>
      </c>
      <c r="K15" s="2">
        <v>5</v>
      </c>
      <c r="L15" s="2">
        <v>5</v>
      </c>
      <c r="M15" s="2">
        <f t="shared" si="0"/>
        <v>3.75</v>
      </c>
      <c r="N15" s="2">
        <f t="shared" si="1"/>
        <v>5</v>
      </c>
      <c r="O15" s="2" t="str">
        <f>IF(N15="","",IFERROR(INDEX($E$6:$L$6,1,MATCH(N15,E15:L15,0)),""))</f>
        <v>C03</v>
      </c>
    </row>
    <row r="16" spans="1:15" ht="25.5">
      <c r="A16" s="2" t="s">
        <v>432</v>
      </c>
      <c r="B16" s="2" t="s">
        <v>433</v>
      </c>
      <c r="C16" s="2" t="s">
        <v>434</v>
      </c>
      <c r="D16" s="2">
        <v>4</v>
      </c>
      <c r="E16" s="2">
        <v>1</v>
      </c>
      <c r="F16" s="2">
        <v>2</v>
      </c>
      <c r="G16" s="2">
        <v>4</v>
      </c>
      <c r="H16" s="2">
        <v>4</v>
      </c>
      <c r="I16" s="2">
        <v>3</v>
      </c>
      <c r="J16" s="2">
        <v>5</v>
      </c>
      <c r="K16" s="2">
        <v>4</v>
      </c>
      <c r="L16" s="2">
        <v>4</v>
      </c>
      <c r="M16" s="2">
        <f t="shared" si="0"/>
        <v>3.375</v>
      </c>
      <c r="N16" s="2">
        <f t="shared" si="1"/>
        <v>5</v>
      </c>
      <c r="O16" s="2" t="str">
        <f>IF(N16="","",IFERROR(INDEX($E$6:$L$6,1,MATCH(N16,E16:L16,0)),""))</f>
        <v>C06</v>
      </c>
    </row>
    <row r="17" spans="1:15" ht="25.5">
      <c r="A17" s="2" t="s">
        <v>435</v>
      </c>
      <c r="B17" s="2" t="s">
        <v>433</v>
      </c>
      <c r="C17" s="2" t="s">
        <v>436</v>
      </c>
      <c r="D17" s="2">
        <v>4</v>
      </c>
      <c r="E17" s="2">
        <v>2</v>
      </c>
      <c r="F17" s="2">
        <v>2</v>
      </c>
      <c r="G17" s="2">
        <v>4</v>
      </c>
      <c r="H17" s="2">
        <v>4</v>
      </c>
      <c r="I17" s="2">
        <v>5</v>
      </c>
      <c r="J17" s="2">
        <v>5</v>
      </c>
      <c r="K17" s="2">
        <v>4</v>
      </c>
      <c r="L17" s="2">
        <v>5</v>
      </c>
      <c r="M17" s="2">
        <f t="shared" si="0"/>
        <v>3.875</v>
      </c>
      <c r="N17" s="2">
        <f t="shared" si="1"/>
        <v>5</v>
      </c>
      <c r="O17" s="2" t="str">
        <f>IF(N17="","",IFERROR(INDEX($E$6:$L$6,1,MATCH(N17,E17:L17,0)),""))</f>
        <v>C05</v>
      </c>
    </row>
    <row r="18" spans="1:15" ht="25.5">
      <c r="A18" s="2" t="s">
        <v>437</v>
      </c>
      <c r="B18" s="2" t="s">
        <v>433</v>
      </c>
      <c r="C18" s="2" t="s">
        <v>438</v>
      </c>
      <c r="D18" s="2">
        <v>3</v>
      </c>
      <c r="E18" s="2">
        <v>2</v>
      </c>
      <c r="F18" s="2">
        <v>3</v>
      </c>
      <c r="G18" s="2">
        <v>3</v>
      </c>
      <c r="H18" s="2"/>
      <c r="I18" s="2">
        <v>3</v>
      </c>
      <c r="J18" s="2"/>
      <c r="K18" s="2"/>
      <c r="L18" s="2"/>
      <c r="M18" s="2">
        <f t="shared" si="0"/>
        <v>2.75</v>
      </c>
      <c r="N18" s="2">
        <f t="shared" si="1"/>
        <v>3</v>
      </c>
      <c r="O18" s="2" t="str">
        <f>IF(N18="","",IFERROR(INDEX($E$6:$L$6,1,MATCH(N18,E18:L18,0)),""))</f>
        <v>C02</v>
      </c>
    </row>
    <row r="19" spans="1:15">
      <c r="A19" s="2" t="s">
        <v>439</v>
      </c>
      <c r="B19" s="2" t="s">
        <v>440</v>
      </c>
      <c r="C19" s="2" t="s">
        <v>441</v>
      </c>
      <c r="D19" s="2">
        <v>5</v>
      </c>
      <c r="E19" s="2">
        <v>4</v>
      </c>
      <c r="F19" s="2">
        <v>5</v>
      </c>
      <c r="G19" s="2">
        <v>5</v>
      </c>
      <c r="H19" s="2">
        <v>5</v>
      </c>
      <c r="I19" s="2">
        <v>5</v>
      </c>
      <c r="J19" s="2">
        <v>5</v>
      </c>
      <c r="K19" s="2">
        <v>5</v>
      </c>
      <c r="L19" s="2">
        <v>5</v>
      </c>
      <c r="M19" s="2">
        <f t="shared" si="0"/>
        <v>4.875</v>
      </c>
      <c r="N19" s="2">
        <f t="shared" si="1"/>
        <v>5</v>
      </c>
      <c r="O19" s="2" t="str">
        <f>IF(N19="","",IFERROR(INDEX($E$6:$L$6,1,MATCH(N19,E19:L19,0)),""))</f>
        <v>C02</v>
      </c>
    </row>
    <row r="20" spans="1:15" ht="25.5">
      <c r="A20" s="2" t="s">
        <v>442</v>
      </c>
      <c r="B20" s="2" t="s">
        <v>440</v>
      </c>
      <c r="C20" s="2" t="s">
        <v>443</v>
      </c>
      <c r="D20" s="2">
        <v>4</v>
      </c>
      <c r="E20" s="2">
        <v>3</v>
      </c>
      <c r="F20" s="2">
        <v>3</v>
      </c>
      <c r="G20" s="2">
        <v>5</v>
      </c>
      <c r="H20" s="2">
        <v>5</v>
      </c>
      <c r="I20" s="2">
        <v>4</v>
      </c>
      <c r="J20" s="2">
        <v>5</v>
      </c>
      <c r="K20" s="2">
        <v>5</v>
      </c>
      <c r="L20" s="2">
        <v>4</v>
      </c>
      <c r="M20" s="2">
        <f t="shared" si="0"/>
        <v>4.25</v>
      </c>
      <c r="N20" s="2">
        <f t="shared" si="1"/>
        <v>5</v>
      </c>
      <c r="O20" s="2" t="str">
        <f>IF(N20="","",IFERROR(INDEX($E$6:$L$6,1,MATCH(N20,E20:L20,0)),""))</f>
        <v>C03</v>
      </c>
    </row>
    <row r="21" spans="1:15">
      <c r="A21" s="2" t="s">
        <v>444</v>
      </c>
      <c r="B21" s="2" t="s">
        <v>440</v>
      </c>
      <c r="C21" s="2" t="s">
        <v>445</v>
      </c>
      <c r="D21" s="2">
        <v>4</v>
      </c>
      <c r="E21" s="2">
        <v>3</v>
      </c>
      <c r="F21" s="2">
        <v>4</v>
      </c>
      <c r="G21" s="2">
        <v>4</v>
      </c>
      <c r="H21" s="2">
        <v>4</v>
      </c>
      <c r="I21" s="2">
        <v>4</v>
      </c>
      <c r="J21" s="2">
        <v>4</v>
      </c>
      <c r="K21" s="2">
        <v>4</v>
      </c>
      <c r="L21" s="2">
        <v>4</v>
      </c>
      <c r="M21" s="2">
        <f t="shared" si="0"/>
        <v>3.875</v>
      </c>
      <c r="N21" s="2">
        <f t="shared" si="1"/>
        <v>4</v>
      </c>
      <c r="O21" s="2" t="str">
        <f>IF(N21="","",IFERROR(INDEX($E$6:$L$6,1,MATCH(N21,E21:L21,0)),""))</f>
        <v>C02</v>
      </c>
    </row>
    <row r="22" spans="1:15">
      <c r="A22" s="2" t="s">
        <v>446</v>
      </c>
      <c r="B22" s="2" t="s">
        <v>447</v>
      </c>
      <c r="C22" s="2" t="s">
        <v>448</v>
      </c>
      <c r="D22" s="2">
        <v>5</v>
      </c>
      <c r="E22" s="2">
        <v>4</v>
      </c>
      <c r="F22" s="2">
        <v>3</v>
      </c>
      <c r="G22" s="2">
        <v>5</v>
      </c>
      <c r="H22" s="2">
        <v>5</v>
      </c>
      <c r="I22" s="2">
        <v>4</v>
      </c>
      <c r="J22" s="2">
        <v>5</v>
      </c>
      <c r="K22" s="2">
        <v>5</v>
      </c>
      <c r="L22" s="2">
        <v>5</v>
      </c>
      <c r="M22" s="2">
        <f t="shared" si="0"/>
        <v>4.5</v>
      </c>
      <c r="N22" s="2">
        <f t="shared" si="1"/>
        <v>5</v>
      </c>
      <c r="O22" s="2" t="str">
        <f>IF(N22="","",IFERROR(INDEX($E$6:$L$6,1,MATCH(N22,E22:L22,0)),""))</f>
        <v>C03</v>
      </c>
    </row>
    <row r="23" spans="1:15" ht="25.5">
      <c r="A23" s="2" t="s">
        <v>449</v>
      </c>
      <c r="B23" s="2" t="s">
        <v>447</v>
      </c>
      <c r="C23" s="2" t="s">
        <v>450</v>
      </c>
      <c r="D23" s="2">
        <v>4</v>
      </c>
      <c r="E23" s="2">
        <v>2</v>
      </c>
      <c r="F23" s="2">
        <v>1</v>
      </c>
      <c r="G23" s="2">
        <v>4</v>
      </c>
      <c r="H23" s="2">
        <v>4</v>
      </c>
      <c r="I23" s="2">
        <v>2</v>
      </c>
      <c r="J23" s="2">
        <v>5</v>
      </c>
      <c r="K23" s="2">
        <v>4</v>
      </c>
      <c r="L23" s="2">
        <v>4</v>
      </c>
      <c r="M23" s="2">
        <f t="shared" si="0"/>
        <v>3.25</v>
      </c>
      <c r="N23" s="2">
        <f t="shared" si="1"/>
        <v>5</v>
      </c>
      <c r="O23" s="2" t="str">
        <f>IF(N23="","",IFERROR(INDEX($E$6:$L$6,1,MATCH(N23,E23:L23,0)),""))</f>
        <v>C06</v>
      </c>
    </row>
    <row r="24" spans="1:15">
      <c r="A24" s="2" t="s">
        <v>451</v>
      </c>
      <c r="B24" s="2" t="s">
        <v>452</v>
      </c>
      <c r="C24" s="2" t="s">
        <v>453</v>
      </c>
      <c r="D24" s="2">
        <v>3</v>
      </c>
      <c r="E24" s="2">
        <v>2</v>
      </c>
      <c r="F24" s="2">
        <v>2</v>
      </c>
      <c r="G24" s="2">
        <v>4</v>
      </c>
      <c r="H24" s="2">
        <v>3</v>
      </c>
      <c r="I24" s="2">
        <v>3</v>
      </c>
      <c r="J24" s="2">
        <v>4</v>
      </c>
      <c r="K24" s="2">
        <v>3</v>
      </c>
      <c r="L24" s="2">
        <v>4</v>
      </c>
      <c r="M24" s="2">
        <f t="shared" si="0"/>
        <v>3.125</v>
      </c>
      <c r="N24" s="2">
        <f t="shared" si="1"/>
        <v>4</v>
      </c>
      <c r="O24" s="2" t="str">
        <f>IF(N24="","",IFERROR(INDEX($E$6:$L$6,1,MATCH(N24,E24:L24,0)),""))</f>
        <v>C03</v>
      </c>
    </row>
    <row r="25" spans="1:15" ht="25.5">
      <c r="A25" s="2" t="s">
        <v>454</v>
      </c>
      <c r="B25" s="2" t="s">
        <v>452</v>
      </c>
      <c r="C25" s="2" t="s">
        <v>455</v>
      </c>
      <c r="D25" s="2">
        <v>3</v>
      </c>
      <c r="E25" s="2">
        <v>5</v>
      </c>
      <c r="F25" s="2">
        <v>5</v>
      </c>
      <c r="G25" s="2">
        <v>5</v>
      </c>
      <c r="H25" s="2"/>
      <c r="I25" s="2">
        <v>4</v>
      </c>
      <c r="J25" s="2">
        <v>4</v>
      </c>
      <c r="K25" s="2">
        <v>4</v>
      </c>
      <c r="L25" s="2"/>
      <c r="M25" s="2">
        <f t="shared" si="0"/>
        <v>4.5</v>
      </c>
      <c r="N25" s="2">
        <f t="shared" si="1"/>
        <v>5</v>
      </c>
      <c r="O25" s="2" t="str">
        <f>IF(N25="","",IFERROR(INDEX($E$6:$L$6,1,MATCH(N25,E25:L25,0)),""))</f>
        <v>C01</v>
      </c>
    </row>
    <row r="26" spans="1:15" ht="25.5">
      <c r="A26" s="2" t="s">
        <v>456</v>
      </c>
      <c r="B26" s="2" t="s">
        <v>457</v>
      </c>
      <c r="C26" s="2" t="s">
        <v>458</v>
      </c>
      <c r="D26" s="2">
        <v>4</v>
      </c>
      <c r="E26" s="2">
        <v>4</v>
      </c>
      <c r="F26" s="2">
        <v>5</v>
      </c>
      <c r="G26" s="2">
        <v>5</v>
      </c>
      <c r="H26" s="2">
        <v>5</v>
      </c>
      <c r="I26" s="2">
        <v>5</v>
      </c>
      <c r="J26" s="2">
        <v>5</v>
      </c>
      <c r="K26" s="2">
        <v>5</v>
      </c>
      <c r="L26" s="2">
        <v>4</v>
      </c>
      <c r="M26" s="2">
        <f t="shared" si="0"/>
        <v>4.75</v>
      </c>
      <c r="N26" s="2">
        <f t="shared" si="1"/>
        <v>5</v>
      </c>
      <c r="O26" s="2" t="str">
        <f>IF(N26="","",IFERROR(INDEX($E$6:$L$6,1,MATCH(N26,E26:L26,0)),""))</f>
        <v>C02</v>
      </c>
    </row>
    <row r="27" spans="1:15" ht="25.5">
      <c r="A27" s="2" t="s">
        <v>459</v>
      </c>
      <c r="B27" s="2" t="s">
        <v>457</v>
      </c>
      <c r="C27" s="2" t="s">
        <v>460</v>
      </c>
      <c r="D27" s="2">
        <v>3</v>
      </c>
      <c r="E27" s="2">
        <v>3</v>
      </c>
      <c r="F27" s="2">
        <v>3</v>
      </c>
      <c r="G27" s="2">
        <v>4</v>
      </c>
      <c r="H27" s="2">
        <v>3</v>
      </c>
      <c r="I27" s="2"/>
      <c r="J27" s="2">
        <v>4</v>
      </c>
      <c r="K27" s="2">
        <v>4</v>
      </c>
      <c r="L27" s="2">
        <v>3</v>
      </c>
      <c r="M27" s="2">
        <f t="shared" si="0"/>
        <v>3.4285714285714284</v>
      </c>
      <c r="N27" s="2">
        <f t="shared" si="1"/>
        <v>4</v>
      </c>
      <c r="O27" s="2" t="str">
        <f>IF(N27="","",IFERROR(INDEX($E$6:$L$6,1,MATCH(N27,E27:L27,0)),""))</f>
        <v>C03</v>
      </c>
    </row>
    <row r="28" spans="1:15">
      <c r="A28" s="2" t="s">
        <v>461</v>
      </c>
      <c r="B28" s="2" t="s">
        <v>462</v>
      </c>
      <c r="C28" s="2" t="s">
        <v>463</v>
      </c>
      <c r="D28" s="2">
        <v>5</v>
      </c>
      <c r="E28" s="2">
        <v>3</v>
      </c>
      <c r="F28" s="2">
        <v>3</v>
      </c>
      <c r="G28" s="2">
        <v>4</v>
      </c>
      <c r="H28" s="2">
        <v>4</v>
      </c>
      <c r="I28" s="2">
        <v>4</v>
      </c>
      <c r="J28" s="2">
        <v>4</v>
      </c>
      <c r="K28" s="2">
        <v>5</v>
      </c>
      <c r="L28" s="2">
        <v>3</v>
      </c>
      <c r="M28" s="2">
        <f t="shared" si="0"/>
        <v>3.75</v>
      </c>
      <c r="N28" s="2">
        <f t="shared" si="1"/>
        <v>5</v>
      </c>
      <c r="O28" s="2" t="str">
        <f>IF(N28="","",IFERROR(INDEX($E$6:$L$6,1,MATCH(N28,E28:L28,0)),""))</f>
        <v>C07</v>
      </c>
    </row>
    <row r="29" spans="1:15">
      <c r="A29" s="2" t="s">
        <v>464</v>
      </c>
      <c r="B29" s="2" t="s">
        <v>462</v>
      </c>
      <c r="C29" s="2" t="s">
        <v>465</v>
      </c>
      <c r="D29" s="2">
        <v>5</v>
      </c>
      <c r="E29" s="2">
        <v>2</v>
      </c>
      <c r="F29" s="2">
        <v>2</v>
      </c>
      <c r="G29" s="2">
        <v>4</v>
      </c>
      <c r="H29" s="2">
        <v>4</v>
      </c>
      <c r="I29" s="2">
        <v>4</v>
      </c>
      <c r="J29" s="2">
        <v>4</v>
      </c>
      <c r="K29" s="2">
        <v>4</v>
      </c>
      <c r="L29" s="2">
        <v>4</v>
      </c>
      <c r="M29" s="2">
        <f t="shared" si="0"/>
        <v>3.5</v>
      </c>
      <c r="N29" s="2">
        <f t="shared" si="1"/>
        <v>4</v>
      </c>
      <c r="O29" s="2" t="str">
        <f>IF(N29="","",IFERROR(INDEX($E$6:$L$6,1,MATCH(N29,E29:L29,0)),""))</f>
        <v>C03</v>
      </c>
    </row>
    <row r="30" spans="1:15">
      <c r="A30" s="2" t="s">
        <v>466</v>
      </c>
      <c r="B30" s="2" t="s">
        <v>467</v>
      </c>
      <c r="C30" s="2" t="s">
        <v>468</v>
      </c>
      <c r="D30" s="2">
        <v>5</v>
      </c>
      <c r="E30" s="2">
        <v>4</v>
      </c>
      <c r="F30" s="2">
        <v>4</v>
      </c>
      <c r="G30" s="2">
        <v>5</v>
      </c>
      <c r="H30" s="2">
        <v>4</v>
      </c>
      <c r="I30" s="2">
        <v>5</v>
      </c>
      <c r="J30" s="2">
        <v>5</v>
      </c>
      <c r="K30" s="2">
        <v>4</v>
      </c>
      <c r="L30" s="2">
        <v>3</v>
      </c>
      <c r="M30" s="2">
        <f t="shared" si="0"/>
        <v>4.25</v>
      </c>
      <c r="N30" s="2">
        <f t="shared" si="1"/>
        <v>5</v>
      </c>
      <c r="O30" s="2" t="str">
        <f>IF(N30="","",IFERROR(INDEX($E$6:$L$6,1,MATCH(N30,E30:L30,0)),""))</f>
        <v>C03</v>
      </c>
    </row>
    <row r="31" spans="1:15" ht="25.5">
      <c r="A31" s="2" t="s">
        <v>469</v>
      </c>
      <c r="B31" s="2" t="s">
        <v>467</v>
      </c>
      <c r="C31" s="2" t="s">
        <v>470</v>
      </c>
      <c r="D31" s="2">
        <v>5</v>
      </c>
      <c r="E31" s="2">
        <v>4</v>
      </c>
      <c r="F31" s="2">
        <v>4</v>
      </c>
      <c r="G31" s="2">
        <v>5</v>
      </c>
      <c r="H31" s="2">
        <v>4</v>
      </c>
      <c r="I31" s="2">
        <v>5</v>
      </c>
      <c r="J31" s="2">
        <v>5</v>
      </c>
      <c r="K31" s="2">
        <v>4</v>
      </c>
      <c r="L31" s="2">
        <v>4</v>
      </c>
      <c r="M31" s="2">
        <f t="shared" si="0"/>
        <v>4.375</v>
      </c>
      <c r="N31" s="2">
        <f t="shared" si="1"/>
        <v>5</v>
      </c>
      <c r="O31" s="2" t="str">
        <f>IF(N31="","",IFERROR(INDEX($E$6:$L$6,1,MATCH(N31,E31:L31,0)),""))</f>
        <v>C03</v>
      </c>
    </row>
    <row r="32" spans="1:15">
      <c r="A32" s="2" t="s">
        <v>471</v>
      </c>
      <c r="B32" s="2"/>
      <c r="C32" s="2"/>
      <c r="D32" s="2"/>
      <c r="E32" s="2"/>
      <c r="F32" s="2"/>
      <c r="G32" s="2"/>
      <c r="H32" s="2"/>
      <c r="I32" s="2"/>
      <c r="J32" s="2"/>
      <c r="K32" s="2"/>
      <c r="L32" s="2"/>
      <c r="M32" s="2" t="str">
        <f t="shared" si="0"/>
        <v/>
      </c>
      <c r="N32" s="2">
        <f t="shared" si="1"/>
        <v>0</v>
      </c>
      <c r="O32" s="2" t="str">
        <f>IF(N32="","",IFERROR(INDEX($E$6:$L$6,1,MATCH(N32,E32:L32,0)),""))</f>
        <v/>
      </c>
    </row>
    <row r="33" spans="1:15">
      <c r="A33" s="2" t="s">
        <v>472</v>
      </c>
      <c r="B33" s="2"/>
      <c r="C33" s="2"/>
      <c r="D33" s="2"/>
      <c r="E33" s="2"/>
      <c r="F33" s="2"/>
      <c r="G33" s="2"/>
      <c r="H33" s="2"/>
      <c r="I33" s="2"/>
      <c r="J33" s="2"/>
      <c r="K33" s="2"/>
      <c r="L33" s="2"/>
      <c r="M33" s="2" t="str">
        <f t="shared" si="0"/>
        <v/>
      </c>
      <c r="N33" s="2">
        <f t="shared" si="1"/>
        <v>0</v>
      </c>
      <c r="O33" s="2" t="str">
        <f>IF(N33="","",IFERROR(INDEX($E$6:$L$6,1,MATCH(N33,E33:L33,0)),""))</f>
        <v/>
      </c>
    </row>
    <row r="34" spans="1:15">
      <c r="A34" s="2" t="s">
        <v>473</v>
      </c>
      <c r="B34" s="2"/>
      <c r="C34" s="2"/>
      <c r="D34" s="2"/>
      <c r="E34" s="2"/>
      <c r="F34" s="2"/>
      <c r="G34" s="2"/>
      <c r="H34" s="2"/>
      <c r="I34" s="2"/>
      <c r="J34" s="2"/>
      <c r="K34" s="2"/>
      <c r="L34" s="2"/>
      <c r="M34" s="2" t="str">
        <f t="shared" si="0"/>
        <v/>
      </c>
      <c r="N34" s="2">
        <f t="shared" si="1"/>
        <v>0</v>
      </c>
      <c r="O34" s="2" t="str">
        <f>IF(N34="","",IFERROR(INDEX($E$6:$L$6,1,MATCH(N34,E34:L34,0)),""))</f>
        <v/>
      </c>
    </row>
    <row r="35" spans="1:15">
      <c r="A35" s="2" t="s">
        <v>474</v>
      </c>
      <c r="B35" s="2"/>
      <c r="C35" s="2"/>
      <c r="D35" s="2"/>
      <c r="E35" s="2"/>
      <c r="F35" s="2"/>
      <c r="G35" s="2"/>
      <c r="H35" s="2"/>
      <c r="I35" s="2"/>
      <c r="J35" s="2"/>
      <c r="K35" s="2"/>
      <c r="L35" s="2"/>
      <c r="M35" s="2" t="str">
        <f t="shared" si="0"/>
        <v/>
      </c>
      <c r="N35" s="2">
        <f t="shared" si="1"/>
        <v>0</v>
      </c>
      <c r="O35" s="2" t="str">
        <f>IF(N35="","",IFERROR(INDEX($E$6:$L$6,1,MATCH(N35,E35:L35,0)),""))</f>
        <v/>
      </c>
    </row>
    <row r="36" spans="1:15">
      <c r="A36" s="2" t="s">
        <v>475</v>
      </c>
      <c r="B36" s="2"/>
      <c r="C36" s="2"/>
      <c r="D36" s="2"/>
      <c r="E36" s="2"/>
      <c r="F36" s="2"/>
      <c r="G36" s="2"/>
      <c r="H36" s="2"/>
      <c r="I36" s="2"/>
      <c r="J36" s="2"/>
      <c r="K36" s="2"/>
      <c r="L36" s="2"/>
      <c r="M36" s="2" t="str">
        <f t="shared" si="0"/>
        <v/>
      </c>
      <c r="N36" s="2">
        <f t="shared" si="1"/>
        <v>0</v>
      </c>
      <c r="O36" s="2" t="str">
        <f>IF(N36="","",IFERROR(INDEX($E$6:$L$6,1,MATCH(N36,E36:L36,0)),""))</f>
        <v/>
      </c>
    </row>
    <row r="37" spans="1:15">
      <c r="A37" s="2" t="s">
        <v>476</v>
      </c>
      <c r="B37" s="2"/>
      <c r="C37" s="2"/>
      <c r="D37" s="2"/>
      <c r="E37" s="2"/>
      <c r="F37" s="2"/>
      <c r="G37" s="2"/>
      <c r="H37" s="2"/>
      <c r="I37" s="2"/>
      <c r="J37" s="2"/>
      <c r="K37" s="2"/>
      <c r="L37" s="2"/>
      <c r="M37" s="2" t="str">
        <f t="shared" si="0"/>
        <v/>
      </c>
      <c r="N37" s="2">
        <f t="shared" si="1"/>
        <v>0</v>
      </c>
      <c r="O37" s="2" t="str">
        <f>IF(N37="","",IFERROR(INDEX($E$6:$L$6,1,MATCH(N37,E37:L37,0)),""))</f>
        <v/>
      </c>
    </row>
    <row r="38" spans="1:15">
      <c r="A38" s="2" t="s">
        <v>477</v>
      </c>
      <c r="B38" s="2"/>
      <c r="C38" s="2"/>
      <c r="D38" s="2"/>
      <c r="E38" s="2"/>
      <c r="F38" s="2"/>
      <c r="G38" s="2"/>
      <c r="H38" s="2"/>
      <c r="I38" s="2"/>
      <c r="J38" s="2"/>
      <c r="K38" s="2"/>
      <c r="L38" s="2"/>
      <c r="M38" s="2" t="str">
        <f t="shared" si="0"/>
        <v/>
      </c>
      <c r="N38" s="2">
        <f t="shared" si="1"/>
        <v>0</v>
      </c>
      <c r="O38" s="2" t="str">
        <f>IF(N38="","",IFERROR(INDEX($E$6:$L$6,1,MATCH(N38,E38:L38,0)),""))</f>
        <v/>
      </c>
    </row>
    <row r="39" spans="1:15">
      <c r="A39" s="2" t="s">
        <v>478</v>
      </c>
      <c r="B39" s="2"/>
      <c r="C39" s="2"/>
      <c r="D39" s="2"/>
      <c r="E39" s="2"/>
      <c r="F39" s="2"/>
      <c r="G39" s="2"/>
      <c r="H39" s="2"/>
      <c r="I39" s="2"/>
      <c r="J39" s="2"/>
      <c r="K39" s="2"/>
      <c r="L39" s="2"/>
      <c r="M39" s="2" t="str">
        <f t="shared" ref="M39:M70" si="2">IFERROR(AVERAGE(E39:L39),"")</f>
        <v/>
      </c>
      <c r="N39" s="2">
        <f t="shared" ref="N39:N70" si="3">IFERROR(MAX(E39:L39),"")</f>
        <v>0</v>
      </c>
      <c r="O39" s="2" t="str">
        <f>IF(N39="","",IFERROR(INDEX($E$6:$L$6,1,MATCH(N39,E39:L39,0)),""))</f>
        <v/>
      </c>
    </row>
    <row r="40" spans="1:15">
      <c r="A40" s="2" t="s">
        <v>479</v>
      </c>
      <c r="B40" s="2"/>
      <c r="C40" s="2"/>
      <c r="D40" s="2"/>
      <c r="E40" s="2"/>
      <c r="F40" s="2"/>
      <c r="G40" s="2"/>
      <c r="H40" s="2"/>
      <c r="I40" s="2"/>
      <c r="J40" s="2"/>
      <c r="K40" s="2"/>
      <c r="L40" s="2"/>
      <c r="M40" s="2" t="str">
        <f t="shared" si="2"/>
        <v/>
      </c>
      <c r="N40" s="2">
        <f t="shared" si="3"/>
        <v>0</v>
      </c>
      <c r="O40" s="2" t="str">
        <f>IF(N40="","",IFERROR(INDEX($E$6:$L$6,1,MATCH(N40,E40:L40,0)),""))</f>
        <v/>
      </c>
    </row>
    <row r="41" spans="1:15">
      <c r="A41" s="2" t="s">
        <v>480</v>
      </c>
      <c r="B41" s="2"/>
      <c r="C41" s="2"/>
      <c r="D41" s="2"/>
      <c r="E41" s="2"/>
      <c r="F41" s="2"/>
      <c r="G41" s="2"/>
      <c r="H41" s="2"/>
      <c r="I41" s="2"/>
      <c r="J41" s="2"/>
      <c r="K41" s="2"/>
      <c r="L41" s="2"/>
      <c r="M41" s="2" t="str">
        <f t="shared" si="2"/>
        <v/>
      </c>
      <c r="N41" s="2">
        <f t="shared" si="3"/>
        <v>0</v>
      </c>
      <c r="O41" s="2" t="str">
        <f>IF(N41="","",IFERROR(INDEX($E$6:$L$6,1,MATCH(N41,E41:L41,0)),""))</f>
        <v/>
      </c>
    </row>
    <row r="42" spans="1:15">
      <c r="A42" s="2" t="s">
        <v>481</v>
      </c>
      <c r="B42" s="2"/>
      <c r="C42" s="2"/>
      <c r="D42" s="2"/>
      <c r="E42" s="2"/>
      <c r="F42" s="2"/>
      <c r="G42" s="2"/>
      <c r="H42" s="2"/>
      <c r="I42" s="2"/>
      <c r="J42" s="2"/>
      <c r="K42" s="2"/>
      <c r="L42" s="2"/>
      <c r="M42" s="2" t="str">
        <f t="shared" si="2"/>
        <v/>
      </c>
      <c r="N42" s="2">
        <f t="shared" si="3"/>
        <v>0</v>
      </c>
      <c r="O42" s="2" t="str">
        <f>IF(N42="","",IFERROR(INDEX($E$6:$L$6,1,MATCH(N42,E42:L42,0)),""))</f>
        <v/>
      </c>
    </row>
    <row r="43" spans="1:15">
      <c r="A43" s="2" t="s">
        <v>482</v>
      </c>
      <c r="B43" s="2"/>
      <c r="C43" s="2"/>
      <c r="D43" s="2"/>
      <c r="E43" s="2"/>
      <c r="F43" s="2"/>
      <c r="G43" s="2"/>
      <c r="H43" s="2"/>
      <c r="I43" s="2"/>
      <c r="J43" s="2"/>
      <c r="K43" s="2"/>
      <c r="L43" s="2"/>
      <c r="M43" s="2" t="str">
        <f t="shared" si="2"/>
        <v/>
      </c>
      <c r="N43" s="2">
        <f t="shared" si="3"/>
        <v>0</v>
      </c>
      <c r="O43" s="2" t="str">
        <f>IF(N43="","",IFERROR(INDEX($E$6:$L$6,1,MATCH(N43,E43:L43,0)),""))</f>
        <v/>
      </c>
    </row>
    <row r="44" spans="1:15">
      <c r="A44" s="2" t="s">
        <v>483</v>
      </c>
      <c r="B44" s="2"/>
      <c r="C44" s="2"/>
      <c r="D44" s="2"/>
      <c r="E44" s="2"/>
      <c r="F44" s="2"/>
      <c r="G44" s="2"/>
      <c r="H44" s="2"/>
      <c r="I44" s="2"/>
      <c r="J44" s="2"/>
      <c r="K44" s="2"/>
      <c r="L44" s="2"/>
      <c r="M44" s="2" t="str">
        <f t="shared" si="2"/>
        <v/>
      </c>
      <c r="N44" s="2">
        <f t="shared" si="3"/>
        <v>0</v>
      </c>
      <c r="O44" s="2" t="str">
        <f>IF(N44="","",IFERROR(INDEX($E$6:$L$6,1,MATCH(N44,E44:L44,0)),""))</f>
        <v/>
      </c>
    </row>
    <row r="45" spans="1:15">
      <c r="A45" s="2" t="s">
        <v>484</v>
      </c>
      <c r="B45" s="2"/>
      <c r="C45" s="2"/>
      <c r="D45" s="2"/>
      <c r="E45" s="2"/>
      <c r="F45" s="2"/>
      <c r="G45" s="2"/>
      <c r="H45" s="2"/>
      <c r="I45" s="2"/>
      <c r="J45" s="2"/>
      <c r="K45" s="2"/>
      <c r="L45" s="2"/>
      <c r="M45" s="2" t="str">
        <f t="shared" si="2"/>
        <v/>
      </c>
      <c r="N45" s="2">
        <f t="shared" si="3"/>
        <v>0</v>
      </c>
      <c r="O45" s="2" t="str">
        <f>IF(N45="","",IFERROR(INDEX($E$6:$L$6,1,MATCH(N45,E45:L45,0)),""))</f>
        <v/>
      </c>
    </row>
    <row r="46" spans="1:15">
      <c r="A46" s="2" t="s">
        <v>485</v>
      </c>
      <c r="B46" s="2"/>
      <c r="C46" s="2"/>
      <c r="D46" s="2"/>
      <c r="E46" s="2"/>
      <c r="F46" s="2"/>
      <c r="G46" s="2"/>
      <c r="H46" s="2"/>
      <c r="I46" s="2"/>
      <c r="J46" s="2"/>
      <c r="K46" s="2"/>
      <c r="L46" s="2"/>
      <c r="M46" s="2" t="str">
        <f t="shared" si="2"/>
        <v/>
      </c>
      <c r="N46" s="2">
        <f t="shared" si="3"/>
        <v>0</v>
      </c>
      <c r="O46" s="2" t="str">
        <f>IF(N46="","",IFERROR(INDEX($E$6:$L$6,1,MATCH(N46,E46:L46,0)),""))</f>
        <v/>
      </c>
    </row>
    <row r="47" spans="1:15">
      <c r="A47" s="2" t="s">
        <v>486</v>
      </c>
      <c r="B47" s="2"/>
      <c r="C47" s="2"/>
      <c r="D47" s="2"/>
      <c r="E47" s="2"/>
      <c r="F47" s="2"/>
      <c r="G47" s="2"/>
      <c r="H47" s="2"/>
      <c r="I47" s="2"/>
      <c r="J47" s="2"/>
      <c r="K47" s="2"/>
      <c r="L47" s="2"/>
      <c r="M47" s="2" t="str">
        <f t="shared" si="2"/>
        <v/>
      </c>
      <c r="N47" s="2">
        <f t="shared" si="3"/>
        <v>0</v>
      </c>
      <c r="O47" s="2" t="str">
        <f>IF(N47="","",IFERROR(INDEX($E$6:$L$6,1,MATCH(N47,E47:L47,0)),""))</f>
        <v/>
      </c>
    </row>
    <row r="48" spans="1:15">
      <c r="A48" s="2" t="s">
        <v>487</v>
      </c>
      <c r="B48" s="2"/>
      <c r="C48" s="2"/>
      <c r="D48" s="2"/>
      <c r="E48" s="2"/>
      <c r="F48" s="2"/>
      <c r="G48" s="2"/>
      <c r="H48" s="2"/>
      <c r="I48" s="2"/>
      <c r="J48" s="2"/>
      <c r="K48" s="2"/>
      <c r="L48" s="2"/>
      <c r="M48" s="2" t="str">
        <f t="shared" si="2"/>
        <v/>
      </c>
      <c r="N48" s="2">
        <f t="shared" si="3"/>
        <v>0</v>
      </c>
      <c r="O48" s="2" t="str">
        <f>IF(N48="","",IFERROR(INDEX($E$6:$L$6,1,MATCH(N48,E48:L48,0)),""))</f>
        <v/>
      </c>
    </row>
    <row r="49" spans="1:15">
      <c r="A49" s="2" t="s">
        <v>488</v>
      </c>
      <c r="B49" s="2"/>
      <c r="C49" s="2"/>
      <c r="D49" s="2"/>
      <c r="E49" s="2"/>
      <c r="F49" s="2"/>
      <c r="G49" s="2"/>
      <c r="H49" s="2"/>
      <c r="I49" s="2"/>
      <c r="J49" s="2"/>
      <c r="K49" s="2"/>
      <c r="L49" s="2"/>
      <c r="M49" s="2" t="str">
        <f t="shared" si="2"/>
        <v/>
      </c>
      <c r="N49" s="2">
        <f t="shared" si="3"/>
        <v>0</v>
      </c>
      <c r="O49" s="2" t="str">
        <f>IF(N49="","",IFERROR(INDEX($E$6:$L$6,1,MATCH(N49,E49:L49,0)),""))</f>
        <v/>
      </c>
    </row>
    <row r="50" spans="1:15">
      <c r="A50" s="2" t="s">
        <v>489</v>
      </c>
      <c r="B50" s="2"/>
      <c r="C50" s="2"/>
      <c r="D50" s="2"/>
      <c r="E50" s="2"/>
      <c r="F50" s="2"/>
      <c r="G50" s="2"/>
      <c r="H50" s="2"/>
      <c r="I50" s="2"/>
      <c r="J50" s="2"/>
      <c r="K50" s="2"/>
      <c r="L50" s="2"/>
      <c r="M50" s="2" t="str">
        <f t="shared" si="2"/>
        <v/>
      </c>
      <c r="N50" s="2">
        <f t="shared" si="3"/>
        <v>0</v>
      </c>
      <c r="O50" s="2" t="str">
        <f>IF(N50="","",IFERROR(INDEX($E$6:$L$6,1,MATCH(N50,E50:L50,0)),""))</f>
        <v/>
      </c>
    </row>
    <row r="51" spans="1:15">
      <c r="A51" s="2" t="s">
        <v>490</v>
      </c>
      <c r="B51" s="2"/>
      <c r="C51" s="2"/>
      <c r="D51" s="2"/>
      <c r="E51" s="2"/>
      <c r="F51" s="2"/>
      <c r="G51" s="2"/>
      <c r="H51" s="2"/>
      <c r="I51" s="2"/>
      <c r="J51" s="2"/>
      <c r="K51" s="2"/>
      <c r="L51" s="2"/>
      <c r="M51" s="2" t="str">
        <f t="shared" si="2"/>
        <v/>
      </c>
      <c r="N51" s="2">
        <f t="shared" si="3"/>
        <v>0</v>
      </c>
      <c r="O51" s="2" t="str">
        <f>IF(N51="","",IFERROR(INDEX($E$6:$L$6,1,MATCH(N51,E51:L51,0)),""))</f>
        <v/>
      </c>
    </row>
    <row r="52" spans="1:15">
      <c r="A52" s="2" t="s">
        <v>491</v>
      </c>
      <c r="B52" s="2"/>
      <c r="C52" s="2"/>
      <c r="D52" s="2"/>
      <c r="E52" s="2"/>
      <c r="F52" s="2"/>
      <c r="G52" s="2"/>
      <c r="H52" s="2"/>
      <c r="I52" s="2"/>
      <c r="J52" s="2"/>
      <c r="K52" s="2"/>
      <c r="L52" s="2"/>
      <c r="M52" s="2" t="str">
        <f t="shared" si="2"/>
        <v/>
      </c>
      <c r="N52" s="2">
        <f t="shared" si="3"/>
        <v>0</v>
      </c>
      <c r="O52" s="2" t="str">
        <f>IF(N52="","",IFERROR(INDEX($E$6:$L$6,1,MATCH(N52,E52:L52,0)),""))</f>
        <v/>
      </c>
    </row>
    <row r="53" spans="1:15">
      <c r="A53" s="2" t="s">
        <v>492</v>
      </c>
      <c r="B53" s="2"/>
      <c r="C53" s="2"/>
      <c r="D53" s="2"/>
      <c r="E53" s="2"/>
      <c r="F53" s="2"/>
      <c r="G53" s="2"/>
      <c r="H53" s="2"/>
      <c r="I53" s="2"/>
      <c r="J53" s="2"/>
      <c r="K53" s="2"/>
      <c r="L53" s="2"/>
      <c r="M53" s="2" t="str">
        <f t="shared" si="2"/>
        <v/>
      </c>
      <c r="N53" s="2">
        <f t="shared" si="3"/>
        <v>0</v>
      </c>
      <c r="O53" s="2" t="str">
        <f>IF(N53="","",IFERROR(INDEX($E$6:$L$6,1,MATCH(N53,E53:L53,0)),""))</f>
        <v/>
      </c>
    </row>
    <row r="54" spans="1:15">
      <c r="A54" s="2" t="s">
        <v>493</v>
      </c>
      <c r="B54" s="2"/>
      <c r="C54" s="2"/>
      <c r="D54" s="2"/>
      <c r="E54" s="2"/>
      <c r="F54" s="2"/>
      <c r="G54" s="2"/>
      <c r="H54" s="2"/>
      <c r="I54" s="2"/>
      <c r="J54" s="2"/>
      <c r="K54" s="2"/>
      <c r="L54" s="2"/>
      <c r="M54" s="2" t="str">
        <f t="shared" si="2"/>
        <v/>
      </c>
      <c r="N54" s="2">
        <f t="shared" si="3"/>
        <v>0</v>
      </c>
      <c r="O54" s="2" t="str">
        <f>IF(N54="","",IFERROR(INDEX($E$6:$L$6,1,MATCH(N54,E54:L54,0)),""))</f>
        <v/>
      </c>
    </row>
    <row r="55" spans="1:15">
      <c r="A55" s="2" t="s">
        <v>494</v>
      </c>
      <c r="B55" s="2"/>
      <c r="C55" s="2"/>
      <c r="D55" s="2"/>
      <c r="E55" s="2"/>
      <c r="F55" s="2"/>
      <c r="G55" s="2"/>
      <c r="H55" s="2"/>
      <c r="I55" s="2"/>
      <c r="J55" s="2"/>
      <c r="K55" s="2"/>
      <c r="L55" s="2"/>
      <c r="M55" s="2" t="str">
        <f t="shared" si="2"/>
        <v/>
      </c>
      <c r="N55" s="2">
        <f t="shared" si="3"/>
        <v>0</v>
      </c>
      <c r="O55" s="2" t="str">
        <f>IF(N55="","",IFERROR(INDEX($E$6:$L$6,1,MATCH(N55,E55:L55,0)),""))</f>
        <v/>
      </c>
    </row>
    <row r="56" spans="1:15">
      <c r="A56" s="2" t="s">
        <v>495</v>
      </c>
      <c r="B56" s="2"/>
      <c r="C56" s="2"/>
      <c r="D56" s="2"/>
      <c r="E56" s="2"/>
      <c r="F56" s="2"/>
      <c r="G56" s="2"/>
      <c r="H56" s="2"/>
      <c r="I56" s="2"/>
      <c r="J56" s="2"/>
      <c r="K56" s="2"/>
      <c r="L56" s="2"/>
      <c r="M56" s="2" t="str">
        <f t="shared" si="2"/>
        <v/>
      </c>
      <c r="N56" s="2">
        <f t="shared" si="3"/>
        <v>0</v>
      </c>
      <c r="O56" s="2" t="str">
        <f>IF(N56="","",IFERROR(INDEX($E$6:$L$6,1,MATCH(N56,E56:L56,0)),""))</f>
        <v/>
      </c>
    </row>
    <row r="57" spans="1:15">
      <c r="A57" s="2" t="s">
        <v>496</v>
      </c>
      <c r="B57" s="2"/>
      <c r="C57" s="2"/>
      <c r="D57" s="2"/>
      <c r="E57" s="2"/>
      <c r="F57" s="2"/>
      <c r="G57" s="2"/>
      <c r="H57" s="2"/>
      <c r="I57" s="2"/>
      <c r="J57" s="2"/>
      <c r="K57" s="2"/>
      <c r="L57" s="2"/>
      <c r="M57" s="2" t="str">
        <f t="shared" si="2"/>
        <v/>
      </c>
      <c r="N57" s="2">
        <f t="shared" si="3"/>
        <v>0</v>
      </c>
      <c r="O57" s="2" t="str">
        <f>IF(N57="","",IFERROR(INDEX($E$6:$L$6,1,MATCH(N57,E57:L57,0)),""))</f>
        <v/>
      </c>
    </row>
    <row r="58" spans="1:15">
      <c r="A58" s="2" t="s">
        <v>497</v>
      </c>
      <c r="B58" s="2"/>
      <c r="C58" s="2"/>
      <c r="D58" s="2"/>
      <c r="E58" s="2"/>
      <c r="F58" s="2"/>
      <c r="G58" s="2"/>
      <c r="H58" s="2"/>
      <c r="I58" s="2"/>
      <c r="J58" s="2"/>
      <c r="K58" s="2"/>
      <c r="L58" s="2"/>
      <c r="M58" s="2" t="str">
        <f t="shared" si="2"/>
        <v/>
      </c>
      <c r="N58" s="2">
        <f t="shared" si="3"/>
        <v>0</v>
      </c>
      <c r="O58" s="2" t="str">
        <f>IF(N58="","",IFERROR(INDEX($E$6:$L$6,1,MATCH(N58,E58:L58,0)),""))</f>
        <v/>
      </c>
    </row>
    <row r="59" spans="1:15">
      <c r="A59" s="2" t="s">
        <v>498</v>
      </c>
      <c r="B59" s="2"/>
      <c r="C59" s="2"/>
      <c r="D59" s="2"/>
      <c r="E59" s="2"/>
      <c r="F59" s="2"/>
      <c r="G59" s="2"/>
      <c r="H59" s="2"/>
      <c r="I59" s="2"/>
      <c r="J59" s="2"/>
      <c r="K59" s="2"/>
      <c r="L59" s="2"/>
      <c r="M59" s="2" t="str">
        <f t="shared" si="2"/>
        <v/>
      </c>
      <c r="N59" s="2">
        <f t="shared" si="3"/>
        <v>0</v>
      </c>
      <c r="O59" s="2" t="str">
        <f>IF(N59="","",IFERROR(INDEX($E$6:$L$6,1,MATCH(N59,E59:L59,0)),""))</f>
        <v/>
      </c>
    </row>
    <row r="60" spans="1:15">
      <c r="A60" s="2" t="s">
        <v>499</v>
      </c>
      <c r="B60" s="2"/>
      <c r="C60" s="2"/>
      <c r="D60" s="2"/>
      <c r="E60" s="2"/>
      <c r="F60" s="2"/>
      <c r="G60" s="2"/>
      <c r="H60" s="2"/>
      <c r="I60" s="2"/>
      <c r="J60" s="2"/>
      <c r="K60" s="2"/>
      <c r="L60" s="2"/>
      <c r="M60" s="2" t="str">
        <f t="shared" si="2"/>
        <v/>
      </c>
      <c r="N60" s="2">
        <f t="shared" si="3"/>
        <v>0</v>
      </c>
      <c r="O60" s="2" t="str">
        <f>IF(N60="","",IFERROR(INDEX($E$6:$L$6,1,MATCH(N60,E60:L60,0)),""))</f>
        <v/>
      </c>
    </row>
    <row r="61" spans="1:15">
      <c r="A61" s="2" t="s">
        <v>500</v>
      </c>
      <c r="B61" s="2"/>
      <c r="C61" s="2"/>
      <c r="D61" s="2"/>
      <c r="E61" s="2"/>
      <c r="F61" s="2"/>
      <c r="G61" s="2"/>
      <c r="H61" s="2"/>
      <c r="I61" s="2"/>
      <c r="J61" s="2"/>
      <c r="K61" s="2"/>
      <c r="L61" s="2"/>
      <c r="M61" s="2" t="str">
        <f t="shared" si="2"/>
        <v/>
      </c>
      <c r="N61" s="2">
        <f t="shared" si="3"/>
        <v>0</v>
      </c>
      <c r="O61" s="2" t="str">
        <f>IF(N61="","",IFERROR(INDEX($E$6:$L$6,1,MATCH(N61,E61:L61,0)),""))</f>
        <v/>
      </c>
    </row>
    <row r="62" spans="1:15">
      <c r="A62" s="2" t="s">
        <v>501</v>
      </c>
      <c r="B62" s="2"/>
      <c r="C62" s="2"/>
      <c r="D62" s="2"/>
      <c r="E62" s="2"/>
      <c r="F62" s="2"/>
      <c r="G62" s="2"/>
      <c r="H62" s="2"/>
      <c r="I62" s="2"/>
      <c r="J62" s="2"/>
      <c r="K62" s="2"/>
      <c r="L62" s="2"/>
      <c r="M62" s="2" t="str">
        <f t="shared" si="2"/>
        <v/>
      </c>
      <c r="N62" s="2">
        <f t="shared" si="3"/>
        <v>0</v>
      </c>
      <c r="O62" s="2" t="str">
        <f>IF(N62="","",IFERROR(INDEX($E$6:$L$6,1,MATCH(N62,E62:L62,0)),""))</f>
        <v/>
      </c>
    </row>
    <row r="63" spans="1:15">
      <c r="A63" s="2" t="s">
        <v>502</v>
      </c>
      <c r="B63" s="2"/>
      <c r="C63" s="2"/>
      <c r="D63" s="2"/>
      <c r="E63" s="2"/>
      <c r="F63" s="2"/>
      <c r="G63" s="2"/>
      <c r="H63" s="2"/>
      <c r="I63" s="2"/>
      <c r="J63" s="2"/>
      <c r="K63" s="2"/>
      <c r="L63" s="2"/>
      <c r="M63" s="2" t="str">
        <f t="shared" si="2"/>
        <v/>
      </c>
      <c r="N63" s="2">
        <f t="shared" si="3"/>
        <v>0</v>
      </c>
      <c r="O63" s="2" t="str">
        <f>IF(N63="","",IFERROR(INDEX($E$6:$L$6,1,MATCH(N63,E63:L63,0)),""))</f>
        <v/>
      </c>
    </row>
    <row r="64" spans="1:15">
      <c r="A64" s="2" t="s">
        <v>503</v>
      </c>
      <c r="B64" s="2"/>
      <c r="C64" s="2"/>
      <c r="D64" s="2"/>
      <c r="E64" s="2"/>
      <c r="F64" s="2"/>
      <c r="G64" s="2"/>
      <c r="H64" s="2"/>
      <c r="I64" s="2"/>
      <c r="J64" s="2"/>
      <c r="K64" s="2"/>
      <c r="L64" s="2"/>
      <c r="M64" s="2" t="str">
        <f t="shared" si="2"/>
        <v/>
      </c>
      <c r="N64" s="2">
        <f t="shared" si="3"/>
        <v>0</v>
      </c>
      <c r="O64" s="2" t="str">
        <f>IF(N64="","",IFERROR(INDEX($E$6:$L$6,1,MATCH(N64,E64:L64,0)),""))</f>
        <v/>
      </c>
    </row>
    <row r="65" spans="1:15">
      <c r="A65" s="2" t="s">
        <v>504</v>
      </c>
      <c r="B65" s="2"/>
      <c r="C65" s="2"/>
      <c r="D65" s="2"/>
      <c r="E65" s="2"/>
      <c r="F65" s="2"/>
      <c r="G65" s="2"/>
      <c r="H65" s="2"/>
      <c r="I65" s="2"/>
      <c r="J65" s="2"/>
      <c r="K65" s="2"/>
      <c r="L65" s="2"/>
      <c r="M65" s="2" t="str">
        <f t="shared" si="2"/>
        <v/>
      </c>
      <c r="N65" s="2">
        <f t="shared" si="3"/>
        <v>0</v>
      </c>
      <c r="O65" s="2" t="str">
        <f>IF(N65="","",IFERROR(INDEX($E$6:$L$6,1,MATCH(N65,E65:L65,0)),""))</f>
        <v/>
      </c>
    </row>
    <row r="66" spans="1:15">
      <c r="A66" s="2" t="s">
        <v>505</v>
      </c>
      <c r="B66" s="2"/>
      <c r="C66" s="2"/>
      <c r="D66" s="2"/>
      <c r="E66" s="2"/>
      <c r="F66" s="2"/>
      <c r="G66" s="2"/>
      <c r="H66" s="2"/>
      <c r="I66" s="2"/>
      <c r="J66" s="2"/>
      <c r="K66" s="2"/>
      <c r="L66" s="2"/>
      <c r="M66" s="2" t="str">
        <f t="shared" si="2"/>
        <v/>
      </c>
      <c r="N66" s="2">
        <f t="shared" si="3"/>
        <v>0</v>
      </c>
      <c r="O66" s="2" t="str">
        <f>IF(N66="","",IFERROR(INDEX($E$6:$L$6,1,MATCH(N66,E66:L66,0)),""))</f>
        <v/>
      </c>
    </row>
    <row r="67" spans="1:15">
      <c r="A67" s="2" t="s">
        <v>506</v>
      </c>
      <c r="B67" s="2"/>
      <c r="C67" s="2"/>
      <c r="D67" s="2"/>
      <c r="E67" s="2"/>
      <c r="F67" s="2"/>
      <c r="G67" s="2"/>
      <c r="H67" s="2"/>
      <c r="I67" s="2"/>
      <c r="J67" s="2"/>
      <c r="K67" s="2"/>
      <c r="L67" s="2"/>
      <c r="M67" s="2" t="str">
        <f t="shared" si="2"/>
        <v/>
      </c>
      <c r="N67" s="2">
        <f t="shared" si="3"/>
        <v>0</v>
      </c>
      <c r="O67" s="2" t="str">
        <f>IF(N67="","",IFERROR(INDEX($E$6:$L$6,1,MATCH(N67,E67:L67,0)),""))</f>
        <v/>
      </c>
    </row>
    <row r="68" spans="1:15">
      <c r="A68" s="2" t="s">
        <v>507</v>
      </c>
      <c r="B68" s="2"/>
      <c r="C68" s="2"/>
      <c r="D68" s="2"/>
      <c r="E68" s="2"/>
      <c r="F68" s="2"/>
      <c r="G68" s="2"/>
      <c r="H68" s="2"/>
      <c r="I68" s="2"/>
      <c r="J68" s="2"/>
      <c r="K68" s="2"/>
      <c r="L68" s="2"/>
      <c r="M68" s="2" t="str">
        <f t="shared" si="2"/>
        <v/>
      </c>
      <c r="N68" s="2">
        <f t="shared" si="3"/>
        <v>0</v>
      </c>
      <c r="O68" s="2" t="str">
        <f>IF(N68="","",IFERROR(INDEX($E$6:$L$6,1,MATCH(N68,E68:L68,0)),""))</f>
        <v/>
      </c>
    </row>
    <row r="69" spans="1:15">
      <c r="A69" s="2" t="s">
        <v>508</v>
      </c>
      <c r="B69" s="2"/>
      <c r="C69" s="2"/>
      <c r="D69" s="2"/>
      <c r="E69" s="2"/>
      <c r="F69" s="2"/>
      <c r="G69" s="2"/>
      <c r="H69" s="2"/>
      <c r="I69" s="2"/>
      <c r="J69" s="2"/>
      <c r="K69" s="2"/>
      <c r="L69" s="2"/>
      <c r="M69" s="2" t="str">
        <f t="shared" si="2"/>
        <v/>
      </c>
      <c r="N69" s="2">
        <f t="shared" si="3"/>
        <v>0</v>
      </c>
      <c r="O69" s="2" t="str">
        <f>IF(N69="","",IFERROR(INDEX($E$6:$L$6,1,MATCH(N69,E69:L69,0)),""))</f>
        <v/>
      </c>
    </row>
    <row r="70" spans="1:15">
      <c r="A70" s="2" t="s">
        <v>509</v>
      </c>
      <c r="B70" s="2"/>
      <c r="C70" s="2"/>
      <c r="D70" s="2"/>
      <c r="E70" s="2"/>
      <c r="F70" s="2"/>
      <c r="G70" s="2"/>
      <c r="H70" s="2"/>
      <c r="I70" s="2"/>
      <c r="J70" s="2"/>
      <c r="K70" s="2"/>
      <c r="L70" s="2"/>
      <c r="M70" s="2" t="str">
        <f t="shared" si="2"/>
        <v/>
      </c>
      <c r="N70" s="2">
        <f t="shared" si="3"/>
        <v>0</v>
      </c>
      <c r="O70" s="2" t="str">
        <f>IF(N70="","",IFERROR(INDEX($E$6:$L$6,1,MATCH(N70,E70:L70,0)),""))</f>
        <v/>
      </c>
    </row>
    <row r="71" spans="1:15">
      <c r="A71" s="2" t="s">
        <v>510</v>
      </c>
      <c r="B71" s="2"/>
      <c r="C71" s="2"/>
      <c r="D71" s="2"/>
      <c r="E71" s="2"/>
      <c r="F71" s="2"/>
      <c r="G71" s="2"/>
      <c r="H71" s="2"/>
      <c r="I71" s="2"/>
      <c r="J71" s="2"/>
      <c r="K71" s="2"/>
      <c r="L71" s="2"/>
      <c r="M71" s="2" t="str">
        <f t="shared" ref="M71:M102" si="4">IFERROR(AVERAGE(E71:L71),"")</f>
        <v/>
      </c>
      <c r="N71" s="2">
        <f t="shared" ref="N71:N86" si="5">IFERROR(MAX(E71:L71),"")</f>
        <v>0</v>
      </c>
      <c r="O71" s="2" t="str">
        <f>IF(N71="","",IFERROR(INDEX($E$6:$L$6,1,MATCH(N71,E71:L71,0)),""))</f>
        <v/>
      </c>
    </row>
    <row r="72" spans="1:15">
      <c r="A72" s="2" t="s">
        <v>511</v>
      </c>
      <c r="B72" s="2"/>
      <c r="C72" s="2"/>
      <c r="D72" s="2"/>
      <c r="E72" s="2"/>
      <c r="F72" s="2"/>
      <c r="G72" s="2"/>
      <c r="H72" s="2"/>
      <c r="I72" s="2"/>
      <c r="J72" s="2"/>
      <c r="K72" s="2"/>
      <c r="L72" s="2"/>
      <c r="M72" s="2" t="str">
        <f t="shared" si="4"/>
        <v/>
      </c>
      <c r="N72" s="2">
        <f t="shared" si="5"/>
        <v>0</v>
      </c>
      <c r="O72" s="2" t="str">
        <f>IF(N72="","",IFERROR(INDEX($E$6:$L$6,1,MATCH(N72,E72:L72,0)),""))</f>
        <v/>
      </c>
    </row>
    <row r="73" spans="1:15">
      <c r="A73" s="2" t="s">
        <v>512</v>
      </c>
      <c r="B73" s="2"/>
      <c r="C73" s="2"/>
      <c r="D73" s="2"/>
      <c r="E73" s="2"/>
      <c r="F73" s="2"/>
      <c r="G73" s="2"/>
      <c r="H73" s="2"/>
      <c r="I73" s="2"/>
      <c r="J73" s="2"/>
      <c r="K73" s="2"/>
      <c r="L73" s="2"/>
      <c r="M73" s="2" t="str">
        <f t="shared" si="4"/>
        <v/>
      </c>
      <c r="N73" s="2">
        <f t="shared" si="5"/>
        <v>0</v>
      </c>
      <c r="O73" s="2" t="str">
        <f>IF(N73="","",IFERROR(INDEX($E$6:$L$6,1,MATCH(N73,E73:L73,0)),""))</f>
        <v/>
      </c>
    </row>
    <row r="74" spans="1:15">
      <c r="A74" s="2" t="s">
        <v>513</v>
      </c>
      <c r="B74" s="2"/>
      <c r="C74" s="2"/>
      <c r="D74" s="2"/>
      <c r="E74" s="2"/>
      <c r="F74" s="2"/>
      <c r="G74" s="2"/>
      <c r="H74" s="2"/>
      <c r="I74" s="2"/>
      <c r="J74" s="2"/>
      <c r="K74" s="2"/>
      <c r="L74" s="2"/>
      <c r="M74" s="2" t="str">
        <f t="shared" si="4"/>
        <v/>
      </c>
      <c r="N74" s="2">
        <f t="shared" si="5"/>
        <v>0</v>
      </c>
      <c r="O74" s="2" t="str">
        <f>IF(N74="","",IFERROR(INDEX($E$6:$L$6,1,MATCH(N74,E74:L74,0)),""))</f>
        <v/>
      </c>
    </row>
    <row r="75" spans="1:15">
      <c r="A75" s="2" t="s">
        <v>514</v>
      </c>
      <c r="B75" s="2"/>
      <c r="C75" s="2"/>
      <c r="D75" s="2"/>
      <c r="E75" s="2"/>
      <c r="F75" s="2"/>
      <c r="G75" s="2"/>
      <c r="H75" s="2"/>
      <c r="I75" s="2"/>
      <c r="J75" s="2"/>
      <c r="K75" s="2"/>
      <c r="L75" s="2"/>
      <c r="M75" s="2" t="str">
        <f t="shared" si="4"/>
        <v/>
      </c>
      <c r="N75" s="2">
        <f t="shared" si="5"/>
        <v>0</v>
      </c>
      <c r="O75" s="2" t="str">
        <f>IF(N75="","",IFERROR(INDEX($E$6:$L$6,1,MATCH(N75,E75:L75,0)),""))</f>
        <v/>
      </c>
    </row>
    <row r="76" spans="1:15">
      <c r="A76" s="2" t="s">
        <v>515</v>
      </c>
      <c r="B76" s="2"/>
      <c r="C76" s="2"/>
      <c r="D76" s="2"/>
      <c r="E76" s="2"/>
      <c r="F76" s="2"/>
      <c r="G76" s="2"/>
      <c r="H76" s="2"/>
      <c r="I76" s="2"/>
      <c r="J76" s="2"/>
      <c r="K76" s="2"/>
      <c r="L76" s="2"/>
      <c r="M76" s="2" t="str">
        <f t="shared" si="4"/>
        <v/>
      </c>
      <c r="N76" s="2">
        <f t="shared" si="5"/>
        <v>0</v>
      </c>
      <c r="O76" s="2" t="str">
        <f>IF(N76="","",IFERROR(INDEX($E$6:$L$6,1,MATCH(N76,E76:L76,0)),""))</f>
        <v/>
      </c>
    </row>
    <row r="77" spans="1:15">
      <c r="A77" s="2" t="s">
        <v>516</v>
      </c>
      <c r="B77" s="2"/>
      <c r="C77" s="2"/>
      <c r="D77" s="2"/>
      <c r="E77" s="2"/>
      <c r="F77" s="2"/>
      <c r="G77" s="2"/>
      <c r="H77" s="2"/>
      <c r="I77" s="2"/>
      <c r="J77" s="2"/>
      <c r="K77" s="2"/>
      <c r="L77" s="2"/>
      <c r="M77" s="2" t="str">
        <f t="shared" si="4"/>
        <v/>
      </c>
      <c r="N77" s="2">
        <f t="shared" si="5"/>
        <v>0</v>
      </c>
      <c r="O77" s="2" t="str">
        <f>IF(N77="","",IFERROR(INDEX($E$6:$L$6,1,MATCH(N77,E77:L77,0)),""))</f>
        <v/>
      </c>
    </row>
    <row r="78" spans="1:15">
      <c r="A78" s="2" t="s">
        <v>517</v>
      </c>
      <c r="B78" s="2"/>
      <c r="C78" s="2"/>
      <c r="D78" s="2"/>
      <c r="E78" s="2"/>
      <c r="F78" s="2"/>
      <c r="G78" s="2"/>
      <c r="H78" s="2"/>
      <c r="I78" s="2"/>
      <c r="J78" s="2"/>
      <c r="K78" s="2"/>
      <c r="L78" s="2"/>
      <c r="M78" s="2" t="str">
        <f t="shared" si="4"/>
        <v/>
      </c>
      <c r="N78" s="2">
        <f t="shared" si="5"/>
        <v>0</v>
      </c>
      <c r="O78" s="2" t="str">
        <f>IF(N78="","",IFERROR(INDEX($E$6:$L$6,1,MATCH(N78,E78:L78,0)),""))</f>
        <v/>
      </c>
    </row>
    <row r="79" spans="1:15">
      <c r="A79" s="2" t="s">
        <v>518</v>
      </c>
      <c r="B79" s="2"/>
      <c r="C79" s="2"/>
      <c r="D79" s="2"/>
      <c r="E79" s="2"/>
      <c r="F79" s="2"/>
      <c r="G79" s="2"/>
      <c r="H79" s="2"/>
      <c r="I79" s="2"/>
      <c r="J79" s="2"/>
      <c r="K79" s="2"/>
      <c r="L79" s="2"/>
      <c r="M79" s="2" t="str">
        <f t="shared" si="4"/>
        <v/>
      </c>
      <c r="N79" s="2">
        <f t="shared" si="5"/>
        <v>0</v>
      </c>
      <c r="O79" s="2" t="str">
        <f>IF(N79="","",IFERROR(INDEX($E$6:$L$6,1,MATCH(N79,E79:L79,0)),""))</f>
        <v/>
      </c>
    </row>
    <row r="80" spans="1:15">
      <c r="A80" s="2" t="s">
        <v>519</v>
      </c>
      <c r="B80" s="2"/>
      <c r="C80" s="2"/>
      <c r="D80" s="2"/>
      <c r="E80" s="2"/>
      <c r="F80" s="2"/>
      <c r="G80" s="2"/>
      <c r="H80" s="2"/>
      <c r="I80" s="2"/>
      <c r="J80" s="2"/>
      <c r="K80" s="2"/>
      <c r="L80" s="2"/>
      <c r="M80" s="2" t="str">
        <f t="shared" si="4"/>
        <v/>
      </c>
      <c r="N80" s="2">
        <f t="shared" si="5"/>
        <v>0</v>
      </c>
      <c r="O80" s="2" t="str">
        <f>IF(N80="","",IFERROR(INDEX($E$6:$L$6,1,MATCH(N80,E80:L80,0)),""))</f>
        <v/>
      </c>
    </row>
    <row r="81" spans="1:15">
      <c r="A81" s="2" t="s">
        <v>520</v>
      </c>
      <c r="B81" s="2"/>
      <c r="C81" s="2"/>
      <c r="D81" s="2"/>
      <c r="E81" s="2"/>
      <c r="F81" s="2"/>
      <c r="G81" s="2"/>
      <c r="H81" s="2"/>
      <c r="I81" s="2"/>
      <c r="J81" s="2"/>
      <c r="K81" s="2"/>
      <c r="L81" s="2"/>
      <c r="M81" s="2" t="str">
        <f t="shared" si="4"/>
        <v/>
      </c>
      <c r="N81" s="2">
        <f t="shared" si="5"/>
        <v>0</v>
      </c>
      <c r="O81" s="2" t="str">
        <f>IF(N81="","",IFERROR(INDEX($E$6:$L$6,1,MATCH(N81,E81:L81,0)),""))</f>
        <v/>
      </c>
    </row>
    <row r="82" spans="1:15">
      <c r="A82" s="2" t="s">
        <v>521</v>
      </c>
      <c r="B82" s="2"/>
      <c r="C82" s="2"/>
      <c r="D82" s="2"/>
      <c r="E82" s="2"/>
      <c r="F82" s="2"/>
      <c r="G82" s="2"/>
      <c r="H82" s="2"/>
      <c r="I82" s="2"/>
      <c r="J82" s="2"/>
      <c r="K82" s="2"/>
      <c r="L82" s="2"/>
      <c r="M82" s="2" t="str">
        <f t="shared" si="4"/>
        <v/>
      </c>
      <c r="N82" s="2">
        <f t="shared" si="5"/>
        <v>0</v>
      </c>
      <c r="O82" s="2" t="str">
        <f>IF(N82="","",IFERROR(INDEX($E$6:$L$6,1,MATCH(N82,E82:L82,0)),""))</f>
        <v/>
      </c>
    </row>
    <row r="83" spans="1:15">
      <c r="A83" s="2" t="s">
        <v>522</v>
      </c>
      <c r="B83" s="2"/>
      <c r="C83" s="2"/>
      <c r="D83" s="2"/>
      <c r="E83" s="2"/>
      <c r="F83" s="2"/>
      <c r="G83" s="2"/>
      <c r="H83" s="2"/>
      <c r="I83" s="2"/>
      <c r="J83" s="2"/>
      <c r="K83" s="2"/>
      <c r="L83" s="2"/>
      <c r="M83" s="2" t="str">
        <f t="shared" si="4"/>
        <v/>
      </c>
      <c r="N83" s="2">
        <f t="shared" si="5"/>
        <v>0</v>
      </c>
      <c r="O83" s="2" t="str">
        <f>IF(N83="","",IFERROR(INDEX($E$6:$L$6,1,MATCH(N83,E83:L83,0)),""))</f>
        <v/>
      </c>
    </row>
    <row r="84" spans="1:15">
      <c r="A84" s="2" t="s">
        <v>523</v>
      </c>
      <c r="B84" s="2"/>
      <c r="C84" s="2"/>
      <c r="D84" s="2"/>
      <c r="E84" s="2"/>
      <c r="F84" s="2"/>
      <c r="G84" s="2"/>
      <c r="H84" s="2"/>
      <c r="I84" s="2"/>
      <c r="J84" s="2"/>
      <c r="K84" s="2"/>
      <c r="L84" s="2"/>
      <c r="M84" s="2" t="str">
        <f t="shared" si="4"/>
        <v/>
      </c>
      <c r="N84" s="2">
        <f t="shared" si="5"/>
        <v>0</v>
      </c>
      <c r="O84" s="2" t="str">
        <f>IF(N84="","",IFERROR(INDEX($E$6:$L$6,1,MATCH(N84,E84:L84,0)),""))</f>
        <v/>
      </c>
    </row>
    <row r="85" spans="1:15">
      <c r="A85" s="2" t="s">
        <v>524</v>
      </c>
      <c r="B85" s="2"/>
      <c r="C85" s="2"/>
      <c r="D85" s="2"/>
      <c r="E85" s="2"/>
      <c r="F85" s="2"/>
      <c r="G85" s="2"/>
      <c r="H85" s="2"/>
      <c r="I85" s="2"/>
      <c r="J85" s="2"/>
      <c r="K85" s="2"/>
      <c r="L85" s="2"/>
      <c r="M85" s="2" t="str">
        <f t="shared" si="4"/>
        <v/>
      </c>
      <c r="N85" s="2">
        <f t="shared" si="5"/>
        <v>0</v>
      </c>
      <c r="O85" s="2" t="str">
        <f>IF(N85="","",IFERROR(INDEX($E$6:$L$6,1,MATCH(N85,E85:L85,0)),""))</f>
        <v/>
      </c>
    </row>
    <row r="86" spans="1:15">
      <c r="A86" s="2" t="s">
        <v>525</v>
      </c>
      <c r="B86" s="2"/>
      <c r="C86" s="2"/>
      <c r="D86" s="2"/>
      <c r="E86" s="2"/>
      <c r="F86" s="2"/>
      <c r="G86" s="2"/>
      <c r="H86" s="2"/>
      <c r="I86" s="2"/>
      <c r="J86" s="2"/>
      <c r="K86" s="2"/>
      <c r="L86" s="2"/>
      <c r="M86" s="2" t="str">
        <f t="shared" si="4"/>
        <v/>
      </c>
      <c r="N86" s="2">
        <f t="shared" si="5"/>
        <v>0</v>
      </c>
      <c r="O86" s="2" t="str">
        <f>IF(N86="","",IFERROR(INDEX($E$6:$L$6,1,MATCH(N86,E86:L86,0)),""))</f>
        <v/>
      </c>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ht="39.4">
      <c r="A90" s="7" t="s">
        <v>526</v>
      </c>
      <c r="B90" s="7"/>
      <c r="C90" s="7"/>
      <c r="D90" s="7"/>
      <c r="E90" s="7">
        <f>IFERROR(ROUND(SUMPRODUCT($D$7:$D$86,E$7:E$86)/SUMIF(E$7:E$86,"&gt;=0",$D$7:$D$86),2),"")</f>
        <v>3.28</v>
      </c>
      <c r="F90" s="7">
        <f>IFERROR(ROUND(SUMPRODUCT($D$7:$D$86,F$7:F$86)/SUMIF(F$7:F$86,"&gt;=0",$D$7:$D$86),2),"")</f>
        <v>3.35</v>
      </c>
      <c r="G90" s="7">
        <f>IFERROR(ROUND(SUMPRODUCT($D$7:$D$86,G$7:G$86)/SUMIF(G$7:G$86,"&gt;=0",$D$7:$D$86),2),"")</f>
        <v>4.4800000000000004</v>
      </c>
      <c r="H90" s="7">
        <f>IFERROR(ROUND(SUMPRODUCT($D$7:$D$86,H$7:H$86)/SUMIF(H$7:H$86,"&gt;=0",$D$7:$D$86),2),"")</f>
        <v>4.26</v>
      </c>
      <c r="I90" s="7">
        <f>IFERROR(ROUND(SUMPRODUCT($D$7:$D$86,I$7:I$86)/SUMIF(I$7:I$86,"&gt;=0",$D$7:$D$86),2),"")</f>
        <v>4.01</v>
      </c>
      <c r="J90" s="7">
        <f>IFERROR(ROUND(SUMPRODUCT($D$7:$D$86,J$7:J$86)/SUMIF(J$7:J$86,"&gt;=0",$D$7:$D$86),2),"")</f>
        <v>4.6399999999999997</v>
      </c>
      <c r="K90" s="7">
        <f>IFERROR(ROUND(SUMPRODUCT($D$7:$D$86,K$7:K$86)/SUMIF(K$7:K$86,"&gt;=0",$D$7:$D$86),2),"")</f>
        <v>4.46</v>
      </c>
      <c r="L90" s="7">
        <f>IFERROR(ROUND(SUMPRODUCT($D$7:$D$86,L$7:L$86)/SUMIF(L$7:L$86,"&gt;=0",$D$7:$D$86),2),"")</f>
        <v>4.05</v>
      </c>
      <c r="M90" s="2"/>
      <c r="N90" s="2"/>
      <c r="O90" s="2"/>
    </row>
    <row r="91" spans="1:15" ht="25.5">
      <c r="A91" s="2" t="s">
        <v>38</v>
      </c>
      <c r="B91" s="2"/>
      <c r="C91" s="2"/>
      <c r="D91" s="2"/>
      <c r="E91" s="2" t="str">
        <f>IF(E90="","",IF(E90&gt;=4.2,"Лидерский уровень",IF(E90&gt;=3.5,"Сильный уровень",IF(E90&gt;=2.5,"Средний уровень","Слабый уровень"))))</f>
        <v>Средний уровень</v>
      </c>
      <c r="F91" s="2" t="str">
        <f>IF(F90="","",IF(F90&gt;=4.2,"Лидерский уровень",IF(F90&gt;=3.5,"Сильный уровень",IF(F90&gt;=2.5,"Средний уровень","Слабый уровень"))))</f>
        <v>Средний уровень</v>
      </c>
      <c r="G91" s="2" t="str">
        <f>IF(G90="","",IF(G90&gt;=4.2,"Лидерский уровень",IF(G90&gt;=3.5,"Сильный уровень",IF(G90&gt;=2.5,"Средний уровень","Слабый уровень"))))</f>
        <v>Лидерский уровень</v>
      </c>
      <c r="H91" s="2" t="str">
        <f>IF(H90="","",IF(H90&gt;=4.2,"Лидерский уровень",IF(H90&gt;=3.5,"Сильный уровень",IF(H90&gt;=2.5,"Средний уровень","Слабый уровень"))))</f>
        <v>Лидерский уровень</v>
      </c>
      <c r="I91" s="2" t="str">
        <f>IF(I90="","",IF(I90&gt;=4.2,"Лидерский уровень",IF(I90&gt;=3.5,"Сильный уровень",IF(I90&gt;=2.5,"Средний уровень","Слабый уровень"))))</f>
        <v>Сильный уровень</v>
      </c>
      <c r="J91" s="2" t="str">
        <f>IF(J90="","",IF(J90&gt;=4.2,"Лидерский уровень",IF(J90&gt;=3.5,"Сильный уровень",IF(J90&gt;=2.5,"Средний уровень","Слабый уровень"))))</f>
        <v>Лидерский уровень</v>
      </c>
      <c r="K91" s="2" t="str">
        <f>IF(K90="","",IF(K90&gt;=4.2,"Лидерский уровень",IF(K90&gt;=3.5,"Сильный уровень",IF(K90&gt;=2.5,"Средний уровень","Слабый уровень"))))</f>
        <v>Лидерский уровень</v>
      </c>
      <c r="L91" s="2" t="str">
        <f>IF(L90="","",IF(L90&gt;=4.2,"Лидерский уровень",IF(L90&gt;=3.5,"Сильный уровень",IF(L90&gt;=2.5,"Средний уровень","Слабый уровень"))))</f>
        <v>Сильный уровень</v>
      </c>
      <c r="M91" s="2"/>
      <c r="N91" s="2"/>
      <c r="O91" s="2"/>
    </row>
  </sheetData>
  <mergeCells count="2">
    <mergeCell ref="A1:O1"/>
    <mergeCell ref="A2:O2"/>
  </mergeCells>
  <conditionalFormatting sqref="E7:L86">
    <cfRule type="colorScale" priority="1">
      <colorScale>
        <cfvo type="min"/>
        <cfvo type="percentile" val="50"/>
        <cfvo type="max"/>
        <color rgb="FFFEE2E2"/>
        <color rgb="FFFEF3C7"/>
        <color rgb="FFDCFCE7"/>
      </colorScale>
    </cfRule>
  </conditionalFormatting>
  <dataValidations count="2">
    <dataValidation type="list" sqref="D7:D86" xr:uid="{00000000-0002-0000-0600-000000000000}">
      <formula1>"1,2,3,4,5"</formula1>
    </dataValidation>
    <dataValidation type="list" sqref="E7:L86" xr:uid="{00000000-0002-0000-0600-000001000000}">
      <formula1>"0,1,2,3,4,5"</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06"/>
  <sheetViews>
    <sheetView workbookViewId="0"/>
  </sheetViews>
  <sheetFormatPr defaultRowHeight="13.5"/>
  <cols>
    <col min="1" max="1" width="12" customWidth="1"/>
    <col min="2" max="2" width="36" customWidth="1"/>
    <col min="3" max="3" width="26" customWidth="1"/>
    <col min="4" max="4" width="28" customWidth="1"/>
    <col min="5" max="5" width="20" customWidth="1"/>
    <col min="6" max="8" width="16" customWidth="1"/>
    <col min="9" max="9" width="24" customWidth="1"/>
    <col min="10" max="10" width="42" customWidth="1"/>
    <col min="11" max="12" width="34" customWidth="1"/>
  </cols>
  <sheetData>
    <row r="1" spans="1:12" ht="16.05" customHeight="1">
      <c r="A1" s="12" t="s">
        <v>527</v>
      </c>
      <c r="B1" s="13"/>
      <c r="C1" s="13"/>
      <c r="D1" s="13"/>
      <c r="E1" s="13"/>
      <c r="F1" s="13"/>
      <c r="G1" s="13"/>
      <c r="H1" s="13"/>
      <c r="I1" s="13"/>
      <c r="J1" s="13"/>
      <c r="K1" s="13"/>
      <c r="L1" s="13"/>
    </row>
    <row r="2" spans="1:12" ht="21" customHeight="1">
      <c r="A2" s="14" t="s">
        <v>528</v>
      </c>
      <c r="B2" s="14"/>
      <c r="C2" s="14"/>
      <c r="D2" s="14"/>
      <c r="E2" s="14"/>
      <c r="F2" s="14"/>
      <c r="G2" s="14"/>
      <c r="H2" s="14"/>
      <c r="I2" s="14"/>
      <c r="J2" s="14"/>
      <c r="K2" s="14"/>
      <c r="L2" s="14"/>
    </row>
    <row r="6" spans="1:12" ht="17" customHeight="1">
      <c r="A6" s="1" t="s">
        <v>529</v>
      </c>
      <c r="B6" s="1" t="s">
        <v>530</v>
      </c>
      <c r="C6" s="1" t="s">
        <v>531</v>
      </c>
      <c r="D6" s="1" t="s">
        <v>532</v>
      </c>
      <c r="E6" s="1" t="s">
        <v>145</v>
      </c>
      <c r="F6" s="1" t="s">
        <v>533</v>
      </c>
      <c r="G6" s="1" t="s">
        <v>148</v>
      </c>
      <c r="H6" s="1" t="s">
        <v>534</v>
      </c>
      <c r="I6" s="1" t="s">
        <v>79</v>
      </c>
      <c r="J6" s="1" t="s">
        <v>535</v>
      </c>
      <c r="K6" s="1" t="s">
        <v>536</v>
      </c>
      <c r="L6" s="1" t="s">
        <v>80</v>
      </c>
    </row>
    <row r="7" spans="1:12" ht="63.75">
      <c r="A7" s="2" t="s">
        <v>537</v>
      </c>
      <c r="B7" s="2" t="s">
        <v>1188</v>
      </c>
      <c r="C7" s="2" t="s">
        <v>1434</v>
      </c>
      <c r="D7" s="2" t="s">
        <v>374</v>
      </c>
      <c r="E7" s="2" t="s">
        <v>375</v>
      </c>
      <c r="F7" s="2">
        <v>5</v>
      </c>
      <c r="G7" s="5">
        <f>IF(F7="","",IFERROR(F7/MAX(1,COUNTIF('01_Конкуренты'!$B$7:$B$36,"?*")),""))</f>
        <v>0.625</v>
      </c>
      <c r="H7" s="2">
        <v>5</v>
      </c>
      <c r="I7" s="2" t="str">
        <f t="shared" ref="I7:I38" si="0">IF(B7="","",IF(OR(E7="Обязательное",E7="Линейное"),IF(G7&gt;=0.6,"Рыночный стандарт",IF(G7&gt;=0.35,"Формирующаяся норма","Проверить необходимость")),IF(E7="Привлекательное",IF(G7&lt;0.5,"Зона дифференциации","Переходит в ожидаемое"),IF(E7="Безразличное","Низкий приоритет",IF(E7="Обратное","Риск отторжения","Требует проверки")))))</f>
        <v>Рыночный стандарт</v>
      </c>
      <c r="J7" s="2" t="s">
        <v>1435</v>
      </c>
      <c r="K7" s="2"/>
      <c r="L7" s="2"/>
    </row>
    <row r="8" spans="1:12" ht="38.25">
      <c r="A8" s="2" t="s">
        <v>538</v>
      </c>
      <c r="B8" s="2" t="s">
        <v>1191</v>
      </c>
      <c r="C8" s="2" t="s">
        <v>1436</v>
      </c>
      <c r="D8" s="2" t="s">
        <v>378</v>
      </c>
      <c r="E8" s="2" t="s">
        <v>375</v>
      </c>
      <c r="F8" s="2">
        <v>8</v>
      </c>
      <c r="G8" s="5">
        <f>IF(F8="","",IFERROR(F8/MAX(1,COUNTIF('01_Конкуренты'!$B$7:$B$36,"?*")),""))</f>
        <v>1</v>
      </c>
      <c r="H8" s="2">
        <v>5</v>
      </c>
      <c r="I8" s="2" t="str">
        <f t="shared" si="0"/>
        <v>Рыночный стандарт</v>
      </c>
      <c r="J8" s="2" t="s">
        <v>1437</v>
      </c>
      <c r="K8" s="2"/>
      <c r="L8" s="2"/>
    </row>
    <row r="9" spans="1:12" ht="38.25">
      <c r="A9" s="2" t="s">
        <v>539</v>
      </c>
      <c r="B9" s="2" t="s">
        <v>1220</v>
      </c>
      <c r="C9" s="2" t="s">
        <v>1438</v>
      </c>
      <c r="D9" s="2" t="s">
        <v>378</v>
      </c>
      <c r="E9" s="2" t="s">
        <v>371</v>
      </c>
      <c r="F9" s="2">
        <v>5</v>
      </c>
      <c r="G9" s="5">
        <f>IF(F9="","",IFERROR(F9/MAX(1,COUNTIF('01_Конкуренты'!$B$7:$B$36,"?*")),""))</f>
        <v>0.625</v>
      </c>
      <c r="H9" s="2">
        <v>5</v>
      </c>
      <c r="I9" s="2" t="str">
        <f t="shared" si="0"/>
        <v>Рыночный стандарт</v>
      </c>
      <c r="J9" s="2" t="s">
        <v>1439</v>
      </c>
      <c r="K9" s="2"/>
      <c r="L9" s="2"/>
    </row>
    <row r="10" spans="1:12" ht="25.5">
      <c r="A10" s="2" t="s">
        <v>540</v>
      </c>
      <c r="B10" s="2" t="s">
        <v>1222</v>
      </c>
      <c r="C10" s="2" t="s">
        <v>1401</v>
      </c>
      <c r="D10" s="2" t="s">
        <v>378</v>
      </c>
      <c r="E10" s="2" t="s">
        <v>375</v>
      </c>
      <c r="F10" s="2">
        <v>5</v>
      </c>
      <c r="G10" s="5">
        <f>IF(F10="","",IFERROR(F10/MAX(1,COUNTIF('01_Конкуренты'!$B$7:$B$36,"?*")),""))</f>
        <v>0.625</v>
      </c>
      <c r="H10" s="2">
        <v>5</v>
      </c>
      <c r="I10" s="2" t="str">
        <f t="shared" si="0"/>
        <v>Рыночный стандарт</v>
      </c>
      <c r="J10" s="2" t="s">
        <v>1435</v>
      </c>
      <c r="K10" s="2"/>
      <c r="L10" s="2"/>
    </row>
    <row r="11" spans="1:12" ht="38.25">
      <c r="A11" s="2" t="s">
        <v>541</v>
      </c>
      <c r="B11" s="2" t="s">
        <v>1224</v>
      </c>
      <c r="C11" s="2" t="s">
        <v>1440</v>
      </c>
      <c r="D11" s="2" t="s">
        <v>387</v>
      </c>
      <c r="E11" s="2" t="s">
        <v>970</v>
      </c>
      <c r="F11" s="2">
        <v>4</v>
      </c>
      <c r="G11" s="5">
        <f>IF(F11="","",IFERROR(F11/MAX(1,COUNTIF('01_Конкуренты'!$B$7:$B$36,"?*")),""))</f>
        <v>0.5</v>
      </c>
      <c r="H11" s="2">
        <v>5</v>
      </c>
      <c r="I11" s="2" t="str">
        <f t="shared" si="0"/>
        <v>Низкий приоритет</v>
      </c>
      <c r="J11" s="2" t="s">
        <v>1441</v>
      </c>
      <c r="K11" s="2"/>
      <c r="L11" s="2"/>
    </row>
    <row r="12" spans="1:12" ht="38.25">
      <c r="A12" s="2" t="s">
        <v>542</v>
      </c>
      <c r="B12" s="2" t="s">
        <v>1226</v>
      </c>
      <c r="C12" s="2" t="s">
        <v>1442</v>
      </c>
      <c r="D12" s="2" t="s">
        <v>378</v>
      </c>
      <c r="E12" s="2" t="s">
        <v>371</v>
      </c>
      <c r="F12" s="2">
        <v>4</v>
      </c>
      <c r="G12" s="5">
        <f>IF(F12="","",IFERROR(F12/MAX(1,COUNTIF('01_Конкуренты'!$B$7:$B$36,"?*")),""))</f>
        <v>0.5</v>
      </c>
      <c r="H12" s="2">
        <v>5</v>
      </c>
      <c r="I12" s="2" t="str">
        <f t="shared" si="0"/>
        <v>Формирующаяся норма</v>
      </c>
      <c r="J12" s="2" t="s">
        <v>1443</v>
      </c>
      <c r="K12" s="2"/>
      <c r="L12" s="2"/>
    </row>
    <row r="13" spans="1:12" ht="25.5">
      <c r="A13" s="2" t="s">
        <v>543</v>
      </c>
      <c r="B13" s="2" t="s">
        <v>1270</v>
      </c>
      <c r="C13" s="2" t="s">
        <v>1444</v>
      </c>
      <c r="D13" s="2" t="s">
        <v>378</v>
      </c>
      <c r="E13" s="2" t="s">
        <v>970</v>
      </c>
      <c r="F13" s="2">
        <v>1</v>
      </c>
      <c r="G13" s="5">
        <f>IF(F13="","",IFERROR(F13/MAX(1,COUNTIF('01_Конкуренты'!$B$7:$B$36,"?*")),""))</f>
        <v>0.125</v>
      </c>
      <c r="H13" s="2">
        <v>5</v>
      </c>
      <c r="I13" s="2" t="str">
        <f t="shared" si="0"/>
        <v>Низкий приоритет</v>
      </c>
      <c r="J13" s="2" t="s">
        <v>1445</v>
      </c>
      <c r="K13" s="2"/>
      <c r="L13" s="2"/>
    </row>
    <row r="14" spans="1:12" ht="51">
      <c r="A14" s="2" t="s">
        <v>544</v>
      </c>
      <c r="B14" s="2" t="s">
        <v>1228</v>
      </c>
      <c r="C14" s="2" t="s">
        <v>1446</v>
      </c>
      <c r="D14" s="2" t="s">
        <v>387</v>
      </c>
      <c r="E14" s="2" t="s">
        <v>394</v>
      </c>
      <c r="F14" s="2">
        <v>4</v>
      </c>
      <c r="G14" s="5">
        <f>IF(F14="","",IFERROR(F14/MAX(1,COUNTIF('01_Конкуренты'!$B$7:$B$36,"?*")),""))</f>
        <v>0.5</v>
      </c>
      <c r="H14" s="2">
        <v>5</v>
      </c>
      <c r="I14" s="2" t="str">
        <f t="shared" si="0"/>
        <v>Переходит в ожидаемое</v>
      </c>
      <c r="J14" s="2" t="s">
        <v>1447</v>
      </c>
      <c r="K14" s="2"/>
      <c r="L14" s="2"/>
    </row>
    <row r="15" spans="1:12" ht="38.25">
      <c r="A15" s="2" t="s">
        <v>545</v>
      </c>
      <c r="B15" s="2" t="s">
        <v>1230</v>
      </c>
      <c r="C15" s="2" t="s">
        <v>1448</v>
      </c>
      <c r="D15" s="2" t="s">
        <v>387</v>
      </c>
      <c r="E15" s="2" t="s">
        <v>394</v>
      </c>
      <c r="F15" s="2">
        <v>5</v>
      </c>
      <c r="G15" s="5">
        <f>IF(F15="","",IFERROR(F15/MAX(1,COUNTIF('01_Конкуренты'!$B$7:$B$36,"?*")),""))</f>
        <v>0.625</v>
      </c>
      <c r="H15" s="2">
        <v>5</v>
      </c>
      <c r="I15" s="2" t="str">
        <f t="shared" si="0"/>
        <v>Переходит в ожидаемое</v>
      </c>
      <c r="J15" s="2" t="s">
        <v>1449</v>
      </c>
      <c r="K15" s="2"/>
      <c r="L15" s="2"/>
    </row>
    <row r="16" spans="1:12" ht="38.25">
      <c r="A16" s="2" t="s">
        <v>546</v>
      </c>
      <c r="B16" s="2" t="s">
        <v>1193</v>
      </c>
      <c r="C16" s="2" t="s">
        <v>1450</v>
      </c>
      <c r="D16" s="2" t="s">
        <v>378</v>
      </c>
      <c r="E16" s="2" t="s">
        <v>371</v>
      </c>
      <c r="F16" s="2">
        <v>8</v>
      </c>
      <c r="G16" s="5">
        <f>IF(F16="","",IFERROR(F16/MAX(1,COUNTIF('01_Конкуренты'!$B$7:$B$36,"?*")),""))</f>
        <v>1</v>
      </c>
      <c r="H16" s="2">
        <v>3.33</v>
      </c>
      <c r="I16" s="2" t="str">
        <f t="shared" si="0"/>
        <v>Рыночный стандарт</v>
      </c>
      <c r="J16" s="2" t="s">
        <v>1451</v>
      </c>
      <c r="K16" s="2"/>
      <c r="L16" s="2"/>
    </row>
    <row r="17" spans="1:12" ht="51">
      <c r="A17" s="2" t="s">
        <v>547</v>
      </c>
      <c r="B17" s="2" t="s">
        <v>1214</v>
      </c>
      <c r="C17" s="2" t="s">
        <v>1452</v>
      </c>
      <c r="D17" s="2" t="s">
        <v>387</v>
      </c>
      <c r="E17" s="2" t="s">
        <v>394</v>
      </c>
      <c r="F17" s="2">
        <v>5</v>
      </c>
      <c r="G17" s="5">
        <f>IF(F17="","",IFERROR(F17/MAX(1,COUNTIF('01_Конкуренты'!$B$7:$B$36,"?*")),""))</f>
        <v>0.625</v>
      </c>
      <c r="H17" s="2">
        <v>5</v>
      </c>
      <c r="I17" s="2" t="str">
        <f t="shared" si="0"/>
        <v>Переходит в ожидаемое</v>
      </c>
      <c r="J17" s="2" t="s">
        <v>1449</v>
      </c>
      <c r="K17" s="2"/>
      <c r="L17" s="2"/>
    </row>
    <row r="18" spans="1:12" ht="25.5">
      <c r="A18" s="2" t="s">
        <v>548</v>
      </c>
      <c r="B18" s="2" t="s">
        <v>1195</v>
      </c>
      <c r="C18" s="2" t="s">
        <v>1453</v>
      </c>
      <c r="D18" s="2" t="s">
        <v>387</v>
      </c>
      <c r="E18" s="2" t="s">
        <v>394</v>
      </c>
      <c r="F18" s="2">
        <v>3</v>
      </c>
      <c r="G18" s="5">
        <f>IF(F18="","",IFERROR(F18/MAX(1,COUNTIF('01_Конкуренты'!$B$7:$B$36,"?*")),""))</f>
        <v>0.375</v>
      </c>
      <c r="H18" s="2">
        <v>3.33</v>
      </c>
      <c r="I18" s="2" t="str">
        <f t="shared" si="0"/>
        <v>Зона дифференциации</v>
      </c>
      <c r="J18" s="2" t="s">
        <v>1454</v>
      </c>
      <c r="K18" s="2"/>
      <c r="L18" s="2"/>
    </row>
    <row r="19" spans="1:12" ht="38.25">
      <c r="A19" s="2" t="s">
        <v>549</v>
      </c>
      <c r="B19" s="2" t="s">
        <v>1197</v>
      </c>
      <c r="C19" s="2" t="s">
        <v>1455</v>
      </c>
      <c r="D19" s="2" t="s">
        <v>387</v>
      </c>
      <c r="E19" s="2" t="s">
        <v>371</v>
      </c>
      <c r="F19" s="2">
        <v>7</v>
      </c>
      <c r="G19" s="5">
        <f>IF(F19="","",IFERROR(F19/MAX(1,COUNTIF('01_Конкуренты'!$B$7:$B$36,"?*")),""))</f>
        <v>0.875</v>
      </c>
      <c r="H19" s="2">
        <v>3.33</v>
      </c>
      <c r="I19" s="2" t="str">
        <f t="shared" si="0"/>
        <v>Рыночный стандарт</v>
      </c>
      <c r="J19" s="2" t="s">
        <v>1456</v>
      </c>
      <c r="K19" s="2"/>
      <c r="L19" s="2"/>
    </row>
    <row r="20" spans="1:12" ht="63.75">
      <c r="A20" s="2" t="s">
        <v>550</v>
      </c>
      <c r="B20" s="2" t="s">
        <v>1232</v>
      </c>
      <c r="C20" s="2" t="s">
        <v>1457</v>
      </c>
      <c r="D20" s="2" t="s">
        <v>387</v>
      </c>
      <c r="E20" s="2" t="s">
        <v>371</v>
      </c>
      <c r="F20" s="2">
        <v>4</v>
      </c>
      <c r="G20" s="5">
        <f>IF(F20="","",IFERROR(F20/MAX(1,COUNTIF('01_Конкуренты'!$B$7:$B$36,"?*")),""))</f>
        <v>0.5</v>
      </c>
      <c r="H20" s="2">
        <v>3.33</v>
      </c>
      <c r="I20" s="2" t="str">
        <f t="shared" si="0"/>
        <v>Формирующаяся норма</v>
      </c>
      <c r="J20" s="2" t="s">
        <v>1443</v>
      </c>
      <c r="K20" s="2"/>
      <c r="L20" s="2"/>
    </row>
    <row r="21" spans="1:12" ht="51">
      <c r="A21" s="2" t="s">
        <v>551</v>
      </c>
      <c r="B21" s="2" t="s">
        <v>1234</v>
      </c>
      <c r="C21" s="2" t="s">
        <v>1458</v>
      </c>
      <c r="D21" s="2" t="s">
        <v>387</v>
      </c>
      <c r="E21" s="2" t="s">
        <v>371</v>
      </c>
      <c r="F21" s="2">
        <v>6</v>
      </c>
      <c r="G21" s="5">
        <f>IF(F21="","",IFERROR(F21/MAX(1,COUNTIF('01_Конкуренты'!$B$7:$B$36,"?*")),""))</f>
        <v>0.75</v>
      </c>
      <c r="H21" s="2">
        <v>3.33</v>
      </c>
      <c r="I21" s="2" t="str">
        <f t="shared" si="0"/>
        <v>Рыночный стандарт</v>
      </c>
      <c r="J21" s="2" t="s">
        <v>1459</v>
      </c>
      <c r="K21" s="2"/>
      <c r="L21" s="2"/>
    </row>
    <row r="22" spans="1:12" ht="25.5">
      <c r="A22" s="2" t="s">
        <v>552</v>
      </c>
      <c r="B22" s="2" t="s">
        <v>1236</v>
      </c>
      <c r="C22" s="2" t="s">
        <v>1460</v>
      </c>
      <c r="D22" s="2" t="s">
        <v>387</v>
      </c>
      <c r="E22" s="2" t="s">
        <v>970</v>
      </c>
      <c r="F22" s="2">
        <v>5</v>
      </c>
      <c r="G22" s="5">
        <f>IF(F22="","",IFERROR(F22/MAX(1,COUNTIF('01_Конкуренты'!$B$7:$B$36,"?*")),""))</f>
        <v>0.625</v>
      </c>
      <c r="H22" s="2">
        <v>5</v>
      </c>
      <c r="I22" s="2" t="str">
        <f t="shared" si="0"/>
        <v>Низкий приоритет</v>
      </c>
      <c r="J22" s="2" t="s">
        <v>1461</v>
      </c>
      <c r="K22" s="2"/>
      <c r="L22" s="2"/>
    </row>
    <row r="23" spans="1:12" ht="25.5">
      <c r="A23" s="2" t="s">
        <v>553</v>
      </c>
      <c r="B23" s="2" t="s">
        <v>1238</v>
      </c>
      <c r="C23" s="2" t="s">
        <v>1462</v>
      </c>
      <c r="D23" s="2" t="s">
        <v>378</v>
      </c>
      <c r="E23" s="2" t="s">
        <v>375</v>
      </c>
      <c r="F23" s="2">
        <v>5</v>
      </c>
      <c r="G23" s="5">
        <f>IF(F23="","",IFERROR(F23/MAX(1,COUNTIF('01_Конкуренты'!$B$7:$B$36,"?*")),""))</f>
        <v>0.625</v>
      </c>
      <c r="H23" s="2">
        <v>3.33</v>
      </c>
      <c r="I23" s="2" t="str">
        <f t="shared" si="0"/>
        <v>Рыночный стандарт</v>
      </c>
      <c r="J23" s="2" t="s">
        <v>1435</v>
      </c>
      <c r="K23" s="2"/>
      <c r="L23" s="2"/>
    </row>
    <row r="24" spans="1:12" ht="51">
      <c r="A24" s="2" t="s">
        <v>554</v>
      </c>
      <c r="B24" s="2" t="s">
        <v>1275</v>
      </c>
      <c r="C24" s="2" t="s">
        <v>1463</v>
      </c>
      <c r="D24" s="2" t="s">
        <v>378</v>
      </c>
      <c r="E24" s="2" t="s">
        <v>371</v>
      </c>
      <c r="F24" s="2">
        <v>3</v>
      </c>
      <c r="G24" s="5">
        <f>IF(F24="","",IFERROR(F24/MAX(1,COUNTIF('01_Конкуренты'!$B$7:$B$36,"?*")),""))</f>
        <v>0.375</v>
      </c>
      <c r="H24" s="2">
        <v>5</v>
      </c>
      <c r="I24" s="2" t="str">
        <f t="shared" si="0"/>
        <v>Формирующаяся норма</v>
      </c>
      <c r="J24" s="2" t="s">
        <v>1464</v>
      </c>
      <c r="K24" s="2"/>
      <c r="L24" s="2"/>
    </row>
    <row r="25" spans="1:12" ht="63.75">
      <c r="A25" s="2" t="s">
        <v>555</v>
      </c>
      <c r="B25" s="2" t="s">
        <v>1240</v>
      </c>
      <c r="C25" s="2" t="s">
        <v>1465</v>
      </c>
      <c r="D25" s="2" t="s">
        <v>378</v>
      </c>
      <c r="E25" s="2" t="s">
        <v>371</v>
      </c>
      <c r="F25" s="2">
        <v>6</v>
      </c>
      <c r="G25" s="5">
        <f>IF(F25="","",IFERROR(F25/MAX(1,COUNTIF('01_Конкуренты'!$B$7:$B$36,"?*")),""))</f>
        <v>0.75</v>
      </c>
      <c r="H25" s="2">
        <v>5</v>
      </c>
      <c r="I25" s="2" t="str">
        <f t="shared" si="0"/>
        <v>Рыночный стандарт</v>
      </c>
      <c r="J25" s="2" t="s">
        <v>1459</v>
      </c>
      <c r="K25" s="2"/>
      <c r="L25" s="2"/>
    </row>
    <row r="26" spans="1:12" ht="51">
      <c r="A26" s="2" t="s">
        <v>556</v>
      </c>
      <c r="B26" s="2" t="s">
        <v>1199</v>
      </c>
      <c r="C26" s="2" t="s">
        <v>1466</v>
      </c>
      <c r="D26" s="2" t="s">
        <v>378</v>
      </c>
      <c r="E26" s="2" t="s">
        <v>375</v>
      </c>
      <c r="F26" s="2">
        <v>8</v>
      </c>
      <c r="G26" s="5">
        <f>IF(F26="","",IFERROR(F26/MAX(1,COUNTIF('01_Конкуренты'!$B$7:$B$36,"?*")),""))</f>
        <v>1</v>
      </c>
      <c r="H26" s="2">
        <v>5</v>
      </c>
      <c r="I26" s="2" t="str">
        <f t="shared" si="0"/>
        <v>Рыночный стандарт</v>
      </c>
      <c r="J26" s="2" t="s">
        <v>1437</v>
      </c>
      <c r="K26" s="2"/>
      <c r="L26" s="2"/>
    </row>
    <row r="27" spans="1:12" ht="51">
      <c r="A27" s="2" t="s">
        <v>557</v>
      </c>
      <c r="B27" s="2" t="s">
        <v>1242</v>
      </c>
      <c r="C27" s="2" t="s">
        <v>1467</v>
      </c>
      <c r="D27" s="2" t="s">
        <v>387</v>
      </c>
      <c r="E27" s="2" t="s">
        <v>371</v>
      </c>
      <c r="F27" s="2">
        <v>5</v>
      </c>
      <c r="G27" s="5">
        <f>IF(F27="","",IFERROR(F27/MAX(1,COUNTIF('01_Конкуренты'!$B$7:$B$36,"?*")),""))</f>
        <v>0.625</v>
      </c>
      <c r="H27" s="2">
        <v>5</v>
      </c>
      <c r="I27" s="2" t="str">
        <f t="shared" si="0"/>
        <v>Рыночный стандарт</v>
      </c>
      <c r="J27" s="2" t="s">
        <v>1439</v>
      </c>
      <c r="K27" s="2"/>
      <c r="L27" s="2"/>
    </row>
    <row r="28" spans="1:12" ht="63.75">
      <c r="A28" s="2" t="s">
        <v>558</v>
      </c>
      <c r="B28" s="2" t="s">
        <v>1201</v>
      </c>
      <c r="C28" s="2" t="s">
        <v>1468</v>
      </c>
      <c r="D28" s="2" t="s">
        <v>378</v>
      </c>
      <c r="E28" s="2" t="s">
        <v>375</v>
      </c>
      <c r="F28" s="2">
        <v>6</v>
      </c>
      <c r="G28" s="5">
        <f>IF(F28="","",IFERROR(F28/MAX(1,COUNTIF('01_Конкуренты'!$B$7:$B$36,"?*")),""))</f>
        <v>0.75</v>
      </c>
      <c r="H28" s="2">
        <v>5</v>
      </c>
      <c r="I28" s="2" t="str">
        <f t="shared" si="0"/>
        <v>Рыночный стандарт</v>
      </c>
      <c r="J28" s="2" t="s">
        <v>1469</v>
      </c>
      <c r="K28" s="2"/>
      <c r="L28" s="2"/>
    </row>
    <row r="29" spans="1:12" ht="51">
      <c r="A29" s="2" t="s">
        <v>559</v>
      </c>
      <c r="B29" s="2" t="s">
        <v>1203</v>
      </c>
      <c r="C29" s="2" t="s">
        <v>1470</v>
      </c>
      <c r="D29" s="2" t="s">
        <v>378</v>
      </c>
      <c r="E29" s="2" t="s">
        <v>375</v>
      </c>
      <c r="F29" s="2">
        <v>4</v>
      </c>
      <c r="G29" s="5">
        <f>IF(F29="","",IFERROR(F29/MAX(1,COUNTIF('01_Конкуренты'!$B$7:$B$36,"?*")),""))</f>
        <v>0.5</v>
      </c>
      <c r="H29" s="2">
        <v>5</v>
      </c>
      <c r="I29" s="2" t="str">
        <f t="shared" si="0"/>
        <v>Формирующаяся норма</v>
      </c>
      <c r="J29" s="2" t="s">
        <v>1471</v>
      </c>
      <c r="K29" s="2"/>
      <c r="L29" s="2"/>
    </row>
    <row r="30" spans="1:12" ht="51">
      <c r="A30" s="2" t="s">
        <v>560</v>
      </c>
      <c r="B30" s="2" t="s">
        <v>1256</v>
      </c>
      <c r="C30" s="2" t="s">
        <v>1472</v>
      </c>
      <c r="D30" s="2" t="s">
        <v>387</v>
      </c>
      <c r="E30" s="2" t="s">
        <v>371</v>
      </c>
      <c r="F30" s="2">
        <v>3</v>
      </c>
      <c r="G30" s="5">
        <f>IF(F30="","",IFERROR(F30/MAX(1,COUNTIF('01_Конкуренты'!$B$7:$B$36,"?*")),""))</f>
        <v>0.375</v>
      </c>
      <c r="H30" s="2">
        <v>5</v>
      </c>
      <c r="I30" s="2" t="str">
        <f t="shared" si="0"/>
        <v>Формирующаяся норма</v>
      </c>
      <c r="J30" s="2" t="s">
        <v>1464</v>
      </c>
      <c r="K30" s="2"/>
      <c r="L30" s="2"/>
    </row>
    <row r="31" spans="1:12" ht="76.5">
      <c r="A31" s="2" t="s">
        <v>561</v>
      </c>
      <c r="B31" s="2" t="s">
        <v>1205</v>
      </c>
      <c r="C31" s="2" t="s">
        <v>1473</v>
      </c>
      <c r="D31" s="2" t="s">
        <v>387</v>
      </c>
      <c r="E31" s="2" t="s">
        <v>371</v>
      </c>
      <c r="F31" s="2">
        <v>6</v>
      </c>
      <c r="G31" s="5">
        <f>IF(F31="","",IFERROR(F31/MAX(1,COUNTIF('01_Конкуренты'!$B$7:$B$36,"?*")),""))</f>
        <v>0.75</v>
      </c>
      <c r="H31" s="2">
        <v>5</v>
      </c>
      <c r="I31" s="2" t="str">
        <f t="shared" si="0"/>
        <v>Рыночный стандарт</v>
      </c>
      <c r="J31" s="2" t="s">
        <v>1459</v>
      </c>
      <c r="K31" s="2"/>
      <c r="L31" s="2"/>
    </row>
    <row r="32" spans="1:12" ht="63.75">
      <c r="A32" s="2" t="s">
        <v>562</v>
      </c>
      <c r="B32" s="2" t="s">
        <v>1207</v>
      </c>
      <c r="C32" s="2" t="s">
        <v>1474</v>
      </c>
      <c r="D32" s="2" t="s">
        <v>387</v>
      </c>
      <c r="E32" s="2" t="s">
        <v>394</v>
      </c>
      <c r="F32" s="2">
        <v>4</v>
      </c>
      <c r="G32" s="5">
        <f>IF(F32="","",IFERROR(F32/MAX(1,COUNTIF('01_Конкуренты'!$B$7:$B$36,"?*")),""))</f>
        <v>0.5</v>
      </c>
      <c r="H32" s="2">
        <v>3.33</v>
      </c>
      <c r="I32" s="2" t="str">
        <f t="shared" si="0"/>
        <v>Переходит в ожидаемое</v>
      </c>
      <c r="J32" s="2" t="s">
        <v>1447</v>
      </c>
      <c r="K32" s="2"/>
      <c r="L32" s="2"/>
    </row>
    <row r="33" spans="1:12" ht="38.25">
      <c r="A33" s="2" t="s">
        <v>563</v>
      </c>
      <c r="B33" s="2" t="s">
        <v>1209</v>
      </c>
      <c r="C33" s="2" t="s">
        <v>1475</v>
      </c>
      <c r="D33" s="2" t="s">
        <v>387</v>
      </c>
      <c r="E33" s="2" t="s">
        <v>970</v>
      </c>
      <c r="F33" s="2">
        <v>3</v>
      </c>
      <c r="G33" s="5">
        <f>IF(F33="","",IFERROR(F33/MAX(1,COUNTIF('01_Конкуренты'!$B$7:$B$36,"?*")),""))</f>
        <v>0.375</v>
      </c>
      <c r="H33" s="2">
        <v>3.33</v>
      </c>
      <c r="I33" s="2" t="str">
        <f t="shared" si="0"/>
        <v>Низкий приоритет</v>
      </c>
      <c r="J33" s="2" t="s">
        <v>1476</v>
      </c>
      <c r="K33" s="2"/>
      <c r="L33" s="2"/>
    </row>
    <row r="34" spans="1:12" ht="25.5">
      <c r="A34" s="2" t="s">
        <v>564</v>
      </c>
      <c r="B34" s="2" t="s">
        <v>1258</v>
      </c>
      <c r="C34" s="2" t="s">
        <v>1477</v>
      </c>
      <c r="D34" s="2" t="s">
        <v>387</v>
      </c>
      <c r="E34" s="2" t="s">
        <v>394</v>
      </c>
      <c r="F34" s="2">
        <v>1</v>
      </c>
      <c r="G34" s="5">
        <f>IF(F34="","",IFERROR(F34/MAX(1,COUNTIF('01_Конкуренты'!$B$7:$B$36,"?*")),""))</f>
        <v>0.125</v>
      </c>
      <c r="H34" s="2">
        <v>3.33</v>
      </c>
      <c r="I34" s="2" t="str">
        <f t="shared" si="0"/>
        <v>Зона дифференциации</v>
      </c>
      <c r="J34" s="2" t="s">
        <v>1478</v>
      </c>
      <c r="K34" s="2"/>
      <c r="L34" s="2"/>
    </row>
    <row r="35" spans="1:12" ht="63.75">
      <c r="A35" s="2" t="s">
        <v>565</v>
      </c>
      <c r="B35" s="2" t="s">
        <v>1244</v>
      </c>
      <c r="C35" s="2" t="s">
        <v>1479</v>
      </c>
      <c r="D35" s="2" t="s">
        <v>393</v>
      </c>
      <c r="E35" s="2" t="s">
        <v>394</v>
      </c>
      <c r="F35" s="2">
        <v>4</v>
      </c>
      <c r="G35" s="5">
        <f>IF(F35="","",IFERROR(F35/MAX(1,COUNTIF('01_Конкуренты'!$B$7:$B$36,"?*")),""))</f>
        <v>0.5</v>
      </c>
      <c r="H35" s="2">
        <v>3.33</v>
      </c>
      <c r="I35" s="2" t="str">
        <f t="shared" si="0"/>
        <v>Переходит в ожидаемое</v>
      </c>
      <c r="J35" s="2" t="s">
        <v>1447</v>
      </c>
      <c r="K35" s="2"/>
      <c r="L35" s="2"/>
    </row>
    <row r="36" spans="1:12">
      <c r="A36" s="2" t="s">
        <v>566</v>
      </c>
      <c r="B36" s="2"/>
      <c r="C36" s="2"/>
      <c r="D36" s="2"/>
      <c r="E36" s="2"/>
      <c r="F36" s="2"/>
      <c r="G36" s="5" t="str">
        <f>IF(F36="","",IFERROR(F36/MAX(1,COUNTIF('01_Конкуренты'!$B$7:$B$36,"?*")),""))</f>
        <v/>
      </c>
      <c r="H36" s="2"/>
      <c r="I36" s="2" t="str">
        <f t="shared" si="0"/>
        <v/>
      </c>
      <c r="J36" s="2"/>
      <c r="K36" s="2"/>
      <c r="L36" s="2"/>
    </row>
    <row r="37" spans="1:12">
      <c r="A37" s="2" t="s">
        <v>567</v>
      </c>
      <c r="B37" s="2"/>
      <c r="C37" s="2"/>
      <c r="D37" s="2"/>
      <c r="E37" s="2"/>
      <c r="F37" s="2"/>
      <c r="G37" s="5" t="str">
        <f>IF(F37="","",IFERROR(F37/MAX(1,COUNTIF('01_Конкуренты'!$B$7:$B$36,"?*")),""))</f>
        <v/>
      </c>
      <c r="H37" s="2"/>
      <c r="I37" s="2" t="str">
        <f t="shared" si="0"/>
        <v/>
      </c>
      <c r="J37" s="2"/>
      <c r="K37" s="2"/>
      <c r="L37" s="2"/>
    </row>
    <row r="38" spans="1:12">
      <c r="A38" s="2" t="s">
        <v>568</v>
      </c>
      <c r="B38" s="2"/>
      <c r="C38" s="2"/>
      <c r="D38" s="2"/>
      <c r="E38" s="2"/>
      <c r="F38" s="2"/>
      <c r="G38" s="5" t="str">
        <f>IF(F38="","",IFERROR(F38/MAX(1,COUNTIF('01_Конкуренты'!$B$7:$B$36,"?*")),""))</f>
        <v/>
      </c>
      <c r="H38" s="2"/>
      <c r="I38" s="2" t="str">
        <f t="shared" si="0"/>
        <v/>
      </c>
      <c r="J38" s="2"/>
      <c r="K38" s="2"/>
      <c r="L38" s="2"/>
    </row>
    <row r="39" spans="1:12">
      <c r="A39" s="2" t="s">
        <v>569</v>
      </c>
      <c r="B39" s="2"/>
      <c r="C39" s="2"/>
      <c r="D39" s="2"/>
      <c r="E39" s="2"/>
      <c r="F39" s="2"/>
      <c r="G39" s="5" t="str">
        <f>IF(F39="","",IFERROR(F39/MAX(1,COUNTIF('01_Конкуренты'!$B$7:$B$36,"?*")),""))</f>
        <v/>
      </c>
      <c r="H39" s="2"/>
      <c r="I39" s="2" t="str">
        <f t="shared" ref="I39:I70" si="1">IF(B39="","",IF(OR(E39="Обязательное",E39="Линейное"),IF(G39&gt;=0.6,"Рыночный стандарт",IF(G39&gt;=0.35,"Формирующаяся норма","Проверить необходимость")),IF(E39="Привлекательное",IF(G39&lt;0.5,"Зона дифференциации","Переходит в ожидаемое"),IF(E39="Безразличное","Низкий приоритет",IF(E39="Обратное","Риск отторжения","Требует проверки")))))</f>
        <v/>
      </c>
      <c r="J39" s="2"/>
      <c r="K39" s="2"/>
      <c r="L39" s="2"/>
    </row>
    <row r="40" spans="1:12">
      <c r="A40" s="2" t="s">
        <v>570</v>
      </c>
      <c r="B40" s="2"/>
      <c r="C40" s="2"/>
      <c r="D40" s="2"/>
      <c r="E40" s="2"/>
      <c r="F40" s="2"/>
      <c r="G40" s="5" t="str">
        <f>IF(F40="","",IFERROR(F40/MAX(1,COUNTIF('01_Конкуренты'!$B$7:$B$36,"?*")),""))</f>
        <v/>
      </c>
      <c r="H40" s="2"/>
      <c r="I40" s="2" t="str">
        <f t="shared" si="1"/>
        <v/>
      </c>
      <c r="J40" s="2"/>
      <c r="K40" s="2"/>
      <c r="L40" s="2"/>
    </row>
    <row r="41" spans="1:12">
      <c r="A41" s="2" t="s">
        <v>571</v>
      </c>
      <c r="B41" s="2"/>
      <c r="C41" s="2"/>
      <c r="D41" s="2"/>
      <c r="E41" s="2"/>
      <c r="F41" s="2"/>
      <c r="G41" s="5" t="str">
        <f>IF(F41="","",IFERROR(F41/MAX(1,COUNTIF('01_Конкуренты'!$B$7:$B$36,"?*")),""))</f>
        <v/>
      </c>
      <c r="H41" s="2"/>
      <c r="I41" s="2" t="str">
        <f t="shared" si="1"/>
        <v/>
      </c>
      <c r="J41" s="2"/>
      <c r="K41" s="2"/>
      <c r="L41" s="2"/>
    </row>
    <row r="42" spans="1:12">
      <c r="A42" s="2" t="s">
        <v>572</v>
      </c>
      <c r="B42" s="2"/>
      <c r="C42" s="2"/>
      <c r="D42" s="2"/>
      <c r="E42" s="2"/>
      <c r="F42" s="2"/>
      <c r="G42" s="5" t="str">
        <f>IF(F42="","",IFERROR(F42/MAX(1,COUNTIF('01_Конкуренты'!$B$7:$B$36,"?*")),""))</f>
        <v/>
      </c>
      <c r="H42" s="2"/>
      <c r="I42" s="2" t="str">
        <f t="shared" si="1"/>
        <v/>
      </c>
      <c r="J42" s="2"/>
      <c r="K42" s="2"/>
      <c r="L42" s="2"/>
    </row>
    <row r="43" spans="1:12">
      <c r="A43" s="2" t="s">
        <v>573</v>
      </c>
      <c r="B43" s="2"/>
      <c r="C43" s="2"/>
      <c r="D43" s="2"/>
      <c r="E43" s="2"/>
      <c r="F43" s="2"/>
      <c r="G43" s="5" t="str">
        <f>IF(F43="","",IFERROR(F43/MAX(1,COUNTIF('01_Конкуренты'!$B$7:$B$36,"?*")),""))</f>
        <v/>
      </c>
      <c r="H43" s="2"/>
      <c r="I43" s="2" t="str">
        <f t="shared" si="1"/>
        <v/>
      </c>
      <c r="J43" s="2"/>
      <c r="K43" s="2"/>
      <c r="L43" s="2"/>
    </row>
    <row r="44" spans="1:12">
      <c r="A44" s="2" t="s">
        <v>574</v>
      </c>
      <c r="B44" s="2"/>
      <c r="C44" s="2"/>
      <c r="D44" s="2"/>
      <c r="E44" s="2"/>
      <c r="F44" s="2"/>
      <c r="G44" s="5" t="str">
        <f>IF(F44="","",IFERROR(F44/MAX(1,COUNTIF('01_Конкуренты'!$B$7:$B$36,"?*")),""))</f>
        <v/>
      </c>
      <c r="H44" s="2"/>
      <c r="I44" s="2" t="str">
        <f t="shared" si="1"/>
        <v/>
      </c>
      <c r="J44" s="2"/>
      <c r="K44" s="2"/>
      <c r="L44" s="2"/>
    </row>
    <row r="45" spans="1:12">
      <c r="A45" s="2" t="s">
        <v>575</v>
      </c>
      <c r="B45" s="2"/>
      <c r="C45" s="2"/>
      <c r="D45" s="2"/>
      <c r="E45" s="2"/>
      <c r="F45" s="2"/>
      <c r="G45" s="5" t="str">
        <f>IF(F45="","",IFERROR(F45/MAX(1,COUNTIF('01_Конкуренты'!$B$7:$B$36,"?*")),""))</f>
        <v/>
      </c>
      <c r="H45" s="2"/>
      <c r="I45" s="2" t="str">
        <f t="shared" si="1"/>
        <v/>
      </c>
      <c r="J45" s="2"/>
      <c r="K45" s="2"/>
      <c r="L45" s="2"/>
    </row>
    <row r="46" spans="1:12">
      <c r="A46" s="2" t="s">
        <v>576</v>
      </c>
      <c r="B46" s="2"/>
      <c r="C46" s="2"/>
      <c r="D46" s="2"/>
      <c r="E46" s="2"/>
      <c r="F46" s="2"/>
      <c r="G46" s="5" t="str">
        <f>IF(F46="","",IFERROR(F46/MAX(1,COUNTIF('01_Конкуренты'!$B$7:$B$36,"?*")),""))</f>
        <v/>
      </c>
      <c r="H46" s="2"/>
      <c r="I46" s="2" t="str">
        <f t="shared" si="1"/>
        <v/>
      </c>
      <c r="J46" s="2"/>
      <c r="K46" s="2"/>
      <c r="L46" s="2"/>
    </row>
    <row r="47" spans="1:12">
      <c r="A47" s="2" t="s">
        <v>577</v>
      </c>
      <c r="B47" s="2"/>
      <c r="C47" s="2"/>
      <c r="D47" s="2"/>
      <c r="E47" s="2"/>
      <c r="F47" s="2"/>
      <c r="G47" s="5" t="str">
        <f>IF(F47="","",IFERROR(F47/MAX(1,COUNTIF('01_Конкуренты'!$B$7:$B$36,"?*")),""))</f>
        <v/>
      </c>
      <c r="H47" s="2"/>
      <c r="I47" s="2" t="str">
        <f t="shared" si="1"/>
        <v/>
      </c>
      <c r="J47" s="2"/>
      <c r="K47" s="2"/>
      <c r="L47" s="2"/>
    </row>
    <row r="48" spans="1:12">
      <c r="A48" s="2" t="s">
        <v>578</v>
      </c>
      <c r="B48" s="2"/>
      <c r="C48" s="2"/>
      <c r="D48" s="2"/>
      <c r="E48" s="2"/>
      <c r="F48" s="2"/>
      <c r="G48" s="5" t="str">
        <f>IF(F48="","",IFERROR(F48/MAX(1,COUNTIF('01_Конкуренты'!$B$7:$B$36,"?*")),""))</f>
        <v/>
      </c>
      <c r="H48" s="2"/>
      <c r="I48" s="2" t="str">
        <f t="shared" si="1"/>
        <v/>
      </c>
      <c r="J48" s="2"/>
      <c r="K48" s="2"/>
      <c r="L48" s="2"/>
    </row>
    <row r="49" spans="1:12">
      <c r="A49" s="2" t="s">
        <v>579</v>
      </c>
      <c r="B49" s="2"/>
      <c r="C49" s="2"/>
      <c r="D49" s="2"/>
      <c r="E49" s="2"/>
      <c r="F49" s="2"/>
      <c r="G49" s="5" t="str">
        <f>IF(F49="","",IFERROR(F49/MAX(1,COUNTIF('01_Конкуренты'!$B$7:$B$36,"?*")),""))</f>
        <v/>
      </c>
      <c r="H49" s="2"/>
      <c r="I49" s="2" t="str">
        <f t="shared" si="1"/>
        <v/>
      </c>
      <c r="J49" s="2"/>
      <c r="K49" s="2"/>
      <c r="L49" s="2"/>
    </row>
    <row r="50" spans="1:12">
      <c r="A50" s="2" t="s">
        <v>580</v>
      </c>
      <c r="B50" s="2"/>
      <c r="C50" s="2"/>
      <c r="D50" s="2"/>
      <c r="E50" s="2"/>
      <c r="F50" s="2"/>
      <c r="G50" s="5" t="str">
        <f>IF(F50="","",IFERROR(F50/MAX(1,COUNTIF('01_Конкуренты'!$B$7:$B$36,"?*")),""))</f>
        <v/>
      </c>
      <c r="H50" s="2"/>
      <c r="I50" s="2" t="str">
        <f t="shared" si="1"/>
        <v/>
      </c>
      <c r="J50" s="2"/>
      <c r="K50" s="2"/>
      <c r="L50" s="2"/>
    </row>
    <row r="51" spans="1:12">
      <c r="A51" s="2" t="s">
        <v>581</v>
      </c>
      <c r="B51" s="2"/>
      <c r="C51" s="2"/>
      <c r="D51" s="2"/>
      <c r="E51" s="2"/>
      <c r="F51" s="2"/>
      <c r="G51" s="5" t="str">
        <f>IF(F51="","",IFERROR(F51/MAX(1,COUNTIF('01_Конкуренты'!$B$7:$B$36,"?*")),""))</f>
        <v/>
      </c>
      <c r="H51" s="2"/>
      <c r="I51" s="2" t="str">
        <f t="shared" si="1"/>
        <v/>
      </c>
      <c r="J51" s="2"/>
      <c r="K51" s="2"/>
      <c r="L51" s="2"/>
    </row>
    <row r="52" spans="1:12">
      <c r="A52" s="2" t="s">
        <v>582</v>
      </c>
      <c r="B52" s="2"/>
      <c r="C52" s="2"/>
      <c r="D52" s="2"/>
      <c r="E52" s="2"/>
      <c r="F52" s="2"/>
      <c r="G52" s="5" t="str">
        <f>IF(F52="","",IFERROR(F52/MAX(1,COUNTIF('01_Конкуренты'!$B$7:$B$36,"?*")),""))</f>
        <v/>
      </c>
      <c r="H52" s="2"/>
      <c r="I52" s="2" t="str">
        <f t="shared" si="1"/>
        <v/>
      </c>
      <c r="J52" s="2"/>
      <c r="K52" s="2"/>
      <c r="L52" s="2"/>
    </row>
    <row r="53" spans="1:12">
      <c r="A53" s="2" t="s">
        <v>583</v>
      </c>
      <c r="B53" s="2"/>
      <c r="C53" s="2"/>
      <c r="D53" s="2"/>
      <c r="E53" s="2"/>
      <c r="F53" s="2"/>
      <c r="G53" s="5" t="str">
        <f>IF(F53="","",IFERROR(F53/MAX(1,COUNTIF('01_Конкуренты'!$B$7:$B$36,"?*")),""))</f>
        <v/>
      </c>
      <c r="H53" s="2"/>
      <c r="I53" s="2" t="str">
        <f t="shared" si="1"/>
        <v/>
      </c>
      <c r="J53" s="2"/>
      <c r="K53" s="2"/>
      <c r="L53" s="2"/>
    </row>
    <row r="54" spans="1:12">
      <c r="A54" s="2" t="s">
        <v>584</v>
      </c>
      <c r="B54" s="2"/>
      <c r="C54" s="2"/>
      <c r="D54" s="2"/>
      <c r="E54" s="2"/>
      <c r="F54" s="2"/>
      <c r="G54" s="5" t="str">
        <f>IF(F54="","",IFERROR(F54/MAX(1,COUNTIF('01_Конкуренты'!$B$7:$B$36,"?*")),""))</f>
        <v/>
      </c>
      <c r="H54" s="2"/>
      <c r="I54" s="2" t="str">
        <f t="shared" si="1"/>
        <v/>
      </c>
      <c r="J54" s="2"/>
      <c r="K54" s="2"/>
      <c r="L54" s="2"/>
    </row>
    <row r="55" spans="1:12">
      <c r="A55" s="2" t="s">
        <v>585</v>
      </c>
      <c r="B55" s="2"/>
      <c r="C55" s="2"/>
      <c r="D55" s="2"/>
      <c r="E55" s="2"/>
      <c r="F55" s="2"/>
      <c r="G55" s="5" t="str">
        <f>IF(F55="","",IFERROR(F55/MAX(1,COUNTIF('01_Конкуренты'!$B$7:$B$36,"?*")),""))</f>
        <v/>
      </c>
      <c r="H55" s="2"/>
      <c r="I55" s="2" t="str">
        <f t="shared" si="1"/>
        <v/>
      </c>
      <c r="J55" s="2"/>
      <c r="K55" s="2"/>
      <c r="L55" s="2"/>
    </row>
    <row r="56" spans="1:12">
      <c r="A56" s="2" t="s">
        <v>586</v>
      </c>
      <c r="B56" s="2"/>
      <c r="C56" s="2"/>
      <c r="D56" s="2"/>
      <c r="E56" s="2"/>
      <c r="F56" s="2"/>
      <c r="G56" s="5" t="str">
        <f>IF(F56="","",IFERROR(F56/MAX(1,COUNTIF('01_Конкуренты'!$B$7:$B$36,"?*")),""))</f>
        <v/>
      </c>
      <c r="H56" s="2"/>
      <c r="I56" s="2" t="str">
        <f t="shared" si="1"/>
        <v/>
      </c>
      <c r="J56" s="2"/>
      <c r="K56" s="2"/>
      <c r="L56" s="2"/>
    </row>
    <row r="57" spans="1:12">
      <c r="A57" s="2" t="s">
        <v>587</v>
      </c>
      <c r="B57" s="2"/>
      <c r="C57" s="2"/>
      <c r="D57" s="2"/>
      <c r="E57" s="2"/>
      <c r="F57" s="2"/>
      <c r="G57" s="5" t="str">
        <f>IF(F57="","",IFERROR(F57/MAX(1,COUNTIF('01_Конкуренты'!$B$7:$B$36,"?*")),""))</f>
        <v/>
      </c>
      <c r="H57" s="2"/>
      <c r="I57" s="2" t="str">
        <f t="shared" si="1"/>
        <v/>
      </c>
      <c r="J57" s="2"/>
      <c r="K57" s="2"/>
      <c r="L57" s="2"/>
    </row>
    <row r="58" spans="1:12">
      <c r="A58" s="2" t="s">
        <v>588</v>
      </c>
      <c r="B58" s="2"/>
      <c r="C58" s="2"/>
      <c r="D58" s="2"/>
      <c r="E58" s="2"/>
      <c r="F58" s="2"/>
      <c r="G58" s="5" t="str">
        <f>IF(F58="","",IFERROR(F58/MAX(1,COUNTIF('01_Конкуренты'!$B$7:$B$36,"?*")),""))</f>
        <v/>
      </c>
      <c r="H58" s="2"/>
      <c r="I58" s="2" t="str">
        <f t="shared" si="1"/>
        <v/>
      </c>
      <c r="J58" s="2"/>
      <c r="K58" s="2"/>
      <c r="L58" s="2"/>
    </row>
    <row r="59" spans="1:12">
      <c r="A59" s="2" t="s">
        <v>589</v>
      </c>
      <c r="B59" s="2"/>
      <c r="C59" s="2"/>
      <c r="D59" s="2"/>
      <c r="E59" s="2"/>
      <c r="F59" s="2"/>
      <c r="G59" s="5" t="str">
        <f>IF(F59="","",IFERROR(F59/MAX(1,COUNTIF('01_Конкуренты'!$B$7:$B$36,"?*")),""))</f>
        <v/>
      </c>
      <c r="H59" s="2"/>
      <c r="I59" s="2" t="str">
        <f t="shared" si="1"/>
        <v/>
      </c>
      <c r="J59" s="2"/>
      <c r="K59" s="2"/>
      <c r="L59" s="2"/>
    </row>
    <row r="60" spans="1:12">
      <c r="A60" s="2" t="s">
        <v>590</v>
      </c>
      <c r="B60" s="2"/>
      <c r="C60" s="2"/>
      <c r="D60" s="2"/>
      <c r="E60" s="2"/>
      <c r="F60" s="2"/>
      <c r="G60" s="5" t="str">
        <f>IF(F60="","",IFERROR(F60/MAX(1,COUNTIF('01_Конкуренты'!$B$7:$B$36,"?*")),""))</f>
        <v/>
      </c>
      <c r="H60" s="2"/>
      <c r="I60" s="2" t="str">
        <f t="shared" si="1"/>
        <v/>
      </c>
      <c r="J60" s="2"/>
      <c r="K60" s="2"/>
      <c r="L60" s="2"/>
    </row>
    <row r="61" spans="1:12">
      <c r="A61" s="2" t="s">
        <v>591</v>
      </c>
      <c r="B61" s="2"/>
      <c r="C61" s="2"/>
      <c r="D61" s="2"/>
      <c r="E61" s="2"/>
      <c r="F61" s="2"/>
      <c r="G61" s="5" t="str">
        <f>IF(F61="","",IFERROR(F61/MAX(1,COUNTIF('01_Конкуренты'!$B$7:$B$36,"?*")),""))</f>
        <v/>
      </c>
      <c r="H61" s="2"/>
      <c r="I61" s="2" t="str">
        <f t="shared" si="1"/>
        <v/>
      </c>
      <c r="J61" s="2"/>
      <c r="K61" s="2"/>
      <c r="L61" s="2"/>
    </row>
    <row r="62" spans="1:12">
      <c r="A62" s="2" t="s">
        <v>592</v>
      </c>
      <c r="B62" s="2"/>
      <c r="C62" s="2"/>
      <c r="D62" s="2"/>
      <c r="E62" s="2"/>
      <c r="F62" s="2"/>
      <c r="G62" s="5" t="str">
        <f>IF(F62="","",IFERROR(F62/MAX(1,COUNTIF('01_Конкуренты'!$B$7:$B$36,"?*")),""))</f>
        <v/>
      </c>
      <c r="H62" s="2"/>
      <c r="I62" s="2" t="str">
        <f t="shared" si="1"/>
        <v/>
      </c>
      <c r="J62" s="2"/>
      <c r="K62" s="2"/>
      <c r="L62" s="2"/>
    </row>
    <row r="63" spans="1:12">
      <c r="A63" s="2" t="s">
        <v>593</v>
      </c>
      <c r="B63" s="2"/>
      <c r="C63" s="2"/>
      <c r="D63" s="2"/>
      <c r="E63" s="2"/>
      <c r="F63" s="2"/>
      <c r="G63" s="5" t="str">
        <f>IF(F63="","",IFERROR(F63/MAX(1,COUNTIF('01_Конкуренты'!$B$7:$B$36,"?*")),""))</f>
        <v/>
      </c>
      <c r="H63" s="2"/>
      <c r="I63" s="2" t="str">
        <f t="shared" si="1"/>
        <v/>
      </c>
      <c r="J63" s="2"/>
      <c r="K63" s="2"/>
      <c r="L63" s="2"/>
    </row>
    <row r="64" spans="1:12">
      <c r="A64" s="2" t="s">
        <v>594</v>
      </c>
      <c r="B64" s="2"/>
      <c r="C64" s="2"/>
      <c r="D64" s="2"/>
      <c r="E64" s="2"/>
      <c r="F64" s="2"/>
      <c r="G64" s="5" t="str">
        <f>IF(F64="","",IFERROR(F64/MAX(1,COUNTIF('01_Конкуренты'!$B$7:$B$36,"?*")),""))</f>
        <v/>
      </c>
      <c r="H64" s="2"/>
      <c r="I64" s="2" t="str">
        <f t="shared" si="1"/>
        <v/>
      </c>
      <c r="J64" s="2"/>
      <c r="K64" s="2"/>
      <c r="L64" s="2"/>
    </row>
    <row r="65" spans="1:12">
      <c r="A65" s="2" t="s">
        <v>595</v>
      </c>
      <c r="B65" s="2"/>
      <c r="C65" s="2"/>
      <c r="D65" s="2"/>
      <c r="E65" s="2"/>
      <c r="F65" s="2"/>
      <c r="G65" s="5" t="str">
        <f>IF(F65="","",IFERROR(F65/MAX(1,COUNTIF('01_Конкуренты'!$B$7:$B$36,"?*")),""))</f>
        <v/>
      </c>
      <c r="H65" s="2"/>
      <c r="I65" s="2" t="str">
        <f t="shared" si="1"/>
        <v/>
      </c>
      <c r="J65" s="2"/>
      <c r="K65" s="2"/>
      <c r="L65" s="2"/>
    </row>
    <row r="66" spans="1:12">
      <c r="A66" s="2" t="s">
        <v>596</v>
      </c>
      <c r="B66" s="2"/>
      <c r="C66" s="2"/>
      <c r="D66" s="2"/>
      <c r="E66" s="2"/>
      <c r="F66" s="2"/>
      <c r="G66" s="5" t="str">
        <f>IF(F66="","",IFERROR(F66/MAX(1,COUNTIF('01_Конкуренты'!$B$7:$B$36,"?*")),""))</f>
        <v/>
      </c>
      <c r="H66" s="2"/>
      <c r="I66" s="2" t="str">
        <f t="shared" si="1"/>
        <v/>
      </c>
      <c r="J66" s="2"/>
      <c r="K66" s="2"/>
      <c r="L66" s="2"/>
    </row>
    <row r="67" spans="1:12">
      <c r="A67" s="2" t="s">
        <v>597</v>
      </c>
      <c r="B67" s="2"/>
      <c r="C67" s="2"/>
      <c r="D67" s="2"/>
      <c r="E67" s="2"/>
      <c r="F67" s="2"/>
      <c r="G67" s="5" t="str">
        <f>IF(F67="","",IFERROR(F67/MAX(1,COUNTIF('01_Конкуренты'!$B$7:$B$36,"?*")),""))</f>
        <v/>
      </c>
      <c r="H67" s="2"/>
      <c r="I67" s="2" t="str">
        <f t="shared" si="1"/>
        <v/>
      </c>
      <c r="J67" s="2"/>
      <c r="K67" s="2"/>
      <c r="L67" s="2"/>
    </row>
    <row r="68" spans="1:12">
      <c r="A68" s="2" t="s">
        <v>598</v>
      </c>
      <c r="B68" s="2"/>
      <c r="C68" s="2"/>
      <c r="D68" s="2"/>
      <c r="E68" s="2"/>
      <c r="F68" s="2"/>
      <c r="G68" s="5" t="str">
        <f>IF(F68="","",IFERROR(F68/MAX(1,COUNTIF('01_Конкуренты'!$B$7:$B$36,"?*")),""))</f>
        <v/>
      </c>
      <c r="H68" s="2"/>
      <c r="I68" s="2" t="str">
        <f t="shared" si="1"/>
        <v/>
      </c>
      <c r="J68" s="2"/>
      <c r="K68" s="2"/>
      <c r="L68" s="2"/>
    </row>
    <row r="69" spans="1:12">
      <c r="A69" s="2" t="s">
        <v>599</v>
      </c>
      <c r="B69" s="2"/>
      <c r="C69" s="2"/>
      <c r="D69" s="2"/>
      <c r="E69" s="2"/>
      <c r="F69" s="2"/>
      <c r="G69" s="5" t="str">
        <f>IF(F69="","",IFERROR(F69/MAX(1,COUNTIF('01_Конкуренты'!$B$7:$B$36,"?*")),""))</f>
        <v/>
      </c>
      <c r="H69" s="2"/>
      <c r="I69" s="2" t="str">
        <f t="shared" si="1"/>
        <v/>
      </c>
      <c r="J69" s="2"/>
      <c r="K69" s="2"/>
      <c r="L69" s="2"/>
    </row>
    <row r="70" spans="1:12">
      <c r="A70" s="2" t="s">
        <v>600</v>
      </c>
      <c r="B70" s="2"/>
      <c r="C70" s="2"/>
      <c r="D70" s="2"/>
      <c r="E70" s="2"/>
      <c r="F70" s="2"/>
      <c r="G70" s="5" t="str">
        <f>IF(F70="","",IFERROR(F70/MAX(1,COUNTIF('01_Конкуренты'!$B$7:$B$36,"?*")),""))</f>
        <v/>
      </c>
      <c r="H70" s="2"/>
      <c r="I70" s="2" t="str">
        <f t="shared" si="1"/>
        <v/>
      </c>
      <c r="J70" s="2"/>
      <c r="K70" s="2"/>
      <c r="L70" s="2"/>
    </row>
    <row r="71" spans="1:12">
      <c r="A71" s="2" t="s">
        <v>601</v>
      </c>
      <c r="B71" s="2"/>
      <c r="C71" s="2"/>
      <c r="D71" s="2"/>
      <c r="E71" s="2"/>
      <c r="F71" s="2"/>
      <c r="G71" s="5" t="str">
        <f>IF(F71="","",IFERROR(F71/MAX(1,COUNTIF('01_Конкуренты'!$B$7:$B$36,"?*")),""))</f>
        <v/>
      </c>
      <c r="H71" s="2"/>
      <c r="I71" s="2" t="str">
        <f t="shared" ref="I71:I102" si="2">IF(B71="","",IF(OR(E71="Обязательное",E71="Линейное"),IF(G71&gt;=0.6,"Рыночный стандарт",IF(G71&gt;=0.35,"Формирующаяся норма","Проверить необходимость")),IF(E71="Привлекательное",IF(G71&lt;0.5,"Зона дифференциации","Переходит в ожидаемое"),IF(E71="Безразличное","Низкий приоритет",IF(E71="Обратное","Риск отторжения","Требует проверки")))))</f>
        <v/>
      </c>
      <c r="J71" s="2"/>
      <c r="K71" s="2"/>
      <c r="L71" s="2"/>
    </row>
    <row r="72" spans="1:12">
      <c r="A72" s="2" t="s">
        <v>602</v>
      </c>
      <c r="B72" s="2"/>
      <c r="C72" s="2"/>
      <c r="D72" s="2"/>
      <c r="E72" s="2"/>
      <c r="F72" s="2"/>
      <c r="G72" s="5" t="str">
        <f>IF(F72="","",IFERROR(F72/MAX(1,COUNTIF('01_Конкуренты'!$B$7:$B$36,"?*")),""))</f>
        <v/>
      </c>
      <c r="H72" s="2"/>
      <c r="I72" s="2" t="str">
        <f t="shared" si="2"/>
        <v/>
      </c>
      <c r="J72" s="2"/>
      <c r="K72" s="2"/>
      <c r="L72" s="2"/>
    </row>
    <row r="73" spans="1:12">
      <c r="A73" s="2" t="s">
        <v>603</v>
      </c>
      <c r="B73" s="2"/>
      <c r="C73" s="2"/>
      <c r="D73" s="2"/>
      <c r="E73" s="2"/>
      <c r="F73" s="2"/>
      <c r="G73" s="5" t="str">
        <f>IF(F73="","",IFERROR(F73/MAX(1,COUNTIF('01_Конкуренты'!$B$7:$B$36,"?*")),""))</f>
        <v/>
      </c>
      <c r="H73" s="2"/>
      <c r="I73" s="2" t="str">
        <f t="shared" si="2"/>
        <v/>
      </c>
      <c r="J73" s="2"/>
      <c r="K73" s="2"/>
      <c r="L73" s="2"/>
    </row>
    <row r="74" spans="1:12">
      <c r="A74" s="2" t="s">
        <v>604</v>
      </c>
      <c r="B74" s="2"/>
      <c r="C74" s="2"/>
      <c r="D74" s="2"/>
      <c r="E74" s="2"/>
      <c r="F74" s="2"/>
      <c r="G74" s="5" t="str">
        <f>IF(F74="","",IFERROR(F74/MAX(1,COUNTIF('01_Конкуренты'!$B$7:$B$36,"?*")),""))</f>
        <v/>
      </c>
      <c r="H74" s="2"/>
      <c r="I74" s="2" t="str">
        <f t="shared" si="2"/>
        <v/>
      </c>
      <c r="J74" s="2"/>
      <c r="K74" s="2"/>
      <c r="L74" s="2"/>
    </row>
    <row r="75" spans="1:12">
      <c r="A75" s="2" t="s">
        <v>605</v>
      </c>
      <c r="B75" s="2"/>
      <c r="C75" s="2"/>
      <c r="D75" s="2"/>
      <c r="E75" s="2"/>
      <c r="F75" s="2"/>
      <c r="G75" s="5" t="str">
        <f>IF(F75="","",IFERROR(F75/MAX(1,COUNTIF('01_Конкуренты'!$B$7:$B$36,"?*")),""))</f>
        <v/>
      </c>
      <c r="H75" s="2"/>
      <c r="I75" s="2" t="str">
        <f t="shared" si="2"/>
        <v/>
      </c>
      <c r="J75" s="2"/>
      <c r="K75" s="2"/>
      <c r="L75" s="2"/>
    </row>
    <row r="76" spans="1:12">
      <c r="A76" s="2" t="s">
        <v>606</v>
      </c>
      <c r="B76" s="2"/>
      <c r="C76" s="2"/>
      <c r="D76" s="2"/>
      <c r="E76" s="2"/>
      <c r="F76" s="2"/>
      <c r="G76" s="5" t="str">
        <f>IF(F76="","",IFERROR(F76/MAX(1,COUNTIF('01_Конкуренты'!$B$7:$B$36,"?*")),""))</f>
        <v/>
      </c>
      <c r="H76" s="2"/>
      <c r="I76" s="2" t="str">
        <f t="shared" si="2"/>
        <v/>
      </c>
      <c r="J76" s="2"/>
      <c r="K76" s="2"/>
      <c r="L76" s="2"/>
    </row>
    <row r="77" spans="1:12">
      <c r="A77" s="2" t="s">
        <v>607</v>
      </c>
      <c r="B77" s="2"/>
      <c r="C77" s="2"/>
      <c r="D77" s="2"/>
      <c r="E77" s="2"/>
      <c r="F77" s="2"/>
      <c r="G77" s="5" t="str">
        <f>IF(F77="","",IFERROR(F77/MAX(1,COUNTIF('01_Конкуренты'!$B$7:$B$36,"?*")),""))</f>
        <v/>
      </c>
      <c r="H77" s="2"/>
      <c r="I77" s="2" t="str">
        <f t="shared" si="2"/>
        <v/>
      </c>
      <c r="J77" s="2"/>
      <c r="K77" s="2"/>
      <c r="L77" s="2"/>
    </row>
    <row r="78" spans="1:12">
      <c r="A78" s="2" t="s">
        <v>608</v>
      </c>
      <c r="B78" s="2"/>
      <c r="C78" s="2"/>
      <c r="D78" s="2"/>
      <c r="E78" s="2"/>
      <c r="F78" s="2"/>
      <c r="G78" s="5" t="str">
        <f>IF(F78="","",IFERROR(F78/MAX(1,COUNTIF('01_Конкуренты'!$B$7:$B$36,"?*")),""))</f>
        <v/>
      </c>
      <c r="H78" s="2"/>
      <c r="I78" s="2" t="str">
        <f t="shared" si="2"/>
        <v/>
      </c>
      <c r="J78" s="2"/>
      <c r="K78" s="2"/>
      <c r="L78" s="2"/>
    </row>
    <row r="79" spans="1:12">
      <c r="A79" s="2" t="s">
        <v>609</v>
      </c>
      <c r="B79" s="2"/>
      <c r="C79" s="2"/>
      <c r="D79" s="2"/>
      <c r="E79" s="2"/>
      <c r="F79" s="2"/>
      <c r="G79" s="5" t="str">
        <f>IF(F79="","",IFERROR(F79/MAX(1,COUNTIF('01_Конкуренты'!$B$7:$B$36,"?*")),""))</f>
        <v/>
      </c>
      <c r="H79" s="2"/>
      <c r="I79" s="2" t="str">
        <f t="shared" si="2"/>
        <v/>
      </c>
      <c r="J79" s="2"/>
      <c r="K79" s="2"/>
      <c r="L79" s="2"/>
    </row>
    <row r="80" spans="1:12">
      <c r="A80" s="2" t="s">
        <v>610</v>
      </c>
      <c r="B80" s="2"/>
      <c r="C80" s="2"/>
      <c r="D80" s="2"/>
      <c r="E80" s="2"/>
      <c r="F80" s="2"/>
      <c r="G80" s="5" t="str">
        <f>IF(F80="","",IFERROR(F80/MAX(1,COUNTIF('01_Конкуренты'!$B$7:$B$36,"?*")),""))</f>
        <v/>
      </c>
      <c r="H80" s="2"/>
      <c r="I80" s="2" t="str">
        <f t="shared" si="2"/>
        <v/>
      </c>
      <c r="J80" s="2"/>
      <c r="K80" s="2"/>
      <c r="L80" s="2"/>
    </row>
    <row r="81" spans="1:12">
      <c r="A81" s="2" t="s">
        <v>611</v>
      </c>
      <c r="B81" s="2"/>
      <c r="C81" s="2"/>
      <c r="D81" s="2"/>
      <c r="E81" s="2"/>
      <c r="F81" s="2"/>
      <c r="G81" s="5" t="str">
        <f>IF(F81="","",IFERROR(F81/MAX(1,COUNTIF('01_Конкуренты'!$B$7:$B$36,"?*")),""))</f>
        <v/>
      </c>
      <c r="H81" s="2"/>
      <c r="I81" s="2" t="str">
        <f t="shared" si="2"/>
        <v/>
      </c>
      <c r="J81" s="2"/>
      <c r="K81" s="2"/>
      <c r="L81" s="2"/>
    </row>
    <row r="82" spans="1:12">
      <c r="A82" s="2" t="s">
        <v>612</v>
      </c>
      <c r="B82" s="2"/>
      <c r="C82" s="2"/>
      <c r="D82" s="2"/>
      <c r="E82" s="2"/>
      <c r="F82" s="2"/>
      <c r="G82" s="5" t="str">
        <f>IF(F82="","",IFERROR(F82/MAX(1,COUNTIF('01_Конкуренты'!$B$7:$B$36,"?*")),""))</f>
        <v/>
      </c>
      <c r="H82" s="2"/>
      <c r="I82" s="2" t="str">
        <f t="shared" si="2"/>
        <v/>
      </c>
      <c r="J82" s="2"/>
      <c r="K82" s="2"/>
      <c r="L82" s="2"/>
    </row>
    <row r="83" spans="1:12">
      <c r="A83" s="2" t="s">
        <v>613</v>
      </c>
      <c r="B83" s="2"/>
      <c r="C83" s="2"/>
      <c r="D83" s="2"/>
      <c r="E83" s="2"/>
      <c r="F83" s="2"/>
      <c r="G83" s="5" t="str">
        <f>IF(F83="","",IFERROR(F83/MAX(1,COUNTIF('01_Конкуренты'!$B$7:$B$36,"?*")),""))</f>
        <v/>
      </c>
      <c r="H83" s="2"/>
      <c r="I83" s="2" t="str">
        <f t="shared" si="2"/>
        <v/>
      </c>
      <c r="J83" s="2"/>
      <c r="K83" s="2"/>
      <c r="L83" s="2"/>
    </row>
    <row r="84" spans="1:12">
      <c r="A84" s="2" t="s">
        <v>614</v>
      </c>
      <c r="B84" s="2"/>
      <c r="C84" s="2"/>
      <c r="D84" s="2"/>
      <c r="E84" s="2"/>
      <c r="F84" s="2"/>
      <c r="G84" s="5" t="str">
        <f>IF(F84="","",IFERROR(F84/MAX(1,COUNTIF('01_Конкуренты'!$B$7:$B$36,"?*")),""))</f>
        <v/>
      </c>
      <c r="H84" s="2"/>
      <c r="I84" s="2" t="str">
        <f t="shared" si="2"/>
        <v/>
      </c>
      <c r="J84" s="2"/>
      <c r="K84" s="2"/>
      <c r="L84" s="2"/>
    </row>
    <row r="85" spans="1:12">
      <c r="A85" s="2" t="s">
        <v>615</v>
      </c>
      <c r="B85" s="2"/>
      <c r="C85" s="2"/>
      <c r="D85" s="2"/>
      <c r="E85" s="2"/>
      <c r="F85" s="2"/>
      <c r="G85" s="5" t="str">
        <f>IF(F85="","",IFERROR(F85/MAX(1,COUNTIF('01_Конкуренты'!$B$7:$B$36,"?*")),""))</f>
        <v/>
      </c>
      <c r="H85" s="2"/>
      <c r="I85" s="2" t="str">
        <f t="shared" si="2"/>
        <v/>
      </c>
      <c r="J85" s="2"/>
      <c r="K85" s="2"/>
      <c r="L85" s="2"/>
    </row>
    <row r="86" spans="1:12">
      <c r="A86" s="2" t="s">
        <v>616</v>
      </c>
      <c r="B86" s="2"/>
      <c r="C86" s="2"/>
      <c r="D86" s="2"/>
      <c r="E86" s="2"/>
      <c r="F86" s="2"/>
      <c r="G86" s="5" t="str">
        <f>IF(F86="","",IFERROR(F86/MAX(1,COUNTIF('01_Конкуренты'!$B$7:$B$36,"?*")),""))</f>
        <v/>
      </c>
      <c r="H86" s="2"/>
      <c r="I86" s="2" t="str">
        <f t="shared" si="2"/>
        <v/>
      </c>
      <c r="J86" s="2"/>
      <c r="K86" s="2"/>
      <c r="L86" s="2"/>
    </row>
    <row r="87" spans="1:12">
      <c r="A87" s="2" t="s">
        <v>617</v>
      </c>
      <c r="B87" s="2"/>
      <c r="C87" s="2"/>
      <c r="D87" s="2"/>
      <c r="E87" s="2"/>
      <c r="F87" s="2"/>
      <c r="G87" s="5" t="str">
        <f>IF(F87="","",IFERROR(F87/MAX(1,COUNTIF('01_Конкуренты'!$B$7:$B$36,"?*")),""))</f>
        <v/>
      </c>
      <c r="H87" s="2"/>
      <c r="I87" s="2" t="str">
        <f t="shared" si="2"/>
        <v/>
      </c>
      <c r="J87" s="2"/>
      <c r="K87" s="2"/>
      <c r="L87" s="2"/>
    </row>
    <row r="88" spans="1:12">
      <c r="A88" s="2" t="s">
        <v>618</v>
      </c>
      <c r="B88" s="2"/>
      <c r="C88" s="2"/>
      <c r="D88" s="2"/>
      <c r="E88" s="2"/>
      <c r="F88" s="2"/>
      <c r="G88" s="5" t="str">
        <f>IF(F88="","",IFERROR(F88/MAX(1,COUNTIF('01_Конкуренты'!$B$7:$B$36,"?*")),""))</f>
        <v/>
      </c>
      <c r="H88" s="2"/>
      <c r="I88" s="2" t="str">
        <f t="shared" si="2"/>
        <v/>
      </c>
      <c r="J88" s="2"/>
      <c r="K88" s="2"/>
      <c r="L88" s="2"/>
    </row>
    <row r="89" spans="1:12">
      <c r="A89" s="2" t="s">
        <v>619</v>
      </c>
      <c r="B89" s="2"/>
      <c r="C89" s="2"/>
      <c r="D89" s="2"/>
      <c r="E89" s="2"/>
      <c r="F89" s="2"/>
      <c r="G89" s="5" t="str">
        <f>IF(F89="","",IFERROR(F89/MAX(1,COUNTIF('01_Конкуренты'!$B$7:$B$36,"?*")),""))</f>
        <v/>
      </c>
      <c r="H89" s="2"/>
      <c r="I89" s="2" t="str">
        <f t="shared" si="2"/>
        <v/>
      </c>
      <c r="J89" s="2"/>
      <c r="K89" s="2"/>
      <c r="L89" s="2"/>
    </row>
    <row r="90" spans="1:12">
      <c r="A90" s="2" t="s">
        <v>620</v>
      </c>
      <c r="B90" s="2"/>
      <c r="C90" s="2"/>
      <c r="D90" s="2"/>
      <c r="E90" s="2"/>
      <c r="F90" s="2"/>
      <c r="G90" s="5" t="str">
        <f>IF(F90="","",IFERROR(F90/MAX(1,COUNTIF('01_Конкуренты'!$B$7:$B$36,"?*")),""))</f>
        <v/>
      </c>
      <c r="H90" s="2"/>
      <c r="I90" s="2" t="str">
        <f t="shared" si="2"/>
        <v/>
      </c>
      <c r="J90" s="2"/>
      <c r="K90" s="2"/>
      <c r="L90" s="2"/>
    </row>
    <row r="91" spans="1:12">
      <c r="A91" s="2" t="s">
        <v>621</v>
      </c>
      <c r="B91" s="2"/>
      <c r="C91" s="2"/>
      <c r="D91" s="2"/>
      <c r="E91" s="2"/>
      <c r="F91" s="2"/>
      <c r="G91" s="5" t="str">
        <f>IF(F91="","",IFERROR(F91/MAX(1,COUNTIF('01_Конкуренты'!$B$7:$B$36,"?*")),""))</f>
        <v/>
      </c>
      <c r="H91" s="2"/>
      <c r="I91" s="2" t="str">
        <f t="shared" si="2"/>
        <v/>
      </c>
      <c r="J91" s="2"/>
      <c r="K91" s="2"/>
      <c r="L91" s="2"/>
    </row>
    <row r="92" spans="1:12">
      <c r="A92" s="2" t="s">
        <v>622</v>
      </c>
      <c r="B92" s="2"/>
      <c r="C92" s="2"/>
      <c r="D92" s="2"/>
      <c r="E92" s="2"/>
      <c r="F92" s="2"/>
      <c r="G92" s="5" t="str">
        <f>IF(F92="","",IFERROR(F92/MAX(1,COUNTIF('01_Конкуренты'!$B$7:$B$36,"?*")),""))</f>
        <v/>
      </c>
      <c r="H92" s="2"/>
      <c r="I92" s="2" t="str">
        <f t="shared" si="2"/>
        <v/>
      </c>
      <c r="J92" s="2"/>
      <c r="K92" s="2"/>
      <c r="L92" s="2"/>
    </row>
    <row r="93" spans="1:12">
      <c r="A93" s="2" t="s">
        <v>623</v>
      </c>
      <c r="B93" s="2"/>
      <c r="C93" s="2"/>
      <c r="D93" s="2"/>
      <c r="E93" s="2"/>
      <c r="F93" s="2"/>
      <c r="G93" s="5" t="str">
        <f>IF(F93="","",IFERROR(F93/MAX(1,COUNTIF('01_Конкуренты'!$B$7:$B$36,"?*")),""))</f>
        <v/>
      </c>
      <c r="H93" s="2"/>
      <c r="I93" s="2" t="str">
        <f t="shared" si="2"/>
        <v/>
      </c>
      <c r="J93" s="2"/>
      <c r="K93" s="2"/>
      <c r="L93" s="2"/>
    </row>
    <row r="94" spans="1:12">
      <c r="A94" s="2" t="s">
        <v>624</v>
      </c>
      <c r="B94" s="2"/>
      <c r="C94" s="2"/>
      <c r="D94" s="2"/>
      <c r="E94" s="2"/>
      <c r="F94" s="2"/>
      <c r="G94" s="5" t="str">
        <f>IF(F94="","",IFERROR(F94/MAX(1,COUNTIF('01_Конкуренты'!$B$7:$B$36,"?*")),""))</f>
        <v/>
      </c>
      <c r="H94" s="2"/>
      <c r="I94" s="2" t="str">
        <f t="shared" si="2"/>
        <v/>
      </c>
      <c r="J94" s="2"/>
      <c r="K94" s="2"/>
      <c r="L94" s="2"/>
    </row>
    <row r="95" spans="1:12">
      <c r="A95" s="2" t="s">
        <v>625</v>
      </c>
      <c r="B95" s="2"/>
      <c r="C95" s="2"/>
      <c r="D95" s="2"/>
      <c r="E95" s="2"/>
      <c r="F95" s="2"/>
      <c r="G95" s="5" t="str">
        <f>IF(F95="","",IFERROR(F95/MAX(1,COUNTIF('01_Конкуренты'!$B$7:$B$36,"?*")),""))</f>
        <v/>
      </c>
      <c r="H95" s="2"/>
      <c r="I95" s="2" t="str">
        <f t="shared" si="2"/>
        <v/>
      </c>
      <c r="J95" s="2"/>
      <c r="K95" s="2"/>
      <c r="L95" s="2"/>
    </row>
    <row r="96" spans="1:12">
      <c r="A96" s="2" t="s">
        <v>626</v>
      </c>
      <c r="B96" s="2"/>
      <c r="C96" s="2"/>
      <c r="D96" s="2"/>
      <c r="E96" s="2"/>
      <c r="F96" s="2"/>
      <c r="G96" s="5" t="str">
        <f>IF(F96="","",IFERROR(F96/MAX(1,COUNTIF('01_Конкуренты'!$B$7:$B$36,"?*")),""))</f>
        <v/>
      </c>
      <c r="H96" s="2"/>
      <c r="I96" s="2" t="str">
        <f t="shared" si="2"/>
        <v/>
      </c>
      <c r="J96" s="2"/>
      <c r="K96" s="2"/>
      <c r="L96" s="2"/>
    </row>
    <row r="97" spans="1:12">
      <c r="A97" s="2" t="s">
        <v>627</v>
      </c>
      <c r="B97" s="2"/>
      <c r="C97" s="2"/>
      <c r="D97" s="2"/>
      <c r="E97" s="2"/>
      <c r="F97" s="2"/>
      <c r="G97" s="5" t="str">
        <f>IF(F97="","",IFERROR(F97/MAX(1,COUNTIF('01_Конкуренты'!$B$7:$B$36,"?*")),""))</f>
        <v/>
      </c>
      <c r="H97" s="2"/>
      <c r="I97" s="2" t="str">
        <f t="shared" si="2"/>
        <v/>
      </c>
      <c r="J97" s="2"/>
      <c r="K97" s="2"/>
      <c r="L97" s="2"/>
    </row>
    <row r="98" spans="1:12">
      <c r="A98" s="2" t="s">
        <v>628</v>
      </c>
      <c r="B98" s="2"/>
      <c r="C98" s="2"/>
      <c r="D98" s="2"/>
      <c r="E98" s="2"/>
      <c r="F98" s="2"/>
      <c r="G98" s="5" t="str">
        <f>IF(F98="","",IFERROR(F98/MAX(1,COUNTIF('01_Конкуренты'!$B$7:$B$36,"?*")),""))</f>
        <v/>
      </c>
      <c r="H98" s="2"/>
      <c r="I98" s="2" t="str">
        <f t="shared" si="2"/>
        <v/>
      </c>
      <c r="J98" s="2"/>
      <c r="K98" s="2"/>
      <c r="L98" s="2"/>
    </row>
    <row r="99" spans="1:12">
      <c r="A99" s="2" t="s">
        <v>629</v>
      </c>
      <c r="B99" s="2"/>
      <c r="C99" s="2"/>
      <c r="D99" s="2"/>
      <c r="E99" s="2"/>
      <c r="F99" s="2"/>
      <c r="G99" s="5" t="str">
        <f>IF(F99="","",IFERROR(F99/MAX(1,COUNTIF('01_Конкуренты'!$B$7:$B$36,"?*")),""))</f>
        <v/>
      </c>
      <c r="H99" s="2"/>
      <c r="I99" s="2" t="str">
        <f t="shared" si="2"/>
        <v/>
      </c>
      <c r="J99" s="2"/>
      <c r="K99" s="2"/>
      <c r="L99" s="2"/>
    </row>
    <row r="100" spans="1:12">
      <c r="A100" s="2" t="s">
        <v>630</v>
      </c>
      <c r="B100" s="2"/>
      <c r="C100" s="2"/>
      <c r="D100" s="2"/>
      <c r="E100" s="2"/>
      <c r="F100" s="2"/>
      <c r="G100" s="5" t="str">
        <f>IF(F100="","",IFERROR(F100/MAX(1,COUNTIF('01_Конкуренты'!$B$7:$B$36,"?*")),""))</f>
        <v/>
      </c>
      <c r="H100" s="2"/>
      <c r="I100" s="2" t="str">
        <f t="shared" si="2"/>
        <v/>
      </c>
      <c r="J100" s="2"/>
      <c r="K100" s="2"/>
      <c r="L100" s="2"/>
    </row>
    <row r="101" spans="1:12">
      <c r="A101" s="2" t="s">
        <v>631</v>
      </c>
      <c r="B101" s="2"/>
      <c r="C101" s="2"/>
      <c r="D101" s="2"/>
      <c r="E101" s="2"/>
      <c r="F101" s="2"/>
      <c r="G101" s="5" t="str">
        <f>IF(F101="","",IFERROR(F101/MAX(1,COUNTIF('01_Конкуренты'!$B$7:$B$36,"?*")),""))</f>
        <v/>
      </c>
      <c r="H101" s="2"/>
      <c r="I101" s="2" t="str">
        <f t="shared" si="2"/>
        <v/>
      </c>
      <c r="J101" s="2"/>
      <c r="K101" s="2"/>
      <c r="L101" s="2"/>
    </row>
    <row r="102" spans="1:12">
      <c r="A102" s="2" t="s">
        <v>632</v>
      </c>
      <c r="B102" s="2"/>
      <c r="C102" s="2"/>
      <c r="D102" s="2"/>
      <c r="E102" s="2"/>
      <c r="F102" s="2"/>
      <c r="G102" s="5" t="str">
        <f>IF(F102="","",IFERROR(F102/MAX(1,COUNTIF('01_Конкуренты'!$B$7:$B$36,"?*")),""))</f>
        <v/>
      </c>
      <c r="H102" s="2"/>
      <c r="I102" s="2" t="str">
        <f t="shared" si="2"/>
        <v/>
      </c>
      <c r="J102" s="2"/>
      <c r="K102" s="2"/>
      <c r="L102" s="2"/>
    </row>
    <row r="103" spans="1:12">
      <c r="A103" s="2" t="s">
        <v>633</v>
      </c>
      <c r="B103" s="2"/>
      <c r="C103" s="2"/>
      <c r="D103" s="2"/>
      <c r="E103" s="2"/>
      <c r="F103" s="2"/>
      <c r="G103" s="5" t="str">
        <f>IF(F103="","",IFERROR(F103/MAX(1,COUNTIF('01_Конкуренты'!$B$7:$B$36,"?*")),""))</f>
        <v/>
      </c>
      <c r="H103" s="2"/>
      <c r="I103" s="2" t="str">
        <f t="shared" ref="I103:I134" si="3">IF(B103="","",IF(OR(E103="Обязательное",E103="Линейное"),IF(G103&gt;=0.6,"Рыночный стандарт",IF(G103&gt;=0.35,"Формирующаяся норма","Проверить необходимость")),IF(E103="Привлекательное",IF(G103&lt;0.5,"Зона дифференциации","Переходит в ожидаемое"),IF(E103="Безразличное","Низкий приоритет",IF(E103="Обратное","Риск отторжения","Требует проверки")))))</f>
        <v/>
      </c>
      <c r="J103" s="2"/>
      <c r="K103" s="2"/>
      <c r="L103" s="2"/>
    </row>
    <row r="104" spans="1:12">
      <c r="A104" s="2" t="s">
        <v>634</v>
      </c>
      <c r="B104" s="2"/>
      <c r="C104" s="2"/>
      <c r="D104" s="2"/>
      <c r="E104" s="2"/>
      <c r="F104" s="2"/>
      <c r="G104" s="5" t="str">
        <f>IF(F104="","",IFERROR(F104/MAX(1,COUNTIF('01_Конкуренты'!$B$7:$B$36,"?*")),""))</f>
        <v/>
      </c>
      <c r="H104" s="2"/>
      <c r="I104" s="2" t="str">
        <f t="shared" si="3"/>
        <v/>
      </c>
      <c r="J104" s="2"/>
      <c r="K104" s="2"/>
      <c r="L104" s="2"/>
    </row>
    <row r="105" spans="1:12">
      <c r="A105" s="2" t="s">
        <v>635</v>
      </c>
      <c r="B105" s="2"/>
      <c r="C105" s="2"/>
      <c r="D105" s="2"/>
      <c r="E105" s="2"/>
      <c r="F105" s="2"/>
      <c r="G105" s="5" t="str">
        <f>IF(F105="","",IFERROR(F105/MAX(1,COUNTIF('01_Конкуренты'!$B$7:$B$36,"?*")),""))</f>
        <v/>
      </c>
      <c r="H105" s="2"/>
      <c r="I105" s="2" t="str">
        <f t="shared" si="3"/>
        <v/>
      </c>
      <c r="J105" s="2"/>
      <c r="K105" s="2"/>
      <c r="L105" s="2"/>
    </row>
    <row r="106" spans="1:12">
      <c r="A106" s="2" t="s">
        <v>636</v>
      </c>
      <c r="B106" s="2"/>
      <c r="C106" s="2"/>
      <c r="D106" s="2"/>
      <c r="E106" s="2"/>
      <c r="F106" s="2"/>
      <c r="G106" s="5" t="str">
        <f>IF(F106="","",IFERROR(F106/MAX(1,COUNTIF('01_Конкуренты'!$B$7:$B$36,"?*")),""))</f>
        <v/>
      </c>
      <c r="H106" s="2"/>
      <c r="I106" s="2" t="str">
        <f t="shared" si="3"/>
        <v/>
      </c>
      <c r="J106" s="2"/>
      <c r="K106" s="2"/>
      <c r="L106" s="2"/>
    </row>
    <row r="107" spans="1:12">
      <c r="A107" s="2" t="s">
        <v>637</v>
      </c>
      <c r="B107" s="2"/>
      <c r="C107" s="2"/>
      <c r="D107" s="2"/>
      <c r="E107" s="2"/>
      <c r="F107" s="2"/>
      <c r="G107" s="5" t="str">
        <f>IF(F107="","",IFERROR(F107/MAX(1,COUNTIF('01_Конкуренты'!$B$7:$B$36,"?*")),""))</f>
        <v/>
      </c>
      <c r="H107" s="2"/>
      <c r="I107" s="2" t="str">
        <f t="shared" si="3"/>
        <v/>
      </c>
      <c r="J107" s="2"/>
      <c r="K107" s="2"/>
      <c r="L107" s="2"/>
    </row>
    <row r="108" spans="1:12">
      <c r="A108" s="2" t="s">
        <v>638</v>
      </c>
      <c r="B108" s="2"/>
      <c r="C108" s="2"/>
      <c r="D108" s="2"/>
      <c r="E108" s="2"/>
      <c r="F108" s="2"/>
      <c r="G108" s="5" t="str">
        <f>IF(F108="","",IFERROR(F108/MAX(1,COUNTIF('01_Конкуренты'!$B$7:$B$36,"?*")),""))</f>
        <v/>
      </c>
      <c r="H108" s="2"/>
      <c r="I108" s="2" t="str">
        <f t="shared" si="3"/>
        <v/>
      </c>
      <c r="J108" s="2"/>
      <c r="K108" s="2"/>
      <c r="L108" s="2"/>
    </row>
    <row r="109" spans="1:12">
      <c r="A109" s="2" t="s">
        <v>639</v>
      </c>
      <c r="B109" s="2"/>
      <c r="C109" s="2"/>
      <c r="D109" s="2"/>
      <c r="E109" s="2"/>
      <c r="F109" s="2"/>
      <c r="G109" s="5" t="str">
        <f>IF(F109="","",IFERROR(F109/MAX(1,COUNTIF('01_Конкуренты'!$B$7:$B$36,"?*")),""))</f>
        <v/>
      </c>
      <c r="H109" s="2"/>
      <c r="I109" s="2" t="str">
        <f t="shared" si="3"/>
        <v/>
      </c>
      <c r="J109" s="2"/>
      <c r="K109" s="2"/>
      <c r="L109" s="2"/>
    </row>
    <row r="110" spans="1:12">
      <c r="A110" s="2" t="s">
        <v>640</v>
      </c>
      <c r="B110" s="2"/>
      <c r="C110" s="2"/>
      <c r="D110" s="2"/>
      <c r="E110" s="2"/>
      <c r="F110" s="2"/>
      <c r="G110" s="5" t="str">
        <f>IF(F110="","",IFERROR(F110/MAX(1,COUNTIF('01_Конкуренты'!$B$7:$B$36,"?*")),""))</f>
        <v/>
      </c>
      <c r="H110" s="2"/>
      <c r="I110" s="2" t="str">
        <f t="shared" si="3"/>
        <v/>
      </c>
      <c r="J110" s="2"/>
      <c r="K110" s="2"/>
      <c r="L110" s="2"/>
    </row>
    <row r="111" spans="1:12">
      <c r="A111" s="2" t="s">
        <v>641</v>
      </c>
      <c r="B111" s="2"/>
      <c r="C111" s="2"/>
      <c r="D111" s="2"/>
      <c r="E111" s="2"/>
      <c r="F111" s="2"/>
      <c r="G111" s="5" t="str">
        <f>IF(F111="","",IFERROR(F111/MAX(1,COUNTIF('01_Конкуренты'!$B$7:$B$36,"?*")),""))</f>
        <v/>
      </c>
      <c r="H111" s="2"/>
      <c r="I111" s="2" t="str">
        <f t="shared" si="3"/>
        <v/>
      </c>
      <c r="J111" s="2"/>
      <c r="K111" s="2"/>
      <c r="L111" s="2"/>
    </row>
    <row r="112" spans="1:12">
      <c r="A112" s="2" t="s">
        <v>642</v>
      </c>
      <c r="B112" s="2"/>
      <c r="C112" s="2"/>
      <c r="D112" s="2"/>
      <c r="E112" s="2"/>
      <c r="F112" s="2"/>
      <c r="G112" s="5" t="str">
        <f>IF(F112="","",IFERROR(F112/MAX(1,COUNTIF('01_Конкуренты'!$B$7:$B$36,"?*")),""))</f>
        <v/>
      </c>
      <c r="H112" s="2"/>
      <c r="I112" s="2" t="str">
        <f t="shared" si="3"/>
        <v/>
      </c>
      <c r="J112" s="2"/>
      <c r="K112" s="2"/>
      <c r="L112" s="2"/>
    </row>
    <row r="113" spans="1:12">
      <c r="A113" s="2" t="s">
        <v>643</v>
      </c>
      <c r="B113" s="2"/>
      <c r="C113" s="2"/>
      <c r="D113" s="2"/>
      <c r="E113" s="2"/>
      <c r="F113" s="2"/>
      <c r="G113" s="5" t="str">
        <f>IF(F113="","",IFERROR(F113/MAX(1,COUNTIF('01_Конкуренты'!$B$7:$B$36,"?*")),""))</f>
        <v/>
      </c>
      <c r="H113" s="2"/>
      <c r="I113" s="2" t="str">
        <f t="shared" si="3"/>
        <v/>
      </c>
      <c r="J113" s="2"/>
      <c r="K113" s="2"/>
      <c r="L113" s="2"/>
    </row>
    <row r="114" spans="1:12">
      <c r="A114" s="2" t="s">
        <v>644</v>
      </c>
      <c r="B114" s="2"/>
      <c r="C114" s="2"/>
      <c r="D114" s="2"/>
      <c r="E114" s="2"/>
      <c r="F114" s="2"/>
      <c r="G114" s="5" t="str">
        <f>IF(F114="","",IFERROR(F114/MAX(1,COUNTIF('01_Конкуренты'!$B$7:$B$36,"?*")),""))</f>
        <v/>
      </c>
      <c r="H114" s="2"/>
      <c r="I114" s="2" t="str">
        <f t="shared" si="3"/>
        <v/>
      </c>
      <c r="J114" s="2"/>
      <c r="K114" s="2"/>
      <c r="L114" s="2"/>
    </row>
    <row r="115" spans="1:12">
      <c r="A115" s="2" t="s">
        <v>645</v>
      </c>
      <c r="B115" s="2"/>
      <c r="C115" s="2"/>
      <c r="D115" s="2"/>
      <c r="E115" s="2"/>
      <c r="F115" s="2"/>
      <c r="G115" s="5" t="str">
        <f>IF(F115="","",IFERROR(F115/MAX(1,COUNTIF('01_Конкуренты'!$B$7:$B$36,"?*")),""))</f>
        <v/>
      </c>
      <c r="H115" s="2"/>
      <c r="I115" s="2" t="str">
        <f t="shared" si="3"/>
        <v/>
      </c>
      <c r="J115" s="2"/>
      <c r="K115" s="2"/>
      <c r="L115" s="2"/>
    </row>
    <row r="116" spans="1:12">
      <c r="A116" s="2" t="s">
        <v>646</v>
      </c>
      <c r="B116" s="2"/>
      <c r="C116" s="2"/>
      <c r="D116" s="2"/>
      <c r="E116" s="2"/>
      <c r="F116" s="2"/>
      <c r="G116" s="5" t="str">
        <f>IF(F116="","",IFERROR(F116/MAX(1,COUNTIF('01_Конкуренты'!$B$7:$B$36,"?*")),""))</f>
        <v/>
      </c>
      <c r="H116" s="2"/>
      <c r="I116" s="2" t="str">
        <f t="shared" si="3"/>
        <v/>
      </c>
      <c r="J116" s="2"/>
      <c r="K116" s="2"/>
      <c r="L116" s="2"/>
    </row>
    <row r="117" spans="1:12">
      <c r="A117" s="2" t="s">
        <v>647</v>
      </c>
      <c r="B117" s="2"/>
      <c r="C117" s="2"/>
      <c r="D117" s="2"/>
      <c r="E117" s="2"/>
      <c r="F117" s="2"/>
      <c r="G117" s="5" t="str">
        <f>IF(F117="","",IFERROR(F117/MAX(1,COUNTIF('01_Конкуренты'!$B$7:$B$36,"?*")),""))</f>
        <v/>
      </c>
      <c r="H117" s="2"/>
      <c r="I117" s="2" t="str">
        <f t="shared" si="3"/>
        <v/>
      </c>
      <c r="J117" s="2"/>
      <c r="K117" s="2"/>
      <c r="L117" s="2"/>
    </row>
    <row r="118" spans="1:12">
      <c r="A118" s="2" t="s">
        <v>648</v>
      </c>
      <c r="B118" s="2"/>
      <c r="C118" s="2"/>
      <c r="D118" s="2"/>
      <c r="E118" s="2"/>
      <c r="F118" s="2"/>
      <c r="G118" s="5" t="str">
        <f>IF(F118="","",IFERROR(F118/MAX(1,COUNTIF('01_Конкуренты'!$B$7:$B$36,"?*")),""))</f>
        <v/>
      </c>
      <c r="H118" s="2"/>
      <c r="I118" s="2" t="str">
        <f t="shared" si="3"/>
        <v/>
      </c>
      <c r="J118" s="2"/>
      <c r="K118" s="2"/>
      <c r="L118" s="2"/>
    </row>
    <row r="119" spans="1:12">
      <c r="A119" s="2" t="s">
        <v>649</v>
      </c>
      <c r="B119" s="2"/>
      <c r="C119" s="2"/>
      <c r="D119" s="2"/>
      <c r="E119" s="2"/>
      <c r="F119" s="2"/>
      <c r="G119" s="5" t="str">
        <f>IF(F119="","",IFERROR(F119/MAX(1,COUNTIF('01_Конкуренты'!$B$7:$B$36,"?*")),""))</f>
        <v/>
      </c>
      <c r="H119" s="2"/>
      <c r="I119" s="2" t="str">
        <f t="shared" si="3"/>
        <v/>
      </c>
      <c r="J119" s="2"/>
      <c r="K119" s="2"/>
      <c r="L119" s="2"/>
    </row>
    <row r="120" spans="1:12">
      <c r="A120" s="2" t="s">
        <v>650</v>
      </c>
      <c r="B120" s="2"/>
      <c r="C120" s="2"/>
      <c r="D120" s="2"/>
      <c r="E120" s="2"/>
      <c r="F120" s="2"/>
      <c r="G120" s="5" t="str">
        <f>IF(F120="","",IFERROR(F120/MAX(1,COUNTIF('01_Конкуренты'!$B$7:$B$36,"?*")),""))</f>
        <v/>
      </c>
      <c r="H120" s="2"/>
      <c r="I120" s="2" t="str">
        <f t="shared" si="3"/>
        <v/>
      </c>
      <c r="J120" s="2"/>
      <c r="K120" s="2"/>
      <c r="L120" s="2"/>
    </row>
    <row r="121" spans="1:12">
      <c r="A121" s="2" t="s">
        <v>651</v>
      </c>
      <c r="B121" s="2"/>
      <c r="C121" s="2"/>
      <c r="D121" s="2"/>
      <c r="E121" s="2"/>
      <c r="F121" s="2"/>
      <c r="G121" s="5" t="str">
        <f>IF(F121="","",IFERROR(F121/MAX(1,COUNTIF('01_Конкуренты'!$B$7:$B$36,"?*")),""))</f>
        <v/>
      </c>
      <c r="H121" s="2"/>
      <c r="I121" s="2" t="str">
        <f t="shared" si="3"/>
        <v/>
      </c>
      <c r="J121" s="2"/>
      <c r="K121" s="2"/>
      <c r="L121" s="2"/>
    </row>
    <row r="122" spans="1:12">
      <c r="A122" s="2" t="s">
        <v>652</v>
      </c>
      <c r="B122" s="2"/>
      <c r="C122" s="2"/>
      <c r="D122" s="2"/>
      <c r="E122" s="2"/>
      <c r="F122" s="2"/>
      <c r="G122" s="5" t="str">
        <f>IF(F122="","",IFERROR(F122/MAX(1,COUNTIF('01_Конкуренты'!$B$7:$B$36,"?*")),""))</f>
        <v/>
      </c>
      <c r="H122" s="2"/>
      <c r="I122" s="2" t="str">
        <f t="shared" si="3"/>
        <v/>
      </c>
      <c r="J122" s="2"/>
      <c r="K122" s="2"/>
      <c r="L122" s="2"/>
    </row>
    <row r="123" spans="1:12">
      <c r="A123" s="2" t="s">
        <v>653</v>
      </c>
      <c r="B123" s="2"/>
      <c r="C123" s="2"/>
      <c r="D123" s="2"/>
      <c r="E123" s="2"/>
      <c r="F123" s="2"/>
      <c r="G123" s="5" t="str">
        <f>IF(F123="","",IFERROR(F123/MAX(1,COUNTIF('01_Конкуренты'!$B$7:$B$36,"?*")),""))</f>
        <v/>
      </c>
      <c r="H123" s="2"/>
      <c r="I123" s="2" t="str">
        <f t="shared" si="3"/>
        <v/>
      </c>
      <c r="J123" s="2"/>
      <c r="K123" s="2"/>
      <c r="L123" s="2"/>
    </row>
    <row r="124" spans="1:12">
      <c r="A124" s="2" t="s">
        <v>654</v>
      </c>
      <c r="B124" s="2"/>
      <c r="C124" s="2"/>
      <c r="D124" s="2"/>
      <c r="E124" s="2"/>
      <c r="F124" s="2"/>
      <c r="G124" s="5" t="str">
        <f>IF(F124="","",IFERROR(F124/MAX(1,COUNTIF('01_Конкуренты'!$B$7:$B$36,"?*")),""))</f>
        <v/>
      </c>
      <c r="H124" s="2"/>
      <c r="I124" s="2" t="str">
        <f t="shared" si="3"/>
        <v/>
      </c>
      <c r="J124" s="2"/>
      <c r="K124" s="2"/>
      <c r="L124" s="2"/>
    </row>
    <row r="125" spans="1:12">
      <c r="A125" s="2" t="s">
        <v>655</v>
      </c>
      <c r="B125" s="2"/>
      <c r="C125" s="2"/>
      <c r="D125" s="2"/>
      <c r="E125" s="2"/>
      <c r="F125" s="2"/>
      <c r="G125" s="5" t="str">
        <f>IF(F125="","",IFERROR(F125/MAX(1,COUNTIF('01_Конкуренты'!$B$7:$B$36,"?*")),""))</f>
        <v/>
      </c>
      <c r="H125" s="2"/>
      <c r="I125" s="2" t="str">
        <f t="shared" si="3"/>
        <v/>
      </c>
      <c r="J125" s="2"/>
      <c r="K125" s="2"/>
      <c r="L125" s="2"/>
    </row>
    <row r="126" spans="1:12">
      <c r="A126" s="2" t="s">
        <v>656</v>
      </c>
      <c r="B126" s="2"/>
      <c r="C126" s="2"/>
      <c r="D126" s="2"/>
      <c r="E126" s="2"/>
      <c r="F126" s="2"/>
      <c r="G126" s="5" t="str">
        <f>IF(F126="","",IFERROR(F126/MAX(1,COUNTIF('01_Конкуренты'!$B$7:$B$36,"?*")),""))</f>
        <v/>
      </c>
      <c r="H126" s="2"/>
      <c r="I126" s="2" t="str">
        <f t="shared" si="3"/>
        <v/>
      </c>
      <c r="J126" s="2"/>
      <c r="K126" s="2"/>
      <c r="L126" s="2"/>
    </row>
    <row r="127" spans="1:12">
      <c r="A127" s="2" t="s">
        <v>657</v>
      </c>
      <c r="B127" s="2"/>
      <c r="C127" s="2"/>
      <c r="D127" s="2"/>
      <c r="E127" s="2"/>
      <c r="F127" s="2"/>
      <c r="G127" s="5" t="str">
        <f>IF(F127="","",IFERROR(F127/MAX(1,COUNTIF('01_Конкуренты'!$B$7:$B$36,"?*")),""))</f>
        <v/>
      </c>
      <c r="H127" s="2"/>
      <c r="I127" s="2" t="str">
        <f t="shared" si="3"/>
        <v/>
      </c>
      <c r="J127" s="2"/>
      <c r="K127" s="2"/>
      <c r="L127" s="2"/>
    </row>
    <row r="128" spans="1:12">
      <c r="A128" s="2" t="s">
        <v>658</v>
      </c>
      <c r="B128" s="2"/>
      <c r="C128" s="2"/>
      <c r="D128" s="2"/>
      <c r="E128" s="2"/>
      <c r="F128" s="2"/>
      <c r="G128" s="5" t="str">
        <f>IF(F128="","",IFERROR(F128/MAX(1,COUNTIF('01_Конкуренты'!$B$7:$B$36,"?*")),""))</f>
        <v/>
      </c>
      <c r="H128" s="2"/>
      <c r="I128" s="2" t="str">
        <f t="shared" si="3"/>
        <v/>
      </c>
      <c r="J128" s="2"/>
      <c r="K128" s="2"/>
      <c r="L128" s="2"/>
    </row>
    <row r="129" spans="1:12">
      <c r="A129" s="2" t="s">
        <v>659</v>
      </c>
      <c r="B129" s="2"/>
      <c r="C129" s="2"/>
      <c r="D129" s="2"/>
      <c r="E129" s="2"/>
      <c r="F129" s="2"/>
      <c r="G129" s="5" t="str">
        <f>IF(F129="","",IFERROR(F129/MAX(1,COUNTIF('01_Конкуренты'!$B$7:$B$36,"?*")),""))</f>
        <v/>
      </c>
      <c r="H129" s="2"/>
      <c r="I129" s="2" t="str">
        <f t="shared" si="3"/>
        <v/>
      </c>
      <c r="J129" s="2"/>
      <c r="K129" s="2"/>
      <c r="L129" s="2"/>
    </row>
    <row r="130" spans="1:12">
      <c r="A130" s="2" t="s">
        <v>660</v>
      </c>
      <c r="B130" s="2"/>
      <c r="C130" s="2"/>
      <c r="D130" s="2"/>
      <c r="E130" s="2"/>
      <c r="F130" s="2"/>
      <c r="G130" s="5" t="str">
        <f>IF(F130="","",IFERROR(F130/MAX(1,COUNTIF('01_Конкуренты'!$B$7:$B$36,"?*")),""))</f>
        <v/>
      </c>
      <c r="H130" s="2"/>
      <c r="I130" s="2" t="str">
        <f t="shared" si="3"/>
        <v/>
      </c>
      <c r="J130" s="2"/>
      <c r="K130" s="2"/>
      <c r="L130" s="2"/>
    </row>
    <row r="131" spans="1:12">
      <c r="A131" s="2" t="s">
        <v>661</v>
      </c>
      <c r="B131" s="2"/>
      <c r="C131" s="2"/>
      <c r="D131" s="2"/>
      <c r="E131" s="2"/>
      <c r="F131" s="2"/>
      <c r="G131" s="5" t="str">
        <f>IF(F131="","",IFERROR(F131/MAX(1,COUNTIF('01_Конкуренты'!$B$7:$B$36,"?*")),""))</f>
        <v/>
      </c>
      <c r="H131" s="2"/>
      <c r="I131" s="2" t="str">
        <f t="shared" si="3"/>
        <v/>
      </c>
      <c r="J131" s="2"/>
      <c r="K131" s="2"/>
      <c r="L131" s="2"/>
    </row>
    <row r="132" spans="1:12">
      <c r="A132" s="2" t="s">
        <v>662</v>
      </c>
      <c r="B132" s="2"/>
      <c r="C132" s="2"/>
      <c r="D132" s="2"/>
      <c r="E132" s="2"/>
      <c r="F132" s="2"/>
      <c r="G132" s="5" t="str">
        <f>IF(F132="","",IFERROR(F132/MAX(1,COUNTIF('01_Конкуренты'!$B$7:$B$36,"?*")),""))</f>
        <v/>
      </c>
      <c r="H132" s="2"/>
      <c r="I132" s="2" t="str">
        <f t="shared" si="3"/>
        <v/>
      </c>
      <c r="J132" s="2"/>
      <c r="K132" s="2"/>
      <c r="L132" s="2"/>
    </row>
    <row r="133" spans="1:12">
      <c r="A133" s="2" t="s">
        <v>663</v>
      </c>
      <c r="B133" s="2"/>
      <c r="C133" s="2"/>
      <c r="D133" s="2"/>
      <c r="E133" s="2"/>
      <c r="F133" s="2"/>
      <c r="G133" s="5" t="str">
        <f>IF(F133="","",IFERROR(F133/MAX(1,COUNTIF('01_Конкуренты'!$B$7:$B$36,"?*")),""))</f>
        <v/>
      </c>
      <c r="H133" s="2"/>
      <c r="I133" s="2" t="str">
        <f t="shared" si="3"/>
        <v/>
      </c>
      <c r="J133" s="2"/>
      <c r="K133" s="2"/>
      <c r="L133" s="2"/>
    </row>
    <row r="134" spans="1:12">
      <c r="A134" s="2" t="s">
        <v>664</v>
      </c>
      <c r="B134" s="2"/>
      <c r="C134" s="2"/>
      <c r="D134" s="2"/>
      <c r="E134" s="2"/>
      <c r="F134" s="2"/>
      <c r="G134" s="5" t="str">
        <f>IF(F134="","",IFERROR(F134/MAX(1,COUNTIF('01_Конкуренты'!$B$7:$B$36,"?*")),""))</f>
        <v/>
      </c>
      <c r="H134" s="2"/>
      <c r="I134" s="2" t="str">
        <f t="shared" si="3"/>
        <v/>
      </c>
      <c r="J134" s="2"/>
      <c r="K134" s="2"/>
      <c r="L134" s="2"/>
    </row>
    <row r="135" spans="1:12">
      <c r="A135" s="2" t="s">
        <v>665</v>
      </c>
      <c r="B135" s="2"/>
      <c r="C135" s="2"/>
      <c r="D135" s="2"/>
      <c r="E135" s="2"/>
      <c r="F135" s="2"/>
      <c r="G135" s="5" t="str">
        <f>IF(F135="","",IFERROR(F135/MAX(1,COUNTIF('01_Конкуренты'!$B$7:$B$36,"?*")),""))</f>
        <v/>
      </c>
      <c r="H135" s="2"/>
      <c r="I135" s="2" t="str">
        <f t="shared" ref="I135:I166" si="4">IF(B135="","",IF(OR(E135="Обязательное",E135="Линейное"),IF(G135&gt;=0.6,"Рыночный стандарт",IF(G135&gt;=0.35,"Формирующаяся норма","Проверить необходимость")),IF(E135="Привлекательное",IF(G135&lt;0.5,"Зона дифференциации","Переходит в ожидаемое"),IF(E135="Безразличное","Низкий приоритет",IF(E135="Обратное","Риск отторжения","Требует проверки")))))</f>
        <v/>
      </c>
      <c r="J135" s="2"/>
      <c r="K135" s="2"/>
      <c r="L135" s="2"/>
    </row>
    <row r="136" spans="1:12">
      <c r="A136" s="2" t="s">
        <v>666</v>
      </c>
      <c r="B136" s="2"/>
      <c r="C136" s="2"/>
      <c r="D136" s="2"/>
      <c r="E136" s="2"/>
      <c r="F136" s="2"/>
      <c r="G136" s="5" t="str">
        <f>IF(F136="","",IFERROR(F136/MAX(1,COUNTIF('01_Конкуренты'!$B$7:$B$36,"?*")),""))</f>
        <v/>
      </c>
      <c r="H136" s="2"/>
      <c r="I136" s="2" t="str">
        <f t="shared" si="4"/>
        <v/>
      </c>
      <c r="J136" s="2"/>
      <c r="K136" s="2"/>
      <c r="L136" s="2"/>
    </row>
    <row r="137" spans="1:12">
      <c r="A137" s="2" t="s">
        <v>667</v>
      </c>
      <c r="B137" s="2"/>
      <c r="C137" s="2"/>
      <c r="D137" s="2"/>
      <c r="E137" s="2"/>
      <c r="F137" s="2"/>
      <c r="G137" s="5" t="str">
        <f>IF(F137="","",IFERROR(F137/MAX(1,COUNTIF('01_Конкуренты'!$B$7:$B$36,"?*")),""))</f>
        <v/>
      </c>
      <c r="H137" s="2"/>
      <c r="I137" s="2" t="str">
        <f t="shared" si="4"/>
        <v/>
      </c>
      <c r="J137" s="2"/>
      <c r="K137" s="2"/>
      <c r="L137" s="2"/>
    </row>
    <row r="138" spans="1:12">
      <c r="A138" s="2" t="s">
        <v>668</v>
      </c>
      <c r="B138" s="2"/>
      <c r="C138" s="2"/>
      <c r="D138" s="2"/>
      <c r="E138" s="2"/>
      <c r="F138" s="2"/>
      <c r="G138" s="5" t="str">
        <f>IF(F138="","",IFERROR(F138/MAX(1,COUNTIF('01_Конкуренты'!$B$7:$B$36,"?*")),""))</f>
        <v/>
      </c>
      <c r="H138" s="2"/>
      <c r="I138" s="2" t="str">
        <f t="shared" si="4"/>
        <v/>
      </c>
      <c r="J138" s="2"/>
      <c r="K138" s="2"/>
      <c r="L138" s="2"/>
    </row>
    <row r="139" spans="1:12">
      <c r="A139" s="2" t="s">
        <v>669</v>
      </c>
      <c r="B139" s="2"/>
      <c r="C139" s="2"/>
      <c r="D139" s="2"/>
      <c r="E139" s="2"/>
      <c r="F139" s="2"/>
      <c r="G139" s="5" t="str">
        <f>IF(F139="","",IFERROR(F139/MAX(1,COUNTIF('01_Конкуренты'!$B$7:$B$36,"?*")),""))</f>
        <v/>
      </c>
      <c r="H139" s="2"/>
      <c r="I139" s="2" t="str">
        <f t="shared" si="4"/>
        <v/>
      </c>
      <c r="J139" s="2"/>
      <c r="K139" s="2"/>
      <c r="L139" s="2"/>
    </row>
    <row r="140" spans="1:12">
      <c r="A140" s="2" t="s">
        <v>670</v>
      </c>
      <c r="B140" s="2"/>
      <c r="C140" s="2"/>
      <c r="D140" s="2"/>
      <c r="E140" s="2"/>
      <c r="F140" s="2"/>
      <c r="G140" s="5" t="str">
        <f>IF(F140="","",IFERROR(F140/MAX(1,COUNTIF('01_Конкуренты'!$B$7:$B$36,"?*")),""))</f>
        <v/>
      </c>
      <c r="H140" s="2"/>
      <c r="I140" s="2" t="str">
        <f t="shared" si="4"/>
        <v/>
      </c>
      <c r="J140" s="2"/>
      <c r="K140" s="2"/>
      <c r="L140" s="2"/>
    </row>
    <row r="141" spans="1:12">
      <c r="A141" s="2" t="s">
        <v>671</v>
      </c>
      <c r="B141" s="2"/>
      <c r="C141" s="2"/>
      <c r="D141" s="2"/>
      <c r="E141" s="2"/>
      <c r="F141" s="2"/>
      <c r="G141" s="5" t="str">
        <f>IF(F141="","",IFERROR(F141/MAX(1,COUNTIF('01_Конкуренты'!$B$7:$B$36,"?*")),""))</f>
        <v/>
      </c>
      <c r="H141" s="2"/>
      <c r="I141" s="2" t="str">
        <f t="shared" si="4"/>
        <v/>
      </c>
      <c r="J141" s="2"/>
      <c r="K141" s="2"/>
      <c r="L141" s="2"/>
    </row>
    <row r="142" spans="1:12">
      <c r="A142" s="2" t="s">
        <v>672</v>
      </c>
      <c r="B142" s="2"/>
      <c r="C142" s="2"/>
      <c r="D142" s="2"/>
      <c r="E142" s="2"/>
      <c r="F142" s="2"/>
      <c r="G142" s="5" t="str">
        <f>IF(F142="","",IFERROR(F142/MAX(1,COUNTIF('01_Конкуренты'!$B$7:$B$36,"?*")),""))</f>
        <v/>
      </c>
      <c r="H142" s="2"/>
      <c r="I142" s="2" t="str">
        <f t="shared" si="4"/>
        <v/>
      </c>
      <c r="J142" s="2"/>
      <c r="K142" s="2"/>
      <c r="L142" s="2"/>
    </row>
    <row r="143" spans="1:12">
      <c r="A143" s="2" t="s">
        <v>673</v>
      </c>
      <c r="B143" s="2"/>
      <c r="C143" s="2"/>
      <c r="D143" s="2"/>
      <c r="E143" s="2"/>
      <c r="F143" s="2"/>
      <c r="G143" s="5" t="str">
        <f>IF(F143="","",IFERROR(F143/MAX(1,COUNTIF('01_Конкуренты'!$B$7:$B$36,"?*")),""))</f>
        <v/>
      </c>
      <c r="H143" s="2"/>
      <c r="I143" s="2" t="str">
        <f t="shared" si="4"/>
        <v/>
      </c>
      <c r="J143" s="2"/>
      <c r="K143" s="2"/>
      <c r="L143" s="2"/>
    </row>
    <row r="144" spans="1:12">
      <c r="A144" s="2" t="s">
        <v>674</v>
      </c>
      <c r="B144" s="2"/>
      <c r="C144" s="2"/>
      <c r="D144" s="2"/>
      <c r="E144" s="2"/>
      <c r="F144" s="2"/>
      <c r="G144" s="5" t="str">
        <f>IF(F144="","",IFERROR(F144/MAX(1,COUNTIF('01_Конкуренты'!$B$7:$B$36,"?*")),""))</f>
        <v/>
      </c>
      <c r="H144" s="2"/>
      <c r="I144" s="2" t="str">
        <f t="shared" si="4"/>
        <v/>
      </c>
      <c r="J144" s="2"/>
      <c r="K144" s="2"/>
      <c r="L144" s="2"/>
    </row>
    <row r="145" spans="1:12">
      <c r="A145" s="2" t="s">
        <v>675</v>
      </c>
      <c r="B145" s="2"/>
      <c r="C145" s="2"/>
      <c r="D145" s="2"/>
      <c r="E145" s="2"/>
      <c r="F145" s="2"/>
      <c r="G145" s="5" t="str">
        <f>IF(F145="","",IFERROR(F145/MAX(1,COUNTIF('01_Конкуренты'!$B$7:$B$36,"?*")),""))</f>
        <v/>
      </c>
      <c r="H145" s="2"/>
      <c r="I145" s="2" t="str">
        <f t="shared" si="4"/>
        <v/>
      </c>
      <c r="J145" s="2"/>
      <c r="K145" s="2"/>
      <c r="L145" s="2"/>
    </row>
    <row r="146" spans="1:12">
      <c r="A146" s="2" t="s">
        <v>676</v>
      </c>
      <c r="B146" s="2"/>
      <c r="C146" s="2"/>
      <c r="D146" s="2"/>
      <c r="E146" s="2"/>
      <c r="F146" s="2"/>
      <c r="G146" s="5" t="str">
        <f>IF(F146="","",IFERROR(F146/MAX(1,COUNTIF('01_Конкуренты'!$B$7:$B$36,"?*")),""))</f>
        <v/>
      </c>
      <c r="H146" s="2"/>
      <c r="I146" s="2" t="str">
        <f t="shared" si="4"/>
        <v/>
      </c>
      <c r="J146" s="2"/>
      <c r="K146" s="2"/>
      <c r="L146" s="2"/>
    </row>
    <row r="147" spans="1:12">
      <c r="A147" s="2" t="s">
        <v>677</v>
      </c>
      <c r="B147" s="2"/>
      <c r="C147" s="2"/>
      <c r="D147" s="2"/>
      <c r="E147" s="2"/>
      <c r="F147" s="2"/>
      <c r="G147" s="5" t="str">
        <f>IF(F147="","",IFERROR(F147/MAX(1,COUNTIF('01_Конкуренты'!$B$7:$B$36,"?*")),""))</f>
        <v/>
      </c>
      <c r="H147" s="2"/>
      <c r="I147" s="2" t="str">
        <f t="shared" si="4"/>
        <v/>
      </c>
      <c r="J147" s="2"/>
      <c r="K147" s="2"/>
      <c r="L147" s="2"/>
    </row>
    <row r="148" spans="1:12">
      <c r="A148" s="2" t="s">
        <v>678</v>
      </c>
      <c r="B148" s="2"/>
      <c r="C148" s="2"/>
      <c r="D148" s="2"/>
      <c r="E148" s="2"/>
      <c r="F148" s="2"/>
      <c r="G148" s="5" t="str">
        <f>IF(F148="","",IFERROR(F148/MAX(1,COUNTIF('01_Конкуренты'!$B$7:$B$36,"?*")),""))</f>
        <v/>
      </c>
      <c r="H148" s="2"/>
      <c r="I148" s="2" t="str">
        <f t="shared" si="4"/>
        <v/>
      </c>
      <c r="J148" s="2"/>
      <c r="K148" s="2"/>
      <c r="L148" s="2"/>
    </row>
    <row r="149" spans="1:12">
      <c r="A149" s="2" t="s">
        <v>679</v>
      </c>
      <c r="B149" s="2"/>
      <c r="C149" s="2"/>
      <c r="D149" s="2"/>
      <c r="E149" s="2"/>
      <c r="F149" s="2"/>
      <c r="G149" s="5" t="str">
        <f>IF(F149="","",IFERROR(F149/MAX(1,COUNTIF('01_Конкуренты'!$B$7:$B$36,"?*")),""))</f>
        <v/>
      </c>
      <c r="H149" s="2"/>
      <c r="I149" s="2" t="str">
        <f t="shared" si="4"/>
        <v/>
      </c>
      <c r="J149" s="2"/>
      <c r="K149" s="2"/>
      <c r="L149" s="2"/>
    </row>
    <row r="150" spans="1:12">
      <c r="A150" s="2" t="s">
        <v>680</v>
      </c>
      <c r="B150" s="2"/>
      <c r="C150" s="2"/>
      <c r="D150" s="2"/>
      <c r="E150" s="2"/>
      <c r="F150" s="2"/>
      <c r="G150" s="5" t="str">
        <f>IF(F150="","",IFERROR(F150/MAX(1,COUNTIF('01_Конкуренты'!$B$7:$B$36,"?*")),""))</f>
        <v/>
      </c>
      <c r="H150" s="2"/>
      <c r="I150" s="2" t="str">
        <f t="shared" si="4"/>
        <v/>
      </c>
      <c r="J150" s="2"/>
      <c r="K150" s="2"/>
      <c r="L150" s="2"/>
    </row>
    <row r="151" spans="1:12">
      <c r="A151" s="2" t="s">
        <v>681</v>
      </c>
      <c r="B151" s="2"/>
      <c r="C151" s="2"/>
      <c r="D151" s="2"/>
      <c r="E151" s="2"/>
      <c r="F151" s="2"/>
      <c r="G151" s="5" t="str">
        <f>IF(F151="","",IFERROR(F151/MAX(1,COUNTIF('01_Конкуренты'!$B$7:$B$36,"?*")),""))</f>
        <v/>
      </c>
      <c r="H151" s="2"/>
      <c r="I151" s="2" t="str">
        <f t="shared" si="4"/>
        <v/>
      </c>
      <c r="J151" s="2"/>
      <c r="K151" s="2"/>
      <c r="L151" s="2"/>
    </row>
    <row r="152" spans="1:12">
      <c r="A152" s="2" t="s">
        <v>682</v>
      </c>
      <c r="B152" s="2"/>
      <c r="C152" s="2"/>
      <c r="D152" s="2"/>
      <c r="E152" s="2"/>
      <c r="F152" s="2"/>
      <c r="G152" s="5" t="str">
        <f>IF(F152="","",IFERROR(F152/MAX(1,COUNTIF('01_Конкуренты'!$B$7:$B$36,"?*")),""))</f>
        <v/>
      </c>
      <c r="H152" s="2"/>
      <c r="I152" s="2" t="str">
        <f t="shared" si="4"/>
        <v/>
      </c>
      <c r="J152" s="2"/>
      <c r="K152" s="2"/>
      <c r="L152" s="2"/>
    </row>
    <row r="153" spans="1:12">
      <c r="A153" s="2" t="s">
        <v>683</v>
      </c>
      <c r="B153" s="2"/>
      <c r="C153" s="2"/>
      <c r="D153" s="2"/>
      <c r="E153" s="2"/>
      <c r="F153" s="2"/>
      <c r="G153" s="5" t="str">
        <f>IF(F153="","",IFERROR(F153/MAX(1,COUNTIF('01_Конкуренты'!$B$7:$B$36,"?*")),""))</f>
        <v/>
      </c>
      <c r="H153" s="2"/>
      <c r="I153" s="2" t="str">
        <f t="shared" si="4"/>
        <v/>
      </c>
      <c r="J153" s="2"/>
      <c r="K153" s="2"/>
      <c r="L153" s="2"/>
    </row>
    <row r="154" spans="1:12">
      <c r="A154" s="2" t="s">
        <v>684</v>
      </c>
      <c r="B154" s="2"/>
      <c r="C154" s="2"/>
      <c r="D154" s="2"/>
      <c r="E154" s="2"/>
      <c r="F154" s="2"/>
      <c r="G154" s="5" t="str">
        <f>IF(F154="","",IFERROR(F154/MAX(1,COUNTIF('01_Конкуренты'!$B$7:$B$36,"?*")),""))</f>
        <v/>
      </c>
      <c r="H154" s="2"/>
      <c r="I154" s="2" t="str">
        <f t="shared" si="4"/>
        <v/>
      </c>
      <c r="J154" s="2"/>
      <c r="K154" s="2"/>
      <c r="L154" s="2"/>
    </row>
    <row r="155" spans="1:12">
      <c r="A155" s="2" t="s">
        <v>685</v>
      </c>
      <c r="B155" s="2"/>
      <c r="C155" s="2"/>
      <c r="D155" s="2"/>
      <c r="E155" s="2"/>
      <c r="F155" s="2"/>
      <c r="G155" s="5" t="str">
        <f>IF(F155="","",IFERROR(F155/MAX(1,COUNTIF('01_Конкуренты'!$B$7:$B$36,"?*")),""))</f>
        <v/>
      </c>
      <c r="H155" s="2"/>
      <c r="I155" s="2" t="str">
        <f t="shared" si="4"/>
        <v/>
      </c>
      <c r="J155" s="2"/>
      <c r="K155" s="2"/>
      <c r="L155" s="2"/>
    </row>
    <row r="156" spans="1:12">
      <c r="A156" s="2" t="s">
        <v>686</v>
      </c>
      <c r="B156" s="2"/>
      <c r="C156" s="2"/>
      <c r="D156" s="2"/>
      <c r="E156" s="2"/>
      <c r="F156" s="2"/>
      <c r="G156" s="5" t="str">
        <f>IF(F156="","",IFERROR(F156/MAX(1,COUNTIF('01_Конкуренты'!$B$7:$B$36,"?*")),""))</f>
        <v/>
      </c>
      <c r="H156" s="2"/>
      <c r="I156" s="2" t="str">
        <f t="shared" si="4"/>
        <v/>
      </c>
      <c r="J156" s="2"/>
      <c r="K156" s="2"/>
      <c r="L156" s="2"/>
    </row>
    <row r="157" spans="1:12">
      <c r="A157" s="2" t="s">
        <v>687</v>
      </c>
      <c r="B157" s="2"/>
      <c r="C157" s="2"/>
      <c r="D157" s="2"/>
      <c r="E157" s="2"/>
      <c r="F157" s="2"/>
      <c r="G157" s="5" t="str">
        <f>IF(F157="","",IFERROR(F157/MAX(1,COUNTIF('01_Конкуренты'!$B$7:$B$36,"?*")),""))</f>
        <v/>
      </c>
      <c r="H157" s="2"/>
      <c r="I157" s="2" t="str">
        <f t="shared" si="4"/>
        <v/>
      </c>
      <c r="J157" s="2"/>
      <c r="K157" s="2"/>
      <c r="L157" s="2"/>
    </row>
    <row r="158" spans="1:12">
      <c r="A158" s="2" t="s">
        <v>688</v>
      </c>
      <c r="B158" s="2"/>
      <c r="C158" s="2"/>
      <c r="D158" s="2"/>
      <c r="E158" s="2"/>
      <c r="F158" s="2"/>
      <c r="G158" s="5" t="str">
        <f>IF(F158="","",IFERROR(F158/MAX(1,COUNTIF('01_Конкуренты'!$B$7:$B$36,"?*")),""))</f>
        <v/>
      </c>
      <c r="H158" s="2"/>
      <c r="I158" s="2" t="str">
        <f t="shared" si="4"/>
        <v/>
      </c>
      <c r="J158" s="2"/>
      <c r="K158" s="2"/>
      <c r="L158" s="2"/>
    </row>
    <row r="159" spans="1:12">
      <c r="A159" s="2" t="s">
        <v>689</v>
      </c>
      <c r="B159" s="2"/>
      <c r="C159" s="2"/>
      <c r="D159" s="2"/>
      <c r="E159" s="2"/>
      <c r="F159" s="2"/>
      <c r="G159" s="5" t="str">
        <f>IF(F159="","",IFERROR(F159/MAX(1,COUNTIF('01_Конкуренты'!$B$7:$B$36,"?*")),""))</f>
        <v/>
      </c>
      <c r="H159" s="2"/>
      <c r="I159" s="2" t="str">
        <f t="shared" si="4"/>
        <v/>
      </c>
      <c r="J159" s="2"/>
      <c r="K159" s="2"/>
      <c r="L159" s="2"/>
    </row>
    <row r="160" spans="1:12">
      <c r="A160" s="2" t="s">
        <v>690</v>
      </c>
      <c r="B160" s="2"/>
      <c r="C160" s="2"/>
      <c r="D160" s="2"/>
      <c r="E160" s="2"/>
      <c r="F160" s="2"/>
      <c r="G160" s="5" t="str">
        <f>IF(F160="","",IFERROR(F160/MAX(1,COUNTIF('01_Конкуренты'!$B$7:$B$36,"?*")),""))</f>
        <v/>
      </c>
      <c r="H160" s="2"/>
      <c r="I160" s="2" t="str">
        <f t="shared" si="4"/>
        <v/>
      </c>
      <c r="J160" s="2"/>
      <c r="K160" s="2"/>
      <c r="L160" s="2"/>
    </row>
    <row r="161" spans="1:12">
      <c r="A161" s="2" t="s">
        <v>691</v>
      </c>
      <c r="B161" s="2"/>
      <c r="C161" s="2"/>
      <c r="D161" s="2"/>
      <c r="E161" s="2"/>
      <c r="F161" s="2"/>
      <c r="G161" s="5" t="str">
        <f>IF(F161="","",IFERROR(F161/MAX(1,COUNTIF('01_Конкуренты'!$B$7:$B$36,"?*")),""))</f>
        <v/>
      </c>
      <c r="H161" s="2"/>
      <c r="I161" s="2" t="str">
        <f t="shared" si="4"/>
        <v/>
      </c>
      <c r="J161" s="2"/>
      <c r="K161" s="2"/>
      <c r="L161" s="2"/>
    </row>
    <row r="162" spans="1:12">
      <c r="A162" s="2" t="s">
        <v>692</v>
      </c>
      <c r="B162" s="2"/>
      <c r="C162" s="2"/>
      <c r="D162" s="2"/>
      <c r="E162" s="2"/>
      <c r="F162" s="2"/>
      <c r="G162" s="5" t="str">
        <f>IF(F162="","",IFERROR(F162/MAX(1,COUNTIF('01_Конкуренты'!$B$7:$B$36,"?*")),""))</f>
        <v/>
      </c>
      <c r="H162" s="2"/>
      <c r="I162" s="2" t="str">
        <f t="shared" si="4"/>
        <v/>
      </c>
      <c r="J162" s="2"/>
      <c r="K162" s="2"/>
      <c r="L162" s="2"/>
    </row>
    <row r="163" spans="1:12">
      <c r="A163" s="2" t="s">
        <v>693</v>
      </c>
      <c r="B163" s="2"/>
      <c r="C163" s="2"/>
      <c r="D163" s="2"/>
      <c r="E163" s="2"/>
      <c r="F163" s="2"/>
      <c r="G163" s="5" t="str">
        <f>IF(F163="","",IFERROR(F163/MAX(1,COUNTIF('01_Конкуренты'!$B$7:$B$36,"?*")),""))</f>
        <v/>
      </c>
      <c r="H163" s="2"/>
      <c r="I163" s="2" t="str">
        <f t="shared" si="4"/>
        <v/>
      </c>
      <c r="J163" s="2"/>
      <c r="K163" s="2"/>
      <c r="L163" s="2"/>
    </row>
    <row r="164" spans="1:12">
      <c r="A164" s="2" t="s">
        <v>694</v>
      </c>
      <c r="B164" s="2"/>
      <c r="C164" s="2"/>
      <c r="D164" s="2"/>
      <c r="E164" s="2"/>
      <c r="F164" s="2"/>
      <c r="G164" s="5" t="str">
        <f>IF(F164="","",IFERROR(F164/MAX(1,COUNTIF('01_Конкуренты'!$B$7:$B$36,"?*")),""))</f>
        <v/>
      </c>
      <c r="H164" s="2"/>
      <c r="I164" s="2" t="str">
        <f t="shared" si="4"/>
        <v/>
      </c>
      <c r="J164" s="2"/>
      <c r="K164" s="2"/>
      <c r="L164" s="2"/>
    </row>
    <row r="165" spans="1:12">
      <c r="A165" s="2" t="s">
        <v>695</v>
      </c>
      <c r="B165" s="2"/>
      <c r="C165" s="2"/>
      <c r="D165" s="2"/>
      <c r="E165" s="2"/>
      <c r="F165" s="2"/>
      <c r="G165" s="5" t="str">
        <f>IF(F165="","",IFERROR(F165/MAX(1,COUNTIF('01_Конкуренты'!$B$7:$B$36,"?*")),""))</f>
        <v/>
      </c>
      <c r="H165" s="2"/>
      <c r="I165" s="2" t="str">
        <f t="shared" si="4"/>
        <v/>
      </c>
      <c r="J165" s="2"/>
      <c r="K165" s="2"/>
      <c r="L165" s="2"/>
    </row>
    <row r="166" spans="1:12">
      <c r="A166" s="2" t="s">
        <v>696</v>
      </c>
      <c r="B166" s="2"/>
      <c r="C166" s="2"/>
      <c r="D166" s="2"/>
      <c r="E166" s="2"/>
      <c r="F166" s="2"/>
      <c r="G166" s="5" t="str">
        <f>IF(F166="","",IFERROR(F166/MAX(1,COUNTIF('01_Конкуренты'!$B$7:$B$36,"?*")),""))</f>
        <v/>
      </c>
      <c r="H166" s="2"/>
      <c r="I166" s="2" t="str">
        <f t="shared" si="4"/>
        <v/>
      </c>
      <c r="J166" s="2"/>
      <c r="K166" s="2"/>
      <c r="L166" s="2"/>
    </row>
    <row r="167" spans="1:12">
      <c r="A167" s="2" t="s">
        <v>697</v>
      </c>
      <c r="B167" s="2"/>
      <c r="C167" s="2"/>
      <c r="D167" s="2"/>
      <c r="E167" s="2"/>
      <c r="F167" s="2"/>
      <c r="G167" s="5" t="str">
        <f>IF(F167="","",IFERROR(F167/MAX(1,COUNTIF('01_Конкуренты'!$B$7:$B$36,"?*")),""))</f>
        <v/>
      </c>
      <c r="H167" s="2"/>
      <c r="I167" s="2" t="str">
        <f t="shared" ref="I167:I198" si="5">IF(B167="","",IF(OR(E167="Обязательное",E167="Линейное"),IF(G167&gt;=0.6,"Рыночный стандарт",IF(G167&gt;=0.35,"Формирующаяся норма","Проверить необходимость")),IF(E167="Привлекательное",IF(G167&lt;0.5,"Зона дифференциации","Переходит в ожидаемое"),IF(E167="Безразличное","Низкий приоритет",IF(E167="Обратное","Риск отторжения","Требует проверки")))))</f>
        <v/>
      </c>
      <c r="J167" s="2"/>
      <c r="K167" s="2"/>
      <c r="L167" s="2"/>
    </row>
    <row r="168" spans="1:12">
      <c r="A168" s="2" t="s">
        <v>698</v>
      </c>
      <c r="B168" s="2"/>
      <c r="C168" s="2"/>
      <c r="D168" s="2"/>
      <c r="E168" s="2"/>
      <c r="F168" s="2"/>
      <c r="G168" s="5" t="str">
        <f>IF(F168="","",IFERROR(F168/MAX(1,COUNTIF('01_Конкуренты'!$B$7:$B$36,"?*")),""))</f>
        <v/>
      </c>
      <c r="H168" s="2"/>
      <c r="I168" s="2" t="str">
        <f t="shared" si="5"/>
        <v/>
      </c>
      <c r="J168" s="2"/>
      <c r="K168" s="2"/>
      <c r="L168" s="2"/>
    </row>
    <row r="169" spans="1:12">
      <c r="A169" s="2" t="s">
        <v>699</v>
      </c>
      <c r="B169" s="2"/>
      <c r="C169" s="2"/>
      <c r="D169" s="2"/>
      <c r="E169" s="2"/>
      <c r="F169" s="2"/>
      <c r="G169" s="5" t="str">
        <f>IF(F169="","",IFERROR(F169/MAX(1,COUNTIF('01_Конкуренты'!$B$7:$B$36,"?*")),""))</f>
        <v/>
      </c>
      <c r="H169" s="2"/>
      <c r="I169" s="2" t="str">
        <f t="shared" si="5"/>
        <v/>
      </c>
      <c r="J169" s="2"/>
      <c r="K169" s="2"/>
      <c r="L169" s="2"/>
    </row>
    <row r="170" spans="1:12">
      <c r="A170" s="2" t="s">
        <v>700</v>
      </c>
      <c r="B170" s="2"/>
      <c r="C170" s="2"/>
      <c r="D170" s="2"/>
      <c r="E170" s="2"/>
      <c r="F170" s="2"/>
      <c r="G170" s="5" t="str">
        <f>IF(F170="","",IFERROR(F170/MAX(1,COUNTIF('01_Конкуренты'!$B$7:$B$36,"?*")),""))</f>
        <v/>
      </c>
      <c r="H170" s="2"/>
      <c r="I170" s="2" t="str">
        <f t="shared" si="5"/>
        <v/>
      </c>
      <c r="J170" s="2"/>
      <c r="K170" s="2"/>
      <c r="L170" s="2"/>
    </row>
    <row r="171" spans="1:12">
      <c r="A171" s="2" t="s">
        <v>701</v>
      </c>
      <c r="B171" s="2"/>
      <c r="C171" s="2"/>
      <c r="D171" s="2"/>
      <c r="E171" s="2"/>
      <c r="F171" s="2"/>
      <c r="G171" s="5" t="str">
        <f>IF(F171="","",IFERROR(F171/MAX(1,COUNTIF('01_Конкуренты'!$B$7:$B$36,"?*")),""))</f>
        <v/>
      </c>
      <c r="H171" s="2"/>
      <c r="I171" s="2" t="str">
        <f t="shared" si="5"/>
        <v/>
      </c>
      <c r="J171" s="2"/>
      <c r="K171" s="2"/>
      <c r="L171" s="2"/>
    </row>
    <row r="172" spans="1:12">
      <c r="A172" s="2" t="s">
        <v>702</v>
      </c>
      <c r="B172" s="2"/>
      <c r="C172" s="2"/>
      <c r="D172" s="2"/>
      <c r="E172" s="2"/>
      <c r="F172" s="2"/>
      <c r="G172" s="5" t="str">
        <f>IF(F172="","",IFERROR(F172/MAX(1,COUNTIF('01_Конкуренты'!$B$7:$B$36,"?*")),""))</f>
        <v/>
      </c>
      <c r="H172" s="2"/>
      <c r="I172" s="2" t="str">
        <f t="shared" si="5"/>
        <v/>
      </c>
      <c r="J172" s="2"/>
      <c r="K172" s="2"/>
      <c r="L172" s="2"/>
    </row>
    <row r="173" spans="1:12">
      <c r="A173" s="2" t="s">
        <v>703</v>
      </c>
      <c r="B173" s="2"/>
      <c r="C173" s="2"/>
      <c r="D173" s="2"/>
      <c r="E173" s="2"/>
      <c r="F173" s="2"/>
      <c r="G173" s="5" t="str">
        <f>IF(F173="","",IFERROR(F173/MAX(1,COUNTIF('01_Конкуренты'!$B$7:$B$36,"?*")),""))</f>
        <v/>
      </c>
      <c r="H173" s="2"/>
      <c r="I173" s="2" t="str">
        <f t="shared" si="5"/>
        <v/>
      </c>
      <c r="J173" s="2"/>
      <c r="K173" s="2"/>
      <c r="L173" s="2"/>
    </row>
    <row r="174" spans="1:12">
      <c r="A174" s="2" t="s">
        <v>704</v>
      </c>
      <c r="B174" s="2"/>
      <c r="C174" s="2"/>
      <c r="D174" s="2"/>
      <c r="E174" s="2"/>
      <c r="F174" s="2"/>
      <c r="G174" s="5" t="str">
        <f>IF(F174="","",IFERROR(F174/MAX(1,COUNTIF('01_Конкуренты'!$B$7:$B$36,"?*")),""))</f>
        <v/>
      </c>
      <c r="H174" s="2"/>
      <c r="I174" s="2" t="str">
        <f t="shared" si="5"/>
        <v/>
      </c>
      <c r="J174" s="2"/>
      <c r="K174" s="2"/>
      <c r="L174" s="2"/>
    </row>
    <row r="175" spans="1:12">
      <c r="A175" s="2" t="s">
        <v>705</v>
      </c>
      <c r="B175" s="2"/>
      <c r="C175" s="2"/>
      <c r="D175" s="2"/>
      <c r="E175" s="2"/>
      <c r="F175" s="2"/>
      <c r="G175" s="5" t="str">
        <f>IF(F175="","",IFERROR(F175/MAX(1,COUNTIF('01_Конкуренты'!$B$7:$B$36,"?*")),""))</f>
        <v/>
      </c>
      <c r="H175" s="2"/>
      <c r="I175" s="2" t="str">
        <f t="shared" si="5"/>
        <v/>
      </c>
      <c r="J175" s="2"/>
      <c r="K175" s="2"/>
      <c r="L175" s="2"/>
    </row>
    <row r="176" spans="1:12">
      <c r="A176" s="2" t="s">
        <v>706</v>
      </c>
      <c r="B176" s="2"/>
      <c r="C176" s="2"/>
      <c r="D176" s="2"/>
      <c r="E176" s="2"/>
      <c r="F176" s="2"/>
      <c r="G176" s="5" t="str">
        <f>IF(F176="","",IFERROR(F176/MAX(1,COUNTIF('01_Конкуренты'!$B$7:$B$36,"?*")),""))</f>
        <v/>
      </c>
      <c r="H176" s="2"/>
      <c r="I176" s="2" t="str">
        <f t="shared" si="5"/>
        <v/>
      </c>
      <c r="J176" s="2"/>
      <c r="K176" s="2"/>
      <c r="L176" s="2"/>
    </row>
    <row r="177" spans="1:12">
      <c r="A177" s="2" t="s">
        <v>707</v>
      </c>
      <c r="B177" s="2"/>
      <c r="C177" s="2"/>
      <c r="D177" s="2"/>
      <c r="E177" s="2"/>
      <c r="F177" s="2"/>
      <c r="G177" s="5" t="str">
        <f>IF(F177="","",IFERROR(F177/MAX(1,COUNTIF('01_Конкуренты'!$B$7:$B$36,"?*")),""))</f>
        <v/>
      </c>
      <c r="H177" s="2"/>
      <c r="I177" s="2" t="str">
        <f t="shared" si="5"/>
        <v/>
      </c>
      <c r="J177" s="2"/>
      <c r="K177" s="2"/>
      <c r="L177" s="2"/>
    </row>
    <row r="178" spans="1:12">
      <c r="A178" s="2" t="s">
        <v>708</v>
      </c>
      <c r="B178" s="2"/>
      <c r="C178" s="2"/>
      <c r="D178" s="2"/>
      <c r="E178" s="2"/>
      <c r="F178" s="2"/>
      <c r="G178" s="5" t="str">
        <f>IF(F178="","",IFERROR(F178/MAX(1,COUNTIF('01_Конкуренты'!$B$7:$B$36,"?*")),""))</f>
        <v/>
      </c>
      <c r="H178" s="2"/>
      <c r="I178" s="2" t="str">
        <f t="shared" si="5"/>
        <v/>
      </c>
      <c r="J178" s="2"/>
      <c r="K178" s="2"/>
      <c r="L178" s="2"/>
    </row>
    <row r="179" spans="1:12">
      <c r="A179" s="2" t="s">
        <v>709</v>
      </c>
      <c r="B179" s="2"/>
      <c r="C179" s="2"/>
      <c r="D179" s="2"/>
      <c r="E179" s="2"/>
      <c r="F179" s="2"/>
      <c r="G179" s="5" t="str">
        <f>IF(F179="","",IFERROR(F179/MAX(1,COUNTIF('01_Конкуренты'!$B$7:$B$36,"?*")),""))</f>
        <v/>
      </c>
      <c r="H179" s="2"/>
      <c r="I179" s="2" t="str">
        <f t="shared" si="5"/>
        <v/>
      </c>
      <c r="J179" s="2"/>
      <c r="K179" s="2"/>
      <c r="L179" s="2"/>
    </row>
    <row r="180" spans="1:12">
      <c r="A180" s="2" t="s">
        <v>710</v>
      </c>
      <c r="B180" s="2"/>
      <c r="C180" s="2"/>
      <c r="D180" s="2"/>
      <c r="E180" s="2"/>
      <c r="F180" s="2"/>
      <c r="G180" s="5" t="str">
        <f>IF(F180="","",IFERROR(F180/MAX(1,COUNTIF('01_Конкуренты'!$B$7:$B$36,"?*")),""))</f>
        <v/>
      </c>
      <c r="H180" s="2"/>
      <c r="I180" s="2" t="str">
        <f t="shared" si="5"/>
        <v/>
      </c>
      <c r="J180" s="2"/>
      <c r="K180" s="2"/>
      <c r="L180" s="2"/>
    </row>
    <row r="181" spans="1:12">
      <c r="A181" s="2" t="s">
        <v>711</v>
      </c>
      <c r="B181" s="2"/>
      <c r="C181" s="2"/>
      <c r="D181" s="2"/>
      <c r="E181" s="2"/>
      <c r="F181" s="2"/>
      <c r="G181" s="5" t="str">
        <f>IF(F181="","",IFERROR(F181/MAX(1,COUNTIF('01_Конкуренты'!$B$7:$B$36,"?*")),""))</f>
        <v/>
      </c>
      <c r="H181" s="2"/>
      <c r="I181" s="2" t="str">
        <f t="shared" si="5"/>
        <v/>
      </c>
      <c r="J181" s="2"/>
      <c r="K181" s="2"/>
      <c r="L181" s="2"/>
    </row>
    <row r="182" spans="1:12">
      <c r="A182" s="2" t="s">
        <v>712</v>
      </c>
      <c r="B182" s="2"/>
      <c r="C182" s="2"/>
      <c r="D182" s="2"/>
      <c r="E182" s="2"/>
      <c r="F182" s="2"/>
      <c r="G182" s="5" t="str">
        <f>IF(F182="","",IFERROR(F182/MAX(1,COUNTIF('01_Конкуренты'!$B$7:$B$36,"?*")),""))</f>
        <v/>
      </c>
      <c r="H182" s="2"/>
      <c r="I182" s="2" t="str">
        <f t="shared" si="5"/>
        <v/>
      </c>
      <c r="J182" s="2"/>
      <c r="K182" s="2"/>
      <c r="L182" s="2"/>
    </row>
    <row r="183" spans="1:12">
      <c r="A183" s="2" t="s">
        <v>713</v>
      </c>
      <c r="B183" s="2"/>
      <c r="C183" s="2"/>
      <c r="D183" s="2"/>
      <c r="E183" s="2"/>
      <c r="F183" s="2"/>
      <c r="G183" s="5" t="str">
        <f>IF(F183="","",IFERROR(F183/MAX(1,COUNTIF('01_Конкуренты'!$B$7:$B$36,"?*")),""))</f>
        <v/>
      </c>
      <c r="H183" s="2"/>
      <c r="I183" s="2" t="str">
        <f t="shared" si="5"/>
        <v/>
      </c>
      <c r="J183" s="2"/>
      <c r="K183" s="2"/>
      <c r="L183" s="2"/>
    </row>
    <row r="184" spans="1:12">
      <c r="A184" s="2" t="s">
        <v>714</v>
      </c>
      <c r="B184" s="2"/>
      <c r="C184" s="2"/>
      <c r="D184" s="2"/>
      <c r="E184" s="2"/>
      <c r="F184" s="2"/>
      <c r="G184" s="5" t="str">
        <f>IF(F184="","",IFERROR(F184/MAX(1,COUNTIF('01_Конкуренты'!$B$7:$B$36,"?*")),""))</f>
        <v/>
      </c>
      <c r="H184" s="2"/>
      <c r="I184" s="2" t="str">
        <f t="shared" si="5"/>
        <v/>
      </c>
      <c r="J184" s="2"/>
      <c r="K184" s="2"/>
      <c r="L184" s="2"/>
    </row>
    <row r="185" spans="1:12">
      <c r="A185" s="2" t="s">
        <v>715</v>
      </c>
      <c r="B185" s="2"/>
      <c r="C185" s="2"/>
      <c r="D185" s="2"/>
      <c r="E185" s="2"/>
      <c r="F185" s="2"/>
      <c r="G185" s="5" t="str">
        <f>IF(F185="","",IFERROR(F185/MAX(1,COUNTIF('01_Конкуренты'!$B$7:$B$36,"?*")),""))</f>
        <v/>
      </c>
      <c r="H185" s="2"/>
      <c r="I185" s="2" t="str">
        <f t="shared" si="5"/>
        <v/>
      </c>
      <c r="J185" s="2"/>
      <c r="K185" s="2"/>
      <c r="L185" s="2"/>
    </row>
    <row r="186" spans="1:12">
      <c r="A186" s="2" t="s">
        <v>716</v>
      </c>
      <c r="B186" s="2"/>
      <c r="C186" s="2"/>
      <c r="D186" s="2"/>
      <c r="E186" s="2"/>
      <c r="F186" s="2"/>
      <c r="G186" s="5" t="str">
        <f>IF(F186="","",IFERROR(F186/MAX(1,COUNTIF('01_Конкуренты'!$B$7:$B$36,"?*")),""))</f>
        <v/>
      </c>
      <c r="H186" s="2"/>
      <c r="I186" s="2" t="str">
        <f t="shared" si="5"/>
        <v/>
      </c>
      <c r="J186" s="2"/>
      <c r="K186" s="2"/>
      <c r="L186" s="2"/>
    </row>
    <row r="187" spans="1:12">
      <c r="A187" s="2" t="s">
        <v>717</v>
      </c>
      <c r="B187" s="2"/>
      <c r="C187" s="2"/>
      <c r="D187" s="2"/>
      <c r="E187" s="2"/>
      <c r="F187" s="2"/>
      <c r="G187" s="5" t="str">
        <f>IF(F187="","",IFERROR(F187/MAX(1,COUNTIF('01_Конкуренты'!$B$7:$B$36,"?*")),""))</f>
        <v/>
      </c>
      <c r="H187" s="2"/>
      <c r="I187" s="2" t="str">
        <f t="shared" si="5"/>
        <v/>
      </c>
      <c r="J187" s="2"/>
      <c r="K187" s="2"/>
      <c r="L187" s="2"/>
    </row>
    <row r="188" spans="1:12">
      <c r="A188" s="2" t="s">
        <v>718</v>
      </c>
      <c r="B188" s="2"/>
      <c r="C188" s="2"/>
      <c r="D188" s="2"/>
      <c r="E188" s="2"/>
      <c r="F188" s="2"/>
      <c r="G188" s="5" t="str">
        <f>IF(F188="","",IFERROR(F188/MAX(1,COUNTIF('01_Конкуренты'!$B$7:$B$36,"?*")),""))</f>
        <v/>
      </c>
      <c r="H188" s="2"/>
      <c r="I188" s="2" t="str">
        <f t="shared" si="5"/>
        <v/>
      </c>
      <c r="J188" s="2"/>
      <c r="K188" s="2"/>
      <c r="L188" s="2"/>
    </row>
    <row r="189" spans="1:12">
      <c r="A189" s="2" t="s">
        <v>719</v>
      </c>
      <c r="B189" s="2"/>
      <c r="C189" s="2"/>
      <c r="D189" s="2"/>
      <c r="E189" s="2"/>
      <c r="F189" s="2"/>
      <c r="G189" s="5" t="str">
        <f>IF(F189="","",IFERROR(F189/MAX(1,COUNTIF('01_Конкуренты'!$B$7:$B$36,"?*")),""))</f>
        <v/>
      </c>
      <c r="H189" s="2"/>
      <c r="I189" s="2" t="str">
        <f t="shared" si="5"/>
        <v/>
      </c>
      <c r="J189" s="2"/>
      <c r="K189" s="2"/>
      <c r="L189" s="2"/>
    </row>
    <row r="190" spans="1:12">
      <c r="A190" s="2" t="s">
        <v>720</v>
      </c>
      <c r="B190" s="2"/>
      <c r="C190" s="2"/>
      <c r="D190" s="2"/>
      <c r="E190" s="2"/>
      <c r="F190" s="2"/>
      <c r="G190" s="5" t="str">
        <f>IF(F190="","",IFERROR(F190/MAX(1,COUNTIF('01_Конкуренты'!$B$7:$B$36,"?*")),""))</f>
        <v/>
      </c>
      <c r="H190" s="2"/>
      <c r="I190" s="2" t="str">
        <f t="shared" si="5"/>
        <v/>
      </c>
      <c r="J190" s="2"/>
      <c r="K190" s="2"/>
      <c r="L190" s="2"/>
    </row>
    <row r="191" spans="1:12">
      <c r="A191" s="2" t="s">
        <v>721</v>
      </c>
      <c r="B191" s="2"/>
      <c r="C191" s="2"/>
      <c r="D191" s="2"/>
      <c r="E191" s="2"/>
      <c r="F191" s="2"/>
      <c r="G191" s="5" t="str">
        <f>IF(F191="","",IFERROR(F191/MAX(1,COUNTIF('01_Конкуренты'!$B$7:$B$36,"?*")),""))</f>
        <v/>
      </c>
      <c r="H191" s="2"/>
      <c r="I191" s="2" t="str">
        <f t="shared" si="5"/>
        <v/>
      </c>
      <c r="J191" s="2"/>
      <c r="K191" s="2"/>
      <c r="L191" s="2"/>
    </row>
    <row r="192" spans="1:12">
      <c r="A192" s="2" t="s">
        <v>722</v>
      </c>
      <c r="B192" s="2"/>
      <c r="C192" s="2"/>
      <c r="D192" s="2"/>
      <c r="E192" s="2"/>
      <c r="F192" s="2"/>
      <c r="G192" s="5" t="str">
        <f>IF(F192="","",IFERROR(F192/MAX(1,COUNTIF('01_Конкуренты'!$B$7:$B$36,"?*")),""))</f>
        <v/>
      </c>
      <c r="H192" s="2"/>
      <c r="I192" s="2" t="str">
        <f t="shared" si="5"/>
        <v/>
      </c>
      <c r="J192" s="2"/>
      <c r="K192" s="2"/>
      <c r="L192" s="2"/>
    </row>
    <row r="193" spans="1:12">
      <c r="A193" s="2" t="s">
        <v>723</v>
      </c>
      <c r="B193" s="2"/>
      <c r="C193" s="2"/>
      <c r="D193" s="2"/>
      <c r="E193" s="2"/>
      <c r="F193" s="2"/>
      <c r="G193" s="5" t="str">
        <f>IF(F193="","",IFERROR(F193/MAX(1,COUNTIF('01_Конкуренты'!$B$7:$B$36,"?*")),""))</f>
        <v/>
      </c>
      <c r="H193" s="2"/>
      <c r="I193" s="2" t="str">
        <f t="shared" si="5"/>
        <v/>
      </c>
      <c r="J193" s="2"/>
      <c r="K193" s="2"/>
      <c r="L193" s="2"/>
    </row>
    <row r="194" spans="1:12">
      <c r="A194" s="2" t="s">
        <v>724</v>
      </c>
      <c r="B194" s="2"/>
      <c r="C194" s="2"/>
      <c r="D194" s="2"/>
      <c r="E194" s="2"/>
      <c r="F194" s="2"/>
      <c r="G194" s="5" t="str">
        <f>IF(F194="","",IFERROR(F194/MAX(1,COUNTIF('01_Конкуренты'!$B$7:$B$36,"?*")),""))</f>
        <v/>
      </c>
      <c r="H194" s="2"/>
      <c r="I194" s="2" t="str">
        <f t="shared" si="5"/>
        <v/>
      </c>
      <c r="J194" s="2"/>
      <c r="K194" s="2"/>
      <c r="L194" s="2"/>
    </row>
    <row r="195" spans="1:12">
      <c r="A195" s="2" t="s">
        <v>725</v>
      </c>
      <c r="B195" s="2"/>
      <c r="C195" s="2"/>
      <c r="D195" s="2"/>
      <c r="E195" s="2"/>
      <c r="F195" s="2"/>
      <c r="G195" s="5" t="str">
        <f>IF(F195="","",IFERROR(F195/MAX(1,COUNTIF('01_Конкуренты'!$B$7:$B$36,"?*")),""))</f>
        <v/>
      </c>
      <c r="H195" s="2"/>
      <c r="I195" s="2" t="str">
        <f t="shared" si="5"/>
        <v/>
      </c>
      <c r="J195" s="2"/>
      <c r="K195" s="2"/>
      <c r="L195" s="2"/>
    </row>
    <row r="196" spans="1:12">
      <c r="A196" s="2" t="s">
        <v>726</v>
      </c>
      <c r="B196" s="2"/>
      <c r="C196" s="2"/>
      <c r="D196" s="2"/>
      <c r="E196" s="2"/>
      <c r="F196" s="2"/>
      <c r="G196" s="5" t="str">
        <f>IF(F196="","",IFERROR(F196/MAX(1,COUNTIF('01_Конкуренты'!$B$7:$B$36,"?*")),""))</f>
        <v/>
      </c>
      <c r="H196" s="2"/>
      <c r="I196" s="2" t="str">
        <f t="shared" si="5"/>
        <v/>
      </c>
      <c r="J196" s="2"/>
      <c r="K196" s="2"/>
      <c r="L196" s="2"/>
    </row>
    <row r="197" spans="1:12">
      <c r="A197" s="2" t="s">
        <v>727</v>
      </c>
      <c r="B197" s="2"/>
      <c r="C197" s="2"/>
      <c r="D197" s="2"/>
      <c r="E197" s="2"/>
      <c r="F197" s="2"/>
      <c r="G197" s="5" t="str">
        <f>IF(F197="","",IFERROR(F197/MAX(1,COUNTIF('01_Конкуренты'!$B$7:$B$36,"?*")),""))</f>
        <v/>
      </c>
      <c r="H197" s="2"/>
      <c r="I197" s="2" t="str">
        <f t="shared" si="5"/>
        <v/>
      </c>
      <c r="J197" s="2"/>
      <c r="K197" s="2"/>
      <c r="L197" s="2"/>
    </row>
    <row r="198" spans="1:12">
      <c r="A198" s="2" t="s">
        <v>728</v>
      </c>
      <c r="B198" s="2"/>
      <c r="C198" s="2"/>
      <c r="D198" s="2"/>
      <c r="E198" s="2"/>
      <c r="F198" s="2"/>
      <c r="G198" s="5" t="str">
        <f>IF(F198="","",IFERROR(F198/MAX(1,COUNTIF('01_Конкуренты'!$B$7:$B$36,"?*")),""))</f>
        <v/>
      </c>
      <c r="H198" s="2"/>
      <c r="I198" s="2" t="str">
        <f t="shared" si="5"/>
        <v/>
      </c>
      <c r="J198" s="2"/>
      <c r="K198" s="2"/>
      <c r="L198" s="2"/>
    </row>
    <row r="199" spans="1:12">
      <c r="A199" s="2" t="s">
        <v>729</v>
      </c>
      <c r="B199" s="2"/>
      <c r="C199" s="2"/>
      <c r="D199" s="2"/>
      <c r="E199" s="2"/>
      <c r="F199" s="2"/>
      <c r="G199" s="5" t="str">
        <f>IF(F199="","",IFERROR(F199/MAX(1,COUNTIF('01_Конкуренты'!$B$7:$B$36,"?*")),""))</f>
        <v/>
      </c>
      <c r="H199" s="2"/>
      <c r="I199" s="2" t="str">
        <f t="shared" ref="I199:I206" si="6">IF(B199="","",IF(OR(E199="Обязательное",E199="Линейное"),IF(G199&gt;=0.6,"Рыночный стандарт",IF(G199&gt;=0.35,"Формирующаяся норма","Проверить необходимость")),IF(E199="Привлекательное",IF(G199&lt;0.5,"Зона дифференциации","Переходит в ожидаемое"),IF(E199="Безразличное","Низкий приоритет",IF(E199="Обратное","Риск отторжения","Требует проверки")))))</f>
        <v/>
      </c>
      <c r="J199" s="2"/>
      <c r="K199" s="2"/>
      <c r="L199" s="2"/>
    </row>
    <row r="200" spans="1:12">
      <c r="A200" s="2" t="s">
        <v>730</v>
      </c>
      <c r="B200" s="2"/>
      <c r="C200" s="2"/>
      <c r="D200" s="2"/>
      <c r="E200" s="2"/>
      <c r="F200" s="2"/>
      <c r="G200" s="5" t="str">
        <f>IF(F200="","",IFERROR(F200/MAX(1,COUNTIF('01_Конкуренты'!$B$7:$B$36,"?*")),""))</f>
        <v/>
      </c>
      <c r="H200" s="2"/>
      <c r="I200" s="2" t="str">
        <f t="shared" si="6"/>
        <v/>
      </c>
      <c r="J200" s="2"/>
      <c r="K200" s="2"/>
      <c r="L200" s="2"/>
    </row>
    <row r="201" spans="1:12">
      <c r="A201" s="2" t="s">
        <v>731</v>
      </c>
      <c r="B201" s="2"/>
      <c r="C201" s="2"/>
      <c r="D201" s="2"/>
      <c r="E201" s="2"/>
      <c r="F201" s="2"/>
      <c r="G201" s="5" t="str">
        <f>IF(F201="","",IFERROR(F201/MAX(1,COUNTIF('01_Конкуренты'!$B$7:$B$36,"?*")),""))</f>
        <v/>
      </c>
      <c r="H201" s="2"/>
      <c r="I201" s="2" t="str">
        <f t="shared" si="6"/>
        <v/>
      </c>
      <c r="J201" s="2"/>
      <c r="K201" s="2"/>
      <c r="L201" s="2"/>
    </row>
    <row r="202" spans="1:12">
      <c r="A202" s="2" t="s">
        <v>732</v>
      </c>
      <c r="B202" s="2"/>
      <c r="C202" s="2"/>
      <c r="D202" s="2"/>
      <c r="E202" s="2"/>
      <c r="F202" s="2"/>
      <c r="G202" s="5" t="str">
        <f>IF(F202="","",IFERROR(F202/MAX(1,COUNTIF('01_Конкуренты'!$B$7:$B$36,"?*")),""))</f>
        <v/>
      </c>
      <c r="H202" s="2"/>
      <c r="I202" s="2" t="str">
        <f t="shared" si="6"/>
        <v/>
      </c>
      <c r="J202" s="2"/>
      <c r="K202" s="2"/>
      <c r="L202" s="2"/>
    </row>
    <row r="203" spans="1:12">
      <c r="A203" s="2" t="s">
        <v>733</v>
      </c>
      <c r="B203" s="2"/>
      <c r="C203" s="2"/>
      <c r="D203" s="2"/>
      <c r="E203" s="2"/>
      <c r="F203" s="2"/>
      <c r="G203" s="5" t="str">
        <f>IF(F203="","",IFERROR(F203/MAX(1,COUNTIF('01_Конкуренты'!$B$7:$B$36,"?*")),""))</f>
        <v/>
      </c>
      <c r="H203" s="2"/>
      <c r="I203" s="2" t="str">
        <f t="shared" si="6"/>
        <v/>
      </c>
      <c r="J203" s="2"/>
      <c r="K203" s="2"/>
      <c r="L203" s="2"/>
    </row>
    <row r="204" spans="1:12">
      <c r="A204" s="2" t="s">
        <v>734</v>
      </c>
      <c r="B204" s="2"/>
      <c r="C204" s="2"/>
      <c r="D204" s="2"/>
      <c r="E204" s="2"/>
      <c r="F204" s="2"/>
      <c r="G204" s="5" t="str">
        <f>IF(F204="","",IFERROR(F204/MAX(1,COUNTIF('01_Конкуренты'!$B$7:$B$36,"?*")),""))</f>
        <v/>
      </c>
      <c r="H204" s="2"/>
      <c r="I204" s="2" t="str">
        <f t="shared" si="6"/>
        <v/>
      </c>
      <c r="J204" s="2"/>
      <c r="K204" s="2"/>
      <c r="L204" s="2"/>
    </row>
    <row r="205" spans="1:12">
      <c r="A205" s="2" t="s">
        <v>735</v>
      </c>
      <c r="B205" s="2"/>
      <c r="C205" s="2"/>
      <c r="D205" s="2"/>
      <c r="E205" s="2"/>
      <c r="F205" s="2"/>
      <c r="G205" s="5" t="str">
        <f>IF(F205="","",IFERROR(F205/MAX(1,COUNTIF('01_Конкуренты'!$B$7:$B$36,"?*")),""))</f>
        <v/>
      </c>
      <c r="H205" s="2"/>
      <c r="I205" s="2" t="str">
        <f t="shared" si="6"/>
        <v/>
      </c>
      <c r="J205" s="2"/>
      <c r="K205" s="2"/>
      <c r="L205" s="2"/>
    </row>
    <row r="206" spans="1:12">
      <c r="A206" s="2" t="s">
        <v>736</v>
      </c>
      <c r="B206" s="2"/>
      <c r="C206" s="2"/>
      <c r="D206" s="2"/>
      <c r="E206" s="2"/>
      <c r="F206" s="2"/>
      <c r="G206" s="5" t="str">
        <f>IF(F206="","",IFERROR(F206/MAX(1,COUNTIF('01_Конкуренты'!$B$7:$B$36,"?*")),""))</f>
        <v/>
      </c>
      <c r="H206" s="2"/>
      <c r="I206" s="2" t="str">
        <f t="shared" si="6"/>
        <v/>
      </c>
      <c r="J206" s="2"/>
      <c r="K206" s="2"/>
      <c r="L206" s="2"/>
    </row>
  </sheetData>
  <mergeCells count="2">
    <mergeCell ref="A1:L1"/>
    <mergeCell ref="A2:L2"/>
  </mergeCells>
  <conditionalFormatting sqref="G7:G206">
    <cfRule type="dataBar" priority="1">
      <dataBar>
        <cfvo type="min"/>
        <cfvo type="max"/>
        <color rgb="FF34D399"/>
      </dataBar>
    </cfRule>
  </conditionalFormatting>
  <conditionalFormatting sqref="G7:G206">
    <cfRule type="dataBar" priority="2">
      <dataBar>
        <cfvo type="min"/>
        <cfvo type="max"/>
        <color rgb="FF34D399"/>
      </dataBar>
      <extLst>
        <ext xmlns:x14="http://schemas.microsoft.com/office/spreadsheetml/2009/9/main" uri="{B025F937-C7B1-47D3-B67F-A62EFF666E3E}">
          <x14:id>{B144901E-EEF7-CD91-6EF2-5554ADE5D379}</x14:id>
        </ext>
      </extLst>
    </cfRule>
  </conditionalFormatting>
  <dataValidations count="3">
    <dataValidation type="list" sqref="D7:D206" xr:uid="{00000000-0002-0000-0700-000000000000}">
      <formula1>"1. Базовая выгода,2. Родовой товар,3. Ожидаемый товар,4. Расширенный товар,5. Потенциальный товар"</formula1>
    </dataValidation>
    <dataValidation type="list" sqref="E7:E206" xr:uid="{00000000-0002-0000-0700-000001000000}">
      <formula1>"Обязательное,Линейное,Привлекательное,Безразличное,Обратное,Неясное"</formula1>
    </dataValidation>
    <dataValidation type="list" sqref="H7:H206" xr:uid="{00000000-0002-0000-0700-000002000000}">
      <formula1>"0,1,2,3,4,5"</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44901E-EEF7-CD91-6EF2-5554ADE5D379}">
            <x14:dataBar>
              <x14:cfvo type="min"/>
              <x14:cfvo type="max"/>
              <x14:negativeFillColor auto="1"/>
              <x14:axisColor auto="1"/>
            </x14:dataBar>
          </x14:cfRule>
          <xm:sqref>G7:G206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06"/>
  <sheetViews>
    <sheetView workbookViewId="0"/>
  </sheetViews>
  <sheetFormatPr defaultRowHeight="13.5"/>
  <cols>
    <col min="1" max="1" width="10" customWidth="1"/>
    <col min="2" max="2" width="12" customWidth="1"/>
    <col min="3" max="3" width="34" customWidth="1"/>
    <col min="4" max="4" width="42" customWidth="1"/>
    <col min="5" max="5" width="28" customWidth="1"/>
    <col min="6" max="6" width="20" customWidth="1"/>
    <col min="7" max="7" width="26" customWidth="1"/>
    <col min="8" max="11" width="16" customWidth="1"/>
    <col min="12" max="12" width="18" customWidth="1"/>
    <col min="13" max="13" width="26" customWidth="1"/>
    <col min="14" max="14" width="44" customWidth="1"/>
  </cols>
  <sheetData>
    <row r="1" spans="1:14" ht="16.05" customHeight="1">
      <c r="A1" s="12" t="s">
        <v>737</v>
      </c>
      <c r="B1" s="13"/>
      <c r="C1" s="13"/>
      <c r="D1" s="13"/>
      <c r="E1" s="13"/>
      <c r="F1" s="13"/>
      <c r="G1" s="13"/>
      <c r="H1" s="13"/>
      <c r="I1" s="13"/>
      <c r="J1" s="13"/>
      <c r="K1" s="13"/>
      <c r="L1" s="13"/>
      <c r="M1" s="13"/>
      <c r="N1" s="13"/>
    </row>
    <row r="2" spans="1:14" ht="21" customHeight="1">
      <c r="A2" s="14" t="s">
        <v>738</v>
      </c>
      <c r="B2" s="14"/>
      <c r="C2" s="14"/>
      <c r="D2" s="14"/>
      <c r="E2" s="14"/>
      <c r="F2" s="14"/>
      <c r="G2" s="14"/>
      <c r="H2" s="14"/>
      <c r="I2" s="14"/>
      <c r="J2" s="14"/>
      <c r="K2" s="14"/>
      <c r="L2" s="14"/>
      <c r="M2" s="14"/>
      <c r="N2" s="14"/>
    </row>
    <row r="6" spans="1:14" ht="17" customHeight="1">
      <c r="A6" s="1" t="s">
        <v>70</v>
      </c>
      <c r="B6" s="1" t="s">
        <v>114</v>
      </c>
      <c r="C6" s="1" t="s">
        <v>739</v>
      </c>
      <c r="D6" s="1" t="s">
        <v>740</v>
      </c>
      <c r="E6" s="1" t="s">
        <v>532</v>
      </c>
      <c r="F6" s="1" t="s">
        <v>145</v>
      </c>
      <c r="G6" s="1" t="s">
        <v>741</v>
      </c>
      <c r="H6" s="1" t="s">
        <v>742</v>
      </c>
      <c r="I6" s="1" t="s">
        <v>743</v>
      </c>
      <c r="J6" s="1" t="s">
        <v>744</v>
      </c>
      <c r="K6" s="1" t="s">
        <v>745</v>
      </c>
      <c r="L6" s="1" t="s">
        <v>746</v>
      </c>
      <c r="M6" s="1" t="s">
        <v>747</v>
      </c>
      <c r="N6" s="1" t="s">
        <v>748</v>
      </c>
    </row>
    <row r="7" spans="1:14" ht="38.25">
      <c r="A7" s="2" t="s">
        <v>749</v>
      </c>
      <c r="B7" s="2" t="s">
        <v>88</v>
      </c>
      <c r="C7" s="2" t="s">
        <v>1480</v>
      </c>
      <c r="D7" s="2" t="s">
        <v>1481</v>
      </c>
      <c r="E7" s="2" t="s">
        <v>387</v>
      </c>
      <c r="F7" s="2" t="s">
        <v>394</v>
      </c>
      <c r="G7" s="2" t="s">
        <v>1005</v>
      </c>
      <c r="H7" s="2">
        <v>4</v>
      </c>
      <c r="I7" s="2">
        <v>5</v>
      </c>
      <c r="J7" s="2">
        <v>4</v>
      </c>
      <c r="K7" s="2">
        <v>5</v>
      </c>
      <c r="L7" s="2">
        <f t="shared" ref="L7:L38" si="0">IF(OR(H7="",I7="",J7="",K7=""),"",ROUND(H7*0.25+I7*0.25+J7*0.3+K7*0.2,2))</f>
        <v>4.45</v>
      </c>
      <c r="M7" s="2" t="str">
        <f t="shared" ref="M7:M38" si="1">IF(L7="","",IF(L7&gt;=4.2,"Сильное преимущество",IF(L7&gt;=3.4,"Потенциальное преимущество",IF(L7&gt;=2.5,"Слабое преимущество","Не считать преимуществом"))))</f>
        <v>Сильное преимущество</v>
      </c>
      <c r="N7" s="2"/>
    </row>
    <row r="8" spans="1:14" ht="38.25">
      <c r="A8" s="2" t="s">
        <v>750</v>
      </c>
      <c r="B8" s="2" t="s">
        <v>85</v>
      </c>
      <c r="C8" s="2" t="s">
        <v>1482</v>
      </c>
      <c r="D8" s="2" t="s">
        <v>1483</v>
      </c>
      <c r="E8" s="2" t="s">
        <v>387</v>
      </c>
      <c r="F8" s="2" t="s">
        <v>394</v>
      </c>
      <c r="G8" s="2" t="s">
        <v>1019</v>
      </c>
      <c r="H8" s="2">
        <v>5</v>
      </c>
      <c r="I8" s="2">
        <v>4</v>
      </c>
      <c r="J8" s="2">
        <v>4</v>
      </c>
      <c r="K8" s="2">
        <v>5</v>
      </c>
      <c r="L8" s="2">
        <f t="shared" si="0"/>
        <v>4.45</v>
      </c>
      <c r="M8" s="2" t="str">
        <f t="shared" si="1"/>
        <v>Сильное преимущество</v>
      </c>
      <c r="N8" s="2"/>
    </row>
    <row r="9" spans="1:14" ht="38.25">
      <c r="A9" s="2" t="s">
        <v>751</v>
      </c>
      <c r="B9" s="2" t="s">
        <v>87</v>
      </c>
      <c r="C9" s="2" t="s">
        <v>1484</v>
      </c>
      <c r="D9" s="2" t="s">
        <v>1485</v>
      </c>
      <c r="E9" s="2" t="s">
        <v>387</v>
      </c>
      <c r="F9" s="2" t="s">
        <v>371</v>
      </c>
      <c r="G9" s="2" t="s">
        <v>1013</v>
      </c>
      <c r="H9" s="2">
        <v>2</v>
      </c>
      <c r="I9" s="2">
        <v>5</v>
      </c>
      <c r="J9" s="2">
        <v>4</v>
      </c>
      <c r="K9" s="2">
        <v>5</v>
      </c>
      <c r="L9" s="2">
        <f t="shared" si="0"/>
        <v>3.95</v>
      </c>
      <c r="M9" s="2" t="str">
        <f t="shared" si="1"/>
        <v>Потенциальное преимущество</v>
      </c>
      <c r="N9" s="2"/>
    </row>
    <row r="10" spans="1:14" ht="38.25">
      <c r="A10" s="2" t="s">
        <v>752</v>
      </c>
      <c r="B10" s="2" t="s">
        <v>86</v>
      </c>
      <c r="C10" s="2" t="s">
        <v>1486</v>
      </c>
      <c r="D10" s="2" t="s">
        <v>1487</v>
      </c>
      <c r="E10" s="2" t="s">
        <v>378</v>
      </c>
      <c r="F10" s="2" t="s">
        <v>394</v>
      </c>
      <c r="G10" s="2" t="s">
        <v>1007</v>
      </c>
      <c r="H10" s="2">
        <v>3</v>
      </c>
      <c r="I10" s="2">
        <v>5</v>
      </c>
      <c r="J10" s="2">
        <v>5</v>
      </c>
      <c r="K10" s="2">
        <v>4</v>
      </c>
      <c r="L10" s="2">
        <f t="shared" si="0"/>
        <v>4.3</v>
      </c>
      <c r="M10" s="2" t="str">
        <f t="shared" si="1"/>
        <v>Сильное преимущество</v>
      </c>
      <c r="N10" s="2"/>
    </row>
    <row r="11" spans="1:14" ht="25.5">
      <c r="A11" s="2" t="s">
        <v>753</v>
      </c>
      <c r="B11" s="2" t="s">
        <v>83</v>
      </c>
      <c r="C11" s="2" t="s">
        <v>1488</v>
      </c>
      <c r="D11" s="2" t="s">
        <v>1489</v>
      </c>
      <c r="E11" s="2" t="s">
        <v>387</v>
      </c>
      <c r="F11" s="2" t="s">
        <v>394</v>
      </c>
      <c r="G11" s="2" t="s">
        <v>1017</v>
      </c>
      <c r="H11" s="2">
        <v>3</v>
      </c>
      <c r="I11" s="2">
        <v>5</v>
      </c>
      <c r="J11" s="2">
        <v>4</v>
      </c>
      <c r="K11" s="2">
        <v>5</v>
      </c>
      <c r="L11" s="2">
        <f t="shared" si="0"/>
        <v>4.2</v>
      </c>
      <c r="M11" s="2" t="str">
        <f t="shared" si="1"/>
        <v>Сильное преимущество</v>
      </c>
      <c r="N11" s="2"/>
    </row>
    <row r="12" spans="1:14" ht="25.5">
      <c r="A12" s="2" t="s">
        <v>754</v>
      </c>
      <c r="B12" s="2" t="s">
        <v>81</v>
      </c>
      <c r="C12" s="2" t="s">
        <v>1490</v>
      </c>
      <c r="D12" s="2" t="s">
        <v>1491</v>
      </c>
      <c r="E12" s="2" t="s">
        <v>374</v>
      </c>
      <c r="F12" s="2" t="s">
        <v>375</v>
      </c>
      <c r="G12" s="2" t="s">
        <v>1005</v>
      </c>
      <c r="H12" s="2">
        <v>3</v>
      </c>
      <c r="I12" s="2">
        <v>4</v>
      </c>
      <c r="J12" s="2">
        <v>4</v>
      </c>
      <c r="K12" s="2">
        <v>4</v>
      </c>
      <c r="L12" s="2">
        <f t="shared" si="0"/>
        <v>3.75</v>
      </c>
      <c r="M12" s="2" t="str">
        <f t="shared" si="1"/>
        <v>Потенциальное преимущество</v>
      </c>
      <c r="N12" s="2"/>
    </row>
    <row r="13" spans="1:14" ht="25.5">
      <c r="A13" s="2" t="s">
        <v>755</v>
      </c>
      <c r="B13" s="2" t="s">
        <v>84</v>
      </c>
      <c r="C13" s="2" t="s">
        <v>1492</v>
      </c>
      <c r="D13" s="2" t="s">
        <v>1493</v>
      </c>
      <c r="E13" s="2" t="s">
        <v>378</v>
      </c>
      <c r="F13" s="2" t="s">
        <v>394</v>
      </c>
      <c r="G13" s="2" t="s">
        <v>1007</v>
      </c>
      <c r="H13" s="2">
        <v>3</v>
      </c>
      <c r="I13" s="2">
        <v>4</v>
      </c>
      <c r="J13" s="2">
        <v>4</v>
      </c>
      <c r="K13" s="2">
        <v>5</v>
      </c>
      <c r="L13" s="2">
        <f t="shared" si="0"/>
        <v>3.95</v>
      </c>
      <c r="M13" s="2" t="str">
        <f t="shared" si="1"/>
        <v>Потенциальное преимущество</v>
      </c>
      <c r="N13" s="2"/>
    </row>
    <row r="14" spans="1:14" ht="25.5">
      <c r="A14" s="2" t="s">
        <v>756</v>
      </c>
      <c r="B14" s="2" t="s">
        <v>89</v>
      </c>
      <c r="C14" s="2" t="s">
        <v>1494</v>
      </c>
      <c r="D14" s="2" t="s">
        <v>1495</v>
      </c>
      <c r="E14" s="2" t="s">
        <v>387</v>
      </c>
      <c r="F14" s="2" t="s">
        <v>394</v>
      </c>
      <c r="G14" s="2" t="s">
        <v>1007</v>
      </c>
      <c r="H14" s="2">
        <v>3</v>
      </c>
      <c r="I14" s="2">
        <v>3</v>
      </c>
      <c r="J14" s="2">
        <v>3</v>
      </c>
      <c r="K14" s="2">
        <v>5</v>
      </c>
      <c r="L14" s="2">
        <f t="shared" si="0"/>
        <v>3.4</v>
      </c>
      <c r="M14" s="2" t="str">
        <f t="shared" si="1"/>
        <v>Потенциальное преимущество</v>
      </c>
      <c r="N14" s="2"/>
    </row>
    <row r="15" spans="1:14">
      <c r="A15" s="2" t="s">
        <v>757</v>
      </c>
      <c r="B15" s="2"/>
      <c r="C15" s="2"/>
      <c r="D15" s="2"/>
      <c r="E15" s="2"/>
      <c r="F15" s="2"/>
      <c r="G15" s="2"/>
      <c r="H15" s="2"/>
      <c r="I15" s="2"/>
      <c r="J15" s="2"/>
      <c r="K15" s="2"/>
      <c r="L15" s="2" t="str">
        <f t="shared" si="0"/>
        <v/>
      </c>
      <c r="M15" s="2" t="str">
        <f t="shared" si="1"/>
        <v/>
      </c>
      <c r="N15" s="2"/>
    </row>
    <row r="16" spans="1:14">
      <c r="A16" s="2" t="s">
        <v>758</v>
      </c>
      <c r="B16" s="2"/>
      <c r="C16" s="2"/>
      <c r="D16" s="2"/>
      <c r="E16" s="2"/>
      <c r="F16" s="2"/>
      <c r="G16" s="2"/>
      <c r="H16" s="2"/>
      <c r="I16" s="2"/>
      <c r="J16" s="2"/>
      <c r="K16" s="2"/>
      <c r="L16" s="2" t="str">
        <f t="shared" si="0"/>
        <v/>
      </c>
      <c r="M16" s="2" t="str">
        <f t="shared" si="1"/>
        <v/>
      </c>
      <c r="N16" s="2"/>
    </row>
    <row r="17" spans="1:14">
      <c r="A17" s="2" t="s">
        <v>759</v>
      </c>
      <c r="B17" s="2"/>
      <c r="C17" s="2"/>
      <c r="D17" s="2"/>
      <c r="E17" s="2"/>
      <c r="F17" s="2"/>
      <c r="G17" s="2"/>
      <c r="H17" s="2"/>
      <c r="I17" s="2"/>
      <c r="J17" s="2"/>
      <c r="K17" s="2"/>
      <c r="L17" s="2" t="str">
        <f t="shared" si="0"/>
        <v/>
      </c>
      <c r="M17" s="2" t="str">
        <f t="shared" si="1"/>
        <v/>
      </c>
      <c r="N17" s="2"/>
    </row>
    <row r="18" spans="1:14">
      <c r="A18" s="2" t="s">
        <v>760</v>
      </c>
      <c r="B18" s="2"/>
      <c r="C18" s="2"/>
      <c r="D18" s="2"/>
      <c r="E18" s="2"/>
      <c r="F18" s="2"/>
      <c r="G18" s="2"/>
      <c r="H18" s="2"/>
      <c r="I18" s="2"/>
      <c r="J18" s="2"/>
      <c r="K18" s="2"/>
      <c r="L18" s="2" t="str">
        <f t="shared" si="0"/>
        <v/>
      </c>
      <c r="M18" s="2" t="str">
        <f t="shared" si="1"/>
        <v/>
      </c>
      <c r="N18" s="2"/>
    </row>
    <row r="19" spans="1:14">
      <c r="A19" s="2" t="s">
        <v>761</v>
      </c>
      <c r="B19" s="2"/>
      <c r="C19" s="2"/>
      <c r="D19" s="2"/>
      <c r="E19" s="2"/>
      <c r="F19" s="2"/>
      <c r="G19" s="2"/>
      <c r="H19" s="2"/>
      <c r="I19" s="2"/>
      <c r="J19" s="2"/>
      <c r="K19" s="2"/>
      <c r="L19" s="2" t="str">
        <f t="shared" si="0"/>
        <v/>
      </c>
      <c r="M19" s="2" t="str">
        <f t="shared" si="1"/>
        <v/>
      </c>
      <c r="N19" s="2"/>
    </row>
    <row r="20" spans="1:14">
      <c r="A20" s="2" t="s">
        <v>762</v>
      </c>
      <c r="B20" s="2"/>
      <c r="C20" s="2"/>
      <c r="D20" s="2"/>
      <c r="E20" s="2"/>
      <c r="F20" s="2"/>
      <c r="G20" s="2"/>
      <c r="H20" s="2"/>
      <c r="I20" s="2"/>
      <c r="J20" s="2"/>
      <c r="K20" s="2"/>
      <c r="L20" s="2" t="str">
        <f t="shared" si="0"/>
        <v/>
      </c>
      <c r="M20" s="2" t="str">
        <f t="shared" si="1"/>
        <v/>
      </c>
      <c r="N20" s="2"/>
    </row>
    <row r="21" spans="1:14">
      <c r="A21" s="2" t="s">
        <v>763</v>
      </c>
      <c r="B21" s="2"/>
      <c r="C21" s="2"/>
      <c r="D21" s="2"/>
      <c r="E21" s="2"/>
      <c r="F21" s="2"/>
      <c r="G21" s="2"/>
      <c r="H21" s="2"/>
      <c r="I21" s="2"/>
      <c r="J21" s="2"/>
      <c r="K21" s="2"/>
      <c r="L21" s="2" t="str">
        <f t="shared" si="0"/>
        <v/>
      </c>
      <c r="M21" s="2" t="str">
        <f t="shared" si="1"/>
        <v/>
      </c>
      <c r="N21" s="2"/>
    </row>
    <row r="22" spans="1:14">
      <c r="A22" s="2" t="s">
        <v>764</v>
      </c>
      <c r="B22" s="2"/>
      <c r="C22" s="2"/>
      <c r="D22" s="2"/>
      <c r="E22" s="2"/>
      <c r="F22" s="2"/>
      <c r="G22" s="2"/>
      <c r="H22" s="2"/>
      <c r="I22" s="2"/>
      <c r="J22" s="2"/>
      <c r="K22" s="2"/>
      <c r="L22" s="2" t="str">
        <f t="shared" si="0"/>
        <v/>
      </c>
      <c r="M22" s="2" t="str">
        <f t="shared" si="1"/>
        <v/>
      </c>
      <c r="N22" s="2"/>
    </row>
    <row r="23" spans="1:14">
      <c r="A23" s="2" t="s">
        <v>765</v>
      </c>
      <c r="B23" s="2"/>
      <c r="C23" s="2"/>
      <c r="D23" s="2"/>
      <c r="E23" s="2"/>
      <c r="F23" s="2"/>
      <c r="G23" s="2"/>
      <c r="H23" s="2"/>
      <c r="I23" s="2"/>
      <c r="J23" s="2"/>
      <c r="K23" s="2"/>
      <c r="L23" s="2" t="str">
        <f t="shared" si="0"/>
        <v/>
      </c>
      <c r="M23" s="2" t="str">
        <f t="shared" si="1"/>
        <v/>
      </c>
      <c r="N23" s="2"/>
    </row>
    <row r="24" spans="1:14">
      <c r="A24" s="2" t="s">
        <v>766</v>
      </c>
      <c r="B24" s="2"/>
      <c r="C24" s="2"/>
      <c r="D24" s="2"/>
      <c r="E24" s="2"/>
      <c r="F24" s="2"/>
      <c r="G24" s="2"/>
      <c r="H24" s="2"/>
      <c r="I24" s="2"/>
      <c r="J24" s="2"/>
      <c r="K24" s="2"/>
      <c r="L24" s="2" t="str">
        <f t="shared" si="0"/>
        <v/>
      </c>
      <c r="M24" s="2" t="str">
        <f t="shared" si="1"/>
        <v/>
      </c>
      <c r="N24" s="2"/>
    </row>
    <row r="25" spans="1:14">
      <c r="A25" s="2" t="s">
        <v>767</v>
      </c>
      <c r="B25" s="2"/>
      <c r="C25" s="2"/>
      <c r="D25" s="2"/>
      <c r="E25" s="2"/>
      <c r="F25" s="2"/>
      <c r="G25" s="2"/>
      <c r="H25" s="2"/>
      <c r="I25" s="2"/>
      <c r="J25" s="2"/>
      <c r="K25" s="2"/>
      <c r="L25" s="2" t="str">
        <f t="shared" si="0"/>
        <v/>
      </c>
      <c r="M25" s="2" t="str">
        <f t="shared" si="1"/>
        <v/>
      </c>
      <c r="N25" s="2"/>
    </row>
    <row r="26" spans="1:14">
      <c r="A26" s="2" t="s">
        <v>768</v>
      </c>
      <c r="B26" s="2"/>
      <c r="C26" s="2"/>
      <c r="D26" s="2"/>
      <c r="E26" s="2"/>
      <c r="F26" s="2"/>
      <c r="G26" s="2"/>
      <c r="H26" s="2"/>
      <c r="I26" s="2"/>
      <c r="J26" s="2"/>
      <c r="K26" s="2"/>
      <c r="L26" s="2" t="str">
        <f t="shared" si="0"/>
        <v/>
      </c>
      <c r="M26" s="2" t="str">
        <f t="shared" si="1"/>
        <v/>
      </c>
      <c r="N26" s="2"/>
    </row>
    <row r="27" spans="1:14">
      <c r="A27" s="2" t="s">
        <v>769</v>
      </c>
      <c r="B27" s="2"/>
      <c r="C27" s="2"/>
      <c r="D27" s="2"/>
      <c r="E27" s="2"/>
      <c r="F27" s="2"/>
      <c r="G27" s="2"/>
      <c r="H27" s="2"/>
      <c r="I27" s="2"/>
      <c r="J27" s="2"/>
      <c r="K27" s="2"/>
      <c r="L27" s="2" t="str">
        <f t="shared" si="0"/>
        <v/>
      </c>
      <c r="M27" s="2" t="str">
        <f t="shared" si="1"/>
        <v/>
      </c>
      <c r="N27" s="2"/>
    </row>
    <row r="28" spans="1:14">
      <c r="A28" s="2" t="s">
        <v>770</v>
      </c>
      <c r="B28" s="2"/>
      <c r="C28" s="2"/>
      <c r="D28" s="2"/>
      <c r="E28" s="2"/>
      <c r="F28" s="2"/>
      <c r="G28" s="2"/>
      <c r="H28" s="2"/>
      <c r="I28" s="2"/>
      <c r="J28" s="2"/>
      <c r="K28" s="2"/>
      <c r="L28" s="2" t="str">
        <f t="shared" si="0"/>
        <v/>
      </c>
      <c r="M28" s="2" t="str">
        <f t="shared" si="1"/>
        <v/>
      </c>
      <c r="N28" s="2"/>
    </row>
    <row r="29" spans="1:14">
      <c r="A29" s="2" t="s">
        <v>771</v>
      </c>
      <c r="B29" s="2"/>
      <c r="C29" s="2"/>
      <c r="D29" s="2"/>
      <c r="E29" s="2"/>
      <c r="F29" s="2"/>
      <c r="G29" s="2"/>
      <c r="H29" s="2"/>
      <c r="I29" s="2"/>
      <c r="J29" s="2"/>
      <c r="K29" s="2"/>
      <c r="L29" s="2" t="str">
        <f t="shared" si="0"/>
        <v/>
      </c>
      <c r="M29" s="2" t="str">
        <f t="shared" si="1"/>
        <v/>
      </c>
      <c r="N29" s="2"/>
    </row>
    <row r="30" spans="1:14">
      <c r="A30" s="2" t="s">
        <v>772</v>
      </c>
      <c r="B30" s="2"/>
      <c r="C30" s="2"/>
      <c r="D30" s="2"/>
      <c r="E30" s="2"/>
      <c r="F30" s="2"/>
      <c r="G30" s="2"/>
      <c r="H30" s="2"/>
      <c r="I30" s="2"/>
      <c r="J30" s="2"/>
      <c r="K30" s="2"/>
      <c r="L30" s="2" t="str">
        <f t="shared" si="0"/>
        <v/>
      </c>
      <c r="M30" s="2" t="str">
        <f t="shared" si="1"/>
        <v/>
      </c>
      <c r="N30" s="2"/>
    </row>
    <row r="31" spans="1:14">
      <c r="A31" s="2" t="s">
        <v>773</v>
      </c>
      <c r="B31" s="2"/>
      <c r="C31" s="2"/>
      <c r="D31" s="2"/>
      <c r="E31" s="2"/>
      <c r="F31" s="2"/>
      <c r="G31" s="2"/>
      <c r="H31" s="2"/>
      <c r="I31" s="2"/>
      <c r="J31" s="2"/>
      <c r="K31" s="2"/>
      <c r="L31" s="2" t="str">
        <f t="shared" si="0"/>
        <v/>
      </c>
      <c r="M31" s="2" t="str">
        <f t="shared" si="1"/>
        <v/>
      </c>
      <c r="N31" s="2"/>
    </row>
    <row r="32" spans="1:14">
      <c r="A32" s="2" t="s">
        <v>774</v>
      </c>
      <c r="B32" s="2"/>
      <c r="C32" s="2"/>
      <c r="D32" s="2"/>
      <c r="E32" s="2"/>
      <c r="F32" s="2"/>
      <c r="G32" s="2"/>
      <c r="H32" s="2"/>
      <c r="I32" s="2"/>
      <c r="J32" s="2"/>
      <c r="K32" s="2"/>
      <c r="L32" s="2" t="str">
        <f t="shared" si="0"/>
        <v/>
      </c>
      <c r="M32" s="2" t="str">
        <f t="shared" si="1"/>
        <v/>
      </c>
      <c r="N32" s="2"/>
    </row>
    <row r="33" spans="1:14">
      <c r="A33" s="2" t="s">
        <v>775</v>
      </c>
      <c r="B33" s="2"/>
      <c r="C33" s="2"/>
      <c r="D33" s="2"/>
      <c r="E33" s="2"/>
      <c r="F33" s="2"/>
      <c r="G33" s="2"/>
      <c r="H33" s="2"/>
      <c r="I33" s="2"/>
      <c r="J33" s="2"/>
      <c r="K33" s="2"/>
      <c r="L33" s="2" t="str">
        <f t="shared" si="0"/>
        <v/>
      </c>
      <c r="M33" s="2" t="str">
        <f t="shared" si="1"/>
        <v/>
      </c>
      <c r="N33" s="2"/>
    </row>
    <row r="34" spans="1:14">
      <c r="A34" s="2" t="s">
        <v>776</v>
      </c>
      <c r="B34" s="2"/>
      <c r="C34" s="2"/>
      <c r="D34" s="2"/>
      <c r="E34" s="2"/>
      <c r="F34" s="2"/>
      <c r="G34" s="2"/>
      <c r="H34" s="2"/>
      <c r="I34" s="2"/>
      <c r="J34" s="2"/>
      <c r="K34" s="2"/>
      <c r="L34" s="2" t="str">
        <f t="shared" si="0"/>
        <v/>
      </c>
      <c r="M34" s="2" t="str">
        <f t="shared" si="1"/>
        <v/>
      </c>
      <c r="N34" s="2"/>
    </row>
    <row r="35" spans="1:14">
      <c r="A35" s="2" t="s">
        <v>777</v>
      </c>
      <c r="B35" s="2"/>
      <c r="C35" s="2"/>
      <c r="D35" s="2"/>
      <c r="E35" s="2"/>
      <c r="F35" s="2"/>
      <c r="G35" s="2"/>
      <c r="H35" s="2"/>
      <c r="I35" s="2"/>
      <c r="J35" s="2"/>
      <c r="K35" s="2"/>
      <c r="L35" s="2" t="str">
        <f t="shared" si="0"/>
        <v/>
      </c>
      <c r="M35" s="2" t="str">
        <f t="shared" si="1"/>
        <v/>
      </c>
      <c r="N35" s="2"/>
    </row>
    <row r="36" spans="1:14">
      <c r="A36" s="2" t="s">
        <v>778</v>
      </c>
      <c r="B36" s="2"/>
      <c r="C36" s="2"/>
      <c r="D36" s="2"/>
      <c r="E36" s="2"/>
      <c r="F36" s="2"/>
      <c r="G36" s="2"/>
      <c r="H36" s="2"/>
      <c r="I36" s="2"/>
      <c r="J36" s="2"/>
      <c r="K36" s="2"/>
      <c r="L36" s="2" t="str">
        <f t="shared" si="0"/>
        <v/>
      </c>
      <c r="M36" s="2" t="str">
        <f t="shared" si="1"/>
        <v/>
      </c>
      <c r="N36" s="2"/>
    </row>
    <row r="37" spans="1:14">
      <c r="A37" s="2" t="s">
        <v>779</v>
      </c>
      <c r="B37" s="2"/>
      <c r="C37" s="2"/>
      <c r="D37" s="2"/>
      <c r="E37" s="2"/>
      <c r="F37" s="2"/>
      <c r="G37" s="2"/>
      <c r="H37" s="2"/>
      <c r="I37" s="2"/>
      <c r="J37" s="2"/>
      <c r="K37" s="2"/>
      <c r="L37" s="2" t="str">
        <f t="shared" si="0"/>
        <v/>
      </c>
      <c r="M37" s="2" t="str">
        <f t="shared" si="1"/>
        <v/>
      </c>
      <c r="N37" s="2"/>
    </row>
    <row r="38" spans="1:14">
      <c r="A38" s="2" t="s">
        <v>780</v>
      </c>
      <c r="B38" s="2"/>
      <c r="C38" s="2"/>
      <c r="D38" s="2"/>
      <c r="E38" s="2"/>
      <c r="F38" s="2"/>
      <c r="G38" s="2"/>
      <c r="H38" s="2"/>
      <c r="I38" s="2"/>
      <c r="J38" s="2"/>
      <c r="K38" s="2"/>
      <c r="L38" s="2" t="str">
        <f t="shared" si="0"/>
        <v/>
      </c>
      <c r="M38" s="2" t="str">
        <f t="shared" si="1"/>
        <v/>
      </c>
      <c r="N38" s="2"/>
    </row>
    <row r="39" spans="1:14">
      <c r="A39" s="2" t="s">
        <v>781</v>
      </c>
      <c r="B39" s="2"/>
      <c r="C39" s="2"/>
      <c r="D39" s="2"/>
      <c r="E39" s="2"/>
      <c r="F39" s="2"/>
      <c r="G39" s="2"/>
      <c r="H39" s="2"/>
      <c r="I39" s="2"/>
      <c r="J39" s="2"/>
      <c r="K39" s="2"/>
      <c r="L39" s="2" t="str">
        <f t="shared" ref="L39:L70" si="2">IF(OR(H39="",I39="",J39="",K39=""),"",ROUND(H39*0.25+I39*0.25+J39*0.3+K39*0.2,2))</f>
        <v/>
      </c>
      <c r="M39" s="2" t="str">
        <f t="shared" ref="M39:M70" si="3">IF(L39="","",IF(L39&gt;=4.2,"Сильное преимущество",IF(L39&gt;=3.4,"Потенциальное преимущество",IF(L39&gt;=2.5,"Слабое преимущество","Не считать преимуществом"))))</f>
        <v/>
      </c>
      <c r="N39" s="2"/>
    </row>
    <row r="40" spans="1:14">
      <c r="A40" s="2" t="s">
        <v>782</v>
      </c>
      <c r="B40" s="2"/>
      <c r="C40" s="2"/>
      <c r="D40" s="2"/>
      <c r="E40" s="2"/>
      <c r="F40" s="2"/>
      <c r="G40" s="2"/>
      <c r="H40" s="2"/>
      <c r="I40" s="2"/>
      <c r="J40" s="2"/>
      <c r="K40" s="2"/>
      <c r="L40" s="2" t="str">
        <f t="shared" si="2"/>
        <v/>
      </c>
      <c r="M40" s="2" t="str">
        <f t="shared" si="3"/>
        <v/>
      </c>
      <c r="N40" s="2"/>
    </row>
    <row r="41" spans="1:14">
      <c r="A41" s="2" t="s">
        <v>783</v>
      </c>
      <c r="B41" s="2"/>
      <c r="C41" s="2"/>
      <c r="D41" s="2"/>
      <c r="E41" s="2"/>
      <c r="F41" s="2"/>
      <c r="G41" s="2"/>
      <c r="H41" s="2"/>
      <c r="I41" s="2"/>
      <c r="J41" s="2"/>
      <c r="K41" s="2"/>
      <c r="L41" s="2" t="str">
        <f t="shared" si="2"/>
        <v/>
      </c>
      <c r="M41" s="2" t="str">
        <f t="shared" si="3"/>
        <v/>
      </c>
      <c r="N41" s="2"/>
    </row>
    <row r="42" spans="1:14">
      <c r="A42" s="2" t="s">
        <v>784</v>
      </c>
      <c r="B42" s="2"/>
      <c r="C42" s="2"/>
      <c r="D42" s="2"/>
      <c r="E42" s="2"/>
      <c r="F42" s="2"/>
      <c r="G42" s="2"/>
      <c r="H42" s="2"/>
      <c r="I42" s="2"/>
      <c r="J42" s="2"/>
      <c r="K42" s="2"/>
      <c r="L42" s="2" t="str">
        <f t="shared" si="2"/>
        <v/>
      </c>
      <c r="M42" s="2" t="str">
        <f t="shared" si="3"/>
        <v/>
      </c>
      <c r="N42" s="2"/>
    </row>
    <row r="43" spans="1:14">
      <c r="A43" s="2" t="s">
        <v>785</v>
      </c>
      <c r="B43" s="2"/>
      <c r="C43" s="2"/>
      <c r="D43" s="2"/>
      <c r="E43" s="2"/>
      <c r="F43" s="2"/>
      <c r="G43" s="2"/>
      <c r="H43" s="2"/>
      <c r="I43" s="2"/>
      <c r="J43" s="2"/>
      <c r="K43" s="2"/>
      <c r="L43" s="2" t="str">
        <f t="shared" si="2"/>
        <v/>
      </c>
      <c r="M43" s="2" t="str">
        <f t="shared" si="3"/>
        <v/>
      </c>
      <c r="N43" s="2"/>
    </row>
    <row r="44" spans="1:14">
      <c r="A44" s="2" t="s">
        <v>786</v>
      </c>
      <c r="B44" s="2"/>
      <c r="C44" s="2"/>
      <c r="D44" s="2"/>
      <c r="E44" s="2"/>
      <c r="F44" s="2"/>
      <c r="G44" s="2"/>
      <c r="H44" s="2"/>
      <c r="I44" s="2"/>
      <c r="J44" s="2"/>
      <c r="K44" s="2"/>
      <c r="L44" s="2" t="str">
        <f t="shared" si="2"/>
        <v/>
      </c>
      <c r="M44" s="2" t="str">
        <f t="shared" si="3"/>
        <v/>
      </c>
      <c r="N44" s="2"/>
    </row>
    <row r="45" spans="1:14">
      <c r="A45" s="2" t="s">
        <v>787</v>
      </c>
      <c r="B45" s="2"/>
      <c r="C45" s="2"/>
      <c r="D45" s="2"/>
      <c r="E45" s="2"/>
      <c r="F45" s="2"/>
      <c r="G45" s="2"/>
      <c r="H45" s="2"/>
      <c r="I45" s="2"/>
      <c r="J45" s="2"/>
      <c r="K45" s="2"/>
      <c r="L45" s="2" t="str">
        <f t="shared" si="2"/>
        <v/>
      </c>
      <c r="M45" s="2" t="str">
        <f t="shared" si="3"/>
        <v/>
      </c>
      <c r="N45" s="2"/>
    </row>
    <row r="46" spans="1:14">
      <c r="A46" s="2" t="s">
        <v>788</v>
      </c>
      <c r="B46" s="2"/>
      <c r="C46" s="2"/>
      <c r="D46" s="2"/>
      <c r="E46" s="2"/>
      <c r="F46" s="2"/>
      <c r="G46" s="2"/>
      <c r="H46" s="2"/>
      <c r="I46" s="2"/>
      <c r="J46" s="2"/>
      <c r="K46" s="2"/>
      <c r="L46" s="2" t="str">
        <f t="shared" si="2"/>
        <v/>
      </c>
      <c r="M46" s="2" t="str">
        <f t="shared" si="3"/>
        <v/>
      </c>
      <c r="N46" s="2"/>
    </row>
    <row r="47" spans="1:14">
      <c r="A47" s="2" t="s">
        <v>789</v>
      </c>
      <c r="B47" s="2"/>
      <c r="C47" s="2"/>
      <c r="D47" s="2"/>
      <c r="E47" s="2"/>
      <c r="F47" s="2"/>
      <c r="G47" s="2"/>
      <c r="H47" s="2"/>
      <c r="I47" s="2"/>
      <c r="J47" s="2"/>
      <c r="K47" s="2"/>
      <c r="L47" s="2" t="str">
        <f t="shared" si="2"/>
        <v/>
      </c>
      <c r="M47" s="2" t="str">
        <f t="shared" si="3"/>
        <v/>
      </c>
      <c r="N47" s="2"/>
    </row>
    <row r="48" spans="1:14">
      <c r="A48" s="2" t="s">
        <v>790</v>
      </c>
      <c r="B48" s="2"/>
      <c r="C48" s="2"/>
      <c r="D48" s="2"/>
      <c r="E48" s="2"/>
      <c r="F48" s="2"/>
      <c r="G48" s="2"/>
      <c r="H48" s="2"/>
      <c r="I48" s="2"/>
      <c r="J48" s="2"/>
      <c r="K48" s="2"/>
      <c r="L48" s="2" t="str">
        <f t="shared" si="2"/>
        <v/>
      </c>
      <c r="M48" s="2" t="str">
        <f t="shared" si="3"/>
        <v/>
      </c>
      <c r="N48" s="2"/>
    </row>
    <row r="49" spans="1:14">
      <c r="A49" s="2" t="s">
        <v>791</v>
      </c>
      <c r="B49" s="2"/>
      <c r="C49" s="2"/>
      <c r="D49" s="2"/>
      <c r="E49" s="2"/>
      <c r="F49" s="2"/>
      <c r="G49" s="2"/>
      <c r="H49" s="2"/>
      <c r="I49" s="2"/>
      <c r="J49" s="2"/>
      <c r="K49" s="2"/>
      <c r="L49" s="2" t="str">
        <f t="shared" si="2"/>
        <v/>
      </c>
      <c r="M49" s="2" t="str">
        <f t="shared" si="3"/>
        <v/>
      </c>
      <c r="N49" s="2"/>
    </row>
    <row r="50" spans="1:14">
      <c r="A50" s="2" t="s">
        <v>792</v>
      </c>
      <c r="B50" s="2"/>
      <c r="C50" s="2"/>
      <c r="D50" s="2"/>
      <c r="E50" s="2"/>
      <c r="F50" s="2"/>
      <c r="G50" s="2"/>
      <c r="H50" s="2"/>
      <c r="I50" s="2"/>
      <c r="J50" s="2"/>
      <c r="K50" s="2"/>
      <c r="L50" s="2" t="str">
        <f t="shared" si="2"/>
        <v/>
      </c>
      <c r="M50" s="2" t="str">
        <f t="shared" si="3"/>
        <v/>
      </c>
      <c r="N50" s="2"/>
    </row>
    <row r="51" spans="1:14">
      <c r="A51" s="2" t="s">
        <v>793</v>
      </c>
      <c r="B51" s="2"/>
      <c r="C51" s="2"/>
      <c r="D51" s="2"/>
      <c r="E51" s="2"/>
      <c r="F51" s="2"/>
      <c r="G51" s="2"/>
      <c r="H51" s="2"/>
      <c r="I51" s="2"/>
      <c r="J51" s="2"/>
      <c r="K51" s="2"/>
      <c r="L51" s="2" t="str">
        <f t="shared" si="2"/>
        <v/>
      </c>
      <c r="M51" s="2" t="str">
        <f t="shared" si="3"/>
        <v/>
      </c>
      <c r="N51" s="2"/>
    </row>
    <row r="52" spans="1:14">
      <c r="A52" s="2" t="s">
        <v>794</v>
      </c>
      <c r="B52" s="2"/>
      <c r="C52" s="2"/>
      <c r="D52" s="2"/>
      <c r="E52" s="2"/>
      <c r="F52" s="2"/>
      <c r="G52" s="2"/>
      <c r="H52" s="2"/>
      <c r="I52" s="2"/>
      <c r="J52" s="2"/>
      <c r="K52" s="2"/>
      <c r="L52" s="2" t="str">
        <f t="shared" si="2"/>
        <v/>
      </c>
      <c r="M52" s="2" t="str">
        <f t="shared" si="3"/>
        <v/>
      </c>
      <c r="N52" s="2"/>
    </row>
    <row r="53" spans="1:14">
      <c r="A53" s="2" t="s">
        <v>795</v>
      </c>
      <c r="B53" s="2"/>
      <c r="C53" s="2"/>
      <c r="D53" s="2"/>
      <c r="E53" s="2"/>
      <c r="F53" s="2"/>
      <c r="G53" s="2"/>
      <c r="H53" s="2"/>
      <c r="I53" s="2"/>
      <c r="J53" s="2"/>
      <c r="K53" s="2"/>
      <c r="L53" s="2" t="str">
        <f t="shared" si="2"/>
        <v/>
      </c>
      <c r="M53" s="2" t="str">
        <f t="shared" si="3"/>
        <v/>
      </c>
      <c r="N53" s="2"/>
    </row>
    <row r="54" spans="1:14">
      <c r="A54" s="2" t="s">
        <v>796</v>
      </c>
      <c r="B54" s="2"/>
      <c r="C54" s="2"/>
      <c r="D54" s="2"/>
      <c r="E54" s="2"/>
      <c r="F54" s="2"/>
      <c r="G54" s="2"/>
      <c r="H54" s="2"/>
      <c r="I54" s="2"/>
      <c r="J54" s="2"/>
      <c r="K54" s="2"/>
      <c r="L54" s="2" t="str">
        <f t="shared" si="2"/>
        <v/>
      </c>
      <c r="M54" s="2" t="str">
        <f t="shared" si="3"/>
        <v/>
      </c>
      <c r="N54" s="2"/>
    </row>
    <row r="55" spans="1:14">
      <c r="A55" s="2" t="s">
        <v>797</v>
      </c>
      <c r="B55" s="2"/>
      <c r="C55" s="2"/>
      <c r="D55" s="2"/>
      <c r="E55" s="2"/>
      <c r="F55" s="2"/>
      <c r="G55" s="2"/>
      <c r="H55" s="2"/>
      <c r="I55" s="2"/>
      <c r="J55" s="2"/>
      <c r="K55" s="2"/>
      <c r="L55" s="2" t="str">
        <f t="shared" si="2"/>
        <v/>
      </c>
      <c r="M55" s="2" t="str">
        <f t="shared" si="3"/>
        <v/>
      </c>
      <c r="N55" s="2"/>
    </row>
    <row r="56" spans="1:14">
      <c r="A56" s="2" t="s">
        <v>798</v>
      </c>
      <c r="B56" s="2"/>
      <c r="C56" s="2"/>
      <c r="D56" s="2"/>
      <c r="E56" s="2"/>
      <c r="F56" s="2"/>
      <c r="G56" s="2"/>
      <c r="H56" s="2"/>
      <c r="I56" s="2"/>
      <c r="J56" s="2"/>
      <c r="K56" s="2"/>
      <c r="L56" s="2" t="str">
        <f t="shared" si="2"/>
        <v/>
      </c>
      <c r="M56" s="2" t="str">
        <f t="shared" si="3"/>
        <v/>
      </c>
      <c r="N56" s="2"/>
    </row>
    <row r="57" spans="1:14">
      <c r="A57" s="2" t="s">
        <v>799</v>
      </c>
      <c r="B57" s="2"/>
      <c r="C57" s="2"/>
      <c r="D57" s="2"/>
      <c r="E57" s="2"/>
      <c r="F57" s="2"/>
      <c r="G57" s="2"/>
      <c r="H57" s="2"/>
      <c r="I57" s="2"/>
      <c r="J57" s="2"/>
      <c r="K57" s="2"/>
      <c r="L57" s="2" t="str">
        <f t="shared" si="2"/>
        <v/>
      </c>
      <c r="M57" s="2" t="str">
        <f t="shared" si="3"/>
        <v/>
      </c>
      <c r="N57" s="2"/>
    </row>
    <row r="58" spans="1:14">
      <c r="A58" s="2" t="s">
        <v>800</v>
      </c>
      <c r="B58" s="2"/>
      <c r="C58" s="2"/>
      <c r="D58" s="2"/>
      <c r="E58" s="2"/>
      <c r="F58" s="2"/>
      <c r="G58" s="2"/>
      <c r="H58" s="2"/>
      <c r="I58" s="2"/>
      <c r="J58" s="2"/>
      <c r="K58" s="2"/>
      <c r="L58" s="2" t="str">
        <f t="shared" si="2"/>
        <v/>
      </c>
      <c r="M58" s="2" t="str">
        <f t="shared" si="3"/>
        <v/>
      </c>
      <c r="N58" s="2"/>
    </row>
    <row r="59" spans="1:14">
      <c r="A59" s="2" t="s">
        <v>801</v>
      </c>
      <c r="B59" s="2"/>
      <c r="C59" s="2"/>
      <c r="D59" s="2"/>
      <c r="E59" s="2"/>
      <c r="F59" s="2"/>
      <c r="G59" s="2"/>
      <c r="H59" s="2"/>
      <c r="I59" s="2"/>
      <c r="J59" s="2"/>
      <c r="K59" s="2"/>
      <c r="L59" s="2" t="str">
        <f t="shared" si="2"/>
        <v/>
      </c>
      <c r="M59" s="2" t="str">
        <f t="shared" si="3"/>
        <v/>
      </c>
      <c r="N59" s="2"/>
    </row>
    <row r="60" spans="1:14">
      <c r="A60" s="2" t="s">
        <v>802</v>
      </c>
      <c r="B60" s="2"/>
      <c r="C60" s="2"/>
      <c r="D60" s="2"/>
      <c r="E60" s="2"/>
      <c r="F60" s="2"/>
      <c r="G60" s="2"/>
      <c r="H60" s="2"/>
      <c r="I60" s="2"/>
      <c r="J60" s="2"/>
      <c r="K60" s="2"/>
      <c r="L60" s="2" t="str">
        <f t="shared" si="2"/>
        <v/>
      </c>
      <c r="M60" s="2" t="str">
        <f t="shared" si="3"/>
        <v/>
      </c>
      <c r="N60" s="2"/>
    </row>
    <row r="61" spans="1:14">
      <c r="A61" s="2" t="s">
        <v>803</v>
      </c>
      <c r="B61" s="2"/>
      <c r="C61" s="2"/>
      <c r="D61" s="2"/>
      <c r="E61" s="2"/>
      <c r="F61" s="2"/>
      <c r="G61" s="2"/>
      <c r="H61" s="2"/>
      <c r="I61" s="2"/>
      <c r="J61" s="2"/>
      <c r="K61" s="2"/>
      <c r="L61" s="2" t="str">
        <f t="shared" si="2"/>
        <v/>
      </c>
      <c r="M61" s="2" t="str">
        <f t="shared" si="3"/>
        <v/>
      </c>
      <c r="N61" s="2"/>
    </row>
    <row r="62" spans="1:14">
      <c r="A62" s="2" t="s">
        <v>804</v>
      </c>
      <c r="B62" s="2"/>
      <c r="C62" s="2"/>
      <c r="D62" s="2"/>
      <c r="E62" s="2"/>
      <c r="F62" s="2"/>
      <c r="G62" s="2"/>
      <c r="H62" s="2"/>
      <c r="I62" s="2"/>
      <c r="J62" s="2"/>
      <c r="K62" s="2"/>
      <c r="L62" s="2" t="str">
        <f t="shared" si="2"/>
        <v/>
      </c>
      <c r="M62" s="2" t="str">
        <f t="shared" si="3"/>
        <v/>
      </c>
      <c r="N62" s="2"/>
    </row>
    <row r="63" spans="1:14">
      <c r="A63" s="2" t="s">
        <v>805</v>
      </c>
      <c r="B63" s="2"/>
      <c r="C63" s="2"/>
      <c r="D63" s="2"/>
      <c r="E63" s="2"/>
      <c r="F63" s="2"/>
      <c r="G63" s="2"/>
      <c r="H63" s="2"/>
      <c r="I63" s="2"/>
      <c r="J63" s="2"/>
      <c r="K63" s="2"/>
      <c r="L63" s="2" t="str">
        <f t="shared" si="2"/>
        <v/>
      </c>
      <c r="M63" s="2" t="str">
        <f t="shared" si="3"/>
        <v/>
      </c>
      <c r="N63" s="2"/>
    </row>
    <row r="64" spans="1:14">
      <c r="A64" s="2" t="s">
        <v>806</v>
      </c>
      <c r="B64" s="2"/>
      <c r="C64" s="2"/>
      <c r="D64" s="2"/>
      <c r="E64" s="2"/>
      <c r="F64" s="2"/>
      <c r="G64" s="2"/>
      <c r="H64" s="2"/>
      <c r="I64" s="2"/>
      <c r="J64" s="2"/>
      <c r="K64" s="2"/>
      <c r="L64" s="2" t="str">
        <f t="shared" si="2"/>
        <v/>
      </c>
      <c r="M64" s="2" t="str">
        <f t="shared" si="3"/>
        <v/>
      </c>
      <c r="N64" s="2"/>
    </row>
    <row r="65" spans="1:14">
      <c r="A65" s="2" t="s">
        <v>807</v>
      </c>
      <c r="B65" s="2"/>
      <c r="C65" s="2"/>
      <c r="D65" s="2"/>
      <c r="E65" s="2"/>
      <c r="F65" s="2"/>
      <c r="G65" s="2"/>
      <c r="H65" s="2"/>
      <c r="I65" s="2"/>
      <c r="J65" s="2"/>
      <c r="K65" s="2"/>
      <c r="L65" s="2" t="str">
        <f t="shared" si="2"/>
        <v/>
      </c>
      <c r="M65" s="2" t="str">
        <f t="shared" si="3"/>
        <v/>
      </c>
      <c r="N65" s="2"/>
    </row>
    <row r="66" spans="1:14">
      <c r="A66" s="2" t="s">
        <v>808</v>
      </c>
      <c r="B66" s="2"/>
      <c r="C66" s="2"/>
      <c r="D66" s="2"/>
      <c r="E66" s="2"/>
      <c r="F66" s="2"/>
      <c r="G66" s="2"/>
      <c r="H66" s="2"/>
      <c r="I66" s="2"/>
      <c r="J66" s="2"/>
      <c r="K66" s="2"/>
      <c r="L66" s="2" t="str">
        <f t="shared" si="2"/>
        <v/>
      </c>
      <c r="M66" s="2" t="str">
        <f t="shared" si="3"/>
        <v/>
      </c>
      <c r="N66" s="2"/>
    </row>
    <row r="67" spans="1:14">
      <c r="A67" s="2" t="s">
        <v>809</v>
      </c>
      <c r="B67" s="2"/>
      <c r="C67" s="2"/>
      <c r="D67" s="2"/>
      <c r="E67" s="2"/>
      <c r="F67" s="2"/>
      <c r="G67" s="2"/>
      <c r="H67" s="2"/>
      <c r="I67" s="2"/>
      <c r="J67" s="2"/>
      <c r="K67" s="2"/>
      <c r="L67" s="2" t="str">
        <f t="shared" si="2"/>
        <v/>
      </c>
      <c r="M67" s="2" t="str">
        <f t="shared" si="3"/>
        <v/>
      </c>
      <c r="N67" s="2"/>
    </row>
    <row r="68" spans="1:14">
      <c r="A68" s="2" t="s">
        <v>810</v>
      </c>
      <c r="B68" s="2"/>
      <c r="C68" s="2"/>
      <c r="D68" s="2"/>
      <c r="E68" s="2"/>
      <c r="F68" s="2"/>
      <c r="G68" s="2"/>
      <c r="H68" s="2"/>
      <c r="I68" s="2"/>
      <c r="J68" s="2"/>
      <c r="K68" s="2"/>
      <c r="L68" s="2" t="str">
        <f t="shared" si="2"/>
        <v/>
      </c>
      <c r="M68" s="2" t="str">
        <f t="shared" si="3"/>
        <v/>
      </c>
      <c r="N68" s="2"/>
    </row>
    <row r="69" spans="1:14">
      <c r="A69" s="2" t="s">
        <v>811</v>
      </c>
      <c r="B69" s="2"/>
      <c r="C69" s="2"/>
      <c r="D69" s="2"/>
      <c r="E69" s="2"/>
      <c r="F69" s="2"/>
      <c r="G69" s="2"/>
      <c r="H69" s="2"/>
      <c r="I69" s="2"/>
      <c r="J69" s="2"/>
      <c r="K69" s="2"/>
      <c r="L69" s="2" t="str">
        <f t="shared" si="2"/>
        <v/>
      </c>
      <c r="M69" s="2" t="str">
        <f t="shared" si="3"/>
        <v/>
      </c>
      <c r="N69" s="2"/>
    </row>
    <row r="70" spans="1:14">
      <c r="A70" s="2" t="s">
        <v>812</v>
      </c>
      <c r="B70" s="2"/>
      <c r="C70" s="2"/>
      <c r="D70" s="2"/>
      <c r="E70" s="2"/>
      <c r="F70" s="2"/>
      <c r="G70" s="2"/>
      <c r="H70" s="2"/>
      <c r="I70" s="2"/>
      <c r="J70" s="2"/>
      <c r="K70" s="2"/>
      <c r="L70" s="2" t="str">
        <f t="shared" si="2"/>
        <v/>
      </c>
      <c r="M70" s="2" t="str">
        <f t="shared" si="3"/>
        <v/>
      </c>
      <c r="N70" s="2"/>
    </row>
    <row r="71" spans="1:14">
      <c r="A71" s="2" t="s">
        <v>813</v>
      </c>
      <c r="B71" s="2"/>
      <c r="C71" s="2"/>
      <c r="D71" s="2"/>
      <c r="E71" s="2"/>
      <c r="F71" s="2"/>
      <c r="G71" s="2"/>
      <c r="H71" s="2"/>
      <c r="I71" s="2"/>
      <c r="J71" s="2"/>
      <c r="K71" s="2"/>
      <c r="L71" s="2" t="str">
        <f t="shared" ref="L71:L102" si="4">IF(OR(H71="",I71="",J71="",K71=""),"",ROUND(H71*0.25+I71*0.25+J71*0.3+K71*0.2,2))</f>
        <v/>
      </c>
      <c r="M71" s="2" t="str">
        <f t="shared" ref="M71:M102" si="5">IF(L71="","",IF(L71&gt;=4.2,"Сильное преимущество",IF(L71&gt;=3.4,"Потенциальное преимущество",IF(L71&gt;=2.5,"Слабое преимущество","Не считать преимуществом"))))</f>
        <v/>
      </c>
      <c r="N71" s="2"/>
    </row>
    <row r="72" spans="1:14">
      <c r="A72" s="2" t="s">
        <v>814</v>
      </c>
      <c r="B72" s="2"/>
      <c r="C72" s="2"/>
      <c r="D72" s="2"/>
      <c r="E72" s="2"/>
      <c r="F72" s="2"/>
      <c r="G72" s="2"/>
      <c r="H72" s="2"/>
      <c r="I72" s="2"/>
      <c r="J72" s="2"/>
      <c r="K72" s="2"/>
      <c r="L72" s="2" t="str">
        <f t="shared" si="4"/>
        <v/>
      </c>
      <c r="M72" s="2" t="str">
        <f t="shared" si="5"/>
        <v/>
      </c>
      <c r="N72" s="2"/>
    </row>
    <row r="73" spans="1:14">
      <c r="A73" s="2" t="s">
        <v>815</v>
      </c>
      <c r="B73" s="2"/>
      <c r="C73" s="2"/>
      <c r="D73" s="2"/>
      <c r="E73" s="2"/>
      <c r="F73" s="2"/>
      <c r="G73" s="2"/>
      <c r="H73" s="2"/>
      <c r="I73" s="2"/>
      <c r="J73" s="2"/>
      <c r="K73" s="2"/>
      <c r="L73" s="2" t="str">
        <f t="shared" si="4"/>
        <v/>
      </c>
      <c r="M73" s="2" t="str">
        <f t="shared" si="5"/>
        <v/>
      </c>
      <c r="N73" s="2"/>
    </row>
    <row r="74" spans="1:14">
      <c r="A74" s="2" t="s">
        <v>816</v>
      </c>
      <c r="B74" s="2"/>
      <c r="C74" s="2"/>
      <c r="D74" s="2"/>
      <c r="E74" s="2"/>
      <c r="F74" s="2"/>
      <c r="G74" s="2"/>
      <c r="H74" s="2"/>
      <c r="I74" s="2"/>
      <c r="J74" s="2"/>
      <c r="K74" s="2"/>
      <c r="L74" s="2" t="str">
        <f t="shared" si="4"/>
        <v/>
      </c>
      <c r="M74" s="2" t="str">
        <f t="shared" si="5"/>
        <v/>
      </c>
      <c r="N74" s="2"/>
    </row>
    <row r="75" spans="1:14">
      <c r="A75" s="2" t="s">
        <v>817</v>
      </c>
      <c r="B75" s="2"/>
      <c r="C75" s="2"/>
      <c r="D75" s="2"/>
      <c r="E75" s="2"/>
      <c r="F75" s="2"/>
      <c r="G75" s="2"/>
      <c r="H75" s="2"/>
      <c r="I75" s="2"/>
      <c r="J75" s="2"/>
      <c r="K75" s="2"/>
      <c r="L75" s="2" t="str">
        <f t="shared" si="4"/>
        <v/>
      </c>
      <c r="M75" s="2" t="str">
        <f t="shared" si="5"/>
        <v/>
      </c>
      <c r="N75" s="2"/>
    </row>
    <row r="76" spans="1:14">
      <c r="A76" s="2" t="s">
        <v>818</v>
      </c>
      <c r="B76" s="2"/>
      <c r="C76" s="2"/>
      <c r="D76" s="2"/>
      <c r="E76" s="2"/>
      <c r="F76" s="2"/>
      <c r="G76" s="2"/>
      <c r="H76" s="2"/>
      <c r="I76" s="2"/>
      <c r="J76" s="2"/>
      <c r="K76" s="2"/>
      <c r="L76" s="2" t="str">
        <f t="shared" si="4"/>
        <v/>
      </c>
      <c r="M76" s="2" t="str">
        <f t="shared" si="5"/>
        <v/>
      </c>
      <c r="N76" s="2"/>
    </row>
    <row r="77" spans="1:14">
      <c r="A77" s="2" t="s">
        <v>819</v>
      </c>
      <c r="B77" s="2"/>
      <c r="C77" s="2"/>
      <c r="D77" s="2"/>
      <c r="E77" s="2"/>
      <c r="F77" s="2"/>
      <c r="G77" s="2"/>
      <c r="H77" s="2"/>
      <c r="I77" s="2"/>
      <c r="J77" s="2"/>
      <c r="K77" s="2"/>
      <c r="L77" s="2" t="str">
        <f t="shared" si="4"/>
        <v/>
      </c>
      <c r="M77" s="2" t="str">
        <f t="shared" si="5"/>
        <v/>
      </c>
      <c r="N77" s="2"/>
    </row>
    <row r="78" spans="1:14">
      <c r="A78" s="2" t="s">
        <v>820</v>
      </c>
      <c r="B78" s="2"/>
      <c r="C78" s="2"/>
      <c r="D78" s="2"/>
      <c r="E78" s="2"/>
      <c r="F78" s="2"/>
      <c r="G78" s="2"/>
      <c r="H78" s="2"/>
      <c r="I78" s="2"/>
      <c r="J78" s="2"/>
      <c r="K78" s="2"/>
      <c r="L78" s="2" t="str">
        <f t="shared" si="4"/>
        <v/>
      </c>
      <c r="M78" s="2" t="str">
        <f t="shared" si="5"/>
        <v/>
      </c>
      <c r="N78" s="2"/>
    </row>
    <row r="79" spans="1:14">
      <c r="A79" s="2" t="s">
        <v>821</v>
      </c>
      <c r="B79" s="2"/>
      <c r="C79" s="2"/>
      <c r="D79" s="2"/>
      <c r="E79" s="2"/>
      <c r="F79" s="2"/>
      <c r="G79" s="2"/>
      <c r="H79" s="2"/>
      <c r="I79" s="2"/>
      <c r="J79" s="2"/>
      <c r="K79" s="2"/>
      <c r="L79" s="2" t="str">
        <f t="shared" si="4"/>
        <v/>
      </c>
      <c r="M79" s="2" t="str">
        <f t="shared" si="5"/>
        <v/>
      </c>
      <c r="N79" s="2"/>
    </row>
    <row r="80" spans="1:14">
      <c r="A80" s="2" t="s">
        <v>822</v>
      </c>
      <c r="B80" s="2"/>
      <c r="C80" s="2"/>
      <c r="D80" s="2"/>
      <c r="E80" s="2"/>
      <c r="F80" s="2"/>
      <c r="G80" s="2"/>
      <c r="H80" s="2"/>
      <c r="I80" s="2"/>
      <c r="J80" s="2"/>
      <c r="K80" s="2"/>
      <c r="L80" s="2" t="str">
        <f t="shared" si="4"/>
        <v/>
      </c>
      <c r="M80" s="2" t="str">
        <f t="shared" si="5"/>
        <v/>
      </c>
      <c r="N80" s="2"/>
    </row>
    <row r="81" spans="1:14">
      <c r="A81" s="2" t="s">
        <v>823</v>
      </c>
      <c r="B81" s="2"/>
      <c r="C81" s="2"/>
      <c r="D81" s="2"/>
      <c r="E81" s="2"/>
      <c r="F81" s="2"/>
      <c r="G81" s="2"/>
      <c r="H81" s="2"/>
      <c r="I81" s="2"/>
      <c r="J81" s="2"/>
      <c r="K81" s="2"/>
      <c r="L81" s="2" t="str">
        <f t="shared" si="4"/>
        <v/>
      </c>
      <c r="M81" s="2" t="str">
        <f t="shared" si="5"/>
        <v/>
      </c>
      <c r="N81" s="2"/>
    </row>
    <row r="82" spans="1:14">
      <c r="A82" s="2" t="s">
        <v>824</v>
      </c>
      <c r="B82" s="2"/>
      <c r="C82" s="2"/>
      <c r="D82" s="2"/>
      <c r="E82" s="2"/>
      <c r="F82" s="2"/>
      <c r="G82" s="2"/>
      <c r="H82" s="2"/>
      <c r="I82" s="2"/>
      <c r="J82" s="2"/>
      <c r="K82" s="2"/>
      <c r="L82" s="2" t="str">
        <f t="shared" si="4"/>
        <v/>
      </c>
      <c r="M82" s="2" t="str">
        <f t="shared" si="5"/>
        <v/>
      </c>
      <c r="N82" s="2"/>
    </row>
    <row r="83" spans="1:14">
      <c r="A83" s="2" t="s">
        <v>825</v>
      </c>
      <c r="B83" s="2"/>
      <c r="C83" s="2"/>
      <c r="D83" s="2"/>
      <c r="E83" s="2"/>
      <c r="F83" s="2"/>
      <c r="G83" s="2"/>
      <c r="H83" s="2"/>
      <c r="I83" s="2"/>
      <c r="J83" s="2"/>
      <c r="K83" s="2"/>
      <c r="L83" s="2" t="str">
        <f t="shared" si="4"/>
        <v/>
      </c>
      <c r="M83" s="2" t="str">
        <f t="shared" si="5"/>
        <v/>
      </c>
      <c r="N83" s="2"/>
    </row>
    <row r="84" spans="1:14">
      <c r="A84" s="2" t="s">
        <v>826</v>
      </c>
      <c r="B84" s="2"/>
      <c r="C84" s="2"/>
      <c r="D84" s="2"/>
      <c r="E84" s="2"/>
      <c r="F84" s="2"/>
      <c r="G84" s="2"/>
      <c r="H84" s="2"/>
      <c r="I84" s="2"/>
      <c r="J84" s="2"/>
      <c r="K84" s="2"/>
      <c r="L84" s="2" t="str">
        <f t="shared" si="4"/>
        <v/>
      </c>
      <c r="M84" s="2" t="str">
        <f t="shared" si="5"/>
        <v/>
      </c>
      <c r="N84" s="2"/>
    </row>
    <row r="85" spans="1:14">
      <c r="A85" s="2" t="s">
        <v>827</v>
      </c>
      <c r="B85" s="2"/>
      <c r="C85" s="2"/>
      <c r="D85" s="2"/>
      <c r="E85" s="2"/>
      <c r="F85" s="2"/>
      <c r="G85" s="2"/>
      <c r="H85" s="2"/>
      <c r="I85" s="2"/>
      <c r="J85" s="2"/>
      <c r="K85" s="2"/>
      <c r="L85" s="2" t="str">
        <f t="shared" si="4"/>
        <v/>
      </c>
      <c r="M85" s="2" t="str">
        <f t="shared" si="5"/>
        <v/>
      </c>
      <c r="N85" s="2"/>
    </row>
    <row r="86" spans="1:14">
      <c r="A86" s="2" t="s">
        <v>828</v>
      </c>
      <c r="B86" s="2"/>
      <c r="C86" s="2"/>
      <c r="D86" s="2"/>
      <c r="E86" s="2"/>
      <c r="F86" s="2"/>
      <c r="G86" s="2"/>
      <c r="H86" s="2"/>
      <c r="I86" s="2"/>
      <c r="J86" s="2"/>
      <c r="K86" s="2"/>
      <c r="L86" s="2" t="str">
        <f t="shared" si="4"/>
        <v/>
      </c>
      <c r="M86" s="2" t="str">
        <f t="shared" si="5"/>
        <v/>
      </c>
      <c r="N86" s="2"/>
    </row>
    <row r="87" spans="1:14">
      <c r="A87" s="2" t="s">
        <v>829</v>
      </c>
      <c r="B87" s="2"/>
      <c r="C87" s="2"/>
      <c r="D87" s="2"/>
      <c r="E87" s="2"/>
      <c r="F87" s="2"/>
      <c r="G87" s="2"/>
      <c r="H87" s="2"/>
      <c r="I87" s="2"/>
      <c r="J87" s="2"/>
      <c r="K87" s="2"/>
      <c r="L87" s="2" t="str">
        <f t="shared" si="4"/>
        <v/>
      </c>
      <c r="M87" s="2" t="str">
        <f t="shared" si="5"/>
        <v/>
      </c>
      <c r="N87" s="2"/>
    </row>
    <row r="88" spans="1:14">
      <c r="A88" s="2" t="s">
        <v>830</v>
      </c>
      <c r="B88" s="2"/>
      <c r="C88" s="2"/>
      <c r="D88" s="2"/>
      <c r="E88" s="2"/>
      <c r="F88" s="2"/>
      <c r="G88" s="2"/>
      <c r="H88" s="2"/>
      <c r="I88" s="2"/>
      <c r="J88" s="2"/>
      <c r="K88" s="2"/>
      <c r="L88" s="2" t="str">
        <f t="shared" si="4"/>
        <v/>
      </c>
      <c r="M88" s="2" t="str">
        <f t="shared" si="5"/>
        <v/>
      </c>
      <c r="N88" s="2"/>
    </row>
    <row r="89" spans="1:14">
      <c r="A89" s="2" t="s">
        <v>831</v>
      </c>
      <c r="B89" s="2"/>
      <c r="C89" s="2"/>
      <c r="D89" s="2"/>
      <c r="E89" s="2"/>
      <c r="F89" s="2"/>
      <c r="G89" s="2"/>
      <c r="H89" s="2"/>
      <c r="I89" s="2"/>
      <c r="J89" s="2"/>
      <c r="K89" s="2"/>
      <c r="L89" s="2" t="str">
        <f t="shared" si="4"/>
        <v/>
      </c>
      <c r="M89" s="2" t="str">
        <f t="shared" si="5"/>
        <v/>
      </c>
      <c r="N89" s="2"/>
    </row>
    <row r="90" spans="1:14">
      <c r="A90" s="2" t="s">
        <v>832</v>
      </c>
      <c r="B90" s="2"/>
      <c r="C90" s="2"/>
      <c r="D90" s="2"/>
      <c r="E90" s="2"/>
      <c r="F90" s="2"/>
      <c r="G90" s="2"/>
      <c r="H90" s="2"/>
      <c r="I90" s="2"/>
      <c r="J90" s="2"/>
      <c r="K90" s="2"/>
      <c r="L90" s="2" t="str">
        <f t="shared" si="4"/>
        <v/>
      </c>
      <c r="M90" s="2" t="str">
        <f t="shared" si="5"/>
        <v/>
      </c>
      <c r="N90" s="2"/>
    </row>
    <row r="91" spans="1:14">
      <c r="A91" s="2" t="s">
        <v>833</v>
      </c>
      <c r="B91" s="2"/>
      <c r="C91" s="2"/>
      <c r="D91" s="2"/>
      <c r="E91" s="2"/>
      <c r="F91" s="2"/>
      <c r="G91" s="2"/>
      <c r="H91" s="2"/>
      <c r="I91" s="2"/>
      <c r="J91" s="2"/>
      <c r="K91" s="2"/>
      <c r="L91" s="2" t="str">
        <f t="shared" si="4"/>
        <v/>
      </c>
      <c r="M91" s="2" t="str">
        <f t="shared" si="5"/>
        <v/>
      </c>
      <c r="N91" s="2"/>
    </row>
    <row r="92" spans="1:14">
      <c r="A92" s="2" t="s">
        <v>834</v>
      </c>
      <c r="B92" s="2"/>
      <c r="C92" s="2"/>
      <c r="D92" s="2"/>
      <c r="E92" s="2"/>
      <c r="F92" s="2"/>
      <c r="G92" s="2"/>
      <c r="H92" s="2"/>
      <c r="I92" s="2"/>
      <c r="J92" s="2"/>
      <c r="K92" s="2"/>
      <c r="L92" s="2" t="str">
        <f t="shared" si="4"/>
        <v/>
      </c>
      <c r="M92" s="2" t="str">
        <f t="shared" si="5"/>
        <v/>
      </c>
      <c r="N92" s="2"/>
    </row>
    <row r="93" spans="1:14">
      <c r="A93" s="2" t="s">
        <v>835</v>
      </c>
      <c r="B93" s="2"/>
      <c r="C93" s="2"/>
      <c r="D93" s="2"/>
      <c r="E93" s="2"/>
      <c r="F93" s="2"/>
      <c r="G93" s="2"/>
      <c r="H93" s="2"/>
      <c r="I93" s="2"/>
      <c r="J93" s="2"/>
      <c r="K93" s="2"/>
      <c r="L93" s="2" t="str">
        <f t="shared" si="4"/>
        <v/>
      </c>
      <c r="M93" s="2" t="str">
        <f t="shared" si="5"/>
        <v/>
      </c>
      <c r="N93" s="2"/>
    </row>
    <row r="94" spans="1:14">
      <c r="A94" s="2" t="s">
        <v>836</v>
      </c>
      <c r="B94" s="2"/>
      <c r="C94" s="2"/>
      <c r="D94" s="2"/>
      <c r="E94" s="2"/>
      <c r="F94" s="2"/>
      <c r="G94" s="2"/>
      <c r="H94" s="2"/>
      <c r="I94" s="2"/>
      <c r="J94" s="2"/>
      <c r="K94" s="2"/>
      <c r="L94" s="2" t="str">
        <f t="shared" si="4"/>
        <v/>
      </c>
      <c r="M94" s="2" t="str">
        <f t="shared" si="5"/>
        <v/>
      </c>
      <c r="N94" s="2"/>
    </row>
    <row r="95" spans="1:14">
      <c r="A95" s="2" t="s">
        <v>837</v>
      </c>
      <c r="B95" s="2"/>
      <c r="C95" s="2"/>
      <c r="D95" s="2"/>
      <c r="E95" s="2"/>
      <c r="F95" s="2"/>
      <c r="G95" s="2"/>
      <c r="H95" s="2"/>
      <c r="I95" s="2"/>
      <c r="J95" s="2"/>
      <c r="K95" s="2"/>
      <c r="L95" s="2" t="str">
        <f t="shared" si="4"/>
        <v/>
      </c>
      <c r="M95" s="2" t="str">
        <f t="shared" si="5"/>
        <v/>
      </c>
      <c r="N95" s="2"/>
    </row>
    <row r="96" spans="1:14">
      <c r="A96" s="2" t="s">
        <v>838</v>
      </c>
      <c r="B96" s="2"/>
      <c r="C96" s="2"/>
      <c r="D96" s="2"/>
      <c r="E96" s="2"/>
      <c r="F96" s="2"/>
      <c r="G96" s="2"/>
      <c r="H96" s="2"/>
      <c r="I96" s="2"/>
      <c r="J96" s="2"/>
      <c r="K96" s="2"/>
      <c r="L96" s="2" t="str">
        <f t="shared" si="4"/>
        <v/>
      </c>
      <c r="M96" s="2" t="str">
        <f t="shared" si="5"/>
        <v/>
      </c>
      <c r="N96" s="2"/>
    </row>
    <row r="97" spans="1:14">
      <c r="A97" s="2" t="s">
        <v>839</v>
      </c>
      <c r="B97" s="2"/>
      <c r="C97" s="2"/>
      <c r="D97" s="2"/>
      <c r="E97" s="2"/>
      <c r="F97" s="2"/>
      <c r="G97" s="2"/>
      <c r="H97" s="2"/>
      <c r="I97" s="2"/>
      <c r="J97" s="2"/>
      <c r="K97" s="2"/>
      <c r="L97" s="2" t="str">
        <f t="shared" si="4"/>
        <v/>
      </c>
      <c r="M97" s="2" t="str">
        <f t="shared" si="5"/>
        <v/>
      </c>
      <c r="N97" s="2"/>
    </row>
    <row r="98" spans="1:14">
      <c r="A98" s="2" t="s">
        <v>840</v>
      </c>
      <c r="B98" s="2"/>
      <c r="C98" s="2"/>
      <c r="D98" s="2"/>
      <c r="E98" s="2"/>
      <c r="F98" s="2"/>
      <c r="G98" s="2"/>
      <c r="H98" s="2"/>
      <c r="I98" s="2"/>
      <c r="J98" s="2"/>
      <c r="K98" s="2"/>
      <c r="L98" s="2" t="str">
        <f t="shared" si="4"/>
        <v/>
      </c>
      <c r="M98" s="2" t="str">
        <f t="shared" si="5"/>
        <v/>
      </c>
      <c r="N98" s="2"/>
    </row>
    <row r="99" spans="1:14">
      <c r="A99" s="2" t="s">
        <v>841</v>
      </c>
      <c r="B99" s="2"/>
      <c r="C99" s="2"/>
      <c r="D99" s="2"/>
      <c r="E99" s="2"/>
      <c r="F99" s="2"/>
      <c r="G99" s="2"/>
      <c r="H99" s="2"/>
      <c r="I99" s="2"/>
      <c r="J99" s="2"/>
      <c r="K99" s="2"/>
      <c r="L99" s="2" t="str">
        <f t="shared" si="4"/>
        <v/>
      </c>
      <c r="M99" s="2" t="str">
        <f t="shared" si="5"/>
        <v/>
      </c>
      <c r="N99" s="2"/>
    </row>
    <row r="100" spans="1:14">
      <c r="A100" s="2" t="s">
        <v>842</v>
      </c>
      <c r="B100" s="2"/>
      <c r="C100" s="2"/>
      <c r="D100" s="2"/>
      <c r="E100" s="2"/>
      <c r="F100" s="2"/>
      <c r="G100" s="2"/>
      <c r="H100" s="2"/>
      <c r="I100" s="2"/>
      <c r="J100" s="2"/>
      <c r="K100" s="2"/>
      <c r="L100" s="2" t="str">
        <f t="shared" si="4"/>
        <v/>
      </c>
      <c r="M100" s="2" t="str">
        <f t="shared" si="5"/>
        <v/>
      </c>
      <c r="N100" s="2"/>
    </row>
    <row r="101" spans="1:14">
      <c r="A101" s="2" t="s">
        <v>843</v>
      </c>
      <c r="B101" s="2"/>
      <c r="C101" s="2"/>
      <c r="D101" s="2"/>
      <c r="E101" s="2"/>
      <c r="F101" s="2"/>
      <c r="G101" s="2"/>
      <c r="H101" s="2"/>
      <c r="I101" s="2"/>
      <c r="J101" s="2"/>
      <c r="K101" s="2"/>
      <c r="L101" s="2" t="str">
        <f t="shared" si="4"/>
        <v/>
      </c>
      <c r="M101" s="2" t="str">
        <f t="shared" si="5"/>
        <v/>
      </c>
      <c r="N101" s="2"/>
    </row>
    <row r="102" spans="1:14">
      <c r="A102" s="2" t="s">
        <v>844</v>
      </c>
      <c r="B102" s="2"/>
      <c r="C102" s="2"/>
      <c r="D102" s="2"/>
      <c r="E102" s="2"/>
      <c r="F102" s="2"/>
      <c r="G102" s="2"/>
      <c r="H102" s="2"/>
      <c r="I102" s="2"/>
      <c r="J102" s="2"/>
      <c r="K102" s="2"/>
      <c r="L102" s="2" t="str">
        <f t="shared" si="4"/>
        <v/>
      </c>
      <c r="M102" s="2" t="str">
        <f t="shared" si="5"/>
        <v/>
      </c>
      <c r="N102" s="2"/>
    </row>
    <row r="103" spans="1:14">
      <c r="A103" s="2" t="s">
        <v>845</v>
      </c>
      <c r="B103" s="2"/>
      <c r="C103" s="2"/>
      <c r="D103" s="2"/>
      <c r="E103" s="2"/>
      <c r="F103" s="2"/>
      <c r="G103" s="2"/>
      <c r="H103" s="2"/>
      <c r="I103" s="2"/>
      <c r="J103" s="2"/>
      <c r="K103" s="2"/>
      <c r="L103" s="2" t="str">
        <f t="shared" ref="L103:L134" si="6">IF(OR(H103="",I103="",J103="",K103=""),"",ROUND(H103*0.25+I103*0.25+J103*0.3+K103*0.2,2))</f>
        <v/>
      </c>
      <c r="M103" s="2" t="str">
        <f t="shared" ref="M103:M134" si="7">IF(L103="","",IF(L103&gt;=4.2,"Сильное преимущество",IF(L103&gt;=3.4,"Потенциальное преимущество",IF(L103&gt;=2.5,"Слабое преимущество","Не считать преимуществом"))))</f>
        <v/>
      </c>
      <c r="N103" s="2"/>
    </row>
    <row r="104" spans="1:14">
      <c r="A104" s="2" t="s">
        <v>846</v>
      </c>
      <c r="B104" s="2"/>
      <c r="C104" s="2"/>
      <c r="D104" s="2"/>
      <c r="E104" s="2"/>
      <c r="F104" s="2"/>
      <c r="G104" s="2"/>
      <c r="H104" s="2"/>
      <c r="I104" s="2"/>
      <c r="J104" s="2"/>
      <c r="K104" s="2"/>
      <c r="L104" s="2" t="str">
        <f t="shared" si="6"/>
        <v/>
      </c>
      <c r="M104" s="2" t="str">
        <f t="shared" si="7"/>
        <v/>
      </c>
      <c r="N104" s="2"/>
    </row>
    <row r="105" spans="1:14">
      <c r="A105" s="2" t="s">
        <v>847</v>
      </c>
      <c r="B105" s="2"/>
      <c r="C105" s="2"/>
      <c r="D105" s="2"/>
      <c r="E105" s="2"/>
      <c r="F105" s="2"/>
      <c r="G105" s="2"/>
      <c r="H105" s="2"/>
      <c r="I105" s="2"/>
      <c r="J105" s="2"/>
      <c r="K105" s="2"/>
      <c r="L105" s="2" t="str">
        <f t="shared" si="6"/>
        <v/>
      </c>
      <c r="M105" s="2" t="str">
        <f t="shared" si="7"/>
        <v/>
      </c>
      <c r="N105" s="2"/>
    </row>
    <row r="106" spans="1:14">
      <c r="A106" s="2" t="s">
        <v>848</v>
      </c>
      <c r="B106" s="2"/>
      <c r="C106" s="2"/>
      <c r="D106" s="2"/>
      <c r="E106" s="2"/>
      <c r="F106" s="2"/>
      <c r="G106" s="2"/>
      <c r="H106" s="2"/>
      <c r="I106" s="2"/>
      <c r="J106" s="2"/>
      <c r="K106" s="2"/>
      <c r="L106" s="2" t="str">
        <f t="shared" si="6"/>
        <v/>
      </c>
      <c r="M106" s="2" t="str">
        <f t="shared" si="7"/>
        <v/>
      </c>
      <c r="N106" s="2"/>
    </row>
    <row r="107" spans="1:14">
      <c r="A107" s="2" t="s">
        <v>849</v>
      </c>
      <c r="B107" s="2"/>
      <c r="C107" s="2"/>
      <c r="D107" s="2"/>
      <c r="E107" s="2"/>
      <c r="F107" s="2"/>
      <c r="G107" s="2"/>
      <c r="H107" s="2"/>
      <c r="I107" s="2"/>
      <c r="J107" s="2"/>
      <c r="K107" s="2"/>
      <c r="L107" s="2" t="str">
        <f t="shared" si="6"/>
        <v/>
      </c>
      <c r="M107" s="2" t="str">
        <f t="shared" si="7"/>
        <v/>
      </c>
      <c r="N107" s="2"/>
    </row>
    <row r="108" spans="1:14">
      <c r="A108" s="2" t="s">
        <v>850</v>
      </c>
      <c r="B108" s="2"/>
      <c r="C108" s="2"/>
      <c r="D108" s="2"/>
      <c r="E108" s="2"/>
      <c r="F108" s="2"/>
      <c r="G108" s="2"/>
      <c r="H108" s="2"/>
      <c r="I108" s="2"/>
      <c r="J108" s="2"/>
      <c r="K108" s="2"/>
      <c r="L108" s="2" t="str">
        <f t="shared" si="6"/>
        <v/>
      </c>
      <c r="M108" s="2" t="str">
        <f t="shared" si="7"/>
        <v/>
      </c>
      <c r="N108" s="2"/>
    </row>
    <row r="109" spans="1:14">
      <c r="A109" s="2" t="s">
        <v>851</v>
      </c>
      <c r="B109" s="2"/>
      <c r="C109" s="2"/>
      <c r="D109" s="2"/>
      <c r="E109" s="2"/>
      <c r="F109" s="2"/>
      <c r="G109" s="2"/>
      <c r="H109" s="2"/>
      <c r="I109" s="2"/>
      <c r="J109" s="2"/>
      <c r="K109" s="2"/>
      <c r="L109" s="2" t="str">
        <f t="shared" si="6"/>
        <v/>
      </c>
      <c r="M109" s="2" t="str">
        <f t="shared" si="7"/>
        <v/>
      </c>
      <c r="N109" s="2"/>
    </row>
    <row r="110" spans="1:14">
      <c r="A110" s="2" t="s">
        <v>852</v>
      </c>
      <c r="B110" s="2"/>
      <c r="C110" s="2"/>
      <c r="D110" s="2"/>
      <c r="E110" s="2"/>
      <c r="F110" s="2"/>
      <c r="G110" s="2"/>
      <c r="H110" s="2"/>
      <c r="I110" s="2"/>
      <c r="J110" s="2"/>
      <c r="K110" s="2"/>
      <c r="L110" s="2" t="str">
        <f t="shared" si="6"/>
        <v/>
      </c>
      <c r="M110" s="2" t="str">
        <f t="shared" si="7"/>
        <v/>
      </c>
      <c r="N110" s="2"/>
    </row>
    <row r="111" spans="1:14">
      <c r="A111" s="2" t="s">
        <v>853</v>
      </c>
      <c r="B111" s="2"/>
      <c r="C111" s="2"/>
      <c r="D111" s="2"/>
      <c r="E111" s="2"/>
      <c r="F111" s="2"/>
      <c r="G111" s="2"/>
      <c r="H111" s="2"/>
      <c r="I111" s="2"/>
      <c r="J111" s="2"/>
      <c r="K111" s="2"/>
      <c r="L111" s="2" t="str">
        <f t="shared" si="6"/>
        <v/>
      </c>
      <c r="M111" s="2" t="str">
        <f t="shared" si="7"/>
        <v/>
      </c>
      <c r="N111" s="2"/>
    </row>
    <row r="112" spans="1:14">
      <c r="A112" s="2" t="s">
        <v>854</v>
      </c>
      <c r="B112" s="2"/>
      <c r="C112" s="2"/>
      <c r="D112" s="2"/>
      <c r="E112" s="2"/>
      <c r="F112" s="2"/>
      <c r="G112" s="2"/>
      <c r="H112" s="2"/>
      <c r="I112" s="2"/>
      <c r="J112" s="2"/>
      <c r="K112" s="2"/>
      <c r="L112" s="2" t="str">
        <f t="shared" si="6"/>
        <v/>
      </c>
      <c r="M112" s="2" t="str">
        <f t="shared" si="7"/>
        <v/>
      </c>
      <c r="N112" s="2"/>
    </row>
    <row r="113" spans="1:14">
      <c r="A113" s="2" t="s">
        <v>855</v>
      </c>
      <c r="B113" s="2"/>
      <c r="C113" s="2"/>
      <c r="D113" s="2"/>
      <c r="E113" s="2"/>
      <c r="F113" s="2"/>
      <c r="G113" s="2"/>
      <c r="H113" s="2"/>
      <c r="I113" s="2"/>
      <c r="J113" s="2"/>
      <c r="K113" s="2"/>
      <c r="L113" s="2" t="str">
        <f t="shared" si="6"/>
        <v/>
      </c>
      <c r="M113" s="2" t="str">
        <f t="shared" si="7"/>
        <v/>
      </c>
      <c r="N113" s="2"/>
    </row>
    <row r="114" spans="1:14">
      <c r="A114" s="2" t="s">
        <v>856</v>
      </c>
      <c r="B114" s="2"/>
      <c r="C114" s="2"/>
      <c r="D114" s="2"/>
      <c r="E114" s="2"/>
      <c r="F114" s="2"/>
      <c r="G114" s="2"/>
      <c r="H114" s="2"/>
      <c r="I114" s="2"/>
      <c r="J114" s="2"/>
      <c r="K114" s="2"/>
      <c r="L114" s="2" t="str">
        <f t="shared" si="6"/>
        <v/>
      </c>
      <c r="M114" s="2" t="str">
        <f t="shared" si="7"/>
        <v/>
      </c>
      <c r="N114" s="2"/>
    </row>
    <row r="115" spans="1:14">
      <c r="A115" s="2" t="s">
        <v>857</v>
      </c>
      <c r="B115" s="2"/>
      <c r="C115" s="2"/>
      <c r="D115" s="2"/>
      <c r="E115" s="2"/>
      <c r="F115" s="2"/>
      <c r="G115" s="2"/>
      <c r="H115" s="2"/>
      <c r="I115" s="2"/>
      <c r="J115" s="2"/>
      <c r="K115" s="2"/>
      <c r="L115" s="2" t="str">
        <f t="shared" si="6"/>
        <v/>
      </c>
      <c r="M115" s="2" t="str">
        <f t="shared" si="7"/>
        <v/>
      </c>
      <c r="N115" s="2"/>
    </row>
    <row r="116" spans="1:14">
      <c r="A116" s="2" t="s">
        <v>858</v>
      </c>
      <c r="B116" s="2"/>
      <c r="C116" s="2"/>
      <c r="D116" s="2"/>
      <c r="E116" s="2"/>
      <c r="F116" s="2"/>
      <c r="G116" s="2"/>
      <c r="H116" s="2"/>
      <c r="I116" s="2"/>
      <c r="J116" s="2"/>
      <c r="K116" s="2"/>
      <c r="L116" s="2" t="str">
        <f t="shared" si="6"/>
        <v/>
      </c>
      <c r="M116" s="2" t="str">
        <f t="shared" si="7"/>
        <v/>
      </c>
      <c r="N116" s="2"/>
    </row>
    <row r="117" spans="1:14">
      <c r="A117" s="2" t="s">
        <v>859</v>
      </c>
      <c r="B117" s="2"/>
      <c r="C117" s="2"/>
      <c r="D117" s="2"/>
      <c r="E117" s="2"/>
      <c r="F117" s="2"/>
      <c r="G117" s="2"/>
      <c r="H117" s="2"/>
      <c r="I117" s="2"/>
      <c r="J117" s="2"/>
      <c r="K117" s="2"/>
      <c r="L117" s="2" t="str">
        <f t="shared" si="6"/>
        <v/>
      </c>
      <c r="M117" s="2" t="str">
        <f t="shared" si="7"/>
        <v/>
      </c>
      <c r="N117" s="2"/>
    </row>
    <row r="118" spans="1:14">
      <c r="A118" s="2" t="s">
        <v>860</v>
      </c>
      <c r="B118" s="2"/>
      <c r="C118" s="2"/>
      <c r="D118" s="2"/>
      <c r="E118" s="2"/>
      <c r="F118" s="2"/>
      <c r="G118" s="2"/>
      <c r="H118" s="2"/>
      <c r="I118" s="2"/>
      <c r="J118" s="2"/>
      <c r="K118" s="2"/>
      <c r="L118" s="2" t="str">
        <f t="shared" si="6"/>
        <v/>
      </c>
      <c r="M118" s="2" t="str">
        <f t="shared" si="7"/>
        <v/>
      </c>
      <c r="N118" s="2"/>
    </row>
    <row r="119" spans="1:14">
      <c r="A119" s="2" t="s">
        <v>861</v>
      </c>
      <c r="B119" s="2"/>
      <c r="C119" s="2"/>
      <c r="D119" s="2"/>
      <c r="E119" s="2"/>
      <c r="F119" s="2"/>
      <c r="G119" s="2"/>
      <c r="H119" s="2"/>
      <c r="I119" s="2"/>
      <c r="J119" s="2"/>
      <c r="K119" s="2"/>
      <c r="L119" s="2" t="str">
        <f t="shared" si="6"/>
        <v/>
      </c>
      <c r="M119" s="2" t="str">
        <f t="shared" si="7"/>
        <v/>
      </c>
      <c r="N119" s="2"/>
    </row>
    <row r="120" spans="1:14">
      <c r="A120" s="2" t="s">
        <v>862</v>
      </c>
      <c r="B120" s="2"/>
      <c r="C120" s="2"/>
      <c r="D120" s="2"/>
      <c r="E120" s="2"/>
      <c r="F120" s="2"/>
      <c r="G120" s="2"/>
      <c r="H120" s="2"/>
      <c r="I120" s="2"/>
      <c r="J120" s="2"/>
      <c r="K120" s="2"/>
      <c r="L120" s="2" t="str">
        <f t="shared" si="6"/>
        <v/>
      </c>
      <c r="M120" s="2" t="str">
        <f t="shared" si="7"/>
        <v/>
      </c>
      <c r="N120" s="2"/>
    </row>
    <row r="121" spans="1:14">
      <c r="A121" s="2" t="s">
        <v>863</v>
      </c>
      <c r="B121" s="2"/>
      <c r="C121" s="2"/>
      <c r="D121" s="2"/>
      <c r="E121" s="2"/>
      <c r="F121" s="2"/>
      <c r="G121" s="2"/>
      <c r="H121" s="2"/>
      <c r="I121" s="2"/>
      <c r="J121" s="2"/>
      <c r="K121" s="2"/>
      <c r="L121" s="2" t="str">
        <f t="shared" si="6"/>
        <v/>
      </c>
      <c r="M121" s="2" t="str">
        <f t="shared" si="7"/>
        <v/>
      </c>
      <c r="N121" s="2"/>
    </row>
    <row r="122" spans="1:14">
      <c r="A122" s="2" t="s">
        <v>864</v>
      </c>
      <c r="B122" s="2"/>
      <c r="C122" s="2"/>
      <c r="D122" s="2"/>
      <c r="E122" s="2"/>
      <c r="F122" s="2"/>
      <c r="G122" s="2"/>
      <c r="H122" s="2"/>
      <c r="I122" s="2"/>
      <c r="J122" s="2"/>
      <c r="K122" s="2"/>
      <c r="L122" s="2" t="str">
        <f t="shared" si="6"/>
        <v/>
      </c>
      <c r="M122" s="2" t="str">
        <f t="shared" si="7"/>
        <v/>
      </c>
      <c r="N122" s="2"/>
    </row>
    <row r="123" spans="1:14">
      <c r="A123" s="2" t="s">
        <v>865</v>
      </c>
      <c r="B123" s="2"/>
      <c r="C123" s="2"/>
      <c r="D123" s="2"/>
      <c r="E123" s="2"/>
      <c r="F123" s="2"/>
      <c r="G123" s="2"/>
      <c r="H123" s="2"/>
      <c r="I123" s="2"/>
      <c r="J123" s="2"/>
      <c r="K123" s="2"/>
      <c r="L123" s="2" t="str">
        <f t="shared" si="6"/>
        <v/>
      </c>
      <c r="M123" s="2" t="str">
        <f t="shared" si="7"/>
        <v/>
      </c>
      <c r="N123" s="2"/>
    </row>
    <row r="124" spans="1:14">
      <c r="A124" s="2" t="s">
        <v>866</v>
      </c>
      <c r="B124" s="2"/>
      <c r="C124" s="2"/>
      <c r="D124" s="2"/>
      <c r="E124" s="2"/>
      <c r="F124" s="2"/>
      <c r="G124" s="2"/>
      <c r="H124" s="2"/>
      <c r="I124" s="2"/>
      <c r="J124" s="2"/>
      <c r="K124" s="2"/>
      <c r="L124" s="2" t="str">
        <f t="shared" si="6"/>
        <v/>
      </c>
      <c r="M124" s="2" t="str">
        <f t="shared" si="7"/>
        <v/>
      </c>
      <c r="N124" s="2"/>
    </row>
    <row r="125" spans="1:14">
      <c r="A125" s="2" t="s">
        <v>867</v>
      </c>
      <c r="B125" s="2"/>
      <c r="C125" s="2"/>
      <c r="D125" s="2"/>
      <c r="E125" s="2"/>
      <c r="F125" s="2"/>
      <c r="G125" s="2"/>
      <c r="H125" s="2"/>
      <c r="I125" s="2"/>
      <c r="J125" s="2"/>
      <c r="K125" s="2"/>
      <c r="L125" s="2" t="str">
        <f t="shared" si="6"/>
        <v/>
      </c>
      <c r="M125" s="2" t="str">
        <f t="shared" si="7"/>
        <v/>
      </c>
      <c r="N125" s="2"/>
    </row>
    <row r="126" spans="1:14">
      <c r="A126" s="2" t="s">
        <v>868</v>
      </c>
      <c r="B126" s="2"/>
      <c r="C126" s="2"/>
      <c r="D126" s="2"/>
      <c r="E126" s="2"/>
      <c r="F126" s="2"/>
      <c r="G126" s="2"/>
      <c r="H126" s="2"/>
      <c r="I126" s="2"/>
      <c r="J126" s="2"/>
      <c r="K126" s="2"/>
      <c r="L126" s="2" t="str">
        <f t="shared" si="6"/>
        <v/>
      </c>
      <c r="M126" s="2" t="str">
        <f t="shared" si="7"/>
        <v/>
      </c>
      <c r="N126" s="2"/>
    </row>
    <row r="127" spans="1:14">
      <c r="A127" s="2" t="s">
        <v>869</v>
      </c>
      <c r="B127" s="2"/>
      <c r="C127" s="2"/>
      <c r="D127" s="2"/>
      <c r="E127" s="2"/>
      <c r="F127" s="2"/>
      <c r="G127" s="2"/>
      <c r="H127" s="2"/>
      <c r="I127" s="2"/>
      <c r="J127" s="2"/>
      <c r="K127" s="2"/>
      <c r="L127" s="2" t="str">
        <f t="shared" si="6"/>
        <v/>
      </c>
      <c r="M127" s="2" t="str">
        <f t="shared" si="7"/>
        <v/>
      </c>
      <c r="N127" s="2"/>
    </row>
    <row r="128" spans="1:14">
      <c r="A128" s="2" t="s">
        <v>870</v>
      </c>
      <c r="B128" s="2"/>
      <c r="C128" s="2"/>
      <c r="D128" s="2"/>
      <c r="E128" s="2"/>
      <c r="F128" s="2"/>
      <c r="G128" s="2"/>
      <c r="H128" s="2"/>
      <c r="I128" s="2"/>
      <c r="J128" s="2"/>
      <c r="K128" s="2"/>
      <c r="L128" s="2" t="str">
        <f t="shared" si="6"/>
        <v/>
      </c>
      <c r="M128" s="2" t="str">
        <f t="shared" si="7"/>
        <v/>
      </c>
      <c r="N128" s="2"/>
    </row>
    <row r="129" spans="1:14">
      <c r="A129" s="2" t="s">
        <v>871</v>
      </c>
      <c r="B129" s="2"/>
      <c r="C129" s="2"/>
      <c r="D129" s="2"/>
      <c r="E129" s="2"/>
      <c r="F129" s="2"/>
      <c r="G129" s="2"/>
      <c r="H129" s="2"/>
      <c r="I129" s="2"/>
      <c r="J129" s="2"/>
      <c r="K129" s="2"/>
      <c r="L129" s="2" t="str">
        <f t="shared" si="6"/>
        <v/>
      </c>
      <c r="M129" s="2" t="str">
        <f t="shared" si="7"/>
        <v/>
      </c>
      <c r="N129" s="2"/>
    </row>
    <row r="130" spans="1:14">
      <c r="A130" s="2" t="s">
        <v>872</v>
      </c>
      <c r="B130" s="2"/>
      <c r="C130" s="2"/>
      <c r="D130" s="2"/>
      <c r="E130" s="2"/>
      <c r="F130" s="2"/>
      <c r="G130" s="2"/>
      <c r="H130" s="2"/>
      <c r="I130" s="2"/>
      <c r="J130" s="2"/>
      <c r="K130" s="2"/>
      <c r="L130" s="2" t="str">
        <f t="shared" si="6"/>
        <v/>
      </c>
      <c r="M130" s="2" t="str">
        <f t="shared" si="7"/>
        <v/>
      </c>
      <c r="N130" s="2"/>
    </row>
    <row r="131" spans="1:14">
      <c r="A131" s="2" t="s">
        <v>873</v>
      </c>
      <c r="B131" s="2"/>
      <c r="C131" s="2"/>
      <c r="D131" s="2"/>
      <c r="E131" s="2"/>
      <c r="F131" s="2"/>
      <c r="G131" s="2"/>
      <c r="H131" s="2"/>
      <c r="I131" s="2"/>
      <c r="J131" s="2"/>
      <c r="K131" s="2"/>
      <c r="L131" s="2" t="str">
        <f t="shared" si="6"/>
        <v/>
      </c>
      <c r="M131" s="2" t="str">
        <f t="shared" si="7"/>
        <v/>
      </c>
      <c r="N131" s="2"/>
    </row>
    <row r="132" spans="1:14">
      <c r="A132" s="2" t="s">
        <v>874</v>
      </c>
      <c r="B132" s="2"/>
      <c r="C132" s="2"/>
      <c r="D132" s="2"/>
      <c r="E132" s="2"/>
      <c r="F132" s="2"/>
      <c r="G132" s="2"/>
      <c r="H132" s="2"/>
      <c r="I132" s="2"/>
      <c r="J132" s="2"/>
      <c r="K132" s="2"/>
      <c r="L132" s="2" t="str">
        <f t="shared" si="6"/>
        <v/>
      </c>
      <c r="M132" s="2" t="str">
        <f t="shared" si="7"/>
        <v/>
      </c>
      <c r="N132" s="2"/>
    </row>
    <row r="133" spans="1:14">
      <c r="A133" s="2" t="s">
        <v>875</v>
      </c>
      <c r="B133" s="2"/>
      <c r="C133" s="2"/>
      <c r="D133" s="2"/>
      <c r="E133" s="2"/>
      <c r="F133" s="2"/>
      <c r="G133" s="2"/>
      <c r="H133" s="2"/>
      <c r="I133" s="2"/>
      <c r="J133" s="2"/>
      <c r="K133" s="2"/>
      <c r="L133" s="2" t="str">
        <f t="shared" si="6"/>
        <v/>
      </c>
      <c r="M133" s="2" t="str">
        <f t="shared" si="7"/>
        <v/>
      </c>
      <c r="N133" s="2"/>
    </row>
    <row r="134" spans="1:14">
      <c r="A134" s="2" t="s">
        <v>876</v>
      </c>
      <c r="B134" s="2"/>
      <c r="C134" s="2"/>
      <c r="D134" s="2"/>
      <c r="E134" s="2"/>
      <c r="F134" s="2"/>
      <c r="G134" s="2"/>
      <c r="H134" s="2"/>
      <c r="I134" s="2"/>
      <c r="J134" s="2"/>
      <c r="K134" s="2"/>
      <c r="L134" s="2" t="str">
        <f t="shared" si="6"/>
        <v/>
      </c>
      <c r="M134" s="2" t="str">
        <f t="shared" si="7"/>
        <v/>
      </c>
      <c r="N134" s="2"/>
    </row>
    <row r="135" spans="1:14">
      <c r="A135" s="2" t="s">
        <v>877</v>
      </c>
      <c r="B135" s="2"/>
      <c r="C135" s="2"/>
      <c r="D135" s="2"/>
      <c r="E135" s="2"/>
      <c r="F135" s="2"/>
      <c r="G135" s="2"/>
      <c r="H135" s="2"/>
      <c r="I135" s="2"/>
      <c r="J135" s="2"/>
      <c r="K135" s="2"/>
      <c r="L135" s="2" t="str">
        <f t="shared" ref="L135:L166" si="8">IF(OR(H135="",I135="",J135="",K135=""),"",ROUND(H135*0.25+I135*0.25+J135*0.3+K135*0.2,2))</f>
        <v/>
      </c>
      <c r="M135" s="2" t="str">
        <f t="shared" ref="M135:M166" si="9">IF(L135="","",IF(L135&gt;=4.2,"Сильное преимущество",IF(L135&gt;=3.4,"Потенциальное преимущество",IF(L135&gt;=2.5,"Слабое преимущество","Не считать преимуществом"))))</f>
        <v/>
      </c>
      <c r="N135" s="2"/>
    </row>
    <row r="136" spans="1:14">
      <c r="A136" s="2" t="s">
        <v>878</v>
      </c>
      <c r="B136" s="2"/>
      <c r="C136" s="2"/>
      <c r="D136" s="2"/>
      <c r="E136" s="2"/>
      <c r="F136" s="2"/>
      <c r="G136" s="2"/>
      <c r="H136" s="2"/>
      <c r="I136" s="2"/>
      <c r="J136" s="2"/>
      <c r="K136" s="2"/>
      <c r="L136" s="2" t="str">
        <f t="shared" si="8"/>
        <v/>
      </c>
      <c r="M136" s="2" t="str">
        <f t="shared" si="9"/>
        <v/>
      </c>
      <c r="N136" s="2"/>
    </row>
    <row r="137" spans="1:14">
      <c r="A137" s="2" t="s">
        <v>879</v>
      </c>
      <c r="B137" s="2"/>
      <c r="C137" s="2"/>
      <c r="D137" s="2"/>
      <c r="E137" s="2"/>
      <c r="F137" s="2"/>
      <c r="G137" s="2"/>
      <c r="H137" s="2"/>
      <c r="I137" s="2"/>
      <c r="J137" s="2"/>
      <c r="K137" s="2"/>
      <c r="L137" s="2" t="str">
        <f t="shared" si="8"/>
        <v/>
      </c>
      <c r="M137" s="2" t="str">
        <f t="shared" si="9"/>
        <v/>
      </c>
      <c r="N137" s="2"/>
    </row>
    <row r="138" spans="1:14">
      <c r="A138" s="2" t="s">
        <v>880</v>
      </c>
      <c r="B138" s="2"/>
      <c r="C138" s="2"/>
      <c r="D138" s="2"/>
      <c r="E138" s="2"/>
      <c r="F138" s="2"/>
      <c r="G138" s="2"/>
      <c r="H138" s="2"/>
      <c r="I138" s="2"/>
      <c r="J138" s="2"/>
      <c r="K138" s="2"/>
      <c r="L138" s="2" t="str">
        <f t="shared" si="8"/>
        <v/>
      </c>
      <c r="M138" s="2" t="str">
        <f t="shared" si="9"/>
        <v/>
      </c>
      <c r="N138" s="2"/>
    </row>
    <row r="139" spans="1:14">
      <c r="A139" s="2" t="s">
        <v>881</v>
      </c>
      <c r="B139" s="2"/>
      <c r="C139" s="2"/>
      <c r="D139" s="2"/>
      <c r="E139" s="2"/>
      <c r="F139" s="2"/>
      <c r="G139" s="2"/>
      <c r="H139" s="2"/>
      <c r="I139" s="2"/>
      <c r="J139" s="2"/>
      <c r="K139" s="2"/>
      <c r="L139" s="2" t="str">
        <f t="shared" si="8"/>
        <v/>
      </c>
      <c r="M139" s="2" t="str">
        <f t="shared" si="9"/>
        <v/>
      </c>
      <c r="N139" s="2"/>
    </row>
    <row r="140" spans="1:14">
      <c r="A140" s="2" t="s">
        <v>882</v>
      </c>
      <c r="B140" s="2"/>
      <c r="C140" s="2"/>
      <c r="D140" s="2"/>
      <c r="E140" s="2"/>
      <c r="F140" s="2"/>
      <c r="G140" s="2"/>
      <c r="H140" s="2"/>
      <c r="I140" s="2"/>
      <c r="J140" s="2"/>
      <c r="K140" s="2"/>
      <c r="L140" s="2" t="str">
        <f t="shared" si="8"/>
        <v/>
      </c>
      <c r="M140" s="2" t="str">
        <f t="shared" si="9"/>
        <v/>
      </c>
      <c r="N140" s="2"/>
    </row>
    <row r="141" spans="1:14">
      <c r="A141" s="2" t="s">
        <v>883</v>
      </c>
      <c r="B141" s="2"/>
      <c r="C141" s="2"/>
      <c r="D141" s="2"/>
      <c r="E141" s="2"/>
      <c r="F141" s="2"/>
      <c r="G141" s="2"/>
      <c r="H141" s="2"/>
      <c r="I141" s="2"/>
      <c r="J141" s="2"/>
      <c r="K141" s="2"/>
      <c r="L141" s="2" t="str">
        <f t="shared" si="8"/>
        <v/>
      </c>
      <c r="M141" s="2" t="str">
        <f t="shared" si="9"/>
        <v/>
      </c>
      <c r="N141" s="2"/>
    </row>
    <row r="142" spans="1:14">
      <c r="A142" s="2" t="s">
        <v>884</v>
      </c>
      <c r="B142" s="2"/>
      <c r="C142" s="2"/>
      <c r="D142" s="2"/>
      <c r="E142" s="2"/>
      <c r="F142" s="2"/>
      <c r="G142" s="2"/>
      <c r="H142" s="2"/>
      <c r="I142" s="2"/>
      <c r="J142" s="2"/>
      <c r="K142" s="2"/>
      <c r="L142" s="2" t="str">
        <f t="shared" si="8"/>
        <v/>
      </c>
      <c r="M142" s="2" t="str">
        <f t="shared" si="9"/>
        <v/>
      </c>
      <c r="N142" s="2"/>
    </row>
    <row r="143" spans="1:14">
      <c r="A143" s="2" t="s">
        <v>885</v>
      </c>
      <c r="B143" s="2"/>
      <c r="C143" s="2"/>
      <c r="D143" s="2"/>
      <c r="E143" s="2"/>
      <c r="F143" s="2"/>
      <c r="G143" s="2"/>
      <c r="H143" s="2"/>
      <c r="I143" s="2"/>
      <c r="J143" s="2"/>
      <c r="K143" s="2"/>
      <c r="L143" s="2" t="str">
        <f t="shared" si="8"/>
        <v/>
      </c>
      <c r="M143" s="2" t="str">
        <f t="shared" si="9"/>
        <v/>
      </c>
      <c r="N143" s="2"/>
    </row>
    <row r="144" spans="1:14">
      <c r="A144" s="2" t="s">
        <v>886</v>
      </c>
      <c r="B144" s="2"/>
      <c r="C144" s="2"/>
      <c r="D144" s="2"/>
      <c r="E144" s="2"/>
      <c r="F144" s="2"/>
      <c r="G144" s="2"/>
      <c r="H144" s="2"/>
      <c r="I144" s="2"/>
      <c r="J144" s="2"/>
      <c r="K144" s="2"/>
      <c r="L144" s="2" t="str">
        <f t="shared" si="8"/>
        <v/>
      </c>
      <c r="M144" s="2" t="str">
        <f t="shared" si="9"/>
        <v/>
      </c>
      <c r="N144" s="2"/>
    </row>
    <row r="145" spans="1:14">
      <c r="A145" s="2" t="s">
        <v>887</v>
      </c>
      <c r="B145" s="2"/>
      <c r="C145" s="2"/>
      <c r="D145" s="2"/>
      <c r="E145" s="2"/>
      <c r="F145" s="2"/>
      <c r="G145" s="2"/>
      <c r="H145" s="2"/>
      <c r="I145" s="2"/>
      <c r="J145" s="2"/>
      <c r="K145" s="2"/>
      <c r="L145" s="2" t="str">
        <f t="shared" si="8"/>
        <v/>
      </c>
      <c r="M145" s="2" t="str">
        <f t="shared" si="9"/>
        <v/>
      </c>
      <c r="N145" s="2"/>
    </row>
    <row r="146" spans="1:14">
      <c r="A146" s="2" t="s">
        <v>888</v>
      </c>
      <c r="B146" s="2"/>
      <c r="C146" s="2"/>
      <c r="D146" s="2"/>
      <c r="E146" s="2"/>
      <c r="F146" s="2"/>
      <c r="G146" s="2"/>
      <c r="H146" s="2"/>
      <c r="I146" s="2"/>
      <c r="J146" s="2"/>
      <c r="K146" s="2"/>
      <c r="L146" s="2" t="str">
        <f t="shared" si="8"/>
        <v/>
      </c>
      <c r="M146" s="2" t="str">
        <f t="shared" si="9"/>
        <v/>
      </c>
      <c r="N146" s="2"/>
    </row>
    <row r="147" spans="1:14">
      <c r="A147" s="2" t="s">
        <v>889</v>
      </c>
      <c r="B147" s="2"/>
      <c r="C147" s="2"/>
      <c r="D147" s="2"/>
      <c r="E147" s="2"/>
      <c r="F147" s="2"/>
      <c r="G147" s="2"/>
      <c r="H147" s="2"/>
      <c r="I147" s="2"/>
      <c r="J147" s="2"/>
      <c r="K147" s="2"/>
      <c r="L147" s="2" t="str">
        <f t="shared" si="8"/>
        <v/>
      </c>
      <c r="M147" s="2" t="str">
        <f t="shared" si="9"/>
        <v/>
      </c>
      <c r="N147" s="2"/>
    </row>
    <row r="148" spans="1:14">
      <c r="A148" s="2" t="s">
        <v>890</v>
      </c>
      <c r="B148" s="2"/>
      <c r="C148" s="2"/>
      <c r="D148" s="2"/>
      <c r="E148" s="2"/>
      <c r="F148" s="2"/>
      <c r="G148" s="2"/>
      <c r="H148" s="2"/>
      <c r="I148" s="2"/>
      <c r="J148" s="2"/>
      <c r="K148" s="2"/>
      <c r="L148" s="2" t="str">
        <f t="shared" si="8"/>
        <v/>
      </c>
      <c r="M148" s="2" t="str">
        <f t="shared" si="9"/>
        <v/>
      </c>
      <c r="N148" s="2"/>
    </row>
    <row r="149" spans="1:14">
      <c r="A149" s="2" t="s">
        <v>891</v>
      </c>
      <c r="B149" s="2"/>
      <c r="C149" s="2"/>
      <c r="D149" s="2"/>
      <c r="E149" s="2"/>
      <c r="F149" s="2"/>
      <c r="G149" s="2"/>
      <c r="H149" s="2"/>
      <c r="I149" s="2"/>
      <c r="J149" s="2"/>
      <c r="K149" s="2"/>
      <c r="L149" s="2" t="str">
        <f t="shared" si="8"/>
        <v/>
      </c>
      <c r="M149" s="2" t="str">
        <f t="shared" si="9"/>
        <v/>
      </c>
      <c r="N149" s="2"/>
    </row>
    <row r="150" spans="1:14">
      <c r="A150" s="2" t="s">
        <v>892</v>
      </c>
      <c r="B150" s="2"/>
      <c r="C150" s="2"/>
      <c r="D150" s="2"/>
      <c r="E150" s="2"/>
      <c r="F150" s="2"/>
      <c r="G150" s="2"/>
      <c r="H150" s="2"/>
      <c r="I150" s="2"/>
      <c r="J150" s="2"/>
      <c r="K150" s="2"/>
      <c r="L150" s="2" t="str">
        <f t="shared" si="8"/>
        <v/>
      </c>
      <c r="M150" s="2" t="str">
        <f t="shared" si="9"/>
        <v/>
      </c>
      <c r="N150" s="2"/>
    </row>
    <row r="151" spans="1:14">
      <c r="A151" s="2" t="s">
        <v>893</v>
      </c>
      <c r="B151" s="2"/>
      <c r="C151" s="2"/>
      <c r="D151" s="2"/>
      <c r="E151" s="2"/>
      <c r="F151" s="2"/>
      <c r="G151" s="2"/>
      <c r="H151" s="2"/>
      <c r="I151" s="2"/>
      <c r="J151" s="2"/>
      <c r="K151" s="2"/>
      <c r="L151" s="2" t="str">
        <f t="shared" si="8"/>
        <v/>
      </c>
      <c r="M151" s="2" t="str">
        <f t="shared" si="9"/>
        <v/>
      </c>
      <c r="N151" s="2"/>
    </row>
    <row r="152" spans="1:14">
      <c r="A152" s="2" t="s">
        <v>894</v>
      </c>
      <c r="B152" s="2"/>
      <c r="C152" s="2"/>
      <c r="D152" s="2"/>
      <c r="E152" s="2"/>
      <c r="F152" s="2"/>
      <c r="G152" s="2"/>
      <c r="H152" s="2"/>
      <c r="I152" s="2"/>
      <c r="J152" s="2"/>
      <c r="K152" s="2"/>
      <c r="L152" s="2" t="str">
        <f t="shared" si="8"/>
        <v/>
      </c>
      <c r="M152" s="2" t="str">
        <f t="shared" si="9"/>
        <v/>
      </c>
      <c r="N152" s="2"/>
    </row>
    <row r="153" spans="1:14">
      <c r="A153" s="2" t="s">
        <v>895</v>
      </c>
      <c r="B153" s="2"/>
      <c r="C153" s="2"/>
      <c r="D153" s="2"/>
      <c r="E153" s="2"/>
      <c r="F153" s="2"/>
      <c r="G153" s="2"/>
      <c r="H153" s="2"/>
      <c r="I153" s="2"/>
      <c r="J153" s="2"/>
      <c r="K153" s="2"/>
      <c r="L153" s="2" t="str">
        <f t="shared" si="8"/>
        <v/>
      </c>
      <c r="M153" s="2" t="str">
        <f t="shared" si="9"/>
        <v/>
      </c>
      <c r="N153" s="2"/>
    </row>
    <row r="154" spans="1:14">
      <c r="A154" s="2" t="s">
        <v>896</v>
      </c>
      <c r="B154" s="2"/>
      <c r="C154" s="2"/>
      <c r="D154" s="2"/>
      <c r="E154" s="2"/>
      <c r="F154" s="2"/>
      <c r="G154" s="2"/>
      <c r="H154" s="2"/>
      <c r="I154" s="2"/>
      <c r="J154" s="2"/>
      <c r="K154" s="2"/>
      <c r="L154" s="2" t="str">
        <f t="shared" si="8"/>
        <v/>
      </c>
      <c r="M154" s="2" t="str">
        <f t="shared" si="9"/>
        <v/>
      </c>
      <c r="N154" s="2"/>
    </row>
    <row r="155" spans="1:14">
      <c r="A155" s="2" t="s">
        <v>897</v>
      </c>
      <c r="B155" s="2"/>
      <c r="C155" s="2"/>
      <c r="D155" s="2"/>
      <c r="E155" s="2"/>
      <c r="F155" s="2"/>
      <c r="G155" s="2"/>
      <c r="H155" s="2"/>
      <c r="I155" s="2"/>
      <c r="J155" s="2"/>
      <c r="K155" s="2"/>
      <c r="L155" s="2" t="str">
        <f t="shared" si="8"/>
        <v/>
      </c>
      <c r="M155" s="2" t="str">
        <f t="shared" si="9"/>
        <v/>
      </c>
      <c r="N155" s="2"/>
    </row>
    <row r="156" spans="1:14">
      <c r="A156" s="2" t="s">
        <v>898</v>
      </c>
      <c r="B156" s="2"/>
      <c r="C156" s="2"/>
      <c r="D156" s="2"/>
      <c r="E156" s="2"/>
      <c r="F156" s="2"/>
      <c r="G156" s="2"/>
      <c r="H156" s="2"/>
      <c r="I156" s="2"/>
      <c r="J156" s="2"/>
      <c r="K156" s="2"/>
      <c r="L156" s="2" t="str">
        <f t="shared" si="8"/>
        <v/>
      </c>
      <c r="M156" s="2" t="str">
        <f t="shared" si="9"/>
        <v/>
      </c>
      <c r="N156" s="2"/>
    </row>
    <row r="157" spans="1:14">
      <c r="A157" s="2" t="s">
        <v>899</v>
      </c>
      <c r="B157" s="2"/>
      <c r="C157" s="2"/>
      <c r="D157" s="2"/>
      <c r="E157" s="2"/>
      <c r="F157" s="2"/>
      <c r="G157" s="2"/>
      <c r="H157" s="2"/>
      <c r="I157" s="2"/>
      <c r="J157" s="2"/>
      <c r="K157" s="2"/>
      <c r="L157" s="2" t="str">
        <f t="shared" si="8"/>
        <v/>
      </c>
      <c r="M157" s="2" t="str">
        <f t="shared" si="9"/>
        <v/>
      </c>
      <c r="N157" s="2"/>
    </row>
    <row r="158" spans="1:14">
      <c r="A158" s="2" t="s">
        <v>900</v>
      </c>
      <c r="B158" s="2"/>
      <c r="C158" s="2"/>
      <c r="D158" s="2"/>
      <c r="E158" s="2"/>
      <c r="F158" s="2"/>
      <c r="G158" s="2"/>
      <c r="H158" s="2"/>
      <c r="I158" s="2"/>
      <c r="J158" s="2"/>
      <c r="K158" s="2"/>
      <c r="L158" s="2" t="str">
        <f t="shared" si="8"/>
        <v/>
      </c>
      <c r="M158" s="2" t="str">
        <f t="shared" si="9"/>
        <v/>
      </c>
      <c r="N158" s="2"/>
    </row>
    <row r="159" spans="1:14">
      <c r="A159" s="2" t="s">
        <v>901</v>
      </c>
      <c r="B159" s="2"/>
      <c r="C159" s="2"/>
      <c r="D159" s="2"/>
      <c r="E159" s="2"/>
      <c r="F159" s="2"/>
      <c r="G159" s="2"/>
      <c r="H159" s="2"/>
      <c r="I159" s="2"/>
      <c r="J159" s="2"/>
      <c r="K159" s="2"/>
      <c r="L159" s="2" t="str">
        <f t="shared" si="8"/>
        <v/>
      </c>
      <c r="M159" s="2" t="str">
        <f t="shared" si="9"/>
        <v/>
      </c>
      <c r="N159" s="2"/>
    </row>
    <row r="160" spans="1:14">
      <c r="A160" s="2" t="s">
        <v>902</v>
      </c>
      <c r="B160" s="2"/>
      <c r="C160" s="2"/>
      <c r="D160" s="2"/>
      <c r="E160" s="2"/>
      <c r="F160" s="2"/>
      <c r="G160" s="2"/>
      <c r="H160" s="2"/>
      <c r="I160" s="2"/>
      <c r="J160" s="2"/>
      <c r="K160" s="2"/>
      <c r="L160" s="2" t="str">
        <f t="shared" si="8"/>
        <v/>
      </c>
      <c r="M160" s="2" t="str">
        <f t="shared" si="9"/>
        <v/>
      </c>
      <c r="N160" s="2"/>
    </row>
    <row r="161" spans="1:14">
      <c r="A161" s="2" t="s">
        <v>903</v>
      </c>
      <c r="B161" s="2"/>
      <c r="C161" s="2"/>
      <c r="D161" s="2"/>
      <c r="E161" s="2"/>
      <c r="F161" s="2"/>
      <c r="G161" s="2"/>
      <c r="H161" s="2"/>
      <c r="I161" s="2"/>
      <c r="J161" s="2"/>
      <c r="K161" s="2"/>
      <c r="L161" s="2" t="str">
        <f t="shared" si="8"/>
        <v/>
      </c>
      <c r="M161" s="2" t="str">
        <f t="shared" si="9"/>
        <v/>
      </c>
      <c r="N161" s="2"/>
    </row>
    <row r="162" spans="1:14">
      <c r="A162" s="2" t="s">
        <v>904</v>
      </c>
      <c r="B162" s="2"/>
      <c r="C162" s="2"/>
      <c r="D162" s="2"/>
      <c r="E162" s="2"/>
      <c r="F162" s="2"/>
      <c r="G162" s="2"/>
      <c r="H162" s="2"/>
      <c r="I162" s="2"/>
      <c r="J162" s="2"/>
      <c r="K162" s="2"/>
      <c r="L162" s="2" t="str">
        <f t="shared" si="8"/>
        <v/>
      </c>
      <c r="M162" s="2" t="str">
        <f t="shared" si="9"/>
        <v/>
      </c>
      <c r="N162" s="2"/>
    </row>
    <row r="163" spans="1:14">
      <c r="A163" s="2" t="s">
        <v>905</v>
      </c>
      <c r="B163" s="2"/>
      <c r="C163" s="2"/>
      <c r="D163" s="2"/>
      <c r="E163" s="2"/>
      <c r="F163" s="2"/>
      <c r="G163" s="2"/>
      <c r="H163" s="2"/>
      <c r="I163" s="2"/>
      <c r="J163" s="2"/>
      <c r="K163" s="2"/>
      <c r="L163" s="2" t="str">
        <f t="shared" si="8"/>
        <v/>
      </c>
      <c r="M163" s="2" t="str">
        <f t="shared" si="9"/>
        <v/>
      </c>
      <c r="N163" s="2"/>
    </row>
    <row r="164" spans="1:14">
      <c r="A164" s="2" t="s">
        <v>906</v>
      </c>
      <c r="B164" s="2"/>
      <c r="C164" s="2"/>
      <c r="D164" s="2"/>
      <c r="E164" s="2"/>
      <c r="F164" s="2"/>
      <c r="G164" s="2"/>
      <c r="H164" s="2"/>
      <c r="I164" s="2"/>
      <c r="J164" s="2"/>
      <c r="K164" s="2"/>
      <c r="L164" s="2" t="str">
        <f t="shared" si="8"/>
        <v/>
      </c>
      <c r="M164" s="2" t="str">
        <f t="shared" si="9"/>
        <v/>
      </c>
      <c r="N164" s="2"/>
    </row>
    <row r="165" spans="1:14">
      <c r="A165" s="2" t="s">
        <v>907</v>
      </c>
      <c r="B165" s="2"/>
      <c r="C165" s="2"/>
      <c r="D165" s="2"/>
      <c r="E165" s="2"/>
      <c r="F165" s="2"/>
      <c r="G165" s="2"/>
      <c r="H165" s="2"/>
      <c r="I165" s="2"/>
      <c r="J165" s="2"/>
      <c r="K165" s="2"/>
      <c r="L165" s="2" t="str">
        <f t="shared" si="8"/>
        <v/>
      </c>
      <c r="M165" s="2" t="str">
        <f t="shared" si="9"/>
        <v/>
      </c>
      <c r="N165" s="2"/>
    </row>
    <row r="166" spans="1:14">
      <c r="A166" s="2" t="s">
        <v>908</v>
      </c>
      <c r="B166" s="2"/>
      <c r="C166" s="2"/>
      <c r="D166" s="2"/>
      <c r="E166" s="2"/>
      <c r="F166" s="2"/>
      <c r="G166" s="2"/>
      <c r="H166" s="2"/>
      <c r="I166" s="2"/>
      <c r="J166" s="2"/>
      <c r="K166" s="2"/>
      <c r="L166" s="2" t="str">
        <f t="shared" si="8"/>
        <v/>
      </c>
      <c r="M166" s="2" t="str">
        <f t="shared" si="9"/>
        <v/>
      </c>
      <c r="N166" s="2"/>
    </row>
    <row r="167" spans="1:14">
      <c r="A167" s="2" t="s">
        <v>909</v>
      </c>
      <c r="B167" s="2"/>
      <c r="C167" s="2"/>
      <c r="D167" s="2"/>
      <c r="E167" s="2"/>
      <c r="F167" s="2"/>
      <c r="G167" s="2"/>
      <c r="H167" s="2"/>
      <c r="I167" s="2"/>
      <c r="J167" s="2"/>
      <c r="K167" s="2"/>
      <c r="L167" s="2" t="str">
        <f t="shared" ref="L167:L198" si="10">IF(OR(H167="",I167="",J167="",K167=""),"",ROUND(H167*0.25+I167*0.25+J167*0.3+K167*0.2,2))</f>
        <v/>
      </c>
      <c r="M167" s="2" t="str">
        <f t="shared" ref="M167:M198" si="11">IF(L167="","",IF(L167&gt;=4.2,"Сильное преимущество",IF(L167&gt;=3.4,"Потенциальное преимущество",IF(L167&gt;=2.5,"Слабое преимущество","Не считать преимуществом"))))</f>
        <v/>
      </c>
      <c r="N167" s="2"/>
    </row>
    <row r="168" spans="1:14">
      <c r="A168" s="2" t="s">
        <v>910</v>
      </c>
      <c r="B168" s="2"/>
      <c r="C168" s="2"/>
      <c r="D168" s="2"/>
      <c r="E168" s="2"/>
      <c r="F168" s="2"/>
      <c r="G168" s="2"/>
      <c r="H168" s="2"/>
      <c r="I168" s="2"/>
      <c r="J168" s="2"/>
      <c r="K168" s="2"/>
      <c r="L168" s="2" t="str">
        <f t="shared" si="10"/>
        <v/>
      </c>
      <c r="M168" s="2" t="str">
        <f t="shared" si="11"/>
        <v/>
      </c>
      <c r="N168" s="2"/>
    </row>
    <row r="169" spans="1:14">
      <c r="A169" s="2" t="s">
        <v>911</v>
      </c>
      <c r="B169" s="2"/>
      <c r="C169" s="2"/>
      <c r="D169" s="2"/>
      <c r="E169" s="2"/>
      <c r="F169" s="2"/>
      <c r="G169" s="2"/>
      <c r="H169" s="2"/>
      <c r="I169" s="2"/>
      <c r="J169" s="2"/>
      <c r="K169" s="2"/>
      <c r="L169" s="2" t="str">
        <f t="shared" si="10"/>
        <v/>
      </c>
      <c r="M169" s="2" t="str">
        <f t="shared" si="11"/>
        <v/>
      </c>
      <c r="N169" s="2"/>
    </row>
    <row r="170" spans="1:14">
      <c r="A170" s="2" t="s">
        <v>912</v>
      </c>
      <c r="B170" s="2"/>
      <c r="C170" s="2"/>
      <c r="D170" s="2"/>
      <c r="E170" s="2"/>
      <c r="F170" s="2"/>
      <c r="G170" s="2"/>
      <c r="H170" s="2"/>
      <c r="I170" s="2"/>
      <c r="J170" s="2"/>
      <c r="K170" s="2"/>
      <c r="L170" s="2" t="str">
        <f t="shared" si="10"/>
        <v/>
      </c>
      <c r="M170" s="2" t="str">
        <f t="shared" si="11"/>
        <v/>
      </c>
      <c r="N170" s="2"/>
    </row>
    <row r="171" spans="1:14">
      <c r="A171" s="2" t="s">
        <v>913</v>
      </c>
      <c r="B171" s="2"/>
      <c r="C171" s="2"/>
      <c r="D171" s="2"/>
      <c r="E171" s="2"/>
      <c r="F171" s="2"/>
      <c r="G171" s="2"/>
      <c r="H171" s="2"/>
      <c r="I171" s="2"/>
      <c r="J171" s="2"/>
      <c r="K171" s="2"/>
      <c r="L171" s="2" t="str">
        <f t="shared" si="10"/>
        <v/>
      </c>
      <c r="M171" s="2" t="str">
        <f t="shared" si="11"/>
        <v/>
      </c>
      <c r="N171" s="2"/>
    </row>
    <row r="172" spans="1:14">
      <c r="A172" s="2" t="s">
        <v>914</v>
      </c>
      <c r="B172" s="2"/>
      <c r="C172" s="2"/>
      <c r="D172" s="2"/>
      <c r="E172" s="2"/>
      <c r="F172" s="2"/>
      <c r="G172" s="2"/>
      <c r="H172" s="2"/>
      <c r="I172" s="2"/>
      <c r="J172" s="2"/>
      <c r="K172" s="2"/>
      <c r="L172" s="2" t="str">
        <f t="shared" si="10"/>
        <v/>
      </c>
      <c r="M172" s="2" t="str">
        <f t="shared" si="11"/>
        <v/>
      </c>
      <c r="N172" s="2"/>
    </row>
    <row r="173" spans="1:14">
      <c r="A173" s="2" t="s">
        <v>915</v>
      </c>
      <c r="B173" s="2"/>
      <c r="C173" s="2"/>
      <c r="D173" s="2"/>
      <c r="E173" s="2"/>
      <c r="F173" s="2"/>
      <c r="G173" s="2"/>
      <c r="H173" s="2"/>
      <c r="I173" s="2"/>
      <c r="J173" s="2"/>
      <c r="K173" s="2"/>
      <c r="L173" s="2" t="str">
        <f t="shared" si="10"/>
        <v/>
      </c>
      <c r="M173" s="2" t="str">
        <f t="shared" si="11"/>
        <v/>
      </c>
      <c r="N173" s="2"/>
    </row>
    <row r="174" spans="1:14">
      <c r="A174" s="2" t="s">
        <v>916</v>
      </c>
      <c r="B174" s="2"/>
      <c r="C174" s="2"/>
      <c r="D174" s="2"/>
      <c r="E174" s="2"/>
      <c r="F174" s="2"/>
      <c r="G174" s="2"/>
      <c r="H174" s="2"/>
      <c r="I174" s="2"/>
      <c r="J174" s="2"/>
      <c r="K174" s="2"/>
      <c r="L174" s="2" t="str">
        <f t="shared" si="10"/>
        <v/>
      </c>
      <c r="M174" s="2" t="str">
        <f t="shared" si="11"/>
        <v/>
      </c>
      <c r="N174" s="2"/>
    </row>
    <row r="175" spans="1:14">
      <c r="A175" s="2" t="s">
        <v>917</v>
      </c>
      <c r="B175" s="2"/>
      <c r="C175" s="2"/>
      <c r="D175" s="2"/>
      <c r="E175" s="2"/>
      <c r="F175" s="2"/>
      <c r="G175" s="2"/>
      <c r="H175" s="2"/>
      <c r="I175" s="2"/>
      <c r="J175" s="2"/>
      <c r="K175" s="2"/>
      <c r="L175" s="2" t="str">
        <f t="shared" si="10"/>
        <v/>
      </c>
      <c r="M175" s="2" t="str">
        <f t="shared" si="11"/>
        <v/>
      </c>
      <c r="N175" s="2"/>
    </row>
    <row r="176" spans="1:14">
      <c r="A176" s="2" t="s">
        <v>918</v>
      </c>
      <c r="B176" s="2"/>
      <c r="C176" s="2"/>
      <c r="D176" s="2"/>
      <c r="E176" s="2"/>
      <c r="F176" s="2"/>
      <c r="G176" s="2"/>
      <c r="H176" s="2"/>
      <c r="I176" s="2"/>
      <c r="J176" s="2"/>
      <c r="K176" s="2"/>
      <c r="L176" s="2" t="str">
        <f t="shared" si="10"/>
        <v/>
      </c>
      <c r="M176" s="2" t="str">
        <f t="shared" si="11"/>
        <v/>
      </c>
      <c r="N176" s="2"/>
    </row>
    <row r="177" spans="1:14">
      <c r="A177" s="2" t="s">
        <v>919</v>
      </c>
      <c r="B177" s="2"/>
      <c r="C177" s="2"/>
      <c r="D177" s="2"/>
      <c r="E177" s="2"/>
      <c r="F177" s="2"/>
      <c r="G177" s="2"/>
      <c r="H177" s="2"/>
      <c r="I177" s="2"/>
      <c r="J177" s="2"/>
      <c r="K177" s="2"/>
      <c r="L177" s="2" t="str">
        <f t="shared" si="10"/>
        <v/>
      </c>
      <c r="M177" s="2" t="str">
        <f t="shared" si="11"/>
        <v/>
      </c>
      <c r="N177" s="2"/>
    </row>
    <row r="178" spans="1:14">
      <c r="A178" s="2" t="s">
        <v>920</v>
      </c>
      <c r="B178" s="2"/>
      <c r="C178" s="2"/>
      <c r="D178" s="2"/>
      <c r="E178" s="2"/>
      <c r="F178" s="2"/>
      <c r="G178" s="2"/>
      <c r="H178" s="2"/>
      <c r="I178" s="2"/>
      <c r="J178" s="2"/>
      <c r="K178" s="2"/>
      <c r="L178" s="2" t="str">
        <f t="shared" si="10"/>
        <v/>
      </c>
      <c r="M178" s="2" t="str">
        <f t="shared" si="11"/>
        <v/>
      </c>
      <c r="N178" s="2"/>
    </row>
    <row r="179" spans="1:14">
      <c r="A179" s="2" t="s">
        <v>921</v>
      </c>
      <c r="B179" s="2"/>
      <c r="C179" s="2"/>
      <c r="D179" s="2"/>
      <c r="E179" s="2"/>
      <c r="F179" s="2"/>
      <c r="G179" s="2"/>
      <c r="H179" s="2"/>
      <c r="I179" s="2"/>
      <c r="J179" s="2"/>
      <c r="K179" s="2"/>
      <c r="L179" s="2" t="str">
        <f t="shared" si="10"/>
        <v/>
      </c>
      <c r="M179" s="2" t="str">
        <f t="shared" si="11"/>
        <v/>
      </c>
      <c r="N179" s="2"/>
    </row>
    <row r="180" spans="1:14">
      <c r="A180" s="2" t="s">
        <v>922</v>
      </c>
      <c r="B180" s="2"/>
      <c r="C180" s="2"/>
      <c r="D180" s="2"/>
      <c r="E180" s="2"/>
      <c r="F180" s="2"/>
      <c r="G180" s="2"/>
      <c r="H180" s="2"/>
      <c r="I180" s="2"/>
      <c r="J180" s="2"/>
      <c r="K180" s="2"/>
      <c r="L180" s="2" t="str">
        <f t="shared" si="10"/>
        <v/>
      </c>
      <c r="M180" s="2" t="str">
        <f t="shared" si="11"/>
        <v/>
      </c>
      <c r="N180" s="2"/>
    </row>
    <row r="181" spans="1:14">
      <c r="A181" s="2" t="s">
        <v>923</v>
      </c>
      <c r="B181" s="2"/>
      <c r="C181" s="2"/>
      <c r="D181" s="2"/>
      <c r="E181" s="2"/>
      <c r="F181" s="2"/>
      <c r="G181" s="2"/>
      <c r="H181" s="2"/>
      <c r="I181" s="2"/>
      <c r="J181" s="2"/>
      <c r="K181" s="2"/>
      <c r="L181" s="2" t="str">
        <f t="shared" si="10"/>
        <v/>
      </c>
      <c r="M181" s="2" t="str">
        <f t="shared" si="11"/>
        <v/>
      </c>
      <c r="N181" s="2"/>
    </row>
    <row r="182" spans="1:14">
      <c r="A182" s="2" t="s">
        <v>924</v>
      </c>
      <c r="B182" s="2"/>
      <c r="C182" s="2"/>
      <c r="D182" s="2"/>
      <c r="E182" s="2"/>
      <c r="F182" s="2"/>
      <c r="G182" s="2"/>
      <c r="H182" s="2"/>
      <c r="I182" s="2"/>
      <c r="J182" s="2"/>
      <c r="K182" s="2"/>
      <c r="L182" s="2" t="str">
        <f t="shared" si="10"/>
        <v/>
      </c>
      <c r="M182" s="2" t="str">
        <f t="shared" si="11"/>
        <v/>
      </c>
      <c r="N182" s="2"/>
    </row>
    <row r="183" spans="1:14">
      <c r="A183" s="2" t="s">
        <v>925</v>
      </c>
      <c r="B183" s="2"/>
      <c r="C183" s="2"/>
      <c r="D183" s="2"/>
      <c r="E183" s="2"/>
      <c r="F183" s="2"/>
      <c r="G183" s="2"/>
      <c r="H183" s="2"/>
      <c r="I183" s="2"/>
      <c r="J183" s="2"/>
      <c r="K183" s="2"/>
      <c r="L183" s="2" t="str">
        <f t="shared" si="10"/>
        <v/>
      </c>
      <c r="M183" s="2" t="str">
        <f t="shared" si="11"/>
        <v/>
      </c>
      <c r="N183" s="2"/>
    </row>
    <row r="184" spans="1:14">
      <c r="A184" s="2" t="s">
        <v>926</v>
      </c>
      <c r="B184" s="2"/>
      <c r="C184" s="2"/>
      <c r="D184" s="2"/>
      <c r="E184" s="2"/>
      <c r="F184" s="2"/>
      <c r="G184" s="2"/>
      <c r="H184" s="2"/>
      <c r="I184" s="2"/>
      <c r="J184" s="2"/>
      <c r="K184" s="2"/>
      <c r="L184" s="2" t="str">
        <f t="shared" si="10"/>
        <v/>
      </c>
      <c r="M184" s="2" t="str">
        <f t="shared" si="11"/>
        <v/>
      </c>
      <c r="N184" s="2"/>
    </row>
    <row r="185" spans="1:14">
      <c r="A185" s="2" t="s">
        <v>927</v>
      </c>
      <c r="B185" s="2"/>
      <c r="C185" s="2"/>
      <c r="D185" s="2"/>
      <c r="E185" s="2"/>
      <c r="F185" s="2"/>
      <c r="G185" s="2"/>
      <c r="H185" s="2"/>
      <c r="I185" s="2"/>
      <c r="J185" s="2"/>
      <c r="K185" s="2"/>
      <c r="L185" s="2" t="str">
        <f t="shared" si="10"/>
        <v/>
      </c>
      <c r="M185" s="2" t="str">
        <f t="shared" si="11"/>
        <v/>
      </c>
      <c r="N185" s="2"/>
    </row>
    <row r="186" spans="1:14">
      <c r="A186" s="2" t="s">
        <v>928</v>
      </c>
      <c r="B186" s="2"/>
      <c r="C186" s="2"/>
      <c r="D186" s="2"/>
      <c r="E186" s="2"/>
      <c r="F186" s="2"/>
      <c r="G186" s="2"/>
      <c r="H186" s="2"/>
      <c r="I186" s="2"/>
      <c r="J186" s="2"/>
      <c r="K186" s="2"/>
      <c r="L186" s="2" t="str">
        <f t="shared" si="10"/>
        <v/>
      </c>
      <c r="M186" s="2" t="str">
        <f t="shared" si="11"/>
        <v/>
      </c>
      <c r="N186" s="2"/>
    </row>
    <row r="187" spans="1:14">
      <c r="A187" s="2" t="s">
        <v>929</v>
      </c>
      <c r="B187" s="2"/>
      <c r="C187" s="2"/>
      <c r="D187" s="2"/>
      <c r="E187" s="2"/>
      <c r="F187" s="2"/>
      <c r="G187" s="2"/>
      <c r="H187" s="2"/>
      <c r="I187" s="2"/>
      <c r="J187" s="2"/>
      <c r="K187" s="2"/>
      <c r="L187" s="2" t="str">
        <f t="shared" si="10"/>
        <v/>
      </c>
      <c r="M187" s="2" t="str">
        <f t="shared" si="11"/>
        <v/>
      </c>
      <c r="N187" s="2"/>
    </row>
    <row r="188" spans="1:14">
      <c r="A188" s="2" t="s">
        <v>930</v>
      </c>
      <c r="B188" s="2"/>
      <c r="C188" s="2"/>
      <c r="D188" s="2"/>
      <c r="E188" s="2"/>
      <c r="F188" s="2"/>
      <c r="G188" s="2"/>
      <c r="H188" s="2"/>
      <c r="I188" s="2"/>
      <c r="J188" s="2"/>
      <c r="K188" s="2"/>
      <c r="L188" s="2" t="str">
        <f t="shared" si="10"/>
        <v/>
      </c>
      <c r="M188" s="2" t="str">
        <f t="shared" si="11"/>
        <v/>
      </c>
      <c r="N188" s="2"/>
    </row>
    <row r="189" spans="1:14">
      <c r="A189" s="2" t="s">
        <v>931</v>
      </c>
      <c r="B189" s="2"/>
      <c r="C189" s="2"/>
      <c r="D189" s="2"/>
      <c r="E189" s="2"/>
      <c r="F189" s="2"/>
      <c r="G189" s="2"/>
      <c r="H189" s="2"/>
      <c r="I189" s="2"/>
      <c r="J189" s="2"/>
      <c r="K189" s="2"/>
      <c r="L189" s="2" t="str">
        <f t="shared" si="10"/>
        <v/>
      </c>
      <c r="M189" s="2" t="str">
        <f t="shared" si="11"/>
        <v/>
      </c>
      <c r="N189" s="2"/>
    </row>
    <row r="190" spans="1:14">
      <c r="A190" s="2" t="s">
        <v>932</v>
      </c>
      <c r="B190" s="2"/>
      <c r="C190" s="2"/>
      <c r="D190" s="2"/>
      <c r="E190" s="2"/>
      <c r="F190" s="2"/>
      <c r="G190" s="2"/>
      <c r="H190" s="2"/>
      <c r="I190" s="2"/>
      <c r="J190" s="2"/>
      <c r="K190" s="2"/>
      <c r="L190" s="2" t="str">
        <f t="shared" si="10"/>
        <v/>
      </c>
      <c r="M190" s="2" t="str">
        <f t="shared" si="11"/>
        <v/>
      </c>
      <c r="N190" s="2"/>
    </row>
    <row r="191" spans="1:14">
      <c r="A191" s="2" t="s">
        <v>933</v>
      </c>
      <c r="B191" s="2"/>
      <c r="C191" s="2"/>
      <c r="D191" s="2"/>
      <c r="E191" s="2"/>
      <c r="F191" s="2"/>
      <c r="G191" s="2"/>
      <c r="H191" s="2"/>
      <c r="I191" s="2"/>
      <c r="J191" s="2"/>
      <c r="K191" s="2"/>
      <c r="L191" s="2" t="str">
        <f t="shared" si="10"/>
        <v/>
      </c>
      <c r="M191" s="2" t="str">
        <f t="shared" si="11"/>
        <v/>
      </c>
      <c r="N191" s="2"/>
    </row>
    <row r="192" spans="1:14">
      <c r="A192" s="2" t="s">
        <v>934</v>
      </c>
      <c r="B192" s="2"/>
      <c r="C192" s="2"/>
      <c r="D192" s="2"/>
      <c r="E192" s="2"/>
      <c r="F192" s="2"/>
      <c r="G192" s="2"/>
      <c r="H192" s="2"/>
      <c r="I192" s="2"/>
      <c r="J192" s="2"/>
      <c r="K192" s="2"/>
      <c r="L192" s="2" t="str">
        <f t="shared" si="10"/>
        <v/>
      </c>
      <c r="M192" s="2" t="str">
        <f t="shared" si="11"/>
        <v/>
      </c>
      <c r="N192" s="2"/>
    </row>
    <row r="193" spans="1:14">
      <c r="A193" s="2" t="s">
        <v>935</v>
      </c>
      <c r="B193" s="2"/>
      <c r="C193" s="2"/>
      <c r="D193" s="2"/>
      <c r="E193" s="2"/>
      <c r="F193" s="2"/>
      <c r="G193" s="2"/>
      <c r="H193" s="2"/>
      <c r="I193" s="2"/>
      <c r="J193" s="2"/>
      <c r="K193" s="2"/>
      <c r="L193" s="2" t="str">
        <f t="shared" si="10"/>
        <v/>
      </c>
      <c r="M193" s="2" t="str">
        <f t="shared" si="11"/>
        <v/>
      </c>
      <c r="N193" s="2"/>
    </row>
    <row r="194" spans="1:14">
      <c r="A194" s="2" t="s">
        <v>936</v>
      </c>
      <c r="B194" s="2"/>
      <c r="C194" s="2"/>
      <c r="D194" s="2"/>
      <c r="E194" s="2"/>
      <c r="F194" s="2"/>
      <c r="G194" s="2"/>
      <c r="H194" s="2"/>
      <c r="I194" s="2"/>
      <c r="J194" s="2"/>
      <c r="K194" s="2"/>
      <c r="L194" s="2" t="str">
        <f t="shared" si="10"/>
        <v/>
      </c>
      <c r="M194" s="2" t="str">
        <f t="shared" si="11"/>
        <v/>
      </c>
      <c r="N194" s="2"/>
    </row>
    <row r="195" spans="1:14">
      <c r="A195" s="2" t="s">
        <v>937</v>
      </c>
      <c r="B195" s="2"/>
      <c r="C195" s="2"/>
      <c r="D195" s="2"/>
      <c r="E195" s="2"/>
      <c r="F195" s="2"/>
      <c r="G195" s="2"/>
      <c r="H195" s="2"/>
      <c r="I195" s="2"/>
      <c r="J195" s="2"/>
      <c r="K195" s="2"/>
      <c r="L195" s="2" t="str">
        <f t="shared" si="10"/>
        <v/>
      </c>
      <c r="M195" s="2" t="str">
        <f t="shared" si="11"/>
        <v/>
      </c>
      <c r="N195" s="2"/>
    </row>
    <row r="196" spans="1:14">
      <c r="A196" s="2" t="s">
        <v>938</v>
      </c>
      <c r="B196" s="2"/>
      <c r="C196" s="2"/>
      <c r="D196" s="2"/>
      <c r="E196" s="2"/>
      <c r="F196" s="2"/>
      <c r="G196" s="2"/>
      <c r="H196" s="2"/>
      <c r="I196" s="2"/>
      <c r="J196" s="2"/>
      <c r="K196" s="2"/>
      <c r="L196" s="2" t="str">
        <f t="shared" si="10"/>
        <v/>
      </c>
      <c r="M196" s="2" t="str">
        <f t="shared" si="11"/>
        <v/>
      </c>
      <c r="N196" s="2"/>
    </row>
    <row r="197" spans="1:14">
      <c r="A197" s="2" t="s">
        <v>939</v>
      </c>
      <c r="B197" s="2"/>
      <c r="C197" s="2"/>
      <c r="D197" s="2"/>
      <c r="E197" s="2"/>
      <c r="F197" s="2"/>
      <c r="G197" s="2"/>
      <c r="H197" s="2"/>
      <c r="I197" s="2"/>
      <c r="J197" s="2"/>
      <c r="K197" s="2"/>
      <c r="L197" s="2" t="str">
        <f t="shared" si="10"/>
        <v/>
      </c>
      <c r="M197" s="2" t="str">
        <f t="shared" si="11"/>
        <v/>
      </c>
      <c r="N197" s="2"/>
    </row>
    <row r="198" spans="1:14">
      <c r="A198" s="2" t="s">
        <v>940</v>
      </c>
      <c r="B198" s="2"/>
      <c r="C198" s="2"/>
      <c r="D198" s="2"/>
      <c r="E198" s="2"/>
      <c r="F198" s="2"/>
      <c r="G198" s="2"/>
      <c r="H198" s="2"/>
      <c r="I198" s="2"/>
      <c r="J198" s="2"/>
      <c r="K198" s="2"/>
      <c r="L198" s="2" t="str">
        <f t="shared" si="10"/>
        <v/>
      </c>
      <c r="M198" s="2" t="str">
        <f t="shared" si="11"/>
        <v/>
      </c>
      <c r="N198" s="2"/>
    </row>
    <row r="199" spans="1:14">
      <c r="A199" s="2" t="s">
        <v>941</v>
      </c>
      <c r="B199" s="2"/>
      <c r="C199" s="2"/>
      <c r="D199" s="2"/>
      <c r="E199" s="2"/>
      <c r="F199" s="2"/>
      <c r="G199" s="2"/>
      <c r="H199" s="2"/>
      <c r="I199" s="2"/>
      <c r="J199" s="2"/>
      <c r="K199" s="2"/>
      <c r="L199" s="2" t="str">
        <f t="shared" ref="L199:L230" si="12">IF(OR(H199="",I199="",J199="",K199=""),"",ROUND(H199*0.25+I199*0.25+J199*0.3+K199*0.2,2))</f>
        <v/>
      </c>
      <c r="M199" s="2" t="str">
        <f t="shared" ref="M199:M230" si="13">IF(L199="","",IF(L199&gt;=4.2,"Сильное преимущество",IF(L199&gt;=3.4,"Потенциальное преимущество",IF(L199&gt;=2.5,"Слабое преимущество","Не считать преимуществом"))))</f>
        <v/>
      </c>
      <c r="N199" s="2"/>
    </row>
    <row r="200" spans="1:14">
      <c r="A200" s="2" t="s">
        <v>942</v>
      </c>
      <c r="B200" s="2"/>
      <c r="C200" s="2"/>
      <c r="D200" s="2"/>
      <c r="E200" s="2"/>
      <c r="F200" s="2"/>
      <c r="G200" s="2"/>
      <c r="H200" s="2"/>
      <c r="I200" s="2"/>
      <c r="J200" s="2"/>
      <c r="K200" s="2"/>
      <c r="L200" s="2" t="str">
        <f t="shared" si="12"/>
        <v/>
      </c>
      <c r="M200" s="2" t="str">
        <f t="shared" si="13"/>
        <v/>
      </c>
      <c r="N200" s="2"/>
    </row>
    <row r="201" spans="1:14">
      <c r="A201" s="2" t="s">
        <v>943</v>
      </c>
      <c r="B201" s="2"/>
      <c r="C201" s="2"/>
      <c r="D201" s="2"/>
      <c r="E201" s="2"/>
      <c r="F201" s="2"/>
      <c r="G201" s="2"/>
      <c r="H201" s="2"/>
      <c r="I201" s="2"/>
      <c r="J201" s="2"/>
      <c r="K201" s="2"/>
      <c r="L201" s="2" t="str">
        <f t="shared" si="12"/>
        <v/>
      </c>
      <c r="M201" s="2" t="str">
        <f t="shared" si="13"/>
        <v/>
      </c>
      <c r="N201" s="2"/>
    </row>
    <row r="202" spans="1:14">
      <c r="A202" s="2" t="s">
        <v>944</v>
      </c>
      <c r="B202" s="2"/>
      <c r="C202" s="2"/>
      <c r="D202" s="2"/>
      <c r="E202" s="2"/>
      <c r="F202" s="2"/>
      <c r="G202" s="2"/>
      <c r="H202" s="2"/>
      <c r="I202" s="2"/>
      <c r="J202" s="2"/>
      <c r="K202" s="2"/>
      <c r="L202" s="2" t="str">
        <f t="shared" si="12"/>
        <v/>
      </c>
      <c r="M202" s="2" t="str">
        <f t="shared" si="13"/>
        <v/>
      </c>
      <c r="N202" s="2"/>
    </row>
    <row r="203" spans="1:14">
      <c r="A203" s="2" t="s">
        <v>945</v>
      </c>
      <c r="B203" s="2"/>
      <c r="C203" s="2"/>
      <c r="D203" s="2"/>
      <c r="E203" s="2"/>
      <c r="F203" s="2"/>
      <c r="G203" s="2"/>
      <c r="H203" s="2"/>
      <c r="I203" s="2"/>
      <c r="J203" s="2"/>
      <c r="K203" s="2"/>
      <c r="L203" s="2" t="str">
        <f t="shared" si="12"/>
        <v/>
      </c>
      <c r="M203" s="2" t="str">
        <f t="shared" si="13"/>
        <v/>
      </c>
      <c r="N203" s="2"/>
    </row>
    <row r="204" spans="1:14">
      <c r="A204" s="2" t="s">
        <v>946</v>
      </c>
      <c r="B204" s="2"/>
      <c r="C204" s="2"/>
      <c r="D204" s="2"/>
      <c r="E204" s="2"/>
      <c r="F204" s="2"/>
      <c r="G204" s="2"/>
      <c r="H204" s="2"/>
      <c r="I204" s="2"/>
      <c r="J204" s="2"/>
      <c r="K204" s="2"/>
      <c r="L204" s="2" t="str">
        <f t="shared" si="12"/>
        <v/>
      </c>
      <c r="M204" s="2" t="str">
        <f t="shared" si="13"/>
        <v/>
      </c>
      <c r="N204" s="2"/>
    </row>
    <row r="205" spans="1:14">
      <c r="A205" s="2" t="s">
        <v>947</v>
      </c>
      <c r="B205" s="2"/>
      <c r="C205" s="2"/>
      <c r="D205" s="2"/>
      <c r="E205" s="2"/>
      <c r="F205" s="2"/>
      <c r="G205" s="2"/>
      <c r="H205" s="2"/>
      <c r="I205" s="2"/>
      <c r="J205" s="2"/>
      <c r="K205" s="2"/>
      <c r="L205" s="2" t="str">
        <f t="shared" si="12"/>
        <v/>
      </c>
      <c r="M205" s="2" t="str">
        <f t="shared" si="13"/>
        <v/>
      </c>
      <c r="N205" s="2"/>
    </row>
    <row r="206" spans="1:14">
      <c r="A206" s="2" t="s">
        <v>948</v>
      </c>
      <c r="B206" s="2"/>
      <c r="C206" s="2"/>
      <c r="D206" s="2"/>
      <c r="E206" s="2"/>
      <c r="F206" s="2"/>
      <c r="G206" s="2"/>
      <c r="H206" s="2"/>
      <c r="I206" s="2"/>
      <c r="J206" s="2"/>
      <c r="K206" s="2"/>
      <c r="L206" s="2" t="str">
        <f t="shared" si="12"/>
        <v/>
      </c>
      <c r="M206" s="2" t="str">
        <f t="shared" si="13"/>
        <v/>
      </c>
      <c r="N206" s="2"/>
    </row>
  </sheetData>
  <mergeCells count="2">
    <mergeCell ref="A1:N1"/>
    <mergeCell ref="A2:N2"/>
  </mergeCells>
  <conditionalFormatting sqref="L7:L206">
    <cfRule type="colorScale" priority="1">
      <colorScale>
        <cfvo type="min"/>
        <cfvo type="percentile" val="50"/>
        <cfvo type="max"/>
        <color rgb="FFFEE2E2"/>
        <color rgb="FFFEF3C7"/>
        <color rgb="FFDCFCE7"/>
      </colorScale>
    </cfRule>
  </conditionalFormatting>
  <dataValidations count="4">
    <dataValidation type="list" sqref="E7:E206" xr:uid="{00000000-0002-0000-0800-000000000000}">
      <formula1>"1. Базовая выгода,2. Родовой товар,3. Ожидаемый товар,4. Расширенный товар,5. Потенциальный товар"</formula1>
    </dataValidation>
    <dataValidation type="list" sqref="F7:F206" xr:uid="{00000000-0002-0000-0800-000001000000}">
      <formula1>"Обязательное,Линейное,Привлекательное,Безразличное,Обратное,Неясное"</formula1>
    </dataValidation>
    <dataValidation type="list" sqref="G7:G206" xr:uid="{00000000-0002-0000-0800-000002000000}">
      <formula1>"Функциональное,Экономическое,Интерфейсное,Сервисное,Доверительное,Данные и аналитика,Сетевой эффект,Интеграционное,Контентное"</formula1>
    </dataValidation>
    <dataValidation type="list" sqref="H7:K206" xr:uid="{00000000-0002-0000-0800-000003000000}">
      <formula1>"1,2,3,4,5"</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5"/>
  <sheetViews>
    <sheetView workbookViewId="0"/>
  </sheetViews>
  <sheetFormatPr defaultRowHeight="13.5"/>
  <cols>
    <col min="1" max="1" width="28" customWidth="1"/>
    <col min="2" max="2" width="14" customWidth="1"/>
    <col min="3" max="3" width="18" customWidth="1"/>
    <col min="4" max="4" width="48" customWidth="1"/>
    <col min="6" max="6" width="22" customWidth="1"/>
    <col min="7" max="8" width="14" customWidth="1"/>
    <col min="10" max="10" width="28" customWidth="1"/>
    <col min="11" max="12" width="16" customWidth="1"/>
  </cols>
  <sheetData>
    <row r="1" spans="1:14" ht="16.05" customHeight="1">
      <c r="A1" s="12" t="s">
        <v>949</v>
      </c>
      <c r="B1" s="13"/>
      <c r="C1" s="13"/>
      <c r="D1" s="13"/>
      <c r="E1" s="13"/>
      <c r="F1" s="13"/>
      <c r="G1" s="13"/>
      <c r="H1" s="13"/>
      <c r="I1" s="13"/>
      <c r="J1" s="13"/>
      <c r="K1" s="13"/>
      <c r="L1" s="13"/>
      <c r="M1" s="13"/>
      <c r="N1" s="13"/>
    </row>
    <row r="2" spans="1:14" ht="21" customHeight="1">
      <c r="A2" s="14" t="s">
        <v>950</v>
      </c>
      <c r="B2" s="14"/>
      <c r="C2" s="14"/>
      <c r="D2" s="14"/>
      <c r="E2" s="14"/>
      <c r="F2" s="14"/>
      <c r="G2" s="14"/>
      <c r="H2" s="14"/>
      <c r="I2" s="14"/>
      <c r="J2" s="14"/>
      <c r="K2" s="14"/>
      <c r="L2" s="14"/>
      <c r="M2" s="14"/>
      <c r="N2" s="14"/>
    </row>
    <row r="4" spans="1:14" ht="17" customHeight="1">
      <c r="A4" s="1" t="s">
        <v>951</v>
      </c>
      <c r="B4" s="1" t="s">
        <v>952</v>
      </c>
      <c r="C4" s="1" t="s">
        <v>953</v>
      </c>
      <c r="D4" s="1" t="s">
        <v>80</v>
      </c>
      <c r="F4" s="1" t="s">
        <v>145</v>
      </c>
      <c r="G4" s="1" t="s">
        <v>954</v>
      </c>
      <c r="H4" s="1" t="s">
        <v>955</v>
      </c>
      <c r="J4" s="1" t="s">
        <v>532</v>
      </c>
      <c r="K4" s="1" t="s">
        <v>956</v>
      </c>
      <c r="L4" s="1" t="s">
        <v>957</v>
      </c>
    </row>
    <row r="5" spans="1:14" ht="15">
      <c r="A5" s="2" t="s">
        <v>958</v>
      </c>
      <c r="B5" s="8">
        <f>COUNTIF('01_Конкуренты'!$B$7:$B$36,"?*")</f>
        <v>8</v>
      </c>
      <c r="C5" s="2" t="s">
        <v>959</v>
      </c>
      <c r="D5" s="2" t="s">
        <v>960</v>
      </c>
      <c r="F5" s="2" t="s">
        <v>375</v>
      </c>
      <c r="G5" s="2">
        <f>COUNTIF('04_Кано'!$E$7:$E$206,F5)</f>
        <v>7</v>
      </c>
      <c r="H5" s="5">
        <f t="shared" ref="H5:H10" si="0">IFERROR(G5/SUM($G$5:$G$10),"")</f>
        <v>0.21212121212121213</v>
      </c>
      <c r="J5" s="2" t="s">
        <v>367</v>
      </c>
      <c r="K5" s="2">
        <f>COUNTIF('03_Левитт'!$D$7:$D$306,J5)</f>
        <v>8</v>
      </c>
      <c r="L5" s="2">
        <f>IFERROR(AVERAGEIF('03_Левитт'!$D$7:$D$306,J5,'03_Левитт'!$L$7:$L$306),"")</f>
        <v>5</v>
      </c>
    </row>
    <row r="6" spans="1:14" ht="25.5">
      <c r="A6" s="2" t="s">
        <v>961</v>
      </c>
      <c r="B6" s="8">
        <f>COUNTIF('02_Карта_сайтов'!$C$7:$C$206,"?*")</f>
        <v>40</v>
      </c>
      <c r="C6" s="2" t="s">
        <v>962</v>
      </c>
      <c r="D6" s="2" t="s">
        <v>963</v>
      </c>
      <c r="F6" s="2" t="s">
        <v>371</v>
      </c>
      <c r="G6" s="2">
        <f>COUNTIF('04_Кано'!$E$7:$E$206,F6)</f>
        <v>11</v>
      </c>
      <c r="H6" s="5">
        <f t="shared" si="0"/>
        <v>0.33333333333333331</v>
      </c>
      <c r="J6" s="2" t="s">
        <v>374</v>
      </c>
      <c r="K6" s="2">
        <f>COUNTIF('03_Левитт'!$D$7:$D$306,J6)</f>
        <v>13</v>
      </c>
      <c r="L6" s="2">
        <f>IFERROR(AVERAGEIF('03_Левитт'!$D$7:$D$306,J6,'03_Левитт'!$L$7:$L$306),"")</f>
        <v>4.2569230769230773</v>
      </c>
    </row>
    <row r="7" spans="1:14" ht="15">
      <c r="A7" s="2" t="s">
        <v>964</v>
      </c>
      <c r="B7" s="8">
        <f>COUNTIF('03_Левитт'!$E$7:$E$306,"?*")</f>
        <v>153</v>
      </c>
      <c r="C7" s="2" t="s">
        <v>965</v>
      </c>
      <c r="D7" s="2" t="s">
        <v>966</v>
      </c>
      <c r="F7" s="2" t="s">
        <v>394</v>
      </c>
      <c r="G7" s="2">
        <f>COUNTIF('04_Кано'!$E$7:$E$206,F7)</f>
        <v>9</v>
      </c>
      <c r="H7" s="5">
        <f t="shared" si="0"/>
        <v>0.27272727272727271</v>
      </c>
      <c r="J7" s="2" t="s">
        <v>378</v>
      </c>
      <c r="K7" s="2">
        <f>COUNTIF('03_Левитт'!$D$7:$D$306,J7)</f>
        <v>63</v>
      </c>
      <c r="L7" s="2">
        <f>IFERROR(AVERAGEIF('03_Левитт'!$D$7:$D$306,J7,'03_Левитт'!$L$7:$L$306),"")</f>
        <v>3.8969841269841274</v>
      </c>
    </row>
    <row r="8" spans="1:14" ht="25.5">
      <c r="A8" s="2" t="s">
        <v>967</v>
      </c>
      <c r="B8" s="8">
        <f>COUNTIF('04_Кано'!$B$7:$B$206,"?*")</f>
        <v>33</v>
      </c>
      <c r="C8" s="2" t="s">
        <v>968</v>
      </c>
      <c r="D8" s="2" t="s">
        <v>969</v>
      </c>
      <c r="F8" s="2" t="s">
        <v>970</v>
      </c>
      <c r="G8" s="2">
        <f>COUNTIF('04_Кано'!$E$7:$E$206,F8)</f>
        <v>4</v>
      </c>
      <c r="H8" s="5">
        <f t="shared" si="0"/>
        <v>0.12121212121212122</v>
      </c>
      <c r="J8" s="2" t="s">
        <v>387</v>
      </c>
      <c r="K8" s="2">
        <f>COUNTIF('03_Левитт'!$D$7:$D$306,J8)</f>
        <v>65</v>
      </c>
      <c r="L8" s="2">
        <f>IFERROR(AVERAGEIF('03_Левитт'!$D$7:$D$306,J8,'03_Левитт'!$L$7:$L$306),"")</f>
        <v>2.7409230769230768</v>
      </c>
    </row>
    <row r="9" spans="1:14" ht="15">
      <c r="A9" s="2" t="s">
        <v>971</v>
      </c>
      <c r="B9" s="8">
        <f>COUNTIF('07_Стандарт_рынка'!$I$7:$I$206,"Рыночный стандарт")</f>
        <v>13</v>
      </c>
      <c r="C9" s="2" t="s">
        <v>972</v>
      </c>
      <c r="D9" s="2" t="s">
        <v>973</v>
      </c>
      <c r="F9" s="2" t="s">
        <v>974</v>
      </c>
      <c r="G9" s="2">
        <f>COUNTIF('04_Кано'!$E$7:$E$206,F9)</f>
        <v>0</v>
      </c>
      <c r="H9" s="5">
        <f t="shared" si="0"/>
        <v>0</v>
      </c>
      <c r="J9" s="2" t="s">
        <v>393</v>
      </c>
      <c r="K9" s="2">
        <f>COUNTIF('03_Левитт'!$D$7:$D$306,J9)</f>
        <v>4</v>
      </c>
      <c r="L9" s="2">
        <f>IFERROR(AVERAGEIF('03_Левитт'!$D$7:$D$306,J9,'03_Левитт'!$L$7:$L$306),"")</f>
        <v>2.5</v>
      </c>
    </row>
    <row r="10" spans="1:14" ht="15">
      <c r="A10" s="2" t="s">
        <v>975</v>
      </c>
      <c r="B10" s="8">
        <f>COUNTIF('07_Стандарт_рынка'!$I$7:$I$206,"Зона дифференциации")</f>
        <v>2</v>
      </c>
      <c r="C10" s="2" t="s">
        <v>972</v>
      </c>
      <c r="D10" s="2" t="s">
        <v>976</v>
      </c>
      <c r="F10" s="2" t="s">
        <v>977</v>
      </c>
      <c r="G10" s="2">
        <f>COUNTIF('04_Кано'!$E$7:$E$206,F10)</f>
        <v>2</v>
      </c>
      <c r="H10" s="5">
        <f t="shared" si="0"/>
        <v>6.0606060606060608E-2</v>
      </c>
    </row>
    <row r="11" spans="1:14" ht="15">
      <c r="A11" s="2" t="s">
        <v>978</v>
      </c>
      <c r="B11" s="8">
        <f>COUNTIF('08_Преимущества'!$M$7:$M$206,"Сильное преимущество")</f>
        <v>4</v>
      </c>
      <c r="C11" s="2" t="s">
        <v>972</v>
      </c>
      <c r="D11" s="2" t="s">
        <v>979</v>
      </c>
    </row>
    <row r="14" spans="1:14" ht="13.9">
      <c r="A14" s="6" t="s">
        <v>980</v>
      </c>
      <c r="B14" s="6"/>
      <c r="C14" s="6"/>
      <c r="D14" s="6"/>
      <c r="E14" s="6"/>
      <c r="F14" s="6"/>
      <c r="G14" s="6"/>
      <c r="H14" s="6"/>
      <c r="I14" s="6"/>
      <c r="J14" s="6"/>
    </row>
    <row r="15" spans="1:14" ht="17" customHeight="1">
      <c r="A15" s="1" t="s">
        <v>81</v>
      </c>
      <c r="B15" s="1" t="s">
        <v>83</v>
      </c>
      <c r="C15" s="1" t="s">
        <v>84</v>
      </c>
      <c r="D15" s="1" t="s">
        <v>85</v>
      </c>
      <c r="E15" s="1" t="s">
        <v>86</v>
      </c>
      <c r="F15" s="1" t="s">
        <v>87</v>
      </c>
      <c r="G15" s="1" t="s">
        <v>88</v>
      </c>
      <c r="H15" s="1" t="s">
        <v>89</v>
      </c>
    </row>
    <row r="16" spans="1:14" ht="15">
      <c r="A16" s="10">
        <f>'06_Сравнение'!E90</f>
        <v>3.28</v>
      </c>
      <c r="B16" s="10">
        <f>'06_Сравнение'!F90</f>
        <v>3.35</v>
      </c>
      <c r="C16" s="10">
        <f>'06_Сравнение'!G90</f>
        <v>4.4800000000000004</v>
      </c>
      <c r="D16" s="10">
        <f>'06_Сравнение'!H90</f>
        <v>4.26</v>
      </c>
      <c r="E16" s="10">
        <f>'06_Сравнение'!I90</f>
        <v>4.01</v>
      </c>
      <c r="F16" s="10">
        <f>'06_Сравнение'!J90</f>
        <v>4.6399999999999997</v>
      </c>
      <c r="G16" s="10">
        <f>'06_Сравнение'!K90</f>
        <v>4.46</v>
      </c>
      <c r="H16" s="10">
        <f>'06_Сравнение'!L90</f>
        <v>4.05</v>
      </c>
    </row>
    <row r="17" spans="1:14">
      <c r="A17" s="9" t="str">
        <f>'06_Сравнение'!E91</f>
        <v>Средний уровень</v>
      </c>
      <c r="B17" s="9" t="str">
        <f>'06_Сравнение'!F91</f>
        <v>Средний уровень</v>
      </c>
      <c r="C17" s="9" t="str">
        <f>'06_Сравнение'!G91</f>
        <v>Лидерский уровень</v>
      </c>
      <c r="D17" s="9" t="str">
        <f>'06_Сравнение'!H91</f>
        <v>Лидерский уровень</v>
      </c>
      <c r="E17" s="9" t="str">
        <f>'06_Сравнение'!I91</f>
        <v>Сильный уровень</v>
      </c>
      <c r="F17" s="9" t="str">
        <f>'06_Сравнение'!J91</f>
        <v>Лидерский уровень</v>
      </c>
      <c r="G17" s="9" t="str">
        <f>'06_Сравнение'!K91</f>
        <v>Лидерский уровень</v>
      </c>
      <c r="H17" s="9" t="str">
        <f>'06_Сравнение'!L91</f>
        <v>Сильный уровень</v>
      </c>
    </row>
    <row r="20" spans="1:14" ht="13.9">
      <c r="A20" s="6" t="s">
        <v>981</v>
      </c>
      <c r="B20" s="6"/>
      <c r="C20" s="6"/>
      <c r="D20" s="6"/>
      <c r="E20" s="6"/>
      <c r="F20" s="6"/>
      <c r="G20" s="6"/>
      <c r="H20" s="6"/>
      <c r="I20" s="6"/>
      <c r="J20" s="6"/>
      <c r="K20" s="6"/>
      <c r="L20" s="6"/>
      <c r="M20" s="6"/>
      <c r="N20" s="6"/>
    </row>
    <row r="21" spans="1:14" ht="19.05" customHeight="1">
      <c r="A21" s="11" t="s">
        <v>982</v>
      </c>
      <c r="B21" s="16" t="s">
        <v>1496</v>
      </c>
      <c r="C21" s="16"/>
      <c r="D21" s="16"/>
      <c r="E21" s="16"/>
      <c r="F21" s="16"/>
      <c r="G21" s="16"/>
      <c r="H21" s="16"/>
      <c r="I21" s="16"/>
      <c r="J21" s="16"/>
      <c r="K21" s="16"/>
      <c r="L21" s="16"/>
      <c r="M21" s="16"/>
      <c r="N21" s="16"/>
    </row>
    <row r="22" spans="1:14" ht="19.05" customHeight="1">
      <c r="A22" s="11" t="s">
        <v>983</v>
      </c>
      <c r="B22" s="16" t="s">
        <v>1497</v>
      </c>
      <c r="C22" s="16"/>
      <c r="D22" s="16"/>
      <c r="E22" s="16"/>
      <c r="F22" s="16"/>
      <c r="G22" s="16"/>
      <c r="H22" s="16"/>
      <c r="I22" s="16"/>
      <c r="J22" s="16"/>
      <c r="K22" s="16"/>
      <c r="L22" s="16"/>
      <c r="M22" s="16"/>
      <c r="N22" s="16"/>
    </row>
    <row r="23" spans="1:14" ht="19.05" customHeight="1">
      <c r="A23" s="11" t="s">
        <v>984</v>
      </c>
      <c r="B23" s="16" t="s">
        <v>1498</v>
      </c>
      <c r="C23" s="16"/>
      <c r="D23" s="16"/>
      <c r="E23" s="16"/>
      <c r="F23" s="16"/>
      <c r="G23" s="16"/>
      <c r="H23" s="16"/>
      <c r="I23" s="16"/>
      <c r="J23" s="16"/>
      <c r="K23" s="16"/>
      <c r="L23" s="16"/>
      <c r="M23" s="16"/>
      <c r="N23" s="16"/>
    </row>
    <row r="24" spans="1:14" ht="19.05" customHeight="1">
      <c r="A24" s="11" t="s">
        <v>985</v>
      </c>
      <c r="B24" s="16" t="s">
        <v>1499</v>
      </c>
      <c r="C24" s="16"/>
      <c r="D24" s="16"/>
      <c r="E24" s="16"/>
      <c r="F24" s="16"/>
      <c r="G24" s="16"/>
      <c r="H24" s="16"/>
      <c r="I24" s="16"/>
      <c r="J24" s="16"/>
      <c r="K24" s="16"/>
      <c r="L24" s="16"/>
      <c r="M24" s="16"/>
      <c r="N24" s="16"/>
    </row>
    <row r="25" spans="1:14" ht="19.05" customHeight="1">
      <c r="A25" s="11" t="s">
        <v>986</v>
      </c>
      <c r="B25" s="16" t="s">
        <v>1500</v>
      </c>
      <c r="C25" s="16"/>
      <c r="D25" s="16"/>
      <c r="E25" s="16"/>
      <c r="F25" s="16"/>
      <c r="G25" s="16"/>
      <c r="H25" s="16"/>
      <c r="I25" s="16"/>
      <c r="J25" s="16"/>
      <c r="K25" s="16"/>
      <c r="L25" s="16"/>
      <c r="M25" s="16"/>
      <c r="N25" s="16"/>
    </row>
  </sheetData>
  <mergeCells count="7">
    <mergeCell ref="B24:N24"/>
    <mergeCell ref="B25:N25"/>
    <mergeCell ref="A1:N1"/>
    <mergeCell ref="A2:N2"/>
    <mergeCell ref="B21:N21"/>
    <mergeCell ref="B22:N22"/>
    <mergeCell ref="B23:N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4"/>
  <sheetViews>
    <sheetView workbookViewId="0">
      <selection sqref="A1:H1"/>
    </sheetView>
  </sheetViews>
  <sheetFormatPr defaultRowHeight="13.5"/>
  <cols>
    <col min="1" max="1" width="24" customWidth="1"/>
    <col min="2" max="2" width="28" customWidth="1"/>
    <col min="3" max="3" width="72" customWidth="1"/>
  </cols>
  <sheetData>
    <row r="1" spans="1:8" ht="16.05" customHeight="1">
      <c r="A1" s="12" t="s">
        <v>987</v>
      </c>
      <c r="B1" s="13"/>
      <c r="C1" s="13"/>
      <c r="D1" s="13"/>
      <c r="E1" s="13"/>
      <c r="F1" s="13"/>
      <c r="G1" s="13"/>
      <c r="H1" s="13"/>
    </row>
    <row r="2" spans="1:8" ht="21" customHeight="1">
      <c r="A2" s="14" t="s">
        <v>988</v>
      </c>
      <c r="B2" s="14"/>
      <c r="C2" s="14"/>
      <c r="D2" s="14"/>
      <c r="E2" s="14"/>
      <c r="F2" s="14"/>
      <c r="G2" s="14"/>
      <c r="H2" s="14"/>
    </row>
    <row r="4" spans="1:8" ht="17" customHeight="1">
      <c r="A4" s="1" t="s">
        <v>989</v>
      </c>
      <c r="B4" s="1" t="s">
        <v>952</v>
      </c>
      <c r="C4" s="1" t="s">
        <v>990</v>
      </c>
    </row>
    <row r="5" spans="1:8">
      <c r="A5" s="2" t="s">
        <v>991</v>
      </c>
      <c r="B5" s="2" t="s">
        <v>367</v>
      </c>
      <c r="C5" s="2" t="s">
        <v>992</v>
      </c>
    </row>
    <row r="6" spans="1:8">
      <c r="A6" s="2" t="s">
        <v>991</v>
      </c>
      <c r="B6" s="2" t="s">
        <v>374</v>
      </c>
      <c r="C6" s="2" t="s">
        <v>993</v>
      </c>
    </row>
    <row r="7" spans="1:8">
      <c r="A7" s="2" t="s">
        <v>991</v>
      </c>
      <c r="B7" s="2" t="s">
        <v>378</v>
      </c>
      <c r="C7" s="2" t="s">
        <v>994</v>
      </c>
    </row>
    <row r="8" spans="1:8">
      <c r="A8" s="2" t="s">
        <v>991</v>
      </c>
      <c r="B8" s="2" t="s">
        <v>387</v>
      </c>
      <c r="C8" s="2" t="s">
        <v>995</v>
      </c>
    </row>
    <row r="9" spans="1:8">
      <c r="A9" s="2" t="s">
        <v>991</v>
      </c>
      <c r="B9" s="2" t="s">
        <v>393</v>
      </c>
      <c r="C9" s="2" t="s">
        <v>996</v>
      </c>
    </row>
    <row r="10" spans="1:8" ht="25.5">
      <c r="A10" s="2" t="s">
        <v>997</v>
      </c>
      <c r="B10" s="2" t="s">
        <v>375</v>
      </c>
      <c r="C10" s="2" t="s">
        <v>998</v>
      </c>
    </row>
    <row r="11" spans="1:8">
      <c r="A11" s="2" t="s">
        <v>997</v>
      </c>
      <c r="B11" s="2" t="s">
        <v>371</v>
      </c>
      <c r="C11" s="2" t="s">
        <v>999</v>
      </c>
    </row>
    <row r="12" spans="1:8">
      <c r="A12" s="2" t="s">
        <v>997</v>
      </c>
      <c r="B12" s="2" t="s">
        <v>394</v>
      </c>
      <c r="C12" s="2" t="s">
        <v>1000</v>
      </c>
    </row>
    <row r="13" spans="1:8">
      <c r="A13" s="2" t="s">
        <v>997</v>
      </c>
      <c r="B13" s="2" t="s">
        <v>970</v>
      </c>
      <c r="C13" s="2" t="s">
        <v>1001</v>
      </c>
    </row>
    <row r="14" spans="1:8">
      <c r="A14" s="2" t="s">
        <v>997</v>
      </c>
      <c r="B14" s="2" t="s">
        <v>974</v>
      </c>
      <c r="C14" s="2" t="s">
        <v>1002</v>
      </c>
    </row>
    <row r="15" spans="1:8">
      <c r="A15" s="2" t="s">
        <v>997</v>
      </c>
      <c r="B15" s="2" t="s">
        <v>977</v>
      </c>
      <c r="C15" s="2" t="s">
        <v>1003</v>
      </c>
    </row>
    <row r="16" spans="1:8">
      <c r="A16" s="2" t="s">
        <v>1004</v>
      </c>
      <c r="B16" s="2" t="s">
        <v>1005</v>
      </c>
      <c r="C16" s="2" t="s">
        <v>1006</v>
      </c>
    </row>
    <row r="17" spans="1:3">
      <c r="A17" s="2" t="s">
        <v>1004</v>
      </c>
      <c r="B17" s="2" t="s">
        <v>1007</v>
      </c>
      <c r="C17" s="2" t="s">
        <v>1008</v>
      </c>
    </row>
    <row r="18" spans="1:3">
      <c r="A18" s="2" t="s">
        <v>1004</v>
      </c>
      <c r="B18" s="2" t="s">
        <v>1009</v>
      </c>
      <c r="C18" s="2" t="s">
        <v>1010</v>
      </c>
    </row>
    <row r="19" spans="1:3">
      <c r="A19" s="2" t="s">
        <v>1004</v>
      </c>
      <c r="B19" s="2" t="s">
        <v>1011</v>
      </c>
      <c r="C19" s="2" t="s">
        <v>1012</v>
      </c>
    </row>
    <row r="20" spans="1:3">
      <c r="A20" s="2" t="s">
        <v>1004</v>
      </c>
      <c r="B20" s="2" t="s">
        <v>1013</v>
      </c>
      <c r="C20" s="2" t="s">
        <v>1014</v>
      </c>
    </row>
    <row r="21" spans="1:3">
      <c r="A21" s="2" t="s">
        <v>1004</v>
      </c>
      <c r="B21" s="2" t="s">
        <v>1015</v>
      </c>
      <c r="C21" s="2" t="s">
        <v>1016</v>
      </c>
    </row>
    <row r="22" spans="1:3">
      <c r="A22" s="2" t="s">
        <v>1004</v>
      </c>
      <c r="B22" s="2" t="s">
        <v>1017</v>
      </c>
      <c r="C22" s="2" t="s">
        <v>1018</v>
      </c>
    </row>
    <row r="23" spans="1:3">
      <c r="A23" s="2" t="s">
        <v>1004</v>
      </c>
      <c r="B23" s="2" t="s">
        <v>1019</v>
      </c>
      <c r="C23" s="2" t="s">
        <v>1020</v>
      </c>
    </row>
    <row r="24" spans="1:3">
      <c r="A24" s="2" t="s">
        <v>1004</v>
      </c>
      <c r="B24" s="2" t="s">
        <v>1021</v>
      </c>
      <c r="C24" s="2" t="s">
        <v>1022</v>
      </c>
    </row>
  </sheetData>
  <mergeCells count="2">
    <mergeCell ref="A1:H1"/>
    <mergeCell ref="A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0069-9FF6-442F-8040-97381C2624A3}">
  <dimension ref="A1:C16"/>
  <sheetViews>
    <sheetView workbookViewId="0"/>
  </sheetViews>
  <sheetFormatPr defaultRowHeight="12.75"/>
  <cols>
    <col min="1" max="1" width="22.5625" style="17" customWidth="1"/>
    <col min="2" max="2" width="8.5625" style="17" customWidth="1"/>
    <col min="3" max="3" width="150.5625" style="17" customWidth="1"/>
    <col min="4" max="16384" width="9" style="17"/>
  </cols>
  <sheetData>
    <row r="1" spans="1:3" ht="15">
      <c r="A1" s="18" t="s">
        <v>1501</v>
      </c>
    </row>
    <row r="3" spans="1:3" ht="13.15">
      <c r="A3" s="19" t="s">
        <v>2</v>
      </c>
      <c r="B3" s="19" t="s">
        <v>1502</v>
      </c>
      <c r="C3" s="19" t="s">
        <v>1503</v>
      </c>
    </row>
    <row r="4" spans="1:3" ht="25.5">
      <c r="A4" s="20" t="s">
        <v>1504</v>
      </c>
      <c r="B4" s="20" t="s">
        <v>1505</v>
      </c>
      <c r="C4" s="20" t="s">
        <v>1506</v>
      </c>
    </row>
    <row r="5" spans="1:3" ht="25.5">
      <c r="A5" s="20" t="s">
        <v>1504</v>
      </c>
      <c r="B5" s="20" t="s">
        <v>1507</v>
      </c>
      <c r="C5" s="20" t="s">
        <v>1508</v>
      </c>
    </row>
    <row r="6" spans="1:3" ht="25.5">
      <c r="A6" s="20" t="s">
        <v>1509</v>
      </c>
      <c r="B6" s="20" t="s">
        <v>1510</v>
      </c>
      <c r="C6" s="20" t="s">
        <v>1511</v>
      </c>
    </row>
    <row r="7" spans="1:3">
      <c r="A7" s="20" t="s">
        <v>1512</v>
      </c>
      <c r="B7" s="20" t="s">
        <v>1513</v>
      </c>
      <c r="C7" s="20" t="s">
        <v>1514</v>
      </c>
    </row>
    <row r="8" spans="1:3">
      <c r="A8" s="20" t="s">
        <v>1515</v>
      </c>
      <c r="B8" s="20" t="s">
        <v>1516</v>
      </c>
      <c r="C8" s="20" t="s">
        <v>1517</v>
      </c>
    </row>
    <row r="9" spans="1:3">
      <c r="A9" s="20" t="s">
        <v>1515</v>
      </c>
      <c r="B9" s="20" t="s">
        <v>1518</v>
      </c>
      <c r="C9" s="20" t="s">
        <v>1519</v>
      </c>
    </row>
    <row r="10" spans="1:3" ht="25.5">
      <c r="A10" s="20" t="s">
        <v>1515</v>
      </c>
      <c r="B10" s="20" t="s">
        <v>1520</v>
      </c>
      <c r="C10" s="20" t="s">
        <v>1521</v>
      </c>
    </row>
    <row r="11" spans="1:3" ht="25.5">
      <c r="A11" s="20" t="s">
        <v>1515</v>
      </c>
      <c r="B11" s="20" t="s">
        <v>1522</v>
      </c>
      <c r="C11" s="20" t="s">
        <v>1523</v>
      </c>
    </row>
    <row r="12" spans="1:3">
      <c r="A12" s="20" t="s">
        <v>1515</v>
      </c>
      <c r="B12" s="20" t="s">
        <v>1524</v>
      </c>
      <c r="C12" s="20" t="s">
        <v>1525</v>
      </c>
    </row>
    <row r="13" spans="1:3">
      <c r="A13" s="20" t="s">
        <v>1515</v>
      </c>
      <c r="B13" s="20" t="s">
        <v>1526</v>
      </c>
      <c r="C13" s="20" t="s">
        <v>1527</v>
      </c>
    </row>
    <row r="14" spans="1:3">
      <c r="A14" s="20" t="s">
        <v>1528</v>
      </c>
      <c r="B14" s="20" t="s">
        <v>1529</v>
      </c>
      <c r="C14" s="20" t="s">
        <v>1530</v>
      </c>
    </row>
    <row r="15" spans="1:3">
      <c r="A15" s="20" t="s">
        <v>1531</v>
      </c>
      <c r="B15" s="20" t="s">
        <v>1532</v>
      </c>
      <c r="C15" s="20" t="s">
        <v>1533</v>
      </c>
    </row>
    <row r="16" spans="1:3">
      <c r="A16" s="20" t="s">
        <v>1534</v>
      </c>
      <c r="B16" s="20" t="s">
        <v>1535</v>
      </c>
      <c r="C16" s="20" t="s">
        <v>1536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00_Инструкция</vt:lpstr>
      <vt:lpstr>01_Конкуренты</vt:lpstr>
      <vt:lpstr>02_Карта_сайтов</vt:lpstr>
      <vt:lpstr>03_Левитт</vt:lpstr>
      <vt:lpstr>04_Кано</vt:lpstr>
      <vt:lpstr>05_Матрица_товара</vt:lpstr>
      <vt:lpstr>06_Сравнение</vt:lpstr>
      <vt:lpstr>07_Стандарт_рынка</vt:lpstr>
      <vt:lpstr>08_Преимущества</vt:lpstr>
      <vt:lpstr>09_Дашборд</vt:lpstr>
      <vt:lpstr>99_Справочники</vt:lpstr>
      <vt:lpstr>98_Журнал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Анализ цифрового товара конкурентов (Левитт, Кано): NotaCode</dc:title>
  <dc:creator>К. А. Хаджинова</dc:creator>
  <dc:description/>
  <cp:lastModifiedBy>К. А. Хаджинова</cp:lastModifiedBy>
  <dcterms:modified xsi:type="dcterms:W3CDTF">2026-10-01T22:03:19Z</dcterms:modified>
</cp:coreProperties>
</file>