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f37036b01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нель" sheetId="1" r:id="R82e066dbc4ac4109"/>
    <x:sheet xmlns:r="http://schemas.openxmlformats.org/officeDocument/2006/relationships" name="Ввод_данных" sheetId="2" r:id="Rb15b86227e804471"/>
    <x:sheet xmlns:r="http://schemas.openxmlformats.org/officeDocument/2006/relationships" name="Расчет" sheetId="3" r:id="Rcf9031e0553e4bf6"/>
    <x:sheet xmlns:r="http://schemas.openxmlformats.org/officeDocument/2006/relationships" name="Сезонность" sheetId="4" r:id="Ra6a7a076e70a42a1"/>
    <x:sheet xmlns:r="http://schemas.openxmlformats.org/officeDocument/2006/relationships" name="Оценка_тренда" sheetId="5" r:id="R89cddb1cac874c09"/>
    <x:sheet xmlns:r="http://schemas.openxmlformats.org/officeDocument/2006/relationships" name="Деловые_циклы" sheetId="6" r:id="R18e3b0f1a23f4a52"/>
    <x:sheet xmlns:r="http://schemas.openxmlformats.org/officeDocument/2006/relationships" name="Журнал_выгрузки" sheetId="7" r:id="Re74c9788c6c74171"/>
    <x:sheet xmlns:r="http://schemas.openxmlformats.org/officeDocument/2006/relationships" name="Методика_и_источники" sheetId="8" r:id="R6ae8eb1ee84b4cd3"/>
    <x:sheet xmlns:r="http://schemas.openxmlformats.org/officeDocument/2006/relationships" name="Настройки" sheetId="9" r:id="Rcb3d26fa3500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yyyy-mm"/>
    <x:numFmt numFmtId="202" formatCode="0"/>
    <x:numFmt numFmtId="203" formatCode="yyyy-mm-dd"/>
    <x:numFmt numFmtId="204" formatCode="0.00%"/>
  </x:numFmts>
  <x:fonts count="11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sz val="11"/>
      <x:color rgb="333333"/>
      <x:name val="Carlito"/>
    </x:font>
    <x:font>
      <x:sz val="11"/>
      <x:color rgb="1F2937"/>
      <x:name val="Carlito"/>
    </x:font>
    <x:font>
      <x:b/>
      <x:sz val="10"/>
      <x:color rgb="FFFFFF"/>
      <x:name val="Calibri"/>
    </x:font>
    <x:font>
      <x:sz val="10"/>
      <x:name val="Calibri"/>
    </x:font>
    <x:font>
      <x:sz val="10"/>
      <x:color rgb="333333"/>
      <x:name val="Calibri"/>
    </x:font>
    <x:font>
      <x:b/>
      <x:sz val="10"/>
      <x:color rgb="1F2937"/>
      <x:name val="Calibri"/>
    </x:font>
    <x:font>
      <x:sz val="10"/>
      <x:color rgb="1F2937"/>
      <x:name val="Calibri"/>
    </x:font>
    <x:font>
      <x:b/>
      <x:sz val="14"/>
      <x:color rgb="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7" fillId="4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  <x:xf numFmtId="204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/>
    </x:xf>
    <x:xf numFmtId="0" fontId="8" fillId="3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204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/>
    </x:xf>
    <x:xf numFmtId="0" fontId="6" fillId="0" borderId="1" xfId="0" applyNumberFormat="1" applyFont="1" applyFill="1" applyBorder="1" applyAlignment="1">
      <x:alignment vertical="top"/>
    </x:xf>
    <x:xf numFmtId="0" fontId="8" fillId="3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204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202" fontId="6" fillId="0" borderId="1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1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3" fontId="6" fillId="0" borderId="0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vertical="top" wrapText="1"/>
    </x:xf>
    <x:xf numFmtId="203" fontId="6" fillId="0" borderId="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horizontal="center" vertical="top"/>
    </x:xf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 vertical="top"/>
    </x:xf>
    <x:xf numFmtId="0" fontId="10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ill>
        <x:patternFill patternType="solid">
          <x:bgColor rgb="FCE4D6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1e8e5b7e342c5" /><Relationship Type="http://schemas.openxmlformats.org/officeDocument/2006/relationships/theme" Target="/xl/theme/theme1.xml" Id="R23d207a65c87453a" /><Relationship Type="http://schemas.openxmlformats.org/officeDocument/2006/relationships/sharedStrings" Target="/xl/sharedStrings.xml" Id="R3210de924e634378" /><Relationship Type="http://schemas.openxmlformats.org/officeDocument/2006/relationships/worksheet" Target="/xl/worksheets/sheet1.xml" Id="R82e066dbc4ac4109" /><Relationship Type="http://schemas.openxmlformats.org/officeDocument/2006/relationships/worksheet" Target="/xl/worksheets/sheet2.xml" Id="Rb15b86227e804471" /><Relationship Type="http://schemas.openxmlformats.org/officeDocument/2006/relationships/worksheet" Target="/xl/worksheets/sheet3.xml" Id="Rcf9031e0553e4bf6" /><Relationship Type="http://schemas.openxmlformats.org/officeDocument/2006/relationships/worksheet" Target="/xl/worksheets/sheet4.xml" Id="Ra6a7a076e70a42a1" /><Relationship Type="http://schemas.openxmlformats.org/officeDocument/2006/relationships/worksheet" Target="/xl/worksheets/sheet5.xml" Id="R89cddb1cac874c09" /><Relationship Type="http://schemas.openxmlformats.org/officeDocument/2006/relationships/worksheet" Target="/xl/worksheets/sheet6.xml" Id="R18e3b0f1a23f4a52" /><Relationship Type="http://schemas.openxmlformats.org/officeDocument/2006/relationships/worksheet" Target="/xl/worksheets/sheet7.xml" Id="Re74c9788c6c74171" /><Relationship Type="http://schemas.openxmlformats.org/officeDocument/2006/relationships/worksheet" Target="/xl/worksheets/sheet8.xml" Id="R6ae8eb1ee84b4cd3" /><Relationship Type="http://schemas.openxmlformats.org/officeDocument/2006/relationships/worksheet" Target="/xl/worksheets/sheet9.xml" Id="Rcb3d26fa350041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2091f6fe564939" /><Relationship Type="http://schemas.openxmlformats.org/officeDocument/2006/relationships/chart" Target="/xl/drawings/charts/chart2.xml" Id="R2e8a8f533239453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Сводный индекс</c:v>
          </c:tx>
          <c:cat>
            <c:strRef>
              <c:f>'Расчет'!$A$5:$A$64</c:f>
              <c:strCache>
                <c:ptCount val="0"/>
              </c:strCache>
            </c:strRef>
          </c:cat>
          <c:val>
            <c:numRef>
              <c:f>'Расчет'!$G$5:$G$64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Тренд</c:v>
          </c:tx>
          <c:cat>
            <c:strRef>
              <c:f>'Расчет'!$A$5:$A$64</c:f>
              <c:strCache>
                <c:ptCount val="0"/>
              </c:strCache>
            </c:strRef>
          </c:cat>
          <c:val>
            <c:numRef>
              <c:f>'Расчет'!$H$5:$H$64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cat>
            <c:strRef>
              <c:f>'Сезонность'!$B$4:$B$15</c:f>
              <c:strCache>
                <c:ptCount val="0"/>
              </c:strCache>
            </c:strRef>
          </c:cat>
          <c:val>
            <c:numRef>
              <c:f>'Сезонность'!$D$4:$D$15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2091f6fe564939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8a8f533239453b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2" name="InputDataTable" displayName="InputDataTable" ref="A4:F64" headerRowCount="1">
  <x:tableColumns count="6">
    <x:tableColumn id="1" name="Период"/>
    <x:tableColumn id="2" name="Кластер запросов"/>
    <x:tableColumn id="3" name="Google Trends, 0–100"/>
    <x:tableColumn id="4" name="Яндекс Вордстат, запросов"/>
    <x:tableColumn id="5" name="Регион / рынок"/>
    <x:tableColumn id="6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5" name="CalcTable" displayName="CalcTable" ref="A4:N64" headerRowCount="1">
  <x:tableColumns count="14">
    <x:tableColumn id="1" name="Период"/>
    <x:tableColumn id="2" name="Месяц №"/>
    <x:tableColumn id="3" name="Месяц"/>
    <x:tableColumn id="4" name="Google Trends"/>
    <x:tableColumn id="5" name="Вордстат"/>
    <x:tableColumn id="6" name="Вордстат норм. 0–100"/>
    <x:tableColumn id="7" name="Сводный индекс"/>
    <x:tableColumn id="8" name="Тренд: скользящее среднее 12 мес."/>
    <x:tableColumn id="9" name="Y/T"/>
    <x:tableColumn id="10" name="Сезонно очищенный индекс"/>
    <x:tableColumn id="11" name="Циклический коэффициент"/>
    <x:tableColumn id="12" name="Фаза цикла"/>
    <x:tableColumn id="13" name="Комментарий"/>
    <x:tableColumn id="14" name="Порядковый №"/>
  </x:tableColumns>
  <x:tableStyleInfo name="TableStyleMedium2" showRowStripes="1"/>
</x:table>
</file>

<file path=xl/tables/table3.xml><?xml version="1.0" encoding="utf-8"?>
<x:table xmlns:x="http://schemas.openxmlformats.org/spreadsheetml/2006/main" id="4" name="SeasonalityTable" displayName="SeasonalityTable" ref="A3:F15" headerRowCount="1">
  <x:tableColumns count="6">
    <x:tableColumn id="1" name="Месяц №"/>
    <x:tableColumn id="2" name="Месяц"/>
    <x:tableColumn id="3" name="Средний Y/T"/>
    <x:tableColumn id="4" name="Сезонный индекс"/>
    <x:tableColumn id="5" name="Отклонение от среднего"/>
    <x:tableColumn id="6" name="Интерпретация"/>
  </x:tableColumns>
  <x:tableStyleInfo name="TableStyleMedium2" showRowStripes="1"/>
</x:table>
</file>

<file path=xl/tables/table4.xml><?xml version="1.0" encoding="utf-8"?>
<x:table xmlns:x="http://schemas.openxmlformats.org/spreadsheetml/2006/main" id="6" name="TrendEvaluationTable" displayName="TrendEvaluationTable" ref="A3:D11" headerRowCount="1">
  <x:tableColumns count="4">
    <x:tableColumn id="1" name="Показатель"/>
    <x:tableColumn id="2" name="Формула / значение"/>
    <x:tableColumn id="3" name="Интерпретация"/>
    <x:tableColumn id="4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7" name="CycleEvaluationTable" displayName="CycleEvaluationTable" ref="A13:H73" headerRowCount="1">
  <x:tableColumns count="8">
    <x:tableColumn id="1" name="Период"/>
    <x:tableColumn id="2" name="Сводный индекс"/>
    <x:tableColumn id="3" name="Тренд"/>
    <x:tableColumn id="4" name="Сезонный индекс"/>
    <x:tableColumn id="5" name="Сезонно очищенный индекс"/>
    <x:tableColumn id="6" name="Циклический коэффициент"/>
    <x:tableColumn id="7" name="Фаза"/>
    <x:tableColumn id="8" name="Практическое значение"/>
  </x:tableColumns>
  <x:tableStyleInfo name="TableStyleMedium2" showRowStripes="1"/>
</x:table>
</file>

<file path=xl/tables/table6.xml><?xml version="1.0" encoding="utf-8"?>
<x:table xmlns:x="http://schemas.openxmlformats.org/spreadsheetml/2006/main" id="3" name="ExportLogTable" displayName="ExportLogTable" ref="A3:H23" headerRowCount="1">
  <x:tableColumns count="8">
    <x:tableColumn id="1" name="Дата выгрузки"/>
    <x:tableColumn id="2" name="Источник"/>
    <x:tableColumn id="3" name="Запрос / кластер"/>
    <x:tableColumn id="4" name="Регион"/>
    <x:tableColumn id="5" name="Период"/>
    <x:tableColumn id="6" name="Формат файла"/>
    <x:tableColumn id="7" name="Имя файла"/>
    <x:tableColumn id="8" name="Примечание"/>
  </x:tableColumns>
  <x:tableStyleInfo name="TableStyleMedium2" showRowStripes="1"/>
</x:table>
</file>

<file path=xl/tables/table7.xml><?xml version="1.0" encoding="utf-8"?>
<x:table xmlns:x="http://schemas.openxmlformats.org/spreadsheetml/2006/main" id="8" name="MethodSourcesTable" displayName="MethodSourcesTable" ref="A3:F9" headerRowCount="1">
  <x:tableColumns count="6">
    <x:tableColumn id="1" name="Раздел"/>
    <x:tableColumn id="2" name="Содержание"/>
    <x:tableColumn id="3" name="Практическое действие"/>
    <x:tableColumn id="4" name="Результат"/>
    <x:tableColumn id="5" name="Ограничение"/>
    <x:tableColumn id="6" name="Источник"/>
  </x:tableColumns>
  <x:tableStyleInfo name="TableStyleMedium2" showRowStripes="1"/>
</x:table>
</file>

<file path=xl/tables/table8.xml><?xml version="1.0" encoding="utf-8"?>
<x:table xmlns:x="http://schemas.openxmlformats.org/spreadsheetml/2006/main" id="1" name="SettingsTable" displayName="SettingsTable" ref="A3:D12" headerRowCount="1">
  <x:tableColumns count="4">
    <x:tableColumn id="1" name="Параметр"/>
    <x:tableColumn id="2" name="Значение"/>
    <x:tableColumn id="3" name="Назначение"/>
    <x:tableColumn id="4" name="Рекомендаци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322bf521f84b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f5f34d3e4240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7a39707dcc42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fcff9cd58a4e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1de99ba96442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6d3f13d0fe44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00fa8c2d9045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bf3cacb6db41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3aaec63574415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4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11" t="str">
        <x:v>Панель оценки тренда, сезонности и циклов спроса</x:v>
      </x:c>
      <x:c r="B1" s="111"/>
      <x:c r="C1" s="111"/>
      <x:c r="D1" s="111"/>
      <x:c r="E1" s="111"/>
      <x:c r="F1" s="111"/>
      <x:c r="G1" s="111"/>
      <x:c r="H1" s="111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>
      <x:c r="A3" s="64" t="str">
        <x:v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x:v>
      </x:c>
      <x:c r="B3" s="64"/>
      <x:c r="C3" s="64"/>
      <x:c r="D3" s="64"/>
      <x:c r="E3" s="64"/>
      <x:c r="F3" s="64"/>
      <x:c r="G3" s="64"/>
      <x:c r="H3" s="64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>
      <x:c r="A4" s="79"/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>
      <x:c r="A5" s="80" t="str">
        <x:v>Блок</x:v>
      </x:c>
      <x:c r="B5" s="80" t="str">
        <x:v>Показатель</x:v>
      </x:c>
      <x:c r="C5" s="80" t="str">
        <x:v>Значение</x:v>
      </x:c>
      <x:c r="D5" s="80" t="str">
        <x:v>Как использовать</x:v>
      </x:c>
      <x:c r="E5" s="79"/>
      <x:c r="F5" s="79"/>
      <x:c r="G5" s="79"/>
      <x:c r="H5" s="79"/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>
      <x:c r="A6" s="81" t="str">
        <x:v>Данные</x:v>
      </x:c>
      <x:c r="B6" s="81" t="str">
        <x:v>Количество месяцев</x:v>
      </x:c>
      <x:c r="C6" s="81" t="n">
        <x:f>'Оценка_тренда'!B4</x:f>
        <x:v>36</x:v>
      </x:c>
      <x:c r="D6" s="81" t="str">
        <x:v>проверка достаточности ряда</x:v>
      </x:c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>
      <x:c r="A7" s="81" t="str">
        <x:v>Тренд</x:v>
      </x:c>
      <x:c r="B7" s="81" t="str">
        <x:v>Классификация тренда</x:v>
      </x:c>
      <x:c r="C7" s="81" t="str">
        <x:f>'Оценка_тренда'!B10</x:f>
        <x:v>растущий тренд</x:v>
      </x:c>
      <x:c r="D7" s="81" t="str">
        <x:v>основа вывода о росте или снижении интереса</x:v>
      </x:c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>
      <x:c r="A8" s="81" t="str">
        <x:v>Тренд</x:v>
      </x:c>
      <x:c r="B8" s="81" t="str">
        <x:v>Изменение последних 12 мес. к первым 12 мес.</x:v>
      </x:c>
      <x:c r="C8" s="82" t="n">
        <x:f>'Оценка_тренда'!B8</x:f>
        <x:v>0.2689884948054293</x:v>
      </x:c>
      <x:c r="D8" s="81" t="str">
        <x:v>оценка силы изменения</x:v>
      </x:c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>
      <x:c r="A9" s="81" t="str">
        <x:v>Сезонность</x:v>
      </x:c>
      <x:c r="B9" s="81" t="str">
        <x:v>Сила сезонности</x:v>
      </x:c>
      <x:c r="C9" s="81" t="str">
        <x:f>'Сезонность'!B22</x:f>
        <x:v>выраженная сезонность</x:v>
      </x:c>
      <x:c r="D9" s="81" t="str">
        <x:v>нужна для планирования месяцев продвижения</x:v>
      </x:c>
      <x:c r="E9" s="79"/>
      <x:c r="F9" s="79"/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>
      <x:c r="A10" s="81" t="str">
        <x:v>Сезонность</x:v>
      </x:c>
      <x:c r="B10" s="81" t="str">
        <x:v>Месяц максимума</x:v>
      </x:c>
      <x:c r="C10" s="81" t="str">
        <x:f>'Сезонность'!B23</x:f>
        <x:v>ноябрь</x:v>
      </x:c>
      <x:c r="D10" s="81" t="str">
        <x:v>период вероятного повышения интереса</x:v>
      </x:c>
      <x:c r="E10" s="79"/>
      <x:c r="F10" s="79"/>
      <x:c r="G10" s="79"/>
      <x:c r="H10" s="79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>
      <x:c r="A11" s="81" t="str">
        <x:v>Сезонность</x:v>
      </x:c>
      <x:c r="B11" s="81" t="str">
        <x:v>Месяц минимума</x:v>
      </x:c>
      <x:c r="C11" s="81" t="str">
        <x:f>'Сезонность'!B24</x:f>
        <x:v>июль</x:v>
      </x:c>
      <x:c r="D11" s="81" t="str">
        <x:v>период вероятного снижения интереса</x:v>
      </x:c>
      <x:c r="E11" s="79"/>
      <x:c r="F11" s="79"/>
      <x:c r="G11" s="79"/>
      <x:c r="H11" s="79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>
      <x:c r="A12" s="81" t="str">
        <x:v>Циклы</x:v>
      </x:c>
      <x:c r="B12" s="81" t="str">
        <x:v>Текущая фаза</x:v>
      </x:c>
      <x:c r="C12" s="81" t="str">
        <x:f>'Деловые_циклы'!B7</x:f>
        <x:v>норма</x:v>
      </x:c>
      <x:c r="D12" s="81" t="str">
        <x:v>оценка текущего состояния спроса относительно нормы</x:v>
      </x:c>
      <x:c r="E12" s="79"/>
      <x:c r="F12" s="79"/>
      <x:c r="G12" s="79"/>
      <x:c r="H12" s="79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>
      <x:c r="A13" s="81" t="str">
        <x:v>Циклы</x:v>
      </x:c>
      <x:c r="B13" s="81" t="str">
        <x:v>Текущий коэффициент</x:v>
      </x:c>
      <x:c r="C13" s="83" t="n">
        <x:f>'Деловые_циклы'!B6</x:f>
        <x:v>1.0788583494840835</x:v>
      </x:c>
      <x:c r="D13" s="81" t="str">
        <x:v>значение выше 1 означает спрос выше трендово-сезонного уровня</x:v>
      </x:c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>
      <x:c r="A14" s="79"/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>
      <x:c r="A15" s="79"/>
      <x:c r="B15" s="79"/>
      <x:c r="C15" s="79"/>
      <x:c r="D15" s="79"/>
      <x:c r="E15" s="79"/>
      <x:c r="F15" s="79"/>
      <x:c r="G15" s="79"/>
      <x:c r="H15" s="79"/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>
      <x:c r="A16" s="80" t="str">
        <x:v>Итоговая формулировка для отчета</x:v>
      </x:c>
      <x:c r="B16" s="80"/>
      <x:c r="C16" s="80"/>
      <x:c r="D16" s="80"/>
      <x:c r="E16" s="80"/>
      <x:c r="F16" s="80"/>
      <x:c r="G16" s="80"/>
      <x:c r="H16" s="80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>
      <x:c r="A17" s="69" t="str">
        <x:f>'Оценка_тренда'!B11&amp;" Сезонность: "&amp;'Сезонность'!B22&amp;"; максимум интереса — "&amp;'Сезонность'!B23&amp;", минимум — "&amp;'Сезонность'!B24&amp;". Текущая фаза спроса: "&amp;'Деловые_циклы'!B7&amp;"."</x:f>
        <x:v>Интерес аудитории растет; бизнес-идея может быть дополнительно проверена на платежеспособный спрос. Сезонность: выраженная сезонность; максимум интереса — ноябрь, минимум — июль. Текущая фаза спроса: норма.</x:v>
      </x:c>
      <x:c r="B17" s="69"/>
      <x:c r="C17" s="69"/>
      <x:c r="D17" s="69"/>
      <x:c r="E17" s="69"/>
      <x:c r="F17" s="69"/>
      <x:c r="G17" s="69"/>
      <x:c r="H17" s="69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79"/>
      <x:c r="B61" s="79"/>
      <x:c r="C61" s="79"/>
      <x:c r="D61" s="79"/>
      <x:c r="E61" s="79"/>
      <x:c r="F61" s="79"/>
      <x:c r="G61" s="79"/>
      <x:c r="H61" s="79"/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79"/>
      <x:c r="B63" s="79"/>
      <x:c r="C63" s="79"/>
      <x:c r="D63" s="79"/>
      <x:c r="E63" s="79"/>
      <x:c r="F63" s="79"/>
      <x:c r="G63" s="79"/>
      <x:c r="H63" s="79"/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79"/>
      <x:c r="B64" s="79"/>
      <x:c r="C64" s="79"/>
      <x:c r="D64" s="79"/>
      <x:c r="E64" s="79"/>
      <x:c r="F64" s="79"/>
      <x:c r="G64" s="79"/>
      <x:c r="H64" s="79"/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</x:sheetData>
  <x:mergeCells>
    <x:mergeCell ref="A1:H1"/>
    <x:mergeCell ref="A3:H3"/>
    <x:mergeCell ref="A16:H16"/>
    <x:mergeCell ref="A17:H20"/>
  </x:mergeCells>
  <x:pageMargins left="0.7" right="0.7" top="0.75" bottom="0.75" header="0.3" footer="0.3"/>
  <x:drawing xmlns:r="http://schemas.openxmlformats.org/officeDocument/2006/relationships" r:id="R36322bf521f84b47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22" hidden="0" customWidth="1"/>
    <x:col min="5" max="5" width="20" hidden="0" customWidth="1"/>
    <x:col min="6" max="6" width="42" hidden="0" customWidth="1"/>
  </x:cols>
  <x:sheetData>
    <x:row r="1" ht="28" customHeight="1">
      <x:c r="A1" s="111" t="str">
        <x:v>Ввод данных из Google Trends и Яндекс Вордстат</x:v>
      </x:c>
      <x:c r="B1" s="111"/>
      <x:c r="C1" s="111"/>
      <x:c r="D1" s="111"/>
      <x:c r="E1" s="111"/>
      <x:c r="F1" s="111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>
      <x:c r="A2" s="64" t="str">
        <x:v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x:v>
      </x:c>
      <x:c r="B2" s="64"/>
      <x:c r="C2" s="64"/>
      <x:c r="D2" s="64"/>
      <x:c r="E2" s="64"/>
      <x:c r="F2" s="64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>
      <x:c r="A4" s="80" t="str">
        <x:v>Период</x:v>
      </x:c>
      <x:c r="B4" s="80" t="str">
        <x:v>Кластер запросов</x:v>
      </x:c>
      <x:c r="C4" s="80" t="str">
        <x:v>Google Trends, 0–100</x:v>
      </x:c>
      <x:c r="D4" s="80" t="str">
        <x:v>Яндекс Вордстат, запросов</x:v>
      </x:c>
      <x:c r="E4" s="80" t="str">
        <x:v>Регион / рынок</x:v>
      </x:c>
      <x:c r="F4" s="80" t="str">
        <x:v>Комментарий</x:v>
      </x:c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>
      <x:c r="A5" s="94" t="n">
        <x:v>44927</x:v>
      </x:c>
      <x:c r="B5" s="81" t="str">
        <x:v>маркетинговые услуги / продвижение бизнеса</x:v>
      </x:c>
      <x:c r="C5" s="95" t="n">
        <x:v>48</x:v>
      </x:c>
      <x:c r="D5" s="95" t="n">
        <x:v>946</x:v>
      </x:c>
      <x:c r="E5" s="81" t="str">
        <x:v>Республика Беларусь</x:v>
      </x:c>
      <x:c r="F5" s="81" t="str">
        <x:v>демонстрационные данные; заменить фактической выгрузкой</x:v>
      </x:c>
      <x:c r="G5" s="79"/>
      <x:c r="H5" s="79"/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>
      <x:c r="A6" s="94" t="n">
        <x:v>44958</x:v>
      </x:c>
      <x:c r="B6" s="81" t="str">
        <x:v>маркетинговые услуги / продвижение бизнеса</x:v>
      </x:c>
      <x:c r="C6" s="95" t="n">
        <x:v>50</x:v>
      </x:c>
      <x:c r="D6" s="95" t="n">
        <x:v>975</x:v>
      </x:c>
      <x:c r="E6" s="81" t="str">
        <x:v>Республика Беларусь</x:v>
      </x:c>
      <x:c r="F6" s="81" t="str">
        <x:v>демонстрационные данные; заменить фактической выгрузкой</x:v>
      </x:c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>
      <x:c r="A7" s="94" t="n">
        <x:v>44986</x:v>
      </x:c>
      <x:c r="B7" s="81" t="str">
        <x:v>маркетинговые услуги / продвижение бизнеса</x:v>
      </x:c>
      <x:c r="C7" s="95" t="n">
        <x:v>46</x:v>
      </x:c>
      <x:c r="D7" s="95" t="n">
        <x:v>889</x:v>
      </x:c>
      <x:c r="E7" s="81" t="str">
        <x:v>Республика Беларусь</x:v>
      </x:c>
      <x:c r="F7" s="81" t="str">
        <x:v>демонстрационные данные; заменить фактической выгрузкой</x:v>
      </x:c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>
      <x:c r="A8" s="94" t="n">
        <x:v>45017</x:v>
      </x:c>
      <x:c r="B8" s="81" t="str">
        <x:v>маркетинговые услуги / продвижение бизнеса</x:v>
      </x:c>
      <x:c r="C8" s="95" t="n">
        <x:v>40</x:v>
      </x:c>
      <x:c r="D8" s="95" t="n">
        <x:v>787</x:v>
      </x:c>
      <x:c r="E8" s="81" t="str">
        <x:v>Республика Беларусь</x:v>
      </x:c>
      <x:c r="F8" s="81" t="str">
        <x:v>демонстрационные данные; заменить фактической выгрузкой</x:v>
      </x:c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>
      <x:c r="A9" s="94" t="n">
        <x:v>45047</x:v>
      </x:c>
      <x:c r="B9" s="81" t="str">
        <x:v>маркетинговые услуги / продвижение бизнеса</x:v>
      </x:c>
      <x:c r="C9" s="95" t="n">
        <x:v>42</x:v>
      </x:c>
      <x:c r="D9" s="95" t="n">
        <x:v>815</x:v>
      </x:c>
      <x:c r="E9" s="81" t="str">
        <x:v>Республика Беларусь</x:v>
      </x:c>
      <x:c r="F9" s="81" t="str">
        <x:v>демонстрационные данные; заменить фактической выгрузкой</x:v>
      </x:c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>
      <x:c r="A10" s="94" t="n">
        <x:v>45078</x:v>
      </x:c>
      <x:c r="B10" s="81" t="str">
        <x:v>маркетинговые услуги / продвижение бизнеса</x:v>
      </x:c>
      <x:c r="C10" s="95" t="n">
        <x:v>40</x:v>
      </x:c>
      <x:c r="D10" s="95" t="n">
        <x:v>791</x:v>
      </x:c>
      <x:c r="E10" s="81" t="str">
        <x:v>Республика Беларусь</x:v>
      </x:c>
      <x:c r="F10" s="81" t="str">
        <x:v>демонстрационные данные; заменить фактической выгрузкой</x:v>
      </x:c>
      <x:c r="G10" s="79"/>
      <x:c r="H10" s="79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>
      <x:c r="A11" s="94" t="n">
        <x:v>45108</x:v>
      </x:c>
      <x:c r="B11" s="81" t="str">
        <x:v>маркетинговые услуги / продвижение бизнеса</x:v>
      </x:c>
      <x:c r="C11" s="95" t="n">
        <x:v>35</x:v>
      </x:c>
      <x:c r="D11" s="95" t="n">
        <x:v>675</x:v>
      </x:c>
      <x:c r="E11" s="81" t="str">
        <x:v>Республика Беларусь</x:v>
      </x:c>
      <x:c r="F11" s="81" t="str">
        <x:v>демонстрационные данные; заменить фактической выгрузкой</x:v>
      </x:c>
      <x:c r="G11" s="79"/>
      <x:c r="H11" s="79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>
      <x:c r="A12" s="94" t="n">
        <x:v>45139</x:v>
      </x:c>
      <x:c r="B12" s="81" t="str">
        <x:v>маркетинговые услуги / продвижение бизнеса</x:v>
      </x:c>
      <x:c r="C12" s="95" t="n">
        <x:v>39</x:v>
      </x:c>
      <x:c r="D12" s="95" t="n">
        <x:v>764</x:v>
      </x:c>
      <x:c r="E12" s="81" t="str">
        <x:v>Республика Беларусь</x:v>
      </x:c>
      <x:c r="F12" s="81" t="str">
        <x:v>демонстрационные данные; заменить фактической выгрузкой</x:v>
      </x:c>
      <x:c r="G12" s="79"/>
      <x:c r="H12" s="79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>
      <x:c r="A13" s="94" t="n">
        <x:v>45170</x:v>
      </x:c>
      <x:c r="B13" s="81" t="str">
        <x:v>маркетинговые услуги / продвижение бизнеса</x:v>
      </x:c>
      <x:c r="C13" s="95" t="n">
        <x:v>55</x:v>
      </x:c>
      <x:c r="D13" s="95" t="n">
        <x:v>1068</x:v>
      </x:c>
      <x:c r="E13" s="81" t="str">
        <x:v>Республика Беларусь</x:v>
      </x:c>
      <x:c r="F13" s="81" t="str">
        <x:v>демонстрационные данные; заменить фактической выгрузкой</x:v>
      </x:c>
      <x:c r="G13" s="79"/>
      <x:c r="H13" s="79"/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>
      <x:c r="A14" s="94" t="n">
        <x:v>45200</x:v>
      </x:c>
      <x:c r="B14" s="81" t="str">
        <x:v>маркетинговые услуги / продвижение бизнеса</x:v>
      </x:c>
      <x:c r="C14" s="95" t="n">
        <x:v>56</x:v>
      </x:c>
      <x:c r="D14" s="95" t="n">
        <x:v>1086</x:v>
      </x:c>
      <x:c r="E14" s="81" t="str">
        <x:v>Республика Беларусь</x:v>
      </x:c>
      <x:c r="F14" s="81" t="str">
        <x:v>демонстрационные данные; заменить фактической выгрузкой</x:v>
      </x:c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>
      <x:c r="A15" s="94" t="n">
        <x:v>45231</x:v>
      </x:c>
      <x:c r="B15" s="81" t="str">
        <x:v>маркетинговые услуги / продвижение бизнеса</x:v>
      </x:c>
      <x:c r="C15" s="95" t="n">
        <x:v>50</x:v>
      </x:c>
      <x:c r="D15" s="95" t="n">
        <x:v>968</x:v>
      </x:c>
      <x:c r="E15" s="81" t="str">
        <x:v>Республика Беларусь</x:v>
      </x:c>
      <x:c r="F15" s="81" t="str">
        <x:v>демонстрационные данные; заменить фактической выгрузкой</x:v>
      </x:c>
      <x:c r="G15" s="79"/>
      <x:c r="H15" s="79"/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>
      <x:c r="A16" s="94" t="n">
        <x:v>45261</x:v>
      </x:c>
      <x:c r="B16" s="81" t="str">
        <x:v>маркетинговые услуги / продвижение бизнеса</x:v>
      </x:c>
      <x:c r="C16" s="95" t="n">
        <x:v>44</x:v>
      </x:c>
      <x:c r="D16" s="95" t="n">
        <x:v>852</x:v>
      </x:c>
      <x:c r="E16" s="81" t="str">
        <x:v>Республика Беларусь</x:v>
      </x:c>
      <x:c r="F16" s="81" t="str">
        <x:v>демонстрационные данные; заменить фактической выгрузкой</x:v>
      </x:c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>
      <x:c r="A17" s="94" t="n">
        <x:v>45292</x:v>
      </x:c>
      <x:c r="B17" s="81" t="str">
        <x:v>маркетинговые услуги / продвижение бизнеса</x:v>
      </x:c>
      <x:c r="C17" s="95" t="n">
        <x:v>56</x:v>
      </x:c>
      <x:c r="D17" s="95" t="n">
        <x:v>1097</x:v>
      </x:c>
      <x:c r="E17" s="81" t="str">
        <x:v>Республика Беларусь</x:v>
      </x:c>
      <x:c r="F17" s="81" t="str">
        <x:v>демонстрационные данные; заменить фактической выгрузкой</x:v>
      </x:c>
      <x:c r="G17" s="79"/>
      <x:c r="H17" s="79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>
      <x:c r="A18" s="94" t="n">
        <x:v>45323</x:v>
      </x:c>
      <x:c r="B18" s="81" t="str">
        <x:v>маркетинговые услуги / продвижение бизнеса</x:v>
      </x:c>
      <x:c r="C18" s="95" t="n">
        <x:v>54</x:v>
      </x:c>
      <x:c r="D18" s="95" t="n">
        <x:v>1057</x:v>
      </x:c>
      <x:c r="E18" s="81" t="str">
        <x:v>Республика Беларусь</x:v>
      </x:c>
      <x:c r="F18" s="81" t="str">
        <x:v>демонстрационные данные; заменить фактической выгрузкой</x:v>
      </x:c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>
      <x:c r="A19" s="94" t="n">
        <x:v>45352</x:v>
      </x:c>
      <x:c r="B19" s="81" t="str">
        <x:v>маркетинговые услуги / продвижение бизнеса</x:v>
      </x:c>
      <x:c r="C19" s="95" t="n">
        <x:v>52</x:v>
      </x:c>
      <x:c r="D19" s="95" t="n">
        <x:v>1015</x:v>
      </x:c>
      <x:c r="E19" s="81" t="str">
        <x:v>Республика Беларусь</x:v>
      </x:c>
      <x:c r="F19" s="81" t="str">
        <x:v>демонстрационные данные; заменить фактической выгрузкой</x:v>
      </x:c>
      <x:c r="G19" s="79"/>
      <x:c r="H19" s="79"/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>
      <x:c r="A20" s="94" t="n">
        <x:v>45383</x:v>
      </x:c>
      <x:c r="B20" s="81" t="str">
        <x:v>маркетинговые услуги / продвижение бизнеса</x:v>
      </x:c>
      <x:c r="C20" s="95" t="n">
        <x:v>51</x:v>
      </x:c>
      <x:c r="D20" s="95" t="n">
        <x:v>1002</x:v>
      </x:c>
      <x:c r="E20" s="81" t="str">
        <x:v>Республика Беларусь</x:v>
      </x:c>
      <x:c r="F20" s="81" t="str">
        <x:v>демонстрационные данные; заменить фактической выгрузкой</x:v>
      </x:c>
      <x:c r="G20" s="79"/>
      <x:c r="H20" s="79"/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>
      <x:c r="A21" s="94" t="n">
        <x:v>45413</x:v>
      </x:c>
      <x:c r="B21" s="81" t="str">
        <x:v>маркетинговые услуги / продвижение бизнеса</x:v>
      </x:c>
      <x:c r="C21" s="95" t="n">
        <x:v>49</x:v>
      </x:c>
      <x:c r="D21" s="95" t="n">
        <x:v>962</x:v>
      </x:c>
      <x:c r="E21" s="81" t="str">
        <x:v>Республика Беларусь</x:v>
      </x:c>
      <x:c r="F21" s="81" t="str">
        <x:v>демонстрационные данные; заменить фактической выгрузкой</x:v>
      </x:c>
      <x:c r="G21" s="79"/>
      <x:c r="H21" s="79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>
      <x:c r="A22" s="94" t="n">
        <x:v>45444</x:v>
      </x:c>
      <x:c r="B22" s="81" t="str">
        <x:v>маркетинговые услуги / продвижение бизнеса</x:v>
      </x:c>
      <x:c r="C22" s="95" t="n">
        <x:v>42</x:v>
      </x:c>
      <x:c r="D22" s="95" t="n">
        <x:v>819</x:v>
      </x:c>
      <x:c r="E22" s="81" t="str">
        <x:v>Республика Беларусь</x:v>
      </x:c>
      <x:c r="F22" s="81" t="str">
        <x:v>демонстрационные данные; заменить фактической выгрузкой</x:v>
      </x:c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>
      <x:c r="A23" s="94" t="n">
        <x:v>45474</x:v>
      </x:c>
      <x:c r="B23" s="81" t="str">
        <x:v>маркетинговые услуги / продвижение бизнеса</x:v>
      </x:c>
      <x:c r="C23" s="95" t="n">
        <x:v>37</x:v>
      </x:c>
      <x:c r="D23" s="95" t="n">
        <x:v>729</x:v>
      </x:c>
      <x:c r="E23" s="81" t="str">
        <x:v>Республика Беларусь</x:v>
      </x:c>
      <x:c r="F23" s="81" t="str">
        <x:v>демонстрационные данные; заменить фактической выгрузкой</x:v>
      </x:c>
      <x:c r="G23" s="79"/>
      <x:c r="H23" s="79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>
      <x:c r="A24" s="94" t="n">
        <x:v>45505</x:v>
      </x:c>
      <x:c r="B24" s="81" t="str">
        <x:v>маркетинговые услуги / продвижение бизнеса</x:v>
      </x:c>
      <x:c r="C24" s="95" t="n">
        <x:v>46</x:v>
      </x:c>
      <x:c r="D24" s="95" t="n">
        <x:v>895</x:v>
      </x:c>
      <x:c r="E24" s="81" t="str">
        <x:v>Республика Беларусь</x:v>
      </x:c>
      <x:c r="F24" s="81" t="str">
        <x:v>демонстрационные данные; заменить фактической выгрузкой</x:v>
      </x:c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>
      <x:c r="A25" s="94" t="n">
        <x:v>45536</x:v>
      </x:c>
      <x:c r="B25" s="81" t="str">
        <x:v>маркетинговые услуги / продвижение бизнеса</x:v>
      </x:c>
      <x:c r="C25" s="95" t="n">
        <x:v>61</x:v>
      </x:c>
      <x:c r="D25" s="95" t="n">
        <x:v>1192</x:v>
      </x:c>
      <x:c r="E25" s="81" t="str">
        <x:v>Республика Беларусь</x:v>
      </x:c>
      <x:c r="F25" s="81" t="str">
        <x:v>демонстрационные данные; заменить фактической выгрузкой</x:v>
      </x:c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>
      <x:c r="A26" s="94" t="n">
        <x:v>45566</x:v>
      </x:c>
      <x:c r="B26" s="81" t="str">
        <x:v>маркетинговые услуги / продвижение бизнеса</x:v>
      </x:c>
      <x:c r="C26" s="95" t="n">
        <x:v>61</x:v>
      </x:c>
      <x:c r="D26" s="95" t="n">
        <x:v>1193</x:v>
      </x:c>
      <x:c r="E26" s="81" t="str">
        <x:v>Республика Беларусь</x:v>
      </x:c>
      <x:c r="F26" s="81" t="str">
        <x:v>демонстрационные данные; заменить фактической выгрузкой</x:v>
      </x:c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>
      <x:c r="A27" s="94" t="n">
        <x:v>45597</x:v>
      </x:c>
      <x:c r="B27" s="81" t="str">
        <x:v>маркетинговые услуги / продвижение бизнеса</x:v>
      </x:c>
      <x:c r="C27" s="95" t="n">
        <x:v>61</x:v>
      </x:c>
      <x:c r="D27" s="95" t="n">
        <x:v>1185</x:v>
      </x:c>
      <x:c r="E27" s="81" t="str">
        <x:v>Республика Беларусь</x:v>
      </x:c>
      <x:c r="F27" s="81" t="str">
        <x:v>демонстрационные данные; заменить фактической выгрузкой</x:v>
      </x:c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>
      <x:c r="A28" s="94" t="n">
        <x:v>45627</x:v>
      </x:c>
      <x:c r="B28" s="81" t="str">
        <x:v>маркетинговые услуги / продвижение бизнеса</x:v>
      </x:c>
      <x:c r="C28" s="95" t="n">
        <x:v>53</x:v>
      </x:c>
      <x:c r="D28" s="95" t="n">
        <x:v>1035</x:v>
      </x:c>
      <x:c r="E28" s="81" t="str">
        <x:v>Республика Беларусь</x:v>
      </x:c>
      <x:c r="F28" s="81" t="str">
        <x:v>демонстрационные данные; заменить фактической выгрузкой</x:v>
      </x:c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>
      <x:c r="A29" s="94" t="n">
        <x:v>45658</x:v>
      </x:c>
      <x:c r="B29" s="81" t="str">
        <x:v>маркетинговые услуги / продвижение бизнеса</x:v>
      </x:c>
      <x:c r="C29" s="95" t="n">
        <x:v>59</x:v>
      </x:c>
      <x:c r="D29" s="95" t="n">
        <x:v>1152</x:v>
      </x:c>
      <x:c r="E29" s="81" t="str">
        <x:v>Республика Беларусь</x:v>
      </x:c>
      <x:c r="F29" s="81" t="str">
        <x:v>демонстрационные данные; заменить фактической выгрузкой</x:v>
      </x:c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>
      <x:c r="A30" s="94" t="n">
        <x:v>45689</x:v>
      </x:c>
      <x:c r="B30" s="81" t="str">
        <x:v>маркетинговые услуги / продвижение бизнеса</x:v>
      </x:c>
      <x:c r="C30" s="95" t="n">
        <x:v>55</x:v>
      </x:c>
      <x:c r="D30" s="95" t="n">
        <x:v>1083</x:v>
      </x:c>
      <x:c r="E30" s="81" t="str">
        <x:v>Республика Беларусь</x:v>
      </x:c>
      <x:c r="F30" s="81" t="str">
        <x:v>демонстрационные данные; заменить фактической выгрузкой</x:v>
      </x:c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>
      <x:c r="A31" s="94" t="n">
        <x:v>45717</x:v>
      </x:c>
      <x:c r="B31" s="81" t="str">
        <x:v>маркетинговые услуги / продвижение бизнеса</x:v>
      </x:c>
      <x:c r="C31" s="95" t="n">
        <x:v>60</x:v>
      </x:c>
      <x:c r="D31" s="95" t="n">
        <x:v>1169</x:v>
      </x:c>
      <x:c r="E31" s="81" t="str">
        <x:v>Республика Беларусь</x:v>
      </x:c>
      <x:c r="F31" s="81" t="str">
        <x:v>демонстрационные данные; заменить фактической выгрузкой</x:v>
      </x:c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>
      <x:c r="A32" s="94" t="n">
        <x:v>45748</x:v>
      </x:c>
      <x:c r="B32" s="81" t="str">
        <x:v>маркетинговые услуги / продвижение бизнеса</x:v>
      </x:c>
      <x:c r="C32" s="95" t="n">
        <x:v>59</x:v>
      </x:c>
      <x:c r="D32" s="95" t="n">
        <x:v>1159</x:v>
      </x:c>
      <x:c r="E32" s="81" t="str">
        <x:v>Республика Беларусь</x:v>
      </x:c>
      <x:c r="F32" s="81" t="str">
        <x:v>демонстрационные данные; заменить фактической выгрузкой</x:v>
      </x:c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>
      <x:c r="A33" s="94" t="n">
        <x:v>45778</x:v>
      </x:c>
      <x:c r="B33" s="81" t="str">
        <x:v>маркетинговые услуги / продвижение бизнеса</x:v>
      </x:c>
      <x:c r="C33" s="95" t="n">
        <x:v>54</x:v>
      </x:c>
      <x:c r="D33" s="95" t="n">
        <x:v>1048</x:v>
      </x:c>
      <x:c r="E33" s="81" t="str">
        <x:v>Республика Беларусь</x:v>
      </x:c>
      <x:c r="F33" s="81" t="str">
        <x:v>демонстрационные данные; заменить фактической выгрузкой</x:v>
      </x:c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>
      <x:c r="A34" s="94" t="n">
        <x:v>45809</x:v>
      </x:c>
      <x:c r="B34" s="81" t="str">
        <x:v>маркетинговые услуги / продвижение бизнеса</x:v>
      </x:c>
      <x:c r="C34" s="95" t="n">
        <x:v>49</x:v>
      </x:c>
      <x:c r="D34" s="95" t="n">
        <x:v>949</x:v>
      </x:c>
      <x:c r="E34" s="81" t="str">
        <x:v>Республика Беларусь</x:v>
      </x:c>
      <x:c r="F34" s="81" t="str">
        <x:v>демонстрационные данные; заменить фактической выгрузкой</x:v>
      </x:c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>
      <x:c r="A35" s="94" t="n">
        <x:v>45839</x:v>
      </x:c>
      <x:c r="B35" s="81" t="str">
        <x:v>маркетинговые услуги / продвижение бизнеса</x:v>
      </x:c>
      <x:c r="C35" s="95" t="n">
        <x:v>46</x:v>
      </x:c>
      <x:c r="D35" s="95" t="n">
        <x:v>891</x:v>
      </x:c>
      <x:c r="E35" s="81" t="str">
        <x:v>Республика Беларусь</x:v>
      </x:c>
      <x:c r="F35" s="81" t="str">
        <x:v>демонстрационные данные; заменить фактической выгрузкой</x:v>
      </x:c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>
      <x:c r="A36" s="94" t="n">
        <x:v>45870</x:v>
      </x:c>
      <x:c r="B36" s="81" t="str">
        <x:v>маркетинговые услуги / продвижение бизнеса</x:v>
      </x:c>
      <x:c r="C36" s="95" t="n">
        <x:v>50</x:v>
      </x:c>
      <x:c r="D36" s="95" t="n">
        <x:v>972</x:v>
      </x:c>
      <x:c r="E36" s="81" t="str">
        <x:v>Республика Беларусь</x:v>
      </x:c>
      <x:c r="F36" s="81" t="str">
        <x:v>демонстрационные данные; заменить фактической выгрузкой</x:v>
      </x:c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>
      <x:c r="A37" s="94" t="n">
        <x:v>45901</x:v>
      </x:c>
      <x:c r="B37" s="81" t="str">
        <x:v>маркетинговые услуги / продвижение бизнеса</x:v>
      </x:c>
      <x:c r="C37" s="95" t="n">
        <x:v>61</x:v>
      </x:c>
      <x:c r="D37" s="95" t="n">
        <x:v>1185</x:v>
      </x:c>
      <x:c r="E37" s="81" t="str">
        <x:v>Республика Беларусь</x:v>
      </x:c>
      <x:c r="F37" s="81" t="str">
        <x:v>демонстрационные данные; заменить фактической выгрузкой</x:v>
      </x:c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>
      <x:c r="A38" s="94" t="n">
        <x:v>45931</x:v>
      </x:c>
      <x:c r="B38" s="81" t="str">
        <x:v>маркетинговые услуги / продвижение бизнеса</x:v>
      </x:c>
      <x:c r="C38" s="95" t="n">
        <x:v>67</x:v>
      </x:c>
      <x:c r="D38" s="95" t="n">
        <x:v>1316</x:v>
      </x:c>
      <x:c r="E38" s="81" t="str">
        <x:v>Республика Беларусь</x:v>
      </x:c>
      <x:c r="F38" s="81" t="str">
        <x:v>демонстрационные данные; заменить фактической выгрузкой</x:v>
      </x:c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>
      <x:c r="A39" s="94" t="n">
        <x:v>45962</x:v>
      </x:c>
      <x:c r="B39" s="81" t="str">
        <x:v>маркетинговые услуги / продвижение бизнеса</x:v>
      </x:c>
      <x:c r="C39" s="95" t="n">
        <x:v>72</x:v>
      </x:c>
      <x:c r="D39" s="95" t="n">
        <x:v>1406</x:v>
      </x:c>
      <x:c r="E39" s="81" t="str">
        <x:v>Республика Беларусь</x:v>
      </x:c>
      <x:c r="F39" s="81" t="str">
        <x:v>демонстрационные данные; заменить фактической выгрузкой</x:v>
      </x:c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>
      <x:c r="A40" s="94" t="n">
        <x:v>45992</x:v>
      </x:c>
      <x:c r="B40" s="81" t="str">
        <x:v>маркетинговые услуги / продвижение бизнеса</x:v>
      </x:c>
      <x:c r="C40" s="95" t="n">
        <x:v>59</x:v>
      </x:c>
      <x:c r="D40" s="95" t="n">
        <x:v>1150</x:v>
      </x:c>
      <x:c r="E40" s="81" t="str">
        <x:v>Республика Беларусь</x:v>
      </x:c>
      <x:c r="F40" s="81" t="str">
        <x:v>демонстрационные данные; заменить фактической выгрузкой</x:v>
      </x:c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>
      <x:c r="A41" s="94"/>
      <x:c r="B41" s="81"/>
      <x:c r="C41" s="95"/>
      <x:c r="D41" s="95"/>
      <x:c r="E41" s="81"/>
      <x:c r="F41" s="81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>
      <x:c r="A42" s="94"/>
      <x:c r="B42" s="81"/>
      <x:c r="C42" s="95"/>
      <x:c r="D42" s="95"/>
      <x:c r="E42" s="81"/>
      <x:c r="F42" s="81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>
      <x:c r="A43" s="94"/>
      <x:c r="B43" s="81"/>
      <x:c r="C43" s="95"/>
      <x:c r="D43" s="95"/>
      <x:c r="E43" s="81"/>
      <x:c r="F43" s="81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>
      <x:c r="A44" s="94"/>
      <x:c r="B44" s="81"/>
      <x:c r="C44" s="95"/>
      <x:c r="D44" s="95"/>
      <x:c r="E44" s="81"/>
      <x:c r="F44" s="81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>
      <x:c r="A45" s="94"/>
      <x:c r="B45" s="81"/>
      <x:c r="C45" s="95"/>
      <x:c r="D45" s="95"/>
      <x:c r="E45" s="81"/>
      <x:c r="F45" s="81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>
      <x:c r="A46" s="94"/>
      <x:c r="B46" s="81"/>
      <x:c r="C46" s="95"/>
      <x:c r="D46" s="95"/>
      <x:c r="E46" s="81"/>
      <x:c r="F46" s="81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>
      <x:c r="A47" s="94"/>
      <x:c r="B47" s="81"/>
      <x:c r="C47" s="95"/>
      <x:c r="D47" s="95"/>
      <x:c r="E47" s="81"/>
      <x:c r="F47" s="81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>
      <x:c r="A48" s="94"/>
      <x:c r="B48" s="81"/>
      <x:c r="C48" s="95"/>
      <x:c r="D48" s="95"/>
      <x:c r="E48" s="81"/>
      <x:c r="F48" s="81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>
      <x:c r="A49" s="94"/>
      <x:c r="B49" s="81"/>
      <x:c r="C49" s="95"/>
      <x:c r="D49" s="95"/>
      <x:c r="E49" s="81"/>
      <x:c r="F49" s="81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>
      <x:c r="A50" s="94"/>
      <x:c r="B50" s="81"/>
      <x:c r="C50" s="95"/>
      <x:c r="D50" s="95"/>
      <x:c r="E50" s="81"/>
      <x:c r="F50" s="81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94"/>
      <x:c r="B51" s="81"/>
      <x:c r="C51" s="95"/>
      <x:c r="D51" s="95"/>
      <x:c r="E51" s="81"/>
      <x:c r="F51" s="81"/>
      <x:c r="G51" s="79"/>
      <x:c r="H51" s="79"/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94"/>
      <x:c r="B52" s="81"/>
      <x:c r="C52" s="95"/>
      <x:c r="D52" s="95"/>
      <x:c r="E52" s="81"/>
      <x:c r="F52" s="81"/>
      <x:c r="G52" s="79"/>
      <x:c r="H52" s="79"/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94"/>
      <x:c r="B53" s="81"/>
      <x:c r="C53" s="95"/>
      <x:c r="D53" s="95"/>
      <x:c r="E53" s="81"/>
      <x:c r="F53" s="81"/>
      <x:c r="G53" s="79"/>
      <x:c r="H53" s="79"/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94"/>
      <x:c r="B54" s="81"/>
      <x:c r="C54" s="95"/>
      <x:c r="D54" s="95"/>
      <x:c r="E54" s="81"/>
      <x:c r="F54" s="81"/>
      <x:c r="G54" s="79"/>
      <x:c r="H54" s="79"/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94"/>
      <x:c r="B55" s="81"/>
      <x:c r="C55" s="95"/>
      <x:c r="D55" s="95"/>
      <x:c r="E55" s="81"/>
      <x:c r="F55" s="81"/>
      <x:c r="G55" s="79"/>
      <x:c r="H55" s="79"/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94"/>
      <x:c r="B56" s="81"/>
      <x:c r="C56" s="95"/>
      <x:c r="D56" s="95"/>
      <x:c r="E56" s="81"/>
      <x:c r="F56" s="81"/>
      <x:c r="G56" s="79"/>
      <x:c r="H56" s="79"/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94"/>
      <x:c r="B57" s="81"/>
      <x:c r="C57" s="95"/>
      <x:c r="D57" s="95"/>
      <x:c r="E57" s="81"/>
      <x:c r="F57" s="81"/>
      <x:c r="G57" s="79"/>
      <x:c r="H57" s="79"/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94"/>
      <x:c r="B58" s="81"/>
      <x:c r="C58" s="95"/>
      <x:c r="D58" s="95"/>
      <x:c r="E58" s="81"/>
      <x:c r="F58" s="81"/>
      <x:c r="G58" s="79"/>
      <x:c r="H58" s="79"/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94"/>
      <x:c r="B59" s="81"/>
      <x:c r="C59" s="95"/>
      <x:c r="D59" s="95"/>
      <x:c r="E59" s="81"/>
      <x:c r="F59" s="81"/>
      <x:c r="G59" s="79"/>
      <x:c r="H59" s="79"/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94"/>
      <x:c r="B60" s="81"/>
      <x:c r="C60" s="95"/>
      <x:c r="D60" s="95"/>
      <x:c r="E60" s="81"/>
      <x:c r="F60" s="81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94"/>
      <x:c r="B61" s="81"/>
      <x:c r="C61" s="95"/>
      <x:c r="D61" s="95"/>
      <x:c r="E61" s="81"/>
      <x:c r="F61" s="81"/>
      <x:c r="G61" s="79"/>
      <x:c r="H61" s="79"/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94"/>
      <x:c r="B62" s="81"/>
      <x:c r="C62" s="95"/>
      <x:c r="D62" s="95"/>
      <x:c r="E62" s="81"/>
      <x:c r="F62" s="81"/>
      <x:c r="G62" s="79"/>
      <x:c r="H62" s="79"/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94"/>
      <x:c r="B63" s="81"/>
      <x:c r="C63" s="95"/>
      <x:c r="D63" s="95"/>
      <x:c r="E63" s="81"/>
      <x:c r="F63" s="81"/>
      <x:c r="G63" s="79"/>
      <x:c r="H63" s="79"/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94"/>
      <x:c r="B64" s="81"/>
      <x:c r="C64" s="95"/>
      <x:c r="D64" s="95"/>
      <x:c r="E64" s="81"/>
      <x:c r="F64" s="81"/>
      <x:c r="G64" s="79"/>
      <x:c r="H64" s="79"/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0f5f34d3e4240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24" hidden="0" customWidth="1"/>
    <x:col min="9" max="9" width="10" hidden="0" customWidth="1"/>
    <x:col min="10" max="10" width="22" hidden="0" customWidth="1"/>
    <x:col min="11" max="11" width="20" hidden="0" customWidth="1"/>
    <x:col min="12" max="12" width="18" hidden="0" customWidth="1"/>
    <x:col min="13" max="13" width="34" hidden="0" customWidth="1"/>
    <x:col min="14" max="14" width="12" hidden="0" customWidth="1"/>
  </x:cols>
  <x:sheetData>
    <x:row r="1" ht="28" customHeight="1">
      <x:c r="A1" s="111" t="str">
        <x:v>Расчет тренда, сезонности и циклических отклонений</x:v>
      </x:c>
      <x:c r="B1" s="111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>
      <x:c r="A2" s="64" t="str">
        <x:v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>
      <x:c r="A4" s="80" t="str">
        <x:v>Период</x:v>
      </x:c>
      <x:c r="B4" s="80" t="str">
        <x:v>Месяц №</x:v>
      </x:c>
      <x:c r="C4" s="80" t="str">
        <x:v>Месяц</x:v>
      </x:c>
      <x:c r="D4" s="80" t="str">
        <x:v>Google Trends</x:v>
      </x:c>
      <x:c r="E4" s="80" t="str">
        <x:v>Вордстат</x:v>
      </x:c>
      <x:c r="F4" s="80" t="str">
        <x:v>Вордстат норм. 0–100</x:v>
      </x:c>
      <x:c r="G4" s="80" t="str">
        <x:v>Сводный индекс</x:v>
      </x:c>
      <x:c r="H4" s="80" t="str">
        <x:v>Тренд: скользящее среднее 12 мес.</x:v>
      </x:c>
      <x:c r="I4" s="80" t="str">
        <x:v>Y/T</x:v>
      </x:c>
      <x:c r="J4" s="80" t="str">
        <x:v>Сезонно очищенный индекс</x:v>
      </x:c>
      <x:c r="K4" s="80" t="str">
        <x:v>Циклический коэффициент</x:v>
      </x:c>
      <x:c r="L4" s="80" t="str">
        <x:v>Фаза цикла</x:v>
      </x:c>
      <x:c r="M4" s="80" t="str">
        <x:v>Комментарий</x:v>
      </x:c>
      <x:c r="N4" s="80" t="str">
        <x:v>Порядковый №</x:v>
      </x:c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>
      <x:c r="A5" s="94" t="n">
        <x:f>IF('Ввод_данных'!A5="","",'Ввод_данных'!A5)</x:f>
        <x:v>44927</x:v>
      </x:c>
      <x:c r="B5" s="81" t="n">
        <x:f>IF(A5="","",MONTH(A5))</x:f>
        <x:v>1</x:v>
      </x:c>
      <x:c r="C5" s="81" t="str">
        <x:f>IF(A5="","",CHOOSE(MONTH(A5),"январь","февраль","март","апрель","май","июнь","июль","август","сентябрь","октябрь","ноябрь","декабрь"))</x:f>
        <x:v>январь</x:v>
      </x:c>
      <x:c r="D5" s="83" t="n">
        <x:f>IF('Ввод_данных'!C5="","",'Ввод_данных'!C5)</x:f>
        <x:v>48</x:v>
      </x:c>
      <x:c r="E5" s="83" t="n">
        <x:f>IF('Ввод_данных'!D5="","",'Ввод_данных'!D5)</x:f>
        <x:v>946</x:v>
      </x:c>
      <x:c r="F5" s="83" t="n">
        <x:f>IF(E5="","",IF(MAX($E$5:$E$64)=0,"",E5/MAX($E$5:$E$64)*100))</x:f>
        <x:v>67.28307254623044</x:v>
      </x:c>
      <x:c r="G5" s="83" t="n">
        <x:f>IF(COUNT(D5,F5)=0,"",IF(COUNT(D5,F5)=2,D5*'Настройки'!$B$4+F5*'Настройки'!$B$5,IF(D5&lt;&gt;"",D5,F5)))</x:f>
        <x:v>57.64153627311522</x:v>
      </x:c>
      <x:c r="H5" s="83" t="str">
        <x:f>IF(OR(G5="",COUNT($G$5:G5)&lt;12),"","")</x:f>
      </x:c>
      <x:c r="I5" s="83" t="str">
        <x:f>IF(OR(G5="",H5="",H5=0),"",G5/H5)</x:f>
      </x:c>
      <x:c r="J5" s="83" t="n">
        <x:f>IF(OR(G5="",IFERROR(VLOOKUP(B5,'Сезонность'!$A$4:$D$15,4,FALSE),0)=0),"",G5/IFERROR(VLOOKUP(B5,'Сезонность'!$A$4:$D$15,4,FALSE),1))</x:f>
        <x:v>51.85164011478447</x:v>
      </x:c>
      <x:c r="K5" s="83" t="str">
        <x:f>IF(OR(G5="",H5="",H5=0,IFERROR(VLOOKUP(B5,'Сезонность'!$A$4:$D$15,4,FALSE),0)=0),"",G5/(H5*IFERROR(VLOOKUP(B5,'Сезонность'!$A$4:$D$15,4,FALSE),1)))</x:f>
      </x:c>
      <x:c r="L5" s="81" t="str">
        <x:f>IF(K5="","",IF(K5&lt;'Настройки'!$B$11,"ниже тренда",IF(K5&gt;'Настройки'!$B$12,"выше тренда","норма")))</x:f>
      </x:c>
      <x:c r="M5" s="81" t="str">
        <x:f>IF(L5="","",IF(L5="ниже тренда","возможное ослабление интереса",IF(L5="выше тренда","возможная фаза повышенного интереса","без выраженного отклонения")))</x:f>
      </x:c>
      <x:c r="N5" s="95" t="n">
        <x:f>IF(G5="","",COUNT($G$5:G5))</x:f>
        <x:v>1</x:v>
      </x:c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>
      <x:c r="A6" s="94" t="n">
        <x:f>IF('Ввод_данных'!A6="","",'Ввод_данных'!A6)</x:f>
        <x:v>44958</x:v>
      </x:c>
      <x:c r="B6" s="81" t="n">
        <x:f>IF(A6="","",MONTH(A6))</x:f>
        <x:v>2</x:v>
      </x:c>
      <x:c r="C6" s="81" t="str">
        <x:f>IF(A6="","",CHOOSE(MONTH(A6),"январь","февраль","март","апрель","май","июнь","июль","август","сентябрь","октябрь","ноябрь","декабрь"))</x:f>
        <x:v>февраль</x:v>
      </x:c>
      <x:c r="D6" s="83" t="n">
        <x:f>IF('Ввод_данных'!C6="","",'Ввод_данных'!C6)</x:f>
        <x:v>50</x:v>
      </x:c>
      <x:c r="E6" s="83" t="n">
        <x:f>IF('Ввод_данных'!D6="","",'Ввод_данных'!D6)</x:f>
        <x:v>975</x:v>
      </x:c>
      <x:c r="F6" s="83" t="n">
        <x:f>IF(E6="","",IF(MAX($E$5:$E$64)=0,"",E6/MAX($E$5:$E$64)*100))</x:f>
        <x:v>69.34566145092461</x:v>
      </x:c>
      <x:c r="G6" s="83" t="n">
        <x:f>IF(COUNT(D6,F6)=0,"",IF(COUNT(D6,F6)=2,D6*'Настройки'!$B$4+F6*'Настройки'!$B$5,IF(D6&lt;&gt;"",D6,F6)))</x:f>
        <x:v>59.672830725462305</x:v>
      </x:c>
      <x:c r="H6" s="83" t="str">
        <x:f>IF(OR(G6="",COUNT($G$5:G6)&lt;12),"","")</x:f>
      </x:c>
      <x:c r="I6" s="83" t="str">
        <x:f>IF(OR(G6="",H6="",H6=0),"",G6/H6)</x:f>
      </x:c>
      <x:c r="J6" s="83" t="n">
        <x:f>IF(OR(G6="",IFERROR(VLOOKUP(B6,'Сезонность'!$A$4:$D$15,4,FALSE),0)=0),"",G6/IFERROR(VLOOKUP(B6,'Сезонность'!$A$4:$D$15,4,FALSE),1))</x:f>
        <x:v>56.726315447001554</x:v>
      </x:c>
      <x:c r="K6" s="83" t="str">
        <x:f>IF(OR(G6="",H6="",H6=0,IFERROR(VLOOKUP(B6,'Сезонность'!$A$4:$D$15,4,FALSE),0)=0),"",G6/(H6*IFERROR(VLOOKUP(B6,'Сезонность'!$A$4:$D$15,4,FALSE),1)))</x:f>
      </x:c>
      <x:c r="L6" s="81" t="str">
        <x:f>IF(K6="","",IF(K6&lt;'Настройки'!$B$11,"ниже тренда",IF(K6&gt;'Настройки'!$B$12,"выше тренда","норма")))</x:f>
      </x:c>
      <x:c r="M6" s="81" t="str">
        <x:f>IF(L6="","",IF(L6="ниже тренда","возможное ослабление интереса",IF(L6="выше тренда","возможная фаза повышенного интереса","без выраженного отклонения")))</x:f>
      </x:c>
      <x:c r="N6" s="95" t="n">
        <x:f>IF(G6="","",COUNT($G$5:G6))</x:f>
        <x:v>2</x:v>
      </x:c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>
      <x:c r="A7" s="94" t="n">
        <x:f>IF('Ввод_данных'!A7="","",'Ввод_данных'!A7)</x:f>
        <x:v>44986</x:v>
      </x:c>
      <x:c r="B7" s="81" t="n">
        <x:f>IF(A7="","",MONTH(A7))</x:f>
        <x:v>3</x:v>
      </x:c>
      <x:c r="C7" s="81" t="str">
        <x:f>IF(A7="","",CHOOSE(MONTH(A7),"январь","февраль","март","апрель","май","июнь","июль","август","сентябрь","октябрь","ноябрь","декабрь"))</x:f>
        <x:v>март</x:v>
      </x:c>
      <x:c r="D7" s="83" t="n">
        <x:f>IF('Ввод_данных'!C7="","",'Ввод_данных'!C7)</x:f>
        <x:v>46</x:v>
      </x:c>
      <x:c r="E7" s="83" t="n">
        <x:f>IF('Ввод_данных'!D7="","",'Ввод_данных'!D7)</x:f>
        <x:v>889</x:v>
      </x:c>
      <x:c r="F7" s="83" t="n">
        <x:f>IF(E7="","",IF(MAX($E$5:$E$64)=0,"",E7/MAX($E$5:$E$64)*100))</x:f>
        <x:v>63.229018492176394</x:v>
      </x:c>
      <x:c r="G7" s="83" t="n">
        <x:f>IF(COUNT(D7,F7)=0,"",IF(COUNT(D7,F7)=2,D7*'Настройки'!$B$4+F7*'Настройки'!$B$5,IF(D7&lt;&gt;"",D7,F7)))</x:f>
        <x:v>54.6145092460882</x:v>
      </x:c>
      <x:c r="H7" s="83" t="str">
        <x:f>IF(OR(G7="",COUNT($G$5:G7)&lt;12),"","")</x:f>
      </x:c>
      <x:c r="I7" s="83" t="str">
        <x:f>IF(OR(G7="",H7="",H7=0),"",G7/H7)</x:f>
      </x:c>
      <x:c r="J7" s="83" t="n">
        <x:f>IF(OR(G7="",IFERROR(VLOOKUP(B7,'Сезонность'!$A$4:$D$15,4,FALSE),0)=0),"",G7/IFERROR(VLOOKUP(B7,'Сезонность'!$A$4:$D$15,4,FALSE),1))</x:f>
        <x:v>51.520500789605485</x:v>
      </x:c>
      <x:c r="K7" s="83" t="str">
        <x:f>IF(OR(G7="",H7="",H7=0,IFERROR(VLOOKUP(B7,'Сезонность'!$A$4:$D$15,4,FALSE),0)=0),"",G7/(H7*IFERROR(VLOOKUP(B7,'Сезонность'!$A$4:$D$15,4,FALSE),1)))</x:f>
      </x:c>
      <x:c r="L7" s="81" t="str">
        <x:f>IF(K7="","",IF(K7&lt;'Настройки'!$B$11,"ниже тренда",IF(K7&gt;'Настройки'!$B$12,"выше тренда","норма")))</x:f>
      </x:c>
      <x:c r="M7" s="81" t="str">
        <x:f>IF(L7="","",IF(L7="ниже тренда","возможное ослабление интереса",IF(L7="выше тренда","возможная фаза повышенного интереса","без выраженного отклонения")))</x:f>
      </x:c>
      <x:c r="N7" s="95" t="n">
        <x:f>IF(G7="","",COUNT($G$5:G7))</x:f>
        <x:v>3</x:v>
      </x:c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>
      <x:c r="A8" s="94" t="n">
        <x:f>IF('Ввод_данных'!A8="","",'Ввод_данных'!A8)</x:f>
        <x:v>45017</x:v>
      </x:c>
      <x:c r="B8" s="81" t="n">
        <x:f>IF(A8="","",MONTH(A8))</x:f>
        <x:v>4</x:v>
      </x:c>
      <x:c r="C8" s="81" t="str">
        <x:f>IF(A8="","",CHOOSE(MONTH(A8),"январь","февраль","март","апрель","май","июнь","июль","август","сентябрь","октябрь","ноябрь","декабрь"))</x:f>
        <x:v>апрель</x:v>
      </x:c>
      <x:c r="D8" s="83" t="n">
        <x:f>IF('Ввод_данных'!C8="","",'Ввод_данных'!C8)</x:f>
        <x:v>40</x:v>
      </x:c>
      <x:c r="E8" s="83" t="n">
        <x:f>IF('Ввод_данных'!D8="","",'Ввод_данных'!D8)</x:f>
        <x:v>787</x:v>
      </x:c>
      <x:c r="F8" s="83" t="n">
        <x:f>IF(E8="","",IF(MAX($E$5:$E$64)=0,"",E8/MAX($E$5:$E$64)*100))</x:f>
        <x:v>55.97439544807966</x:v>
      </x:c>
      <x:c r="G8" s="83" t="n">
        <x:f>IF(COUNT(D8,F8)=0,"",IF(COUNT(D8,F8)=2,D8*'Настройки'!$B$4+F8*'Настройки'!$B$5,IF(D8&lt;&gt;"",D8,F8)))</x:f>
        <x:v>47.98719772403983</x:v>
      </x:c>
      <x:c r="H8" s="83" t="str">
        <x:f>IF(OR(G8="",COUNT($G$5:G8)&lt;12),"","")</x:f>
      </x:c>
      <x:c r="I8" s="83" t="str">
        <x:f>IF(OR(G8="",H8="",H8=0),"",G8/H8)</x:f>
      </x:c>
      <x:c r="J8" s="83" t="n">
        <x:f>IF(OR(G8="",IFERROR(VLOOKUP(B8,'Сезонность'!$A$4:$D$15,4,FALSE),0)=0),"",G8/IFERROR(VLOOKUP(B8,'Сезонность'!$A$4:$D$15,4,FALSE),1))</x:f>
        <x:v>46.63421344404793</x:v>
      </x:c>
      <x:c r="K8" s="83" t="str">
        <x:f>IF(OR(G8="",H8="",H8=0,IFERROR(VLOOKUP(B8,'Сезонность'!$A$4:$D$15,4,FALSE),0)=0),"",G8/(H8*IFERROR(VLOOKUP(B8,'Сезонность'!$A$4:$D$15,4,FALSE),1)))</x:f>
      </x:c>
      <x:c r="L8" s="81" t="str">
        <x:f>IF(K8="","",IF(K8&lt;'Настройки'!$B$11,"ниже тренда",IF(K8&gt;'Настройки'!$B$12,"выше тренда","норма")))</x:f>
      </x:c>
      <x:c r="M8" s="81" t="str">
        <x:f>IF(L8="","",IF(L8="ниже тренда","возможное ослабление интереса",IF(L8="выше тренда","возможная фаза повышенного интереса","без выраженного отклонения")))</x:f>
      </x:c>
      <x:c r="N8" s="95" t="n">
        <x:f>IF(G8="","",COUNT($G$5:G8))</x:f>
        <x:v>4</x:v>
      </x:c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>
      <x:c r="A9" s="94" t="n">
        <x:f>IF('Ввод_данных'!A9="","",'Ввод_данных'!A9)</x:f>
        <x:v>45047</x:v>
      </x:c>
      <x:c r="B9" s="81" t="n">
        <x:f>IF(A9="","",MONTH(A9))</x:f>
        <x:v>5</x:v>
      </x:c>
      <x:c r="C9" s="81" t="str">
        <x:f>IF(A9="","",CHOOSE(MONTH(A9),"январь","февраль","март","апрель","май","июнь","июль","август","сентябрь","октябрь","ноябрь","декабрь"))</x:f>
        <x:v>май</x:v>
      </x:c>
      <x:c r="D9" s="83" t="n">
        <x:f>IF('Ввод_данных'!C9="","",'Ввод_данных'!C9)</x:f>
        <x:v>42</x:v>
      </x:c>
      <x:c r="E9" s="83" t="n">
        <x:f>IF('Ввод_данных'!D9="","",'Ввод_данных'!D9)</x:f>
        <x:v>815</x:v>
      </x:c>
      <x:c r="F9" s="83" t="n">
        <x:f>IF(E9="","",IF(MAX($E$5:$E$64)=0,"",E9/MAX($E$5:$E$64)*100))</x:f>
        <x:v>57.965860597439544</x:v>
      </x:c>
      <x:c r="G9" s="83" t="n">
        <x:f>IF(COUNT(D9,F9)=0,"",IF(COUNT(D9,F9)=2,D9*'Настройки'!$B$4+F9*'Настройки'!$B$5,IF(D9&lt;&gt;"",D9,F9)))</x:f>
        <x:v>49.98293029871977</x:v>
      </x:c>
      <x:c r="H9" s="83" t="str">
        <x:f>IF(OR(G9="",COUNT($G$5:G9)&lt;12),"","")</x:f>
      </x:c>
      <x:c r="I9" s="83" t="str">
        <x:f>IF(OR(G9="",H9="",H9=0),"",G9/H9)</x:f>
      </x:c>
      <x:c r="J9" s="83" t="n">
        <x:f>IF(OR(G9="",IFERROR(VLOOKUP(B9,'Сезонность'!$A$4:$D$15,4,FALSE),0)=0),"",G9/IFERROR(VLOOKUP(B9,'Сезонность'!$A$4:$D$15,4,FALSE),1))</x:f>
        <x:v>52.5150634287659</x:v>
      </x:c>
      <x:c r="K9" s="83" t="str">
        <x:f>IF(OR(G9="",H9="",H9=0,IFERROR(VLOOKUP(B9,'Сезонность'!$A$4:$D$15,4,FALSE),0)=0),"",G9/(H9*IFERROR(VLOOKUP(B9,'Сезонность'!$A$4:$D$15,4,FALSE),1)))</x:f>
      </x:c>
      <x:c r="L9" s="81" t="str">
        <x:f>IF(K9="","",IF(K9&lt;'Настройки'!$B$11,"ниже тренда",IF(K9&gt;'Настройки'!$B$12,"выше тренда","норма")))</x:f>
      </x:c>
      <x:c r="M9" s="81" t="str">
        <x:f>IF(L9="","",IF(L9="ниже тренда","возможное ослабление интереса",IF(L9="выше тренда","возможная фаза повышенного интереса","без выраженного отклонения")))</x:f>
      </x:c>
      <x:c r="N9" s="95" t="n">
        <x:f>IF(G9="","",COUNT($G$5:G9))</x:f>
        <x:v>5</x:v>
      </x:c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>
      <x:c r="A10" s="94" t="n">
        <x:f>IF('Ввод_данных'!A10="","",'Ввод_данных'!A10)</x:f>
        <x:v>45078</x:v>
      </x:c>
      <x:c r="B10" s="81" t="n">
        <x:f>IF(A10="","",MONTH(A10))</x:f>
        <x:v>6</x:v>
      </x:c>
      <x:c r="C10" s="81" t="str">
        <x:f>IF(A10="","",CHOOSE(MONTH(A10),"январь","февраль","март","апрель","май","июнь","июль","август","сентябрь","октябрь","ноябрь","декабрь"))</x:f>
        <x:v>июнь</x:v>
      </x:c>
      <x:c r="D10" s="83" t="n">
        <x:f>IF('Ввод_данных'!C10="","",'Ввод_данных'!C10)</x:f>
        <x:v>40</x:v>
      </x:c>
      <x:c r="E10" s="83" t="n">
        <x:f>IF('Ввод_данных'!D10="","",'Ввод_данных'!D10)</x:f>
        <x:v>791</x:v>
      </x:c>
      <x:c r="F10" s="83" t="n">
        <x:f>IF(E10="","",IF(MAX($E$5:$E$64)=0,"",E10/MAX($E$5:$E$64)*100))</x:f>
        <x:v>56.25889046941679</x:v>
      </x:c>
      <x:c r="G10" s="83" t="n">
        <x:f>IF(COUNT(D10,F10)=0,"",IF(COUNT(D10,F10)=2,D10*'Настройки'!$B$4+F10*'Настройки'!$B$5,IF(D10&lt;&gt;"",D10,F10)))</x:f>
        <x:v>48.1294452347084</x:v>
      </x:c>
      <x:c r="H10" s="83" t="str">
        <x:f>IF(OR(G10="",COUNT($G$5:G10)&lt;12),"","")</x:f>
      </x:c>
      <x:c r="I10" s="83" t="str">
        <x:f>IF(OR(G10="",H10="",H10=0),"",G10/H10)</x:f>
      </x:c>
      <x:c r="J10" s="83" t="n">
        <x:f>IF(OR(G10="",IFERROR(VLOOKUP(B10,'Сезонность'!$A$4:$D$15,4,FALSE),0)=0),"",G10/IFERROR(VLOOKUP(B10,'Сезонность'!$A$4:$D$15,4,FALSE),1))</x:f>
        <x:v>57.86477516526385</x:v>
      </x:c>
      <x:c r="K10" s="83" t="str">
        <x:f>IF(OR(G10="",H10="",H10=0,IFERROR(VLOOKUP(B10,'Сезонность'!$A$4:$D$15,4,FALSE),0)=0),"",G10/(H10*IFERROR(VLOOKUP(B10,'Сезонность'!$A$4:$D$15,4,FALSE),1)))</x:f>
      </x:c>
      <x:c r="L10" s="81" t="str">
        <x:f>IF(K10="","",IF(K10&lt;'Настройки'!$B$11,"ниже тренда",IF(K10&gt;'Настройки'!$B$12,"выше тренда","норма")))</x:f>
      </x:c>
      <x:c r="M10" s="81" t="str">
        <x:f>IF(L10="","",IF(L10="ниже тренда","возможное ослабление интереса",IF(L10="выше тренда","возможная фаза повышенного интереса","без выраженного отклонения")))</x:f>
      </x:c>
      <x:c r="N10" s="95" t="n">
        <x:f>IF(G10="","",COUNT($G$5:G10))</x:f>
        <x:v>6</x:v>
      </x:c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>
      <x:c r="A11" s="94" t="n">
        <x:f>IF('Ввод_данных'!A11="","",'Ввод_данных'!A11)</x:f>
        <x:v>45108</x:v>
      </x:c>
      <x:c r="B11" s="81" t="n">
        <x:f>IF(A11="","",MONTH(A11))</x:f>
        <x:v>7</x:v>
      </x:c>
      <x:c r="C11" s="81" t="str">
        <x:f>IF(A11="","",CHOOSE(MONTH(A11),"январь","февраль","март","апрель","май","июнь","июль","август","сентябрь","октябрь","ноябрь","декабрь"))</x:f>
        <x:v>июль</x:v>
      </x:c>
      <x:c r="D11" s="83" t="n">
        <x:f>IF('Ввод_данных'!C11="","",'Ввод_данных'!C11)</x:f>
        <x:v>35</x:v>
      </x:c>
      <x:c r="E11" s="83" t="n">
        <x:f>IF('Ввод_данных'!D11="","",'Ввод_данных'!D11)</x:f>
        <x:v>675</x:v>
      </x:c>
      <x:c r="F11" s="83" t="n">
        <x:f>IF(E11="","",IF(MAX($E$5:$E$64)=0,"",E11/MAX($E$5:$E$64)*100))</x:f>
        <x:v>48.00853485064011</x:v>
      </x:c>
      <x:c r="G11" s="83" t="n">
        <x:f>IF(COUNT(D11,F11)=0,"",IF(COUNT(D11,F11)=2,D11*'Настройки'!$B$4+F11*'Настройки'!$B$5,IF(D11&lt;&gt;"",D11,F11)))</x:f>
        <x:v>41.50426742532005</x:v>
      </x:c>
      <x:c r="H11" s="83" t="str">
        <x:f>IF(OR(G11="",COUNT($G$5:G11)&lt;12),"","")</x:f>
      </x:c>
      <x:c r="I11" s="83" t="str">
        <x:f>IF(OR(G11="",H11="",H11=0),"",G11/H11)</x:f>
      </x:c>
      <x:c r="J11" s="83" t="n">
        <x:f>IF(OR(G11="",IFERROR(VLOOKUP(B11,'Сезонность'!$A$4:$D$15,4,FALSE),0)=0),"",G11/IFERROR(VLOOKUP(B11,'Сезонность'!$A$4:$D$15,4,FALSE),1))</x:f>
        <x:v>55.13832502208888</x:v>
      </x:c>
      <x:c r="K11" s="83" t="str">
        <x:f>IF(OR(G11="",H11="",H11=0,IFERROR(VLOOKUP(B11,'Сезонность'!$A$4:$D$15,4,FALSE),0)=0),"",G11/(H11*IFERROR(VLOOKUP(B11,'Сезонность'!$A$4:$D$15,4,FALSE),1)))</x:f>
      </x:c>
      <x:c r="L11" s="81" t="str">
        <x:f>IF(K11="","",IF(K11&lt;'Настройки'!$B$11,"ниже тренда",IF(K11&gt;'Настройки'!$B$12,"выше тренда","норма")))</x:f>
      </x:c>
      <x:c r="M11" s="81" t="str">
        <x:f>IF(L11="","",IF(L11="ниже тренда","возможное ослабление интереса",IF(L11="выше тренда","возможная фаза повышенного интереса","без выраженного отклонения")))</x:f>
      </x:c>
      <x:c r="N11" s="95" t="n">
        <x:f>IF(G11="","",COUNT($G$5:G11))</x:f>
        <x:v>7</x:v>
      </x:c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>
      <x:c r="A12" s="94" t="n">
        <x:f>IF('Ввод_данных'!A12="","",'Ввод_данных'!A12)</x:f>
        <x:v>45139</x:v>
      </x:c>
      <x:c r="B12" s="81" t="n">
        <x:f>IF(A12="","",MONTH(A12))</x:f>
        <x:v>8</x:v>
      </x:c>
      <x:c r="C12" s="81" t="str">
        <x:f>IF(A12="","",CHOOSE(MONTH(A12),"январь","февраль","март","апрель","май","июнь","июль","август","сентябрь","октябрь","ноябрь","декабрь"))</x:f>
        <x:v>август</x:v>
      </x:c>
      <x:c r="D12" s="83" t="n">
        <x:f>IF('Ввод_данных'!C12="","",'Ввод_данных'!C12)</x:f>
        <x:v>39</x:v>
      </x:c>
      <x:c r="E12" s="83" t="n">
        <x:f>IF('Ввод_данных'!D12="","",'Ввод_данных'!D12)</x:f>
        <x:v>764</x:v>
      </x:c>
      <x:c r="F12" s="83" t="n">
        <x:f>IF(E12="","",IF(MAX($E$5:$E$64)=0,"",E12/MAX($E$5:$E$64)*100))</x:f>
        <x:v>54.338549075391185</x:v>
      </x:c>
      <x:c r="G12" s="83" t="n">
        <x:f>IF(COUNT(D12,F12)=0,"",IF(COUNT(D12,F12)=2,D12*'Настройки'!$B$4+F12*'Настройки'!$B$5,IF(D12&lt;&gt;"",D12,F12)))</x:f>
        <x:v>46.66927453769559</x:v>
      </x:c>
      <x:c r="H12" s="83" t="str">
        <x:f>IF(OR(G12="",COUNT($G$5:G12)&lt;12),"","")</x:f>
      </x:c>
      <x:c r="I12" s="83" t="str">
        <x:f>IF(OR(G12="",H12="",H12=0),"",G12/H12)</x:f>
      </x:c>
      <x:c r="J12" s="83" t="n">
        <x:f>IF(OR(G12="",IFERROR(VLOOKUP(B12,'Сезонность'!$A$4:$D$15,4,FALSE),0)=0),"",G12/IFERROR(VLOOKUP(B12,'Сезонность'!$A$4:$D$15,4,FALSE),1))</x:f>
        <x:v>53.980844418185</x:v>
      </x:c>
      <x:c r="K12" s="83" t="str">
        <x:f>IF(OR(G12="",H12="",H12=0,IFERROR(VLOOKUP(B12,'Сезонность'!$A$4:$D$15,4,FALSE),0)=0),"",G12/(H12*IFERROR(VLOOKUP(B12,'Сезонность'!$A$4:$D$15,4,FALSE),1)))</x:f>
      </x:c>
      <x:c r="L12" s="81" t="str">
        <x:f>IF(K12="","",IF(K12&lt;'Настройки'!$B$11,"ниже тренда",IF(K12&gt;'Настройки'!$B$12,"выше тренда","норма")))</x:f>
      </x:c>
      <x:c r="M12" s="81" t="str">
        <x:f>IF(L12="","",IF(L12="ниже тренда","возможное ослабление интереса",IF(L12="выше тренда","возможная фаза повышенного интереса","без выраженного отклонения")))</x:f>
      </x:c>
      <x:c r="N12" s="95" t="n">
        <x:f>IF(G12="","",COUNT($G$5:G12))</x:f>
        <x:v>8</x:v>
      </x:c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>
      <x:c r="A13" s="94" t="n">
        <x:f>IF('Ввод_данных'!A13="","",'Ввод_данных'!A13)</x:f>
        <x:v>45170</x:v>
      </x:c>
      <x:c r="B13" s="81" t="n">
        <x:f>IF(A13="","",MONTH(A13))</x:f>
        <x:v>9</x:v>
      </x:c>
      <x:c r="C13" s="81" t="str">
        <x:f>IF(A13="","",CHOOSE(MONTH(A13),"январь","февраль","март","апрель","май","июнь","июль","август","сентябрь","октябрь","ноябрь","декабрь"))</x:f>
        <x:v>сентябрь</x:v>
      </x:c>
      <x:c r="D13" s="83" t="n">
        <x:f>IF('Ввод_данных'!C13="","",'Ввод_данных'!C13)</x:f>
        <x:v>55</x:v>
      </x:c>
      <x:c r="E13" s="83" t="n">
        <x:f>IF('Ввод_данных'!D13="","",'Ввод_данных'!D13)</x:f>
        <x:v>1068</x:v>
      </x:c>
      <x:c r="F13" s="83" t="n">
        <x:f>IF(E13="","",IF(MAX($E$5:$E$64)=0,"",E13/MAX($E$5:$E$64)*100))</x:f>
        <x:v>75.96017069701281</x:v>
      </x:c>
      <x:c r="G13" s="83" t="n">
        <x:f>IF(COUNT(D13,F13)=0,"",IF(COUNT(D13,F13)=2,D13*'Настройки'!$B$4+F13*'Настройки'!$B$5,IF(D13&lt;&gt;"",D13,F13)))</x:f>
        <x:v>65.4800853485064</x:v>
      </x:c>
      <x:c r="H13" s="83" t="str">
        <x:f>IF(OR(G13="",COUNT($G$5:G13)&lt;12),"","")</x:f>
      </x:c>
      <x:c r="I13" s="83" t="str">
        <x:f>IF(OR(G13="",H13="",H13=0),"",G13/H13)</x:f>
      </x:c>
      <x:c r="J13" s="83" t="n">
        <x:f>IF(OR(G13="",IFERROR(VLOOKUP(B13,'Сезонность'!$A$4:$D$15,4,FALSE),0)=0),"",G13/IFERROR(VLOOKUP(B13,'Сезонность'!$A$4:$D$15,4,FALSE),1))</x:f>
        <x:v>59.6998014790453</x:v>
      </x:c>
      <x:c r="K13" s="83" t="str">
        <x:f>IF(OR(G13="",H13="",H13=0,IFERROR(VLOOKUP(B13,'Сезонность'!$A$4:$D$15,4,FALSE),0)=0),"",G13/(H13*IFERROR(VLOOKUP(B13,'Сезонность'!$A$4:$D$15,4,FALSE),1)))</x:f>
      </x:c>
      <x:c r="L13" s="81" t="str">
        <x:f>IF(K13="","",IF(K13&lt;'Настройки'!$B$11,"ниже тренда",IF(K13&gt;'Настройки'!$B$12,"выше тренда","норма")))</x:f>
      </x:c>
      <x:c r="M13" s="81" t="str">
        <x:f>IF(L13="","",IF(L13="ниже тренда","возможное ослабление интереса",IF(L13="выше тренда","возможная фаза повышенного интереса","без выраженного отклонения")))</x:f>
      </x:c>
      <x:c r="N13" s="95" t="n">
        <x:f>IF(G13="","",COUNT($G$5:G13))</x:f>
        <x:v>9</x:v>
      </x:c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>
      <x:c r="A14" s="94" t="n">
        <x:f>IF('Ввод_данных'!A14="","",'Ввод_данных'!A14)</x:f>
        <x:v>45200</x:v>
      </x:c>
      <x:c r="B14" s="81" t="n">
        <x:f>IF(A14="","",MONTH(A14))</x:f>
        <x:v>10</x:v>
      </x:c>
      <x:c r="C14" s="81" t="str">
        <x:f>IF(A14="","",CHOOSE(MONTH(A14),"январь","февраль","март","апрель","май","июнь","июль","август","сентябрь","октябрь","ноябрь","декабрь"))</x:f>
        <x:v>октябрь</x:v>
      </x:c>
      <x:c r="D14" s="83" t="n">
        <x:f>IF('Ввод_данных'!C14="","",'Ввод_данных'!C14)</x:f>
        <x:v>56</x:v>
      </x:c>
      <x:c r="E14" s="83" t="n">
        <x:f>IF('Ввод_данных'!D14="","",'Ввод_данных'!D14)</x:f>
        <x:v>1086</x:v>
      </x:c>
      <x:c r="F14" s="83" t="n">
        <x:f>IF(E14="","",IF(MAX($E$5:$E$64)=0,"",E14/MAX($E$5:$E$64)*100))</x:f>
        <x:v>77.24039829302988</x:v>
      </x:c>
      <x:c r="G14" s="83" t="n">
        <x:f>IF(COUNT(D14,F14)=0,"",IF(COUNT(D14,F14)=2,D14*'Настройки'!$B$4+F14*'Настройки'!$B$5,IF(D14&lt;&gt;"",D14,F14)))</x:f>
        <x:v>66.62019914651495</x:v>
      </x:c>
      <x:c r="H14" s="83" t="str">
        <x:f>IF(OR(G14="",COUNT($G$5:G14)&lt;12),"","")</x:f>
      </x:c>
      <x:c r="I14" s="83" t="str">
        <x:f>IF(OR(G14="",H14="",H14=0),"",G14/H14)</x:f>
      </x:c>
      <x:c r="J14" s="83" t="n">
        <x:f>IF(OR(G14="",IFERROR(VLOOKUP(B14,'Сезонность'!$A$4:$D$15,4,FALSE),0)=0),"",G14/IFERROR(VLOOKUP(B14,'Сезонность'!$A$4:$D$15,4,FALSE),1))</x:f>
        <x:v>58.370263492823824</x:v>
      </x:c>
      <x:c r="K14" s="83" t="str">
        <x:f>IF(OR(G14="",H14="",H14=0,IFERROR(VLOOKUP(B14,'Сезонность'!$A$4:$D$15,4,FALSE),0)=0),"",G14/(H14*IFERROR(VLOOKUP(B14,'Сезонность'!$A$4:$D$15,4,FALSE),1)))</x:f>
      </x:c>
      <x:c r="L14" s="81" t="str">
        <x:f>IF(K14="","",IF(K14&lt;'Настройки'!$B$11,"ниже тренда",IF(K14&gt;'Настройки'!$B$12,"выше тренда","норма")))</x:f>
      </x:c>
      <x:c r="M14" s="81" t="str">
        <x:f>IF(L14="","",IF(L14="ниже тренда","возможное ослабление интереса",IF(L14="выше тренда","возможная фаза повышенного интереса","без выраженного отклонения")))</x:f>
      </x:c>
      <x:c r="N14" s="95" t="n">
        <x:f>IF(G14="","",COUNT($G$5:G14))</x:f>
        <x:v>10</x:v>
      </x:c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>
      <x:c r="A15" s="94" t="n">
        <x:f>IF('Ввод_данных'!A15="","",'Ввод_данных'!A15)</x:f>
        <x:v>45231</x:v>
      </x:c>
      <x:c r="B15" s="81" t="n">
        <x:f>IF(A15="","",MONTH(A15))</x:f>
        <x:v>11</x:v>
      </x:c>
      <x:c r="C15" s="81" t="str">
        <x:f>IF(A15="","",CHOOSE(MONTH(A15),"январь","февраль","март","апрель","май","июнь","июль","август","сентябрь","октябрь","ноябрь","декабрь"))</x:f>
        <x:v>ноябрь</x:v>
      </x:c>
      <x:c r="D15" s="83" t="n">
        <x:f>IF('Ввод_данных'!C15="","",'Ввод_данных'!C15)</x:f>
        <x:v>50</x:v>
      </x:c>
      <x:c r="E15" s="83" t="n">
        <x:f>IF('Ввод_данных'!D15="","",'Ввод_данных'!D15)</x:f>
        <x:v>968</x:v>
      </x:c>
      <x:c r="F15" s="83" t="n">
        <x:f>IF(E15="","",IF(MAX($E$5:$E$64)=0,"",E15/MAX($E$5:$E$64)*100))</x:f>
        <x:v>68.84779516358464</x:v>
      </x:c>
      <x:c r="G15" s="83" t="n">
        <x:f>IF(COUNT(D15,F15)=0,"",IF(COUNT(D15,F15)=2,D15*'Настройки'!$B$4+F15*'Настройки'!$B$5,IF(D15&lt;&gt;"",D15,F15)))</x:f>
        <x:v>59.42389758179232</x:v>
      </x:c>
      <x:c r="H15" s="83" t="str">
        <x:f>IF(OR(G15="",COUNT($G$5:G15)&lt;12),"","")</x:f>
      </x:c>
      <x:c r="I15" s="83" t="str">
        <x:f>IF(OR(G15="",H15="",H15=0),"",G15/H15)</x:f>
      </x:c>
      <x:c r="J15" s="83" t="n">
        <x:f>IF(OR(G15="",IFERROR(VLOOKUP(B15,'Сезонность'!$A$4:$D$15,4,FALSE),0)=0),"",G15/IFERROR(VLOOKUP(B15,'Сезонность'!$A$4:$D$15,4,FALSE),1))</x:f>
        <x:v>51.26724981256348</x:v>
      </x:c>
      <x:c r="K15" s="83" t="str">
        <x:f>IF(OR(G15="",H15="",H15=0,IFERROR(VLOOKUP(B15,'Сезонность'!$A$4:$D$15,4,FALSE),0)=0),"",G15/(H15*IFERROR(VLOOKUP(B15,'Сезонность'!$A$4:$D$15,4,FALSE),1)))</x:f>
      </x:c>
      <x:c r="L15" s="81" t="str">
        <x:f>IF(K15="","",IF(K15&lt;'Настройки'!$B$11,"ниже тренда",IF(K15&gt;'Настройки'!$B$12,"выше тренда","норма")))</x:f>
      </x:c>
      <x:c r="M15" s="81" t="str">
        <x:f>IF(L15="","",IF(L15="ниже тренда","возможное ослабление интереса",IF(L15="выше тренда","возможная фаза повышенного интереса","без выраженного отклонения")))</x:f>
      </x:c>
      <x:c r="N15" s="95" t="n">
        <x:f>IF(G15="","",COUNT($G$5:G15))</x:f>
        <x:v>11</x:v>
      </x:c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>
      <x:c r="A16" s="94" t="n">
        <x:f>IF('Ввод_данных'!A16="","",'Ввод_данных'!A16)</x:f>
        <x:v>45261</x:v>
      </x:c>
      <x:c r="B16" s="81" t="n">
        <x:f>IF(A16="","",MONTH(A16))</x:f>
        <x:v>12</x:v>
      </x:c>
      <x:c r="C16" s="81" t="str">
        <x:f>IF(A16="","",CHOOSE(MONTH(A16),"январь","февраль","март","апрель","май","июнь","июль","август","сентябрь","октябрь","ноябрь","декабрь"))</x:f>
        <x:v>декабрь</x:v>
      </x:c>
      <x:c r="D16" s="83" t="n">
        <x:f>IF('Ввод_данных'!C16="","",'Ввод_данных'!C16)</x:f>
        <x:v>44</x:v>
      </x:c>
      <x:c r="E16" s="83" t="n">
        <x:f>IF('Ввод_данных'!D16="","",'Ввод_данных'!D16)</x:f>
        <x:v>852</x:v>
      </x:c>
      <x:c r="F16" s="83" t="n">
        <x:f>IF(E16="","",IF(MAX($E$5:$E$64)=0,"",E16/MAX($E$5:$E$64)*100))</x:f>
        <x:v>60.59743954480796</x:v>
      </x:c>
      <x:c r="G16" s="83" t="n">
        <x:f>IF(COUNT(D16,F16)=0,"",IF(COUNT(D16,F16)=2,D16*'Настройки'!$B$4+F16*'Настройки'!$B$5,IF(D16&lt;&gt;"",D16,F16)))</x:f>
        <x:v>52.298719772403985</x:v>
      </x:c>
      <x:c r="H16" s="83" t="n">
        <x:f>IF(OR(G16="",COUNT($G$5:G16)&lt;12),"",AVERAGE(G5:G16))</x:f>
        <x:v>54.16874110953058</x:v>
      </x:c>
      <x:c r="I16" s="83" t="n">
        <x:f>IF(OR(G16="",H16="",H16=0),"",G16/H16)</x:f>
        <x:v>0.9654778512695105</x:v>
      </x:c>
      <x:c r="J16" s="83" t="n">
        <x:f>IF(OR(G16="",IFERROR(VLOOKUP(B16,'Сезонность'!$A$4:$D$15,4,FALSE),0)=0),"",G16/IFERROR(VLOOKUP(B16,'Сезонность'!$A$4:$D$15,4,FALSE),1))</x:f>
        <x:v>55.09509631203048</x:v>
      </x:c>
      <x:c r="K16" s="83" t="n">
        <x:f>IF(OR(G16="",H16="",H16=0,IFERROR(VLOOKUP(B16,'Сезонность'!$A$4:$D$15,4,FALSE),0)=0),"",G16/(H16*IFERROR(VLOOKUP(B16,'Сезонность'!$A$4:$D$15,4,FALSE),1)))</x:f>
        <x:v>1.0171012872650442</x:v>
      </x:c>
      <x:c r="L16" s="81" t="str">
        <x:f>IF(K16="","",IF(K16&lt;'Настройки'!$B$11,"ниже тренда",IF(K16&gt;'Настройки'!$B$12,"выше тренда","норма")))</x:f>
        <x:v>норма</x:v>
      </x:c>
      <x:c r="M16" s="81" t="str">
        <x:f>IF(L16="","",IF(L16="ниже тренда","возможное ослабление интереса",IF(L16="выше тренда","возможная фаза повышенного интереса","без выраженного отклонения")))</x:f>
        <x:v>без выраженного отклонения</x:v>
      </x:c>
      <x:c r="N16" s="95" t="n">
        <x:f>IF(G16="","",COUNT($G$5:G16))</x:f>
        <x:v>12</x:v>
      </x:c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>
      <x:c r="A17" s="94" t="n">
        <x:f>IF('Ввод_данных'!A17="","",'Ввод_данных'!A17)</x:f>
        <x:v>45292</x:v>
      </x:c>
      <x:c r="B17" s="81" t="n">
        <x:f>IF(A17="","",MONTH(A17))</x:f>
        <x:v>1</x:v>
      </x:c>
      <x:c r="C17" s="81" t="str">
        <x:f>IF(A17="","",CHOOSE(MONTH(A17),"январь","февраль","март","апрель","май","июнь","июль","август","сентябрь","октябрь","ноябрь","декабрь"))</x:f>
        <x:v>январь</x:v>
      </x:c>
      <x:c r="D17" s="83" t="n">
        <x:f>IF('Ввод_данных'!C17="","",'Ввод_данных'!C17)</x:f>
        <x:v>56</x:v>
      </x:c>
      <x:c r="E17" s="83" t="n">
        <x:f>IF('Ввод_данных'!D17="","",'Ввод_данных'!D17)</x:f>
        <x:v>1097</x:v>
      </x:c>
      <x:c r="F17" s="83" t="n">
        <x:f>IF(E17="","",IF(MAX($E$5:$E$64)=0,"",E17/MAX($E$5:$E$64)*100))</x:f>
        <x:v>78.02275960170697</x:v>
      </x:c>
      <x:c r="G17" s="83" t="n">
        <x:f>IF(COUNT(D17,F17)=0,"",IF(COUNT(D17,F17)=2,D17*'Настройки'!$B$4+F17*'Настройки'!$B$5,IF(D17&lt;&gt;"",D17,F17)))</x:f>
        <x:v>67.01137980085349</x:v>
      </x:c>
      <x:c r="H17" s="83" t="n">
        <x:f>IF(OR(G17="",COUNT($G$5:G17)&lt;12),"",AVERAGE(G6:G17))</x:f>
        <x:v>54.94956140350877</x:v>
      </x:c>
      <x:c r="I17" s="83" t="n">
        <x:f>IF(OR(G17="",H17="",H17=0),"",G17/H17)</x:f>
        <x:v>1.2195070913991777</x:v>
      </x:c>
      <x:c r="J17" s="83" t="n">
        <x:f>IF(OR(G17="",IFERROR(VLOOKUP(B17,'Сезонность'!$A$4:$D$15,4,FALSE),0)=0),"",G17/IFERROR(VLOOKUP(B17,'Сезонность'!$A$4:$D$15,4,FALSE),1))</x:f>
        <x:v>60.28031474673959</x:v>
      </x:c>
      <x:c r="K17" s="83" t="n">
        <x:f>IF(OR(G17="",H17="",H17=0,IFERROR(VLOOKUP(B17,'Сезонность'!$A$4:$D$15,4,FALSE),0)=0),"",G17/(H17*IFERROR(VLOOKUP(B17,'Сезонность'!$A$4:$D$15,4,FALSE),1)))</x:f>
        <x:v>1.0970117541809976</x:v>
      </x:c>
      <x:c r="L17" s="81" t="str">
        <x:f>IF(K17="","",IF(K17&lt;'Настройки'!$B$11,"ниже тренда",IF(K17&gt;'Настройки'!$B$12,"выше тренда","норма")))</x:f>
        <x:v>норма</x:v>
      </x:c>
      <x:c r="M17" s="81" t="str">
        <x:f>IF(L17="","",IF(L17="ниже тренда","возможное ослабление интереса",IF(L17="выше тренда","возможная фаза повышенного интереса","без выраженного отклонения")))</x:f>
        <x:v>без выраженного отклонения</x:v>
      </x:c>
      <x:c r="N17" s="95" t="n">
        <x:f>IF(G17="","",COUNT($G$5:G17))</x:f>
        <x:v>13</x:v>
      </x:c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>
      <x:c r="A18" s="94" t="n">
        <x:f>IF('Ввод_данных'!A18="","",'Ввод_данных'!A18)</x:f>
        <x:v>45323</x:v>
      </x:c>
      <x:c r="B18" s="81" t="n">
        <x:f>IF(A18="","",MONTH(A18))</x:f>
        <x:v>2</x:v>
      </x:c>
      <x:c r="C18" s="81" t="str">
        <x:f>IF(A18="","",CHOOSE(MONTH(A18),"январь","февраль","март","апрель","май","июнь","июль","август","сентябрь","октябрь","ноябрь","декабрь"))</x:f>
        <x:v>февраль</x:v>
      </x:c>
      <x:c r="D18" s="83" t="n">
        <x:f>IF('Ввод_данных'!C18="","",'Ввод_данных'!C18)</x:f>
        <x:v>54</x:v>
      </x:c>
      <x:c r="E18" s="83" t="n">
        <x:f>IF('Ввод_данных'!D18="","",'Ввод_данных'!D18)</x:f>
        <x:v>1057</x:v>
      </x:c>
      <x:c r="F18" s="83" t="n">
        <x:f>IF(E18="","",IF(MAX($E$5:$E$64)=0,"",E18/MAX($E$5:$E$64)*100))</x:f>
        <x:v>75.1778093883357</x:v>
      </x:c>
      <x:c r="G18" s="83" t="n">
        <x:f>IF(COUNT(D18,F18)=0,"",IF(COUNT(D18,F18)=2,D18*'Настройки'!$B$4+F18*'Настройки'!$B$5,IF(D18&lt;&gt;"",D18,F18)))</x:f>
        <x:v>64.58890469416785</x:v>
      </x:c>
      <x:c r="H18" s="83" t="n">
        <x:f>IF(OR(G18="",COUNT($G$5:G18)&lt;12),"",AVERAGE(G7:G18))</x:f>
        <x:v>55.35923423423423</x:v>
      </x:c>
      <x:c r="I18" s="83" t="n">
        <x:f>IF(OR(G18="",H18="",H18=0),"",G18/H18)</x:f>
        <x:v>1.1667232321328964</x:v>
      </x:c>
      <x:c r="J18" s="83" t="n">
        <x:f>IF(OR(G18="",IFERROR(VLOOKUP(B18,'Сезонность'!$A$4:$D$15,4,FALSE),0)=0),"",G18/IFERROR(VLOOKUP(B18,'Сезонность'!$A$4:$D$15,4,FALSE),1))</x:f>
        <x:v>61.39964431910733</x:v>
      </x:c>
      <x:c r="K18" s="83" t="n">
        <x:f>IF(OR(G18="",H18="",H18=0,IFERROR(VLOOKUP(B18,'Сезонность'!$A$4:$D$15,4,FALSE),0)=0),"",G18/(H18*IFERROR(VLOOKUP(B18,'Сезонность'!$A$4:$D$15,4,FALSE),1)))</x:f>
        <x:v>1.109112963147487</x:v>
      </x:c>
      <x:c r="L18" s="81" t="str">
        <x:f>IF(K18="","",IF(K18&lt;'Настройки'!$B$11,"ниже тренда",IF(K18&gt;'Настройки'!$B$12,"выше тренда","норма")))</x:f>
        <x:v>выше тренда</x:v>
      </x:c>
      <x:c r="M18" s="81" t="str">
        <x:f>IF(L18="","",IF(L18="ниже тренда","возможное ослабление интереса",IF(L18="выше тренда","возможная фаза повышенного интереса","без выраженного отклонения")))</x:f>
        <x:v>возможная фаза повышенного интереса</x:v>
      </x:c>
      <x:c r="N18" s="95" t="n">
        <x:f>IF(G18="","",COUNT($G$5:G18))</x:f>
        <x:v>14</x:v>
      </x:c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>
      <x:c r="A19" s="94" t="n">
        <x:f>IF('Ввод_данных'!A19="","",'Ввод_данных'!A19)</x:f>
        <x:v>45352</x:v>
      </x:c>
      <x:c r="B19" s="81" t="n">
        <x:f>IF(A19="","",MONTH(A19))</x:f>
        <x:v>3</x:v>
      </x:c>
      <x:c r="C19" s="81" t="str">
        <x:f>IF(A19="","",CHOOSE(MONTH(A19),"январь","февраль","март","апрель","май","июнь","июль","август","сентябрь","октябрь","ноябрь","декабрь"))</x:f>
        <x:v>март</x:v>
      </x:c>
      <x:c r="D19" s="83" t="n">
        <x:f>IF('Ввод_данных'!C19="","",'Ввод_данных'!C19)</x:f>
        <x:v>52</x:v>
      </x:c>
      <x:c r="E19" s="83" t="n">
        <x:f>IF('Ввод_данных'!D19="","",'Ввод_данных'!D19)</x:f>
        <x:v>1015</x:v>
      </x:c>
      <x:c r="F19" s="83" t="n">
        <x:f>IF(E19="","",IF(MAX($E$5:$E$64)=0,"",E19/MAX($E$5:$E$64)*100))</x:f>
        <x:v>72.19061166429587</x:v>
      </x:c>
      <x:c r="G19" s="83" t="n">
        <x:f>IF(COUNT(D19,F19)=0,"",IF(COUNT(D19,F19)=2,D19*'Настройки'!$B$4+F19*'Настройки'!$B$5,IF(D19&lt;&gt;"",D19,F19)))</x:f>
        <x:v>62.095305832147936</x:v>
      </x:c>
      <x:c r="H19" s="83" t="n">
        <x:f>IF(OR(G19="",COUNT($G$5:G19)&lt;12),"",AVERAGE(G8:G19))</x:f>
        <x:v>55.98263394973921</x:v>
      </x:c>
      <x:c r="I19" s="83" t="n">
        <x:f>IF(OR(G19="",H19="",H19=0),"",G19/H19)</x:f>
        <x:v>1.1091887153415583</x:v>
      </x:c>
      <x:c r="J19" s="83" t="n">
        <x:f>IF(OR(G19="",IFERROR(VLOOKUP(B19,'Сезонность'!$A$4:$D$15,4,FALSE),0)=0),"",G19/IFERROR(VLOOKUP(B19,'Сезонность'!$A$4:$D$15,4,FALSE),1))</x:f>
        <x:v>58.57749702996947</x:v>
      </x:c>
      <x:c r="K19" s="83" t="n">
        <x:f>IF(OR(G19="",H19="",H19=0,IFERROR(VLOOKUP(B19,'Сезонность'!$A$4:$D$15,4,FALSE),0)=0),"",G19/(H19*IFERROR(VLOOKUP(B19,'Сезонность'!$A$4:$D$15,4,FALSE),1)))</x:f>
        <x:v>1.0463512146027267</x:v>
      </x:c>
      <x:c r="L19" s="81" t="str">
        <x:f>IF(K19="","",IF(K19&lt;'Настройки'!$B$11,"ниже тренда",IF(K19&gt;'Настройки'!$B$12,"выше тренда","норма")))</x:f>
        <x:v>норма</x:v>
      </x:c>
      <x:c r="M19" s="81" t="str">
        <x:f>IF(L19="","",IF(L19="ниже тренда","возможное ослабление интереса",IF(L19="выше тренда","возможная фаза повышенного интереса","без выраженного отклонения")))</x:f>
        <x:v>без выраженного отклонения</x:v>
      </x:c>
      <x:c r="N19" s="95" t="n">
        <x:f>IF(G19="","",COUNT($G$5:G19))</x:f>
        <x:v>15</x:v>
      </x:c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>
      <x:c r="A20" s="94" t="n">
        <x:f>IF('Ввод_данных'!A20="","",'Ввод_данных'!A20)</x:f>
        <x:v>45383</x:v>
      </x:c>
      <x:c r="B20" s="81" t="n">
        <x:f>IF(A20="","",MONTH(A20))</x:f>
        <x:v>4</x:v>
      </x:c>
      <x:c r="C20" s="81" t="str">
        <x:f>IF(A20="","",CHOOSE(MONTH(A20),"январь","февраль","март","апрель","май","июнь","июль","август","сентябрь","октябрь","ноябрь","декабрь"))</x:f>
        <x:v>апрель</x:v>
      </x:c>
      <x:c r="D20" s="83" t="n">
        <x:f>IF('Ввод_данных'!C20="","",'Ввод_данных'!C20)</x:f>
        <x:v>51</x:v>
      </x:c>
      <x:c r="E20" s="83" t="n">
        <x:f>IF('Ввод_данных'!D20="","",'Ввод_данных'!D20)</x:f>
        <x:v>1002</x:v>
      </x:c>
      <x:c r="F20" s="83" t="n">
        <x:f>IF(E20="","",IF(MAX($E$5:$E$64)=0,"",E20/MAX($E$5:$E$64)*100))</x:f>
        <x:v>71.26600284495022</x:v>
      </x:c>
      <x:c r="G20" s="83" t="n">
        <x:f>IF(COUNT(D20,F20)=0,"",IF(COUNT(D20,F20)=2,D20*'Настройки'!$B$4+F20*'Настройки'!$B$5,IF(D20&lt;&gt;"",D20,F20)))</x:f>
        <x:v>61.13300142247511</x:v>
      </x:c>
      <x:c r="H20" s="83" t="n">
        <x:f>IF(OR(G20="",COUNT($G$5:G20)&lt;12),"",AVERAGE(G9:G20))</x:f>
        <x:v>57.078117591275486</x:v>
      </x:c>
      <x:c r="I20" s="83" t="n">
        <x:f>IF(OR(G20="",H20="",H20=0),"",G20/H20)</x:f>
        <x:v>1.0710409523354607</x:v>
      </x:c>
      <x:c r="J20" s="83" t="n">
        <x:f>IF(OR(G20="",IFERROR(VLOOKUP(B20,'Сезонность'!$A$4:$D$15,4,FALSE),0)=0),"",G20/IFERROR(VLOOKUP(B20,'Сезонность'!$A$4:$D$15,4,FALSE),1))</x:f>
        <x:v>59.40937525057436</x:v>
      </x:c>
      <x:c r="K20" s="83" t="n">
        <x:f>IF(OR(G20="",H20="",H20=0,IFERROR(VLOOKUP(B20,'Сезонность'!$A$4:$D$15,4,FALSE),0)=0),"",G20/(H20*IFERROR(VLOOKUP(B20,'Сезонность'!$A$4:$D$15,4,FALSE),1)))</x:f>
        <x:v>1.0408432821136906</x:v>
      </x:c>
      <x:c r="L20" s="81" t="str">
        <x:f>IF(K20="","",IF(K20&lt;'Настройки'!$B$11,"ниже тренда",IF(K20&gt;'Настройки'!$B$12,"выше тренда","норма")))</x:f>
        <x:v>норма</x:v>
      </x:c>
      <x:c r="M20" s="81" t="str">
        <x:f>IF(L20="","",IF(L20="ниже тренда","возможное ослабление интереса",IF(L20="выше тренда","возможная фаза повышенного интереса","без выраженного отклонения")))</x:f>
        <x:v>без выраженного отклонения</x:v>
      </x:c>
      <x:c r="N20" s="95" t="n">
        <x:f>IF(G20="","",COUNT($G$5:G20))</x:f>
        <x:v>16</x:v>
      </x:c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>
      <x:c r="A21" s="94" t="n">
        <x:f>IF('Ввод_данных'!A21="","",'Ввод_данных'!A21)</x:f>
        <x:v>45413</x:v>
      </x:c>
      <x:c r="B21" s="81" t="n">
        <x:f>IF(A21="","",MONTH(A21))</x:f>
        <x:v>5</x:v>
      </x:c>
      <x:c r="C21" s="81" t="str">
        <x:f>IF(A21="","",CHOOSE(MONTH(A21),"январь","февраль","март","апрель","май","июнь","июль","август","сентябрь","октябрь","ноябрь","декабрь"))</x:f>
        <x:v>май</x:v>
      </x:c>
      <x:c r="D21" s="83" t="n">
        <x:f>IF('Ввод_данных'!C21="","",'Ввод_данных'!C21)</x:f>
        <x:v>49</x:v>
      </x:c>
      <x:c r="E21" s="83" t="n">
        <x:f>IF('Ввод_данных'!D21="","",'Ввод_данных'!D21)</x:f>
        <x:v>962</x:v>
      </x:c>
      <x:c r="F21" s="83" t="n">
        <x:f>IF(E21="","",IF(MAX($E$5:$E$64)=0,"",E21/MAX($E$5:$E$64)*100))</x:f>
        <x:v>68.42105263157895</x:v>
      </x:c>
      <x:c r="G21" s="83" t="n">
        <x:f>IF(COUNT(D21,F21)=0,"",IF(COUNT(D21,F21)=2,D21*'Настройки'!$B$4+F21*'Настройки'!$B$5,IF(D21&lt;&gt;"",D21,F21)))</x:f>
        <x:v>58.71052631578947</x:v>
      </x:c>
      <x:c r="H21" s="83" t="n">
        <x:f>IF(OR(G21="",COUNT($G$5:G21)&lt;12),"",AVERAGE(G10:G21))</x:f>
        <x:v>57.805417259364624</x:v>
      </x:c>
      <x:c r="I21" s="83" t="n">
        <x:f>IF(OR(G21="",H21="",H21=0),"",G21/H21)</x:f>
        <x:v>1.0156578587152785</x:v>
      </x:c>
      <x:c r="J21" s="83" t="n">
        <x:f>IF(OR(G21="",IFERROR(VLOOKUP(B21,'Сезонность'!$A$4:$D$15,4,FALSE),0)=0),"",G21/IFERROR(VLOOKUP(B21,'Сезонность'!$A$4:$D$15,4,FALSE),1))</x:f>
        <x:v>61.68479909007824</x:v>
      </x:c>
      <x:c r="K21" s="83" t="n">
        <x:f>IF(OR(G21="",H21="",H21=0,IFERROR(VLOOKUP(B21,'Сезонность'!$A$4:$D$15,4,FALSE),0)=0),"",G21/(H21*IFERROR(VLOOKUP(B21,'Сезонность'!$A$4:$D$15,4,FALSE),1)))</x:f>
        <x:v>1.0671110427818102</x:v>
      </x:c>
      <x:c r="L21" s="81" t="str">
        <x:f>IF(K21="","",IF(K21&lt;'Настройки'!$B$11,"ниже тренда",IF(K21&gt;'Настройки'!$B$12,"выше тренда","норма")))</x:f>
        <x:v>норма</x:v>
      </x:c>
      <x:c r="M21" s="81" t="str">
        <x:f>IF(L21="","",IF(L21="ниже тренда","возможное ослабление интереса",IF(L21="выше тренда","возможная фаза повышенного интереса","без выраженного отклонения")))</x:f>
        <x:v>без выраженного отклонения</x:v>
      </x:c>
      <x:c r="N21" s="95" t="n">
        <x:f>IF(G21="","",COUNT($G$5:G21))</x:f>
        <x:v>17</x:v>
      </x:c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>
      <x:c r="A22" s="94" t="n">
        <x:f>IF('Ввод_данных'!A22="","",'Ввод_данных'!A22)</x:f>
        <x:v>45444</x:v>
      </x:c>
      <x:c r="B22" s="81" t="n">
        <x:f>IF(A22="","",MONTH(A22))</x:f>
        <x:v>6</x:v>
      </x:c>
      <x:c r="C22" s="81" t="str">
        <x:f>IF(A22="","",CHOOSE(MONTH(A22),"январь","февраль","март","апрель","май","июнь","июль","август","сентябрь","октябрь","ноябрь","декабрь"))</x:f>
        <x:v>июнь</x:v>
      </x:c>
      <x:c r="D22" s="83" t="n">
        <x:f>IF('Ввод_данных'!C22="","",'Ввод_данных'!C22)</x:f>
        <x:v>42</x:v>
      </x:c>
      <x:c r="E22" s="83" t="n">
        <x:f>IF('Ввод_данных'!D22="","",'Ввод_данных'!D22)</x:f>
        <x:v>819</x:v>
      </x:c>
      <x:c r="F22" s="83" t="n">
        <x:f>IF(E22="","",IF(MAX($E$5:$E$64)=0,"",E22/MAX($E$5:$E$64)*100))</x:f>
        <x:v>58.25035561877667</x:v>
      </x:c>
      <x:c r="G22" s="83" t="n">
        <x:f>IF(COUNT(D22,F22)=0,"",IF(COUNT(D22,F22)=2,D22*'Настройки'!$B$4+F22*'Настройки'!$B$5,IF(D22&lt;&gt;"",D22,F22)))</x:f>
        <x:v>50.12517780938833</x:v>
      </x:c>
      <x:c r="H22" s="83" t="n">
        <x:f>IF(OR(G22="",COUNT($G$5:G22)&lt;12),"",AVERAGE(G11:G22))</x:f>
        <x:v>57.97172830725463</x:v>
      </x:c>
      <x:c r="I22" s="83" t="n">
        <x:f>IF(OR(G22="",H22="",H22=0),"",G22/H22)</x:f>
        <x:v>0.8646486705333508</x:v>
      </x:c>
      <x:c r="J22" s="83" t="n">
        <x:f>IF(OR(G22="",IFERROR(VLOOKUP(B22,'Сезонность'!$A$4:$D$15,4,FALSE),0)=0),"",G22/IFERROR(VLOOKUP(B22,'Сезонность'!$A$4:$D$15,4,FALSE),1))</x:f>
        <x:v>60.26419232373481</x:v>
      </x:c>
      <x:c r="K22" s="83" t="n">
        <x:f>IF(OR(G22="",H22="",H22=0,IFERROR(VLOOKUP(B22,'Сезонность'!$A$4:$D$15,4,FALSE),0)=0),"",G22/(H22*IFERROR(VLOOKUP(B22,'Сезонность'!$A$4:$D$15,4,FALSE),1)))</x:f>
        <x:v>1.0395445173607718</x:v>
      </x:c>
      <x:c r="L22" s="81" t="str">
        <x:f>IF(K22="","",IF(K22&lt;'Настройки'!$B$11,"ниже тренда",IF(K22&gt;'Настройки'!$B$12,"выше тренда","норма")))</x:f>
        <x:v>норма</x:v>
      </x:c>
      <x:c r="M22" s="81" t="str">
        <x:f>IF(L22="","",IF(L22="ниже тренда","возможное ослабление интереса",IF(L22="выше тренда","возможная фаза повышенного интереса","без выраженного отклонения")))</x:f>
        <x:v>без выраженного отклонения</x:v>
      </x:c>
      <x:c r="N22" s="95" t="n">
        <x:f>IF(G22="","",COUNT($G$5:G22))</x:f>
        <x:v>18</x:v>
      </x:c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>
      <x:c r="A23" s="94" t="n">
        <x:f>IF('Ввод_данных'!A23="","",'Ввод_данных'!A23)</x:f>
        <x:v>45474</x:v>
      </x:c>
      <x:c r="B23" s="81" t="n">
        <x:f>IF(A23="","",MONTH(A23))</x:f>
        <x:v>7</x:v>
      </x:c>
      <x:c r="C23" s="81" t="str">
        <x:f>IF(A23="","",CHOOSE(MONTH(A23),"январь","февраль","март","апрель","май","июнь","июль","август","сентябрь","октябрь","ноябрь","декабрь"))</x:f>
        <x:v>июль</x:v>
      </x:c>
      <x:c r="D23" s="83" t="n">
        <x:f>IF('Ввод_данных'!C23="","",'Ввод_данных'!C23)</x:f>
        <x:v>37</x:v>
      </x:c>
      <x:c r="E23" s="83" t="n">
        <x:f>IF('Ввод_данных'!D23="","",'Ввод_данных'!D23)</x:f>
        <x:v>729</x:v>
      </x:c>
      <x:c r="F23" s="83" t="n">
        <x:f>IF(E23="","",IF(MAX($E$5:$E$64)=0,"",E23/MAX($E$5:$E$64)*100))</x:f>
        <x:v>51.84921763869133</x:v>
      </x:c>
      <x:c r="G23" s="83" t="n">
        <x:f>IF(COUNT(D23,F23)=0,"",IF(COUNT(D23,F23)=2,D23*'Настройки'!$B$4+F23*'Настройки'!$B$5,IF(D23&lt;&gt;"",D23,F23)))</x:f>
        <x:v>44.424608819345664</x:v>
      </x:c>
      <x:c r="H23" s="83" t="n">
        <x:f>IF(OR(G23="",COUNT($G$5:G23)&lt;12),"",AVERAGE(G12:G23))</x:f>
        <x:v>58.21509009009009</x:v>
      </x:c>
      <x:c r="I23" s="83" t="n">
        <x:f>IF(OR(G23="",H23="",H23=0),"",G23/H23)</x:f>
        <x:v>0.7631115703951824</x:v>
      </x:c>
      <x:c r="J23" s="83" t="n">
        <x:f>IF(OR(G23="",IFERROR(VLOOKUP(B23,'Сезонность'!$A$4:$D$15,4,FALSE),0)=0),"",G23/IFERROR(VLOOKUP(B23,'Сезонность'!$A$4:$D$15,4,FALSE),1))</x:f>
        <x:v>59.01799193221993</x:v>
      </x:c>
      <x:c r="K23" s="83" t="n">
        <x:f>IF(OR(G23="",H23="",H23=0,IFERROR(VLOOKUP(B23,'Сезонность'!$A$4:$D$15,4,FALSE),0)=0),"",G23/(H23*IFERROR(VLOOKUP(B23,'Сезонность'!$A$4:$D$15,4,FALSE),1)))</x:f>
        <x:v>1.0137919883124344</x:v>
      </x:c>
      <x:c r="L23" s="81" t="str">
        <x:f>IF(K23="","",IF(K23&lt;'Настройки'!$B$11,"ниже тренда",IF(K23&gt;'Настройки'!$B$12,"выше тренда","норма")))</x:f>
        <x:v>норма</x:v>
      </x:c>
      <x:c r="M23" s="81" t="str">
        <x:f>IF(L23="","",IF(L23="ниже тренда","возможное ослабление интереса",IF(L23="выше тренда","возможная фаза повышенного интереса","без выраженного отклонения")))</x:f>
        <x:v>без выраженного отклонения</x:v>
      </x:c>
      <x:c r="N23" s="95" t="n">
        <x:f>IF(G23="","",COUNT($G$5:G23))</x:f>
        <x:v>19</x:v>
      </x:c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>
      <x:c r="A24" s="94" t="n">
        <x:f>IF('Ввод_данных'!A24="","",'Ввод_данных'!A24)</x:f>
        <x:v>45505</x:v>
      </x:c>
      <x:c r="B24" s="81" t="n">
        <x:f>IF(A24="","",MONTH(A24))</x:f>
        <x:v>8</x:v>
      </x:c>
      <x:c r="C24" s="81" t="str">
        <x:f>IF(A24="","",CHOOSE(MONTH(A24),"январь","февраль","март","апрель","май","июнь","июль","август","сентябрь","октябрь","ноябрь","декабрь"))</x:f>
        <x:v>август</x:v>
      </x:c>
      <x:c r="D24" s="83" t="n">
        <x:f>IF('Ввод_данных'!C24="","",'Ввод_данных'!C24)</x:f>
        <x:v>46</x:v>
      </x:c>
      <x:c r="E24" s="83" t="n">
        <x:f>IF('Ввод_данных'!D24="","",'Ввод_данных'!D24)</x:f>
        <x:v>895</x:v>
      </x:c>
      <x:c r="F24" s="83" t="n">
        <x:f>IF(E24="","",IF(MAX($E$5:$E$64)=0,"",E24/MAX($E$5:$E$64)*100))</x:f>
        <x:v>63.65576102418208</x:v>
      </x:c>
      <x:c r="G24" s="83" t="n">
        <x:f>IF(COUNT(D24,F24)=0,"",IF(COUNT(D24,F24)=2,D24*'Настройки'!$B$4+F24*'Настройки'!$B$5,IF(D24&lt;&gt;"",D24,F24)))</x:f>
        <x:v>54.82788051209104</x:v>
      </x:c>
      <x:c r="H24" s="83" t="n">
        <x:f>IF(OR(G24="",COUNT($G$5:G24)&lt;12),"",AVERAGE(G13:G24))</x:f>
        <x:v>58.894973921289704</x:v>
      </x:c>
      <x:c r="I24" s="83" t="n">
        <x:f>IF(OR(G24="",H24="",H24=0),"",G24/H24)</x:f>
        <x:v>0.930943285336468</x:v>
      </x:c>
      <x:c r="J24" s="83" t="n">
        <x:f>IF(OR(G24="",IFERROR(VLOOKUP(B24,'Сезонность'!$A$4:$D$15,4,FALSE),0)=0),"",G24/IFERROR(VLOOKUP(B24,'Сезонность'!$A$4:$D$15,4,FALSE),1))</x:f>
        <x:v>63.41764077158428</x:v>
      </x:c>
      <x:c r="K24" s="83" t="n">
        <x:f>IF(OR(G24="",H24="",H24=0,IFERROR(VLOOKUP(B24,'Сезонность'!$A$4:$D$15,4,FALSE),0)=0),"",G24/(H24*IFERROR(VLOOKUP(B24,'Сезонность'!$A$4:$D$15,4,FALSE),1)))</x:f>
        <x:v>1.0767920681370688</x:v>
      </x:c>
      <x:c r="L24" s="81" t="str">
        <x:f>IF(K24="","",IF(K24&lt;'Настройки'!$B$11,"ниже тренда",IF(K24&gt;'Настройки'!$B$12,"выше тренда","норма")))</x:f>
        <x:v>норма</x:v>
      </x:c>
      <x:c r="M24" s="81" t="str">
        <x:f>IF(L24="","",IF(L24="ниже тренда","возможное ослабление интереса",IF(L24="выше тренда","возможная фаза повышенного интереса","без выраженного отклонения")))</x:f>
        <x:v>без выраженного отклонения</x:v>
      </x:c>
      <x:c r="N24" s="95" t="n">
        <x:f>IF(G24="","",COUNT($G$5:G24))</x:f>
        <x:v>20</x:v>
      </x:c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>
      <x:c r="A25" s="94" t="n">
        <x:f>IF('Ввод_данных'!A25="","",'Ввод_данных'!A25)</x:f>
        <x:v>45536</x:v>
      </x:c>
      <x:c r="B25" s="81" t="n">
        <x:f>IF(A25="","",MONTH(A25))</x:f>
        <x:v>9</x:v>
      </x:c>
      <x:c r="C25" s="81" t="str">
        <x:f>IF(A25="","",CHOOSE(MONTH(A25),"январь","февраль","март","апрель","май","июнь","июль","август","сентябрь","октябрь","ноябрь","декабрь"))</x:f>
        <x:v>сентябрь</x:v>
      </x:c>
      <x:c r="D25" s="83" t="n">
        <x:f>IF('Ввод_данных'!C25="","",'Ввод_данных'!C25)</x:f>
        <x:v>61</x:v>
      </x:c>
      <x:c r="E25" s="83" t="n">
        <x:f>IF('Ввод_данных'!D25="","",'Ввод_данных'!D25)</x:f>
        <x:v>1192</x:v>
      </x:c>
      <x:c r="F25" s="83" t="n">
        <x:f>IF(E25="","",IF(MAX($E$5:$E$64)=0,"",E25/MAX($E$5:$E$64)*100))</x:f>
        <x:v>84.77951635846372</x:v>
      </x:c>
      <x:c r="G25" s="83" t="n">
        <x:f>IF(COUNT(D25,F25)=0,"",IF(COUNT(D25,F25)=2,D25*'Настройки'!$B$4+F25*'Настройки'!$B$5,IF(D25&lt;&gt;"",D25,F25)))</x:f>
        <x:v>72.88975817923186</x:v>
      </x:c>
      <x:c r="H25" s="83" t="n">
        <x:f>IF(OR(G25="",COUNT($G$5:G25)&lt;12),"",AVERAGE(G14:G25))</x:f>
        <x:v>59.512446657183496</x:v>
      </x:c>
      <x:c r="I25" s="83" t="n">
        <x:f>IF(OR(G25="",H25="",H25=0),"",G25/H25)</x:f>
        <x:v>1.2247817435419392</x:v>
      </x:c>
      <x:c r="J25" s="83" t="n">
        <x:f>IF(OR(G25="",IFERROR(VLOOKUP(B25,'Сезонность'!$A$4:$D$15,4,FALSE),0)=0),"",G25/IFERROR(VLOOKUP(B25,'Сезонность'!$A$4:$D$15,4,FALSE),1))</x:f>
        <x:v>66.45538212107749</x:v>
      </x:c>
      <x:c r="K25" s="83" t="n">
        <x:f>IF(OR(G25="",H25="",H25=0,IFERROR(VLOOKUP(B25,'Сезонность'!$A$4:$D$15,4,FALSE),0)=0),"",G25/(H25*IFERROR(VLOOKUP(B25,'Сезонность'!$A$4:$D$15,4,FALSE),1)))</x:f>
        <x:v>1.1166635864239995</x:v>
      </x:c>
      <x:c r="L25" s="81" t="str">
        <x:f>IF(K25="","",IF(K25&lt;'Настройки'!$B$11,"ниже тренда",IF(K25&gt;'Настройки'!$B$12,"выше тренда","норма")))</x:f>
        <x:v>выше тренда</x:v>
      </x:c>
      <x:c r="M25" s="81" t="str">
        <x:f>IF(L25="","",IF(L25="ниже тренда","возможное ослабление интереса",IF(L25="выше тренда","возможная фаза повышенного интереса","без выраженного отклонения")))</x:f>
        <x:v>возможная фаза повышенного интереса</x:v>
      </x:c>
      <x:c r="N25" s="95" t="n">
        <x:f>IF(G25="","",COUNT($G$5:G25))</x:f>
        <x:v>21</x:v>
      </x:c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>
      <x:c r="A26" s="94" t="n">
        <x:f>IF('Ввод_данных'!A26="","",'Ввод_данных'!A26)</x:f>
        <x:v>45566</x:v>
      </x:c>
      <x:c r="B26" s="81" t="n">
        <x:f>IF(A26="","",MONTH(A26))</x:f>
        <x:v>10</x:v>
      </x:c>
      <x:c r="C26" s="81" t="str">
        <x:f>IF(A26="","",CHOOSE(MONTH(A26),"январь","февраль","март","апрель","май","июнь","июль","август","сентябрь","октябрь","ноябрь","декабрь"))</x:f>
        <x:v>октябрь</x:v>
      </x:c>
      <x:c r="D26" s="83" t="n">
        <x:f>IF('Ввод_данных'!C26="","",'Ввод_данных'!C26)</x:f>
        <x:v>61</x:v>
      </x:c>
      <x:c r="E26" s="83" t="n">
        <x:f>IF('Ввод_данных'!D26="","",'Ввод_данных'!D26)</x:f>
        <x:v>1193</x:v>
      </x:c>
      <x:c r="F26" s="83" t="n">
        <x:f>IF(E26="","",IF(MAX($E$5:$E$64)=0,"",E26/MAX($E$5:$E$64)*100))</x:f>
        <x:v>84.85064011379801</x:v>
      </x:c>
      <x:c r="G26" s="83" t="n">
        <x:f>IF(COUNT(D26,F26)=0,"",IF(COUNT(D26,F26)=2,D26*'Настройки'!$B$4+F26*'Настройки'!$B$5,IF(D26&lt;&gt;"",D26,F26)))</x:f>
        <x:v>72.92532005689901</x:v>
      </x:c>
      <x:c r="H26" s="83" t="n">
        <x:f>IF(OR(G26="",COUNT($G$5:G26)&lt;12),"",AVERAGE(G15:G26))</x:f>
        <x:v>60.0378733997155</x:v>
      </x:c>
      <x:c r="I26" s="83" t="n">
        <x:f>IF(OR(G26="",H26="",H26=0),"",G26/H26)</x:f>
        <x:v>1.2146552821979963</x:v>
      </x:c>
      <x:c r="J26" s="83" t="n">
        <x:f>IF(OR(G26="",IFERROR(VLOOKUP(B26,'Сезонность'!$A$4:$D$15,4,FALSE),0)=0),"",G26/IFERROR(VLOOKUP(B26,'Сезонность'!$A$4:$D$15,4,FALSE),1))</x:f>
        <x:v>63.89458755081463</x:v>
      </x:c>
      <x:c r="K26" s="83" t="n">
        <x:f>IF(OR(G26="",H26="",H26=0,IFERROR(VLOOKUP(B26,'Сезонность'!$A$4:$D$15,4,FALSE),0)=0),"",G26/(H26*IFERROR(VLOOKUP(B26,'Сезонность'!$A$4:$D$15,4,FALSE),1)))</x:f>
        <x:v>1.06423802064777</x:v>
      </x:c>
      <x:c r="L26" s="81" t="str">
        <x:f>IF(K26="","",IF(K26&lt;'Настройки'!$B$11,"ниже тренда",IF(K26&gt;'Настройки'!$B$12,"выше тренда","норма")))</x:f>
        <x:v>норма</x:v>
      </x:c>
      <x:c r="M26" s="81" t="str">
        <x:f>IF(L26="","",IF(L26="ниже тренда","возможное ослабление интереса",IF(L26="выше тренда","возможная фаза повышенного интереса","без выраженного отклонения")))</x:f>
        <x:v>без выраженного отклонения</x:v>
      </x:c>
      <x:c r="N26" s="95" t="n">
        <x:f>IF(G26="","",COUNT($G$5:G26))</x:f>
        <x:v>22</x:v>
      </x:c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>
      <x:c r="A27" s="94" t="n">
        <x:f>IF('Ввод_данных'!A27="","",'Ввод_данных'!A27)</x:f>
        <x:v>45597</x:v>
      </x:c>
      <x:c r="B27" s="81" t="n">
        <x:f>IF(A27="","",MONTH(A27))</x:f>
        <x:v>11</x:v>
      </x:c>
      <x:c r="C27" s="81" t="str">
        <x:f>IF(A27="","",CHOOSE(MONTH(A27),"январь","февраль","март","апрель","май","июнь","июль","август","сентябрь","октябрь","ноябрь","декабрь"))</x:f>
        <x:v>ноябрь</x:v>
      </x:c>
      <x:c r="D27" s="83" t="n">
        <x:f>IF('Ввод_данных'!C27="","",'Ввод_данных'!C27)</x:f>
        <x:v>61</x:v>
      </x:c>
      <x:c r="E27" s="83" t="n">
        <x:f>IF('Ввод_данных'!D27="","",'Ввод_данных'!D27)</x:f>
        <x:v>1185</x:v>
      </x:c>
      <x:c r="F27" s="83" t="n">
        <x:f>IF(E27="","",IF(MAX($E$5:$E$64)=0,"",E27/MAX($E$5:$E$64)*100))</x:f>
        <x:v>84.28165007112376</x:v>
      </x:c>
      <x:c r="G27" s="83" t="n">
        <x:f>IF(COUNT(D27,F27)=0,"",IF(COUNT(D27,F27)=2,D27*'Настройки'!$B$4+F27*'Настройки'!$B$5,IF(D27&lt;&gt;"",D27,F27)))</x:f>
        <x:v>72.64082503556187</x:v>
      </x:c>
      <x:c r="H27" s="83" t="n">
        <x:f>IF(OR(G27="",COUNT($G$5:G27)&lt;12),"",AVERAGE(G16:G27))</x:f>
        <x:v>61.139284020862966</x:v>
      </x:c>
      <x:c r="I27" s="83" t="n">
        <x:f>IF(OR(G27="",H27="",H27=0),"",G27/H27)</x:f>
        <x:v>1.188120309206993</x:v>
      </x:c>
      <x:c r="J27" s="83" t="n">
        <x:f>IF(OR(G27="",IFERROR(VLOOKUP(B27,'Сезонность'!$A$4:$D$15,4,FALSE),0)=0),"",G27/IFERROR(VLOOKUP(B27,'Сезонность'!$A$4:$D$15,4,FALSE),1))</x:f>
        <x:v>62.6699943160568</x:v>
      </x:c>
      <x:c r="K27" s="83" t="n">
        <x:f>IF(OR(G27="",H27="",H27=0,IFERROR(VLOOKUP(B27,'Сезонность'!$A$4:$D$15,4,FALSE),0)=0),"",G27/(H27*IFERROR(VLOOKUP(B27,'Сезонность'!$A$4:$D$15,4,FALSE),1)))</x:f>
        <x:v>1.0250364445660092</x:v>
      </x:c>
      <x:c r="L27" s="81" t="str">
        <x:f>IF(K27="","",IF(K27&lt;'Настройки'!$B$11,"ниже тренда",IF(K27&gt;'Настройки'!$B$12,"выше тренда","норма")))</x:f>
        <x:v>норма</x:v>
      </x:c>
      <x:c r="M27" s="81" t="str">
        <x:f>IF(L27="","",IF(L27="ниже тренда","возможное ослабление интереса",IF(L27="выше тренда","возможная фаза повышенного интереса","без выраженного отклонения")))</x:f>
        <x:v>без выраженного отклонения</x:v>
      </x:c>
      <x:c r="N27" s="95" t="n">
        <x:f>IF(G27="","",COUNT($G$5:G27))</x:f>
        <x:v>23</x:v>
      </x:c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>
      <x:c r="A28" s="94" t="n">
        <x:f>IF('Ввод_данных'!A28="","",'Ввод_данных'!A28)</x:f>
        <x:v>45627</x:v>
      </x:c>
      <x:c r="B28" s="81" t="n">
        <x:f>IF(A28="","",MONTH(A28))</x:f>
        <x:v>12</x:v>
      </x:c>
      <x:c r="C28" s="81" t="str">
        <x:f>IF(A28="","",CHOOSE(MONTH(A28),"январь","февраль","март","апрель","май","июнь","июль","август","сентябрь","октябрь","ноябрь","декабрь"))</x:f>
        <x:v>декабрь</x:v>
      </x:c>
      <x:c r="D28" s="83" t="n">
        <x:f>IF('Ввод_данных'!C28="","",'Ввод_данных'!C28)</x:f>
        <x:v>53</x:v>
      </x:c>
      <x:c r="E28" s="83" t="n">
        <x:f>IF('Ввод_данных'!D28="","",'Ввод_данных'!D28)</x:f>
        <x:v>1035</x:v>
      </x:c>
      <x:c r="F28" s="83" t="n">
        <x:f>IF(E28="","",IF(MAX($E$5:$E$64)=0,"",E28/MAX($E$5:$E$64)*100))</x:f>
        <x:v>73.61308677098151</x:v>
      </x:c>
      <x:c r="G28" s="83" t="n">
        <x:f>IF(COUNT(D28,F28)=0,"",IF(COUNT(D28,F28)=2,D28*'Настройки'!$B$4+F28*'Настройки'!$B$5,IF(D28&lt;&gt;"",D28,F28)))</x:f>
        <x:v>63.306543385490755</x:v>
      </x:c>
      <x:c r="H28" s="83" t="n">
        <x:f>IF(OR(G28="",COUNT($G$5:G28)&lt;12),"",AVERAGE(G17:G28))</x:f>
        <x:v>62.056602655286866</x:v>
      </x:c>
      <x:c r="I28" s="83" t="n">
        <x:f>IF(OR(G28="",H28="",H28=0),"",G28/H28)</x:f>
        <x:v>1.020141945848165</x:v>
      </x:c>
      <x:c r="J28" s="83" t="n">
        <x:f>IF(OR(G28="",IFERROR(VLOOKUP(B28,'Сезонность'!$A$4:$D$15,4,FALSE),0)=0),"",G28/IFERROR(VLOOKUP(B28,'Сезонность'!$A$4:$D$15,4,FALSE),1))</x:f>
        <x:v>66.69150067504653</x:v>
      </x:c>
      <x:c r="K28" s="83" t="n">
        <x:f>IF(OR(G28="",H28="",H28=0,IFERROR(VLOOKUP(B28,'Сезонность'!$A$4:$D$15,4,FALSE),0)=0),"",G28/(H28*IFERROR(VLOOKUP(B28,'Сезонность'!$A$4:$D$15,4,FALSE),1)))</x:f>
        <x:v>1.0746882333457033</x:v>
      </x:c>
      <x:c r="L28" s="81" t="str">
        <x:f>IF(K28="","",IF(K28&lt;'Настройки'!$B$11,"ниже тренда",IF(K28&gt;'Настройки'!$B$12,"выше тренда","норма")))</x:f>
        <x:v>норма</x:v>
      </x:c>
      <x:c r="M28" s="81" t="str">
        <x:f>IF(L28="","",IF(L28="ниже тренда","возможное ослабление интереса",IF(L28="выше тренда","возможная фаза повышенного интереса","без выраженного отклонения")))</x:f>
        <x:v>без выраженного отклонения</x:v>
      </x:c>
      <x:c r="N28" s="95" t="n">
        <x:f>IF(G28="","",COUNT($G$5:G28))</x:f>
        <x:v>24</x:v>
      </x:c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>
      <x:c r="A29" s="94" t="n">
        <x:f>IF('Ввод_данных'!A29="","",'Ввод_данных'!A29)</x:f>
        <x:v>45658</x:v>
      </x:c>
      <x:c r="B29" s="81" t="n">
        <x:f>IF(A29="","",MONTH(A29))</x:f>
        <x:v>1</x:v>
      </x:c>
      <x:c r="C29" s="81" t="str">
        <x:f>IF(A29="","",CHOOSE(MONTH(A29),"январь","февраль","март","апрель","май","июнь","июль","август","сентябрь","октябрь","ноябрь","декабрь"))</x:f>
        <x:v>январь</x:v>
      </x:c>
      <x:c r="D29" s="83" t="n">
        <x:f>IF('Ввод_данных'!C29="","",'Ввод_данных'!C29)</x:f>
        <x:v>59</x:v>
      </x:c>
      <x:c r="E29" s="83" t="n">
        <x:f>IF('Ввод_данных'!D29="","",'Ввод_данных'!D29)</x:f>
        <x:v>1152</x:v>
      </x:c>
      <x:c r="F29" s="83" t="n">
        <x:f>IF(E29="","",IF(MAX($E$5:$E$64)=0,"",E29/MAX($E$5:$E$64)*100))</x:f>
        <x:v>81.93456614509246</x:v>
      </x:c>
      <x:c r="G29" s="83" t="n">
        <x:f>IF(COUNT(D29,F29)=0,"",IF(COUNT(D29,F29)=2,D29*'Настройки'!$B$4+F29*'Настройки'!$B$5,IF(D29&lt;&gt;"",D29,F29)))</x:f>
        <x:v>70.46728307254622</x:v>
      </x:c>
      <x:c r="H29" s="83" t="n">
        <x:f>IF(OR(G29="",COUNT($G$5:G29)&lt;12),"",AVERAGE(G18:G29))</x:f>
        <x:v>62.34459459459459</x:v>
      </x:c>
      <x:c r="I29" s="83" t="n">
        <x:f>IF(OR(G29="",H29="",H29=0),"",G29/H29)</x:f>
        <x:v>1.1302869724435722</x:v>
      </x:c>
      <x:c r="J29" s="83" t="n">
        <x:f>IF(OR(G29="",IFERROR(VLOOKUP(B29,'Сезонность'!$A$4:$D$15,4,FALSE),0)=0),"",G29/IFERROR(VLOOKUP(B29,'Сезонность'!$A$4:$D$15,4,FALSE),1))</x:f>
        <x:v>63.38908429559869</x:v>
      </x:c>
      <x:c r="K29" s="83" t="n">
        <x:f>IF(OR(G29="",H29="",H29=0,IFERROR(VLOOKUP(B29,'Сезонность'!$A$4:$D$15,4,FALSE),0)=0),"",G29/(H29*IFERROR(VLOOKUP(B29,'Сезонность'!$A$4:$D$15,4,FALSE),1)))</x:f>
        <x:v>1.01675349254889</x:v>
      </x:c>
      <x:c r="L29" s="81" t="str">
        <x:f>IF(K29="","",IF(K29&lt;'Настройки'!$B$11,"ниже тренда",IF(K29&gt;'Настройки'!$B$12,"выше тренда","норма")))</x:f>
        <x:v>норма</x:v>
      </x:c>
      <x:c r="M29" s="81" t="str">
        <x:f>IF(L29="","",IF(L29="ниже тренда","возможное ослабление интереса",IF(L29="выше тренда","возможная фаза повышенного интереса","без выраженного отклонения")))</x:f>
        <x:v>без выраженного отклонения</x:v>
      </x:c>
      <x:c r="N29" s="95" t="n">
        <x:f>IF(G29="","",COUNT($G$5:G29))</x:f>
        <x:v>25</x:v>
      </x:c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>
      <x:c r="A30" s="94" t="n">
        <x:f>IF('Ввод_данных'!A30="","",'Ввод_данных'!A30)</x:f>
        <x:v>45689</x:v>
      </x:c>
      <x:c r="B30" s="81" t="n">
        <x:f>IF(A30="","",MONTH(A30))</x:f>
        <x:v>2</x:v>
      </x:c>
      <x:c r="C30" s="81" t="str">
        <x:f>IF(A30="","",CHOOSE(MONTH(A30),"январь","февраль","март","апрель","май","июнь","июль","август","сентябрь","октябрь","ноябрь","декабрь"))</x:f>
        <x:v>февраль</x:v>
      </x:c>
      <x:c r="D30" s="83" t="n">
        <x:f>IF('Ввод_данных'!C30="","",'Ввод_данных'!C30)</x:f>
        <x:v>55</x:v>
      </x:c>
      <x:c r="E30" s="83" t="n">
        <x:f>IF('Ввод_данных'!D30="","",'Ввод_данных'!D30)</x:f>
        <x:v>1083</x:v>
      </x:c>
      <x:c r="F30" s="83" t="n">
        <x:f>IF(E30="","",IF(MAX($E$5:$E$64)=0,"",E30/MAX($E$5:$E$64)*100))</x:f>
        <x:v>77.02702702702703</x:v>
      </x:c>
      <x:c r="G30" s="83" t="n">
        <x:f>IF(COUNT(D30,F30)=0,"",IF(COUNT(D30,F30)=2,D30*'Настройки'!$B$4+F30*'Настройки'!$B$5,IF(D30&lt;&gt;"",D30,F30)))</x:f>
        <x:v>66.01351351351352</x:v>
      </x:c>
      <x:c r="H30" s="83" t="n">
        <x:f>IF(OR(G30="",COUNT($G$5:G30)&lt;12),"",AVERAGE(G19:G30))</x:f>
        <x:v>62.463311996206734</x:v>
      </x:c>
      <x:c r="I30" s="83" t="n">
        <x:f>IF(OR(G30="",H30="",H30=0),"",G30/H30)</x:f>
        <x:v>1.0568365878120964</x:v>
      </x:c>
      <x:c r="J30" s="83" t="n">
        <x:f>IF(OR(G30="",IFERROR(VLOOKUP(B30,'Сезонность'!$A$4:$D$15,4,FALSE),0)=0),"",G30/IFERROR(VLOOKUP(B30,'Сезонность'!$A$4:$D$15,4,FALSE),1))</x:f>
        <x:v>62.753909037109054</x:v>
      </x:c>
      <x:c r="K30" s="83" t="n">
        <x:f>IF(OR(G30="",H30="",H30=0,IFERROR(VLOOKUP(B30,'Сезонность'!$A$4:$D$15,4,FALSE),0)=0),"",G30/(H30*IFERROR(VLOOKUP(B30,'Сезонность'!$A$4:$D$15,4,FALSE),1)))</x:f>
        <x:v>1.0046522835824008</x:v>
      </x:c>
      <x:c r="L30" s="81" t="str">
        <x:f>IF(K30="","",IF(K30&lt;'Настройки'!$B$11,"ниже тренда",IF(K30&gt;'Настройки'!$B$12,"выше тренда","норма")))</x:f>
        <x:v>норма</x:v>
      </x:c>
      <x:c r="M30" s="81" t="str">
        <x:f>IF(L30="","",IF(L30="ниже тренда","возможное ослабление интереса",IF(L30="выше тренда","возможная фаза повышенного интереса","без выраженного отклонения")))</x:f>
        <x:v>без выраженного отклонения</x:v>
      </x:c>
      <x:c r="N30" s="95" t="n">
        <x:f>IF(G30="","",COUNT($G$5:G30))</x:f>
        <x:v>26</x:v>
      </x:c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>
      <x:c r="A31" s="94" t="n">
        <x:f>IF('Ввод_данных'!A31="","",'Ввод_данных'!A31)</x:f>
        <x:v>45717</x:v>
      </x:c>
      <x:c r="B31" s="81" t="n">
        <x:f>IF(A31="","",MONTH(A31))</x:f>
        <x:v>3</x:v>
      </x:c>
      <x:c r="C31" s="81" t="str">
        <x:f>IF(A31="","",CHOOSE(MONTH(A31),"январь","февраль","март","апрель","май","июнь","июль","август","сентябрь","октябрь","ноябрь","декабрь"))</x:f>
        <x:v>март</x:v>
      </x:c>
      <x:c r="D31" s="83" t="n">
        <x:f>IF('Ввод_данных'!C31="","",'Ввод_данных'!C31)</x:f>
        <x:v>60</x:v>
      </x:c>
      <x:c r="E31" s="83" t="n">
        <x:f>IF('Ввод_данных'!D31="","",'Ввод_данных'!D31)</x:f>
        <x:v>1169</x:v>
      </x:c>
      <x:c r="F31" s="83" t="n">
        <x:f>IF(E31="","",IF(MAX($E$5:$E$64)=0,"",E31/MAX($E$5:$E$64)*100))</x:f>
        <x:v>83.14366998577525</x:v>
      </x:c>
      <x:c r="G31" s="83" t="n">
        <x:f>IF(COUNT(D31,F31)=0,"",IF(COUNT(D31,F31)=2,D31*'Настройки'!$B$4+F31*'Настройки'!$B$5,IF(D31&lt;&gt;"",D31,F31)))</x:f>
        <x:v>71.57183499288763</x:v>
      </x:c>
      <x:c r="H31" s="83" t="n">
        <x:f>IF(OR(G31="",COUNT($G$5:G31)&lt;12),"",AVERAGE(G20:G31))</x:f>
        <x:v>63.25302275960171</x:v>
      </x:c>
      <x:c r="I31" s="83" t="n">
        <x:f>IF(OR(G31="",H31="",H31=0),"",G31/H31)</x:f>
        <x:v>1.1315164377977989</x:v>
      </x:c>
      <x:c r="J31" s="83" t="n">
        <x:f>IF(OR(G31="",IFERROR(VLOOKUP(B31,'Сезонность'!$A$4:$D$15,4,FALSE),0)=0),"",G31/IFERROR(VLOOKUP(B31,'Сезонность'!$A$4:$D$15,4,FALSE),1))</x:f>
        <x:v>67.51716406805751</x:v>
      </x:c>
      <x:c r="K31" s="83" t="n">
        <x:f>IF(OR(G31="",H31="",H31=0,IFERROR(VLOOKUP(B31,'Сезонность'!$A$4:$D$15,4,FALSE),0)=0),"",G31/(H31*IFERROR(VLOOKUP(B31,'Сезонность'!$A$4:$D$15,4,FALSE),1)))</x:f>
        <x:v>1.0674140321271604</x:v>
      </x:c>
      <x:c r="L31" s="81" t="str">
        <x:f>IF(K31="","",IF(K31&lt;'Настройки'!$B$11,"ниже тренда",IF(K31&gt;'Настройки'!$B$12,"выше тренда","норма")))</x:f>
        <x:v>норма</x:v>
      </x:c>
      <x:c r="M31" s="81" t="str">
        <x:f>IF(L31="","",IF(L31="ниже тренда","возможное ослабление интереса",IF(L31="выше тренда","возможная фаза повышенного интереса","без выраженного отклонения")))</x:f>
        <x:v>без выраженного отклонения</x:v>
      </x:c>
      <x:c r="N31" s="95" t="n">
        <x:f>IF(G31="","",COUNT($G$5:G31))</x:f>
        <x:v>27</x:v>
      </x:c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>
      <x:c r="A32" s="94" t="n">
        <x:f>IF('Ввод_данных'!A32="","",'Ввод_данных'!A32)</x:f>
        <x:v>45748</x:v>
      </x:c>
      <x:c r="B32" s="81" t="n">
        <x:f>IF(A32="","",MONTH(A32))</x:f>
        <x:v>4</x:v>
      </x:c>
      <x:c r="C32" s="81" t="str">
        <x:f>IF(A32="","",CHOOSE(MONTH(A32),"январь","февраль","март","апрель","май","июнь","июль","август","сентябрь","октябрь","ноябрь","декабрь"))</x:f>
        <x:v>апрель</x:v>
      </x:c>
      <x:c r="D32" s="83" t="n">
        <x:f>IF('Ввод_данных'!C32="","",'Ввод_данных'!C32)</x:f>
        <x:v>59</x:v>
      </x:c>
      <x:c r="E32" s="83" t="n">
        <x:f>IF('Ввод_данных'!D32="","",'Ввод_данных'!D32)</x:f>
        <x:v>1159</x:v>
      </x:c>
      <x:c r="F32" s="83" t="n">
        <x:f>IF(E32="","",IF(MAX($E$5:$E$64)=0,"",E32/MAX($E$5:$E$64)*100))</x:f>
        <x:v>82.43243243243244</x:v>
      </x:c>
      <x:c r="G32" s="83" t="n">
        <x:f>IF(COUNT(D32,F32)=0,"",IF(COUNT(D32,F32)=2,D32*'Настройки'!$B$4+F32*'Настройки'!$B$5,IF(D32&lt;&gt;"",D32,F32)))</x:f>
        <x:v>70.71621621621622</x:v>
      </x:c>
      <x:c r="H32" s="83" t="n">
        <x:f>IF(OR(G32="",COUNT($G$5:G32)&lt;12),"",AVERAGE(G21:G32))</x:f>
        <x:v>64.05162399241347</x:v>
      </x:c>
      <x:c r="I32" s="83" t="n">
        <x:f>IF(OR(G32="",H32="",H32=0),"",G32/H32)</x:f>
        <x:v>1.1040503239167228</x:v>
      </x:c>
      <x:c r="J32" s="83" t="n">
        <x:f>IF(OR(G32="",IFERROR(VLOOKUP(B32,'Сезонность'!$A$4:$D$15,4,FALSE),0)=0),"",G32/IFERROR(VLOOKUP(B32,'Сезонность'!$A$4:$D$15,4,FALSE),1))</x:f>
        <x:v>68.72239425079819</x:v>
      </x:c>
      <x:c r="K32" s="83" t="n">
        <x:f>IF(OR(G32="",H32="",H32=0,IFERROR(VLOOKUP(B32,'Сезонность'!$A$4:$D$15,4,FALSE),0)=0),"",G32/(H32*IFERROR(VLOOKUP(B32,'Сезонность'!$A$4:$D$15,4,FALSE),1)))</x:f>
        <x:v>1.0729219646161967</x:v>
      </x:c>
      <x:c r="L32" s="81" t="str">
        <x:f>IF(K32="","",IF(K32&lt;'Настройки'!$B$11,"ниже тренда",IF(K32&gt;'Настройки'!$B$12,"выше тренда","норма")))</x:f>
        <x:v>норма</x:v>
      </x:c>
      <x:c r="M32" s="81" t="str">
        <x:f>IF(L32="","",IF(L32="ниже тренда","возможное ослабление интереса",IF(L32="выше тренда","возможная фаза повышенного интереса","без выраженного отклонения")))</x:f>
        <x:v>без выраженного отклонения</x:v>
      </x:c>
      <x:c r="N32" s="95" t="n">
        <x:f>IF(G32="","",COUNT($G$5:G32))</x:f>
        <x:v>28</x:v>
      </x:c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>
      <x:c r="A33" s="94" t="n">
        <x:f>IF('Ввод_данных'!A33="","",'Ввод_данных'!A33)</x:f>
        <x:v>45778</x:v>
      </x:c>
      <x:c r="B33" s="81" t="n">
        <x:f>IF(A33="","",MONTH(A33))</x:f>
        <x:v>5</x:v>
      </x:c>
      <x:c r="C33" s="81" t="str">
        <x:f>IF(A33="","",CHOOSE(MONTH(A33),"январь","февраль","март","апрель","май","июнь","июль","август","сентябрь","октябрь","ноябрь","декабрь"))</x:f>
        <x:v>май</x:v>
      </x:c>
      <x:c r="D33" s="83" t="n">
        <x:f>IF('Ввод_данных'!C33="","",'Ввод_данных'!C33)</x:f>
        <x:v>54</x:v>
      </x:c>
      <x:c r="E33" s="83" t="n">
        <x:f>IF('Ввод_данных'!D33="","",'Ввод_данных'!D33)</x:f>
        <x:v>1048</x:v>
      </x:c>
      <x:c r="F33" s="83" t="n">
        <x:f>IF(E33="","",IF(MAX($E$5:$E$64)=0,"",E33/MAX($E$5:$E$64)*100))</x:f>
        <x:v>74.53769559032717</x:v>
      </x:c>
      <x:c r="G33" s="83" t="n">
        <x:f>IF(COUNT(D33,F33)=0,"",IF(COUNT(D33,F33)=2,D33*'Настройки'!$B$4+F33*'Настройки'!$B$5,IF(D33&lt;&gt;"",D33,F33)))</x:f>
        <x:v>64.2688477951636</x:v>
      </x:c>
      <x:c r="H33" s="83" t="n">
        <x:f>IF(OR(G33="",COUNT($G$5:G33)&lt;12),"",AVERAGE(G22:G33))</x:f>
        <x:v>64.51481744902799</x:v>
      </x:c>
      <x:c r="I33" s="83" t="n">
        <x:f>IF(OR(G33="",H33="",H33=0),"",G33/H33)</x:f>
        <x:v>0.9961873928565522</x:v>
      </x:c>
      <x:c r="J33" s="83" t="n">
        <x:f>IF(OR(G33="",IFERROR(VLOOKUP(B33,'Сезонность'!$A$4:$D$15,4,FALSE),0)=0),"",G33/IFERROR(VLOOKUP(B33,'Сезонность'!$A$4:$D$15,4,FALSE),1))</x:f>
        <x:v>67.52470489996792</x:v>
      </x:c>
      <x:c r="K33" s="83" t="n">
        <x:f>IF(OR(G33="",H33="",H33=0,IFERROR(VLOOKUP(B33,'Сезонность'!$A$4:$D$15,4,FALSE),0)=0),"",G33/(H33*IFERROR(VLOOKUP(B33,'Сезонность'!$A$4:$D$15,4,FALSE),1)))</x:f>
        <x:v>1.0466542039480773</x:v>
      </x:c>
      <x:c r="L33" s="81" t="str">
        <x:f>IF(K33="","",IF(K33&lt;'Настройки'!$B$11,"ниже тренда",IF(K33&gt;'Настройки'!$B$12,"выше тренда","норма")))</x:f>
        <x:v>норма</x:v>
      </x:c>
      <x:c r="M33" s="81" t="str">
        <x:f>IF(L33="","",IF(L33="ниже тренда","возможное ослабление интереса",IF(L33="выше тренда","возможная фаза повышенного интереса","без выраженного отклонения")))</x:f>
        <x:v>без выраженного отклонения</x:v>
      </x:c>
      <x:c r="N33" s="95" t="n">
        <x:f>IF(G33="","",COUNT($G$5:G33))</x:f>
        <x:v>29</x:v>
      </x:c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>
      <x:c r="A34" s="94" t="n">
        <x:f>IF('Ввод_данных'!A34="","",'Ввод_данных'!A34)</x:f>
        <x:v>45809</x:v>
      </x:c>
      <x:c r="B34" s="81" t="n">
        <x:f>IF(A34="","",MONTH(A34))</x:f>
        <x:v>6</x:v>
      </x:c>
      <x:c r="C34" s="81" t="str">
        <x:f>IF(A34="","",CHOOSE(MONTH(A34),"январь","февраль","март","апрель","май","июнь","июль","август","сентябрь","октябрь","ноябрь","декабрь"))</x:f>
        <x:v>июнь</x:v>
      </x:c>
      <x:c r="D34" s="83" t="n">
        <x:f>IF('Ввод_данных'!C34="","",'Ввод_данных'!C34)</x:f>
        <x:v>49</x:v>
      </x:c>
      <x:c r="E34" s="83" t="n">
        <x:f>IF('Ввод_данных'!D34="","",'Ввод_данных'!D34)</x:f>
        <x:v>949</x:v>
      </x:c>
      <x:c r="F34" s="83" t="n">
        <x:f>IF(E34="","",IF(MAX($E$5:$E$64)=0,"",E34/MAX($E$5:$E$64)*100))</x:f>
        <x:v>67.49644381223328</x:v>
      </x:c>
      <x:c r="G34" s="83" t="n">
        <x:f>IF(COUNT(D34,F34)=0,"",IF(COUNT(D34,F34)=2,D34*'Настройки'!$B$4+F34*'Настройки'!$B$5,IF(D34&lt;&gt;"",D34,F34)))</x:f>
        <x:v>58.24822190611664</x:v>
      </x:c>
      <x:c r="H34" s="83" t="n">
        <x:f>IF(OR(G34="",COUNT($G$5:G34)&lt;12),"",AVERAGE(G23:G34))</x:f>
        <x:v>65.19173779042201</x:v>
      </x:c>
      <x:c r="I34" s="83" t="n">
        <x:f>IF(OR(G34="",H34="",H34=0),"",G34/H34)</x:f>
        <x:v>0.8934908606574142</x:v>
      </x:c>
      <x:c r="J34" s="83" t="n">
        <x:f>IF(OR(G34="",IFERROR(VLOOKUP(B34,'Сезонность'!$A$4:$D$15,4,FALSE),0)=0),"",G34/IFERROR(VLOOKUP(B34,'Сезонность'!$A$4:$D$15,4,FALSE),1))</x:f>
        <x:v>70.03031611806728</x:v>
      </x:c>
      <x:c r="K34" s="83" t="n">
        <x:f>IF(OR(G34="",H34="",H34=0,IFERROR(VLOOKUP(B34,'Сезонность'!$A$4:$D$15,4,FALSE),0)=0),"",G34/(H34*IFERROR(VLOOKUP(B34,'Сезонность'!$A$4:$D$15,4,FALSE),1)))</x:f>
        <x:v>1.0742207293691157</x:v>
      </x:c>
      <x:c r="L34" s="81" t="str">
        <x:f>IF(K34="","",IF(K34&lt;'Настройки'!$B$11,"ниже тренда",IF(K34&gt;'Настройки'!$B$12,"выше тренда","норма")))</x:f>
        <x:v>норма</x:v>
      </x:c>
      <x:c r="M34" s="81" t="str">
        <x:f>IF(L34="","",IF(L34="ниже тренда","возможное ослабление интереса",IF(L34="выше тренда","возможная фаза повышенного интереса","без выраженного отклонения")))</x:f>
        <x:v>без выраженного отклонения</x:v>
      </x:c>
      <x:c r="N34" s="95" t="n">
        <x:f>IF(G34="","",COUNT($G$5:G34))</x:f>
        <x:v>30</x:v>
      </x:c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>
      <x:c r="A35" s="94" t="n">
        <x:f>IF('Ввод_данных'!A35="","",'Ввод_данных'!A35)</x:f>
        <x:v>45839</x:v>
      </x:c>
      <x:c r="B35" s="81" t="n">
        <x:f>IF(A35="","",MONTH(A35))</x:f>
        <x:v>7</x:v>
      </x:c>
      <x:c r="C35" s="81" t="str">
        <x:f>IF(A35="","",CHOOSE(MONTH(A35),"январь","февраль","март","апрель","май","июнь","июль","август","сентябрь","октябрь","ноябрь","декабрь"))</x:f>
        <x:v>июль</x:v>
      </x:c>
      <x:c r="D35" s="83" t="n">
        <x:f>IF('Ввод_данных'!C35="","",'Ввод_данных'!C35)</x:f>
        <x:v>46</x:v>
      </x:c>
      <x:c r="E35" s="83" t="n">
        <x:f>IF('Ввод_данных'!D35="","",'Ввод_данных'!D35)</x:f>
        <x:v>891</x:v>
      </x:c>
      <x:c r="F35" s="83" t="n">
        <x:f>IF(E35="","",IF(MAX($E$5:$E$64)=0,"",E35/MAX($E$5:$E$64)*100))</x:f>
        <x:v>63.37126600284495</x:v>
      </x:c>
      <x:c r="G35" s="83" t="n">
        <x:f>IF(COUNT(D35,F35)=0,"",IF(COUNT(D35,F35)=2,D35*'Настройки'!$B$4+F35*'Настройки'!$B$5,IF(D35&lt;&gt;"",D35,F35)))</x:f>
        <x:v>54.685633001422474</x:v>
      </x:c>
      <x:c r="H35" s="83" t="n">
        <x:f>IF(OR(G35="",COUNT($G$5:G35)&lt;12),"",AVERAGE(G24:G35))</x:f>
        <x:v>66.04682313892842</x:v>
      </x:c>
      <x:c r="I35" s="83" t="n">
        <x:f>IF(OR(G35="",H35="",H35=0),"",G35/H35)</x:f>
        <x:v>0.8279827916384734</x:v>
      </x:c>
      <x:c r="J35" s="83" t="n">
        <x:f>IF(OR(G35="",IFERROR(VLOOKUP(B35,'Сезонность'!$A$4:$D$15,4,FALSE),0)=0),"",G35/IFERROR(VLOOKUP(B35,'Сезонность'!$A$4:$D$15,4,FALSE),1))</x:f>
        <x:v>72.64973925624831</x:v>
      </x:c>
      <x:c r="K35" s="83" t="n">
        <x:f>IF(OR(G35="",H35="",H35=0,IFERROR(VLOOKUP(B35,'Сезонность'!$A$4:$D$15,4,FALSE),0)=0),"",G35/(H35*IFERROR(VLOOKUP(B35,'Сезонность'!$A$4:$D$15,4,FALSE),1)))</x:f>
        <x:v>1.0999732584174529</x:v>
      </x:c>
      <x:c r="L35" s="81" t="str">
        <x:f>IF(K35="","",IF(K35&lt;'Настройки'!$B$11,"ниже тренда",IF(K35&gt;'Настройки'!$B$12,"выше тренда","норма")))</x:f>
        <x:v>норма</x:v>
      </x:c>
      <x:c r="M35" s="81" t="str">
        <x:f>IF(L35="","",IF(L35="ниже тренда","возможное ослабление интереса",IF(L35="выше тренда","возможная фаза повышенного интереса","без выраженного отклонения")))</x:f>
        <x:v>без выраженного отклонения</x:v>
      </x:c>
      <x:c r="N35" s="95" t="n">
        <x:f>IF(G35="","",COUNT($G$5:G35))</x:f>
        <x:v>31</x:v>
      </x:c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>
      <x:c r="A36" s="94" t="n">
        <x:f>IF('Ввод_данных'!A36="","",'Ввод_данных'!A36)</x:f>
        <x:v>45870</x:v>
      </x:c>
      <x:c r="B36" s="81" t="n">
        <x:f>IF(A36="","",MONTH(A36))</x:f>
        <x:v>8</x:v>
      </x:c>
      <x:c r="C36" s="81" t="str">
        <x:f>IF(A36="","",CHOOSE(MONTH(A36),"январь","февраль","март","апрель","май","июнь","июль","август","сентябрь","октябрь","ноябрь","декабрь"))</x:f>
        <x:v>август</x:v>
      </x:c>
      <x:c r="D36" s="83" t="n">
        <x:f>IF('Ввод_данных'!C36="","",'Ввод_данных'!C36)</x:f>
        <x:v>50</x:v>
      </x:c>
      <x:c r="E36" s="83" t="n">
        <x:f>IF('Ввод_данных'!D36="","",'Ввод_данных'!D36)</x:f>
        <x:v>972</x:v>
      </x:c>
      <x:c r="F36" s="83" t="n">
        <x:f>IF(E36="","",IF(MAX($E$5:$E$64)=0,"",E36/MAX($E$5:$E$64)*100))</x:f>
        <x:v>69.13229018492176</x:v>
      </x:c>
      <x:c r="G36" s="83" t="n">
        <x:f>IF(COUNT(D36,F36)=0,"",IF(COUNT(D36,F36)=2,D36*'Настройки'!$B$4+F36*'Настройки'!$B$5,IF(D36&lt;&gt;"",D36,F36)))</x:f>
        <x:v>59.56614509246088</x:v>
      </x:c>
      <x:c r="H36" s="83" t="n">
        <x:f>IF(OR(G36="",COUNT($G$5:G36)&lt;12),"",AVERAGE(G25:G36))</x:f>
        <x:v>66.4416785206259</x:v>
      </x:c>
      <x:c r="I36" s="83" t="n">
        <x:f>IF(OR(G36="",H36="",H36=0),"",G36/H36)</x:f>
        <x:v>0.8965177644325978</x:v>
      </x:c>
      <x:c r="J36" s="83" t="n">
        <x:f>IF(OR(G36="",IFERROR(VLOOKUP(B36,'Сезонность'!$A$4:$D$15,4,FALSE),0)=0),"",G36/IFERROR(VLOOKUP(B36,'Сезонность'!$A$4:$D$15,4,FALSE),1))</x:f>
        <x:v>68.89823856657564</x:v>
      </x:c>
      <x:c r="K36" s="83" t="n">
        <x:f>IF(OR(G36="",H36="",H36=0,IFERROR(VLOOKUP(B36,'Сезонность'!$A$4:$D$15,4,FALSE),0)=0),"",G36/(H36*IFERROR(VLOOKUP(B36,'Сезонность'!$A$4:$D$15,4,FALSE),1)))</x:f>
        <x:v>1.0369731785928185</x:v>
      </x:c>
      <x:c r="L36" s="81" t="str">
        <x:f>IF(K36="","",IF(K36&lt;'Настройки'!$B$11,"ниже тренда",IF(K36&gt;'Настройки'!$B$12,"выше тренда","норма")))</x:f>
        <x:v>норма</x:v>
      </x:c>
      <x:c r="M36" s="81" t="str">
        <x:f>IF(L36="","",IF(L36="ниже тренда","возможное ослабление интереса",IF(L36="выше тренда","возможная фаза повышенного интереса","без выраженного отклонения")))</x:f>
        <x:v>без выраженного отклонения</x:v>
      </x:c>
      <x:c r="N36" s="95" t="n">
        <x:f>IF(G36="","",COUNT($G$5:G36))</x:f>
        <x:v>32</x:v>
      </x:c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>
      <x:c r="A37" s="94" t="n">
        <x:f>IF('Ввод_данных'!A37="","",'Ввод_данных'!A37)</x:f>
        <x:v>45901</x:v>
      </x:c>
      <x:c r="B37" s="81" t="n">
        <x:f>IF(A37="","",MONTH(A37))</x:f>
        <x:v>9</x:v>
      </x:c>
      <x:c r="C37" s="81" t="str">
        <x:f>IF(A37="","",CHOOSE(MONTH(A37),"январь","февраль","март","апрель","май","июнь","июль","август","сентябрь","октябрь","ноябрь","декабрь"))</x:f>
        <x:v>сентябрь</x:v>
      </x:c>
      <x:c r="D37" s="83" t="n">
        <x:f>IF('Ввод_данных'!C37="","",'Ввод_данных'!C37)</x:f>
        <x:v>61</x:v>
      </x:c>
      <x:c r="E37" s="83" t="n">
        <x:f>IF('Ввод_данных'!D37="","",'Ввод_данных'!D37)</x:f>
        <x:v>1185</x:v>
      </x:c>
      <x:c r="F37" s="83" t="n">
        <x:f>IF(E37="","",IF(MAX($E$5:$E$64)=0,"",E37/MAX($E$5:$E$64)*100))</x:f>
        <x:v>84.28165007112376</x:v>
      </x:c>
      <x:c r="G37" s="83" t="n">
        <x:f>IF(COUNT(D37,F37)=0,"",IF(COUNT(D37,F37)=2,D37*'Настройки'!$B$4+F37*'Настройки'!$B$5,IF(D37&lt;&gt;"",D37,F37)))</x:f>
        <x:v>72.64082503556187</x:v>
      </x:c>
      <x:c r="H37" s="83" t="n">
        <x:f>IF(OR(G37="",COUNT($G$5:G37)&lt;12),"",AVERAGE(G26:G37))</x:f>
        <x:v>66.42093409198672</x:v>
      </x:c>
      <x:c r="I37" s="83" t="n">
        <x:f>IF(OR(G37="",H37="",H37=0),"",G37/H37)</x:f>
        <x:v>1.0936435331511778</x:v>
      </x:c>
      <x:c r="J37" s="83" t="n">
        <x:f>IF(OR(G37="",IFERROR(VLOOKUP(B37,'Сезонность'!$A$4:$D$15,4,FALSE),0)=0),"",G37/IFERROR(VLOOKUP(B37,'Сезонность'!$A$4:$D$15,4,FALSE),1))</x:f>
        <x:v>66.22842366218794</x:v>
      </x:c>
      <x:c r="K37" s="83" t="n">
        <x:f>IF(OR(G37="",H37="",H37=0,IFERROR(VLOOKUP(B37,'Сезонность'!$A$4:$D$15,4,FALSE),0)=0),"",G37/(H37*IFERROR(VLOOKUP(B37,'Сезонность'!$A$4:$D$15,4,FALSE),1)))</x:f>
        <x:v>0.9971016603058882</x:v>
      </x:c>
      <x:c r="L37" s="81" t="str">
        <x:f>IF(K37="","",IF(K37&lt;'Настройки'!$B$11,"ниже тренда",IF(K37&gt;'Настройки'!$B$12,"выше тренда","норма")))</x:f>
        <x:v>норма</x:v>
      </x:c>
      <x:c r="M37" s="81" t="str">
        <x:f>IF(L37="","",IF(L37="ниже тренда","возможное ослабление интереса",IF(L37="выше тренда","возможная фаза повышенного интереса","без выраженного отклонения")))</x:f>
        <x:v>без выраженного отклонения</x:v>
      </x:c>
      <x:c r="N37" s="95" t="n">
        <x:f>IF(G37="","",COUNT($G$5:G37))</x:f>
        <x:v>33</x:v>
      </x:c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>
      <x:c r="A38" s="94" t="n">
        <x:f>IF('Ввод_данных'!A38="","",'Ввод_данных'!A38)</x:f>
        <x:v>45931</x:v>
      </x:c>
      <x:c r="B38" s="81" t="n">
        <x:f>IF(A38="","",MONTH(A38))</x:f>
        <x:v>10</x:v>
      </x:c>
      <x:c r="C38" s="81" t="str">
        <x:f>IF(A38="","",CHOOSE(MONTH(A38),"январь","февраль","март","апрель","май","июнь","июль","август","сентябрь","октябрь","ноябрь","декабрь"))</x:f>
        <x:v>октябрь</x:v>
      </x:c>
      <x:c r="D38" s="83" t="n">
        <x:f>IF('Ввод_данных'!C38="","",'Ввод_данных'!C38)</x:f>
        <x:v>67</x:v>
      </x:c>
      <x:c r="E38" s="83" t="n">
        <x:f>IF('Ввод_данных'!D38="","",'Ввод_данных'!D38)</x:f>
        <x:v>1316</x:v>
      </x:c>
      <x:c r="F38" s="83" t="n">
        <x:f>IF(E38="","",IF(MAX($E$5:$E$64)=0,"",E38/MAX($E$5:$E$64)*100))</x:f>
        <x:v>93.59886201991465</x:v>
      </x:c>
      <x:c r="G38" s="83" t="n">
        <x:f>IF(COUNT(D38,F38)=0,"",IF(COUNT(D38,F38)=2,D38*'Настройки'!$B$4+F38*'Настройки'!$B$5,IF(D38&lt;&gt;"",D38,F38)))</x:f>
        <x:v>80.29943100995732</x:v>
      </x:c>
      <x:c r="H38" s="83" t="n">
        <x:f>IF(OR(G38="",COUNT($G$5:G38)&lt;12),"",AVERAGE(G27:G38))</x:f>
        <x:v>67.03544333807491</x:v>
      </x:c>
      <x:c r="I38" s="83" t="n">
        <x:f>IF(OR(G38="",H38="",H38=0),"",G38/H38)</x:f>
        <x:v>1.1978652935133003</x:v>
      </x:c>
      <x:c r="J38" s="83" t="n">
        <x:f>IF(OR(G38="",IFERROR(VLOOKUP(B38,'Сезонность'!$A$4:$D$15,4,FALSE),0)=0),"",G38/IFERROR(VLOOKUP(B38,'Сезонность'!$A$4:$D$15,4,FALSE),1))</x:f>
        <x:v>70.35552289579472</x:v>
      </x:c>
      <x:c r="K38" s="83" t="n">
        <x:f>IF(OR(G38="",H38="",H38=0,IFERROR(VLOOKUP(B38,'Сезонность'!$A$4:$D$15,4,FALSE),0)=0),"",G38/(H38*IFERROR(VLOOKUP(B38,'Сезонность'!$A$4:$D$15,4,FALSE),1)))</x:f>
        <x:v>1.0495272260821176</x:v>
      </x:c>
      <x:c r="L38" s="81" t="str">
        <x:f>IF(K38="","",IF(K38&lt;'Настройки'!$B$11,"ниже тренда",IF(K38&gt;'Настройки'!$B$12,"выше тренда","норма")))</x:f>
        <x:v>норма</x:v>
      </x:c>
      <x:c r="M38" s="81" t="str">
        <x:f>IF(L38="","",IF(L38="ниже тренда","возможное ослабление интереса",IF(L38="выше тренда","возможная фаза повышенного интереса","без выраженного отклонения")))</x:f>
        <x:v>без выраженного отклонения</x:v>
      </x:c>
      <x:c r="N38" s="95" t="n">
        <x:f>IF(G38="","",COUNT($G$5:G38))</x:f>
        <x:v>34</x:v>
      </x:c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>
      <x:c r="A39" s="94" t="n">
        <x:f>IF('Ввод_данных'!A39="","",'Ввод_данных'!A39)</x:f>
        <x:v>45962</x:v>
      </x:c>
      <x:c r="B39" s="81" t="n">
        <x:f>IF(A39="","",MONTH(A39))</x:f>
        <x:v>11</x:v>
      </x:c>
      <x:c r="C39" s="81" t="str">
        <x:f>IF(A39="","",CHOOSE(MONTH(A39),"январь","февраль","март","апрель","май","июнь","июль","август","сентябрь","октябрь","ноябрь","декабрь"))</x:f>
        <x:v>ноябрь</x:v>
      </x:c>
      <x:c r="D39" s="83" t="n">
        <x:f>IF('Ввод_данных'!C39="","",'Ввод_данных'!C39)</x:f>
        <x:v>72</x:v>
      </x:c>
      <x:c r="E39" s="83" t="n">
        <x:f>IF('Ввод_данных'!D39="","",'Ввод_данных'!D39)</x:f>
        <x:v>1406</x:v>
      </x:c>
      <x:c r="F39" s="83" t="n">
        <x:f>IF(E39="","",IF(MAX($E$5:$E$64)=0,"",E39/MAX($E$5:$E$64)*100))</x:f>
        <x:v>100</x:v>
      </x:c>
      <x:c r="G39" s="83" t="n">
        <x:f>IF(COUNT(D39,F39)=0,"",IF(COUNT(D39,F39)=2,D39*'Настройки'!$B$4+F39*'Настройки'!$B$5,IF(D39&lt;&gt;"",D39,F39)))</x:f>
        <x:v>86</x:v>
      </x:c>
      <x:c r="H39" s="83" t="n">
        <x:f>IF(OR(G39="",COUNT($G$5:G39)&lt;12),"",AVERAGE(G28:G39))</x:f>
        <x:v>68.14870791844476</x:v>
      </x:c>
      <x:c r="I39" s="83" t="n">
        <x:f>IF(OR(G39="",H39="",H39=0),"",G39/H39)</x:f>
        <x:v>1.2619461560873366</x:v>
      </x:c>
      <x:c r="J39" s="83" t="n">
        <x:f>IF(OR(G39="",IFERROR(VLOOKUP(B39,'Сезонность'!$A$4:$D$15,4,FALSE),0)=0),"",G39/IFERROR(VLOOKUP(B39,'Сезонность'!$A$4:$D$15,4,FALSE),1))</x:f>
        <x:v>74.19546114106434</x:v>
      </x:c>
      <x:c r="K39" s="83" t="n">
        <x:f>IF(OR(G39="",H39="",H39=0,IFERROR(VLOOKUP(B39,'Сезонность'!$A$4:$D$15,4,FALSE),0)=0),"",G39/(H39*IFERROR(VLOOKUP(B39,'Сезонность'!$A$4:$D$15,4,FALSE),1)))</x:f>
        <x:v>1.088728802163878</x:v>
      </x:c>
      <x:c r="L39" s="81" t="str">
        <x:f>IF(K39="","",IF(K39&lt;'Настройки'!$B$11,"ниже тренда",IF(K39&gt;'Настройки'!$B$12,"выше тренда","норма")))</x:f>
        <x:v>норма</x:v>
      </x:c>
      <x:c r="M39" s="81" t="str">
        <x:f>IF(L39="","",IF(L39="ниже тренда","возможное ослабление интереса",IF(L39="выше тренда","возможная фаза повышенного интереса","без выраженного отклонения")))</x:f>
        <x:v>без выраженного отклонения</x:v>
      </x:c>
      <x:c r="N39" s="95" t="n">
        <x:f>IF(G39="","",COUNT($G$5:G39))</x:f>
        <x:v>35</x:v>
      </x:c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>
      <x:c r="A40" s="94" t="n">
        <x:f>IF('Ввод_данных'!A40="","",'Ввод_данных'!A40)</x:f>
        <x:v>45992</x:v>
      </x:c>
      <x:c r="B40" s="81" t="n">
        <x:f>IF(A40="","",MONTH(A40))</x:f>
        <x:v>12</x:v>
      </x:c>
      <x:c r="C40" s="81" t="str">
        <x:f>IF(A40="","",CHOOSE(MONTH(A40),"январь","февраль","март","апрель","май","июнь","июль","август","сентябрь","октябрь","ноябрь","декабрь"))</x:f>
        <x:v>декабрь</x:v>
      </x:c>
      <x:c r="D40" s="83" t="n">
        <x:f>IF('Ввод_данных'!C40="","",'Ввод_данных'!C40)</x:f>
        <x:v>59</x:v>
      </x:c>
      <x:c r="E40" s="83" t="n">
        <x:f>IF('Ввод_данных'!D40="","",'Ввод_данных'!D40)</x:f>
        <x:v>1150</x:v>
      </x:c>
      <x:c r="F40" s="83" t="n">
        <x:f>IF(E40="","",IF(MAX($E$5:$E$64)=0,"",E40/MAX($E$5:$E$64)*100))</x:f>
        <x:v>81.79231863442389</x:v>
      </x:c>
      <x:c r="G40" s="83" t="n">
        <x:f>IF(COUNT(D40,F40)=0,"",IF(COUNT(D40,F40)=2,D40*'Настройки'!$B$4+F40*'Настройки'!$B$5,IF(D40&lt;&gt;"",D40,F40)))</x:f>
        <x:v>70.39615931721195</x:v>
      </x:c>
      <x:c r="H40" s="83" t="n">
        <x:f>IF(OR(G40="",COUNT($G$5:G40)&lt;12),"",AVERAGE(G29:G40))</x:f>
        <x:v>68.73950924608819</x:v>
      </x:c>
      <x:c r="I40" s="83" t="n">
        <x:f>IF(OR(G40="",H40="",H40=0),"",G40/H40)</x:f>
        <x:v>1.0241004058552838</x:v>
      </x:c>
      <x:c r="J40" s="83" t="n">
        <x:f>IF(OR(G40="",IFERROR(VLOOKUP(B40,'Сезонность'!$A$4:$D$15,4,FALSE),0)=0),"",G40/IFERROR(VLOOKUP(B40,'Сезонность'!$A$4:$D$15,4,FALSE),1))</x:f>
        <x:v>74.1601934895806</x:v>
      </x:c>
      <x:c r="K40" s="83" t="n">
        <x:f>IF(OR(G40="",H40="",H40=0,IFERROR(VLOOKUP(B40,'Сезонность'!$A$4:$D$15,4,FALSE),0)=0),"",G40/(H40*IFERROR(VLOOKUP(B40,'Сезонность'!$A$4:$D$15,4,FALSE),1)))</x:f>
        <x:v>1.0788583494840835</x:v>
      </x:c>
      <x:c r="L40" s="81" t="str">
        <x:f>IF(K40="","",IF(K40&lt;'Настройки'!$B$11,"ниже тренда",IF(K40&gt;'Настройки'!$B$12,"выше тренда","норма")))</x:f>
        <x:v>норма</x:v>
      </x:c>
      <x:c r="M40" s="81" t="str">
        <x:f>IF(L40="","",IF(L40="ниже тренда","возможное ослабление интереса",IF(L40="выше тренда","возможная фаза повышенного интереса","без выраженного отклонения")))</x:f>
        <x:v>без выраженного отклонения</x:v>
      </x:c>
      <x:c r="N40" s="95" t="n">
        <x:f>IF(G40="","",COUNT($G$5:G40))</x:f>
        <x:v>36</x:v>
      </x:c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>
      <x:c r="A41" s="94" t="str">
        <x:f>IF('Ввод_данных'!A41="","",'Ввод_данных'!A41)</x:f>
      </x:c>
      <x:c r="B41" s="81" t="str">
        <x:f>IF(A41="","",MONTH(A41))</x:f>
      </x:c>
      <x:c r="C41" s="81" t="str">
        <x:f>IF(A41="","",CHOOSE(MONTH(A41),"январь","февраль","март","апрель","май","июнь","июль","август","сентябрь","октябрь","ноябрь","декабрь"))</x:f>
      </x:c>
      <x:c r="D41" s="83" t="str">
        <x:f>IF('Ввод_данных'!C41="","",'Ввод_данных'!C41)</x:f>
      </x:c>
      <x:c r="E41" s="83" t="str">
        <x:f>IF('Ввод_данных'!D41="","",'Ввод_данных'!D41)</x:f>
      </x:c>
      <x:c r="F41" s="83" t="str">
        <x:f>IF(E41="","",IF(MAX($E$5:$E$64)=0,"",E41/MAX($E$5:$E$64)*100))</x:f>
      </x:c>
      <x:c r="G41" s="83" t="str">
        <x:f>IF(COUNT(D41,F41)=0,"",IF(COUNT(D41,F41)=2,D41*'Настройки'!$B$4+F41*'Настройки'!$B$5,IF(D41&lt;&gt;"",D41,F41)))</x:f>
      </x:c>
      <x:c r="H41" s="83" t="str">
        <x:f>IF(OR(G41="",COUNT($G$5:G41)&lt;12),"",AVERAGE(G30:G41))</x:f>
      </x:c>
      <x:c r="I41" s="83" t="str">
        <x:f>IF(OR(G41="",H41="",H41=0),"",G41/H41)</x:f>
      </x:c>
      <x:c r="J41" s="83" t="str">
        <x:f>IF(OR(G41="",IFERROR(VLOOKUP(B41,'Сезонность'!$A$4:$D$15,4,FALSE),0)=0),"",G41/IFERROR(VLOOKUP(B41,'Сезонность'!$A$4:$D$15,4,FALSE),1))</x:f>
      </x:c>
      <x:c r="K41" s="83" t="str">
        <x:f>IF(OR(G41="",H41="",H41=0,IFERROR(VLOOKUP(B41,'Сезонность'!$A$4:$D$15,4,FALSE),0)=0),"",G41/(H41*IFERROR(VLOOKUP(B41,'Сезонность'!$A$4:$D$15,4,FALSE),1)))</x:f>
      </x:c>
      <x:c r="L41" s="81" t="str">
        <x:f>IF(K41="","",IF(K41&lt;'Настройки'!$B$11,"ниже тренда",IF(K41&gt;'Настройки'!$B$12,"выше тренда","норма")))</x:f>
      </x:c>
      <x:c r="M41" s="81" t="str">
        <x:f>IF(L41="","",IF(L41="ниже тренда","возможное ослабление интереса",IF(L41="выше тренда","возможная фаза повышенного интереса","без выраженного отклонения")))</x:f>
      </x:c>
      <x:c r="N41" s="95" t="str">
        <x:f>IF(G41="","",COUNT($G$5:G41))</x:f>
      </x:c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>
      <x:c r="A42" s="94" t="str">
        <x:f>IF('Ввод_данных'!A42="","",'Ввод_данных'!A42)</x:f>
      </x:c>
      <x:c r="B42" s="81" t="str">
        <x:f>IF(A42="","",MONTH(A42))</x:f>
      </x:c>
      <x:c r="C42" s="81" t="str">
        <x:f>IF(A42="","",CHOOSE(MONTH(A42),"январь","февраль","март","апрель","май","июнь","июль","август","сентябрь","октябрь","ноябрь","декабрь"))</x:f>
      </x:c>
      <x:c r="D42" s="83" t="str">
        <x:f>IF('Ввод_данных'!C42="","",'Ввод_данных'!C42)</x:f>
      </x:c>
      <x:c r="E42" s="83" t="str">
        <x:f>IF('Ввод_данных'!D42="","",'Ввод_данных'!D42)</x:f>
      </x:c>
      <x:c r="F42" s="83" t="str">
        <x:f>IF(E42="","",IF(MAX($E$5:$E$64)=0,"",E42/MAX($E$5:$E$64)*100))</x:f>
      </x:c>
      <x:c r="G42" s="83" t="str">
        <x:f>IF(COUNT(D42,F42)=0,"",IF(COUNT(D42,F42)=2,D42*'Настройки'!$B$4+F42*'Настройки'!$B$5,IF(D42&lt;&gt;"",D42,F42)))</x:f>
      </x:c>
      <x:c r="H42" s="83" t="str">
        <x:f>IF(OR(G42="",COUNT($G$5:G42)&lt;12),"",AVERAGE(G31:G42))</x:f>
      </x:c>
      <x:c r="I42" s="83" t="str">
        <x:f>IF(OR(G42="",H42="",H42=0),"",G42/H42)</x:f>
      </x:c>
      <x:c r="J42" s="83" t="str">
        <x:f>IF(OR(G42="",IFERROR(VLOOKUP(B42,'Сезонность'!$A$4:$D$15,4,FALSE),0)=0),"",G42/IFERROR(VLOOKUP(B42,'Сезонность'!$A$4:$D$15,4,FALSE),1))</x:f>
      </x:c>
      <x:c r="K42" s="83" t="str">
        <x:f>IF(OR(G42="",H42="",H42=0,IFERROR(VLOOKUP(B42,'Сезонность'!$A$4:$D$15,4,FALSE),0)=0),"",G42/(H42*IFERROR(VLOOKUP(B42,'Сезонность'!$A$4:$D$15,4,FALSE),1)))</x:f>
      </x:c>
      <x:c r="L42" s="81" t="str">
        <x:f>IF(K42="","",IF(K42&lt;'Настройки'!$B$11,"ниже тренда",IF(K42&gt;'Настройки'!$B$12,"выше тренда","норма")))</x:f>
      </x:c>
      <x:c r="M42" s="81" t="str">
        <x:f>IF(L42="","",IF(L42="ниже тренда","возможное ослабление интереса",IF(L42="выше тренда","возможная фаза повышенного интереса","без выраженного отклонения")))</x:f>
      </x:c>
      <x:c r="N42" s="95" t="str">
        <x:f>IF(G42="","",COUNT($G$5:G42))</x:f>
      </x:c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>
      <x:c r="A43" s="94" t="str">
        <x:f>IF('Ввод_данных'!A43="","",'Ввод_данных'!A43)</x:f>
      </x:c>
      <x:c r="B43" s="81" t="str">
        <x:f>IF(A43="","",MONTH(A43))</x:f>
      </x:c>
      <x:c r="C43" s="81" t="str">
        <x:f>IF(A43="","",CHOOSE(MONTH(A43),"январь","февраль","март","апрель","май","июнь","июль","август","сентябрь","октябрь","ноябрь","декабрь"))</x:f>
      </x:c>
      <x:c r="D43" s="83" t="str">
        <x:f>IF('Ввод_данных'!C43="","",'Ввод_данных'!C43)</x:f>
      </x:c>
      <x:c r="E43" s="83" t="str">
        <x:f>IF('Ввод_данных'!D43="","",'Ввод_данных'!D43)</x:f>
      </x:c>
      <x:c r="F43" s="83" t="str">
        <x:f>IF(E43="","",IF(MAX($E$5:$E$64)=0,"",E43/MAX($E$5:$E$64)*100))</x:f>
      </x:c>
      <x:c r="G43" s="83" t="str">
        <x:f>IF(COUNT(D43,F43)=0,"",IF(COUNT(D43,F43)=2,D43*'Настройки'!$B$4+F43*'Настройки'!$B$5,IF(D43&lt;&gt;"",D43,F43)))</x:f>
      </x:c>
      <x:c r="H43" s="83" t="str">
        <x:f>IF(OR(G43="",COUNT($G$5:G43)&lt;12),"",AVERAGE(G32:G43))</x:f>
      </x:c>
      <x:c r="I43" s="83" t="str">
        <x:f>IF(OR(G43="",H43="",H43=0),"",G43/H43)</x:f>
      </x:c>
      <x:c r="J43" s="83" t="str">
        <x:f>IF(OR(G43="",IFERROR(VLOOKUP(B43,'Сезонность'!$A$4:$D$15,4,FALSE),0)=0),"",G43/IFERROR(VLOOKUP(B43,'Сезонность'!$A$4:$D$15,4,FALSE),1))</x:f>
      </x:c>
      <x:c r="K43" s="83" t="str">
        <x:f>IF(OR(G43="",H43="",H43=0,IFERROR(VLOOKUP(B43,'Сезонность'!$A$4:$D$15,4,FALSE),0)=0),"",G43/(H43*IFERROR(VLOOKUP(B43,'Сезонность'!$A$4:$D$15,4,FALSE),1)))</x:f>
      </x:c>
      <x:c r="L43" s="81" t="str">
        <x:f>IF(K43="","",IF(K43&lt;'Настройки'!$B$11,"ниже тренда",IF(K43&gt;'Настройки'!$B$12,"выше тренда","норма")))</x:f>
      </x:c>
      <x:c r="M43" s="81" t="str">
        <x:f>IF(L43="","",IF(L43="ниже тренда","возможное ослабление интереса",IF(L43="выше тренда","возможная фаза повышенного интереса","без выраженного отклонения")))</x:f>
      </x:c>
      <x:c r="N43" s="95" t="str">
        <x:f>IF(G43="","",COUNT($G$5:G43))</x:f>
      </x:c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>
      <x:c r="A44" s="94" t="str">
        <x:f>IF('Ввод_данных'!A44="","",'Ввод_данных'!A44)</x:f>
      </x:c>
      <x:c r="B44" s="81" t="str">
        <x:f>IF(A44="","",MONTH(A44))</x:f>
      </x:c>
      <x:c r="C44" s="81" t="str">
        <x:f>IF(A44="","",CHOOSE(MONTH(A44),"январь","февраль","март","апрель","май","июнь","июль","август","сентябрь","октябрь","ноябрь","декабрь"))</x:f>
      </x:c>
      <x:c r="D44" s="83" t="str">
        <x:f>IF('Ввод_данных'!C44="","",'Ввод_данных'!C44)</x:f>
      </x:c>
      <x:c r="E44" s="83" t="str">
        <x:f>IF('Ввод_данных'!D44="","",'Ввод_данных'!D44)</x:f>
      </x:c>
      <x:c r="F44" s="83" t="str">
        <x:f>IF(E44="","",IF(MAX($E$5:$E$64)=0,"",E44/MAX($E$5:$E$64)*100))</x:f>
      </x:c>
      <x:c r="G44" s="83" t="str">
        <x:f>IF(COUNT(D44,F44)=0,"",IF(COUNT(D44,F44)=2,D44*'Настройки'!$B$4+F44*'Настройки'!$B$5,IF(D44&lt;&gt;"",D44,F44)))</x:f>
      </x:c>
      <x:c r="H44" s="83" t="str">
        <x:f>IF(OR(G44="",COUNT($G$5:G44)&lt;12),"",AVERAGE(G33:G44))</x:f>
      </x:c>
      <x:c r="I44" s="83" t="str">
        <x:f>IF(OR(G44="",H44="",H44=0),"",G44/H44)</x:f>
      </x:c>
      <x:c r="J44" s="83" t="str">
        <x:f>IF(OR(G44="",IFERROR(VLOOKUP(B44,'Сезонность'!$A$4:$D$15,4,FALSE),0)=0),"",G44/IFERROR(VLOOKUP(B44,'Сезонность'!$A$4:$D$15,4,FALSE),1))</x:f>
      </x:c>
      <x:c r="K44" s="83" t="str">
        <x:f>IF(OR(G44="",H44="",H44=0,IFERROR(VLOOKUP(B44,'Сезонность'!$A$4:$D$15,4,FALSE),0)=0),"",G44/(H44*IFERROR(VLOOKUP(B44,'Сезонность'!$A$4:$D$15,4,FALSE),1)))</x:f>
      </x:c>
      <x:c r="L44" s="81" t="str">
        <x:f>IF(K44="","",IF(K44&lt;'Настройки'!$B$11,"ниже тренда",IF(K44&gt;'Настройки'!$B$12,"выше тренда","норма")))</x:f>
      </x:c>
      <x:c r="M44" s="81" t="str">
        <x:f>IF(L44="","",IF(L44="ниже тренда","возможное ослабление интереса",IF(L44="выше тренда","возможная фаза повышенного интереса","без выраженного отклонения")))</x:f>
      </x:c>
      <x:c r="N44" s="95" t="str">
        <x:f>IF(G44="","",COUNT($G$5:G44))</x:f>
      </x:c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>
      <x:c r="A45" s="94" t="str">
        <x:f>IF('Ввод_данных'!A45="","",'Ввод_данных'!A45)</x:f>
      </x:c>
      <x:c r="B45" s="81" t="str">
        <x:f>IF(A45="","",MONTH(A45))</x:f>
      </x:c>
      <x:c r="C45" s="81" t="str">
        <x:f>IF(A45="","",CHOOSE(MONTH(A45),"январь","февраль","март","апрель","май","июнь","июль","август","сентябрь","октябрь","ноябрь","декабрь"))</x:f>
      </x:c>
      <x:c r="D45" s="83" t="str">
        <x:f>IF('Ввод_данных'!C45="","",'Ввод_данных'!C45)</x:f>
      </x:c>
      <x:c r="E45" s="83" t="str">
        <x:f>IF('Ввод_данных'!D45="","",'Ввод_данных'!D45)</x:f>
      </x:c>
      <x:c r="F45" s="83" t="str">
        <x:f>IF(E45="","",IF(MAX($E$5:$E$64)=0,"",E45/MAX($E$5:$E$64)*100))</x:f>
      </x:c>
      <x:c r="G45" s="83" t="str">
        <x:f>IF(COUNT(D45,F45)=0,"",IF(COUNT(D45,F45)=2,D45*'Настройки'!$B$4+F45*'Настройки'!$B$5,IF(D45&lt;&gt;"",D45,F45)))</x:f>
      </x:c>
      <x:c r="H45" s="83" t="str">
        <x:f>IF(OR(G45="",COUNT($G$5:G45)&lt;12),"",AVERAGE(G34:G45))</x:f>
      </x:c>
      <x:c r="I45" s="83" t="str">
        <x:f>IF(OR(G45="",H45="",H45=0),"",G45/H45)</x:f>
      </x:c>
      <x:c r="J45" s="83" t="str">
        <x:f>IF(OR(G45="",IFERROR(VLOOKUP(B45,'Сезонность'!$A$4:$D$15,4,FALSE),0)=0),"",G45/IFERROR(VLOOKUP(B45,'Сезонность'!$A$4:$D$15,4,FALSE),1))</x:f>
      </x:c>
      <x:c r="K45" s="83" t="str">
        <x:f>IF(OR(G45="",H45="",H45=0,IFERROR(VLOOKUP(B45,'Сезонность'!$A$4:$D$15,4,FALSE),0)=0),"",G45/(H45*IFERROR(VLOOKUP(B45,'Сезонность'!$A$4:$D$15,4,FALSE),1)))</x:f>
      </x:c>
      <x:c r="L45" s="81" t="str">
        <x:f>IF(K45="","",IF(K45&lt;'Настройки'!$B$11,"ниже тренда",IF(K45&gt;'Настройки'!$B$12,"выше тренда","норма")))</x:f>
      </x:c>
      <x:c r="M45" s="81" t="str">
        <x:f>IF(L45="","",IF(L45="ниже тренда","возможное ослабление интереса",IF(L45="выше тренда","возможная фаза повышенного интереса","без выраженного отклонения")))</x:f>
      </x:c>
      <x:c r="N45" s="95" t="str">
        <x:f>IF(G45="","",COUNT($G$5:G45))</x:f>
      </x:c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>
      <x:c r="A46" s="94" t="str">
        <x:f>IF('Ввод_данных'!A46="","",'Ввод_данных'!A46)</x:f>
      </x:c>
      <x:c r="B46" s="81" t="str">
        <x:f>IF(A46="","",MONTH(A46))</x:f>
      </x:c>
      <x:c r="C46" s="81" t="str">
        <x:f>IF(A46="","",CHOOSE(MONTH(A46),"январь","февраль","март","апрель","май","июнь","июль","август","сентябрь","октябрь","ноябрь","декабрь"))</x:f>
      </x:c>
      <x:c r="D46" s="83" t="str">
        <x:f>IF('Ввод_данных'!C46="","",'Ввод_данных'!C46)</x:f>
      </x:c>
      <x:c r="E46" s="83" t="str">
        <x:f>IF('Ввод_данных'!D46="","",'Ввод_данных'!D46)</x:f>
      </x:c>
      <x:c r="F46" s="83" t="str">
        <x:f>IF(E46="","",IF(MAX($E$5:$E$64)=0,"",E46/MAX($E$5:$E$64)*100))</x:f>
      </x:c>
      <x:c r="G46" s="83" t="str">
        <x:f>IF(COUNT(D46,F46)=0,"",IF(COUNT(D46,F46)=2,D46*'Настройки'!$B$4+F46*'Настройки'!$B$5,IF(D46&lt;&gt;"",D46,F46)))</x:f>
      </x:c>
      <x:c r="H46" s="83" t="str">
        <x:f>IF(OR(G46="",COUNT($G$5:G46)&lt;12),"",AVERAGE(G35:G46))</x:f>
      </x:c>
      <x:c r="I46" s="83" t="str">
        <x:f>IF(OR(G46="",H46="",H46=0),"",G46/H46)</x:f>
      </x:c>
      <x:c r="J46" s="83" t="str">
        <x:f>IF(OR(G46="",IFERROR(VLOOKUP(B46,'Сезонность'!$A$4:$D$15,4,FALSE),0)=0),"",G46/IFERROR(VLOOKUP(B46,'Сезонность'!$A$4:$D$15,4,FALSE),1))</x:f>
      </x:c>
      <x:c r="K46" s="83" t="str">
        <x:f>IF(OR(G46="",H46="",H46=0,IFERROR(VLOOKUP(B46,'Сезонность'!$A$4:$D$15,4,FALSE),0)=0),"",G46/(H46*IFERROR(VLOOKUP(B46,'Сезонность'!$A$4:$D$15,4,FALSE),1)))</x:f>
      </x:c>
      <x:c r="L46" s="81" t="str">
        <x:f>IF(K46="","",IF(K46&lt;'Настройки'!$B$11,"ниже тренда",IF(K46&gt;'Настройки'!$B$12,"выше тренда","норма")))</x:f>
      </x:c>
      <x:c r="M46" s="81" t="str">
        <x:f>IF(L46="","",IF(L46="ниже тренда","возможное ослабление интереса",IF(L46="выше тренда","возможная фаза повышенного интереса","без выраженного отклонения")))</x:f>
      </x:c>
      <x:c r="N46" s="95" t="str">
        <x:f>IF(G46="","",COUNT($G$5:G46))</x:f>
      </x:c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>
      <x:c r="A47" s="94" t="str">
        <x:f>IF('Ввод_данных'!A47="","",'Ввод_данных'!A47)</x:f>
      </x:c>
      <x:c r="B47" s="81" t="str">
        <x:f>IF(A47="","",MONTH(A47))</x:f>
      </x:c>
      <x:c r="C47" s="81" t="str">
        <x:f>IF(A47="","",CHOOSE(MONTH(A47),"январь","февраль","март","апрель","май","июнь","июль","август","сентябрь","октябрь","ноябрь","декабрь"))</x:f>
      </x:c>
      <x:c r="D47" s="83" t="str">
        <x:f>IF('Ввод_данных'!C47="","",'Ввод_данных'!C47)</x:f>
      </x:c>
      <x:c r="E47" s="83" t="str">
        <x:f>IF('Ввод_данных'!D47="","",'Ввод_данных'!D47)</x:f>
      </x:c>
      <x:c r="F47" s="83" t="str">
        <x:f>IF(E47="","",IF(MAX($E$5:$E$64)=0,"",E47/MAX($E$5:$E$64)*100))</x:f>
      </x:c>
      <x:c r="G47" s="83" t="str">
        <x:f>IF(COUNT(D47,F47)=0,"",IF(COUNT(D47,F47)=2,D47*'Настройки'!$B$4+F47*'Настройки'!$B$5,IF(D47&lt;&gt;"",D47,F47)))</x:f>
      </x:c>
      <x:c r="H47" s="83" t="str">
        <x:f>IF(OR(G47="",COUNT($G$5:G47)&lt;12),"",AVERAGE(G36:G47))</x:f>
      </x:c>
      <x:c r="I47" s="83" t="str">
        <x:f>IF(OR(G47="",H47="",H47=0),"",G47/H47)</x:f>
      </x:c>
      <x:c r="J47" s="83" t="str">
        <x:f>IF(OR(G47="",IFERROR(VLOOKUP(B47,'Сезонность'!$A$4:$D$15,4,FALSE),0)=0),"",G47/IFERROR(VLOOKUP(B47,'Сезонность'!$A$4:$D$15,4,FALSE),1))</x:f>
      </x:c>
      <x:c r="K47" s="83" t="str">
        <x:f>IF(OR(G47="",H47="",H47=0,IFERROR(VLOOKUP(B47,'Сезонность'!$A$4:$D$15,4,FALSE),0)=0),"",G47/(H47*IFERROR(VLOOKUP(B47,'Сезонность'!$A$4:$D$15,4,FALSE),1)))</x:f>
      </x:c>
      <x:c r="L47" s="81" t="str">
        <x:f>IF(K47="","",IF(K47&lt;'Настройки'!$B$11,"ниже тренда",IF(K47&gt;'Настройки'!$B$12,"выше тренда","норма")))</x:f>
      </x:c>
      <x:c r="M47" s="81" t="str">
        <x:f>IF(L47="","",IF(L47="ниже тренда","возможное ослабление интереса",IF(L47="выше тренда","возможная фаза повышенного интереса","без выраженного отклонения")))</x:f>
      </x:c>
      <x:c r="N47" s="95" t="str">
        <x:f>IF(G47="","",COUNT($G$5:G47))</x:f>
      </x:c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>
      <x:c r="A48" s="94" t="str">
        <x:f>IF('Ввод_данных'!A48="","",'Ввод_данных'!A48)</x:f>
      </x:c>
      <x:c r="B48" s="81" t="str">
        <x:f>IF(A48="","",MONTH(A48))</x:f>
      </x:c>
      <x:c r="C48" s="81" t="str">
        <x:f>IF(A48="","",CHOOSE(MONTH(A48),"январь","февраль","март","апрель","май","июнь","июль","август","сентябрь","октябрь","ноябрь","декабрь"))</x:f>
      </x:c>
      <x:c r="D48" s="83" t="str">
        <x:f>IF('Ввод_данных'!C48="","",'Ввод_данных'!C48)</x:f>
      </x:c>
      <x:c r="E48" s="83" t="str">
        <x:f>IF('Ввод_данных'!D48="","",'Ввод_данных'!D48)</x:f>
      </x:c>
      <x:c r="F48" s="83" t="str">
        <x:f>IF(E48="","",IF(MAX($E$5:$E$64)=0,"",E48/MAX($E$5:$E$64)*100))</x:f>
      </x:c>
      <x:c r="G48" s="83" t="str">
        <x:f>IF(COUNT(D48,F48)=0,"",IF(COUNT(D48,F48)=2,D48*'Настройки'!$B$4+F48*'Настройки'!$B$5,IF(D48&lt;&gt;"",D48,F48)))</x:f>
      </x:c>
      <x:c r="H48" s="83" t="str">
        <x:f>IF(OR(G48="",COUNT($G$5:G48)&lt;12),"",AVERAGE(G37:G48))</x:f>
      </x:c>
      <x:c r="I48" s="83" t="str">
        <x:f>IF(OR(G48="",H48="",H48=0),"",G48/H48)</x:f>
      </x:c>
      <x:c r="J48" s="83" t="str">
        <x:f>IF(OR(G48="",IFERROR(VLOOKUP(B48,'Сезонность'!$A$4:$D$15,4,FALSE),0)=0),"",G48/IFERROR(VLOOKUP(B48,'Сезонность'!$A$4:$D$15,4,FALSE),1))</x:f>
      </x:c>
      <x:c r="K48" s="83" t="str">
        <x:f>IF(OR(G48="",H48="",H48=0,IFERROR(VLOOKUP(B48,'Сезонность'!$A$4:$D$15,4,FALSE),0)=0),"",G48/(H48*IFERROR(VLOOKUP(B48,'Сезонность'!$A$4:$D$15,4,FALSE),1)))</x:f>
      </x:c>
      <x:c r="L48" s="81" t="str">
        <x:f>IF(K48="","",IF(K48&lt;'Настройки'!$B$11,"ниже тренда",IF(K48&gt;'Настройки'!$B$12,"выше тренда","норма")))</x:f>
      </x:c>
      <x:c r="M48" s="81" t="str">
        <x:f>IF(L48="","",IF(L48="ниже тренда","возможное ослабление интереса",IF(L48="выше тренда","возможная фаза повышенного интереса","без выраженного отклонения")))</x:f>
      </x:c>
      <x:c r="N48" s="95" t="str">
        <x:f>IF(G48="","",COUNT($G$5:G48))</x:f>
      </x:c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>
      <x:c r="A49" s="94" t="str">
        <x:f>IF('Ввод_данных'!A49="","",'Ввод_данных'!A49)</x:f>
      </x:c>
      <x:c r="B49" s="81" t="str">
        <x:f>IF(A49="","",MONTH(A49))</x:f>
      </x:c>
      <x:c r="C49" s="81" t="str">
        <x:f>IF(A49="","",CHOOSE(MONTH(A49),"январь","февраль","март","апрель","май","июнь","июль","август","сентябрь","октябрь","ноябрь","декабрь"))</x:f>
      </x:c>
      <x:c r="D49" s="83" t="str">
        <x:f>IF('Ввод_данных'!C49="","",'Ввод_данных'!C49)</x:f>
      </x:c>
      <x:c r="E49" s="83" t="str">
        <x:f>IF('Ввод_данных'!D49="","",'Ввод_данных'!D49)</x:f>
      </x:c>
      <x:c r="F49" s="83" t="str">
        <x:f>IF(E49="","",IF(MAX($E$5:$E$64)=0,"",E49/MAX($E$5:$E$64)*100))</x:f>
      </x:c>
      <x:c r="G49" s="83" t="str">
        <x:f>IF(COUNT(D49,F49)=0,"",IF(COUNT(D49,F49)=2,D49*'Настройки'!$B$4+F49*'Настройки'!$B$5,IF(D49&lt;&gt;"",D49,F49)))</x:f>
      </x:c>
      <x:c r="H49" s="83" t="str">
        <x:f>IF(OR(G49="",COUNT($G$5:G49)&lt;12),"",AVERAGE(G38:G49))</x:f>
      </x:c>
      <x:c r="I49" s="83" t="str">
        <x:f>IF(OR(G49="",H49="",H49=0),"",G49/H49)</x:f>
      </x:c>
      <x:c r="J49" s="83" t="str">
        <x:f>IF(OR(G49="",IFERROR(VLOOKUP(B49,'Сезонность'!$A$4:$D$15,4,FALSE),0)=0),"",G49/IFERROR(VLOOKUP(B49,'Сезонность'!$A$4:$D$15,4,FALSE),1))</x:f>
      </x:c>
      <x:c r="K49" s="83" t="str">
        <x:f>IF(OR(G49="",H49="",H49=0,IFERROR(VLOOKUP(B49,'Сезонность'!$A$4:$D$15,4,FALSE),0)=0),"",G49/(H49*IFERROR(VLOOKUP(B49,'Сезонность'!$A$4:$D$15,4,FALSE),1)))</x:f>
      </x:c>
      <x:c r="L49" s="81" t="str">
        <x:f>IF(K49="","",IF(K49&lt;'Настройки'!$B$11,"ниже тренда",IF(K49&gt;'Настройки'!$B$12,"выше тренда","норма")))</x:f>
      </x:c>
      <x:c r="M49" s="81" t="str">
        <x:f>IF(L49="","",IF(L49="ниже тренда","возможное ослабление интереса",IF(L49="выше тренда","возможная фаза повышенного интереса","без выраженного отклонения")))</x:f>
      </x:c>
      <x:c r="N49" s="95" t="str">
        <x:f>IF(G49="","",COUNT($G$5:G49))</x:f>
      </x:c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>
      <x:c r="A50" s="94" t="str">
        <x:f>IF('Ввод_данных'!A50="","",'Ввод_данных'!A50)</x:f>
      </x:c>
      <x:c r="B50" s="81" t="str">
        <x:f>IF(A50="","",MONTH(A50))</x:f>
      </x:c>
      <x:c r="C50" s="81" t="str">
        <x:f>IF(A50="","",CHOOSE(MONTH(A50),"январь","февраль","март","апрель","май","июнь","июль","август","сентябрь","октябрь","ноябрь","декабрь"))</x:f>
      </x:c>
      <x:c r="D50" s="83" t="str">
        <x:f>IF('Ввод_данных'!C50="","",'Ввод_данных'!C50)</x:f>
      </x:c>
      <x:c r="E50" s="83" t="str">
        <x:f>IF('Ввод_данных'!D50="","",'Ввод_данных'!D50)</x:f>
      </x:c>
      <x:c r="F50" s="83" t="str">
        <x:f>IF(E50="","",IF(MAX($E$5:$E$64)=0,"",E50/MAX($E$5:$E$64)*100))</x:f>
      </x:c>
      <x:c r="G50" s="83" t="str">
        <x:f>IF(COUNT(D50,F50)=0,"",IF(COUNT(D50,F50)=2,D50*'Настройки'!$B$4+F50*'Настройки'!$B$5,IF(D50&lt;&gt;"",D50,F50)))</x:f>
      </x:c>
      <x:c r="H50" s="83" t="str">
        <x:f>IF(OR(G50="",COUNT($G$5:G50)&lt;12),"",AVERAGE(G39:G50))</x:f>
      </x:c>
      <x:c r="I50" s="83" t="str">
        <x:f>IF(OR(G50="",H50="",H50=0),"",G50/H50)</x:f>
      </x:c>
      <x:c r="J50" s="83" t="str">
        <x:f>IF(OR(G50="",IFERROR(VLOOKUP(B50,'Сезонность'!$A$4:$D$15,4,FALSE),0)=0),"",G50/IFERROR(VLOOKUP(B50,'Сезонность'!$A$4:$D$15,4,FALSE),1))</x:f>
      </x:c>
      <x:c r="K50" s="83" t="str">
        <x:f>IF(OR(G50="",H50="",H50=0,IFERROR(VLOOKUP(B50,'Сезонность'!$A$4:$D$15,4,FALSE),0)=0),"",G50/(H50*IFERROR(VLOOKUP(B50,'Сезонность'!$A$4:$D$15,4,FALSE),1)))</x:f>
      </x:c>
      <x:c r="L50" s="81" t="str">
        <x:f>IF(K50="","",IF(K50&lt;'Настройки'!$B$11,"ниже тренда",IF(K50&gt;'Настройки'!$B$12,"выше тренда","норма")))</x:f>
      </x:c>
      <x:c r="M50" s="81" t="str">
        <x:f>IF(L50="","",IF(L50="ниже тренда","возможное ослабление интереса",IF(L50="выше тренда","возможная фаза повышенного интереса","без выраженного отклонения")))</x:f>
      </x:c>
      <x:c r="N50" s="95" t="str">
        <x:f>IF(G50="","",COUNT($G$5:G50))</x:f>
      </x:c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94" t="str">
        <x:f>IF('Ввод_данных'!A51="","",'Ввод_данных'!A51)</x:f>
      </x:c>
      <x:c r="B51" s="81" t="str">
        <x:f>IF(A51="","",MONTH(A51))</x:f>
      </x:c>
      <x:c r="C51" s="81" t="str">
        <x:f>IF(A51="","",CHOOSE(MONTH(A51),"январь","февраль","март","апрель","май","июнь","июль","август","сентябрь","октябрь","ноябрь","декабрь"))</x:f>
      </x:c>
      <x:c r="D51" s="83" t="str">
        <x:f>IF('Ввод_данных'!C51="","",'Ввод_данных'!C51)</x:f>
      </x:c>
      <x:c r="E51" s="83" t="str">
        <x:f>IF('Ввод_данных'!D51="","",'Ввод_данных'!D51)</x:f>
      </x:c>
      <x:c r="F51" s="83" t="str">
        <x:f>IF(E51="","",IF(MAX($E$5:$E$64)=0,"",E51/MAX($E$5:$E$64)*100))</x:f>
      </x:c>
      <x:c r="G51" s="83" t="str">
        <x:f>IF(COUNT(D51,F51)=0,"",IF(COUNT(D51,F51)=2,D51*'Настройки'!$B$4+F51*'Настройки'!$B$5,IF(D51&lt;&gt;"",D51,F51)))</x:f>
      </x:c>
      <x:c r="H51" s="83" t="str">
        <x:f>IF(OR(G51="",COUNT($G$5:G51)&lt;12),"",AVERAGE(G40:G51))</x:f>
      </x:c>
      <x:c r="I51" s="83" t="str">
        <x:f>IF(OR(G51="",H51="",H51=0),"",G51/H51)</x:f>
      </x:c>
      <x:c r="J51" s="83" t="str">
        <x:f>IF(OR(G51="",IFERROR(VLOOKUP(B51,'Сезонность'!$A$4:$D$15,4,FALSE),0)=0),"",G51/IFERROR(VLOOKUP(B51,'Сезонность'!$A$4:$D$15,4,FALSE),1))</x:f>
      </x:c>
      <x:c r="K51" s="83" t="str">
        <x:f>IF(OR(G51="",H51="",H51=0,IFERROR(VLOOKUP(B51,'Сезонность'!$A$4:$D$15,4,FALSE),0)=0),"",G51/(H51*IFERROR(VLOOKUP(B51,'Сезонность'!$A$4:$D$15,4,FALSE),1)))</x:f>
      </x:c>
      <x:c r="L51" s="81" t="str">
        <x:f>IF(K51="","",IF(K51&lt;'Настройки'!$B$11,"ниже тренда",IF(K51&gt;'Настройки'!$B$12,"выше тренда","норма")))</x:f>
      </x:c>
      <x:c r="M51" s="81" t="str">
        <x:f>IF(L51="","",IF(L51="ниже тренда","возможное ослабление интереса",IF(L51="выше тренда","возможная фаза повышенного интереса","без выраженного отклонения")))</x:f>
      </x:c>
      <x:c r="N51" s="95" t="str">
        <x:f>IF(G51="","",COUNT($G$5:G51))</x:f>
      </x:c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94" t="str">
        <x:f>IF('Ввод_данных'!A52="","",'Ввод_данных'!A52)</x:f>
      </x:c>
      <x:c r="B52" s="81" t="str">
        <x:f>IF(A52="","",MONTH(A52))</x:f>
      </x:c>
      <x:c r="C52" s="81" t="str">
        <x:f>IF(A52="","",CHOOSE(MONTH(A52),"январь","февраль","март","апрель","май","июнь","июль","август","сентябрь","октябрь","ноябрь","декабрь"))</x:f>
      </x:c>
      <x:c r="D52" s="83" t="str">
        <x:f>IF('Ввод_данных'!C52="","",'Ввод_данных'!C52)</x:f>
      </x:c>
      <x:c r="E52" s="83" t="str">
        <x:f>IF('Ввод_данных'!D52="","",'Ввод_данных'!D52)</x:f>
      </x:c>
      <x:c r="F52" s="83" t="str">
        <x:f>IF(E52="","",IF(MAX($E$5:$E$64)=0,"",E52/MAX($E$5:$E$64)*100))</x:f>
      </x:c>
      <x:c r="G52" s="83" t="str">
        <x:f>IF(COUNT(D52,F52)=0,"",IF(COUNT(D52,F52)=2,D52*'Настройки'!$B$4+F52*'Настройки'!$B$5,IF(D52&lt;&gt;"",D52,F52)))</x:f>
      </x:c>
      <x:c r="H52" s="83" t="str">
        <x:f>IF(OR(G52="",COUNT($G$5:G52)&lt;12),"",AVERAGE(G41:G52))</x:f>
      </x:c>
      <x:c r="I52" s="83" t="str">
        <x:f>IF(OR(G52="",H52="",H52=0),"",G52/H52)</x:f>
      </x:c>
      <x:c r="J52" s="83" t="str">
        <x:f>IF(OR(G52="",IFERROR(VLOOKUP(B52,'Сезонность'!$A$4:$D$15,4,FALSE),0)=0),"",G52/IFERROR(VLOOKUP(B52,'Сезонность'!$A$4:$D$15,4,FALSE),1))</x:f>
      </x:c>
      <x:c r="K52" s="83" t="str">
        <x:f>IF(OR(G52="",H52="",H52=0,IFERROR(VLOOKUP(B52,'Сезонность'!$A$4:$D$15,4,FALSE),0)=0),"",G52/(H52*IFERROR(VLOOKUP(B52,'Сезонность'!$A$4:$D$15,4,FALSE),1)))</x:f>
      </x:c>
      <x:c r="L52" s="81" t="str">
        <x:f>IF(K52="","",IF(K52&lt;'Настройки'!$B$11,"ниже тренда",IF(K52&gt;'Настройки'!$B$12,"выше тренда","норма")))</x:f>
      </x:c>
      <x:c r="M52" s="81" t="str">
        <x:f>IF(L52="","",IF(L52="ниже тренда","возможное ослабление интереса",IF(L52="выше тренда","возможная фаза повышенного интереса","без выраженного отклонения")))</x:f>
      </x:c>
      <x:c r="N52" s="95" t="str">
        <x:f>IF(G52="","",COUNT($G$5:G52))</x:f>
      </x:c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94" t="str">
        <x:f>IF('Ввод_данных'!A53="","",'Ввод_данных'!A53)</x:f>
      </x:c>
      <x:c r="B53" s="81" t="str">
        <x:f>IF(A53="","",MONTH(A53))</x:f>
      </x:c>
      <x:c r="C53" s="81" t="str">
        <x:f>IF(A53="","",CHOOSE(MONTH(A53),"январь","февраль","март","апрель","май","июнь","июль","август","сентябрь","октябрь","ноябрь","декабрь"))</x:f>
      </x:c>
      <x:c r="D53" s="83" t="str">
        <x:f>IF('Ввод_данных'!C53="","",'Ввод_данных'!C53)</x:f>
      </x:c>
      <x:c r="E53" s="83" t="str">
        <x:f>IF('Ввод_данных'!D53="","",'Ввод_данных'!D53)</x:f>
      </x:c>
      <x:c r="F53" s="83" t="str">
        <x:f>IF(E53="","",IF(MAX($E$5:$E$64)=0,"",E53/MAX($E$5:$E$64)*100))</x:f>
      </x:c>
      <x:c r="G53" s="83" t="str">
        <x:f>IF(COUNT(D53,F53)=0,"",IF(COUNT(D53,F53)=2,D53*'Настройки'!$B$4+F53*'Настройки'!$B$5,IF(D53&lt;&gt;"",D53,F53)))</x:f>
      </x:c>
      <x:c r="H53" s="83" t="str">
        <x:f>IF(OR(G53="",COUNT($G$5:G53)&lt;12),"",AVERAGE(G42:G53))</x:f>
      </x:c>
      <x:c r="I53" s="83" t="str">
        <x:f>IF(OR(G53="",H53="",H53=0),"",G53/H53)</x:f>
      </x:c>
      <x:c r="J53" s="83" t="str">
        <x:f>IF(OR(G53="",IFERROR(VLOOKUP(B53,'Сезонность'!$A$4:$D$15,4,FALSE),0)=0),"",G53/IFERROR(VLOOKUP(B53,'Сезонность'!$A$4:$D$15,4,FALSE),1))</x:f>
      </x:c>
      <x:c r="K53" s="83" t="str">
        <x:f>IF(OR(G53="",H53="",H53=0,IFERROR(VLOOKUP(B53,'Сезонность'!$A$4:$D$15,4,FALSE),0)=0),"",G53/(H53*IFERROR(VLOOKUP(B53,'Сезонность'!$A$4:$D$15,4,FALSE),1)))</x:f>
      </x:c>
      <x:c r="L53" s="81" t="str">
        <x:f>IF(K53="","",IF(K53&lt;'Настройки'!$B$11,"ниже тренда",IF(K53&gt;'Настройки'!$B$12,"выше тренда","норма")))</x:f>
      </x:c>
      <x:c r="M53" s="81" t="str">
        <x:f>IF(L53="","",IF(L53="ниже тренда","возможное ослабление интереса",IF(L53="выше тренда","возможная фаза повышенного интереса","без выраженного отклонения")))</x:f>
      </x:c>
      <x:c r="N53" s="95" t="str">
        <x:f>IF(G53="","",COUNT($G$5:G53))</x:f>
      </x:c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94" t="str">
        <x:f>IF('Ввод_данных'!A54="","",'Ввод_данных'!A54)</x:f>
      </x:c>
      <x:c r="B54" s="81" t="str">
        <x:f>IF(A54="","",MONTH(A54))</x:f>
      </x:c>
      <x:c r="C54" s="81" t="str">
        <x:f>IF(A54="","",CHOOSE(MONTH(A54),"январь","февраль","март","апрель","май","июнь","июль","август","сентябрь","октябрь","ноябрь","декабрь"))</x:f>
      </x:c>
      <x:c r="D54" s="83" t="str">
        <x:f>IF('Ввод_данных'!C54="","",'Ввод_данных'!C54)</x:f>
      </x:c>
      <x:c r="E54" s="83" t="str">
        <x:f>IF('Ввод_данных'!D54="","",'Ввод_данных'!D54)</x:f>
      </x:c>
      <x:c r="F54" s="83" t="str">
        <x:f>IF(E54="","",IF(MAX($E$5:$E$64)=0,"",E54/MAX($E$5:$E$64)*100))</x:f>
      </x:c>
      <x:c r="G54" s="83" t="str">
        <x:f>IF(COUNT(D54,F54)=0,"",IF(COUNT(D54,F54)=2,D54*'Настройки'!$B$4+F54*'Настройки'!$B$5,IF(D54&lt;&gt;"",D54,F54)))</x:f>
      </x:c>
      <x:c r="H54" s="83" t="str">
        <x:f>IF(OR(G54="",COUNT($G$5:G54)&lt;12),"",AVERAGE(G43:G54))</x:f>
      </x:c>
      <x:c r="I54" s="83" t="str">
        <x:f>IF(OR(G54="",H54="",H54=0),"",G54/H54)</x:f>
      </x:c>
      <x:c r="J54" s="83" t="str">
        <x:f>IF(OR(G54="",IFERROR(VLOOKUP(B54,'Сезонность'!$A$4:$D$15,4,FALSE),0)=0),"",G54/IFERROR(VLOOKUP(B54,'Сезонность'!$A$4:$D$15,4,FALSE),1))</x:f>
      </x:c>
      <x:c r="K54" s="83" t="str">
        <x:f>IF(OR(G54="",H54="",H54=0,IFERROR(VLOOKUP(B54,'Сезонность'!$A$4:$D$15,4,FALSE),0)=0),"",G54/(H54*IFERROR(VLOOKUP(B54,'Сезонность'!$A$4:$D$15,4,FALSE),1)))</x:f>
      </x:c>
      <x:c r="L54" s="81" t="str">
        <x:f>IF(K54="","",IF(K54&lt;'Настройки'!$B$11,"ниже тренда",IF(K54&gt;'Настройки'!$B$12,"выше тренда","норма")))</x:f>
      </x:c>
      <x:c r="M54" s="81" t="str">
        <x:f>IF(L54="","",IF(L54="ниже тренда","возможное ослабление интереса",IF(L54="выше тренда","возможная фаза повышенного интереса","без выраженного отклонения")))</x:f>
      </x:c>
      <x:c r="N54" s="95" t="str">
        <x:f>IF(G54="","",COUNT($G$5:G54))</x:f>
      </x:c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94" t="str">
        <x:f>IF('Ввод_данных'!A55="","",'Ввод_данных'!A55)</x:f>
      </x:c>
      <x:c r="B55" s="81" t="str">
        <x:f>IF(A55="","",MONTH(A55))</x:f>
      </x:c>
      <x:c r="C55" s="81" t="str">
        <x:f>IF(A55="","",CHOOSE(MONTH(A55),"январь","февраль","март","апрель","май","июнь","июль","август","сентябрь","октябрь","ноябрь","декабрь"))</x:f>
      </x:c>
      <x:c r="D55" s="83" t="str">
        <x:f>IF('Ввод_данных'!C55="","",'Ввод_данных'!C55)</x:f>
      </x:c>
      <x:c r="E55" s="83" t="str">
        <x:f>IF('Ввод_данных'!D55="","",'Ввод_данных'!D55)</x:f>
      </x:c>
      <x:c r="F55" s="83" t="str">
        <x:f>IF(E55="","",IF(MAX($E$5:$E$64)=0,"",E55/MAX($E$5:$E$64)*100))</x:f>
      </x:c>
      <x:c r="G55" s="83" t="str">
        <x:f>IF(COUNT(D55,F55)=0,"",IF(COUNT(D55,F55)=2,D55*'Настройки'!$B$4+F55*'Настройки'!$B$5,IF(D55&lt;&gt;"",D55,F55)))</x:f>
      </x:c>
      <x:c r="H55" s="83" t="str">
        <x:f>IF(OR(G55="",COUNT($G$5:G55)&lt;12),"",AVERAGE(G44:G55))</x:f>
      </x:c>
      <x:c r="I55" s="83" t="str">
        <x:f>IF(OR(G55="",H55="",H55=0),"",G55/H55)</x:f>
      </x:c>
      <x:c r="J55" s="83" t="str">
        <x:f>IF(OR(G55="",IFERROR(VLOOKUP(B55,'Сезонность'!$A$4:$D$15,4,FALSE),0)=0),"",G55/IFERROR(VLOOKUP(B55,'Сезонность'!$A$4:$D$15,4,FALSE),1))</x:f>
      </x:c>
      <x:c r="K55" s="83" t="str">
        <x:f>IF(OR(G55="",H55="",H55=0,IFERROR(VLOOKUP(B55,'Сезонность'!$A$4:$D$15,4,FALSE),0)=0),"",G55/(H55*IFERROR(VLOOKUP(B55,'Сезонность'!$A$4:$D$15,4,FALSE),1)))</x:f>
      </x:c>
      <x:c r="L55" s="81" t="str">
        <x:f>IF(K55="","",IF(K55&lt;'Настройки'!$B$11,"ниже тренда",IF(K55&gt;'Настройки'!$B$12,"выше тренда","норма")))</x:f>
      </x:c>
      <x:c r="M55" s="81" t="str">
        <x:f>IF(L55="","",IF(L55="ниже тренда","возможное ослабление интереса",IF(L55="выше тренда","возможная фаза повышенного интереса","без выраженного отклонения")))</x:f>
      </x:c>
      <x:c r="N55" s="95" t="str">
        <x:f>IF(G55="","",COUNT($G$5:G55))</x:f>
      </x:c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94" t="str">
        <x:f>IF('Ввод_данных'!A56="","",'Ввод_данных'!A56)</x:f>
      </x:c>
      <x:c r="B56" s="81" t="str">
        <x:f>IF(A56="","",MONTH(A56))</x:f>
      </x:c>
      <x:c r="C56" s="81" t="str">
        <x:f>IF(A56="","",CHOOSE(MONTH(A56),"январь","февраль","март","апрель","май","июнь","июль","август","сентябрь","октябрь","ноябрь","декабрь"))</x:f>
      </x:c>
      <x:c r="D56" s="83" t="str">
        <x:f>IF('Ввод_данных'!C56="","",'Ввод_данных'!C56)</x:f>
      </x:c>
      <x:c r="E56" s="83" t="str">
        <x:f>IF('Ввод_данных'!D56="","",'Ввод_данных'!D56)</x:f>
      </x:c>
      <x:c r="F56" s="83" t="str">
        <x:f>IF(E56="","",IF(MAX($E$5:$E$64)=0,"",E56/MAX($E$5:$E$64)*100))</x:f>
      </x:c>
      <x:c r="G56" s="83" t="str">
        <x:f>IF(COUNT(D56,F56)=0,"",IF(COUNT(D56,F56)=2,D56*'Настройки'!$B$4+F56*'Настройки'!$B$5,IF(D56&lt;&gt;"",D56,F56)))</x:f>
      </x:c>
      <x:c r="H56" s="83" t="str">
        <x:f>IF(OR(G56="",COUNT($G$5:G56)&lt;12),"",AVERAGE(G45:G56))</x:f>
      </x:c>
      <x:c r="I56" s="83" t="str">
        <x:f>IF(OR(G56="",H56="",H56=0),"",G56/H56)</x:f>
      </x:c>
      <x:c r="J56" s="83" t="str">
        <x:f>IF(OR(G56="",IFERROR(VLOOKUP(B56,'Сезонность'!$A$4:$D$15,4,FALSE),0)=0),"",G56/IFERROR(VLOOKUP(B56,'Сезонность'!$A$4:$D$15,4,FALSE),1))</x:f>
      </x:c>
      <x:c r="K56" s="83" t="str">
        <x:f>IF(OR(G56="",H56="",H56=0,IFERROR(VLOOKUP(B56,'Сезонность'!$A$4:$D$15,4,FALSE),0)=0),"",G56/(H56*IFERROR(VLOOKUP(B56,'Сезонность'!$A$4:$D$15,4,FALSE),1)))</x:f>
      </x:c>
      <x:c r="L56" s="81" t="str">
        <x:f>IF(K56="","",IF(K56&lt;'Настройки'!$B$11,"ниже тренда",IF(K56&gt;'Настройки'!$B$12,"выше тренда","норма")))</x:f>
      </x:c>
      <x:c r="M56" s="81" t="str">
        <x:f>IF(L56="","",IF(L56="ниже тренда","возможное ослабление интереса",IF(L56="выше тренда","возможная фаза повышенного интереса","без выраженного отклонения")))</x:f>
      </x:c>
      <x:c r="N56" s="95" t="str">
        <x:f>IF(G56="","",COUNT($G$5:G56))</x:f>
      </x:c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94" t="str">
        <x:f>IF('Ввод_данных'!A57="","",'Ввод_данных'!A57)</x:f>
      </x:c>
      <x:c r="B57" s="81" t="str">
        <x:f>IF(A57="","",MONTH(A57))</x:f>
      </x:c>
      <x:c r="C57" s="81" t="str">
        <x:f>IF(A57="","",CHOOSE(MONTH(A57),"январь","февраль","март","апрель","май","июнь","июль","август","сентябрь","октябрь","ноябрь","декабрь"))</x:f>
      </x:c>
      <x:c r="D57" s="83" t="str">
        <x:f>IF('Ввод_данных'!C57="","",'Ввод_данных'!C57)</x:f>
      </x:c>
      <x:c r="E57" s="83" t="str">
        <x:f>IF('Ввод_данных'!D57="","",'Ввод_данных'!D57)</x:f>
      </x:c>
      <x:c r="F57" s="83" t="str">
        <x:f>IF(E57="","",IF(MAX($E$5:$E$64)=0,"",E57/MAX($E$5:$E$64)*100))</x:f>
      </x:c>
      <x:c r="G57" s="83" t="str">
        <x:f>IF(COUNT(D57,F57)=0,"",IF(COUNT(D57,F57)=2,D57*'Настройки'!$B$4+F57*'Настройки'!$B$5,IF(D57&lt;&gt;"",D57,F57)))</x:f>
      </x:c>
      <x:c r="H57" s="83" t="str">
        <x:f>IF(OR(G57="",COUNT($G$5:G57)&lt;12),"",AVERAGE(G46:G57))</x:f>
      </x:c>
      <x:c r="I57" s="83" t="str">
        <x:f>IF(OR(G57="",H57="",H57=0),"",G57/H57)</x:f>
      </x:c>
      <x:c r="J57" s="83" t="str">
        <x:f>IF(OR(G57="",IFERROR(VLOOKUP(B57,'Сезонность'!$A$4:$D$15,4,FALSE),0)=0),"",G57/IFERROR(VLOOKUP(B57,'Сезонность'!$A$4:$D$15,4,FALSE),1))</x:f>
      </x:c>
      <x:c r="K57" s="83" t="str">
        <x:f>IF(OR(G57="",H57="",H57=0,IFERROR(VLOOKUP(B57,'Сезонность'!$A$4:$D$15,4,FALSE),0)=0),"",G57/(H57*IFERROR(VLOOKUP(B57,'Сезонность'!$A$4:$D$15,4,FALSE),1)))</x:f>
      </x:c>
      <x:c r="L57" s="81" t="str">
        <x:f>IF(K57="","",IF(K57&lt;'Настройки'!$B$11,"ниже тренда",IF(K57&gt;'Настройки'!$B$12,"выше тренда","норма")))</x:f>
      </x:c>
      <x:c r="M57" s="81" t="str">
        <x:f>IF(L57="","",IF(L57="ниже тренда","возможное ослабление интереса",IF(L57="выше тренда","возможная фаза повышенного интереса","без выраженного отклонения")))</x:f>
      </x:c>
      <x:c r="N57" s="95" t="str">
        <x:f>IF(G57="","",COUNT($G$5:G57))</x:f>
      </x:c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94" t="str">
        <x:f>IF('Ввод_данных'!A58="","",'Ввод_данных'!A58)</x:f>
      </x:c>
      <x:c r="B58" s="81" t="str">
        <x:f>IF(A58="","",MONTH(A58))</x:f>
      </x:c>
      <x:c r="C58" s="81" t="str">
        <x:f>IF(A58="","",CHOOSE(MONTH(A58),"январь","февраль","март","апрель","май","июнь","июль","август","сентябрь","октябрь","ноябрь","декабрь"))</x:f>
      </x:c>
      <x:c r="D58" s="83" t="str">
        <x:f>IF('Ввод_данных'!C58="","",'Ввод_данных'!C58)</x:f>
      </x:c>
      <x:c r="E58" s="83" t="str">
        <x:f>IF('Ввод_данных'!D58="","",'Ввод_данных'!D58)</x:f>
      </x:c>
      <x:c r="F58" s="83" t="str">
        <x:f>IF(E58="","",IF(MAX($E$5:$E$64)=0,"",E58/MAX($E$5:$E$64)*100))</x:f>
      </x:c>
      <x:c r="G58" s="83" t="str">
        <x:f>IF(COUNT(D58,F58)=0,"",IF(COUNT(D58,F58)=2,D58*'Настройки'!$B$4+F58*'Настройки'!$B$5,IF(D58&lt;&gt;"",D58,F58)))</x:f>
      </x:c>
      <x:c r="H58" s="83" t="str">
        <x:f>IF(OR(G58="",COUNT($G$5:G58)&lt;12),"",AVERAGE(G47:G58))</x:f>
      </x:c>
      <x:c r="I58" s="83" t="str">
        <x:f>IF(OR(G58="",H58="",H58=0),"",G58/H58)</x:f>
      </x:c>
      <x:c r="J58" s="83" t="str">
        <x:f>IF(OR(G58="",IFERROR(VLOOKUP(B58,'Сезонность'!$A$4:$D$15,4,FALSE),0)=0),"",G58/IFERROR(VLOOKUP(B58,'Сезонность'!$A$4:$D$15,4,FALSE),1))</x:f>
      </x:c>
      <x:c r="K58" s="83" t="str">
        <x:f>IF(OR(G58="",H58="",H58=0,IFERROR(VLOOKUP(B58,'Сезонность'!$A$4:$D$15,4,FALSE),0)=0),"",G58/(H58*IFERROR(VLOOKUP(B58,'Сезонность'!$A$4:$D$15,4,FALSE),1)))</x:f>
      </x:c>
      <x:c r="L58" s="81" t="str">
        <x:f>IF(K58="","",IF(K58&lt;'Настройки'!$B$11,"ниже тренда",IF(K58&gt;'Настройки'!$B$12,"выше тренда","норма")))</x:f>
      </x:c>
      <x:c r="M58" s="81" t="str">
        <x:f>IF(L58="","",IF(L58="ниже тренда","возможное ослабление интереса",IF(L58="выше тренда","возможная фаза повышенного интереса","без выраженного отклонения")))</x:f>
      </x:c>
      <x:c r="N58" s="95" t="str">
        <x:f>IF(G58="","",COUNT($G$5:G58))</x:f>
      </x:c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94" t="str">
        <x:f>IF('Ввод_данных'!A59="","",'Ввод_данных'!A59)</x:f>
      </x:c>
      <x:c r="B59" s="81" t="str">
        <x:f>IF(A59="","",MONTH(A59))</x:f>
      </x:c>
      <x:c r="C59" s="81" t="str">
        <x:f>IF(A59="","",CHOOSE(MONTH(A59),"январь","февраль","март","апрель","май","июнь","июль","август","сентябрь","октябрь","ноябрь","декабрь"))</x:f>
      </x:c>
      <x:c r="D59" s="83" t="str">
        <x:f>IF('Ввод_данных'!C59="","",'Ввод_данных'!C59)</x:f>
      </x:c>
      <x:c r="E59" s="83" t="str">
        <x:f>IF('Ввод_данных'!D59="","",'Ввод_данных'!D59)</x:f>
      </x:c>
      <x:c r="F59" s="83" t="str">
        <x:f>IF(E59="","",IF(MAX($E$5:$E$64)=0,"",E59/MAX($E$5:$E$64)*100))</x:f>
      </x:c>
      <x:c r="G59" s="83" t="str">
        <x:f>IF(COUNT(D59,F59)=0,"",IF(COUNT(D59,F59)=2,D59*'Настройки'!$B$4+F59*'Настройки'!$B$5,IF(D59&lt;&gt;"",D59,F59)))</x:f>
      </x:c>
      <x:c r="H59" s="83" t="str">
        <x:f>IF(OR(G59="",COUNT($G$5:G59)&lt;12),"",AVERAGE(G48:G59))</x:f>
      </x:c>
      <x:c r="I59" s="83" t="str">
        <x:f>IF(OR(G59="",H59="",H59=0),"",G59/H59)</x:f>
      </x:c>
      <x:c r="J59" s="83" t="str">
        <x:f>IF(OR(G59="",IFERROR(VLOOKUP(B59,'Сезонность'!$A$4:$D$15,4,FALSE),0)=0),"",G59/IFERROR(VLOOKUP(B59,'Сезонность'!$A$4:$D$15,4,FALSE),1))</x:f>
      </x:c>
      <x:c r="K59" s="83" t="str">
        <x:f>IF(OR(G59="",H59="",H59=0,IFERROR(VLOOKUP(B59,'Сезонность'!$A$4:$D$15,4,FALSE),0)=0),"",G59/(H59*IFERROR(VLOOKUP(B59,'Сезонность'!$A$4:$D$15,4,FALSE),1)))</x:f>
      </x:c>
      <x:c r="L59" s="81" t="str">
        <x:f>IF(K59="","",IF(K59&lt;'Настройки'!$B$11,"ниже тренда",IF(K59&gt;'Настройки'!$B$12,"выше тренда","норма")))</x:f>
      </x:c>
      <x:c r="M59" s="81" t="str">
        <x:f>IF(L59="","",IF(L59="ниже тренда","возможное ослабление интереса",IF(L59="выше тренда","возможная фаза повышенного интереса","без выраженного отклонения")))</x:f>
      </x:c>
      <x:c r="N59" s="95" t="str">
        <x:f>IF(G59="","",COUNT($G$5:G59))</x:f>
      </x:c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94" t="str">
        <x:f>IF('Ввод_данных'!A60="","",'Ввод_данных'!A60)</x:f>
      </x:c>
      <x:c r="B60" s="81" t="str">
        <x:f>IF(A60="","",MONTH(A60))</x:f>
      </x:c>
      <x:c r="C60" s="81" t="str">
        <x:f>IF(A60="","",CHOOSE(MONTH(A60),"январь","февраль","март","апрель","май","июнь","июль","август","сентябрь","октябрь","ноябрь","декабрь"))</x:f>
      </x:c>
      <x:c r="D60" s="83" t="str">
        <x:f>IF('Ввод_данных'!C60="","",'Ввод_данных'!C60)</x:f>
      </x:c>
      <x:c r="E60" s="83" t="str">
        <x:f>IF('Ввод_данных'!D60="","",'Ввод_данных'!D60)</x:f>
      </x:c>
      <x:c r="F60" s="83" t="str">
        <x:f>IF(E60="","",IF(MAX($E$5:$E$64)=0,"",E60/MAX($E$5:$E$64)*100))</x:f>
      </x:c>
      <x:c r="G60" s="83" t="str">
        <x:f>IF(COUNT(D60,F60)=0,"",IF(COUNT(D60,F60)=2,D60*'Настройки'!$B$4+F60*'Настройки'!$B$5,IF(D60&lt;&gt;"",D60,F60)))</x:f>
      </x:c>
      <x:c r="H60" s="83" t="str">
        <x:f>IF(OR(G60="",COUNT($G$5:G60)&lt;12),"",AVERAGE(G49:G60))</x:f>
      </x:c>
      <x:c r="I60" s="83" t="str">
        <x:f>IF(OR(G60="",H60="",H60=0),"",G60/H60)</x:f>
      </x:c>
      <x:c r="J60" s="83" t="str">
        <x:f>IF(OR(G60="",IFERROR(VLOOKUP(B60,'Сезонность'!$A$4:$D$15,4,FALSE),0)=0),"",G60/IFERROR(VLOOKUP(B60,'Сезонность'!$A$4:$D$15,4,FALSE),1))</x:f>
      </x:c>
      <x:c r="K60" s="83" t="str">
        <x:f>IF(OR(G60="",H60="",H60=0,IFERROR(VLOOKUP(B60,'Сезонность'!$A$4:$D$15,4,FALSE),0)=0),"",G60/(H60*IFERROR(VLOOKUP(B60,'Сезонность'!$A$4:$D$15,4,FALSE),1)))</x:f>
      </x:c>
      <x:c r="L60" s="81" t="str">
        <x:f>IF(K60="","",IF(K60&lt;'Настройки'!$B$11,"ниже тренда",IF(K60&gt;'Настройки'!$B$12,"выше тренда","норма")))</x:f>
      </x:c>
      <x:c r="M60" s="81" t="str">
        <x:f>IF(L60="","",IF(L60="ниже тренда","возможное ослабление интереса",IF(L60="выше тренда","возможная фаза повышенного интереса","без выраженного отклонения")))</x:f>
      </x:c>
      <x:c r="N60" s="95" t="str">
        <x:f>IF(G60="","",COUNT($G$5:G60))</x:f>
      </x:c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94" t="str">
        <x:f>IF('Ввод_данных'!A61="","",'Ввод_данных'!A61)</x:f>
      </x:c>
      <x:c r="B61" s="81" t="str">
        <x:f>IF(A61="","",MONTH(A61))</x:f>
      </x:c>
      <x:c r="C61" s="81" t="str">
        <x:f>IF(A61="","",CHOOSE(MONTH(A61),"январь","февраль","март","апрель","май","июнь","июль","август","сентябрь","октябрь","ноябрь","декабрь"))</x:f>
      </x:c>
      <x:c r="D61" s="83" t="str">
        <x:f>IF('Ввод_данных'!C61="","",'Ввод_данных'!C61)</x:f>
      </x:c>
      <x:c r="E61" s="83" t="str">
        <x:f>IF('Ввод_данных'!D61="","",'Ввод_данных'!D61)</x:f>
      </x:c>
      <x:c r="F61" s="83" t="str">
        <x:f>IF(E61="","",IF(MAX($E$5:$E$64)=0,"",E61/MAX($E$5:$E$64)*100))</x:f>
      </x:c>
      <x:c r="G61" s="83" t="str">
        <x:f>IF(COUNT(D61,F61)=0,"",IF(COUNT(D61,F61)=2,D61*'Настройки'!$B$4+F61*'Настройки'!$B$5,IF(D61&lt;&gt;"",D61,F61)))</x:f>
      </x:c>
      <x:c r="H61" s="83" t="str">
        <x:f>IF(OR(G61="",COUNT($G$5:G61)&lt;12),"",AVERAGE(G50:G61))</x:f>
      </x:c>
      <x:c r="I61" s="83" t="str">
        <x:f>IF(OR(G61="",H61="",H61=0),"",G61/H61)</x:f>
      </x:c>
      <x:c r="J61" s="83" t="str">
        <x:f>IF(OR(G61="",IFERROR(VLOOKUP(B61,'Сезонность'!$A$4:$D$15,4,FALSE),0)=0),"",G61/IFERROR(VLOOKUP(B61,'Сезонность'!$A$4:$D$15,4,FALSE),1))</x:f>
      </x:c>
      <x:c r="K61" s="83" t="str">
        <x:f>IF(OR(G61="",H61="",H61=0,IFERROR(VLOOKUP(B61,'Сезонность'!$A$4:$D$15,4,FALSE),0)=0),"",G61/(H61*IFERROR(VLOOKUP(B61,'Сезонность'!$A$4:$D$15,4,FALSE),1)))</x:f>
      </x:c>
      <x:c r="L61" s="81" t="str">
        <x:f>IF(K61="","",IF(K61&lt;'Настройки'!$B$11,"ниже тренда",IF(K61&gt;'Настройки'!$B$12,"выше тренда","норма")))</x:f>
      </x:c>
      <x:c r="M61" s="81" t="str">
        <x:f>IF(L61="","",IF(L61="ниже тренда","возможное ослабление интереса",IF(L61="выше тренда","возможная фаза повышенного интереса","без выраженного отклонения")))</x:f>
      </x:c>
      <x:c r="N61" s="95" t="str">
        <x:f>IF(G61="","",COUNT($G$5:G61))</x:f>
      </x:c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94" t="str">
        <x:f>IF('Ввод_данных'!A62="","",'Ввод_данных'!A62)</x:f>
      </x:c>
      <x:c r="B62" s="81" t="str">
        <x:f>IF(A62="","",MONTH(A62))</x:f>
      </x:c>
      <x:c r="C62" s="81" t="str">
        <x:f>IF(A62="","",CHOOSE(MONTH(A62),"январь","февраль","март","апрель","май","июнь","июль","август","сентябрь","октябрь","ноябрь","декабрь"))</x:f>
      </x:c>
      <x:c r="D62" s="83" t="str">
        <x:f>IF('Ввод_данных'!C62="","",'Ввод_данных'!C62)</x:f>
      </x:c>
      <x:c r="E62" s="83" t="str">
        <x:f>IF('Ввод_данных'!D62="","",'Ввод_данных'!D62)</x:f>
      </x:c>
      <x:c r="F62" s="83" t="str">
        <x:f>IF(E62="","",IF(MAX($E$5:$E$64)=0,"",E62/MAX($E$5:$E$64)*100))</x:f>
      </x:c>
      <x:c r="G62" s="83" t="str">
        <x:f>IF(COUNT(D62,F62)=0,"",IF(COUNT(D62,F62)=2,D62*'Настройки'!$B$4+F62*'Настройки'!$B$5,IF(D62&lt;&gt;"",D62,F62)))</x:f>
      </x:c>
      <x:c r="H62" s="83" t="str">
        <x:f>IF(OR(G62="",COUNT($G$5:G62)&lt;12),"",AVERAGE(G51:G62))</x:f>
      </x:c>
      <x:c r="I62" s="83" t="str">
        <x:f>IF(OR(G62="",H62="",H62=0),"",G62/H62)</x:f>
      </x:c>
      <x:c r="J62" s="83" t="str">
        <x:f>IF(OR(G62="",IFERROR(VLOOKUP(B62,'Сезонность'!$A$4:$D$15,4,FALSE),0)=0),"",G62/IFERROR(VLOOKUP(B62,'Сезонность'!$A$4:$D$15,4,FALSE),1))</x:f>
      </x:c>
      <x:c r="K62" s="83" t="str">
        <x:f>IF(OR(G62="",H62="",H62=0,IFERROR(VLOOKUP(B62,'Сезонность'!$A$4:$D$15,4,FALSE),0)=0),"",G62/(H62*IFERROR(VLOOKUP(B62,'Сезонность'!$A$4:$D$15,4,FALSE),1)))</x:f>
      </x:c>
      <x:c r="L62" s="81" t="str">
        <x:f>IF(K62="","",IF(K62&lt;'Настройки'!$B$11,"ниже тренда",IF(K62&gt;'Настройки'!$B$12,"выше тренда","норма")))</x:f>
      </x:c>
      <x:c r="M62" s="81" t="str">
        <x:f>IF(L62="","",IF(L62="ниже тренда","возможное ослабление интереса",IF(L62="выше тренда","возможная фаза повышенного интереса","без выраженного отклонения")))</x:f>
      </x:c>
      <x:c r="N62" s="95" t="str">
        <x:f>IF(G62="","",COUNT($G$5:G62))</x:f>
      </x:c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94" t="str">
        <x:f>IF('Ввод_данных'!A63="","",'Ввод_данных'!A63)</x:f>
      </x:c>
      <x:c r="B63" s="81" t="str">
        <x:f>IF(A63="","",MONTH(A63))</x:f>
      </x:c>
      <x:c r="C63" s="81" t="str">
        <x:f>IF(A63="","",CHOOSE(MONTH(A63),"январь","февраль","март","апрель","май","июнь","июль","август","сентябрь","октябрь","ноябрь","декабрь"))</x:f>
      </x:c>
      <x:c r="D63" s="83" t="str">
        <x:f>IF('Ввод_данных'!C63="","",'Ввод_данных'!C63)</x:f>
      </x:c>
      <x:c r="E63" s="83" t="str">
        <x:f>IF('Ввод_данных'!D63="","",'Ввод_данных'!D63)</x:f>
      </x:c>
      <x:c r="F63" s="83" t="str">
        <x:f>IF(E63="","",IF(MAX($E$5:$E$64)=0,"",E63/MAX($E$5:$E$64)*100))</x:f>
      </x:c>
      <x:c r="G63" s="83" t="str">
        <x:f>IF(COUNT(D63,F63)=0,"",IF(COUNT(D63,F63)=2,D63*'Настройки'!$B$4+F63*'Настройки'!$B$5,IF(D63&lt;&gt;"",D63,F63)))</x:f>
      </x:c>
      <x:c r="H63" s="83" t="str">
        <x:f>IF(OR(G63="",COUNT($G$5:G63)&lt;12),"",AVERAGE(G52:G63))</x:f>
      </x:c>
      <x:c r="I63" s="83" t="str">
        <x:f>IF(OR(G63="",H63="",H63=0),"",G63/H63)</x:f>
      </x:c>
      <x:c r="J63" s="83" t="str">
        <x:f>IF(OR(G63="",IFERROR(VLOOKUP(B63,'Сезонность'!$A$4:$D$15,4,FALSE),0)=0),"",G63/IFERROR(VLOOKUP(B63,'Сезонность'!$A$4:$D$15,4,FALSE),1))</x:f>
      </x:c>
      <x:c r="K63" s="83" t="str">
        <x:f>IF(OR(G63="",H63="",H63=0,IFERROR(VLOOKUP(B63,'Сезонность'!$A$4:$D$15,4,FALSE),0)=0),"",G63/(H63*IFERROR(VLOOKUP(B63,'Сезонность'!$A$4:$D$15,4,FALSE),1)))</x:f>
      </x:c>
      <x:c r="L63" s="81" t="str">
        <x:f>IF(K63="","",IF(K63&lt;'Настройки'!$B$11,"ниже тренда",IF(K63&gt;'Настройки'!$B$12,"выше тренда","норма")))</x:f>
      </x:c>
      <x:c r="M63" s="81" t="str">
        <x:f>IF(L63="","",IF(L63="ниже тренда","возможное ослабление интереса",IF(L63="выше тренда","возможная фаза повышенного интереса","без выраженного отклонения")))</x:f>
      </x:c>
      <x:c r="N63" s="95" t="str">
        <x:f>IF(G63="","",COUNT($G$5:G63))</x:f>
      </x:c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94" t="str">
        <x:f>IF('Ввод_данных'!A64="","",'Ввод_данных'!A64)</x:f>
      </x:c>
      <x:c r="B64" s="81" t="str">
        <x:f>IF(A64="","",MONTH(A64))</x:f>
      </x:c>
      <x:c r="C64" s="81" t="str">
        <x:f>IF(A64="","",CHOOSE(MONTH(A64),"январь","февраль","март","апрель","май","июнь","июль","август","сентябрь","октябрь","ноябрь","декабрь"))</x:f>
      </x:c>
      <x:c r="D64" s="83" t="str">
        <x:f>IF('Ввод_данных'!C64="","",'Ввод_данных'!C64)</x:f>
      </x:c>
      <x:c r="E64" s="83" t="str">
        <x:f>IF('Ввод_данных'!D64="","",'Ввод_данных'!D64)</x:f>
      </x:c>
      <x:c r="F64" s="83" t="str">
        <x:f>IF(E64="","",IF(MAX($E$5:$E$64)=0,"",E64/MAX($E$5:$E$64)*100))</x:f>
      </x:c>
      <x:c r="G64" s="83" t="str">
        <x:f>IF(COUNT(D64,F64)=0,"",IF(COUNT(D64,F64)=2,D64*'Настройки'!$B$4+F64*'Настройки'!$B$5,IF(D64&lt;&gt;"",D64,F64)))</x:f>
      </x:c>
      <x:c r="H64" s="83" t="str">
        <x:f>IF(OR(G64="",COUNT($G$5:G64)&lt;12),"",AVERAGE(G53:G64))</x:f>
      </x:c>
      <x:c r="I64" s="83" t="str">
        <x:f>IF(OR(G64="",H64="",H64=0),"",G64/H64)</x:f>
      </x:c>
      <x:c r="J64" s="83" t="str">
        <x:f>IF(OR(G64="",IFERROR(VLOOKUP(B64,'Сезонность'!$A$4:$D$15,4,FALSE),0)=0),"",G64/IFERROR(VLOOKUP(B64,'Сезонность'!$A$4:$D$15,4,FALSE),1))</x:f>
      </x:c>
      <x:c r="K64" s="83" t="str">
        <x:f>IF(OR(G64="",H64="",H64=0,IFERROR(VLOOKUP(B64,'Сезонность'!$A$4:$D$15,4,FALSE),0)=0),"",G64/(H64*IFERROR(VLOOKUP(B64,'Сезонность'!$A$4:$D$15,4,FALSE),1)))</x:f>
      </x:c>
      <x:c r="L64" s="81" t="str">
        <x:f>IF(K64="","",IF(K64&lt;'Настройки'!$B$11,"ниже тренда",IF(K64&gt;'Настройки'!$B$12,"выше тренда","норма")))</x:f>
      </x:c>
      <x:c r="M64" s="81" t="str">
        <x:f>IF(L64="","",IF(L64="ниже тренда","возможное ослабление интереса",IF(L64="выше тренда","возможная фаза повышенного интереса","без выраженного отклонения")))</x:f>
      </x:c>
      <x:c r="N64" s="95" t="str">
        <x:f>IF(G64="","",COUNT($G$5:G64))</x:f>
      </x:c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</x:sheetData>
  <x:mergeCells>
    <x:mergeCell ref="A1:N1"/>
    <x:mergeCell ref="A2:N2"/>
  </x:mergeCells>
  <x:conditionalFormatting sqref="K5:K64">
    <x:cfRule type="cellIs" dxfId="0" priority="1" operator="lessThan">
      <x:formula>0.9</x:formula>
    </x:cfRule>
    <x:cfRule type="cellIs" dxfId="1" priority="2" operator="greaterThan">
      <x:formula>1.1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7a39707dcc42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8" hidden="0" customWidth="1"/>
    <x:col min="5" max="5" width="20" hidden="0" customWidth="1"/>
    <x:col min="6" max="6" width="28" hidden="0" customWidth="1"/>
  </x:cols>
  <x:sheetData>
    <x:row r="1" ht="28" customHeight="1">
      <x:c r="A1" s="111" t="str">
        <x:v>Расчет сезонных индексов по месяцам</x:v>
      </x:c>
      <x:c r="B1" s="111"/>
      <x:c r="C1" s="111"/>
      <x:c r="D1" s="111"/>
      <x:c r="E1" s="111"/>
      <x:c r="F1" s="111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>
      <x:c r="A3" s="80" t="str">
        <x:v>Месяц №</x:v>
      </x:c>
      <x:c r="B3" s="80" t="str">
        <x:v>Месяц</x:v>
      </x:c>
      <x:c r="C3" s="80" t="str">
        <x:v>Средний Y/T</x:v>
      </x:c>
      <x:c r="D3" s="80" t="str">
        <x:v>Сезонный индекс</x:v>
      </x:c>
      <x:c r="E3" s="80" t="str">
        <x:v>Отклонение от среднего</x:v>
      </x:c>
      <x:c r="F3" s="80" t="str">
        <x:v>Интерпретация</x:v>
      </x:c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>
      <x:c r="A4" s="81" t="n">
        <x:v>1</x:v>
      </x:c>
      <x:c r="B4" s="81" t="str">
        <x:v>январь</x:v>
      </x:c>
      <x:c r="C4" s="83" t="n">
        <x:f>IFERROR(SUMIFS('Расчет'!$I$5:$I$64,'Расчет'!$B$5:$B$64,A4)/COUNTIFS('Расчет'!$B$5:$B$64,A4,'Расчет'!$I$5:$I$64,"&gt;0"),"")</x:f>
        <x:v>1.174897031921375</x:v>
      </x:c>
      <x:c r="D4" s="83" t="n">
        <x:f>IF(C4="","",C4/AVERAGE($C$4:$C$15))</x:f>
        <x:v>1.1116627390283818</x:v>
      </x:c>
      <x:c r="E4" s="83" t="n">
        <x:f>IF(D4="","",D4-1)</x:f>
        <x:v>0.11166273902838175</x:v>
      </x:c>
      <x:c r="F4" s="81" t="str">
        <x:f>IF(D4="","",IF(D4&gt;1.1,"сезонный максимум",IF(D4&lt;0.9,"сезонный минимум","средний сезонный уровень")))</x:f>
        <x:v>сезонный максимум</x:v>
      </x:c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>
      <x:c r="A5" s="81" t="n">
        <x:v>2</x:v>
      </x:c>
      <x:c r="B5" s="81" t="str">
        <x:v>февраль</x:v>
      </x:c>
      <x:c r="C5" s="83" t="n">
        <x:f>IFERROR(SUMIFS('Расчет'!$I$5:$I$64,'Расчет'!$B$5:$B$64,A5)/COUNTIFS('Расчет'!$B$5:$B$64,A5,'Расчет'!$I$5:$I$64,"&gt;0"),"")</x:f>
        <x:v>1.1117799099724963</x:v>
      </x:c>
      <x:c r="D5" s="83" t="n">
        <x:f>IF(C5="","",C5/AVERAGE($C$4:$C$15))</x:f>
        <x:v>1.0519426522812614</x:v>
      </x:c>
      <x:c r="E5" s="83" t="n">
        <x:f>IF(D5="","",D5-1)</x:f>
        <x:v>0.05194265228126138</x:v>
      </x:c>
      <x:c r="F5" s="81" t="str">
        <x:f>IF(D5="","",IF(D5&gt;1.1,"сезонный максимум",IF(D5&lt;0.9,"сезонный минимум","средний сезонный уровень")))</x:f>
        <x:v>средний сезонный уровень</x:v>
      </x:c>
      <x:c r="G5" s="79"/>
      <x:c r="H5" s="79"/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>
      <x:c r="A6" s="81" t="n">
        <x:v>3</x:v>
      </x:c>
      <x:c r="B6" s="81" t="str">
        <x:v>март</x:v>
      </x:c>
      <x:c r="C6" s="83" t="n">
        <x:f>IFERROR(SUMIFS('Расчет'!$I$5:$I$64,'Расчет'!$B$5:$B$64,A6)/COUNTIFS('Расчет'!$B$5:$B$64,A6,'Расчет'!$I$5:$I$64,"&gt;0"),"")</x:f>
        <x:v>1.1203525765696787</x:v>
      </x:c>
      <x:c r="D6" s="83" t="n">
        <x:f>IF(C6="","",C6/AVERAGE($C$4:$C$15))</x:f>
        <x:v>1.0600539282239847</x:v>
      </x:c>
      <x:c r="E6" s="83" t="n">
        <x:f>IF(D6="","",D6-1)</x:f>
        <x:v>0.0600539282239847</x:v>
      </x:c>
      <x:c r="F6" s="81" t="str">
        <x:f>IF(D6="","",IF(D6&gt;1.1,"сезонный максимум",IF(D6&lt;0.9,"сезонный минимум","средний сезонный уровень")))</x:f>
        <x:v>средний сезонный уровень</x:v>
      </x:c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>
      <x:c r="A7" s="81" t="n">
        <x:v>4</x:v>
      </x:c>
      <x:c r="B7" s="81" t="str">
        <x:v>апрель</x:v>
      </x:c>
      <x:c r="C7" s="83" t="n">
        <x:f>IFERROR(SUMIFS('Расчет'!$I$5:$I$64,'Расчет'!$B$5:$B$64,A7)/COUNTIFS('Расчет'!$B$5:$B$64,A7,'Расчет'!$I$5:$I$64,"&gt;0"),"")</x:f>
        <x:v>1.0875456381260917</x:v>
      </x:c>
      <x:c r="D7" s="83" t="n">
        <x:f>IF(C7="","",C7/AVERAGE($C$4:$C$15))</x:f>
        <x:v>1.0290126964747721</x:v>
      </x:c>
      <x:c r="E7" s="83" t="n">
        <x:f>IF(D7="","",D7-1)</x:f>
        <x:v>0.029012696474772115</x:v>
      </x:c>
      <x:c r="F7" s="81" t="str">
        <x:f>IF(D7="","",IF(D7&gt;1.1,"сезонный максимум",IF(D7&lt;0.9,"сезонный минимум","средний сезонный уровень")))</x:f>
        <x:v>средний сезонный уровень</x:v>
      </x:c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>
      <x:c r="A8" s="81" t="n">
        <x:v>5</x:v>
      </x:c>
      <x:c r="B8" s="81" t="str">
        <x:v>май</x:v>
      </x:c>
      <x:c r="C8" s="83" t="n">
        <x:f>IFERROR(SUMIFS('Расчет'!$I$5:$I$64,'Расчет'!$B$5:$B$64,A8)/COUNTIFS('Расчет'!$B$5:$B$64,A8,'Расчет'!$I$5:$I$64,"&gt;0"),"")</x:f>
        <x:v>1.0059226257859153</x:v>
      </x:c>
      <x:c r="D8" s="83" t="n">
        <x:f>IF(C8="","",C8/AVERAGE($C$4:$C$15))</x:f>
        <x:v>0.9517827273791483</x:v>
      </x:c>
      <x:c r="E8" s="83" t="n">
        <x:f>IF(D8="","",D8-1)</x:f>
        <x:v>-0.04821727262085174</x:v>
      </x:c>
      <x:c r="F8" s="81" t="str">
        <x:f>IF(D8="","",IF(D8&gt;1.1,"сезонный максимум",IF(D8&lt;0.9,"сезонный минимум","средний сезонный уровень")))</x:f>
        <x:v>средний сезонный уровень</x:v>
      </x:c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>
      <x:c r="A9" s="81" t="n">
        <x:v>6</x:v>
      </x:c>
      <x:c r="B9" s="81" t="str">
        <x:v>июнь</x:v>
      </x:c>
      <x:c r="C9" s="83" t="n">
        <x:f>IFERROR(SUMIFS('Расчет'!$I$5:$I$64,'Расчет'!$B$5:$B$64,A9)/COUNTIFS('Расчет'!$B$5:$B$64,A9,'Расчет'!$I$5:$I$64,"&gt;0"),"")</x:f>
        <x:v>0.8790697655953825</x:v>
      </x:c>
      <x:c r="D9" s="83" t="n">
        <x:f>IF(C9="","",C9/AVERAGE($C$4:$C$15))</x:f>
        <x:v>0.8317572322237319</x:v>
      </x:c>
      <x:c r="E9" s="83" t="n">
        <x:f>IF(D9="","",D9-1)</x:f>
        <x:v>-0.16824276777626812</x:v>
      </x:c>
      <x:c r="F9" s="81" t="str">
        <x:f>IF(D9="","",IF(D9&gt;1.1,"сезонный максимум",IF(D9&lt;0.9,"сезонный минимум","средний сезонный уровень")))</x:f>
        <x:v>сезонный минимум</x:v>
      </x:c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>
      <x:c r="A10" s="81" t="n">
        <x:v>7</x:v>
      </x:c>
      <x:c r="B10" s="81" t="str">
        <x:v>июль</x:v>
      </x:c>
      <x:c r="C10" s="83" t="n">
        <x:f>IFERROR(SUMIFS('Расчет'!$I$5:$I$64,'Расчет'!$B$5:$B$64,A10)/COUNTIFS('Расчет'!$B$5:$B$64,A10,'Расчет'!$I$5:$I$64,"&gt;0"),"")</x:f>
        <x:v>0.795547181016828</x:v>
      </x:c>
      <x:c r="D10" s="83" t="n">
        <x:f>IF(C10="","",C10/AVERAGE($C$4:$C$15))</x:f>
        <x:v>0.7527299280254359</x:v>
      </x:c>
      <x:c r="E10" s="83" t="n">
        <x:f>IF(D10="","",D10-1)</x:f>
        <x:v>-0.24727007197456408</x:v>
      </x:c>
      <x:c r="F10" s="81" t="str">
        <x:f>IF(D10="","",IF(D10&gt;1.1,"сезонный максимум",IF(D10&lt;0.9,"сезонный минимум","средний сезонный уровень")))</x:f>
        <x:v>сезонный минимум</x:v>
      </x:c>
      <x:c r="G10" s="79"/>
      <x:c r="H10" s="79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>
      <x:c r="A11" s="81" t="n">
        <x:v>8</x:v>
      </x:c>
      <x:c r="B11" s="81" t="str">
        <x:v>август</x:v>
      </x:c>
      <x:c r="C11" s="83" t="n">
        <x:f>IFERROR(SUMIFS('Расчет'!$I$5:$I$64,'Расчет'!$B$5:$B$64,A11)/COUNTIFS('Расчет'!$B$5:$B$64,A11,'Расчет'!$I$5:$I$64,"&gt;0"),"")</x:f>
        <x:v>0.9137305248845329</x:v>
      </x:c>
      <x:c r="D11" s="83" t="n">
        <x:f>IF(C11="","",C11/AVERAGE($C$4:$C$15))</x:f>
        <x:v>0.864552510074735</x:v>
      </x:c>
      <x:c r="E11" s="83" t="n">
        <x:f>IF(D11="","",D11-1)</x:f>
        <x:v>-0.135447489925265</x:v>
      </x:c>
      <x:c r="F11" s="81" t="str">
        <x:f>IF(D11="","",IF(D11&gt;1.1,"сезонный максимум",IF(D11&lt;0.9,"сезонный минимум","средний сезонный уровень")))</x:f>
        <x:v>сезонный минимум</x:v>
      </x:c>
      <x:c r="G11" s="79"/>
      <x:c r="H11" s="79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>
      <x:c r="A12" s="81" t="n">
        <x:v>9</x:v>
      </x:c>
      <x:c r="B12" s="81" t="str">
        <x:v>сентябрь</x:v>
      </x:c>
      <x:c r="C12" s="83" t="n">
        <x:f>IFERROR(SUMIFS('Расчет'!$I$5:$I$64,'Расчет'!$B$5:$B$64,A12)/COUNTIFS('Расчет'!$B$5:$B$64,A12,'Расчет'!$I$5:$I$64,"&gt;0"),"")</x:f>
        <x:v>1.1592126383465584</x:v>
      </x:c>
      <x:c r="D12" s="83" t="n">
        <x:f>IF(C12="","",C12/AVERAGE($C$4:$C$15))</x:f>
        <x:v>1.0968224973325915</x:v>
      </x:c>
      <x:c r="E12" s="83" t="n">
        <x:f>IF(D12="","",D12-1)</x:f>
        <x:v>0.09682249733259152</x:v>
      </x:c>
      <x:c r="F12" s="81" t="str">
        <x:f>IF(D12="","",IF(D12&gt;1.1,"сезонный максимум",IF(D12&lt;0.9,"сезонный минимум","средний сезонный уровень")))</x:f>
        <x:v>средний сезонный уровень</x:v>
      </x:c>
      <x:c r="G12" s="79"/>
      <x:c r="H12" s="79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>
      <x:c r="A13" s="81" t="n">
        <x:v>10</x:v>
      </x:c>
      <x:c r="B13" s="81" t="str">
        <x:v>октябрь</x:v>
      </x:c>
      <x:c r="C13" s="83" t="n">
        <x:f>IFERROR(SUMIFS('Расчет'!$I$5:$I$64,'Расчет'!$B$5:$B$64,A13)/COUNTIFS('Расчет'!$B$5:$B$64,A13,'Расчет'!$I$5:$I$64,"&gt;0"),"")</x:f>
        <x:v>1.2062602878556483</x:v>
      </x:c>
      <x:c r="D13" s="83" t="n">
        <x:f>IF(C13="","",C13/AVERAGE($C$4:$C$15))</x:f>
        <x:v>1.1413379889008963</x:v>
      </x:c>
      <x:c r="E13" s="83" t="n">
        <x:f>IF(D13="","",D13-1)</x:f>
        <x:v>0.14133798890089633</x:v>
      </x:c>
      <x:c r="F13" s="81" t="str">
        <x:f>IF(D13="","",IF(D13&gt;1.1,"сезонный максимум",IF(D13&lt;0.9,"сезонный минимум","средний сезонный уровень")))</x:f>
        <x:v>сезонный максимум</x:v>
      </x:c>
      <x:c r="G13" s="79"/>
      <x:c r="H13" s="79"/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>
      <x:c r="A14" s="81" t="n">
        <x:v>11</x:v>
      </x:c>
      <x:c r="B14" s="81" t="str">
        <x:v>ноябрь</x:v>
      </x:c>
      <x:c r="C14" s="83" t="n">
        <x:f>IFERROR(SUMIFS('Расчет'!$I$5:$I$64,'Расчет'!$B$5:$B$64,A14)/COUNTIFS('Расчет'!$B$5:$B$64,A14,'Расчет'!$I$5:$I$64,"&gt;0"),"")</x:f>
        <x:v>1.225033232647165</x:v>
      </x:c>
      <x:c r="D14" s="83" t="n">
        <x:f>IF(C14="","",C14/AVERAGE($C$4:$C$15))</x:f>
        <x:v>1.159100552478436</x:v>
      </x:c>
      <x:c r="E14" s="83" t="n">
        <x:f>IF(D14="","",D14-1)</x:f>
        <x:v>0.1591005524784359</x:v>
      </x:c>
      <x:c r="F14" s="81" t="str">
        <x:f>IF(D14="","",IF(D14&gt;1.1,"сезонный максимум",IF(D14&lt;0.9,"сезонный минимум","средний сезонный уровень")))</x:f>
        <x:v>сезонный максимум</x:v>
      </x:c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>
      <x:c r="A15" s="81" t="n">
        <x:v>12</x:v>
      </x:c>
      <x:c r="B15" s="81" t="str">
        <x:v>декабрь</x:v>
      </x:c>
      <x:c r="C15" s="83" t="n">
        <x:f>IFERROR(SUMIFS('Расчет'!$I$5:$I$64,'Расчет'!$B$5:$B$64,A15)/COUNTIFS('Расчет'!$B$5:$B$64,A15,'Расчет'!$I$5:$I$64,"&gt;0"),"")</x:f>
        <x:v>1.0032400676576532</x:v>
      </x:c>
      <x:c r="D15" s="83" t="n">
        <x:f>IF(C15="","",C15/AVERAGE($C$4:$C$15))</x:f>
        <x:v>0.9492445475766256</x:v>
      </x:c>
      <x:c r="E15" s="83" t="n">
        <x:f>IF(D15="","",D15-1)</x:f>
        <x:v>-0.050755452423374425</x:v>
      </x:c>
      <x:c r="F15" s="81" t="str">
        <x:f>IF(D15="","",IF(D15&gt;1.1,"сезонный максимум",IF(D15&lt;0.9,"сезонный минимум","средний сезонный уровень")))</x:f>
        <x:v>средний сезонный уровень</x:v>
      </x:c>
      <x:c r="G15" s="79"/>
      <x:c r="H15" s="79"/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>
      <x:c r="A16" s="81"/>
      <x:c r="B16" s="81"/>
      <x:c r="C16" s="81"/>
      <x:c r="D16" s="81"/>
      <x:c r="E16" s="81"/>
      <x:c r="F16" s="81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>
      <x:c r="A17" s="81"/>
      <x:c r="B17" s="81"/>
      <x:c r="C17" s="81"/>
      <x:c r="D17" s="81"/>
      <x:c r="E17" s="81"/>
      <x:c r="F17" s="81"/>
      <x:c r="G17" s="79"/>
      <x:c r="H17" s="79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>
      <x:c r="A18" s="80" t="str">
        <x:v>Показатель</x:v>
      </x:c>
      <x:c r="B18" s="80" t="str">
        <x:v>Значение</x:v>
      </x:c>
      <x:c r="C18" s="81"/>
      <x:c r="D18" s="81"/>
      <x:c r="E18" s="81"/>
      <x:c r="F18" s="81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>
      <x:c r="A19" s="81" t="str">
        <x:v>Максимальный сезонный индекс</x:v>
      </x:c>
      <x:c r="B19" s="83" t="n">
        <x:f>MAX($D$4:$D$15)</x:f>
        <x:v>1.159100552478436</x:v>
      </x:c>
      <x:c r="C19" s="81"/>
      <x:c r="D19" s="81"/>
      <x:c r="E19" s="81"/>
      <x:c r="F19" s="81"/>
      <x:c r="G19" s="79"/>
      <x:c r="H19" s="79"/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>
      <x:c r="A20" s="81" t="str">
        <x:v>Минимальный сезонный индекс</x:v>
      </x:c>
      <x:c r="B20" s="83" t="n">
        <x:f>MIN($D$4:$D$15)</x:f>
        <x:v>0.7527299280254359</x:v>
      </x:c>
      <x:c r="C20" s="81"/>
      <x:c r="D20" s="81"/>
      <x:c r="E20" s="81"/>
      <x:c r="F20" s="81"/>
      <x:c r="G20" s="79"/>
      <x:c r="H20" s="79"/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>
      <x:c r="A21" s="81" t="str">
        <x:v>Амплитуда сезонности</x:v>
      </x:c>
      <x:c r="B21" s="83" t="n">
        <x:f>B19-B20</x:f>
        <x:v>0.406370624453</x:v>
      </x:c>
      <x:c r="C21" s="81"/>
      <x:c r="D21" s="81"/>
      <x:c r="E21" s="81"/>
      <x:c r="F21" s="81"/>
      <x:c r="G21" s="79"/>
      <x:c r="H21" s="79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>
      <x:c r="A22" s="81" t="str">
        <x:v>Оценка силы сезонности</x:v>
      </x:c>
      <x:c r="B22" s="81" t="str">
        <x:f>IF(B21&gt;='Настройки'!$B$7,"выраженная сезонность",IF(B21&gt;='Настройки'!$B$8,"умеренная сезонность","слабая сезонность"))</x:f>
        <x:v>выраженная сезонность</x:v>
      </x:c>
      <x:c r="C22" s="81"/>
      <x:c r="D22" s="81"/>
      <x:c r="E22" s="81"/>
      <x:c r="F22" s="81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>
      <x:c r="A23" s="81" t="str">
        <x:v>Месяц максимума</x:v>
      </x:c>
      <x:c r="B23" s="81" t="str">
        <x:f>IFERROR(INDEX($B$4:$B$15,MATCH(B19,$D$4:$D$15,0)),"")</x:f>
        <x:v>ноябрь</x:v>
      </x:c>
      <x:c r="C23" s="81"/>
      <x:c r="D23" s="81"/>
      <x:c r="E23" s="81"/>
      <x:c r="F23" s="81"/>
      <x:c r="G23" s="79"/>
      <x:c r="H23" s="79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>
      <x:c r="A24" s="81" t="str">
        <x:v>Месяц минимума</x:v>
      </x:c>
      <x:c r="B24" s="81" t="str">
        <x:f>IFERROR(INDEX($B$4:$B$15,MATCH(B20,$D$4:$D$15,0)),"")</x:f>
        <x:v>июль</x:v>
      </x:c>
      <x:c r="C24" s="81"/>
      <x:c r="D24" s="81"/>
      <x:c r="E24" s="81"/>
      <x:c r="F24" s="81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79"/>
      <x:c r="B61" s="79"/>
      <x:c r="C61" s="79"/>
      <x:c r="D61" s="79"/>
      <x:c r="E61" s="79"/>
      <x:c r="F61" s="79"/>
      <x:c r="G61" s="79"/>
      <x:c r="H61" s="79"/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79"/>
      <x:c r="B63" s="79"/>
      <x:c r="C63" s="79"/>
      <x:c r="D63" s="79"/>
      <x:c r="E63" s="79"/>
      <x:c r="F63" s="79"/>
      <x:c r="G63" s="79"/>
      <x:c r="H63" s="79"/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79"/>
      <x:c r="B64" s="79"/>
      <x:c r="C64" s="79"/>
      <x:c r="D64" s="79"/>
      <x:c r="E64" s="79"/>
      <x:c r="F64" s="79"/>
      <x:c r="G64" s="79"/>
      <x:c r="H64" s="79"/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5fcff9cd58a4e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46" hidden="0" customWidth="1"/>
    <x:col min="4" max="4" width="48" hidden="0" customWidth="1"/>
  </x:cols>
  <x:sheetData>
    <x:row r="1" ht="28" customHeight="1">
      <x:c r="A1" s="111" t="str">
        <x:v>Оценка устойчивой динамики интереса</x:v>
      </x:c>
      <x:c r="B1" s="111"/>
      <x:c r="C1" s="111"/>
      <x:c r="D1" s="111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>
      <x:c r="A3" s="80" t="str">
        <x:v>Показатель</x:v>
      </x:c>
      <x:c r="B3" s="80" t="str">
        <x:v>Формула / значение</x:v>
      </x:c>
      <x:c r="C3" s="80" t="str">
        <x:v>Интерпретация</x:v>
      </x:c>
      <x:c r="D3" s="80" t="str">
        <x:v>Комментарий</x:v>
      </x:c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>
      <x:c r="A4" s="81" t="str">
        <x:v>Количество наблюдений</x:v>
      </x:c>
      <x:c r="B4" s="81" t="n">
        <x:f>COUNT('Расчет'!$G$5:$G$64)</x:f>
        <x:v>36</x:v>
      </x:c>
      <x:c r="C4" s="81" t="str">
        <x:v>минимально желательно не менее 24 месяцев</x:v>
      </x:c>
      <x:c r="D4" s="81" t="str">
        <x:v>чем длиннее ряд, тем надежнее оценка</x:v>
      </x:c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>
      <x:c r="A5" s="81" t="str">
        <x:v>Средний индекс за первые 12 месяцев</x:v>
      </x:c>
      <x:c r="B5" s="83" t="n">
        <x:f>IF(B4&lt;12,"",SUMIFS('Расчет'!$G$5:$G$64,'Расчет'!$N$5:$N$64,"&gt;=1",'Расчет'!$N$5:$N$64,"&lt;=12")/COUNTIFS('Расчет'!$N$5:$N$64,"&gt;=1",'Расчет'!$N$5:$N$64,"&lt;=12"))</x:f>
        <x:v>54.16874110953058</x:v>
      </x:c>
      <x:c r="C5" s="81" t="str">
        <x:v>исходный уровень интереса</x:v>
      </x:c>
      <x:c r="D5" s="81" t="str">
        <x:v>используется для сравнения с последним годом</x:v>
      </x:c>
      <x:c r="E5" s="79"/>
      <x:c r="F5" s="79"/>
      <x:c r="G5" s="79"/>
      <x:c r="H5" s="79"/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>
      <x:c r="A6" s="81" t="str">
        <x:v>Средний индекс за последние 12 месяцев</x:v>
      </x:c>
      <x:c r="B6" s="83" t="n">
        <x:f>IF(B4&lt;12,"",SUMIFS('Расчет'!$G$5:$G$64,'Расчет'!$N$5:$N$64,"&gt;="&amp;B4-11,'Расчет'!$N$5:$N$64,"&lt;="&amp;B4)/COUNTIFS('Расчет'!$N$5:$N$64,"&gt;="&amp;B4-11,'Расчет'!$N$5:$N$64,"&lt;="&amp;B4))</x:f>
        <x:v>68.73950924608819</x:v>
      </x:c>
      <x:c r="C6" s="81" t="str">
        <x:v>текущий уровень интереса</x:v>
      </x:c>
      <x:c r="D6" s="81" t="str">
        <x:v>сравнивается с первым годом</x:v>
      </x:c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>
      <x:c r="A7" s="81" t="str">
        <x:v>Абсолютное изменение</x:v>
      </x:c>
      <x:c r="B7" s="83" t="n">
        <x:f>IF(OR(B5="",B6=""),"",B6-B5)</x:f>
        <x:v>14.57076813655761</x:v>
      </x:c>
      <x:c r="C7" s="81" t="str">
        <x:v>последние 12 месяцев минус первые 12 месяцев</x:v>
      </x:c>
      <x:c r="D7" s="81" t="str">
        <x:v>положительное значение означает рост</x:v>
      </x:c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>
      <x:c r="A8" s="81" t="str">
        <x:v>Относительное изменение</x:v>
      </x:c>
      <x:c r="B8" s="82" t="n">
        <x:f>IF(OR(B5="",B6=""),"",B7/B5)</x:f>
        <x:v>0.2689884948054293</x:v>
      </x:c>
      <x:c r="C8" s="81" t="str">
        <x:v>темп изменения среднего уровня</x:v>
      </x:c>
      <x:c r="D8" s="81" t="str">
        <x:v>ключевой показатель тренда</x:v>
      </x:c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>
      <x:c r="A9" s="81" t="str">
        <x:v>Наклон линейного тренда</x:v>
      </x:c>
      <x:c r="B9" s="83" t="n">
        <x:f>IFERROR(SLOPE('Расчет'!$G$5:$G$64,'Расчет'!$N$5:$N$64),"")</x:f>
        <x:v>0.6012109345679758</x:v>
      </x:c>
      <x:c r="C9" s="81" t="str">
        <x:v>среднее изменение за месяц</x:v>
      </x:c>
      <x:c r="D9" s="81" t="str">
        <x:v>дополнительная оценка направления</x:v>
      </x:c>
      <x:c r="E9" s="79"/>
      <x:c r="F9" s="79"/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>
      <x:c r="A10" s="81" t="str">
        <x:v>Классификация тренда</x:v>
      </x:c>
      <x:c r="B10" s="81" t="str">
        <x:f>IF(B8="","",IF(B8&gt;='Настройки'!$B$10,"растущий тренд",IF(B8&lt;='Настройки'!$B$9,"снижающийся тренд","стабильный тренд")))</x:f>
        <x:v>растущий тренд</x:v>
      </x:c>
      <x:c r="C10" s="81" t="str">
        <x:v>растущий / стабильный / снижающийся</x:v>
      </x:c>
      <x:c r="D10" s="81" t="str">
        <x:v>по порогам на листе «Настройки»</x:v>
      </x:c>
      <x:c r="E10" s="79"/>
      <x:c r="F10" s="79"/>
      <x:c r="G10" s="79"/>
      <x:c r="H10" s="79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>
      <x:c r="A11" s="81" t="str">
        <x:v>Управленческий вывод</x:v>
      </x:c>
      <x:c r="B11" s="81" t="str">
        <x: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x:f>
        <x:v>Интерес аудитории растет; бизнес-идея может быть дополнительно проверена на платежеспособный спрос.</x:v>
      </x:c>
      <x:c r="C11" s="81" t="str">
        <x:v>готовая формулировка для отчета</x:v>
      </x:c>
      <x:c r="D11" s="81" t="str">
        <x:v>используется в обосновании бизнес-идеи</x:v>
      </x:c>
      <x:c r="E11" s="79"/>
      <x:c r="F11" s="79"/>
      <x:c r="G11" s="79"/>
      <x:c r="H11" s="79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>
      <x:c r="A12" s="79"/>
      <x:c r="B12" s="79"/>
      <x:c r="C12" s="79"/>
      <x:c r="D12" s="79"/>
      <x:c r="E12" s="79"/>
      <x:c r="F12" s="79"/>
      <x:c r="G12" s="79"/>
      <x:c r="H12" s="79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>
      <x:c r="A13" s="79"/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>
      <x:c r="A14" s="79"/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>
      <x:c r="A15" s="79"/>
      <x:c r="B15" s="79"/>
      <x:c r="C15" s="79"/>
      <x:c r="D15" s="79"/>
      <x:c r="E15" s="79"/>
      <x:c r="F15" s="79"/>
      <x:c r="G15" s="79"/>
      <x:c r="H15" s="79"/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>
      <x:c r="A16" s="79"/>
      <x:c r="B16" s="79"/>
      <x:c r="C16" s="79"/>
      <x:c r="D16" s="79"/>
      <x:c r="E16" s="79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>
      <x:c r="A17" s="79"/>
      <x:c r="B17" s="79"/>
      <x:c r="C17" s="79"/>
      <x:c r="D17" s="79"/>
      <x:c r="E17" s="79"/>
      <x:c r="F17" s="79"/>
      <x:c r="G17" s="79"/>
      <x:c r="H17" s="79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>
      <x:c r="A19" s="79"/>
      <x:c r="B19" s="79"/>
      <x:c r="C19" s="79"/>
      <x:c r="D19" s="79"/>
      <x:c r="E19" s="79"/>
      <x:c r="F19" s="79"/>
      <x:c r="G19" s="79"/>
      <x:c r="H19" s="79"/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>
      <x:c r="A20" s="79"/>
      <x:c r="B20" s="79"/>
      <x:c r="C20" s="79"/>
      <x:c r="D20" s="79"/>
      <x:c r="E20" s="79"/>
      <x:c r="F20" s="79"/>
      <x:c r="G20" s="79"/>
      <x:c r="H20" s="79"/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79"/>
      <x:c r="B61" s="79"/>
      <x:c r="C61" s="79"/>
      <x:c r="D61" s="79"/>
      <x:c r="E61" s="79"/>
      <x:c r="F61" s="79"/>
      <x:c r="G61" s="79"/>
      <x:c r="H61" s="79"/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79"/>
      <x:c r="B63" s="79"/>
      <x:c r="C63" s="79"/>
      <x:c r="D63" s="79"/>
      <x:c r="E63" s="79"/>
      <x:c r="F63" s="79"/>
      <x:c r="G63" s="79"/>
      <x:c r="H63" s="79"/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79"/>
      <x:c r="B64" s="79"/>
      <x:c r="C64" s="79"/>
      <x:c r="D64" s="79"/>
      <x:c r="E64" s="79"/>
      <x:c r="F64" s="79"/>
      <x:c r="G64" s="79"/>
      <x:c r="H64" s="79"/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b1de99ba964426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6" hidden="0" customWidth="1"/>
    <x:col min="5" max="5" width="22" hidden="0" customWidth="1"/>
    <x:col min="6" max="6" width="18" hidden="0" customWidth="1"/>
    <x:col min="7" max="7" width="16" hidden="0" customWidth="1"/>
    <x:col min="8" max="8" width="42" hidden="0" customWidth="1"/>
  </x:cols>
  <x:sheetData>
    <x:row r="1" ht="28" customHeight="1">
      <x:c r="A1" s="111" t="str">
        <x:v>Оценка циклических отклонений и фаз спроса</x:v>
      </x:c>
      <x:c r="B1" s="111"/>
      <x:c r="C1" s="111"/>
      <x:c r="D1" s="111"/>
      <x:c r="E1" s="111"/>
      <x:c r="F1" s="111"/>
      <x:c r="G1" s="111"/>
      <x:c r="H1" s="111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>
      <x:c r="A2" s="64" t="str">
        <x:v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x:v>
      </x:c>
      <x:c r="B2" s="64"/>
      <x:c r="C2" s="64"/>
      <x:c r="D2" s="64"/>
      <x:c r="E2" s="64"/>
      <x:c r="F2" s="64"/>
      <x:c r="G2" s="64"/>
      <x:c r="H2" s="64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>
      <x:c r="A4" s="80" t="str">
        <x:v>Показатель</x:v>
      </x:c>
      <x:c r="B4" s="80" t="str">
        <x:v>Значение</x:v>
      </x:c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>
      <x:c r="A5" s="79" t="str">
        <x:v>Последний период</x:v>
      </x:c>
      <x:c r="B5" s="102" t="n">
        <x:f>IFERROR(INDEX('Расчет'!$A$5:$A$64,'Оценка_тренда'!$B$4),"")</x:f>
        <x:v>45992</x:v>
      </x:c>
      <x:c r="C5" s="79"/>
      <x:c r="D5" s="79"/>
      <x:c r="E5" s="79"/>
      <x:c r="F5" s="79"/>
      <x:c r="G5" s="79"/>
      <x:c r="H5" s="79"/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>
      <x:c r="A6" s="79" t="str">
        <x:v>Текущий циклический коэффициент</x:v>
      </x:c>
      <x:c r="B6" s="103" t="n">
        <x:f>IFERROR(INDEX('Расчет'!$K$5:$K$64,'Оценка_тренда'!$B$4),"")</x:f>
        <x:v>1.0788583494840835</x:v>
      </x:c>
      <x:c r="C6" s="79"/>
      <x:c r="D6" s="79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>
      <x:c r="A7" s="79" t="str">
        <x:v>Текущая фаза</x:v>
      </x:c>
      <x:c r="B7" s="103" t="str">
        <x:f>IFERROR(INDEX('Расчет'!$L$5:$L$64,'Оценка_тренда'!$B$4),"")</x:f>
        <x:v>норма</x:v>
      </x:c>
      <x:c r="C7" s="79"/>
      <x:c r="D7" s="79"/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>
      <x:c r="A8" s="79" t="str">
        <x:v>Минимальный коэффициент</x:v>
      </x:c>
      <x:c r="B8" s="103" t="n">
        <x:f>MIN('Расчет'!$K$5:$K$64)</x:f>
        <x:v>0.9971016603058882</x:v>
      </x:c>
      <x:c r="C8" s="79"/>
      <x:c r="D8" s="79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>
      <x:c r="A9" s="79" t="str">
        <x:v>Максимальный коэффициент</x:v>
      </x:c>
      <x:c r="B9" s="103" t="n">
        <x:f>MAX('Расчет'!$K$5:$K$64)</x:f>
        <x:v>1.1166635864239995</x:v>
      </x:c>
      <x:c r="C9" s="79"/>
      <x:c r="D9" s="79"/>
      <x:c r="E9" s="79"/>
      <x:c r="F9" s="79"/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>
      <x:c r="A10" s="79" t="str">
        <x:v>Амплитуда циклических колебаний</x:v>
      </x:c>
      <x:c r="B10" s="103" t="n">
        <x:f>B9-B8</x:f>
        <x:v>0.11956192611811134</x:v>
      </x:c>
      <x:c r="C10" s="79"/>
      <x:c r="D10" s="79"/>
      <x:c r="E10" s="79"/>
      <x:c r="F10" s="79"/>
      <x:c r="G10" s="79"/>
      <x:c r="H10" s="79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>
      <x:c r="A11" s="79"/>
      <x:c r="B11" s="79"/>
      <x:c r="C11" s="79"/>
      <x:c r="D11" s="79"/>
      <x:c r="E11" s="79"/>
      <x:c r="F11" s="79"/>
      <x:c r="G11" s="79"/>
      <x:c r="H11" s="79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>
      <x:c r="A12" s="79"/>
      <x:c r="B12" s="79"/>
      <x:c r="C12" s="79"/>
      <x:c r="D12" s="79"/>
      <x:c r="E12" s="79"/>
      <x:c r="F12" s="79"/>
      <x:c r="G12" s="79"/>
      <x:c r="H12" s="79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>
      <x:c r="A13" s="80" t="str">
        <x:v>Период</x:v>
      </x:c>
      <x:c r="B13" s="80" t="str">
        <x:v>Сводный индекс</x:v>
      </x:c>
      <x:c r="C13" s="80" t="str">
        <x:v>Тренд</x:v>
      </x:c>
      <x:c r="D13" s="80" t="str">
        <x:v>Сезонный индекс</x:v>
      </x:c>
      <x:c r="E13" s="80" t="str">
        <x:v>Сезонно очищенный индекс</x:v>
      </x:c>
      <x:c r="F13" s="80" t="str">
        <x:v>Циклический коэффициент</x:v>
      </x:c>
      <x:c r="G13" s="80" t="str">
        <x:v>Фаза</x:v>
      </x:c>
      <x:c r="H13" s="80" t="str">
        <x:v>Практическое значение</x:v>
      </x:c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>
      <x:c r="A14" s="94" t="n">
        <x:f>'Расчет'!A5</x:f>
        <x:v>44927</x:v>
      </x:c>
      <x:c r="B14" s="83" t="n">
        <x:f>'Расчет'!G5</x:f>
        <x:v>57.64153627311522</x:v>
      </x:c>
      <x:c r="C14" s="83" t="str">
        <x:f>'Расчет'!H5</x:f>
      </x:c>
      <x:c r="D14" s="83" t="n">
        <x:f>IFERROR(VLOOKUP('Расчет'!B5,'Сезонность'!$A$4:$D$15,4,FALSE),"")</x:f>
        <x:v>1.1116627390283818</x:v>
      </x:c>
      <x:c r="E14" s="83" t="n">
        <x:f>'Расчет'!J5</x:f>
        <x:v>51.85164011478447</x:v>
      </x:c>
      <x:c r="F14" s="83" t="str">
        <x:f>'Расчет'!K5</x:f>
      </x:c>
      <x:c r="G14" s="81" t="str">
        <x:f>'Расчет'!L5</x:f>
      </x:c>
      <x:c r="H14" s="81" t="str">
        <x: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x:f>
      </x:c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>
      <x:c r="A15" s="94" t="n">
        <x:f>'Расчет'!A6</x:f>
        <x:v>44958</x:v>
      </x:c>
      <x:c r="B15" s="83" t="n">
        <x:f>'Расчет'!G6</x:f>
        <x:v>59.672830725462305</x:v>
      </x:c>
      <x:c r="C15" s="83" t="str">
        <x:f>'Расчет'!H6</x:f>
      </x:c>
      <x:c r="D15" s="83" t="n">
        <x:f>IFERROR(VLOOKUP('Расчет'!B6,'Сезонность'!$A$4:$D$15,4,FALSE),"")</x:f>
        <x:v>1.0519426522812614</x:v>
      </x:c>
      <x:c r="E15" s="83" t="n">
        <x:f>'Расчет'!J6</x:f>
        <x:v>56.726315447001554</x:v>
      </x:c>
      <x:c r="F15" s="83" t="str">
        <x:f>'Расчет'!K6</x:f>
      </x:c>
      <x:c r="G15" s="81" t="str">
        <x:f>'Расчет'!L6</x:f>
      </x:c>
      <x:c r="H15" s="81" t="str">
        <x: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x:f>
      </x:c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>
      <x:c r="A16" s="94" t="n">
        <x:f>'Расчет'!A7</x:f>
        <x:v>44986</x:v>
      </x:c>
      <x:c r="B16" s="83" t="n">
        <x:f>'Расчет'!G7</x:f>
        <x:v>54.6145092460882</x:v>
      </x:c>
      <x:c r="C16" s="83" t="str">
        <x:f>'Расчет'!H7</x:f>
      </x:c>
      <x:c r="D16" s="83" t="n">
        <x:f>IFERROR(VLOOKUP('Расчет'!B7,'Сезонность'!$A$4:$D$15,4,FALSE),"")</x:f>
        <x:v>1.0600539282239847</x:v>
      </x:c>
      <x:c r="E16" s="83" t="n">
        <x:f>'Расчет'!J7</x:f>
        <x:v>51.520500789605485</x:v>
      </x:c>
      <x:c r="F16" s="83" t="str">
        <x:f>'Расчет'!K7</x:f>
      </x:c>
      <x:c r="G16" s="81" t="str">
        <x:f>'Расчет'!L7</x:f>
      </x:c>
      <x:c r="H16" s="81" t="str">
        <x: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x:f>
      </x:c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>
      <x:c r="A17" s="94" t="n">
        <x:f>'Расчет'!A8</x:f>
        <x:v>45017</x:v>
      </x:c>
      <x:c r="B17" s="83" t="n">
        <x:f>'Расчет'!G8</x:f>
        <x:v>47.98719772403983</x:v>
      </x:c>
      <x:c r="C17" s="83" t="str">
        <x:f>'Расчет'!H8</x:f>
      </x:c>
      <x:c r="D17" s="83" t="n">
        <x:f>IFERROR(VLOOKUP('Расчет'!B8,'Сезонность'!$A$4:$D$15,4,FALSE),"")</x:f>
        <x:v>1.0290126964747721</x:v>
      </x:c>
      <x:c r="E17" s="83" t="n">
        <x:f>'Расчет'!J8</x:f>
        <x:v>46.63421344404793</x:v>
      </x:c>
      <x:c r="F17" s="83" t="str">
        <x:f>'Расчет'!K8</x:f>
      </x:c>
      <x:c r="G17" s="81" t="str">
        <x:f>'Расчет'!L8</x:f>
      </x:c>
      <x:c r="H17" s="81" t="str">
        <x: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x:f>
      </x:c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>
      <x:c r="A18" s="94" t="n">
        <x:f>'Расчет'!A9</x:f>
        <x:v>45047</x:v>
      </x:c>
      <x:c r="B18" s="83" t="n">
        <x:f>'Расчет'!G9</x:f>
        <x:v>49.98293029871977</x:v>
      </x:c>
      <x:c r="C18" s="83" t="str">
        <x:f>'Расчет'!H9</x:f>
      </x:c>
      <x:c r="D18" s="83" t="n">
        <x:f>IFERROR(VLOOKUP('Расчет'!B9,'Сезонность'!$A$4:$D$15,4,FALSE),"")</x:f>
        <x:v>0.9517827273791483</x:v>
      </x:c>
      <x:c r="E18" s="83" t="n">
        <x:f>'Расчет'!J9</x:f>
        <x:v>52.5150634287659</x:v>
      </x:c>
      <x:c r="F18" s="83" t="str">
        <x:f>'Расчет'!K9</x:f>
      </x:c>
      <x:c r="G18" s="81" t="str">
        <x:f>'Расчет'!L9</x:f>
      </x:c>
      <x:c r="H18" s="81" t="str">
        <x: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x:f>
      </x:c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>
      <x:c r="A19" s="94" t="n">
        <x:f>'Расчет'!A10</x:f>
        <x:v>45078</x:v>
      </x:c>
      <x:c r="B19" s="83" t="n">
        <x:f>'Расчет'!G10</x:f>
        <x:v>48.1294452347084</x:v>
      </x:c>
      <x:c r="C19" s="83" t="str">
        <x:f>'Расчет'!H10</x:f>
      </x:c>
      <x:c r="D19" s="83" t="n">
        <x:f>IFERROR(VLOOKUP('Расчет'!B10,'Сезонность'!$A$4:$D$15,4,FALSE),"")</x:f>
        <x:v>0.8317572322237319</x:v>
      </x:c>
      <x:c r="E19" s="83" t="n">
        <x:f>'Расчет'!J10</x:f>
        <x:v>57.86477516526385</x:v>
      </x:c>
      <x:c r="F19" s="83" t="str">
        <x:f>'Расчет'!K10</x:f>
      </x:c>
      <x:c r="G19" s="81" t="str">
        <x:f>'Расчет'!L10</x:f>
      </x:c>
      <x:c r="H19" s="81" t="str">
        <x: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x:f>
      </x:c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>
      <x:c r="A20" s="94" t="n">
        <x:f>'Расчет'!A11</x:f>
        <x:v>45108</x:v>
      </x:c>
      <x:c r="B20" s="83" t="n">
        <x:f>'Расчет'!G11</x:f>
        <x:v>41.50426742532005</x:v>
      </x:c>
      <x:c r="C20" s="83" t="str">
        <x:f>'Расчет'!H11</x:f>
      </x:c>
      <x:c r="D20" s="83" t="n">
        <x:f>IFERROR(VLOOKUP('Расчет'!B11,'Сезонность'!$A$4:$D$15,4,FALSE),"")</x:f>
        <x:v>0.7527299280254359</x:v>
      </x:c>
      <x:c r="E20" s="83" t="n">
        <x:f>'Расчет'!J11</x:f>
        <x:v>55.13832502208888</x:v>
      </x:c>
      <x:c r="F20" s="83" t="str">
        <x:f>'Расчет'!K11</x:f>
      </x:c>
      <x:c r="G20" s="81" t="str">
        <x:f>'Расчет'!L11</x:f>
      </x:c>
      <x:c r="H20" s="81" t="str">
        <x: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x:f>
      </x:c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>
      <x:c r="A21" s="94" t="n">
        <x:f>'Расчет'!A12</x:f>
        <x:v>45139</x:v>
      </x:c>
      <x:c r="B21" s="83" t="n">
        <x:f>'Расчет'!G12</x:f>
        <x:v>46.66927453769559</x:v>
      </x:c>
      <x:c r="C21" s="83" t="str">
        <x:f>'Расчет'!H12</x:f>
      </x:c>
      <x:c r="D21" s="83" t="n">
        <x:f>IFERROR(VLOOKUP('Расчет'!B12,'Сезонность'!$A$4:$D$15,4,FALSE),"")</x:f>
        <x:v>0.864552510074735</x:v>
      </x:c>
      <x:c r="E21" s="83" t="n">
        <x:f>'Расчет'!J12</x:f>
        <x:v>53.980844418185</x:v>
      </x:c>
      <x:c r="F21" s="83" t="str">
        <x:f>'Расчет'!K12</x:f>
      </x:c>
      <x:c r="G21" s="81" t="str">
        <x:f>'Расчет'!L12</x:f>
      </x:c>
      <x:c r="H21" s="81" t="str">
        <x: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x:f>
      </x:c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>
      <x:c r="A22" s="94" t="n">
        <x:f>'Расчет'!A13</x:f>
        <x:v>45170</x:v>
      </x:c>
      <x:c r="B22" s="83" t="n">
        <x:f>'Расчет'!G13</x:f>
        <x:v>65.4800853485064</x:v>
      </x:c>
      <x:c r="C22" s="83" t="str">
        <x:f>'Расчет'!H13</x:f>
      </x:c>
      <x:c r="D22" s="83" t="n">
        <x:f>IFERROR(VLOOKUP('Расчет'!B13,'Сезонность'!$A$4:$D$15,4,FALSE),"")</x:f>
        <x:v>1.0968224973325915</x:v>
      </x:c>
      <x:c r="E22" s="83" t="n">
        <x:f>'Расчет'!J13</x:f>
        <x:v>59.6998014790453</x:v>
      </x:c>
      <x:c r="F22" s="83" t="str">
        <x:f>'Расчет'!K13</x:f>
      </x:c>
      <x:c r="G22" s="81" t="str">
        <x:f>'Расчет'!L13</x:f>
      </x:c>
      <x:c r="H22" s="81" t="str">
        <x: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x:f>
      </x:c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>
      <x:c r="A23" s="94" t="n">
        <x:f>'Расчет'!A14</x:f>
        <x:v>45200</x:v>
      </x:c>
      <x:c r="B23" s="83" t="n">
        <x:f>'Расчет'!G14</x:f>
        <x:v>66.62019914651495</x:v>
      </x:c>
      <x:c r="C23" s="83" t="str">
        <x:f>'Расчет'!H14</x:f>
      </x:c>
      <x:c r="D23" s="83" t="n">
        <x:f>IFERROR(VLOOKUP('Расчет'!B14,'Сезонность'!$A$4:$D$15,4,FALSE),"")</x:f>
        <x:v>1.1413379889008963</x:v>
      </x:c>
      <x:c r="E23" s="83" t="n">
        <x:f>'Расчет'!J14</x:f>
        <x:v>58.370263492823824</x:v>
      </x:c>
      <x:c r="F23" s="83" t="str">
        <x:f>'Расчет'!K14</x:f>
      </x:c>
      <x:c r="G23" s="81" t="str">
        <x:f>'Расчет'!L14</x:f>
      </x:c>
      <x:c r="H23" s="81" t="str">
        <x: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x:f>
      </x:c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>
      <x:c r="A24" s="94" t="n">
        <x:f>'Расчет'!A15</x:f>
        <x:v>45231</x:v>
      </x:c>
      <x:c r="B24" s="83" t="n">
        <x:f>'Расчет'!G15</x:f>
        <x:v>59.42389758179232</x:v>
      </x:c>
      <x:c r="C24" s="83" t="str">
        <x:f>'Расчет'!H15</x:f>
      </x:c>
      <x:c r="D24" s="83" t="n">
        <x:f>IFERROR(VLOOKUP('Расчет'!B15,'Сезонность'!$A$4:$D$15,4,FALSE),"")</x:f>
        <x:v>1.159100552478436</x:v>
      </x:c>
      <x:c r="E24" s="83" t="n">
        <x:f>'Расчет'!J15</x:f>
        <x:v>51.26724981256348</x:v>
      </x:c>
      <x:c r="F24" s="83" t="str">
        <x:f>'Расчет'!K15</x:f>
      </x:c>
      <x:c r="G24" s="81" t="str">
        <x:f>'Расчет'!L15</x:f>
      </x:c>
      <x:c r="H24" s="81" t="str">
        <x: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x:f>
      </x:c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>
      <x:c r="A25" s="94" t="n">
        <x:f>'Расчет'!A16</x:f>
        <x:v>45261</x:v>
      </x:c>
      <x:c r="B25" s="83" t="n">
        <x:f>'Расчет'!G16</x:f>
        <x:v>52.298719772403985</x:v>
      </x:c>
      <x:c r="C25" s="83" t="n">
        <x:f>'Расчет'!H16</x:f>
        <x:v>54.16874110953058</x:v>
      </x:c>
      <x:c r="D25" s="83" t="n">
        <x:f>IFERROR(VLOOKUP('Расчет'!B16,'Сезонность'!$A$4:$D$15,4,FALSE),"")</x:f>
        <x:v>0.9492445475766256</x:v>
      </x:c>
      <x:c r="E25" s="83" t="n">
        <x:f>'Расчет'!J16</x:f>
        <x:v>55.09509631203048</x:v>
      </x:c>
      <x:c r="F25" s="83" t="n">
        <x:f>'Расчет'!K16</x:f>
        <x:v>1.0171012872650442</x:v>
      </x:c>
      <x:c r="G25" s="81" t="str">
        <x:f>'Расчет'!L16</x:f>
        <x:v>норма</x:v>
      </x:c>
      <x:c r="H25" s="81" t="str">
        <x: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x:f>
        <x:v>обычный режим анализа спроса</x:v>
      </x:c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>
      <x:c r="A26" s="94" t="n">
        <x:f>'Расчет'!A17</x:f>
        <x:v>45292</x:v>
      </x:c>
      <x:c r="B26" s="83" t="n">
        <x:f>'Расчет'!G17</x:f>
        <x:v>67.01137980085349</x:v>
      </x:c>
      <x:c r="C26" s="83" t="n">
        <x:f>'Расчет'!H17</x:f>
        <x:v>54.94956140350877</x:v>
      </x:c>
      <x:c r="D26" s="83" t="n">
        <x:f>IFERROR(VLOOKUP('Расчет'!B17,'Сезонность'!$A$4:$D$15,4,FALSE),"")</x:f>
        <x:v>1.1116627390283818</x:v>
      </x:c>
      <x:c r="E26" s="83" t="n">
        <x:f>'Расчет'!J17</x:f>
        <x:v>60.28031474673959</x:v>
      </x:c>
      <x:c r="F26" s="83" t="n">
        <x:f>'Расчет'!K17</x:f>
        <x:v>1.0970117541809976</x:v>
      </x:c>
      <x:c r="G26" s="81" t="str">
        <x:f>'Расчет'!L17</x:f>
        <x:v>норма</x:v>
      </x:c>
      <x:c r="H26" s="81" t="str">
        <x: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x:f>
        <x:v>обычный режим анализа спроса</x:v>
      </x:c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>
      <x:c r="A27" s="94" t="n">
        <x:f>'Расчет'!A18</x:f>
        <x:v>45323</x:v>
      </x:c>
      <x:c r="B27" s="83" t="n">
        <x:f>'Расчет'!G18</x:f>
        <x:v>64.58890469416785</x:v>
      </x:c>
      <x:c r="C27" s="83" t="n">
        <x:f>'Расчет'!H18</x:f>
        <x:v>55.35923423423423</x:v>
      </x:c>
      <x:c r="D27" s="83" t="n">
        <x:f>IFERROR(VLOOKUP('Расчет'!B18,'Сезонность'!$A$4:$D$15,4,FALSE),"")</x:f>
        <x:v>1.0519426522812614</x:v>
      </x:c>
      <x:c r="E27" s="83" t="n">
        <x:f>'Расчет'!J18</x:f>
        <x:v>61.39964431910733</x:v>
      </x:c>
      <x:c r="F27" s="83" t="n">
        <x:f>'Расчет'!K18</x:f>
        <x:v>1.109112963147487</x:v>
      </x:c>
      <x:c r="G27" s="81" t="str">
        <x:f>'Расчет'!L18</x:f>
        <x:v>выше тренда</x:v>
      </x:c>
      <x:c r="H27" s="81" t="str">
        <x: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x:f>
        <x:v>период активизации продвижения и продаж</x:v>
      </x:c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>
      <x:c r="A28" s="94" t="n">
        <x:f>'Расчет'!A19</x:f>
        <x:v>45352</x:v>
      </x:c>
      <x:c r="B28" s="83" t="n">
        <x:f>'Расчет'!G19</x:f>
        <x:v>62.095305832147936</x:v>
      </x:c>
      <x:c r="C28" s="83" t="n">
        <x:f>'Расчет'!H19</x:f>
        <x:v>55.98263394973921</x:v>
      </x:c>
      <x:c r="D28" s="83" t="n">
        <x:f>IFERROR(VLOOKUP('Расчет'!B19,'Сезонность'!$A$4:$D$15,4,FALSE),"")</x:f>
        <x:v>1.0600539282239847</x:v>
      </x:c>
      <x:c r="E28" s="83" t="n">
        <x:f>'Расчет'!J19</x:f>
        <x:v>58.57749702996947</x:v>
      </x:c>
      <x:c r="F28" s="83" t="n">
        <x:f>'Расчет'!K19</x:f>
        <x:v>1.0463512146027267</x:v>
      </x:c>
      <x:c r="G28" s="81" t="str">
        <x:f>'Расчет'!L19</x:f>
        <x:v>норма</x:v>
      </x:c>
      <x:c r="H28" s="81" t="str">
        <x: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x:f>
        <x:v>обычный режим анализа спроса</x:v>
      </x:c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>
      <x:c r="A29" s="94" t="n">
        <x:f>'Расчет'!A20</x:f>
        <x:v>45383</x:v>
      </x:c>
      <x:c r="B29" s="83" t="n">
        <x:f>'Расчет'!G20</x:f>
        <x:v>61.13300142247511</x:v>
      </x:c>
      <x:c r="C29" s="83" t="n">
        <x:f>'Расчет'!H20</x:f>
        <x:v>57.078117591275486</x:v>
      </x:c>
      <x:c r="D29" s="83" t="n">
        <x:f>IFERROR(VLOOKUP('Расчет'!B20,'Сезонность'!$A$4:$D$15,4,FALSE),"")</x:f>
        <x:v>1.0290126964747721</x:v>
      </x:c>
      <x:c r="E29" s="83" t="n">
        <x:f>'Расчет'!J20</x:f>
        <x:v>59.40937525057436</x:v>
      </x:c>
      <x:c r="F29" s="83" t="n">
        <x:f>'Расчет'!K20</x:f>
        <x:v>1.0408432821136906</x:v>
      </x:c>
      <x:c r="G29" s="81" t="str">
        <x:f>'Расчет'!L20</x:f>
        <x:v>норма</x:v>
      </x:c>
      <x:c r="H29" s="81" t="str">
        <x: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x:f>
        <x:v>обычный режим анализа спроса</x:v>
      </x:c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>
      <x:c r="A30" s="94" t="n">
        <x:f>'Расчет'!A21</x:f>
        <x:v>45413</x:v>
      </x:c>
      <x:c r="B30" s="83" t="n">
        <x:f>'Расчет'!G21</x:f>
        <x:v>58.71052631578947</x:v>
      </x:c>
      <x:c r="C30" s="83" t="n">
        <x:f>'Расчет'!H21</x:f>
        <x:v>57.805417259364624</x:v>
      </x:c>
      <x:c r="D30" s="83" t="n">
        <x:f>IFERROR(VLOOKUP('Расчет'!B21,'Сезонность'!$A$4:$D$15,4,FALSE),"")</x:f>
        <x:v>0.9517827273791483</x:v>
      </x:c>
      <x:c r="E30" s="83" t="n">
        <x:f>'Расчет'!J21</x:f>
        <x:v>61.68479909007824</x:v>
      </x:c>
      <x:c r="F30" s="83" t="n">
        <x:f>'Расчет'!K21</x:f>
        <x:v>1.0671110427818102</x:v>
      </x:c>
      <x:c r="G30" s="81" t="str">
        <x:f>'Расчет'!L21</x:f>
        <x:v>норма</x:v>
      </x:c>
      <x:c r="H30" s="81" t="str">
        <x: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x:f>
        <x:v>обычный режим анализа спроса</x:v>
      </x:c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>
      <x:c r="A31" s="94" t="n">
        <x:f>'Расчет'!A22</x:f>
        <x:v>45444</x:v>
      </x:c>
      <x:c r="B31" s="83" t="n">
        <x:f>'Расчет'!G22</x:f>
        <x:v>50.12517780938833</x:v>
      </x:c>
      <x:c r="C31" s="83" t="n">
        <x:f>'Расчет'!H22</x:f>
        <x:v>57.97172830725463</x:v>
      </x:c>
      <x:c r="D31" s="83" t="n">
        <x:f>IFERROR(VLOOKUP('Расчет'!B22,'Сезонность'!$A$4:$D$15,4,FALSE),"")</x:f>
        <x:v>0.8317572322237319</x:v>
      </x:c>
      <x:c r="E31" s="83" t="n">
        <x:f>'Расчет'!J22</x:f>
        <x:v>60.26419232373481</x:v>
      </x:c>
      <x:c r="F31" s="83" t="n">
        <x:f>'Расчет'!K22</x:f>
        <x:v>1.0395445173607718</x:v>
      </x:c>
      <x:c r="G31" s="81" t="str">
        <x:f>'Расчет'!L22</x:f>
        <x:v>норма</x:v>
      </x:c>
      <x:c r="H31" s="81" t="str">
        <x: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x:f>
        <x:v>обычный режим анализа спроса</x:v>
      </x:c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>
      <x:c r="A32" s="94" t="n">
        <x:f>'Расчет'!A23</x:f>
        <x:v>45474</x:v>
      </x:c>
      <x:c r="B32" s="83" t="n">
        <x:f>'Расчет'!G23</x:f>
        <x:v>44.424608819345664</x:v>
      </x:c>
      <x:c r="C32" s="83" t="n">
        <x:f>'Расчет'!H23</x:f>
        <x:v>58.21509009009009</x:v>
      </x:c>
      <x:c r="D32" s="83" t="n">
        <x:f>IFERROR(VLOOKUP('Расчет'!B23,'Сезонность'!$A$4:$D$15,4,FALSE),"")</x:f>
        <x:v>0.7527299280254359</x:v>
      </x:c>
      <x:c r="E32" s="83" t="n">
        <x:f>'Расчет'!J23</x:f>
        <x:v>59.01799193221993</x:v>
      </x:c>
      <x:c r="F32" s="83" t="n">
        <x:f>'Расчет'!K23</x:f>
        <x:v>1.0137919883124344</x:v>
      </x:c>
      <x:c r="G32" s="81" t="str">
        <x:f>'Расчет'!L23</x:f>
        <x:v>норма</x:v>
      </x:c>
      <x:c r="H32" s="81" t="str">
        <x: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x:f>
        <x:v>обычный режим анализа спроса</x:v>
      </x:c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>
      <x:c r="A33" s="94" t="n">
        <x:f>'Расчет'!A24</x:f>
        <x:v>45505</x:v>
      </x:c>
      <x:c r="B33" s="83" t="n">
        <x:f>'Расчет'!G24</x:f>
        <x:v>54.82788051209104</x:v>
      </x:c>
      <x:c r="C33" s="83" t="n">
        <x:f>'Расчет'!H24</x:f>
        <x:v>58.894973921289704</x:v>
      </x:c>
      <x:c r="D33" s="83" t="n">
        <x:f>IFERROR(VLOOKUP('Расчет'!B24,'Сезонность'!$A$4:$D$15,4,FALSE),"")</x:f>
        <x:v>0.864552510074735</x:v>
      </x:c>
      <x:c r="E33" s="83" t="n">
        <x:f>'Расчет'!J24</x:f>
        <x:v>63.41764077158428</x:v>
      </x:c>
      <x:c r="F33" s="83" t="n">
        <x:f>'Расчет'!K24</x:f>
        <x:v>1.0767920681370688</x:v>
      </x:c>
      <x:c r="G33" s="81" t="str">
        <x:f>'Расчет'!L24</x:f>
        <x:v>норма</x:v>
      </x:c>
      <x:c r="H33" s="81" t="str">
        <x: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x:f>
        <x:v>обычный режим анализа спроса</x:v>
      </x:c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>
      <x:c r="A34" s="94" t="n">
        <x:f>'Расчет'!A25</x:f>
        <x:v>45536</x:v>
      </x:c>
      <x:c r="B34" s="83" t="n">
        <x:f>'Расчет'!G25</x:f>
        <x:v>72.88975817923186</x:v>
      </x:c>
      <x:c r="C34" s="83" t="n">
        <x:f>'Расчет'!H25</x:f>
        <x:v>59.512446657183496</x:v>
      </x:c>
      <x:c r="D34" s="83" t="n">
        <x:f>IFERROR(VLOOKUP('Расчет'!B25,'Сезонность'!$A$4:$D$15,4,FALSE),"")</x:f>
        <x:v>1.0968224973325915</x:v>
      </x:c>
      <x:c r="E34" s="83" t="n">
        <x:f>'Расчет'!J25</x:f>
        <x:v>66.45538212107749</x:v>
      </x:c>
      <x:c r="F34" s="83" t="n">
        <x:f>'Расчет'!K25</x:f>
        <x:v>1.1166635864239995</x:v>
      </x:c>
      <x:c r="G34" s="81" t="str">
        <x:f>'Расчет'!L25</x:f>
        <x:v>выше тренда</x:v>
      </x:c>
      <x:c r="H34" s="81" t="str">
        <x: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x:f>
        <x:v>период активизации продвижения и продаж</x:v>
      </x:c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>
      <x:c r="A35" s="94" t="n">
        <x:f>'Расчет'!A26</x:f>
        <x:v>45566</x:v>
      </x:c>
      <x:c r="B35" s="83" t="n">
        <x:f>'Расчет'!G26</x:f>
        <x:v>72.92532005689901</x:v>
      </x:c>
      <x:c r="C35" s="83" t="n">
        <x:f>'Расчет'!H26</x:f>
        <x:v>60.0378733997155</x:v>
      </x:c>
      <x:c r="D35" s="83" t="n">
        <x:f>IFERROR(VLOOKUP('Расчет'!B26,'Сезонность'!$A$4:$D$15,4,FALSE),"")</x:f>
        <x:v>1.1413379889008963</x:v>
      </x:c>
      <x:c r="E35" s="83" t="n">
        <x:f>'Расчет'!J26</x:f>
        <x:v>63.89458755081463</x:v>
      </x:c>
      <x:c r="F35" s="83" t="n">
        <x:f>'Расчет'!K26</x:f>
        <x:v>1.06423802064777</x:v>
      </x:c>
      <x:c r="G35" s="81" t="str">
        <x:f>'Расчет'!L26</x:f>
        <x:v>норма</x:v>
      </x:c>
      <x:c r="H35" s="81" t="str">
        <x: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x:f>
        <x:v>обычный режим анализа спроса</x:v>
      </x:c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>
      <x:c r="A36" s="94" t="n">
        <x:f>'Расчет'!A27</x:f>
        <x:v>45597</x:v>
      </x:c>
      <x:c r="B36" s="83" t="n">
        <x:f>'Расчет'!G27</x:f>
        <x:v>72.64082503556187</x:v>
      </x:c>
      <x:c r="C36" s="83" t="n">
        <x:f>'Расчет'!H27</x:f>
        <x:v>61.139284020862966</x:v>
      </x:c>
      <x:c r="D36" s="83" t="n">
        <x:f>IFERROR(VLOOKUP('Расчет'!B27,'Сезонность'!$A$4:$D$15,4,FALSE),"")</x:f>
        <x:v>1.159100552478436</x:v>
      </x:c>
      <x:c r="E36" s="83" t="n">
        <x:f>'Расчет'!J27</x:f>
        <x:v>62.6699943160568</x:v>
      </x:c>
      <x:c r="F36" s="83" t="n">
        <x:f>'Расчет'!K27</x:f>
        <x:v>1.0250364445660092</x:v>
      </x:c>
      <x:c r="G36" s="81" t="str">
        <x:f>'Расчет'!L27</x:f>
        <x:v>норма</x:v>
      </x:c>
      <x:c r="H36" s="81" t="str">
        <x: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x:f>
        <x:v>обычный режим анализа спроса</x:v>
      </x:c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>
      <x:c r="A37" s="94" t="n">
        <x:f>'Расчет'!A28</x:f>
        <x:v>45627</x:v>
      </x:c>
      <x:c r="B37" s="83" t="n">
        <x:f>'Расчет'!G28</x:f>
        <x:v>63.306543385490755</x:v>
      </x:c>
      <x:c r="C37" s="83" t="n">
        <x:f>'Расчет'!H28</x:f>
        <x:v>62.056602655286866</x:v>
      </x:c>
      <x:c r="D37" s="83" t="n">
        <x:f>IFERROR(VLOOKUP('Расчет'!B28,'Сезонность'!$A$4:$D$15,4,FALSE),"")</x:f>
        <x:v>0.9492445475766256</x:v>
      </x:c>
      <x:c r="E37" s="83" t="n">
        <x:f>'Расчет'!J28</x:f>
        <x:v>66.69150067504653</x:v>
      </x:c>
      <x:c r="F37" s="83" t="n">
        <x:f>'Расчет'!K28</x:f>
        <x:v>1.0746882333457033</x:v>
      </x:c>
      <x:c r="G37" s="81" t="str">
        <x:f>'Расчет'!L28</x:f>
        <x:v>норма</x:v>
      </x:c>
      <x:c r="H37" s="81" t="str">
        <x: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x:f>
        <x:v>обычный режим анализа спроса</x:v>
      </x:c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>
      <x:c r="A38" s="94" t="n">
        <x:f>'Расчет'!A29</x:f>
        <x:v>45658</x:v>
      </x:c>
      <x:c r="B38" s="83" t="n">
        <x:f>'Расчет'!G29</x:f>
        <x:v>70.46728307254622</x:v>
      </x:c>
      <x:c r="C38" s="83" t="n">
        <x:f>'Расчет'!H29</x:f>
        <x:v>62.34459459459459</x:v>
      </x:c>
      <x:c r="D38" s="83" t="n">
        <x:f>IFERROR(VLOOKUP('Расчет'!B29,'Сезонность'!$A$4:$D$15,4,FALSE),"")</x:f>
        <x:v>1.1116627390283818</x:v>
      </x:c>
      <x:c r="E38" s="83" t="n">
        <x:f>'Расчет'!J29</x:f>
        <x:v>63.38908429559869</x:v>
      </x:c>
      <x:c r="F38" s="83" t="n">
        <x:f>'Расчет'!K29</x:f>
        <x:v>1.01675349254889</x:v>
      </x:c>
      <x:c r="G38" s="81" t="str">
        <x:f>'Расчет'!L29</x:f>
        <x:v>норма</x:v>
      </x:c>
      <x:c r="H38" s="81" t="str">
        <x: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x:f>
        <x:v>обычный режим анализа спроса</x:v>
      </x:c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>
      <x:c r="A39" s="94" t="n">
        <x:f>'Расчет'!A30</x:f>
        <x:v>45689</x:v>
      </x:c>
      <x:c r="B39" s="83" t="n">
        <x:f>'Расчет'!G30</x:f>
        <x:v>66.01351351351352</x:v>
      </x:c>
      <x:c r="C39" s="83" t="n">
        <x:f>'Расчет'!H30</x:f>
        <x:v>62.463311996206734</x:v>
      </x:c>
      <x:c r="D39" s="83" t="n">
        <x:f>IFERROR(VLOOKUP('Расчет'!B30,'Сезонность'!$A$4:$D$15,4,FALSE),"")</x:f>
        <x:v>1.0519426522812614</x:v>
      </x:c>
      <x:c r="E39" s="83" t="n">
        <x:f>'Расчет'!J30</x:f>
        <x:v>62.753909037109054</x:v>
      </x:c>
      <x:c r="F39" s="83" t="n">
        <x:f>'Расчет'!K30</x:f>
        <x:v>1.0046522835824008</x:v>
      </x:c>
      <x:c r="G39" s="81" t="str">
        <x:f>'Расчет'!L30</x:f>
        <x:v>норма</x:v>
      </x:c>
      <x:c r="H39" s="81" t="str">
        <x: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x:f>
        <x:v>обычный режим анализа спроса</x:v>
      </x:c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>
      <x:c r="A40" s="94" t="n">
        <x:f>'Расчет'!A31</x:f>
        <x:v>45717</x:v>
      </x:c>
      <x:c r="B40" s="83" t="n">
        <x:f>'Расчет'!G31</x:f>
        <x:v>71.57183499288763</x:v>
      </x:c>
      <x:c r="C40" s="83" t="n">
        <x:f>'Расчет'!H31</x:f>
        <x:v>63.25302275960171</x:v>
      </x:c>
      <x:c r="D40" s="83" t="n">
        <x:f>IFERROR(VLOOKUP('Расчет'!B31,'Сезонность'!$A$4:$D$15,4,FALSE),"")</x:f>
        <x:v>1.0600539282239847</x:v>
      </x:c>
      <x:c r="E40" s="83" t="n">
        <x:f>'Расчет'!J31</x:f>
        <x:v>67.51716406805751</x:v>
      </x:c>
      <x:c r="F40" s="83" t="n">
        <x:f>'Расчет'!K31</x:f>
        <x:v>1.0674140321271604</x:v>
      </x:c>
      <x:c r="G40" s="81" t="str">
        <x:f>'Расчет'!L31</x:f>
        <x:v>норма</x:v>
      </x:c>
      <x:c r="H40" s="81" t="str">
        <x: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x:f>
        <x:v>обычный режим анализа спроса</x:v>
      </x:c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>
      <x:c r="A41" s="94" t="n">
        <x:f>'Расчет'!A32</x:f>
        <x:v>45748</x:v>
      </x:c>
      <x:c r="B41" s="83" t="n">
        <x:f>'Расчет'!G32</x:f>
        <x:v>70.71621621621622</x:v>
      </x:c>
      <x:c r="C41" s="83" t="n">
        <x:f>'Расчет'!H32</x:f>
        <x:v>64.05162399241347</x:v>
      </x:c>
      <x:c r="D41" s="83" t="n">
        <x:f>IFERROR(VLOOKUP('Расчет'!B32,'Сезонность'!$A$4:$D$15,4,FALSE),"")</x:f>
        <x:v>1.0290126964747721</x:v>
      </x:c>
      <x:c r="E41" s="83" t="n">
        <x:f>'Расчет'!J32</x:f>
        <x:v>68.72239425079819</x:v>
      </x:c>
      <x:c r="F41" s="83" t="n">
        <x:f>'Расчет'!K32</x:f>
        <x:v>1.0729219646161967</x:v>
      </x:c>
      <x:c r="G41" s="81" t="str">
        <x:f>'Расчет'!L32</x:f>
        <x:v>норма</x:v>
      </x:c>
      <x:c r="H41" s="81" t="str">
        <x: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x:f>
        <x:v>обычный режим анализа спроса</x:v>
      </x:c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>
      <x:c r="A42" s="94" t="n">
        <x:f>'Расчет'!A33</x:f>
        <x:v>45778</x:v>
      </x:c>
      <x:c r="B42" s="83" t="n">
        <x:f>'Расчет'!G33</x:f>
        <x:v>64.2688477951636</x:v>
      </x:c>
      <x:c r="C42" s="83" t="n">
        <x:f>'Расчет'!H33</x:f>
        <x:v>64.51481744902799</x:v>
      </x:c>
      <x:c r="D42" s="83" t="n">
        <x:f>IFERROR(VLOOKUP('Расчет'!B33,'Сезонность'!$A$4:$D$15,4,FALSE),"")</x:f>
        <x:v>0.9517827273791483</x:v>
      </x:c>
      <x:c r="E42" s="83" t="n">
        <x:f>'Расчет'!J33</x:f>
        <x:v>67.52470489996792</x:v>
      </x:c>
      <x:c r="F42" s="83" t="n">
        <x:f>'Расчет'!K33</x:f>
        <x:v>1.0466542039480773</x:v>
      </x:c>
      <x:c r="G42" s="81" t="str">
        <x:f>'Расчет'!L33</x:f>
        <x:v>норма</x:v>
      </x:c>
      <x:c r="H42" s="81" t="str">
        <x: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x:f>
        <x:v>обычный режим анализа спроса</x:v>
      </x:c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>
      <x:c r="A43" s="94" t="n">
        <x:f>'Расчет'!A34</x:f>
        <x:v>45809</x:v>
      </x:c>
      <x:c r="B43" s="83" t="n">
        <x:f>'Расчет'!G34</x:f>
        <x:v>58.24822190611664</x:v>
      </x:c>
      <x:c r="C43" s="83" t="n">
        <x:f>'Расчет'!H34</x:f>
        <x:v>65.19173779042201</x:v>
      </x:c>
      <x:c r="D43" s="83" t="n">
        <x:f>IFERROR(VLOOKUP('Расчет'!B34,'Сезонность'!$A$4:$D$15,4,FALSE),"")</x:f>
        <x:v>0.8317572322237319</x:v>
      </x:c>
      <x:c r="E43" s="83" t="n">
        <x:f>'Расчет'!J34</x:f>
        <x:v>70.03031611806728</x:v>
      </x:c>
      <x:c r="F43" s="83" t="n">
        <x:f>'Расчет'!K34</x:f>
        <x:v>1.0742207293691157</x:v>
      </x:c>
      <x:c r="G43" s="81" t="str">
        <x:f>'Расчет'!L34</x:f>
        <x:v>норма</x:v>
      </x:c>
      <x:c r="H43" s="81" t="str">
        <x: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x:f>
        <x:v>обычный режим анализа спроса</x:v>
      </x:c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>
      <x:c r="A44" s="94" t="n">
        <x:f>'Расчет'!A35</x:f>
        <x:v>45839</x:v>
      </x:c>
      <x:c r="B44" s="83" t="n">
        <x:f>'Расчет'!G35</x:f>
        <x:v>54.685633001422474</x:v>
      </x:c>
      <x:c r="C44" s="83" t="n">
        <x:f>'Расчет'!H35</x:f>
        <x:v>66.04682313892842</x:v>
      </x:c>
      <x:c r="D44" s="83" t="n">
        <x:f>IFERROR(VLOOKUP('Расчет'!B35,'Сезонность'!$A$4:$D$15,4,FALSE),"")</x:f>
        <x:v>0.7527299280254359</x:v>
      </x:c>
      <x:c r="E44" s="83" t="n">
        <x:f>'Расчет'!J35</x:f>
        <x:v>72.64973925624831</x:v>
      </x:c>
      <x:c r="F44" s="83" t="n">
        <x:f>'Расчет'!K35</x:f>
        <x:v>1.0999732584174529</x:v>
      </x:c>
      <x:c r="G44" s="81" t="str">
        <x:f>'Расчет'!L35</x:f>
        <x:v>норма</x:v>
      </x:c>
      <x:c r="H44" s="81" t="str">
        <x: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x:f>
        <x:v>обычный режим анализа спроса</x:v>
      </x:c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>
      <x:c r="A45" s="94" t="n">
        <x:f>'Расчет'!A36</x:f>
        <x:v>45870</x:v>
      </x:c>
      <x:c r="B45" s="83" t="n">
        <x:f>'Расчет'!G36</x:f>
        <x:v>59.56614509246088</x:v>
      </x:c>
      <x:c r="C45" s="83" t="n">
        <x:f>'Расчет'!H36</x:f>
        <x:v>66.4416785206259</x:v>
      </x:c>
      <x:c r="D45" s="83" t="n">
        <x:f>IFERROR(VLOOKUP('Расчет'!B36,'Сезонность'!$A$4:$D$15,4,FALSE),"")</x:f>
        <x:v>0.864552510074735</x:v>
      </x:c>
      <x:c r="E45" s="83" t="n">
        <x:f>'Расчет'!J36</x:f>
        <x:v>68.89823856657564</x:v>
      </x:c>
      <x:c r="F45" s="83" t="n">
        <x:f>'Расчет'!K36</x:f>
        <x:v>1.0369731785928185</x:v>
      </x:c>
      <x:c r="G45" s="81" t="str">
        <x:f>'Расчет'!L36</x:f>
        <x:v>норма</x:v>
      </x:c>
      <x:c r="H45" s="81" t="str">
        <x: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x:f>
        <x:v>обычный режим анализа спроса</x:v>
      </x:c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>
      <x:c r="A46" s="94" t="n">
        <x:f>'Расчет'!A37</x:f>
        <x:v>45901</x:v>
      </x:c>
      <x:c r="B46" s="83" t="n">
        <x:f>'Расчет'!G37</x:f>
        <x:v>72.64082503556187</x:v>
      </x:c>
      <x:c r="C46" s="83" t="n">
        <x:f>'Расчет'!H37</x:f>
        <x:v>66.42093409198672</x:v>
      </x:c>
      <x:c r="D46" s="83" t="n">
        <x:f>IFERROR(VLOOKUP('Расчет'!B37,'Сезонность'!$A$4:$D$15,4,FALSE),"")</x:f>
        <x:v>1.0968224973325915</x:v>
      </x:c>
      <x:c r="E46" s="83" t="n">
        <x:f>'Расчет'!J37</x:f>
        <x:v>66.22842366218794</x:v>
      </x:c>
      <x:c r="F46" s="83" t="n">
        <x:f>'Расчет'!K37</x:f>
        <x:v>0.9971016603058882</x:v>
      </x:c>
      <x:c r="G46" s="81" t="str">
        <x:f>'Расчет'!L37</x:f>
        <x:v>норма</x:v>
      </x:c>
      <x:c r="H46" s="81" t="str">
        <x: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x:f>
        <x:v>обычный режим анализа спроса</x:v>
      </x:c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>
      <x:c r="A47" s="94" t="n">
        <x:f>'Расчет'!A38</x:f>
        <x:v>45931</x:v>
      </x:c>
      <x:c r="B47" s="83" t="n">
        <x:f>'Расчет'!G38</x:f>
        <x:v>80.29943100995732</x:v>
      </x:c>
      <x:c r="C47" s="83" t="n">
        <x:f>'Расчет'!H38</x:f>
        <x:v>67.03544333807491</x:v>
      </x:c>
      <x:c r="D47" s="83" t="n">
        <x:f>IFERROR(VLOOKUP('Расчет'!B38,'Сезонность'!$A$4:$D$15,4,FALSE),"")</x:f>
        <x:v>1.1413379889008963</x:v>
      </x:c>
      <x:c r="E47" s="83" t="n">
        <x:f>'Расчет'!J38</x:f>
        <x:v>70.35552289579472</x:v>
      </x:c>
      <x:c r="F47" s="83" t="n">
        <x:f>'Расчет'!K38</x:f>
        <x:v>1.0495272260821176</x:v>
      </x:c>
      <x:c r="G47" s="81" t="str">
        <x:f>'Расчет'!L38</x:f>
        <x:v>норма</x:v>
      </x:c>
      <x:c r="H47" s="81" t="str">
        <x: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x:f>
        <x:v>обычный режим анализа спроса</x:v>
      </x:c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>
      <x:c r="A48" s="94" t="n">
        <x:f>'Расчет'!A39</x:f>
        <x:v>45962</x:v>
      </x:c>
      <x:c r="B48" s="83" t="n">
        <x:f>'Расчет'!G39</x:f>
        <x:v>86</x:v>
      </x:c>
      <x:c r="C48" s="83" t="n">
        <x:f>'Расчет'!H39</x:f>
        <x:v>68.14870791844476</x:v>
      </x:c>
      <x:c r="D48" s="83" t="n">
        <x:f>IFERROR(VLOOKUP('Расчет'!B39,'Сезонность'!$A$4:$D$15,4,FALSE),"")</x:f>
        <x:v>1.159100552478436</x:v>
      </x:c>
      <x:c r="E48" s="83" t="n">
        <x:f>'Расчет'!J39</x:f>
        <x:v>74.19546114106434</x:v>
      </x:c>
      <x:c r="F48" s="83" t="n">
        <x:f>'Расчет'!K39</x:f>
        <x:v>1.088728802163878</x:v>
      </x:c>
      <x:c r="G48" s="81" t="str">
        <x:f>'Расчет'!L39</x:f>
        <x:v>норма</x:v>
      </x:c>
      <x:c r="H48" s="81" t="str">
        <x: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x:f>
        <x:v>обычный режим анализа спроса</x:v>
      </x:c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>
      <x:c r="A49" s="94" t="n">
        <x:f>'Расчет'!A40</x:f>
        <x:v>45992</x:v>
      </x:c>
      <x:c r="B49" s="83" t="n">
        <x:f>'Расчет'!G40</x:f>
        <x:v>70.39615931721195</x:v>
      </x:c>
      <x:c r="C49" s="83" t="n">
        <x:f>'Расчет'!H40</x:f>
        <x:v>68.73950924608819</x:v>
      </x:c>
      <x:c r="D49" s="83" t="n">
        <x:f>IFERROR(VLOOKUP('Расчет'!B40,'Сезонность'!$A$4:$D$15,4,FALSE),"")</x:f>
        <x:v>0.9492445475766256</x:v>
      </x:c>
      <x:c r="E49" s="83" t="n">
        <x:f>'Расчет'!J40</x:f>
        <x:v>74.1601934895806</x:v>
      </x:c>
      <x:c r="F49" s="83" t="n">
        <x:f>'Расчет'!K40</x:f>
        <x:v>1.0788583494840835</x:v>
      </x:c>
      <x:c r="G49" s="81" t="str">
        <x:f>'Расчет'!L40</x:f>
        <x:v>норма</x:v>
      </x:c>
      <x:c r="H49" s="81" t="str">
        <x: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x:f>
        <x:v>обычный режим анализа спроса</x:v>
      </x:c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>
      <x:c r="A50" s="94" t="str">
        <x:f>'Расчет'!A41</x:f>
      </x:c>
      <x:c r="B50" s="83" t="str">
        <x:f>'Расчет'!G41</x:f>
      </x:c>
      <x:c r="C50" s="83" t="str">
        <x:f>'Расчет'!H41</x:f>
      </x:c>
      <x:c r="D50" s="83" t="str">
        <x:f>IFERROR(VLOOKUP('Расчет'!B41,'Сезонность'!$A$4:$D$15,4,FALSE),"")</x:f>
      </x:c>
      <x:c r="E50" s="83" t="str">
        <x:f>'Расчет'!J41</x:f>
      </x:c>
      <x:c r="F50" s="83" t="str">
        <x:f>'Расчет'!K41</x:f>
      </x:c>
      <x:c r="G50" s="81" t="str">
        <x:f>'Расчет'!L41</x:f>
      </x:c>
      <x:c r="H50" s="81" t="str">
        <x: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x:f>
      </x:c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94" t="str">
        <x:f>'Расчет'!A42</x:f>
      </x:c>
      <x:c r="B51" s="83" t="str">
        <x:f>'Расчет'!G42</x:f>
      </x:c>
      <x:c r="C51" s="83" t="str">
        <x:f>'Расчет'!H42</x:f>
      </x:c>
      <x:c r="D51" s="83" t="str">
        <x:f>IFERROR(VLOOKUP('Расчет'!B42,'Сезонность'!$A$4:$D$15,4,FALSE),"")</x:f>
      </x:c>
      <x:c r="E51" s="83" t="str">
        <x:f>'Расчет'!J42</x:f>
      </x:c>
      <x:c r="F51" s="83" t="str">
        <x:f>'Расчет'!K42</x:f>
      </x:c>
      <x:c r="G51" s="81" t="str">
        <x:f>'Расчет'!L42</x:f>
      </x:c>
      <x:c r="H51" s="81" t="str">
        <x: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x:f>
      </x:c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94" t="str">
        <x:f>'Расчет'!A43</x:f>
      </x:c>
      <x:c r="B52" s="83" t="str">
        <x:f>'Расчет'!G43</x:f>
      </x:c>
      <x:c r="C52" s="83" t="str">
        <x:f>'Расчет'!H43</x:f>
      </x:c>
      <x:c r="D52" s="83" t="str">
        <x:f>IFERROR(VLOOKUP('Расчет'!B43,'Сезонность'!$A$4:$D$15,4,FALSE),"")</x:f>
      </x:c>
      <x:c r="E52" s="83" t="str">
        <x:f>'Расчет'!J43</x:f>
      </x:c>
      <x:c r="F52" s="83" t="str">
        <x:f>'Расчет'!K43</x:f>
      </x:c>
      <x:c r="G52" s="81" t="str">
        <x:f>'Расчет'!L43</x:f>
      </x:c>
      <x:c r="H52" s="81" t="str">
        <x: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x:f>
      </x:c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94" t="str">
        <x:f>'Расчет'!A44</x:f>
      </x:c>
      <x:c r="B53" s="83" t="str">
        <x:f>'Расчет'!G44</x:f>
      </x:c>
      <x:c r="C53" s="83" t="str">
        <x:f>'Расчет'!H44</x:f>
      </x:c>
      <x:c r="D53" s="83" t="str">
        <x:f>IFERROR(VLOOKUP('Расчет'!B44,'Сезонность'!$A$4:$D$15,4,FALSE),"")</x:f>
      </x:c>
      <x:c r="E53" s="83" t="str">
        <x:f>'Расчет'!J44</x:f>
      </x:c>
      <x:c r="F53" s="83" t="str">
        <x:f>'Расчет'!K44</x:f>
      </x:c>
      <x:c r="G53" s="81" t="str">
        <x:f>'Расчет'!L44</x:f>
      </x:c>
      <x:c r="H53" s="81" t="str">
        <x: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x:f>
      </x:c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94" t="str">
        <x:f>'Расчет'!A45</x:f>
      </x:c>
      <x:c r="B54" s="83" t="str">
        <x:f>'Расчет'!G45</x:f>
      </x:c>
      <x:c r="C54" s="83" t="str">
        <x:f>'Расчет'!H45</x:f>
      </x:c>
      <x:c r="D54" s="83" t="str">
        <x:f>IFERROR(VLOOKUP('Расчет'!B45,'Сезонность'!$A$4:$D$15,4,FALSE),"")</x:f>
      </x:c>
      <x:c r="E54" s="83" t="str">
        <x:f>'Расчет'!J45</x:f>
      </x:c>
      <x:c r="F54" s="83" t="str">
        <x:f>'Расчет'!K45</x:f>
      </x:c>
      <x:c r="G54" s="81" t="str">
        <x:f>'Расчет'!L45</x:f>
      </x:c>
      <x:c r="H54" s="81" t="str">
        <x: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x:f>
      </x:c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94" t="str">
        <x:f>'Расчет'!A46</x:f>
      </x:c>
      <x:c r="B55" s="83" t="str">
        <x:f>'Расчет'!G46</x:f>
      </x:c>
      <x:c r="C55" s="83" t="str">
        <x:f>'Расчет'!H46</x:f>
      </x:c>
      <x:c r="D55" s="83" t="str">
        <x:f>IFERROR(VLOOKUP('Расчет'!B46,'Сезонность'!$A$4:$D$15,4,FALSE),"")</x:f>
      </x:c>
      <x:c r="E55" s="83" t="str">
        <x:f>'Расчет'!J46</x:f>
      </x:c>
      <x:c r="F55" s="83" t="str">
        <x:f>'Расчет'!K46</x:f>
      </x:c>
      <x:c r="G55" s="81" t="str">
        <x:f>'Расчет'!L46</x:f>
      </x:c>
      <x:c r="H55" s="81" t="str">
        <x: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x:f>
      </x:c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94" t="str">
        <x:f>'Расчет'!A47</x:f>
      </x:c>
      <x:c r="B56" s="83" t="str">
        <x:f>'Расчет'!G47</x:f>
      </x:c>
      <x:c r="C56" s="83" t="str">
        <x:f>'Расчет'!H47</x:f>
      </x:c>
      <x:c r="D56" s="83" t="str">
        <x:f>IFERROR(VLOOKUP('Расчет'!B47,'Сезонность'!$A$4:$D$15,4,FALSE),"")</x:f>
      </x:c>
      <x:c r="E56" s="83" t="str">
        <x:f>'Расчет'!J47</x:f>
      </x:c>
      <x:c r="F56" s="83" t="str">
        <x:f>'Расчет'!K47</x:f>
      </x:c>
      <x:c r="G56" s="81" t="str">
        <x:f>'Расчет'!L47</x:f>
      </x:c>
      <x:c r="H56" s="81" t="str">
        <x: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x:f>
      </x:c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94" t="str">
        <x:f>'Расчет'!A48</x:f>
      </x:c>
      <x:c r="B57" s="83" t="str">
        <x:f>'Расчет'!G48</x:f>
      </x:c>
      <x:c r="C57" s="83" t="str">
        <x:f>'Расчет'!H48</x:f>
      </x:c>
      <x:c r="D57" s="83" t="str">
        <x:f>IFERROR(VLOOKUP('Расчет'!B48,'Сезонность'!$A$4:$D$15,4,FALSE),"")</x:f>
      </x:c>
      <x:c r="E57" s="83" t="str">
        <x:f>'Расчет'!J48</x:f>
      </x:c>
      <x:c r="F57" s="83" t="str">
        <x:f>'Расчет'!K48</x:f>
      </x:c>
      <x:c r="G57" s="81" t="str">
        <x:f>'Расчет'!L48</x:f>
      </x:c>
      <x:c r="H57" s="81" t="str">
        <x: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x:f>
      </x:c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94" t="str">
        <x:f>'Расчет'!A49</x:f>
      </x:c>
      <x:c r="B58" s="83" t="str">
        <x:f>'Расчет'!G49</x:f>
      </x:c>
      <x:c r="C58" s="83" t="str">
        <x:f>'Расчет'!H49</x:f>
      </x:c>
      <x:c r="D58" s="83" t="str">
        <x:f>IFERROR(VLOOKUP('Расчет'!B49,'Сезонность'!$A$4:$D$15,4,FALSE),"")</x:f>
      </x:c>
      <x:c r="E58" s="83" t="str">
        <x:f>'Расчет'!J49</x:f>
      </x:c>
      <x:c r="F58" s="83" t="str">
        <x:f>'Расчет'!K49</x:f>
      </x:c>
      <x:c r="G58" s="81" t="str">
        <x:f>'Расчет'!L49</x:f>
      </x:c>
      <x:c r="H58" s="81" t="str">
        <x: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x:f>
      </x:c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94" t="str">
        <x:f>'Расчет'!A50</x:f>
      </x:c>
      <x:c r="B59" s="83" t="str">
        <x:f>'Расчет'!G50</x:f>
      </x:c>
      <x:c r="C59" s="83" t="str">
        <x:f>'Расчет'!H50</x:f>
      </x:c>
      <x:c r="D59" s="83" t="str">
        <x:f>IFERROR(VLOOKUP('Расчет'!B50,'Сезонность'!$A$4:$D$15,4,FALSE),"")</x:f>
      </x:c>
      <x:c r="E59" s="83" t="str">
        <x:f>'Расчет'!J50</x:f>
      </x:c>
      <x:c r="F59" s="83" t="str">
        <x:f>'Расчет'!K50</x:f>
      </x:c>
      <x:c r="G59" s="81" t="str">
        <x:f>'Расчет'!L50</x:f>
      </x:c>
      <x:c r="H59" s="81" t="str">
        <x: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x:f>
      </x:c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94" t="str">
        <x:f>'Расчет'!A51</x:f>
      </x:c>
      <x:c r="B60" s="83" t="str">
        <x:f>'Расчет'!G51</x:f>
      </x:c>
      <x:c r="C60" s="83" t="str">
        <x:f>'Расчет'!H51</x:f>
      </x:c>
      <x:c r="D60" s="83" t="str">
        <x:f>IFERROR(VLOOKUP('Расчет'!B51,'Сезонность'!$A$4:$D$15,4,FALSE),"")</x:f>
      </x:c>
      <x:c r="E60" s="83" t="str">
        <x:f>'Расчет'!J51</x:f>
      </x:c>
      <x:c r="F60" s="83" t="str">
        <x:f>'Расчет'!K51</x:f>
      </x:c>
      <x:c r="G60" s="81" t="str">
        <x:f>'Расчет'!L51</x:f>
      </x:c>
      <x:c r="H60" s="81" t="str">
        <x: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x:f>
      </x:c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94" t="str">
        <x:f>'Расчет'!A52</x:f>
      </x:c>
      <x:c r="B61" s="83" t="str">
        <x:f>'Расчет'!G52</x:f>
      </x:c>
      <x:c r="C61" s="83" t="str">
        <x:f>'Расчет'!H52</x:f>
      </x:c>
      <x:c r="D61" s="83" t="str">
        <x:f>IFERROR(VLOOKUP('Расчет'!B52,'Сезонность'!$A$4:$D$15,4,FALSE),"")</x:f>
      </x:c>
      <x:c r="E61" s="83" t="str">
        <x:f>'Расчет'!J52</x:f>
      </x:c>
      <x:c r="F61" s="83" t="str">
        <x:f>'Расчет'!K52</x:f>
      </x:c>
      <x:c r="G61" s="81" t="str">
        <x:f>'Расчет'!L52</x:f>
      </x:c>
      <x:c r="H61" s="81" t="str">
        <x: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x:f>
      </x:c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94" t="str">
        <x:f>'Расчет'!A53</x:f>
      </x:c>
      <x:c r="B62" s="83" t="str">
        <x:f>'Расчет'!G53</x:f>
      </x:c>
      <x:c r="C62" s="83" t="str">
        <x:f>'Расчет'!H53</x:f>
      </x:c>
      <x:c r="D62" s="83" t="str">
        <x:f>IFERROR(VLOOKUP('Расчет'!B53,'Сезонность'!$A$4:$D$15,4,FALSE),"")</x:f>
      </x:c>
      <x:c r="E62" s="83" t="str">
        <x:f>'Расчет'!J53</x:f>
      </x:c>
      <x:c r="F62" s="83" t="str">
        <x:f>'Расчет'!K53</x:f>
      </x:c>
      <x:c r="G62" s="81" t="str">
        <x:f>'Расчет'!L53</x:f>
      </x:c>
      <x:c r="H62" s="81" t="str">
        <x: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x:f>
      </x:c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94" t="str">
        <x:f>'Расчет'!A54</x:f>
      </x:c>
      <x:c r="B63" s="83" t="str">
        <x:f>'Расчет'!G54</x:f>
      </x:c>
      <x:c r="C63" s="83" t="str">
        <x:f>'Расчет'!H54</x:f>
      </x:c>
      <x:c r="D63" s="83" t="str">
        <x:f>IFERROR(VLOOKUP('Расчет'!B54,'Сезонность'!$A$4:$D$15,4,FALSE),"")</x:f>
      </x:c>
      <x:c r="E63" s="83" t="str">
        <x:f>'Расчет'!J54</x:f>
      </x:c>
      <x:c r="F63" s="83" t="str">
        <x:f>'Расчет'!K54</x:f>
      </x:c>
      <x:c r="G63" s="81" t="str">
        <x:f>'Расчет'!L54</x:f>
      </x:c>
      <x:c r="H63" s="81" t="str">
        <x: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x:f>
      </x:c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94" t="str">
        <x:f>'Расчет'!A55</x:f>
      </x:c>
      <x:c r="B64" s="83" t="str">
        <x:f>'Расчет'!G55</x:f>
      </x:c>
      <x:c r="C64" s="83" t="str">
        <x:f>'Расчет'!H55</x:f>
      </x:c>
      <x:c r="D64" s="83" t="str">
        <x:f>IFERROR(VLOOKUP('Расчет'!B55,'Сезонность'!$A$4:$D$15,4,FALSE),"")</x:f>
      </x:c>
      <x:c r="E64" s="83" t="str">
        <x:f>'Расчет'!J55</x:f>
      </x:c>
      <x:c r="F64" s="83" t="str">
        <x:f>'Расчет'!K55</x:f>
      </x:c>
      <x:c r="G64" s="81" t="str">
        <x:f>'Расчет'!L55</x:f>
      </x:c>
      <x:c r="H64" s="81" t="str">
        <x: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x:f>
      </x:c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94" t="str">
        <x:f>'Расчет'!A56</x:f>
      </x:c>
      <x:c r="B65" s="83" t="str">
        <x:f>'Расчет'!G56</x:f>
      </x:c>
      <x:c r="C65" s="83" t="str">
        <x:f>'Расчет'!H56</x:f>
      </x:c>
      <x:c r="D65" s="83" t="str">
        <x:f>IFERROR(VLOOKUP('Расчет'!B56,'Сезонность'!$A$4:$D$15,4,FALSE),"")</x:f>
      </x:c>
      <x:c r="E65" s="83" t="str">
        <x:f>'Расчет'!J56</x:f>
      </x:c>
      <x:c r="F65" s="83" t="str">
        <x:f>'Расчет'!K56</x:f>
      </x:c>
      <x:c r="G65" s="81" t="str">
        <x:f>'Расчет'!L56</x:f>
      </x:c>
      <x:c r="H65" s="81" t="str">
        <x: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x:f>
      </x:c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94" t="str">
        <x:f>'Расчет'!A57</x:f>
      </x:c>
      <x:c r="B66" s="83" t="str">
        <x:f>'Расчет'!G57</x:f>
      </x:c>
      <x:c r="C66" s="83" t="str">
        <x:f>'Расчет'!H57</x:f>
      </x:c>
      <x:c r="D66" s="83" t="str">
        <x:f>IFERROR(VLOOKUP('Расчет'!B57,'Сезонность'!$A$4:$D$15,4,FALSE),"")</x:f>
      </x:c>
      <x:c r="E66" s="83" t="str">
        <x:f>'Расчет'!J57</x:f>
      </x:c>
      <x:c r="F66" s="83" t="str">
        <x:f>'Расчет'!K57</x:f>
      </x:c>
      <x:c r="G66" s="81" t="str">
        <x:f>'Расчет'!L57</x:f>
      </x:c>
      <x:c r="H66" s="81" t="str">
        <x: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x:f>
      </x:c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94" t="str">
        <x:f>'Расчет'!A58</x:f>
      </x:c>
      <x:c r="B67" s="83" t="str">
        <x:f>'Расчет'!G58</x:f>
      </x:c>
      <x:c r="C67" s="83" t="str">
        <x:f>'Расчет'!H58</x:f>
      </x:c>
      <x:c r="D67" s="83" t="str">
        <x:f>IFERROR(VLOOKUP('Расчет'!B58,'Сезонность'!$A$4:$D$15,4,FALSE),"")</x:f>
      </x:c>
      <x:c r="E67" s="83" t="str">
        <x:f>'Расчет'!J58</x:f>
      </x:c>
      <x:c r="F67" s="83" t="str">
        <x:f>'Расчет'!K58</x:f>
      </x:c>
      <x:c r="G67" s="81" t="str">
        <x:f>'Расчет'!L58</x:f>
      </x:c>
      <x:c r="H67" s="81" t="str">
        <x: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x:f>
      </x:c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94" t="str">
        <x:f>'Расчет'!A59</x:f>
      </x:c>
      <x:c r="B68" s="83" t="str">
        <x:f>'Расчет'!G59</x:f>
      </x:c>
      <x:c r="C68" s="83" t="str">
        <x:f>'Расчет'!H59</x:f>
      </x:c>
      <x:c r="D68" s="83" t="str">
        <x:f>IFERROR(VLOOKUP('Расчет'!B59,'Сезонность'!$A$4:$D$15,4,FALSE),"")</x:f>
      </x:c>
      <x:c r="E68" s="83" t="str">
        <x:f>'Расчет'!J59</x:f>
      </x:c>
      <x:c r="F68" s="83" t="str">
        <x:f>'Расчет'!K59</x:f>
      </x:c>
      <x:c r="G68" s="81" t="str">
        <x:f>'Расчет'!L59</x:f>
      </x:c>
      <x:c r="H68" s="81" t="str">
        <x: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x:f>
      </x:c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94" t="str">
        <x:f>'Расчет'!A60</x:f>
      </x:c>
      <x:c r="B69" s="83" t="str">
        <x:f>'Расчет'!G60</x:f>
      </x:c>
      <x:c r="C69" s="83" t="str">
        <x:f>'Расчет'!H60</x:f>
      </x:c>
      <x:c r="D69" s="83" t="str">
        <x:f>IFERROR(VLOOKUP('Расчет'!B60,'Сезонность'!$A$4:$D$15,4,FALSE),"")</x:f>
      </x:c>
      <x:c r="E69" s="83" t="str">
        <x:f>'Расчет'!J60</x:f>
      </x:c>
      <x:c r="F69" s="83" t="str">
        <x:f>'Расчет'!K60</x:f>
      </x:c>
      <x:c r="G69" s="81" t="str">
        <x:f>'Расчет'!L60</x:f>
      </x:c>
      <x:c r="H69" s="81" t="str">
        <x: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x:f>
      </x:c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94" t="str">
        <x:f>'Расчет'!A61</x:f>
      </x:c>
      <x:c r="B70" s="83" t="str">
        <x:f>'Расчет'!G61</x:f>
      </x:c>
      <x:c r="C70" s="83" t="str">
        <x:f>'Расчет'!H61</x:f>
      </x:c>
      <x:c r="D70" s="83" t="str">
        <x:f>IFERROR(VLOOKUP('Расчет'!B61,'Сезонность'!$A$4:$D$15,4,FALSE),"")</x:f>
      </x:c>
      <x:c r="E70" s="83" t="str">
        <x:f>'Расчет'!J61</x:f>
      </x:c>
      <x:c r="F70" s="83" t="str">
        <x:f>'Расчет'!K61</x:f>
      </x:c>
      <x:c r="G70" s="81" t="str">
        <x:f>'Расчет'!L61</x:f>
      </x:c>
      <x:c r="H70" s="81" t="str">
        <x: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x:f>
      </x:c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94" t="str">
        <x:f>'Расчет'!A62</x:f>
      </x:c>
      <x:c r="B71" s="83" t="str">
        <x:f>'Расчет'!G62</x:f>
      </x:c>
      <x:c r="C71" s="83" t="str">
        <x:f>'Расчет'!H62</x:f>
      </x:c>
      <x:c r="D71" s="83" t="str">
        <x:f>IFERROR(VLOOKUP('Расчет'!B62,'Сезонность'!$A$4:$D$15,4,FALSE),"")</x:f>
      </x:c>
      <x:c r="E71" s="83" t="str">
        <x:f>'Расчет'!J62</x:f>
      </x:c>
      <x:c r="F71" s="83" t="str">
        <x:f>'Расчет'!K62</x:f>
      </x:c>
      <x:c r="G71" s="81" t="str">
        <x:f>'Расчет'!L62</x:f>
      </x:c>
      <x:c r="H71" s="81" t="str">
        <x: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x:f>
      </x:c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94" t="str">
        <x:f>'Расчет'!A63</x:f>
      </x:c>
      <x:c r="B72" s="83" t="str">
        <x:f>'Расчет'!G63</x:f>
      </x:c>
      <x:c r="C72" s="83" t="str">
        <x:f>'Расчет'!H63</x:f>
      </x:c>
      <x:c r="D72" s="83" t="str">
        <x:f>IFERROR(VLOOKUP('Расчет'!B63,'Сезонность'!$A$4:$D$15,4,FALSE),"")</x:f>
      </x:c>
      <x:c r="E72" s="83" t="str">
        <x:f>'Расчет'!J63</x:f>
      </x:c>
      <x:c r="F72" s="83" t="str">
        <x:f>'Расчет'!K63</x:f>
      </x:c>
      <x:c r="G72" s="81" t="str">
        <x:f>'Расчет'!L63</x:f>
      </x:c>
      <x:c r="H72" s="81" t="str">
        <x: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x:f>
      </x:c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94" t="n">
        <x:f>'Расчет'!A64</x:f>
        <x:v>0</x:v>
      </x:c>
      <x:c r="B73" s="83" t="n">
        <x:f>'Расчет'!G64</x:f>
        <x:v>0</x:v>
      </x:c>
      <x:c r="C73" s="83" t="n">
        <x:f>'Расчет'!H64</x:f>
        <x:v>0</x:v>
      </x:c>
      <x:c r="D73" s="83" t="str">
        <x:f>IFERROR(VLOOKUP('Расчет'!B64,'Сезонность'!$A$4:$D$15,4,FALSE),"")</x:f>
      </x:c>
      <x:c r="E73" s="83" t="n">
        <x:f>'Расчет'!J64</x:f>
        <x:v>0</x:v>
      </x:c>
      <x:c r="F73" s="83" t="n">
        <x:f>'Расчет'!K64</x:f>
        <x:v>0</x:v>
      </x:c>
      <x:c r="G73" s="81" t="n">
        <x:f>'Расчет'!L64</x:f>
        <x:v>0</x:v>
      </x:c>
      <x:c r="H73" s="81" t="str">
        <x: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x:f>
      </x:c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36d3f13d0fe447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6" hidden="0" customWidth="1"/>
    <x:col min="4" max="4" width="22" hidden="0" customWidth="1"/>
    <x:col min="5" max="5" width="18" hidden="0" customWidth="1"/>
    <x:col min="6" max="6" width="14" hidden="0" customWidth="1"/>
    <x:col min="7" max="7" width="32" hidden="0" customWidth="1"/>
    <x:col min="8" max="8" width="44" hidden="0" customWidth="1"/>
  </x:cols>
  <x:sheetData>
    <x:row r="1" ht="28" customHeight="1">
      <x:c r="A1" s="111" t="str">
        <x:v>Журнал выгрузки исходных данных</x:v>
      </x:c>
      <x:c r="B1" s="111"/>
      <x:c r="C1" s="111"/>
      <x:c r="D1" s="111"/>
      <x:c r="E1" s="111"/>
      <x:c r="F1" s="111"/>
      <x:c r="G1" s="111"/>
      <x:c r="H1" s="111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>
      <x:c r="A3" s="80" t="str">
        <x:v>Дата выгрузки</x:v>
      </x:c>
      <x:c r="B3" s="80" t="str">
        <x:v>Источник</x:v>
      </x:c>
      <x:c r="C3" s="80" t="str">
        <x:v>Запрос / кластер</x:v>
      </x:c>
      <x:c r="D3" s="80" t="str">
        <x:v>Регион</x:v>
      </x:c>
      <x:c r="E3" s="80" t="str">
        <x:v>Период</x:v>
      </x:c>
      <x:c r="F3" s="80" t="str">
        <x:v>Формат файла</x:v>
      </x:c>
      <x:c r="G3" s="80" t="str">
        <x:v>Имя файла</x:v>
      </x:c>
      <x:c r="H3" s="80" t="str">
        <x:v>Примечание</x:v>
      </x:c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>
      <x:c r="A4" s="108" t="n">
        <x:v>46144</x:v>
      </x:c>
      <x:c r="B4" s="81" t="str">
        <x:v>Google Trends</x:v>
      </x:c>
      <x:c r="C4" s="81" t="str">
        <x:v>маркетинг / продвижение бизнеса / реклама</x:v>
      </x:c>
      <x:c r="D4" s="81" t="str">
        <x:v>Беларусь</x:v>
      </x:c>
      <x:c r="E4" s="81" t="str">
        <x:v>2023-01—2025-12</x:v>
      </x:c>
      <x:c r="F4" s="81" t="str">
        <x:v>CSV</x:v>
      </x:c>
      <x:c r="G4" s="81" t="str">
        <x:v>google_trends_marketing_by_month.csv</x:v>
      </x:c>
      <x:c r="H4" s="81" t="str">
        <x:v>пример записи; заменить фактической выгрузкой</x:v>
      </x:c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>
      <x:c r="A5" s="108" t="n">
        <x:v>46144</x:v>
      </x:c>
      <x:c r="B5" s="81" t="str">
        <x:v>Яндекс Вордстат</x:v>
      </x:c>
      <x:c r="C5" s="81" t="str">
        <x:v>маркетинговые услуги / смм / реклама</x:v>
      </x:c>
      <x:c r="D5" s="81" t="str">
        <x:v>Республика Беларусь</x:v>
      </x:c>
      <x:c r="E5" s="81" t="str">
        <x:v>2023-01—2025-12</x:v>
      </x:c>
      <x:c r="F5" s="81" t="str">
        <x:v>XLSX/CSV</x:v>
      </x:c>
      <x:c r="G5" s="81" t="str">
        <x:v>wordstat_marketing_rb.xlsx</x:v>
      </x:c>
      <x:c r="H5" s="81" t="str">
        <x:v>пример записи; заменить фактической выгрузкой</x:v>
      </x:c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>
      <x:c r="A6" s="108"/>
      <x:c r="B6" s="81"/>
      <x:c r="C6" s="81"/>
      <x:c r="D6" s="81"/>
      <x:c r="E6" s="81"/>
      <x:c r="F6" s="81"/>
      <x:c r="G6" s="81"/>
      <x:c r="H6" s="81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>
      <x:c r="A7" s="108"/>
      <x:c r="B7" s="81"/>
      <x:c r="C7" s="81"/>
      <x:c r="D7" s="81"/>
      <x:c r="E7" s="81"/>
      <x:c r="F7" s="81"/>
      <x:c r="G7" s="81"/>
      <x:c r="H7" s="81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>
      <x:c r="A8" s="108"/>
      <x:c r="B8" s="81"/>
      <x:c r="C8" s="81"/>
      <x:c r="D8" s="81"/>
      <x:c r="E8" s="81"/>
      <x:c r="F8" s="81"/>
      <x:c r="G8" s="81"/>
      <x:c r="H8" s="81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>
      <x:c r="A9" s="108"/>
      <x:c r="B9" s="81"/>
      <x:c r="C9" s="81"/>
      <x:c r="D9" s="81"/>
      <x:c r="E9" s="81"/>
      <x:c r="F9" s="81"/>
      <x:c r="G9" s="81"/>
      <x:c r="H9" s="81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>
      <x:c r="A10" s="108"/>
      <x:c r="B10" s="81"/>
      <x:c r="C10" s="81"/>
      <x:c r="D10" s="81"/>
      <x:c r="E10" s="81"/>
      <x:c r="F10" s="81"/>
      <x:c r="G10" s="81"/>
      <x:c r="H10" s="81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>
      <x:c r="A11" s="108"/>
      <x:c r="B11" s="81"/>
      <x:c r="C11" s="81"/>
      <x:c r="D11" s="81"/>
      <x:c r="E11" s="81"/>
      <x:c r="F11" s="81"/>
      <x:c r="G11" s="81"/>
      <x:c r="H11" s="81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>
      <x:c r="A12" s="108"/>
      <x:c r="B12" s="81"/>
      <x:c r="C12" s="81"/>
      <x:c r="D12" s="81"/>
      <x:c r="E12" s="81"/>
      <x:c r="F12" s="81"/>
      <x:c r="G12" s="81"/>
      <x:c r="H12" s="81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>
      <x:c r="A13" s="108"/>
      <x:c r="B13" s="81"/>
      <x:c r="C13" s="81"/>
      <x:c r="D13" s="81"/>
      <x:c r="E13" s="81"/>
      <x:c r="F13" s="81"/>
      <x:c r="G13" s="81"/>
      <x:c r="H13" s="81"/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>
      <x:c r="A14" s="108"/>
      <x:c r="B14" s="81"/>
      <x:c r="C14" s="81"/>
      <x:c r="D14" s="81"/>
      <x:c r="E14" s="81"/>
      <x:c r="F14" s="81"/>
      <x:c r="G14" s="81"/>
      <x:c r="H14" s="81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>
      <x:c r="A15" s="108"/>
      <x:c r="B15" s="81"/>
      <x:c r="C15" s="81"/>
      <x:c r="D15" s="81"/>
      <x:c r="E15" s="81"/>
      <x:c r="F15" s="81"/>
      <x:c r="G15" s="81"/>
      <x:c r="H15" s="81"/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>
      <x:c r="A16" s="108"/>
      <x:c r="B16" s="81"/>
      <x:c r="C16" s="81"/>
      <x:c r="D16" s="81"/>
      <x:c r="E16" s="81"/>
      <x:c r="F16" s="81"/>
      <x:c r="G16" s="81"/>
      <x:c r="H16" s="81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>
      <x:c r="A17" s="108"/>
      <x:c r="B17" s="81"/>
      <x:c r="C17" s="81"/>
      <x:c r="D17" s="81"/>
      <x:c r="E17" s="81"/>
      <x:c r="F17" s="81"/>
      <x:c r="G17" s="81"/>
      <x:c r="H17" s="81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>
      <x:c r="A18" s="108"/>
      <x:c r="B18" s="81"/>
      <x:c r="C18" s="81"/>
      <x:c r="D18" s="81"/>
      <x:c r="E18" s="81"/>
      <x:c r="F18" s="81"/>
      <x:c r="G18" s="81"/>
      <x:c r="H18" s="81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>
      <x:c r="A19" s="108"/>
      <x:c r="B19" s="81"/>
      <x:c r="C19" s="81"/>
      <x:c r="D19" s="81"/>
      <x:c r="E19" s="81"/>
      <x:c r="F19" s="81"/>
      <x:c r="G19" s="81"/>
      <x:c r="H19" s="81"/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>
      <x:c r="A20" s="108"/>
      <x:c r="B20" s="81"/>
      <x:c r="C20" s="81"/>
      <x:c r="D20" s="81"/>
      <x:c r="E20" s="81"/>
      <x:c r="F20" s="81"/>
      <x:c r="G20" s="81"/>
      <x:c r="H20" s="81"/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>
      <x:c r="A21" s="108"/>
      <x:c r="B21" s="81"/>
      <x:c r="C21" s="81"/>
      <x:c r="D21" s="81"/>
      <x:c r="E21" s="81"/>
      <x:c r="F21" s="81"/>
      <x:c r="G21" s="81"/>
      <x:c r="H21" s="81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>
      <x:c r="A22" s="108"/>
      <x:c r="B22" s="81"/>
      <x:c r="C22" s="81"/>
      <x:c r="D22" s="81"/>
      <x:c r="E22" s="81"/>
      <x:c r="F22" s="81"/>
      <x:c r="G22" s="81"/>
      <x:c r="H22" s="81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>
      <x:c r="A23" s="108"/>
      <x:c r="B23" s="81"/>
      <x:c r="C23" s="81"/>
      <x:c r="D23" s="81"/>
      <x:c r="E23" s="81"/>
      <x:c r="F23" s="81"/>
      <x:c r="G23" s="81"/>
      <x:c r="H23" s="81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79"/>
      <x:c r="B61" s="79"/>
      <x:c r="C61" s="79"/>
      <x:c r="D61" s="79"/>
      <x:c r="E61" s="79"/>
      <x:c r="F61" s="79"/>
      <x:c r="G61" s="79"/>
      <x:c r="H61" s="79"/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79"/>
      <x:c r="B63" s="79"/>
      <x:c r="C63" s="79"/>
      <x:c r="D63" s="79"/>
      <x:c r="E63" s="79"/>
      <x:c r="F63" s="79"/>
      <x:c r="G63" s="79"/>
      <x:c r="H63" s="79"/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79"/>
      <x:c r="B64" s="79"/>
      <x:c r="C64" s="79"/>
      <x:c r="D64" s="79"/>
      <x:c r="E64" s="79"/>
      <x:c r="F64" s="79"/>
      <x:c r="G64" s="79"/>
      <x:c r="H64" s="79"/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b00fa8c2d9045e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42" hidden="0" customWidth="1"/>
    <x:col min="4" max="4" width="32" hidden="0" customWidth="1"/>
    <x:col min="5" max="5" width="42" hidden="0" customWidth="1"/>
    <x:col min="6" max="6" width="48" hidden="0" customWidth="1"/>
  </x:cols>
  <x:sheetData>
    <x:row r="1" ht="28" customHeight="1">
      <x:c r="A1" s="111" t="str">
        <x:v>Методика использования файла и источники</x:v>
      </x:c>
      <x:c r="B1" s="111"/>
      <x:c r="C1" s="111"/>
      <x:c r="D1" s="111"/>
      <x:c r="E1" s="111"/>
      <x:c r="F1" s="111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>
      <x:c r="A3" s="80" t="str">
        <x:v>Раздел</x:v>
      </x:c>
      <x:c r="B3" s="80" t="str">
        <x:v>Содержание</x:v>
      </x:c>
      <x:c r="C3" s="80" t="str">
        <x:v>Практическое действие</x:v>
      </x:c>
      <x:c r="D3" s="80" t="str">
        <x:v>Результат</x:v>
      </x:c>
      <x:c r="E3" s="80" t="str">
        <x:v>Ограничение</x:v>
      </x:c>
      <x:c r="F3" s="80" t="str">
        <x:v>Источник</x:v>
      </x:c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>
      <x:c r="A4" s="81" t="str">
        <x:v>1. Сбор данных</x:v>
      </x:c>
      <x:c r="B4" s="81" t="str">
        <x:v>Выгрузить данные из Google Trends и Яндекс Вордстат за одинаковый период и одну территорию.</x:v>
      </x:c>
      <x:c r="C4" s="81" t="str">
        <x:v>Зафиксировать регион, период, запросы, категорию и тип поиска.</x:v>
      </x:c>
      <x:c r="D4" s="81" t="str">
        <x:v>Сопоставимый временной ряд.</x:v>
      </x:c>
      <x:c r="E4" s="81" t="str">
        <x:v>Разные источники отражают разные аудитории.</x:v>
      </x:c>
      <x:c r="F4" s="81" t="str">
        <x:v>https://support.google.com/trends/answer/4365538?hl=en</x:v>
      </x:c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>
      <x:c r="A5" s="81" t="str">
        <x:v>2. Нормирование</x:v>
      </x:c>
      <x:c r="B5" s="81" t="str">
        <x:v>Google Trends уже представлен как индекс 0–100; Вордстат нормируется относительно максимума в выбранном ряду.</x:v>
      </x:c>
      <x:c r="C5" s="81" t="str">
        <x:v>Ввести фактические значения на лист «Ввод_данных».</x:v>
      </x:c>
      <x:c r="D5" s="81" t="str">
        <x:v>Сводный индекс интереса.</x:v>
      </x:c>
      <x:c r="E5" s="81" t="str">
        <x:v>Нормирование не превращает поисковый интерес в размер рынка.</x:v>
      </x:c>
      <x:c r="F5" s="81" t="str">
        <x:v>https://support.google.com/trends/answer/4365533?hl=en</x:v>
      </x:c>
      <x:c r="G5" s="79"/>
      <x:c r="H5" s="79"/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>
      <x:c r="A6" s="81" t="str">
        <x:v>3. Тренд</x:v>
      </x:c>
      <x:c r="B6" s="81" t="str">
        <x:v>Тренд оценивается через средние значения и скользящее среднее за 12 месяцев.</x:v>
      </x:c>
      <x:c r="C6" s="81" t="str">
        <x:v>Смотреть лист «Оценка_тренда».</x:v>
      </x:c>
      <x:c r="D6" s="81" t="str">
        <x:v>Рост, стабильность или снижение интереса.</x:v>
      </x:c>
      <x:c r="E6" s="81" t="str">
        <x:v>Короткие ряды менее надежны.</x:v>
      </x:c>
      <x:c r="F6" s="81" t="str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>
      <x:c r="A7" s="81" t="str">
        <x:v>4. Сезонность</x:v>
      </x:c>
      <x:c r="B7" s="81" t="str">
        <x:v>Сезонный индекс показывает, в какие месяцы интерес выше или ниже среднего трендового уровня.</x:v>
      </x:c>
      <x:c r="C7" s="81" t="str">
        <x:v>Смотреть лист «Сезонность».</x:v>
      </x:c>
      <x:c r="D7" s="81" t="str">
        <x:v>Месяцы максимального и минимального спроса.</x:v>
      </x:c>
      <x:c r="E7" s="81" t="str">
        <x:v>Сезонность корректнее оценивать по данным за 2–3 года и более.</x:v>
      </x:c>
      <x:c r="F7" s="81" t="str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>
      <x:c r="A8" s="81" t="str">
        <x:v>5. Циклы спроса</x:v>
      </x:c>
      <x:c r="B8" s="81" t="str">
        <x:v>Циклический коэффициент показывает отклонение от тренда с учетом сезонности.</x:v>
      </x:c>
      <x:c r="C8" s="81" t="str">
        <x:v>Смотреть лист «Деловые_циклы».</x:v>
      </x:c>
      <x:c r="D8" s="81" t="str">
        <x:v>Периоды выше или ниже нормального уровня спроса.</x:v>
      </x:c>
      <x:c r="E8" s="81" t="str">
        <x:v>Это поисковый цикл спроса, а не прямое измерение макроэкономического делового цикла.</x:v>
      </x:c>
      <x:c r="F8" s="81" t="str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>
      <x:c r="A9" s="81" t="str">
        <x:v>6. Яндекс Вордстат</x:v>
      </x:c>
      <x:c r="B9" s="81" t="str">
        <x:v>Вордстат показывает статистику поисковых запросов к Яндексу, динамику популярности и региональные различия.</x:v>
      </x:c>
      <x:c r="C9" s="81" t="str">
        <x:v>Использовать одинаковые запросы и географические настройки.</x:v>
      </x:c>
      <x:c r="D9" s="81" t="str">
        <x:v>Оценка интереса аудитории Яндекса.</x:v>
      </x:c>
      <x:c r="E9" s="81" t="str">
        <x:v>Не отражает весь интернет-рынок.</x:v>
      </x:c>
      <x:c r="F9" s="81" t="str">
        <x:v>https://wordstat.yandex.ru/</x:v>
      </x:c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>
      <x:c r="A10" s="79"/>
      <x:c r="B10" s="79"/>
      <x:c r="C10" s="79"/>
      <x:c r="D10" s="79"/>
      <x:c r="E10" s="79"/>
      <x:c r="F10" s="79"/>
      <x:c r="G10" s="79"/>
      <x:c r="H10" s="79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>
      <x:c r="A11" s="79"/>
      <x:c r="B11" s="79"/>
      <x:c r="C11" s="79"/>
      <x:c r="D11" s="79"/>
      <x:c r="E11" s="79"/>
      <x:c r="F11" s="79"/>
      <x:c r="G11" s="79"/>
      <x:c r="H11" s="79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>
      <x:c r="A12" s="79"/>
      <x:c r="B12" s="79"/>
      <x:c r="C12" s="79"/>
      <x:c r="D12" s="79"/>
      <x:c r="E12" s="79"/>
      <x:c r="F12" s="79"/>
      <x:c r="G12" s="79"/>
      <x:c r="H12" s="79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>
      <x:c r="A13" s="79"/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>
      <x:c r="A14" s="79"/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>
      <x:c r="A15" s="79"/>
      <x:c r="B15" s="79"/>
      <x:c r="C15" s="79"/>
      <x:c r="D15" s="79"/>
      <x:c r="E15" s="79"/>
      <x:c r="F15" s="79"/>
      <x:c r="G15" s="79"/>
      <x:c r="H15" s="79"/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>
      <x:c r="A16" s="79"/>
      <x:c r="B16" s="79"/>
      <x:c r="C16" s="79"/>
      <x:c r="D16" s="79"/>
      <x:c r="E16" s="79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>
      <x:c r="A17" s="79"/>
      <x:c r="B17" s="79"/>
      <x:c r="C17" s="79"/>
      <x:c r="D17" s="79"/>
      <x:c r="E17" s="79"/>
      <x:c r="F17" s="79"/>
      <x:c r="G17" s="79"/>
      <x:c r="H17" s="79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>
      <x:c r="A19" s="79"/>
      <x:c r="B19" s="79"/>
      <x:c r="C19" s="79"/>
      <x:c r="D19" s="79"/>
      <x:c r="E19" s="79"/>
      <x:c r="F19" s="79"/>
      <x:c r="G19" s="79"/>
      <x:c r="H19" s="79"/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>
      <x:c r="A20" s="79"/>
      <x:c r="B20" s="79"/>
      <x:c r="C20" s="79"/>
      <x:c r="D20" s="79"/>
      <x:c r="E20" s="79"/>
      <x:c r="F20" s="79"/>
      <x:c r="G20" s="79"/>
      <x:c r="H20" s="79"/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79"/>
      <x:c r="B61" s="79"/>
      <x:c r="C61" s="79"/>
      <x:c r="D61" s="79"/>
      <x:c r="E61" s="79"/>
      <x:c r="F61" s="79"/>
      <x:c r="G61" s="79"/>
      <x:c r="H61" s="79"/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79"/>
      <x:c r="B63" s="79"/>
      <x:c r="C63" s="79"/>
      <x:c r="D63" s="79"/>
      <x:c r="E63" s="79"/>
      <x:c r="F63" s="79"/>
      <x:c r="G63" s="79"/>
      <x:c r="H63" s="79"/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79"/>
      <x:c r="B64" s="79"/>
      <x:c r="C64" s="79"/>
      <x:c r="D64" s="79"/>
      <x:c r="E64" s="79"/>
      <x:c r="F64" s="79"/>
      <x:c r="G64" s="79"/>
      <x:c r="H64" s="79"/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2bf3cacb6db419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52" hidden="0" customWidth="1"/>
    <x:col min="4" max="4" width="22" hidden="0" customWidth="1"/>
  </x:cols>
  <x:sheetData>
    <x:row r="1" ht="28" customHeight="1">
      <x:c r="A1" s="111" t="str">
        <x:v>Настройки модели оценки тренда, сезонности и циклов</x:v>
      </x:c>
      <x:c r="B1" s="111"/>
      <x:c r="C1" s="111"/>
      <x:c r="D1" s="111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>
      <x:c r="A3" s="80" t="str">
        <x:v>Параметр</x:v>
      </x:c>
      <x:c r="B3" s="80" t="str">
        <x:v>Значение</x:v>
      </x:c>
      <x:c r="C3" s="80" t="str">
        <x:v>Назначение</x:v>
      </x:c>
      <x:c r="D3" s="80" t="str">
        <x:v>Рекомендация</x:v>
      </x:c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>
      <x:c r="A4" s="81" t="str">
        <x:v>Вес Google Trends</x:v>
      </x:c>
      <x:c r="B4" s="83" t="n">
        <x:v>0.5</x:v>
      </x:c>
      <x:c r="C4" s="81" t="str">
        <x:v>Доля индекса Google Trends в сводном индексе</x:v>
      </x:c>
      <x:c r="D4" s="81" t="str">
        <x:v>0,40–0,60</x:v>
      </x:c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>
      <x:c r="A5" s="81" t="str">
        <x:v>Вес Яндекс Вордстат</x:v>
      </x:c>
      <x:c r="B5" s="83" t="n">
        <x:v>0.5</x:v>
      </x:c>
      <x:c r="C5" s="81" t="str">
        <x:v>Доля нормированного показателя Вордстат в сводном индексе</x:v>
      </x:c>
      <x:c r="D5" s="81" t="str">
        <x:v>0,40–0,60</x:v>
      </x:c>
      <x:c r="E5" s="79"/>
      <x:c r="F5" s="79"/>
      <x:c r="G5" s="79"/>
      <x:c r="H5" s="79"/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>
      <x:c r="A6" s="81" t="str">
        <x:v>Окно скользящего среднего, мес.</x:v>
      </x:c>
      <x:c r="B6" s="83" t="n">
        <x:v>12</x:v>
      </x:c>
      <x:c r="C6" s="81" t="str">
        <x:v>Период сглаживания для оценки тренда</x:v>
      </x:c>
      <x:c r="D6" s="81" t="str">
        <x:v>12 месяцев</x:v>
      </x:c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>
      <x:c r="A7" s="81" t="str">
        <x:v>Порог сильной сезонности</x:v>
      </x:c>
      <x:c r="B7" s="83" t="n">
        <x:v>0.3</x:v>
      </x:c>
      <x:c r="C7" s="81" t="str">
        <x:v>Амплитуда сезонных индексов, при которой сезонность считается выраженной</x:v>
      </x:c>
      <x:c r="D7" s="81" t="str">
        <x:v>0,25–0,35</x:v>
      </x:c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>
      <x:c r="A8" s="81" t="str">
        <x:v>Порог слабой сезонности</x:v>
      </x:c>
      <x:c r="B8" s="83" t="n">
        <x:v>0.15</x:v>
      </x:c>
      <x:c r="C8" s="81" t="str">
        <x:v>Амплитуда сезонных индексов для умеренной сезонности</x:v>
      </x:c>
      <x:c r="D8" s="81" t="str">
        <x:v>0,10–0,20</x:v>
      </x:c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>
      <x:c r="A9" s="81" t="str">
        <x:v>Порог снижения тренда</x:v>
      </x:c>
      <x:c r="B9" s="83" t="n">
        <x:v>-0.15</x:v>
      </x:c>
      <x:c r="C9" s="81" t="str">
        <x:v>Граница для классификации снижающегося тренда</x:v>
      </x:c>
      <x:c r="D9" s="81" t="str">
        <x:v>-15%</x:v>
      </x:c>
      <x:c r="E9" s="79"/>
      <x:c r="F9" s="79"/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>
      <x:c r="A10" s="81" t="str">
        <x:v>Порог роста тренда</x:v>
      </x:c>
      <x:c r="B10" s="83" t="n">
        <x:v>0.15</x:v>
      </x:c>
      <x:c r="C10" s="81" t="str">
        <x:v>Граница для классификации растущего тренда</x:v>
      </x:c>
      <x:c r="D10" s="81" t="str">
        <x:v>+15%</x:v>
      </x:c>
      <x:c r="E10" s="79"/>
      <x:c r="F10" s="79"/>
      <x:c r="G10" s="79"/>
      <x:c r="H10" s="79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>
      <x:c r="A11" s="81" t="str">
        <x:v>Нижний порог цикла</x:v>
      </x:c>
      <x:c r="B11" s="83" t="n">
        <x:v>0.9</x:v>
      </x:c>
      <x:c r="C11" s="81" t="str">
        <x:v>Ниже этого значения спрос считается ниже трендового уровня</x:v>
      </x:c>
      <x:c r="D11" s="81" t="str">
        <x:v>0,90</x:v>
      </x:c>
      <x:c r="E11" s="79"/>
      <x:c r="F11" s="79"/>
      <x:c r="G11" s="79"/>
      <x:c r="H11" s="79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>
      <x:c r="A12" s="81" t="str">
        <x:v>Верхний порог цикла</x:v>
      </x:c>
      <x:c r="B12" s="83" t="n">
        <x:v>1.1</x:v>
      </x:c>
      <x:c r="C12" s="81" t="str">
        <x:v>Выше этого значения спрос считается выше трендового уровня</x:v>
      </x:c>
      <x:c r="D12" s="81" t="str">
        <x:v>1,10</x:v>
      </x:c>
      <x:c r="E12" s="79"/>
      <x:c r="F12" s="79"/>
      <x:c r="G12" s="79"/>
      <x:c r="H12" s="79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>
      <x:c r="A13" s="79"/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>
      <x:c r="A14" s="79"/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>
      <x:c r="A15" s="79"/>
      <x:c r="B15" s="79"/>
      <x:c r="C15" s="79"/>
      <x:c r="D15" s="79"/>
      <x:c r="E15" s="79"/>
      <x:c r="F15" s="79"/>
      <x:c r="G15" s="79"/>
      <x:c r="H15" s="79"/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>
      <x:c r="A16" s="79"/>
      <x:c r="B16" s="79"/>
      <x:c r="C16" s="79"/>
      <x:c r="D16" s="79"/>
      <x:c r="E16" s="79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>
      <x:c r="A17" s="79"/>
      <x:c r="B17" s="79"/>
      <x:c r="C17" s="79"/>
      <x:c r="D17" s="79"/>
      <x:c r="E17" s="79"/>
      <x:c r="F17" s="79"/>
      <x:c r="G17" s="79"/>
      <x:c r="H17" s="79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>
      <x:c r="A19" s="79"/>
      <x:c r="B19" s="79"/>
      <x:c r="C19" s="79"/>
      <x:c r="D19" s="79"/>
      <x:c r="E19" s="79"/>
      <x:c r="F19" s="79"/>
      <x:c r="G19" s="79"/>
      <x:c r="H19" s="79"/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>
      <x:c r="A20" s="79"/>
      <x:c r="B20" s="79"/>
      <x:c r="C20" s="79"/>
      <x:c r="D20" s="79"/>
      <x:c r="E20" s="79"/>
      <x:c r="F20" s="79"/>
      <x:c r="G20" s="79"/>
      <x:c r="H20" s="79"/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</x:row>
    <x:row r="61">
      <x:c r="A61" s="79"/>
      <x:c r="B61" s="79"/>
      <x:c r="C61" s="79"/>
      <x:c r="D61" s="79"/>
      <x:c r="E61" s="79"/>
      <x:c r="F61" s="79"/>
      <x:c r="G61" s="79"/>
      <x:c r="H61" s="79"/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</x:row>
    <x:row r="63">
      <x:c r="A63" s="79"/>
      <x:c r="B63" s="79"/>
      <x:c r="C63" s="79"/>
      <x:c r="D63" s="79"/>
      <x:c r="E63" s="79"/>
      <x:c r="F63" s="79"/>
      <x:c r="G63" s="79"/>
      <x:c r="H63" s="79"/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</x:row>
    <x:row r="64">
      <x:c r="A64" s="79"/>
      <x:c r="B64" s="79"/>
      <x:c r="C64" s="79"/>
      <x:c r="D64" s="79"/>
      <x:c r="E64" s="79"/>
      <x:c r="F64" s="79"/>
      <x:c r="G64" s="79"/>
      <x:c r="H64" s="79"/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53aaec63574415c"/>
  </x:tableParts>
</x:worksheet>
</file>