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C0DE5859-3E59-4021-B667-37FE0AB154C6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A63" i="3"/>
  <c r="E62" i="3"/>
  <c r="F62" i="3" s="1"/>
  <c r="D62" i="3"/>
  <c r="G62" i="3" s="1"/>
  <c r="A62" i="3"/>
  <c r="E61" i="3"/>
  <c r="F61" i="3" s="1"/>
  <c r="D61" i="3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G56" i="3" s="1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G53" i="3" s="1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G47" i="3" s="1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F26" i="3" l="1"/>
  <c r="F25" i="3"/>
  <c r="F28" i="3"/>
  <c r="F27" i="3"/>
  <c r="G48" i="3"/>
  <c r="F23" i="3"/>
  <c r="G23" i="3" s="1"/>
  <c r="G49" i="3"/>
  <c r="F24" i="3"/>
  <c r="G24" i="3" s="1"/>
  <c r="G61" i="3"/>
  <c r="G46" i="3"/>
  <c r="G59" i="3"/>
  <c r="F21" i="3"/>
  <c r="G21" i="3" s="1"/>
  <c r="F22" i="3"/>
  <c r="G22" i="3" s="1"/>
  <c r="G55" i="3"/>
  <c r="F16" i="3"/>
  <c r="G16" i="3" s="1"/>
  <c r="F20" i="3"/>
  <c r="G20" i="3" s="1"/>
  <c r="F17" i="3"/>
  <c r="G17" i="3" s="1"/>
  <c r="B26" i="6" s="1"/>
  <c r="F19" i="3"/>
  <c r="G19" i="3" s="1"/>
  <c r="B28" i="6" s="1"/>
  <c r="F18" i="3"/>
  <c r="G18" i="3" s="1"/>
  <c r="B27" i="6" s="1"/>
  <c r="G57" i="3"/>
  <c r="G63" i="3"/>
  <c r="G54" i="3"/>
  <c r="G52" i="3"/>
  <c r="G43" i="3"/>
  <c r="F15" i="3"/>
  <c r="G15" i="3" s="1"/>
  <c r="G50" i="3"/>
  <c r="F14" i="3"/>
  <c r="G14" i="3" s="1"/>
  <c r="F13" i="3"/>
  <c r="G13" i="3" s="1"/>
  <c r="F12" i="3"/>
  <c r="G12" i="3" s="1"/>
  <c r="F11" i="3"/>
  <c r="G11" i="3" s="1"/>
  <c r="B20" i="6" s="1"/>
  <c r="G58" i="3"/>
  <c r="F10" i="3"/>
  <c r="G10" i="3" s="1"/>
  <c r="B19" i="6" s="1"/>
  <c r="G41" i="3"/>
  <c r="F9" i="3"/>
  <c r="G9" i="3" s="1"/>
  <c r="B18" i="6" s="1"/>
  <c r="F8" i="3"/>
  <c r="G8" i="3" s="1"/>
  <c r="B17" i="6" s="1"/>
  <c r="G45" i="3"/>
  <c r="F7" i="3"/>
  <c r="G7" i="3" s="1"/>
  <c r="F6" i="3"/>
  <c r="G6" i="3" s="1"/>
  <c r="G26" i="3"/>
  <c r="B35" i="6" s="1"/>
  <c r="G64" i="3"/>
  <c r="G51" i="3"/>
  <c r="G44" i="3"/>
  <c r="A73" i="6"/>
  <c r="B64" i="3"/>
  <c r="C64" i="3"/>
  <c r="A72" i="6"/>
  <c r="B63" i="3"/>
  <c r="C63" i="3"/>
  <c r="B71" i="6"/>
  <c r="N62" i="3"/>
  <c r="A71" i="6"/>
  <c r="C62" i="3"/>
  <c r="B62" i="3"/>
  <c r="A70" i="6"/>
  <c r="B61" i="3"/>
  <c r="C61" i="3"/>
  <c r="N60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N56" i="3"/>
  <c r="B65" i="6"/>
  <c r="A65" i="6"/>
  <c r="C56" i="3"/>
  <c r="B56" i="3"/>
  <c r="A64" i="6"/>
  <c r="B55" i="3"/>
  <c r="C55" i="3"/>
  <c r="A63" i="6"/>
  <c r="B54" i="3"/>
  <c r="C54" i="3"/>
  <c r="B62" i="6"/>
  <c r="N53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N47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G39" i="3"/>
  <c r="G37" i="3"/>
  <c r="G30" i="3"/>
  <c r="G28" i="3"/>
  <c r="G38" i="3"/>
  <c r="G36" i="3"/>
  <c r="G35" i="3"/>
  <c r="G34" i="3"/>
  <c r="G31" i="3"/>
  <c r="G40" i="3"/>
  <c r="G33" i="3"/>
  <c r="G32" i="3"/>
  <c r="G27" i="3"/>
  <c r="G25" i="3"/>
  <c r="G42" i="3"/>
  <c r="N48" i="3" l="1"/>
  <c r="B57" i="6"/>
  <c r="N61" i="3"/>
  <c r="B70" i="6"/>
  <c r="N59" i="3"/>
  <c r="B68" i="6"/>
  <c r="B58" i="6"/>
  <c r="N49" i="3"/>
  <c r="B55" i="6"/>
  <c r="N46" i="3"/>
  <c r="N55" i="3"/>
  <c r="B64" i="6"/>
  <c r="B66" i="6"/>
  <c r="N57" i="3"/>
  <c r="B72" i="6"/>
  <c r="N63" i="3"/>
  <c r="N54" i="3"/>
  <c r="B63" i="6"/>
  <c r="B61" i="6"/>
  <c r="N52" i="3"/>
  <c r="B52" i="6"/>
  <c r="N43" i="3"/>
  <c r="N50" i="3"/>
  <c r="B59" i="6"/>
  <c r="B67" i="6"/>
  <c r="N58" i="3"/>
  <c r="N41" i="3"/>
  <c r="B50" i="6"/>
  <c r="N64" i="3"/>
  <c r="B73" i="6"/>
  <c r="N45" i="3"/>
  <c r="B54" i="6"/>
  <c r="H5" i="3"/>
  <c r="B14" i="6"/>
  <c r="N5" i="3"/>
  <c r="H64" i="3"/>
  <c r="N51" i="3"/>
  <c r="B60" i="6"/>
  <c r="N44" i="3"/>
  <c r="B53" i="6"/>
  <c r="D68" i="6"/>
  <c r="J59" i="3"/>
  <c r="E68" i="6" s="1"/>
  <c r="D50" i="6"/>
  <c r="J41" i="3"/>
  <c r="E50" i="6" s="1"/>
  <c r="H29" i="3"/>
  <c r="I29" i="3" s="1"/>
  <c r="N29" i="3"/>
  <c r="B38" i="6"/>
  <c r="N39" i="3"/>
  <c r="H39" i="3"/>
  <c r="B48" i="6"/>
  <c r="B46" i="6"/>
  <c r="H37" i="3"/>
  <c r="I37" i="3" s="1"/>
  <c r="N37" i="3"/>
  <c r="B39" i="6"/>
  <c r="N30" i="3"/>
  <c r="H30" i="3"/>
  <c r="B37" i="6"/>
  <c r="N28" i="3"/>
  <c r="H28" i="3"/>
  <c r="B47" i="6"/>
  <c r="N38" i="3"/>
  <c r="H38" i="3"/>
  <c r="B45" i="6"/>
  <c r="N36" i="3"/>
  <c r="H36" i="3"/>
  <c r="B44" i="6"/>
  <c r="N35" i="3"/>
  <c r="H35" i="3"/>
  <c r="H34" i="3"/>
  <c r="B43" i="6"/>
  <c r="N34" i="3"/>
  <c r="B40" i="6"/>
  <c r="H31" i="3"/>
  <c r="N31" i="3"/>
  <c r="B31" i="6"/>
  <c r="N22" i="3"/>
  <c r="H22" i="3"/>
  <c r="B30" i="6"/>
  <c r="N21" i="3"/>
  <c r="H21" i="3"/>
  <c r="B29" i="6"/>
  <c r="N20" i="3"/>
  <c r="H20" i="3"/>
  <c r="H40" i="3"/>
  <c r="B49" i="6"/>
  <c r="N40" i="3"/>
  <c r="N33" i="3"/>
  <c r="H33" i="3"/>
  <c r="B42" i="6"/>
  <c r="H32" i="3"/>
  <c r="B41" i="6"/>
  <c r="N32" i="3"/>
  <c r="B36" i="6"/>
  <c r="N27" i="3"/>
  <c r="H27" i="3"/>
  <c r="B34" i="6"/>
  <c r="N25" i="3"/>
  <c r="H25" i="3"/>
  <c r="B33" i="6"/>
  <c r="N24" i="3"/>
  <c r="H24" i="3"/>
  <c r="B32" i="6"/>
  <c r="N23" i="3"/>
  <c r="H23" i="3"/>
  <c r="B25" i="6"/>
  <c r="N16" i="3"/>
  <c r="H16" i="3"/>
  <c r="B24" i="6"/>
  <c r="N15" i="3"/>
  <c r="H15" i="3"/>
  <c r="H7" i="3"/>
  <c r="I7" i="3" s="1"/>
  <c r="B16" i="6"/>
  <c r="N7" i="3"/>
  <c r="H6" i="3"/>
  <c r="N6" i="3"/>
  <c r="B15" i="6"/>
  <c r="N42" i="3"/>
  <c r="B51" i="6"/>
  <c r="H42" i="3"/>
  <c r="J42" i="3"/>
  <c r="E51" i="6" s="1"/>
  <c r="N13" i="3"/>
  <c r="H13" i="3"/>
  <c r="B22" i="6"/>
  <c r="B23" i="6"/>
  <c r="N14" i="3"/>
  <c r="H14" i="3"/>
  <c r="H12" i="3"/>
  <c r="B21" i="6"/>
  <c r="N12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H62" i="3"/>
  <c r="H61" i="3"/>
  <c r="H60" i="3"/>
  <c r="H59" i="3"/>
  <c r="H52" i="3"/>
  <c r="H18" i="3"/>
  <c r="N18" i="3"/>
  <c r="H49" i="3"/>
  <c r="H46" i="3"/>
  <c r="H50" i="3"/>
  <c r="H53" i="3"/>
  <c r="H45" i="3"/>
  <c r="H48" i="3"/>
  <c r="H44" i="3"/>
  <c r="H43" i="3"/>
  <c r="H54" i="3"/>
  <c r="H41" i="3"/>
  <c r="H55" i="3"/>
  <c r="N26" i="3"/>
  <c r="H19" i="3"/>
  <c r="N19" i="3"/>
  <c r="H56" i="3"/>
  <c r="N17" i="3"/>
  <c r="H26" i="3"/>
  <c r="H57" i="3"/>
  <c r="N11" i="3"/>
  <c r="H58" i="3"/>
  <c r="H11" i="3"/>
  <c r="H10" i="3"/>
  <c r="H17" i="3"/>
  <c r="N10" i="3"/>
  <c r="N9" i="3"/>
  <c r="H47" i="3"/>
  <c r="H9" i="3"/>
  <c r="N8" i="3"/>
  <c r="H51" i="3"/>
  <c r="H8" i="3"/>
  <c r="H63" i="3"/>
  <c r="B4" i="5"/>
  <c r="C14" i="6" l="1"/>
  <c r="I5" i="3"/>
  <c r="K64" i="3"/>
  <c r="I64" i="3"/>
  <c r="C73" i="6"/>
  <c r="C40" i="6"/>
  <c r="I31" i="3"/>
  <c r="B9" i="5"/>
  <c r="C47" i="6"/>
  <c r="I38" i="3"/>
  <c r="C24" i="6"/>
  <c r="I15" i="3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20" i="6"/>
  <c r="I10" i="3"/>
  <c r="C19" i="6"/>
  <c r="I17" i="3"/>
  <c r="C26" i="6"/>
  <c r="K47" i="3"/>
  <c r="I47" i="3"/>
  <c r="C56" i="6"/>
  <c r="I9" i="3"/>
  <c r="C18" i="6"/>
  <c r="I51" i="3"/>
  <c r="K51" i="3"/>
  <c r="C60" i="6"/>
  <c r="I8" i="3"/>
  <c r="C17" i="6"/>
  <c r="I63" i="3"/>
  <c r="K63" i="3"/>
  <c r="C72" i="6"/>
  <c r="C6" i="1"/>
  <c r="B5" i="6"/>
  <c r="B6" i="5"/>
  <c r="B5" i="5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23" i="6"/>
  <c r="I14" i="3"/>
  <c r="C21" i="6"/>
  <c r="I12" i="3"/>
  <c r="C11" i="4" l="1"/>
  <c r="C5" i="4"/>
  <c r="C6" i="4"/>
  <c r="C8" i="4"/>
  <c r="C9" i="4"/>
  <c r="F73" i="6"/>
  <c r="L64" i="3"/>
  <c r="C7" i="4"/>
  <c r="C4" i="4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C10" i="4"/>
  <c r="C14" i="4"/>
  <c r="C15" i="4"/>
  <c r="C12" i="4"/>
  <c r="C13" i="4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  <c r="A17" i="1"/>
</calcChain>
</file>

<file path=xl/sharedStrings.xml><?xml version="1.0" encoding="utf-8"?>
<sst xmlns="http://schemas.openxmlformats.org/spreadsheetml/2006/main" count="470" uniqueCount="282">
  <si>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</si>
  <si>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</si>
  <si>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</si>
  <si>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</si>
  <si>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</si>
  <si>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</si>
  <si>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</si>
  <si>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</si>
  <si>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</si>
  <si>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</si>
  <si>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</si>
  <si>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</si>
  <si>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</si>
  <si>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</si>
  <si>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</si>
  <si>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</si>
  <si>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</si>
  <si>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</si>
  <si>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</si>
  <si>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</si>
  <si>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</si>
  <si>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</si>
  <si>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</si>
  <si>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</si>
  <si>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</si>
  <si>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</si>
  <si>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</si>
  <si>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</si>
  <si>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</si>
  <si>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</si>
  <si>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</si>
  <si>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</si>
  <si>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</si>
  <si>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</si>
  <si>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</si>
  <si>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</si>
  <si>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</si>
  <si>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</si>
  <si>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</si>
  <si>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</si>
  <si>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</si>
  <si>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</si>
  <si>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</si>
  <si>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</si>
  <si>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</si>
  <si>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</si>
  <si>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</si>
  <si>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</si>
  <si>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</si>
  <si>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</si>
  <si>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</si>
  <si>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</si>
  <si>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</si>
  <si>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</si>
  <si>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</si>
  <si>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</si>
  <si>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</si>
  <si>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</si>
  <si>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</si>
  <si>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</si>
  <si>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</si>
  <si>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</si>
  <si>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</si>
  <si>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</si>
  <si>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</si>
  <si>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</si>
  <si>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</si>
  <si>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</si>
  <si>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</si>
  <si>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</si>
  <si>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</si>
  <si>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</si>
  <si>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</si>
  <si>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</si>
  <si>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</si>
  <si>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</si>
  <si>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</si>
  <si>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</si>
  <si>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</si>
  <si>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</si>
  <si>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</si>
  <si>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</si>
  <si>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</si>
  <si>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</si>
  <si>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</si>
  <si>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</si>
  <si>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</si>
  <si>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</si>
  <si>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</si>
  <si>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</si>
  <si>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</si>
  <si>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</si>
  <si>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</si>
  <si>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</si>
  <si>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</si>
  <si>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</si>
  <si>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</si>
  <si>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</si>
  <si>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</si>
  <si>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</si>
  <si>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</si>
  <si>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</si>
  <si>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</si>
  <si>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</si>
  <si>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</si>
  <si>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</si>
  <si>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</si>
  <si>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</si>
  <si>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</si>
  <si>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</si>
  <si>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</si>
  <si>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</si>
  <si>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</si>
  <si>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</si>
  <si>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</si>
  <si>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</si>
  <si>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</si>
  <si>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</si>
  <si>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</si>
  <si>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</si>
  <si>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</si>
  <si>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</si>
  <si>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</si>
  <si>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</si>
  <si>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</si>
  <si>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</si>
  <si>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</si>
  <si>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</si>
  <si>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</si>
  <si>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</si>
  <si>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</si>
  <si>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</si>
  <si>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</si>
  <si>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</si>
  <si>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</si>
  <si>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</si>
  <si>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</si>
  <si>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</si>
  <si>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</si>
  <si>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</si>
  <si>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</si>
  <si>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</si>
  <si>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</si>
  <si>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</si>
  <si>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</si>
  <si>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</si>
  <si>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</si>
  <si>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</si>
  <si>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</si>
  <si>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</si>
  <si>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</si>
  <si>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</si>
  <si>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</si>
  <si>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</si>
  <si>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</si>
  <si>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</si>
  <si>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</si>
  <si>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</si>
  <si>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</si>
  <si>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</si>
  <si>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</si>
  <si>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</si>
  <si>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</si>
  <si>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</si>
  <si>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</si>
  <si>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</si>
  <si>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</si>
  <si>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</si>
  <si>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</si>
  <si>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</si>
  <si>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</si>
  <si>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</si>
  <si>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</si>
  <si>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</si>
  <si>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</si>
  <si>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</si>
  <si>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</si>
  <si>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</si>
  <si>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</si>
  <si>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</si>
  <si>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</si>
  <si>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</si>
  <si>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</si>
  <si>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uml</t>
  </si>
  <si>
    <t>GT: недостаточно данных для этой недели/месяца</t>
  </si>
  <si>
    <t>UML; BPMN</t>
  </si>
  <si>
    <t>2021-09—2026-09 (5 лет, неделя)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</si>
  <si>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</si>
  <si>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</si>
  <si>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</si>
  <si>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</si>
  <si>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</si>
  <si>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</si>
  <si>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</si>
  <si>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</si>
  <si>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</si>
  <si>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2025-09—2026-10 (12 мес.) + регионы + похожие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</si>
  <si>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</si>
  <si>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</si>
  <si>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</si>
  <si>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</si>
  <si>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</si>
  <si>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Беларусь (id=149)</t>
  </si>
  <si>
    <t>2024-09—2026-08 (24 мес., по месяцам)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</si>
  <si>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</si>
  <si>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</si>
  <si>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</si>
  <si>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</si>
  <si>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</si>
  <si>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</si>
  <si>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</si>
  <si>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</si>
  <si>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</si>
  <si>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</si>
  <si>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</si>
  <si>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</si>
  <si>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</si>
  <si>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</si>
  <si>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</si>
  <si>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</si>
  <si>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</si>
  <si>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</si>
  <si>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</si>
  <si>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</si>
  <si>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</si>
  <si>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</si>
  <si>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</si>
  <si>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</si>
  <si>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</si>
  <si>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</si>
  <si>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</si>
  <si>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</si>
  <si>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</si>
  <si>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</si>
  <si>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</si>
  <si>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</si>
  <si>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</si>
  <si>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</si>
  <si>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</si>
  <si>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3 недели с данными; регион с данными — только Минская область; похожих запросов нет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</si>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</sst>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58.161403508771926</c:v>
                </c:pt>
                <c:pt idx="1">
                  <c:v>55.375</c:v>
                </c:pt>
                <c:pt idx="2">
                  <c:v>67.192982456140356</c:v>
                </c:pt>
                <c:pt idx="3">
                  <c:v>64.2</c:v>
                </c:pt>
                <c:pt idx="4">
                  <c:v>30.480263157894736</c:v>
                </c:pt>
                <c:pt idx="5">
                  <c:v>29.611842105263158</c:v>
                </c:pt>
                <c:pt idx="6">
                  <c:v>42.029824561403508</c:v>
                </c:pt>
                <c:pt idx="7">
                  <c:v>30.070175438596493</c:v>
                </c:pt>
                <c:pt idx="8">
                  <c:v>59.791666666666671</c:v>
                </c:pt>
                <c:pt idx="9">
                  <c:v>38.738596491228073</c:v>
                </c:pt>
                <c:pt idx="10">
                  <c:v>11.807017543859649</c:v>
                </c:pt>
                <c:pt idx="11">
                  <c:v>9.1403508771929829</c:v>
                </c:pt>
                <c:pt idx="12">
                  <c:v>19.05263157894737</c:v>
                </c:pt>
                <c:pt idx="13">
                  <c:v>34.890350877192986</c:v>
                </c:pt>
                <c:pt idx="14">
                  <c:v>35.57719298245614</c:v>
                </c:pt>
                <c:pt idx="15">
                  <c:v>62.25</c:v>
                </c:pt>
                <c:pt idx="16">
                  <c:v>10.754385964912281</c:v>
                </c:pt>
                <c:pt idx="17">
                  <c:v>21.885964912280702</c:v>
                </c:pt>
                <c:pt idx="18">
                  <c:v>23.338596491228074</c:v>
                </c:pt>
                <c:pt idx="19">
                  <c:v>26.015350877192983</c:v>
                </c:pt>
                <c:pt idx="20">
                  <c:v>24.561403508771928</c:v>
                </c:pt>
                <c:pt idx="21">
                  <c:v>17.192982456140353</c:v>
                </c:pt>
                <c:pt idx="22">
                  <c:v>3.9649122807017543</c:v>
                </c:pt>
                <c:pt idx="23">
                  <c:v>3.736842105263158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41.383260233918136</c:v>
                </c:pt>
                <c:pt idx="12">
                  <c:v>38.124195906432753</c:v>
                </c:pt>
                <c:pt idx="13">
                  <c:v>36.417141812865502</c:v>
                </c:pt>
                <c:pt idx="14">
                  <c:v>33.782492690058483</c:v>
                </c:pt>
                <c:pt idx="15">
                  <c:v>33.619992690058481</c:v>
                </c:pt>
                <c:pt idx="16">
                  <c:v>31.976169590643277</c:v>
                </c:pt>
                <c:pt idx="17">
                  <c:v>31.332346491228069</c:v>
                </c:pt>
                <c:pt idx="18">
                  <c:v>29.774744152046789</c:v>
                </c:pt>
                <c:pt idx="19">
                  <c:v>29.436842105263164</c:v>
                </c:pt>
                <c:pt idx="20">
                  <c:v>26.500986842105267</c:v>
                </c:pt>
                <c:pt idx="21">
                  <c:v>24.705519005847957</c:v>
                </c:pt>
                <c:pt idx="22">
                  <c:v>24.052010233918129</c:v>
                </c:pt>
                <c:pt idx="23">
                  <c:v>23.601717836257311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0.44634318867114148</c:v>
                </c:pt>
                <c:pt idx="1">
                  <c:v>0.92700592401738025</c:v>
                </c:pt>
                <c:pt idx="2">
                  <c:v>1.0402468958189823</c:v>
                </c:pt>
                <c:pt idx="3">
                  <c:v>1.1728654707818853</c:v>
                </c:pt>
                <c:pt idx="4">
                  <c:v>1.2299879733696968</c:v>
                </c:pt>
                <c:pt idx="5">
                  <c:v>0.92356394388442864</c:v>
                </c:pt>
                <c:pt idx="6">
                  <c:v>0.21877209966926489</c:v>
                </c:pt>
                <c:pt idx="7">
                  <c:v>0.25162166531587515</c:v>
                </c:pt>
                <c:pt idx="8">
                  <c:v>0.66322976477690432</c:v>
                </c:pt>
                <c:pt idx="9">
                  <c:v>1.2714790568701688</c:v>
                </c:pt>
                <c:pt idx="10">
                  <c:v>1.3976219719175236</c:v>
                </c:pt>
                <c:pt idx="11">
                  <c:v>2.4572620449067482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-0.42967959259736849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декабрь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июль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0.62923533329212922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— декабрь, минимум — июль. Текущая фаза спроса: ниже тренда.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>
        <v>55.2</v>
      </c>
      <c r="D5" s="7">
        <v>1742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>
        <v>28.75</v>
      </c>
      <c r="D6" s="7">
        <v>2337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>
        <v>44</v>
      </c>
      <c r="D7" s="7">
        <v>2576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>
        <v>28.4</v>
      </c>
      <c r="D8" s="7">
        <v>2850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>
        <v>10.75</v>
      </c>
      <c r="D9" s="7">
        <v>1431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>
        <v>15.75</v>
      </c>
      <c r="D10" s="7">
        <v>1239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>
        <v>24.2</v>
      </c>
      <c r="D11" s="7">
        <v>1706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>
        <v>0</v>
      </c>
      <c r="D12" s="7">
        <v>1714</v>
      </c>
      <c r="E12" s="3" t="s">
        <v>112</v>
      </c>
      <c r="F12" s="3" t="s">
        <v>184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>
        <v>34.25</v>
      </c>
      <c r="D13" s="7">
        <v>2432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>
        <v>14.6</v>
      </c>
      <c r="D14" s="7">
        <v>1792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>
        <v>0</v>
      </c>
      <c r="D15" s="7">
        <v>673</v>
      </c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>
        <v>0</v>
      </c>
      <c r="D16" s="7">
        <v>521</v>
      </c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>
        <v>0</v>
      </c>
      <c r="D17" s="7">
        <v>1086</v>
      </c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>
        <v>23.5</v>
      </c>
      <c r="D18" s="7">
        <v>1319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>
        <v>15.4</v>
      </c>
      <c r="D19" s="7">
        <v>1589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>
        <v>56.5</v>
      </c>
      <c r="D20" s="7">
        <v>1938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>
        <v>0</v>
      </c>
      <c r="D21" s="7">
        <v>613</v>
      </c>
      <c r="E21" s="3" t="s">
        <v>112</v>
      </c>
      <c r="F21" s="3" t="s">
        <v>184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>
        <v>23</v>
      </c>
      <c r="D22" s="7">
        <v>592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>
        <v>9.8000000000000007</v>
      </c>
      <c r="D23" s="7">
        <v>1051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>
        <v>15.75</v>
      </c>
      <c r="D24" s="7">
        <v>1034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>
        <v>0</v>
      </c>
      <c r="D25" s="7">
        <v>1400</v>
      </c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>
        <v>0</v>
      </c>
      <c r="D26" s="7">
        <v>980</v>
      </c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>
        <v>0</v>
      </c>
      <c r="D27" s="7">
        <v>226</v>
      </c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>
        <v>0</v>
      </c>
      <c r="D28" s="7">
        <v>213</v>
      </c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>
        <f>IF(Ввод_данных!C5="","",Ввод_данных!C5)</f>
        <v>55.2</v>
      </c>
      <c r="E5" s="5">
        <f>IF(Ввод_данных!D5="","",Ввод_данных!D5)</f>
        <v>1742</v>
      </c>
      <c r="F5" s="5">
        <f t="shared" ref="F5:F36" si="2">IF(E5="","",IF(MAX($E$5:$E$64)=0,"",E5/MAX($E$5:$E$64)*100))</f>
        <v>61.122807017543856</v>
      </c>
      <c r="G5" s="5">
        <f>IF(COUNT(D5,F5)=0,"",IF(COUNT(D5,F5)=2,D5*Настройки!$B$4+F5*Настройки!$B$5,IF(D5&lt;&gt;"",D5,F5)))</f>
        <v>58.161403508771926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87.694199804702862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>
        <f>IF(Ввод_данных!C6="","",Ввод_данных!C6)</f>
        <v>28.75</v>
      </c>
      <c r="E6" s="5">
        <f>IF(Ввод_данных!D6="","",Ввод_данных!D6)</f>
        <v>2337</v>
      </c>
      <c r="F6" s="5">
        <f t="shared" si="2"/>
        <v>82</v>
      </c>
      <c r="G6" s="5">
        <f>IF(COUNT(D6,F6)=0,"",IF(COUNT(D6,F6)=2,D6*Настройки!$B$4+F6*Настройки!$B$5,IF(D6&lt;&gt;"",D6,F6)))</f>
        <v>55.375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43.551641453150857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>
        <f>IF(Ввод_данных!C7="","",Ввод_данных!C7)</f>
        <v>44</v>
      </c>
      <c r="E7" s="5">
        <f>IF(Ввод_данных!D7="","",Ввод_данных!D7)</f>
        <v>2576</v>
      </c>
      <c r="F7" s="5">
        <f t="shared" si="2"/>
        <v>90.385964912280699</v>
      </c>
      <c r="G7" s="5">
        <f>IF(COUNT(D7,F7)=0,"",IF(COUNT(D7,F7)=2,D7*Настройки!$B$4+F7*Настройки!$B$5,IF(D7&lt;&gt;"",D7,F7)))</f>
        <v>67.192982456140356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48.076650057205562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>
        <f>IF(Ввод_данных!C8="","",Ввод_данных!C8)</f>
        <v>28.4</v>
      </c>
      <c r="E8" s="5">
        <f>IF(Ввод_данных!D8="","",Ввод_данных!D8)</f>
        <v>2850</v>
      </c>
      <c r="F8" s="5">
        <f t="shared" si="2"/>
        <v>100</v>
      </c>
      <c r="G8" s="5">
        <f>IF(COUNT(D8,F8)=0,"",IF(COUNT(D8,F8)=2,D8*Настройки!$B$4+F8*Настройки!$B$5,IF(D8&lt;&gt;"",D8,F8)))</f>
        <v>64.2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26.126639661028239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>
        <f>IF(Ввод_данных!C9="","",Ввод_данных!C9)</f>
        <v>10.75</v>
      </c>
      <c r="E9" s="5">
        <f>IF(Ввод_данных!D9="","",Ввод_данных!D9)</f>
        <v>1431</v>
      </c>
      <c r="F9" s="5">
        <f t="shared" si="2"/>
        <v>50.210526315789473</v>
      </c>
      <c r="G9" s="5">
        <f>IF(COUNT(D9,F9)=0,"",IF(COUNT(D9,F9)=2,D9*Настройки!$B$4+F9*Настройки!$B$5,IF(D9&lt;&gt;"",D9,F9)))</f>
        <v>30.480263157894736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68.288850220031264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>
        <f>IF(Ввод_данных!C10="","",Ввод_данных!C10)</f>
        <v>15.75</v>
      </c>
      <c r="E10" s="5">
        <f>IF(Ввод_данных!D10="","",Ввод_данных!D10)</f>
        <v>1239</v>
      </c>
      <c r="F10" s="5">
        <f t="shared" si="2"/>
        <v>43.473684210526315</v>
      </c>
      <c r="G10" s="5">
        <f>IF(COUNT(D10,F10)=0,"",IF(COUNT(D10,F10)=2,D10*Настройки!$B$4+F10*Настройки!$B$5,IF(D10&lt;&gt;"",D10,F10)))</f>
        <v>29.611842105263158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31.943530605428979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>
        <f>IF(Ввод_данных!C11="","",Ввод_данных!C11)</f>
        <v>24.2</v>
      </c>
      <c r="E11" s="5">
        <f>IF(Ввод_данных!D11="","",Ввод_данных!D11)</f>
        <v>1706</v>
      </c>
      <c r="F11" s="5">
        <f t="shared" si="2"/>
        <v>59.859649122807014</v>
      </c>
      <c r="G11" s="5">
        <f>IF(COUNT(D11,F11)=0,"",IF(COUNT(D11,F11)=2,D11*Настройки!$B$4+F11*Настройки!$B$5,IF(D11&lt;&gt;"",D11,F11)))</f>
        <v>42.029824561403508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40.403701015914677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>
        <f>IF(Ввод_данных!C12="","",Ввод_данных!C12)</f>
        <v>0</v>
      </c>
      <c r="E12" s="5">
        <f>IF(Ввод_данных!D12="","",Ввод_данных!D12)</f>
        <v>1714</v>
      </c>
      <c r="F12" s="5">
        <f t="shared" si="2"/>
        <v>60.140350877192986</v>
      </c>
      <c r="G12" s="5">
        <f>IF(COUNT(D12,F12)=0,"",IF(COUNT(D12,F12)=2,D12*Настройки!$B$4+F12*Настройки!$B$5,IF(D12&lt;&gt;"",D12,F12)))</f>
        <v>30.070175438596493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25.638213578365772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>
        <f>IF(Ввод_данных!C13="","",Ввод_данных!C13)</f>
        <v>34.25</v>
      </c>
      <c r="E13" s="5">
        <f>IF(Ввод_данных!D13="","",Ввод_данных!D13)</f>
        <v>2432</v>
      </c>
      <c r="F13" s="5">
        <f t="shared" si="2"/>
        <v>85.333333333333343</v>
      </c>
      <c r="G13" s="5">
        <f>IF(COUNT(D13,F13)=0,"",IF(COUNT(D13,F13)=2,D13*Настройки!$B$4+F13*Настройки!$B$5,IF(D13&lt;&gt;"",D13,F13)))</f>
        <v>59.791666666666671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48.611586422963441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>
        <f>IF(Ввод_данных!C14="","",Ввод_данных!C14)</f>
        <v>14.6</v>
      </c>
      <c r="E14" s="5">
        <f>IF(Ввод_данных!D14="","",Ввод_данных!D14)</f>
        <v>1792</v>
      </c>
      <c r="F14" s="5">
        <f t="shared" si="2"/>
        <v>62.877192982456144</v>
      </c>
      <c r="G14" s="5">
        <f>IF(COUNT(D14,F14)=0,"",IF(COUNT(D14,F14)=2,D14*Настройки!$B$4+F14*Настройки!$B$5,IF(D14&lt;&gt;"",D14,F14)))</f>
        <v>38.738596491228073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41.9446826045384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>
        <f>IF(Ввод_данных!C15="","",Ввод_данных!C15)</f>
        <v>0</v>
      </c>
      <c r="E15" s="5">
        <f>IF(Ввод_данных!D15="","",Ввод_данных!D15)</f>
        <v>673</v>
      </c>
      <c r="F15" s="5">
        <f t="shared" si="2"/>
        <v>23.614035087719298</v>
      </c>
      <c r="G15" s="5">
        <f>IF(COUNT(D15,F15)=0,"",IF(COUNT(D15,F15)=2,D15*Настройки!$B$4+F15*Настройки!$B$5,IF(D15&lt;&gt;"",D15,F15)))</f>
        <v>11.807017543859649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53.969484964989832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>
        <f>IF(Ввод_данных!C16="","",Ввод_данных!C16)</f>
        <v>0</v>
      </c>
      <c r="E16" s="5">
        <f>IF(Ввод_данных!D16="","",Ввод_данных!D16)</f>
        <v>521</v>
      </c>
      <c r="F16" s="5">
        <f t="shared" si="2"/>
        <v>18.280701754385966</v>
      </c>
      <c r="G16" s="5">
        <f>IF(COUNT(D16,F16)=0,"",IF(COUNT(D16,F16)=2,D16*Настройки!$B$4+F16*Настройки!$B$5,IF(D16&lt;&gt;"",D16,F16)))</f>
        <v>9.1403508771929829</v>
      </c>
      <c r="H16" s="5">
        <f>IF(OR(G16="",COUNT($G$5:G16)&lt;12),"",AVERAGE(G5:G16))</f>
        <v>41.383260233918136</v>
      </c>
      <c r="I16" s="5">
        <f t="shared" si="3"/>
        <v>0.22087072950577874</v>
      </c>
      <c r="J16" s="5">
        <f>IF(OR(G16="",IFERROR(VLOOKUP(B16,Сезонность!$A$4:$D$15,4,FALSE),0)=0),"",G16/IFERROR(VLOOKUP(B16,Сезонность!$A$4:$D$15,4,FALSE),1))</f>
        <v>36.325770540142379</v>
      </c>
      <c r="K16" s="5">
        <f>IF(OR(G16="",H16="",H16=0,IFERROR(VLOOKUP(B16,Сезонность!$A$4:$D$15,4,FALSE),0)=0),"",G16/(H16*IFERROR(VLOOKUP(B16,Сезонность!$A$4:$D$15,4,FALSE),1)))</f>
        <v>0.87778899813140898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>
        <f>IF(Ввод_данных!C17="","",Ввод_данных!C17)</f>
        <v>0</v>
      </c>
      <c r="E17" s="5">
        <f>IF(Ввод_данных!D17="","",Ввод_данных!D17)</f>
        <v>1086</v>
      </c>
      <c r="F17" s="5">
        <f t="shared" si="2"/>
        <v>38.10526315789474</v>
      </c>
      <c r="G17" s="5">
        <f>IF(COUNT(D17,F17)=0,"",IF(COUNT(D17,F17)=2,D17*Настройки!$B$4+F17*Настройки!$B$5,IF(D17&lt;&gt;"",D17,F17)))</f>
        <v>19.05263157894737</v>
      </c>
      <c r="H17" s="5">
        <f>IF(OR(G17="",COUNT($G$5:G17)&lt;12),"",AVERAGE(G6:G17))</f>
        <v>38.124195906432753</v>
      </c>
      <c r="I17" s="5">
        <f t="shared" si="3"/>
        <v>0.49975169642155237</v>
      </c>
      <c r="J17" s="5">
        <f>IF(OR(G17="",IFERROR(VLOOKUP(B17,Сезонность!$A$4:$D$15,4,FALSE),0)=0),"",G17/IFERROR(VLOOKUP(B17,Сезонность!$A$4:$D$15,4,FALSE),1))</f>
        <v>28.727045423475904</v>
      </c>
      <c r="K17" s="5">
        <f>IF(OR(G17="",H17="",H17=0,IFERROR(VLOOKUP(B17,Сезонность!$A$4:$D$15,4,FALSE),0)=0),"",G17/(H17*IFERROR(VLOOKUP(B17,Сезонность!$A$4:$D$15,4,FALSE),1)))</f>
        <v>0.75351216571176904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>
        <f>IF(Ввод_данных!C18="","",Ввод_данных!C18)</f>
        <v>23.5</v>
      </c>
      <c r="E18" s="5">
        <f>IF(Ввод_данных!D18="","",Ввод_данных!D18)</f>
        <v>1319</v>
      </c>
      <c r="F18" s="5">
        <f t="shared" si="2"/>
        <v>46.280701754385966</v>
      </c>
      <c r="G18" s="5">
        <f>IF(COUNT(D18,F18)=0,"",IF(COUNT(D18,F18)=2,D18*Настройки!$B$4+F18*Настройки!$B$5,IF(D18&lt;&gt;"",D18,F18)))</f>
        <v>34.890350877192986</v>
      </c>
      <c r="H18" s="5">
        <f>IF(OR(G18="",COUNT($G$5:G18)&lt;12),"",AVERAGE(G7:G18))</f>
        <v>36.417141812865502</v>
      </c>
      <c r="I18" s="5">
        <f t="shared" si="3"/>
        <v>0.95807493779939845</v>
      </c>
      <c r="J18" s="5">
        <f>IF(OR(G18="",IFERROR(VLOOKUP(B18,Сезонность!$A$4:$D$15,4,FALSE),0)=0),"",G18/IFERROR(VLOOKUP(B18,Сезонность!$A$4:$D$15,4,FALSE),1))</f>
        <v>27.4407593964449</v>
      </c>
      <c r="K18" s="5">
        <f>IF(OR(G18="",H18="",H18=0,IFERROR(VLOOKUP(B18,Сезонность!$A$4:$D$15,4,FALSE),0)=0),"",G18/(H18*IFERROR(VLOOKUP(B18,Сезонность!$A$4:$D$15,4,FALSE),1)))</f>
        <v>0.75351216571176893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>
        <f>IF(Ввод_данных!C19="","",Ввод_данных!C19)</f>
        <v>15.4</v>
      </c>
      <c r="E19" s="5">
        <f>IF(Ввод_данных!D19="","",Ввод_данных!D19)</f>
        <v>1589</v>
      </c>
      <c r="F19" s="5">
        <f t="shared" si="2"/>
        <v>55.754385964912281</v>
      </c>
      <c r="G19" s="5">
        <f>IF(COUNT(D19,F19)=0,"",IF(COUNT(D19,F19)=2,D19*Настройки!$B$4+F19*Настройки!$B$5,IF(D19&lt;&gt;"",D19,F19)))</f>
        <v>35.57719298245614</v>
      </c>
      <c r="H19" s="5">
        <f>IF(OR(G19="",COUNT($G$5:G19)&lt;12),"",AVERAGE(G8:G19))</f>
        <v>33.782492690058483</v>
      </c>
      <c r="I19" s="5">
        <f t="shared" si="3"/>
        <v>1.0531251589059265</v>
      </c>
      <c r="J19" s="5">
        <f>IF(OR(G19="",IFERROR(VLOOKUP(B19,Сезонность!$A$4:$D$15,4,FALSE),0)=0),"",G19/IFERROR(VLOOKUP(B19,Сезонность!$A$4:$D$15,4,FALSE),1))</f>
        <v>25.455519230027974</v>
      </c>
      <c r="K19" s="5">
        <f>IF(OR(G19="",H19="",H19=0,IFERROR(VLOOKUP(B19,Сезонность!$A$4:$D$15,4,FALSE),0)=0),"",G19/(H19*IFERROR(VLOOKUP(B19,Сезонность!$A$4:$D$15,4,FALSE),1)))</f>
        <v>0.75351216571176904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>
        <f>IF(Ввод_данных!C20="","",Ввод_данных!C20)</f>
        <v>56.5</v>
      </c>
      <c r="E20" s="5">
        <f>IF(Ввод_данных!D20="","",Ввод_данных!D20)</f>
        <v>1938</v>
      </c>
      <c r="F20" s="5">
        <f t="shared" si="2"/>
        <v>68</v>
      </c>
      <c r="G20" s="5">
        <f>IF(COUNT(D20,F20)=0,"",IF(COUNT(D20,F20)=2,D20*Настройки!$B$4+F20*Настройки!$B$5,IF(D20&lt;&gt;"",D20,F20)))</f>
        <v>62.25</v>
      </c>
      <c r="H20" s="5">
        <f>IF(OR(G20="",COUNT($G$5:G20)&lt;12),"",AVERAGE(G9:G20))</f>
        <v>33.619992690058481</v>
      </c>
      <c r="I20" s="5">
        <f t="shared" si="3"/>
        <v>1.8515768451790142</v>
      </c>
      <c r="J20" s="5">
        <f>IF(OR(G20="",IFERROR(VLOOKUP(B20,Сезонность!$A$4:$D$15,4,FALSE),0)=0),"",G20/IFERROR(VLOOKUP(B20,Сезонность!$A$4:$D$15,4,FALSE),1))</f>
        <v>25.333073503099811</v>
      </c>
      <c r="K20" s="5">
        <f>IF(OR(G20="",H20="",H20=0,IFERROR(VLOOKUP(B20,Сезонность!$A$4:$D$15,4,FALSE),0)=0),"",G20/(H20*IFERROR(VLOOKUP(B20,Сезонность!$A$4:$D$15,4,FALSE),1)))</f>
        <v>0.75351216571176904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>
        <f>IF(Ввод_данных!C21="","",Ввод_данных!C21)</f>
        <v>0</v>
      </c>
      <c r="E21" s="5">
        <f>IF(Ввод_данных!D21="","",Ввод_данных!D21)</f>
        <v>613</v>
      </c>
      <c r="F21" s="5">
        <f t="shared" si="2"/>
        <v>21.508771929824562</v>
      </c>
      <c r="G21" s="5">
        <f>IF(COUNT(D21,F21)=0,"",IF(COUNT(D21,F21)=2,D21*Настройки!$B$4+F21*Настройки!$B$5,IF(D21&lt;&gt;"",D21,F21)))</f>
        <v>10.754385964912281</v>
      </c>
      <c r="H21" s="5">
        <f>IF(OR(G21="",COUNT($G$5:G21)&lt;12),"",AVERAGE(G10:G21))</f>
        <v>31.976169590643277</v>
      </c>
      <c r="I21" s="5">
        <f t="shared" si="3"/>
        <v>0.33632502274628856</v>
      </c>
      <c r="J21" s="5">
        <f>IF(OR(G21="",IFERROR(VLOOKUP(B21,Сезонность!$A$4:$D$15,4,FALSE),0)=0),"",G21/IFERROR(VLOOKUP(B21,Сезонность!$A$4:$D$15,4,FALSE),1))</f>
        <v>24.094432799412427</v>
      </c>
      <c r="K21" s="5">
        <f>IF(OR(G21="",H21="",H21=0,IFERROR(VLOOKUP(B21,Сезонность!$A$4:$D$15,4,FALSE),0)=0),"",G21/(H21*IFERROR(VLOOKUP(B21,Сезонность!$A$4:$D$15,4,FALSE),1)))</f>
        <v>0.75351216571176904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>
        <f>IF(Ввод_данных!C22="","",Ввод_данных!C22)</f>
        <v>23</v>
      </c>
      <c r="E22" s="5">
        <f>IF(Ввод_данных!D22="","",Ввод_данных!D22)</f>
        <v>592</v>
      </c>
      <c r="F22" s="5">
        <f t="shared" si="2"/>
        <v>20.771929824561404</v>
      </c>
      <c r="G22" s="5">
        <f>IF(COUNT(D22,F22)=0,"",IF(COUNT(D22,F22)=2,D22*Настройки!$B$4+F22*Настройки!$B$5,IF(D22&lt;&gt;"",D22,F22)))</f>
        <v>21.885964912280702</v>
      </c>
      <c r="H22" s="5">
        <f>IF(OR(G22="",COUNT($G$5:G22)&lt;12),"",AVERAGE(G11:G22))</f>
        <v>31.332346491228069</v>
      </c>
      <c r="I22" s="5">
        <f t="shared" si="3"/>
        <v>0.69851024143397578</v>
      </c>
      <c r="J22" s="5">
        <f>IF(OR(G22="",IFERROR(VLOOKUP(B22,Сезонность!$A$4:$D$15,4,FALSE),0)=0),"",G22/IFERROR(VLOOKUP(B22,Сезонность!$A$4:$D$15,4,FALSE),1))</f>
        <v>23.609304261436808</v>
      </c>
      <c r="K22" s="5">
        <f>IF(OR(G22="",H22="",H22=0,IFERROR(VLOOKUP(B22,Сезонность!$A$4:$D$15,4,FALSE),0)=0),"",G22/(H22*IFERROR(VLOOKUP(B22,Сезонность!$A$4:$D$15,4,FALSE),1)))</f>
        <v>0.75351216571176904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>
        <f>IF(Ввод_данных!C23="","",Ввод_данных!C23)</f>
        <v>9.8000000000000007</v>
      </c>
      <c r="E23" s="5">
        <f>IF(Ввод_данных!D23="","",Ввод_данных!D23)</f>
        <v>1051</v>
      </c>
      <c r="F23" s="5">
        <f t="shared" si="2"/>
        <v>36.877192982456144</v>
      </c>
      <c r="G23" s="5">
        <f>IF(COUNT(D23,F23)=0,"",IF(COUNT(D23,F23)=2,D23*Настройки!$B$4+F23*Настройки!$B$5,IF(D23&lt;&gt;"",D23,F23)))</f>
        <v>23.338596491228074</v>
      </c>
      <c r="H23" s="5">
        <f>IF(OR(G23="",COUNT($G$5:G23)&lt;12),"",AVERAGE(G12:G23))</f>
        <v>29.774744152046789</v>
      </c>
      <c r="I23" s="5">
        <f t="shared" si="3"/>
        <v>0.78383869134350637</v>
      </c>
      <c r="J23" s="5">
        <f>IF(OR(G23="",IFERROR(VLOOKUP(B23,Сезонность!$A$4:$D$15,4,FALSE),0)=0),"",G23/IFERROR(VLOOKUP(B23,Сезонность!$A$4:$D$15,4,FALSE),1))</f>
        <v>22.435631949522605</v>
      </c>
      <c r="K23" s="5">
        <f>IF(OR(G23="",H23="",H23=0,IFERROR(VLOOKUP(B23,Сезонность!$A$4:$D$15,4,FALSE),0)=0),"",G23/(H23*IFERROR(VLOOKUP(B23,Сезонность!$A$4:$D$15,4,FALSE),1)))</f>
        <v>0.75351216571176904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>
        <f>IF(Ввод_данных!C24="","",Ввод_данных!C24)</f>
        <v>15.75</v>
      </c>
      <c r="E24" s="5">
        <f>IF(Ввод_данных!D24="","",Ввод_данных!D24)</f>
        <v>1034</v>
      </c>
      <c r="F24" s="5">
        <f t="shared" si="2"/>
        <v>36.280701754385966</v>
      </c>
      <c r="G24" s="5">
        <f>IF(COUNT(D24,F24)=0,"",IF(COUNT(D24,F24)=2,D24*Настройки!$B$4+F24*Настройки!$B$5,IF(D24&lt;&gt;"",D24,F24)))</f>
        <v>26.015350877192983</v>
      </c>
      <c r="H24" s="5">
        <f>IF(OR(G24="",COUNT($G$5:G24)&lt;12),"",AVERAGE(G13:G24))</f>
        <v>29.436842105263164</v>
      </c>
      <c r="I24" s="5">
        <f t="shared" si="3"/>
        <v>0.88376840097741205</v>
      </c>
      <c r="J24" s="5">
        <f>IF(OR(G24="",IFERROR(VLOOKUP(B24,Сезонность!$A$4:$D$15,4,FALSE),0)=0),"",G24/IFERROR(VLOOKUP(B24,Сезонность!$A$4:$D$15,4,FALSE),1))</f>
        <v>22.181018646452241</v>
      </c>
      <c r="K24" s="5">
        <f>IF(OR(G24="",H24="",H24=0,IFERROR(VLOOKUP(B24,Сезонность!$A$4:$D$15,4,FALSE),0)=0),"",G24/(H24*IFERROR(VLOOKUP(B24,Сезонность!$A$4:$D$15,4,FALSE),1)))</f>
        <v>0.75351216571176916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>
        <f>IF(Ввод_данных!C25="","",Ввод_данных!C25)</f>
        <v>0</v>
      </c>
      <c r="E25" s="5">
        <f>IF(Ввод_данных!D25="","",Ввод_данных!D25)</f>
        <v>1400</v>
      </c>
      <c r="F25" s="5">
        <f t="shared" si="2"/>
        <v>49.122807017543856</v>
      </c>
      <c r="G25" s="5">
        <f>IF(COUNT(D25,F25)=0,"",IF(COUNT(D25,F25)=2,D25*Настройки!$B$4+F25*Настройки!$B$5,IF(D25&lt;&gt;"",D25,F25)))</f>
        <v>24.561403508771928</v>
      </c>
      <c r="H25" s="5">
        <f>IF(OR(G25="",COUNT($G$5:G25)&lt;12),"",AVERAGE(G14:G25))</f>
        <v>26.500986842105267</v>
      </c>
      <c r="I25" s="5">
        <f t="shared" si="3"/>
        <v>0.92681090161322999</v>
      </c>
      <c r="J25" s="5">
        <f>IF(OR(G25="",IFERROR(VLOOKUP(B25,Сезонность!$A$4:$D$15,4,FALSE),0)=0),"",G25/IFERROR(VLOOKUP(B25,Сезонность!$A$4:$D$15,4,FALSE),1))</f>
        <v>19.968815988893837</v>
      </c>
      <c r="K25" s="5">
        <f>IF(OR(G25="",H25="",H25=0,IFERROR(VLOOKUP(B25,Сезонность!$A$4:$D$15,4,FALSE),0)=0),"",G25/(H25*IFERROR(VLOOKUP(B25,Сезонность!$A$4:$D$15,4,FALSE),1)))</f>
        <v>0.75351216571176916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>
        <f>IF(Ввод_данных!C26="","",Ввод_данных!C26)</f>
        <v>0</v>
      </c>
      <c r="E26" s="5">
        <f>IF(Ввод_данных!D26="","",Ввод_данных!D26)</f>
        <v>980</v>
      </c>
      <c r="F26" s="5">
        <f t="shared" si="2"/>
        <v>34.385964912280706</v>
      </c>
      <c r="G26" s="5">
        <f>IF(COUNT(D26,F26)=0,"",IF(COUNT(D26,F26)=2,D26*Настройки!$B$4+F26*Настройки!$B$5,IF(D26&lt;&gt;"",D26,F26)))</f>
        <v>17.192982456140353</v>
      </c>
      <c r="H26" s="5">
        <f>IF(OR(G26="",COUNT($G$5:G26)&lt;12),"",AVERAGE(G15:G26))</f>
        <v>24.705519005847957</v>
      </c>
      <c r="I26" s="5">
        <f t="shared" si="3"/>
        <v>0.69591666752965853</v>
      </c>
      <c r="J26" s="5">
        <f>IF(OR(G26="",IFERROR(VLOOKUP(B26,Сезонность!$A$4:$D$15,4,FALSE),0)=0),"",G26/IFERROR(VLOOKUP(B26,Сезонность!$A$4:$D$15,4,FALSE),1))</f>
        <v>18.615909131129765</v>
      </c>
      <c r="K26" s="5">
        <f>IF(OR(G26="",H26="",H26=0,IFERROR(VLOOKUP(B26,Сезонность!$A$4:$D$15,4,FALSE),0)=0),"",G26/(H26*IFERROR(VLOOKUP(B26,Сезонность!$A$4:$D$15,4,FALSE),1)))</f>
        <v>0.75351216571176904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>
        <f>IF(Ввод_данных!C27="","",Ввод_данных!C27)</f>
        <v>0</v>
      </c>
      <c r="E27" s="5">
        <f>IF(Ввод_данных!D27="","",Ввод_данных!D27)</f>
        <v>226</v>
      </c>
      <c r="F27" s="5">
        <f t="shared" si="2"/>
        <v>7.9298245614035086</v>
      </c>
      <c r="G27" s="5">
        <f>IF(COUNT(D27,F27)=0,"",IF(COUNT(D27,F27)=2,D27*Настройки!$B$4+F27*Настройки!$B$5,IF(D27&lt;&gt;"",D27,F27)))</f>
        <v>3.9649122807017543</v>
      </c>
      <c r="H27" s="5">
        <f>IF(OR(G27="",COUNT($G$5:G27)&lt;12),"",AVERAGE(G16:G27))</f>
        <v>24.052010233918129</v>
      </c>
      <c r="I27" s="5">
        <f t="shared" si="3"/>
        <v>0.16484743861909879</v>
      </c>
      <c r="J27" s="5">
        <f>IF(OR(G27="",IFERROR(VLOOKUP(B27,Сезонность!$A$4:$D$15,4,FALSE),0)=0),"",G27/IFERROR(VLOOKUP(B27,Сезонность!$A$4:$D$15,4,FALSE),1))</f>
        <v>18.12348232108128</v>
      </c>
      <c r="K27" s="5">
        <f>IF(OR(G27="",H27="",H27=0,IFERROR(VLOOKUP(B27,Сезонность!$A$4:$D$15,4,FALSE),0)=0),"",G27/(H27*IFERROR(VLOOKUP(B27,Сезонность!$A$4:$D$15,4,FALSE),1)))</f>
        <v>0.75351216571176893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>
        <f>IF(Ввод_данных!C28="","",Ввод_данных!C28)</f>
        <v>0</v>
      </c>
      <c r="E28" s="5">
        <f>IF(Ввод_данных!D28="","",Ввод_данных!D28)</f>
        <v>213</v>
      </c>
      <c r="F28" s="5">
        <f t="shared" si="2"/>
        <v>7.4736842105263159</v>
      </c>
      <c r="G28" s="5">
        <f>IF(COUNT(D28,F28)=0,"",IF(COUNT(D28,F28)=2,D28*Настройки!$B$4+F28*Настройки!$B$5,IF(D28&lt;&gt;"",D28,F28)))</f>
        <v>3.736842105263158</v>
      </c>
      <c r="H28" s="5">
        <f>IF(OR(G28="",COUNT($G$5:G28)&lt;12),"",AVERAGE(G17:G28))</f>
        <v>23.601717836257311</v>
      </c>
      <c r="I28" s="5">
        <f t="shared" si="3"/>
        <v>0.15832924243855528</v>
      </c>
      <c r="J28" s="5">
        <f>IF(OR(G28="",IFERROR(VLOOKUP(B28,Сезонность!$A$4:$D$15,4,FALSE),0)=0),"",G28/IFERROR(VLOOKUP(B28,Сезонность!$A$4:$D$15,4,FALSE),1))</f>
        <v>14.851034788964158</v>
      </c>
      <c r="K28" s="5">
        <f>IF(OR(G28="",H28="",H28=0,IFERROR(VLOOKUP(B28,Сезонность!$A$4:$D$15,4,FALSE),0)=0),"",G28/(H28*IFERROR(VLOOKUP(B28,Сезонность!$A$4:$D$15,4,FALSE),1)))</f>
        <v>0.62923533329212922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0.33632502274628856</v>
      </c>
      <c r="D4" s="5">
        <f t="shared" ref="D4:D15" si="0">IF(C4="","",C4/AVERAGE($C$4:$C$15))</f>
        <v>0.44634318867114148</v>
      </c>
      <c r="E4" s="5">
        <f t="shared" ref="E4:E15" si="1">IF(D4="","",D4-1)</f>
        <v>-0.55365681132885847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0.69851024143397578</v>
      </c>
      <c r="D5" s="5">
        <f t="shared" si="0"/>
        <v>0.92700592401738025</v>
      </c>
      <c r="E5" s="5">
        <f t="shared" si="1"/>
        <v>-7.2994075982619755E-2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0.78383869134350637</v>
      </c>
      <c r="D6" s="5">
        <f t="shared" si="0"/>
        <v>1.0402468958189823</v>
      </c>
      <c r="E6" s="5">
        <f t="shared" si="1"/>
        <v>4.0246895818982331E-2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0.88376840097741205</v>
      </c>
      <c r="D7" s="5">
        <f t="shared" si="0"/>
        <v>1.1728654707818853</v>
      </c>
      <c r="E7" s="5">
        <f t="shared" si="1"/>
        <v>0.1728654707818853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0.92681090161322999</v>
      </c>
      <c r="D8" s="5">
        <f t="shared" si="0"/>
        <v>1.2299879733696968</v>
      </c>
      <c r="E8" s="5">
        <f t="shared" si="1"/>
        <v>0.22998797336969679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0.69591666752965853</v>
      </c>
      <c r="D9" s="5">
        <f t="shared" si="0"/>
        <v>0.92356394388442864</v>
      </c>
      <c r="E9" s="5">
        <f t="shared" si="1"/>
        <v>-7.643605611557136E-2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0.16484743861909879</v>
      </c>
      <c r="D10" s="5">
        <f t="shared" si="0"/>
        <v>0.21877209966926489</v>
      </c>
      <c r="E10" s="5">
        <f t="shared" si="1"/>
        <v>-0.78122790033073508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0.18959998597216701</v>
      </c>
      <c r="D11" s="5">
        <f t="shared" si="0"/>
        <v>0.25162166531587515</v>
      </c>
      <c r="E11" s="5">
        <f t="shared" si="1"/>
        <v>-0.74837833468412485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0.49975169642155237</v>
      </c>
      <c r="D12" s="5">
        <f t="shared" si="0"/>
        <v>0.66322976477690432</v>
      </c>
      <c r="E12" s="5">
        <f t="shared" si="1"/>
        <v>-0.33677023522309568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0.95807493779939845</v>
      </c>
      <c r="D13" s="5">
        <f t="shared" si="0"/>
        <v>1.2714790568701688</v>
      </c>
      <c r="E13" s="5">
        <f t="shared" si="1"/>
        <v>0.27147905687016882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1.0531251589059265</v>
      </c>
      <c r="D14" s="5">
        <f t="shared" si="0"/>
        <v>1.3976219719175236</v>
      </c>
      <c r="E14" s="5">
        <f t="shared" si="1"/>
        <v>0.39762197191752358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1.8515768451790142</v>
      </c>
      <c r="D15" s="5">
        <f t="shared" si="0"/>
        <v>2.4572620449067482</v>
      </c>
      <c r="E15" s="5">
        <f t="shared" si="1"/>
        <v>1.4572620449067482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2.4572620449067482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0.21877209966926489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2.2384899452374833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декабрь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июль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41.383260233918136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23.601717836257311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-17.781542397660825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-0.42967959259736849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-1.9211390160183071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0.62923533329212922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0.62923533329212922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0.87778899813140898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0.24855366483927976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58.161403508771926</v>
      </c>
      <c r="C14" s="5" t="str">
        <f>Расчет!H5</f>
        <v/>
      </c>
      <c r="D14" s="5">
        <f>IFERROR(VLOOKUP(Расчет!B5,Сезонность!$A$4:$D$15,4,FALSE),"")</f>
        <v>0.66322976477690432</v>
      </c>
      <c r="E14" s="5">
        <f>Расчет!J5</f>
        <v>87.694199804702862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55.375</v>
      </c>
      <c r="C15" s="5" t="str">
        <f>Расчет!H6</f>
        <v/>
      </c>
      <c r="D15" s="5">
        <f>IFERROR(VLOOKUP(Расчет!B6,Сезонность!$A$4:$D$15,4,FALSE),"")</f>
        <v>1.2714790568701688</v>
      </c>
      <c r="E15" s="5">
        <f>Расчет!J6</f>
        <v>43.551641453150857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67.192982456140356</v>
      </c>
      <c r="C16" s="5" t="str">
        <f>Расчет!H7</f>
        <v/>
      </c>
      <c r="D16" s="5">
        <f>IFERROR(VLOOKUP(Расчет!B7,Сезонность!$A$4:$D$15,4,FALSE),"")</f>
        <v>1.3976219719175236</v>
      </c>
      <c r="E16" s="5">
        <f>Расчет!J7</f>
        <v>48.076650057205562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64.2</v>
      </c>
      <c r="C17" s="5" t="str">
        <f>Расчет!H8</f>
        <v/>
      </c>
      <c r="D17" s="5">
        <f>IFERROR(VLOOKUP(Расчет!B8,Сезонность!$A$4:$D$15,4,FALSE),"")</f>
        <v>2.4572620449067482</v>
      </c>
      <c r="E17" s="5">
        <f>Расчет!J8</f>
        <v>26.126639661028239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30.480263157894736</v>
      </c>
      <c r="C18" s="5" t="str">
        <f>Расчет!H9</f>
        <v/>
      </c>
      <c r="D18" s="5">
        <f>IFERROR(VLOOKUP(Расчет!B9,Сезонность!$A$4:$D$15,4,FALSE),"")</f>
        <v>0.44634318867114148</v>
      </c>
      <c r="E18" s="5">
        <f>Расчет!J9</f>
        <v>68.288850220031264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29.611842105263158</v>
      </c>
      <c r="C19" s="5" t="str">
        <f>Расчет!H10</f>
        <v/>
      </c>
      <c r="D19" s="5">
        <f>IFERROR(VLOOKUP(Расчет!B10,Сезонность!$A$4:$D$15,4,FALSE),"")</f>
        <v>0.92700592401738025</v>
      </c>
      <c r="E19" s="5">
        <f>Расчет!J10</f>
        <v>31.943530605428979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42.029824561403508</v>
      </c>
      <c r="C20" s="5" t="str">
        <f>Расчет!H11</f>
        <v/>
      </c>
      <c r="D20" s="5">
        <f>IFERROR(VLOOKUP(Расчет!B11,Сезонность!$A$4:$D$15,4,FALSE),"")</f>
        <v>1.0402468958189823</v>
      </c>
      <c r="E20" s="5">
        <f>Расчет!J11</f>
        <v>40.403701015914677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30.070175438596493</v>
      </c>
      <c r="C21" s="5" t="str">
        <f>Расчет!H12</f>
        <v/>
      </c>
      <c r="D21" s="5">
        <f>IFERROR(VLOOKUP(Расчет!B12,Сезонность!$A$4:$D$15,4,FALSE),"")</f>
        <v>1.1728654707818853</v>
      </c>
      <c r="E21" s="5">
        <f>Расчет!J12</f>
        <v>25.638213578365772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59.791666666666671</v>
      </c>
      <c r="C22" s="5" t="str">
        <f>Расчет!H13</f>
        <v/>
      </c>
      <c r="D22" s="5">
        <f>IFERROR(VLOOKUP(Расчет!B13,Сезонность!$A$4:$D$15,4,FALSE),"")</f>
        <v>1.2299879733696968</v>
      </c>
      <c r="E22" s="5">
        <f>Расчет!J13</f>
        <v>48.611586422963441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38.738596491228073</v>
      </c>
      <c r="C23" s="5" t="str">
        <f>Расчет!H14</f>
        <v/>
      </c>
      <c r="D23" s="5">
        <f>IFERROR(VLOOKUP(Расчет!B14,Сезонность!$A$4:$D$15,4,FALSE),"")</f>
        <v>0.92356394388442864</v>
      </c>
      <c r="E23" s="5">
        <f>Расчет!J14</f>
        <v>41.9446826045384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11.807017543859649</v>
      </c>
      <c r="C24" s="5" t="str">
        <f>Расчет!H15</f>
        <v/>
      </c>
      <c r="D24" s="5">
        <f>IFERROR(VLOOKUP(Расчет!B15,Сезонность!$A$4:$D$15,4,FALSE),"")</f>
        <v>0.21877209966926489</v>
      </c>
      <c r="E24" s="5">
        <f>Расчет!J15</f>
        <v>53.969484964989832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9.1403508771929829</v>
      </c>
      <c r="C25" s="5">
        <f>Расчет!H16</f>
        <v>41.383260233918136</v>
      </c>
      <c r="D25" s="5">
        <f>IFERROR(VLOOKUP(Расчет!B16,Сезонность!$A$4:$D$15,4,FALSE),"")</f>
        <v>0.25162166531587515</v>
      </c>
      <c r="E25" s="5">
        <f>Расчет!J16</f>
        <v>36.325770540142379</v>
      </c>
      <c r="F25" s="5">
        <f>Расчет!K16</f>
        <v>0.87778899813140898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19.05263157894737</v>
      </c>
      <c r="C26" s="5">
        <f>Расчет!H17</f>
        <v>38.124195906432753</v>
      </c>
      <c r="D26" s="5">
        <f>IFERROR(VLOOKUP(Расчет!B17,Сезонность!$A$4:$D$15,4,FALSE),"")</f>
        <v>0.66322976477690432</v>
      </c>
      <c r="E26" s="5">
        <f>Расчет!J17</f>
        <v>28.727045423475904</v>
      </c>
      <c r="F26" s="5">
        <f>Расчет!K17</f>
        <v>0.75351216571176904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34.890350877192986</v>
      </c>
      <c r="C27" s="5">
        <f>Расчет!H18</f>
        <v>36.417141812865502</v>
      </c>
      <c r="D27" s="5">
        <f>IFERROR(VLOOKUP(Расчет!B18,Сезонность!$A$4:$D$15,4,FALSE),"")</f>
        <v>1.2714790568701688</v>
      </c>
      <c r="E27" s="5">
        <f>Расчет!J18</f>
        <v>27.4407593964449</v>
      </c>
      <c r="F27" s="5">
        <f>Расчет!K18</f>
        <v>0.75351216571176893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35.57719298245614</v>
      </c>
      <c r="C28" s="5">
        <f>Расчет!H19</f>
        <v>33.782492690058483</v>
      </c>
      <c r="D28" s="5">
        <f>IFERROR(VLOOKUP(Расчет!B19,Сезонность!$A$4:$D$15,4,FALSE),"")</f>
        <v>1.3976219719175236</v>
      </c>
      <c r="E28" s="5">
        <f>Расчет!J19</f>
        <v>25.455519230027974</v>
      </c>
      <c r="F28" s="5">
        <f>Расчет!K19</f>
        <v>0.75351216571176904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62.25</v>
      </c>
      <c r="C29" s="5">
        <f>Расчет!H20</f>
        <v>33.619992690058481</v>
      </c>
      <c r="D29" s="5">
        <f>IFERROR(VLOOKUP(Расчет!B20,Сезонность!$A$4:$D$15,4,FALSE),"")</f>
        <v>2.4572620449067482</v>
      </c>
      <c r="E29" s="5">
        <f>Расчет!J20</f>
        <v>25.333073503099811</v>
      </c>
      <c r="F29" s="5">
        <f>Расчет!K20</f>
        <v>0.75351216571176904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10.754385964912281</v>
      </c>
      <c r="C30" s="5">
        <f>Расчет!H21</f>
        <v>31.976169590643277</v>
      </c>
      <c r="D30" s="5">
        <f>IFERROR(VLOOKUP(Расчет!B21,Сезонность!$A$4:$D$15,4,FALSE),"")</f>
        <v>0.44634318867114148</v>
      </c>
      <c r="E30" s="5">
        <f>Расчет!J21</f>
        <v>24.094432799412427</v>
      </c>
      <c r="F30" s="5">
        <f>Расчет!K21</f>
        <v>0.75351216571176904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21.885964912280702</v>
      </c>
      <c r="C31" s="5">
        <f>Расчет!H22</f>
        <v>31.332346491228069</v>
      </c>
      <c r="D31" s="5">
        <f>IFERROR(VLOOKUP(Расчет!B22,Сезонность!$A$4:$D$15,4,FALSE),"")</f>
        <v>0.92700592401738025</v>
      </c>
      <c r="E31" s="5">
        <f>Расчет!J22</f>
        <v>23.609304261436808</v>
      </c>
      <c r="F31" s="5">
        <f>Расчет!K22</f>
        <v>0.75351216571176904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23.338596491228074</v>
      </c>
      <c r="C32" s="5">
        <f>Расчет!H23</f>
        <v>29.774744152046789</v>
      </c>
      <c r="D32" s="5">
        <f>IFERROR(VLOOKUP(Расчет!B23,Сезонность!$A$4:$D$15,4,FALSE),"")</f>
        <v>1.0402468958189823</v>
      </c>
      <c r="E32" s="5">
        <f>Расчет!J23</f>
        <v>22.435631949522605</v>
      </c>
      <c r="F32" s="5">
        <f>Расчет!K23</f>
        <v>0.75351216571176904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26.015350877192983</v>
      </c>
      <c r="C33" s="5">
        <f>Расчет!H24</f>
        <v>29.436842105263164</v>
      </c>
      <c r="D33" s="5">
        <f>IFERROR(VLOOKUP(Расчет!B24,Сезонность!$A$4:$D$15,4,FALSE),"")</f>
        <v>1.1728654707818853</v>
      </c>
      <c r="E33" s="5">
        <f>Расчет!J24</f>
        <v>22.181018646452241</v>
      </c>
      <c r="F33" s="5">
        <f>Расчет!K24</f>
        <v>0.75351216571176916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24.561403508771928</v>
      </c>
      <c r="C34" s="5">
        <f>Расчет!H25</f>
        <v>26.500986842105267</v>
      </c>
      <c r="D34" s="5">
        <f>IFERROR(VLOOKUP(Расчет!B25,Сезонность!$A$4:$D$15,4,FALSE),"")</f>
        <v>1.2299879733696968</v>
      </c>
      <c r="E34" s="5">
        <f>Расчет!J25</f>
        <v>19.968815988893837</v>
      </c>
      <c r="F34" s="5">
        <f>Расчет!K25</f>
        <v>0.75351216571176916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17.192982456140353</v>
      </c>
      <c r="C35" s="5">
        <f>Расчет!H26</f>
        <v>24.705519005847957</v>
      </c>
      <c r="D35" s="5">
        <f>IFERROR(VLOOKUP(Расчет!B26,Сезонность!$A$4:$D$15,4,FALSE),"")</f>
        <v>0.92356394388442864</v>
      </c>
      <c r="E35" s="5">
        <f>Расчет!J26</f>
        <v>18.615909131129765</v>
      </c>
      <c r="F35" s="5">
        <f>Расчет!K26</f>
        <v>0.75351216571176904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3.9649122807017543</v>
      </c>
      <c r="C36" s="5">
        <f>Расчет!H27</f>
        <v>24.052010233918129</v>
      </c>
      <c r="D36" s="5">
        <f>IFERROR(VLOOKUP(Расчет!B27,Сезонность!$A$4:$D$15,4,FALSE),"")</f>
        <v>0.21877209966926489</v>
      </c>
      <c r="E36" s="5">
        <f>Расчет!J27</f>
        <v>18.12348232108128</v>
      </c>
      <c r="F36" s="5">
        <f>Расчет!K27</f>
        <v>0.75351216571176893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3.736842105263158</v>
      </c>
      <c r="C37" s="5">
        <f>Расчет!H28</f>
        <v>23.601717836257311</v>
      </c>
      <c r="D37" s="5">
        <f>IFERROR(VLOOKUP(Расчет!B28,Сезонность!$A$4:$D$15,4,FALSE),"")</f>
        <v>0.25162166531587515</v>
      </c>
      <c r="E37" s="5">
        <f>Расчет!J28</f>
        <v>14.851034788964158</v>
      </c>
      <c r="F37" s="5">
        <f>Расчет!K28</f>
        <v>0.62923533329212922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0">
        <v>46294</v>
      </c>
      <c r="B4" s="3" t="s">
        <v>39</v>
      </c>
      <c r="C4" s="3" t="s">
        <v>185</v>
      </c>
      <c r="D4" s="3" t="s">
        <v>112</v>
      </c>
      <c r="E4" s="3" t="s">
        <v>186</v>
      </c>
      <c r="F4" s="3" t="s">
        <v>187</v>
      </c>
      <c r="G4" s="3" t="s">
        <v>188</v>
      </c>
      <c r="H4" s="3" t="s">
        <v>225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0">
        <v>46294</v>
      </c>
      <c r="B5" s="3" t="s">
        <v>39</v>
      </c>
      <c r="C5" s="3" t="s">
        <v>189</v>
      </c>
      <c r="D5" s="3" t="s">
        <v>112</v>
      </c>
      <c r="E5" s="3" t="s">
        <v>186</v>
      </c>
      <c r="F5" s="3" t="s">
        <v>187</v>
      </c>
      <c r="G5" s="3" t="s">
        <v>190</v>
      </c>
      <c r="H5" s="3" t="s">
        <v>226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0">
        <v>46294</v>
      </c>
      <c r="B6" s="3" t="s">
        <v>39</v>
      </c>
      <c r="C6" s="3" t="s">
        <v>191</v>
      </c>
      <c r="D6" s="3" t="s">
        <v>112</v>
      </c>
      <c r="E6" s="3" t="s">
        <v>186</v>
      </c>
      <c r="F6" s="3" t="s">
        <v>187</v>
      </c>
      <c r="G6" s="3" t="s">
        <v>192</v>
      </c>
      <c r="H6" s="3" t="s">
        <v>227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46294</v>
      </c>
      <c r="B7" s="3" t="s">
        <v>39</v>
      </c>
      <c r="C7" s="3" t="s">
        <v>193</v>
      </c>
      <c r="D7" s="3" t="s">
        <v>112</v>
      </c>
      <c r="E7" s="3" t="s">
        <v>186</v>
      </c>
      <c r="F7" s="3" t="s">
        <v>187</v>
      </c>
      <c r="G7" s="3" t="s">
        <v>194</v>
      </c>
      <c r="H7" s="3" t="s">
        <v>228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46294</v>
      </c>
      <c r="B8" s="3" t="s">
        <v>39</v>
      </c>
      <c r="C8" s="3" t="s">
        <v>195</v>
      </c>
      <c r="D8" s="3" t="s">
        <v>112</v>
      </c>
      <c r="E8" s="3" t="s">
        <v>196</v>
      </c>
      <c r="F8" s="3" t="s">
        <v>187</v>
      </c>
      <c r="G8" s="3" t="s">
        <v>197</v>
      </c>
      <c r="H8" s="3" t="s">
        <v>198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0">
        <v>46294</v>
      </c>
      <c r="B9" s="3" t="s">
        <v>39</v>
      </c>
      <c r="C9" s="3" t="s">
        <v>199</v>
      </c>
      <c r="D9" s="3" t="s">
        <v>200</v>
      </c>
      <c r="E9" s="3" t="s">
        <v>186</v>
      </c>
      <c r="F9" s="3" t="s">
        <v>187</v>
      </c>
      <c r="G9" s="3" t="s">
        <v>201</v>
      </c>
      <c r="H9" s="3" t="s">
        <v>229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0">
        <v>46294</v>
      </c>
      <c r="B10" s="3" t="s">
        <v>113</v>
      </c>
      <c r="C10" s="3" t="s">
        <v>183</v>
      </c>
      <c r="D10" s="3" t="s">
        <v>202</v>
      </c>
      <c r="E10" s="3" t="s">
        <v>203</v>
      </c>
      <c r="F10" s="3" t="s">
        <v>187</v>
      </c>
      <c r="G10" s="3" t="s">
        <v>204</v>
      </c>
      <c r="H10" s="3" t="s">
        <v>230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0">
        <v>46294</v>
      </c>
      <c r="B11" s="3" t="s">
        <v>113</v>
      </c>
      <c r="C11" s="3" t="s">
        <v>205</v>
      </c>
      <c r="D11" s="3" t="s">
        <v>202</v>
      </c>
      <c r="E11" s="3" t="s">
        <v>203</v>
      </c>
      <c r="F11" s="3" t="s">
        <v>187</v>
      </c>
      <c r="G11" s="3" t="s">
        <v>206</v>
      </c>
      <c r="H11" s="3" t="s">
        <v>230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0">
        <v>46294</v>
      </c>
      <c r="B12" s="3" t="s">
        <v>113</v>
      </c>
      <c r="C12" s="3" t="s">
        <v>207</v>
      </c>
      <c r="D12" s="3" t="s">
        <v>202</v>
      </c>
      <c r="E12" s="3" t="s">
        <v>208</v>
      </c>
      <c r="F12" s="3" t="s">
        <v>209</v>
      </c>
      <c r="G12" s="3" t="s">
        <v>210</v>
      </c>
      <c r="H12" s="3" t="s">
        <v>211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0">
        <v>46294</v>
      </c>
      <c r="B13" s="3" t="s">
        <v>113</v>
      </c>
      <c r="C13" s="3" t="s">
        <v>183</v>
      </c>
      <c r="D13" s="3" t="s">
        <v>212</v>
      </c>
      <c r="E13" s="3" t="s">
        <v>213</v>
      </c>
      <c r="F13" s="3" t="s">
        <v>214</v>
      </c>
      <c r="G13" s="3" t="s">
        <v>214</v>
      </c>
      <c r="H13" s="3" t="s">
        <v>215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46294</v>
      </c>
      <c r="B14" s="3" t="s">
        <v>216</v>
      </c>
      <c r="C14" s="3" t="s">
        <v>217</v>
      </c>
      <c r="D14" s="3" t="s">
        <v>214</v>
      </c>
      <c r="E14" s="3" t="s">
        <v>218</v>
      </c>
      <c r="F14" s="3" t="s">
        <v>219</v>
      </c>
      <c r="G14" s="3" t="s">
        <v>214</v>
      </c>
      <c r="H14" s="3" t="s">
        <v>220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46294</v>
      </c>
      <c r="B15" s="3" t="s">
        <v>216</v>
      </c>
      <c r="C15" s="3" t="s">
        <v>221</v>
      </c>
      <c r="D15" s="3" t="s">
        <v>214</v>
      </c>
      <c r="E15" s="3" t="s">
        <v>218</v>
      </c>
      <c r="F15" s="3" t="s">
        <v>219</v>
      </c>
      <c r="G15" s="3" t="s">
        <v>214</v>
      </c>
      <c r="H15" s="3" t="s">
        <v>222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0">
        <v>46294</v>
      </c>
      <c r="B16" s="3" t="s">
        <v>216</v>
      </c>
      <c r="C16" s="3" t="s">
        <v>223</v>
      </c>
      <c r="D16" s="3" t="s">
        <v>214</v>
      </c>
      <c r="E16" s="3" t="s">
        <v>214</v>
      </c>
      <c r="F16" s="3" t="s">
        <v>219</v>
      </c>
      <c r="G16" s="3" t="s">
        <v>214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0">
        <v>46294</v>
      </c>
      <c r="B17" s="3" t="s">
        <v>39</v>
      </c>
      <c r="C17" s="3" t="s">
        <v>231</v>
      </c>
      <c r="D17" s="3" t="s">
        <v>112</v>
      </c>
      <c r="E17" s="3" t="s">
        <v>186</v>
      </c>
      <c r="F17" s="3" t="s">
        <v>187</v>
      </c>
      <c r="G17" s="3" t="s">
        <v>232</v>
      </c>
      <c r="H17" s="3" t="s">
        <v>233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0">
        <v>46294</v>
      </c>
      <c r="B18" s="3" t="s">
        <v>39</v>
      </c>
      <c r="C18" s="3" t="s">
        <v>234</v>
      </c>
      <c r="D18" s="3" t="s">
        <v>112</v>
      </c>
      <c r="E18" s="3" t="s">
        <v>186</v>
      </c>
      <c r="F18" s="3" t="s">
        <v>187</v>
      </c>
      <c r="G18" s="3" t="s">
        <v>235</v>
      </c>
      <c r="H18" s="3" t="s">
        <v>236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0">
        <v>46294</v>
      </c>
      <c r="B19" s="3" t="s">
        <v>39</v>
      </c>
      <c r="C19" s="3" t="s">
        <v>237</v>
      </c>
      <c r="D19" s="3" t="s">
        <v>112</v>
      </c>
      <c r="E19" s="3" t="s">
        <v>196</v>
      </c>
      <c r="F19" s="3" t="s">
        <v>187</v>
      </c>
      <c r="G19" s="3" t="s">
        <v>238</v>
      </c>
      <c r="H19" s="3" t="s">
        <v>239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0">
        <v>46295</v>
      </c>
      <c r="B20" s="3" t="s">
        <v>39</v>
      </c>
      <c r="C20" s="3" t="s">
        <v>240</v>
      </c>
      <c r="D20" s="3" t="s">
        <v>112</v>
      </c>
      <c r="E20" s="3" t="s">
        <v>196</v>
      </c>
      <c r="F20" s="3" t="s">
        <v>187</v>
      </c>
      <c r="G20" s="3" t="s">
        <v>241</v>
      </c>
      <c r="H20" s="3" t="s">
        <v>242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0">
        <v>46295</v>
      </c>
      <c r="B21" s="3" t="s">
        <v>39</v>
      </c>
      <c r="C21" s="3" t="s">
        <v>185</v>
      </c>
      <c r="D21" s="3" t="s">
        <v>112</v>
      </c>
      <c r="E21" s="3" t="s">
        <v>243</v>
      </c>
      <c r="F21" s="3" t="s">
        <v>187</v>
      </c>
      <c r="G21" s="3" t="s">
        <v>244</v>
      </c>
      <c r="H21" s="3" t="s">
        <v>245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0">
        <v>46295</v>
      </c>
      <c r="B22" s="3" t="s">
        <v>113</v>
      </c>
      <c r="C22" s="3" t="s">
        <v>246</v>
      </c>
      <c r="D22" s="3" t="s">
        <v>202</v>
      </c>
      <c r="E22" s="3" t="s">
        <v>203</v>
      </c>
      <c r="F22" s="3" t="s">
        <v>187</v>
      </c>
      <c r="G22" s="3" t="s">
        <v>247</v>
      </c>
      <c r="H22" s="3" t="s">
        <v>248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0">
        <v>46295</v>
      </c>
      <c r="B23" s="3" t="s">
        <v>113</v>
      </c>
      <c r="C23" s="3" t="s">
        <v>249</v>
      </c>
      <c r="D23" s="3" t="s">
        <v>202</v>
      </c>
      <c r="E23" s="3" t="s">
        <v>203</v>
      </c>
      <c r="F23" s="3" t="s">
        <v>187</v>
      </c>
      <c r="G23" s="3" t="s">
        <v>250</v>
      </c>
      <c r="H23" s="3" t="s">
        <v>251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0">
        <v>46295</v>
      </c>
      <c r="B24" s="3" t="s">
        <v>113</v>
      </c>
      <c r="C24" s="3" t="s">
        <v>252</v>
      </c>
      <c r="D24" s="3" t="s">
        <v>202</v>
      </c>
      <c r="E24" s="3" t="s">
        <v>203</v>
      </c>
      <c r="F24" s="3" t="s">
        <v>187</v>
      </c>
      <c r="G24" s="3" t="s">
        <v>253</v>
      </c>
      <c r="H24" s="3" t="s">
        <v>254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0">
        <v>46295</v>
      </c>
      <c r="B25" s="3" t="s">
        <v>113</v>
      </c>
      <c r="C25" s="3" t="s">
        <v>255</v>
      </c>
      <c r="D25" s="3" t="s">
        <v>202</v>
      </c>
      <c r="E25" s="3" t="s">
        <v>203</v>
      </c>
      <c r="F25" s="3" t="s">
        <v>187</v>
      </c>
      <c r="G25" s="3" t="s">
        <v>256</v>
      </c>
      <c r="H25" s="3" t="s">
        <v>257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0">
        <v>46295</v>
      </c>
      <c r="B26" s="3" t="s">
        <v>113</v>
      </c>
      <c r="C26" s="3" t="s">
        <v>258</v>
      </c>
      <c r="D26" s="3" t="s">
        <v>202</v>
      </c>
      <c r="E26" s="3" t="s">
        <v>203</v>
      </c>
      <c r="F26" s="3" t="s">
        <v>187</v>
      </c>
      <c r="G26" s="3" t="s">
        <v>259</v>
      </c>
      <c r="H26" s="3" t="s">
        <v>260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0">
        <v>46295</v>
      </c>
      <c r="B27" s="3" t="s">
        <v>113</v>
      </c>
      <c r="C27" s="3" t="s">
        <v>261</v>
      </c>
      <c r="D27" s="3" t="s">
        <v>202</v>
      </c>
      <c r="E27" s="3" t="s">
        <v>203</v>
      </c>
      <c r="F27" s="3" t="s">
        <v>187</v>
      </c>
      <c r="G27" s="3" t="s">
        <v>262</v>
      </c>
      <c r="H27" s="3" t="s">
        <v>263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0">
        <v>46295</v>
      </c>
      <c r="B28" s="3" t="s">
        <v>113</v>
      </c>
      <c r="C28" s="3" t="s">
        <v>264</v>
      </c>
      <c r="D28" s="3" t="s">
        <v>202</v>
      </c>
      <c r="E28" s="3" t="s">
        <v>203</v>
      </c>
      <c r="F28" s="3" t="s">
        <v>187</v>
      </c>
      <c r="G28" s="3" t="s">
        <v>265</v>
      </c>
      <c r="H28" s="3" t="s">
        <v>266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0">
        <v>46295</v>
      </c>
      <c r="B29" s="3" t="s">
        <v>113</v>
      </c>
      <c r="C29" s="3" t="s">
        <v>267</v>
      </c>
      <c r="D29" s="3" t="s">
        <v>202</v>
      </c>
      <c r="E29" s="3" t="s">
        <v>203</v>
      </c>
      <c r="F29" s="3" t="s">
        <v>187</v>
      </c>
      <c r="G29" s="3" t="s">
        <v>268</v>
      </c>
      <c r="H29" s="3" t="s">
        <v>269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0">
        <v>46295</v>
      </c>
      <c r="B30" s="3" t="s">
        <v>113</v>
      </c>
      <c r="C30" s="3" t="s">
        <v>270</v>
      </c>
      <c r="D30" s="3" t="s">
        <v>202</v>
      </c>
      <c r="E30" s="3" t="s">
        <v>203</v>
      </c>
      <c r="F30" s="3" t="s">
        <v>187</v>
      </c>
      <c r="G30" s="3" t="s">
        <v>271</v>
      </c>
      <c r="H30" s="3" t="s">
        <v>272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0">
        <v>46295</v>
      </c>
      <c r="B31" s="3" t="s">
        <v>113</v>
      </c>
      <c r="C31" s="3" t="s">
        <v>273</v>
      </c>
      <c r="D31" s="3" t="s">
        <v>274</v>
      </c>
      <c r="E31" s="3" t="s">
        <v>275</v>
      </c>
      <c r="F31" s="3" t="s">
        <v>187</v>
      </c>
      <c r="G31" s="3" t="s">
        <v>276</v>
      </c>
      <c r="H31" s="3" t="s">
        <v>277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0">
        <v>46295</v>
      </c>
      <c r="B32" s="3" t="s">
        <v>113</v>
      </c>
      <c r="C32" s="3" t="s">
        <v>278</v>
      </c>
      <c r="D32" s="3" t="s">
        <v>202</v>
      </c>
      <c r="E32" s="3" t="s">
        <v>279</v>
      </c>
      <c r="F32" s="3" t="s">
        <v>187</v>
      </c>
      <c r="G32" s="3" t="s">
        <v>280</v>
      </c>
      <c r="H32" s="3" t="s">
        <v>281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0"/>
      <c r="B34" s="3"/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2026-09-30T09:47:27Z</dcterms:modified>
</cp:coreProperties>
</file>