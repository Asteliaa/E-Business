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E224DAC6-190A-407E-A4DD-AE99458B67D1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A63" i="3"/>
  <c r="E62" i="3"/>
  <c r="F62" i="3" s="1"/>
  <c r="D62" i="3"/>
  <c r="G62" i="3" s="1"/>
  <c r="A62" i="3"/>
  <c r="E61" i="3"/>
  <c r="F61" i="3" s="1"/>
  <c r="D61" i="3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G53" i="3" s="1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47" i="3" l="1"/>
  <c r="G56" i="3"/>
  <c r="F26" i="3"/>
  <c r="G26" i="3" s="1"/>
  <c r="B35" i="6" s="1"/>
  <c r="F25" i="3"/>
  <c r="G25" i="3" s="1"/>
  <c r="F28" i="3"/>
  <c r="G28" i="3" s="1"/>
  <c r="F27" i="3"/>
  <c r="G27" i="3" s="1"/>
  <c r="G48" i="3"/>
  <c r="F23" i="3"/>
  <c r="G23" i="3" s="1"/>
  <c r="G49" i="3"/>
  <c r="F24" i="3"/>
  <c r="G24" i="3" s="1"/>
  <c r="G61" i="3"/>
  <c r="G46" i="3"/>
  <c r="G59" i="3"/>
  <c r="F21" i="3"/>
  <c r="G21" i="3" s="1"/>
  <c r="F22" i="3"/>
  <c r="G22" i="3" s="1"/>
  <c r="G55" i="3"/>
  <c r="F16" i="3"/>
  <c r="G16" i="3" s="1"/>
  <c r="F20" i="3"/>
  <c r="G20" i="3" s="1"/>
  <c r="F17" i="3"/>
  <c r="G17" i="3" s="1"/>
  <c r="B26" i="6" s="1"/>
  <c r="F19" i="3"/>
  <c r="G19" i="3" s="1"/>
  <c r="B28" i="6" s="1"/>
  <c r="F18" i="3"/>
  <c r="G18" i="3" s="1"/>
  <c r="B27" i="6" s="1"/>
  <c r="G57" i="3"/>
  <c r="G63" i="3"/>
  <c r="G54" i="3"/>
  <c r="G52" i="3"/>
  <c r="G43" i="3"/>
  <c r="F15" i="3"/>
  <c r="G15" i="3" s="1"/>
  <c r="G50" i="3"/>
  <c r="F14" i="3"/>
  <c r="G14" i="3" s="1"/>
  <c r="F13" i="3"/>
  <c r="G13" i="3" s="1"/>
  <c r="F12" i="3"/>
  <c r="G12" i="3" s="1"/>
  <c r="F11" i="3"/>
  <c r="G11" i="3" s="1"/>
  <c r="B20" i="6" s="1"/>
  <c r="G58" i="3"/>
  <c r="F10" i="3"/>
  <c r="G10" i="3" s="1"/>
  <c r="B19" i="6" s="1"/>
  <c r="G41" i="3"/>
  <c r="F9" i="3"/>
  <c r="G9" i="3" s="1"/>
  <c r="B18" i="6" s="1"/>
  <c r="F8" i="3"/>
  <c r="G8" i="3" s="1"/>
  <c r="B17" i="6" s="1"/>
  <c r="G45" i="3"/>
  <c r="F7" i="3"/>
  <c r="G7" i="3" s="1"/>
  <c r="F6" i="3"/>
  <c r="G6" i="3" s="1"/>
  <c r="G64" i="3"/>
  <c r="G51" i="3"/>
  <c r="G44" i="3"/>
  <c r="A73" i="6"/>
  <c r="B64" i="3"/>
  <c r="C64" i="3"/>
  <c r="A72" i="6"/>
  <c r="B63" i="3"/>
  <c r="C63" i="3"/>
  <c r="B71" i="6"/>
  <c r="N62" i="3"/>
  <c r="A71" i="6"/>
  <c r="C62" i="3"/>
  <c r="B62" i="3"/>
  <c r="A70" i="6"/>
  <c r="B61" i="3"/>
  <c r="C61" i="3"/>
  <c r="N60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A65" i="6"/>
  <c r="C56" i="3"/>
  <c r="B56" i="3"/>
  <c r="A64" i="6"/>
  <c r="B55" i="3"/>
  <c r="C55" i="3"/>
  <c r="A63" i="6"/>
  <c r="B54" i="3"/>
  <c r="C54" i="3"/>
  <c r="B62" i="6"/>
  <c r="N53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G39" i="3"/>
  <c r="G37" i="3"/>
  <c r="G30" i="3"/>
  <c r="G38" i="3"/>
  <c r="G36" i="3"/>
  <c r="G35" i="3"/>
  <c r="G34" i="3"/>
  <c r="G31" i="3"/>
  <c r="G40" i="3"/>
  <c r="G33" i="3"/>
  <c r="G32" i="3"/>
  <c r="G42" i="3"/>
  <c r="B56" i="6" l="1"/>
  <c r="N47" i="3"/>
  <c r="N56" i="3"/>
  <c r="B65" i="6"/>
  <c r="N48" i="3"/>
  <c r="B57" i="6"/>
  <c r="N61" i="3"/>
  <c r="B70" i="6"/>
  <c r="N59" i="3"/>
  <c r="B68" i="6"/>
  <c r="B58" i="6"/>
  <c r="N49" i="3"/>
  <c r="B55" i="6"/>
  <c r="N46" i="3"/>
  <c r="N55" i="3"/>
  <c r="B64" i="6"/>
  <c r="B66" i="6"/>
  <c r="N57" i="3"/>
  <c r="B72" i="6"/>
  <c r="N63" i="3"/>
  <c r="N54" i="3"/>
  <c r="B63" i="6"/>
  <c r="B61" i="6"/>
  <c r="N52" i="3"/>
  <c r="B52" i="6"/>
  <c r="N43" i="3"/>
  <c r="N50" i="3"/>
  <c r="B59" i="6"/>
  <c r="B67" i="6"/>
  <c r="N58" i="3"/>
  <c r="N41" i="3"/>
  <c r="B50" i="6"/>
  <c r="N64" i="3"/>
  <c r="B73" i="6"/>
  <c r="N45" i="3"/>
  <c r="B54" i="6"/>
  <c r="H5" i="3"/>
  <c r="B14" i="6"/>
  <c r="N5" i="3"/>
  <c r="H64" i="3"/>
  <c r="N51" i="3"/>
  <c r="B60" i="6"/>
  <c r="N44" i="3"/>
  <c r="B53" i="6"/>
  <c r="D68" i="6"/>
  <c r="J59" i="3"/>
  <c r="E68" i="6" s="1"/>
  <c r="D50" i="6"/>
  <c r="J41" i="3"/>
  <c r="E50" i="6" s="1"/>
  <c r="H29" i="3"/>
  <c r="I29" i="3" s="1"/>
  <c r="N29" i="3"/>
  <c r="B38" i="6"/>
  <c r="N39" i="3"/>
  <c r="H39" i="3"/>
  <c r="B48" i="6"/>
  <c r="B46" i="6"/>
  <c r="H37" i="3"/>
  <c r="I37" i="3" s="1"/>
  <c r="N37" i="3"/>
  <c r="B39" i="6"/>
  <c r="N30" i="3"/>
  <c r="H30" i="3"/>
  <c r="B37" i="6"/>
  <c r="N28" i="3"/>
  <c r="H28" i="3"/>
  <c r="B47" i="6"/>
  <c r="N38" i="3"/>
  <c r="H38" i="3"/>
  <c r="B45" i="6"/>
  <c r="N36" i="3"/>
  <c r="H36" i="3"/>
  <c r="B44" i="6"/>
  <c r="N35" i="3"/>
  <c r="H35" i="3"/>
  <c r="H34" i="3"/>
  <c r="B43" i="6"/>
  <c r="N34" i="3"/>
  <c r="B40" i="6"/>
  <c r="H31" i="3"/>
  <c r="N31" i="3"/>
  <c r="B31" i="6"/>
  <c r="N22" i="3"/>
  <c r="H22" i="3"/>
  <c r="B30" i="6"/>
  <c r="N21" i="3"/>
  <c r="H21" i="3"/>
  <c r="B29" i="6"/>
  <c r="N20" i="3"/>
  <c r="H20" i="3"/>
  <c r="H40" i="3"/>
  <c r="B49" i="6"/>
  <c r="N40" i="3"/>
  <c r="N33" i="3"/>
  <c r="H33" i="3"/>
  <c r="B42" i="6"/>
  <c r="H32" i="3"/>
  <c r="B41" i="6"/>
  <c r="N32" i="3"/>
  <c r="B36" i="6"/>
  <c r="N27" i="3"/>
  <c r="H27" i="3"/>
  <c r="B34" i="6"/>
  <c r="N25" i="3"/>
  <c r="H25" i="3"/>
  <c r="B33" i="6"/>
  <c r="N24" i="3"/>
  <c r="H24" i="3"/>
  <c r="B32" i="6"/>
  <c r="N23" i="3"/>
  <c r="H23" i="3"/>
  <c r="B25" i="6"/>
  <c r="N16" i="3"/>
  <c r="H16" i="3"/>
  <c r="B24" i="6"/>
  <c r="N15" i="3"/>
  <c r="H15" i="3"/>
  <c r="H7" i="3"/>
  <c r="I7" i="3" s="1"/>
  <c r="B16" i="6"/>
  <c r="N7" i="3"/>
  <c r="H6" i="3"/>
  <c r="N6" i="3"/>
  <c r="B15" i="6"/>
  <c r="N42" i="3"/>
  <c r="B51" i="6"/>
  <c r="H42" i="3"/>
  <c r="J42" i="3"/>
  <c r="E51" i="6" s="1"/>
  <c r="N13" i="3"/>
  <c r="H13" i="3"/>
  <c r="B22" i="6"/>
  <c r="B23" i="6"/>
  <c r="N14" i="3"/>
  <c r="H14" i="3"/>
  <c r="H12" i="3"/>
  <c r="B21" i="6"/>
  <c r="N12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H62" i="3"/>
  <c r="H61" i="3"/>
  <c r="H60" i="3"/>
  <c r="H59" i="3"/>
  <c r="H52" i="3"/>
  <c r="H18" i="3"/>
  <c r="N18" i="3"/>
  <c r="H49" i="3"/>
  <c r="H46" i="3"/>
  <c r="H50" i="3"/>
  <c r="H53" i="3"/>
  <c r="H45" i="3"/>
  <c r="H48" i="3"/>
  <c r="H44" i="3"/>
  <c r="H43" i="3"/>
  <c r="H54" i="3"/>
  <c r="H41" i="3"/>
  <c r="H55" i="3"/>
  <c r="N26" i="3"/>
  <c r="H19" i="3"/>
  <c r="N19" i="3"/>
  <c r="H56" i="3"/>
  <c r="N17" i="3"/>
  <c r="H26" i="3"/>
  <c r="H57" i="3"/>
  <c r="N11" i="3"/>
  <c r="H58" i="3"/>
  <c r="H11" i="3"/>
  <c r="H10" i="3"/>
  <c r="H17" i="3"/>
  <c r="N10" i="3"/>
  <c r="N9" i="3"/>
  <c r="H47" i="3"/>
  <c r="H9" i="3"/>
  <c r="N8" i="3"/>
  <c r="H51" i="3"/>
  <c r="H8" i="3"/>
  <c r="H63" i="3"/>
  <c r="B4" i="5"/>
  <c r="C14" i="6" l="1"/>
  <c r="I5" i="3"/>
  <c r="K64" i="3"/>
  <c r="I64" i="3"/>
  <c r="C73" i="6"/>
  <c r="C40" i="6"/>
  <c r="I31" i="3"/>
  <c r="B9" i="5"/>
  <c r="C47" i="6"/>
  <c r="I38" i="3"/>
  <c r="C24" i="6"/>
  <c r="I15" i="3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20" i="6"/>
  <c r="I10" i="3"/>
  <c r="C19" i="6"/>
  <c r="I17" i="3"/>
  <c r="C26" i="6"/>
  <c r="K47" i="3"/>
  <c r="I47" i="3"/>
  <c r="C56" i="6"/>
  <c r="I9" i="3"/>
  <c r="C18" i="6"/>
  <c r="I51" i="3"/>
  <c r="K51" i="3"/>
  <c r="C60" i="6"/>
  <c r="I8" i="3"/>
  <c r="C17" i="6"/>
  <c r="I63" i="3"/>
  <c r="K63" i="3"/>
  <c r="C72" i="6"/>
  <c r="C6" i="1"/>
  <c r="B5" i="6"/>
  <c r="B6" i="5"/>
  <c r="B5" i="5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23" i="6"/>
  <c r="I14" i="3"/>
  <c r="C21" i="6"/>
  <c r="I12" i="3"/>
  <c r="C11" i="4" l="1"/>
  <c r="C5" i="4"/>
  <c r="C6" i="4"/>
  <c r="C8" i="4"/>
  <c r="C9" i="4"/>
  <c r="F73" i="6"/>
  <c r="L64" i="3"/>
  <c r="C7" i="4"/>
  <c r="C4" i="4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C10" i="4"/>
  <c r="C14" i="4"/>
  <c r="C15" i="4"/>
  <c r="C12" i="4"/>
  <c r="C13" i="4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  <c r="A17" i="1"/>
</calcChain>
</file>

<file path=xl/sharedStrings.xml><?xml version="1.0" encoding="utf-8"?>
<sst xmlns="http://schemas.openxmlformats.org/spreadsheetml/2006/main" count="351" uniqueCount="225">
  <si>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</si>
  <si>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</si>
  <si>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</si>
  <si>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</si>
  <si>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</si>
  <si>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</si>
  <si>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</si>
  <si>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</si>
  <si>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</si>
  <si>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</si>
  <si>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</si>
  <si>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</si>
  <si>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</si>
  <si>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</si>
  <si>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</si>
  <si>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</si>
  <si>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</si>
  <si>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</si>
  <si>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</si>
  <si>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</si>
  <si>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</si>
  <si>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</si>
  <si>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</si>
  <si>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</si>
  <si>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</si>
  <si>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</si>
  <si>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</si>
  <si>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</si>
  <si>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</si>
  <si>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</si>
  <si>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</si>
  <si>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</si>
  <si>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</si>
  <si>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</si>
  <si>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</si>
  <si>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</si>
  <si>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</si>
  <si>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</si>
  <si>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</si>
  <si>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</si>
  <si>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</si>
  <si>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</si>
  <si>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</si>
  <si>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</si>
  <si>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</si>
  <si>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</si>
  <si>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</si>
  <si>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</si>
  <si>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</si>
  <si>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</si>
  <si>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</si>
  <si>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</si>
  <si>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</si>
  <si>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</si>
  <si>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</si>
  <si>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</si>
  <si>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</si>
  <si>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</si>
  <si>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</si>
  <si>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</si>
  <si>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</si>
  <si>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</si>
  <si>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</si>
  <si>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</si>
  <si>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</si>
  <si>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</si>
  <si>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</si>
  <si>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</si>
  <si>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</si>
  <si>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</si>
  <si>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</si>
  <si>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</si>
  <si>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</si>
  <si>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</si>
  <si>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</si>
  <si>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</si>
  <si>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</si>
  <si>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</si>
  <si>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</si>
  <si>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</si>
  <si>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</si>
  <si>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</si>
  <si>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</si>
  <si>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</si>
  <si>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</si>
  <si>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</si>
  <si>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</si>
  <si>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</si>
  <si>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</si>
  <si>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</si>
  <si>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</si>
  <si>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</si>
  <si>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</si>
  <si>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</si>
  <si>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</si>
  <si>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</si>
  <si>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</si>
  <si>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</si>
  <si>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</si>
  <si>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</si>
  <si>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</si>
  <si>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</si>
  <si>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</si>
  <si>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</si>
  <si>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</si>
  <si>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</si>
  <si>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</si>
  <si>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</si>
  <si>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</si>
  <si>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</si>
  <si>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</si>
  <si>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</si>
  <si>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</si>
  <si>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</si>
  <si>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</si>
  <si>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</si>
  <si>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</si>
  <si>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</si>
  <si>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</si>
  <si>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</si>
  <si>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</si>
  <si>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</si>
  <si>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</si>
  <si>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</si>
  <si>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</si>
  <si>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</si>
  <si>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</si>
  <si>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</si>
  <si>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</si>
  <si>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</si>
  <si>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</si>
  <si>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</si>
  <si>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</si>
  <si>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</si>
  <si>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</si>
  <si>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</si>
  <si>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</si>
  <si>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</si>
  <si>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</si>
  <si>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</si>
  <si>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</si>
  <si>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</si>
  <si>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</si>
  <si>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</si>
  <si>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</si>
  <si>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</si>
  <si>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</si>
  <si>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</si>
  <si>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</si>
  <si>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</si>
  <si>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</si>
  <si>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</si>
  <si>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</si>
  <si>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</si>
  <si>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</si>
  <si>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</si>
  <si>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</si>
  <si>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</si>
  <si>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</si>
  <si>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</si>
  <si>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</si>
  <si>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</si>
  <si>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</si>
  <si>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</si>
  <si>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</si>
  <si>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</si>
  <si>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</si>
  <si>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</si>
  <si>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</si>
  <si>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</si>
  <si>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</si>
  <si>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</si>
  <si>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</si>
  <si>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</si>
  <si>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</si>
  <si>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</si>
  <si>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</si>
  <si>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</si>
  <si>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</si>
  <si>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</si>
  <si>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</si>
  <si>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</si>
  <si>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</si>
  <si>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</si>
  <si>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</si>
  <si>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2024-09—2026-08 (24 мес., по месяцам)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</si>
  <si>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</si>
  <si>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</si>
  <si>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</si>
  <si>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</si>
  <si>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</si>
  <si>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</si>
  <si>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</si>
  <si>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</si>
  <si>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</si>
  <si>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</si>
  <si>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</si>
  <si>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</si>
  <si>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</si>
  <si>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</si>
  <si>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</si>
  <si>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</si>
  <si>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</si>
  <si>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</si>
  <si>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</si>
  <si>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</si>
  <si>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</si>
  <si>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</si>
  <si>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</si>
  <si>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</si>
  <si>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</si>
  <si>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</si>
  <si>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</si>
  <si>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</si>
  <si>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</si>
  <si>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</si>
  <si>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</si>
  <si>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</si>
  <si>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</si>
  <si>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</si>
  <si>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</si>
  <si>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</si>
  <si>
    <t>Топы запросов, 29.08-29.09.2026</t>
  </si>
  <si>
    <t>Частотность за 30 дней: 28; подзапросы — в сводке данных Вордстата</t>
  </si>
  <si>
    <t>Вариант только Яндекс Вордстат: запрос «dfd диаграмма», Беларусь, 24 мес. (09.2024—08.2026);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</si>
</sst>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  <xf numFmtId="0" fontId="3" fillId="3" borderId="0" xfId="1" applyNumberFormat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51.075268817204304</c:v>
                </c:pt>
                <c:pt idx="1">
                  <c:v>95.6989247311828</c:v>
                </c:pt>
                <c:pt idx="2">
                  <c:v>100</c:v>
                </c:pt>
                <c:pt idx="3">
                  <c:v>78.494623655913969</c:v>
                </c:pt>
                <c:pt idx="4">
                  <c:v>72.043010752688176</c:v>
                </c:pt>
                <c:pt idx="5">
                  <c:v>50.537634408602152</c:v>
                </c:pt>
                <c:pt idx="6">
                  <c:v>78.494623655913969</c:v>
                </c:pt>
                <c:pt idx="7">
                  <c:v>95.6989247311828</c:v>
                </c:pt>
                <c:pt idx="8">
                  <c:v>91.935483870967744</c:v>
                </c:pt>
                <c:pt idx="9">
                  <c:v>75.806451612903231</c:v>
                </c:pt>
                <c:pt idx="10">
                  <c:v>15.591397849462366</c:v>
                </c:pt>
                <c:pt idx="11">
                  <c:v>10.21505376344086</c:v>
                </c:pt>
                <c:pt idx="12">
                  <c:v>12.365591397849462</c:v>
                </c:pt>
                <c:pt idx="13">
                  <c:v>69.892473118279568</c:v>
                </c:pt>
                <c:pt idx="14">
                  <c:v>50</c:v>
                </c:pt>
                <c:pt idx="15">
                  <c:v>47.311827956989248</c:v>
                </c:pt>
                <c:pt idx="16">
                  <c:v>13.978494623655912</c:v>
                </c:pt>
                <c:pt idx="17">
                  <c:v>20.43010752688172</c:v>
                </c:pt>
                <c:pt idx="18">
                  <c:v>17.20430107526882</c:v>
                </c:pt>
                <c:pt idx="19">
                  <c:v>33.333333333333329</c:v>
                </c:pt>
                <c:pt idx="20">
                  <c:v>31.72043010752688</c:v>
                </c:pt>
                <c:pt idx="21">
                  <c:v>52.1505376344086</c:v>
                </c:pt>
                <c:pt idx="22">
                  <c:v>13.440860215053762</c:v>
                </c:pt>
                <c:pt idx="23">
                  <c:v>2.1505376344086025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67.965949820788538</c:v>
                </c:pt>
                <c:pt idx="12">
                  <c:v>64.740143369175641</c:v>
                </c:pt>
                <c:pt idx="13">
                  <c:v>62.589605734767026</c:v>
                </c:pt>
                <c:pt idx="14">
                  <c:v>58.422939068100362</c:v>
                </c:pt>
                <c:pt idx="15">
                  <c:v>55.824372759856622</c:v>
                </c:pt>
                <c:pt idx="16">
                  <c:v>50.98566308243727</c:v>
                </c:pt>
                <c:pt idx="17">
                  <c:v>48.476702508960564</c:v>
                </c:pt>
                <c:pt idx="18">
                  <c:v>43.369175627240139</c:v>
                </c:pt>
                <c:pt idx="19">
                  <c:v>38.172043010752688</c:v>
                </c:pt>
                <c:pt idx="20">
                  <c:v>33.154121863799283</c:v>
                </c:pt>
                <c:pt idx="21">
                  <c:v>31.182795698924725</c:v>
                </c:pt>
                <c:pt idx="22">
                  <c:v>31.003584229390682</c:v>
                </c:pt>
                <c:pt idx="23">
                  <c:v>30.331541218637991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0.40368584178905331</c:v>
                </c:pt>
                <c:pt idx="1">
                  <c:v>0.62053855190977614</c:v>
                </c:pt>
                <c:pt idx="2">
                  <c:v>0.58409979396814082</c:v>
                </c:pt>
                <c:pt idx="3">
                  <c:v>1.2857736661822157</c:v>
                </c:pt>
                <c:pt idx="4">
                  <c:v>1.4087460909251879</c:v>
                </c:pt>
                <c:pt idx="5">
                  <c:v>2.4624925581192776</c:v>
                </c:pt>
                <c:pt idx="6">
                  <c:v>0.63833160287341961</c:v>
                </c:pt>
                <c:pt idx="7">
                  <c:v>0.16284774246780159</c:v>
                </c:pt>
                <c:pt idx="8">
                  <c:v>0.28123697692272237</c:v>
                </c:pt>
                <c:pt idx="9">
                  <c:v>1.6442179239654353</c:v>
                </c:pt>
                <c:pt idx="10">
                  <c:v>1.2601370746785825</c:v>
                </c:pt>
                <c:pt idx="11">
                  <c:v>1.2478921761983874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-0.55372445616348054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июнь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август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0.43538235715751938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— июнь, минимум — август. Текущая фаза спроса: ниже тренда.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192</v>
      </c>
      <c r="C5" s="7"/>
      <c r="D5" s="7">
        <v>95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192</v>
      </c>
      <c r="C6" s="7"/>
      <c r="D6" s="7">
        <v>178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192</v>
      </c>
      <c r="C7" s="7"/>
      <c r="D7" s="7">
        <v>186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192</v>
      </c>
      <c r="C8" s="7"/>
      <c r="D8" s="7">
        <v>146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192</v>
      </c>
      <c r="C9" s="7"/>
      <c r="D9" s="7">
        <v>134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192</v>
      </c>
      <c r="C10" s="7"/>
      <c r="D10" s="7">
        <v>94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192</v>
      </c>
      <c r="C11" s="7"/>
      <c r="D11" s="7">
        <v>146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192</v>
      </c>
      <c r="C12" s="7"/>
      <c r="D12" s="7">
        <v>178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192</v>
      </c>
      <c r="C13" s="7"/>
      <c r="D13" s="7">
        <v>171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192</v>
      </c>
      <c r="C14" s="7"/>
      <c r="D14" s="7">
        <v>141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192</v>
      </c>
      <c r="C15" s="7"/>
      <c r="D15" s="7">
        <v>29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192</v>
      </c>
      <c r="C16" s="7"/>
      <c r="D16" s="7">
        <v>19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192</v>
      </c>
      <c r="C17" s="7"/>
      <c r="D17" s="7">
        <v>23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192</v>
      </c>
      <c r="C18" s="7"/>
      <c r="D18" s="7">
        <v>130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192</v>
      </c>
      <c r="C19" s="7"/>
      <c r="D19" s="7">
        <v>93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192</v>
      </c>
      <c r="C20" s="7"/>
      <c r="D20" s="7">
        <v>88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192</v>
      </c>
      <c r="C21" s="7"/>
      <c r="D21" s="7">
        <v>26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192</v>
      </c>
      <c r="C22" s="7"/>
      <c r="D22" s="7">
        <v>38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192</v>
      </c>
      <c r="C23" s="7"/>
      <c r="D23" s="7">
        <v>32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192</v>
      </c>
      <c r="C24" s="7"/>
      <c r="D24" s="7">
        <v>62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192</v>
      </c>
      <c r="C25" s="7"/>
      <c r="D25" s="7">
        <v>59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192</v>
      </c>
      <c r="C26" s="7"/>
      <c r="D26" s="7">
        <v>97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192</v>
      </c>
      <c r="C27" s="7"/>
      <c r="D27" s="7">
        <v>25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192</v>
      </c>
      <c r="C28" s="7"/>
      <c r="D28" s="7">
        <v>4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95</v>
      </c>
      <c r="F5" s="5">
        <f t="shared" ref="F5:F36" si="2">IF(E5="","",IF(MAX($E$5:$E$64)=0,"",E5/MAX($E$5:$E$64)*100))</f>
        <v>51.075268817204304</v>
      </c>
      <c r="G5" s="5">
        <f>IF(COUNT(D5,F5)=0,"",IF(COUNT(D5,F5)=2,D5*Настройки!$B$4+F5*Настройки!$B$5,IF(D5&lt;&gt;"",D5,F5)))</f>
        <v>51.075268817204304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181.60936508444493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178</v>
      </c>
      <c r="F6" s="5">
        <f t="shared" si="2"/>
        <v>95.6989247311828</v>
      </c>
      <c r="G6" s="5">
        <f>IF(COUNT(D6,F6)=0,"",IF(COUNT(D6,F6)=2,D6*Настройки!$B$4+F6*Настройки!$B$5,IF(D6&lt;&gt;"",D6,F6)))</f>
        <v>95.6989247311828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58.203309510445756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186</v>
      </c>
      <c r="F7" s="5">
        <f t="shared" si="2"/>
        <v>100</v>
      </c>
      <c r="G7" s="5">
        <f>IF(COUNT(D7,F7)=0,"",IF(COUNT(D7,F7)=2,D7*Настройки!$B$4+F7*Настройки!$B$5,IF(D7&lt;&gt;"",D7,F7)))</f>
        <v>100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79.356446222730611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146</v>
      </c>
      <c r="F8" s="5">
        <f t="shared" si="2"/>
        <v>78.494623655913969</v>
      </c>
      <c r="G8" s="5">
        <f>IF(COUNT(D8,F8)=0,"",IF(COUNT(D8,F8)=2,D8*Настройки!$B$4+F8*Настройки!$B$5,IF(D8&lt;&gt;"",D8,F8)))</f>
        <v>78.494623655913969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62.901767599058211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134</v>
      </c>
      <c r="F9" s="5">
        <f t="shared" si="2"/>
        <v>72.043010752688176</v>
      </c>
      <c r="G9" s="5">
        <f>IF(COUNT(D9,F9)=0,"",IF(COUNT(D9,F9)=2,D9*Настройки!$B$4+F9*Настройки!$B$5,IF(D9&lt;&gt;"",D9,F9)))</f>
        <v>72.043010752688176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178.46306036745864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94</v>
      </c>
      <c r="F10" s="5">
        <f t="shared" si="2"/>
        <v>50.537634408602152</v>
      </c>
      <c r="G10" s="5">
        <f>IF(COUNT(D10,F10)=0,"",IF(COUNT(D10,F10)=2,D10*Настройки!$B$4+F10*Настройки!$B$5,IF(D10&lt;&gt;"",D10,F10)))</f>
        <v>50.537634408602152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81.441570798570027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146</v>
      </c>
      <c r="F11" s="5">
        <f t="shared" si="2"/>
        <v>78.494623655913969</v>
      </c>
      <c r="G11" s="5">
        <f>IF(COUNT(D11,F11)=0,"",IF(COUNT(D11,F11)=2,D11*Настройки!$B$4+F11*Настройки!$B$5,IF(D11&lt;&gt;"",D11,F11)))</f>
        <v>78.494623655913969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134.38563832158343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178</v>
      </c>
      <c r="F12" s="5">
        <f t="shared" si="2"/>
        <v>95.6989247311828</v>
      </c>
      <c r="G12" s="5">
        <f>IF(COUNT(D12,F12)=0,"",IF(COUNT(D12,F12)=2,D12*Настройки!$B$4+F12*Настройки!$B$5,IF(D12&lt;&gt;"",D12,F12)))</f>
        <v>95.6989247311828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74.429059521289545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171</v>
      </c>
      <c r="F13" s="5">
        <f t="shared" si="2"/>
        <v>91.935483870967744</v>
      </c>
      <c r="G13" s="5">
        <f>IF(COUNT(D13,F13)=0,"",IF(COUNT(D13,F13)=2,D13*Настройки!$B$4+F13*Настройки!$B$5,IF(D13&lt;&gt;"",D13,F13)))</f>
        <v>91.935483870967744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65.260506817512805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141</v>
      </c>
      <c r="F14" s="5">
        <f t="shared" si="2"/>
        <v>75.806451612903231</v>
      </c>
      <c r="G14" s="5">
        <f>IF(COUNT(D14,F14)=0,"",IF(COUNT(D14,F14)=2,D14*Настройки!$B$4+F14*Настройки!$B$5,IF(D14&lt;&gt;"",D14,F14)))</f>
        <v>75.806451612903231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30.784438865797107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29</v>
      </c>
      <c r="F15" s="5">
        <f t="shared" si="2"/>
        <v>15.591397849462366</v>
      </c>
      <c r="G15" s="5">
        <f>IF(COUNT(D15,F15)=0,"",IF(COUNT(D15,F15)=2,D15*Настройки!$B$4+F15*Настройки!$B$5,IF(D15&lt;&gt;"",D15,F15)))</f>
        <v>15.591397849462366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24.425232558247821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19</v>
      </c>
      <c r="F16" s="5">
        <f t="shared" si="2"/>
        <v>10.21505376344086</v>
      </c>
      <c r="G16" s="5">
        <f>IF(COUNT(D16,F16)=0,"",IF(COUNT(D16,F16)=2,D16*Настройки!$B$4+F16*Настройки!$B$5,IF(D16&lt;&gt;"",D16,F16)))</f>
        <v>10.21505376344086</v>
      </c>
      <c r="H16" s="5">
        <f>IF(OR(G16="",COUNT($G$5:G16)&lt;12),"",AVERAGE(G5:G16))</f>
        <v>67.965949820788538</v>
      </c>
      <c r="I16" s="5">
        <f t="shared" si="3"/>
        <v>0.15029663810151614</v>
      </c>
      <c r="J16" s="5">
        <f>IF(OR(G16="",IFERROR(VLOOKUP(B16,Сезонность!$A$4:$D$15,4,FALSE),0)=0),"",G16/IFERROR(VLOOKUP(B16,Сезонность!$A$4:$D$15,4,FALSE),1))</f>
        <v>62.727635081957551</v>
      </c>
      <c r="K16" s="5">
        <f>IF(OR(G16="",H16="",H16=0,IFERROR(VLOOKUP(B16,Сезонность!$A$4:$D$15,4,FALSE),0)=0),"",G16/(H16*IFERROR(VLOOKUP(B16,Сезонность!$A$4:$D$15,4,FALSE),1)))</f>
        <v>0.92292736653216367</v>
      </c>
      <c r="L16" s="3" t="str">
        <f>IF(K16="","",IF(K16&lt;Настройки!$B$11,"ниже тренда",IF(K16&gt;Настройки!$B$12,"выше тренда","норма")))</f>
        <v>норма</v>
      </c>
      <c r="M16" s="3" t="str">
        <f t="shared" si="4"/>
        <v>без выраженного отклонения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23</v>
      </c>
      <c r="F17" s="5">
        <f t="shared" si="2"/>
        <v>12.365591397849462</v>
      </c>
      <c r="G17" s="5">
        <f>IF(COUNT(D17,F17)=0,"",IF(COUNT(D17,F17)=2,D17*Настройки!$B$4+F17*Настройки!$B$5,IF(D17&lt;&gt;"",D17,F17)))</f>
        <v>12.365591397849462</v>
      </c>
      <c r="H17" s="5">
        <f>IF(OR(G17="",COUNT($G$5:G17)&lt;12),"",AVERAGE(G6:G17))</f>
        <v>64.740143369175641</v>
      </c>
      <c r="I17" s="5">
        <f t="shared" si="3"/>
        <v>0.19100346020761241</v>
      </c>
      <c r="J17" s="5">
        <f>IF(OR(G17="",IFERROR(VLOOKUP(B17,Сезонность!$A$4:$D$15,4,FALSE),0)=0),"",G17/IFERROR(VLOOKUP(B17,Сезонность!$A$4:$D$15,4,FALSE),1))</f>
        <v>43.968583125707717</v>
      </c>
      <c r="K17" s="5">
        <f>IF(OR(G17="",H17="",H17=0,IFERROR(VLOOKUP(B17,Сезонность!$A$4:$D$15,4,FALSE),0)=0),"",G17/(H17*IFERROR(VLOOKUP(B17,Сезонность!$A$4:$D$15,4,FALSE),1)))</f>
        <v>0.67915486184484153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130</v>
      </c>
      <c r="F18" s="5">
        <f t="shared" si="2"/>
        <v>69.892473118279568</v>
      </c>
      <c r="G18" s="5">
        <f>IF(COUNT(D18,F18)=0,"",IF(COUNT(D18,F18)=2,D18*Настройки!$B$4+F18*Настройки!$B$5,IF(D18&lt;&gt;"",D18,F18)))</f>
        <v>69.892473118279568</v>
      </c>
      <c r="H18" s="5">
        <f>IF(OR(G18="",COUNT($G$5:G18)&lt;12),"",AVERAGE(G7:G18))</f>
        <v>62.589605734767026</v>
      </c>
      <c r="I18" s="5">
        <f t="shared" si="3"/>
        <v>1.1166785969935575</v>
      </c>
      <c r="J18" s="5">
        <f>IF(OR(G18="",IFERROR(VLOOKUP(B18,Сезонность!$A$4:$D$15,4,FALSE),0)=0),"",G18/IFERROR(VLOOKUP(B18,Сезонность!$A$4:$D$15,4,FALSE),1))</f>
        <v>42.508035035718805</v>
      </c>
      <c r="K18" s="5">
        <f>IF(OR(G18="",H18="",H18=0,IFERROR(VLOOKUP(B18,Сезонность!$A$4:$D$15,4,FALSE),0)=0),"",G18/(H18*IFERROR(VLOOKUP(B18,Сезонность!$A$4:$D$15,4,FALSE),1)))</f>
        <v>0.67915486184484164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93</v>
      </c>
      <c r="F19" s="5">
        <f t="shared" si="2"/>
        <v>50</v>
      </c>
      <c r="G19" s="5">
        <f>IF(COUNT(D19,F19)=0,"",IF(COUNT(D19,F19)=2,D19*Настройки!$B$4+F19*Настройки!$B$5,IF(D19&lt;&gt;"",D19,F19)))</f>
        <v>50</v>
      </c>
      <c r="H19" s="5">
        <f>IF(OR(G19="",COUNT($G$5:G19)&lt;12),"",AVERAGE(G8:G19))</f>
        <v>58.422939068100362</v>
      </c>
      <c r="I19" s="5">
        <f t="shared" si="3"/>
        <v>0.85582822085889565</v>
      </c>
      <c r="J19" s="5">
        <f>IF(OR(G19="",IFERROR(VLOOKUP(B19,Сезонность!$A$4:$D$15,4,FALSE),0)=0),"",G19/IFERROR(VLOOKUP(B19,Сезонность!$A$4:$D$15,4,FALSE),1))</f>
        <v>39.678223111365305</v>
      </c>
      <c r="K19" s="5">
        <f>IF(OR(G19="",H19="",H19=0,IFERROR(VLOOKUP(B19,Сезонность!$A$4:$D$15,4,FALSE),0)=0),"",G19/(H19*IFERROR(VLOOKUP(B19,Сезонность!$A$4:$D$15,4,FALSE),1)))</f>
        <v>0.67915486184484164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88</v>
      </c>
      <c r="F20" s="5">
        <f t="shared" si="2"/>
        <v>47.311827956989248</v>
      </c>
      <c r="G20" s="5">
        <f>IF(COUNT(D20,F20)=0,"",IF(COUNT(D20,F20)=2,D20*Настройки!$B$4+F20*Настройки!$B$5,IF(D20&lt;&gt;"",D20,F20)))</f>
        <v>47.311827956989248</v>
      </c>
      <c r="H20" s="5">
        <f>IF(OR(G20="",COUNT($G$5:G20)&lt;12),"",AVERAGE(G9:G20))</f>
        <v>55.824372759856622</v>
      </c>
      <c r="I20" s="5">
        <f t="shared" si="3"/>
        <v>0.84751203852327461</v>
      </c>
      <c r="J20" s="5">
        <f>IF(OR(G20="",IFERROR(VLOOKUP(B20,Сезонность!$A$4:$D$15,4,FALSE),0)=0),"",G20/IFERROR(VLOOKUP(B20,Сезонность!$A$4:$D$15,4,FALSE),1))</f>
        <v>37.913394169295366</v>
      </c>
      <c r="K20" s="5">
        <f>IF(OR(G20="",H20="",H20=0,IFERROR(VLOOKUP(B20,Сезонность!$A$4:$D$15,4,FALSE),0)=0),"",G20/(H20*IFERROR(VLOOKUP(B20,Сезонность!$A$4:$D$15,4,FALSE),1)))</f>
        <v>0.67915486184484164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26</v>
      </c>
      <c r="F21" s="5">
        <f t="shared" si="2"/>
        <v>13.978494623655912</v>
      </c>
      <c r="G21" s="5">
        <f>IF(COUNT(D21,F21)=0,"",IF(COUNT(D21,F21)=2,D21*Настройки!$B$4+F21*Настройки!$B$5,IF(D21&lt;&gt;"",D21,F21)))</f>
        <v>13.978494623655912</v>
      </c>
      <c r="H21" s="5">
        <f>IF(OR(G21="",COUNT($G$5:G21)&lt;12),"",AVERAGE(G10:G21))</f>
        <v>50.98566308243727</v>
      </c>
      <c r="I21" s="5">
        <f t="shared" si="3"/>
        <v>0.27416520210896311</v>
      </c>
      <c r="J21" s="5">
        <f>IF(OR(G21="",IFERROR(VLOOKUP(B21,Сезонность!$A$4:$D$15,4,FALSE),0)=0),"",G21/IFERROR(VLOOKUP(B21,Сезонность!$A$4:$D$15,4,FALSE),1))</f>
        <v>34.627160966820327</v>
      </c>
      <c r="K21" s="5">
        <f>IF(OR(G21="",H21="",H21=0,IFERROR(VLOOKUP(B21,Сезонность!$A$4:$D$15,4,FALSE),0)=0),"",G21/(H21*IFERROR(VLOOKUP(B21,Сезонность!$A$4:$D$15,4,FALSE),1)))</f>
        <v>0.67915486184484153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38</v>
      </c>
      <c r="F22" s="5">
        <f t="shared" si="2"/>
        <v>20.43010752688172</v>
      </c>
      <c r="G22" s="5">
        <f>IF(COUNT(D22,F22)=0,"",IF(COUNT(D22,F22)=2,D22*Настройки!$B$4+F22*Настройки!$B$5,IF(D22&lt;&gt;"",D22,F22)))</f>
        <v>20.43010752688172</v>
      </c>
      <c r="H22" s="5">
        <f>IF(OR(G22="",COUNT($G$5:G22)&lt;12),"",AVERAGE(G11:G22))</f>
        <v>48.476702508960564</v>
      </c>
      <c r="I22" s="5">
        <f t="shared" si="3"/>
        <v>0.42144177449168213</v>
      </c>
      <c r="J22" s="5">
        <f>IF(OR(G22="",IFERROR(VLOOKUP(B22,Сезонность!$A$4:$D$15,4,FALSE),0)=0),"",G22/IFERROR(VLOOKUP(B22,Сезонность!$A$4:$D$15,4,FALSE),1))</f>
        <v>32.923188195166603</v>
      </c>
      <c r="K22" s="5">
        <f>IF(OR(G22="",H22="",H22=0,IFERROR(VLOOKUP(B22,Сезонность!$A$4:$D$15,4,FALSE),0)=0),"",G22/(H22*IFERROR(VLOOKUP(B22,Сезонность!$A$4:$D$15,4,FALSE),1)))</f>
        <v>0.67915486184484164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32</v>
      </c>
      <c r="F23" s="5">
        <f t="shared" si="2"/>
        <v>17.20430107526882</v>
      </c>
      <c r="G23" s="5">
        <f>IF(COUNT(D23,F23)=0,"",IF(COUNT(D23,F23)=2,D23*Настройки!$B$4+F23*Настройки!$B$5,IF(D23&lt;&gt;"",D23,F23)))</f>
        <v>17.20430107526882</v>
      </c>
      <c r="H23" s="5">
        <f>IF(OR(G23="",COUNT($G$5:G23)&lt;12),"",AVERAGE(G12:G23))</f>
        <v>43.369175627240139</v>
      </c>
      <c r="I23" s="5">
        <f t="shared" si="3"/>
        <v>0.39669421487603318</v>
      </c>
      <c r="J23" s="5">
        <f>IF(OR(G23="",IFERROR(VLOOKUP(B23,Сезонность!$A$4:$D$15,4,FALSE),0)=0),"",G23/IFERROR(VLOOKUP(B23,Сезонность!$A$4:$D$15,4,FALSE),1))</f>
        <v>29.454386481442949</v>
      </c>
      <c r="K23" s="5">
        <f>IF(OR(G23="",H23="",H23=0,IFERROR(VLOOKUP(B23,Сезонность!$A$4:$D$15,4,FALSE),0)=0),"",G23/(H23*IFERROR(VLOOKUP(B23,Сезонность!$A$4:$D$15,4,FALSE),1)))</f>
        <v>0.67915486184484164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62</v>
      </c>
      <c r="F24" s="5">
        <f t="shared" si="2"/>
        <v>33.333333333333329</v>
      </c>
      <c r="G24" s="5">
        <f>IF(COUNT(D24,F24)=0,"",IF(COUNT(D24,F24)=2,D24*Настройки!$B$4+F24*Настройки!$B$5,IF(D24&lt;&gt;"",D24,F24)))</f>
        <v>33.333333333333329</v>
      </c>
      <c r="H24" s="5">
        <f>IF(OR(G24="",COUNT($G$5:G24)&lt;12),"",AVERAGE(G13:G24))</f>
        <v>38.172043010752688</v>
      </c>
      <c r="I24" s="5">
        <f t="shared" si="3"/>
        <v>0.87323943661971815</v>
      </c>
      <c r="J24" s="5">
        <f>IF(OR(G24="",IFERROR(VLOOKUP(B24,Сезонность!$A$4:$D$15,4,FALSE),0)=0),"",G24/IFERROR(VLOOKUP(B24,Сезонность!$A$4:$D$15,4,FALSE),1))</f>
        <v>25.924728597303094</v>
      </c>
      <c r="K24" s="5">
        <f>IF(OR(G24="",H24="",H24=0,IFERROR(VLOOKUP(B24,Сезонность!$A$4:$D$15,4,FALSE),0)=0),"",G24/(H24*IFERROR(VLOOKUP(B24,Сезонность!$A$4:$D$15,4,FALSE),1)))</f>
        <v>0.67915486184484164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59</v>
      </c>
      <c r="F25" s="5">
        <f t="shared" si="2"/>
        <v>31.72043010752688</v>
      </c>
      <c r="G25" s="5">
        <f>IF(COUNT(D25,F25)=0,"",IF(COUNT(D25,F25)=2,D25*Настройки!$B$4+F25*Настройки!$B$5,IF(D25&lt;&gt;"",D25,F25)))</f>
        <v>31.72043010752688</v>
      </c>
      <c r="H25" s="5">
        <f>IF(OR(G25="",COUNT($G$5:G25)&lt;12),"",AVERAGE(G14:G25))</f>
        <v>33.154121863799283</v>
      </c>
      <c r="I25" s="5">
        <f t="shared" si="3"/>
        <v>0.95675675675675675</v>
      </c>
      <c r="J25" s="5">
        <f>IF(OR(G25="",IFERROR(VLOOKUP(B25,Сезонность!$A$4:$D$15,4,FALSE),0)=0),"",G25/IFERROR(VLOOKUP(B25,Сезонность!$A$4:$D$15,4,FALSE),1))</f>
        <v>22.516783053995646</v>
      </c>
      <c r="K25" s="5">
        <f>IF(OR(G25="",H25="",H25=0,IFERROR(VLOOKUP(B25,Сезонность!$A$4:$D$15,4,FALSE),0)=0),"",G25/(H25*IFERROR(VLOOKUP(B25,Сезонность!$A$4:$D$15,4,FALSE),1)))</f>
        <v>0.67915486184484164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97</v>
      </c>
      <c r="F26" s="5">
        <f t="shared" si="2"/>
        <v>52.1505376344086</v>
      </c>
      <c r="G26" s="5">
        <f>IF(COUNT(D26,F26)=0,"",IF(COUNT(D26,F26)=2,D26*Настройки!$B$4+F26*Настройки!$B$5,IF(D26&lt;&gt;"",D26,F26)))</f>
        <v>52.1505376344086</v>
      </c>
      <c r="H26" s="5">
        <f>IF(OR(G26="",COUNT($G$5:G26)&lt;12),"",AVERAGE(G15:G26))</f>
        <v>31.182795698924725</v>
      </c>
      <c r="I26" s="5">
        <f t="shared" si="3"/>
        <v>1.6724137931034486</v>
      </c>
      <c r="J26" s="5">
        <f>IF(OR(G26="",IFERROR(VLOOKUP(B26,Сезонность!$A$4:$D$15,4,FALSE),0)=0),"",G26/IFERROR(VLOOKUP(B26,Сезонность!$A$4:$D$15,4,FALSE),1))</f>
        <v>21.177947304839144</v>
      </c>
      <c r="K26" s="5">
        <f>IF(OR(G26="",H26="",H26=0,IFERROR(VLOOKUP(B26,Сезонность!$A$4:$D$15,4,FALSE),0)=0),"",G26/(H26*IFERROR(VLOOKUP(B26,Сезонность!$A$4:$D$15,4,FALSE),1)))</f>
        <v>0.67915486184484164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25</v>
      </c>
      <c r="F27" s="5">
        <f t="shared" si="2"/>
        <v>13.440860215053762</v>
      </c>
      <c r="G27" s="5">
        <f>IF(COUNT(D27,F27)=0,"",IF(COUNT(D27,F27)=2,D27*Настройки!$B$4+F27*Настройки!$B$5,IF(D27&lt;&gt;"",D27,F27)))</f>
        <v>13.440860215053762</v>
      </c>
      <c r="H27" s="5">
        <f>IF(OR(G27="",COUNT($G$5:G27)&lt;12),"",AVERAGE(G16:G27))</f>
        <v>31.003584229390682</v>
      </c>
      <c r="I27" s="5">
        <f t="shared" si="3"/>
        <v>0.43352601156069359</v>
      </c>
      <c r="J27" s="5">
        <f>IF(OR(G27="",IFERROR(VLOOKUP(B27,Сезонность!$A$4:$D$15,4,FALSE),0)=0),"",G27/IFERROR(VLOOKUP(B27,Сезонность!$A$4:$D$15,4,FALSE),1))</f>
        <v>21.056234964006737</v>
      </c>
      <c r="K27" s="5">
        <f>IF(OR(G27="",H27="",H27=0,IFERROR(VLOOKUP(B27,Сезонность!$A$4:$D$15,4,FALSE),0)=0),"",G27/(H27*IFERROR(VLOOKUP(B27,Сезонность!$A$4:$D$15,4,FALSE),1)))</f>
        <v>0.67915486184484153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4</v>
      </c>
      <c r="F28" s="5">
        <f t="shared" si="2"/>
        <v>2.1505376344086025</v>
      </c>
      <c r="G28" s="5">
        <f>IF(COUNT(D28,F28)=0,"",IF(COUNT(D28,F28)=2,D28*Настройки!$B$4+F28*Настройки!$B$5,IF(D28&lt;&gt;"",D28,F28)))</f>
        <v>2.1505376344086025</v>
      </c>
      <c r="H28" s="5">
        <f>IF(OR(G28="",COUNT($G$5:G28)&lt;12),"",AVERAGE(G17:G28))</f>
        <v>30.331541218637991</v>
      </c>
      <c r="I28" s="5">
        <f t="shared" si="3"/>
        <v>7.0901033973412131E-2</v>
      </c>
      <c r="J28" s="5">
        <f>IF(OR(G28="",IFERROR(VLOOKUP(B28,Сезонность!$A$4:$D$15,4,FALSE),0)=0),"",G28/IFERROR(VLOOKUP(B28,Сезонность!$A$4:$D$15,4,FALSE),1))</f>
        <v>13.205817911991065</v>
      </c>
      <c r="K28" s="5">
        <f>IF(OR(G28="",H28="",H28=0,IFERROR(VLOOKUP(B28,Сезонность!$A$4:$D$15,4,FALSE),0)=0),"",G28/(H28*IFERROR(VLOOKUP(B28,Сезонность!$A$4:$D$15,4,FALSE),1)))</f>
        <v>0.43538235715751938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0.27416520210896311</v>
      </c>
      <c r="D4" s="5">
        <f t="shared" ref="D4:D15" si="0">IF(C4="","",C4/AVERAGE($C$4:$C$15))</f>
        <v>0.40368584178905331</v>
      </c>
      <c r="E4" s="5">
        <f t="shared" ref="E4:E15" si="1">IF(D4="","",D4-1)</f>
        <v>-0.59631415821094669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0.42144177449168213</v>
      </c>
      <c r="D5" s="5">
        <f t="shared" si="0"/>
        <v>0.62053855190977614</v>
      </c>
      <c r="E5" s="5">
        <f t="shared" si="1"/>
        <v>-0.37946144809022386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0.39669421487603318</v>
      </c>
      <c r="D6" s="5">
        <f t="shared" si="0"/>
        <v>0.58409979396814082</v>
      </c>
      <c r="E6" s="5">
        <f t="shared" si="1"/>
        <v>-0.41590020603185918</v>
      </c>
      <c r="F6" s="3" t="str">
        <f t="shared" si="2"/>
        <v>сезонный минимум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0.87323943661971815</v>
      </c>
      <c r="D7" s="5">
        <f t="shared" si="0"/>
        <v>1.2857736661822157</v>
      </c>
      <c r="E7" s="5">
        <f t="shared" si="1"/>
        <v>0.28577366618221567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0.95675675675675675</v>
      </c>
      <c r="D8" s="5">
        <f t="shared" si="0"/>
        <v>1.4087460909251879</v>
      </c>
      <c r="E8" s="5">
        <f t="shared" si="1"/>
        <v>0.40874609092518788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1.6724137931034486</v>
      </c>
      <c r="D9" s="5">
        <f t="shared" si="0"/>
        <v>2.4624925581192776</v>
      </c>
      <c r="E9" s="5">
        <f t="shared" si="1"/>
        <v>1.4624925581192776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0.43352601156069359</v>
      </c>
      <c r="D10" s="5">
        <f t="shared" si="0"/>
        <v>0.63833160287341961</v>
      </c>
      <c r="E10" s="5">
        <f t="shared" si="1"/>
        <v>-0.36166839712658039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0.11059883603746413</v>
      </c>
      <c r="D11" s="5">
        <f t="shared" si="0"/>
        <v>0.16284774246780159</v>
      </c>
      <c r="E11" s="5">
        <f t="shared" si="1"/>
        <v>-0.83715225753219835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0.19100346020761241</v>
      </c>
      <c r="D12" s="5">
        <f t="shared" si="0"/>
        <v>0.28123697692272237</v>
      </c>
      <c r="E12" s="5">
        <f t="shared" si="1"/>
        <v>-0.71876302307727769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1.1166785969935575</v>
      </c>
      <c r="D13" s="5">
        <f t="shared" si="0"/>
        <v>1.6442179239654353</v>
      </c>
      <c r="E13" s="5">
        <f t="shared" si="1"/>
        <v>0.64421792396543531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0.85582822085889565</v>
      </c>
      <c r="D14" s="5">
        <f t="shared" si="0"/>
        <v>1.2601370746785825</v>
      </c>
      <c r="E14" s="5">
        <f t="shared" si="1"/>
        <v>0.26013707467858249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0.84751203852327461</v>
      </c>
      <c r="D15" s="5">
        <f t="shared" si="0"/>
        <v>1.2478921761983874</v>
      </c>
      <c r="E15" s="5">
        <f t="shared" si="1"/>
        <v>0.24789217619838744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2.4624925581192776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0.16284774246780159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2.2996448156514759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июнь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август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67.965949820788538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30.331541218637991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-37.634408602150543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-0.55372445616348054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-3.1397849462365599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0.43538235715751938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0.43538235715751938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0.92292736653216367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0.48754500937464429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51.075268817204304</v>
      </c>
      <c r="C14" s="5" t="str">
        <f>Расчет!H5</f>
        <v/>
      </c>
      <c r="D14" s="5">
        <f>IFERROR(VLOOKUP(Расчет!B5,Сезонность!$A$4:$D$15,4,FALSE),"")</f>
        <v>0.28123697692272237</v>
      </c>
      <c r="E14" s="5">
        <f>Расчет!J5</f>
        <v>181.60936508444493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95.6989247311828</v>
      </c>
      <c r="C15" s="5" t="str">
        <f>Расчет!H6</f>
        <v/>
      </c>
      <c r="D15" s="5">
        <f>IFERROR(VLOOKUP(Расчет!B6,Сезонность!$A$4:$D$15,4,FALSE),"")</f>
        <v>1.6442179239654353</v>
      </c>
      <c r="E15" s="5">
        <f>Расчет!J6</f>
        <v>58.203309510445756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100</v>
      </c>
      <c r="C16" s="5" t="str">
        <f>Расчет!H7</f>
        <v/>
      </c>
      <c r="D16" s="5">
        <f>IFERROR(VLOOKUP(Расчет!B7,Сезонность!$A$4:$D$15,4,FALSE),"")</f>
        <v>1.2601370746785825</v>
      </c>
      <c r="E16" s="5">
        <f>Расчет!J7</f>
        <v>79.356446222730611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78.494623655913969</v>
      </c>
      <c r="C17" s="5" t="str">
        <f>Расчет!H8</f>
        <v/>
      </c>
      <c r="D17" s="5">
        <f>IFERROR(VLOOKUP(Расчет!B8,Сезонность!$A$4:$D$15,4,FALSE),"")</f>
        <v>1.2478921761983874</v>
      </c>
      <c r="E17" s="5">
        <f>Расчет!J8</f>
        <v>62.901767599058211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72.043010752688176</v>
      </c>
      <c r="C18" s="5" t="str">
        <f>Расчет!H9</f>
        <v/>
      </c>
      <c r="D18" s="5">
        <f>IFERROR(VLOOKUP(Расчет!B9,Сезонность!$A$4:$D$15,4,FALSE),"")</f>
        <v>0.40368584178905331</v>
      </c>
      <c r="E18" s="5">
        <f>Расчет!J9</f>
        <v>178.46306036745864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50.537634408602152</v>
      </c>
      <c r="C19" s="5" t="str">
        <f>Расчет!H10</f>
        <v/>
      </c>
      <c r="D19" s="5">
        <f>IFERROR(VLOOKUP(Расчет!B10,Сезонность!$A$4:$D$15,4,FALSE),"")</f>
        <v>0.62053855190977614</v>
      </c>
      <c r="E19" s="5">
        <f>Расчет!J10</f>
        <v>81.441570798570027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78.494623655913969</v>
      </c>
      <c r="C20" s="5" t="str">
        <f>Расчет!H11</f>
        <v/>
      </c>
      <c r="D20" s="5">
        <f>IFERROR(VLOOKUP(Расчет!B11,Сезонность!$A$4:$D$15,4,FALSE),"")</f>
        <v>0.58409979396814082</v>
      </c>
      <c r="E20" s="5">
        <f>Расчет!J11</f>
        <v>134.38563832158343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95.6989247311828</v>
      </c>
      <c r="C21" s="5" t="str">
        <f>Расчет!H12</f>
        <v/>
      </c>
      <c r="D21" s="5">
        <f>IFERROR(VLOOKUP(Расчет!B12,Сезонность!$A$4:$D$15,4,FALSE),"")</f>
        <v>1.2857736661822157</v>
      </c>
      <c r="E21" s="5">
        <f>Расчет!J12</f>
        <v>74.429059521289545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91.935483870967744</v>
      </c>
      <c r="C22" s="5" t="str">
        <f>Расчет!H13</f>
        <v/>
      </c>
      <c r="D22" s="5">
        <f>IFERROR(VLOOKUP(Расчет!B13,Сезонность!$A$4:$D$15,4,FALSE),"")</f>
        <v>1.4087460909251879</v>
      </c>
      <c r="E22" s="5">
        <f>Расчет!J13</f>
        <v>65.260506817512805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75.806451612903231</v>
      </c>
      <c r="C23" s="5" t="str">
        <f>Расчет!H14</f>
        <v/>
      </c>
      <c r="D23" s="5">
        <f>IFERROR(VLOOKUP(Расчет!B14,Сезонность!$A$4:$D$15,4,FALSE),"")</f>
        <v>2.4624925581192776</v>
      </c>
      <c r="E23" s="5">
        <f>Расчет!J14</f>
        <v>30.784438865797107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15.591397849462366</v>
      </c>
      <c r="C24" s="5" t="str">
        <f>Расчет!H15</f>
        <v/>
      </c>
      <c r="D24" s="5">
        <f>IFERROR(VLOOKUP(Расчет!B15,Сезонность!$A$4:$D$15,4,FALSE),"")</f>
        <v>0.63833160287341961</v>
      </c>
      <c r="E24" s="5">
        <f>Расчет!J15</f>
        <v>24.425232558247821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10.21505376344086</v>
      </c>
      <c r="C25" s="5">
        <f>Расчет!H16</f>
        <v>67.965949820788538</v>
      </c>
      <c r="D25" s="5">
        <f>IFERROR(VLOOKUP(Расчет!B16,Сезонность!$A$4:$D$15,4,FALSE),"")</f>
        <v>0.16284774246780159</v>
      </c>
      <c r="E25" s="5">
        <f>Расчет!J16</f>
        <v>62.727635081957551</v>
      </c>
      <c r="F25" s="5">
        <f>Расчет!K16</f>
        <v>0.92292736653216367</v>
      </c>
      <c r="G25" s="3" t="str">
        <f>Расчет!L16</f>
        <v>норма</v>
      </c>
      <c r="H25" s="3" t="str">
        <f t="shared" si="0"/>
        <v>обычный режим анализа спроса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12.365591397849462</v>
      </c>
      <c r="C26" s="5">
        <f>Расчет!H17</f>
        <v>64.740143369175641</v>
      </c>
      <c r="D26" s="5">
        <f>IFERROR(VLOOKUP(Расчет!B17,Сезонность!$A$4:$D$15,4,FALSE),"")</f>
        <v>0.28123697692272237</v>
      </c>
      <c r="E26" s="5">
        <f>Расчет!J17</f>
        <v>43.968583125707717</v>
      </c>
      <c r="F26" s="5">
        <f>Расчет!K17</f>
        <v>0.67915486184484153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69.892473118279568</v>
      </c>
      <c r="C27" s="5">
        <f>Расчет!H18</f>
        <v>62.589605734767026</v>
      </c>
      <c r="D27" s="5">
        <f>IFERROR(VLOOKUP(Расчет!B18,Сезонность!$A$4:$D$15,4,FALSE),"")</f>
        <v>1.6442179239654353</v>
      </c>
      <c r="E27" s="5">
        <f>Расчет!J18</f>
        <v>42.508035035718805</v>
      </c>
      <c r="F27" s="5">
        <f>Расчет!K18</f>
        <v>0.67915486184484164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50</v>
      </c>
      <c r="C28" s="5">
        <f>Расчет!H19</f>
        <v>58.422939068100362</v>
      </c>
      <c r="D28" s="5">
        <f>IFERROR(VLOOKUP(Расчет!B19,Сезонность!$A$4:$D$15,4,FALSE),"")</f>
        <v>1.2601370746785825</v>
      </c>
      <c r="E28" s="5">
        <f>Расчет!J19</f>
        <v>39.678223111365305</v>
      </c>
      <c r="F28" s="5">
        <f>Расчет!K19</f>
        <v>0.67915486184484164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47.311827956989248</v>
      </c>
      <c r="C29" s="5">
        <f>Расчет!H20</f>
        <v>55.824372759856622</v>
      </c>
      <c r="D29" s="5">
        <f>IFERROR(VLOOKUP(Расчет!B20,Сезонность!$A$4:$D$15,4,FALSE),"")</f>
        <v>1.2478921761983874</v>
      </c>
      <c r="E29" s="5">
        <f>Расчет!J20</f>
        <v>37.913394169295366</v>
      </c>
      <c r="F29" s="5">
        <f>Расчет!K20</f>
        <v>0.67915486184484164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13.978494623655912</v>
      </c>
      <c r="C30" s="5">
        <f>Расчет!H21</f>
        <v>50.98566308243727</v>
      </c>
      <c r="D30" s="5">
        <f>IFERROR(VLOOKUP(Расчет!B21,Сезонность!$A$4:$D$15,4,FALSE),"")</f>
        <v>0.40368584178905331</v>
      </c>
      <c r="E30" s="5">
        <f>Расчет!J21</f>
        <v>34.627160966820327</v>
      </c>
      <c r="F30" s="5">
        <f>Расчет!K21</f>
        <v>0.67915486184484153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20.43010752688172</v>
      </c>
      <c r="C31" s="5">
        <f>Расчет!H22</f>
        <v>48.476702508960564</v>
      </c>
      <c r="D31" s="5">
        <f>IFERROR(VLOOKUP(Расчет!B22,Сезонность!$A$4:$D$15,4,FALSE),"")</f>
        <v>0.62053855190977614</v>
      </c>
      <c r="E31" s="5">
        <f>Расчет!J22</f>
        <v>32.923188195166603</v>
      </c>
      <c r="F31" s="5">
        <f>Расчет!K22</f>
        <v>0.67915486184484164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17.20430107526882</v>
      </c>
      <c r="C32" s="5">
        <f>Расчет!H23</f>
        <v>43.369175627240139</v>
      </c>
      <c r="D32" s="5">
        <f>IFERROR(VLOOKUP(Расчет!B23,Сезонность!$A$4:$D$15,4,FALSE),"")</f>
        <v>0.58409979396814082</v>
      </c>
      <c r="E32" s="5">
        <f>Расчет!J23</f>
        <v>29.454386481442949</v>
      </c>
      <c r="F32" s="5">
        <f>Расчет!K23</f>
        <v>0.67915486184484164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33.333333333333329</v>
      </c>
      <c r="C33" s="5">
        <f>Расчет!H24</f>
        <v>38.172043010752688</v>
      </c>
      <c r="D33" s="5">
        <f>IFERROR(VLOOKUP(Расчет!B24,Сезонность!$A$4:$D$15,4,FALSE),"")</f>
        <v>1.2857736661822157</v>
      </c>
      <c r="E33" s="5">
        <f>Расчет!J24</f>
        <v>25.924728597303094</v>
      </c>
      <c r="F33" s="5">
        <f>Расчет!K24</f>
        <v>0.67915486184484164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31.72043010752688</v>
      </c>
      <c r="C34" s="5">
        <f>Расчет!H25</f>
        <v>33.154121863799283</v>
      </c>
      <c r="D34" s="5">
        <f>IFERROR(VLOOKUP(Расчет!B25,Сезонность!$A$4:$D$15,4,FALSE),"")</f>
        <v>1.4087460909251879</v>
      </c>
      <c r="E34" s="5">
        <f>Расчет!J25</f>
        <v>22.516783053995646</v>
      </c>
      <c r="F34" s="5">
        <f>Расчет!K25</f>
        <v>0.67915486184484164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52.1505376344086</v>
      </c>
      <c r="C35" s="5">
        <f>Расчет!H26</f>
        <v>31.182795698924725</v>
      </c>
      <c r="D35" s="5">
        <f>IFERROR(VLOOKUP(Расчет!B26,Сезонность!$A$4:$D$15,4,FALSE),"")</f>
        <v>2.4624925581192776</v>
      </c>
      <c r="E35" s="5">
        <f>Расчет!J26</f>
        <v>21.177947304839144</v>
      </c>
      <c r="F35" s="5">
        <f>Расчет!K26</f>
        <v>0.67915486184484164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13.440860215053762</v>
      </c>
      <c r="C36" s="5">
        <f>Расчет!H27</f>
        <v>31.003584229390682</v>
      </c>
      <c r="D36" s="5">
        <f>IFERROR(VLOOKUP(Расчет!B27,Сезонность!$A$4:$D$15,4,FALSE),"")</f>
        <v>0.63833160287341961</v>
      </c>
      <c r="E36" s="5">
        <f>Расчет!J27</f>
        <v>21.056234964006737</v>
      </c>
      <c r="F36" s="5">
        <f>Расчет!K27</f>
        <v>0.67915486184484153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2.1505376344086025</v>
      </c>
      <c r="C37" s="5">
        <f>Расчет!H28</f>
        <v>30.331541218637991</v>
      </c>
      <c r="D37" s="5">
        <f>IFERROR(VLOOKUP(Расчет!B28,Сезонность!$A$4:$D$15,4,FALSE),"")</f>
        <v>0.16284774246780159</v>
      </c>
      <c r="E37" s="5">
        <f>Расчет!J28</f>
        <v>13.205817911991065</v>
      </c>
      <c r="F37" s="5">
        <f>Расчет!K28</f>
        <v>0.43538235715751938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5">
        <v>46295</v>
      </c>
      <c r="B4" s="2" t="s">
        <v>113</v>
      </c>
      <c r="C4" s="2" t="s">
        <v>192</v>
      </c>
      <c r="D4" s="2" t="s">
        <v>184</v>
      </c>
      <c r="E4" s="2" t="s">
        <v>185</v>
      </c>
      <c r="F4" s="2" t="s">
        <v>183</v>
      </c>
      <c r="G4" s="2" t="s">
        <v>193</v>
      </c>
      <c r="H4" s="2" t="s">
        <v>194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5">
        <v>46295</v>
      </c>
      <c r="B5" s="2" t="s">
        <v>113</v>
      </c>
      <c r="C5" s="2" t="s">
        <v>192</v>
      </c>
      <c r="D5" s="2" t="s">
        <v>184</v>
      </c>
      <c r="E5" s="2" t="s">
        <v>222</v>
      </c>
      <c r="F5" s="2" t="s">
        <v>183</v>
      </c>
      <c r="G5" s="2" t="s">
        <v>220</v>
      </c>
      <c r="H5" s="2" t="s">
        <v>223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0">
        <v>46295</v>
      </c>
      <c r="B6" s="3" t="s">
        <v>113</v>
      </c>
      <c r="C6" s="3" t="s">
        <v>186</v>
      </c>
      <c r="D6" s="3" t="s">
        <v>184</v>
      </c>
      <c r="E6" s="3" t="s">
        <v>185</v>
      </c>
      <c r="F6" s="3" t="s">
        <v>183</v>
      </c>
      <c r="G6" s="3" t="s">
        <v>187</v>
      </c>
      <c r="H6" s="3" t="s">
        <v>188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46295</v>
      </c>
      <c r="B7" s="3" t="s">
        <v>113</v>
      </c>
      <c r="C7" s="3" t="s">
        <v>189</v>
      </c>
      <c r="D7" s="3" t="s">
        <v>184</v>
      </c>
      <c r="E7" s="3" t="s">
        <v>185</v>
      </c>
      <c r="F7" s="3" t="s">
        <v>183</v>
      </c>
      <c r="G7" s="3" t="s">
        <v>190</v>
      </c>
      <c r="H7" s="3" t="s">
        <v>191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46295</v>
      </c>
      <c r="B8" s="3" t="s">
        <v>113</v>
      </c>
      <c r="C8" s="3" t="s">
        <v>192</v>
      </c>
      <c r="D8" s="3" t="s">
        <v>184</v>
      </c>
      <c r="E8" s="3" t="s">
        <v>185</v>
      </c>
      <c r="F8" s="3" t="s">
        <v>183</v>
      </c>
      <c r="G8" s="3" t="s">
        <v>193</v>
      </c>
      <c r="H8" s="3" t="s">
        <v>194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0">
        <v>46295</v>
      </c>
      <c r="B9" s="3" t="s">
        <v>113</v>
      </c>
      <c r="C9" s="3" t="s">
        <v>195</v>
      </c>
      <c r="D9" s="3" t="s">
        <v>184</v>
      </c>
      <c r="E9" s="3" t="s">
        <v>185</v>
      </c>
      <c r="F9" s="3" t="s">
        <v>183</v>
      </c>
      <c r="G9" s="3" t="s">
        <v>196</v>
      </c>
      <c r="H9" s="3" t="s">
        <v>197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0">
        <v>46295</v>
      </c>
      <c r="B10" s="3" t="s">
        <v>113</v>
      </c>
      <c r="C10" s="3" t="s">
        <v>198</v>
      </c>
      <c r="D10" s="3" t="s">
        <v>184</v>
      </c>
      <c r="E10" s="3" t="s">
        <v>185</v>
      </c>
      <c r="F10" s="3" t="s">
        <v>183</v>
      </c>
      <c r="G10" s="3" t="s">
        <v>199</v>
      </c>
      <c r="H10" s="3" t="s">
        <v>200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0">
        <v>46295</v>
      </c>
      <c r="B11" s="3" t="s">
        <v>113</v>
      </c>
      <c r="C11" s="3" t="s">
        <v>201</v>
      </c>
      <c r="D11" s="3" t="s">
        <v>184</v>
      </c>
      <c r="E11" s="3" t="s">
        <v>185</v>
      </c>
      <c r="F11" s="3" t="s">
        <v>183</v>
      </c>
      <c r="G11" s="3" t="s">
        <v>202</v>
      </c>
      <c r="H11" s="3" t="s">
        <v>203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0">
        <v>46295</v>
      </c>
      <c r="B12" s="3" t="s">
        <v>113</v>
      </c>
      <c r="C12" s="3" t="s">
        <v>204</v>
      </c>
      <c r="D12" s="3" t="s">
        <v>184</v>
      </c>
      <c r="E12" s="3" t="s">
        <v>185</v>
      </c>
      <c r="F12" s="3" t="s">
        <v>183</v>
      </c>
      <c r="G12" s="3" t="s">
        <v>205</v>
      </c>
      <c r="H12" s="3" t="s">
        <v>206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0">
        <v>46295</v>
      </c>
      <c r="B13" s="3" t="s">
        <v>113</v>
      </c>
      <c r="C13" s="3" t="s">
        <v>207</v>
      </c>
      <c r="D13" s="3" t="s">
        <v>184</v>
      </c>
      <c r="E13" s="3" t="s">
        <v>185</v>
      </c>
      <c r="F13" s="3" t="s">
        <v>183</v>
      </c>
      <c r="G13" s="3" t="s">
        <v>208</v>
      </c>
      <c r="H13" s="3" t="s">
        <v>209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0">
        <v>46295</v>
      </c>
      <c r="B14" s="3" t="s">
        <v>113</v>
      </c>
      <c r="C14" s="3" t="s">
        <v>210</v>
      </c>
      <c r="D14" s="3" t="s">
        <v>184</v>
      </c>
      <c r="E14" s="3" t="s">
        <v>185</v>
      </c>
      <c r="F14" s="3" t="s">
        <v>183</v>
      </c>
      <c r="G14" s="3" t="s">
        <v>211</v>
      </c>
      <c r="H14" s="3" t="s">
        <v>212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0">
        <v>46295</v>
      </c>
      <c r="B15" s="3" t="s">
        <v>113</v>
      </c>
      <c r="C15" s="3" t="s">
        <v>213</v>
      </c>
      <c r="D15" s="3" t="s">
        <v>214</v>
      </c>
      <c r="E15" s="3" t="s">
        <v>215</v>
      </c>
      <c r="F15" s="3" t="s">
        <v>183</v>
      </c>
      <c r="G15" s="3" t="s">
        <v>216</v>
      </c>
      <c r="H15" s="3" t="s">
        <v>217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0">
        <v>46295</v>
      </c>
      <c r="B16" s="3" t="s">
        <v>113</v>
      </c>
      <c r="C16" s="3" t="s">
        <v>218</v>
      </c>
      <c r="D16" s="3" t="s">
        <v>184</v>
      </c>
      <c r="E16" s="3" t="s">
        <v>219</v>
      </c>
      <c r="F16" s="3" t="s">
        <v>183</v>
      </c>
      <c r="G16" s="3" t="s">
        <v>220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3">
      <c r="A18" s="10" t="s">
        <v>111</v>
      </c>
      <c r="B18" s="3" t="s">
        <v>224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2026-09-30T09:54:10Z</dcterms:modified>
</cp:coreProperties>
</file>