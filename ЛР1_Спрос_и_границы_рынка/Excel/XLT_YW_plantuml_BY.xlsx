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A70B5F4A-0D0A-4E4D-A774-5DCA3A1DC6D6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3" i="3" l="1"/>
  <c r="G47" i="3"/>
  <c r="G56" i="3"/>
  <c r="F26" i="3"/>
  <c r="G26" i="3" s="1"/>
  <c r="B35" i="6" s="1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B62" i="6" l="1"/>
  <c r="N53" i="3"/>
  <c r="B56" i="6"/>
  <c r="N47" i="3"/>
  <c r="B65" i="6"/>
  <c r="N56" i="3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<sst xmlns="http://schemas.openxmlformats.org/spreadsheetml/2006/main" count="351" uniqueCount="225">
  <si>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</si>
  <si>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</si>
  <si>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</si>
  <si>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</si>
  <si>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</si>
  <si>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</si>
  <si>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</si>
  <si>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</si>
  <si>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</si>
  <si>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</si>
  <si>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</si>
  <si>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</si>
  <si>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</si>
  <si>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</si>
  <si>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</si>
  <si>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</si>
  <si>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</si>
  <si>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</si>
  <si>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</si>
  <si>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</si>
  <si>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</si>
  <si>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</si>
  <si>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</si>
  <si>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</si>
  <si>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</si>
  <si>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</si>
  <si>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</si>
  <si>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</si>
  <si>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</si>
  <si>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</si>
  <si>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</si>
  <si>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</si>
  <si>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</si>
  <si>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</si>
  <si>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</si>
  <si>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</si>
  <si>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</si>
  <si>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</si>
  <si>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</si>
  <si>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</si>
  <si>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</si>
  <si>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</si>
  <si>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</si>
  <si>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</si>
  <si>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</si>
  <si>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</si>
  <si>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</si>
  <si>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</si>
  <si>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</si>
  <si>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</si>
  <si>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</si>
  <si>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</si>
  <si>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</si>
  <si>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</si>
  <si>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</si>
  <si>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</si>
  <si>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</si>
  <si>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</si>
  <si>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</si>
  <si>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</si>
  <si>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</si>
  <si>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</si>
  <si>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</si>
  <si>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</si>
  <si>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</si>
  <si>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</si>
  <si>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</si>
  <si>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</si>
  <si>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</si>
  <si>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</si>
  <si>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</si>
  <si>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</si>
  <si>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</si>
  <si>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</si>
  <si>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</si>
  <si>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</si>
  <si>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</si>
  <si>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</si>
  <si>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</si>
  <si>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</si>
  <si>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</si>
  <si>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</si>
  <si>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</si>
  <si>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</si>
  <si>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</si>
  <si>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</si>
  <si>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</si>
  <si>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</si>
  <si>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</si>
  <si>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</si>
  <si>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</si>
  <si>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</si>
  <si>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</si>
  <si>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</si>
  <si>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</si>
  <si>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</si>
  <si>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</si>
  <si>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</si>
  <si>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</si>
  <si>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</si>
  <si>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</si>
  <si>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</si>
  <si>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</si>
  <si>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</si>
  <si>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</si>
  <si>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</si>
  <si>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</si>
  <si>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</si>
  <si>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</si>
  <si>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</si>
  <si>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</si>
  <si>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</si>
  <si>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</si>
  <si>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</si>
  <si>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</si>
  <si>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</si>
  <si>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</si>
  <si>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</si>
  <si>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</si>
  <si>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</si>
  <si>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</si>
  <si>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</si>
  <si>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</si>
  <si>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</si>
  <si>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</si>
  <si>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</si>
  <si>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</si>
  <si>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</si>
  <si>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</si>
  <si>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</si>
  <si>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</si>
  <si>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</si>
  <si>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</si>
  <si>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</si>
  <si>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</si>
  <si>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</si>
  <si>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</si>
  <si>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</si>
  <si>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</si>
  <si>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</si>
  <si>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</si>
  <si>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</si>
  <si>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</si>
  <si>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</si>
  <si>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</si>
  <si>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</si>
  <si>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</si>
  <si>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</si>
  <si>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</si>
  <si>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</si>
  <si>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</si>
  <si>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</si>
  <si>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</si>
  <si>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</si>
  <si>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</si>
  <si>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</si>
  <si>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</si>
  <si>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</si>
  <si>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</si>
  <si>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</si>
  <si>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</si>
  <si>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</si>
  <si>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</si>
  <si>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</si>
  <si>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</si>
  <si>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</si>
  <si>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</si>
  <si>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</si>
  <si>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</si>
  <si>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</si>
  <si>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</si>
  <si>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</si>
  <si>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</si>
  <si>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</si>
  <si>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</si>
  <si>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</si>
  <si>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</si>
  <si>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</si>
  <si>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</si>
  <si>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</si>
  <si>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</si>
  <si>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</si>
  <si>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</si>
  <si>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</si>
  <si>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</si>
  <si>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</si>
  <si>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</si>
  <si>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</si>
  <si>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</si>
  <si>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</si>
  <si>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</si>
  <si>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</si>
  <si>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</si>
  <si>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</si>
  <si>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</si>
  <si>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</si>
  <si>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</si>
  <si>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</si>
  <si>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</si>
  <si>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</si>
  <si>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</si>
  <si>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</si>
  <si>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</si>
  <si>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</si>
  <si>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</si>
  <si>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</si>
  <si>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</si>
  <si>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</si>
  <si>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</si>
  <si>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</si>
  <si>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</si>
  <si>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</si>
  <si>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</si>
  <si>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</si>
  <si>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</si>
  <si>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</si>
  <si>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</si>
  <si>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</si>
  <si>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</si>
  <si>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</si>
  <si>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</si>
  <si>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</si>
  <si>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</si>
  <si>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200; подзапросы — в сводке данных Вордстата</t>
  </si>
  <si>
    <t>Вариант только Яндекс Вордстат: запрос «plantuml»,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</si>
</sst>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27.721335268505083</c:v>
                </c:pt>
                <c:pt idx="1">
                  <c:v>62.989840348330915</c:v>
                </c:pt>
                <c:pt idx="2">
                  <c:v>55.878084179970976</c:v>
                </c:pt>
                <c:pt idx="3">
                  <c:v>51.088534107402026</c:v>
                </c:pt>
                <c:pt idx="4">
                  <c:v>31.494920174165458</c:v>
                </c:pt>
                <c:pt idx="5">
                  <c:v>53.410740203193029</c:v>
                </c:pt>
                <c:pt idx="6">
                  <c:v>67.779390420899858</c:v>
                </c:pt>
                <c:pt idx="7">
                  <c:v>65.166908563134967</c:v>
                </c:pt>
                <c:pt idx="8">
                  <c:v>87.808417997097237</c:v>
                </c:pt>
                <c:pt idx="9">
                  <c:v>71.55297532656023</c:v>
                </c:pt>
                <c:pt idx="10">
                  <c:v>33.52685050798258</c:v>
                </c:pt>
                <c:pt idx="11">
                  <c:v>25.544267053701013</c:v>
                </c:pt>
                <c:pt idx="12">
                  <c:v>41.219158200290273</c:v>
                </c:pt>
                <c:pt idx="13">
                  <c:v>59.506531204644411</c:v>
                </c:pt>
                <c:pt idx="14">
                  <c:v>71.698113207547166</c:v>
                </c:pt>
                <c:pt idx="15">
                  <c:v>100</c:v>
                </c:pt>
                <c:pt idx="16">
                  <c:v>28.44702467343977</c:v>
                </c:pt>
                <c:pt idx="17">
                  <c:v>31.059506531204644</c:v>
                </c:pt>
                <c:pt idx="18">
                  <c:v>49.201741654571848</c:v>
                </c:pt>
                <c:pt idx="19">
                  <c:v>54.281567489114657</c:v>
                </c:pt>
                <c:pt idx="20">
                  <c:v>84.615384615384613</c:v>
                </c:pt>
                <c:pt idx="21">
                  <c:v>56.168359941944843</c:v>
                </c:pt>
                <c:pt idx="22">
                  <c:v>20.609579100145137</c:v>
                </c:pt>
                <c:pt idx="23">
                  <c:v>12.191582002902758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52.830188679245275</c:v>
                </c:pt>
                <c:pt idx="12">
                  <c:v>53.955007256894042</c:v>
                </c:pt>
                <c:pt idx="13">
                  <c:v>53.664731494920169</c:v>
                </c:pt>
                <c:pt idx="14">
                  <c:v>54.98306724721818</c:v>
                </c:pt>
                <c:pt idx="15">
                  <c:v>59.05902273826802</c:v>
                </c:pt>
                <c:pt idx="16">
                  <c:v>58.805031446540873</c:v>
                </c:pt>
                <c:pt idx="17">
                  <c:v>56.942428640541841</c:v>
                </c:pt>
                <c:pt idx="18">
                  <c:v>55.394291243347844</c:v>
                </c:pt>
                <c:pt idx="19">
                  <c:v>54.487179487179482</c:v>
                </c:pt>
                <c:pt idx="20">
                  <c:v>54.221093372036769</c:v>
                </c:pt>
                <c:pt idx="21">
                  <c:v>52.939042089985485</c:v>
                </c:pt>
                <c:pt idx="22">
                  <c:v>51.862602805999025</c:v>
                </c:pt>
                <c:pt idx="23">
                  <c:v>50.749879051765838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0.51995319161955378</c:v>
                </c:pt>
                <c:pt idx="1">
                  <c:v>0.58627375177510899</c:v>
                </c:pt>
                <c:pt idx="2">
                  <c:v>0.95467896085999193</c:v>
                </c:pt>
                <c:pt idx="3">
                  <c:v>1.0707792296571803</c:v>
                </c:pt>
                <c:pt idx="4">
                  <c:v>1.6773471202916679</c:v>
                </c:pt>
                <c:pt idx="5">
                  <c:v>1.1404008961876348</c:v>
                </c:pt>
                <c:pt idx="6">
                  <c:v>0.42712667923167918</c:v>
                </c:pt>
                <c:pt idx="7">
                  <c:v>0.38895345173410056</c:v>
                </c:pt>
                <c:pt idx="8">
                  <c:v>0.82112494980741557</c:v>
                </c:pt>
                <c:pt idx="9">
                  <c:v>1.1918389094008301</c:v>
                </c:pt>
                <c:pt idx="10">
                  <c:v>1.4015888988763496</c:v>
                </c:pt>
                <c:pt idx="11">
                  <c:v>1.819933960558489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стабильный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-3.9377289377289348E-2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0.6176286346145915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— декабрь, минимум — август.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186</v>
      </c>
      <c r="C5" s="7"/>
      <c r="D5" s="7">
        <v>191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186</v>
      </c>
      <c r="C6" s="7"/>
      <c r="D6" s="7">
        <v>434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186</v>
      </c>
      <c r="C7" s="7"/>
      <c r="D7" s="7">
        <v>385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186</v>
      </c>
      <c r="C8" s="7"/>
      <c r="D8" s="7">
        <v>352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186</v>
      </c>
      <c r="C9" s="7"/>
      <c r="D9" s="7">
        <v>217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186</v>
      </c>
      <c r="C10" s="7"/>
      <c r="D10" s="7">
        <v>368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186</v>
      </c>
      <c r="C11" s="7"/>
      <c r="D11" s="7">
        <v>467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186</v>
      </c>
      <c r="C12" s="7"/>
      <c r="D12" s="7">
        <v>449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186</v>
      </c>
      <c r="C13" s="7"/>
      <c r="D13" s="7">
        <v>605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186</v>
      </c>
      <c r="C14" s="7"/>
      <c r="D14" s="7">
        <v>493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186</v>
      </c>
      <c r="C15" s="7"/>
      <c r="D15" s="7">
        <v>231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186</v>
      </c>
      <c r="C16" s="7"/>
      <c r="D16" s="7">
        <v>176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186</v>
      </c>
      <c r="C17" s="7"/>
      <c r="D17" s="7">
        <v>284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186</v>
      </c>
      <c r="C18" s="7"/>
      <c r="D18" s="7">
        <v>410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186</v>
      </c>
      <c r="C19" s="7"/>
      <c r="D19" s="7">
        <v>494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186</v>
      </c>
      <c r="C20" s="7"/>
      <c r="D20" s="7">
        <v>689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186</v>
      </c>
      <c r="C21" s="7"/>
      <c r="D21" s="7">
        <v>196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186</v>
      </c>
      <c r="C22" s="7"/>
      <c r="D22" s="7">
        <v>214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186</v>
      </c>
      <c r="C23" s="7"/>
      <c r="D23" s="7">
        <v>339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186</v>
      </c>
      <c r="C24" s="7"/>
      <c r="D24" s="7">
        <v>374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186</v>
      </c>
      <c r="C25" s="7"/>
      <c r="D25" s="7">
        <v>583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186</v>
      </c>
      <c r="C26" s="7"/>
      <c r="D26" s="7">
        <v>387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186</v>
      </c>
      <c r="C27" s="7"/>
      <c r="D27" s="7">
        <v>142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186</v>
      </c>
      <c r="C28" s="7"/>
      <c r="D28" s="7">
        <v>84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191</v>
      </c>
      <c r="F5" s="5">
        <f t="shared" ref="F5:F36" si="2">IF(E5="","",IF(MAX($E$5:$E$64)=0,"",E5/MAX($E$5:$E$64)*100))</f>
        <v>27.721335268505083</v>
      </c>
      <c r="G5" s="5">
        <f>IF(COUNT(D5,F5)=0,"",IF(COUNT(D5,F5)=2,D5*Настройки!$B$4+F5*Настройки!$B$5,IF(D5&lt;&gt;"",D5,F5)))</f>
        <v>27.721335268505083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33.760191156055811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434</v>
      </c>
      <c r="F6" s="5">
        <f t="shared" si="2"/>
        <v>62.989840348330915</v>
      </c>
      <c r="G6" s="5">
        <f>IF(COUNT(D6,F6)=0,"",IF(COUNT(D6,F6)=2,D6*Настройки!$B$4+F6*Настройки!$B$5,IF(D6&lt;&gt;"",D6,F6)))</f>
        <v>62.989840348330915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52.850968240328406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385</v>
      </c>
      <c r="F7" s="5">
        <f t="shared" si="2"/>
        <v>55.878084179970976</v>
      </c>
      <c r="G7" s="5">
        <f>IF(COUNT(D7,F7)=0,"",IF(COUNT(D7,F7)=2,D7*Настройки!$B$4+F7*Настройки!$B$5,IF(D7&lt;&gt;"",D7,F7)))</f>
        <v>55.878084179970976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39.867670345254801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352</v>
      </c>
      <c r="F8" s="5">
        <f t="shared" si="2"/>
        <v>51.088534107402026</v>
      </c>
      <c r="G8" s="5">
        <f>IF(COUNT(D8,F8)=0,"",IF(COUNT(D8,F8)=2,D8*Настройки!$B$4+F8*Настройки!$B$5,IF(D8&lt;&gt;"",D8,F8)))</f>
        <v>51.088534107402026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28.071641726892288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217</v>
      </c>
      <c r="F9" s="5">
        <f t="shared" si="2"/>
        <v>31.494920174165458</v>
      </c>
      <c r="G9" s="5">
        <f>IF(COUNT(D9,F9)=0,"",IF(COUNT(D9,F9)=2,D9*Настройки!$B$4+F9*Настройки!$B$5,IF(D9&lt;&gt;"",D9,F9)))</f>
        <v>31.494920174165458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60.572606691892524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368</v>
      </c>
      <c r="F10" s="5">
        <f t="shared" si="2"/>
        <v>53.410740203193029</v>
      </c>
      <c r="G10" s="5">
        <f>IF(COUNT(D10,F10)=0,"",IF(COUNT(D10,F10)=2,D10*Настройки!$B$4+F10*Настройки!$B$5,IF(D10&lt;&gt;"",D10,F10)))</f>
        <v>53.410740203193029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91.102049241462652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467</v>
      </c>
      <c r="F11" s="5">
        <f t="shared" si="2"/>
        <v>67.779390420899858</v>
      </c>
      <c r="G11" s="5">
        <f>IF(COUNT(D11,F11)=0,"",IF(COUNT(D11,F11)=2,D11*Настройки!$B$4+F11*Настройки!$B$5,IF(D11&lt;&gt;"",D11,F11)))</f>
        <v>67.779390420899858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70.99705052664298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449</v>
      </c>
      <c r="F12" s="5">
        <f t="shared" si="2"/>
        <v>65.166908563134967</v>
      </c>
      <c r="G12" s="5">
        <f>IF(COUNT(D12,F12)=0,"",IF(COUNT(D12,F12)=2,D12*Настройки!$B$4+F12*Настройки!$B$5,IF(D12&lt;&gt;"",D12,F12)))</f>
        <v>65.166908563134967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60.859331931567951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605</v>
      </c>
      <c r="F13" s="5">
        <f t="shared" si="2"/>
        <v>87.808417997097237</v>
      </c>
      <c r="G13" s="5">
        <f>IF(COUNT(D13,F13)=0,"",IF(COUNT(D13,F13)=2,D13*Настройки!$B$4+F13*Настройки!$B$5,IF(D13&lt;&gt;"",D13,F13)))</f>
        <v>87.808417997097237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52.349580438560949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493</v>
      </c>
      <c r="F14" s="5">
        <f t="shared" si="2"/>
        <v>71.55297532656023</v>
      </c>
      <c r="G14" s="5">
        <f>IF(COUNT(D14,F14)=0,"",IF(COUNT(D14,F14)=2,D14*Настройки!$B$4+F14*Настройки!$B$5,IF(D14&lt;&gt;"",D14,F14)))</f>
        <v>71.55297532656023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62.743703171193687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231</v>
      </c>
      <c r="F15" s="5">
        <f t="shared" si="2"/>
        <v>33.52685050798258</v>
      </c>
      <c r="G15" s="5">
        <f>IF(COUNT(D15,F15)=0,"",IF(COUNT(D15,F15)=2,D15*Настройки!$B$4+F15*Настройки!$B$5,IF(D15&lt;&gt;"",D15,F15)))</f>
        <v>33.52685050798258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78.49392730112551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176</v>
      </c>
      <c r="F16" s="5">
        <f t="shared" si="2"/>
        <v>25.544267053701013</v>
      </c>
      <c r="G16" s="5">
        <f>IF(COUNT(D16,F16)=0,"",IF(COUNT(D16,F16)=2,D16*Настройки!$B$4+F16*Настройки!$B$5,IF(D16&lt;&gt;"",D16,F16)))</f>
        <v>25.544267053701013</v>
      </c>
      <c r="H16" s="5">
        <f>IF(OR(G16="",COUNT($G$5:G16)&lt;12),"",AVERAGE(G5:G16))</f>
        <v>52.830188679245275</v>
      </c>
      <c r="I16" s="5">
        <f t="shared" si="3"/>
        <v>0.48351648351648352</v>
      </c>
      <c r="J16" s="5">
        <f>IF(OR(G16="",IFERROR(VLOOKUP(B16,Сезонность!$A$4:$D$15,4,FALSE),0)=0),"",G16/IFERROR(VLOOKUP(B16,Сезонность!$A$4:$D$15,4,FALSE),1))</f>
        <v>65.674354964109654</v>
      </c>
      <c r="K16" s="5">
        <f>IF(OR(G16="",H16="",H16=0,IFERROR(VLOOKUP(B16,Сезонность!$A$4:$D$15,4,FALSE),0)=0),"",G16/(H16*IFERROR(VLOOKUP(B16,Сезонность!$A$4:$D$15,4,FALSE),1)))</f>
        <v>1.2431217189635044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si="4"/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284</v>
      </c>
      <c r="F17" s="5">
        <f t="shared" si="2"/>
        <v>41.219158200290273</v>
      </c>
      <c r="G17" s="5">
        <f>IF(COUNT(D17,F17)=0,"",IF(COUNT(D17,F17)=2,D17*Настройки!$B$4+F17*Настройки!$B$5,IF(D17&lt;&gt;"",D17,F17)))</f>
        <v>41.219158200290273</v>
      </c>
      <c r="H17" s="5">
        <f>IF(OR(G17="",COUNT($G$5:G17)&lt;12),"",AVERAGE(G6:G17))</f>
        <v>53.955007256894042</v>
      </c>
      <c r="I17" s="5">
        <f t="shared" si="3"/>
        <v>0.76395427034297247</v>
      </c>
      <c r="J17" s="5">
        <f>IF(OR(G17="",IFERROR(VLOOKUP(B17,Сезонность!$A$4:$D$15,4,FALSE),0)=0),"",G17/IFERROR(VLOOKUP(B17,Сезонность!$A$4:$D$15,4,FALSE),1))</f>
        <v>50.198399415287163</v>
      </c>
      <c r="K17" s="5">
        <f>IF(OR(G17="",H17="",H17=0,IFERROR(VLOOKUP(B17,Сезонность!$A$4:$D$15,4,FALSE),0)=0),"",G17/(H17*IFERROR(VLOOKUP(B17,Сезонность!$A$4:$D$15,4,FALSE),1)))</f>
        <v>0.93037517678904802</v>
      </c>
      <c r="L17" s="3" t="str">
        <f>IF(K17="","",IF(K17&lt;Настройки!$B$11,"ниже тренда",IF(K17&gt;Настройки!$B$12,"выше тренда","норма")))</f>
        <v>норма</v>
      </c>
      <c r="M17" s="3" t="str">
        <f t="shared" si="4"/>
        <v>без выраженного отклонения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410</v>
      </c>
      <c r="F18" s="5">
        <f t="shared" si="2"/>
        <v>59.506531204644411</v>
      </c>
      <c r="G18" s="5">
        <f>IF(COUNT(D18,F18)=0,"",IF(COUNT(D18,F18)=2,D18*Настройки!$B$4+F18*Настройки!$B$5,IF(D18&lt;&gt;"",D18,F18)))</f>
        <v>59.506531204644411</v>
      </c>
      <c r="H18" s="5">
        <f>IF(OR(G18="",COUNT($G$5:G18)&lt;12),"",AVERAGE(G7:G18))</f>
        <v>53.664731494920169</v>
      </c>
      <c r="I18" s="5">
        <f t="shared" si="3"/>
        <v>1.1088573360378635</v>
      </c>
      <c r="J18" s="5">
        <f>IF(OR(G18="",IFERROR(VLOOKUP(B18,Сезонность!$A$4:$D$15,4,FALSE),0)=0),"",G18/IFERROR(VLOOKUP(B18,Сезонность!$A$4:$D$15,4,FALSE),1))</f>
        <v>49.928334051923144</v>
      </c>
      <c r="K18" s="5">
        <f>IF(OR(G18="",H18="",H18=0,IFERROR(VLOOKUP(B18,Сезонность!$A$4:$D$15,4,FALSE),0)=0),"",G18/(H18*IFERROR(VLOOKUP(B18,Сезонность!$A$4:$D$15,4,FALSE),1)))</f>
        <v>0.93037517678904802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494</v>
      </c>
      <c r="F19" s="5">
        <f t="shared" si="2"/>
        <v>71.698113207547166</v>
      </c>
      <c r="G19" s="5">
        <f>IF(COUNT(D19,F19)=0,"",IF(COUNT(D19,F19)=2,D19*Настройки!$B$4+F19*Настройки!$B$5,IF(D19&lt;&gt;"",D19,F19)))</f>
        <v>71.698113207547166</v>
      </c>
      <c r="H19" s="5">
        <f>IF(OR(G19="",COUNT($G$5:G19)&lt;12),"",AVERAGE(G8:G19))</f>
        <v>54.98306724721818</v>
      </c>
      <c r="I19" s="5">
        <f t="shared" si="3"/>
        <v>1.3040035195776509</v>
      </c>
      <c r="J19" s="5">
        <f>IF(OR(G19="",IFERROR(VLOOKUP(B19,Сезонность!$A$4:$D$15,4,FALSE),0)=0),"",G19/IFERROR(VLOOKUP(B19,Сезонность!$A$4:$D$15,4,FALSE),1))</f>
        <v>51.154880910534729</v>
      </c>
      <c r="K19" s="5">
        <f>IF(OR(G19="",H19="",H19=0,IFERROR(VLOOKUP(B19,Сезонность!$A$4:$D$15,4,FALSE),0)=0),"",G19/(H19*IFERROR(VLOOKUP(B19,Сезонность!$A$4:$D$15,4,FALSE),1)))</f>
        <v>0.93037517678904802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689</v>
      </c>
      <c r="F20" s="5">
        <f t="shared" si="2"/>
        <v>100</v>
      </c>
      <c r="G20" s="5">
        <f>IF(COUNT(D20,F20)=0,"",IF(COUNT(D20,F20)=2,D20*Настройки!$B$4+F20*Настройки!$B$5,IF(D20&lt;&gt;"",D20,F20)))</f>
        <v>100</v>
      </c>
      <c r="H20" s="5">
        <f>IF(OR(G20="",COUNT($G$5:G20)&lt;12),"",AVERAGE(G9:G20))</f>
        <v>59.05902273826802</v>
      </c>
      <c r="I20" s="5">
        <f t="shared" si="3"/>
        <v>1.6932213802989966</v>
      </c>
      <c r="J20" s="5">
        <f>IF(OR(G20="",IFERROR(VLOOKUP(B20,Сезонность!$A$4:$D$15,4,FALSE),0)=0),"",G20/IFERROR(VLOOKUP(B20,Сезонность!$A$4:$D$15,4,FALSE),1))</f>
        <v>54.947048721104515</v>
      </c>
      <c r="K20" s="5">
        <f>IF(OR(G20="",H20="",H20=0,IFERROR(VLOOKUP(B20,Сезонность!$A$4:$D$15,4,FALSE),0)=0),"",G20/(H20*IFERROR(VLOOKUP(B20,Сезонность!$A$4:$D$15,4,FALSE),1)))</f>
        <v>0.93037517678904802</v>
      </c>
      <c r="L20" s="3" t="str">
        <f>IF(K20="","",IF(K20&lt;Настройки!$B$11,"ниже тренда",IF(K20&gt;Настройки!$B$12,"выше тренда","норма")))</f>
        <v>норма</v>
      </c>
      <c r="M20" s="3" t="str">
        <f t="shared" si="4"/>
        <v>без выраженного отклонения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196</v>
      </c>
      <c r="F21" s="5">
        <f t="shared" si="2"/>
        <v>28.44702467343977</v>
      </c>
      <c r="G21" s="5">
        <f>IF(COUNT(D21,F21)=0,"",IF(COUNT(D21,F21)=2,D21*Настройки!$B$4+F21*Настройки!$B$5,IF(D21&lt;&gt;"",D21,F21)))</f>
        <v>28.44702467343977</v>
      </c>
      <c r="H21" s="5">
        <f>IF(OR(G21="",COUNT($G$5:G21)&lt;12),"",AVERAGE(G10:G21))</f>
        <v>58.805031446540873</v>
      </c>
      <c r="I21" s="5">
        <f t="shared" si="3"/>
        <v>0.48375154257507208</v>
      </c>
      <c r="J21" s="5">
        <f>IF(OR(G21="",IFERROR(VLOOKUP(B21,Сезонность!$A$4:$D$15,4,FALSE),0)=0),"",G21/IFERROR(VLOOKUP(B21,Сезонность!$A$4:$D$15,4,FALSE),1))</f>
        <v>54.710741528160995</v>
      </c>
      <c r="K21" s="5">
        <f>IF(OR(G21="",H21="",H21=0,IFERROR(VLOOKUP(B21,Сезонность!$A$4:$D$15,4,FALSE),0)=0),"",G21/(H21*IFERROR(VLOOKUP(B21,Сезонность!$A$4:$D$15,4,FALSE),1)))</f>
        <v>0.93037517678904791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214</v>
      </c>
      <c r="F22" s="5">
        <f t="shared" si="2"/>
        <v>31.059506531204644</v>
      </c>
      <c r="G22" s="5">
        <f>IF(COUNT(D22,F22)=0,"",IF(COUNT(D22,F22)=2,D22*Настройки!$B$4+F22*Настройки!$B$5,IF(D22&lt;&gt;"",D22,F22)))</f>
        <v>31.059506531204644</v>
      </c>
      <c r="H22" s="5">
        <f>IF(OR(G22="",COUNT($G$5:G22)&lt;12),"",AVERAGE(G11:G22))</f>
        <v>56.942428640541841</v>
      </c>
      <c r="I22" s="5">
        <f t="shared" si="3"/>
        <v>0.54545454545454553</v>
      </c>
      <c r="J22" s="5">
        <f>IF(OR(G22="",IFERROR(VLOOKUP(B22,Сезонность!$A$4:$D$15,4,FALSE),0)=0),"",G22/IFERROR(VLOOKUP(B22,Сезонность!$A$4:$D$15,4,FALSE),1))</f>
        <v>52.977822113241871</v>
      </c>
      <c r="K22" s="5">
        <f>IF(OR(G22="",H22="",H22=0,IFERROR(VLOOKUP(B22,Сезонность!$A$4:$D$15,4,FALSE),0)=0),"",G22/(H22*IFERROR(VLOOKUP(B22,Сезонность!$A$4:$D$15,4,FALSE),1)))</f>
        <v>0.93037517678904802</v>
      </c>
      <c r="L22" s="3" t="str">
        <f>IF(K22="","",IF(K22&lt;Настройки!$B$11,"ниже тренда",IF(K22&gt;Настройки!$B$12,"выше тренда","норма")))</f>
        <v>норма</v>
      </c>
      <c r="M22" s="3" t="str">
        <f t="shared" si="4"/>
        <v>без выраженного отклонения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339</v>
      </c>
      <c r="F23" s="5">
        <f t="shared" si="2"/>
        <v>49.201741654571848</v>
      </c>
      <c r="G23" s="5">
        <f>IF(COUNT(D23,F23)=0,"",IF(COUNT(D23,F23)=2,D23*Настройки!$B$4+F23*Настройки!$B$5,IF(D23&lt;&gt;"",D23,F23)))</f>
        <v>49.201741654571848</v>
      </c>
      <c r="H23" s="5">
        <f>IF(OR(G23="",COUNT($G$5:G23)&lt;12),"",AVERAGE(G12:G23))</f>
        <v>55.394291243347844</v>
      </c>
      <c r="I23" s="5">
        <f t="shared" si="3"/>
        <v>0.88820960698689966</v>
      </c>
      <c r="J23" s="5">
        <f>IF(OR(G23="",IFERROR(VLOOKUP(B23,Сезонность!$A$4:$D$15,4,FALSE),0)=0),"",G23/IFERROR(VLOOKUP(B23,Сезонность!$A$4:$D$15,4,FALSE),1))</f>
        <v>51.537473508633767</v>
      </c>
      <c r="K23" s="5">
        <f>IF(OR(G23="",H23="",H23=0,IFERROR(VLOOKUP(B23,Сезонность!$A$4:$D$15,4,FALSE),0)=0),"",G23/(H23*IFERROR(VLOOKUP(B23,Сезонность!$A$4:$D$15,4,FALSE),1)))</f>
        <v>0.93037517678904813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374</v>
      </c>
      <c r="F24" s="5">
        <f t="shared" si="2"/>
        <v>54.281567489114657</v>
      </c>
      <c r="G24" s="5">
        <f>IF(COUNT(D24,F24)=0,"",IF(COUNT(D24,F24)=2,D24*Настройки!$B$4+F24*Настройки!$B$5,IF(D24&lt;&gt;"",D24,F24)))</f>
        <v>54.281567489114657</v>
      </c>
      <c r="H24" s="5">
        <f>IF(OR(G24="",COUNT($G$5:G24)&lt;12),"",AVERAGE(G13:G24))</f>
        <v>54.487179487179482</v>
      </c>
      <c r="I24" s="5">
        <f t="shared" si="3"/>
        <v>0.99622641509433973</v>
      </c>
      <c r="J24" s="5">
        <f>IF(OR(G24="",IFERROR(VLOOKUP(B24,Сезонность!$A$4:$D$15,4,FALSE),0)=0),"",G24/IFERROR(VLOOKUP(B24,Сезонность!$A$4:$D$15,4,FALSE),1))</f>
        <v>50.693519248121198</v>
      </c>
      <c r="K24" s="5">
        <f>IF(OR(G24="",H24="",H24=0,IFERROR(VLOOKUP(B24,Сезонность!$A$4:$D$15,4,FALSE),0)=0),"",G24/(H24*IFERROR(VLOOKUP(B24,Сезонность!$A$4:$D$15,4,FALSE),1)))</f>
        <v>0.93037517678904791</v>
      </c>
      <c r="L24" s="3" t="str">
        <f>IF(K24="","",IF(K24&lt;Настройки!$B$11,"ниже тренда",IF(K24&gt;Настройки!$B$12,"выше тренда","норма")))</f>
        <v>норма</v>
      </c>
      <c r="M24" s="3" t="str">
        <f t="shared" si="4"/>
        <v>без выраженного отклонения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583</v>
      </c>
      <c r="F25" s="5">
        <f t="shared" si="2"/>
        <v>84.615384615384613</v>
      </c>
      <c r="G25" s="5">
        <f>IF(COUNT(D25,F25)=0,"",IF(COUNT(D25,F25)=2,D25*Настройки!$B$4+F25*Настройки!$B$5,IF(D25&lt;&gt;"",D25,F25)))</f>
        <v>84.615384615384613</v>
      </c>
      <c r="H25" s="5">
        <f>IF(OR(G25="",COUNT($G$5:G25)&lt;12),"",AVERAGE(G14:G25))</f>
        <v>54.221093372036769</v>
      </c>
      <c r="I25" s="5">
        <f t="shared" si="3"/>
        <v>1.5605621235779612</v>
      </c>
      <c r="J25" s="5">
        <f>IF(OR(G25="",IFERROR(VLOOKUP(B25,Сезонность!$A$4:$D$15,4,FALSE),0)=0),"",G25/IFERROR(VLOOKUP(B25,Сезонность!$A$4:$D$15,4,FALSE),1))</f>
        <v>50.445959331704188</v>
      </c>
      <c r="K25" s="5">
        <f>IF(OR(G25="",H25="",H25=0,IFERROR(VLOOKUP(B25,Сезонность!$A$4:$D$15,4,FALSE),0)=0),"",G25/(H25*IFERROR(VLOOKUP(B25,Сезонность!$A$4:$D$15,4,FALSE),1)))</f>
        <v>0.93037517678904813</v>
      </c>
      <c r="L25" s="3" t="str">
        <f>IF(K25="","",IF(K25&lt;Настройки!$B$11,"ниже тренда",IF(K25&gt;Настройки!$B$12,"выше тренда","норма")))</f>
        <v>норма</v>
      </c>
      <c r="M25" s="3" t="str">
        <f t="shared" si="4"/>
        <v>без выраженного отклонения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387</v>
      </c>
      <c r="F26" s="5">
        <f t="shared" si="2"/>
        <v>56.168359941944843</v>
      </c>
      <c r="G26" s="5">
        <f>IF(COUNT(D26,F26)=0,"",IF(COUNT(D26,F26)=2,D26*Настройки!$B$4+F26*Настройки!$B$5,IF(D26&lt;&gt;"",D26,F26)))</f>
        <v>56.168359941944843</v>
      </c>
      <c r="H26" s="5">
        <f>IF(OR(G26="",COUNT($G$5:G26)&lt;12),"",AVERAGE(G15:G26))</f>
        <v>52.939042089985485</v>
      </c>
      <c r="I26" s="5">
        <f t="shared" si="3"/>
        <v>1.0610006854009595</v>
      </c>
      <c r="J26" s="5">
        <f>IF(OR(G26="",IFERROR(VLOOKUP(B26,Сезонность!$A$4:$D$15,4,FALSE),0)=0),"",G26/IFERROR(VLOOKUP(B26,Сезонность!$A$4:$D$15,4,FALSE),1))</f>
        <v>49.253170643513094</v>
      </c>
      <c r="K26" s="5">
        <f>IF(OR(G26="",H26="",H26=0,IFERROR(VLOOKUP(B26,Сезонность!$A$4:$D$15,4,FALSE),0)=0),"",G26/(H26*IFERROR(VLOOKUP(B26,Сезонность!$A$4:$D$15,4,FALSE),1)))</f>
        <v>0.93037517678904802</v>
      </c>
      <c r="L26" s="3" t="str">
        <f>IF(K26="","",IF(K26&lt;Настройки!$B$11,"ниже тренда",IF(K26&gt;Настройки!$B$12,"выше тренда","норма")))</f>
        <v>норма</v>
      </c>
      <c r="M26" s="3" t="str">
        <f t="shared" si="4"/>
        <v>без выраженного отклонения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142</v>
      </c>
      <c r="F27" s="5">
        <f t="shared" si="2"/>
        <v>20.609579100145137</v>
      </c>
      <c r="G27" s="5">
        <f>IF(COUNT(D27,F27)=0,"",IF(COUNT(D27,F27)=2,D27*Настройки!$B$4+F27*Настройки!$B$5,IF(D27&lt;&gt;"",D27,F27)))</f>
        <v>20.609579100145137</v>
      </c>
      <c r="H27" s="5">
        <f>IF(OR(G27="",COUNT($G$5:G27)&lt;12),"",AVERAGE(G16:G27))</f>
        <v>51.862602805999025</v>
      </c>
      <c r="I27" s="5">
        <f t="shared" si="3"/>
        <v>0.39738805970149255</v>
      </c>
      <c r="J27" s="5">
        <f>IF(OR(G27="",IFERROR(VLOOKUP(B27,Сезонность!$A$4:$D$15,4,FALSE),0)=0),"",G27/IFERROR(VLOOKUP(B27,Сезонность!$A$4:$D$15,4,FALSE),1))</f>
        <v>48.251678254371527</v>
      </c>
      <c r="K27" s="5">
        <f>IF(OR(G27="",H27="",H27=0,IFERROR(VLOOKUP(B27,Сезонность!$A$4:$D$15,4,FALSE),0)=0),"",G27/(H27*IFERROR(VLOOKUP(B27,Сезонность!$A$4:$D$15,4,FALSE),1)))</f>
        <v>0.93037517678904824</v>
      </c>
      <c r="L27" s="3" t="str">
        <f>IF(K27="","",IF(K27&lt;Настройки!$B$11,"ниже тренда",IF(K27&gt;Настройки!$B$12,"выше тренда","норма")))</f>
        <v>норма</v>
      </c>
      <c r="M27" s="3" t="str">
        <f t="shared" si="4"/>
        <v>без выраженного отклонения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84</v>
      </c>
      <c r="F28" s="5">
        <f t="shared" si="2"/>
        <v>12.191582002902758</v>
      </c>
      <c r="G28" s="5">
        <f>IF(COUNT(D28,F28)=0,"",IF(COUNT(D28,F28)=2,D28*Настройки!$B$4+F28*Настройки!$B$5,IF(D28&lt;&gt;"",D28,F28)))</f>
        <v>12.191582002902758</v>
      </c>
      <c r="H28" s="5">
        <f>IF(OR(G28="",COUNT($G$5:G28)&lt;12),"",AVERAGE(G17:G28))</f>
        <v>50.749879051765838</v>
      </c>
      <c r="I28" s="5">
        <f t="shared" si="3"/>
        <v>0.24022878932316494</v>
      </c>
      <c r="J28" s="5">
        <f>IF(OR(G28="",IFERROR(VLOOKUP(B28,Сезонность!$A$4:$D$15,4,FALSE),0)=0),"",G28/IFERROR(VLOOKUP(B28,Сезонность!$A$4:$D$15,4,FALSE),1))</f>
        <v>31.344578505597795</v>
      </c>
      <c r="K28" s="5">
        <f>IF(OR(G28="",H28="",H28=0,IFERROR(VLOOKUP(B28,Сезонность!$A$4:$D$15,4,FALSE),0)=0),"",G28/(H28*IFERROR(VLOOKUP(B28,Сезонность!$A$4:$D$15,4,FALSE),1)))</f>
        <v>0.6176286346145915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0.48375154257507208</v>
      </c>
      <c r="D4" s="5">
        <f t="shared" ref="D4:D15" si="0">IF(C4="","",C4/AVERAGE($C$4:$C$15))</f>
        <v>0.51995319161955378</v>
      </c>
      <c r="E4" s="5">
        <f t="shared" ref="E4:E15" si="1">IF(D4="","",D4-1)</f>
        <v>-0.48004680838044622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0.54545454545454553</v>
      </c>
      <c r="D5" s="5">
        <f t="shared" si="0"/>
        <v>0.58627375177510899</v>
      </c>
      <c r="E5" s="5">
        <f t="shared" si="1"/>
        <v>-0.41372624822489101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0.88820960698689966</v>
      </c>
      <c r="D6" s="5">
        <f t="shared" si="0"/>
        <v>0.95467896085999193</v>
      </c>
      <c r="E6" s="5">
        <f t="shared" si="1"/>
        <v>-4.5321039140008068E-2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0.99622641509433973</v>
      </c>
      <c r="D7" s="5">
        <f t="shared" si="0"/>
        <v>1.0707792296571803</v>
      </c>
      <c r="E7" s="5">
        <f t="shared" si="1"/>
        <v>7.0779229657180309E-2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1.5605621235779612</v>
      </c>
      <c r="D8" s="5">
        <f t="shared" si="0"/>
        <v>1.6773471202916679</v>
      </c>
      <c r="E8" s="5">
        <f t="shared" si="1"/>
        <v>0.67734712029166788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1.0610006854009595</v>
      </c>
      <c r="D9" s="5">
        <f t="shared" si="0"/>
        <v>1.1404008961876348</v>
      </c>
      <c r="E9" s="5">
        <f t="shared" si="1"/>
        <v>0.14040089618763485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0.39738805970149255</v>
      </c>
      <c r="D10" s="5">
        <f t="shared" si="0"/>
        <v>0.42712667923167918</v>
      </c>
      <c r="E10" s="5">
        <f t="shared" si="1"/>
        <v>-0.57287332076832076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0.36187263641982426</v>
      </c>
      <c r="D11" s="5">
        <f t="shared" si="0"/>
        <v>0.38895345173410056</v>
      </c>
      <c r="E11" s="5">
        <f t="shared" si="1"/>
        <v>-0.61104654826589944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0.76395427034297247</v>
      </c>
      <c r="D12" s="5">
        <f t="shared" si="0"/>
        <v>0.82112494980741557</v>
      </c>
      <c r="E12" s="5">
        <f t="shared" si="1"/>
        <v>-0.17887505019258443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1.1088573360378635</v>
      </c>
      <c r="D13" s="5">
        <f t="shared" si="0"/>
        <v>1.1918389094008301</v>
      </c>
      <c r="E13" s="5">
        <f t="shared" si="1"/>
        <v>0.19183890940083015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1.3040035195776509</v>
      </c>
      <c r="D14" s="5">
        <f t="shared" si="0"/>
        <v>1.4015888988763496</v>
      </c>
      <c r="E14" s="5">
        <f t="shared" si="1"/>
        <v>0.40158889887634963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1.6932213802989966</v>
      </c>
      <c r="D15" s="5">
        <f t="shared" si="0"/>
        <v>1.819933960558489</v>
      </c>
      <c r="E15" s="5">
        <f t="shared" si="1"/>
        <v>0.81993396055848899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1.819933960558489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0.38895345173410056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1.4309805088243883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52.830188679245275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50.749879051765838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-2.080309627479437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-3.9377289377289348E-2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-0.40840537641193914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0.6176286346145915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0.6176286346145915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1.2431217189635044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0.62549308434891293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27.721335268505083</v>
      </c>
      <c r="C14" s="5" t="str">
        <f>Расчет!H5</f>
        <v/>
      </c>
      <c r="D14" s="5">
        <f>IFERROR(VLOOKUP(Расчет!B5,Сезонность!$A$4:$D$15,4,FALSE),"")</f>
        <v>0.82112494980741557</v>
      </c>
      <c r="E14" s="5">
        <f>Расчет!J5</f>
        <v>33.760191156055811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62.989840348330915</v>
      </c>
      <c r="C15" s="5" t="str">
        <f>Расчет!H6</f>
        <v/>
      </c>
      <c r="D15" s="5">
        <f>IFERROR(VLOOKUP(Расчет!B6,Сезонность!$A$4:$D$15,4,FALSE),"")</f>
        <v>1.1918389094008301</v>
      </c>
      <c r="E15" s="5">
        <f>Расчет!J6</f>
        <v>52.850968240328406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55.878084179970976</v>
      </c>
      <c r="C16" s="5" t="str">
        <f>Расчет!H7</f>
        <v/>
      </c>
      <c r="D16" s="5">
        <f>IFERROR(VLOOKUP(Расчет!B7,Сезонность!$A$4:$D$15,4,FALSE),"")</f>
        <v>1.4015888988763496</v>
      </c>
      <c r="E16" s="5">
        <f>Расчет!J7</f>
        <v>39.867670345254801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51.088534107402026</v>
      </c>
      <c r="C17" s="5" t="str">
        <f>Расчет!H8</f>
        <v/>
      </c>
      <c r="D17" s="5">
        <f>IFERROR(VLOOKUP(Расчет!B8,Сезонность!$A$4:$D$15,4,FALSE),"")</f>
        <v>1.819933960558489</v>
      </c>
      <c r="E17" s="5">
        <f>Расчет!J8</f>
        <v>28.071641726892288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31.494920174165458</v>
      </c>
      <c r="C18" s="5" t="str">
        <f>Расчет!H9</f>
        <v/>
      </c>
      <c r="D18" s="5">
        <f>IFERROR(VLOOKUP(Расчет!B9,Сезонность!$A$4:$D$15,4,FALSE),"")</f>
        <v>0.51995319161955378</v>
      </c>
      <c r="E18" s="5">
        <f>Расчет!J9</f>
        <v>60.572606691892524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53.410740203193029</v>
      </c>
      <c r="C19" s="5" t="str">
        <f>Расчет!H10</f>
        <v/>
      </c>
      <c r="D19" s="5">
        <f>IFERROR(VLOOKUP(Расчет!B10,Сезонность!$A$4:$D$15,4,FALSE),"")</f>
        <v>0.58627375177510899</v>
      </c>
      <c r="E19" s="5">
        <f>Расчет!J10</f>
        <v>91.102049241462652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67.779390420899858</v>
      </c>
      <c r="C20" s="5" t="str">
        <f>Расчет!H11</f>
        <v/>
      </c>
      <c r="D20" s="5">
        <f>IFERROR(VLOOKUP(Расчет!B11,Сезонность!$A$4:$D$15,4,FALSE),"")</f>
        <v>0.95467896085999193</v>
      </c>
      <c r="E20" s="5">
        <f>Расчет!J11</f>
        <v>70.99705052664298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65.166908563134967</v>
      </c>
      <c r="C21" s="5" t="str">
        <f>Расчет!H12</f>
        <v/>
      </c>
      <c r="D21" s="5">
        <f>IFERROR(VLOOKUP(Расчет!B12,Сезонность!$A$4:$D$15,4,FALSE),"")</f>
        <v>1.0707792296571803</v>
      </c>
      <c r="E21" s="5">
        <f>Расчет!J12</f>
        <v>60.859331931567951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87.808417997097237</v>
      </c>
      <c r="C22" s="5" t="str">
        <f>Расчет!H13</f>
        <v/>
      </c>
      <c r="D22" s="5">
        <f>IFERROR(VLOOKUP(Расчет!B13,Сезонность!$A$4:$D$15,4,FALSE),"")</f>
        <v>1.6773471202916679</v>
      </c>
      <c r="E22" s="5">
        <f>Расчет!J13</f>
        <v>52.349580438560949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71.55297532656023</v>
      </c>
      <c r="C23" s="5" t="str">
        <f>Расчет!H14</f>
        <v/>
      </c>
      <c r="D23" s="5">
        <f>IFERROR(VLOOKUP(Расчет!B14,Сезонность!$A$4:$D$15,4,FALSE),"")</f>
        <v>1.1404008961876348</v>
      </c>
      <c r="E23" s="5">
        <f>Расчет!J14</f>
        <v>62.743703171193687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33.52685050798258</v>
      </c>
      <c r="C24" s="5" t="str">
        <f>Расчет!H15</f>
        <v/>
      </c>
      <c r="D24" s="5">
        <f>IFERROR(VLOOKUP(Расчет!B15,Сезонность!$A$4:$D$15,4,FALSE),"")</f>
        <v>0.42712667923167918</v>
      </c>
      <c r="E24" s="5">
        <f>Расчет!J15</f>
        <v>78.49392730112551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25.544267053701013</v>
      </c>
      <c r="C25" s="5">
        <f>Расчет!H16</f>
        <v>52.830188679245275</v>
      </c>
      <c r="D25" s="5">
        <f>IFERROR(VLOOKUP(Расчет!B16,Сезонность!$A$4:$D$15,4,FALSE),"")</f>
        <v>0.38895345173410056</v>
      </c>
      <c r="E25" s="5">
        <f>Расчет!J16</f>
        <v>65.674354964109654</v>
      </c>
      <c r="F25" s="5">
        <f>Расчет!K16</f>
        <v>1.2431217189635044</v>
      </c>
      <c r="G25" s="3" t="str">
        <f>Расчет!L16</f>
        <v>выше тренда</v>
      </c>
      <c r="H25" s="3" t="str">
        <f t="shared" si="0"/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41.219158200290273</v>
      </c>
      <c r="C26" s="5">
        <f>Расчет!H17</f>
        <v>53.955007256894042</v>
      </c>
      <c r="D26" s="5">
        <f>IFERROR(VLOOKUP(Расчет!B17,Сезонность!$A$4:$D$15,4,FALSE),"")</f>
        <v>0.82112494980741557</v>
      </c>
      <c r="E26" s="5">
        <f>Расчет!J17</f>
        <v>50.198399415287163</v>
      </c>
      <c r="F26" s="5">
        <f>Расчет!K17</f>
        <v>0.93037517678904802</v>
      </c>
      <c r="G26" s="3" t="str">
        <f>Расчет!L17</f>
        <v>норма</v>
      </c>
      <c r="H26" s="3" t="str">
        <f t="shared" si="0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59.506531204644411</v>
      </c>
      <c r="C27" s="5">
        <f>Расчет!H18</f>
        <v>53.664731494920169</v>
      </c>
      <c r="D27" s="5">
        <f>IFERROR(VLOOKUP(Расчет!B18,Сезонность!$A$4:$D$15,4,FALSE),"")</f>
        <v>1.1918389094008301</v>
      </c>
      <c r="E27" s="5">
        <f>Расчет!J18</f>
        <v>49.928334051923144</v>
      </c>
      <c r="F27" s="5">
        <f>Расчет!K18</f>
        <v>0.93037517678904802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71.698113207547166</v>
      </c>
      <c r="C28" s="5">
        <f>Расчет!H19</f>
        <v>54.98306724721818</v>
      </c>
      <c r="D28" s="5">
        <f>IFERROR(VLOOKUP(Расчет!B19,Сезонность!$A$4:$D$15,4,FALSE),"")</f>
        <v>1.4015888988763496</v>
      </c>
      <c r="E28" s="5">
        <f>Расчет!J19</f>
        <v>51.154880910534729</v>
      </c>
      <c r="F28" s="5">
        <f>Расчет!K19</f>
        <v>0.93037517678904802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100</v>
      </c>
      <c r="C29" s="5">
        <f>Расчет!H20</f>
        <v>59.05902273826802</v>
      </c>
      <c r="D29" s="5">
        <f>IFERROR(VLOOKUP(Расчет!B20,Сезонность!$A$4:$D$15,4,FALSE),"")</f>
        <v>1.819933960558489</v>
      </c>
      <c r="E29" s="5">
        <f>Расчет!J20</f>
        <v>54.947048721104515</v>
      </c>
      <c r="F29" s="5">
        <f>Расчет!K20</f>
        <v>0.93037517678904802</v>
      </c>
      <c r="G29" s="3" t="str">
        <f>Расчет!L20</f>
        <v>норма</v>
      </c>
      <c r="H29" s="3" t="str">
        <f t="shared" si="0"/>
        <v>обычный режим анализа спроса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28.44702467343977</v>
      </c>
      <c r="C30" s="5">
        <f>Расчет!H21</f>
        <v>58.805031446540873</v>
      </c>
      <c r="D30" s="5">
        <f>IFERROR(VLOOKUP(Расчет!B21,Сезонность!$A$4:$D$15,4,FALSE),"")</f>
        <v>0.51995319161955378</v>
      </c>
      <c r="E30" s="5">
        <f>Расчет!J21</f>
        <v>54.710741528160995</v>
      </c>
      <c r="F30" s="5">
        <f>Расчет!K21</f>
        <v>0.93037517678904791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31.059506531204644</v>
      </c>
      <c r="C31" s="5">
        <f>Расчет!H22</f>
        <v>56.942428640541841</v>
      </c>
      <c r="D31" s="5">
        <f>IFERROR(VLOOKUP(Расчет!B22,Сезонность!$A$4:$D$15,4,FALSE),"")</f>
        <v>0.58627375177510899</v>
      </c>
      <c r="E31" s="5">
        <f>Расчет!J22</f>
        <v>52.977822113241871</v>
      </c>
      <c r="F31" s="5">
        <f>Расчет!K22</f>
        <v>0.93037517678904802</v>
      </c>
      <c r="G31" s="3" t="str">
        <f>Расчет!L22</f>
        <v>норма</v>
      </c>
      <c r="H31" s="3" t="str">
        <f t="shared" si="0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49.201741654571848</v>
      </c>
      <c r="C32" s="5">
        <f>Расчет!H23</f>
        <v>55.394291243347844</v>
      </c>
      <c r="D32" s="5">
        <f>IFERROR(VLOOKUP(Расчет!B23,Сезонность!$A$4:$D$15,4,FALSE),"")</f>
        <v>0.95467896085999193</v>
      </c>
      <c r="E32" s="5">
        <f>Расчет!J23</f>
        <v>51.537473508633767</v>
      </c>
      <c r="F32" s="5">
        <f>Расчет!K23</f>
        <v>0.93037517678904813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54.281567489114657</v>
      </c>
      <c r="C33" s="5">
        <f>Расчет!H24</f>
        <v>54.487179487179482</v>
      </c>
      <c r="D33" s="5">
        <f>IFERROR(VLOOKUP(Расчет!B24,Сезонность!$A$4:$D$15,4,FALSE),"")</f>
        <v>1.0707792296571803</v>
      </c>
      <c r="E33" s="5">
        <f>Расчет!J24</f>
        <v>50.693519248121198</v>
      </c>
      <c r="F33" s="5">
        <f>Расчет!K24</f>
        <v>0.93037517678904791</v>
      </c>
      <c r="G33" s="3" t="str">
        <f>Расчет!L24</f>
        <v>норма</v>
      </c>
      <c r="H33" s="3" t="str">
        <f t="shared" si="0"/>
        <v>обычный режим анализа спроса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84.615384615384613</v>
      </c>
      <c r="C34" s="5">
        <f>Расчет!H25</f>
        <v>54.221093372036769</v>
      </c>
      <c r="D34" s="5">
        <f>IFERROR(VLOOKUP(Расчет!B25,Сезонность!$A$4:$D$15,4,FALSE),"")</f>
        <v>1.6773471202916679</v>
      </c>
      <c r="E34" s="5">
        <f>Расчет!J25</f>
        <v>50.445959331704188</v>
      </c>
      <c r="F34" s="5">
        <f>Расчет!K25</f>
        <v>0.93037517678904813</v>
      </c>
      <c r="G34" s="3" t="str">
        <f>Расчет!L25</f>
        <v>норма</v>
      </c>
      <c r="H34" s="3" t="str">
        <f t="shared" si="0"/>
        <v>обычный режим анализа спроса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56.168359941944843</v>
      </c>
      <c r="C35" s="5">
        <f>Расчет!H26</f>
        <v>52.939042089985485</v>
      </c>
      <c r="D35" s="5">
        <f>IFERROR(VLOOKUP(Расчет!B26,Сезонность!$A$4:$D$15,4,FALSE),"")</f>
        <v>1.1404008961876348</v>
      </c>
      <c r="E35" s="5">
        <f>Расчет!J26</f>
        <v>49.253170643513094</v>
      </c>
      <c r="F35" s="5">
        <f>Расчет!K26</f>
        <v>0.93037517678904802</v>
      </c>
      <c r="G35" s="3" t="str">
        <f>Расчет!L26</f>
        <v>норма</v>
      </c>
      <c r="H35" s="3" t="str">
        <f t="shared" si="0"/>
        <v>обычный режим анализа спроса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20.609579100145137</v>
      </c>
      <c r="C36" s="5">
        <f>Расчет!H27</f>
        <v>51.862602805999025</v>
      </c>
      <c r="D36" s="5">
        <f>IFERROR(VLOOKUP(Расчет!B27,Сезонность!$A$4:$D$15,4,FALSE),"")</f>
        <v>0.42712667923167918</v>
      </c>
      <c r="E36" s="5">
        <f>Расчет!J27</f>
        <v>48.251678254371527</v>
      </c>
      <c r="F36" s="5">
        <f>Расчет!K27</f>
        <v>0.93037517678904824</v>
      </c>
      <c r="G36" s="3" t="str">
        <f>Расчет!L27</f>
        <v>норма</v>
      </c>
      <c r="H36" s="3" t="str">
        <f t="shared" si="0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12.191582002902758</v>
      </c>
      <c r="C37" s="5">
        <f>Расчет!H28</f>
        <v>50.749879051765838</v>
      </c>
      <c r="D37" s="5">
        <f>IFERROR(VLOOKUP(Расчет!B28,Сезонность!$A$4:$D$15,4,FALSE),"")</f>
        <v>0.38895345173410056</v>
      </c>
      <c r="E37" s="5">
        <f>Расчет!J28</f>
        <v>31.344578505597795</v>
      </c>
      <c r="F37" s="5">
        <f>Расчет!K28</f>
        <v>0.6176286346145915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186</v>
      </c>
      <c r="D4" s="2" t="s">
        <v>184</v>
      </c>
      <c r="E4" s="2" t="s">
        <v>185</v>
      </c>
      <c r="F4" s="2" t="s">
        <v>183</v>
      </c>
      <c r="G4" s="2" t="s">
        <v>187</v>
      </c>
      <c r="H4" s="2" t="s">
        <v>188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186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2026-09-30T09:50:02Z</dcterms:modified>
</cp:coreProperties>
</file>