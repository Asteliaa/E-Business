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F1DDD475-FA74-4211-B37D-DE3C3009758C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" sheetId="4" r:id="rId4"/>
    <sheet name="04_География" sheetId="5" r:id="rId5"/>
    <sheet name="05_Запросы" sheetId="6" r:id="rId6"/>
    <sheet name="06_Воронка_сценарии" sheetId="7" r:id="rId7"/>
    <sheet name="07_Дашборд" sheetId="8" r:id="rId8"/>
    <sheet name="08_Источники" sheetId="9" r:id="rId9"/>
  </sheets>
  <calcPr calcId="191029"/>
</workbook>
</file>

<file path=xl/calcChain.xml><?xml version="1.0" encoding="utf-8"?>
<calcChain xmlns="http://schemas.openxmlformats.org/spreadsheetml/2006/main">
  <c r="D4" i="8" l="1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B9" i="2" s="1"/>
  <c r="B8" i="2"/>
  <c r="F4" i="8" s="1"/>
  <c r="I23" i="3" l="1"/>
  <c r="H23" i="3"/>
  <c r="I22" i="3"/>
  <c r="H22" i="3"/>
  <c r="H21" i="3"/>
  <c r="I21" i="3"/>
  <c r="I20" i="3"/>
  <c r="H20" i="3"/>
  <c r="I19" i="3"/>
  <c r="H19" i="3"/>
  <c r="I18" i="3"/>
  <c r="H18" i="3"/>
  <c r="I17" i="3"/>
  <c r="H17" i="3"/>
  <c r="I16" i="3"/>
  <c r="H16" i="3"/>
  <c r="H15" i="3"/>
  <c r="I15" i="3"/>
  <c r="I14" i="3"/>
  <c r="H14" i="3"/>
  <c r="I13" i="3"/>
  <c r="H13" i="3"/>
  <c r="I12" i="3"/>
  <c r="H12" i="3"/>
  <c r="I11" i="3"/>
  <c r="H11" i="3"/>
  <c r="I10" i="3"/>
  <c r="H10" i="3"/>
  <c r="H9" i="3"/>
  <c r="I9" i="3"/>
  <c r="I8" i="3"/>
  <c r="H8" i="3"/>
  <c r="I7" i="3"/>
  <c r="H7" i="3"/>
  <c r="H6" i="3"/>
  <c r="I6" i="3"/>
  <c r="I5" i="3"/>
  <c r="H5" i="3"/>
  <c r="H4" i="3"/>
  <c r="B10" i="2" s="1"/>
  <c r="M25" i="3"/>
  <c r="B4" i="4" s="1"/>
  <c r="R25" i="3"/>
  <c r="B9" i="4" s="1"/>
  <c r="G25" i="3"/>
  <c r="Q25" i="3"/>
  <c r="B8" i="4" s="1"/>
  <c r="N25" i="3"/>
  <c r="B5" i="4" s="1"/>
  <c r="O25" i="3"/>
  <c r="B6" i="4" s="1"/>
  <c r="P25" i="3"/>
  <c r="B7" i="4" s="1"/>
  <c r="B6" i="8"/>
  <c r="I4" i="3"/>
  <c r="H4" i="8" l="1"/>
  <c r="B12" i="2"/>
  <c r="C5" i="7"/>
  <c r="H5" i="7" s="1"/>
  <c r="I5" i="7" s="1"/>
  <c r="J5" i="7" s="1"/>
  <c r="C6" i="7"/>
  <c r="H6" i="7" s="1"/>
  <c r="I6" i="7" s="1"/>
  <c r="J6" i="7" s="1"/>
  <c r="C7" i="7"/>
  <c r="H7" i="7" s="1"/>
  <c r="I7" i="7" s="1"/>
  <c r="J7" i="7" s="1"/>
  <c r="H4" i="4"/>
  <c r="B17" i="8"/>
  <c r="J5" i="8"/>
  <c r="B22" i="8"/>
  <c r="H9" i="4"/>
  <c r="H8" i="4"/>
  <c r="B21" i="8"/>
  <c r="H5" i="4"/>
  <c r="B18" i="8"/>
  <c r="H6" i="4"/>
  <c r="B19" i="8"/>
  <c r="H7" i="4"/>
  <c r="B20" i="8"/>
  <c r="I25" i="3"/>
  <c r="D6" i="8"/>
  <c r="B13" i="2"/>
  <c r="H25" i="3"/>
  <c r="C4" i="5" l="1"/>
  <c r="D4" i="5" s="1"/>
  <c r="C5" i="5"/>
  <c r="D5" i="5" s="1"/>
  <c r="C6" i="5"/>
  <c r="D6" i="5" s="1"/>
  <c r="C7" i="5"/>
  <c r="D7" i="5" s="1"/>
  <c r="D4" i="6"/>
  <c r="G4" i="6" s="1"/>
  <c r="D5" i="6"/>
  <c r="G5" i="6" s="1"/>
  <c r="D6" i="6"/>
  <c r="G6" i="6" s="1"/>
  <c r="D7" i="6"/>
  <c r="G7" i="6" s="1"/>
  <c r="D8" i="6"/>
  <c r="G8" i="6" s="1"/>
  <c r="D9" i="6"/>
  <c r="G9" i="6" s="1"/>
  <c r="D10" i="6"/>
  <c r="G10" i="6" s="1"/>
  <c r="J4" i="8"/>
  <c r="B12" i="7"/>
  <c r="D12" i="7" s="1"/>
  <c r="B21" i="7"/>
  <c r="B22" i="7"/>
  <c r="B7" i="8" s="1"/>
  <c r="B5" i="8"/>
  <c r="B11" i="8"/>
  <c r="D21" i="7"/>
  <c r="D5" i="8"/>
  <c r="B13" i="7"/>
  <c r="D13" i="7" s="1"/>
  <c r="B12" i="8"/>
  <c r="B14" i="7"/>
  <c r="D14" i="7" s="1"/>
  <c r="F21" i="7"/>
  <c r="F5" i="8"/>
  <c r="B13" i="8"/>
  <c r="C4" i="4"/>
  <c r="C9" i="4"/>
  <c r="C8" i="4"/>
  <c r="C5" i="4"/>
  <c r="C6" i="4"/>
  <c r="C7" i="4"/>
  <c r="F6" i="8" l="1"/>
  <c r="H6" i="8"/>
  <c r="B20" i="7"/>
  <c r="C11" i="8"/>
  <c r="D20" i="7"/>
  <c r="H5" i="8"/>
  <c r="C12" i="8"/>
  <c r="C13" i="8"/>
  <c r="F20" i="7"/>
  <c r="C17" i="8"/>
  <c r="D4" i="4"/>
  <c r="C22" i="8"/>
  <c r="D9" i="4"/>
  <c r="C21" i="8"/>
  <c r="D8" i="4"/>
  <c r="C18" i="8"/>
  <c r="D5" i="4"/>
  <c r="C19" i="8"/>
  <c r="D6" i="4"/>
  <c r="D7" i="4"/>
  <c r="C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B9" authorId="0" shapeId="0" xr:uid="{57CFB2C2-BCC7-44B3-ABF8-4A1F27E52639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=SUM('02_Конкуренты_SW'!G5:G24) - диапазон сдвинут на 1 строку и терял первого конкурента (строка 4). Исправлено на G4:G23, как в G25, I4:I23, M25:R25 того же шаблона.</t>
        </r>
      </text>
    </comment>
    <comment ref="B10" authorId="0" shapeId="0" xr:uid="{8FC94703-A042-433C-A80D-E66FDC10EFA8}">
      <text>
        <r>
          <rPr>
            <b/>
            <sz val="9"/>
            <color indexed="81"/>
            <rFont val="Tahoma"/>
            <charset val="1"/>
          </rPr>
          <t>ИСПРАВЛЕНО в рабочей копии (2026-09-29): в оригинале =SUM('02_Конкуренты_SW'!H5:H24). Исправлено на H4:H23.</t>
        </r>
      </text>
    </comment>
  </commentList>
</comments>
</file>

<file path=xl/sharedStrings.xml><?xml version="1.0" encoding="utf-8"?>
<sst xmlns="http://schemas.openxmlformats.org/spreadsheetml/2006/main" count="432" uniqueCount="364">
  <si>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</si>
  <si>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</si>
  <si>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</si>
  <si>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</si>
  <si>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</si>
  <si>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</si>
  <si>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</si>
  <si>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</si>
  <si>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</si>
  <si>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</si>
  <si>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</si>
  <si>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</si>
  <si>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</si>
  <si>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</si>
  <si>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</si>
  <si>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</si>
  <si>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</si>
  <si>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</si>
  <si>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</si>
  <si>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</si>
  <si>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</si>
  <si>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</si>
  <si>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</si>
  <si>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</si>
  <si>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</si>
  <si>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</si>
  <si>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</si>
  <si>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</si>
  <si>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</si>
  <si>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</si>
  <si>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</si>
  <si>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</si>
  <si>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</si>
  <si>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</si>
  <si>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</si>
  <si>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</si>
  <si>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</si>
  <si>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</si>
  <si>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</si>
  <si>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</si>
  <si>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</si>
  <si>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</si>
  <si>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</si>
  <si>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</si>
  <si>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</si>
  <si>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</si>
  <si>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</si>
  <si>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</si>
  <si>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</si>
  <si>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</si>
  <si>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</si>
  <si>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</si>
  <si>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</si>
  <si>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</si>
  <si>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</si>
  <si>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</si>
  <si>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</si>
  <si>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</si>
  <si>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</si>
  <si>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</si>
  <si>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</si>
  <si>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</si>
  <si>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</si>
  <si>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</si>
  <si>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</si>
  <si>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</si>
  <si>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</si>
  <si>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</si>
  <si>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</si>
  <si>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</si>
  <si>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</si>
  <si>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</si>
  <si>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</si>
  <si>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</si>
  <si>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</si>
  <si>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</si>
  <si>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</si>
  <si>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</si>
  <si>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</si>
  <si>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</si>
  <si>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</si>
  <si>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</si>
  <si>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</si>
  <si>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</si>
  <si>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</si>
  <si>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</si>
  <si>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</si>
  <si>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</si>
  <si>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</si>
  <si>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</si>
  <si>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</si>
  <si>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</si>
  <si>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</si>
  <si>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</si>
  <si>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</si>
  <si>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</si>
  <si>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</si>
  <si>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</si>
  <si>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</si>
  <si>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Цифровые маркетинговые услуги для малого бизнеса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</si>
  <si>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</si>
  <si>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</si>
  <si>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</si>
  <si>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</si>
  <si>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</si>
  <si>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</si>
  <si>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последние 3 месяца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</si>
  <si>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</si>
  <si>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</si>
  <si>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</si>
  <si>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</si>
  <si>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</si>
  <si>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</si>
  <si>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</si>
  <si>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</si>
  <si>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</si>
  <si>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Сумма по конкурентам</t>
  </si>
  <si>
    <t>Наблюдаемый релевантный трафик, год</t>
  </si>
  <si>
    <t>Годовая оценка</t>
  </si>
  <si>
    <t>Коэффициент покрытия конкурентов</t>
  </si>
  <si>
    <t>%</t>
  </si>
  <si>
    <t>Оцените, какую долю рынка покрывает список конкурентов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</si>
  <si>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</si>
  <si>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</si>
  <si>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</si>
  <si>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</si>
  <si>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</si>
  <si>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</si>
  <si>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</si>
  <si>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</si>
  <si>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</si>
  <si>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</si>
  <si>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</si>
  <si>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</si>
  <si>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</si>
  <si>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</si>
  <si>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</si>
  <si>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</si>
  <si>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</si>
  <si>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</si>
  <si>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</si>
  <si>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</si>
  <si>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</si>
  <si>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</si>
  <si>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</si>
  <si>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</si>
  <si>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</si>
  <si>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</si>
  <si>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</si>
  <si>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</si>
  <si>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</si>
  <si>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</si>
  <si>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</si>
  <si>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</si>
  <si>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</si>
  <si>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example-agency.by</t>
  </si>
  <si>
    <t>Маркетинговое агентство 1</t>
  </si>
  <si>
    <t>маркетинговые услуги</t>
  </si>
  <si>
    <t>прямой</t>
  </si>
  <si>
    <t>00:02:10</t>
  </si>
  <si>
    <t>Демонстрационные данные; заменить фактическими</t>
  </si>
  <si>
    <t>example-promo.by</t>
  </si>
  <si>
    <t>Агентство продвижения 2</t>
  </si>
  <si>
    <t>реклама и продвижение</t>
  </si>
  <si>
    <t>00:01:55</t>
  </si>
  <si>
    <t>Демонстрационные данные</t>
  </si>
  <si>
    <t>example-smm.by</t>
  </si>
  <si>
    <t>SMM-студия</t>
  </si>
  <si>
    <t>социальные сети</t>
  </si>
  <si>
    <t>частичный</t>
  </si>
  <si>
    <t>00:01:40</t>
  </si>
  <si>
    <t>example-context.by</t>
  </si>
  <si>
    <t>Контекстная реклама</t>
  </si>
  <si>
    <t>рекламные кампании</t>
  </si>
  <si>
    <t>00:02:30</t>
  </si>
  <si>
    <t>example-marketer.by</t>
  </si>
  <si>
    <t>Частный специалист</t>
  </si>
  <si>
    <t>консалтинг</t>
  </si>
  <si>
    <t>заменитель</t>
  </si>
  <si>
    <t>00:01:10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</si>
  <si>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</si>
  <si>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</si>
  <si>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</si>
  <si>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</si>
  <si>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</si>
  <si>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</si>
  <si>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</si>
  <si>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</si>
  <si>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</si>
  <si>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</si>
  <si>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</si>
  <si>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</si>
  <si>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</si>
  <si>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</si>
  <si>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</si>
  <si>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</si>
  <si>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</si>
  <si>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</si>
  <si>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</si>
  <si>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</si>
  <si>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</si>
  <si>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</si>
  <si>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</si>
  <si>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</si>
  <si>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</si>
  <si>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</si>
  <si>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</si>
  <si>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</si>
  <si>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</si>
  <si>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</si>
  <si>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</si>
  <si>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</si>
  <si>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</si>
  <si>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</si>
  <si>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</si>
  <si>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</si>
  <si>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</si>
  <si>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Основная география анализа</t>
  </si>
  <si>
    <t>Минск</t>
  </si>
  <si>
    <t>выше средней</t>
  </si>
  <si>
    <t>высокая</t>
  </si>
  <si>
    <t>Возможный стартовый сегмент</t>
  </si>
  <si>
    <t>Областные центры РБ</t>
  </si>
  <si>
    <t>Расширение после проверки Минска</t>
  </si>
  <si>
    <t>Другие русскоязычные рынки</t>
  </si>
  <si>
    <t>разная</t>
  </si>
  <si>
    <t>Только при дистанционной модели оказания услуги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</si>
  <si>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</si>
  <si>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</si>
  <si>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</si>
  <si>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</si>
  <si>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</si>
  <si>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</si>
  <si>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</si>
  <si>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</si>
  <si>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маркетинговое агентство</t>
  </si>
  <si>
    <t>Similarweb / Search</t>
  </si>
  <si>
    <t>коммерческий</t>
  </si>
  <si>
    <t>агентство</t>
  </si>
  <si>
    <t>включить</t>
  </si>
  <si>
    <t>Поиск поставщика услуги</t>
  </si>
  <si>
    <t>продвижение бизнеса</t>
  </si>
  <si>
    <t>проблемный</t>
  </si>
  <si>
    <t>рост продаж</t>
  </si>
  <si>
    <t>Потребность в клиентах</t>
  </si>
  <si>
    <t>настройка рекламы</t>
  </si>
  <si>
    <t>реклама</t>
  </si>
  <si>
    <t>Близко к покупке</t>
  </si>
  <si>
    <t>smm продвижение</t>
  </si>
  <si>
    <t>инструментальный</t>
  </si>
  <si>
    <t>соцсети</t>
  </si>
  <si>
    <t>Отдельное направление</t>
  </si>
  <si>
    <t>как привлечь клиентов</t>
  </si>
  <si>
    <t>лидогенерация</t>
  </si>
  <si>
    <t>Потребность требует коммерческой проверки</t>
  </si>
  <si>
    <t>курсы маркетинга</t>
  </si>
  <si>
    <t>обучающий</t>
  </si>
  <si>
    <t>обучение</t>
  </si>
  <si>
    <t>исключить/отдельно</t>
  </si>
  <si>
    <t>Не основной спрос на услугу</t>
  </si>
  <si>
    <t>что такое маркетинг</t>
  </si>
  <si>
    <t>информационный</t>
  </si>
  <si>
    <t>общий интерес</t>
  </si>
  <si>
    <t>исключить</t>
  </si>
  <si>
    <t>Не подтверждает платежеспособный спрос</t>
  </si>
  <si>
    <t>Расчет объема рынка через цифровую воронку и сценарии</t>
  </si>
  <si>
    <t>Сценарные допущения</t>
  </si>
  <si>
    <t>Сценарий</t>
  </si>
  <si>
    <t>Оценка рынка: посещения/мес.</t>
  </si>
  <si>
    <t>Конверсия в заявку</t>
  </si>
  <si>
    <t>Конверсия заявки в продажу</t>
  </si>
  <si>
    <t>Средний чек</t>
  </si>
  <si>
    <t>Покупок/клиента в год</t>
  </si>
  <si>
    <t>Заказов/мес.</t>
  </si>
  <si>
    <t>Выручка/мес.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</si>
  <si>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</si>
  <si>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</si>
  <si>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</si>
  <si>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</si>
  <si>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</si>
  <si>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</si>
  <si>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</si>
  <si>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</si>
  <si>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</si>
  <si>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</si>
  <si>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</si>
  <si>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</si>
  <si>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</si>
  <si>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</si>
  <si>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</si>
  <si>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Оценочный цифровой объем рынка за год определяется как диапазон между осторожным и оптимистичным сценариями.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</si>
  <si>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</si>
  <si>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</si>
  <si>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</si>
  <si>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</si>
  <si>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</si>
  <si>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</si>
  <si>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</si>
  <si>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</si>
  <si>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</si>
  <si>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</si>
  <si>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</si>
  <si>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</si>
  <si>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</si>
  <si>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</si>
  <si>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Наблюдаемый трафик/мес.</t>
  </si>
  <si>
    <t>Оценка трафика рынка/мес.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</si>
  <si>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</si>
  <si>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</si>
  <si>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</si>
  <si>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</si>
  <si>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</si>
  <si>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</si>
  <si>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</si>
  <si>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</si>
  <si>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</si>
  <si>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</si>
  <si>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</si>
  <si>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</si>
  <si>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</si>
  <si>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Трафик/мес.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</si>
  <si>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</si>
  <si>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</si>
  <si>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</si>
  <si>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</si>
  <si>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</si>
  <si>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</si>
  <si>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</si>
  <si>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</si>
  <si>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</si>
  <si>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</si>
  <si>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</si>
  <si>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</si>
  <si>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</si>
  <si>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</si>
  <si>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</si>
  <si>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</si>
  <si>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</si>
  <si>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</si>
  <si>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</si>
  <si>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</si>
  <si>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</si>
  <si>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</si>
  <si>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</si>
  <si>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</si>
  <si>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</si>
  <si>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</si>
  <si>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</si>
  <si>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</si>
  <si>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</si>
  <si>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</si>
  <si>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</si>
  <si>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</si>
  <si>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</si>
  <si>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</si>
  <si>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</si>
  <si>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</si>
  <si>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</si>
  <si>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</si>
  <si>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</si>
  <si>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</si>
  <si>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</si>
  <si>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Traffic &amp; Engagement</t>
  </si>
  <si>
    <t>Демонстрационная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</si>
</sst>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0" fillId="0" borderId="0" xfId="1" applyNumberFormat="1" applyFont="1"/>
    <xf numFmtId="165" fontId="3" fillId="5" borderId="0" xfId="1" applyNumberFormat="1" applyFont="1" applyFill="1" applyAlignment="1">
      <alignment horizontal="left" vertical="top" wrapText="1"/>
    </xf>
    <xf numFmtId="166" fontId="0" fillId="0" borderId="0" xfId="1" applyNumberFormat="1" applyFont="1"/>
    <xf numFmtId="166" fontId="3" fillId="5" borderId="0" xfId="1" applyNumberFormat="1" applyFont="1" applyFill="1" applyAlignment="1">
      <alignment horizontal="left" vertical="top" wrapText="1"/>
    </xf>
    <xf numFmtId="167" fontId="0" fillId="0" borderId="0" xfId="1" applyNumberFormat="1" applyFont="1"/>
    <xf numFmtId="167" fontId="0" fillId="0" borderId="0" xfId="1" applyNumberFormat="1" applyFont="1" applyAlignment="1">
      <alignment wrapText="1"/>
    </xf>
    <xf numFmtId="0" fontId="3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left" vertical="center" wrapText="1"/>
    </xf>
    <xf numFmtId="3" fontId="0" fillId="7" borderId="0" xfId="1" applyNumberFormat="1" applyFont="1" applyFill="1" applyAlignment="1">
      <alignment horizontal="left" vertical="center" wrapText="1"/>
    </xf>
    <xf numFmtId="3" fontId="3" fillId="6" borderId="0" xfId="1" applyNumberFormat="1" applyFont="1" applyFill="1" applyAlignment="1">
      <alignment horizontal="left" vertical="center" wrapText="1"/>
    </xf>
    <xf numFmtId="167" fontId="0" fillId="7" borderId="0" xfId="1" applyNumberFormat="1" applyFont="1" applyFill="1" applyAlignment="1">
      <alignment horizontal="left" vertical="center" wrapText="1"/>
    </xf>
    <xf numFmtId="167" fontId="3" fillId="6" borderId="0" xfId="1" applyNumberFormat="1" applyFont="1" applyFill="1" applyAlignment="1">
      <alignment horizontal="left" vertical="center" wrapText="1"/>
    </xf>
    <xf numFmtId="165" fontId="0" fillId="7" borderId="0" xfId="1" applyNumberFormat="1" applyFont="1" applyFill="1" applyAlignment="1">
      <alignment horizontal="left" vertical="center" wrapText="1"/>
    </xf>
    <xf numFmtId="0" fontId="5" fillId="0" borderId="0" xfId="1" applyFont="1"/>
    <xf numFmtId="0" fontId="4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321761.15999999997</c:v>
                </c:pt>
                <c:pt idx="1">
                  <c:v>2052048.2142857146</c:v>
                </c:pt>
                <c:pt idx="2">
                  <c:v>13000450.909090906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076-80CB-F38A5E1EF647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1608.8057999999999</c:v>
                </c:pt>
                <c:pt idx="1">
                  <c:v>30780.723214285717</c:v>
                </c:pt>
                <c:pt idx="2">
                  <c:v>455015.78181818174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D-4076-80CB-F38A5E1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0.268402528136087</c:v>
                </c:pt>
                <c:pt idx="1">
                  <c:v>0.40966330678320528</c:v>
                </c:pt>
                <c:pt idx="2">
                  <c:v>6.5545452409482841E-2</c:v>
                </c:pt>
                <c:pt idx="3">
                  <c:v>0.14479429524682219</c:v>
                </c:pt>
                <c:pt idx="4">
                  <c:v>8.8030121472709763E-2</c:v>
                </c:pt>
                <c:pt idx="5">
                  <c:v>2.3564295951692862E-2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8-4D4A-A39F-2A45ACD0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>
  <tableColumns count="8">
    <tableColumn id="1" xr3:uid="{00000000-0010-0000-0000-000001000000}" name="Блок"/>
    <tableColumn id="2" xr3:uid="{00000000-0010-0000-0000-000002000000}" name="Цель"/>
    <tableColumn id="3" xr3:uid="{00000000-0010-0000-0000-000003000000}" name="Действие"/>
    <tableColumn id="4" xr3:uid="{00000000-0010-0000-0000-000004000000}" name="Что фиксировать"/>
    <tableColumn id="5" xr3:uid="{00000000-0010-0000-0000-000005000000}" name="Расчетный результат"/>
    <tableColumn id="6" xr3:uid="{00000000-0010-0000-0000-000006000000}" name="Ограничения"/>
    <tableColumn id="7" xr3:uid="{00000000-0010-0000-0000-000007000000}" name="Лист Excel"/>
    <tableColumn id="8" xr3:uid="{00000000-0010-0000-0000-000008000000}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>
  <tableColumns count="4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Единица / формат"/>
    <tableColumn id="4" xr3:uid="{00000000-0010-0000-0100-000004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>
  <tableColumns count="19">
    <tableColumn id="1" xr3:uid="{00000000-0010-0000-0200-000001000000}" name="Домен"/>
    <tableColumn id="2" xr3:uid="{00000000-0010-0000-0200-000002000000}" name="Название / конкурент"/>
    <tableColumn id="3" xr3:uid="{00000000-0010-0000-0200-000003000000}" name="Сегмент"/>
    <tableColumn id="4" xr3:uid="{00000000-0010-0000-0200-000004000000}" name="Тип"/>
    <tableColumn id="5" xr3:uid="{00000000-0010-0000-0200-000005000000}" name="Monthly visits"/>
    <tableColumn id="6" xr3:uid="{00000000-0010-0000-0200-000006000000}" name="Доля выбранной географии"/>
    <tableColumn id="7" xr3:uid="{00000000-0010-0000-0200-000007000000}" name="Релевантный трафик, мес."/>
    <tableColumn id="8" xr3:uid="{00000000-0010-0000-0200-000008000000}" name="Релевантный трафик, год"/>
    <tableColumn id="9" xr3:uid="{00000000-0010-0000-0200-000009000000}" name="Доля рынка по трафику"/>
    <tableColumn id="10" xr3:uid="{00000000-0010-0000-0200-00000A000000}" name="Bounce rate"/>
    <tableColumn id="11" xr3:uid="{00000000-0010-0000-0200-00000B000000}" name="Pages / visit"/>
    <tableColumn id="12" xr3:uid="{00000000-0010-0000-0200-00000C000000}" name="Avg duration"/>
    <tableColumn id="13" xr3:uid="{00000000-0010-0000-0200-00000D000000}" name="Direct"/>
    <tableColumn id="14" xr3:uid="{00000000-0010-0000-0200-00000E000000}" name="Organic search"/>
    <tableColumn id="15" xr3:uid="{00000000-0010-0000-0200-00000F000000}" name="Referral"/>
    <tableColumn id="16" xr3:uid="{00000000-0010-0000-0200-000010000000}" name="Social"/>
    <tableColumn id="17" xr3:uid="{00000000-0010-0000-0200-000011000000}" name="Paid search"/>
    <tableColumn id="18" xr3:uid="{00000000-0010-0000-0200-000012000000}" name="Display"/>
    <tableColumn id="19" xr3:uid="{00000000-0010-0000-0200-000013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>
  <tableColumns count="8">
    <tableColumn id="1" xr3:uid="{00000000-0010-0000-0300-000001000000}" name="Канал"/>
    <tableColumn id="2" xr3:uid="{00000000-0010-0000-0300-000002000000}" name="Средневзвешенная доля"/>
    <tableColumn id="3" xr3:uid="{00000000-0010-0000-0300-000003000000}" name="Оценка рыночного трафика, мес."/>
    <tableColumn id="4" xr3:uid="{00000000-0010-0000-0300-000004000000}" name="Оценка рыночного трафика, год"/>
    <tableColumn id="5" xr3:uid="{00000000-0010-0000-0300-000005000000}" name="Коммерческая интерпретация"/>
    <tableColumn id="6" xr3:uid="{00000000-0010-0000-0300-000006000000}" name="Что проверить дополнительно"/>
    <tableColumn id="7" xr3:uid="{00000000-0010-0000-0300-000007000000}" name="Ограничение"/>
    <tableColumn id="8" xr3:uid="{00000000-0010-0000-0300-000008000000}" name="Приорит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H7">
  <tableColumns count="8">
    <tableColumn id="1" xr3:uid="{00000000-0010-0000-0400-000001000000}" name="Страна / регион"/>
    <tableColumn id="2" xr3:uid="{00000000-0010-0000-0400-000002000000}" name="Доля трафика по Similarweb"/>
    <tableColumn id="3" xr3:uid="{00000000-0010-0000-0400-000003000000}" name="Оценка месячного трафика рынка"/>
    <tableColumn id="4" xr3:uid="{00000000-0010-0000-0400-000004000000}" name="Оценка годового трафика рынка"/>
    <tableColumn id="5" xr3:uid="{00000000-0010-0000-0400-000005000000}" name="Платежеспособность / доступность"/>
    <tableColumn id="6" xr3:uid="{00000000-0010-0000-0400-000006000000}" name="Конкурентная плотность"/>
    <tableColumn id="7" xr3:uid="{00000000-0010-0000-0400-000007000000}" name="Приоритет рынка"/>
    <tableColumn id="8" xr3:uid="{00000000-0010-0000-0400-000008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J10">
  <tableColumns count="10">
    <tableColumn id="1" xr3:uid="{00000000-0010-0000-0500-000001000000}" name="Запрос / ключевая фраза"/>
    <tableColumn id="2" xr3:uid="{00000000-0010-0000-0500-000002000000}" name="Источник"/>
    <tableColumn id="3" xr3:uid="{00000000-0010-0000-0500-000003000000}" name="Доля поискового трафика"/>
    <tableColumn id="4" xr3:uid="{00000000-0010-0000-0500-000004000000}" name="Оценочный месячный трафик"/>
    <tableColumn id="5" xr3:uid="{00000000-0010-0000-0500-000005000000}" name="Тип намерения"/>
    <tableColumn id="6" xr3:uid="{00000000-0010-0000-0500-000006000000}" name="Коммерческий вес"/>
    <tableColumn id="7" xr3:uid="{00000000-0010-0000-0500-000007000000}" name="Индекс коммерческого интереса"/>
    <tableColumn id="8" xr3:uid="{00000000-0010-0000-0500-000008000000}" name="Сегмент"/>
    <tableColumn id="9" xr3:uid="{00000000-0010-0000-0500-000009000000}" name="Решение"/>
    <tableColumn id="10" xr3:uid="{00000000-0010-0000-0500-00000A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>
  <tableColumns count="10">
    <tableColumn id="1" xr3:uid="{00000000-0010-0000-0600-000001000000}" name="Сценарий"/>
    <tableColumn id="2" xr3:uid="{00000000-0010-0000-0600-000002000000}" name="Коэффициент покрытия конкурентов"/>
    <tableColumn id="3" xr3:uid="{00000000-0010-0000-0600-000003000000}" name="Оценка рынка: посещения/мес."/>
    <tableColumn id="4" xr3:uid="{00000000-0010-0000-0600-000004000000}" name="Конверсия в заявку"/>
    <tableColumn id="5" xr3:uid="{00000000-0010-0000-0600-000005000000}" name="Конверсия заявки в продажу"/>
    <tableColumn id="6" xr3:uid="{00000000-0010-0000-0600-000006000000}" name="Средний чек"/>
    <tableColumn id="7" xr3:uid="{00000000-0010-0000-0600-000007000000}" name="Покупок/клиента в год"/>
    <tableColumn id="8" xr3:uid="{00000000-0010-0000-0600-000008000000}" name="Заказов/мес."/>
    <tableColumn id="9" xr3:uid="{00000000-0010-0000-0600-000009000000}" name="Выручка/мес."/>
    <tableColumn id="10" xr3:uid="{00000000-0010-0000-0600-00000A000000}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>
  <tableColumns count="6">
    <tableColumn id="1" xr3:uid="{00000000-0010-0000-0700-000001000000}" name="Сценарий"/>
    <tableColumn id="2" xr3:uid="{00000000-0010-0000-0700-000002000000}" name="Рыночная выручка/год"/>
    <tableColumn id="3" xr3:uid="{00000000-0010-0000-0700-000003000000}" name="Достижимая доля нового бизнеса"/>
    <tableColumn id="4" xr3:uid="{00000000-0010-0000-0700-000004000000}" name="Потенциальная выручка нового бизнеса/год"/>
    <tableColumn id="5" xr3:uid="{00000000-0010-0000-0700-000005000000}" name="Комментарий"/>
    <tableColumn id="6" xr3:uid="{00000000-0010-0000-0700-000006000000}" name="Огранич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>
  <tableColumns count="6">
    <tableColumn id="1" xr3:uid="{00000000-0010-0000-0800-000001000000}" name="Источник"/>
    <tableColumn id="2" xr3:uid="{00000000-0010-0000-0800-000002000000}" name="Что брать"/>
    <tableColumn id="3" xr3:uid="{00000000-0010-0000-0800-000003000000}" name="Как фиксировать"/>
    <tableColumn id="4" xr3:uid="{00000000-0010-0000-0800-000004000000}" name="Ссылка"/>
    <tableColumn id="5" xr3:uid="{00000000-0010-0000-0800-000005000000}" name="Дата обращения"/>
    <tableColumn id="6" xr3:uid="{00000000-0010-0000-0800-000006000000}" name="Ограничение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18">
  <tableColumns count="6">
    <tableColumn id="1" xr3:uid="{00000000-0010-0000-0900-000001000000}" name="Дата"/>
    <tableColumn id="2" xr3:uid="{00000000-0010-0000-0900-000002000000}" name="Сайт / домен"/>
    <tableColumn id="3" xr3:uid="{00000000-0010-0000-0900-000003000000}" name="Раздел Similarweb"/>
    <tableColumn id="4" xr3:uid="{00000000-0010-0000-0900-000004000000}" name="Показатель"/>
    <tableColumn id="5" xr3:uid="{00000000-0010-0000-0900-000005000000}" name="Значение"/>
    <tableColumn id="6" xr3:uid="{00000000-0010-0000-0900-000006000000}" name="Комментарий / снимок эк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sqref="A1:H1"/>
    </sheetView>
  </sheetViews>
  <sheetFormatPr defaultRowHeight="14.25"/>
  <cols>
    <col min="1" max="1" width="18" customWidth="1"/>
    <col min="2" max="2" width="24" customWidth="1"/>
    <col min="3" max="4" width="34" customWidth="1"/>
    <col min="5" max="5" width="28" customWidth="1"/>
    <col min="6" max="6" width="34" customWidth="1"/>
    <col min="7" max="7" width="24" customWidth="1"/>
    <col min="8" max="8" width="32" customWidth="1"/>
  </cols>
  <sheetData>
    <row r="1" spans="1:26" ht="30" customHeight="1">
      <c r="A1" s="22" t="s">
        <v>0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2.7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28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26" ht="28.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42.7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26" ht="42.7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26" ht="28.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26" ht="28.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3" spans="1:26" ht="21.95" customHeight="1">
      <c r="A13" s="23" t="s">
        <v>72</v>
      </c>
      <c r="B13" s="23"/>
      <c r="C13" s="23"/>
      <c r="D13" s="23"/>
      <c r="E13" s="23"/>
      <c r="F13" s="23"/>
      <c r="G13" s="23"/>
      <c r="H13" s="23"/>
    </row>
    <row r="14" spans="1:26" ht="28.5">
      <c r="A14" s="2" t="s">
        <v>73</v>
      </c>
      <c r="B14" s="2" t="s">
        <v>74</v>
      </c>
      <c r="C14" s="2" t="s">
        <v>75</v>
      </c>
      <c r="D14" s="2" t="s">
        <v>76</v>
      </c>
      <c r="E14" s="2"/>
      <c r="F14" s="2"/>
      <c r="G14" s="2"/>
      <c r="H14" s="2"/>
    </row>
    <row r="15" spans="1:26" ht="42.75">
      <c r="A15" s="2" t="s">
        <v>77</v>
      </c>
      <c r="B15" s="2" t="s">
        <v>78</v>
      </c>
      <c r="C15" s="2" t="s">
        <v>79</v>
      </c>
      <c r="D15" s="2" t="s">
        <v>80</v>
      </c>
      <c r="E15" s="2"/>
      <c r="F15" s="2"/>
      <c r="G15" s="2"/>
      <c r="H15" s="2"/>
    </row>
    <row r="16" spans="1:26" ht="28.5">
      <c r="A16" s="2" t="s">
        <v>81</v>
      </c>
      <c r="B16" s="2" t="s">
        <v>82</v>
      </c>
      <c r="C16" s="2" t="s">
        <v>83</v>
      </c>
      <c r="D16" s="2" t="s">
        <v>84</v>
      </c>
      <c r="E16" s="2"/>
      <c r="F16" s="2"/>
      <c r="G16" s="2"/>
      <c r="H16" s="2"/>
    </row>
    <row r="17" spans="1:8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2"/>
      <c r="G17" s="2"/>
      <c r="H17" s="2"/>
    </row>
    <row r="18" spans="1:8" ht="28.5">
      <c r="A18" s="2" t="s">
        <v>89</v>
      </c>
      <c r="B18" s="2" t="s">
        <v>90</v>
      </c>
      <c r="C18" s="2" t="s">
        <v>91</v>
      </c>
      <c r="D18" s="2" t="s">
        <v>92</v>
      </c>
      <c r="E18" s="2"/>
      <c r="F18" s="2"/>
      <c r="G18" s="2"/>
      <c r="H18" s="2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38" customWidth="1"/>
    <col min="2" max="2" width="30" customWidth="1"/>
    <col min="3" max="3" width="18" customWidth="1"/>
    <col min="4" max="4" width="48" customWidth="1"/>
  </cols>
  <sheetData>
    <row r="1" spans="1:26" ht="30" customHeight="1">
      <c r="A1" s="22" t="s">
        <v>93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94</v>
      </c>
      <c r="B3" s="1" t="s">
        <v>95</v>
      </c>
      <c r="C3" s="1" t="s">
        <v>96</v>
      </c>
      <c r="D3" s="1" t="s">
        <v>97</v>
      </c>
    </row>
    <row r="4" spans="1:26">
      <c r="A4" t="s">
        <v>98</v>
      </c>
      <c r="B4" t="s">
        <v>99</v>
      </c>
      <c r="C4" t="s">
        <v>100</v>
      </c>
      <c r="D4" t="s">
        <v>101</v>
      </c>
    </row>
    <row r="5" spans="1:26">
      <c r="A5" t="s">
        <v>102</v>
      </c>
      <c r="B5" t="s">
        <v>103</v>
      </c>
      <c r="C5" t="s">
        <v>100</v>
      </c>
      <c r="D5" t="s">
        <v>104</v>
      </c>
    </row>
    <row r="6" spans="1:26">
      <c r="A6" t="s">
        <v>105</v>
      </c>
      <c r="B6" t="s">
        <v>106</v>
      </c>
      <c r="C6" t="s">
        <v>100</v>
      </c>
      <c r="D6" t="s">
        <v>107</v>
      </c>
    </row>
    <row r="7" spans="1:26">
      <c r="A7" t="s">
        <v>108</v>
      </c>
      <c r="B7" s="3">
        <v>46144</v>
      </c>
      <c r="C7" t="s">
        <v>109</v>
      </c>
      <c r="D7" t="s">
        <v>110</v>
      </c>
    </row>
    <row r="8" spans="1:26">
      <c r="A8" t="s">
        <v>111</v>
      </c>
      <c r="B8">
        <f>COUNT('02_Конкуренты_SW'!E4:E23)</f>
        <v>5</v>
      </c>
      <c r="C8" t="s">
        <v>112</v>
      </c>
      <c r="D8" t="s">
        <v>113</v>
      </c>
    </row>
    <row r="9" spans="1:26">
      <c r="A9" t="s">
        <v>114</v>
      </c>
      <c r="B9" s="4">
        <f>SUM('02_Конкуренты_SW'!G4:G23)</f>
        <v>42561</v>
      </c>
      <c r="C9" t="s">
        <v>115</v>
      </c>
      <c r="D9" t="s">
        <v>116</v>
      </c>
    </row>
    <row r="10" spans="1:26">
      <c r="A10" t="s">
        <v>117</v>
      </c>
      <c r="B10" s="4">
        <f>SUM('02_Конкуренты_SW'!H4:H23)</f>
        <v>510732</v>
      </c>
      <c r="C10" t="s">
        <v>115</v>
      </c>
      <c r="D10" t="s">
        <v>118</v>
      </c>
    </row>
    <row r="11" spans="1:26">
      <c r="A11" t="s">
        <v>119</v>
      </c>
      <c r="B11" s="5">
        <v>0.7</v>
      </c>
      <c r="C11" t="s">
        <v>120</v>
      </c>
      <c r="D11" t="s">
        <v>121</v>
      </c>
    </row>
    <row r="12" spans="1:26">
      <c r="A12" t="s">
        <v>122</v>
      </c>
      <c r="B12" s="4">
        <f>IFERROR(B9/B11,0)</f>
        <v>60801.428571428572</v>
      </c>
      <c r="C12" t="s">
        <v>115</v>
      </c>
      <c r="D12" t="s">
        <v>123</v>
      </c>
    </row>
    <row r="13" spans="1:26">
      <c r="A13" t="s">
        <v>124</v>
      </c>
      <c r="B13" s="4">
        <f>IFERROR(B10/B11,0)</f>
        <v>729617.14285714296</v>
      </c>
      <c r="C13" t="s">
        <v>115</v>
      </c>
      <c r="D13" t="s">
        <v>123</v>
      </c>
    </row>
    <row r="15" spans="1:26" ht="21.95" customHeight="1">
      <c r="A15" s="23" t="s">
        <v>125</v>
      </c>
      <c r="B15" s="23"/>
      <c r="C15" s="23"/>
      <c r="D15" s="23"/>
      <c r="E15" s="23"/>
      <c r="F15" s="23"/>
      <c r="G15" s="23"/>
      <c r="H15" s="23"/>
    </row>
    <row r="16" spans="1:26">
      <c r="A16" t="s">
        <v>73</v>
      </c>
      <c r="B16" t="s">
        <v>126</v>
      </c>
      <c r="C16" t="s">
        <v>127</v>
      </c>
    </row>
    <row r="17" spans="1:3">
      <c r="A17" t="s">
        <v>77</v>
      </c>
      <c r="B17" t="s">
        <v>128</v>
      </c>
      <c r="C17" t="s">
        <v>129</v>
      </c>
    </row>
    <row r="18" spans="1:3">
      <c r="A18" t="s">
        <v>81</v>
      </c>
      <c r="B18" t="s">
        <v>130</v>
      </c>
      <c r="C18" t="s">
        <v>131</v>
      </c>
    </row>
    <row r="19" spans="1:3">
      <c r="A19" t="s">
        <v>85</v>
      </c>
      <c r="B19" t="s">
        <v>132</v>
      </c>
      <c r="C19" t="s">
        <v>133</v>
      </c>
    </row>
    <row r="20" spans="1:3">
      <c r="A20" t="s">
        <v>89</v>
      </c>
      <c r="B20" t="s">
        <v>134</v>
      </c>
      <c r="C20" t="s">
        <v>135</v>
      </c>
    </row>
  </sheetData>
  <mergeCells count="2">
    <mergeCell ref="A1:H1"/>
    <mergeCell ref="A15:H15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defaultRowHeight="14.25"/>
  <cols>
    <col min="1" max="1" width="22" customWidth="1"/>
    <col min="2" max="2" width="26" customWidth="1"/>
    <col min="3" max="3" width="24" customWidth="1"/>
    <col min="4" max="4" width="14" customWidth="1"/>
    <col min="5" max="5" width="15" customWidth="1"/>
    <col min="6" max="6" width="16" customWidth="1"/>
    <col min="7" max="8" width="18" customWidth="1"/>
    <col min="9" max="9" width="16" customWidth="1"/>
    <col min="10" max="11" width="13" customWidth="1"/>
    <col min="12" max="12" width="14" customWidth="1"/>
    <col min="13" max="13" width="12" customWidth="1"/>
    <col min="14" max="14" width="14" customWidth="1"/>
    <col min="15" max="16" width="12" customWidth="1"/>
    <col min="17" max="17" width="13" customWidth="1"/>
    <col min="18" max="18" width="12" customWidth="1"/>
    <col min="19" max="19" width="34" customWidth="1"/>
  </cols>
  <sheetData>
    <row r="1" spans="1:26" ht="30" customHeight="1">
      <c r="A1" s="22" t="s">
        <v>136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  <c r="G3" s="1" t="s">
        <v>143</v>
      </c>
      <c r="H3" s="1" t="s">
        <v>144</v>
      </c>
      <c r="I3" s="1" t="s">
        <v>145</v>
      </c>
      <c r="J3" s="1" t="s">
        <v>146</v>
      </c>
      <c r="K3" s="1" t="s">
        <v>147</v>
      </c>
      <c r="L3" s="1" t="s">
        <v>148</v>
      </c>
      <c r="M3" s="1" t="s">
        <v>149</v>
      </c>
      <c r="N3" s="1" t="s">
        <v>150</v>
      </c>
      <c r="O3" s="1" t="s">
        <v>151</v>
      </c>
      <c r="P3" s="1" t="s">
        <v>152</v>
      </c>
      <c r="Q3" s="1" t="s">
        <v>153</v>
      </c>
      <c r="R3" s="1" t="s">
        <v>154</v>
      </c>
      <c r="S3" s="1" t="s">
        <v>97</v>
      </c>
    </row>
    <row r="4" spans="1:26">
      <c r="A4" t="s">
        <v>155</v>
      </c>
      <c r="B4" t="s">
        <v>156</v>
      </c>
      <c r="C4" t="s">
        <v>157</v>
      </c>
      <c r="D4" t="s">
        <v>158</v>
      </c>
      <c r="E4" s="4">
        <v>18500</v>
      </c>
      <c r="F4" s="5">
        <v>0.82</v>
      </c>
      <c r="G4" s="4">
        <f t="shared" ref="G4:G23" si="0">IFERROR(E4*F4,0)</f>
        <v>15170</v>
      </c>
      <c r="H4" s="4">
        <f t="shared" ref="H4:H23" si="1">G4*12</f>
        <v>182040</v>
      </c>
      <c r="I4" s="8">
        <f t="shared" ref="I4:I23" si="2">IFERROR(G4/SUM($G$4:$G$23),0)</f>
        <v>0.35642959516928646</v>
      </c>
      <c r="J4" s="8">
        <v>0.48</v>
      </c>
      <c r="K4" s="10">
        <v>3.1</v>
      </c>
      <c r="L4" t="s">
        <v>159</v>
      </c>
      <c r="M4" s="8">
        <v>0.28000000000000003</v>
      </c>
      <c r="N4" s="8">
        <v>0.42</v>
      </c>
      <c r="O4" s="8">
        <v>0.08</v>
      </c>
      <c r="P4" s="8">
        <v>0.12</v>
      </c>
      <c r="Q4" s="8">
        <v>7.0000000000000007E-2</v>
      </c>
      <c r="R4" s="8">
        <v>0.03</v>
      </c>
      <c r="S4" t="s">
        <v>160</v>
      </c>
    </row>
    <row r="5" spans="1:26">
      <c r="A5" t="s">
        <v>161</v>
      </c>
      <c r="B5" t="s">
        <v>162</v>
      </c>
      <c r="C5" t="s">
        <v>163</v>
      </c>
      <c r="D5" t="s">
        <v>158</v>
      </c>
      <c r="E5" s="4">
        <v>12300</v>
      </c>
      <c r="F5" s="5">
        <v>0.76</v>
      </c>
      <c r="G5" s="4">
        <f t="shared" si="0"/>
        <v>9348</v>
      </c>
      <c r="H5" s="4">
        <f t="shared" si="1"/>
        <v>112176</v>
      </c>
      <c r="I5" s="8">
        <f t="shared" si="2"/>
        <v>0.21963769648269543</v>
      </c>
      <c r="J5" s="8">
        <v>0.52</v>
      </c>
      <c r="K5" s="10">
        <v>2.7</v>
      </c>
      <c r="L5" t="s">
        <v>164</v>
      </c>
      <c r="M5" s="8">
        <v>0.22</v>
      </c>
      <c r="N5" s="8">
        <v>0.5</v>
      </c>
      <c r="O5" s="8">
        <v>7.0000000000000007E-2</v>
      </c>
      <c r="P5" s="8">
        <v>0.1</v>
      </c>
      <c r="Q5" s="8">
        <v>0.09</v>
      </c>
      <c r="R5" s="8">
        <v>0.02</v>
      </c>
      <c r="S5" t="s">
        <v>165</v>
      </c>
    </row>
    <row r="6" spans="1:26">
      <c r="A6" t="s">
        <v>166</v>
      </c>
      <c r="B6" t="s">
        <v>167</v>
      </c>
      <c r="C6" t="s">
        <v>168</v>
      </c>
      <c r="D6" t="s">
        <v>169</v>
      </c>
      <c r="E6" s="4">
        <v>9800</v>
      </c>
      <c r="F6" s="5">
        <v>0.88</v>
      </c>
      <c r="G6" s="4">
        <f t="shared" si="0"/>
        <v>8624</v>
      </c>
      <c r="H6" s="4">
        <f t="shared" si="1"/>
        <v>103488</v>
      </c>
      <c r="I6" s="8">
        <f t="shared" si="2"/>
        <v>0.20262681797890086</v>
      </c>
      <c r="J6" s="8">
        <v>0.55000000000000004</v>
      </c>
      <c r="K6" s="10">
        <v>2.4</v>
      </c>
      <c r="L6" t="s">
        <v>170</v>
      </c>
      <c r="M6" s="8">
        <v>0.24</v>
      </c>
      <c r="N6" s="8">
        <v>0.3</v>
      </c>
      <c r="O6" s="8">
        <v>0.05</v>
      </c>
      <c r="P6" s="8">
        <v>0.31</v>
      </c>
      <c r="Q6" s="8">
        <v>0.08</v>
      </c>
      <c r="R6" s="8">
        <v>0.02</v>
      </c>
      <c r="S6" t="s">
        <v>165</v>
      </c>
    </row>
    <row r="7" spans="1:26">
      <c r="A7" t="s">
        <v>171</v>
      </c>
      <c r="B7" t="s">
        <v>172</v>
      </c>
      <c r="C7" t="s">
        <v>173</v>
      </c>
      <c r="D7" t="s">
        <v>169</v>
      </c>
      <c r="E7" s="4">
        <v>7200</v>
      </c>
      <c r="F7" s="5">
        <v>0.79</v>
      </c>
      <c r="G7" s="4">
        <f t="shared" si="0"/>
        <v>5688</v>
      </c>
      <c r="H7" s="4">
        <f t="shared" si="1"/>
        <v>68256</v>
      </c>
      <c r="I7" s="8">
        <f t="shared" si="2"/>
        <v>0.13364347642207655</v>
      </c>
      <c r="J7" s="8">
        <v>0.46</v>
      </c>
      <c r="K7" s="10">
        <v>3.4</v>
      </c>
      <c r="L7" t="s">
        <v>174</v>
      </c>
      <c r="M7" s="8">
        <v>0.3</v>
      </c>
      <c r="N7" s="8">
        <v>0.38</v>
      </c>
      <c r="O7" s="8">
        <v>0.06</v>
      </c>
      <c r="P7" s="8">
        <v>7.0000000000000007E-2</v>
      </c>
      <c r="Q7" s="8">
        <v>0.17</v>
      </c>
      <c r="R7" s="8">
        <v>0.02</v>
      </c>
      <c r="S7" t="s">
        <v>165</v>
      </c>
    </row>
    <row r="8" spans="1:26">
      <c r="A8" t="s">
        <v>175</v>
      </c>
      <c r="B8" t="s">
        <v>176</v>
      </c>
      <c r="C8" t="s">
        <v>177</v>
      </c>
      <c r="D8" t="s">
        <v>178</v>
      </c>
      <c r="E8" s="4">
        <v>4100</v>
      </c>
      <c r="F8" s="5">
        <v>0.91</v>
      </c>
      <c r="G8" s="4">
        <f t="shared" si="0"/>
        <v>3731</v>
      </c>
      <c r="H8" s="4">
        <f t="shared" si="1"/>
        <v>44772</v>
      </c>
      <c r="I8" s="8">
        <f t="shared" si="2"/>
        <v>8.7662413947040718E-2</v>
      </c>
      <c r="J8" s="8">
        <v>0.6</v>
      </c>
      <c r="K8" s="10">
        <v>1.9</v>
      </c>
      <c r="L8" t="s">
        <v>179</v>
      </c>
      <c r="M8" s="8">
        <v>0.36</v>
      </c>
      <c r="N8" s="8">
        <v>0.44</v>
      </c>
      <c r="O8" s="8">
        <v>0.04</v>
      </c>
      <c r="P8" s="8">
        <v>0.09</v>
      </c>
      <c r="Q8" s="8">
        <v>0.05</v>
      </c>
      <c r="R8" s="8">
        <v>0.02</v>
      </c>
      <c r="S8" t="s">
        <v>165</v>
      </c>
    </row>
    <row r="9" spans="1:26">
      <c r="E9" s="4"/>
      <c r="F9" s="5"/>
      <c r="G9" s="4">
        <f t="shared" si="0"/>
        <v>0</v>
      </c>
      <c r="H9" s="4">
        <f t="shared" si="1"/>
        <v>0</v>
      </c>
      <c r="I9" s="8">
        <f t="shared" si="2"/>
        <v>0</v>
      </c>
      <c r="J9" s="8"/>
      <c r="K9" s="10"/>
      <c r="M9" s="8"/>
      <c r="N9" s="8"/>
      <c r="O9" s="8"/>
      <c r="P9" s="8"/>
      <c r="Q9" s="8"/>
      <c r="R9" s="8"/>
    </row>
    <row r="10" spans="1:26">
      <c r="E10" s="4"/>
      <c r="F10" s="5"/>
      <c r="G10" s="4">
        <f t="shared" si="0"/>
        <v>0</v>
      </c>
      <c r="H10" s="4">
        <f t="shared" si="1"/>
        <v>0</v>
      </c>
      <c r="I10" s="8">
        <f t="shared" si="2"/>
        <v>0</v>
      </c>
      <c r="J10" s="8"/>
      <c r="K10" s="10"/>
      <c r="M10" s="8"/>
      <c r="N10" s="8"/>
      <c r="O10" s="8"/>
      <c r="P10" s="8"/>
      <c r="Q10" s="8"/>
      <c r="R10" s="8"/>
    </row>
    <row r="11" spans="1:26">
      <c r="E11" s="4"/>
      <c r="F11" s="5"/>
      <c r="G11" s="4">
        <f t="shared" si="0"/>
        <v>0</v>
      </c>
      <c r="H11" s="4">
        <f t="shared" si="1"/>
        <v>0</v>
      </c>
      <c r="I11" s="8">
        <f t="shared" si="2"/>
        <v>0</v>
      </c>
      <c r="J11" s="8"/>
      <c r="K11" s="10"/>
      <c r="M11" s="8"/>
      <c r="N11" s="8"/>
      <c r="O11" s="8"/>
      <c r="P11" s="8"/>
      <c r="Q11" s="8"/>
      <c r="R11" s="8"/>
    </row>
    <row r="12" spans="1:26">
      <c r="E12" s="4"/>
      <c r="F12" s="5"/>
      <c r="G12" s="4">
        <f t="shared" si="0"/>
        <v>0</v>
      </c>
      <c r="H12" s="4">
        <f t="shared" si="1"/>
        <v>0</v>
      </c>
      <c r="I12" s="8">
        <f t="shared" si="2"/>
        <v>0</v>
      </c>
      <c r="J12" s="8"/>
      <c r="K12" s="10"/>
      <c r="M12" s="8"/>
      <c r="N12" s="8"/>
      <c r="O12" s="8"/>
      <c r="P12" s="8"/>
      <c r="Q12" s="8"/>
      <c r="R12" s="8"/>
    </row>
    <row r="13" spans="1:26">
      <c r="E13" s="4"/>
      <c r="F13" s="5"/>
      <c r="G13" s="4">
        <f t="shared" si="0"/>
        <v>0</v>
      </c>
      <c r="H13" s="4">
        <f t="shared" si="1"/>
        <v>0</v>
      </c>
      <c r="I13" s="8">
        <f t="shared" si="2"/>
        <v>0</v>
      </c>
      <c r="J13" s="8"/>
      <c r="K13" s="10"/>
      <c r="M13" s="8"/>
      <c r="N13" s="8"/>
      <c r="O13" s="8"/>
      <c r="P13" s="8"/>
      <c r="Q13" s="8"/>
      <c r="R13" s="8"/>
    </row>
    <row r="14" spans="1:26">
      <c r="E14" s="4"/>
      <c r="F14" s="5"/>
      <c r="G14" s="4">
        <f t="shared" si="0"/>
        <v>0</v>
      </c>
      <c r="H14" s="4">
        <f t="shared" si="1"/>
        <v>0</v>
      </c>
      <c r="I14" s="8">
        <f t="shared" si="2"/>
        <v>0</v>
      </c>
      <c r="J14" s="8"/>
      <c r="K14" s="10"/>
      <c r="M14" s="8"/>
      <c r="N14" s="8"/>
      <c r="O14" s="8"/>
      <c r="P14" s="8"/>
      <c r="Q14" s="8"/>
      <c r="R14" s="8"/>
    </row>
    <row r="15" spans="1:26">
      <c r="E15" s="4"/>
      <c r="F15" s="5"/>
      <c r="G15" s="4">
        <f t="shared" si="0"/>
        <v>0</v>
      </c>
      <c r="H15" s="4">
        <f t="shared" si="1"/>
        <v>0</v>
      </c>
      <c r="I15" s="8">
        <f t="shared" si="2"/>
        <v>0</v>
      </c>
      <c r="J15" s="8"/>
      <c r="K15" s="10"/>
      <c r="M15" s="8"/>
      <c r="N15" s="8"/>
      <c r="O15" s="8"/>
      <c r="P15" s="8"/>
      <c r="Q15" s="8"/>
      <c r="R15" s="8"/>
    </row>
    <row r="16" spans="1:26">
      <c r="E16" s="4"/>
      <c r="F16" s="5"/>
      <c r="G16" s="4">
        <f t="shared" si="0"/>
        <v>0</v>
      </c>
      <c r="H16" s="4">
        <f t="shared" si="1"/>
        <v>0</v>
      </c>
      <c r="I16" s="8">
        <f t="shared" si="2"/>
        <v>0</v>
      </c>
      <c r="J16" s="8"/>
      <c r="K16" s="10"/>
      <c r="M16" s="8"/>
      <c r="N16" s="8"/>
      <c r="O16" s="8"/>
      <c r="P16" s="8"/>
      <c r="Q16" s="8"/>
      <c r="R16" s="8"/>
    </row>
    <row r="17" spans="1:19">
      <c r="E17" s="4"/>
      <c r="F17" s="5"/>
      <c r="G17" s="4">
        <f t="shared" si="0"/>
        <v>0</v>
      </c>
      <c r="H17" s="4">
        <f t="shared" si="1"/>
        <v>0</v>
      </c>
      <c r="I17" s="8">
        <f t="shared" si="2"/>
        <v>0</v>
      </c>
      <c r="J17" s="8"/>
      <c r="K17" s="10"/>
      <c r="M17" s="8"/>
      <c r="N17" s="8"/>
      <c r="O17" s="8"/>
      <c r="P17" s="8"/>
      <c r="Q17" s="8"/>
      <c r="R17" s="8"/>
    </row>
    <row r="18" spans="1:19">
      <c r="E18" s="4"/>
      <c r="F18" s="5"/>
      <c r="G18" s="4">
        <f t="shared" si="0"/>
        <v>0</v>
      </c>
      <c r="H18" s="4">
        <f t="shared" si="1"/>
        <v>0</v>
      </c>
      <c r="I18" s="8">
        <f t="shared" si="2"/>
        <v>0</v>
      </c>
      <c r="J18" s="8"/>
      <c r="K18" s="10"/>
      <c r="M18" s="8"/>
      <c r="N18" s="8"/>
      <c r="O18" s="8"/>
      <c r="P18" s="8"/>
      <c r="Q18" s="8"/>
      <c r="R18" s="8"/>
    </row>
    <row r="19" spans="1:19">
      <c r="E19" s="4"/>
      <c r="F19" s="5"/>
      <c r="G19" s="4">
        <f t="shared" si="0"/>
        <v>0</v>
      </c>
      <c r="H19" s="4">
        <f t="shared" si="1"/>
        <v>0</v>
      </c>
      <c r="I19" s="8">
        <f t="shared" si="2"/>
        <v>0</v>
      </c>
      <c r="J19" s="8"/>
      <c r="K19" s="10"/>
      <c r="M19" s="8"/>
      <c r="N19" s="8"/>
      <c r="O19" s="8"/>
      <c r="P19" s="8"/>
      <c r="Q19" s="8"/>
      <c r="R19" s="8"/>
    </row>
    <row r="20" spans="1:19">
      <c r="E20" s="4"/>
      <c r="F20" s="5"/>
      <c r="G20" s="4">
        <f t="shared" si="0"/>
        <v>0</v>
      </c>
      <c r="H20" s="4">
        <f t="shared" si="1"/>
        <v>0</v>
      </c>
      <c r="I20" s="8">
        <f t="shared" si="2"/>
        <v>0</v>
      </c>
      <c r="J20" s="8"/>
      <c r="K20" s="10"/>
      <c r="M20" s="8"/>
      <c r="N20" s="8"/>
      <c r="O20" s="8"/>
      <c r="P20" s="8"/>
      <c r="Q20" s="8"/>
      <c r="R20" s="8"/>
    </row>
    <row r="21" spans="1:19">
      <c r="E21" s="4"/>
      <c r="F21" s="5"/>
      <c r="G21" s="4">
        <f t="shared" si="0"/>
        <v>0</v>
      </c>
      <c r="H21" s="4">
        <f t="shared" si="1"/>
        <v>0</v>
      </c>
      <c r="I21" s="8">
        <f t="shared" si="2"/>
        <v>0</v>
      </c>
      <c r="J21" s="8"/>
      <c r="K21" s="10"/>
      <c r="M21" s="8"/>
      <c r="N21" s="8"/>
      <c r="O21" s="8"/>
      <c r="P21" s="8"/>
      <c r="Q21" s="8"/>
      <c r="R21" s="8"/>
    </row>
    <row r="22" spans="1:19">
      <c r="E22" s="4"/>
      <c r="F22" s="5"/>
      <c r="G22" s="4">
        <f t="shared" si="0"/>
        <v>0</v>
      </c>
      <c r="H22" s="4">
        <f t="shared" si="1"/>
        <v>0</v>
      </c>
      <c r="I22" s="8">
        <f t="shared" si="2"/>
        <v>0</v>
      </c>
      <c r="J22" s="8"/>
      <c r="K22" s="10"/>
      <c r="M22" s="8"/>
      <c r="N22" s="8"/>
      <c r="O22" s="8"/>
      <c r="P22" s="8"/>
      <c r="Q22" s="8"/>
      <c r="R22" s="8"/>
    </row>
    <row r="23" spans="1:19">
      <c r="E23" s="4"/>
      <c r="F23" s="5"/>
      <c r="G23" s="4">
        <f t="shared" si="0"/>
        <v>0</v>
      </c>
      <c r="H23" s="4">
        <f t="shared" si="1"/>
        <v>0</v>
      </c>
      <c r="I23" s="8">
        <f t="shared" si="2"/>
        <v>0</v>
      </c>
      <c r="J23" s="8"/>
      <c r="K23" s="10"/>
      <c r="M23" s="8"/>
      <c r="N23" s="8"/>
      <c r="O23" s="8"/>
      <c r="P23" s="8"/>
      <c r="Q23" s="8"/>
      <c r="R23" s="8"/>
    </row>
    <row r="24" spans="1:19">
      <c r="E24" s="4"/>
      <c r="G24" s="4"/>
      <c r="H24" s="4"/>
      <c r="I24" s="8"/>
      <c r="J24" s="8"/>
      <c r="K24" s="10"/>
      <c r="M24" s="8"/>
      <c r="N24" s="8"/>
      <c r="O24" s="8"/>
      <c r="P24" s="8"/>
      <c r="Q24" s="8"/>
      <c r="R24" s="8"/>
    </row>
    <row r="25" spans="1:19" ht="15">
      <c r="A25" s="6" t="s">
        <v>180</v>
      </c>
      <c r="B25" s="6"/>
      <c r="C25" s="6"/>
      <c r="D25" s="6"/>
      <c r="E25" s="7">
        <f>SUM(E4:E23)</f>
        <v>51900</v>
      </c>
      <c r="F25" s="6"/>
      <c r="G25" s="7">
        <f>SUM(G4:G23)</f>
        <v>42561</v>
      </c>
      <c r="H25" s="7">
        <f>SUM(H4:H23)</f>
        <v>510732</v>
      </c>
      <c r="I25" s="9">
        <f>SUM(I4:I23)</f>
        <v>1</v>
      </c>
      <c r="J25" s="9">
        <f>AVERAGE(J4:J23)</f>
        <v>0.52200000000000002</v>
      </c>
      <c r="K25" s="11">
        <f>AVERAGE(K4:K23)</f>
        <v>2.7</v>
      </c>
      <c r="L25" s="6"/>
      <c r="M25" s="9">
        <f t="shared" ref="M25:R25" si="3">SUMPRODUCT($G$4:$G$23,M4:M23)/SUM($G$4:$G$23)</f>
        <v>0.268402528136087</v>
      </c>
      <c r="N25" s="9">
        <f t="shared" si="3"/>
        <v>0.40966330678320528</v>
      </c>
      <c r="O25" s="9">
        <f t="shared" si="3"/>
        <v>6.5545452409482841E-2</v>
      </c>
      <c r="P25" s="9">
        <f t="shared" si="3"/>
        <v>0.14479429524682219</v>
      </c>
      <c r="Q25" s="9">
        <f t="shared" si="3"/>
        <v>8.8030121472709763E-2</v>
      </c>
      <c r="R25" s="9">
        <f t="shared" si="3"/>
        <v>2.3564295951692862E-2</v>
      </c>
      <c r="S25" s="6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/>
  </sheetViews>
  <sheetFormatPr defaultRowHeight="14.25"/>
  <cols>
    <col min="1" max="2" width="18" customWidth="1"/>
    <col min="3" max="4" width="24" customWidth="1"/>
    <col min="5" max="5" width="38" customWidth="1"/>
    <col min="6" max="7" width="34" customWidth="1"/>
    <col min="8" max="8" width="14" customWidth="1"/>
  </cols>
  <sheetData>
    <row r="1" spans="1:26" ht="30" customHeight="1">
      <c r="A1" s="22" t="s">
        <v>181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182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  <c r="H3" s="1" t="s">
        <v>189</v>
      </c>
    </row>
    <row r="4" spans="1:26">
      <c r="A4" t="s">
        <v>149</v>
      </c>
      <c r="B4" s="8">
        <f>'02_Конкуренты_SW'!M25</f>
        <v>0.268402528136087</v>
      </c>
      <c r="C4" s="4">
        <f>B4*'01_Параметры'!$B$12</f>
        <v>16319.257142857141</v>
      </c>
      <c r="D4" s="4">
        <f t="shared" ref="D4:D9" si="0">C4*12</f>
        <v>195831.0857142857</v>
      </c>
      <c r="E4" t="s">
        <v>190</v>
      </c>
      <c r="F4" t="s">
        <v>191</v>
      </c>
      <c r="G4" t="s">
        <v>192</v>
      </c>
      <c r="H4" t="str">
        <f t="shared" ref="H4:H9" si="1">IF(B4&gt;=0.3,"высокий",IF(B4&gt;=0.15,"средний","низкий"))</f>
        <v>средний</v>
      </c>
    </row>
    <row r="5" spans="1:26">
      <c r="A5" t="s">
        <v>150</v>
      </c>
      <c r="B5" s="8">
        <f>'02_Конкуренты_SW'!N25</f>
        <v>0.40966330678320528</v>
      </c>
      <c r="C5" s="4">
        <f>B5*'01_Параметры'!$B$12</f>
        <v>24908.114285714288</v>
      </c>
      <c r="D5" s="4">
        <f t="shared" si="0"/>
        <v>298897.37142857147</v>
      </c>
      <c r="E5" t="s">
        <v>193</v>
      </c>
      <c r="F5" t="s">
        <v>194</v>
      </c>
      <c r="G5" t="s">
        <v>195</v>
      </c>
      <c r="H5" t="str">
        <f t="shared" si="1"/>
        <v>высокий</v>
      </c>
    </row>
    <row r="6" spans="1:26">
      <c r="A6" t="s">
        <v>151</v>
      </c>
      <c r="B6" s="8">
        <f>'02_Конкуренты_SW'!O25</f>
        <v>6.5545452409482841E-2</v>
      </c>
      <c r="C6" s="4">
        <f>B6*'01_Параметры'!$B$12</f>
        <v>3985.2571428571418</v>
      </c>
      <c r="D6" s="4">
        <f t="shared" si="0"/>
        <v>47823.085714285698</v>
      </c>
      <c r="E6" t="s">
        <v>196</v>
      </c>
      <c r="F6" t="s">
        <v>197</v>
      </c>
      <c r="G6" t="s">
        <v>198</v>
      </c>
      <c r="H6" t="str">
        <f t="shared" si="1"/>
        <v>низкий</v>
      </c>
    </row>
    <row r="7" spans="1:26">
      <c r="A7" t="s">
        <v>152</v>
      </c>
      <c r="B7" s="8">
        <f>'02_Конкуренты_SW'!P25</f>
        <v>0.14479429524682219</v>
      </c>
      <c r="C7" s="4">
        <f>B7*'01_Параметры'!$B$12</f>
        <v>8803.6999999999989</v>
      </c>
      <c r="D7" s="4">
        <f t="shared" si="0"/>
        <v>105644.4</v>
      </c>
      <c r="E7" t="s">
        <v>199</v>
      </c>
      <c r="F7" t="s">
        <v>200</v>
      </c>
      <c r="G7" t="s">
        <v>201</v>
      </c>
      <c r="H7" t="str">
        <f t="shared" si="1"/>
        <v>низкий</v>
      </c>
    </row>
    <row r="8" spans="1:26">
      <c r="A8" t="s">
        <v>153</v>
      </c>
      <c r="B8" s="8">
        <f>'02_Конкуренты_SW'!Q25</f>
        <v>8.8030121472709763E-2</v>
      </c>
      <c r="C8" s="4">
        <f>B8*'01_Параметры'!$B$12</f>
        <v>5352.3571428571431</v>
      </c>
      <c r="D8" s="4">
        <f t="shared" si="0"/>
        <v>64228.285714285717</v>
      </c>
      <c r="E8" t="s">
        <v>202</v>
      </c>
      <c r="F8" t="s">
        <v>203</v>
      </c>
      <c r="G8" t="s">
        <v>204</v>
      </c>
      <c r="H8" t="str">
        <f t="shared" si="1"/>
        <v>низкий</v>
      </c>
    </row>
    <row r="9" spans="1:26">
      <c r="A9" t="s">
        <v>154</v>
      </c>
      <c r="B9" s="8">
        <f>'02_Конкуренты_SW'!R25</f>
        <v>2.3564295951692862E-2</v>
      </c>
      <c r="C9" s="4">
        <f>B9*'01_Параметры'!$B$12</f>
        <v>1432.742857142857</v>
      </c>
      <c r="D9" s="4">
        <f t="shared" si="0"/>
        <v>17192.914285714283</v>
      </c>
      <c r="E9" t="s">
        <v>205</v>
      </c>
      <c r="F9" t="s">
        <v>206</v>
      </c>
      <c r="G9" t="s">
        <v>207</v>
      </c>
      <c r="H9" t="str">
        <f t="shared" si="1"/>
        <v>низкий</v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defaultRowHeight="14.25"/>
  <cols>
    <col min="1" max="1" width="28" customWidth="1"/>
    <col min="2" max="2" width="22" customWidth="1"/>
    <col min="3" max="4" width="26" customWidth="1"/>
    <col min="5" max="5" width="28" customWidth="1"/>
    <col min="6" max="6" width="22" customWidth="1"/>
    <col min="7" max="7" width="18" customWidth="1"/>
    <col min="8" max="8" width="42" customWidth="1"/>
  </cols>
  <sheetData>
    <row r="1" spans="1:26" ht="30" customHeight="1">
      <c r="A1" s="22" t="s">
        <v>208</v>
      </c>
      <c r="B1" s="22"/>
      <c r="C1" s="22"/>
      <c r="D1" s="22"/>
      <c r="E1" s="22"/>
      <c r="F1" s="22"/>
      <c r="G1" s="22"/>
      <c r="H1" s="22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209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97</v>
      </c>
    </row>
    <row r="4" spans="1:26">
      <c r="A4" t="s">
        <v>103</v>
      </c>
      <c r="B4" s="8">
        <v>0.78</v>
      </c>
      <c r="C4" s="4">
        <f>B4*'01_Параметры'!$B$12</f>
        <v>47425.114285714291</v>
      </c>
      <c r="D4" s="4">
        <f>C4*12</f>
        <v>569101.37142857153</v>
      </c>
      <c r="E4" t="s">
        <v>216</v>
      </c>
      <c r="F4" t="s">
        <v>216</v>
      </c>
      <c r="G4" t="str">
        <f>IF(B4&gt;=0.35,"высокий",IF(B4&gt;=0.15,"средний","низкий"))</f>
        <v>высокий</v>
      </c>
      <c r="H4" t="s">
        <v>217</v>
      </c>
    </row>
    <row r="5" spans="1:26">
      <c r="A5" t="s">
        <v>218</v>
      </c>
      <c r="B5" s="8">
        <v>0.42</v>
      </c>
      <c r="C5" s="4">
        <f>B5*'01_Параметры'!$B$12</f>
        <v>25536.6</v>
      </c>
      <c r="D5" s="4">
        <f>C5*12</f>
        <v>306439.19999999995</v>
      </c>
      <c r="E5" t="s">
        <v>219</v>
      </c>
      <c r="F5" t="s">
        <v>220</v>
      </c>
      <c r="G5" t="str">
        <f>IF(B5&gt;=0.35,"высокий",IF(B5&gt;=0.15,"средний","низкий"))</f>
        <v>высокий</v>
      </c>
      <c r="H5" t="s">
        <v>221</v>
      </c>
    </row>
    <row r="6" spans="1:26">
      <c r="A6" t="s">
        <v>222</v>
      </c>
      <c r="B6" s="8">
        <v>0.25</v>
      </c>
      <c r="C6" s="4">
        <f>B6*'01_Параметры'!$B$12</f>
        <v>15200.357142857143</v>
      </c>
      <c r="D6" s="4">
        <f>C6*12</f>
        <v>182404.28571428571</v>
      </c>
      <c r="E6" t="s">
        <v>216</v>
      </c>
      <c r="F6" t="s">
        <v>216</v>
      </c>
      <c r="G6" t="str">
        <f>IF(B6&gt;=0.35,"высокий",IF(B6&gt;=0.15,"средний","низкий"))</f>
        <v>средний</v>
      </c>
      <c r="H6" t="s">
        <v>223</v>
      </c>
    </row>
    <row r="7" spans="1:26">
      <c r="A7" t="s">
        <v>224</v>
      </c>
      <c r="B7" s="8">
        <v>0.17</v>
      </c>
      <c r="C7" s="4">
        <f>B7*'01_Параметры'!$B$12</f>
        <v>10336.242857142857</v>
      </c>
      <c r="D7" s="4">
        <f>C7*12</f>
        <v>124034.91428571429</v>
      </c>
      <c r="E7" t="s">
        <v>225</v>
      </c>
      <c r="F7" t="s">
        <v>220</v>
      </c>
      <c r="G7" t="str">
        <f>IF(B7&gt;=0.35,"высокий",IF(B7&gt;=0.15,"средний","низкий"))</f>
        <v>средний</v>
      </c>
      <c r="H7" t="s">
        <v>226</v>
      </c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/>
  </sheetViews>
  <sheetFormatPr defaultRowHeight="14.25"/>
  <cols>
    <col min="1" max="1" width="28" customWidth="1"/>
    <col min="2" max="2" width="24" customWidth="1"/>
    <col min="3" max="3" width="20" customWidth="1"/>
    <col min="4" max="4" width="24" customWidth="1"/>
    <col min="5" max="6" width="18" customWidth="1"/>
    <col min="7" max="7" width="28" customWidth="1"/>
    <col min="8" max="9" width="18" customWidth="1"/>
    <col min="10" max="10" width="42" customWidth="1"/>
  </cols>
  <sheetData>
    <row r="1" spans="1:26" ht="30" customHeight="1">
      <c r="A1" s="22" t="s">
        <v>227</v>
      </c>
      <c r="B1" s="22"/>
      <c r="C1" s="22"/>
      <c r="D1" s="22"/>
      <c r="E1" s="22"/>
      <c r="F1" s="22"/>
      <c r="G1" s="22"/>
      <c r="H1" s="22"/>
      <c r="I1" s="22"/>
      <c r="J1" s="2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228</v>
      </c>
      <c r="B3" s="1" t="s">
        <v>229</v>
      </c>
      <c r="C3" s="1" t="s">
        <v>230</v>
      </c>
      <c r="D3" s="1" t="s">
        <v>231</v>
      </c>
      <c r="E3" s="1" t="s">
        <v>232</v>
      </c>
      <c r="F3" s="1" t="s">
        <v>233</v>
      </c>
      <c r="G3" s="1" t="s">
        <v>52</v>
      </c>
      <c r="H3" s="1" t="s">
        <v>139</v>
      </c>
      <c r="I3" s="1" t="s">
        <v>234</v>
      </c>
      <c r="J3" s="1" t="s">
        <v>97</v>
      </c>
    </row>
    <row r="4" spans="1:26">
      <c r="A4" t="s">
        <v>235</v>
      </c>
      <c r="B4" t="s">
        <v>236</v>
      </c>
      <c r="C4" s="8">
        <v>0.18</v>
      </c>
      <c r="D4" s="4">
        <f>C4*'01_Параметры'!$B$12</f>
        <v>10944.257142857143</v>
      </c>
      <c r="E4" t="s">
        <v>237</v>
      </c>
      <c r="F4" s="10">
        <v>1</v>
      </c>
      <c r="G4" s="4">
        <f t="shared" ref="G4:G10" si="0">D4*F4</f>
        <v>10944.257142857143</v>
      </c>
      <c r="H4" t="s">
        <v>238</v>
      </c>
      <c r="I4" t="s">
        <v>239</v>
      </c>
      <c r="J4" t="s">
        <v>240</v>
      </c>
    </row>
    <row r="5" spans="1:26">
      <c r="A5" t="s">
        <v>241</v>
      </c>
      <c r="B5" t="s">
        <v>236</v>
      </c>
      <c r="C5" s="8">
        <v>0.15</v>
      </c>
      <c r="D5" s="4">
        <f>C5*'01_Параметры'!$B$12</f>
        <v>9120.2142857142862</v>
      </c>
      <c r="E5" t="s">
        <v>242</v>
      </c>
      <c r="F5" s="10">
        <v>0.8</v>
      </c>
      <c r="G5" s="4">
        <f t="shared" si="0"/>
        <v>7296.1714285714297</v>
      </c>
      <c r="H5" t="s">
        <v>243</v>
      </c>
      <c r="I5" t="s">
        <v>239</v>
      </c>
      <c r="J5" t="s">
        <v>244</v>
      </c>
    </row>
    <row r="6" spans="1:26">
      <c r="A6" t="s">
        <v>245</v>
      </c>
      <c r="B6" t="s">
        <v>236</v>
      </c>
      <c r="C6" s="8">
        <v>0.13</v>
      </c>
      <c r="D6" s="4">
        <f>C6*'01_Параметры'!$B$12</f>
        <v>7904.1857142857143</v>
      </c>
      <c r="E6" t="s">
        <v>237</v>
      </c>
      <c r="F6" s="10">
        <v>1</v>
      </c>
      <c r="G6" s="4">
        <f t="shared" si="0"/>
        <v>7904.1857142857143</v>
      </c>
      <c r="H6" t="s">
        <v>246</v>
      </c>
      <c r="I6" t="s">
        <v>239</v>
      </c>
      <c r="J6" t="s">
        <v>247</v>
      </c>
    </row>
    <row r="7" spans="1:26">
      <c r="A7" t="s">
        <v>248</v>
      </c>
      <c r="B7" t="s">
        <v>236</v>
      </c>
      <c r="C7" s="8">
        <v>0.11</v>
      </c>
      <c r="D7" s="4">
        <f>C7*'01_Параметры'!$B$12</f>
        <v>6688.1571428571433</v>
      </c>
      <c r="E7" t="s">
        <v>249</v>
      </c>
      <c r="F7" s="10">
        <v>0.7</v>
      </c>
      <c r="G7" s="4">
        <f t="shared" si="0"/>
        <v>4681.71</v>
      </c>
      <c r="H7" t="s">
        <v>250</v>
      </c>
      <c r="I7" t="s">
        <v>239</v>
      </c>
      <c r="J7" t="s">
        <v>251</v>
      </c>
    </row>
    <row r="8" spans="1:26">
      <c r="A8" t="s">
        <v>252</v>
      </c>
      <c r="B8" t="s">
        <v>236</v>
      </c>
      <c r="C8" s="8">
        <v>0.09</v>
      </c>
      <c r="D8" s="4">
        <f>C8*'01_Параметры'!$B$12</f>
        <v>5472.1285714285714</v>
      </c>
      <c r="E8" t="s">
        <v>242</v>
      </c>
      <c r="F8" s="10">
        <v>0.6</v>
      </c>
      <c r="G8" s="4">
        <f t="shared" si="0"/>
        <v>3283.2771428571427</v>
      </c>
      <c r="H8" t="s">
        <v>253</v>
      </c>
      <c r="I8" t="s">
        <v>239</v>
      </c>
      <c r="J8" t="s">
        <v>254</v>
      </c>
    </row>
    <row r="9" spans="1:26">
      <c r="A9" t="s">
        <v>255</v>
      </c>
      <c r="B9" t="s">
        <v>236</v>
      </c>
      <c r="C9" s="8">
        <v>0.08</v>
      </c>
      <c r="D9" s="4">
        <f>C9*'01_Параметры'!$B$12</f>
        <v>4864.1142857142859</v>
      </c>
      <c r="E9" t="s">
        <v>256</v>
      </c>
      <c r="F9" s="10">
        <v>0.3</v>
      </c>
      <c r="G9" s="4">
        <f t="shared" si="0"/>
        <v>1459.2342857142858</v>
      </c>
      <c r="H9" t="s">
        <v>257</v>
      </c>
      <c r="I9" t="s">
        <v>258</v>
      </c>
      <c r="J9" t="s">
        <v>259</v>
      </c>
    </row>
    <row r="10" spans="1:26">
      <c r="A10" t="s">
        <v>260</v>
      </c>
      <c r="B10" t="s">
        <v>236</v>
      </c>
      <c r="C10" s="8">
        <v>0.06</v>
      </c>
      <c r="D10" s="4">
        <f>C10*'01_Параметры'!$B$12</f>
        <v>3648.0857142857144</v>
      </c>
      <c r="E10" t="s">
        <v>261</v>
      </c>
      <c r="F10" s="10">
        <v>0.1</v>
      </c>
      <c r="G10" s="4">
        <f t="shared" si="0"/>
        <v>364.80857142857144</v>
      </c>
      <c r="H10" t="s">
        <v>262</v>
      </c>
      <c r="I10" t="s">
        <v>263</v>
      </c>
      <c r="J10" t="s">
        <v>264</v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18" customWidth="1"/>
    <col min="2" max="3" width="26" customWidth="1"/>
    <col min="4" max="4" width="28" customWidth="1"/>
    <col min="5" max="6" width="36" customWidth="1"/>
    <col min="7" max="7" width="20" customWidth="1"/>
    <col min="8" max="10" width="18" customWidth="1"/>
  </cols>
  <sheetData>
    <row r="1" spans="1:26" ht="30" customHeight="1">
      <c r="A1" s="22" t="s">
        <v>265</v>
      </c>
      <c r="B1" s="22"/>
      <c r="C1" s="22"/>
      <c r="D1" s="22"/>
      <c r="E1" s="22"/>
      <c r="F1" s="22"/>
      <c r="G1" s="22"/>
      <c r="H1" s="22"/>
      <c r="I1" s="22"/>
      <c r="J1" s="22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3" t="s">
        <v>266</v>
      </c>
      <c r="B3" s="23"/>
      <c r="C3" s="23"/>
      <c r="D3" s="23"/>
      <c r="E3" s="23"/>
      <c r="F3" s="23"/>
      <c r="G3" s="23"/>
      <c r="H3" s="23"/>
      <c r="I3" s="23"/>
      <c r="J3" s="23"/>
    </row>
    <row r="4" spans="1:26" ht="30">
      <c r="A4" s="1" t="s">
        <v>267</v>
      </c>
      <c r="B4" s="1" t="s">
        <v>119</v>
      </c>
      <c r="C4" s="1" t="s">
        <v>268</v>
      </c>
      <c r="D4" s="1" t="s">
        <v>269</v>
      </c>
      <c r="E4" s="1" t="s">
        <v>270</v>
      </c>
      <c r="F4" s="1" t="s">
        <v>271</v>
      </c>
      <c r="G4" s="1" t="s">
        <v>272</v>
      </c>
      <c r="H4" s="1" t="s">
        <v>273</v>
      </c>
      <c r="I4" s="1" t="s">
        <v>274</v>
      </c>
      <c r="J4" s="1" t="s">
        <v>275</v>
      </c>
    </row>
    <row r="5" spans="1:26">
      <c r="A5" t="s">
        <v>276</v>
      </c>
      <c r="B5" s="5">
        <v>0.8</v>
      </c>
      <c r="C5" s="4">
        <f>IFERROR('01_Параметры'!$B$9/B5,0)</f>
        <v>53201.25</v>
      </c>
      <c r="D5" s="8">
        <v>8.0000000000000002E-3</v>
      </c>
      <c r="E5" s="8">
        <v>0.18</v>
      </c>
      <c r="F5" s="12">
        <v>350</v>
      </c>
      <c r="G5" s="10">
        <v>1</v>
      </c>
      <c r="H5" s="4">
        <f>C5*D5*E5</f>
        <v>76.609799999999993</v>
      </c>
      <c r="I5" s="12">
        <f>H5*F5</f>
        <v>26813.429999999997</v>
      </c>
      <c r="J5" s="12">
        <f>I5*12*G5</f>
        <v>321761.15999999997</v>
      </c>
    </row>
    <row r="6" spans="1:26">
      <c r="A6" t="s">
        <v>277</v>
      </c>
      <c r="B6" s="5">
        <v>0.7</v>
      </c>
      <c r="C6" s="4">
        <f>IFERROR('01_Параметры'!$B$9/B6,0)</f>
        <v>60801.428571428572</v>
      </c>
      <c r="D6" s="8">
        <v>1.4999999999999999E-2</v>
      </c>
      <c r="E6" s="8">
        <v>0.25</v>
      </c>
      <c r="F6" s="12">
        <v>500</v>
      </c>
      <c r="G6" s="10">
        <v>1.5</v>
      </c>
      <c r="H6" s="4">
        <f>C6*D6*E6</f>
        <v>228.00535714285715</v>
      </c>
      <c r="I6" s="12">
        <f>H6*F6</f>
        <v>114002.67857142858</v>
      </c>
      <c r="J6" s="12">
        <f>I6*12*G6</f>
        <v>2052048.2142857146</v>
      </c>
    </row>
    <row r="7" spans="1:26">
      <c r="A7" t="s">
        <v>278</v>
      </c>
      <c r="B7" s="5">
        <v>0.55000000000000004</v>
      </c>
      <c r="C7" s="4">
        <f>IFERROR('01_Параметры'!$B$9/B7,0)</f>
        <v>77383.636363636353</v>
      </c>
      <c r="D7" s="8">
        <v>2.5000000000000001E-2</v>
      </c>
      <c r="E7" s="8">
        <v>0.35</v>
      </c>
      <c r="F7" s="12">
        <v>800</v>
      </c>
      <c r="G7" s="10">
        <v>2</v>
      </c>
      <c r="H7" s="4">
        <f>C7*D7*E7</f>
        <v>677.10681818181808</v>
      </c>
      <c r="I7" s="12">
        <f>H7*F7</f>
        <v>541685.45454545447</v>
      </c>
      <c r="J7" s="12">
        <f>I7*12*G7</f>
        <v>13000450.909090906</v>
      </c>
    </row>
    <row r="10" spans="1:26" ht="21.95" customHeight="1">
      <c r="A10" s="23" t="s">
        <v>279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26" ht="30">
      <c r="A11" s="1" t="s">
        <v>267</v>
      </c>
      <c r="B11" s="1" t="s">
        <v>280</v>
      </c>
      <c r="C11" s="1" t="s">
        <v>281</v>
      </c>
      <c r="D11" s="1" t="s">
        <v>282</v>
      </c>
      <c r="E11" s="1" t="s">
        <v>97</v>
      </c>
      <c r="F11" s="1" t="s">
        <v>188</v>
      </c>
    </row>
    <row r="12" spans="1:26">
      <c r="A12" t="s">
        <v>276</v>
      </c>
      <c r="B12" s="12">
        <f>J5</f>
        <v>321761.15999999997</v>
      </c>
      <c r="C12" s="8">
        <v>5.0000000000000001E-3</v>
      </c>
      <c r="D12" s="12">
        <f>B12*C12</f>
        <v>1608.8057999999999</v>
      </c>
      <c r="E12" t="s">
        <v>283</v>
      </c>
      <c r="F12" t="s">
        <v>284</v>
      </c>
    </row>
    <row r="13" spans="1:26">
      <c r="A13" t="s">
        <v>277</v>
      </c>
      <c r="B13" s="12">
        <f>J6</f>
        <v>2052048.2142857146</v>
      </c>
      <c r="C13" s="8">
        <v>1.4999999999999999E-2</v>
      </c>
      <c r="D13" s="12">
        <f>B13*C13</f>
        <v>30780.723214285717</v>
      </c>
      <c r="E13" t="s">
        <v>285</v>
      </c>
      <c r="F13" t="s">
        <v>286</v>
      </c>
    </row>
    <row r="14" spans="1:26">
      <c r="A14" t="s">
        <v>278</v>
      </c>
      <c r="B14" s="12">
        <f>J7</f>
        <v>13000450.909090906</v>
      </c>
      <c r="C14" s="8">
        <v>3.5000000000000003E-2</v>
      </c>
      <c r="D14" s="12">
        <f>B14*C14</f>
        <v>455015.78181818174</v>
      </c>
      <c r="E14" t="s">
        <v>287</v>
      </c>
      <c r="F14" t="s">
        <v>288</v>
      </c>
    </row>
    <row r="17" spans="1:10" ht="21.95" customHeight="1">
      <c r="A17" s="23" t="s">
        <v>289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ht="114">
      <c r="A18" s="2" t="s">
        <v>290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291</v>
      </c>
      <c r="B19" s="13"/>
      <c r="C19" s="13" t="s">
        <v>292</v>
      </c>
      <c r="D19" s="13"/>
      <c r="E19" s="13" t="s">
        <v>293</v>
      </c>
      <c r="F19" s="13"/>
      <c r="G19" s="2" t="s">
        <v>294</v>
      </c>
      <c r="H19" s="2" t="s">
        <v>295</v>
      </c>
      <c r="I19" s="2"/>
      <c r="J19" s="2"/>
    </row>
    <row r="20" spans="1:10">
      <c r="A20" s="2" t="str">
        <f>A12</f>
        <v>Осторожный</v>
      </c>
      <c r="B20" s="13">
        <f>D12</f>
        <v>1608.8057999999999</v>
      </c>
      <c r="C20" s="13" t="str">
        <f>A13</f>
        <v>Базовый</v>
      </c>
      <c r="D20" s="13">
        <f>D13</f>
        <v>30780.723214285717</v>
      </c>
      <c r="E20" s="13" t="str">
        <f>A14</f>
        <v>Оптимистичный</v>
      </c>
      <c r="F20" s="13">
        <f>D14</f>
        <v>455015.78181818174</v>
      </c>
      <c r="G20" s="2"/>
      <c r="H20" s="2"/>
      <c r="I20" s="2"/>
      <c r="J20" s="2"/>
    </row>
    <row r="21" spans="1:10" ht="28.5">
      <c r="A21" s="2" t="s">
        <v>296</v>
      </c>
      <c r="B21" s="13">
        <f>J5</f>
        <v>321761.15999999997</v>
      </c>
      <c r="C21" s="13" t="s">
        <v>297</v>
      </c>
      <c r="D21" s="13">
        <f>J6</f>
        <v>2052048.2142857146</v>
      </c>
      <c r="E21" s="13" t="s">
        <v>298</v>
      </c>
      <c r="F21" s="13">
        <f>J7</f>
        <v>13000450.909090906</v>
      </c>
      <c r="G21" s="2"/>
      <c r="H21" s="2"/>
      <c r="I21" s="2"/>
      <c r="J21" s="2"/>
    </row>
    <row r="22" spans="1:10" ht="114">
      <c r="A22" s="2" t="s">
        <v>299</v>
      </c>
      <c r="B22" s="2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— от "&amp;TEXT(D12,"# ##0")&amp;" до "&amp;TEXT(D14,"# ##0")&amp;" руб. в год."</f>
        <v>При заданных допущениях годовой объем цифрового рынка оценивается в диапазоне от 321 761 до 13000 451 руб., а достижимая выручка нового бизнеса — от 1 609 до 455 016 руб. в год.</v>
      </c>
      <c r="C22" s="2"/>
      <c r="D22" s="2"/>
      <c r="E22" s="2"/>
      <c r="F22" s="2"/>
      <c r="G22" s="2"/>
      <c r="H22" s="2"/>
      <c r="I22" s="2"/>
      <c r="J22" s="2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2" t="s">
        <v>300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3" t="s">
        <v>301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26" ht="30">
      <c r="A4" s="14" t="s">
        <v>302</v>
      </c>
      <c r="B4" s="15" t="str">
        <f>'01_Параметры'!B4</f>
        <v>Цифровые маркетинговые услуги для малого бизнеса</v>
      </c>
      <c r="C4" s="14" t="s">
        <v>303</v>
      </c>
      <c r="D4" s="15" t="str">
        <f>'01_Параметры'!B5</f>
        <v>Республика Беларусь</v>
      </c>
      <c r="E4" s="14" t="s">
        <v>304</v>
      </c>
      <c r="F4" s="15">
        <f>'01_Параметры'!B8</f>
        <v>5</v>
      </c>
      <c r="G4" s="14" t="s">
        <v>305</v>
      </c>
      <c r="H4" s="16">
        <f>'01_Параметры'!B9</f>
        <v>42561</v>
      </c>
      <c r="I4" s="17" t="s">
        <v>306</v>
      </c>
      <c r="J4" s="16">
        <f>'01_Параметры'!B12</f>
        <v>60801.428571428572</v>
      </c>
    </row>
    <row r="5" spans="1:26" ht="30">
      <c r="A5" s="14" t="s">
        <v>307</v>
      </c>
      <c r="B5" s="18">
        <f>'06_Воронка_сценарии'!J5</f>
        <v>321761.15999999997</v>
      </c>
      <c r="C5" s="19" t="s">
        <v>308</v>
      </c>
      <c r="D5" s="18">
        <f>'06_Воронка_сценарии'!J6</f>
        <v>2052048.2142857146</v>
      </c>
      <c r="E5" s="19" t="s">
        <v>309</v>
      </c>
      <c r="F5" s="18">
        <f>'06_Воронка_сценарии'!J7</f>
        <v>13000450.909090906</v>
      </c>
      <c r="G5" s="19" t="s">
        <v>310</v>
      </c>
      <c r="H5" s="18">
        <f>'06_Воронка_сценарии'!D13</f>
        <v>30780.723214285717</v>
      </c>
      <c r="I5" s="14" t="s">
        <v>311</v>
      </c>
      <c r="J5" s="15" t="str">
        <f>INDEX('03_Каналы'!A4:A9,MATCH(MAX('03_Каналы'!B4:B9),'03_Каналы'!B4:B9,0))</f>
        <v>Organic search</v>
      </c>
    </row>
    <row r="6" spans="1:26" ht="30">
      <c r="A6" s="14" t="s">
        <v>312</v>
      </c>
      <c r="B6" s="15" t="str">
        <f>INDEX('02_Конкуренты_SW'!B4:B23,MATCH(MAX('02_Конкуренты_SW'!G4:G23),'02_Конкуренты_SW'!G4:G23,0))</f>
        <v>Маркетинговое агентство 1</v>
      </c>
      <c r="C6" s="14" t="s">
        <v>313</v>
      </c>
      <c r="D6" s="20">
        <f>MAX('02_Конкуренты_SW'!I4:I23)</f>
        <v>0.35642959516928646</v>
      </c>
      <c r="E6" s="14" t="s">
        <v>314</v>
      </c>
      <c r="F6" s="15" t="str">
        <f>INDEX('05_Запросы'!A4:A10,MATCH(MAX('05_Запросы'!G4:G10),'05_Запросы'!G4:G10,0))</f>
        <v>маркетинговое агентство</v>
      </c>
      <c r="G6" s="14" t="s">
        <v>315</v>
      </c>
      <c r="H6" s="16">
        <f>MAX('05_Запросы'!G4:G10)</f>
        <v>10944.257142857143</v>
      </c>
    </row>
    <row r="7" spans="1:26" ht="99.75">
      <c r="A7" s="14" t="s">
        <v>316</v>
      </c>
      <c r="B7" s="15" t="str">
        <f>'06_Воронка_сценарии'!B22</f>
        <v>При заданных допущениях годовой объем цифрового рынка оценивается в диапазоне от 321 761 до 13000 451 руб., а достижимая выручка нового бизнеса — от 1 609 до 455 016 руб. в год.</v>
      </c>
      <c r="C7" s="2"/>
      <c r="D7" s="2"/>
      <c r="E7" s="2"/>
      <c r="F7" s="2"/>
      <c r="G7" s="2"/>
      <c r="H7" s="2"/>
      <c r="I7" s="2"/>
      <c r="J7" s="2"/>
      <c r="K7" s="2"/>
      <c r="L7" s="2"/>
    </row>
    <row r="10" spans="1:26" ht="30">
      <c r="A10" s="1" t="s">
        <v>267</v>
      </c>
      <c r="B10" s="1" t="s">
        <v>317</v>
      </c>
      <c r="C10" s="1" t="s">
        <v>318</v>
      </c>
    </row>
    <row r="11" spans="1:26">
      <c r="A11" t="s">
        <v>276</v>
      </c>
      <c r="B11" s="12">
        <f>'06_Воронка_сценарии'!J5</f>
        <v>321761.15999999997</v>
      </c>
      <c r="C11" s="12">
        <f>'06_Воронка_сценарии'!D12</f>
        <v>1608.8057999999999</v>
      </c>
    </row>
    <row r="12" spans="1:26">
      <c r="A12" t="s">
        <v>277</v>
      </c>
      <c r="B12" s="12">
        <f>'06_Воронка_сценарии'!J6</f>
        <v>2052048.2142857146</v>
      </c>
      <c r="C12" s="12">
        <f>'06_Воронка_сценарии'!D13</f>
        <v>30780.723214285717</v>
      </c>
    </row>
    <row r="13" spans="1:26">
      <c r="A13" t="s">
        <v>278</v>
      </c>
      <c r="B13" s="12">
        <f>'06_Воронка_сценарии'!J7</f>
        <v>13000450.909090906</v>
      </c>
      <c r="C13" s="12">
        <f>'06_Воронка_сценарии'!D14</f>
        <v>455015.78181818174</v>
      </c>
    </row>
    <row r="16" spans="1:26" ht="15">
      <c r="A16" s="1" t="s">
        <v>182</v>
      </c>
      <c r="B16" s="1" t="s">
        <v>319</v>
      </c>
      <c r="C16" s="1" t="s">
        <v>320</v>
      </c>
    </row>
    <row r="17" spans="1:3">
      <c r="A17" t="s">
        <v>149</v>
      </c>
      <c r="B17" s="8">
        <f>'03_Каналы'!B4</f>
        <v>0.268402528136087</v>
      </c>
      <c r="C17" s="4">
        <f>'03_Каналы'!C4</f>
        <v>16319.257142857141</v>
      </c>
    </row>
    <row r="18" spans="1:3">
      <c r="A18" t="s">
        <v>150</v>
      </c>
      <c r="B18" s="8">
        <f>'03_Каналы'!B5</f>
        <v>0.40966330678320528</v>
      </c>
      <c r="C18" s="4">
        <f>'03_Каналы'!C5</f>
        <v>24908.114285714288</v>
      </c>
    </row>
    <row r="19" spans="1:3">
      <c r="A19" t="s">
        <v>151</v>
      </c>
      <c r="B19" s="8">
        <f>'03_Каналы'!B6</f>
        <v>6.5545452409482841E-2</v>
      </c>
      <c r="C19" s="4">
        <f>'03_Каналы'!C6</f>
        <v>3985.2571428571418</v>
      </c>
    </row>
    <row r="20" spans="1:3">
      <c r="A20" t="s">
        <v>152</v>
      </c>
      <c r="B20" s="8">
        <f>'03_Каналы'!B7</f>
        <v>0.14479429524682219</v>
      </c>
      <c r="C20" s="4">
        <f>'03_Каналы'!C7</f>
        <v>8803.6999999999989</v>
      </c>
    </row>
    <row r="21" spans="1:3">
      <c r="A21" t="s">
        <v>153</v>
      </c>
      <c r="B21" s="8">
        <f>'03_Каналы'!B8</f>
        <v>8.8030121472709763E-2</v>
      </c>
      <c r="C21" s="4">
        <f>'03_Каналы'!C8</f>
        <v>5352.3571428571431</v>
      </c>
    </row>
    <row r="22" spans="1:3">
      <c r="A22" t="s">
        <v>154</v>
      </c>
      <c r="B22" s="8">
        <f>'03_Каналы'!B9</f>
        <v>2.3564295951692862E-2</v>
      </c>
      <c r="C22" s="4">
        <f>'03_Каналы'!C9</f>
        <v>1432.742857142857</v>
      </c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"/>
  <sheetViews>
    <sheetView workbookViewId="0"/>
  </sheetViews>
  <sheetFormatPr defaultRowHeight="14.25"/>
  <cols>
    <col min="1" max="1" width="28" customWidth="1"/>
    <col min="2" max="2" width="36" customWidth="1"/>
    <col min="3" max="3" width="38" customWidth="1"/>
    <col min="4" max="4" width="68" customWidth="1"/>
    <col min="5" max="5" width="16" customWidth="1"/>
    <col min="6" max="6" width="42" customWidth="1"/>
  </cols>
  <sheetData>
    <row r="1" spans="1:26" ht="30" customHeight="1">
      <c r="A1" s="22" t="s">
        <v>321</v>
      </c>
      <c r="B1" s="22"/>
      <c r="C1" s="22"/>
      <c r="D1" s="22"/>
      <c r="E1" s="22"/>
      <c r="F1" s="22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229</v>
      </c>
      <c r="B3" s="1" t="s">
        <v>322</v>
      </c>
      <c r="C3" s="1" t="s">
        <v>323</v>
      </c>
      <c r="D3" s="1" t="s">
        <v>324</v>
      </c>
      <c r="E3" s="1" t="s">
        <v>325</v>
      </c>
      <c r="F3" s="1" t="s">
        <v>188</v>
      </c>
    </row>
    <row r="4" spans="1:26">
      <c r="A4" t="s">
        <v>326</v>
      </c>
      <c r="B4" t="s">
        <v>327</v>
      </c>
      <c r="C4" t="s">
        <v>328</v>
      </c>
      <c r="D4" t="s">
        <v>329</v>
      </c>
      <c r="E4" s="3">
        <v>46144</v>
      </c>
      <c r="F4" t="s">
        <v>330</v>
      </c>
    </row>
    <row r="5" spans="1:26">
      <c r="A5" t="s">
        <v>331</v>
      </c>
      <c r="B5" t="s">
        <v>332</v>
      </c>
      <c r="C5" t="s">
        <v>333</v>
      </c>
      <c r="D5" t="s">
        <v>334</v>
      </c>
      <c r="E5" s="3">
        <v>46144</v>
      </c>
      <c r="F5" t="s">
        <v>335</v>
      </c>
    </row>
    <row r="6" spans="1:26">
      <c r="A6" t="s">
        <v>336</v>
      </c>
      <c r="B6" t="s">
        <v>337</v>
      </c>
      <c r="C6" t="s">
        <v>338</v>
      </c>
      <c r="D6" t="s">
        <v>339</v>
      </c>
      <c r="E6" s="3">
        <v>46144</v>
      </c>
      <c r="F6" t="s">
        <v>340</v>
      </c>
    </row>
    <row r="7" spans="1:26">
      <c r="A7" t="s">
        <v>341</v>
      </c>
      <c r="B7" t="s">
        <v>342</v>
      </c>
      <c r="C7" t="s">
        <v>343</v>
      </c>
      <c r="D7" t="s">
        <v>344</v>
      </c>
      <c r="E7" s="3">
        <v>46144</v>
      </c>
      <c r="F7" t="s">
        <v>345</v>
      </c>
    </row>
    <row r="8" spans="1:26">
      <c r="A8" t="s">
        <v>346</v>
      </c>
      <c r="B8" t="s">
        <v>347</v>
      </c>
      <c r="C8" t="s">
        <v>348</v>
      </c>
      <c r="D8" t="s">
        <v>349</v>
      </c>
      <c r="E8" s="3">
        <v>46144</v>
      </c>
      <c r="F8" t="s">
        <v>350</v>
      </c>
    </row>
    <row r="9" spans="1:26">
      <c r="A9" t="s">
        <v>351</v>
      </c>
      <c r="B9" t="s">
        <v>352</v>
      </c>
      <c r="C9" t="s">
        <v>353</v>
      </c>
      <c r="D9" t="s">
        <v>354</v>
      </c>
      <c r="E9" s="3">
        <v>46144</v>
      </c>
      <c r="F9" t="s">
        <v>355</v>
      </c>
    </row>
    <row r="12" spans="1:26" ht="21.95" customHeight="1">
      <c r="A12" s="23" t="s">
        <v>356</v>
      </c>
      <c r="B12" s="23"/>
      <c r="C12" s="23"/>
      <c r="D12" s="23"/>
      <c r="E12" s="23"/>
      <c r="F12" s="23"/>
    </row>
    <row r="13" spans="1:26" ht="15">
      <c r="A13" s="1" t="s">
        <v>357</v>
      </c>
      <c r="B13" s="1" t="s">
        <v>358</v>
      </c>
      <c r="C13" s="1" t="s">
        <v>359</v>
      </c>
      <c r="D13" s="1" t="s">
        <v>360</v>
      </c>
      <c r="E13" s="1" t="s">
        <v>95</v>
      </c>
      <c r="F13" s="1" t="s">
        <v>361</v>
      </c>
    </row>
    <row r="14" spans="1:26">
      <c r="A14" s="3">
        <v>46144</v>
      </c>
      <c r="B14" t="s">
        <v>155</v>
      </c>
      <c r="C14" t="s">
        <v>362</v>
      </c>
      <c r="D14" t="s">
        <v>141</v>
      </c>
      <c r="E14">
        <v>18500</v>
      </c>
      <c r="F14" t="s">
        <v>363</v>
      </c>
    </row>
    <row r="15" spans="1:26">
      <c r="A15" s="3"/>
    </row>
    <row r="16" spans="1:26">
      <c r="A16" s="3"/>
    </row>
    <row r="17" spans="1:1">
      <c r="A17" s="3"/>
    </row>
    <row r="18" spans="1:1">
      <c r="A18" s="3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К. А. Хаджинова</cp:lastModifiedBy>
  <dcterms:modified xsi:type="dcterms:W3CDTF">2026-09-30T01:12:45Z</dcterms:modified>
  <dc:creator>К. А. Хаджинова</dc:creator>
</cp:coreProperties>
</file>