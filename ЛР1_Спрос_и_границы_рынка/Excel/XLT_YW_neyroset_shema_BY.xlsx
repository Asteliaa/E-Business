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4993B627-1B89-445E-BC9B-C000C029F21C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47" i="3" l="1"/>
  <c r="F26" i="3"/>
  <c r="F25" i="3"/>
  <c r="G25" i="3" s="1"/>
  <c r="F28" i="3"/>
  <c r="G28" i="3" s="1"/>
  <c r="F27" i="3"/>
  <c r="G27" i="3" s="1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B26" i="6" s="1"/>
  <c r="F19" i="3"/>
  <c r="G19" i="3" s="1"/>
  <c r="B28" i="6" s="1"/>
  <c r="F18" i="3"/>
  <c r="G18" i="3" s="1"/>
  <c r="B27" i="6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B20" i="6" s="1"/>
  <c r="G58" i="3"/>
  <c r="F10" i="3"/>
  <c r="G10" i="3" s="1"/>
  <c r="B19" i="6" s="1"/>
  <c r="G41" i="3"/>
  <c r="F9" i="3"/>
  <c r="G9" i="3" s="1"/>
  <c r="B18" i="6" s="1"/>
  <c r="F8" i="3"/>
  <c r="G8" i="3" s="1"/>
  <c r="B17" i="6" s="1"/>
  <c r="G45" i="3"/>
  <c r="F7" i="3"/>
  <c r="G7" i="3" s="1"/>
  <c r="F6" i="3"/>
  <c r="G6" i="3" s="1"/>
  <c r="G26" i="3"/>
  <c r="B35" i="6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A70" i="6"/>
  <c r="B61" i="3"/>
  <c r="C61" i="3"/>
  <c r="N60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N56" i="3"/>
  <c r="B65" i="6"/>
  <c r="A65" i="6"/>
  <c r="C56" i="3"/>
  <c r="B56" i="3"/>
  <c r="A64" i="6"/>
  <c r="B55" i="3"/>
  <c r="C55" i="3"/>
  <c r="A63" i="6"/>
  <c r="B54" i="3"/>
  <c r="C54" i="3"/>
  <c r="B62" i="6"/>
  <c r="N53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N47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42" i="3"/>
  <c r="N48" i="3" l="1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J59" i="3"/>
  <c r="E68" i="6" s="1"/>
  <c r="D50" i="6"/>
  <c r="J41" i="3"/>
  <c r="E50" i="6" s="1"/>
  <c r="H29" i="3"/>
  <c r="I29" i="3" s="1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I7" i="3" s="1"/>
  <c r="B16" i="6"/>
  <c r="N7" i="3"/>
  <c r="H6" i="3"/>
  <c r="N6" i="3"/>
  <c r="B15" i="6"/>
  <c r="N42" i="3"/>
  <c r="B51" i="6"/>
  <c r="H42" i="3"/>
  <c r="J42" i="3"/>
  <c r="E51" i="6" s="1"/>
  <c r="N13" i="3"/>
  <c r="H13" i="3"/>
  <c r="B22" i="6"/>
  <c r="B23" i="6"/>
  <c r="N14" i="3"/>
  <c r="H14" i="3"/>
  <c r="H12" i="3"/>
  <c r="B21" i="6"/>
  <c r="N12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H62" i="3"/>
  <c r="H61" i="3"/>
  <c r="H60" i="3"/>
  <c r="H59" i="3"/>
  <c r="H52" i="3"/>
  <c r="H18" i="3"/>
  <c r="N18" i="3"/>
  <c r="H49" i="3"/>
  <c r="H46" i="3"/>
  <c r="H50" i="3"/>
  <c r="H53" i="3"/>
  <c r="H45" i="3"/>
  <c r="H48" i="3"/>
  <c r="H44" i="3"/>
  <c r="H43" i="3"/>
  <c r="H54" i="3"/>
  <c r="H41" i="3"/>
  <c r="H55" i="3"/>
  <c r="N26" i="3"/>
  <c r="H19" i="3"/>
  <c r="N19" i="3"/>
  <c r="H56" i="3"/>
  <c r="N17" i="3"/>
  <c r="H26" i="3"/>
  <c r="H57" i="3"/>
  <c r="N11" i="3"/>
  <c r="H58" i="3"/>
  <c r="H11" i="3"/>
  <c r="H10" i="3"/>
  <c r="H17" i="3"/>
  <c r="N10" i="3"/>
  <c r="N9" i="3"/>
  <c r="H47" i="3"/>
  <c r="H9" i="3"/>
  <c r="N8" i="3"/>
  <c r="H51" i="3"/>
  <c r="H8" i="3"/>
  <c r="H63" i="3"/>
  <c r="B4" i="5"/>
  <c r="C14" i="6" l="1"/>
  <c r="I5" i="3"/>
  <c r="K64" i="3"/>
  <c r="I64" i="3"/>
  <c r="C73" i="6"/>
  <c r="C40" i="6"/>
  <c r="I31" i="3"/>
  <c r="B9" i="5"/>
  <c r="C47" i="6"/>
  <c r="I38" i="3"/>
  <c r="C24" i="6"/>
  <c r="I15" i="3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20" i="6"/>
  <c r="I10" i="3"/>
  <c r="C19" i="6"/>
  <c r="I17" i="3"/>
  <c r="C26" i="6"/>
  <c r="K47" i="3"/>
  <c r="I47" i="3"/>
  <c r="C56" i="6"/>
  <c r="I9" i="3"/>
  <c r="C18" i="6"/>
  <c r="I51" i="3"/>
  <c r="K51" i="3"/>
  <c r="C60" i="6"/>
  <c r="I8" i="3"/>
  <c r="C17" i="6"/>
  <c r="I63" i="3"/>
  <c r="K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<sst xmlns="http://schemas.openxmlformats.org/spreadsheetml/2006/main" count="351" uniqueCount="225">
  <si>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</si>
  <si>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</si>
  <si>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</si>
  <si>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</si>
  <si>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</si>
  <si>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</si>
  <si>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</si>
  <si>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</si>
  <si>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</si>
  <si>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</si>
  <si>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</si>
  <si>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</si>
  <si>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</si>
  <si>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</si>
  <si>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</si>
  <si>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</si>
  <si>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</si>
  <si>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</si>
  <si>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</si>
  <si>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</si>
  <si>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</si>
  <si>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</si>
  <si>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</si>
  <si>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</si>
  <si>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</si>
  <si>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</si>
  <si>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</si>
  <si>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</si>
  <si>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</si>
  <si>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</si>
  <si>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</si>
  <si>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</si>
  <si>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</si>
  <si>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</si>
  <si>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</si>
  <si>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</si>
  <si>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</si>
  <si>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</si>
  <si>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</si>
  <si>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</si>
  <si>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</si>
  <si>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</si>
  <si>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</si>
  <si>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</si>
  <si>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</si>
  <si>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</si>
  <si>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</si>
  <si>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</si>
  <si>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</si>
  <si>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</si>
  <si>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</si>
  <si>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</si>
  <si>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</si>
  <si>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</si>
  <si>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</si>
  <si>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</si>
  <si>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</si>
  <si>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</si>
  <si>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</si>
  <si>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</si>
  <si>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</si>
  <si>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</si>
  <si>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</si>
  <si>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</si>
  <si>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</si>
  <si>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</si>
  <si>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</si>
  <si>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</si>
  <si>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</si>
  <si>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</si>
  <si>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</si>
  <si>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</si>
  <si>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</si>
  <si>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</si>
  <si>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</si>
  <si>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</si>
  <si>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</si>
  <si>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</si>
  <si>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</si>
  <si>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</si>
  <si>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</si>
  <si>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</si>
  <si>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</si>
  <si>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</si>
  <si>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</si>
  <si>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</si>
  <si>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</si>
  <si>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</si>
  <si>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</si>
  <si>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</si>
  <si>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</si>
  <si>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</si>
  <si>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</si>
  <si>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</si>
  <si>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</si>
  <si>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</si>
  <si>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</si>
  <si>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</si>
  <si>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</si>
  <si>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</si>
  <si>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</si>
  <si>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</si>
  <si>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</si>
  <si>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</si>
  <si>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</si>
  <si>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</si>
  <si>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</si>
  <si>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</si>
  <si>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</si>
  <si>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</si>
  <si>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</si>
  <si>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</si>
  <si>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</si>
  <si>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</si>
  <si>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</si>
  <si>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</si>
  <si>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</si>
  <si>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</si>
  <si>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</si>
  <si>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</si>
  <si>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</si>
  <si>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</si>
  <si>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</si>
  <si>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</si>
  <si>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</si>
  <si>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</si>
  <si>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</si>
  <si>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</si>
  <si>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</si>
  <si>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</si>
  <si>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</si>
  <si>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</si>
  <si>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</si>
  <si>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</si>
  <si>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</si>
  <si>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</si>
  <si>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</si>
  <si>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</si>
  <si>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</si>
  <si>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</si>
  <si>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</si>
  <si>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</si>
  <si>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</si>
  <si>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</si>
  <si>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</si>
  <si>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</si>
  <si>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</si>
  <si>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</si>
  <si>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</si>
  <si>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</si>
  <si>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</si>
  <si>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</si>
  <si>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</si>
  <si>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</si>
  <si>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</si>
  <si>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</si>
  <si>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</si>
  <si>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</si>
  <si>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</si>
  <si>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</si>
  <si>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</si>
  <si>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</si>
  <si>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</si>
  <si>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</si>
  <si>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</si>
  <si>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</si>
  <si>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</si>
  <si>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</si>
  <si>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</si>
  <si>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</si>
  <si>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</si>
  <si>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</si>
  <si>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</si>
  <si>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</si>
  <si>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</si>
  <si>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</si>
  <si>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</si>
  <si>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</si>
  <si>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</si>
  <si>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</si>
  <si>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</si>
  <si>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</si>
  <si>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</si>
  <si>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</si>
  <si>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</si>
  <si>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2024-09—2026-08 (24 мес., по месяцам)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</si>
  <si>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</si>
  <si>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</si>
  <si>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</si>
  <si>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</si>
  <si>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</si>
  <si>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</si>
  <si>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</si>
  <si>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</si>
  <si>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</si>
  <si>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</si>
  <si>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</si>
  <si>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</si>
  <si>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</si>
  <si>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</si>
  <si>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</si>
  <si>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</si>
  <si>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</si>
  <si>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</si>
  <si>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</si>
  <si>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</si>
  <si>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</si>
  <si>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</si>
  <si>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</si>
  <si>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</si>
  <si>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</si>
  <si>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</si>
  <si>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</si>
  <si>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</si>
  <si>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</si>
  <si>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</si>
  <si>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</si>
  <si>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</si>
  <si>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</si>
  <si>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</si>
  <si>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</si>
  <si>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</si>
  <si>
    <t>Топы запросов, 29.08-29.09.2026</t>
  </si>
  <si>
    <t>Частотность за 30 дней: 81; подзапросы — в сводке данных Вордстата</t>
  </si>
  <si>
    <t>Вариант только Яндекс Вордстат: запрос «нейросеть схема», Беларусь, 24 мес. (09.2024—08.2026);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</si>
</sst>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  <xf numFmtId="0" fontId="3" fillId="3" borderId="0" xfId="1" applyNumberFormat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29.439252336448597</c:v>
                </c:pt>
                <c:pt idx="1">
                  <c:v>48.598130841121495</c:v>
                </c:pt>
                <c:pt idx="2">
                  <c:v>72.429906542056074</c:v>
                </c:pt>
                <c:pt idx="3">
                  <c:v>71.962616822429908</c:v>
                </c:pt>
                <c:pt idx="4">
                  <c:v>70.09345794392523</c:v>
                </c:pt>
                <c:pt idx="5">
                  <c:v>54.205607476635507</c:v>
                </c:pt>
                <c:pt idx="6">
                  <c:v>100</c:v>
                </c:pt>
                <c:pt idx="7">
                  <c:v>71.495327102803742</c:v>
                </c:pt>
                <c:pt idx="8">
                  <c:v>76.63551401869158</c:v>
                </c:pt>
                <c:pt idx="9">
                  <c:v>66.355140186915889</c:v>
                </c:pt>
                <c:pt idx="10">
                  <c:v>18.691588785046729</c:v>
                </c:pt>
                <c:pt idx="11">
                  <c:v>11.682242990654206</c:v>
                </c:pt>
                <c:pt idx="12">
                  <c:v>48.13084112149533</c:v>
                </c:pt>
                <c:pt idx="13">
                  <c:v>69.626168224299064</c:v>
                </c:pt>
                <c:pt idx="14">
                  <c:v>58.878504672897193</c:v>
                </c:pt>
                <c:pt idx="15">
                  <c:v>72.429906542056074</c:v>
                </c:pt>
                <c:pt idx="16">
                  <c:v>45.794392523364486</c:v>
                </c:pt>
                <c:pt idx="17">
                  <c:v>46.728971962616825</c:v>
                </c:pt>
                <c:pt idx="18">
                  <c:v>67.757009345794401</c:v>
                </c:pt>
                <c:pt idx="19">
                  <c:v>69.626168224299064</c:v>
                </c:pt>
                <c:pt idx="20">
                  <c:v>52.336448598130836</c:v>
                </c:pt>
                <c:pt idx="21">
                  <c:v>40.654205607476634</c:v>
                </c:pt>
                <c:pt idx="22">
                  <c:v>17.289719626168225</c:v>
                </c:pt>
                <c:pt idx="23">
                  <c:v>14.018691588785046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57.63239875389408</c:v>
                </c:pt>
                <c:pt idx="12">
                  <c:v>59.190031152647975</c:v>
                </c:pt>
                <c:pt idx="13">
                  <c:v>60.942367601246104</c:v>
                </c:pt>
                <c:pt idx="14">
                  <c:v>59.813084112149532</c:v>
                </c:pt>
                <c:pt idx="15">
                  <c:v>59.852024922118375</c:v>
                </c:pt>
                <c:pt idx="16">
                  <c:v>57.82710280373832</c:v>
                </c:pt>
                <c:pt idx="17">
                  <c:v>57.204049844236771</c:v>
                </c:pt>
                <c:pt idx="18">
                  <c:v>54.517133956386289</c:v>
                </c:pt>
                <c:pt idx="19">
                  <c:v>54.361370716510898</c:v>
                </c:pt>
                <c:pt idx="20">
                  <c:v>52.336448598130836</c:v>
                </c:pt>
                <c:pt idx="21">
                  <c:v>50.194704049844241</c:v>
                </c:pt>
                <c:pt idx="22">
                  <c:v>50.077881619937699</c:v>
                </c:pt>
                <c:pt idx="23">
                  <c:v>50.272585669781932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0.88991347102278551</c:v>
                </c:pt>
                <c:pt idx="1">
                  <c:v>0.91796550789016285</c:v>
                </c:pt>
                <c:pt idx="2">
                  <c:v>1.3966517357724586</c:v>
                </c:pt>
                <c:pt idx="3">
                  <c:v>1.4392923232987591</c:v>
                </c:pt>
                <c:pt idx="4">
                  <c:v>1.1237427759088745</c:v>
                </c:pt>
                <c:pt idx="5">
                  <c:v>0.91015318700454995</c:v>
                </c:pt>
                <c:pt idx="6">
                  <c:v>0.38797962092032678</c:v>
                </c:pt>
                <c:pt idx="7">
                  <c:v>0.27057270922230708</c:v>
                </c:pt>
                <c:pt idx="8">
                  <c:v>0.91378030988379544</c:v>
                </c:pt>
                <c:pt idx="9">
                  <c:v>1.283867145894612</c:v>
                </c:pt>
                <c:pt idx="10">
                  <c:v>1.1061842950352985</c:v>
                </c:pt>
                <c:pt idx="11">
                  <c:v>1.3598969181460683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стабильный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-0.12770270270270268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апрель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1.0306050549610797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относительно стабилен; целесообразно изучить структуру спроса, конкурентов и целевые сегменты. Сезонность: выраженная сезонность; максимум интереса — апрель, минимум — август. Текущая фаза спроса: норма.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204</v>
      </c>
      <c r="C5" s="7"/>
      <c r="D5" s="7">
        <v>63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204</v>
      </c>
      <c r="C6" s="7"/>
      <c r="D6" s="7">
        <v>104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204</v>
      </c>
      <c r="C7" s="7"/>
      <c r="D7" s="7">
        <v>155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204</v>
      </c>
      <c r="C8" s="7"/>
      <c r="D8" s="7">
        <v>154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204</v>
      </c>
      <c r="C9" s="7"/>
      <c r="D9" s="7">
        <v>150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204</v>
      </c>
      <c r="C10" s="7"/>
      <c r="D10" s="7">
        <v>116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204</v>
      </c>
      <c r="C11" s="7"/>
      <c r="D11" s="7">
        <v>214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204</v>
      </c>
      <c r="C12" s="7"/>
      <c r="D12" s="7">
        <v>153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204</v>
      </c>
      <c r="C13" s="7"/>
      <c r="D13" s="7">
        <v>164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204</v>
      </c>
      <c r="C14" s="7"/>
      <c r="D14" s="7">
        <v>142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204</v>
      </c>
      <c r="C15" s="7"/>
      <c r="D15" s="7">
        <v>40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204</v>
      </c>
      <c r="C16" s="7"/>
      <c r="D16" s="7">
        <v>25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204</v>
      </c>
      <c r="C17" s="7"/>
      <c r="D17" s="7">
        <v>103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204</v>
      </c>
      <c r="C18" s="7"/>
      <c r="D18" s="7">
        <v>149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204</v>
      </c>
      <c r="C19" s="7"/>
      <c r="D19" s="7">
        <v>126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204</v>
      </c>
      <c r="C20" s="7"/>
      <c r="D20" s="7">
        <v>155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204</v>
      </c>
      <c r="C21" s="7"/>
      <c r="D21" s="7">
        <v>98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204</v>
      </c>
      <c r="C22" s="7"/>
      <c r="D22" s="7">
        <v>100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204</v>
      </c>
      <c r="C23" s="7"/>
      <c r="D23" s="7">
        <v>145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204</v>
      </c>
      <c r="C24" s="7"/>
      <c r="D24" s="7">
        <v>149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204</v>
      </c>
      <c r="C25" s="7"/>
      <c r="D25" s="7">
        <v>112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204</v>
      </c>
      <c r="C26" s="7"/>
      <c r="D26" s="7">
        <v>87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204</v>
      </c>
      <c r="C27" s="7"/>
      <c r="D27" s="7">
        <v>37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204</v>
      </c>
      <c r="C28" s="7"/>
      <c r="D28" s="7">
        <v>30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63</v>
      </c>
      <c r="F5" s="5">
        <f t="shared" ref="F5:F36" si="2">IF(E5="","",IF(MAX($E$5:$E$64)=0,"",E5/MAX($E$5:$E$64)*100))</f>
        <v>29.439252336448597</v>
      </c>
      <c r="G5" s="5">
        <f>IF(COUNT(D5,F5)=0,"",IF(COUNT(D5,F5)=2,D5*Настройки!$B$4+F5*Настройки!$B$5,IF(D5&lt;&gt;"",D5,F5)))</f>
        <v>29.439252336448597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32.216991346850492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104</v>
      </c>
      <c r="F6" s="5">
        <f t="shared" si="2"/>
        <v>48.598130841121495</v>
      </c>
      <c r="G6" s="5">
        <f>IF(COUNT(D6,F6)=0,"",IF(COUNT(D6,F6)=2,D6*Настройки!$B$4+F6*Настройки!$B$5,IF(D6&lt;&gt;"",D6,F6)))</f>
        <v>48.598130841121495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37.852928160458383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155</v>
      </c>
      <c r="F7" s="5">
        <f t="shared" si="2"/>
        <v>72.429906542056074</v>
      </c>
      <c r="G7" s="5">
        <f>IF(COUNT(D7,F7)=0,"",IF(COUNT(D7,F7)=2,D7*Настройки!$B$4+F7*Настройки!$B$5,IF(D7&lt;&gt;"",D7,F7)))</f>
        <v>72.429906542056074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65.477250822608028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154</v>
      </c>
      <c r="F8" s="5">
        <f t="shared" si="2"/>
        <v>71.962616822429908</v>
      </c>
      <c r="G8" s="5">
        <f>IF(COUNT(D8,F8)=0,"",IF(COUNT(D8,F8)=2,D8*Настройки!$B$4+F8*Настройки!$B$5,IF(D8&lt;&gt;"",D8,F8)))</f>
        <v>71.962616822429908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52.917699762520023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150</v>
      </c>
      <c r="F9" s="5">
        <f t="shared" si="2"/>
        <v>70.09345794392523</v>
      </c>
      <c r="G9" s="5">
        <f>IF(COUNT(D9,F9)=0,"",IF(COUNT(D9,F9)=2,D9*Настройки!$B$4+F9*Настройки!$B$5,IF(D9&lt;&gt;"",D9,F9)))</f>
        <v>70.09345794392523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78.764352070506575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116</v>
      </c>
      <c r="F10" s="5">
        <f t="shared" si="2"/>
        <v>54.205607476635507</v>
      </c>
      <c r="G10" s="5">
        <f>IF(COUNT(D10,F10)=0,"",IF(COUNT(D10,F10)=2,D10*Настройки!$B$4+F10*Настройки!$B$5,IF(D10&lt;&gt;"",D10,F10)))</f>
        <v>54.205607476635507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59.049721379206069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214</v>
      </c>
      <c r="F11" s="5">
        <f t="shared" si="2"/>
        <v>100</v>
      </c>
      <c r="G11" s="5">
        <f>IF(COUNT(D11,F11)=0,"",IF(COUNT(D11,F11)=2,D11*Настройки!$B$4+F11*Настройки!$B$5,IF(D11&lt;&gt;"",D11,F11)))</f>
        <v>100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71.599810775083526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153</v>
      </c>
      <c r="F12" s="5">
        <f t="shared" si="2"/>
        <v>71.495327102803742</v>
      </c>
      <c r="G12" s="5">
        <f>IF(COUNT(D12,F12)=0,"",IF(COUNT(D12,F12)=2,D12*Настройки!$B$4+F12*Настройки!$B$5,IF(D12&lt;&gt;"",D12,F12)))</f>
        <v>71.495327102803742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49.673944580584831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164</v>
      </c>
      <c r="F13" s="5">
        <f t="shared" si="2"/>
        <v>76.63551401869158</v>
      </c>
      <c r="G13" s="5">
        <f>IF(COUNT(D13,F13)=0,"",IF(COUNT(D13,F13)=2,D13*Настройки!$B$4+F13*Настройки!$B$5,IF(D13&lt;&gt;"",D13,F13)))</f>
        <v>76.63551401869158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68.196668901127637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142</v>
      </c>
      <c r="F14" s="5">
        <f t="shared" si="2"/>
        <v>66.355140186915889</v>
      </c>
      <c r="G14" s="5">
        <f>IF(COUNT(D14,F14)=0,"",IF(COUNT(D14,F14)=2,D14*Настройки!$B$4+F14*Настройки!$B$5,IF(D14&lt;&gt;"",D14,F14)))</f>
        <v>66.355140186915889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72.905463755283392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40</v>
      </c>
      <c r="F15" s="5">
        <f t="shared" si="2"/>
        <v>18.691588785046729</v>
      </c>
      <c r="G15" s="5">
        <f>IF(COUNT(D15,F15)=0,"",IF(COUNT(D15,F15)=2,D15*Настройки!$B$4+F15*Настройки!$B$5,IF(D15&lt;&gt;"",D15,F15)))</f>
        <v>18.691588785046729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48.176728305235194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25</v>
      </c>
      <c r="F16" s="5">
        <f t="shared" si="2"/>
        <v>11.682242990654206</v>
      </c>
      <c r="G16" s="5">
        <f>IF(COUNT(D16,F16)=0,"",IF(COUNT(D16,F16)=2,D16*Настройки!$B$4+F16*Настройки!$B$5,IF(D16&lt;&gt;"",D16,F16)))</f>
        <v>11.682242990654206</v>
      </c>
      <c r="H16" s="5">
        <f>IF(OR(G16="",COUNT($G$5:G16)&lt;12),"",AVERAGE(G5:G16))</f>
        <v>57.63239875389408</v>
      </c>
      <c r="I16" s="5">
        <f t="shared" si="3"/>
        <v>0.20270270270270271</v>
      </c>
      <c r="J16" s="5">
        <f>IF(OR(G16="",IFERROR(VLOOKUP(B16,Сезонность!$A$4:$D$15,4,FALSE),0)=0),"",G16/IFERROR(VLOOKUP(B16,Сезонность!$A$4:$D$15,4,FALSE),1))</f>
        <v>43.175984097700997</v>
      </c>
      <c r="K16" s="5">
        <f>IF(OR(G16="",H16="",H16=0,IFERROR(VLOOKUP(B16,Сезонность!$A$4:$D$15,4,FALSE),0)=0),"",G16/(H16*IFERROR(VLOOKUP(B16,Сезонность!$A$4:$D$15,4,FALSE),1)))</f>
        <v>0.74916167001956857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103</v>
      </c>
      <c r="F17" s="5">
        <f t="shared" si="2"/>
        <v>48.13084112149533</v>
      </c>
      <c r="G17" s="5">
        <f>IF(COUNT(D17,F17)=0,"",IF(COUNT(D17,F17)=2,D17*Настройки!$B$4+F17*Настройки!$B$5,IF(D17&lt;&gt;"",D17,F17)))</f>
        <v>48.13084112149533</v>
      </c>
      <c r="H17" s="5">
        <f>IF(OR(G17="",COUNT($G$5:G17)&lt;12),"",AVERAGE(G6:G17))</f>
        <v>59.190031152647975</v>
      </c>
      <c r="I17" s="5">
        <f t="shared" si="3"/>
        <v>0.81315789473684219</v>
      </c>
      <c r="J17" s="5">
        <f>IF(OR(G17="",IFERROR(VLOOKUP(B17,Сезонность!$A$4:$D$15,4,FALSE),0)=0),"",G17/IFERROR(VLOOKUP(B17,Сезонность!$A$4:$D$15,4,FALSE),1))</f>
        <v>52.672223948025412</v>
      </c>
      <c r="K17" s="5">
        <f>IF(OR(G17="",H17="",H17=0,IFERROR(VLOOKUP(B17,Сезонность!$A$4:$D$15,4,FALSE),0)=0),"",G17/(H17*IFERROR(VLOOKUP(B17,Сезонность!$A$4:$D$15,4,FALSE),1)))</f>
        <v>0.88988336249032396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149</v>
      </c>
      <c r="F18" s="5">
        <f t="shared" si="2"/>
        <v>69.626168224299064</v>
      </c>
      <c r="G18" s="5">
        <f>IF(COUNT(D18,F18)=0,"",IF(COUNT(D18,F18)=2,D18*Настройки!$B$4+F18*Настройки!$B$5,IF(D18&lt;&gt;"",D18,F18)))</f>
        <v>69.626168224299064</v>
      </c>
      <c r="H18" s="5">
        <f>IF(OR(G18="",COUNT($G$5:G18)&lt;12),"",AVERAGE(G7:G18))</f>
        <v>60.942367601246104</v>
      </c>
      <c r="I18" s="5">
        <f t="shared" si="3"/>
        <v>1.1424920127795528</v>
      </c>
      <c r="J18" s="5">
        <f>IF(OR(G18="",IFERROR(VLOOKUP(B18,Сезонность!$A$4:$D$15,4,FALSE),0)=0),"",G18/IFERROR(VLOOKUP(B18,Сезонность!$A$4:$D$15,4,FALSE),1))</f>
        <v>54.231598999118262</v>
      </c>
      <c r="K18" s="5">
        <f>IF(OR(G18="",H18="",H18=0,IFERROR(VLOOKUP(B18,Сезонность!$A$4:$D$15,4,FALSE),0)=0),"",G18/(H18*IFERROR(VLOOKUP(B18,Сезонность!$A$4:$D$15,4,FALSE),1)))</f>
        <v>0.88988336249032407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126</v>
      </c>
      <c r="F19" s="5">
        <f t="shared" si="2"/>
        <v>58.878504672897193</v>
      </c>
      <c r="G19" s="5">
        <f>IF(COUNT(D19,F19)=0,"",IF(COUNT(D19,F19)=2,D19*Настройки!$B$4+F19*Настройки!$B$5,IF(D19&lt;&gt;"",D19,F19)))</f>
        <v>58.878504672897193</v>
      </c>
      <c r="H19" s="5">
        <f>IF(OR(G19="",COUNT($G$5:G19)&lt;12),"",AVERAGE(G8:G19))</f>
        <v>59.813084112149532</v>
      </c>
      <c r="I19" s="5">
        <f t="shared" si="3"/>
        <v>0.984375</v>
      </c>
      <c r="J19" s="5">
        <f>IF(OR(G19="",IFERROR(VLOOKUP(B19,Сезонность!$A$4:$D$15,4,FALSE),0)=0),"",G19/IFERROR(VLOOKUP(B19,Сезонность!$A$4:$D$15,4,FALSE),1))</f>
        <v>53.226668410636201</v>
      </c>
      <c r="K19" s="5">
        <f>IF(OR(G19="",H19="",H19=0,IFERROR(VLOOKUP(B19,Сезонность!$A$4:$D$15,4,FALSE),0)=0),"",G19/(H19*IFERROR(VLOOKUP(B19,Сезонность!$A$4:$D$15,4,FALSE),1)))</f>
        <v>0.88988336249032396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155</v>
      </c>
      <c r="F20" s="5">
        <f t="shared" si="2"/>
        <v>72.429906542056074</v>
      </c>
      <c r="G20" s="5">
        <f>IF(COUNT(D20,F20)=0,"",IF(COUNT(D20,F20)=2,D20*Настройки!$B$4+F20*Настройки!$B$5,IF(D20&lt;&gt;"",D20,F20)))</f>
        <v>72.429906542056074</v>
      </c>
      <c r="H20" s="5">
        <f>IF(OR(G20="",COUNT($G$5:G20)&lt;12),"",AVERAGE(G9:G20))</f>
        <v>59.852024922118375</v>
      </c>
      <c r="I20" s="5">
        <f t="shared" si="3"/>
        <v>1.2101496421600522</v>
      </c>
      <c r="J20" s="5">
        <f>IF(OR(G20="",IFERROR(VLOOKUP(B20,Сезонность!$A$4:$D$15,4,FALSE),0)=0),"",G20/IFERROR(VLOOKUP(B20,Сезонность!$A$4:$D$15,4,FALSE),1))</f>
        <v>53.261321189549371</v>
      </c>
      <c r="K20" s="5">
        <f>IF(OR(G20="",H20="",H20=0,IFERROR(VLOOKUP(B20,Сезонность!$A$4:$D$15,4,FALSE),0)=0),"",G20/(H20*IFERROR(VLOOKUP(B20,Сезонность!$A$4:$D$15,4,FALSE),1)))</f>
        <v>0.88988336249032407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98</v>
      </c>
      <c r="F21" s="5">
        <f t="shared" si="2"/>
        <v>45.794392523364486</v>
      </c>
      <c r="G21" s="5">
        <f>IF(COUNT(D21,F21)=0,"",IF(COUNT(D21,F21)=2,D21*Настройки!$B$4+F21*Настройки!$B$5,IF(D21&lt;&gt;"",D21,F21)))</f>
        <v>45.794392523364486</v>
      </c>
      <c r="H21" s="5">
        <f>IF(OR(G21="",COUNT($G$5:G21)&lt;12),"",AVERAGE(G10:G21))</f>
        <v>57.82710280373832</v>
      </c>
      <c r="I21" s="5">
        <f t="shared" si="3"/>
        <v>0.79191919191919191</v>
      </c>
      <c r="J21" s="5">
        <f>IF(OR(G21="",IFERROR(VLOOKUP(B21,Сезонность!$A$4:$D$15,4,FALSE),0)=0),"",G21/IFERROR(VLOOKUP(B21,Сезонность!$A$4:$D$15,4,FALSE),1))</f>
        <v>51.459376686064303</v>
      </c>
      <c r="K21" s="5">
        <f>IF(OR(G21="",H21="",H21=0,IFERROR(VLOOKUP(B21,Сезонность!$A$4:$D$15,4,FALSE),0)=0),"",G21/(H21*IFERROR(VLOOKUP(B21,Сезонность!$A$4:$D$15,4,FALSE),1)))</f>
        <v>0.88988336249032407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100</v>
      </c>
      <c r="F22" s="5">
        <f t="shared" si="2"/>
        <v>46.728971962616825</v>
      </c>
      <c r="G22" s="5">
        <f>IF(COUNT(D22,F22)=0,"",IF(COUNT(D22,F22)=2,D22*Настройки!$B$4+F22*Настройки!$B$5,IF(D22&lt;&gt;"",D22,F22)))</f>
        <v>46.728971962616825</v>
      </c>
      <c r="H22" s="5">
        <f>IF(OR(G22="",COUNT($G$5:G22)&lt;12),"",AVERAGE(G11:G22))</f>
        <v>57.204049844236771</v>
      </c>
      <c r="I22" s="5">
        <f t="shared" si="3"/>
        <v>0.81688223281143624</v>
      </c>
      <c r="J22" s="5">
        <f>IF(OR(G22="",IFERROR(VLOOKUP(B22,Сезонность!$A$4:$D$15,4,FALSE),0)=0),"",G22/IFERROR(VLOOKUP(B22,Сезонность!$A$4:$D$15,4,FALSE),1))</f>
        <v>50.904932223453521</v>
      </c>
      <c r="K22" s="5">
        <f>IF(OR(G22="",H22="",H22=0,IFERROR(VLOOKUP(B22,Сезонность!$A$4:$D$15,4,FALSE),0)=0),"",G22/(H22*IFERROR(VLOOKUP(B22,Сезонность!$A$4:$D$15,4,FALSE),1)))</f>
        <v>0.88988336249032407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145</v>
      </c>
      <c r="F23" s="5">
        <f t="shared" si="2"/>
        <v>67.757009345794401</v>
      </c>
      <c r="G23" s="5">
        <f>IF(COUNT(D23,F23)=0,"",IF(COUNT(D23,F23)=2,D23*Настройки!$B$4+F23*Настройки!$B$5,IF(D23&lt;&gt;"",D23,F23)))</f>
        <v>67.757009345794401</v>
      </c>
      <c r="H23" s="5">
        <f>IF(OR(G23="",COUNT($G$5:G23)&lt;12),"",AVERAGE(G12:G23))</f>
        <v>54.517133956386289</v>
      </c>
      <c r="I23" s="5">
        <f t="shared" si="3"/>
        <v>1.2428571428571431</v>
      </c>
      <c r="J23" s="5">
        <f>IF(OR(G23="",IFERROR(VLOOKUP(B23,Сезонность!$A$4:$D$15,4,FALSE),0)=0),"",G23/IFERROR(VLOOKUP(B23,Сезонность!$A$4:$D$15,4,FALSE),1))</f>
        <v>48.513890478444459</v>
      </c>
      <c r="K23" s="5">
        <f>IF(OR(G23="",H23="",H23=0,IFERROR(VLOOKUP(B23,Сезонность!$A$4:$D$15,4,FALSE),0)=0),"",G23/(H23*IFERROR(VLOOKUP(B23,Сезонность!$A$4:$D$15,4,FALSE),1)))</f>
        <v>0.88988336249032396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149</v>
      </c>
      <c r="F24" s="5">
        <f t="shared" si="2"/>
        <v>69.626168224299064</v>
      </c>
      <c r="G24" s="5">
        <f>IF(COUNT(D24,F24)=0,"",IF(COUNT(D24,F24)=2,D24*Настройки!$B$4+F24*Настройки!$B$5,IF(D24&lt;&gt;"",D24,F24)))</f>
        <v>69.626168224299064</v>
      </c>
      <c r="H24" s="5">
        <f>IF(OR(G24="",COUNT($G$5:G24)&lt;12),"",AVERAGE(G13:G24))</f>
        <v>54.361370716510898</v>
      </c>
      <c r="I24" s="5">
        <f t="shared" si="3"/>
        <v>1.2808022922636104</v>
      </c>
      <c r="J24" s="5">
        <f>IF(OR(G24="",IFERROR(VLOOKUP(B24,Сезонность!$A$4:$D$15,4,FALSE),0)=0),"",G24/IFERROR(VLOOKUP(B24,Сезонность!$A$4:$D$15,4,FALSE),1))</f>
        <v>48.375279362791758</v>
      </c>
      <c r="K24" s="5">
        <f>IF(OR(G24="",H24="",H24=0,IFERROR(VLOOKUP(B24,Сезонность!$A$4:$D$15,4,FALSE),0)=0),"",G24/(H24*IFERROR(VLOOKUP(B24,Сезонность!$A$4:$D$15,4,FALSE),1)))</f>
        <v>0.88988336249032407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112</v>
      </c>
      <c r="F25" s="5">
        <f t="shared" si="2"/>
        <v>52.336448598130836</v>
      </c>
      <c r="G25" s="5">
        <f>IF(COUNT(D25,F25)=0,"",IF(COUNT(D25,F25)=2,D25*Настройки!$B$4+F25*Настройки!$B$5,IF(D25&lt;&gt;"",D25,F25)))</f>
        <v>52.336448598130836</v>
      </c>
      <c r="H25" s="5">
        <f>IF(OR(G25="",COUNT($G$5:G25)&lt;12),"",AVERAGE(G14:G25))</f>
        <v>52.336448598130836</v>
      </c>
      <c r="I25" s="5">
        <f t="shared" si="3"/>
        <v>1</v>
      </c>
      <c r="J25" s="5">
        <f>IF(OR(G25="",IFERROR(VLOOKUP(B25,Сезонность!$A$4:$D$15,4,FALSE),0)=0),"",G25/IFERROR(VLOOKUP(B25,Сезонность!$A$4:$D$15,4,FALSE),1))</f>
        <v>46.573334859306676</v>
      </c>
      <c r="K25" s="5">
        <f>IF(OR(G25="",H25="",H25=0,IFERROR(VLOOKUP(B25,Сезонность!$A$4:$D$15,4,FALSE),0)=0),"",G25/(H25*IFERROR(VLOOKUP(B25,Сезонность!$A$4:$D$15,4,FALSE),1)))</f>
        <v>0.88988336249032418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87</v>
      </c>
      <c r="F26" s="5">
        <f t="shared" si="2"/>
        <v>40.654205607476634</v>
      </c>
      <c r="G26" s="5">
        <f>IF(COUNT(D26,F26)=0,"",IF(COUNT(D26,F26)=2,D26*Настройки!$B$4+F26*Настройки!$B$5,IF(D26&lt;&gt;"",D26,F26)))</f>
        <v>40.654205607476634</v>
      </c>
      <c r="H26" s="5">
        <f>IF(OR(G26="",COUNT($G$5:G26)&lt;12),"",AVERAGE(G15:G26))</f>
        <v>50.194704049844241</v>
      </c>
      <c r="I26" s="5">
        <f t="shared" si="3"/>
        <v>0.80993017843289361</v>
      </c>
      <c r="J26" s="5">
        <f>IF(OR(G26="",IFERROR(VLOOKUP(B26,Сезонность!$A$4:$D$15,4,FALSE),0)=0),"",G26/IFERROR(VLOOKUP(B26,Сезонность!$A$4:$D$15,4,FALSE),1))</f>
        <v>44.667432019082078</v>
      </c>
      <c r="K26" s="5">
        <f>IF(OR(G26="",H26="",H26=0,IFERROR(VLOOKUP(B26,Сезонность!$A$4:$D$15,4,FALSE),0)=0),"",G26/(H26*IFERROR(VLOOKUP(B26,Сезонность!$A$4:$D$15,4,FALSE),1)))</f>
        <v>0.88988336249032407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37</v>
      </c>
      <c r="F27" s="5">
        <f t="shared" si="2"/>
        <v>17.289719626168225</v>
      </c>
      <c r="G27" s="5">
        <f>IF(COUNT(D27,F27)=0,"",IF(COUNT(D27,F27)=2,D27*Настройки!$B$4+F27*Настройки!$B$5,IF(D27&lt;&gt;"",D27,F27)))</f>
        <v>17.289719626168225</v>
      </c>
      <c r="H27" s="5">
        <f>IF(OR(G27="",COUNT($G$5:G27)&lt;12),"",AVERAGE(G16:G27))</f>
        <v>50.077881619937699</v>
      </c>
      <c r="I27" s="5">
        <f t="shared" si="3"/>
        <v>0.3452566096423017</v>
      </c>
      <c r="J27" s="5">
        <f>IF(OR(G27="",IFERROR(VLOOKUP(B27,Сезонность!$A$4:$D$15,4,FALSE),0)=0),"",G27/IFERROR(VLOOKUP(B27,Сезонность!$A$4:$D$15,4,FALSE),1))</f>
        <v>44.563473682342554</v>
      </c>
      <c r="K27" s="5">
        <f>IF(OR(G27="",H27="",H27=0,IFERROR(VLOOKUP(B27,Сезонность!$A$4:$D$15,4,FALSE),0)=0),"",G27/(H27*IFERROR(VLOOKUP(B27,Сезонность!$A$4:$D$15,4,FALSE),1)))</f>
        <v>0.88988336249032407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30</v>
      </c>
      <c r="F28" s="5">
        <f t="shared" si="2"/>
        <v>14.018691588785046</v>
      </c>
      <c r="G28" s="5">
        <f>IF(COUNT(D28,F28)=0,"",IF(COUNT(D28,F28)=2,D28*Настройки!$B$4+F28*Настройки!$B$5,IF(D28&lt;&gt;"",D28,F28)))</f>
        <v>14.018691588785046</v>
      </c>
      <c r="H28" s="5">
        <f>IF(OR(G28="",COUNT($G$5:G28)&lt;12),"",AVERAGE(G17:G28))</f>
        <v>50.272585669781932</v>
      </c>
      <c r="I28" s="5">
        <f t="shared" si="3"/>
        <v>0.27885360185902397</v>
      </c>
      <c r="J28" s="5">
        <f>IF(OR(G28="",IFERROR(VLOOKUP(B28,Сезонность!$A$4:$D$15,4,FALSE),0)=0),"",G28/IFERROR(VLOOKUP(B28,Сезонность!$A$4:$D$15,4,FALSE),1))</f>
        <v>51.811180917241188</v>
      </c>
      <c r="K28" s="5">
        <f>IF(OR(G28="",H28="",H28=0,IFERROR(VLOOKUP(B28,Сезонность!$A$4:$D$15,4,FALSE),0)=0),"",G28/(H28*IFERROR(VLOOKUP(B28,Сезонность!$A$4:$D$15,4,FALSE),1)))</f>
        <v>1.0306050549610797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0.79191919191919191</v>
      </c>
      <c r="D4" s="5">
        <f t="shared" ref="D4:D15" si="0">IF(C4="","",C4/AVERAGE($C$4:$C$15))</f>
        <v>0.88991347102278551</v>
      </c>
      <c r="E4" s="5">
        <f t="shared" ref="E4:E15" si="1">IF(D4="","",D4-1)</f>
        <v>-0.11008652897721449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0.81688223281143624</v>
      </c>
      <c r="D5" s="5">
        <f t="shared" si="0"/>
        <v>0.91796550789016285</v>
      </c>
      <c r="E5" s="5">
        <f t="shared" si="1"/>
        <v>-8.2034492109837154E-2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1.2428571428571431</v>
      </c>
      <c r="D6" s="5">
        <f t="shared" si="0"/>
        <v>1.3966517357724586</v>
      </c>
      <c r="E6" s="5">
        <f t="shared" si="1"/>
        <v>0.3966517357724586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1.2808022922636104</v>
      </c>
      <c r="D7" s="5">
        <f t="shared" si="0"/>
        <v>1.4392923232987591</v>
      </c>
      <c r="E7" s="5">
        <f t="shared" si="1"/>
        <v>0.43929232329875911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</v>
      </c>
      <c r="D8" s="5">
        <f t="shared" si="0"/>
        <v>1.1237427759088745</v>
      </c>
      <c r="E8" s="5">
        <f t="shared" si="1"/>
        <v>0.1237427759088745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0.80993017843289361</v>
      </c>
      <c r="D9" s="5">
        <f t="shared" si="0"/>
        <v>0.91015318700454995</v>
      </c>
      <c r="E9" s="5">
        <f t="shared" si="1"/>
        <v>-8.9846812995450054E-2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0.3452566096423017</v>
      </c>
      <c r="D10" s="5">
        <f t="shared" si="0"/>
        <v>0.38797962092032678</v>
      </c>
      <c r="E10" s="5">
        <f t="shared" si="1"/>
        <v>-0.61202037907967322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0.24077815228086336</v>
      </c>
      <c r="D11" s="5">
        <f t="shared" si="0"/>
        <v>0.27057270922230708</v>
      </c>
      <c r="E11" s="5">
        <f t="shared" si="1"/>
        <v>-0.72942729077769286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0.81315789473684219</v>
      </c>
      <c r="D12" s="5">
        <f t="shared" si="0"/>
        <v>0.91378030988379544</v>
      </c>
      <c r="E12" s="5">
        <f t="shared" si="1"/>
        <v>-8.6219690116204561E-2</v>
      </c>
      <c r="F12" s="3" t="str">
        <f t="shared" si="2"/>
        <v>средний сезонный уровень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1.1424920127795528</v>
      </c>
      <c r="D13" s="5">
        <f t="shared" si="0"/>
        <v>1.283867145894612</v>
      </c>
      <c r="E13" s="5">
        <f t="shared" si="1"/>
        <v>0.28386714589461204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0.984375</v>
      </c>
      <c r="D14" s="5">
        <f t="shared" si="0"/>
        <v>1.1061842950352985</v>
      </c>
      <c r="E14" s="5">
        <f t="shared" si="1"/>
        <v>0.10618429503529847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1.2101496421600522</v>
      </c>
      <c r="D15" s="5">
        <f t="shared" si="0"/>
        <v>1.3598969181460683</v>
      </c>
      <c r="E15" s="5">
        <f t="shared" si="1"/>
        <v>0.35989691814606828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1.4392923232987591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0.27057270922230708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1.168719614076452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апрель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57.63239875389408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50.272585669781932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-7.3598130841121474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-0.12770270270270268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-1.0761885412433969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стабильный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относительно стабилен; целесообразно изучить структуру спроса, конкурентов и целевые сегменты.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1.0306050549610797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0.74916167001956857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1.0306050549610797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0.28144338494151111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29.439252336448597</v>
      </c>
      <c r="C14" s="5" t="str">
        <f>Расчет!H5</f>
        <v/>
      </c>
      <c r="D14" s="5">
        <f>IFERROR(VLOOKUP(Расчет!B5,Сезонность!$A$4:$D$15,4,FALSE),"")</f>
        <v>0.91378030988379544</v>
      </c>
      <c r="E14" s="5">
        <f>Расчет!J5</f>
        <v>32.216991346850492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48.598130841121495</v>
      </c>
      <c r="C15" s="5" t="str">
        <f>Расчет!H6</f>
        <v/>
      </c>
      <c r="D15" s="5">
        <f>IFERROR(VLOOKUP(Расчет!B6,Сезонность!$A$4:$D$15,4,FALSE),"")</f>
        <v>1.283867145894612</v>
      </c>
      <c r="E15" s="5">
        <f>Расчет!J6</f>
        <v>37.852928160458383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72.429906542056074</v>
      </c>
      <c r="C16" s="5" t="str">
        <f>Расчет!H7</f>
        <v/>
      </c>
      <c r="D16" s="5">
        <f>IFERROR(VLOOKUP(Расчет!B7,Сезонность!$A$4:$D$15,4,FALSE),"")</f>
        <v>1.1061842950352985</v>
      </c>
      <c r="E16" s="5">
        <f>Расчет!J7</f>
        <v>65.477250822608028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71.962616822429908</v>
      </c>
      <c r="C17" s="5" t="str">
        <f>Расчет!H8</f>
        <v/>
      </c>
      <c r="D17" s="5">
        <f>IFERROR(VLOOKUP(Расчет!B8,Сезонность!$A$4:$D$15,4,FALSE),"")</f>
        <v>1.3598969181460683</v>
      </c>
      <c r="E17" s="5">
        <f>Расчет!J8</f>
        <v>52.917699762520023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70.09345794392523</v>
      </c>
      <c r="C18" s="5" t="str">
        <f>Расчет!H9</f>
        <v/>
      </c>
      <c r="D18" s="5">
        <f>IFERROR(VLOOKUP(Расчет!B9,Сезонность!$A$4:$D$15,4,FALSE),"")</f>
        <v>0.88991347102278551</v>
      </c>
      <c r="E18" s="5">
        <f>Расчет!J9</f>
        <v>78.764352070506575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54.205607476635507</v>
      </c>
      <c r="C19" s="5" t="str">
        <f>Расчет!H10</f>
        <v/>
      </c>
      <c r="D19" s="5">
        <f>IFERROR(VLOOKUP(Расчет!B10,Сезонность!$A$4:$D$15,4,FALSE),"")</f>
        <v>0.91796550789016285</v>
      </c>
      <c r="E19" s="5">
        <f>Расчет!J10</f>
        <v>59.049721379206069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100</v>
      </c>
      <c r="C20" s="5" t="str">
        <f>Расчет!H11</f>
        <v/>
      </c>
      <c r="D20" s="5">
        <f>IFERROR(VLOOKUP(Расчет!B11,Сезонность!$A$4:$D$15,4,FALSE),"")</f>
        <v>1.3966517357724586</v>
      </c>
      <c r="E20" s="5">
        <f>Расчет!J11</f>
        <v>71.599810775083526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71.495327102803742</v>
      </c>
      <c r="C21" s="5" t="str">
        <f>Расчет!H12</f>
        <v/>
      </c>
      <c r="D21" s="5">
        <f>IFERROR(VLOOKUP(Расчет!B12,Сезонность!$A$4:$D$15,4,FALSE),"")</f>
        <v>1.4392923232987591</v>
      </c>
      <c r="E21" s="5">
        <f>Расчет!J12</f>
        <v>49.673944580584831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76.63551401869158</v>
      </c>
      <c r="C22" s="5" t="str">
        <f>Расчет!H13</f>
        <v/>
      </c>
      <c r="D22" s="5">
        <f>IFERROR(VLOOKUP(Расчет!B13,Сезонность!$A$4:$D$15,4,FALSE),"")</f>
        <v>1.1237427759088745</v>
      </c>
      <c r="E22" s="5">
        <f>Расчет!J13</f>
        <v>68.196668901127637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66.355140186915889</v>
      </c>
      <c r="C23" s="5" t="str">
        <f>Расчет!H14</f>
        <v/>
      </c>
      <c r="D23" s="5">
        <f>IFERROR(VLOOKUP(Расчет!B14,Сезонность!$A$4:$D$15,4,FALSE),"")</f>
        <v>0.91015318700454995</v>
      </c>
      <c r="E23" s="5">
        <f>Расчет!J14</f>
        <v>72.905463755283392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18.691588785046729</v>
      </c>
      <c r="C24" s="5" t="str">
        <f>Расчет!H15</f>
        <v/>
      </c>
      <c r="D24" s="5">
        <f>IFERROR(VLOOKUP(Расчет!B15,Сезонность!$A$4:$D$15,4,FALSE),"")</f>
        <v>0.38797962092032678</v>
      </c>
      <c r="E24" s="5">
        <f>Расчет!J15</f>
        <v>48.176728305235194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11.682242990654206</v>
      </c>
      <c r="C25" s="5">
        <f>Расчет!H16</f>
        <v>57.63239875389408</v>
      </c>
      <c r="D25" s="5">
        <f>IFERROR(VLOOKUP(Расчет!B16,Сезонность!$A$4:$D$15,4,FALSE),"")</f>
        <v>0.27057270922230708</v>
      </c>
      <c r="E25" s="5">
        <f>Расчет!J16</f>
        <v>43.175984097700997</v>
      </c>
      <c r="F25" s="5">
        <f>Расчет!K16</f>
        <v>0.74916167001956857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48.13084112149533</v>
      </c>
      <c r="C26" s="5">
        <f>Расчет!H17</f>
        <v>59.190031152647975</v>
      </c>
      <c r="D26" s="5">
        <f>IFERROR(VLOOKUP(Расчет!B17,Сезонность!$A$4:$D$15,4,FALSE),"")</f>
        <v>0.91378030988379544</v>
      </c>
      <c r="E26" s="5">
        <f>Расчет!J17</f>
        <v>52.672223948025412</v>
      </c>
      <c r="F26" s="5">
        <f>Расчет!K17</f>
        <v>0.88988336249032396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69.626168224299064</v>
      </c>
      <c r="C27" s="5">
        <f>Расчет!H18</f>
        <v>60.942367601246104</v>
      </c>
      <c r="D27" s="5">
        <f>IFERROR(VLOOKUP(Расчет!B18,Сезонность!$A$4:$D$15,4,FALSE),"")</f>
        <v>1.283867145894612</v>
      </c>
      <c r="E27" s="5">
        <f>Расчет!J18</f>
        <v>54.231598999118262</v>
      </c>
      <c r="F27" s="5">
        <f>Расчет!K18</f>
        <v>0.88988336249032407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58.878504672897193</v>
      </c>
      <c r="C28" s="5">
        <f>Расчет!H19</f>
        <v>59.813084112149532</v>
      </c>
      <c r="D28" s="5">
        <f>IFERROR(VLOOKUP(Расчет!B19,Сезонность!$A$4:$D$15,4,FALSE),"")</f>
        <v>1.1061842950352985</v>
      </c>
      <c r="E28" s="5">
        <f>Расчет!J19</f>
        <v>53.226668410636201</v>
      </c>
      <c r="F28" s="5">
        <f>Расчет!K19</f>
        <v>0.88988336249032396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72.429906542056074</v>
      </c>
      <c r="C29" s="5">
        <f>Расчет!H20</f>
        <v>59.852024922118375</v>
      </c>
      <c r="D29" s="5">
        <f>IFERROR(VLOOKUP(Расчет!B20,Сезонность!$A$4:$D$15,4,FALSE),"")</f>
        <v>1.3598969181460683</v>
      </c>
      <c r="E29" s="5">
        <f>Расчет!J20</f>
        <v>53.261321189549371</v>
      </c>
      <c r="F29" s="5">
        <f>Расчет!K20</f>
        <v>0.88988336249032407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45.794392523364486</v>
      </c>
      <c r="C30" s="5">
        <f>Расчет!H21</f>
        <v>57.82710280373832</v>
      </c>
      <c r="D30" s="5">
        <f>IFERROR(VLOOKUP(Расчет!B21,Сезонность!$A$4:$D$15,4,FALSE),"")</f>
        <v>0.88991347102278551</v>
      </c>
      <c r="E30" s="5">
        <f>Расчет!J21</f>
        <v>51.459376686064303</v>
      </c>
      <c r="F30" s="5">
        <f>Расчет!K21</f>
        <v>0.88988336249032407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46.728971962616825</v>
      </c>
      <c r="C31" s="5">
        <f>Расчет!H22</f>
        <v>57.204049844236771</v>
      </c>
      <c r="D31" s="5">
        <f>IFERROR(VLOOKUP(Расчет!B22,Сезонность!$A$4:$D$15,4,FALSE),"")</f>
        <v>0.91796550789016285</v>
      </c>
      <c r="E31" s="5">
        <f>Расчет!J22</f>
        <v>50.904932223453521</v>
      </c>
      <c r="F31" s="5">
        <f>Расчет!K22</f>
        <v>0.88988336249032407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67.757009345794401</v>
      </c>
      <c r="C32" s="5">
        <f>Расчет!H23</f>
        <v>54.517133956386289</v>
      </c>
      <c r="D32" s="5">
        <f>IFERROR(VLOOKUP(Расчет!B23,Сезонность!$A$4:$D$15,4,FALSE),"")</f>
        <v>1.3966517357724586</v>
      </c>
      <c r="E32" s="5">
        <f>Расчет!J23</f>
        <v>48.513890478444459</v>
      </c>
      <c r="F32" s="5">
        <f>Расчет!K23</f>
        <v>0.88988336249032396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69.626168224299064</v>
      </c>
      <c r="C33" s="5">
        <f>Расчет!H24</f>
        <v>54.361370716510898</v>
      </c>
      <c r="D33" s="5">
        <f>IFERROR(VLOOKUP(Расчет!B24,Сезонность!$A$4:$D$15,4,FALSE),"")</f>
        <v>1.4392923232987591</v>
      </c>
      <c r="E33" s="5">
        <f>Расчет!J24</f>
        <v>48.375279362791758</v>
      </c>
      <c r="F33" s="5">
        <f>Расчет!K24</f>
        <v>0.88988336249032407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52.336448598130836</v>
      </c>
      <c r="C34" s="5">
        <f>Расчет!H25</f>
        <v>52.336448598130836</v>
      </c>
      <c r="D34" s="5">
        <f>IFERROR(VLOOKUP(Расчет!B25,Сезонность!$A$4:$D$15,4,FALSE),"")</f>
        <v>1.1237427759088745</v>
      </c>
      <c r="E34" s="5">
        <f>Расчет!J25</f>
        <v>46.573334859306676</v>
      </c>
      <c r="F34" s="5">
        <f>Расчет!K25</f>
        <v>0.88988336249032418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40.654205607476634</v>
      </c>
      <c r="C35" s="5">
        <f>Расчет!H26</f>
        <v>50.194704049844241</v>
      </c>
      <c r="D35" s="5">
        <f>IFERROR(VLOOKUP(Расчет!B26,Сезонность!$A$4:$D$15,4,FALSE),"")</f>
        <v>0.91015318700454995</v>
      </c>
      <c r="E35" s="5">
        <f>Расчет!J26</f>
        <v>44.667432019082078</v>
      </c>
      <c r="F35" s="5">
        <f>Расчет!K26</f>
        <v>0.88988336249032407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17.289719626168225</v>
      </c>
      <c r="C36" s="5">
        <f>Расчет!H27</f>
        <v>50.077881619937699</v>
      </c>
      <c r="D36" s="5">
        <f>IFERROR(VLOOKUP(Расчет!B27,Сезонность!$A$4:$D$15,4,FALSE),"")</f>
        <v>0.38797962092032678</v>
      </c>
      <c r="E36" s="5">
        <f>Расчет!J27</f>
        <v>44.563473682342554</v>
      </c>
      <c r="F36" s="5">
        <f>Расчет!K27</f>
        <v>0.88988336249032407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14.018691588785046</v>
      </c>
      <c r="C37" s="5">
        <f>Расчет!H28</f>
        <v>50.272585669781932</v>
      </c>
      <c r="D37" s="5">
        <f>IFERROR(VLOOKUP(Расчет!B28,Сезонность!$A$4:$D$15,4,FALSE),"")</f>
        <v>0.27057270922230708</v>
      </c>
      <c r="E37" s="5">
        <f>Расчет!J28</f>
        <v>51.811180917241188</v>
      </c>
      <c r="F37" s="5">
        <f>Расчет!K28</f>
        <v>1.0306050549610797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5">
        <v>46295</v>
      </c>
      <c r="B4" s="2" t="s">
        <v>113</v>
      </c>
      <c r="C4" s="2" t="s">
        <v>204</v>
      </c>
      <c r="D4" s="2" t="s">
        <v>184</v>
      </c>
      <c r="E4" s="2" t="s">
        <v>185</v>
      </c>
      <c r="F4" s="2" t="s">
        <v>183</v>
      </c>
      <c r="G4" s="2" t="s">
        <v>205</v>
      </c>
      <c r="H4" s="2" t="s">
        <v>206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5">
        <v>46295</v>
      </c>
      <c r="B5" s="2" t="s">
        <v>113</v>
      </c>
      <c r="C5" s="2" t="s">
        <v>204</v>
      </c>
      <c r="D5" s="2" t="s">
        <v>184</v>
      </c>
      <c r="E5" s="2" t="s">
        <v>222</v>
      </c>
      <c r="F5" s="2" t="s">
        <v>183</v>
      </c>
      <c r="G5" s="2" t="s">
        <v>220</v>
      </c>
      <c r="H5" s="2" t="s">
        <v>223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0">
        <v>46295</v>
      </c>
      <c r="B6" s="3" t="s">
        <v>113</v>
      </c>
      <c r="C6" s="3" t="s">
        <v>186</v>
      </c>
      <c r="D6" s="3" t="s">
        <v>184</v>
      </c>
      <c r="E6" s="3" t="s">
        <v>185</v>
      </c>
      <c r="F6" s="3" t="s">
        <v>183</v>
      </c>
      <c r="G6" s="3" t="s">
        <v>187</v>
      </c>
      <c r="H6" s="3" t="s">
        <v>188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46295</v>
      </c>
      <c r="B7" s="3" t="s">
        <v>113</v>
      </c>
      <c r="C7" s="3" t="s">
        <v>189</v>
      </c>
      <c r="D7" s="3" t="s">
        <v>184</v>
      </c>
      <c r="E7" s="3" t="s">
        <v>185</v>
      </c>
      <c r="F7" s="3" t="s">
        <v>183</v>
      </c>
      <c r="G7" s="3" t="s">
        <v>190</v>
      </c>
      <c r="H7" s="3" t="s">
        <v>191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46295</v>
      </c>
      <c r="B8" s="3" t="s">
        <v>113</v>
      </c>
      <c r="C8" s="3" t="s">
        <v>192</v>
      </c>
      <c r="D8" s="3" t="s">
        <v>184</v>
      </c>
      <c r="E8" s="3" t="s">
        <v>185</v>
      </c>
      <c r="F8" s="3" t="s">
        <v>183</v>
      </c>
      <c r="G8" s="3" t="s">
        <v>193</v>
      </c>
      <c r="H8" s="3" t="s">
        <v>194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0">
        <v>46295</v>
      </c>
      <c r="B9" s="3" t="s">
        <v>113</v>
      </c>
      <c r="C9" s="3" t="s">
        <v>195</v>
      </c>
      <c r="D9" s="3" t="s">
        <v>184</v>
      </c>
      <c r="E9" s="3" t="s">
        <v>185</v>
      </c>
      <c r="F9" s="3" t="s">
        <v>183</v>
      </c>
      <c r="G9" s="3" t="s">
        <v>196</v>
      </c>
      <c r="H9" s="3" t="s">
        <v>197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0">
        <v>46295</v>
      </c>
      <c r="B10" s="3" t="s">
        <v>113</v>
      </c>
      <c r="C10" s="3" t="s">
        <v>198</v>
      </c>
      <c r="D10" s="3" t="s">
        <v>184</v>
      </c>
      <c r="E10" s="3" t="s">
        <v>185</v>
      </c>
      <c r="F10" s="3" t="s">
        <v>183</v>
      </c>
      <c r="G10" s="3" t="s">
        <v>199</v>
      </c>
      <c r="H10" s="3" t="s">
        <v>200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0">
        <v>46295</v>
      </c>
      <c r="B11" s="3" t="s">
        <v>113</v>
      </c>
      <c r="C11" s="3" t="s">
        <v>201</v>
      </c>
      <c r="D11" s="3" t="s">
        <v>184</v>
      </c>
      <c r="E11" s="3" t="s">
        <v>185</v>
      </c>
      <c r="F11" s="3" t="s">
        <v>183</v>
      </c>
      <c r="G11" s="3" t="s">
        <v>202</v>
      </c>
      <c r="H11" s="3" t="s">
        <v>203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0">
        <v>46295</v>
      </c>
      <c r="B12" s="3" t="s">
        <v>113</v>
      </c>
      <c r="C12" s="3" t="s">
        <v>204</v>
      </c>
      <c r="D12" s="3" t="s">
        <v>184</v>
      </c>
      <c r="E12" s="3" t="s">
        <v>185</v>
      </c>
      <c r="F12" s="3" t="s">
        <v>183</v>
      </c>
      <c r="G12" s="3" t="s">
        <v>205</v>
      </c>
      <c r="H12" s="3" t="s">
        <v>206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0">
        <v>46295</v>
      </c>
      <c r="B13" s="3" t="s">
        <v>113</v>
      </c>
      <c r="C13" s="3" t="s">
        <v>207</v>
      </c>
      <c r="D13" s="3" t="s">
        <v>184</v>
      </c>
      <c r="E13" s="3" t="s">
        <v>185</v>
      </c>
      <c r="F13" s="3" t="s">
        <v>183</v>
      </c>
      <c r="G13" s="3" t="s">
        <v>208</v>
      </c>
      <c r="H13" s="3" t="s">
        <v>209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0">
        <v>46295</v>
      </c>
      <c r="B14" s="3" t="s">
        <v>113</v>
      </c>
      <c r="C14" s="3" t="s">
        <v>210</v>
      </c>
      <c r="D14" s="3" t="s">
        <v>184</v>
      </c>
      <c r="E14" s="3" t="s">
        <v>185</v>
      </c>
      <c r="F14" s="3" t="s">
        <v>183</v>
      </c>
      <c r="G14" s="3" t="s">
        <v>211</v>
      </c>
      <c r="H14" s="3" t="s">
        <v>212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0">
        <v>46295</v>
      </c>
      <c r="B15" s="3" t="s">
        <v>113</v>
      </c>
      <c r="C15" s="3" t="s">
        <v>213</v>
      </c>
      <c r="D15" s="3" t="s">
        <v>214</v>
      </c>
      <c r="E15" s="3" t="s">
        <v>215</v>
      </c>
      <c r="F15" s="3" t="s">
        <v>183</v>
      </c>
      <c r="G15" s="3" t="s">
        <v>216</v>
      </c>
      <c r="H15" s="3" t="s">
        <v>217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0">
        <v>46295</v>
      </c>
      <c r="B16" s="3" t="s">
        <v>113</v>
      </c>
      <c r="C16" s="3" t="s">
        <v>218</v>
      </c>
      <c r="D16" s="3" t="s">
        <v>184</v>
      </c>
      <c r="E16" s="3" t="s">
        <v>219</v>
      </c>
      <c r="F16" s="3" t="s">
        <v>183</v>
      </c>
      <c r="G16" s="3" t="s">
        <v>220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224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2026-09-30T10:00:11Z</dcterms:modified>
</cp:coreProperties>
</file>