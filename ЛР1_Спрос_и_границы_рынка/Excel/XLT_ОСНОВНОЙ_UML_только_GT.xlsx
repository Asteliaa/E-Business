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3_ncr:1_{7AAF0846-6257-483A-89F1-40E2CCDC6F02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A64" i="3"/>
  <c r="E63" i="3"/>
  <c r="F63" i="3" s="1"/>
  <c r="D63" i="3"/>
  <c r="A63" i="3"/>
  <c r="E62" i="3"/>
  <c r="F62" i="3" s="1"/>
  <c r="D62" i="3"/>
  <c r="G62" i="3" s="1"/>
  <c r="A62" i="3"/>
  <c r="E61" i="3"/>
  <c r="F61" i="3" s="1"/>
  <c r="D61" i="3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A57" i="3"/>
  <c r="E56" i="3"/>
  <c r="F56" i="3" s="1"/>
  <c r="D56" i="3"/>
  <c r="G56" i="3" s="1"/>
  <c r="A56" i="3"/>
  <c r="E55" i="3"/>
  <c r="F55" i="3" s="1"/>
  <c r="D55" i="3"/>
  <c r="A55" i="3"/>
  <c r="E54" i="3"/>
  <c r="F54" i="3" s="1"/>
  <c r="D54" i="3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A51" i="3"/>
  <c r="E50" i="3"/>
  <c r="F50" i="3" s="1"/>
  <c r="D50" i="3"/>
  <c r="A50" i="3"/>
  <c r="E49" i="3"/>
  <c r="F49" i="3" s="1"/>
  <c r="D49" i="3"/>
  <c r="A49" i="3"/>
  <c r="E48" i="3"/>
  <c r="F48" i="3" s="1"/>
  <c r="D48" i="3"/>
  <c r="A48" i="3"/>
  <c r="E47" i="3"/>
  <c r="F47" i="3" s="1"/>
  <c r="D47" i="3"/>
  <c r="A47" i="3"/>
  <c r="E46" i="3"/>
  <c r="F46" i="3" s="1"/>
  <c r="D46" i="3"/>
  <c r="A46" i="3"/>
  <c r="E45" i="3"/>
  <c r="F45" i="3" s="1"/>
  <c r="D45" i="3"/>
  <c r="A45" i="3"/>
  <c r="E44" i="3"/>
  <c r="F44" i="3" s="1"/>
  <c r="D44" i="3"/>
  <c r="A44" i="3"/>
  <c r="E43" i="3"/>
  <c r="F43" i="3" s="1"/>
  <c r="D43" i="3"/>
  <c r="A43" i="3"/>
  <c r="E42" i="3"/>
  <c r="F42" i="3" s="1"/>
  <c r="D42" i="3"/>
  <c r="A42" i="3"/>
  <c r="E41" i="3"/>
  <c r="F41" i="3" s="1"/>
  <c r="D41" i="3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47" i="3" l="1"/>
  <c r="J56" i="3"/>
  <c r="J53" i="3"/>
  <c r="F26" i="3"/>
  <c r="G26" i="3" s="1"/>
  <c r="F25" i="3"/>
  <c r="F28" i="3"/>
  <c r="G28" i="3" s="1"/>
  <c r="F27" i="3"/>
  <c r="G48" i="3"/>
  <c r="F23" i="3"/>
  <c r="G23" i="3" s="1"/>
  <c r="G49" i="3"/>
  <c r="F24" i="3"/>
  <c r="G24" i="3" s="1"/>
  <c r="G61" i="3"/>
  <c r="G46" i="3"/>
  <c r="G59" i="3"/>
  <c r="F21" i="3"/>
  <c r="G21" i="3" s="1"/>
  <c r="F22" i="3"/>
  <c r="G22" i="3" s="1"/>
  <c r="G55" i="3"/>
  <c r="F16" i="3"/>
  <c r="G16" i="3" s="1"/>
  <c r="F20" i="3"/>
  <c r="G20" i="3" s="1"/>
  <c r="F17" i="3"/>
  <c r="G17" i="3" s="1"/>
  <c r="F19" i="3"/>
  <c r="G19" i="3" s="1"/>
  <c r="F18" i="3"/>
  <c r="G18" i="3" s="1"/>
  <c r="G57" i="3"/>
  <c r="G63" i="3"/>
  <c r="G54" i="3"/>
  <c r="G52" i="3"/>
  <c r="G43" i="3"/>
  <c r="F15" i="3"/>
  <c r="G15" i="3" s="1"/>
  <c r="G50" i="3"/>
  <c r="F14" i="3"/>
  <c r="G14" i="3" s="1"/>
  <c r="F13" i="3"/>
  <c r="G13" i="3" s="1"/>
  <c r="F12" i="3"/>
  <c r="G12" i="3" s="1"/>
  <c r="F11" i="3"/>
  <c r="G11" i="3" s="1"/>
  <c r="G58" i="3"/>
  <c r="F10" i="3"/>
  <c r="G10" i="3" s="1"/>
  <c r="G41" i="3"/>
  <c r="F9" i="3"/>
  <c r="G9" i="3" s="1"/>
  <c r="F8" i="3"/>
  <c r="G8" i="3" s="1"/>
  <c r="G45" i="3"/>
  <c r="F7" i="3"/>
  <c r="G7" i="3" s="1"/>
  <c r="F6" i="3"/>
  <c r="G6" i="3" s="1"/>
  <c r="G64" i="3"/>
  <c r="G51" i="3"/>
  <c r="G44" i="3"/>
  <c r="A73" i="6"/>
  <c r="B64" i="3"/>
  <c r="C64" i="3"/>
  <c r="A72" i="6"/>
  <c r="B63" i="3"/>
  <c r="C63" i="3"/>
  <c r="B71" i="6"/>
  <c r="N62" i="3"/>
  <c r="A71" i="6"/>
  <c r="C62" i="3"/>
  <c r="B62" i="3"/>
  <c r="J62" i="3" s="1"/>
  <c r="A70" i="6"/>
  <c r="B61" i="3"/>
  <c r="C61" i="3"/>
  <c r="N60" i="3"/>
  <c r="B69" i="6"/>
  <c r="B60" i="3"/>
  <c r="J60" i="3" s="1"/>
  <c r="A69" i="6"/>
  <c r="C60" i="3"/>
  <c r="C59" i="3"/>
  <c r="A68" i="6"/>
  <c r="B59" i="3"/>
  <c r="B58" i="3"/>
  <c r="C58" i="3"/>
  <c r="A67" i="6"/>
  <c r="C57" i="3"/>
  <c r="A66" i="6"/>
  <c r="B57" i="3"/>
  <c r="N56" i="3"/>
  <c r="B65" i="6"/>
  <c r="A65" i="6"/>
  <c r="C56" i="3"/>
  <c r="B56" i="3"/>
  <c r="A64" i="6"/>
  <c r="B55" i="3"/>
  <c r="C55" i="3"/>
  <c r="A63" i="6"/>
  <c r="B54" i="3"/>
  <c r="C54" i="3"/>
  <c r="B62" i="6"/>
  <c r="N53" i="3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N47" i="3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G39" i="3"/>
  <c r="G37" i="3"/>
  <c r="G30" i="3"/>
  <c r="G38" i="3"/>
  <c r="G36" i="3"/>
  <c r="G35" i="3"/>
  <c r="G34" i="3"/>
  <c r="G31" i="3"/>
  <c r="G40" i="3"/>
  <c r="G33" i="3"/>
  <c r="G32" i="3"/>
  <c r="G27" i="3"/>
  <c r="G25" i="3"/>
  <c r="G42" i="3"/>
  <c r="J47" i="3" l="1"/>
  <c r="B35" i="6"/>
  <c r="J48" i="3"/>
  <c r="J49" i="3"/>
  <c r="J61" i="3"/>
  <c r="E70" i="6" s="1"/>
  <c r="J46" i="3"/>
  <c r="J59" i="3"/>
  <c r="J55" i="3"/>
  <c r="E64" i="6" s="1"/>
  <c r="B26" i="6"/>
  <c r="B28" i="6"/>
  <c r="B27" i="6"/>
  <c r="J57" i="3"/>
  <c r="J63" i="3"/>
  <c r="E72" i="6" s="1"/>
  <c r="J54" i="3"/>
  <c r="J52" i="3"/>
  <c r="J43" i="3"/>
  <c r="E52" i="6" s="1"/>
  <c r="J50" i="3"/>
  <c r="E59" i="6" s="1"/>
  <c r="B20" i="6"/>
  <c r="J58" i="3"/>
  <c r="E67" i="6" s="1"/>
  <c r="B19" i="6"/>
  <c r="J41" i="3"/>
  <c r="B18" i="6"/>
  <c r="B17" i="6"/>
  <c r="J45" i="3"/>
  <c r="E54" i="6" s="1"/>
  <c r="K45" i="3"/>
  <c r="K64" i="3"/>
  <c r="J64" i="3"/>
  <c r="E73" i="6" s="1"/>
  <c r="J51" i="3"/>
  <c r="J44" i="3"/>
  <c r="J29" i="3"/>
  <c r="K39" i="3"/>
  <c r="J39" i="3"/>
  <c r="K37" i="3"/>
  <c r="J37" i="3"/>
  <c r="K30" i="3"/>
  <c r="J30" i="3"/>
  <c r="K38" i="3"/>
  <c r="J38" i="3"/>
  <c r="K36" i="3"/>
  <c r="J36" i="3"/>
  <c r="K35" i="3"/>
  <c r="J35" i="3"/>
  <c r="K34" i="3"/>
  <c r="J34" i="3"/>
  <c r="K31" i="3"/>
  <c r="J31" i="3"/>
  <c r="J40" i="3"/>
  <c r="K40" i="3"/>
  <c r="J33" i="3"/>
  <c r="K33" i="3"/>
  <c r="K32" i="3"/>
  <c r="J32" i="3"/>
  <c r="J42" i="3"/>
  <c r="N48" i="3"/>
  <c r="B57" i="6"/>
  <c r="N61" i="3"/>
  <c r="B70" i="6"/>
  <c r="N59" i="3"/>
  <c r="B68" i="6"/>
  <c r="B58" i="6"/>
  <c r="N49" i="3"/>
  <c r="B55" i="6"/>
  <c r="N46" i="3"/>
  <c r="N55" i="3"/>
  <c r="B64" i="6"/>
  <c r="B66" i="6"/>
  <c r="N57" i="3"/>
  <c r="B72" i="6"/>
  <c r="N63" i="3"/>
  <c r="N54" i="3"/>
  <c r="B63" i="6"/>
  <c r="B61" i="6"/>
  <c r="N52" i="3"/>
  <c r="B52" i="6"/>
  <c r="N43" i="3"/>
  <c r="N50" i="3"/>
  <c r="B59" i="6"/>
  <c r="B67" i="6"/>
  <c r="N58" i="3"/>
  <c r="N41" i="3"/>
  <c r="B50" i="6"/>
  <c r="N64" i="3"/>
  <c r="B73" i="6"/>
  <c r="N45" i="3"/>
  <c r="B54" i="6"/>
  <c r="H5" i="3"/>
  <c r="B14" i="6"/>
  <c r="N5" i="3"/>
  <c r="H64" i="3"/>
  <c r="N51" i="3"/>
  <c r="B60" i="6"/>
  <c r="N44" i="3"/>
  <c r="B53" i="6"/>
  <c r="D68" i="6"/>
  <c r="E68" i="6"/>
  <c r="D50" i="6"/>
  <c r="E50" i="6"/>
  <c r="H29" i="3"/>
  <c r="N29" i="3"/>
  <c r="B38" i="6"/>
  <c r="N39" i="3"/>
  <c r="H39" i="3"/>
  <c r="B48" i="6"/>
  <c r="B46" i="6"/>
  <c r="H37" i="3"/>
  <c r="I37" i="3" s="1"/>
  <c r="N37" i="3"/>
  <c r="B39" i="6"/>
  <c r="N30" i="3"/>
  <c r="H30" i="3"/>
  <c r="B37" i="6"/>
  <c r="N28" i="3"/>
  <c r="H28" i="3"/>
  <c r="B47" i="6"/>
  <c r="N38" i="3"/>
  <c r="H38" i="3"/>
  <c r="B45" i="6"/>
  <c r="N36" i="3"/>
  <c r="H36" i="3"/>
  <c r="B44" i="6"/>
  <c r="N35" i="3"/>
  <c r="H35" i="3"/>
  <c r="H34" i="3"/>
  <c r="B43" i="6"/>
  <c r="N34" i="3"/>
  <c r="B40" i="6"/>
  <c r="H31" i="3"/>
  <c r="N31" i="3"/>
  <c r="B31" i="6"/>
  <c r="N22" i="3"/>
  <c r="H22" i="3"/>
  <c r="B30" i="6"/>
  <c r="N21" i="3"/>
  <c r="H21" i="3"/>
  <c r="B29" i="6"/>
  <c r="N20" i="3"/>
  <c r="H20" i="3"/>
  <c r="H40" i="3"/>
  <c r="B49" i="6"/>
  <c r="N40" i="3"/>
  <c r="N33" i="3"/>
  <c r="H33" i="3"/>
  <c r="B42" i="6"/>
  <c r="H32" i="3"/>
  <c r="B41" i="6"/>
  <c r="N32" i="3"/>
  <c r="B36" i="6"/>
  <c r="N27" i="3"/>
  <c r="H27" i="3"/>
  <c r="B34" i="6"/>
  <c r="N25" i="3"/>
  <c r="H25" i="3"/>
  <c r="B33" i="6"/>
  <c r="N24" i="3"/>
  <c r="H24" i="3"/>
  <c r="B32" i="6"/>
  <c r="N23" i="3"/>
  <c r="H23" i="3"/>
  <c r="B25" i="6"/>
  <c r="N16" i="3"/>
  <c r="H16" i="3"/>
  <c r="B24" i="6"/>
  <c r="N15" i="3"/>
  <c r="H15" i="3"/>
  <c r="H7" i="3"/>
  <c r="B16" i="6"/>
  <c r="N7" i="3"/>
  <c r="H6" i="3"/>
  <c r="N6" i="3"/>
  <c r="B15" i="6"/>
  <c r="N42" i="3"/>
  <c r="B51" i="6"/>
  <c r="H42" i="3"/>
  <c r="K42" i="3" s="1"/>
  <c r="E51" i="6"/>
  <c r="N13" i="3"/>
  <c r="H13" i="3"/>
  <c r="B22" i="6"/>
  <c r="B23" i="6"/>
  <c r="N14" i="3"/>
  <c r="H14" i="3"/>
  <c r="H12" i="3"/>
  <c r="B21" i="6"/>
  <c r="N12" i="3"/>
  <c r="D73" i="6"/>
  <c r="D72" i="6"/>
  <c r="D71" i="6"/>
  <c r="E71" i="6"/>
  <c r="D70" i="6"/>
  <c r="D69" i="6"/>
  <c r="E69" i="6"/>
  <c r="D67" i="6"/>
  <c r="D66" i="6"/>
  <c r="E66" i="6"/>
  <c r="D65" i="6"/>
  <c r="E65" i="6"/>
  <c r="D64" i="6"/>
  <c r="D63" i="6"/>
  <c r="E63" i="6"/>
  <c r="D62" i="6"/>
  <c r="E62" i="6"/>
  <c r="D61" i="6"/>
  <c r="E61" i="6"/>
  <c r="D60" i="6"/>
  <c r="E60" i="6"/>
  <c r="D59" i="6"/>
  <c r="D58" i="6"/>
  <c r="E58" i="6"/>
  <c r="D57" i="6"/>
  <c r="E57" i="6"/>
  <c r="D56" i="6"/>
  <c r="E56" i="6"/>
  <c r="D55" i="6"/>
  <c r="E55" i="6"/>
  <c r="D54" i="6"/>
  <c r="D53" i="6"/>
  <c r="E53" i="6"/>
  <c r="D52" i="6"/>
  <c r="H62" i="3"/>
  <c r="K62" i="3" s="1"/>
  <c r="H61" i="3"/>
  <c r="K61" i="3" s="1"/>
  <c r="H60" i="3"/>
  <c r="K60" i="3" s="1"/>
  <c r="H59" i="3"/>
  <c r="K59" i="3" s="1"/>
  <c r="H52" i="3"/>
  <c r="K52" i="3" s="1"/>
  <c r="H18" i="3"/>
  <c r="N18" i="3"/>
  <c r="H49" i="3"/>
  <c r="K49" i="3" s="1"/>
  <c r="H46" i="3"/>
  <c r="K46" i="3" s="1"/>
  <c r="H50" i="3"/>
  <c r="K50" i="3" s="1"/>
  <c r="H53" i="3"/>
  <c r="K53" i="3" s="1"/>
  <c r="H45" i="3"/>
  <c r="H48" i="3"/>
  <c r="K48" i="3" s="1"/>
  <c r="H44" i="3"/>
  <c r="K44" i="3" s="1"/>
  <c r="H43" i="3"/>
  <c r="K43" i="3" s="1"/>
  <c r="H54" i="3"/>
  <c r="K54" i="3" s="1"/>
  <c r="H41" i="3"/>
  <c r="K41" i="3" s="1"/>
  <c r="H55" i="3"/>
  <c r="K55" i="3" s="1"/>
  <c r="N26" i="3"/>
  <c r="H19" i="3"/>
  <c r="N19" i="3"/>
  <c r="H56" i="3"/>
  <c r="K56" i="3" s="1"/>
  <c r="N17" i="3"/>
  <c r="H26" i="3"/>
  <c r="H57" i="3"/>
  <c r="K57" i="3" s="1"/>
  <c r="N11" i="3"/>
  <c r="H58" i="3"/>
  <c r="K58" i="3" s="1"/>
  <c r="H11" i="3"/>
  <c r="H10" i="3"/>
  <c r="H17" i="3"/>
  <c r="N10" i="3"/>
  <c r="N9" i="3"/>
  <c r="H47" i="3"/>
  <c r="K47" i="3" s="1"/>
  <c r="H9" i="3"/>
  <c r="N8" i="3"/>
  <c r="H51" i="3"/>
  <c r="K51" i="3" s="1"/>
  <c r="H8" i="3"/>
  <c r="H63" i="3"/>
  <c r="K63" i="3" s="1"/>
  <c r="B4" i="5"/>
  <c r="I29" i="3" l="1"/>
  <c r="K29" i="3"/>
  <c r="I7" i="3"/>
  <c r="C14" i="6"/>
  <c r="I5" i="3"/>
  <c r="I64" i="3"/>
  <c r="C73" i="6"/>
  <c r="C40" i="6"/>
  <c r="I31" i="3"/>
  <c r="B9" i="5"/>
  <c r="C47" i="6"/>
  <c r="I38" i="3"/>
  <c r="C24" i="6"/>
  <c r="I15" i="3"/>
  <c r="C15" i="6"/>
  <c r="I6" i="3"/>
  <c r="I62" i="3"/>
  <c r="C71" i="6"/>
  <c r="I61" i="3"/>
  <c r="C70" i="6"/>
  <c r="I60" i="3"/>
  <c r="C69" i="6"/>
  <c r="I59" i="3"/>
  <c r="C68" i="6"/>
  <c r="I52" i="3"/>
  <c r="C61" i="6"/>
  <c r="I18" i="3"/>
  <c r="C27" i="6"/>
  <c r="I49" i="3"/>
  <c r="C58" i="6"/>
  <c r="I46" i="3"/>
  <c r="C55" i="6"/>
  <c r="I50" i="3"/>
  <c r="C59" i="6"/>
  <c r="I53" i="3"/>
  <c r="C62" i="6"/>
  <c r="I45" i="3"/>
  <c r="C54" i="6"/>
  <c r="I48" i="3"/>
  <c r="C57" i="6"/>
  <c r="I44" i="3"/>
  <c r="C53" i="6"/>
  <c r="I43" i="3"/>
  <c r="C52" i="6"/>
  <c r="I54" i="3"/>
  <c r="C63" i="6"/>
  <c r="I41" i="3"/>
  <c r="C50" i="6"/>
  <c r="I55" i="3"/>
  <c r="C64" i="6"/>
  <c r="I19" i="3"/>
  <c r="C28" i="6"/>
  <c r="I56" i="3"/>
  <c r="C65" i="6"/>
  <c r="I26" i="3"/>
  <c r="C35" i="6"/>
  <c r="I57" i="3"/>
  <c r="C66" i="6"/>
  <c r="I58" i="3"/>
  <c r="C67" i="6"/>
  <c r="I11" i="3"/>
  <c r="C20" i="6"/>
  <c r="I10" i="3"/>
  <c r="C19" i="6"/>
  <c r="I17" i="3"/>
  <c r="C26" i="6"/>
  <c r="I47" i="3"/>
  <c r="C56" i="6"/>
  <c r="I9" i="3"/>
  <c r="C18" i="6"/>
  <c r="I51" i="3"/>
  <c r="C60" i="6"/>
  <c r="I8" i="3"/>
  <c r="C17" i="6"/>
  <c r="I63" i="3"/>
  <c r="C72" i="6"/>
  <c r="C6" i="1"/>
  <c r="B5" i="6"/>
  <c r="B6" i="5"/>
  <c r="B5" i="5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C22" i="6"/>
  <c r="I13" i="3"/>
  <c r="C23" i="6"/>
  <c r="I14" i="3"/>
  <c r="C21" i="6"/>
  <c r="I12" i="3"/>
  <c r="C11" i="4" l="1"/>
  <c r="C5" i="4"/>
  <c r="C6" i="4"/>
  <c r="C8" i="4"/>
  <c r="C9" i="4"/>
  <c r="F73" i="6"/>
  <c r="L64" i="3"/>
  <c r="C7" i="4"/>
  <c r="C4" i="4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C10" i="4"/>
  <c r="C14" i="4"/>
  <c r="C15" i="4"/>
  <c r="C12" i="4"/>
  <c r="C13" i="4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J23" i="3" l="1"/>
  <c r="E32" i="6" s="1"/>
  <c r="J11" i="3"/>
  <c r="E20" i="6" s="1"/>
  <c r="K23" i="3"/>
  <c r="K11" i="3"/>
  <c r="K27" i="3"/>
  <c r="K15" i="3"/>
  <c r="J27" i="3"/>
  <c r="E36" i="6" s="1"/>
  <c r="J15" i="3"/>
  <c r="E24" i="6" s="1"/>
  <c r="J8" i="3"/>
  <c r="E17" i="6" s="1"/>
  <c r="K20" i="3"/>
  <c r="K8" i="3"/>
  <c r="J20" i="3"/>
  <c r="E29" i="6" s="1"/>
  <c r="J18" i="3"/>
  <c r="E27" i="6" s="1"/>
  <c r="K18" i="3"/>
  <c r="J6" i="3"/>
  <c r="E15" i="6" s="1"/>
  <c r="K6" i="3"/>
  <c r="K7" i="3"/>
  <c r="K19" i="3"/>
  <c r="J19" i="3"/>
  <c r="J7" i="3"/>
  <c r="J26" i="3"/>
  <c r="E35" i="6" s="1"/>
  <c r="K14" i="3"/>
  <c r="K26" i="3"/>
  <c r="J14" i="3"/>
  <c r="E23" i="6" s="1"/>
  <c r="K22" i="3"/>
  <c r="J10" i="3"/>
  <c r="E19" i="6" s="1"/>
  <c r="K10" i="3"/>
  <c r="J22" i="3"/>
  <c r="E31" i="6" s="1"/>
  <c r="J21" i="3"/>
  <c r="E30" i="6" s="1"/>
  <c r="K21" i="3"/>
  <c r="J9" i="3"/>
  <c r="E18" i="6" s="1"/>
  <c r="K9" i="3"/>
  <c r="K25" i="3"/>
  <c r="J25" i="3"/>
  <c r="E34" i="6" s="1"/>
  <c r="K13" i="3"/>
  <c r="J13" i="3"/>
  <c r="E22" i="6" s="1"/>
  <c r="J5" i="3"/>
  <c r="E14" i="6" s="1"/>
  <c r="J17" i="3"/>
  <c r="K5" i="3"/>
  <c r="K17" i="3"/>
  <c r="J28" i="3"/>
  <c r="E37" i="6" s="1"/>
  <c r="K28" i="3"/>
  <c r="K16" i="3"/>
  <c r="J16" i="3"/>
  <c r="E25" i="6" s="1"/>
  <c r="J24" i="3"/>
  <c r="E33" i="6" s="1"/>
  <c r="J12" i="3"/>
  <c r="E21" i="6" s="1"/>
  <c r="K12" i="3"/>
  <c r="K24" i="3"/>
  <c r="B11" i="5"/>
  <c r="C7" i="1"/>
  <c r="E40" i="6"/>
  <c r="E16" i="6"/>
  <c r="F6" i="4"/>
  <c r="E6" i="4"/>
  <c r="E28" i="6"/>
  <c r="D16" i="6"/>
  <c r="D40" i="6"/>
  <c r="D28" i="6"/>
  <c r="E10" i="4"/>
  <c r="F10" i="4"/>
  <c r="D32" i="6"/>
  <c r="D44" i="6"/>
  <c r="D20" i="6"/>
  <c r="E44" i="6"/>
  <c r="F15" i="4"/>
  <c r="E15" i="4"/>
  <c r="E49" i="6"/>
  <c r="D25" i="6"/>
  <c r="D49" i="6"/>
  <c r="D37" i="6"/>
  <c r="D47" i="6"/>
  <c r="D35" i="6"/>
  <c r="D23" i="6"/>
  <c r="F13" i="4"/>
  <c r="E13" i="4"/>
  <c r="E47" i="6"/>
  <c r="E14" i="4"/>
  <c r="F14" i="4"/>
  <c r="D24" i="6"/>
  <c r="D48" i="6"/>
  <c r="D36" i="6"/>
  <c r="E48" i="6"/>
  <c r="E43" i="6"/>
  <c r="D43" i="6"/>
  <c r="D31" i="6"/>
  <c r="F9" i="4"/>
  <c r="E9" i="4"/>
  <c r="D19" i="6"/>
  <c r="D15" i="6"/>
  <c r="E5" i="4"/>
  <c r="F5" i="4"/>
  <c r="E39" i="6"/>
  <c r="D27" i="6"/>
  <c r="D39" i="6"/>
  <c r="D38" i="6"/>
  <c r="D26" i="6"/>
  <c r="D14" i="6"/>
  <c r="E26" i="6"/>
  <c r="E4" i="4"/>
  <c r="F4" i="4"/>
  <c r="B19" i="4"/>
  <c r="B20" i="4"/>
  <c r="B24" i="4" s="1"/>
  <c r="C11" i="1" s="1"/>
  <c r="E38" i="6"/>
  <c r="E42" i="6"/>
  <c r="D18" i="6"/>
  <c r="D42" i="6"/>
  <c r="D30" i="6"/>
  <c r="F8" i="4"/>
  <c r="E8" i="4"/>
  <c r="D34" i="6"/>
  <c r="D46" i="6"/>
  <c r="D22" i="6"/>
  <c r="E12" i="4"/>
  <c r="F12" i="4"/>
  <c r="E46" i="6"/>
  <c r="D45" i="6"/>
  <c r="D33" i="6"/>
  <c r="D21" i="6"/>
  <c r="E11" i="4"/>
  <c r="F11" i="4"/>
  <c r="E45" i="6"/>
  <c r="E41" i="6"/>
  <c r="D41" i="6"/>
  <c r="D29" i="6"/>
  <c r="F7" i="4"/>
  <c r="E7" i="4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  <c r="A17" i="1"/>
</calcChain>
</file>

<file path=xl/sharedStrings.xml><?xml version="1.0" encoding="utf-8"?>
<sst xmlns="http://schemas.openxmlformats.org/spreadsheetml/2006/main" count="472" uniqueCount="283">
  <si>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</si>
  <si>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</si>
  <si>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</si>
  <si>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</si>
  <si>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</si>
  <si>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</si>
  <si>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</si>
  <si>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</si>
  <si>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</si>
  <si>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</si>
  <si>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</si>
  <si>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</si>
  <si>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</si>
  <si>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</si>
  <si>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</si>
  <si>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</si>
  <si>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</si>
  <si>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</si>
  <si>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</si>
  <si>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</si>
  <si>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</si>
  <si>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</si>
  <si>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</si>
  <si>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</si>
  <si>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</si>
  <si>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</si>
  <si>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</si>
  <si>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</si>
  <si>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</si>
  <si>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</si>
  <si>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</si>
  <si>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</si>
  <si>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</si>
  <si>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</si>
  <si>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</si>
  <si>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</si>
  <si>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</si>
  <si>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</si>
  <si>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</si>
  <si>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</si>
  <si>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</si>
  <si>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</si>
  <si>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</si>
  <si>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</si>
  <si>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</si>
  <si>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</si>
  <si>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</si>
  <si>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</si>
  <si>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</si>
  <si>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</si>
  <si>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</si>
  <si>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</si>
  <si>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</si>
  <si>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</si>
  <si>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</si>
  <si>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</si>
  <si>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</si>
  <si>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</si>
  <si>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</si>
  <si>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</si>
  <si>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</si>
  <si>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</si>
  <si>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</si>
  <si>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</si>
  <si>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</si>
  <si>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</si>
  <si>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</si>
  <si>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</si>
  <si>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</si>
  <si>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</si>
  <si>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</si>
  <si>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</si>
  <si>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</si>
  <si>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</si>
  <si>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</si>
  <si>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</si>
  <si>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</si>
  <si>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</si>
  <si>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</si>
  <si>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</si>
  <si>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</si>
  <si>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</si>
  <si>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</si>
  <si>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</si>
  <si>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</si>
  <si>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</si>
  <si>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</si>
  <si>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</si>
  <si>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</si>
  <si>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</si>
  <si>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</si>
  <si>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</si>
  <si>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</si>
  <si>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</si>
  <si>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</si>
  <si>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</si>
  <si>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</si>
  <si>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</si>
  <si>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</si>
  <si>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</si>
  <si>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</si>
  <si>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</si>
  <si>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</si>
  <si>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</si>
  <si>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</si>
  <si>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</si>
  <si>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</si>
  <si>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</si>
  <si>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</si>
  <si>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</si>
  <si>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</si>
  <si>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</si>
  <si>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</si>
  <si>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</si>
  <si>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</si>
  <si>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</si>
  <si>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</si>
  <si>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</si>
  <si>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</si>
  <si>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</si>
  <si>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</si>
  <si>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</si>
  <si>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</si>
  <si>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</si>
  <si>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</si>
  <si>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</si>
  <si>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</si>
  <si>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</si>
  <si>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</si>
  <si>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</si>
  <si>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</si>
  <si>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</si>
  <si>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</si>
  <si>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</si>
  <si>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</si>
  <si>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</si>
  <si>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</si>
  <si>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</si>
  <si>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</si>
  <si>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</si>
  <si>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</si>
  <si>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</si>
  <si>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</si>
  <si>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</si>
  <si>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</si>
  <si>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</si>
  <si>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</si>
  <si>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</si>
  <si>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</si>
  <si>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</si>
  <si>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</si>
  <si>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</si>
  <si>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</si>
  <si>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</si>
  <si>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</si>
  <si>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</si>
  <si>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</si>
  <si>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</si>
  <si>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</si>
  <si>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</si>
  <si>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</si>
  <si>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</si>
  <si>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</si>
  <si>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</si>
  <si>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</si>
  <si>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</si>
  <si>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</si>
  <si>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</si>
  <si>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</si>
  <si>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</si>
  <si>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</si>
  <si>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</si>
  <si>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</si>
  <si>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</si>
  <si>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</si>
  <si>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</si>
  <si>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</si>
  <si>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</si>
  <si>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</si>
  <si>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</si>
  <si>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</si>
  <si>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</si>
  <si>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</si>
  <si>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uml</t>
  </si>
  <si>
    <t>GT: недостаточно данных для этой недели/месяца</t>
  </si>
  <si>
    <t>UML; BPMN</t>
  </si>
  <si>
    <t>2021-09—2026-09 (5 лет, неделя)</t>
  </si>
  <si>
    <t>JSON</t>
  </si>
  <si>
    <t>GT_2026-09-29_BY_5y_packet6_UML_BPMN_monthly.json</t>
  </si>
  <si>
    <t>PlantUML; Mermaid; diagram as code; text to diagram; UML diagram generator</t>
  </si>
  <si>
    <t>GT_2026-09-29_BY_5y_packet1_time.json</t>
  </si>
  <si>
    <t>draw.io; diagrams.net; Lucidchart; BPMN; ERD tool</t>
  </si>
  <si>
    <t>GT_2026-09-29_BY_5y_packet2_time.json</t>
  </si>
  <si>
    <t>Miro; diagramming tool; flowchart maker; Figma; Visual Paradigm</t>
  </si>
  <si>
    <t>GT_2026-09-29_BY_5y_packet5_time_monthly.json</t>
  </si>
  <si>
    <t>BPMN</t>
  </si>
  <si>
    <t>2025-09—2026-10 (12 мес.) + регионы + похожие</t>
  </si>
  <si>
    <t>GT_2026-09-29_BY_12m_BPMN_time_regions_related.json</t>
  </si>
  <si>
    <t>Регионы и похожие запросы BPMN</t>
  </si>
  <si>
    <t>PlantUML; Mermaid; ...</t>
  </si>
  <si>
    <t>весь мир</t>
  </si>
  <si>
    <t>GT_2026-09-29_world_5y_packet1_monthly.json</t>
  </si>
  <si>
    <t>Беларусь (id=149)</t>
  </si>
  <si>
    <t>2024-09—2026-08 (24 мес., по месяцам)</t>
  </si>
  <si>
    <t>wordstat_uml_dinamika_RB_2024-09_2026-08.json</t>
  </si>
  <si>
    <t>bpmn</t>
  </si>
  <si>
    <t>wordstat_bpmn_dinamika_RB_2024-09_2026-08.json</t>
  </si>
  <si>
    <t>uml; bpmn; plantuml; idef0; dfd; erd; сеть петри; mermaid</t>
  </si>
  <si>
    <t>Топы запросов, 25.08-23.09.2026</t>
  </si>
  <si>
    <t>скриншоты+таблица</t>
  </si>
  <si>
    <t>СВОДКА_реальных_данных_Wordstat.md</t>
  </si>
  <si>
    <t>Частотность за месяц; mermaid без уточнения = омоним (фильм)</t>
  </si>
  <si>
    <t>мир/СНГ (особенность интерфейса)</t>
  </si>
  <si>
    <t>25.08-23.09.2026</t>
  </si>
  <si>
    <t>-</t>
  </si>
  <si>
    <t>Регионы: Беларусь 513 запросов, индекс 127,61; Минск 372, индекс 194,99</t>
  </si>
  <si>
    <t>Similarweb</t>
  </si>
  <si>
    <t>plantuml.com</t>
  </si>
  <si>
    <t>последние 3 мес.</t>
  </si>
  <si>
    <t>веб</t>
  </si>
  <si>
    <t>507K visits, Россия 9,07% - подтверждено</t>
  </si>
  <si>
    <t>app.diagrams.net</t>
  </si>
  <si>
    <t>7,8M visits - подтверждено</t>
  </si>
  <si>
    <t>mermaidchart.com</t>
  </si>
  <si>
    <t>достигнут лимит бесплатных запросов; данные не получены</t>
  </si>
  <si>
    <t>Главный ряд, сопоставлен с Вордстатом. Месяцев с данными: UML — 47 из 61, BPMN — 37 из 61 (остальные — «недостаточно данных»). Сохранён помесячный свод; недельные значения не сохранены</t>
  </si>
  <si>
    <t>Пакет 1 ядра; почти нулевые данные; сохранены все 262 недели</t>
  </si>
  <si>
    <t>Пакет 2 ядра; сохранены только ненулевые недели (69 из 262), остальные недели = 0</t>
  </si>
  <si>
    <t>Пакет 5 (доп.), смежные визуальные инструменты; сохранён помесячный свод, недельные значения не сохранены</t>
  </si>
  <si>
    <t>Справочный мировой ряд Mermaid; сохранён помесячный свод. Пик мая–июня 2023 г. — омонимия (фильм «Русалочка»), вывод о росте категории «diagram as code» по ряду не делается</t>
  </si>
  <si>
    <t>Динамика по месяцам; данные сняты с авторизацией в Яндекс ID</t>
  </si>
  <si>
    <t>конструктор диаграмм онлайн; UML диаграмма онлайн; нотация BPMN; диаграмма классов UML; сервис для диаграмм</t>
  </si>
  <si>
    <t>GT_2026-09-29_BY_5y_packet3_time.json</t>
  </si>
  <si>
    <t>Пакет 3; сохранены только ненулевые недели (5 из 262), остальные недели = 0</t>
  </si>
  <si>
    <t>UML для курсовой; диаграмма вариантов использования; IDEF0; сеть Петри; DFD диаграмма</t>
  </si>
  <si>
    <t>GT_2026-09-29_BY_5y_packet4_time.json</t>
  </si>
  <si>
    <t>Пакет 4; сохранены только ненулевые недели (11 из 262), остальные недели = 0</t>
  </si>
  <si>
    <t>IDEF0</t>
  </si>
  <si>
    <t>GT_2026-09-29_BY_12m_IDEF0_time_regions_related.json</t>
  </si>
  <si>
    <t>3 недели с данными; регион с данными — только Минская область; похожих запросов нет</t>
  </si>
  <si>
    <t>UML</t>
  </si>
  <si>
    <t>GT_2026-09-30_BY_12m_UML_time_regions_related.json</t>
  </si>
  <si>
    <t>Регионы и похожие запросы UML; последняя неделя неполная</t>
  </si>
  <si>
    <t>12 мес.; регионы (субрегион и город)</t>
  </si>
  <si>
    <t>GT_2026-09-30_BY_12m_UML_BPMN_regions_recheck.json</t>
  </si>
  <si>
    <t>Контрольная повторная выгрузка: 6 областей, г. Минск отдельным субрегионом не выделяется; на уровне городов данных нет</t>
  </si>
  <si>
    <t>Вариант для сравнения: только Google Trends (колонка Вордстата на листе Ввод_данных очищена), сводный индекс G = GT. Исправлена поломка шаблона в Расчет!J5:K64: условие IFERROR(VLOOKUP(...),0)=0 заменено на N(IFERROR(VLOOKUP(...),0))=0 (при пустом сезонном индексе формулы давали #ЗНАЧ!)</t>
  </si>
  <si>
    <t>plantuml</t>
  </si>
  <si>
    <t>wordstat_plantuml_dinamika_RB_2024-09_2026-08.json</t>
  </si>
  <si>
    <t>Динамика по месяцам, API getGraph; расширенный ряд 2018-01—2026-08 — файл wordstat_plantuml_dinamika_RB_2018-01_2026-08.json</t>
  </si>
  <si>
    <t>idef0</t>
  </si>
  <si>
    <t>wordstat_idef0_dinamika_RB_2024-09_2026-08.json</t>
  </si>
  <si>
    <t>Динамика по месяцам, API getGraph; расширенный ряд 2018-01—2026-08 — файл wordstat_idef0_dinamika_RB_2018-01_2026-08.json</t>
  </si>
  <si>
    <t>dfd диаграмма</t>
  </si>
  <si>
    <t>wordstat_dfd-diagramma_dinamika_RB_2024-09_2026-08.json</t>
  </si>
  <si>
    <t>Динамика по месяцам, API getGraph; расширенный ряд 2018-01—2026-08 — файл wordstat_dfd-diagramma_dinamika_RB_2018-01_2026-08.json</t>
  </si>
  <si>
    <t>erd диаграмма</t>
  </si>
  <si>
    <t>wordstat_erd-diagramma_dinamika_RB_2024-09_2026-08.json</t>
  </si>
  <si>
    <t>Динамика по месяцам, API getGraph; расширенный ряд 2018-01—2026-08 — файл wordstat_erd-diagramma_dinamika_RB_2018-01_2026-08.json</t>
  </si>
  <si>
    <t>erd (без уточнения, омоним)</t>
  </si>
  <si>
    <t>wordstat_erd-bez-utochneniya_dinamika_RB_2024-09_2026-08.json</t>
  </si>
  <si>
    <t>Динамика по месяцам, API getGraph; расширенный ряд 2018-01—2026-08 — файл wordstat_erd-bez-utochneniya_dinamika_RB_2018-01_2026-08.json</t>
  </si>
  <si>
    <t>сеть петри</t>
  </si>
  <si>
    <t>wordstat_set-petri_dinamika_RB_2024-09_2026-08.json</t>
  </si>
  <si>
    <t>Динамика по месяцам, API getGraph; расширенный ряд 2018-01—2026-08 — файл wordstat_set-petri_dinamika_RB_2018-01_2026-08.json</t>
  </si>
  <si>
    <t>нейросеть схема</t>
  </si>
  <si>
    <t>wordstat_neyroset-shema_dinamika_RB_2024-09_2026-08.json</t>
  </si>
  <si>
    <t>Динамика по месяцам, API getGraph; расширенный ряд 2018-01—2026-08 — файл wordstat_neyroset-shema_dinamika_RB_2018-01_2026-08.json</t>
  </si>
  <si>
    <t>нейросеть диаграмма</t>
  </si>
  <si>
    <t>wordstat_neyroset-diagramma_dinamika_RB_2024-09_2026-08.json</t>
  </si>
  <si>
    <t>Динамика по месяцам, API getGraph; расширенный ряд 2018-01—2026-08 — файл wordstat_neyroset-diagramma_dinamika_RB_2018-01_2026-08.json</t>
  </si>
  <si>
    <t>uml; bpmn (по устройствам)</t>
  </si>
  <si>
    <t>wordstat_uml_bpmn_dinamika_po_ustroystvam_RB_2024-09_2026-08.json</t>
  </si>
  <si>
    <t>Десктопы, смартфоны и планшеты отдельно; сумма по устройствам равна общему ряду в каждом месяце. Расширенные ряды uml и bpmn — файлы ..._2018-01_2026-08.json</t>
  </si>
  <si>
    <t>uml; bpmn</t>
  </si>
  <si>
    <t>мир/СНГ (вкладка «Регионы»)</t>
  </si>
  <si>
    <t>29.08-29.09.2026</t>
  </si>
  <si>
    <t>wordstat_regiony_bpmn_uml_RB_okno_2026-08-29_09-29.json</t>
  </si>
  <si>
    <t>Регионы: bpmn — Беларусь 422, индекс 71,96; Минск и область 325, индекс 119,43; Минск 264, индекс 138,29. Предыдущее окно 25.08-23.09: файл ..._okno_2026-08-25_09-23.json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</si>
  <si>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</si>
  <si>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</si>
  <si>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</si>
  <si>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Из 5 коммерческих формулировок ядра запросов нет ни по одной; «uml купить» — 5; «bpmn курсы» — 17; «uml курс», «bpmn обучение» 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</si>
</sst>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55.2</c:v>
                </c:pt>
                <c:pt idx="1">
                  <c:v>28.75</c:v>
                </c:pt>
                <c:pt idx="2">
                  <c:v>44</c:v>
                </c:pt>
                <c:pt idx="3">
                  <c:v>28.4</c:v>
                </c:pt>
                <c:pt idx="4">
                  <c:v>10.75</c:v>
                </c:pt>
                <c:pt idx="5">
                  <c:v>15.75</c:v>
                </c:pt>
                <c:pt idx="6">
                  <c:v>24.2</c:v>
                </c:pt>
                <c:pt idx="7">
                  <c:v>0</c:v>
                </c:pt>
                <c:pt idx="8">
                  <c:v>34.25</c:v>
                </c:pt>
                <c:pt idx="9">
                  <c:v>14.6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23.5</c:v>
                </c:pt>
                <c:pt idx="14">
                  <c:v>15.4</c:v>
                </c:pt>
                <c:pt idx="15">
                  <c:v>56.5</c:v>
                </c:pt>
                <c:pt idx="16">
                  <c:v>0</c:v>
                </c:pt>
                <c:pt idx="17">
                  <c:v>23</c:v>
                </c:pt>
                <c:pt idx="18">
                  <c:v>9.8000000000000007</c:v>
                </c:pt>
                <c:pt idx="19">
                  <c:v>15.75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21.324999999999999</c:v>
                </c:pt>
                <c:pt idx="12">
                  <c:v>16.724999999999998</c:v>
                </c:pt>
                <c:pt idx="13">
                  <c:v>16.287500000000001</c:v>
                </c:pt>
                <c:pt idx="14">
                  <c:v>13.904166666666667</c:v>
                </c:pt>
                <c:pt idx="15">
                  <c:v>16.245833333333334</c:v>
                </c:pt>
                <c:pt idx="16">
                  <c:v>15.35</c:v>
                </c:pt>
                <c:pt idx="17">
                  <c:v>15.954166666666666</c:v>
                </c:pt>
                <c:pt idx="18">
                  <c:v>14.754166666666668</c:v>
                </c:pt>
                <c:pt idx="19">
                  <c:v>16.066666666666666</c:v>
                </c:pt>
                <c:pt idx="20">
                  <c:v>13.2125</c:v>
                </c:pt>
                <c:pt idx="21">
                  <c:v>11.995833333333335</c:v>
                </c:pt>
                <c:pt idx="22">
                  <c:v>11.995833333333335</c:v>
                </c:pt>
                <c:pt idx="23">
                  <c:v>11.995833333333335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</c:v>
                </c:pt>
                <c:pt idx="1">
                  <c:v>0.94902746898705048</c:v>
                </c:pt>
                <c:pt idx="2">
                  <c:v>0.43725668936266937</c:v>
                </c:pt>
                <c:pt idx="3">
                  <c:v>0.64532701510164625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0.94981386544605284</c:v>
                </c:pt>
                <c:pt idx="10">
                  <c:v>0.72912304924719962</c:v>
                </c:pt>
                <c:pt idx="11">
                  <c:v>2.2894519118553811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34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24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снижающийся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-0.43747557639703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декабрь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март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/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 t="str">
        <f>Деловые_циклы!B6</f>
        <v/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снижается; требуется осторожная проверка ниши, сегмента и каналов продвижения. Сезонность: выраженная сезонность; максимум интереса — декабрь, минимум — март. Текущая фаза спроса: 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45536</v>
      </c>
      <c r="B5" s="3" t="s">
        <v>183</v>
      </c>
      <c r="C5" s="7">
        <v>55.2</v>
      </c>
      <c r="D5" s="7"/>
      <c r="E5" s="3" t="s">
        <v>112</v>
      </c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>
        <v>45566</v>
      </c>
      <c r="B6" s="3" t="s">
        <v>183</v>
      </c>
      <c r="C6" s="7">
        <v>28.75</v>
      </c>
      <c r="D6" s="7"/>
      <c r="E6" s="3" t="s">
        <v>112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>
        <v>45597</v>
      </c>
      <c r="B7" s="3" t="s">
        <v>183</v>
      </c>
      <c r="C7" s="7">
        <v>44</v>
      </c>
      <c r="D7" s="7"/>
      <c r="E7" s="3" t="s">
        <v>112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>
        <v>45627</v>
      </c>
      <c r="B8" s="3" t="s">
        <v>183</v>
      </c>
      <c r="C8" s="7">
        <v>28.4</v>
      </c>
      <c r="D8" s="7"/>
      <c r="E8" s="3" t="s">
        <v>112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>
        <v>45658</v>
      </c>
      <c r="B9" s="3" t="s">
        <v>183</v>
      </c>
      <c r="C9" s="7">
        <v>10.75</v>
      </c>
      <c r="D9" s="7"/>
      <c r="E9" s="3" t="s">
        <v>112</v>
      </c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>
        <v>45689</v>
      </c>
      <c r="B10" s="3" t="s">
        <v>183</v>
      </c>
      <c r="C10" s="7">
        <v>15.75</v>
      </c>
      <c r="D10" s="7"/>
      <c r="E10" s="3" t="s">
        <v>112</v>
      </c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>
        <v>45717</v>
      </c>
      <c r="B11" s="3" t="s">
        <v>183</v>
      </c>
      <c r="C11" s="7">
        <v>24.2</v>
      </c>
      <c r="D11" s="7"/>
      <c r="E11" s="3" t="s">
        <v>112</v>
      </c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>
        <v>45748</v>
      </c>
      <c r="B12" s="3" t="s">
        <v>183</v>
      </c>
      <c r="C12" s="7">
        <v>0</v>
      </c>
      <c r="D12" s="7"/>
      <c r="E12" s="3" t="s">
        <v>112</v>
      </c>
      <c r="F12" s="3" t="s">
        <v>184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>
        <v>45778</v>
      </c>
      <c r="B13" s="3" t="s">
        <v>183</v>
      </c>
      <c r="C13" s="7">
        <v>34.25</v>
      </c>
      <c r="D13" s="7"/>
      <c r="E13" s="3" t="s">
        <v>112</v>
      </c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45809</v>
      </c>
      <c r="B14" s="3" t="s">
        <v>183</v>
      </c>
      <c r="C14" s="7">
        <v>14.6</v>
      </c>
      <c r="D14" s="7"/>
      <c r="E14" s="3" t="s">
        <v>112</v>
      </c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45839</v>
      </c>
      <c r="B15" s="3" t="s">
        <v>183</v>
      </c>
      <c r="C15" s="7">
        <v>0</v>
      </c>
      <c r="D15" s="7"/>
      <c r="E15" s="3" t="s">
        <v>112</v>
      </c>
      <c r="F15" s="3" t="s">
        <v>184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>
        <v>45870</v>
      </c>
      <c r="B16" s="3" t="s">
        <v>183</v>
      </c>
      <c r="C16" s="7">
        <v>0</v>
      </c>
      <c r="D16" s="7"/>
      <c r="E16" s="3" t="s">
        <v>112</v>
      </c>
      <c r="F16" s="3" t="s">
        <v>184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>
        <v>45901</v>
      </c>
      <c r="B17" s="3" t="s">
        <v>183</v>
      </c>
      <c r="C17" s="7">
        <v>0</v>
      </c>
      <c r="D17" s="7"/>
      <c r="E17" s="3" t="s">
        <v>112</v>
      </c>
      <c r="F17" s="3" t="s">
        <v>184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>
        <v>45931</v>
      </c>
      <c r="B18" s="3" t="s">
        <v>183</v>
      </c>
      <c r="C18" s="7">
        <v>23.5</v>
      </c>
      <c r="D18" s="7"/>
      <c r="E18" s="3" t="s">
        <v>112</v>
      </c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>
        <v>45962</v>
      </c>
      <c r="B19" s="3" t="s">
        <v>183</v>
      </c>
      <c r="C19" s="7">
        <v>15.4</v>
      </c>
      <c r="D19" s="7"/>
      <c r="E19" s="3" t="s">
        <v>112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>
        <v>45992</v>
      </c>
      <c r="B20" s="3" t="s">
        <v>183</v>
      </c>
      <c r="C20" s="7">
        <v>56.5</v>
      </c>
      <c r="D20" s="7"/>
      <c r="E20" s="3" t="s">
        <v>112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>
        <v>46023</v>
      </c>
      <c r="B21" s="3" t="s">
        <v>183</v>
      </c>
      <c r="C21" s="7">
        <v>0</v>
      </c>
      <c r="D21" s="7"/>
      <c r="E21" s="3" t="s">
        <v>112</v>
      </c>
      <c r="F21" s="3" t="s">
        <v>184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>
        <v>46054</v>
      </c>
      <c r="B22" s="3" t="s">
        <v>183</v>
      </c>
      <c r="C22" s="7">
        <v>23</v>
      </c>
      <c r="D22" s="7"/>
      <c r="E22" s="3" t="s">
        <v>112</v>
      </c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>
        <v>46082</v>
      </c>
      <c r="B23" s="3" t="s">
        <v>183</v>
      </c>
      <c r="C23" s="7">
        <v>9.8000000000000007</v>
      </c>
      <c r="D23" s="7"/>
      <c r="E23" s="3" t="s">
        <v>112</v>
      </c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0">
        <v>46113</v>
      </c>
      <c r="B24" s="3" t="s">
        <v>183</v>
      </c>
      <c r="C24" s="7">
        <v>15.75</v>
      </c>
      <c r="D24" s="7"/>
      <c r="E24" s="3" t="s">
        <v>112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0">
        <v>46143</v>
      </c>
      <c r="B25" s="3" t="s">
        <v>183</v>
      </c>
      <c r="C25" s="7">
        <v>0</v>
      </c>
      <c r="D25" s="7"/>
      <c r="E25" s="3" t="s">
        <v>112</v>
      </c>
      <c r="F25" s="3" t="s">
        <v>184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0">
        <v>46174</v>
      </c>
      <c r="B26" s="3" t="s">
        <v>183</v>
      </c>
      <c r="C26" s="7">
        <v>0</v>
      </c>
      <c r="D26" s="7"/>
      <c r="E26" s="3" t="s">
        <v>112</v>
      </c>
      <c r="F26" s="3" t="s">
        <v>184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0">
        <v>46204</v>
      </c>
      <c r="B27" s="3" t="s">
        <v>183</v>
      </c>
      <c r="C27" s="7">
        <v>0</v>
      </c>
      <c r="D27" s="7"/>
      <c r="E27" s="3" t="s">
        <v>112</v>
      </c>
      <c r="F27" s="3" t="s">
        <v>184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0">
        <v>46235</v>
      </c>
      <c r="B28" s="3" t="s">
        <v>183</v>
      </c>
      <c r="C28" s="7">
        <v>0</v>
      </c>
      <c r="D28" s="7"/>
      <c r="E28" s="3" t="s">
        <v>112</v>
      </c>
      <c r="F28" s="3" t="s">
        <v>184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/>
      <c r="B29" s="3"/>
      <c r="C29" s="7"/>
      <c r="D29" s="7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/>
      <c r="B30" s="3"/>
      <c r="C30" s="7"/>
      <c r="D30" s="7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3"/>
      <c r="C31" s="7"/>
      <c r="D31" s="7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/>
      <c r="B32" s="3"/>
      <c r="C32" s="7"/>
      <c r="D32" s="7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/>
      <c r="B33" s="3"/>
      <c r="C33" s="7"/>
      <c r="D33" s="7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/>
      <c r="B34" s="3"/>
      <c r="C34" s="7"/>
      <c r="D34" s="7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/>
      <c r="B35" s="3"/>
      <c r="C35" s="7"/>
      <c r="D35" s="7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/>
      <c r="B36" s="3"/>
      <c r="C36" s="7"/>
      <c r="D36" s="7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/>
      <c r="B37" s="3"/>
      <c r="C37" s="7"/>
      <c r="D37" s="7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/>
      <c r="B38" s="3"/>
      <c r="C38" s="7"/>
      <c r="D38" s="7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3"/>
      <c r="C39" s="7"/>
      <c r="D39" s="7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/>
      <c r="B40" s="3"/>
      <c r="C40" s="7"/>
      <c r="D40" s="7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34</v>
      </c>
      <c r="N4" s="2" t="s">
        <v>48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45536</v>
      </c>
      <c r="B5" s="3">
        <f t="shared" ref="B5:B36" si="0">IF(A5="","",MONTH(A5))</f>
        <v>9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5">
        <f>IF(Ввод_данных!C5="","",Ввод_данных!C5)</f>
        <v>55.2</v>
      </c>
      <c r="E5" s="5" t="str">
        <f>IF(Ввод_данных!D5="","",Ввод_данных!D5)</f>
        <v/>
      </c>
      <c r="F5" s="5" t="str">
        <f t="shared" ref="F5:F36" si="2">IF(E5="","",IF(MAX($E$5:$E$64)=0,"",E5/MAX($E$5:$E$64)*100))</f>
        <v/>
      </c>
      <c r="G5" s="5">
        <f>IF(COUNT(D5,F5)=0,"",IF(COUNT(D5,F5)=2,D5*Настройки!$B$4+F5*Настройки!$B$5,IF(D5&lt;&gt;"",D5,F5)))</f>
        <v>55.2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 t="str">
        <f>IF(OR(G5="",N(IFERROR(VLOOKUP(B5,Сезонность!$A$4:$D$15,4,FALSE),0))=0),"",G5/IFERROR(VLOOKUP(B5,Сезонность!$A$4:$D$15,4,FALSE),1))</f>
        <v/>
      </c>
      <c r="K5" s="5" t="str">
        <f>IF(OR(G5="",H5="",H5=0,N(IFERROR(VLOOKUP(B5,Сезонность!$A$4:$D$15,4,FALSE),0))=0),"",G5/(H5*IFERROR(VLOOKUP(B5,Сезонность!$A$4:$D$15,4,FALSE),1)))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45566</v>
      </c>
      <c r="B6" s="3">
        <f t="shared" si="0"/>
        <v>10</v>
      </c>
      <c r="C6" s="3" t="str">
        <f t="shared" si="1"/>
        <v>октябрь</v>
      </c>
      <c r="D6" s="5">
        <f>IF(Ввод_данных!C6="","",Ввод_данных!C6)</f>
        <v>28.75</v>
      </c>
      <c r="E6" s="5" t="str">
        <f>IF(Ввод_данных!D6="","",Ввод_данных!D6)</f>
        <v/>
      </c>
      <c r="F6" s="5" t="str">
        <f t="shared" si="2"/>
        <v/>
      </c>
      <c r="G6" s="5">
        <f>IF(COUNT(D6,F6)=0,"",IF(COUNT(D6,F6)=2,D6*Настройки!$B$4+F6*Настройки!$B$5,IF(D6&lt;&gt;"",D6,F6)))</f>
        <v>28.75</v>
      </c>
      <c r="H6" s="5" t="str">
        <f>IF(OR(G6="",COUNT($G$5:G6)&lt;12),"","")</f>
        <v/>
      </c>
      <c r="I6" s="5" t="str">
        <f t="shared" si="3"/>
        <v/>
      </c>
      <c r="J6" s="5">
        <f>IF(OR(G6="",N(IFERROR(VLOOKUP(B6,Сезонность!$A$4:$D$15,4,FALSE),0))=0),"",G6/IFERROR(VLOOKUP(B6,Сезонность!$A$4:$D$15,4,FALSE),1))</f>
        <v>30.269088550837683</v>
      </c>
      <c r="K6" s="5" t="str">
        <f>IF(OR(G6="",H6="",H6=0,N(IFERROR(VLOOKUP(B6,Сезонность!$A$4:$D$15,4,FALSE),0))=0),"",G6/(H6*IFERROR(VLOOKUP(B6,Сезонность!$A$4:$D$15,4,FALSE),1)))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45597</v>
      </c>
      <c r="B7" s="3">
        <f t="shared" si="0"/>
        <v>11</v>
      </c>
      <c r="C7" s="3" t="str">
        <f t="shared" si="1"/>
        <v>ноябрь</v>
      </c>
      <c r="D7" s="5">
        <f>IF(Ввод_данных!C7="","",Ввод_данных!C7)</f>
        <v>44</v>
      </c>
      <c r="E7" s="5" t="str">
        <f>IF(Ввод_данных!D7="","",Ввод_данных!D7)</f>
        <v/>
      </c>
      <c r="F7" s="5" t="str">
        <f t="shared" si="2"/>
        <v/>
      </c>
      <c r="G7" s="5">
        <f>IF(COUNT(D7,F7)=0,"",IF(COUNT(D7,F7)=2,D7*Настройки!$B$4+F7*Настройки!$B$5,IF(D7&lt;&gt;"",D7,F7)))</f>
        <v>44</v>
      </c>
      <c r="H7" s="5" t="str">
        <f>IF(OR(G7="",COUNT($G$5:G7)&lt;12),"","")</f>
        <v/>
      </c>
      <c r="I7" s="5" t="str">
        <f t="shared" si="3"/>
        <v/>
      </c>
      <c r="J7" s="5">
        <f>IF(OR(G7="",N(IFERROR(VLOOKUP(B7,Сезонность!$A$4:$D$15,4,FALSE),0))=0),"",G7/IFERROR(VLOOKUP(B7,Сезонность!$A$4:$D$15,4,FALSE),1))</f>
        <v>60.346466958394529</v>
      </c>
      <c r="K7" s="5" t="str">
        <f>IF(OR(G7="",H7="",H7=0,N(IFERROR(VLOOKUP(B7,Сезонность!$A$4:$D$15,4,FALSE),0))=0),"",G7/(H7*IFERROR(VLOOKUP(B7,Сезонность!$A$4:$D$15,4,FALSE),1)))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45627</v>
      </c>
      <c r="B8" s="3">
        <f t="shared" si="0"/>
        <v>12</v>
      </c>
      <c r="C8" s="3" t="str">
        <f t="shared" si="1"/>
        <v>декабрь</v>
      </c>
      <c r="D8" s="5">
        <f>IF(Ввод_данных!C8="","",Ввод_данных!C8)</f>
        <v>28.4</v>
      </c>
      <c r="E8" s="5" t="str">
        <f>IF(Ввод_данных!D8="","",Ввод_данных!D8)</f>
        <v/>
      </c>
      <c r="F8" s="5" t="str">
        <f t="shared" si="2"/>
        <v/>
      </c>
      <c r="G8" s="5">
        <f>IF(COUNT(D8,F8)=0,"",IF(COUNT(D8,F8)=2,D8*Настройки!$B$4+F8*Настройки!$B$5,IF(D8&lt;&gt;"",D8,F8)))</f>
        <v>28.4</v>
      </c>
      <c r="H8" s="5" t="str">
        <f>IF(OR(G8="",COUNT($G$5:G8)&lt;12),"","")</f>
        <v/>
      </c>
      <c r="I8" s="5" t="str">
        <f t="shared" si="3"/>
        <v/>
      </c>
      <c r="J8" s="5">
        <f>IF(OR(G8="",N(IFERROR(VLOOKUP(B8,Сезонность!$A$4:$D$15,4,FALSE),0))=0),"",G8/IFERROR(VLOOKUP(B8,Сезонность!$A$4:$D$15,4,FALSE),1))</f>
        <v>12.404715667071828</v>
      </c>
      <c r="K8" s="5" t="str">
        <f>IF(OR(G8="",H8="",H8=0,N(IFERROR(VLOOKUP(B8,Сезонность!$A$4:$D$15,4,FALSE),0))=0),"",G8/(H8*IFERROR(VLOOKUP(B8,Сезонность!$A$4:$D$15,4,FALSE),1)))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45658</v>
      </c>
      <c r="B9" s="3">
        <f t="shared" si="0"/>
        <v>1</v>
      </c>
      <c r="C9" s="3" t="str">
        <f t="shared" si="1"/>
        <v>январь</v>
      </c>
      <c r="D9" s="5">
        <f>IF(Ввод_данных!C9="","",Ввод_данных!C9)</f>
        <v>10.75</v>
      </c>
      <c r="E9" s="5" t="str">
        <f>IF(Ввод_данных!D9="","",Ввод_данных!D9)</f>
        <v/>
      </c>
      <c r="F9" s="5" t="str">
        <f t="shared" si="2"/>
        <v/>
      </c>
      <c r="G9" s="5">
        <f>IF(COUNT(D9,F9)=0,"",IF(COUNT(D9,F9)=2,D9*Настройки!$B$4+F9*Настройки!$B$5,IF(D9&lt;&gt;"",D9,F9)))</f>
        <v>10.75</v>
      </c>
      <c r="H9" s="5" t="str">
        <f>IF(OR(G9="",COUNT($G$5:G9)&lt;12),"","")</f>
        <v/>
      </c>
      <c r="I9" s="5" t="str">
        <f t="shared" si="3"/>
        <v/>
      </c>
      <c r="J9" s="5" t="str">
        <f>IF(OR(G9="",N(IFERROR(VLOOKUP(B9,Сезонность!$A$4:$D$15,4,FALSE),0))=0),"",G9/IFERROR(VLOOKUP(B9,Сезонность!$A$4:$D$15,4,FALSE),1))</f>
        <v/>
      </c>
      <c r="K9" s="5" t="str">
        <f>IF(OR(G9="",H9="",H9=0,N(IFERROR(VLOOKUP(B9,Сезонность!$A$4:$D$15,4,FALSE),0))=0),"",G9/(H9*IFERROR(VLOOKUP(B9,Сезонность!$A$4:$D$15,4,FALSE),1)))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45689</v>
      </c>
      <c r="B10" s="3">
        <f t="shared" si="0"/>
        <v>2</v>
      </c>
      <c r="C10" s="3" t="str">
        <f t="shared" si="1"/>
        <v>февраль</v>
      </c>
      <c r="D10" s="5">
        <f>IF(Ввод_данных!C10="","",Ввод_данных!C10)</f>
        <v>15.75</v>
      </c>
      <c r="E10" s="5" t="str">
        <f>IF(Ввод_данных!D10="","",Ввод_данных!D10)</f>
        <v/>
      </c>
      <c r="F10" s="5" t="str">
        <f t="shared" si="2"/>
        <v/>
      </c>
      <c r="G10" s="5">
        <f>IF(COUNT(D10,F10)=0,"",IF(COUNT(D10,F10)=2,D10*Настройки!$B$4+F10*Настройки!$B$5,IF(D10&lt;&gt;"",D10,F10)))</f>
        <v>15.75</v>
      </c>
      <c r="H10" s="5" t="str">
        <f>IF(OR(G10="",COUNT($G$5:G10)&lt;12),"","")</f>
        <v/>
      </c>
      <c r="I10" s="5" t="str">
        <f t="shared" si="3"/>
        <v/>
      </c>
      <c r="J10" s="5">
        <f>IF(OR(G10="",N(IFERROR(VLOOKUP(B10,Сезонность!$A$4:$D$15,4,FALSE),0))=0),"",G10/IFERROR(VLOOKUP(B10,Сезонность!$A$4:$D$15,4,FALSE),1))</f>
        <v>16.5959369087713</v>
      </c>
      <c r="K10" s="5" t="str">
        <f>IF(OR(G10="",H10="",H10=0,N(IFERROR(VLOOKUP(B10,Сезонность!$A$4:$D$15,4,FALSE),0))=0),"",G10/(H10*IFERROR(VLOOKUP(B10,Сезонность!$A$4:$D$15,4,FALSE),1)))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45717</v>
      </c>
      <c r="B11" s="3">
        <f t="shared" si="0"/>
        <v>3</v>
      </c>
      <c r="C11" s="3" t="str">
        <f t="shared" si="1"/>
        <v>март</v>
      </c>
      <c r="D11" s="5">
        <f>IF(Ввод_данных!C11="","",Ввод_данных!C11)</f>
        <v>24.2</v>
      </c>
      <c r="E11" s="5" t="str">
        <f>IF(Ввод_данных!D11="","",Ввод_данных!D11)</f>
        <v/>
      </c>
      <c r="F11" s="5" t="str">
        <f t="shared" si="2"/>
        <v/>
      </c>
      <c r="G11" s="5">
        <f>IF(COUNT(D11,F11)=0,"",IF(COUNT(D11,F11)=2,D11*Настройки!$B$4+F11*Настройки!$B$5,IF(D11&lt;&gt;"",D11,F11)))</f>
        <v>24.2</v>
      </c>
      <c r="H11" s="5" t="str">
        <f>IF(OR(G11="",COUNT($G$5:G11)&lt;12),"","")</f>
        <v/>
      </c>
      <c r="I11" s="5" t="str">
        <f t="shared" si="3"/>
        <v/>
      </c>
      <c r="J11" s="5">
        <f>IF(OR(G11="",N(IFERROR(VLOOKUP(B11,Сезонность!$A$4:$D$15,4,FALSE),0))=0),"",G11/IFERROR(VLOOKUP(B11,Сезонность!$A$4:$D$15,4,FALSE),1))</f>
        <v>55.34506524136453</v>
      </c>
      <c r="K11" s="5" t="str">
        <f>IF(OR(G11="",H11="",H11=0,N(IFERROR(VLOOKUP(B11,Сезонность!$A$4:$D$15,4,FALSE),0))=0),"",G11/(H11*IFERROR(VLOOKUP(B11,Сезонность!$A$4:$D$15,4,FALSE),1)))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45748</v>
      </c>
      <c r="B12" s="3">
        <f t="shared" si="0"/>
        <v>4</v>
      </c>
      <c r="C12" s="3" t="str">
        <f t="shared" si="1"/>
        <v>апрель</v>
      </c>
      <c r="D12" s="5">
        <f>IF(Ввод_данных!C12="","",Ввод_данных!C12)</f>
        <v>0</v>
      </c>
      <c r="E12" s="5" t="str">
        <f>IF(Ввод_данных!D12="","",Ввод_данных!D12)</f>
        <v/>
      </c>
      <c r="F12" s="5" t="str">
        <f t="shared" si="2"/>
        <v/>
      </c>
      <c r="G12" s="5">
        <f>IF(COUNT(D12,F12)=0,"",IF(COUNT(D12,F12)=2,D12*Настройки!$B$4+F12*Настройки!$B$5,IF(D12&lt;&gt;"",D12,F12)))</f>
        <v>0</v>
      </c>
      <c r="H12" s="5" t="str">
        <f>IF(OR(G12="",COUNT($G$5:G12)&lt;12),"","")</f>
        <v/>
      </c>
      <c r="I12" s="5" t="str">
        <f t="shared" si="3"/>
        <v/>
      </c>
      <c r="J12" s="5">
        <f>IF(OR(G12="",N(IFERROR(VLOOKUP(B12,Сезонность!$A$4:$D$15,4,FALSE),0))=0),"",G12/IFERROR(VLOOKUP(B12,Сезонность!$A$4:$D$15,4,FALSE),1))</f>
        <v>0</v>
      </c>
      <c r="K12" s="5" t="str">
        <f>IF(OR(G12="",H12="",H12=0,N(IFERROR(VLOOKUP(B12,Сезонность!$A$4:$D$15,4,FALSE),0))=0),"",G12/(H12*IFERROR(VLOOKUP(B12,Сезонность!$A$4:$D$15,4,FALSE),1)))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45778</v>
      </c>
      <c r="B13" s="3">
        <f t="shared" si="0"/>
        <v>5</v>
      </c>
      <c r="C13" s="3" t="str">
        <f t="shared" si="1"/>
        <v>май</v>
      </c>
      <c r="D13" s="5">
        <f>IF(Ввод_данных!C13="","",Ввод_данных!C13)</f>
        <v>34.25</v>
      </c>
      <c r="E13" s="5" t="str">
        <f>IF(Ввод_данных!D13="","",Ввод_данных!D13)</f>
        <v/>
      </c>
      <c r="F13" s="5" t="str">
        <f t="shared" si="2"/>
        <v/>
      </c>
      <c r="G13" s="5">
        <f>IF(COUNT(D13,F13)=0,"",IF(COUNT(D13,F13)=2,D13*Настройки!$B$4+F13*Настройки!$B$5,IF(D13&lt;&gt;"",D13,F13)))</f>
        <v>34.25</v>
      </c>
      <c r="H13" s="5" t="str">
        <f>IF(OR(G13="",COUNT($G$5:G13)&lt;12),"","")</f>
        <v/>
      </c>
      <c r="I13" s="5" t="str">
        <f t="shared" si="3"/>
        <v/>
      </c>
      <c r="J13" s="5" t="str">
        <f>IF(OR(G13="",N(IFERROR(VLOOKUP(B13,Сезонность!$A$4:$D$15,4,FALSE),0))=0),"",G13/IFERROR(VLOOKUP(B13,Сезонность!$A$4:$D$15,4,FALSE),1))</f>
        <v/>
      </c>
      <c r="K13" s="5" t="str">
        <f>IF(OR(G13="",H13="",H13=0,N(IFERROR(VLOOKUP(B13,Сезонность!$A$4:$D$15,4,FALSE),0))=0),"",G13/(H13*IFERROR(VLOOKUP(B13,Сезонность!$A$4:$D$15,4,FALSE),1)))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45809</v>
      </c>
      <c r="B14" s="3">
        <f t="shared" si="0"/>
        <v>6</v>
      </c>
      <c r="C14" s="3" t="str">
        <f t="shared" si="1"/>
        <v>июнь</v>
      </c>
      <c r="D14" s="5">
        <f>IF(Ввод_данных!C14="","",Ввод_данных!C14)</f>
        <v>14.6</v>
      </c>
      <c r="E14" s="5" t="str">
        <f>IF(Ввод_данных!D14="","",Ввод_данных!D14)</f>
        <v/>
      </c>
      <c r="F14" s="5" t="str">
        <f t="shared" si="2"/>
        <v/>
      </c>
      <c r="G14" s="5">
        <f>IF(COUNT(D14,F14)=0,"",IF(COUNT(D14,F14)=2,D14*Настройки!$B$4+F14*Настройки!$B$5,IF(D14&lt;&gt;"",D14,F14)))</f>
        <v>14.6</v>
      </c>
      <c r="H14" s="5" t="str">
        <f>IF(OR(G14="",COUNT($G$5:G14)&lt;12),"","")</f>
        <v/>
      </c>
      <c r="I14" s="5" t="str">
        <f t="shared" si="3"/>
        <v/>
      </c>
      <c r="J14" s="5" t="str">
        <f>IF(OR(G14="",N(IFERROR(VLOOKUP(B14,Сезонность!$A$4:$D$15,4,FALSE),0))=0),"",G14/IFERROR(VLOOKUP(B14,Сезонность!$A$4:$D$15,4,FALSE),1))</f>
        <v/>
      </c>
      <c r="K14" s="5" t="str">
        <f>IF(OR(G14="",H14="",H14=0,N(IFERROR(VLOOKUP(B14,Сезонность!$A$4:$D$15,4,FALSE),0))=0),"",G14/(H14*IFERROR(VLOOKUP(B14,Сезонность!$A$4:$D$15,4,FALSE),1)))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45839</v>
      </c>
      <c r="B15" s="3">
        <f t="shared" si="0"/>
        <v>7</v>
      </c>
      <c r="C15" s="3" t="str">
        <f t="shared" si="1"/>
        <v>июль</v>
      </c>
      <c r="D15" s="5">
        <f>IF(Ввод_данных!C15="","",Ввод_данных!C15)</f>
        <v>0</v>
      </c>
      <c r="E15" s="5" t="str">
        <f>IF(Ввод_данных!D15="","",Ввод_данных!D15)</f>
        <v/>
      </c>
      <c r="F15" s="5" t="str">
        <f t="shared" si="2"/>
        <v/>
      </c>
      <c r="G15" s="5">
        <f>IF(COUNT(D15,F15)=0,"",IF(COUNT(D15,F15)=2,D15*Настройки!$B$4+F15*Настройки!$B$5,IF(D15&lt;&gt;"",D15,F15)))</f>
        <v>0</v>
      </c>
      <c r="H15" s="5" t="str">
        <f>IF(OR(G15="",COUNT($G$5:G15)&lt;12),"","")</f>
        <v/>
      </c>
      <c r="I15" s="5" t="str">
        <f t="shared" si="3"/>
        <v/>
      </c>
      <c r="J15" s="5" t="str">
        <f>IF(OR(G15="",N(IFERROR(VLOOKUP(B15,Сезонность!$A$4:$D$15,4,FALSE),0))=0),"",G15/IFERROR(VLOOKUP(B15,Сезонность!$A$4:$D$15,4,FALSE),1))</f>
        <v/>
      </c>
      <c r="K15" s="5" t="str">
        <f>IF(OR(G15="",H15="",H15=0,N(IFERROR(VLOOKUP(B15,Сезонность!$A$4:$D$15,4,FALSE),0))=0),"",G15/(H15*IFERROR(VLOOKUP(B15,Сезонность!$A$4:$D$15,4,FALSE),1)))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45870</v>
      </c>
      <c r="B16" s="3">
        <f t="shared" si="0"/>
        <v>8</v>
      </c>
      <c r="C16" s="3" t="str">
        <f t="shared" si="1"/>
        <v>август</v>
      </c>
      <c r="D16" s="5">
        <f>IF(Ввод_данных!C16="","",Ввод_данных!C16)</f>
        <v>0</v>
      </c>
      <c r="E16" s="5" t="str">
        <f>IF(Ввод_данных!D16="","",Ввод_данных!D16)</f>
        <v/>
      </c>
      <c r="F16" s="5" t="str">
        <f t="shared" si="2"/>
        <v/>
      </c>
      <c r="G16" s="5">
        <f>IF(COUNT(D16,F16)=0,"",IF(COUNT(D16,F16)=2,D16*Настройки!$B$4+F16*Настройки!$B$5,IF(D16&lt;&gt;"",D16,F16)))</f>
        <v>0</v>
      </c>
      <c r="H16" s="5">
        <f>IF(OR(G16="",COUNT($G$5:G16)&lt;12),"",AVERAGE(G5:G16))</f>
        <v>21.324999999999999</v>
      </c>
      <c r="I16" s="5">
        <f t="shared" si="3"/>
        <v>0</v>
      </c>
      <c r="J16" s="5" t="str">
        <f>IF(OR(G16="",N(IFERROR(VLOOKUP(B16,Сезонность!$A$4:$D$15,4,FALSE),0))=0),"",G16/IFERROR(VLOOKUP(B16,Сезонность!$A$4:$D$15,4,FALSE),1))</f>
        <v/>
      </c>
      <c r="K16" s="5" t="str">
        <f>IF(OR(G16="",H16="",H16=0,N(IFERROR(VLOOKUP(B16,Сезонность!$A$4:$D$15,4,FALSE),0))=0),"",G16/(H16*IFERROR(VLOOKUP(B16,Сезонность!$A$4:$D$15,4,FALSE),1)))</f>
        <v/>
      </c>
      <c r="L16" s="3" t="str">
        <f>IF(K16="","",IF(K16&lt;Настройки!$B$11,"ниже тренда",IF(K16&gt;Настройки!$B$12,"выше тренда","норма")))</f>
        <v/>
      </c>
      <c r="M16" s="3" t="str">
        <f t="shared" si="4"/>
        <v/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45901</v>
      </c>
      <c r="B17" s="3">
        <f t="shared" si="0"/>
        <v>9</v>
      </c>
      <c r="C17" s="3" t="str">
        <f t="shared" si="1"/>
        <v>сентябрь</v>
      </c>
      <c r="D17" s="5">
        <f>IF(Ввод_данных!C17="","",Ввод_данных!C17)</f>
        <v>0</v>
      </c>
      <c r="E17" s="5" t="str">
        <f>IF(Ввод_данных!D17="","",Ввод_данных!D17)</f>
        <v/>
      </c>
      <c r="F17" s="5" t="str">
        <f t="shared" si="2"/>
        <v/>
      </c>
      <c r="G17" s="5">
        <f>IF(COUNT(D17,F17)=0,"",IF(COUNT(D17,F17)=2,D17*Настройки!$B$4+F17*Настройки!$B$5,IF(D17&lt;&gt;"",D17,F17)))</f>
        <v>0</v>
      </c>
      <c r="H17" s="5">
        <f>IF(OR(G17="",COUNT($G$5:G17)&lt;12),"",AVERAGE(G6:G17))</f>
        <v>16.724999999999998</v>
      </c>
      <c r="I17" s="5">
        <f t="shared" si="3"/>
        <v>0</v>
      </c>
      <c r="J17" s="5" t="str">
        <f>IF(OR(G17="",N(IFERROR(VLOOKUP(B17,Сезонность!$A$4:$D$15,4,FALSE),0))=0),"",G17/IFERROR(VLOOKUP(B17,Сезонность!$A$4:$D$15,4,FALSE),1))</f>
        <v/>
      </c>
      <c r="K17" s="5" t="str">
        <f>IF(OR(G17="",H17="",H17=0,N(IFERROR(VLOOKUP(B17,Сезонность!$A$4:$D$15,4,FALSE),0))=0),"",G17/(H17*IFERROR(VLOOKUP(B17,Сезонность!$A$4:$D$15,4,FALSE),1)))</f>
        <v/>
      </c>
      <c r="L17" s="3" t="str">
        <f>IF(K17="","",IF(K17&lt;Настройки!$B$11,"ниже тренда",IF(K17&gt;Настройки!$B$12,"выше тренда","норма")))</f>
        <v/>
      </c>
      <c r="M17" s="3" t="str">
        <f t="shared" si="4"/>
        <v/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45931</v>
      </c>
      <c r="B18" s="3">
        <f t="shared" si="0"/>
        <v>10</v>
      </c>
      <c r="C18" s="3" t="str">
        <f t="shared" si="1"/>
        <v>октябрь</v>
      </c>
      <c r="D18" s="5">
        <f>IF(Ввод_данных!C18="","",Ввод_данных!C18)</f>
        <v>23.5</v>
      </c>
      <c r="E18" s="5" t="str">
        <f>IF(Ввод_данных!D18="","",Ввод_данных!D18)</f>
        <v/>
      </c>
      <c r="F18" s="5" t="str">
        <f t="shared" si="2"/>
        <v/>
      </c>
      <c r="G18" s="5">
        <f>IF(COUNT(D18,F18)=0,"",IF(COUNT(D18,F18)=2,D18*Настройки!$B$4+F18*Настройки!$B$5,IF(D18&lt;&gt;"",D18,F18)))</f>
        <v>23.5</v>
      </c>
      <c r="H18" s="5">
        <f>IF(OR(G18="",COUNT($G$5:G18)&lt;12),"",AVERAGE(G7:G18))</f>
        <v>16.287500000000001</v>
      </c>
      <c r="I18" s="5">
        <f t="shared" si="3"/>
        <v>1.4428242517267842</v>
      </c>
      <c r="J18" s="5">
        <f>IF(OR(G18="",N(IFERROR(VLOOKUP(B18,Сезонность!$A$4:$D$15,4,FALSE),0))=0),"",G18/IFERROR(VLOOKUP(B18,Сезонность!$A$4:$D$15,4,FALSE),1))</f>
        <v>24.741689771989062</v>
      </c>
      <c r="K18" s="5">
        <f>IF(OR(G18="",H18="",H18=0,N(IFERROR(VLOOKUP(B18,Сезонность!$A$4:$D$15,4,FALSE),0))=0),"",G18/(H18*IFERROR(VLOOKUP(B18,Сезонность!$A$4:$D$15,4,FALSE),1)))</f>
        <v>1.5190600013500575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45962</v>
      </c>
      <c r="B19" s="3">
        <f t="shared" si="0"/>
        <v>11</v>
      </c>
      <c r="C19" s="3" t="str">
        <f t="shared" si="1"/>
        <v>ноябрь</v>
      </c>
      <c r="D19" s="5">
        <f>IF(Ввод_данных!C19="","",Ввод_данных!C19)</f>
        <v>15.4</v>
      </c>
      <c r="E19" s="5" t="str">
        <f>IF(Ввод_данных!D19="","",Ввод_данных!D19)</f>
        <v/>
      </c>
      <c r="F19" s="5" t="str">
        <f t="shared" si="2"/>
        <v/>
      </c>
      <c r="G19" s="5">
        <f>IF(COUNT(D19,F19)=0,"",IF(COUNT(D19,F19)=2,D19*Настройки!$B$4+F19*Настройки!$B$5,IF(D19&lt;&gt;"",D19,F19)))</f>
        <v>15.4</v>
      </c>
      <c r="H19" s="5">
        <f>IF(OR(G19="",COUNT($G$5:G19)&lt;12),"",AVERAGE(G8:G19))</f>
        <v>13.904166666666667</v>
      </c>
      <c r="I19" s="5">
        <f t="shared" si="3"/>
        <v>1.1075816601738089</v>
      </c>
      <c r="J19" s="5">
        <f>IF(OR(G19="",N(IFERROR(VLOOKUP(B19,Сезонность!$A$4:$D$15,4,FALSE),0))=0),"",G19/IFERROR(VLOOKUP(B19,Сезонность!$A$4:$D$15,4,FALSE),1))</f>
        <v>21.121263435438085</v>
      </c>
      <c r="K19" s="5">
        <f>IF(OR(G19="",H19="",H19=0,N(IFERROR(VLOOKUP(B19,Сезонность!$A$4:$D$15,4,FALSE),0))=0),"",G19/(H19*IFERROR(VLOOKUP(B19,Сезонность!$A$4:$D$15,4,FALSE),1)))</f>
        <v>1.5190600013500573</v>
      </c>
      <c r="L19" s="3" t="str">
        <f>IF(K19="","",IF(K19&lt;Настройки!$B$11,"ниже тренда",IF(K19&gt;Настройки!$B$12,"выше тренда","норма")))</f>
        <v>выше тренда</v>
      </c>
      <c r="M19" s="3" t="str">
        <f t="shared" si="4"/>
        <v>возможная фаза повышенного интереса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45992</v>
      </c>
      <c r="B20" s="3">
        <f t="shared" si="0"/>
        <v>12</v>
      </c>
      <c r="C20" s="3" t="str">
        <f t="shared" si="1"/>
        <v>декабрь</v>
      </c>
      <c r="D20" s="5">
        <f>IF(Ввод_данных!C20="","",Ввод_данных!C20)</f>
        <v>56.5</v>
      </c>
      <c r="E20" s="5" t="str">
        <f>IF(Ввод_данных!D20="","",Ввод_данных!D20)</f>
        <v/>
      </c>
      <c r="F20" s="5" t="str">
        <f t="shared" si="2"/>
        <v/>
      </c>
      <c r="G20" s="5">
        <f>IF(COUNT(D20,F20)=0,"",IF(COUNT(D20,F20)=2,D20*Настройки!$B$4+F20*Настройки!$B$5,IF(D20&lt;&gt;"",D20,F20)))</f>
        <v>56.5</v>
      </c>
      <c r="H20" s="5">
        <f>IF(OR(G20="",COUNT($G$5:G20)&lt;12),"",AVERAGE(G9:G20))</f>
        <v>16.245833333333334</v>
      </c>
      <c r="I20" s="5">
        <f t="shared" si="3"/>
        <v>3.4778148243139264</v>
      </c>
      <c r="J20" s="5">
        <f>IF(OR(G20="",N(IFERROR(VLOOKUP(B20,Сезонность!$A$4:$D$15,4,FALSE),0))=0),"",G20/IFERROR(VLOOKUP(B20,Сезонность!$A$4:$D$15,4,FALSE),1))</f>
        <v>24.67839560526614</v>
      </c>
      <c r="K20" s="5">
        <f>IF(OR(G20="",H20="",H20=0,N(IFERROR(VLOOKUP(B20,Сезонность!$A$4:$D$15,4,FALSE),0))=0),"",G20/(H20*IFERROR(VLOOKUP(B20,Сезонность!$A$4:$D$15,4,FALSE),1)))</f>
        <v>1.5190600013500575</v>
      </c>
      <c r="L20" s="3" t="str">
        <f>IF(K20="","",IF(K20&lt;Настройки!$B$11,"ниже тренда",IF(K20&gt;Настройки!$B$12,"выше тренда","норма")))</f>
        <v>выше тренда</v>
      </c>
      <c r="M20" s="3" t="str">
        <f t="shared" si="4"/>
        <v>возможная фаза повышенного интереса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46023</v>
      </c>
      <c r="B21" s="3">
        <f t="shared" si="0"/>
        <v>1</v>
      </c>
      <c r="C21" s="3" t="str">
        <f t="shared" si="1"/>
        <v>январь</v>
      </c>
      <c r="D21" s="5">
        <f>IF(Ввод_данных!C21="","",Ввод_данных!C21)</f>
        <v>0</v>
      </c>
      <c r="E21" s="5" t="str">
        <f>IF(Ввод_данных!D21="","",Ввод_данных!D21)</f>
        <v/>
      </c>
      <c r="F21" s="5" t="str">
        <f t="shared" si="2"/>
        <v/>
      </c>
      <c r="G21" s="5">
        <f>IF(COUNT(D21,F21)=0,"",IF(COUNT(D21,F21)=2,D21*Настройки!$B$4+F21*Настройки!$B$5,IF(D21&lt;&gt;"",D21,F21)))</f>
        <v>0</v>
      </c>
      <c r="H21" s="5">
        <f>IF(OR(G21="",COUNT($G$5:G21)&lt;12),"",AVERAGE(G10:G21))</f>
        <v>15.35</v>
      </c>
      <c r="I21" s="5">
        <f t="shared" si="3"/>
        <v>0</v>
      </c>
      <c r="J21" s="5" t="str">
        <f>IF(OR(G21="",N(IFERROR(VLOOKUP(B21,Сезонность!$A$4:$D$15,4,FALSE),0))=0),"",G21/IFERROR(VLOOKUP(B21,Сезонность!$A$4:$D$15,4,FALSE),1))</f>
        <v/>
      </c>
      <c r="K21" s="5" t="str">
        <f>IF(OR(G21="",H21="",H21=0,N(IFERROR(VLOOKUP(B21,Сезонность!$A$4:$D$15,4,FALSE),0))=0),"",G21/(H21*IFERROR(VLOOKUP(B21,Сезонность!$A$4:$D$15,4,FALSE),1)))</f>
        <v/>
      </c>
      <c r="L21" s="3" t="str">
        <f>IF(K21="","",IF(K21&lt;Настройки!$B$11,"ниже тренда",IF(K21&gt;Настройки!$B$12,"выше тренда","норма")))</f>
        <v/>
      </c>
      <c r="M21" s="3" t="str">
        <f t="shared" si="4"/>
        <v/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46054</v>
      </c>
      <c r="B22" s="3">
        <f t="shared" si="0"/>
        <v>2</v>
      </c>
      <c r="C22" s="3" t="str">
        <f t="shared" si="1"/>
        <v>февраль</v>
      </c>
      <c r="D22" s="5">
        <f>IF(Ввод_данных!C22="","",Ввод_данных!C22)</f>
        <v>23</v>
      </c>
      <c r="E22" s="5" t="str">
        <f>IF(Ввод_данных!D22="","",Ввод_данных!D22)</f>
        <v/>
      </c>
      <c r="F22" s="5" t="str">
        <f t="shared" si="2"/>
        <v/>
      </c>
      <c r="G22" s="5">
        <f>IF(COUNT(D22,F22)=0,"",IF(COUNT(D22,F22)=2,D22*Настройки!$B$4+F22*Настройки!$B$5,IF(D22&lt;&gt;"",D22,F22)))</f>
        <v>23</v>
      </c>
      <c r="H22" s="5">
        <f>IF(OR(G22="",COUNT($G$5:G22)&lt;12),"",AVERAGE(G11:G22))</f>
        <v>15.954166666666666</v>
      </c>
      <c r="I22" s="5">
        <f t="shared" si="3"/>
        <v>1.4416296683207104</v>
      </c>
      <c r="J22" s="5">
        <f>IF(OR(G22="",N(IFERROR(VLOOKUP(B22,Сезонность!$A$4:$D$15,4,FALSE),0))=0),"",G22/IFERROR(VLOOKUP(B22,Сезонность!$A$4:$D$15,4,FALSE),1))</f>
        <v>24.235336438205707</v>
      </c>
      <c r="K22" s="5">
        <f>IF(OR(G22="",H22="",H22=0,N(IFERROR(VLOOKUP(B22,Сезонность!$A$4:$D$15,4,FALSE),0))=0),"",G22/(H22*IFERROR(VLOOKUP(B22,Сезонность!$A$4:$D$15,4,FALSE),1)))</f>
        <v>1.5190600013500573</v>
      </c>
      <c r="L22" s="3" t="str">
        <f>IF(K22="","",IF(K22&lt;Настройки!$B$11,"ниже тренда",IF(K22&gt;Настройки!$B$12,"выше тренда","норма")))</f>
        <v>выше тренда</v>
      </c>
      <c r="M22" s="3" t="str">
        <f t="shared" si="4"/>
        <v>возможная фаза повышенного интереса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46082</v>
      </c>
      <c r="B23" s="3">
        <f t="shared" si="0"/>
        <v>3</v>
      </c>
      <c r="C23" s="3" t="str">
        <f t="shared" si="1"/>
        <v>март</v>
      </c>
      <c r="D23" s="5">
        <f>IF(Ввод_данных!C23="","",Ввод_данных!C23)</f>
        <v>9.8000000000000007</v>
      </c>
      <c r="E23" s="5" t="str">
        <f>IF(Ввод_данных!D23="","",Ввод_данных!D23)</f>
        <v/>
      </c>
      <c r="F23" s="5" t="str">
        <f t="shared" si="2"/>
        <v/>
      </c>
      <c r="G23" s="5">
        <f>IF(COUNT(D23,F23)=0,"",IF(COUNT(D23,F23)=2,D23*Настройки!$B$4+F23*Настройки!$B$5,IF(D23&lt;&gt;"",D23,F23)))</f>
        <v>9.8000000000000007</v>
      </c>
      <c r="H23" s="5">
        <f>IF(OR(G23="",COUNT($G$5:G23)&lt;12),"",AVERAGE(G12:G23))</f>
        <v>14.754166666666668</v>
      </c>
      <c r="I23" s="5">
        <f t="shared" si="3"/>
        <v>0.6642191471335781</v>
      </c>
      <c r="J23" s="5">
        <f>IF(OR(G23="",N(IFERROR(VLOOKUP(B23,Сезонность!$A$4:$D$15,4,FALSE),0))=0),"",G23/IFERROR(VLOOKUP(B23,Сезонность!$A$4:$D$15,4,FALSE),1))</f>
        <v>22.412464436585637</v>
      </c>
      <c r="K23" s="5">
        <f>IF(OR(G23="",H23="",H23=0,N(IFERROR(VLOOKUP(B23,Сезонность!$A$4:$D$15,4,FALSE),0))=0),"",G23/(H23*IFERROR(VLOOKUP(B23,Сезонность!$A$4:$D$15,4,FALSE),1)))</f>
        <v>1.5190600013500573</v>
      </c>
      <c r="L23" s="3" t="str">
        <f>IF(K23="","",IF(K23&lt;Настройки!$B$11,"ниже тренда",IF(K23&gt;Настройки!$B$12,"выше тренда","норма")))</f>
        <v>выше тренда</v>
      </c>
      <c r="M23" s="3" t="str">
        <f t="shared" si="4"/>
        <v>возможная фаза повышенного интереса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46113</v>
      </c>
      <c r="B24" s="3">
        <f t="shared" si="0"/>
        <v>4</v>
      </c>
      <c r="C24" s="3" t="str">
        <f t="shared" si="1"/>
        <v>апрель</v>
      </c>
      <c r="D24" s="5">
        <f>IF(Ввод_данных!C24="","",Ввод_данных!C24)</f>
        <v>15.75</v>
      </c>
      <c r="E24" s="5" t="str">
        <f>IF(Ввод_данных!D24="","",Ввод_данных!D24)</f>
        <v/>
      </c>
      <c r="F24" s="5" t="str">
        <f t="shared" si="2"/>
        <v/>
      </c>
      <c r="G24" s="5">
        <f>IF(COUNT(D24,F24)=0,"",IF(COUNT(D24,F24)=2,D24*Настройки!$B$4+F24*Настройки!$B$5,IF(D24&lt;&gt;"",D24,F24)))</f>
        <v>15.75</v>
      </c>
      <c r="H24" s="5">
        <f>IF(OR(G24="",COUNT($G$5:G24)&lt;12),"",AVERAGE(G13:G24))</f>
        <v>16.066666666666666</v>
      </c>
      <c r="I24" s="5">
        <f t="shared" si="3"/>
        <v>0.98029045643153523</v>
      </c>
      <c r="J24" s="5">
        <f>IF(OR(G24="",N(IFERROR(VLOOKUP(B24,Сезонность!$A$4:$D$15,4,FALSE),0))=0),"",G24/IFERROR(VLOOKUP(B24,Сезонность!$A$4:$D$15,4,FALSE),1))</f>
        <v>24.406230688357589</v>
      </c>
      <c r="K24" s="5">
        <f>IF(OR(G24="",H24="",H24=0,N(IFERROR(VLOOKUP(B24,Сезонность!$A$4:$D$15,4,FALSE),0))=0),"",G24/(H24*IFERROR(VLOOKUP(B24,Сезонность!$A$4:$D$15,4,FALSE),1)))</f>
        <v>1.5190600013500573</v>
      </c>
      <c r="L24" s="3" t="str">
        <f>IF(K24="","",IF(K24&lt;Настройки!$B$11,"ниже тренда",IF(K24&gt;Настройки!$B$12,"выше тренда","норма")))</f>
        <v>выше тренда</v>
      </c>
      <c r="M24" s="3" t="str">
        <f t="shared" si="4"/>
        <v>возможная фаза повышенного интереса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46143</v>
      </c>
      <c r="B25" s="3">
        <f t="shared" si="0"/>
        <v>5</v>
      </c>
      <c r="C25" s="3" t="str">
        <f t="shared" si="1"/>
        <v>май</v>
      </c>
      <c r="D25" s="5">
        <f>IF(Ввод_данных!C25="","",Ввод_данных!C25)</f>
        <v>0</v>
      </c>
      <c r="E25" s="5" t="str">
        <f>IF(Ввод_данных!D25="","",Ввод_данных!D25)</f>
        <v/>
      </c>
      <c r="F25" s="5" t="str">
        <f t="shared" si="2"/>
        <v/>
      </c>
      <c r="G25" s="5">
        <f>IF(COUNT(D25,F25)=0,"",IF(COUNT(D25,F25)=2,D25*Настройки!$B$4+F25*Настройки!$B$5,IF(D25&lt;&gt;"",D25,F25)))</f>
        <v>0</v>
      </c>
      <c r="H25" s="5">
        <f>IF(OR(G25="",COUNT($G$5:G25)&lt;12),"",AVERAGE(G14:G25))</f>
        <v>13.2125</v>
      </c>
      <c r="I25" s="5">
        <f t="shared" si="3"/>
        <v>0</v>
      </c>
      <c r="J25" s="5" t="str">
        <f>IF(OR(G25="",N(IFERROR(VLOOKUP(B25,Сезонность!$A$4:$D$15,4,FALSE),0))=0),"",G25/IFERROR(VLOOKUP(B25,Сезонность!$A$4:$D$15,4,FALSE),1))</f>
        <v/>
      </c>
      <c r="K25" s="5" t="str">
        <f>IF(OR(G25="",H25="",H25=0,N(IFERROR(VLOOKUP(B25,Сезонность!$A$4:$D$15,4,FALSE),0))=0),"",G25/(H25*IFERROR(VLOOKUP(B25,Сезонность!$A$4:$D$15,4,FALSE),1)))</f>
        <v/>
      </c>
      <c r="L25" s="3" t="str">
        <f>IF(K25="","",IF(K25&lt;Настройки!$B$11,"ниже тренда",IF(K25&gt;Настройки!$B$12,"выше тренда","норма")))</f>
        <v/>
      </c>
      <c r="M25" s="3" t="str">
        <f t="shared" si="4"/>
        <v/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46174</v>
      </c>
      <c r="B26" s="3">
        <f t="shared" si="0"/>
        <v>6</v>
      </c>
      <c r="C26" s="3" t="str">
        <f t="shared" si="1"/>
        <v>июнь</v>
      </c>
      <c r="D26" s="5">
        <f>IF(Ввод_данных!C26="","",Ввод_данных!C26)</f>
        <v>0</v>
      </c>
      <c r="E26" s="5" t="str">
        <f>IF(Ввод_данных!D26="","",Ввод_данных!D26)</f>
        <v/>
      </c>
      <c r="F26" s="5" t="str">
        <f t="shared" si="2"/>
        <v/>
      </c>
      <c r="G26" s="5">
        <f>IF(COUNT(D26,F26)=0,"",IF(COUNT(D26,F26)=2,D26*Настройки!$B$4+F26*Настройки!$B$5,IF(D26&lt;&gt;"",D26,F26)))</f>
        <v>0</v>
      </c>
      <c r="H26" s="5">
        <f>IF(OR(G26="",COUNT($G$5:G26)&lt;12),"",AVERAGE(G15:G26))</f>
        <v>11.995833333333335</v>
      </c>
      <c r="I26" s="5">
        <f t="shared" si="3"/>
        <v>0</v>
      </c>
      <c r="J26" s="5" t="str">
        <f>IF(OR(G26="",N(IFERROR(VLOOKUP(B26,Сезонность!$A$4:$D$15,4,FALSE),0))=0),"",G26/IFERROR(VLOOKUP(B26,Сезонность!$A$4:$D$15,4,FALSE),1))</f>
        <v/>
      </c>
      <c r="K26" s="5" t="str">
        <f>IF(OR(G26="",H26="",H26=0,N(IFERROR(VLOOKUP(B26,Сезонность!$A$4:$D$15,4,FALSE),0))=0),"",G26/(H26*IFERROR(VLOOKUP(B26,Сезонность!$A$4:$D$15,4,FALSE),1)))</f>
        <v/>
      </c>
      <c r="L26" s="3" t="str">
        <f>IF(K26="","",IF(K26&lt;Настройки!$B$11,"ниже тренда",IF(K26&gt;Настройки!$B$12,"выше тренда","норма")))</f>
        <v/>
      </c>
      <c r="M26" s="3" t="str">
        <f t="shared" si="4"/>
        <v/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46204</v>
      </c>
      <c r="B27" s="3">
        <f t="shared" si="0"/>
        <v>7</v>
      </c>
      <c r="C27" s="3" t="str">
        <f t="shared" si="1"/>
        <v>июль</v>
      </c>
      <c r="D27" s="5">
        <f>IF(Ввод_данных!C27="","",Ввод_данных!C27)</f>
        <v>0</v>
      </c>
      <c r="E27" s="5" t="str">
        <f>IF(Ввод_данных!D27="","",Ввод_данных!D27)</f>
        <v/>
      </c>
      <c r="F27" s="5" t="str">
        <f t="shared" si="2"/>
        <v/>
      </c>
      <c r="G27" s="5">
        <f>IF(COUNT(D27,F27)=0,"",IF(COUNT(D27,F27)=2,D27*Настройки!$B$4+F27*Настройки!$B$5,IF(D27&lt;&gt;"",D27,F27)))</f>
        <v>0</v>
      </c>
      <c r="H27" s="5">
        <f>IF(OR(G27="",COUNT($G$5:G27)&lt;12),"",AVERAGE(G16:G27))</f>
        <v>11.995833333333335</v>
      </c>
      <c r="I27" s="5">
        <f t="shared" si="3"/>
        <v>0</v>
      </c>
      <c r="J27" s="5" t="str">
        <f>IF(OR(G27="",N(IFERROR(VLOOKUP(B27,Сезонность!$A$4:$D$15,4,FALSE),0))=0),"",G27/IFERROR(VLOOKUP(B27,Сезонность!$A$4:$D$15,4,FALSE),1))</f>
        <v/>
      </c>
      <c r="K27" s="5" t="str">
        <f>IF(OR(G27="",H27="",H27=0,N(IFERROR(VLOOKUP(B27,Сезонность!$A$4:$D$15,4,FALSE),0))=0),"",G27/(H27*IFERROR(VLOOKUP(B27,Сезонность!$A$4:$D$15,4,FALSE),1)))</f>
        <v/>
      </c>
      <c r="L27" s="3" t="str">
        <f>IF(K27="","",IF(K27&lt;Настройки!$B$11,"ниже тренда",IF(K27&gt;Настройки!$B$12,"выше тренда","норма")))</f>
        <v/>
      </c>
      <c r="M27" s="3" t="str">
        <f t="shared" si="4"/>
        <v/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46235</v>
      </c>
      <c r="B28" s="3">
        <f t="shared" si="0"/>
        <v>8</v>
      </c>
      <c r="C28" s="3" t="str">
        <f t="shared" si="1"/>
        <v>август</v>
      </c>
      <c r="D28" s="5">
        <f>IF(Ввод_данных!C28="","",Ввод_данных!C28)</f>
        <v>0</v>
      </c>
      <c r="E28" s="5" t="str">
        <f>IF(Ввод_данных!D28="","",Ввод_данных!D28)</f>
        <v/>
      </c>
      <c r="F28" s="5" t="str">
        <f t="shared" si="2"/>
        <v/>
      </c>
      <c r="G28" s="5">
        <f>IF(COUNT(D28,F28)=0,"",IF(COUNT(D28,F28)=2,D28*Настройки!$B$4+F28*Настройки!$B$5,IF(D28&lt;&gt;"",D28,F28)))</f>
        <v>0</v>
      </c>
      <c r="H28" s="5">
        <f>IF(OR(G28="",COUNT($G$5:G28)&lt;12),"",AVERAGE(G17:G28))</f>
        <v>11.995833333333335</v>
      </c>
      <c r="I28" s="5">
        <f t="shared" si="3"/>
        <v>0</v>
      </c>
      <c r="J28" s="5" t="str">
        <f>IF(OR(G28="",N(IFERROR(VLOOKUP(B28,Сезонность!$A$4:$D$15,4,FALSE),0))=0),"",G28/IFERROR(VLOOKUP(B28,Сезонность!$A$4:$D$15,4,FALSE),1))</f>
        <v/>
      </c>
      <c r="K28" s="5" t="str">
        <f>IF(OR(G28="",H28="",H28=0,N(IFERROR(VLOOKUP(B28,Сезонность!$A$4:$D$15,4,FALSE),0))=0),"",G28/(H28*IFERROR(VLOOKUP(B28,Сезонность!$A$4:$D$15,4,FALSE),1)))</f>
        <v/>
      </c>
      <c r="L28" s="3" t="str">
        <f>IF(K28="","",IF(K28&lt;Настройки!$B$11,"ниже тренда",IF(K28&gt;Настройки!$B$12,"выше тренда","норма")))</f>
        <v/>
      </c>
      <c r="M28" s="3" t="str">
        <f t="shared" si="4"/>
        <v/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 t="str">
        <f>IF(Ввод_данных!A29="","",Ввод_данных!A29)</f>
        <v/>
      </c>
      <c r="B29" s="3" t="str">
        <f t="shared" si="0"/>
        <v/>
      </c>
      <c r="C29" s="3" t="str">
        <f t="shared" si="1"/>
        <v/>
      </c>
      <c r="D29" s="5" t="str">
        <f>IF(Ввод_данных!C29="","",Ввод_данных!C29)</f>
        <v/>
      </c>
      <c r="E29" s="5" t="str">
        <f>IF(Ввод_данных!D29="","",Ввод_данных!D29)</f>
        <v/>
      </c>
      <c r="F29" s="5" t="str">
        <f t="shared" si="2"/>
        <v/>
      </c>
      <c r="G29" s="5" t="str">
        <f>IF(COUNT(D29,F29)=0,"",IF(COUNT(D29,F29)=2,D29*Настройки!$B$4+F29*Настройки!$B$5,IF(D29&lt;&gt;"",D29,F29)))</f>
        <v/>
      </c>
      <c r="H29" s="5" t="str">
        <f>IF(OR(G29="",COUNT($G$5:G29)&lt;12),"",AVERAGE(G18:G29))</f>
        <v/>
      </c>
      <c r="I29" s="5" t="str">
        <f t="shared" si="3"/>
        <v/>
      </c>
      <c r="J29" s="5" t="str">
        <f>IF(OR(G29="",N(IFERROR(VLOOKUP(B29,Сезонность!$A$4:$D$15,4,FALSE),0))=0),"",G29/IFERROR(VLOOKUP(B29,Сезонность!$A$4:$D$15,4,FALSE),1))</f>
        <v/>
      </c>
      <c r="K29" s="5" t="str">
        <f>IF(OR(G29="",H29="",H29=0,N(IFERROR(VLOOKUP(B29,Сезонность!$A$4:$D$15,4,FALSE),0))=0),"",G29/(H29*IFERROR(VLOOKUP(B29,Сезонность!$A$4:$D$15,4,FALSE),1)))</f>
        <v/>
      </c>
      <c r="L29" s="3" t="str">
        <f>IF(K29="","",IF(K29&lt;Настройки!$B$11,"ниже тренда",IF(K29&gt;Настройки!$B$12,"выше тренда","норма")))</f>
        <v/>
      </c>
      <c r="M29" s="3" t="str">
        <f t="shared" si="4"/>
        <v/>
      </c>
      <c r="N29" s="7" t="str">
        <f>IF(G29="","",COUNT($G$5:G29))</f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 t="str">
        <f>IF(Ввод_данных!A30="","",Ввод_данных!A30)</f>
        <v/>
      </c>
      <c r="B30" s="3" t="str">
        <f t="shared" si="0"/>
        <v/>
      </c>
      <c r="C30" s="3" t="str">
        <f t="shared" si="1"/>
        <v/>
      </c>
      <c r="D30" s="5" t="str">
        <f>IF(Ввод_данных!C30="","",Ввод_данных!C30)</f>
        <v/>
      </c>
      <c r="E30" s="5" t="str">
        <f>IF(Ввод_данных!D30="","",Ввод_данных!D30)</f>
        <v/>
      </c>
      <c r="F30" s="5" t="str">
        <f t="shared" si="2"/>
        <v/>
      </c>
      <c r="G30" s="5" t="str">
        <f>IF(COUNT(D30,F30)=0,"",IF(COUNT(D30,F30)=2,D30*Настройки!$B$4+F30*Настройки!$B$5,IF(D30&lt;&gt;"",D30,F30)))</f>
        <v/>
      </c>
      <c r="H30" s="5" t="str">
        <f>IF(OR(G30="",COUNT($G$5:G30)&lt;12),"",AVERAGE(G19:G30))</f>
        <v/>
      </c>
      <c r="I30" s="5" t="str">
        <f t="shared" si="3"/>
        <v/>
      </c>
      <c r="J30" s="5" t="str">
        <f>IF(OR(G30="",N(IFERROR(VLOOKUP(B30,Сезонность!$A$4:$D$15,4,FALSE),0))=0),"",G30/IFERROR(VLOOKUP(B30,Сезонность!$A$4:$D$15,4,FALSE),1))</f>
        <v/>
      </c>
      <c r="K30" s="5" t="str">
        <f>IF(OR(G30="",H30="",H30=0,N(IFERROR(VLOOKUP(B30,Сезонность!$A$4:$D$15,4,FALSE),0))=0),"",G30/(H30*IFERROR(VLOOKUP(B30,Сезонность!$A$4:$D$15,4,FALSE),1)))</f>
        <v/>
      </c>
      <c r="L30" s="3" t="str">
        <f>IF(K30="","",IF(K30&lt;Настройки!$B$11,"ниже тренда",IF(K30&gt;Настройки!$B$12,"выше тренда","норма")))</f>
        <v/>
      </c>
      <c r="M30" s="3" t="str">
        <f t="shared" si="4"/>
        <v/>
      </c>
      <c r="N30" s="7" t="str">
        <f>IF(G30="","",COUNT($G$5:G30))</f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 t="str">
        <f>IF(Ввод_данных!A31="","",Ввод_данных!A31)</f>
        <v/>
      </c>
      <c r="B31" s="3" t="str">
        <f t="shared" si="0"/>
        <v/>
      </c>
      <c r="C31" s="3" t="str">
        <f t="shared" si="1"/>
        <v/>
      </c>
      <c r="D31" s="5" t="str">
        <f>IF(Ввод_данных!C31="","",Ввод_данных!C31)</f>
        <v/>
      </c>
      <c r="E31" s="5" t="str">
        <f>IF(Ввод_данных!D31="","",Ввод_данных!D31)</f>
        <v/>
      </c>
      <c r="F31" s="5" t="str">
        <f t="shared" si="2"/>
        <v/>
      </c>
      <c r="G31" s="5" t="str">
        <f>IF(COUNT(D31,F31)=0,"",IF(COUNT(D31,F31)=2,D31*Настройки!$B$4+F31*Настройки!$B$5,IF(D31&lt;&gt;"",D31,F31)))</f>
        <v/>
      </c>
      <c r="H31" s="5" t="str">
        <f>IF(OR(G31="",COUNT($G$5:G31)&lt;12),"",AVERAGE(G20:G31))</f>
        <v/>
      </c>
      <c r="I31" s="5" t="str">
        <f t="shared" si="3"/>
        <v/>
      </c>
      <c r="J31" s="5" t="str">
        <f>IF(OR(G31="",N(IFERROR(VLOOKUP(B31,Сезонность!$A$4:$D$15,4,FALSE),0))=0),"",G31/IFERROR(VLOOKUP(B31,Сезонность!$A$4:$D$15,4,FALSE),1))</f>
        <v/>
      </c>
      <c r="K31" s="5" t="str">
        <f>IF(OR(G31="",H31="",H31=0,N(IFERROR(VLOOKUP(B31,Сезонность!$A$4:$D$15,4,FALSE),0))=0),"",G31/(H31*IFERROR(VLOOKUP(B31,Сезонность!$A$4:$D$15,4,FALSE),1)))</f>
        <v/>
      </c>
      <c r="L31" s="3" t="str">
        <f>IF(K31="","",IF(K31&lt;Настройки!$B$11,"ниже тренда",IF(K31&gt;Настройки!$B$12,"выше тренда","норма")))</f>
        <v/>
      </c>
      <c r="M31" s="3" t="str">
        <f t="shared" si="4"/>
        <v/>
      </c>
      <c r="N31" s="7" t="str">
        <f>IF(G31="","",COUNT($G$5:G31))</f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 t="str">
        <f>IF(Ввод_данных!A32="","",Ввод_данных!A32)</f>
        <v/>
      </c>
      <c r="B32" s="3" t="str">
        <f t="shared" si="0"/>
        <v/>
      </c>
      <c r="C32" s="3" t="str">
        <f t="shared" si="1"/>
        <v/>
      </c>
      <c r="D32" s="5" t="str">
        <f>IF(Ввод_данных!C32="","",Ввод_данных!C32)</f>
        <v/>
      </c>
      <c r="E32" s="5" t="str">
        <f>IF(Ввод_данных!D32="","",Ввод_данных!D32)</f>
        <v/>
      </c>
      <c r="F32" s="5" t="str">
        <f t="shared" si="2"/>
        <v/>
      </c>
      <c r="G32" s="5" t="str">
        <f>IF(COUNT(D32,F32)=0,"",IF(COUNT(D32,F32)=2,D32*Настройки!$B$4+F32*Настройки!$B$5,IF(D32&lt;&gt;"",D32,F32)))</f>
        <v/>
      </c>
      <c r="H32" s="5" t="str">
        <f>IF(OR(G32="",COUNT($G$5:G32)&lt;12),"",AVERAGE(G21:G32))</f>
        <v/>
      </c>
      <c r="I32" s="5" t="str">
        <f t="shared" si="3"/>
        <v/>
      </c>
      <c r="J32" s="5" t="str">
        <f>IF(OR(G32="",N(IFERROR(VLOOKUP(B32,Сезонность!$A$4:$D$15,4,FALSE),0))=0),"",G32/IFERROR(VLOOKUP(B32,Сезонность!$A$4:$D$15,4,FALSE),1))</f>
        <v/>
      </c>
      <c r="K32" s="5" t="str">
        <f>IF(OR(G32="",H32="",H32=0,N(IFERROR(VLOOKUP(B32,Сезонность!$A$4:$D$15,4,FALSE),0))=0),"",G32/(H32*IFERROR(VLOOKUP(B32,Сезонность!$A$4:$D$15,4,FALSE),1)))</f>
        <v/>
      </c>
      <c r="L32" s="3" t="str">
        <f>IF(K32="","",IF(K32&lt;Настройки!$B$11,"ниже тренда",IF(K32&gt;Настройки!$B$12,"выше тренда","норма")))</f>
        <v/>
      </c>
      <c r="M32" s="3" t="str">
        <f t="shared" si="4"/>
        <v/>
      </c>
      <c r="N32" s="7" t="str">
        <f>IF(G32="","",COUNT($G$5:G32))</f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 t="str">
        <f>IF(Ввод_данных!A33="","",Ввод_данных!A33)</f>
        <v/>
      </c>
      <c r="B33" s="3" t="str">
        <f t="shared" si="0"/>
        <v/>
      </c>
      <c r="C33" s="3" t="str">
        <f t="shared" si="1"/>
        <v/>
      </c>
      <c r="D33" s="5" t="str">
        <f>IF(Ввод_данных!C33="","",Ввод_данных!C33)</f>
        <v/>
      </c>
      <c r="E33" s="5" t="str">
        <f>IF(Ввод_данных!D33="","",Ввод_данных!D33)</f>
        <v/>
      </c>
      <c r="F33" s="5" t="str">
        <f t="shared" si="2"/>
        <v/>
      </c>
      <c r="G33" s="5" t="str">
        <f>IF(COUNT(D33,F33)=0,"",IF(COUNT(D33,F33)=2,D33*Настройки!$B$4+F33*Настройки!$B$5,IF(D33&lt;&gt;"",D33,F33)))</f>
        <v/>
      </c>
      <c r="H33" s="5" t="str">
        <f>IF(OR(G33="",COUNT($G$5:G33)&lt;12),"",AVERAGE(G22:G33))</f>
        <v/>
      </c>
      <c r="I33" s="5" t="str">
        <f t="shared" si="3"/>
        <v/>
      </c>
      <c r="J33" s="5" t="str">
        <f>IF(OR(G33="",N(IFERROR(VLOOKUP(B33,Сезонность!$A$4:$D$15,4,FALSE),0))=0),"",G33/IFERROR(VLOOKUP(B33,Сезонность!$A$4:$D$15,4,FALSE),1))</f>
        <v/>
      </c>
      <c r="K33" s="5" t="str">
        <f>IF(OR(G33="",H33="",H33=0,N(IFERROR(VLOOKUP(B33,Сезонность!$A$4:$D$15,4,FALSE),0))=0),"",G33/(H33*IFERROR(VLOOKUP(B33,Сезонность!$A$4:$D$15,4,FALSE),1)))</f>
        <v/>
      </c>
      <c r="L33" s="3" t="str">
        <f>IF(K33="","",IF(K33&lt;Настройки!$B$11,"ниже тренда",IF(K33&gt;Настройки!$B$12,"выше тренда","норма")))</f>
        <v/>
      </c>
      <c r="M33" s="3" t="str">
        <f t="shared" si="4"/>
        <v/>
      </c>
      <c r="N33" s="7" t="str">
        <f>IF(G33="","",COUNT($G$5:G33))</f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 t="str">
        <f>IF(Ввод_данных!A34="","",Ввод_данных!A34)</f>
        <v/>
      </c>
      <c r="B34" s="3" t="str">
        <f t="shared" si="0"/>
        <v/>
      </c>
      <c r="C34" s="3" t="str">
        <f t="shared" si="1"/>
        <v/>
      </c>
      <c r="D34" s="5" t="str">
        <f>IF(Ввод_данных!C34="","",Ввод_данных!C34)</f>
        <v/>
      </c>
      <c r="E34" s="5" t="str">
        <f>IF(Ввод_данных!D34="","",Ввод_данных!D34)</f>
        <v/>
      </c>
      <c r="F34" s="5" t="str">
        <f t="shared" si="2"/>
        <v/>
      </c>
      <c r="G34" s="5" t="str">
        <f>IF(COUNT(D34,F34)=0,"",IF(COUNT(D34,F34)=2,D34*Настройки!$B$4+F34*Настройки!$B$5,IF(D34&lt;&gt;"",D34,F34)))</f>
        <v/>
      </c>
      <c r="H34" s="5" t="str">
        <f>IF(OR(G34="",COUNT($G$5:G34)&lt;12),"",AVERAGE(G23:G34))</f>
        <v/>
      </c>
      <c r="I34" s="5" t="str">
        <f t="shared" si="3"/>
        <v/>
      </c>
      <c r="J34" s="5" t="str">
        <f>IF(OR(G34="",N(IFERROR(VLOOKUP(B34,Сезонность!$A$4:$D$15,4,FALSE),0))=0),"",G34/IFERROR(VLOOKUP(B34,Сезонность!$A$4:$D$15,4,FALSE),1))</f>
        <v/>
      </c>
      <c r="K34" s="5" t="str">
        <f>IF(OR(G34="",H34="",H34=0,N(IFERROR(VLOOKUP(B34,Сезонность!$A$4:$D$15,4,FALSE),0))=0),"",G34/(H34*IFERROR(VLOOKUP(B34,Сезонность!$A$4:$D$15,4,FALSE),1)))</f>
        <v/>
      </c>
      <c r="L34" s="3" t="str">
        <f>IF(K34="","",IF(K34&lt;Настройки!$B$11,"ниже тренда",IF(K34&gt;Настройки!$B$12,"выше тренда","норма")))</f>
        <v/>
      </c>
      <c r="M34" s="3" t="str">
        <f t="shared" si="4"/>
        <v/>
      </c>
      <c r="N34" s="7" t="str">
        <f>IF(G34="","",COUNT($G$5:G34))</f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 t="str">
        <f>IF(Ввод_данных!A35="","",Ввод_данных!A35)</f>
        <v/>
      </c>
      <c r="B35" s="3" t="str">
        <f t="shared" si="0"/>
        <v/>
      </c>
      <c r="C35" s="3" t="str">
        <f t="shared" si="1"/>
        <v/>
      </c>
      <c r="D35" s="5" t="str">
        <f>IF(Ввод_данных!C35="","",Ввод_данных!C35)</f>
        <v/>
      </c>
      <c r="E35" s="5" t="str">
        <f>IF(Ввод_данных!D35="","",Ввод_данных!D35)</f>
        <v/>
      </c>
      <c r="F35" s="5" t="str">
        <f t="shared" si="2"/>
        <v/>
      </c>
      <c r="G35" s="5" t="str">
        <f>IF(COUNT(D35,F35)=0,"",IF(COUNT(D35,F35)=2,D35*Настройки!$B$4+F35*Настройки!$B$5,IF(D35&lt;&gt;"",D35,F35)))</f>
        <v/>
      </c>
      <c r="H35" s="5" t="str">
        <f>IF(OR(G35="",COUNT($G$5:G35)&lt;12),"",AVERAGE(G24:G35))</f>
        <v/>
      </c>
      <c r="I35" s="5" t="str">
        <f t="shared" si="3"/>
        <v/>
      </c>
      <c r="J35" s="5" t="str">
        <f>IF(OR(G35="",N(IFERROR(VLOOKUP(B35,Сезонность!$A$4:$D$15,4,FALSE),0))=0),"",G35/IFERROR(VLOOKUP(B35,Сезонность!$A$4:$D$15,4,FALSE),1))</f>
        <v/>
      </c>
      <c r="K35" s="5" t="str">
        <f>IF(OR(G35="",H35="",H35=0,N(IFERROR(VLOOKUP(B35,Сезонность!$A$4:$D$15,4,FALSE),0))=0),"",G35/(H35*IFERROR(VLOOKUP(B35,Сезонность!$A$4:$D$15,4,FALSE),1)))</f>
        <v/>
      </c>
      <c r="L35" s="3" t="str">
        <f>IF(K35="","",IF(K35&lt;Настройки!$B$11,"ниже тренда",IF(K35&gt;Настройки!$B$12,"выше тренда","норма")))</f>
        <v/>
      </c>
      <c r="M35" s="3" t="str">
        <f t="shared" si="4"/>
        <v/>
      </c>
      <c r="N35" s="7" t="str">
        <f>IF(G35="","",COUNT($G$5:G35))</f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 t="str">
        <f>IF(Ввод_данных!A36="","",Ввод_данных!A36)</f>
        <v/>
      </c>
      <c r="B36" s="3" t="str">
        <f t="shared" si="0"/>
        <v/>
      </c>
      <c r="C36" s="3" t="str">
        <f t="shared" si="1"/>
        <v/>
      </c>
      <c r="D36" s="5" t="str">
        <f>IF(Ввод_данных!C36="","",Ввод_данных!C36)</f>
        <v/>
      </c>
      <c r="E36" s="5" t="str">
        <f>IF(Ввод_данных!D36="","",Ввод_данных!D36)</f>
        <v/>
      </c>
      <c r="F36" s="5" t="str">
        <f t="shared" si="2"/>
        <v/>
      </c>
      <c r="G36" s="5" t="str">
        <f>IF(COUNT(D36,F36)=0,"",IF(COUNT(D36,F36)=2,D36*Настройки!$B$4+F36*Настройки!$B$5,IF(D36&lt;&gt;"",D36,F36)))</f>
        <v/>
      </c>
      <c r="H36" s="5" t="str">
        <f>IF(OR(G36="",COUNT($G$5:G36)&lt;12),"",AVERAGE(G25:G36))</f>
        <v/>
      </c>
      <c r="I36" s="5" t="str">
        <f t="shared" si="3"/>
        <v/>
      </c>
      <c r="J36" s="5" t="str">
        <f>IF(OR(G36="",N(IFERROR(VLOOKUP(B36,Сезонность!$A$4:$D$15,4,FALSE),0))=0),"",G36/IFERROR(VLOOKUP(B36,Сезонность!$A$4:$D$15,4,FALSE),1))</f>
        <v/>
      </c>
      <c r="K36" s="5" t="str">
        <f>IF(OR(G36="",H36="",H36=0,N(IFERROR(VLOOKUP(B36,Сезонность!$A$4:$D$15,4,FALSE),0))=0),"",G36/(H36*IFERROR(VLOOKUP(B36,Сезонность!$A$4:$D$15,4,FALSE),1)))</f>
        <v/>
      </c>
      <c r="L36" s="3" t="str">
        <f>IF(K36="","",IF(K36&lt;Настройки!$B$11,"ниже тренда",IF(K36&gt;Настройки!$B$12,"выше тренда","норма")))</f>
        <v/>
      </c>
      <c r="M36" s="3" t="str">
        <f t="shared" si="4"/>
        <v/>
      </c>
      <c r="N36" s="7" t="str">
        <f>IF(G36="","",COUNT($G$5:G36))</f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 t="str">
        <f>IF(Ввод_данных!A37="","",Ввод_данных!A37)</f>
        <v/>
      </c>
      <c r="B37" s="3" t="str">
        <f t="shared" ref="B37:B64" si="5">IF(A37="","",MONTH(A37))</f>
        <v/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5" t="str">
        <f>IF(Ввод_данных!C37="","",Ввод_данных!C37)</f>
        <v/>
      </c>
      <c r="E37" s="5" t="str">
        <f>IF(Ввод_данных!D37="","",Ввод_данных!D37)</f>
        <v/>
      </c>
      <c r="F37" s="5" t="str">
        <f t="shared" ref="F37:F64" si="7">IF(E37="","",IF(MAX($E$5:$E$64)=0,"",E37/MAX($E$5:$E$64)*100))</f>
        <v/>
      </c>
      <c r="G37" s="5" t="str">
        <f>IF(COUNT(D37,F37)=0,"",IF(COUNT(D37,F37)=2,D37*Настройки!$B$4+F37*Настройки!$B$5,IF(D37&lt;&gt;"",D37,F37)))</f>
        <v/>
      </c>
      <c r="H37" s="5" t="str">
        <f>IF(OR(G37="",COUNT($G$5:G37)&lt;12),"",AVERAGE(G26:G37))</f>
        <v/>
      </c>
      <c r="I37" s="5" t="str">
        <f t="shared" ref="I37:I64" si="8">IF(OR(G37="",H37="",H37=0),"",G37/H37)</f>
        <v/>
      </c>
      <c r="J37" s="5" t="str">
        <f>IF(OR(G37="",N(IFERROR(VLOOKUP(B37,Сезонность!$A$4:$D$15,4,FALSE),0))=0),"",G37/IFERROR(VLOOKUP(B37,Сезонность!$A$4:$D$15,4,FALSE),1))</f>
        <v/>
      </c>
      <c r="K37" s="5" t="str">
        <f>IF(OR(G37="",H37="",H37=0,N(IFERROR(VLOOKUP(B37,Сезонность!$A$4:$D$15,4,FALSE),0))=0),"",G37/(H37*IFERROR(VLOOKUP(B37,Сезонность!$A$4:$D$15,4,FALSE),1)))</f>
        <v/>
      </c>
      <c r="L37" s="3" t="str">
        <f>IF(K37="","",IF(K37&lt;Настройки!$B$11,"ниже тренда",IF(K37&gt;Настройки!$B$12,"выше тренда","норма")))</f>
        <v/>
      </c>
      <c r="M37" s="3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 t="str">
        <f>IF(G37="","",COUNT($G$5:G37))</f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IF(Ввод_данных!A38="","",Ввод_данных!A38)</f>
        <v/>
      </c>
      <c r="B38" s="3" t="str">
        <f t="shared" si="5"/>
        <v/>
      </c>
      <c r="C38" s="3" t="str">
        <f t="shared" si="6"/>
        <v/>
      </c>
      <c r="D38" s="5" t="str">
        <f>IF(Ввод_данных!C38="","",Ввод_данных!C38)</f>
        <v/>
      </c>
      <c r="E38" s="5" t="str">
        <f>IF(Ввод_данных!D38="","",Ввод_данных!D38)</f>
        <v/>
      </c>
      <c r="F38" s="5" t="str">
        <f t="shared" si="7"/>
        <v/>
      </c>
      <c r="G38" s="5" t="str">
        <f>IF(COUNT(D38,F38)=0,"",IF(COUNT(D38,F38)=2,D38*Настройки!$B$4+F38*Настройки!$B$5,IF(D38&lt;&gt;"",D38,F38)))</f>
        <v/>
      </c>
      <c r="H38" s="5" t="str">
        <f>IF(OR(G38="",COUNT($G$5:G38)&lt;12),"",AVERAGE(G27:G38))</f>
        <v/>
      </c>
      <c r="I38" s="5" t="str">
        <f t="shared" si="8"/>
        <v/>
      </c>
      <c r="J38" s="5" t="str">
        <f>IF(OR(G38="",N(IFERROR(VLOOKUP(B38,Сезонность!$A$4:$D$15,4,FALSE),0))=0),"",G38/IFERROR(VLOOKUP(B38,Сезонность!$A$4:$D$15,4,FALSE),1))</f>
        <v/>
      </c>
      <c r="K38" s="5" t="str">
        <f>IF(OR(G38="",H38="",H38=0,N(IFERROR(VLOOKUP(B38,Сезонность!$A$4:$D$15,4,FALSE),0))=0),"",G38/(H38*IFERROR(VLOOKUP(B38,Сезонность!$A$4:$D$15,4,FALSE),1)))</f>
        <v/>
      </c>
      <c r="L38" s="3" t="str">
        <f>IF(K38="","",IF(K38&lt;Настройки!$B$11,"ниже тренда",IF(K38&gt;Настройки!$B$12,"выше тренда","норма")))</f>
        <v/>
      </c>
      <c r="M38" s="3" t="str">
        <f t="shared" si="9"/>
        <v/>
      </c>
      <c r="N38" s="7" t="str">
        <f>IF(G38="","",COUNT($G$5:G38))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IF(Ввод_данных!A39="","",Ввод_данных!A39)</f>
        <v/>
      </c>
      <c r="B39" s="3" t="str">
        <f t="shared" si="5"/>
        <v/>
      </c>
      <c r="C39" s="3" t="str">
        <f t="shared" si="6"/>
        <v/>
      </c>
      <c r="D39" s="5" t="str">
        <f>IF(Ввод_данных!C39="","",Ввод_данных!C39)</f>
        <v/>
      </c>
      <c r="E39" s="5" t="str">
        <f>IF(Ввод_данных!D39="","",Ввод_данных!D39)</f>
        <v/>
      </c>
      <c r="F39" s="5" t="str">
        <f t="shared" si="7"/>
        <v/>
      </c>
      <c r="G39" s="5" t="str">
        <f>IF(COUNT(D39,F39)=0,"",IF(COUNT(D39,F39)=2,D39*Настройки!$B$4+F39*Настройки!$B$5,IF(D39&lt;&gt;"",D39,F39)))</f>
        <v/>
      </c>
      <c r="H39" s="5" t="str">
        <f>IF(OR(G39="",COUNT($G$5:G39)&lt;12),"",AVERAGE(G28:G39))</f>
        <v/>
      </c>
      <c r="I39" s="5" t="str">
        <f t="shared" si="8"/>
        <v/>
      </c>
      <c r="J39" s="5" t="str">
        <f>IF(OR(G39="",N(IFERROR(VLOOKUP(B39,Сезонность!$A$4:$D$15,4,FALSE),0))=0),"",G39/IFERROR(VLOOKUP(B39,Сезонность!$A$4:$D$15,4,FALSE),1))</f>
        <v/>
      </c>
      <c r="K39" s="5" t="str">
        <f>IF(OR(G39="",H39="",H39=0,N(IFERROR(VLOOKUP(B39,Сезонность!$A$4:$D$15,4,FALSE),0))=0),"",G39/(H39*IFERROR(VLOOKUP(B39,Сезонность!$A$4:$D$15,4,FALSE),1)))</f>
        <v/>
      </c>
      <c r="L39" s="3" t="str">
        <f>IF(K39="","",IF(K39&lt;Настройки!$B$11,"ниже тренда",IF(K39&gt;Настройки!$B$12,"выше тренда","норма")))</f>
        <v/>
      </c>
      <c r="M39" s="3" t="str">
        <f t="shared" si="9"/>
        <v/>
      </c>
      <c r="N39" s="7" t="str">
        <f>IF(G39="","",COUNT($G$5:G39))</f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IF(Ввод_данных!A40="","",Ввод_данных!A40)</f>
        <v/>
      </c>
      <c r="B40" s="3" t="str">
        <f t="shared" si="5"/>
        <v/>
      </c>
      <c r="C40" s="3" t="str">
        <f t="shared" si="6"/>
        <v/>
      </c>
      <c r="D40" s="5" t="str">
        <f>IF(Ввод_данных!C40="","",Ввод_данных!C40)</f>
        <v/>
      </c>
      <c r="E40" s="5" t="str">
        <f>IF(Ввод_данных!D40="","",Ввод_данных!D40)</f>
        <v/>
      </c>
      <c r="F40" s="5" t="str">
        <f t="shared" si="7"/>
        <v/>
      </c>
      <c r="G40" s="5" t="str">
        <f>IF(COUNT(D40,F40)=0,"",IF(COUNT(D40,F40)=2,D40*Настройки!$B$4+F40*Настройки!$B$5,IF(D40&lt;&gt;"",D40,F40)))</f>
        <v/>
      </c>
      <c r="H40" s="5" t="str">
        <f>IF(OR(G40="",COUNT($G$5:G40)&lt;12),"",AVERAGE(G29:G40))</f>
        <v/>
      </c>
      <c r="I40" s="5" t="str">
        <f t="shared" si="8"/>
        <v/>
      </c>
      <c r="J40" s="5" t="str">
        <f>IF(OR(G40="",N(IFERROR(VLOOKUP(B40,Сезонность!$A$4:$D$15,4,FALSE),0))=0),"",G40/IFERROR(VLOOKUP(B40,Сезонность!$A$4:$D$15,4,FALSE),1))</f>
        <v/>
      </c>
      <c r="K40" s="5" t="str">
        <f>IF(OR(G40="",H40="",H40=0,N(IFERROR(VLOOKUP(B40,Сезонность!$A$4:$D$15,4,FALSE),0))=0),"",G40/(H40*IFERROR(VLOOKUP(B40,Сезонность!$A$4:$D$15,4,FALSE),1)))</f>
        <v/>
      </c>
      <c r="L40" s="3" t="str">
        <f>IF(K40="","",IF(K40&lt;Настройки!$B$11,"ниже тренда",IF(K40&gt;Настройки!$B$12,"выше тренда","норма")))</f>
        <v/>
      </c>
      <c r="M40" s="3" t="str">
        <f t="shared" si="9"/>
        <v/>
      </c>
      <c r="N40" s="7" t="str">
        <f>IF(G40="","",COUNT($G$5:G40))</f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IF(OR(G41="",N(IFERROR(VLOOKUP(B41,Сезонность!$A$4:$D$15,4,FALSE),0))=0),"",G41/IFERROR(VLOOKUP(B41,Сезонность!$A$4:$D$15,4,FALSE),1))</f>
        <v/>
      </c>
      <c r="K41" s="5" t="str">
        <f>IF(OR(G41="",H41="",H41=0,N(IFERROR(VLOOKUP(B41,Сезонность!$A$4:$D$15,4,FALSE),0))=0),"",G41/(H41*IFERROR(VLOOKUP(B41,Сезонность!$A$4:$D$15,4,FALSE),1)))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IF(OR(G42="",N(IFERROR(VLOOKUP(B42,Сезонность!$A$4:$D$15,4,FALSE),0))=0),"",G42/IFERROR(VLOOKUP(B42,Сезонность!$A$4:$D$15,4,FALSE),1))</f>
        <v/>
      </c>
      <c r="K42" s="5" t="str">
        <f>IF(OR(G42="",H42="",H42=0,N(IFERROR(VLOOKUP(B42,Сезонность!$A$4:$D$15,4,FALSE),0))=0),"",G42/(H42*IFERROR(VLOOKUP(B42,Сезонность!$A$4:$D$15,4,FALSE),1)))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IF(OR(G43="",N(IFERROR(VLOOKUP(B43,Сезонность!$A$4:$D$15,4,FALSE),0))=0),"",G43/IFERROR(VLOOKUP(B43,Сезонность!$A$4:$D$15,4,FALSE),1))</f>
        <v/>
      </c>
      <c r="K43" s="5" t="str">
        <f>IF(OR(G43="",H43="",H43=0,N(IFERROR(VLOOKUP(B43,Сезонность!$A$4:$D$15,4,FALSE),0))=0),"",G43/(H43*IFERROR(VLOOKUP(B43,Сезонность!$A$4:$D$15,4,FALSE),1)))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IF(OR(G44="",N(IFERROR(VLOOKUP(B44,Сезонность!$A$4:$D$15,4,FALSE),0))=0),"",G44/IFERROR(VLOOKUP(B44,Сезонность!$A$4:$D$15,4,FALSE),1))</f>
        <v/>
      </c>
      <c r="K44" s="5" t="str">
        <f>IF(OR(G44="",H44="",H44=0,N(IFERROR(VLOOKUP(B44,Сезонность!$A$4:$D$15,4,FALSE),0))=0),"",G44/(H44*IFERROR(VLOOKUP(B44,Сезонность!$A$4:$D$15,4,FALSE),1)))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IF(OR(G45="",N(IFERROR(VLOOKUP(B45,Сезонность!$A$4:$D$15,4,FALSE),0))=0),"",G45/IFERROR(VLOOKUP(B45,Сезонность!$A$4:$D$15,4,FALSE),1))</f>
        <v/>
      </c>
      <c r="K45" s="5" t="str">
        <f>IF(OR(G45="",H45="",H45=0,N(IFERROR(VLOOKUP(B45,Сезонность!$A$4:$D$15,4,FALSE),0))=0),"",G45/(H45*IFERROR(VLOOKUP(B45,Сезонность!$A$4:$D$15,4,FALSE),1)))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IF(OR(G46="",N(IFERROR(VLOOKUP(B46,Сезонность!$A$4:$D$15,4,FALSE),0))=0),"",G46/IFERROR(VLOOKUP(B46,Сезонность!$A$4:$D$15,4,FALSE),1))</f>
        <v/>
      </c>
      <c r="K46" s="5" t="str">
        <f>IF(OR(G46="",H46="",H46=0,N(IFERROR(VLOOKUP(B46,Сезонность!$A$4:$D$15,4,FALSE),0))=0),"",G46/(H46*IFERROR(VLOOKUP(B46,Сезонность!$A$4:$D$15,4,FALSE),1)))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IF(OR(G47="",N(IFERROR(VLOOKUP(B47,Сезонность!$A$4:$D$15,4,FALSE),0))=0),"",G47/IFERROR(VLOOKUP(B47,Сезонность!$A$4:$D$15,4,FALSE),1))</f>
        <v/>
      </c>
      <c r="K47" s="5" t="str">
        <f>IF(OR(G47="",H47="",H47=0,N(IFERROR(VLOOKUP(B47,Сезонность!$A$4:$D$15,4,FALSE),0))=0),"",G47/(H47*IFERROR(VLOOKUP(B47,Сезонность!$A$4:$D$15,4,FALSE),1)))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IF(OR(G48="",N(IFERROR(VLOOKUP(B48,Сезонность!$A$4:$D$15,4,FALSE),0))=0),"",G48/IFERROR(VLOOKUP(B48,Сезонность!$A$4:$D$15,4,FALSE),1))</f>
        <v/>
      </c>
      <c r="K48" s="5" t="str">
        <f>IF(OR(G48="",H48="",H48=0,N(IFERROR(VLOOKUP(B48,Сезонность!$A$4:$D$15,4,FALSE),0))=0),"",G48/(H48*IFERROR(VLOOKUP(B48,Сезонность!$A$4:$D$15,4,FALSE),1)))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IF(OR(G49="",N(IFERROR(VLOOKUP(B49,Сезонность!$A$4:$D$15,4,FALSE),0))=0),"",G49/IFERROR(VLOOKUP(B49,Сезонность!$A$4:$D$15,4,FALSE),1))</f>
        <v/>
      </c>
      <c r="K49" s="5" t="str">
        <f>IF(OR(G49="",H49="",H49=0,N(IFERROR(VLOOKUP(B49,Сезонность!$A$4:$D$15,4,FALSE),0))=0),"",G49/(H49*IFERROR(VLOOKUP(B49,Сезонность!$A$4:$D$15,4,FALSE),1)))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IF(OR(G50="",N(IFERROR(VLOOKUP(B50,Сезонность!$A$4:$D$15,4,FALSE),0))=0),"",G50/IFERROR(VLOOKUP(B50,Сезонность!$A$4:$D$15,4,FALSE),1))</f>
        <v/>
      </c>
      <c r="K50" s="5" t="str">
        <f>IF(OR(G50="",H50="",H50=0,N(IFERROR(VLOOKUP(B50,Сезонность!$A$4:$D$15,4,FALSE),0))=0),"",G50/(H50*IFERROR(VLOOKUP(B50,Сезонность!$A$4:$D$15,4,FALSE),1)))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IF(OR(G51="",N(IFERROR(VLOOKUP(B51,Сезонность!$A$4:$D$15,4,FALSE),0))=0),"",G51/IFERROR(VLOOKUP(B51,Сезонность!$A$4:$D$15,4,FALSE),1))</f>
        <v/>
      </c>
      <c r="K51" s="5" t="str">
        <f>IF(OR(G51="",H51="",H51=0,N(IFERROR(VLOOKUP(B51,Сезонность!$A$4:$D$15,4,FALSE),0))=0),"",G51/(H51*IFERROR(VLOOKUP(B51,Сезонность!$A$4:$D$15,4,FALSE),1)))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IF(OR(G52="",N(IFERROR(VLOOKUP(B52,Сезонность!$A$4:$D$15,4,FALSE),0))=0),"",G52/IFERROR(VLOOKUP(B52,Сезонность!$A$4:$D$15,4,FALSE),1))</f>
        <v/>
      </c>
      <c r="K52" s="5" t="str">
        <f>IF(OR(G52="",H52="",H52=0,N(IFERROR(VLOOKUP(B52,Сезонность!$A$4:$D$15,4,FALSE),0))=0),"",G52/(H52*IFERROR(VLOOKUP(B52,Сезонность!$A$4:$D$15,4,FALSE),1)))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IF(OR(G53="",N(IFERROR(VLOOKUP(B53,Сезонность!$A$4:$D$15,4,FALSE),0))=0),"",G53/IFERROR(VLOOKUP(B53,Сезонность!$A$4:$D$15,4,FALSE),1))</f>
        <v/>
      </c>
      <c r="K53" s="5" t="str">
        <f>IF(OR(G53="",H53="",H53=0,N(IFERROR(VLOOKUP(B53,Сезонность!$A$4:$D$15,4,FALSE),0))=0),"",G53/(H53*IFERROR(VLOOKUP(B53,Сезонность!$A$4:$D$15,4,FALSE),1)))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IF(OR(G54="",N(IFERROR(VLOOKUP(B54,Сезонность!$A$4:$D$15,4,FALSE),0))=0),"",G54/IFERROR(VLOOKUP(B54,Сезонность!$A$4:$D$15,4,FALSE),1))</f>
        <v/>
      </c>
      <c r="K54" s="5" t="str">
        <f>IF(OR(G54="",H54="",H54=0,N(IFERROR(VLOOKUP(B54,Сезонность!$A$4:$D$15,4,FALSE),0))=0),"",G54/(H54*IFERROR(VLOOKUP(B54,Сезонность!$A$4:$D$15,4,FALSE),1)))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IF(OR(G55="",N(IFERROR(VLOOKUP(B55,Сезонность!$A$4:$D$15,4,FALSE),0))=0),"",G55/IFERROR(VLOOKUP(B55,Сезонность!$A$4:$D$15,4,FALSE),1))</f>
        <v/>
      </c>
      <c r="K55" s="5" t="str">
        <f>IF(OR(G55="",H55="",H55=0,N(IFERROR(VLOOKUP(B55,Сезонность!$A$4:$D$15,4,FALSE),0))=0),"",G55/(H55*IFERROR(VLOOKUP(B55,Сезонность!$A$4:$D$15,4,FALSE),1)))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IF(OR(G56="",N(IFERROR(VLOOKUP(B56,Сезонность!$A$4:$D$15,4,FALSE),0))=0),"",G56/IFERROR(VLOOKUP(B56,Сезонность!$A$4:$D$15,4,FALSE),1))</f>
        <v/>
      </c>
      <c r="K56" s="5" t="str">
        <f>IF(OR(G56="",H56="",H56=0,N(IFERROR(VLOOKUP(B56,Сезонность!$A$4:$D$15,4,FALSE),0))=0),"",G56/(H56*IFERROR(VLOOKUP(B56,Сезонность!$A$4:$D$15,4,FALSE),1)))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IF(OR(G57="",N(IFERROR(VLOOKUP(B57,Сезонность!$A$4:$D$15,4,FALSE),0))=0),"",G57/IFERROR(VLOOKUP(B57,Сезонность!$A$4:$D$15,4,FALSE),1))</f>
        <v/>
      </c>
      <c r="K57" s="5" t="str">
        <f>IF(OR(G57="",H57="",H57=0,N(IFERROR(VLOOKUP(B57,Сезонность!$A$4:$D$15,4,FALSE),0))=0),"",G57/(H57*IFERROR(VLOOKUP(B57,Сезонность!$A$4:$D$15,4,FALSE),1)))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IF(OR(G58="",N(IFERROR(VLOOKUP(B58,Сезонность!$A$4:$D$15,4,FALSE),0))=0),"",G58/IFERROR(VLOOKUP(B58,Сезонность!$A$4:$D$15,4,FALSE),1))</f>
        <v/>
      </c>
      <c r="K58" s="5" t="str">
        <f>IF(OR(G58="",H58="",H58=0,N(IFERROR(VLOOKUP(B58,Сезонность!$A$4:$D$15,4,FALSE),0))=0),"",G58/(H58*IFERROR(VLOOKUP(B58,Сезонность!$A$4:$D$15,4,FALSE),1)))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IF(OR(G59="",N(IFERROR(VLOOKUP(B59,Сезонность!$A$4:$D$15,4,FALSE),0))=0),"",G59/IFERROR(VLOOKUP(B59,Сезонность!$A$4:$D$15,4,FALSE),1))</f>
        <v/>
      </c>
      <c r="K59" s="5" t="str">
        <f>IF(OR(G59="",H59="",H59=0,N(IFERROR(VLOOKUP(B59,Сезонность!$A$4:$D$15,4,FALSE),0))=0),"",G59/(H59*IFERROR(VLOOKUP(B59,Сезонность!$A$4:$D$15,4,FALSE),1)))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IF(OR(G60="",N(IFERROR(VLOOKUP(B60,Сезонность!$A$4:$D$15,4,FALSE),0))=0),"",G60/IFERROR(VLOOKUP(B60,Сезонность!$A$4:$D$15,4,FALSE),1))</f>
        <v/>
      </c>
      <c r="K60" s="5" t="str">
        <f>IF(OR(G60="",H60="",H60=0,N(IFERROR(VLOOKUP(B60,Сезонность!$A$4:$D$15,4,FALSE),0))=0),"",G60/(H60*IFERROR(VLOOKUP(B60,Сезонность!$A$4:$D$15,4,FALSE),1)))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IF(OR(G61="",N(IFERROR(VLOOKUP(B61,Сезонность!$A$4:$D$15,4,FALSE),0))=0),"",G61/IFERROR(VLOOKUP(B61,Сезонность!$A$4:$D$15,4,FALSE),1))</f>
        <v/>
      </c>
      <c r="K61" s="5" t="str">
        <f>IF(OR(G61="",H61="",H61=0,N(IFERROR(VLOOKUP(B61,Сезонность!$A$4:$D$15,4,FALSE),0))=0),"",G61/(H61*IFERROR(VLOOKUP(B61,Сезонность!$A$4:$D$15,4,FALSE),1)))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IF(OR(G62="",N(IFERROR(VLOOKUP(B62,Сезонность!$A$4:$D$15,4,FALSE),0))=0),"",G62/IFERROR(VLOOKUP(B62,Сезонность!$A$4:$D$15,4,FALSE),1))</f>
        <v/>
      </c>
      <c r="K62" s="5" t="str">
        <f>IF(OR(G62="",H62="",H62=0,N(IFERROR(VLOOKUP(B62,Сезонность!$A$4:$D$15,4,FALSE),0))=0),"",G62/(H62*IFERROR(VLOOKUP(B62,Сезонность!$A$4:$D$15,4,FALSE),1)))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IF(OR(G63="",N(IFERROR(VLOOKUP(B63,Сезонность!$A$4:$D$15,4,FALSE),0))=0),"",G63/IFERROR(VLOOKUP(B63,Сезонность!$A$4:$D$15,4,FALSE),1))</f>
        <v/>
      </c>
      <c r="K63" s="5" t="str">
        <f>IF(OR(G63="",H63="",H63=0,N(IFERROR(VLOOKUP(B63,Сезонность!$A$4:$D$15,4,FALSE),0))=0),"",G63/(H63*IFERROR(VLOOKUP(B63,Сезонность!$A$4:$D$15,4,FALSE),1)))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IF(OR(G64="",N(IFERROR(VLOOKUP(B64,Сезонность!$A$4:$D$15,4,FALSE),0))=0),"",G64/IFERROR(VLOOKUP(B64,Сезонность!$A$4:$D$15,4,FALSE),1))</f>
        <v/>
      </c>
      <c r="K64" s="5" t="str">
        <f>IF(OR(G64="",H64="",H64=0,N(IFERROR(VLOOKUP(B64,Сезонность!$A$4:$D$15,4,FALSE),0))=0),"",G64/(H64*IFERROR(VLOOKUP(B64,Сезонность!$A$4:$D$15,4,FALSE),1)))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49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37</v>
      </c>
      <c r="B3" s="2" t="s">
        <v>38</v>
      </c>
      <c r="C3" s="2" t="s">
        <v>50</v>
      </c>
      <c r="D3" s="2" t="s">
        <v>51</v>
      </c>
      <c r="E3" s="2" t="s">
        <v>52</v>
      </c>
      <c r="F3" s="2" t="s">
        <v>53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54</v>
      </c>
      <c r="C4" s="5" t="str">
        <f>IFERROR(SUMIFS(Расчет!$I$5:$I$64,Расчет!$B$5:$B$64,A4)/COUNTIFS(Расчет!$B$5:$B$64,A4,Расчет!$I$5:$I$64,"&gt;0"),"")</f>
        <v/>
      </c>
      <c r="D4" s="5" t="str">
        <f t="shared" ref="D4:D15" si="0">IF(C4="","",C4/AVERAGE($C$4:$C$15))</f>
        <v/>
      </c>
      <c r="E4" s="5" t="str">
        <f t="shared" ref="E4:E15" si="1">IF(D4="","",D4-1)</f>
        <v/>
      </c>
      <c r="F4" s="3" t="str">
        <f t="shared" ref="F4:F15" si="2">IF(D4="","",IF(D4&gt;1.1,"сезонный максимум",IF(D4&lt;0.9,"сезонный минимум","средний сезонный уровень")))</f>
        <v/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55</v>
      </c>
      <c r="C5" s="5">
        <f>IFERROR(SUMIFS(Расчет!$I$5:$I$64,Расчет!$B$5:$B$64,A5)/COUNTIFS(Расчет!$B$5:$B$64,A5,Расчет!$I$5:$I$64,"&gt;0"),"")</f>
        <v>1.4416296683207104</v>
      </c>
      <c r="D5" s="5">
        <f t="shared" si="0"/>
        <v>0.94902746898705048</v>
      </c>
      <c r="E5" s="5">
        <f t="shared" si="1"/>
        <v>-5.0972531012949518E-2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56</v>
      </c>
      <c r="C6" s="5">
        <f>IFERROR(SUMIFS(Расчет!$I$5:$I$64,Расчет!$B$5:$B$64,A6)/COUNTIFS(Расчет!$B$5:$B$64,A6,Расчет!$I$5:$I$64,"&gt;0"),"")</f>
        <v>0.6642191471335781</v>
      </c>
      <c r="D6" s="5">
        <f t="shared" si="0"/>
        <v>0.43725668936266937</v>
      </c>
      <c r="E6" s="5">
        <f t="shared" si="1"/>
        <v>-0.56274331063733063</v>
      </c>
      <c r="F6" s="3" t="str">
        <f t="shared" si="2"/>
        <v>сезонный минимум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57</v>
      </c>
      <c r="C7" s="5">
        <f>IFERROR(SUMIFS(Расчет!$I$5:$I$64,Расчет!$B$5:$B$64,A7)/COUNTIFS(Расчет!$B$5:$B$64,A7,Расчет!$I$5:$I$64,"&gt;0"),"")</f>
        <v>0.98029045643153523</v>
      </c>
      <c r="D7" s="5">
        <f t="shared" si="0"/>
        <v>0.64532701510164625</v>
      </c>
      <c r="E7" s="5">
        <f t="shared" si="1"/>
        <v>-0.35467298489835375</v>
      </c>
      <c r="F7" s="3" t="str">
        <f t="shared" si="2"/>
        <v>сезонный минимум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58</v>
      </c>
      <c r="C8" s="5" t="str">
        <f>IFERROR(SUMIFS(Расчет!$I$5:$I$64,Расчет!$B$5:$B$64,A8)/COUNTIFS(Расчет!$B$5:$B$64,A8,Расчет!$I$5:$I$64,"&gt;0"),"")</f>
        <v/>
      </c>
      <c r="D8" s="5" t="str">
        <f t="shared" si="0"/>
        <v/>
      </c>
      <c r="E8" s="5" t="str">
        <f t="shared" si="1"/>
        <v/>
      </c>
      <c r="F8" s="3" t="str">
        <f t="shared" si="2"/>
        <v/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59</v>
      </c>
      <c r="C9" s="5" t="str">
        <f>IFERROR(SUMIFS(Расчет!$I$5:$I$64,Расчет!$B$5:$B$64,A9)/COUNTIFS(Расчет!$B$5:$B$64,A9,Расчет!$I$5:$I$64,"&gt;0"),"")</f>
        <v/>
      </c>
      <c r="D9" s="5" t="str">
        <f t="shared" si="0"/>
        <v/>
      </c>
      <c r="E9" s="5" t="str">
        <f t="shared" si="1"/>
        <v/>
      </c>
      <c r="F9" s="3" t="str">
        <f t="shared" si="2"/>
        <v/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60</v>
      </c>
      <c r="C10" s="5" t="str">
        <f>IFERROR(SUMIFS(Расчет!$I$5:$I$64,Расчет!$B$5:$B$64,A10)/COUNTIFS(Расчет!$B$5:$B$64,A10,Расчет!$I$5:$I$64,"&gt;0"),"")</f>
        <v/>
      </c>
      <c r="D10" s="5" t="str">
        <f t="shared" si="0"/>
        <v/>
      </c>
      <c r="E10" s="5" t="str">
        <f t="shared" si="1"/>
        <v/>
      </c>
      <c r="F10" s="3" t="str">
        <f t="shared" si="2"/>
        <v/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61</v>
      </c>
      <c r="C11" s="5" t="str">
        <f>IFERROR(SUMIFS(Расчет!$I$5:$I$64,Расчет!$B$5:$B$64,A11)/COUNTIFS(Расчет!$B$5:$B$64,A11,Расчет!$I$5:$I$64,"&gt;0"),"")</f>
        <v/>
      </c>
      <c r="D11" s="5" t="str">
        <f t="shared" si="0"/>
        <v/>
      </c>
      <c r="E11" s="5" t="str">
        <f t="shared" si="1"/>
        <v/>
      </c>
      <c r="F11" s="3" t="str">
        <f t="shared" si="2"/>
        <v/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62</v>
      </c>
      <c r="C12" s="5" t="str">
        <f>IFERROR(SUMIFS(Расчет!$I$5:$I$64,Расчет!$B$5:$B$64,A12)/COUNTIFS(Расчет!$B$5:$B$64,A12,Расчет!$I$5:$I$64,"&gt;0"),"")</f>
        <v/>
      </c>
      <c r="D12" s="5" t="str">
        <f t="shared" si="0"/>
        <v/>
      </c>
      <c r="E12" s="5" t="str">
        <f t="shared" si="1"/>
        <v/>
      </c>
      <c r="F12" s="3" t="str">
        <f t="shared" si="2"/>
        <v/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63</v>
      </c>
      <c r="C13" s="5">
        <f>IFERROR(SUMIFS(Расчет!$I$5:$I$64,Расчет!$B$5:$B$64,A13)/COUNTIFS(Расчет!$B$5:$B$64,A13,Расчет!$I$5:$I$64,"&gt;0"),"")</f>
        <v>1.4428242517267842</v>
      </c>
      <c r="D13" s="5">
        <f t="shared" si="0"/>
        <v>0.94981386544605284</v>
      </c>
      <c r="E13" s="5">
        <f t="shared" si="1"/>
        <v>-5.0186134553947159E-2</v>
      </c>
      <c r="F13" s="3" t="str">
        <f t="shared" si="2"/>
        <v>средний сезонный уровень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64</v>
      </c>
      <c r="C14" s="5">
        <f>IFERROR(SUMIFS(Расчет!$I$5:$I$64,Расчет!$B$5:$B$64,A14)/COUNTIFS(Расчет!$B$5:$B$64,A14,Расчет!$I$5:$I$64,"&gt;0"),"")</f>
        <v>1.1075816601738089</v>
      </c>
      <c r="D14" s="5">
        <f t="shared" si="0"/>
        <v>0.72912304924719962</v>
      </c>
      <c r="E14" s="5">
        <f t="shared" si="1"/>
        <v>-0.27087695075280038</v>
      </c>
      <c r="F14" s="3" t="str">
        <f t="shared" si="2"/>
        <v>сезонный минимум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65</v>
      </c>
      <c r="C15" s="5">
        <f>IFERROR(SUMIFS(Расчет!$I$5:$I$64,Расчет!$B$5:$B$64,A15)/COUNTIFS(Расчет!$B$5:$B$64,A15,Расчет!$I$5:$I$64,"&gt;0"),"")</f>
        <v>3.4778148243139264</v>
      </c>
      <c r="D15" s="5">
        <f t="shared" si="0"/>
        <v>2.2894519118553811</v>
      </c>
      <c r="E15" s="5">
        <f t="shared" si="1"/>
        <v>1.2894519118553811</v>
      </c>
      <c r="F15" s="3" t="str">
        <f t="shared" si="2"/>
        <v>сезонный максимум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66</v>
      </c>
      <c r="B19" s="5">
        <f>MAX($D$4:$D$15)</f>
        <v>2.2894519118553811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67</v>
      </c>
      <c r="B20" s="5">
        <f>MIN($D$4:$D$15)</f>
        <v>0.43725668936266937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68</v>
      </c>
      <c r="B21" s="5">
        <f>B19-B20</f>
        <v>1.8521952224927118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69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декабрь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март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70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71</v>
      </c>
      <c r="C3" s="2" t="s">
        <v>53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72</v>
      </c>
      <c r="B4" s="3">
        <f>COUNT(Расчет!$G$5:$G$64)</f>
        <v>24</v>
      </c>
      <c r="C4" s="3" t="s">
        <v>73</v>
      </c>
      <c r="D4" s="3" t="s">
        <v>74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75</v>
      </c>
      <c r="B5" s="5">
        <f>IF(B4&lt;12,"",SUMIFS(Расчет!$G$5:$G$64,Расчет!$N$5:$N$64,"&gt;=1",Расчет!$N$5:$N$64,"&lt;=12")/COUNTIFS(Расчет!$N$5:$N$64,"&gt;=1",Расчет!$N$5:$N$64,"&lt;=12"))</f>
        <v>21.324999999999999</v>
      </c>
      <c r="C5" s="3" t="s">
        <v>76</v>
      </c>
      <c r="D5" s="3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78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11.995833333333335</v>
      </c>
      <c r="C6" s="3" t="s">
        <v>79</v>
      </c>
      <c r="D6" s="3" t="s">
        <v>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81</v>
      </c>
      <c r="B7" s="5">
        <f>IF(OR(B5="",B6=""),"",B6-B5)</f>
        <v>-9.3291666666666639</v>
      </c>
      <c r="C7" s="3" t="s">
        <v>82</v>
      </c>
      <c r="D7" s="3" t="s">
        <v>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84</v>
      </c>
      <c r="B8" s="4">
        <f>IF(OR(B5="",B6=""),"",B7/B5)</f>
        <v>-0.43747557639703</v>
      </c>
      <c r="C8" s="3" t="s">
        <v>85</v>
      </c>
      <c r="D8" s="3" t="s">
        <v>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87</v>
      </c>
      <c r="B9" s="5">
        <f>IFERROR(SLOPE(Расчет!$G$5:$G$64,Расчет!$N$5:$N$64),"")</f>
        <v>-1.2945434782608698</v>
      </c>
      <c r="C9" s="3" t="s">
        <v>88</v>
      </c>
      <c r="D9" s="3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снижающийся тренд</v>
      </c>
      <c r="C10" s="3" t="s">
        <v>90</v>
      </c>
      <c r="D10" s="3" t="s">
        <v>91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92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снижается; требуется осторожная проверка ниши, сегмента и каналов продвижения.</v>
      </c>
      <c r="C11" s="3" t="s">
        <v>93</v>
      </c>
      <c r="D11" s="3" t="s">
        <v>94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95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96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97</v>
      </c>
      <c r="B5" s="8">
        <f>IFERROR(INDEX(Расчет!$A$5:$A$64,Оценка_тренда!$B$4),"")</f>
        <v>46235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98</v>
      </c>
      <c r="B6" s="9" t="str">
        <f>IFERROR(INDEX(Расчет!$K$5:$K$64,Оценка_тренда!$B$4),"")</f>
        <v/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/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99</v>
      </c>
      <c r="B8" s="9">
        <f>MIN(Расчет!$K$5:$K$64)</f>
        <v>1.5190600013500573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100</v>
      </c>
      <c r="B9" s="9">
        <f>MAX(Расчет!$K$5:$K$64)</f>
        <v>1.5190600013500575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101</v>
      </c>
      <c r="B10" s="9">
        <f>B9-B8</f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42</v>
      </c>
      <c r="C13" s="2" t="s">
        <v>9</v>
      </c>
      <c r="D13" s="2" t="s">
        <v>51</v>
      </c>
      <c r="E13" s="2" t="s">
        <v>45</v>
      </c>
      <c r="F13" s="2" t="s">
        <v>46</v>
      </c>
      <c r="G13" s="2" t="s">
        <v>102</v>
      </c>
      <c r="H13" s="2" t="s">
        <v>103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45536</v>
      </c>
      <c r="B14" s="5">
        <f>Расчет!G5</f>
        <v>55.2</v>
      </c>
      <c r="C14" s="5" t="str">
        <f>Расчет!H5</f>
        <v/>
      </c>
      <c r="D14" s="5" t="str">
        <f>IFERROR(VLOOKUP(Расчет!B5,Сезонность!$A$4:$D$15,4,FALSE),"")</f>
        <v/>
      </c>
      <c r="E14" s="5" t="str">
        <f>Расчет!J5</f>
        <v/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45566</v>
      </c>
      <c r="B15" s="5">
        <f>Расчет!G6</f>
        <v>28.75</v>
      </c>
      <c r="C15" s="5" t="str">
        <f>Расчет!H6</f>
        <v/>
      </c>
      <c r="D15" s="5">
        <f>IFERROR(VLOOKUP(Расчет!B6,Сезонность!$A$4:$D$15,4,FALSE),"")</f>
        <v>0.94981386544605284</v>
      </c>
      <c r="E15" s="5">
        <f>Расчет!J6</f>
        <v>30.269088550837683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45597</v>
      </c>
      <c r="B16" s="5">
        <f>Расчет!G7</f>
        <v>44</v>
      </c>
      <c r="C16" s="5" t="str">
        <f>Расчет!H7</f>
        <v/>
      </c>
      <c r="D16" s="5">
        <f>IFERROR(VLOOKUP(Расчет!B7,Сезонность!$A$4:$D$15,4,FALSE),"")</f>
        <v>0.72912304924719962</v>
      </c>
      <c r="E16" s="5">
        <f>Расчет!J7</f>
        <v>60.346466958394529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45627</v>
      </c>
      <c r="B17" s="5">
        <f>Расчет!G8</f>
        <v>28.4</v>
      </c>
      <c r="C17" s="5" t="str">
        <f>Расчет!H8</f>
        <v/>
      </c>
      <c r="D17" s="5">
        <f>IFERROR(VLOOKUP(Расчет!B8,Сезонность!$A$4:$D$15,4,FALSE),"")</f>
        <v>2.2894519118553811</v>
      </c>
      <c r="E17" s="5">
        <f>Расчет!J8</f>
        <v>12.404715667071828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45658</v>
      </c>
      <c r="B18" s="5">
        <f>Расчет!G9</f>
        <v>10.75</v>
      </c>
      <c r="C18" s="5" t="str">
        <f>Расчет!H9</f>
        <v/>
      </c>
      <c r="D18" s="5" t="str">
        <f>IFERROR(VLOOKUP(Расчет!B9,Сезонность!$A$4:$D$15,4,FALSE),"")</f>
        <v/>
      </c>
      <c r="E18" s="5" t="str">
        <f>Расчет!J9</f>
        <v/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45689</v>
      </c>
      <c r="B19" s="5">
        <f>Расчет!G10</f>
        <v>15.75</v>
      </c>
      <c r="C19" s="5" t="str">
        <f>Расчет!H10</f>
        <v/>
      </c>
      <c r="D19" s="5">
        <f>IFERROR(VLOOKUP(Расчет!B10,Сезонность!$A$4:$D$15,4,FALSE),"")</f>
        <v>0.94902746898705048</v>
      </c>
      <c r="E19" s="5">
        <f>Расчет!J10</f>
        <v>16.5959369087713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45717</v>
      </c>
      <c r="B20" s="5">
        <f>Расчет!G11</f>
        <v>24.2</v>
      </c>
      <c r="C20" s="5" t="str">
        <f>Расчет!H11</f>
        <v/>
      </c>
      <c r="D20" s="5">
        <f>IFERROR(VLOOKUP(Расчет!B11,Сезонность!$A$4:$D$15,4,FALSE),"")</f>
        <v>0.43725668936266937</v>
      </c>
      <c r="E20" s="5">
        <f>Расчет!J11</f>
        <v>55.34506524136453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45748</v>
      </c>
      <c r="B21" s="5">
        <f>Расчет!G12</f>
        <v>0</v>
      </c>
      <c r="C21" s="5" t="str">
        <f>Расчет!H12</f>
        <v/>
      </c>
      <c r="D21" s="5">
        <f>IFERROR(VLOOKUP(Расчет!B12,Сезонность!$A$4:$D$15,4,FALSE),"")</f>
        <v>0.64532701510164625</v>
      </c>
      <c r="E21" s="5">
        <f>Расчет!J12</f>
        <v>0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45778</v>
      </c>
      <c r="B22" s="5">
        <f>Расчет!G13</f>
        <v>34.25</v>
      </c>
      <c r="C22" s="5" t="str">
        <f>Расчет!H13</f>
        <v/>
      </c>
      <c r="D22" s="5" t="str">
        <f>IFERROR(VLOOKUP(Расчет!B13,Сезонность!$A$4:$D$15,4,FALSE),"")</f>
        <v/>
      </c>
      <c r="E22" s="5" t="str">
        <f>Расчет!J13</f>
        <v/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45809</v>
      </c>
      <c r="B23" s="5">
        <f>Расчет!G14</f>
        <v>14.6</v>
      </c>
      <c r="C23" s="5" t="str">
        <f>Расчет!H14</f>
        <v/>
      </c>
      <c r="D23" s="5" t="str">
        <f>IFERROR(VLOOKUP(Расчет!B14,Сезонность!$A$4:$D$15,4,FALSE),"")</f>
        <v/>
      </c>
      <c r="E23" s="5" t="str">
        <f>Расчет!J14</f>
        <v/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45839</v>
      </c>
      <c r="B24" s="5">
        <f>Расчет!G15</f>
        <v>0</v>
      </c>
      <c r="C24" s="5" t="str">
        <f>Расчет!H15</f>
        <v/>
      </c>
      <c r="D24" s="5" t="str">
        <f>IFERROR(VLOOKUP(Расчет!B15,Сезонность!$A$4:$D$15,4,FALSE),"")</f>
        <v/>
      </c>
      <c r="E24" s="5" t="str">
        <f>Расчет!J15</f>
        <v/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45870</v>
      </c>
      <c r="B25" s="5">
        <f>Расчет!G16</f>
        <v>0</v>
      </c>
      <c r="C25" s="5">
        <f>Расчет!H16</f>
        <v>21.324999999999999</v>
      </c>
      <c r="D25" s="5" t="str">
        <f>IFERROR(VLOOKUP(Расчет!B16,Сезонность!$A$4:$D$15,4,FALSE),"")</f>
        <v/>
      </c>
      <c r="E25" s="5" t="str">
        <f>Расчет!J16</f>
        <v/>
      </c>
      <c r="F25" s="5" t="str">
        <f>Расчет!K16</f>
        <v/>
      </c>
      <c r="G25" s="3" t="str">
        <f>Расчет!L16</f>
        <v/>
      </c>
      <c r="H25" s="3" t="str">
        <f t="shared" si="0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45901</v>
      </c>
      <c r="B26" s="5">
        <f>Расчет!G17</f>
        <v>0</v>
      </c>
      <c r="C26" s="5">
        <f>Расчет!H17</f>
        <v>16.724999999999998</v>
      </c>
      <c r="D26" s="5" t="str">
        <f>IFERROR(VLOOKUP(Расчет!B17,Сезонность!$A$4:$D$15,4,FALSE),"")</f>
        <v/>
      </c>
      <c r="E26" s="5" t="str">
        <f>Расчет!J17</f>
        <v/>
      </c>
      <c r="F26" s="5" t="str">
        <f>Расчет!K17</f>
        <v/>
      </c>
      <c r="G26" s="3" t="str">
        <f>Расчет!L17</f>
        <v/>
      </c>
      <c r="H26" s="3" t="str">
        <f t="shared" si="0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45931</v>
      </c>
      <c r="B27" s="5">
        <f>Расчет!G18</f>
        <v>23.5</v>
      </c>
      <c r="C27" s="5">
        <f>Расчет!H18</f>
        <v>16.287500000000001</v>
      </c>
      <c r="D27" s="5">
        <f>IFERROR(VLOOKUP(Расчет!B18,Сезонность!$A$4:$D$15,4,FALSE),"")</f>
        <v>0.94981386544605284</v>
      </c>
      <c r="E27" s="5">
        <f>Расчет!J18</f>
        <v>24.741689771989062</v>
      </c>
      <c r="F27" s="5">
        <f>Расчет!K18</f>
        <v>1.5190600013500575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45962</v>
      </c>
      <c r="B28" s="5">
        <f>Расчет!G19</f>
        <v>15.4</v>
      </c>
      <c r="C28" s="5">
        <f>Расчет!H19</f>
        <v>13.904166666666667</v>
      </c>
      <c r="D28" s="5">
        <f>IFERROR(VLOOKUP(Расчет!B19,Сезонность!$A$4:$D$15,4,FALSE),"")</f>
        <v>0.72912304924719962</v>
      </c>
      <c r="E28" s="5">
        <f>Расчет!J19</f>
        <v>21.121263435438085</v>
      </c>
      <c r="F28" s="5">
        <f>Расчет!K19</f>
        <v>1.5190600013500573</v>
      </c>
      <c r="G28" s="3" t="str">
        <f>Расчет!L19</f>
        <v>выше тренда</v>
      </c>
      <c r="H28" s="3" t="str">
        <f t="shared" si="0"/>
        <v>период активизации продвижения и продаж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45992</v>
      </c>
      <c r="B29" s="5">
        <f>Расчет!G20</f>
        <v>56.5</v>
      </c>
      <c r="C29" s="5">
        <f>Расчет!H20</f>
        <v>16.245833333333334</v>
      </c>
      <c r="D29" s="5">
        <f>IFERROR(VLOOKUP(Расчет!B20,Сезонность!$A$4:$D$15,4,FALSE),"")</f>
        <v>2.2894519118553811</v>
      </c>
      <c r="E29" s="5">
        <f>Расчет!J20</f>
        <v>24.67839560526614</v>
      </c>
      <c r="F29" s="5">
        <f>Расчет!K20</f>
        <v>1.5190600013500575</v>
      </c>
      <c r="G29" s="3" t="str">
        <f>Расчет!L20</f>
        <v>выше тренда</v>
      </c>
      <c r="H29" s="3" t="str">
        <f t="shared" si="0"/>
        <v>период активизации продвижения и продаж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46023</v>
      </c>
      <c r="B30" s="5">
        <f>Расчет!G21</f>
        <v>0</v>
      </c>
      <c r="C30" s="5">
        <f>Расчет!H21</f>
        <v>15.35</v>
      </c>
      <c r="D30" s="5" t="str">
        <f>IFERROR(VLOOKUP(Расчет!B21,Сезонность!$A$4:$D$15,4,FALSE),"")</f>
        <v/>
      </c>
      <c r="E30" s="5" t="str">
        <f>Расчет!J21</f>
        <v/>
      </c>
      <c r="F30" s="5" t="str">
        <f>Расчет!K21</f>
        <v/>
      </c>
      <c r="G30" s="3" t="str">
        <f>Расчет!L21</f>
        <v/>
      </c>
      <c r="H30" s="3" t="str">
        <f t="shared" si="0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46054</v>
      </c>
      <c r="B31" s="5">
        <f>Расчет!G22</f>
        <v>23</v>
      </c>
      <c r="C31" s="5">
        <f>Расчет!H22</f>
        <v>15.954166666666666</v>
      </c>
      <c r="D31" s="5">
        <f>IFERROR(VLOOKUP(Расчет!B22,Сезонность!$A$4:$D$15,4,FALSE),"")</f>
        <v>0.94902746898705048</v>
      </c>
      <c r="E31" s="5">
        <f>Расчет!J22</f>
        <v>24.235336438205707</v>
      </c>
      <c r="F31" s="5">
        <f>Расчет!K22</f>
        <v>1.5190600013500573</v>
      </c>
      <c r="G31" s="3" t="str">
        <f>Расчет!L22</f>
        <v>выше тренда</v>
      </c>
      <c r="H31" s="3" t="str">
        <f t="shared" si="0"/>
        <v>период активизации продвижения и продаж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46082</v>
      </c>
      <c r="B32" s="5">
        <f>Расчет!G23</f>
        <v>9.8000000000000007</v>
      </c>
      <c r="C32" s="5">
        <f>Расчет!H23</f>
        <v>14.754166666666668</v>
      </c>
      <c r="D32" s="5">
        <f>IFERROR(VLOOKUP(Расчет!B23,Сезонность!$A$4:$D$15,4,FALSE),"")</f>
        <v>0.43725668936266937</v>
      </c>
      <c r="E32" s="5">
        <f>Расчет!J23</f>
        <v>22.412464436585637</v>
      </c>
      <c r="F32" s="5">
        <f>Расчет!K23</f>
        <v>1.5190600013500573</v>
      </c>
      <c r="G32" s="3" t="str">
        <f>Расчет!L23</f>
        <v>выше тренда</v>
      </c>
      <c r="H32" s="3" t="str">
        <f t="shared" si="0"/>
        <v>период активизации продвижения и продаж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46113</v>
      </c>
      <c r="B33" s="5">
        <f>Расчет!G24</f>
        <v>15.75</v>
      </c>
      <c r="C33" s="5">
        <f>Расчет!H24</f>
        <v>16.066666666666666</v>
      </c>
      <c r="D33" s="5">
        <f>IFERROR(VLOOKUP(Расчет!B24,Сезонность!$A$4:$D$15,4,FALSE),"")</f>
        <v>0.64532701510164625</v>
      </c>
      <c r="E33" s="5">
        <f>Расчет!J24</f>
        <v>24.406230688357589</v>
      </c>
      <c r="F33" s="5">
        <f>Расчет!K24</f>
        <v>1.5190600013500573</v>
      </c>
      <c r="G33" s="3" t="str">
        <f>Расчет!L24</f>
        <v>выше тренда</v>
      </c>
      <c r="H33" s="3" t="str">
        <f t="shared" si="0"/>
        <v>период активизации продвижения и продаж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46143</v>
      </c>
      <c r="B34" s="5">
        <f>Расчет!G25</f>
        <v>0</v>
      </c>
      <c r="C34" s="5">
        <f>Расчет!H25</f>
        <v>13.2125</v>
      </c>
      <c r="D34" s="5" t="str">
        <f>IFERROR(VLOOKUP(Расчет!B25,Сезонность!$A$4:$D$15,4,FALSE),"")</f>
        <v/>
      </c>
      <c r="E34" s="5" t="str">
        <f>Расчет!J25</f>
        <v/>
      </c>
      <c r="F34" s="5" t="str">
        <f>Расчет!K25</f>
        <v/>
      </c>
      <c r="G34" s="3" t="str">
        <f>Расчет!L25</f>
        <v/>
      </c>
      <c r="H34" s="3" t="str">
        <f t="shared" si="0"/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46174</v>
      </c>
      <c r="B35" s="5">
        <f>Расчет!G26</f>
        <v>0</v>
      </c>
      <c r="C35" s="5">
        <f>Расчет!H26</f>
        <v>11.995833333333335</v>
      </c>
      <c r="D35" s="5" t="str">
        <f>IFERROR(VLOOKUP(Расчет!B26,Сезонность!$A$4:$D$15,4,FALSE),"")</f>
        <v/>
      </c>
      <c r="E35" s="5" t="str">
        <f>Расчет!J26</f>
        <v/>
      </c>
      <c r="F35" s="5" t="str">
        <f>Расчет!K26</f>
        <v/>
      </c>
      <c r="G35" s="3" t="str">
        <f>Расчет!L26</f>
        <v/>
      </c>
      <c r="H35" s="3" t="str">
        <f t="shared" si="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46204</v>
      </c>
      <c r="B36" s="5">
        <f>Расчет!G27</f>
        <v>0</v>
      </c>
      <c r="C36" s="5">
        <f>Расчет!H27</f>
        <v>11.995833333333335</v>
      </c>
      <c r="D36" s="5" t="str">
        <f>IFERROR(VLOOKUP(Расчет!B27,Сезонность!$A$4:$D$15,4,FALSE),"")</f>
        <v/>
      </c>
      <c r="E36" s="5" t="str">
        <f>Расчет!J27</f>
        <v/>
      </c>
      <c r="F36" s="5" t="str">
        <f>Расчет!K27</f>
        <v/>
      </c>
      <c r="G36" s="3" t="str">
        <f>Расчет!L27</f>
        <v/>
      </c>
      <c r="H36" s="3" t="str">
        <f t="shared" si="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46235</v>
      </c>
      <c r="B37" s="5">
        <f>Расчет!G28</f>
        <v>0</v>
      </c>
      <c r="C37" s="5">
        <f>Расчет!H28</f>
        <v>11.995833333333335</v>
      </c>
      <c r="D37" s="5" t="str">
        <f>IFERROR(VLOOKUP(Расчет!B28,Сезонность!$A$4:$D$15,4,FALSE),"")</f>
        <v/>
      </c>
      <c r="E37" s="5" t="str">
        <f>Расчет!J28</f>
        <v/>
      </c>
      <c r="F37" s="5" t="str">
        <f>Расчет!K28</f>
        <v/>
      </c>
      <c r="G37" s="3" t="str">
        <f>Расчет!L28</f>
        <v/>
      </c>
      <c r="H37" s="3" t="str">
        <f t="shared" si="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 t="str">
        <f>Расчет!A29</f>
        <v/>
      </c>
      <c r="B38" s="5" t="str">
        <f>Расчет!G29</f>
        <v/>
      </c>
      <c r="C38" s="5" t="str">
        <f>Расчет!H29</f>
        <v/>
      </c>
      <c r="D38" s="5" t="str">
        <f>IFERROR(VLOOKUP(Расчет!B29,Сезонность!$A$4:$D$15,4,FALSE),"")</f>
        <v/>
      </c>
      <c r="E38" s="5" t="str">
        <f>Расчет!J29</f>
        <v/>
      </c>
      <c r="F38" s="5" t="str">
        <f>Расчет!K29</f>
        <v/>
      </c>
      <c r="G38" s="3" t="str">
        <f>Расчет!L29</f>
        <v/>
      </c>
      <c r="H38" s="3" t="str">
        <f t="shared" si="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 t="str">
        <f>Расчет!A30</f>
        <v/>
      </c>
      <c r="B39" s="5" t="str">
        <f>Расчет!G30</f>
        <v/>
      </c>
      <c r="C39" s="5" t="str">
        <f>Расчет!H30</f>
        <v/>
      </c>
      <c r="D39" s="5" t="str">
        <f>IFERROR(VLOOKUP(Расчет!B30,Сезонность!$A$4:$D$15,4,FALSE),"")</f>
        <v/>
      </c>
      <c r="E39" s="5" t="str">
        <f>Расчет!J30</f>
        <v/>
      </c>
      <c r="F39" s="5" t="str">
        <f>Расчет!K30</f>
        <v/>
      </c>
      <c r="G39" s="3" t="str">
        <f>Расчет!L30</f>
        <v/>
      </c>
      <c r="H39" s="3" t="str">
        <f t="shared" si="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 t="str">
        <f>Расчет!A31</f>
        <v/>
      </c>
      <c r="B40" s="5" t="str">
        <f>Расчет!G31</f>
        <v/>
      </c>
      <c r="C40" s="5" t="str">
        <f>Расчет!H31</f>
        <v/>
      </c>
      <c r="D40" s="5" t="str">
        <f>IFERROR(VLOOKUP(Расчет!B31,Сезонность!$A$4:$D$15,4,FALSE),"")</f>
        <v/>
      </c>
      <c r="E40" s="5" t="str">
        <f>Расчет!J31</f>
        <v/>
      </c>
      <c r="F40" s="5" t="str">
        <f>Расчет!K31</f>
        <v/>
      </c>
      <c r="G40" s="3" t="str">
        <f>Расчет!L31</f>
        <v/>
      </c>
      <c r="H40" s="3" t="str">
        <f t="shared" si="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Расчет!A32</f>
        <v/>
      </c>
      <c r="B41" s="5" t="str">
        <f>Расчет!G32</f>
        <v/>
      </c>
      <c r="C41" s="5" t="str">
        <f>Расчет!H32</f>
        <v/>
      </c>
      <c r="D41" s="5" t="str">
        <f>IFERROR(VLOOKUP(Расчет!B32,Сезонность!$A$4:$D$15,4,FALSE),"")</f>
        <v/>
      </c>
      <c r="E41" s="5" t="str">
        <f>Расчет!J32</f>
        <v/>
      </c>
      <c r="F41" s="5" t="str">
        <f>Расчет!K32</f>
        <v/>
      </c>
      <c r="G41" s="3" t="str">
        <f>Расчет!L32</f>
        <v/>
      </c>
      <c r="H41" s="3" t="str">
        <f t="shared" si="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Расчет!A33</f>
        <v/>
      </c>
      <c r="B42" s="5" t="str">
        <f>Расчет!G33</f>
        <v/>
      </c>
      <c r="C42" s="5" t="str">
        <f>Расчет!H33</f>
        <v/>
      </c>
      <c r="D42" s="5" t="str">
        <f>IFERROR(VLOOKUP(Расчет!B33,Сезонность!$A$4:$D$15,4,FALSE),"")</f>
        <v/>
      </c>
      <c r="E42" s="5" t="str">
        <f>Расчет!J33</f>
        <v/>
      </c>
      <c r="F42" s="5" t="str">
        <f>Расчет!K33</f>
        <v/>
      </c>
      <c r="G42" s="3" t="str">
        <f>Расчет!L33</f>
        <v/>
      </c>
      <c r="H42" s="3" t="str">
        <f t="shared" si="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Расчет!A34</f>
        <v/>
      </c>
      <c r="B43" s="5" t="str">
        <f>Расчет!G34</f>
        <v/>
      </c>
      <c r="C43" s="5" t="str">
        <f>Расчет!H34</f>
        <v/>
      </c>
      <c r="D43" s="5" t="str">
        <f>IFERROR(VLOOKUP(Расчет!B34,Сезонность!$A$4:$D$15,4,FALSE),"")</f>
        <v/>
      </c>
      <c r="E43" s="5" t="str">
        <f>Расчет!J34</f>
        <v/>
      </c>
      <c r="F43" s="5" t="str">
        <f>Расчет!K34</f>
        <v/>
      </c>
      <c r="G43" s="3" t="str">
        <f>Расчет!L34</f>
        <v/>
      </c>
      <c r="H43" s="3" t="str">
        <f t="shared" si="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Расчет!A35</f>
        <v/>
      </c>
      <c r="B44" s="5" t="str">
        <f>Расчет!G35</f>
        <v/>
      </c>
      <c r="C44" s="5" t="str">
        <f>Расчет!H35</f>
        <v/>
      </c>
      <c r="D44" s="5" t="str">
        <f>IFERROR(VLOOKUP(Расчет!B35,Сезонность!$A$4:$D$15,4,FALSE),"")</f>
        <v/>
      </c>
      <c r="E44" s="5" t="str">
        <f>Расчет!J35</f>
        <v/>
      </c>
      <c r="F44" s="5" t="str">
        <f>Расчет!K35</f>
        <v/>
      </c>
      <c r="G44" s="3" t="str">
        <f>Расчет!L35</f>
        <v/>
      </c>
      <c r="H44" s="3" t="str">
        <f t="shared" si="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Расчет!A36</f>
        <v/>
      </c>
      <c r="B45" s="5" t="str">
        <f>Расчет!G36</f>
        <v/>
      </c>
      <c r="C45" s="5" t="str">
        <f>Расчет!H36</f>
        <v/>
      </c>
      <c r="D45" s="5" t="str">
        <f>IFERROR(VLOOKUP(Расчет!B36,Сезонность!$A$4:$D$15,4,FALSE),"")</f>
        <v/>
      </c>
      <c r="E45" s="5" t="str">
        <f>Расчет!J36</f>
        <v/>
      </c>
      <c r="F45" s="5" t="str">
        <f>Расчет!K36</f>
        <v/>
      </c>
      <c r="G45" s="3" t="str">
        <f>Расчет!L36</f>
        <v/>
      </c>
      <c r="H45" s="3" t="str">
        <f t="shared" si="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Расчет!A37</f>
        <v/>
      </c>
      <c r="B46" s="5" t="str">
        <f>Расчет!G37</f>
        <v/>
      </c>
      <c r="C46" s="5" t="str">
        <f>Расчет!H37</f>
        <v/>
      </c>
      <c r="D46" s="5" t="str">
        <f>IFERROR(VLOOKUP(Расчет!B37,Сезонность!$A$4:$D$15,4,FALSE),"")</f>
        <v/>
      </c>
      <c r="E46" s="5" t="str">
        <f>Расчет!J37</f>
        <v/>
      </c>
      <c r="F46" s="5" t="str">
        <f>Расчет!K37</f>
        <v/>
      </c>
      <c r="G46" s="3" t="str">
        <f>Расчет!L37</f>
        <v/>
      </c>
      <c r="H46" s="3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Расчет!A38</f>
        <v/>
      </c>
      <c r="B47" s="5" t="str">
        <f>Расчет!G38</f>
        <v/>
      </c>
      <c r="C47" s="5" t="str">
        <f>Расчет!H38</f>
        <v/>
      </c>
      <c r="D47" s="5" t="str">
        <f>IFERROR(VLOOKUP(Расчет!B38,Сезонность!$A$4:$D$15,4,FALSE),"")</f>
        <v/>
      </c>
      <c r="E47" s="5" t="str">
        <f>Расчет!J38</f>
        <v/>
      </c>
      <c r="F47" s="5" t="str">
        <f>Расчет!K38</f>
        <v/>
      </c>
      <c r="G47" s="3" t="str">
        <f>Расчет!L38</f>
        <v/>
      </c>
      <c r="H47" s="3" t="str">
        <f t="shared" si="1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Расчет!A39</f>
        <v/>
      </c>
      <c r="B48" s="5" t="str">
        <f>Расчет!G39</f>
        <v/>
      </c>
      <c r="C48" s="5" t="str">
        <f>Расчет!H39</f>
        <v/>
      </c>
      <c r="D48" s="5" t="str">
        <f>IFERROR(VLOOKUP(Расчет!B39,Сезонность!$A$4:$D$15,4,FALSE),"")</f>
        <v/>
      </c>
      <c r="E48" s="5" t="str">
        <f>Расчет!J39</f>
        <v/>
      </c>
      <c r="F48" s="5" t="str">
        <f>Расчет!K39</f>
        <v/>
      </c>
      <c r="G48" s="3" t="str">
        <f>Расчет!L39</f>
        <v/>
      </c>
      <c r="H48" s="3" t="str">
        <f t="shared" si="1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Расчет!A40</f>
        <v/>
      </c>
      <c r="B49" s="5" t="str">
        <f>Расчет!G40</f>
        <v/>
      </c>
      <c r="C49" s="5" t="str">
        <f>Расчет!H40</f>
        <v/>
      </c>
      <c r="D49" s="5" t="str">
        <f>IFERROR(VLOOKUP(Расчет!B40,Сезонность!$A$4:$D$15,4,FALSE),"")</f>
        <v/>
      </c>
      <c r="E49" s="5" t="str">
        <f>Расчет!J40</f>
        <v/>
      </c>
      <c r="F49" s="5" t="str">
        <f>Расчет!K40</f>
        <v/>
      </c>
      <c r="G49" s="3" t="str">
        <f>Расчет!L40</f>
        <v/>
      </c>
      <c r="H49" s="3" t="str">
        <f t="shared" si="1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1"/>
  <sheetViews>
    <sheetView topLeftCell="A22" workbookViewId="0">
      <selection activeCell="A32" sqref="A32:H32"/>
    </sheetView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104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105</v>
      </c>
      <c r="B3" s="2" t="s">
        <v>106</v>
      </c>
      <c r="C3" s="2" t="s">
        <v>107</v>
      </c>
      <c r="D3" s="2" t="s">
        <v>108</v>
      </c>
      <c r="E3" s="2" t="s">
        <v>29</v>
      </c>
      <c r="F3" s="2" t="s">
        <v>109</v>
      </c>
      <c r="G3" s="2" t="s">
        <v>110</v>
      </c>
      <c r="H3" s="2" t="s">
        <v>111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10">
        <v>46294</v>
      </c>
      <c r="B4" s="3" t="s">
        <v>39</v>
      </c>
      <c r="C4" s="3" t="s">
        <v>185</v>
      </c>
      <c r="D4" s="3" t="s">
        <v>112</v>
      </c>
      <c r="E4" s="3" t="s">
        <v>186</v>
      </c>
      <c r="F4" s="3" t="s">
        <v>187</v>
      </c>
      <c r="G4" s="3" t="s">
        <v>188</v>
      </c>
      <c r="H4" s="3" t="s">
        <v>225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10">
        <v>46294</v>
      </c>
      <c r="B5" s="3" t="s">
        <v>39</v>
      </c>
      <c r="C5" s="3" t="s">
        <v>189</v>
      </c>
      <c r="D5" s="3" t="s">
        <v>112</v>
      </c>
      <c r="E5" s="3" t="s">
        <v>186</v>
      </c>
      <c r="F5" s="3" t="s">
        <v>187</v>
      </c>
      <c r="G5" s="3" t="s">
        <v>190</v>
      </c>
      <c r="H5" s="3" t="s">
        <v>226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10">
        <v>46294</v>
      </c>
      <c r="B6" s="3" t="s">
        <v>39</v>
      </c>
      <c r="C6" s="3" t="s">
        <v>191</v>
      </c>
      <c r="D6" s="3" t="s">
        <v>112</v>
      </c>
      <c r="E6" s="3" t="s">
        <v>186</v>
      </c>
      <c r="F6" s="3" t="s">
        <v>187</v>
      </c>
      <c r="G6" s="3" t="s">
        <v>192</v>
      </c>
      <c r="H6" s="3" t="s">
        <v>227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8.25">
      <c r="A7" s="10">
        <v>46294</v>
      </c>
      <c r="B7" s="3" t="s">
        <v>39</v>
      </c>
      <c r="C7" s="3" t="s">
        <v>193</v>
      </c>
      <c r="D7" s="3" t="s">
        <v>112</v>
      </c>
      <c r="E7" s="3" t="s">
        <v>186</v>
      </c>
      <c r="F7" s="3" t="s">
        <v>187</v>
      </c>
      <c r="G7" s="3" t="s">
        <v>194</v>
      </c>
      <c r="H7" s="3" t="s">
        <v>228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8.25">
      <c r="A8" s="10">
        <v>46294</v>
      </c>
      <c r="B8" s="3" t="s">
        <v>39</v>
      </c>
      <c r="C8" s="3" t="s">
        <v>195</v>
      </c>
      <c r="D8" s="3" t="s">
        <v>112</v>
      </c>
      <c r="E8" s="3" t="s">
        <v>196</v>
      </c>
      <c r="F8" s="3" t="s">
        <v>187</v>
      </c>
      <c r="G8" s="3" t="s">
        <v>197</v>
      </c>
      <c r="H8" s="3" t="s">
        <v>198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10">
        <v>46294</v>
      </c>
      <c r="B9" s="3" t="s">
        <v>39</v>
      </c>
      <c r="C9" s="3" t="s">
        <v>199</v>
      </c>
      <c r="D9" s="3" t="s">
        <v>200</v>
      </c>
      <c r="E9" s="3" t="s">
        <v>186</v>
      </c>
      <c r="F9" s="3" t="s">
        <v>187</v>
      </c>
      <c r="G9" s="3" t="s">
        <v>201</v>
      </c>
      <c r="H9" s="3" t="s">
        <v>229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10">
        <v>46294</v>
      </c>
      <c r="B10" s="3" t="s">
        <v>113</v>
      </c>
      <c r="C10" s="3" t="s">
        <v>183</v>
      </c>
      <c r="D10" s="3" t="s">
        <v>202</v>
      </c>
      <c r="E10" s="3" t="s">
        <v>203</v>
      </c>
      <c r="F10" s="3" t="s">
        <v>187</v>
      </c>
      <c r="G10" s="3" t="s">
        <v>204</v>
      </c>
      <c r="H10" s="3" t="s">
        <v>230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10">
        <v>46294</v>
      </c>
      <c r="B11" s="3" t="s">
        <v>113</v>
      </c>
      <c r="C11" s="3" t="s">
        <v>205</v>
      </c>
      <c r="D11" s="3" t="s">
        <v>202</v>
      </c>
      <c r="E11" s="3" t="s">
        <v>203</v>
      </c>
      <c r="F11" s="3" t="s">
        <v>187</v>
      </c>
      <c r="G11" s="3" t="s">
        <v>206</v>
      </c>
      <c r="H11" s="3" t="s">
        <v>230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10">
        <v>46294</v>
      </c>
      <c r="B12" s="3" t="s">
        <v>113</v>
      </c>
      <c r="C12" s="3" t="s">
        <v>207</v>
      </c>
      <c r="D12" s="3" t="s">
        <v>202</v>
      </c>
      <c r="E12" s="3" t="s">
        <v>208</v>
      </c>
      <c r="F12" s="3" t="s">
        <v>209</v>
      </c>
      <c r="G12" s="3" t="s">
        <v>210</v>
      </c>
      <c r="H12" s="3" t="s">
        <v>211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10">
        <v>46294</v>
      </c>
      <c r="B13" s="3" t="s">
        <v>113</v>
      </c>
      <c r="C13" s="3" t="s">
        <v>183</v>
      </c>
      <c r="D13" s="3" t="s">
        <v>212</v>
      </c>
      <c r="E13" s="3" t="s">
        <v>213</v>
      </c>
      <c r="F13" s="3" t="s">
        <v>214</v>
      </c>
      <c r="G13" s="3" t="s">
        <v>214</v>
      </c>
      <c r="H13" s="3" t="s">
        <v>215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>
        <v>46294</v>
      </c>
      <c r="B14" s="3" t="s">
        <v>216</v>
      </c>
      <c r="C14" s="3" t="s">
        <v>217</v>
      </c>
      <c r="D14" s="3" t="s">
        <v>214</v>
      </c>
      <c r="E14" s="3" t="s">
        <v>218</v>
      </c>
      <c r="F14" s="3" t="s">
        <v>219</v>
      </c>
      <c r="G14" s="3" t="s">
        <v>214</v>
      </c>
      <c r="H14" s="3" t="s">
        <v>220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>
        <v>46294</v>
      </c>
      <c r="B15" s="3" t="s">
        <v>216</v>
      </c>
      <c r="C15" s="3" t="s">
        <v>221</v>
      </c>
      <c r="D15" s="3" t="s">
        <v>214</v>
      </c>
      <c r="E15" s="3" t="s">
        <v>218</v>
      </c>
      <c r="F15" s="3" t="s">
        <v>219</v>
      </c>
      <c r="G15" s="3" t="s">
        <v>214</v>
      </c>
      <c r="H15" s="3" t="s">
        <v>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10">
        <v>46294</v>
      </c>
      <c r="B16" s="3" t="s">
        <v>216</v>
      </c>
      <c r="C16" s="3" t="s">
        <v>223</v>
      </c>
      <c r="D16" s="3" t="s">
        <v>214</v>
      </c>
      <c r="E16" s="3" t="s">
        <v>214</v>
      </c>
      <c r="F16" s="3" t="s">
        <v>219</v>
      </c>
      <c r="G16" s="3" t="s">
        <v>214</v>
      </c>
      <c r="H16" s="3" t="s">
        <v>224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>
      <c r="A17" s="10">
        <v>46294</v>
      </c>
      <c r="B17" s="3" t="s">
        <v>39</v>
      </c>
      <c r="C17" s="3" t="s">
        <v>231</v>
      </c>
      <c r="D17" s="3" t="s">
        <v>112</v>
      </c>
      <c r="E17" s="3" t="s">
        <v>186</v>
      </c>
      <c r="F17" s="3" t="s">
        <v>187</v>
      </c>
      <c r="G17" s="3" t="s">
        <v>232</v>
      </c>
      <c r="H17" s="3" t="s">
        <v>233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.25">
      <c r="A18" s="10">
        <v>46294</v>
      </c>
      <c r="B18" s="3" t="s">
        <v>39</v>
      </c>
      <c r="C18" s="3" t="s">
        <v>234</v>
      </c>
      <c r="D18" s="3" t="s">
        <v>112</v>
      </c>
      <c r="E18" s="3" t="s">
        <v>186</v>
      </c>
      <c r="F18" s="3" t="s">
        <v>187</v>
      </c>
      <c r="G18" s="3" t="s">
        <v>235</v>
      </c>
      <c r="H18" s="3" t="s">
        <v>236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8.25">
      <c r="A19" s="10">
        <v>46294</v>
      </c>
      <c r="B19" s="3" t="s">
        <v>39</v>
      </c>
      <c r="C19" s="3" t="s">
        <v>237</v>
      </c>
      <c r="D19" s="3" t="s">
        <v>112</v>
      </c>
      <c r="E19" s="3" t="s">
        <v>196</v>
      </c>
      <c r="F19" s="3" t="s">
        <v>187</v>
      </c>
      <c r="G19" s="3" t="s">
        <v>238</v>
      </c>
      <c r="H19" s="3" t="s">
        <v>239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8.25">
      <c r="A20" s="10">
        <v>46295</v>
      </c>
      <c r="B20" s="3" t="s">
        <v>39</v>
      </c>
      <c r="C20" s="3" t="s">
        <v>240</v>
      </c>
      <c r="D20" s="3" t="s">
        <v>112</v>
      </c>
      <c r="E20" s="3" t="s">
        <v>196</v>
      </c>
      <c r="F20" s="3" t="s">
        <v>187</v>
      </c>
      <c r="G20" s="3" t="s">
        <v>241</v>
      </c>
      <c r="H20" s="3" t="s">
        <v>242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8.25">
      <c r="A21" s="10">
        <v>46295</v>
      </c>
      <c r="B21" s="3" t="s">
        <v>39</v>
      </c>
      <c r="C21" s="3" t="s">
        <v>185</v>
      </c>
      <c r="D21" s="3" t="s">
        <v>112</v>
      </c>
      <c r="E21" s="3" t="s">
        <v>243</v>
      </c>
      <c r="F21" s="3" t="s">
        <v>187</v>
      </c>
      <c r="G21" s="3" t="s">
        <v>244</v>
      </c>
      <c r="H21" s="3" t="s">
        <v>245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10">
        <v>46295</v>
      </c>
      <c r="B22" s="3" t="s">
        <v>113</v>
      </c>
      <c r="C22" s="3" t="s">
        <v>247</v>
      </c>
      <c r="D22" s="3" t="s">
        <v>202</v>
      </c>
      <c r="E22" s="3" t="s">
        <v>203</v>
      </c>
      <c r="F22" s="3" t="s">
        <v>187</v>
      </c>
      <c r="G22" s="3" t="s">
        <v>248</v>
      </c>
      <c r="H22" s="3" t="s">
        <v>249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8.25">
      <c r="A23" s="10">
        <v>46295</v>
      </c>
      <c r="B23" s="3" t="s">
        <v>113</v>
      </c>
      <c r="C23" s="3" t="s">
        <v>250</v>
      </c>
      <c r="D23" s="3" t="s">
        <v>202</v>
      </c>
      <c r="E23" s="3" t="s">
        <v>203</v>
      </c>
      <c r="F23" s="3" t="s">
        <v>187</v>
      </c>
      <c r="G23" s="3" t="s">
        <v>251</v>
      </c>
      <c r="H23" s="3" t="s">
        <v>252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8.25">
      <c r="A24" s="10">
        <v>46295</v>
      </c>
      <c r="B24" s="3" t="s">
        <v>113</v>
      </c>
      <c r="C24" s="3" t="s">
        <v>253</v>
      </c>
      <c r="D24" s="3" t="s">
        <v>202</v>
      </c>
      <c r="E24" s="3" t="s">
        <v>203</v>
      </c>
      <c r="F24" s="3" t="s">
        <v>187</v>
      </c>
      <c r="G24" s="3" t="s">
        <v>254</v>
      </c>
      <c r="H24" s="3" t="s">
        <v>255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8.25">
      <c r="A25" s="10">
        <v>46295</v>
      </c>
      <c r="B25" s="3" t="s">
        <v>113</v>
      </c>
      <c r="C25" s="3" t="s">
        <v>256</v>
      </c>
      <c r="D25" s="3" t="s">
        <v>202</v>
      </c>
      <c r="E25" s="3" t="s">
        <v>203</v>
      </c>
      <c r="F25" s="3" t="s">
        <v>187</v>
      </c>
      <c r="G25" s="3" t="s">
        <v>257</v>
      </c>
      <c r="H25" s="3" t="s">
        <v>258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8.25">
      <c r="A26" s="10">
        <v>46295</v>
      </c>
      <c r="B26" s="3" t="s">
        <v>113</v>
      </c>
      <c r="C26" s="3" t="s">
        <v>259</v>
      </c>
      <c r="D26" s="3" t="s">
        <v>202</v>
      </c>
      <c r="E26" s="3" t="s">
        <v>203</v>
      </c>
      <c r="F26" s="3" t="s">
        <v>187</v>
      </c>
      <c r="G26" s="3" t="s">
        <v>260</v>
      </c>
      <c r="H26" s="3" t="s">
        <v>261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25">
      <c r="A27" s="10">
        <v>46295</v>
      </c>
      <c r="B27" s="3" t="s">
        <v>113</v>
      </c>
      <c r="C27" s="3" t="s">
        <v>262</v>
      </c>
      <c r="D27" s="3" t="s">
        <v>202</v>
      </c>
      <c r="E27" s="3" t="s">
        <v>203</v>
      </c>
      <c r="F27" s="3" t="s">
        <v>187</v>
      </c>
      <c r="G27" s="3" t="s">
        <v>263</v>
      </c>
      <c r="H27" s="3" t="s">
        <v>264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25">
      <c r="A28" s="10">
        <v>46295</v>
      </c>
      <c r="B28" s="3" t="s">
        <v>113</v>
      </c>
      <c r="C28" s="3" t="s">
        <v>265</v>
      </c>
      <c r="D28" s="3" t="s">
        <v>202</v>
      </c>
      <c r="E28" s="3" t="s">
        <v>203</v>
      </c>
      <c r="F28" s="3" t="s">
        <v>187</v>
      </c>
      <c r="G28" s="3" t="s">
        <v>266</v>
      </c>
      <c r="H28" s="3" t="s">
        <v>267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8.25">
      <c r="A29" s="10">
        <v>46295</v>
      </c>
      <c r="B29" s="3" t="s">
        <v>113</v>
      </c>
      <c r="C29" s="3" t="s">
        <v>268</v>
      </c>
      <c r="D29" s="3" t="s">
        <v>202</v>
      </c>
      <c r="E29" s="3" t="s">
        <v>203</v>
      </c>
      <c r="F29" s="3" t="s">
        <v>187</v>
      </c>
      <c r="G29" s="3" t="s">
        <v>269</v>
      </c>
      <c r="H29" s="3" t="s">
        <v>270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1">
      <c r="A30" s="10">
        <v>46295</v>
      </c>
      <c r="B30" s="3" t="s">
        <v>113</v>
      </c>
      <c r="C30" s="3" t="s">
        <v>271</v>
      </c>
      <c r="D30" s="3" t="s">
        <v>202</v>
      </c>
      <c r="E30" s="3" t="s">
        <v>203</v>
      </c>
      <c r="F30" s="3" t="s">
        <v>187</v>
      </c>
      <c r="G30" s="3" t="s">
        <v>272</v>
      </c>
      <c r="H30" s="3" t="s">
        <v>273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1">
      <c r="A31" s="10">
        <v>46295</v>
      </c>
      <c r="B31" s="3" t="s">
        <v>113</v>
      </c>
      <c r="C31" s="3" t="s">
        <v>274</v>
      </c>
      <c r="D31" s="3" t="s">
        <v>275</v>
      </c>
      <c r="E31" s="3" t="s">
        <v>276</v>
      </c>
      <c r="F31" s="3" t="s">
        <v>187</v>
      </c>
      <c r="G31" s="3" t="s">
        <v>277</v>
      </c>
      <c r="H31" s="3" t="s">
        <v>278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8.25">
      <c r="A32" s="10">
        <v>46295</v>
      </c>
      <c r="B32" s="3" t="s">
        <v>113</v>
      </c>
      <c r="C32" s="3" t="s">
        <v>279</v>
      </c>
      <c r="D32" s="3" t="s">
        <v>202</v>
      </c>
      <c r="E32" s="3" t="s">
        <v>280</v>
      </c>
      <c r="F32" s="3" t="s">
        <v>187</v>
      </c>
      <c r="G32" s="3" t="s">
        <v>281</v>
      </c>
      <c r="H32" s="3" t="s">
        <v>282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0"/>
      <c r="B33" s="3"/>
      <c r="C33" s="3"/>
      <c r="D33" s="3"/>
      <c r="E33" s="3"/>
      <c r="F33" s="3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4">
      <c r="A34" s="10" t="s">
        <v>111</v>
      </c>
      <c r="B34" s="3" t="s">
        <v>246</v>
      </c>
      <c r="C34" s="3"/>
      <c r="D34" s="3"/>
      <c r="E34" s="3"/>
      <c r="F34" s="3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114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106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126</v>
      </c>
      <c r="B5" s="3" t="s">
        <v>127</v>
      </c>
      <c r="C5" s="3" t="s">
        <v>128</v>
      </c>
      <c r="D5" s="3" t="s">
        <v>129</v>
      </c>
      <c r="E5" s="3" t="s">
        <v>130</v>
      </c>
      <c r="F5" s="3" t="s">
        <v>131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137</v>
      </c>
      <c r="B7" s="3" t="s">
        <v>138</v>
      </c>
      <c r="C7" s="3" t="s">
        <v>139</v>
      </c>
      <c r="D7" s="3" t="s">
        <v>140</v>
      </c>
      <c r="E7" s="3" t="s">
        <v>141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142</v>
      </c>
      <c r="B8" s="3" t="s">
        <v>143</v>
      </c>
      <c r="C8" s="3" t="s">
        <v>144</v>
      </c>
      <c r="D8" s="3" t="s">
        <v>145</v>
      </c>
      <c r="E8" s="3" t="s">
        <v>146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147</v>
      </c>
      <c r="B9" s="3" t="s">
        <v>148</v>
      </c>
      <c r="C9" s="3" t="s">
        <v>149</v>
      </c>
      <c r="D9" s="3" t="s">
        <v>150</v>
      </c>
      <c r="E9" s="3" t="s">
        <v>151</v>
      </c>
      <c r="F9" s="3" t="s">
        <v>152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153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154</v>
      </c>
      <c r="B3" s="2" t="s">
        <v>4</v>
      </c>
      <c r="C3" s="2" t="s">
        <v>155</v>
      </c>
      <c r="D3" s="2" t="s">
        <v>156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157</v>
      </c>
      <c r="B4" s="5">
        <v>0.5</v>
      </c>
      <c r="C4" s="3" t="s">
        <v>158</v>
      </c>
      <c r="D4" s="3" t="s">
        <v>159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160</v>
      </c>
      <c r="B5" s="5">
        <v>0.5</v>
      </c>
      <c r="C5" s="3" t="s">
        <v>161</v>
      </c>
      <c r="D5" s="3" t="s">
        <v>159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162</v>
      </c>
      <c r="B6" s="5">
        <v>12</v>
      </c>
      <c r="C6" s="3" t="s">
        <v>163</v>
      </c>
      <c r="D6" s="3" t="s">
        <v>164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165</v>
      </c>
      <c r="B7" s="5">
        <v>0.3</v>
      </c>
      <c r="C7" s="3" t="s">
        <v>166</v>
      </c>
      <c r="D7" s="3" t="s">
        <v>167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168</v>
      </c>
      <c r="B8" s="5">
        <v>0.15</v>
      </c>
      <c r="C8" s="3" t="s">
        <v>169</v>
      </c>
      <c r="D8" s="3" t="s">
        <v>170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171</v>
      </c>
      <c r="B9" s="5">
        <v>-0.15</v>
      </c>
      <c r="C9" s="3" t="s">
        <v>172</v>
      </c>
      <c r="D9" s="3" t="s">
        <v>173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174</v>
      </c>
      <c r="B10" s="5">
        <v>0.15</v>
      </c>
      <c r="C10" s="3" t="s">
        <v>175</v>
      </c>
      <c r="D10" s="3" t="s">
        <v>176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177</v>
      </c>
      <c r="B11" s="5">
        <v>0.9</v>
      </c>
      <c r="C11" s="3" t="s">
        <v>178</v>
      </c>
      <c r="D11" s="3" t="s">
        <v>179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180</v>
      </c>
      <c r="B12" s="5">
        <v>1.1000000000000001</v>
      </c>
      <c r="C12" s="3" t="s">
        <v>181</v>
      </c>
      <c r="D12" s="3" t="s">
        <v>182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К. А. Хаджинова</cp:lastModifiedBy>
  <dcterms:modified xsi:type="dcterms:W3CDTF">2026-09-30T09:47:50Z</dcterms:modified>
</cp:coreProperties>
</file>