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738b1272e34c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545bcf1e926344cd"/>
    <x:sheet xmlns:r="http://schemas.openxmlformats.org/officeDocument/2006/relationships" name="Банк анализа" sheetId="2" r:id="R63d1fc67d21f4ffd"/>
    <x:sheet xmlns:r="http://schemas.openxmlformats.org/officeDocument/2006/relationships" name="Бизнес-логика" sheetId="3" r:id="R2f0d9a7ccab74a27"/>
    <x:sheet xmlns:r="http://schemas.openxmlformats.org/officeDocument/2006/relationships" name="Роли и сегменты" sheetId="4" r:id="Rd62cd82251c54b78"/>
    <x:sheet xmlns:r="http://schemas.openxmlformats.org/officeDocument/2006/relationships" name="Пользовательские сценарии" sheetId="5" r:id="R80ae33d79bc244d8"/>
    <x:sheet xmlns:r="http://schemas.openxmlformats.org/officeDocument/2006/relationships" name="Карта сценариев" sheetId="6" r:id="R9e37647bd3fd4607"/>
    <x:sheet xmlns:r="http://schemas.openxmlformats.org/officeDocument/2006/relationships" name="Функциональные требования" sheetId="7" r:id="R6422a6edc52249e9"/>
    <x:sheet xmlns:r="http://schemas.openxmlformats.org/officeDocument/2006/relationships" name="Приоритизация" sheetId="8" r:id="R89c2b282833141a7"/>
    <x:sheet xmlns:r="http://schemas.openxmlformats.org/officeDocument/2006/relationships" name="Связность" sheetId="9" r:id="Ra3b8838f24ba4577"/>
    <x:sheet xmlns:r="http://schemas.openxmlformats.org/officeDocument/2006/relationships" name="Дашборд" sheetId="10" r:id="R46023e753e2d4595"/>
    <x:sheet xmlns:r="http://schemas.openxmlformats.org/officeDocument/2006/relationships" name="Справочники" sheetId="11" r:id="Re04faeb1314445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%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F2937"/>
      <x:name val="Carlito"/>
    </x:font>
    <x:font>
      <x:b/>
      <x:sz val="11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C6E0B4"/>
      </x:patternFill>
    </x:fill>
    <x:fill>
      <x:patternFill patternType="solid">
        <x:fgColor rgb="D9EAF7"/>
      </x:patternFill>
    </x:fill>
    <x:fill>
      <x:patternFill patternType="solid">
        <x:fgColor rgb="FFFDE7"/>
      </x:patternFill>
    </x:fill>
    <x:fill>
      <x:patternFill patternType="solid">
        <x:fgColor rgb="1F4E79"/>
      </x:patternFill>
    </x:fill>
    <x:fill>
      <x:patternFill patternType="solid">
        <x:fgColor rgb="E8F5E9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left" wrapText="1"/>
    </x:xf>
    <x:xf numFmtId="0" fontId="2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left" wrapText="1"/>
    </x:xf>
    <x:xf numFmtId="0" fontId="2" fillId="4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201" fontId="0" fillId="7" borderId="0" xfId="0" applyNumberFormat="1" applyFont="1" applyFill="1" applyBorder="1" applyAlignment="1">
      <x:alignment vertical="top" wrapText="1"/>
    </x:xf>
    <x:xf numFmtId="201" fontId="0" fillId="7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202" fontId="0" fillId="7" borderId="0" xfId="0" applyNumberFormat="1" applyFont="1" applyFill="1" applyBorder="1" applyAlignment="1">
      <x:alignment vertical="top" wrapText="1"/>
    </x:xf>
    <x:xf numFmtId="202" fontId="0" fillId="7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8">
    <x:dxf>
      <x:fill>
        <x:patternFill patternType="solid">
          <x:bgColor rgb="FCE4D6"/>
        </x:patternFill>
      </x:fill>
    </x:dxf>
    <x:dxf>
      <x:font>
        <x:b/>
        <x:color rgb="FFFFFF"/>
      </x:font>
      <x:fill>
        <x:patternFill patternType="solid">
          <x:bgColor rgb="C00000"/>
        </x:patternFill>
      </x:fill>
    </x:dxf>
    <x:dxf>
      <x:font>
        <x:b/>
        <x:color rgb="1F2937"/>
      </x:font>
      <x:fill>
        <x:patternFill patternType="solid">
          <x:bgColor rgb="FFC000"/>
        </x:patternFill>
      </x:fill>
    </x:dxf>
    <x:dxf>
      <x:font>
        <x:b/>
      </x:font>
      <x:fill>
        <x:patternFill patternType="solid">
          <x:bgColor rgb="E2F0D9"/>
        </x:patternFill>
      </x:fill>
    </x:dxf>
    <x:dxf>
      <x:font>
        <x:b/>
      </x:font>
      <x:fill>
        <x:patternFill patternType="solid">
          <x:bgColor rgb="E2F0D9"/>
        </x:patternFill>
      </x:fill>
    </x:dxf>
    <x:dxf>
      <x:font>
        <x:b/>
      </x:font>
      <x:fill>
        <x:patternFill patternType="solid">
          <x:bgColor rgb="FCE4D6"/>
        </x:patternFill>
      </x:fill>
    </x:dxf>
    <x:dxf>
      <x:font>
        <x:b/>
      </x:font>
      <x:fill>
        <x:patternFill patternType="solid">
          <x:bgColor rgb="E2F0D9"/>
        </x:patternFill>
      </x:fill>
    </x:dxf>
    <x:dxf>
      <x:font>
        <x:b/>
      </x:font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c72bda5e1745cf" /><Relationship Type="http://schemas.openxmlformats.org/officeDocument/2006/relationships/theme" Target="/xl/theme/theme1.xml" Id="R5f0f9136f41743d7" /><Relationship Type="http://schemas.openxmlformats.org/officeDocument/2006/relationships/sharedStrings" Target="/xl/sharedStrings.xml" Id="Rd571d54e0c2d48a0" /><Relationship Type="http://schemas.openxmlformats.org/officeDocument/2006/relationships/worksheet" Target="/xl/worksheets/sheet1.xml" Id="R545bcf1e926344cd" /><Relationship Type="http://schemas.openxmlformats.org/officeDocument/2006/relationships/worksheet" Target="/xl/worksheets/sheet2.xml" Id="R63d1fc67d21f4ffd" /><Relationship Type="http://schemas.openxmlformats.org/officeDocument/2006/relationships/worksheet" Target="/xl/worksheets/sheet3.xml" Id="R2f0d9a7ccab74a27" /><Relationship Type="http://schemas.openxmlformats.org/officeDocument/2006/relationships/worksheet" Target="/xl/worksheets/sheet4.xml" Id="Rd62cd82251c54b78" /><Relationship Type="http://schemas.openxmlformats.org/officeDocument/2006/relationships/worksheet" Target="/xl/worksheets/sheet5.xml" Id="R80ae33d79bc244d8" /><Relationship Type="http://schemas.openxmlformats.org/officeDocument/2006/relationships/worksheet" Target="/xl/worksheets/sheet6.xml" Id="R9e37647bd3fd4607" /><Relationship Type="http://schemas.openxmlformats.org/officeDocument/2006/relationships/worksheet" Target="/xl/worksheets/sheet7.xml" Id="R6422a6edc52249e9" /><Relationship Type="http://schemas.openxmlformats.org/officeDocument/2006/relationships/worksheet" Target="/xl/worksheets/sheet8.xml" Id="R89c2b282833141a7" /><Relationship Type="http://schemas.openxmlformats.org/officeDocument/2006/relationships/worksheet" Target="/xl/worksheets/sheet9.xml" Id="Ra3b8838f24ba4577" /><Relationship Type="http://schemas.openxmlformats.org/officeDocument/2006/relationships/worksheet" Target="/xl/worksheets/sheet10.xml" Id="R46023e753e2d4595" /><Relationship Type="http://schemas.openxmlformats.org/officeDocument/2006/relationships/worksheet" Target="/xl/worksheets/sheet11.xml" Id="Re04faeb1314445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4cf6d7bcca6427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Сценарии и требования по приоритетам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Сценарии</c:v>
          </c:tx>
          <c:cat>
            <c:strRef>
              <c:f>'Дашборд'!$F$5:$F$9</c:f>
              <c:strCache>
                <c:ptCount val="0"/>
              </c:strCache>
            </c:strRef>
          </c:cat>
          <c:val>
            <c:numRef>
              <c:f>'Дашборд'!$G$5:$G$9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Требования</c:v>
          </c:tx>
          <c:cat>
            <c:strRef>
              <c:f>'Дашборд'!$F$5:$F$9</c:f>
              <c:strCache>
                <c:ptCount val="0"/>
              </c:strCache>
            </c:strRef>
          </c:cat>
          <c:val>
            <c:numRef>
              <c:f>'Дашборд'!$H$5:$H$9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cf6d7bcca6427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structionTable" displayName="InstructionTable" ref="A9:H17" headerRowCount="1">
  <x:tableColumns count="8">
    <x:tableColumn id="1" name="Этап"/>
    <x:tableColumn id="2" name="Что сделать"/>
    <x:tableColumn id="3" name="Основной лист"/>
    <x:tableColumn id="4" name="Результат"/>
    <x:tableColumn id="5" name="Проверка качества"/>
    <x:tableColumn id="6" name="Связь с методикой"/>
    <x:tableColumn id="7" name="Ответственный"/>
    <x:tableColumn id="8" name="Статус"/>
  </x:tableColumns>
  <x:tableStyleInfo name="TableStyleMedium2" showRowStripes="1"/>
</x:table>
</file>

<file path=xl/tables/table2.xml><?xml version="1.0" encoding="utf-8"?>
<x:table xmlns:x="http://schemas.openxmlformats.org/spreadsheetml/2006/main" id="2" name="AnalysisBankTable" displayName="AnalysisBankTable" ref="A3:N203" headerRowCount="1">
  <x:tableColumns count="14">
    <x:tableColumn id="1" name="ID вывода"/>
    <x:tableColumn id="2" name="Направление анализа"/>
    <x:tableColumn id="3" name="Объект анализа"/>
    <x:tableColumn id="4" name="Краткий вывод"/>
    <x:tableColumn id="5" name="Подтверждающий факт"/>
    <x:tableColumn id="6" name="Источник / ссылка"/>
    <x:tableColumn id="7" name="Сила доказательства (1-4)"/>
    <x:tableColumn id="8" name="Значимость для модели (1-5)"/>
    <x:tableColumn id="9" name="Риск ошибочной интерпретации (1-5)"/>
    <x:tableColumn id="10" name="Индекс опоры"/>
    <x:tableColumn id="11" name="Связанный блок Канвас"/>
    <x:tableColumn id="12" name="Связанная проблема / роль / сценарий"/>
    <x:tableColumn id="13" name="Решение использовать"/>
    <x:tableColumn id="14" name="Комментарий"/>
  </x:tableColumns>
  <x:tableStyleInfo name="TableStyleMedium2" showRowStripes="1"/>
</x:table>
</file>

<file path=xl/tables/table3.xml><?xml version="1.0" encoding="utf-8"?>
<x:table xmlns:x="http://schemas.openxmlformats.org/spreadsheetml/2006/main" id="3" name="BusinessLogicTable" displayName="BusinessLogicTable" ref="A3:O203" headerRowCount="1">
  <x:tableColumns count="15">
    <x:tableColumn id="1" name="ID элемента"/>
    <x:tableColumn id="2" name="Элемент бизнес-логики"/>
    <x:tableColumn id="3" name="Тип бизнес-логики"/>
    <x:tableColumn id="4" name="Какая ценность создается"/>
    <x:tableColumn id="5" name="Для кого"/>
    <x:tableColumn id="6" name="Цифровой товар / функция"/>
    <x:tableColumn id="7" name="Процесс или механизм"/>
    <x:tableColumn id="8" name="Источник выручки / единица монетизации"/>
    <x:tableColumn id="9" name="Связанный вывод анализа"/>
    <x:tableColumn id="10" name="Доказательность (1-4)"/>
    <x:tableColumn id="11" name="Влияние на модель (1-5)"/>
    <x:tableColumn id="12" name="Проверка связности"/>
    <x:tableColumn id="13" name="Индекс надежности"/>
    <x:tableColumn id="14" name="Статус"/>
    <x:tableColumn id="15" name="Нужное уточнение"/>
  </x:tableColumns>
  <x:tableStyleInfo name="TableStyleMedium2" showRowStripes="1"/>
</x:table>
</file>

<file path=xl/tables/table4.xml><?xml version="1.0" encoding="utf-8"?>
<x:table xmlns:x="http://schemas.openxmlformats.org/spreadsheetml/2006/main" id="4" name="RolesSegmentsTable" displayName="RolesSegmentsTable" ref="A3:N203" headerRowCount="1">
  <x:tableColumns count="14">
    <x:tableColumn id="1" name="ID роли"/>
    <x:tableColumn id="2" name="Роль / сегмент"/>
    <x:tableColumn id="3" name="Потребительская задача"/>
    <x:tableColumn id="4" name="Проблема"/>
    <x:tableColumn id="5" name="Мотивация"/>
    <x:tableColumn id="6" name="Ограничения"/>
    <x:tableColumn id="7" name="Готовность платить (1-5)"/>
    <x:tableColumn id="8" name="Частота потребности (1-5)"/>
    <x:tableColumn id="9" name="Ценность сегмента"/>
    <x:tableColumn id="10" name="Канал входа"/>
    <x:tableColumn id="11" name="Связанный блок Канвас"/>
    <x:tableColumn id="12" name="Основание из анализа"/>
    <x:tableColumn id="13" name="Доказательность (1-4)"/>
    <x:tableColumn id="14" name="Статус"/>
  </x:tableColumns>
  <x:tableStyleInfo name="TableStyleMedium2" showRowStripes="1"/>
</x:table>
</file>

<file path=xl/tables/table5.xml><?xml version="1.0" encoding="utf-8"?>
<x:table xmlns:x="http://schemas.openxmlformats.org/spreadsheetml/2006/main" id="5" name="UserScenariosTable" displayName="UserScenariosTable" ref="A3:U203" headerRowCount="1">
  <x:tableColumns count="21">
    <x:tableColumn id="1" name="ID сценария"/>
    <x:tableColumn id="2" name="Название сценария"/>
    <x:tableColumn id="3" name="Роль"/>
    <x:tableColumn id="4" name="Этап"/>
    <x:tableColumn id="5" name="Тип сценария"/>
    <x:tableColumn id="6" name="Исходная проблема"/>
    <x:tableColumn id="7" name="Цель пользователя"/>
    <x:tableColumn id="8" name="Триггер"/>
    <x:tableColumn id="9" name="Основной путь"/>
    <x:tableColumn id="10" name="Альтернативный путь / ошибка"/>
    <x:tableColumn id="11" name="Результат для пользователя"/>
    <x:tableColumn id="12" name="Результат для бизнес-модели"/>
    <x:tableColumn id="13" name="Единица монетизации"/>
    <x:tableColumn id="14" name="Частота потребности (1-5)"/>
    <x:tableColumn id="15" name="Значимость проблемы (1-5)"/>
    <x:tableColumn id="16" name="Влияние на выручку (1-5)"/>
    <x:tableColumn id="17" name="Доказательность (1-4)"/>
    <x:tableColumn id="18" name="Индекс сценария"/>
    <x:tableColumn id="19" name="Приоритет"/>
    <x:tableColumn id="20" name="Статус"/>
    <x:tableColumn id="21" name="Источник анализа"/>
  </x:tableColumns>
  <x:tableStyleInfo name="TableStyleMedium2" showRowStripes="1"/>
</x:table>
</file>

<file path=xl/tables/table6.xml><?xml version="1.0" encoding="utf-8"?>
<x:table xmlns:x="http://schemas.openxmlformats.org/spreadsheetml/2006/main" id="6" name="ScenarioMapTable" displayName="ScenarioMapTable" ref="A3:O103" headerRowCount="1">
  <x:tableColumns count="15">
    <x:tableColumn id="1" name="ID сценария"/>
    <x:tableColumn id="2" name="Роль"/>
    <x:tableColumn id="3" name="Сценарий"/>
    <x:tableColumn id="4" name="Привлечение"/>
    <x:tableColumn id="5" name="Первичный интерес"/>
    <x:tableColumn id="6" name="Регистрация"/>
    <x:tableColumn id="7" name="Настройка"/>
    <x:tableColumn id="8" name="Получение ценности"/>
    <x:tableColumn id="9" name="Оплата"/>
    <x:tableColumn id="10" name="Повторное использование"/>
    <x:tableColumn id="11" name="Поддержка"/>
    <x:tableColumn id="12" name="Удержание"/>
    <x:tableColumn id="13" name="Разрыв / риск"/>
    <x:tableColumn id="14" name="Критическая точка"/>
    <x:tableColumn id="15" name="Комментарий"/>
  </x:tableColumns>
  <x:tableStyleInfo name="TableStyleMedium2" showRowStripes="1"/>
</x:table>
</file>

<file path=xl/tables/table7.xml><?xml version="1.0" encoding="utf-8"?>
<x:table xmlns:x="http://schemas.openxmlformats.org/spreadsheetml/2006/main" id="7" name="FunctionalRequirementsTable" displayName="FunctionalRequirementsTable" ref="A3:Q203" headerRowCount="1">
  <x:tableColumns count="17">
    <x:tableColumn id="1" name="ID требования"/>
    <x:tableColumn id="2" name="Требование"/>
    <x:tableColumn id="3" name="Связанный сценарий"/>
    <x:tableColumn id="4" name="Роль"/>
    <x:tableColumn id="5" name="Пользовательская задача"/>
    <x:tableColumn id="6" name="Бизнес-цель"/>
    <x:tableColumn id="7" name="Категория Кано"/>
    <x:tableColumn id="8" name="Уровень товара по Левитту"/>
    <x:tableColumn id="9" name="Влияние на ценность (1-5)"/>
    <x:tableColumn id="10" name="Влияние на монетизацию (1-5)"/>
    <x:tableColumn id="11" name="Сложность реализации (1-5)"/>
    <x:tableColumn id="12" name="Доказательность (1-4)"/>
    <x:tableColumn id="13" name="Индекс приоритета"/>
    <x:tableColumn id="14" name="Приоритет"/>
    <x:tableColumn id="15" name="MVP"/>
    <x:tableColumn id="16" name="Статус"/>
    <x:tableColumn id="17" name="Источник"/>
  </x:tableColumns>
  <x:tableStyleInfo name="TableStyleMedium2" showRowStripes="1"/>
</x:table>
</file>

<file path=xl/tables/table8.xml><?xml version="1.0" encoding="utf-8"?>
<x:table xmlns:x="http://schemas.openxmlformats.org/spreadsheetml/2006/main" id="8" name="PrioritizationTable" displayName="PrioritizationTable" ref="A3:N203" headerRowCount="1">
  <x:tableColumns count="14">
    <x:tableColumn id="1" name="ID инициативы"/>
    <x:tableColumn id="2" name="Инициатива"/>
    <x:tableColumn id="3" name="Тип"/>
    <x:tableColumn id="4" name="Связанный сценарий"/>
    <x:tableColumn id="5" name="Связанное требование"/>
    <x:tableColumn id="6" name="Пользовательская ценность (1-5)"/>
    <x:tableColumn id="7" name="Бизнес-эффект (1-5)"/>
    <x:tableColumn id="8" name="Доказательность (1-4)"/>
    <x:tableColumn id="9" name="Сложность (1-5)"/>
    <x:tableColumn id="10" name="Риск (1-5)"/>
    <x:tableColumn id="11" name="Итоговый индекс"/>
    <x:tableColumn id="12" name="Решение"/>
    <x:tableColumn id="13" name="Период реализации"/>
    <x:tableColumn id="14" name="Комментарий"/>
  </x:tableColumns>
  <x:tableStyleInfo name="TableStyleMedium2" showRowStripes="1"/>
</x:table>
</file>

<file path=xl/tables/table9.xml><?xml version="1.0" encoding="utf-8"?>
<x:table xmlns:x="http://schemas.openxmlformats.org/spreadsheetml/2006/main" id="9" name="CoherenceTable" displayName="CoherenceTable" ref="A3:I13" headerRowCount="1">
  <x:tableColumns count="9">
    <x:tableColumn id="1" name="Контрольная точка"/>
    <x:tableColumn id="2" name="Что проверяется"/>
    <x:tableColumn id="3" name="Проверочный вопрос"/>
    <x:tableColumn id="4" name="Источник листа"/>
    <x:tableColumn id="5" name="Критерий прохождения"/>
    <x:tableColumn id="6" name="Количество"/>
    <x:tableColumn id="7" name="Порог"/>
    <x:tableColumn id="8" name="Статус"/>
    <x:tableColumn id="9" name="Комментари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3acd98d6664f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7b8b61a6e443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d61438847dc49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614d32b857943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782547dcacc43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954fd8ded3145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e93f03198c84a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5853a751e5044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49b30d380bf4d4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de9b503f009a4f5c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24" hidden="0" customWidth="1"/>
    <x:col min="4" max="4" width="34" hidden="0" customWidth="1"/>
    <x:col min="5" max="5" width="36" hidden="0" customWidth="1"/>
    <x:col min="6" max="6" width="35" hidden="0" customWidth="1"/>
    <x:col min="7" max="7" width="18" hidden="0" customWidth="1"/>
    <x:col min="8" max="8" width="18" hidden="0" customWidth="1"/>
  </x:cols>
  <x:sheetData>
    <x:row r="1" ht="30" customHeight="1">
      <x:c r="A1" s="58" t="str">
        <x:v>Excel-шаблон к методике формулирования бизнес-логики и пользовательских сценариев</x:v>
      </x:c>
      <x:c r="B1" s="58"/>
      <x:c r="C1" s="58"/>
      <x:c r="D1" s="58"/>
      <x:c r="E1" s="58"/>
      <x:c r="F1" s="58"/>
      <x:c r="G1" s="58"/>
      <x:c r="H1" s="58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3" ht="34" customHeight="1">
      <x:c r="A3" s="28" t="str">
        <x:v>Назначение файла</x:v>
      </x:c>
      <x:c r="B3" s="28"/>
      <x:c r="C3" s="28"/>
      <x:c r="D3" s="28"/>
      <x:c r="E3" s="28"/>
      <x:c r="F3" s="28"/>
      <x:c r="G3" s="28"/>
      <x:c r="H3" s="28"/>
    </x:row>
    <x:row r="4" ht="34" customHeight="1">
      <x:c r="A4" s="34" t="str">
        <x:v>Этот файл предназначен для последовательной сборки бизнес-логики цифрового товара и пользовательских сценариев на основе всех ранее выполненных видов анализа: проблем, отзывов, конкурентов, рыночного стандарта, ценностного предложения, цифрового товара и Канвас.</x:v>
      </x:c>
      <x:c r="B4" s="34"/>
      <x:c r="C4" s="34"/>
      <x:c r="D4" s="34"/>
      <x:c r="E4" s="34"/>
      <x:c r="F4" s="34"/>
      <x:c r="G4" s="34"/>
      <x:c r="H4" s="34"/>
    </x:row>
    <x:row r="5" ht="34" customHeight="1">
      <x:c r="A5" s="34" t="str">
        <x:v>Ключевой принцип: каждый элемент бизнес-логики и каждый пользовательский сценарий должен иметь источник, доказательство, связь с ценностным предложением, цифровым товаром, монетизацией и блоком бизнес-модели.</x:v>
      </x:c>
      <x:c r="B5" s="34"/>
      <x:c r="C5" s="34"/>
      <x:c r="D5" s="34"/>
      <x:c r="E5" s="34"/>
      <x:c r="F5" s="34"/>
      <x:c r="G5" s="34"/>
      <x:c r="H5" s="34"/>
    </x:row>
    <x:row r="6" ht="34" customHeight="1">
      <x:c r="A6" s="34" t="str">
        <x:v>Сначала заполняется «Банк анализа», затем «Бизнес-логика», «Роли и сегменты», «Пользовательские сценарии», «Функциональные требования», «Приоритизация» и «Связность». Лист «Дашборд» рассчитывается автоматически.</x:v>
      </x:c>
      <x:c r="B6" s="34"/>
      <x:c r="C6" s="34"/>
      <x:c r="D6" s="34"/>
      <x:c r="E6" s="34"/>
      <x:c r="F6" s="34"/>
      <x:c r="G6" s="34"/>
      <x:c r="H6" s="34"/>
    </x:row>
    <x:row r="7" ht="34" customHeight="1">
      <x:c r="A7" s="34" t="str">
        <x:v>Желтые ячейки — зоны ручного ввода. Зеленые ячейки — расчетные поля. Выпадающие списки берутся из листа «Справочники».</x:v>
      </x:c>
      <x:c r="B7" s="34"/>
      <x:c r="C7" s="34"/>
      <x:c r="D7" s="34"/>
      <x:c r="E7" s="34"/>
      <x:c r="F7" s="34"/>
      <x:c r="G7" s="34"/>
      <x:c r="H7" s="34"/>
    </x:row>
    <x:row r="8" ht="34" customHeight="1"/>
    <x:row r="9" ht="34" customHeight="1">
      <x:c r="A9" s="40" t="str">
        <x:v>Этап</x:v>
      </x:c>
      <x:c r="B9" s="40" t="str">
        <x:v>Что сделать</x:v>
      </x:c>
      <x:c r="C9" s="40" t="str">
        <x:v>Основной лист</x:v>
      </x:c>
      <x:c r="D9" s="40" t="str">
        <x:v>Результат</x:v>
      </x:c>
      <x:c r="E9" s="40" t="str">
        <x:v>Проверка качества</x:v>
      </x:c>
      <x:c r="F9" s="40" t="str">
        <x:v>Связь с методикой</x:v>
      </x:c>
      <x:c r="G9" s="40" t="str">
        <x:v>Ответственный</x:v>
      </x:c>
      <x:c r="H9" s="40" t="str">
        <x:v>Статус</x:v>
      </x:c>
    </x:row>
    <x:row r="10" ht="34" customHeight="1">
      <x:c r="A10" s="21" t="n">
        <x:v>1</x:v>
      </x:c>
      <x:c r="B10" s="21" t="str">
        <x:v>Перенести ключевые выводы из всех видов анализа</x:v>
      </x:c>
      <x:c r="C10" s="21" t="str">
        <x:v>Банк анализа</x:v>
      </x:c>
      <x:c r="D10" s="21" t="str">
        <x:v>Единая доказательная база</x:v>
      </x:c>
      <x:c r="E10" s="21" t="str">
        <x:v>Есть ссылка/факт/уровень доказательности</x:v>
      </x:c>
      <x:c r="F10" s="21" t="str">
        <x:v>Анализ проблем, отзывов, конкурентов, Канвас</x:v>
      </x:c>
      <x:c r="G10" s="21" t="str"/>
      <x:c r="H10" s="21" t="str"/>
    </x:row>
    <x:row r="11" ht="34" customHeight="1">
      <x:c r="A11" s="21" t="n">
        <x:v>2</x:v>
      </x:c>
      <x:c r="B11" s="21" t="str">
        <x:v>Сформулировать элементы бизнес-логики</x:v>
      </x:c>
      <x:c r="C11" s="21" t="str">
        <x:v>Бизнес-логика</x:v>
      </x:c>
      <x:c r="D11" s="21" t="str">
        <x:v>Понятно, за счет чего создается, доставляется и монетизируется ценность</x:v>
      </x:c>
      <x:c r="E11" s="21" t="str">
        <x:v>Для элемента указаны ценность, товар, процесс и выручка</x:v>
      </x:c>
      <x:c r="F11" s="21" t="str">
        <x:v>Сборка бизнес-модели</x:v>
      </x:c>
      <x:c r="G11" s="21" t="str"/>
      <x:c r="H11" s="21" t="str"/>
    </x:row>
    <x:row r="12" ht="34" customHeight="1">
      <x:c r="A12" s="21" t="n">
        <x:v>3</x:v>
      </x:c>
      <x:c r="B12" s="21" t="str">
        <x:v>Описать роли и сегменты пользователей</x:v>
      </x:c>
      <x:c r="C12" s="21" t="str">
        <x:v>Роли и сегменты</x:v>
      </x:c>
      <x:c r="D12" s="21" t="str">
        <x:v>Понятно, кто участвует в сценариях</x:v>
      </x:c>
      <x:c r="E12" s="21" t="str">
        <x:v>У каждой роли есть задача, проблема и основание</x:v>
      </x:c>
      <x:c r="F12" s="21" t="str">
        <x:v>Потребительские сегменты Канвас</x:v>
      </x:c>
      <x:c r="G12" s="21" t="str"/>
      <x:c r="H12" s="21" t="str"/>
    </x:row>
    <x:row r="13" ht="34" customHeight="1">
      <x:c r="A13" s="21" t="n">
        <x:v>4</x:v>
      </x:c>
      <x:c r="B13" s="21" t="str">
        <x:v>Собрать пользовательские сценарии</x:v>
      </x:c>
      <x:c r="C13" s="21" t="str">
        <x:v>Пользовательские сценарии</x:v>
      </x:c>
      <x:c r="D13" s="21" t="str">
        <x:v>Описаны основные, монетизационные, сервисные и удерживающие сценарии</x:v>
      </x:c>
      <x:c r="E13" s="21" t="str">
        <x:v>У сценария есть проблема, цель, результат и монетизация</x:v>
      </x:c>
      <x:c r="F13" s="21" t="str">
        <x:v>Переход от ценности к поведению пользователя</x:v>
      </x:c>
      <x:c r="G13" s="21" t="str"/>
      <x:c r="H13" s="21" t="str"/>
    </x:row>
    <x:row r="14" ht="34" customHeight="1">
      <x:c r="A14" s="21" t="n">
        <x:v>5</x:v>
      </x:c>
      <x:c r="B14" s="21" t="str">
        <x:v>Разложить сценарии по этапам взаимодействия</x:v>
      </x:c>
      <x:c r="C14" s="21" t="str">
        <x:v>Карта сценариев</x:v>
      </x:c>
      <x:c r="D14" s="21" t="str">
        <x:v>Видны точки входа, оплаты, поддержки и удержания</x:v>
      </x:c>
      <x:c r="E14" s="21" t="str">
        <x:v>Нет разрывов между этапами</x:v>
      </x:c>
      <x:c r="F14" s="21" t="str">
        <x:v>Клиентский путь</x:v>
      </x:c>
      <x:c r="G14" s="21" t="str"/>
      <x:c r="H14" s="21" t="str"/>
    </x:row>
    <x:row r="15" ht="34" customHeight="1">
      <x:c r="A15" s="21" t="n">
        <x:v>6</x:v>
      </x:c>
      <x:c r="B15" s="21" t="str">
        <x:v>Перевести сценарии в требования</x:v>
      </x:c>
      <x:c r="C15" s="21" t="str">
        <x:v>Функциональные требования</x:v>
      </x:c>
      <x:c r="D15" s="21" t="str">
        <x:v>Получен перечень функций и требований</x:v>
      </x:c>
      <x:c r="E15" s="21" t="str">
        <x:v>Требование связано со сценарием и бизнес-целью</x:v>
      </x:c>
      <x:c r="F15" s="21" t="str">
        <x:v>Товар как носитель ценности</x:v>
      </x:c>
      <x:c r="G15" s="21" t="str"/>
      <x:c r="H15" s="21" t="str"/>
    </x:row>
    <x:row r="16" ht="34" customHeight="1">
      <x:c r="A16" s="21" t="n">
        <x:v>7</x:v>
      </x:c>
      <x:c r="B16" s="21" t="str">
        <x:v>Приоритизировать инициативы</x:v>
      </x:c>
      <x:c r="C16" s="21" t="str">
        <x:v>Приоритизация</x:v>
      </x:c>
      <x:c r="D16" s="21" t="str">
        <x:v>Определена очередность разработки</x:v>
      </x:c>
      <x:c r="E16" s="21" t="str">
        <x:v>Приоритет зависит от ценности, эффекта, доказательности и сложности</x:v>
      </x:c>
      <x:c r="F16" s="21" t="str">
        <x:v>MVP и развитие продукта</x:v>
      </x:c>
      <x:c r="G16" s="21" t="str"/>
      <x:c r="H16" s="21" t="str"/>
    </x:row>
    <x:row r="17" ht="34" customHeight="1">
      <x:c r="A17" s="21" t="n">
        <x:v>8</x:v>
      </x:c>
      <x:c r="B17" s="21" t="str">
        <x:v>Проверить связность всей конструкции</x:v>
      </x:c>
      <x:c r="C17" s="21" t="str">
        <x:v>Связность</x:v>
      </x:c>
      <x:c r="D17" s="21" t="str">
        <x:v>Выявлены слабые места модели</x:v>
      </x:c>
      <x:c r="E17" s="21" t="str">
        <x:v>Контрольные точки пройдены</x:v>
      </x:c>
      <x:c r="F17" s="21" t="str">
        <x:v>Цепочка «анализ → логика → сценарий → товар → монетизация»</x:v>
      </x:c>
      <x:c r="G17" s="21" t="str"/>
      <x:c r="H17" s="21" t="str"/>
    </x:row>
    <x:row r="18" ht="34" customHeight="1"/>
    <x:row r="19" ht="34" customHeight="1"/>
    <x:row r="20" ht="34" customHeight="1"/>
    <x:row r="21" ht="34" customHeight="1"/>
    <x:row r="22" ht="34" customHeight="1"/>
    <x:row r="23" ht="34" customHeight="1"/>
    <x:row r="24" ht="34" customHeight="1"/>
    <x:row r="25" ht="34" customHeight="1"/>
    <x:row r="26" ht="34" customHeight="1"/>
    <x:row r="27" ht="34" customHeight="1"/>
    <x:row r="28" ht="34" customHeight="1"/>
    <x:row r="29" ht="34" customHeight="1"/>
    <x:row r="30" ht="34" customHeight="1"/>
    <x:row r="31" ht="34" customHeight="1"/>
    <x:row r="32" ht="34" customHeight="1"/>
    <x:row r="33" ht="34" customHeight="1"/>
    <x:row r="34" ht="34" customHeight="1"/>
    <x:row r="35" ht="34" customHeight="1"/>
    <x:row r="36" ht="34" customHeight="1"/>
    <x:row r="37" ht="34" customHeight="1"/>
    <x:row r="38" ht="34" customHeight="1"/>
    <x:row r="39" ht="34" customHeight="1"/>
    <x:row r="40" ht="34" customHeight="1"/>
    <x:row r="41" ht="34" customHeight="1"/>
    <x:row r="42" ht="34" customHeight="1"/>
    <x:row r="43" ht="34" customHeight="1"/>
    <x:row r="44" ht="34" customHeight="1"/>
    <x:row r="45" ht="34" customHeight="1"/>
    <x:row r="46" ht="34" customHeight="1"/>
    <x:row r="47" ht="34" customHeight="1"/>
    <x:row r="48" ht="34" customHeight="1"/>
    <x:row r="49" ht="34" customHeight="1"/>
    <x:row r="50" ht="34" customHeight="1"/>
    <x:row r="51" ht="34" customHeight="1"/>
    <x:row r="52" ht="34" customHeight="1"/>
    <x:row r="53" ht="34" customHeight="1"/>
    <x:row r="54" ht="34" customHeight="1"/>
    <x:row r="55" ht="34" customHeight="1"/>
    <x:row r="56" ht="34" customHeight="1"/>
    <x:row r="57" ht="34" customHeight="1"/>
    <x:row r="58" ht="34" customHeight="1"/>
    <x:row r="59" ht="34" customHeight="1"/>
    <x:row r="60" ht="34" customHeight="1"/>
    <x:row r="61" ht="34" customHeight="1"/>
    <x:row r="62" ht="34" customHeight="1"/>
    <x:row r="63" ht="34" customHeight="1"/>
    <x:row r="64" ht="34" customHeight="1"/>
    <x:row r="65" ht="34" customHeight="1"/>
    <x:row r="66" ht="34" customHeight="1"/>
    <x:row r="67" ht="34" customHeight="1"/>
    <x:row r="68" ht="34" customHeight="1"/>
    <x:row r="69" ht="34" customHeight="1"/>
    <x:row r="70" ht="34" customHeight="1"/>
    <x:row r="71" ht="34" customHeight="1"/>
    <x:row r="72" ht="34" customHeight="1"/>
    <x:row r="73" ht="34" customHeight="1"/>
    <x:row r="74" ht="34" customHeight="1"/>
    <x:row r="75" ht="34" customHeight="1"/>
    <x:row r="76" ht="34" customHeight="1"/>
    <x:row r="77" ht="34" customHeight="1"/>
    <x:row r="78" ht="34" customHeight="1"/>
    <x:row r="79" ht="34" customHeight="1"/>
    <x:row r="80" ht="34" customHeight="1"/>
    <x:row r="81" ht="34" customHeight="1"/>
    <x:row r="82" ht="34" customHeight="1"/>
    <x:row r="83" ht="34" customHeight="1"/>
    <x:row r="84" ht="34" customHeight="1"/>
    <x:row r="85" ht="34" customHeight="1"/>
    <x:row r="86" ht="34" customHeight="1"/>
    <x:row r="87" ht="34" customHeight="1"/>
    <x:row r="88" ht="34" customHeight="1"/>
    <x:row r="89" ht="34" customHeight="1"/>
    <x:row r="90" ht="34" customHeight="1"/>
    <x:row r="91" ht="34" customHeight="1"/>
    <x:row r="92" ht="34" customHeight="1"/>
    <x:row r="93" ht="34" customHeight="1"/>
    <x:row r="94" ht="34" customHeight="1"/>
    <x:row r="95" ht="34" customHeight="1"/>
    <x:row r="96" ht="34" customHeight="1"/>
    <x:row r="97" ht="34" customHeight="1"/>
    <x:row r="98" ht="34" customHeight="1"/>
    <x:row r="99" ht="34" customHeight="1"/>
    <x:row r="100" ht="34" customHeight="1"/>
    <x:row r="101" ht="34" customHeight="1"/>
    <x:row r="102" ht="34" customHeight="1"/>
    <x:row r="103" ht="34" customHeight="1"/>
    <x:row r="104" ht="34" customHeight="1"/>
    <x:row r="105" ht="34" customHeight="1"/>
    <x:row r="106" ht="34" customHeight="1"/>
    <x:row r="107" ht="34" customHeight="1"/>
    <x:row r="108" ht="34" customHeight="1"/>
    <x:row r="109" ht="34" customHeight="1"/>
    <x:row r="110" ht="34" customHeight="1"/>
    <x:row r="111" ht="34" customHeight="1"/>
    <x:row r="112" ht="34" customHeight="1"/>
    <x:row r="113" ht="34" customHeight="1"/>
    <x:row r="114" ht="34" customHeight="1"/>
    <x:row r="115" ht="34" customHeight="1"/>
    <x:row r="116" ht="34" customHeight="1"/>
    <x:row r="117" ht="34" customHeight="1"/>
    <x:row r="118" ht="34" customHeight="1"/>
    <x:row r="119" ht="34" customHeight="1"/>
    <x:row r="120" ht="34" customHeight="1"/>
    <x:row r="121" ht="34" customHeight="1"/>
    <x:row r="122" ht="34" customHeight="1"/>
    <x:row r="123" ht="34" customHeight="1"/>
    <x:row r="124" ht="34" customHeight="1"/>
    <x:row r="125" ht="34" customHeight="1"/>
    <x:row r="126" ht="34" customHeight="1"/>
    <x:row r="127" ht="34" customHeight="1"/>
    <x:row r="128" ht="34" customHeight="1"/>
    <x:row r="129" ht="34" customHeight="1"/>
    <x:row r="130" ht="34" customHeight="1"/>
    <x:row r="131" ht="34" customHeight="1"/>
    <x:row r="132" ht="34" customHeight="1"/>
    <x:row r="133" ht="34" customHeight="1"/>
    <x:row r="134" ht="34" customHeight="1"/>
    <x:row r="135" ht="34" customHeight="1"/>
    <x:row r="136" ht="34" customHeight="1"/>
    <x:row r="137" ht="34" customHeight="1"/>
    <x:row r="138" ht="34" customHeight="1"/>
    <x:row r="139" ht="34" customHeight="1"/>
    <x:row r="140" ht="34" customHeight="1"/>
    <x:row r="141" ht="34" customHeight="1"/>
    <x:row r="142" ht="34" customHeight="1"/>
    <x:row r="143" ht="34" customHeight="1"/>
    <x:row r="144" ht="34" customHeight="1"/>
    <x:row r="145" ht="34" customHeight="1"/>
    <x:row r="146" ht="34" customHeight="1"/>
    <x:row r="147" ht="34" customHeight="1"/>
    <x:row r="148" ht="34" customHeight="1"/>
    <x:row r="149" ht="34" customHeight="1"/>
    <x:row r="150" ht="34" customHeight="1"/>
    <x:row r="151" ht="34" customHeight="1"/>
    <x:row r="152" ht="34" customHeight="1"/>
    <x:row r="153" ht="34" customHeight="1"/>
    <x:row r="154" ht="34" customHeight="1"/>
    <x:row r="155" ht="34" customHeight="1"/>
    <x:row r="156" ht="34" customHeight="1"/>
    <x:row r="157" ht="34" customHeight="1"/>
    <x:row r="158" ht="34" customHeight="1"/>
    <x:row r="159" ht="34" customHeight="1"/>
    <x:row r="160" ht="34" customHeight="1"/>
    <x:row r="161" ht="34" customHeight="1"/>
    <x:row r="162" ht="34" customHeight="1"/>
    <x:row r="163" ht="34" customHeight="1"/>
    <x:row r="164" ht="34" customHeight="1"/>
    <x:row r="165" ht="34" customHeight="1"/>
    <x:row r="166" ht="34" customHeight="1"/>
    <x:row r="167" ht="34" customHeight="1"/>
    <x:row r="168" ht="34" customHeight="1"/>
    <x:row r="169" ht="34" customHeight="1"/>
    <x:row r="170" ht="34" customHeight="1"/>
    <x:row r="171" ht="34" customHeight="1"/>
    <x:row r="172" ht="34" customHeight="1"/>
    <x:row r="173" ht="34" customHeight="1"/>
    <x:row r="174" ht="34" customHeight="1"/>
    <x:row r="175" ht="34" customHeight="1"/>
    <x:row r="176" ht="34" customHeight="1"/>
    <x:row r="177" ht="34" customHeight="1"/>
    <x:row r="178" ht="34" customHeight="1"/>
    <x:row r="179" ht="34" customHeight="1"/>
    <x:row r="180" ht="34" customHeight="1"/>
    <x:row r="181" ht="34" customHeight="1"/>
    <x:row r="182" ht="34" customHeight="1"/>
    <x:row r="183" ht="34" customHeight="1"/>
    <x:row r="184" ht="34" customHeight="1"/>
    <x:row r="185" ht="34" customHeight="1"/>
    <x:row r="186" ht="34" customHeight="1"/>
    <x:row r="187" ht="34" customHeight="1"/>
    <x:row r="188" ht="34" customHeight="1"/>
    <x:row r="189" ht="34" customHeight="1"/>
    <x:row r="190" ht="34" customHeight="1"/>
    <x:row r="191" ht="34" customHeight="1"/>
    <x:row r="192" ht="34" customHeight="1"/>
    <x:row r="193" ht="34" customHeight="1"/>
    <x:row r="194" ht="34" customHeight="1"/>
    <x:row r="195" ht="34" customHeight="1"/>
    <x:row r="196" ht="34" customHeight="1"/>
    <x:row r="197" ht="34" customHeight="1"/>
    <x:row r="198" ht="34" customHeight="1"/>
    <x:row r="199" ht="34" customHeight="1"/>
    <x:row r="200" ht="34" customHeight="1"/>
    <x:row r="201" ht="34" customHeight="1"/>
    <x:row r="202" ht="34" customHeight="1"/>
    <x:row r="203" ht="34" customHeight="1"/>
  </x:sheetData>
  <x:mergeCells>
    <x:mergeCell ref="A1:H1"/>
    <x:mergeCell ref="A3:H3"/>
  </x:mergeCells>
  <x:pageMargins left="0.7" right="0.7" top="0.75" bottom="0.75" header="0.3" footer="0.3"/>
  <x:tableParts count="1">
    <x:tablePart xmlns:r="http://schemas.openxmlformats.org/officeDocument/2006/relationships" r:id="Rc53acd98d6664f6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42" hidden="0" customWidth="1"/>
    <x:col min="5" max="5" width="42" hidden="0" customWidth="1"/>
    <x:col min="6" max="6" width="32" hidden="0" customWidth="1"/>
    <x:col min="7" max="7" width="18" hidden="0" customWidth="1"/>
    <x:col min="8" max="8" width="20" hidden="0" customWidth="1"/>
    <x:col min="9" max="9" width="22" hidden="0" customWidth="1"/>
    <x:col min="10" max="10" width="16" hidden="0" customWidth="1"/>
    <x:col min="11" max="11" width="25" hidden="0" customWidth="1"/>
    <x:col min="12" max="12" width="34" hidden="0" customWidth="1"/>
    <x:col min="13" max="13" width="22" hidden="0" customWidth="1"/>
    <x:col min="14" max="14" width="30" hidden="0" customWidth="1"/>
  </x:cols>
  <x:sheetData>
    <x:row r="1" ht="30" customHeight="1">
      <x:c r="A1" s="58" t="str">
        <x:v>Банк выводов из всех видов анализа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3" ht="34" customHeight="1">
      <x:c r="A3" s="40" t="str">
        <x:v>ID вывода</x:v>
      </x:c>
      <x:c r="B3" s="40" t="str">
        <x:v>Направление анализа</x:v>
      </x:c>
      <x:c r="C3" s="40" t="str">
        <x:v>Объект анализа</x:v>
      </x:c>
      <x:c r="D3" s="40" t="str">
        <x:v>Краткий вывод</x:v>
      </x:c>
      <x:c r="E3" s="40" t="str">
        <x:v>Подтверждающий факт</x:v>
      </x:c>
      <x:c r="F3" s="40" t="str">
        <x:v>Источник / ссылка</x:v>
      </x:c>
      <x:c r="G3" s="40" t="str">
        <x:v>Сила доказательства (1-4)</x:v>
      </x:c>
      <x:c r="H3" s="40" t="str">
        <x:v>Значимость для модели (1-5)</x:v>
      </x:c>
      <x:c r="I3" s="40" t="str">
        <x:v>Риск ошибочной интерпретации (1-5)</x:v>
      </x:c>
      <x:c r="J3" s="40" t="str">
        <x:v>Индекс опоры</x:v>
      </x:c>
      <x:c r="K3" s="40" t="str">
        <x:v>Связанный блок Канвас</x:v>
      </x:c>
      <x:c r="L3" s="40" t="str">
        <x:v>Связанная проблема / роль / сценарий</x:v>
      </x:c>
      <x:c r="M3" s="40" t="str">
        <x:v>Решение использовать</x:v>
      </x:c>
      <x:c r="N3" s="40" t="str">
        <x:v>Комментарий</x:v>
      </x:c>
    </x:row>
    <x:row r="4" ht="34" customHeight="1">
      <x:c r="A4" s="34" t="str">
        <x:v>A-001</x:v>
      </x:c>
      <x:c r="B4" s="34" t="str">
        <x:v>Анализ отзывов</x:v>
      </x:c>
      <x:c r="C4" s="34" t="str">
        <x:v>Отзывы на G2/Capterra</x:v>
      </x:c>
      <x:c r="D4" s="34" t="str">
        <x:v>Пользователи указывают на сложность первичной настройки</x:v>
      </x:c>
      <x:c r="E4" s="34" t="str">
        <x:v>Повторяющиеся жалобы на длительный старт и непонятные настройки</x:v>
      </x:c>
      <x:c r="F4" s="34" t="str"/>
      <x:c r="G4" s="50" t="n">
        <x:v>3</x:v>
      </x:c>
      <x:c r="H4" s="50" t="n">
        <x:v>5</x:v>
      </x:c>
      <x:c r="I4" s="50" t="n">
        <x:v>2</x:v>
      </x:c>
      <x:c r="J4" s="52" t="n">
        <x:f>IFERROR((G4*H4)*(6-I4)/20,"")</x:f>
        <x:v>3</x:v>
      </x:c>
      <x:c r="K4" s="34" t="str">
        <x:v>Ценностные предложения</x:v>
      </x:c>
      <x:c r="L4" s="34" t="str">
        <x:v>Проблема: долгий старт</x:v>
      </x:c>
      <x:c r="M4" s="54" t="str">
        <x:f>IF(J4="","",IF(J4&gt;=3,"Использовать",IF(J4&gt;=1.8,"Проверить дополнительно","Не использовать как основание")))</x:f>
        <x:v>Использовать</x:v>
      </x:c>
      <x:c r="N4" s="34" t="str">
        <x:v>Пример строки; заменить своими данными</x:v>
      </x:c>
    </x:row>
    <x:row r="5" ht="34" customHeight="1">
      <x:c r="A5" s="34" t="str">
        <x:v>A-002</x:v>
      </x:c>
      <x:c r="B5" s="34" t="str">
        <x:v>Анализ конкурентов по сайтам</x:v>
      </x:c>
      <x:c r="C5" s="34" t="str">
        <x:v>Сайты прямых конкурентов</x:v>
      </x:c>
      <x:c r="D5" s="34" t="str">
        <x:v>У большинства конкурентов есть демо-доступ или бесплатный период</x:v>
      </x:c>
      <x:c r="E5" s="34" t="str">
        <x:v>Тарифные страницы и призывы к пробному доступу</x:v>
      </x:c>
      <x:c r="F5" s="34" t="str"/>
      <x:c r="G5" s="50" t="n">
        <x:v>3</x:v>
      </x:c>
      <x:c r="H5" s="50" t="n">
        <x:v>4</x:v>
      </x:c>
      <x:c r="I5" s="50" t="n">
        <x:v>2</x:v>
      </x:c>
      <x:c r="J5" s="52" t="n">
        <x:f>IFERROR((G5*H5)*(6-I5)/20,"")</x:f>
        <x:v>2.4</x:v>
      </x:c>
      <x:c r="K5" s="34" t="str">
        <x:v>Каналы</x:v>
      </x:c>
      <x:c r="L5" s="34" t="str">
        <x:v>Сценарий: первичное знакомство</x:v>
      </x:c>
      <x:c r="M5" s="54" t="str">
        <x:f>IF(J5="","",IF(J5&gt;=3,"Использовать",IF(J5&gt;=1.8,"Проверить дополнительно","Не использовать как основание")))</x:f>
        <x:v>Проверить дополнительно</x:v>
      </x:c>
      <x:c r="N5" s="34" t="str"/>
    </x:row>
    <x:row r="6" ht="34" customHeight="1">
      <x:c r="A6" s="34" t="str">
        <x:v>A-003</x:v>
      </x:c>
      <x:c r="B6" s="34" t="str">
        <x:v>Канвас бизнес-модели</x:v>
      </x:c>
      <x:c r="C6" s="34" t="str">
        <x:v>Итоговая бизнес-модель</x:v>
      </x:c>
      <x:c r="D6" s="34" t="str">
        <x:v>Основная единица монетизации — подписочный доступ к сервису</x:v>
      </x:c>
      <x:c r="E6" s="34" t="str">
        <x:v>Вывод из блока потоков доходов</x:v>
      </x:c>
      <x:c r="F6" s="34" t="str"/>
      <x:c r="G6" s="50" t="n">
        <x:v>4</x:v>
      </x:c>
      <x:c r="H6" s="50" t="n">
        <x:v>5</x:v>
      </x:c>
      <x:c r="I6" s="50" t="n">
        <x:v>1</x:v>
      </x:c>
      <x:c r="J6" s="52" t="n">
        <x:f>IFERROR((G6*H6)*(6-I6)/20,"")</x:f>
        <x:v>5</x:v>
      </x:c>
      <x:c r="K6" s="34" t="str">
        <x:v>Потоки доходов</x:v>
      </x:c>
      <x:c r="L6" s="34" t="str">
        <x:v>Единица монетизации</x:v>
      </x:c>
      <x:c r="M6" s="54" t="str">
        <x:f>IF(J6="","",IF(J6&gt;=3,"Использовать",IF(J6&gt;=1.8,"Проверить дополнительно","Не использовать как основание")))</x:f>
        <x:v>Использовать</x:v>
      </x:c>
      <x:c r="N6" s="34" t="str"/>
    </x:row>
    <x:row r="7" ht="34" customHeight="1">
      <x:c r="A7" s="34"/>
      <x:c r="B7" s="34"/>
      <x:c r="C7" s="34"/>
      <x:c r="D7" s="34"/>
      <x:c r="E7" s="34"/>
      <x:c r="F7" s="34"/>
      <x:c r="G7" s="50"/>
      <x:c r="H7" s="50"/>
      <x:c r="I7" s="50"/>
      <x:c r="J7" s="52" t="n">
        <x:f>IFERROR((G7*H7)*(6-I7)/20,"")</x:f>
        <x:v>0</x:v>
      </x:c>
      <x:c r="K7" s="34"/>
      <x:c r="L7" s="34"/>
      <x:c r="M7" s="54" t="str">
        <x:f>IF(J7="","",IF(J7&gt;=3,"Использовать",IF(J7&gt;=1.8,"Проверить дополнительно","Не использовать как основание")))</x:f>
      </x:c>
      <x:c r="N7" s="34"/>
    </x:row>
    <x:row r="8" ht="34" customHeight="1">
      <x:c r="A8" s="34"/>
      <x:c r="B8" s="34"/>
      <x:c r="C8" s="34"/>
      <x:c r="D8" s="34"/>
      <x:c r="E8" s="34"/>
      <x:c r="F8" s="34"/>
      <x:c r="G8" s="50"/>
      <x:c r="H8" s="50"/>
      <x:c r="I8" s="50"/>
      <x:c r="J8" s="52" t="n">
        <x:f>IFERROR((G8*H8)*(6-I8)/20,"")</x:f>
        <x:v>0</x:v>
      </x:c>
      <x:c r="K8" s="34"/>
      <x:c r="L8" s="34"/>
      <x:c r="M8" s="54" t="str">
        <x:f>IF(J8="","",IF(J8&gt;=3,"Использовать",IF(J8&gt;=1.8,"Проверить дополнительно","Не использовать как основание")))</x:f>
      </x:c>
      <x:c r="N8" s="34"/>
    </x:row>
    <x:row r="9" ht="34" customHeight="1">
      <x:c r="A9" s="34"/>
      <x:c r="B9" s="34"/>
      <x:c r="C9" s="34"/>
      <x:c r="D9" s="34"/>
      <x:c r="E9" s="34"/>
      <x:c r="F9" s="34"/>
      <x:c r="G9" s="50"/>
      <x:c r="H9" s="50"/>
      <x:c r="I9" s="50"/>
      <x:c r="J9" s="52" t="n">
        <x:f>IFERROR((G9*H9)*(6-I9)/20,"")</x:f>
        <x:v>0</x:v>
      </x:c>
      <x:c r="K9" s="34"/>
      <x:c r="L9" s="34"/>
      <x:c r="M9" s="54" t="str">
        <x:f>IF(J9="","",IF(J9&gt;=3,"Использовать",IF(J9&gt;=1.8,"Проверить дополнительно","Не использовать как основание")))</x:f>
      </x:c>
      <x:c r="N9" s="34"/>
    </x:row>
    <x:row r="10" ht="34" customHeight="1">
      <x:c r="A10" s="34"/>
      <x:c r="B10" s="34"/>
      <x:c r="C10" s="34"/>
      <x:c r="D10" s="34"/>
      <x:c r="E10" s="34"/>
      <x:c r="F10" s="34"/>
      <x:c r="G10" s="50"/>
      <x:c r="H10" s="50"/>
      <x:c r="I10" s="50"/>
      <x:c r="J10" s="52" t="n">
        <x:f>IFERROR((G10*H10)*(6-I10)/20,"")</x:f>
        <x:v>0</x:v>
      </x:c>
      <x:c r="K10" s="34"/>
      <x:c r="L10" s="34"/>
      <x:c r="M10" s="54" t="str">
        <x:f>IF(J10="","",IF(J10&gt;=3,"Использовать",IF(J10&gt;=1.8,"Проверить дополнительно","Не использовать как основание")))</x:f>
      </x:c>
      <x:c r="N10" s="34"/>
    </x:row>
    <x:row r="11" ht="34" customHeight="1">
      <x:c r="A11" s="34"/>
      <x:c r="B11" s="34"/>
      <x:c r="C11" s="34"/>
      <x:c r="D11" s="34"/>
      <x:c r="E11" s="34"/>
      <x:c r="F11" s="34"/>
      <x:c r="G11" s="50"/>
      <x:c r="H11" s="50"/>
      <x:c r="I11" s="50"/>
      <x:c r="J11" s="52" t="n">
        <x:f>IFERROR((G11*H11)*(6-I11)/20,"")</x:f>
        <x:v>0</x:v>
      </x:c>
      <x:c r="K11" s="34"/>
      <x:c r="L11" s="34"/>
      <x:c r="M11" s="54" t="str">
        <x:f>IF(J11="","",IF(J11&gt;=3,"Использовать",IF(J11&gt;=1.8,"Проверить дополнительно","Не использовать как основание")))</x:f>
      </x:c>
      <x:c r="N11" s="34"/>
    </x:row>
    <x:row r="12" ht="34" customHeight="1">
      <x:c r="A12" s="34"/>
      <x:c r="B12" s="34"/>
      <x:c r="C12" s="34"/>
      <x:c r="D12" s="34"/>
      <x:c r="E12" s="34"/>
      <x:c r="F12" s="34"/>
      <x:c r="G12" s="50"/>
      <x:c r="H12" s="50"/>
      <x:c r="I12" s="50"/>
      <x:c r="J12" s="52" t="n">
        <x:f>IFERROR((G12*H12)*(6-I12)/20,"")</x:f>
        <x:v>0</x:v>
      </x:c>
      <x:c r="K12" s="34"/>
      <x:c r="L12" s="34"/>
      <x:c r="M12" s="54" t="str">
        <x:f>IF(J12="","",IF(J12&gt;=3,"Использовать",IF(J12&gt;=1.8,"Проверить дополнительно","Не использовать как основание")))</x:f>
      </x:c>
      <x:c r="N12" s="34"/>
    </x:row>
    <x:row r="13" ht="34" customHeight="1">
      <x:c r="A13" s="34"/>
      <x:c r="B13" s="34"/>
      <x:c r="C13" s="34"/>
      <x:c r="D13" s="34"/>
      <x:c r="E13" s="34"/>
      <x:c r="F13" s="34"/>
      <x:c r="G13" s="50"/>
      <x:c r="H13" s="50"/>
      <x:c r="I13" s="50"/>
      <x:c r="J13" s="52" t="n">
        <x:f>IFERROR((G13*H13)*(6-I13)/20,"")</x:f>
        <x:v>0</x:v>
      </x:c>
      <x:c r="K13" s="34"/>
      <x:c r="L13" s="34"/>
      <x:c r="M13" s="54" t="str">
        <x:f>IF(J13="","",IF(J13&gt;=3,"Использовать",IF(J13&gt;=1.8,"Проверить дополнительно","Не использовать как основание")))</x:f>
      </x:c>
      <x:c r="N13" s="34"/>
    </x:row>
    <x:row r="14" ht="34" customHeight="1">
      <x:c r="A14" s="34"/>
      <x:c r="B14" s="34"/>
      <x:c r="C14" s="34"/>
      <x:c r="D14" s="34"/>
      <x:c r="E14" s="34"/>
      <x:c r="F14" s="34"/>
      <x:c r="G14" s="50"/>
      <x:c r="H14" s="50"/>
      <x:c r="I14" s="50"/>
      <x:c r="J14" s="52" t="n">
        <x:f>IFERROR((G14*H14)*(6-I14)/20,"")</x:f>
        <x:v>0</x:v>
      </x:c>
      <x:c r="K14" s="34"/>
      <x:c r="L14" s="34"/>
      <x:c r="M14" s="54" t="str">
        <x:f>IF(J14="","",IF(J14&gt;=3,"Использовать",IF(J14&gt;=1.8,"Проверить дополнительно","Не использовать как основание")))</x:f>
      </x:c>
      <x:c r="N14" s="34"/>
    </x:row>
    <x:row r="15" ht="34" customHeight="1">
      <x:c r="A15" s="34"/>
      <x:c r="B15" s="34"/>
      <x:c r="C15" s="34"/>
      <x:c r="D15" s="34"/>
      <x:c r="E15" s="34"/>
      <x:c r="F15" s="34"/>
      <x:c r="G15" s="50"/>
      <x:c r="H15" s="50"/>
      <x:c r="I15" s="50"/>
      <x:c r="J15" s="52" t="n">
        <x:f>IFERROR((G15*H15)*(6-I15)/20,"")</x:f>
        <x:v>0</x:v>
      </x:c>
      <x:c r="K15" s="34"/>
      <x:c r="L15" s="34"/>
      <x:c r="M15" s="54" t="str">
        <x:f>IF(J15="","",IF(J15&gt;=3,"Использовать",IF(J15&gt;=1.8,"Проверить дополнительно","Не использовать как основание")))</x:f>
      </x:c>
      <x:c r="N15" s="34"/>
    </x:row>
    <x:row r="16" ht="34" customHeight="1">
      <x:c r="A16" s="34"/>
      <x:c r="B16" s="34"/>
      <x:c r="C16" s="34"/>
      <x:c r="D16" s="34"/>
      <x:c r="E16" s="34"/>
      <x:c r="F16" s="34"/>
      <x:c r="G16" s="50"/>
      <x:c r="H16" s="50"/>
      <x:c r="I16" s="50"/>
      <x:c r="J16" s="52" t="n">
        <x:f>IFERROR((G16*H16)*(6-I16)/20,"")</x:f>
        <x:v>0</x:v>
      </x:c>
      <x:c r="K16" s="34"/>
      <x:c r="L16" s="34"/>
      <x:c r="M16" s="54" t="str">
        <x:f>IF(J16="","",IF(J16&gt;=3,"Использовать",IF(J16&gt;=1.8,"Проверить дополнительно","Не использовать как основание")))</x:f>
      </x:c>
      <x:c r="N16" s="34"/>
    </x:row>
    <x:row r="17" ht="34" customHeight="1">
      <x:c r="A17" s="34"/>
      <x:c r="B17" s="34"/>
      <x:c r="C17" s="34"/>
      <x:c r="D17" s="34"/>
      <x:c r="E17" s="34"/>
      <x:c r="F17" s="34"/>
      <x:c r="G17" s="50"/>
      <x:c r="H17" s="50"/>
      <x:c r="I17" s="50"/>
      <x:c r="J17" s="52" t="n">
        <x:f>IFERROR((G17*H17)*(6-I17)/20,"")</x:f>
        <x:v>0</x:v>
      </x:c>
      <x:c r="K17" s="34"/>
      <x:c r="L17" s="34"/>
      <x:c r="M17" s="54" t="str">
        <x:f>IF(J17="","",IF(J17&gt;=3,"Использовать",IF(J17&gt;=1.8,"Проверить дополнительно","Не использовать как основание")))</x:f>
      </x:c>
      <x:c r="N17" s="34"/>
    </x:row>
    <x:row r="18" ht="34" customHeight="1">
      <x:c r="A18" s="34"/>
      <x:c r="B18" s="34"/>
      <x:c r="C18" s="34"/>
      <x:c r="D18" s="34"/>
      <x:c r="E18" s="34"/>
      <x:c r="F18" s="34"/>
      <x:c r="G18" s="50"/>
      <x:c r="H18" s="50"/>
      <x:c r="I18" s="50"/>
      <x:c r="J18" s="52" t="n">
        <x:f>IFERROR((G18*H18)*(6-I18)/20,"")</x:f>
        <x:v>0</x:v>
      </x:c>
      <x:c r="K18" s="34"/>
      <x:c r="L18" s="34"/>
      <x:c r="M18" s="54" t="str">
        <x:f>IF(J18="","",IF(J18&gt;=3,"Использовать",IF(J18&gt;=1.8,"Проверить дополнительно","Не использовать как основание")))</x:f>
      </x:c>
      <x:c r="N18" s="34"/>
    </x:row>
    <x:row r="19" ht="34" customHeight="1">
      <x:c r="A19" s="34"/>
      <x:c r="B19" s="34"/>
      <x:c r="C19" s="34"/>
      <x:c r="D19" s="34"/>
      <x:c r="E19" s="34"/>
      <x:c r="F19" s="34"/>
      <x:c r="G19" s="50"/>
      <x:c r="H19" s="50"/>
      <x:c r="I19" s="50"/>
      <x:c r="J19" s="52" t="n">
        <x:f>IFERROR((G19*H19)*(6-I19)/20,"")</x:f>
        <x:v>0</x:v>
      </x:c>
      <x:c r="K19" s="34"/>
      <x:c r="L19" s="34"/>
      <x:c r="M19" s="54" t="str">
        <x:f>IF(J19="","",IF(J19&gt;=3,"Использовать",IF(J19&gt;=1.8,"Проверить дополнительно","Не использовать как основание")))</x:f>
      </x:c>
      <x:c r="N19" s="34"/>
    </x:row>
    <x:row r="20" ht="34" customHeight="1">
      <x:c r="A20" s="34"/>
      <x:c r="B20" s="34"/>
      <x:c r="C20" s="34"/>
      <x:c r="D20" s="34"/>
      <x:c r="E20" s="34"/>
      <x:c r="F20" s="34"/>
      <x:c r="G20" s="50"/>
      <x:c r="H20" s="50"/>
      <x:c r="I20" s="50"/>
      <x:c r="J20" s="52" t="n">
        <x:f>IFERROR((G20*H20)*(6-I20)/20,"")</x:f>
        <x:v>0</x:v>
      </x:c>
      <x:c r="K20" s="34"/>
      <x:c r="L20" s="34"/>
      <x:c r="M20" s="54" t="str">
        <x:f>IF(J20="","",IF(J20&gt;=3,"Использовать",IF(J20&gt;=1.8,"Проверить дополнительно","Не использовать как основание")))</x:f>
      </x:c>
      <x:c r="N20" s="34"/>
    </x:row>
    <x:row r="21" ht="34" customHeight="1">
      <x:c r="A21" s="34"/>
      <x:c r="B21" s="34"/>
      <x:c r="C21" s="34"/>
      <x:c r="D21" s="34"/>
      <x:c r="E21" s="34"/>
      <x:c r="F21" s="34"/>
      <x:c r="G21" s="50"/>
      <x:c r="H21" s="50"/>
      <x:c r="I21" s="50"/>
      <x:c r="J21" s="52" t="n">
        <x:f>IFERROR((G21*H21)*(6-I21)/20,"")</x:f>
        <x:v>0</x:v>
      </x:c>
      <x:c r="K21" s="34"/>
      <x:c r="L21" s="34"/>
      <x:c r="M21" s="54" t="str">
        <x:f>IF(J21="","",IF(J21&gt;=3,"Использовать",IF(J21&gt;=1.8,"Проверить дополнительно","Не использовать как основание")))</x:f>
      </x:c>
      <x:c r="N21" s="34"/>
    </x:row>
    <x:row r="22" ht="34" customHeight="1">
      <x:c r="A22" s="34"/>
      <x:c r="B22" s="34"/>
      <x:c r="C22" s="34"/>
      <x:c r="D22" s="34"/>
      <x:c r="E22" s="34"/>
      <x:c r="F22" s="34"/>
      <x:c r="G22" s="50"/>
      <x:c r="H22" s="50"/>
      <x:c r="I22" s="50"/>
      <x:c r="J22" s="52" t="n">
        <x:f>IFERROR((G22*H22)*(6-I22)/20,"")</x:f>
        <x:v>0</x:v>
      </x:c>
      <x:c r="K22" s="34"/>
      <x:c r="L22" s="34"/>
      <x:c r="M22" s="54" t="str">
        <x:f>IF(J22="","",IF(J22&gt;=3,"Использовать",IF(J22&gt;=1.8,"Проверить дополнительно","Не использовать как основание")))</x:f>
      </x:c>
      <x:c r="N22" s="34"/>
    </x:row>
    <x:row r="23" ht="34" customHeight="1">
      <x:c r="A23" s="34"/>
      <x:c r="B23" s="34"/>
      <x:c r="C23" s="34"/>
      <x:c r="D23" s="34"/>
      <x:c r="E23" s="34"/>
      <x:c r="F23" s="34"/>
      <x:c r="G23" s="50"/>
      <x:c r="H23" s="50"/>
      <x:c r="I23" s="50"/>
      <x:c r="J23" s="52" t="n">
        <x:f>IFERROR((G23*H23)*(6-I23)/20,"")</x:f>
        <x:v>0</x:v>
      </x:c>
      <x:c r="K23" s="34"/>
      <x:c r="L23" s="34"/>
      <x:c r="M23" s="54" t="str">
        <x:f>IF(J23="","",IF(J23&gt;=3,"Использовать",IF(J23&gt;=1.8,"Проверить дополнительно","Не использовать как основание")))</x:f>
      </x:c>
      <x:c r="N23" s="34"/>
    </x:row>
    <x:row r="24" ht="34" customHeight="1">
      <x:c r="A24" s="34"/>
      <x:c r="B24" s="34"/>
      <x:c r="C24" s="34"/>
      <x:c r="D24" s="34"/>
      <x:c r="E24" s="34"/>
      <x:c r="F24" s="34"/>
      <x:c r="G24" s="50"/>
      <x:c r="H24" s="50"/>
      <x:c r="I24" s="50"/>
      <x:c r="J24" s="52" t="n">
        <x:f>IFERROR((G24*H24)*(6-I24)/20,"")</x:f>
        <x:v>0</x:v>
      </x:c>
      <x:c r="K24" s="34"/>
      <x:c r="L24" s="34"/>
      <x:c r="M24" s="54" t="str">
        <x:f>IF(J24="","",IF(J24&gt;=3,"Использовать",IF(J24&gt;=1.8,"Проверить дополнительно","Не использовать как основание")))</x:f>
      </x:c>
      <x:c r="N24" s="34"/>
    </x:row>
    <x:row r="25" ht="34" customHeight="1">
      <x:c r="A25" s="34"/>
      <x:c r="B25" s="34"/>
      <x:c r="C25" s="34"/>
      <x:c r="D25" s="34"/>
      <x:c r="E25" s="34"/>
      <x:c r="F25" s="34"/>
      <x:c r="G25" s="50"/>
      <x:c r="H25" s="50"/>
      <x:c r="I25" s="50"/>
      <x:c r="J25" s="52" t="n">
        <x:f>IFERROR((G25*H25)*(6-I25)/20,"")</x:f>
        <x:v>0</x:v>
      </x:c>
      <x:c r="K25" s="34"/>
      <x:c r="L25" s="34"/>
      <x:c r="M25" s="54" t="str">
        <x:f>IF(J25="","",IF(J25&gt;=3,"Использовать",IF(J25&gt;=1.8,"Проверить дополнительно","Не использовать как основание")))</x:f>
      </x:c>
      <x:c r="N25" s="34"/>
    </x:row>
    <x:row r="26" ht="34" customHeight="1">
      <x:c r="A26" s="34"/>
      <x:c r="B26" s="34"/>
      <x:c r="C26" s="34"/>
      <x:c r="D26" s="34"/>
      <x:c r="E26" s="34"/>
      <x:c r="F26" s="34"/>
      <x:c r="G26" s="50"/>
      <x:c r="H26" s="50"/>
      <x:c r="I26" s="50"/>
      <x:c r="J26" s="52" t="n">
        <x:f>IFERROR((G26*H26)*(6-I26)/20,"")</x:f>
        <x:v>0</x:v>
      </x:c>
      <x:c r="K26" s="34"/>
      <x:c r="L26" s="34"/>
      <x:c r="M26" s="54" t="str">
        <x:f>IF(J26="","",IF(J26&gt;=3,"Использовать",IF(J26&gt;=1.8,"Проверить дополнительно","Не использовать как основание")))</x:f>
      </x:c>
      <x:c r="N26" s="34"/>
    </x:row>
    <x:row r="27" ht="34" customHeight="1">
      <x:c r="A27" s="34"/>
      <x:c r="B27" s="34"/>
      <x:c r="C27" s="34"/>
      <x:c r="D27" s="34"/>
      <x:c r="E27" s="34"/>
      <x:c r="F27" s="34"/>
      <x:c r="G27" s="50"/>
      <x:c r="H27" s="50"/>
      <x:c r="I27" s="50"/>
      <x:c r="J27" s="52" t="n">
        <x:f>IFERROR((G27*H27)*(6-I27)/20,"")</x:f>
        <x:v>0</x:v>
      </x:c>
      <x:c r="K27" s="34"/>
      <x:c r="L27" s="34"/>
      <x:c r="M27" s="54" t="str">
        <x:f>IF(J27="","",IF(J27&gt;=3,"Использовать",IF(J27&gt;=1.8,"Проверить дополнительно","Не использовать как основание")))</x:f>
      </x:c>
      <x:c r="N27" s="34"/>
    </x:row>
    <x:row r="28" ht="34" customHeight="1">
      <x:c r="A28" s="34"/>
      <x:c r="B28" s="34"/>
      <x:c r="C28" s="34"/>
      <x:c r="D28" s="34"/>
      <x:c r="E28" s="34"/>
      <x:c r="F28" s="34"/>
      <x:c r="G28" s="50"/>
      <x:c r="H28" s="50"/>
      <x:c r="I28" s="50"/>
      <x:c r="J28" s="52" t="n">
        <x:f>IFERROR((G28*H28)*(6-I28)/20,"")</x:f>
        <x:v>0</x:v>
      </x:c>
      <x:c r="K28" s="34"/>
      <x:c r="L28" s="34"/>
      <x:c r="M28" s="54" t="str">
        <x:f>IF(J28="","",IF(J28&gt;=3,"Использовать",IF(J28&gt;=1.8,"Проверить дополнительно","Не использовать как основание")))</x:f>
      </x:c>
      <x:c r="N28" s="34"/>
    </x:row>
    <x:row r="29" ht="34" customHeight="1">
      <x:c r="A29" s="34"/>
      <x:c r="B29" s="34"/>
      <x:c r="C29" s="34"/>
      <x:c r="D29" s="34"/>
      <x:c r="E29" s="34"/>
      <x:c r="F29" s="34"/>
      <x:c r="G29" s="50"/>
      <x:c r="H29" s="50"/>
      <x:c r="I29" s="50"/>
      <x:c r="J29" s="52" t="n">
        <x:f>IFERROR((G29*H29)*(6-I29)/20,"")</x:f>
        <x:v>0</x:v>
      </x:c>
      <x:c r="K29" s="34"/>
      <x:c r="L29" s="34"/>
      <x:c r="M29" s="54" t="str">
        <x:f>IF(J29="","",IF(J29&gt;=3,"Использовать",IF(J29&gt;=1.8,"Проверить дополнительно","Не использовать как основание")))</x:f>
      </x:c>
      <x:c r="N29" s="34"/>
    </x:row>
    <x:row r="30" ht="34" customHeight="1">
      <x:c r="A30" s="34"/>
      <x:c r="B30" s="34"/>
      <x:c r="C30" s="34"/>
      <x:c r="D30" s="34"/>
      <x:c r="E30" s="34"/>
      <x:c r="F30" s="34"/>
      <x:c r="G30" s="50"/>
      <x:c r="H30" s="50"/>
      <x:c r="I30" s="50"/>
      <x:c r="J30" s="52" t="n">
        <x:f>IFERROR((G30*H30)*(6-I30)/20,"")</x:f>
        <x:v>0</x:v>
      </x:c>
      <x:c r="K30" s="34"/>
      <x:c r="L30" s="34"/>
      <x:c r="M30" s="54" t="str">
        <x:f>IF(J30="","",IF(J30&gt;=3,"Использовать",IF(J30&gt;=1.8,"Проверить дополнительно","Не использовать как основание")))</x:f>
      </x:c>
      <x:c r="N30" s="34"/>
    </x:row>
    <x:row r="31" ht="34" customHeight="1">
      <x:c r="A31" s="34"/>
      <x:c r="B31" s="34"/>
      <x:c r="C31" s="34"/>
      <x:c r="D31" s="34"/>
      <x:c r="E31" s="34"/>
      <x:c r="F31" s="34"/>
      <x:c r="G31" s="50"/>
      <x:c r="H31" s="50"/>
      <x:c r="I31" s="50"/>
      <x:c r="J31" s="52" t="n">
        <x:f>IFERROR((G31*H31)*(6-I31)/20,"")</x:f>
        <x:v>0</x:v>
      </x:c>
      <x:c r="K31" s="34"/>
      <x:c r="L31" s="34"/>
      <x:c r="M31" s="54" t="str">
        <x:f>IF(J31="","",IF(J31&gt;=3,"Использовать",IF(J31&gt;=1.8,"Проверить дополнительно","Не использовать как основание")))</x:f>
      </x:c>
      <x:c r="N31" s="34"/>
    </x:row>
    <x:row r="32" ht="34" customHeight="1">
      <x:c r="A32" s="34"/>
      <x:c r="B32" s="34"/>
      <x:c r="C32" s="34"/>
      <x:c r="D32" s="34"/>
      <x:c r="E32" s="34"/>
      <x:c r="F32" s="34"/>
      <x:c r="G32" s="50"/>
      <x:c r="H32" s="50"/>
      <x:c r="I32" s="50"/>
      <x:c r="J32" s="52" t="n">
        <x:f>IFERROR((G32*H32)*(6-I32)/20,"")</x:f>
        <x:v>0</x:v>
      </x:c>
      <x:c r="K32" s="34"/>
      <x:c r="L32" s="34"/>
      <x:c r="M32" s="54" t="str">
        <x:f>IF(J32="","",IF(J32&gt;=3,"Использовать",IF(J32&gt;=1.8,"Проверить дополнительно","Не использовать как основание")))</x:f>
      </x:c>
      <x:c r="N32" s="34"/>
    </x:row>
    <x:row r="33" ht="34" customHeight="1">
      <x:c r="A33" s="34"/>
      <x:c r="B33" s="34"/>
      <x:c r="C33" s="34"/>
      <x:c r="D33" s="34"/>
      <x:c r="E33" s="34"/>
      <x:c r="F33" s="34"/>
      <x:c r="G33" s="50"/>
      <x:c r="H33" s="50"/>
      <x:c r="I33" s="50"/>
      <x:c r="J33" s="52" t="n">
        <x:f>IFERROR((G33*H33)*(6-I33)/20,"")</x:f>
        <x:v>0</x:v>
      </x:c>
      <x:c r="K33" s="34"/>
      <x:c r="L33" s="34"/>
      <x:c r="M33" s="54" t="str">
        <x:f>IF(J33="","",IF(J33&gt;=3,"Использовать",IF(J33&gt;=1.8,"Проверить дополнительно","Не использовать как основание")))</x:f>
      </x:c>
      <x:c r="N33" s="34"/>
    </x:row>
    <x:row r="34" ht="34" customHeight="1">
      <x:c r="A34" s="34"/>
      <x:c r="B34" s="34"/>
      <x:c r="C34" s="34"/>
      <x:c r="D34" s="34"/>
      <x:c r="E34" s="34"/>
      <x:c r="F34" s="34"/>
      <x:c r="G34" s="50"/>
      <x:c r="H34" s="50"/>
      <x:c r="I34" s="50"/>
      <x:c r="J34" s="52" t="n">
        <x:f>IFERROR((G34*H34)*(6-I34)/20,"")</x:f>
        <x:v>0</x:v>
      </x:c>
      <x:c r="K34" s="34"/>
      <x:c r="L34" s="34"/>
      <x:c r="M34" s="54" t="str">
        <x:f>IF(J34="","",IF(J34&gt;=3,"Использовать",IF(J34&gt;=1.8,"Проверить дополнительно","Не использовать как основание")))</x:f>
      </x:c>
      <x:c r="N34" s="34"/>
    </x:row>
    <x:row r="35" ht="34" customHeight="1">
      <x:c r="A35" s="34"/>
      <x:c r="B35" s="34"/>
      <x:c r="C35" s="34"/>
      <x:c r="D35" s="34"/>
      <x:c r="E35" s="34"/>
      <x:c r="F35" s="34"/>
      <x:c r="G35" s="50"/>
      <x:c r="H35" s="50"/>
      <x:c r="I35" s="50"/>
      <x:c r="J35" s="52" t="n">
        <x:f>IFERROR((G35*H35)*(6-I35)/20,"")</x:f>
        <x:v>0</x:v>
      </x:c>
      <x:c r="K35" s="34"/>
      <x:c r="L35" s="34"/>
      <x:c r="M35" s="54" t="str">
        <x:f>IF(J35="","",IF(J35&gt;=3,"Использовать",IF(J35&gt;=1.8,"Проверить дополнительно","Не использовать как основание")))</x:f>
      </x:c>
      <x:c r="N35" s="34"/>
    </x:row>
    <x:row r="36" ht="34" customHeight="1">
      <x:c r="A36" s="34"/>
      <x:c r="B36" s="34"/>
      <x:c r="C36" s="34"/>
      <x:c r="D36" s="34"/>
      <x:c r="E36" s="34"/>
      <x:c r="F36" s="34"/>
      <x:c r="G36" s="50"/>
      <x:c r="H36" s="50"/>
      <x:c r="I36" s="50"/>
      <x:c r="J36" s="52" t="n">
        <x:f>IFERROR((G36*H36)*(6-I36)/20,"")</x:f>
        <x:v>0</x:v>
      </x:c>
      <x:c r="K36" s="34"/>
      <x:c r="L36" s="34"/>
      <x:c r="M36" s="54" t="str">
        <x:f>IF(J36="","",IF(J36&gt;=3,"Использовать",IF(J36&gt;=1.8,"Проверить дополнительно","Не использовать как основание")))</x:f>
      </x:c>
      <x:c r="N36" s="34"/>
    </x:row>
    <x:row r="37" ht="34" customHeight="1">
      <x:c r="A37" s="34"/>
      <x:c r="B37" s="34"/>
      <x:c r="C37" s="34"/>
      <x:c r="D37" s="34"/>
      <x:c r="E37" s="34"/>
      <x:c r="F37" s="34"/>
      <x:c r="G37" s="50"/>
      <x:c r="H37" s="50"/>
      <x:c r="I37" s="50"/>
      <x:c r="J37" s="52" t="n">
        <x:f>IFERROR((G37*H37)*(6-I37)/20,"")</x:f>
        <x:v>0</x:v>
      </x:c>
      <x:c r="K37" s="34"/>
      <x:c r="L37" s="34"/>
      <x:c r="M37" s="54" t="str">
        <x:f>IF(J37="","",IF(J37&gt;=3,"Использовать",IF(J37&gt;=1.8,"Проверить дополнительно","Не использовать как основание")))</x:f>
      </x:c>
      <x:c r="N37" s="34"/>
    </x:row>
    <x:row r="38" ht="34" customHeight="1">
      <x:c r="A38" s="34"/>
      <x:c r="B38" s="34"/>
      <x:c r="C38" s="34"/>
      <x:c r="D38" s="34"/>
      <x:c r="E38" s="34"/>
      <x:c r="F38" s="34"/>
      <x:c r="G38" s="50"/>
      <x:c r="H38" s="50"/>
      <x:c r="I38" s="50"/>
      <x:c r="J38" s="52" t="n">
        <x:f>IFERROR((G38*H38)*(6-I38)/20,"")</x:f>
        <x:v>0</x:v>
      </x:c>
      <x:c r="K38" s="34"/>
      <x:c r="L38" s="34"/>
      <x:c r="M38" s="54" t="str">
        <x:f>IF(J38="","",IF(J38&gt;=3,"Использовать",IF(J38&gt;=1.8,"Проверить дополнительно","Не использовать как основание")))</x:f>
      </x:c>
      <x:c r="N38" s="34"/>
    </x:row>
    <x:row r="39" ht="34" customHeight="1">
      <x:c r="A39" s="34"/>
      <x:c r="B39" s="34"/>
      <x:c r="C39" s="34"/>
      <x:c r="D39" s="34"/>
      <x:c r="E39" s="34"/>
      <x:c r="F39" s="34"/>
      <x:c r="G39" s="50"/>
      <x:c r="H39" s="50"/>
      <x:c r="I39" s="50"/>
      <x:c r="J39" s="52" t="n">
        <x:f>IFERROR((G39*H39)*(6-I39)/20,"")</x:f>
        <x:v>0</x:v>
      </x:c>
      <x:c r="K39" s="34"/>
      <x:c r="L39" s="34"/>
      <x:c r="M39" s="54" t="str">
        <x:f>IF(J39="","",IF(J39&gt;=3,"Использовать",IF(J39&gt;=1.8,"Проверить дополнительно","Не использовать как основание")))</x:f>
      </x:c>
      <x:c r="N39" s="34"/>
    </x:row>
    <x:row r="40" ht="34" customHeight="1">
      <x:c r="A40" s="34"/>
      <x:c r="B40" s="34"/>
      <x:c r="C40" s="34"/>
      <x:c r="D40" s="34"/>
      <x:c r="E40" s="34"/>
      <x:c r="F40" s="34"/>
      <x:c r="G40" s="50"/>
      <x:c r="H40" s="50"/>
      <x:c r="I40" s="50"/>
      <x:c r="J40" s="52" t="n">
        <x:f>IFERROR((G40*H40)*(6-I40)/20,"")</x:f>
        <x:v>0</x:v>
      </x:c>
      <x:c r="K40" s="34"/>
      <x:c r="L40" s="34"/>
      <x:c r="M40" s="54" t="str">
        <x:f>IF(J40="","",IF(J40&gt;=3,"Использовать",IF(J40&gt;=1.8,"Проверить дополнительно","Не использовать как основание")))</x:f>
      </x:c>
      <x:c r="N40" s="34"/>
    </x:row>
    <x:row r="41" ht="34" customHeight="1">
      <x:c r="A41" s="34"/>
      <x:c r="B41" s="34"/>
      <x:c r="C41" s="34"/>
      <x:c r="D41" s="34"/>
      <x:c r="E41" s="34"/>
      <x:c r="F41" s="34"/>
      <x:c r="G41" s="50"/>
      <x:c r="H41" s="50"/>
      <x:c r="I41" s="50"/>
      <x:c r="J41" s="52" t="n">
        <x:f>IFERROR((G41*H41)*(6-I41)/20,"")</x:f>
        <x:v>0</x:v>
      </x:c>
      <x:c r="K41" s="34"/>
      <x:c r="L41" s="34"/>
      <x:c r="M41" s="54" t="str">
        <x:f>IF(J41="","",IF(J41&gt;=3,"Использовать",IF(J41&gt;=1.8,"Проверить дополнительно","Не использовать как основание")))</x:f>
      </x:c>
      <x:c r="N41" s="34"/>
    </x:row>
    <x:row r="42" ht="34" customHeight="1">
      <x:c r="A42" s="34"/>
      <x:c r="B42" s="34"/>
      <x:c r="C42" s="34"/>
      <x:c r="D42" s="34"/>
      <x:c r="E42" s="34"/>
      <x:c r="F42" s="34"/>
      <x:c r="G42" s="50"/>
      <x:c r="H42" s="50"/>
      <x:c r="I42" s="50"/>
      <x:c r="J42" s="52" t="n">
        <x:f>IFERROR((G42*H42)*(6-I42)/20,"")</x:f>
        <x:v>0</x:v>
      </x:c>
      <x:c r="K42" s="34"/>
      <x:c r="L42" s="34"/>
      <x:c r="M42" s="54" t="str">
        <x:f>IF(J42="","",IF(J42&gt;=3,"Использовать",IF(J42&gt;=1.8,"Проверить дополнительно","Не использовать как основание")))</x:f>
      </x:c>
      <x:c r="N42" s="34"/>
    </x:row>
    <x:row r="43" ht="34" customHeight="1">
      <x:c r="A43" s="34"/>
      <x:c r="B43" s="34"/>
      <x:c r="C43" s="34"/>
      <x:c r="D43" s="34"/>
      <x:c r="E43" s="34"/>
      <x:c r="F43" s="34"/>
      <x:c r="G43" s="50"/>
      <x:c r="H43" s="50"/>
      <x:c r="I43" s="50"/>
      <x:c r="J43" s="52" t="n">
        <x:f>IFERROR((G43*H43)*(6-I43)/20,"")</x:f>
        <x:v>0</x:v>
      </x:c>
      <x:c r="K43" s="34"/>
      <x:c r="L43" s="34"/>
      <x:c r="M43" s="54" t="str">
        <x:f>IF(J43="","",IF(J43&gt;=3,"Использовать",IF(J43&gt;=1.8,"Проверить дополнительно","Не использовать как основание")))</x:f>
      </x:c>
      <x:c r="N43" s="34"/>
    </x:row>
    <x:row r="44" ht="34" customHeight="1">
      <x:c r="A44" s="34"/>
      <x:c r="B44" s="34"/>
      <x:c r="C44" s="34"/>
      <x:c r="D44" s="34"/>
      <x:c r="E44" s="34"/>
      <x:c r="F44" s="34"/>
      <x:c r="G44" s="50"/>
      <x:c r="H44" s="50"/>
      <x:c r="I44" s="50"/>
      <x:c r="J44" s="52" t="n">
        <x:f>IFERROR((G44*H44)*(6-I44)/20,"")</x:f>
        <x:v>0</x:v>
      </x:c>
      <x:c r="K44" s="34"/>
      <x:c r="L44" s="34"/>
      <x:c r="M44" s="54" t="str">
        <x:f>IF(J44="","",IF(J44&gt;=3,"Использовать",IF(J44&gt;=1.8,"Проверить дополнительно","Не использовать как основание")))</x:f>
      </x:c>
      <x:c r="N44" s="34"/>
    </x:row>
    <x:row r="45" ht="34" customHeight="1">
      <x:c r="A45" s="34"/>
      <x:c r="B45" s="34"/>
      <x:c r="C45" s="34"/>
      <x:c r="D45" s="34"/>
      <x:c r="E45" s="34"/>
      <x:c r="F45" s="34"/>
      <x:c r="G45" s="50"/>
      <x:c r="H45" s="50"/>
      <x:c r="I45" s="50"/>
      <x:c r="J45" s="52" t="n">
        <x:f>IFERROR((G45*H45)*(6-I45)/20,"")</x:f>
        <x:v>0</x:v>
      </x:c>
      <x:c r="K45" s="34"/>
      <x:c r="L45" s="34"/>
      <x:c r="M45" s="54" t="str">
        <x:f>IF(J45="","",IF(J45&gt;=3,"Использовать",IF(J45&gt;=1.8,"Проверить дополнительно","Не использовать как основание")))</x:f>
      </x:c>
      <x:c r="N45" s="34"/>
    </x:row>
    <x:row r="46" ht="34" customHeight="1">
      <x:c r="A46" s="34"/>
      <x:c r="B46" s="34"/>
      <x:c r="C46" s="34"/>
      <x:c r="D46" s="34"/>
      <x:c r="E46" s="34"/>
      <x:c r="F46" s="34"/>
      <x:c r="G46" s="50"/>
      <x:c r="H46" s="50"/>
      <x:c r="I46" s="50"/>
      <x:c r="J46" s="52" t="n">
        <x:f>IFERROR((G46*H46)*(6-I46)/20,"")</x:f>
        <x:v>0</x:v>
      </x:c>
      <x:c r="K46" s="34"/>
      <x:c r="L46" s="34"/>
      <x:c r="M46" s="54" t="str">
        <x:f>IF(J46="","",IF(J46&gt;=3,"Использовать",IF(J46&gt;=1.8,"Проверить дополнительно","Не использовать как основание")))</x:f>
      </x:c>
      <x:c r="N46" s="34"/>
    </x:row>
    <x:row r="47" ht="34" customHeight="1">
      <x:c r="A47" s="34"/>
      <x:c r="B47" s="34"/>
      <x:c r="C47" s="34"/>
      <x:c r="D47" s="34"/>
      <x:c r="E47" s="34"/>
      <x:c r="F47" s="34"/>
      <x:c r="G47" s="50"/>
      <x:c r="H47" s="50"/>
      <x:c r="I47" s="50"/>
      <x:c r="J47" s="52" t="n">
        <x:f>IFERROR((G47*H47)*(6-I47)/20,"")</x:f>
        <x:v>0</x:v>
      </x:c>
      <x:c r="K47" s="34"/>
      <x:c r="L47" s="34"/>
      <x:c r="M47" s="54" t="str">
        <x:f>IF(J47="","",IF(J47&gt;=3,"Использовать",IF(J47&gt;=1.8,"Проверить дополнительно","Не использовать как основание")))</x:f>
      </x:c>
      <x:c r="N47" s="34"/>
    </x:row>
    <x:row r="48" ht="34" customHeight="1">
      <x:c r="A48" s="34"/>
      <x:c r="B48" s="34"/>
      <x:c r="C48" s="34"/>
      <x:c r="D48" s="34"/>
      <x:c r="E48" s="34"/>
      <x:c r="F48" s="34"/>
      <x:c r="G48" s="50"/>
      <x:c r="H48" s="50"/>
      <x:c r="I48" s="50"/>
      <x:c r="J48" s="52" t="n">
        <x:f>IFERROR((G48*H48)*(6-I48)/20,"")</x:f>
        <x:v>0</x:v>
      </x:c>
      <x:c r="K48" s="34"/>
      <x:c r="L48" s="34"/>
      <x:c r="M48" s="54" t="str">
        <x:f>IF(J48="","",IF(J48&gt;=3,"Использовать",IF(J48&gt;=1.8,"Проверить дополнительно","Не использовать как основание")))</x:f>
      </x:c>
      <x:c r="N48" s="34"/>
    </x:row>
    <x:row r="49" ht="34" customHeight="1">
      <x:c r="A49" s="34"/>
      <x:c r="B49" s="34"/>
      <x:c r="C49" s="34"/>
      <x:c r="D49" s="34"/>
      <x:c r="E49" s="34"/>
      <x:c r="F49" s="34"/>
      <x:c r="G49" s="50"/>
      <x:c r="H49" s="50"/>
      <x:c r="I49" s="50"/>
      <x:c r="J49" s="52" t="n">
        <x:f>IFERROR((G49*H49)*(6-I49)/20,"")</x:f>
        <x:v>0</x:v>
      </x:c>
      <x:c r="K49" s="34"/>
      <x:c r="L49" s="34"/>
      <x:c r="M49" s="54" t="str">
        <x:f>IF(J49="","",IF(J49&gt;=3,"Использовать",IF(J49&gt;=1.8,"Проверить дополнительно","Не использовать как основание")))</x:f>
      </x:c>
      <x:c r="N49" s="34"/>
    </x:row>
    <x:row r="50" ht="34" customHeight="1">
      <x:c r="A50" s="34"/>
      <x:c r="B50" s="34"/>
      <x:c r="C50" s="34"/>
      <x:c r="D50" s="34"/>
      <x:c r="E50" s="34"/>
      <x:c r="F50" s="34"/>
      <x:c r="G50" s="50"/>
      <x:c r="H50" s="50"/>
      <x:c r="I50" s="50"/>
      <x:c r="J50" s="52" t="n">
        <x:f>IFERROR((G50*H50)*(6-I50)/20,"")</x:f>
        <x:v>0</x:v>
      </x:c>
      <x:c r="K50" s="34"/>
      <x:c r="L50" s="34"/>
      <x:c r="M50" s="54" t="str">
        <x:f>IF(J50="","",IF(J50&gt;=3,"Использовать",IF(J50&gt;=1.8,"Проверить дополнительно","Не использовать как основание")))</x:f>
      </x:c>
      <x:c r="N50" s="34"/>
    </x:row>
    <x:row r="51" ht="34" customHeight="1">
      <x:c r="A51" s="34"/>
      <x:c r="B51" s="34"/>
      <x:c r="C51" s="34"/>
      <x:c r="D51" s="34"/>
      <x:c r="E51" s="34"/>
      <x:c r="F51" s="34"/>
      <x:c r="G51" s="50"/>
      <x:c r="H51" s="50"/>
      <x:c r="I51" s="50"/>
      <x:c r="J51" s="52" t="n">
        <x:f>IFERROR((G51*H51)*(6-I51)/20,"")</x:f>
        <x:v>0</x:v>
      </x:c>
      <x:c r="K51" s="34"/>
      <x:c r="L51" s="34"/>
      <x:c r="M51" s="54" t="str">
        <x:f>IF(J51="","",IF(J51&gt;=3,"Использовать",IF(J51&gt;=1.8,"Проверить дополнительно","Не использовать как основание")))</x:f>
      </x:c>
      <x:c r="N51" s="34"/>
    </x:row>
    <x:row r="52" ht="34" customHeight="1">
      <x:c r="A52" s="34"/>
      <x:c r="B52" s="34"/>
      <x:c r="C52" s="34"/>
      <x:c r="D52" s="34"/>
      <x:c r="E52" s="34"/>
      <x:c r="F52" s="34"/>
      <x:c r="G52" s="50"/>
      <x:c r="H52" s="50"/>
      <x:c r="I52" s="50"/>
      <x:c r="J52" s="52" t="n">
        <x:f>IFERROR((G52*H52)*(6-I52)/20,"")</x:f>
        <x:v>0</x:v>
      </x:c>
      <x:c r="K52" s="34"/>
      <x:c r="L52" s="34"/>
      <x:c r="M52" s="54" t="str">
        <x:f>IF(J52="","",IF(J52&gt;=3,"Использовать",IF(J52&gt;=1.8,"Проверить дополнительно","Не использовать как основание")))</x:f>
      </x:c>
      <x:c r="N52" s="34"/>
    </x:row>
    <x:row r="53" ht="34" customHeight="1">
      <x:c r="A53" s="34"/>
      <x:c r="B53" s="34"/>
      <x:c r="C53" s="34"/>
      <x:c r="D53" s="34"/>
      <x:c r="E53" s="34"/>
      <x:c r="F53" s="34"/>
      <x:c r="G53" s="50"/>
      <x:c r="H53" s="50"/>
      <x:c r="I53" s="50"/>
      <x:c r="J53" s="52" t="n">
        <x:f>IFERROR((G53*H53)*(6-I53)/20,"")</x:f>
        <x:v>0</x:v>
      </x:c>
      <x:c r="K53" s="34"/>
      <x:c r="L53" s="34"/>
      <x:c r="M53" s="54" t="str">
        <x:f>IF(J53="","",IF(J53&gt;=3,"Использовать",IF(J53&gt;=1.8,"Проверить дополнительно","Не использовать как основание")))</x:f>
      </x:c>
      <x:c r="N53" s="34"/>
    </x:row>
    <x:row r="54" ht="34" customHeight="1">
      <x:c r="A54" s="34"/>
      <x:c r="B54" s="34"/>
      <x:c r="C54" s="34"/>
      <x:c r="D54" s="34"/>
      <x:c r="E54" s="34"/>
      <x:c r="F54" s="34"/>
      <x:c r="G54" s="50"/>
      <x:c r="H54" s="50"/>
      <x:c r="I54" s="50"/>
      <x:c r="J54" s="52" t="n">
        <x:f>IFERROR((G54*H54)*(6-I54)/20,"")</x:f>
        <x:v>0</x:v>
      </x:c>
      <x:c r="K54" s="34"/>
      <x:c r="L54" s="34"/>
      <x:c r="M54" s="54" t="str">
        <x:f>IF(J54="","",IF(J54&gt;=3,"Использовать",IF(J54&gt;=1.8,"Проверить дополнительно","Не использовать как основание")))</x:f>
      </x:c>
      <x:c r="N54" s="34"/>
    </x:row>
    <x:row r="55" ht="34" customHeight="1">
      <x:c r="A55" s="34"/>
      <x:c r="B55" s="34"/>
      <x:c r="C55" s="34"/>
      <x:c r="D55" s="34"/>
      <x:c r="E55" s="34"/>
      <x:c r="F55" s="34"/>
      <x:c r="G55" s="50"/>
      <x:c r="H55" s="50"/>
      <x:c r="I55" s="50"/>
      <x:c r="J55" s="52" t="n">
        <x:f>IFERROR((G55*H55)*(6-I55)/20,"")</x:f>
        <x:v>0</x:v>
      </x:c>
      <x:c r="K55" s="34"/>
      <x:c r="L55" s="34"/>
      <x:c r="M55" s="54" t="str">
        <x:f>IF(J55="","",IF(J55&gt;=3,"Использовать",IF(J55&gt;=1.8,"Проверить дополнительно","Не использовать как основание")))</x:f>
      </x:c>
      <x:c r="N55" s="34"/>
    </x:row>
    <x:row r="56" ht="34" customHeight="1">
      <x:c r="A56" s="34"/>
      <x:c r="B56" s="34"/>
      <x:c r="C56" s="34"/>
      <x:c r="D56" s="34"/>
      <x:c r="E56" s="34"/>
      <x:c r="F56" s="34"/>
      <x:c r="G56" s="50"/>
      <x:c r="H56" s="50"/>
      <x:c r="I56" s="50"/>
      <x:c r="J56" s="52" t="n">
        <x:f>IFERROR((G56*H56)*(6-I56)/20,"")</x:f>
        <x:v>0</x:v>
      </x:c>
      <x:c r="K56" s="34"/>
      <x:c r="L56" s="34"/>
      <x:c r="M56" s="54" t="str">
        <x:f>IF(J56="","",IF(J56&gt;=3,"Использовать",IF(J56&gt;=1.8,"Проверить дополнительно","Не использовать как основание")))</x:f>
      </x:c>
      <x:c r="N56" s="34"/>
    </x:row>
    <x:row r="57" ht="34" customHeight="1">
      <x:c r="A57" s="34"/>
      <x:c r="B57" s="34"/>
      <x:c r="C57" s="34"/>
      <x:c r="D57" s="34"/>
      <x:c r="E57" s="34"/>
      <x:c r="F57" s="34"/>
      <x:c r="G57" s="50"/>
      <x:c r="H57" s="50"/>
      <x:c r="I57" s="50"/>
      <x:c r="J57" s="52" t="n">
        <x:f>IFERROR((G57*H57)*(6-I57)/20,"")</x:f>
        <x:v>0</x:v>
      </x:c>
      <x:c r="K57" s="34"/>
      <x:c r="L57" s="34"/>
      <x:c r="M57" s="54" t="str">
        <x:f>IF(J57="","",IF(J57&gt;=3,"Использовать",IF(J57&gt;=1.8,"Проверить дополнительно","Не использовать как основание")))</x:f>
      </x:c>
      <x:c r="N57" s="34"/>
    </x:row>
    <x:row r="58" ht="34" customHeight="1">
      <x:c r="A58" s="34"/>
      <x:c r="B58" s="34"/>
      <x:c r="C58" s="34"/>
      <x:c r="D58" s="34"/>
      <x:c r="E58" s="34"/>
      <x:c r="F58" s="34"/>
      <x:c r="G58" s="50"/>
      <x:c r="H58" s="50"/>
      <x:c r="I58" s="50"/>
      <x:c r="J58" s="52" t="n">
        <x:f>IFERROR((G58*H58)*(6-I58)/20,"")</x:f>
        <x:v>0</x:v>
      </x:c>
      <x:c r="K58" s="34"/>
      <x:c r="L58" s="34"/>
      <x:c r="M58" s="54" t="str">
        <x:f>IF(J58="","",IF(J58&gt;=3,"Использовать",IF(J58&gt;=1.8,"Проверить дополнительно","Не использовать как основание")))</x:f>
      </x:c>
      <x:c r="N58" s="34"/>
    </x:row>
    <x:row r="59" ht="34" customHeight="1">
      <x:c r="A59" s="34"/>
      <x:c r="B59" s="34"/>
      <x:c r="C59" s="34"/>
      <x:c r="D59" s="34"/>
      <x:c r="E59" s="34"/>
      <x:c r="F59" s="34"/>
      <x:c r="G59" s="50"/>
      <x:c r="H59" s="50"/>
      <x:c r="I59" s="50"/>
      <x:c r="J59" s="52" t="n">
        <x:f>IFERROR((G59*H59)*(6-I59)/20,"")</x:f>
        <x:v>0</x:v>
      </x:c>
      <x:c r="K59" s="34"/>
      <x:c r="L59" s="34"/>
      <x:c r="M59" s="54" t="str">
        <x:f>IF(J59="","",IF(J59&gt;=3,"Использовать",IF(J59&gt;=1.8,"Проверить дополнительно","Не использовать как основание")))</x:f>
      </x:c>
      <x:c r="N59" s="34"/>
    </x:row>
    <x:row r="60" ht="34" customHeight="1">
      <x:c r="A60" s="34"/>
      <x:c r="B60" s="34"/>
      <x:c r="C60" s="34"/>
      <x:c r="D60" s="34"/>
      <x:c r="E60" s="34"/>
      <x:c r="F60" s="34"/>
      <x:c r="G60" s="50"/>
      <x:c r="H60" s="50"/>
      <x:c r="I60" s="50"/>
      <x:c r="J60" s="52" t="n">
        <x:f>IFERROR((G60*H60)*(6-I60)/20,"")</x:f>
        <x:v>0</x:v>
      </x:c>
      <x:c r="K60" s="34"/>
      <x:c r="L60" s="34"/>
      <x:c r="M60" s="54" t="str">
        <x:f>IF(J60="","",IF(J60&gt;=3,"Использовать",IF(J60&gt;=1.8,"Проверить дополнительно","Не использовать как основание")))</x:f>
      </x:c>
      <x:c r="N60" s="34"/>
    </x:row>
    <x:row r="61" ht="34" customHeight="1">
      <x:c r="A61" s="34"/>
      <x:c r="B61" s="34"/>
      <x:c r="C61" s="34"/>
      <x:c r="D61" s="34"/>
      <x:c r="E61" s="34"/>
      <x:c r="F61" s="34"/>
      <x:c r="G61" s="50"/>
      <x:c r="H61" s="50"/>
      <x:c r="I61" s="50"/>
      <x:c r="J61" s="52" t="n">
        <x:f>IFERROR((G61*H61)*(6-I61)/20,"")</x:f>
        <x:v>0</x:v>
      </x:c>
      <x:c r="K61" s="34"/>
      <x:c r="L61" s="34"/>
      <x:c r="M61" s="54" t="str">
        <x:f>IF(J61="","",IF(J61&gt;=3,"Использовать",IF(J61&gt;=1.8,"Проверить дополнительно","Не использовать как основание")))</x:f>
      </x:c>
      <x:c r="N61" s="34"/>
    </x:row>
    <x:row r="62" ht="34" customHeight="1">
      <x:c r="A62" s="34"/>
      <x:c r="B62" s="34"/>
      <x:c r="C62" s="34"/>
      <x:c r="D62" s="34"/>
      <x:c r="E62" s="34"/>
      <x:c r="F62" s="34"/>
      <x:c r="G62" s="50"/>
      <x:c r="H62" s="50"/>
      <x:c r="I62" s="50"/>
      <x:c r="J62" s="52" t="n">
        <x:f>IFERROR((G62*H62)*(6-I62)/20,"")</x:f>
        <x:v>0</x:v>
      </x:c>
      <x:c r="K62" s="34"/>
      <x:c r="L62" s="34"/>
      <x:c r="M62" s="54" t="str">
        <x:f>IF(J62="","",IF(J62&gt;=3,"Использовать",IF(J62&gt;=1.8,"Проверить дополнительно","Не использовать как основание")))</x:f>
      </x:c>
      <x:c r="N62" s="34"/>
    </x:row>
    <x:row r="63" ht="34" customHeight="1">
      <x:c r="A63" s="34"/>
      <x:c r="B63" s="34"/>
      <x:c r="C63" s="34"/>
      <x:c r="D63" s="34"/>
      <x:c r="E63" s="34"/>
      <x:c r="F63" s="34"/>
      <x:c r="G63" s="50"/>
      <x:c r="H63" s="50"/>
      <x:c r="I63" s="50"/>
      <x:c r="J63" s="52" t="n">
        <x:f>IFERROR((G63*H63)*(6-I63)/20,"")</x:f>
        <x:v>0</x:v>
      </x:c>
      <x:c r="K63" s="34"/>
      <x:c r="L63" s="34"/>
      <x:c r="M63" s="54" t="str">
        <x:f>IF(J63="","",IF(J63&gt;=3,"Использовать",IF(J63&gt;=1.8,"Проверить дополнительно","Не использовать как основание")))</x:f>
      </x:c>
      <x:c r="N63" s="34"/>
    </x:row>
    <x:row r="64" ht="34" customHeight="1">
      <x:c r="A64" s="34"/>
      <x:c r="B64" s="34"/>
      <x:c r="C64" s="34"/>
      <x:c r="D64" s="34"/>
      <x:c r="E64" s="34"/>
      <x:c r="F64" s="34"/>
      <x:c r="G64" s="50"/>
      <x:c r="H64" s="50"/>
      <x:c r="I64" s="50"/>
      <x:c r="J64" s="52" t="n">
        <x:f>IFERROR((G64*H64)*(6-I64)/20,"")</x:f>
        <x:v>0</x:v>
      </x:c>
      <x:c r="K64" s="34"/>
      <x:c r="L64" s="34"/>
      <x:c r="M64" s="54" t="str">
        <x:f>IF(J64="","",IF(J64&gt;=3,"Использовать",IF(J64&gt;=1.8,"Проверить дополнительно","Не использовать как основание")))</x:f>
      </x:c>
      <x:c r="N64" s="34"/>
    </x:row>
    <x:row r="65" ht="34" customHeight="1">
      <x:c r="A65" s="34"/>
      <x:c r="B65" s="34"/>
      <x:c r="C65" s="34"/>
      <x:c r="D65" s="34"/>
      <x:c r="E65" s="34"/>
      <x:c r="F65" s="34"/>
      <x:c r="G65" s="50"/>
      <x:c r="H65" s="50"/>
      <x:c r="I65" s="50"/>
      <x:c r="J65" s="52" t="n">
        <x:f>IFERROR((G65*H65)*(6-I65)/20,"")</x:f>
        <x:v>0</x:v>
      </x:c>
      <x:c r="K65" s="34"/>
      <x:c r="L65" s="34"/>
      <x:c r="M65" s="54" t="str">
        <x:f>IF(J65="","",IF(J65&gt;=3,"Использовать",IF(J65&gt;=1.8,"Проверить дополнительно","Не использовать как основание")))</x:f>
      </x:c>
      <x:c r="N65" s="34"/>
    </x:row>
    <x:row r="66" ht="34" customHeight="1">
      <x:c r="A66" s="34"/>
      <x:c r="B66" s="34"/>
      <x:c r="C66" s="34"/>
      <x:c r="D66" s="34"/>
      <x:c r="E66" s="34"/>
      <x:c r="F66" s="34"/>
      <x:c r="G66" s="50"/>
      <x:c r="H66" s="50"/>
      <x:c r="I66" s="50"/>
      <x:c r="J66" s="52" t="n">
        <x:f>IFERROR((G66*H66)*(6-I66)/20,"")</x:f>
        <x:v>0</x:v>
      </x:c>
      <x:c r="K66" s="34"/>
      <x:c r="L66" s="34"/>
      <x:c r="M66" s="54" t="str">
        <x:f>IF(J66="","",IF(J66&gt;=3,"Использовать",IF(J66&gt;=1.8,"Проверить дополнительно","Не использовать как основание")))</x:f>
      </x:c>
      <x:c r="N66" s="34"/>
    </x:row>
    <x:row r="67" ht="34" customHeight="1">
      <x:c r="A67" s="34"/>
      <x:c r="B67" s="34"/>
      <x:c r="C67" s="34"/>
      <x:c r="D67" s="34"/>
      <x:c r="E67" s="34"/>
      <x:c r="F67" s="34"/>
      <x:c r="G67" s="50"/>
      <x:c r="H67" s="50"/>
      <x:c r="I67" s="50"/>
      <x:c r="J67" s="52" t="n">
        <x:f>IFERROR((G67*H67)*(6-I67)/20,"")</x:f>
        <x:v>0</x:v>
      </x:c>
      <x:c r="K67" s="34"/>
      <x:c r="L67" s="34"/>
      <x:c r="M67" s="54" t="str">
        <x:f>IF(J67="","",IF(J67&gt;=3,"Использовать",IF(J67&gt;=1.8,"Проверить дополнительно","Не использовать как основание")))</x:f>
      </x:c>
      <x:c r="N67" s="34"/>
    </x:row>
    <x:row r="68" ht="34" customHeight="1">
      <x:c r="A68" s="34"/>
      <x:c r="B68" s="34"/>
      <x:c r="C68" s="34"/>
      <x:c r="D68" s="34"/>
      <x:c r="E68" s="34"/>
      <x:c r="F68" s="34"/>
      <x:c r="G68" s="50"/>
      <x:c r="H68" s="50"/>
      <x:c r="I68" s="50"/>
      <x:c r="J68" s="52" t="n">
        <x:f>IFERROR((G68*H68)*(6-I68)/20,"")</x:f>
        <x:v>0</x:v>
      </x:c>
      <x:c r="K68" s="34"/>
      <x:c r="L68" s="34"/>
      <x:c r="M68" s="54" t="str">
        <x:f>IF(J68="","",IF(J68&gt;=3,"Использовать",IF(J68&gt;=1.8,"Проверить дополнительно","Не использовать как основание")))</x:f>
      </x:c>
      <x:c r="N68" s="34"/>
    </x:row>
    <x:row r="69" ht="34" customHeight="1">
      <x:c r="A69" s="34"/>
      <x:c r="B69" s="34"/>
      <x:c r="C69" s="34"/>
      <x:c r="D69" s="34"/>
      <x:c r="E69" s="34"/>
      <x:c r="F69" s="34"/>
      <x:c r="G69" s="50"/>
      <x:c r="H69" s="50"/>
      <x:c r="I69" s="50"/>
      <x:c r="J69" s="52" t="n">
        <x:f>IFERROR((G69*H69)*(6-I69)/20,"")</x:f>
        <x:v>0</x:v>
      </x:c>
      <x:c r="K69" s="34"/>
      <x:c r="L69" s="34"/>
      <x:c r="M69" s="54" t="str">
        <x:f>IF(J69="","",IF(J69&gt;=3,"Использовать",IF(J69&gt;=1.8,"Проверить дополнительно","Не использовать как основание")))</x:f>
      </x:c>
      <x:c r="N69" s="34"/>
    </x:row>
    <x:row r="70" ht="34" customHeight="1">
      <x:c r="A70" s="34"/>
      <x:c r="B70" s="34"/>
      <x:c r="C70" s="34"/>
      <x:c r="D70" s="34"/>
      <x:c r="E70" s="34"/>
      <x:c r="F70" s="34"/>
      <x:c r="G70" s="50"/>
      <x:c r="H70" s="50"/>
      <x:c r="I70" s="50"/>
      <x:c r="J70" s="52" t="n">
        <x:f>IFERROR((G70*H70)*(6-I70)/20,"")</x:f>
        <x:v>0</x:v>
      </x:c>
      <x:c r="K70" s="34"/>
      <x:c r="L70" s="34"/>
      <x:c r="M70" s="54" t="str">
        <x:f>IF(J70="","",IF(J70&gt;=3,"Использовать",IF(J70&gt;=1.8,"Проверить дополнительно","Не использовать как основание")))</x:f>
      </x:c>
      <x:c r="N70" s="34"/>
    </x:row>
    <x:row r="71" ht="34" customHeight="1">
      <x:c r="A71" s="34"/>
      <x:c r="B71" s="34"/>
      <x:c r="C71" s="34"/>
      <x:c r="D71" s="34"/>
      <x:c r="E71" s="34"/>
      <x:c r="F71" s="34"/>
      <x:c r="G71" s="50"/>
      <x:c r="H71" s="50"/>
      <x:c r="I71" s="50"/>
      <x:c r="J71" s="52" t="n">
        <x:f>IFERROR((G71*H71)*(6-I71)/20,"")</x:f>
        <x:v>0</x:v>
      </x:c>
      <x:c r="K71" s="34"/>
      <x:c r="L71" s="34"/>
      <x:c r="M71" s="54" t="str">
        <x:f>IF(J71="","",IF(J71&gt;=3,"Использовать",IF(J71&gt;=1.8,"Проверить дополнительно","Не использовать как основание")))</x:f>
      </x:c>
      <x:c r="N71" s="34"/>
    </x:row>
    <x:row r="72" ht="34" customHeight="1">
      <x:c r="A72" s="34"/>
      <x:c r="B72" s="34"/>
      <x:c r="C72" s="34"/>
      <x:c r="D72" s="34"/>
      <x:c r="E72" s="34"/>
      <x:c r="F72" s="34"/>
      <x:c r="G72" s="50"/>
      <x:c r="H72" s="50"/>
      <x:c r="I72" s="50"/>
      <x:c r="J72" s="52" t="n">
        <x:f>IFERROR((G72*H72)*(6-I72)/20,"")</x:f>
        <x:v>0</x:v>
      </x:c>
      <x:c r="K72" s="34"/>
      <x:c r="L72" s="34"/>
      <x:c r="M72" s="54" t="str">
        <x:f>IF(J72="","",IF(J72&gt;=3,"Использовать",IF(J72&gt;=1.8,"Проверить дополнительно","Не использовать как основание")))</x:f>
      </x:c>
      <x:c r="N72" s="34"/>
    </x:row>
    <x:row r="73" ht="34" customHeight="1">
      <x:c r="A73" s="34"/>
      <x:c r="B73" s="34"/>
      <x:c r="C73" s="34"/>
      <x:c r="D73" s="34"/>
      <x:c r="E73" s="34"/>
      <x:c r="F73" s="34"/>
      <x:c r="G73" s="50"/>
      <x:c r="H73" s="50"/>
      <x:c r="I73" s="50"/>
      <x:c r="J73" s="52" t="n">
        <x:f>IFERROR((G73*H73)*(6-I73)/20,"")</x:f>
        <x:v>0</x:v>
      </x:c>
      <x:c r="K73" s="34"/>
      <x:c r="L73" s="34"/>
      <x:c r="M73" s="54" t="str">
        <x:f>IF(J73="","",IF(J73&gt;=3,"Использовать",IF(J73&gt;=1.8,"Проверить дополнительно","Не использовать как основание")))</x:f>
      </x:c>
      <x:c r="N73" s="34"/>
    </x:row>
    <x:row r="74" ht="34" customHeight="1">
      <x:c r="A74" s="34"/>
      <x:c r="B74" s="34"/>
      <x:c r="C74" s="34"/>
      <x:c r="D74" s="34"/>
      <x:c r="E74" s="34"/>
      <x:c r="F74" s="34"/>
      <x:c r="G74" s="50"/>
      <x:c r="H74" s="50"/>
      <x:c r="I74" s="50"/>
      <x:c r="J74" s="52" t="n">
        <x:f>IFERROR((G74*H74)*(6-I74)/20,"")</x:f>
        <x:v>0</x:v>
      </x:c>
      <x:c r="K74" s="34"/>
      <x:c r="L74" s="34"/>
      <x:c r="M74" s="54" t="str">
        <x:f>IF(J74="","",IF(J74&gt;=3,"Использовать",IF(J74&gt;=1.8,"Проверить дополнительно","Не использовать как основание")))</x:f>
      </x:c>
      <x:c r="N74" s="34"/>
    </x:row>
    <x:row r="75" ht="34" customHeight="1">
      <x:c r="A75" s="34"/>
      <x:c r="B75" s="34"/>
      <x:c r="C75" s="34"/>
      <x:c r="D75" s="34"/>
      <x:c r="E75" s="34"/>
      <x:c r="F75" s="34"/>
      <x:c r="G75" s="50"/>
      <x:c r="H75" s="50"/>
      <x:c r="I75" s="50"/>
      <x:c r="J75" s="52" t="n">
        <x:f>IFERROR((G75*H75)*(6-I75)/20,"")</x:f>
        <x:v>0</x:v>
      </x:c>
      <x:c r="K75" s="34"/>
      <x:c r="L75" s="34"/>
      <x:c r="M75" s="54" t="str">
        <x:f>IF(J75="","",IF(J75&gt;=3,"Использовать",IF(J75&gt;=1.8,"Проверить дополнительно","Не использовать как основание")))</x:f>
      </x:c>
      <x:c r="N75" s="34"/>
    </x:row>
    <x:row r="76" ht="34" customHeight="1">
      <x:c r="A76" s="34"/>
      <x:c r="B76" s="34"/>
      <x:c r="C76" s="34"/>
      <x:c r="D76" s="34"/>
      <x:c r="E76" s="34"/>
      <x:c r="F76" s="34"/>
      <x:c r="G76" s="50"/>
      <x:c r="H76" s="50"/>
      <x:c r="I76" s="50"/>
      <x:c r="J76" s="52" t="n">
        <x:f>IFERROR((G76*H76)*(6-I76)/20,"")</x:f>
        <x:v>0</x:v>
      </x:c>
      <x:c r="K76" s="34"/>
      <x:c r="L76" s="34"/>
      <x:c r="M76" s="54" t="str">
        <x:f>IF(J76="","",IF(J76&gt;=3,"Использовать",IF(J76&gt;=1.8,"Проверить дополнительно","Не использовать как основание")))</x:f>
      </x:c>
      <x:c r="N76" s="34"/>
    </x:row>
    <x:row r="77" ht="34" customHeight="1">
      <x:c r="A77" s="34"/>
      <x:c r="B77" s="34"/>
      <x:c r="C77" s="34"/>
      <x:c r="D77" s="34"/>
      <x:c r="E77" s="34"/>
      <x:c r="F77" s="34"/>
      <x:c r="G77" s="50"/>
      <x:c r="H77" s="50"/>
      <x:c r="I77" s="50"/>
      <x:c r="J77" s="52" t="n">
        <x:f>IFERROR((G77*H77)*(6-I77)/20,"")</x:f>
        <x:v>0</x:v>
      </x:c>
      <x:c r="K77" s="34"/>
      <x:c r="L77" s="34"/>
      <x:c r="M77" s="54" t="str">
        <x:f>IF(J77="","",IF(J77&gt;=3,"Использовать",IF(J77&gt;=1.8,"Проверить дополнительно","Не использовать как основание")))</x:f>
      </x:c>
      <x:c r="N77" s="34"/>
    </x:row>
    <x:row r="78" ht="34" customHeight="1">
      <x:c r="A78" s="34"/>
      <x:c r="B78" s="34"/>
      <x:c r="C78" s="34"/>
      <x:c r="D78" s="34"/>
      <x:c r="E78" s="34"/>
      <x:c r="F78" s="34"/>
      <x:c r="G78" s="50"/>
      <x:c r="H78" s="50"/>
      <x:c r="I78" s="50"/>
      <x:c r="J78" s="52" t="n">
        <x:f>IFERROR((G78*H78)*(6-I78)/20,"")</x:f>
        <x:v>0</x:v>
      </x:c>
      <x:c r="K78" s="34"/>
      <x:c r="L78" s="34"/>
      <x:c r="M78" s="54" t="str">
        <x:f>IF(J78="","",IF(J78&gt;=3,"Использовать",IF(J78&gt;=1.8,"Проверить дополнительно","Не использовать как основание")))</x:f>
      </x:c>
      <x:c r="N78" s="34"/>
    </x:row>
    <x:row r="79" ht="34" customHeight="1">
      <x:c r="A79" s="34"/>
      <x:c r="B79" s="34"/>
      <x:c r="C79" s="34"/>
      <x:c r="D79" s="34"/>
      <x:c r="E79" s="34"/>
      <x:c r="F79" s="34"/>
      <x:c r="G79" s="50"/>
      <x:c r="H79" s="50"/>
      <x:c r="I79" s="50"/>
      <x:c r="J79" s="52" t="n">
        <x:f>IFERROR((G79*H79)*(6-I79)/20,"")</x:f>
        <x:v>0</x:v>
      </x:c>
      <x:c r="K79" s="34"/>
      <x:c r="L79" s="34"/>
      <x:c r="M79" s="54" t="str">
        <x:f>IF(J79="","",IF(J79&gt;=3,"Использовать",IF(J79&gt;=1.8,"Проверить дополнительно","Не использовать как основание")))</x:f>
      </x:c>
      <x:c r="N79" s="34"/>
    </x:row>
    <x:row r="80" ht="34" customHeight="1">
      <x:c r="A80" s="34"/>
      <x:c r="B80" s="34"/>
      <x:c r="C80" s="34"/>
      <x:c r="D80" s="34"/>
      <x:c r="E80" s="34"/>
      <x:c r="F80" s="34"/>
      <x:c r="G80" s="50"/>
      <x:c r="H80" s="50"/>
      <x:c r="I80" s="50"/>
      <x:c r="J80" s="52" t="n">
        <x:f>IFERROR((G80*H80)*(6-I80)/20,"")</x:f>
        <x:v>0</x:v>
      </x:c>
      <x:c r="K80" s="34"/>
      <x:c r="L80" s="34"/>
      <x:c r="M80" s="54" t="str">
        <x:f>IF(J80="","",IF(J80&gt;=3,"Использовать",IF(J80&gt;=1.8,"Проверить дополнительно","Не использовать как основание")))</x:f>
      </x:c>
      <x:c r="N80" s="34"/>
    </x:row>
    <x:row r="81" ht="34" customHeight="1">
      <x:c r="A81" s="34"/>
      <x:c r="B81" s="34"/>
      <x:c r="C81" s="34"/>
      <x:c r="D81" s="34"/>
      <x:c r="E81" s="34"/>
      <x:c r="F81" s="34"/>
      <x:c r="G81" s="50"/>
      <x:c r="H81" s="50"/>
      <x:c r="I81" s="50"/>
      <x:c r="J81" s="52" t="n">
        <x:f>IFERROR((G81*H81)*(6-I81)/20,"")</x:f>
        <x:v>0</x:v>
      </x:c>
      <x:c r="K81" s="34"/>
      <x:c r="L81" s="34"/>
      <x:c r="M81" s="54" t="str">
        <x:f>IF(J81="","",IF(J81&gt;=3,"Использовать",IF(J81&gt;=1.8,"Проверить дополнительно","Не использовать как основание")))</x:f>
      </x:c>
      <x:c r="N81" s="34"/>
    </x:row>
    <x:row r="82" ht="34" customHeight="1">
      <x:c r="A82" s="34"/>
      <x:c r="B82" s="34"/>
      <x:c r="C82" s="34"/>
      <x:c r="D82" s="34"/>
      <x:c r="E82" s="34"/>
      <x:c r="F82" s="34"/>
      <x:c r="G82" s="50"/>
      <x:c r="H82" s="50"/>
      <x:c r="I82" s="50"/>
      <x:c r="J82" s="52" t="n">
        <x:f>IFERROR((G82*H82)*(6-I82)/20,"")</x:f>
        <x:v>0</x:v>
      </x:c>
      <x:c r="K82" s="34"/>
      <x:c r="L82" s="34"/>
      <x:c r="M82" s="54" t="str">
        <x:f>IF(J82="","",IF(J82&gt;=3,"Использовать",IF(J82&gt;=1.8,"Проверить дополнительно","Не использовать как основание")))</x:f>
      </x:c>
      <x:c r="N82" s="34"/>
    </x:row>
    <x:row r="83" ht="34" customHeight="1">
      <x:c r="A83" s="34"/>
      <x:c r="B83" s="34"/>
      <x:c r="C83" s="34"/>
      <x:c r="D83" s="34"/>
      <x:c r="E83" s="34"/>
      <x:c r="F83" s="34"/>
      <x:c r="G83" s="50"/>
      <x:c r="H83" s="50"/>
      <x:c r="I83" s="50"/>
      <x:c r="J83" s="52" t="n">
        <x:f>IFERROR((G83*H83)*(6-I83)/20,"")</x:f>
        <x:v>0</x:v>
      </x:c>
      <x:c r="K83" s="34"/>
      <x:c r="L83" s="34"/>
      <x:c r="M83" s="54" t="str">
        <x:f>IF(J83="","",IF(J83&gt;=3,"Использовать",IF(J83&gt;=1.8,"Проверить дополнительно","Не использовать как основание")))</x:f>
      </x:c>
      <x:c r="N83" s="34"/>
    </x:row>
    <x:row r="84" ht="34" customHeight="1">
      <x:c r="A84" s="34"/>
      <x:c r="B84" s="34"/>
      <x:c r="C84" s="34"/>
      <x:c r="D84" s="34"/>
      <x:c r="E84" s="34"/>
      <x:c r="F84" s="34"/>
      <x:c r="G84" s="50"/>
      <x:c r="H84" s="50"/>
      <x:c r="I84" s="50"/>
      <x:c r="J84" s="52" t="n">
        <x:f>IFERROR((G84*H84)*(6-I84)/20,"")</x:f>
        <x:v>0</x:v>
      </x:c>
      <x:c r="K84" s="34"/>
      <x:c r="L84" s="34"/>
      <x:c r="M84" s="54" t="str">
        <x:f>IF(J84="","",IF(J84&gt;=3,"Использовать",IF(J84&gt;=1.8,"Проверить дополнительно","Не использовать как основание")))</x:f>
      </x:c>
      <x:c r="N84" s="34"/>
    </x:row>
    <x:row r="85" ht="34" customHeight="1">
      <x:c r="A85" s="34"/>
      <x:c r="B85" s="34"/>
      <x:c r="C85" s="34"/>
      <x:c r="D85" s="34"/>
      <x:c r="E85" s="34"/>
      <x:c r="F85" s="34"/>
      <x:c r="G85" s="50"/>
      <x:c r="H85" s="50"/>
      <x:c r="I85" s="50"/>
      <x:c r="J85" s="52" t="n">
        <x:f>IFERROR((G85*H85)*(6-I85)/20,"")</x:f>
        <x:v>0</x:v>
      </x:c>
      <x:c r="K85" s="34"/>
      <x:c r="L85" s="34"/>
      <x:c r="M85" s="54" t="str">
        <x:f>IF(J85="","",IF(J85&gt;=3,"Использовать",IF(J85&gt;=1.8,"Проверить дополнительно","Не использовать как основание")))</x:f>
      </x:c>
      <x:c r="N85" s="34"/>
    </x:row>
    <x:row r="86" ht="34" customHeight="1">
      <x:c r="A86" s="34"/>
      <x:c r="B86" s="34"/>
      <x:c r="C86" s="34"/>
      <x:c r="D86" s="34"/>
      <x:c r="E86" s="34"/>
      <x:c r="F86" s="34"/>
      <x:c r="G86" s="50"/>
      <x:c r="H86" s="50"/>
      <x:c r="I86" s="50"/>
      <x:c r="J86" s="52" t="n">
        <x:f>IFERROR((G86*H86)*(6-I86)/20,"")</x:f>
        <x:v>0</x:v>
      </x:c>
      <x:c r="K86" s="34"/>
      <x:c r="L86" s="34"/>
      <x:c r="M86" s="54" t="str">
        <x:f>IF(J86="","",IF(J86&gt;=3,"Использовать",IF(J86&gt;=1.8,"Проверить дополнительно","Не использовать как основание")))</x:f>
      </x:c>
      <x:c r="N86" s="34"/>
    </x:row>
    <x:row r="87" ht="34" customHeight="1">
      <x:c r="A87" s="34"/>
      <x:c r="B87" s="34"/>
      <x:c r="C87" s="34"/>
      <x:c r="D87" s="34"/>
      <x:c r="E87" s="34"/>
      <x:c r="F87" s="34"/>
      <x:c r="G87" s="50"/>
      <x:c r="H87" s="50"/>
      <x:c r="I87" s="50"/>
      <x:c r="J87" s="52" t="n">
        <x:f>IFERROR((G87*H87)*(6-I87)/20,"")</x:f>
        <x:v>0</x:v>
      </x:c>
      <x:c r="K87" s="34"/>
      <x:c r="L87" s="34"/>
      <x:c r="M87" s="54" t="str">
        <x:f>IF(J87="","",IF(J87&gt;=3,"Использовать",IF(J87&gt;=1.8,"Проверить дополнительно","Не использовать как основание")))</x:f>
      </x:c>
      <x:c r="N87" s="34"/>
    </x:row>
    <x:row r="88" ht="34" customHeight="1">
      <x:c r="A88" s="34"/>
      <x:c r="B88" s="34"/>
      <x:c r="C88" s="34"/>
      <x:c r="D88" s="34"/>
      <x:c r="E88" s="34"/>
      <x:c r="F88" s="34"/>
      <x:c r="G88" s="50"/>
      <x:c r="H88" s="50"/>
      <x:c r="I88" s="50"/>
      <x:c r="J88" s="52" t="n">
        <x:f>IFERROR((G88*H88)*(6-I88)/20,"")</x:f>
        <x:v>0</x:v>
      </x:c>
      <x:c r="K88" s="34"/>
      <x:c r="L88" s="34"/>
      <x:c r="M88" s="54" t="str">
        <x:f>IF(J88="","",IF(J88&gt;=3,"Использовать",IF(J88&gt;=1.8,"Проверить дополнительно","Не использовать как основание")))</x:f>
      </x:c>
      <x:c r="N88" s="34"/>
    </x:row>
    <x:row r="89" ht="34" customHeight="1">
      <x:c r="A89" s="34"/>
      <x:c r="B89" s="34"/>
      <x:c r="C89" s="34"/>
      <x:c r="D89" s="34"/>
      <x:c r="E89" s="34"/>
      <x:c r="F89" s="34"/>
      <x:c r="G89" s="50"/>
      <x:c r="H89" s="50"/>
      <x:c r="I89" s="50"/>
      <x:c r="J89" s="52" t="n">
        <x:f>IFERROR((G89*H89)*(6-I89)/20,"")</x:f>
        <x:v>0</x:v>
      </x:c>
      <x:c r="K89" s="34"/>
      <x:c r="L89" s="34"/>
      <x:c r="M89" s="54" t="str">
        <x:f>IF(J89="","",IF(J89&gt;=3,"Использовать",IF(J89&gt;=1.8,"Проверить дополнительно","Не использовать как основание")))</x:f>
      </x:c>
      <x:c r="N89" s="34"/>
    </x:row>
    <x:row r="90" ht="34" customHeight="1">
      <x:c r="A90" s="34"/>
      <x:c r="B90" s="34"/>
      <x:c r="C90" s="34"/>
      <x:c r="D90" s="34"/>
      <x:c r="E90" s="34"/>
      <x:c r="F90" s="34"/>
      <x:c r="G90" s="50"/>
      <x:c r="H90" s="50"/>
      <x:c r="I90" s="50"/>
      <x:c r="J90" s="52" t="n">
        <x:f>IFERROR((G90*H90)*(6-I90)/20,"")</x:f>
        <x:v>0</x:v>
      </x:c>
      <x:c r="K90" s="34"/>
      <x:c r="L90" s="34"/>
      <x:c r="M90" s="54" t="str">
        <x:f>IF(J90="","",IF(J90&gt;=3,"Использовать",IF(J90&gt;=1.8,"Проверить дополнительно","Не использовать как основание")))</x:f>
      </x:c>
      <x:c r="N90" s="34"/>
    </x:row>
    <x:row r="91" ht="34" customHeight="1">
      <x:c r="A91" s="34"/>
      <x:c r="B91" s="34"/>
      <x:c r="C91" s="34"/>
      <x:c r="D91" s="34"/>
      <x:c r="E91" s="34"/>
      <x:c r="F91" s="34"/>
      <x:c r="G91" s="50"/>
      <x:c r="H91" s="50"/>
      <x:c r="I91" s="50"/>
      <x:c r="J91" s="52" t="n">
        <x:f>IFERROR((G91*H91)*(6-I91)/20,"")</x:f>
        <x:v>0</x:v>
      </x:c>
      <x:c r="K91" s="34"/>
      <x:c r="L91" s="34"/>
      <x:c r="M91" s="54" t="str">
        <x:f>IF(J91="","",IF(J91&gt;=3,"Использовать",IF(J91&gt;=1.8,"Проверить дополнительно","Не использовать как основание")))</x:f>
      </x:c>
      <x:c r="N91" s="34"/>
    </x:row>
    <x:row r="92" ht="34" customHeight="1">
      <x:c r="A92" s="34"/>
      <x:c r="B92" s="34"/>
      <x:c r="C92" s="34"/>
      <x:c r="D92" s="34"/>
      <x:c r="E92" s="34"/>
      <x:c r="F92" s="34"/>
      <x:c r="G92" s="50"/>
      <x:c r="H92" s="50"/>
      <x:c r="I92" s="50"/>
      <x:c r="J92" s="52" t="n">
        <x:f>IFERROR((G92*H92)*(6-I92)/20,"")</x:f>
        <x:v>0</x:v>
      </x:c>
      <x:c r="K92" s="34"/>
      <x:c r="L92" s="34"/>
      <x:c r="M92" s="54" t="str">
        <x:f>IF(J92="","",IF(J92&gt;=3,"Использовать",IF(J92&gt;=1.8,"Проверить дополнительно","Не использовать как основание")))</x:f>
      </x:c>
      <x:c r="N92" s="34"/>
    </x:row>
    <x:row r="93" ht="34" customHeight="1">
      <x:c r="A93" s="34"/>
      <x:c r="B93" s="34"/>
      <x:c r="C93" s="34"/>
      <x:c r="D93" s="34"/>
      <x:c r="E93" s="34"/>
      <x:c r="F93" s="34"/>
      <x:c r="G93" s="50"/>
      <x:c r="H93" s="50"/>
      <x:c r="I93" s="50"/>
      <x:c r="J93" s="52" t="n">
        <x:f>IFERROR((G93*H93)*(6-I93)/20,"")</x:f>
        <x:v>0</x:v>
      </x:c>
      <x:c r="K93" s="34"/>
      <x:c r="L93" s="34"/>
      <x:c r="M93" s="54" t="str">
        <x:f>IF(J93="","",IF(J93&gt;=3,"Использовать",IF(J93&gt;=1.8,"Проверить дополнительно","Не использовать как основание")))</x:f>
      </x:c>
      <x:c r="N93" s="34"/>
    </x:row>
    <x:row r="94" ht="34" customHeight="1">
      <x:c r="A94" s="34"/>
      <x:c r="B94" s="34"/>
      <x:c r="C94" s="34"/>
      <x:c r="D94" s="34"/>
      <x:c r="E94" s="34"/>
      <x:c r="F94" s="34"/>
      <x:c r="G94" s="50"/>
      <x:c r="H94" s="50"/>
      <x:c r="I94" s="50"/>
      <x:c r="J94" s="52" t="n">
        <x:f>IFERROR((G94*H94)*(6-I94)/20,"")</x:f>
        <x:v>0</x:v>
      </x:c>
      <x:c r="K94" s="34"/>
      <x:c r="L94" s="34"/>
      <x:c r="M94" s="54" t="str">
        <x:f>IF(J94="","",IF(J94&gt;=3,"Использовать",IF(J94&gt;=1.8,"Проверить дополнительно","Не использовать как основание")))</x:f>
      </x:c>
      <x:c r="N94" s="34"/>
    </x:row>
    <x:row r="95" ht="34" customHeight="1">
      <x:c r="A95" s="34"/>
      <x:c r="B95" s="34"/>
      <x:c r="C95" s="34"/>
      <x:c r="D95" s="34"/>
      <x:c r="E95" s="34"/>
      <x:c r="F95" s="34"/>
      <x:c r="G95" s="50"/>
      <x:c r="H95" s="50"/>
      <x:c r="I95" s="50"/>
      <x:c r="J95" s="52" t="n">
        <x:f>IFERROR((G95*H95)*(6-I95)/20,"")</x:f>
        <x:v>0</x:v>
      </x:c>
      <x:c r="K95" s="34"/>
      <x:c r="L95" s="34"/>
      <x:c r="M95" s="54" t="str">
        <x:f>IF(J95="","",IF(J95&gt;=3,"Использовать",IF(J95&gt;=1.8,"Проверить дополнительно","Не использовать как основание")))</x:f>
      </x:c>
      <x:c r="N95" s="34"/>
    </x:row>
    <x:row r="96" ht="34" customHeight="1">
      <x:c r="A96" s="34"/>
      <x:c r="B96" s="34"/>
      <x:c r="C96" s="34"/>
      <x:c r="D96" s="34"/>
      <x:c r="E96" s="34"/>
      <x:c r="F96" s="34"/>
      <x:c r="G96" s="50"/>
      <x:c r="H96" s="50"/>
      <x:c r="I96" s="50"/>
      <x:c r="J96" s="52" t="n">
        <x:f>IFERROR((G96*H96)*(6-I96)/20,"")</x:f>
        <x:v>0</x:v>
      </x:c>
      <x:c r="K96" s="34"/>
      <x:c r="L96" s="34"/>
      <x:c r="M96" s="54" t="str">
        <x:f>IF(J96="","",IF(J96&gt;=3,"Использовать",IF(J96&gt;=1.8,"Проверить дополнительно","Не использовать как основание")))</x:f>
      </x:c>
      <x:c r="N96" s="34"/>
    </x:row>
    <x:row r="97" ht="34" customHeight="1">
      <x:c r="A97" s="34"/>
      <x:c r="B97" s="34"/>
      <x:c r="C97" s="34"/>
      <x:c r="D97" s="34"/>
      <x:c r="E97" s="34"/>
      <x:c r="F97" s="34"/>
      <x:c r="G97" s="50"/>
      <x:c r="H97" s="50"/>
      <x:c r="I97" s="50"/>
      <x:c r="J97" s="52" t="n">
        <x:f>IFERROR((G97*H97)*(6-I97)/20,"")</x:f>
        <x:v>0</x:v>
      </x:c>
      <x:c r="K97" s="34"/>
      <x:c r="L97" s="34"/>
      <x:c r="M97" s="54" t="str">
        <x:f>IF(J97="","",IF(J97&gt;=3,"Использовать",IF(J97&gt;=1.8,"Проверить дополнительно","Не использовать как основание")))</x:f>
      </x:c>
      <x:c r="N97" s="34"/>
    </x:row>
    <x:row r="98" ht="34" customHeight="1">
      <x:c r="A98" s="34"/>
      <x:c r="B98" s="34"/>
      <x:c r="C98" s="34"/>
      <x:c r="D98" s="34"/>
      <x:c r="E98" s="34"/>
      <x:c r="F98" s="34"/>
      <x:c r="G98" s="50"/>
      <x:c r="H98" s="50"/>
      <x:c r="I98" s="50"/>
      <x:c r="J98" s="52" t="n">
        <x:f>IFERROR((G98*H98)*(6-I98)/20,"")</x:f>
        <x:v>0</x:v>
      </x:c>
      <x:c r="K98" s="34"/>
      <x:c r="L98" s="34"/>
      <x:c r="M98" s="54" t="str">
        <x:f>IF(J98="","",IF(J98&gt;=3,"Использовать",IF(J98&gt;=1.8,"Проверить дополнительно","Не использовать как основание")))</x:f>
      </x:c>
      <x:c r="N98" s="34"/>
    </x:row>
    <x:row r="99" ht="34" customHeight="1">
      <x:c r="A99" s="34"/>
      <x:c r="B99" s="34"/>
      <x:c r="C99" s="34"/>
      <x:c r="D99" s="34"/>
      <x:c r="E99" s="34"/>
      <x:c r="F99" s="34"/>
      <x:c r="G99" s="50"/>
      <x:c r="H99" s="50"/>
      <x:c r="I99" s="50"/>
      <x:c r="J99" s="52" t="n">
        <x:f>IFERROR((G99*H99)*(6-I99)/20,"")</x:f>
        <x:v>0</x:v>
      </x:c>
      <x:c r="K99" s="34"/>
      <x:c r="L99" s="34"/>
      <x:c r="M99" s="54" t="str">
        <x:f>IF(J99="","",IF(J99&gt;=3,"Использовать",IF(J99&gt;=1.8,"Проверить дополнительно","Не использовать как основание")))</x:f>
      </x:c>
      <x:c r="N99" s="34"/>
    </x:row>
    <x:row r="100" ht="34" customHeight="1">
      <x:c r="A100" s="34"/>
      <x:c r="B100" s="34"/>
      <x:c r="C100" s="34"/>
      <x:c r="D100" s="34"/>
      <x:c r="E100" s="34"/>
      <x:c r="F100" s="34"/>
      <x:c r="G100" s="50"/>
      <x:c r="H100" s="50"/>
      <x:c r="I100" s="50"/>
      <x:c r="J100" s="52" t="n">
        <x:f>IFERROR((G100*H100)*(6-I100)/20,"")</x:f>
        <x:v>0</x:v>
      </x:c>
      <x:c r="K100" s="34"/>
      <x:c r="L100" s="34"/>
      <x:c r="M100" s="54" t="str">
        <x:f>IF(J100="","",IF(J100&gt;=3,"Использовать",IF(J100&gt;=1.8,"Проверить дополнительно","Не использовать как основание")))</x:f>
      </x:c>
      <x:c r="N100" s="34"/>
    </x:row>
    <x:row r="101" ht="34" customHeight="1">
      <x:c r="A101" s="34"/>
      <x:c r="B101" s="34"/>
      <x:c r="C101" s="34"/>
      <x:c r="D101" s="34"/>
      <x:c r="E101" s="34"/>
      <x:c r="F101" s="34"/>
      <x:c r="G101" s="50"/>
      <x:c r="H101" s="50"/>
      <x:c r="I101" s="50"/>
      <x:c r="J101" s="52" t="n">
        <x:f>IFERROR((G101*H101)*(6-I101)/20,"")</x:f>
        <x:v>0</x:v>
      </x:c>
      <x:c r="K101" s="34"/>
      <x:c r="L101" s="34"/>
      <x:c r="M101" s="54" t="str">
        <x:f>IF(J101="","",IF(J101&gt;=3,"Использовать",IF(J101&gt;=1.8,"Проверить дополнительно","Не использовать как основание")))</x:f>
      </x:c>
      <x:c r="N101" s="34"/>
    </x:row>
    <x:row r="102" ht="34" customHeight="1">
      <x:c r="A102" s="34"/>
      <x:c r="B102" s="34"/>
      <x:c r="C102" s="34"/>
      <x:c r="D102" s="34"/>
      <x:c r="E102" s="34"/>
      <x:c r="F102" s="34"/>
      <x:c r="G102" s="50"/>
      <x:c r="H102" s="50"/>
      <x:c r="I102" s="50"/>
      <x:c r="J102" s="52" t="n">
        <x:f>IFERROR((G102*H102)*(6-I102)/20,"")</x:f>
        <x:v>0</x:v>
      </x:c>
      <x:c r="K102" s="34"/>
      <x:c r="L102" s="34"/>
      <x:c r="M102" s="54" t="str">
        <x:f>IF(J102="","",IF(J102&gt;=3,"Использовать",IF(J102&gt;=1.8,"Проверить дополнительно","Не использовать как основание")))</x:f>
      </x:c>
      <x:c r="N102" s="34"/>
    </x:row>
    <x:row r="103" ht="34" customHeight="1">
      <x:c r="A103" s="34"/>
      <x:c r="B103" s="34"/>
      <x:c r="C103" s="34"/>
      <x:c r="D103" s="34"/>
      <x:c r="E103" s="34"/>
      <x:c r="F103" s="34"/>
      <x:c r="G103" s="50"/>
      <x:c r="H103" s="50"/>
      <x:c r="I103" s="50"/>
      <x:c r="J103" s="52" t="n">
        <x:f>IFERROR((G103*H103)*(6-I103)/20,"")</x:f>
        <x:v>0</x:v>
      </x:c>
      <x:c r="K103" s="34"/>
      <x:c r="L103" s="34"/>
      <x:c r="M103" s="54" t="str">
        <x:f>IF(J103="","",IF(J103&gt;=3,"Использовать",IF(J103&gt;=1.8,"Проверить дополнительно","Не использовать как основание")))</x:f>
      </x:c>
      <x:c r="N103" s="34"/>
    </x:row>
    <x:row r="104" ht="34" customHeight="1">
      <x:c r="A104" s="34"/>
      <x:c r="B104" s="34"/>
      <x:c r="C104" s="34"/>
      <x:c r="D104" s="34"/>
      <x:c r="E104" s="34"/>
      <x:c r="F104" s="34"/>
      <x:c r="G104" s="50"/>
      <x:c r="H104" s="50"/>
      <x:c r="I104" s="50"/>
      <x:c r="J104" s="52" t="n">
        <x:f>IFERROR((G104*H104)*(6-I104)/20,"")</x:f>
        <x:v>0</x:v>
      </x:c>
      <x:c r="K104" s="34"/>
      <x:c r="L104" s="34"/>
      <x:c r="M104" s="54" t="str">
        <x:f>IF(J104="","",IF(J104&gt;=3,"Использовать",IF(J104&gt;=1.8,"Проверить дополнительно","Не использовать как основание")))</x:f>
      </x:c>
      <x:c r="N104" s="34"/>
    </x:row>
    <x:row r="105" ht="34" customHeight="1">
      <x:c r="A105" s="34"/>
      <x:c r="B105" s="34"/>
      <x:c r="C105" s="34"/>
      <x:c r="D105" s="34"/>
      <x:c r="E105" s="34"/>
      <x:c r="F105" s="34"/>
      <x:c r="G105" s="50"/>
      <x:c r="H105" s="50"/>
      <x:c r="I105" s="50"/>
      <x:c r="J105" s="52" t="n">
        <x:f>IFERROR((G105*H105)*(6-I105)/20,"")</x:f>
        <x:v>0</x:v>
      </x:c>
      <x:c r="K105" s="34"/>
      <x:c r="L105" s="34"/>
      <x:c r="M105" s="54" t="str">
        <x:f>IF(J105="","",IF(J105&gt;=3,"Использовать",IF(J105&gt;=1.8,"Проверить дополнительно","Не использовать как основание")))</x:f>
      </x:c>
      <x:c r="N105" s="34"/>
    </x:row>
    <x:row r="106" ht="34" customHeight="1">
      <x:c r="A106" s="34"/>
      <x:c r="B106" s="34"/>
      <x:c r="C106" s="34"/>
      <x:c r="D106" s="34"/>
      <x:c r="E106" s="34"/>
      <x:c r="F106" s="34"/>
      <x:c r="G106" s="50"/>
      <x:c r="H106" s="50"/>
      <x:c r="I106" s="50"/>
      <x:c r="J106" s="52" t="n">
        <x:f>IFERROR((G106*H106)*(6-I106)/20,"")</x:f>
        <x:v>0</x:v>
      </x:c>
      <x:c r="K106" s="34"/>
      <x:c r="L106" s="34"/>
      <x:c r="M106" s="54" t="str">
        <x:f>IF(J106="","",IF(J106&gt;=3,"Использовать",IF(J106&gt;=1.8,"Проверить дополнительно","Не использовать как основание")))</x:f>
      </x:c>
      <x:c r="N106" s="34"/>
    </x:row>
    <x:row r="107" ht="34" customHeight="1">
      <x:c r="A107" s="34"/>
      <x:c r="B107" s="34"/>
      <x:c r="C107" s="34"/>
      <x:c r="D107" s="34"/>
      <x:c r="E107" s="34"/>
      <x:c r="F107" s="34"/>
      <x:c r="G107" s="50"/>
      <x:c r="H107" s="50"/>
      <x:c r="I107" s="50"/>
      <x:c r="J107" s="52" t="n">
        <x:f>IFERROR((G107*H107)*(6-I107)/20,"")</x:f>
        <x:v>0</x:v>
      </x:c>
      <x:c r="K107" s="34"/>
      <x:c r="L107" s="34"/>
      <x:c r="M107" s="54" t="str">
        <x:f>IF(J107="","",IF(J107&gt;=3,"Использовать",IF(J107&gt;=1.8,"Проверить дополнительно","Не использовать как основание")))</x:f>
      </x:c>
      <x:c r="N107" s="34"/>
    </x:row>
    <x:row r="108" ht="34" customHeight="1">
      <x:c r="A108" s="34"/>
      <x:c r="B108" s="34"/>
      <x:c r="C108" s="34"/>
      <x:c r="D108" s="34"/>
      <x:c r="E108" s="34"/>
      <x:c r="F108" s="34"/>
      <x:c r="G108" s="50"/>
      <x:c r="H108" s="50"/>
      <x:c r="I108" s="50"/>
      <x:c r="J108" s="52" t="n">
        <x:f>IFERROR((G108*H108)*(6-I108)/20,"")</x:f>
        <x:v>0</x:v>
      </x:c>
      <x:c r="K108" s="34"/>
      <x:c r="L108" s="34"/>
      <x:c r="M108" s="54" t="str">
        <x:f>IF(J108="","",IF(J108&gt;=3,"Использовать",IF(J108&gt;=1.8,"Проверить дополнительно","Не использовать как основание")))</x:f>
      </x:c>
      <x:c r="N108" s="34"/>
    </x:row>
    <x:row r="109" ht="34" customHeight="1">
      <x:c r="A109" s="34"/>
      <x:c r="B109" s="34"/>
      <x:c r="C109" s="34"/>
      <x:c r="D109" s="34"/>
      <x:c r="E109" s="34"/>
      <x:c r="F109" s="34"/>
      <x:c r="G109" s="50"/>
      <x:c r="H109" s="50"/>
      <x:c r="I109" s="50"/>
      <x:c r="J109" s="52" t="n">
        <x:f>IFERROR((G109*H109)*(6-I109)/20,"")</x:f>
        <x:v>0</x:v>
      </x:c>
      <x:c r="K109" s="34"/>
      <x:c r="L109" s="34"/>
      <x:c r="M109" s="54" t="str">
        <x:f>IF(J109="","",IF(J109&gt;=3,"Использовать",IF(J109&gt;=1.8,"Проверить дополнительно","Не использовать как основание")))</x:f>
      </x:c>
      <x:c r="N109" s="34"/>
    </x:row>
    <x:row r="110" ht="34" customHeight="1">
      <x:c r="A110" s="34"/>
      <x:c r="B110" s="34"/>
      <x:c r="C110" s="34"/>
      <x:c r="D110" s="34"/>
      <x:c r="E110" s="34"/>
      <x:c r="F110" s="34"/>
      <x:c r="G110" s="50"/>
      <x:c r="H110" s="50"/>
      <x:c r="I110" s="50"/>
      <x:c r="J110" s="52" t="n">
        <x:f>IFERROR((G110*H110)*(6-I110)/20,"")</x:f>
        <x:v>0</x:v>
      </x:c>
      <x:c r="K110" s="34"/>
      <x:c r="L110" s="34"/>
      <x:c r="M110" s="54" t="str">
        <x:f>IF(J110="","",IF(J110&gt;=3,"Использовать",IF(J110&gt;=1.8,"Проверить дополнительно","Не использовать как основание")))</x:f>
      </x:c>
      <x:c r="N110" s="34"/>
    </x:row>
    <x:row r="111" ht="34" customHeight="1">
      <x:c r="A111" s="34"/>
      <x:c r="B111" s="34"/>
      <x:c r="C111" s="34"/>
      <x:c r="D111" s="34"/>
      <x:c r="E111" s="34"/>
      <x:c r="F111" s="34"/>
      <x:c r="G111" s="50"/>
      <x:c r="H111" s="50"/>
      <x:c r="I111" s="50"/>
      <x:c r="J111" s="52" t="n">
        <x:f>IFERROR((G111*H111)*(6-I111)/20,"")</x:f>
        <x:v>0</x:v>
      </x:c>
      <x:c r="K111" s="34"/>
      <x:c r="L111" s="34"/>
      <x:c r="M111" s="54" t="str">
        <x:f>IF(J111="","",IF(J111&gt;=3,"Использовать",IF(J111&gt;=1.8,"Проверить дополнительно","Не использовать как основание")))</x:f>
      </x:c>
      <x:c r="N111" s="34"/>
    </x:row>
    <x:row r="112" ht="34" customHeight="1">
      <x:c r="A112" s="34"/>
      <x:c r="B112" s="34"/>
      <x:c r="C112" s="34"/>
      <x:c r="D112" s="34"/>
      <x:c r="E112" s="34"/>
      <x:c r="F112" s="34"/>
      <x:c r="G112" s="50"/>
      <x:c r="H112" s="50"/>
      <x:c r="I112" s="50"/>
      <x:c r="J112" s="52" t="n">
        <x:f>IFERROR((G112*H112)*(6-I112)/20,"")</x:f>
        <x:v>0</x:v>
      </x:c>
      <x:c r="K112" s="34"/>
      <x:c r="L112" s="34"/>
      <x:c r="M112" s="54" t="str">
        <x:f>IF(J112="","",IF(J112&gt;=3,"Использовать",IF(J112&gt;=1.8,"Проверить дополнительно","Не использовать как основание")))</x:f>
      </x:c>
      <x:c r="N112" s="34"/>
    </x:row>
    <x:row r="113" ht="34" customHeight="1">
      <x:c r="A113" s="34"/>
      <x:c r="B113" s="34"/>
      <x:c r="C113" s="34"/>
      <x:c r="D113" s="34"/>
      <x:c r="E113" s="34"/>
      <x:c r="F113" s="34"/>
      <x:c r="G113" s="50"/>
      <x:c r="H113" s="50"/>
      <x:c r="I113" s="50"/>
      <x:c r="J113" s="52" t="n">
        <x:f>IFERROR((G113*H113)*(6-I113)/20,"")</x:f>
        <x:v>0</x:v>
      </x:c>
      <x:c r="K113" s="34"/>
      <x:c r="L113" s="34"/>
      <x:c r="M113" s="54" t="str">
        <x:f>IF(J113="","",IF(J113&gt;=3,"Использовать",IF(J113&gt;=1.8,"Проверить дополнительно","Не использовать как основание")))</x:f>
      </x:c>
      <x:c r="N113" s="34"/>
    </x:row>
    <x:row r="114" ht="34" customHeight="1">
      <x:c r="A114" s="34"/>
      <x:c r="B114" s="34"/>
      <x:c r="C114" s="34"/>
      <x:c r="D114" s="34"/>
      <x:c r="E114" s="34"/>
      <x:c r="F114" s="34"/>
      <x:c r="G114" s="50"/>
      <x:c r="H114" s="50"/>
      <x:c r="I114" s="50"/>
      <x:c r="J114" s="52" t="n">
        <x:f>IFERROR((G114*H114)*(6-I114)/20,"")</x:f>
        <x:v>0</x:v>
      </x:c>
      <x:c r="K114" s="34"/>
      <x:c r="L114" s="34"/>
      <x:c r="M114" s="54" t="str">
        <x:f>IF(J114="","",IF(J114&gt;=3,"Использовать",IF(J114&gt;=1.8,"Проверить дополнительно","Не использовать как основание")))</x:f>
      </x:c>
      <x:c r="N114" s="34"/>
    </x:row>
    <x:row r="115" ht="34" customHeight="1">
      <x:c r="A115" s="34"/>
      <x:c r="B115" s="34"/>
      <x:c r="C115" s="34"/>
      <x:c r="D115" s="34"/>
      <x:c r="E115" s="34"/>
      <x:c r="F115" s="34"/>
      <x:c r="G115" s="50"/>
      <x:c r="H115" s="50"/>
      <x:c r="I115" s="50"/>
      <x:c r="J115" s="52" t="n">
        <x:f>IFERROR((G115*H115)*(6-I115)/20,"")</x:f>
        <x:v>0</x:v>
      </x:c>
      <x:c r="K115" s="34"/>
      <x:c r="L115" s="34"/>
      <x:c r="M115" s="54" t="str">
        <x:f>IF(J115="","",IF(J115&gt;=3,"Использовать",IF(J115&gt;=1.8,"Проверить дополнительно","Не использовать как основание")))</x:f>
      </x:c>
      <x:c r="N115" s="34"/>
    </x:row>
    <x:row r="116" ht="34" customHeight="1">
      <x:c r="A116" s="34"/>
      <x:c r="B116" s="34"/>
      <x:c r="C116" s="34"/>
      <x:c r="D116" s="34"/>
      <x:c r="E116" s="34"/>
      <x:c r="F116" s="34"/>
      <x:c r="G116" s="50"/>
      <x:c r="H116" s="50"/>
      <x:c r="I116" s="50"/>
      <x:c r="J116" s="52" t="n">
        <x:f>IFERROR((G116*H116)*(6-I116)/20,"")</x:f>
        <x:v>0</x:v>
      </x:c>
      <x:c r="K116" s="34"/>
      <x:c r="L116" s="34"/>
      <x:c r="M116" s="54" t="str">
        <x:f>IF(J116="","",IF(J116&gt;=3,"Использовать",IF(J116&gt;=1.8,"Проверить дополнительно","Не использовать как основание")))</x:f>
      </x:c>
      <x:c r="N116" s="34"/>
    </x:row>
    <x:row r="117" ht="34" customHeight="1">
      <x:c r="A117" s="34"/>
      <x:c r="B117" s="34"/>
      <x:c r="C117" s="34"/>
      <x:c r="D117" s="34"/>
      <x:c r="E117" s="34"/>
      <x:c r="F117" s="34"/>
      <x:c r="G117" s="50"/>
      <x:c r="H117" s="50"/>
      <x:c r="I117" s="50"/>
      <x:c r="J117" s="52" t="n">
        <x:f>IFERROR((G117*H117)*(6-I117)/20,"")</x:f>
        <x:v>0</x:v>
      </x:c>
      <x:c r="K117" s="34"/>
      <x:c r="L117" s="34"/>
      <x:c r="M117" s="54" t="str">
        <x:f>IF(J117="","",IF(J117&gt;=3,"Использовать",IF(J117&gt;=1.8,"Проверить дополнительно","Не использовать как основание")))</x:f>
      </x:c>
      <x:c r="N117" s="34"/>
    </x:row>
    <x:row r="118" ht="34" customHeight="1">
      <x:c r="A118" s="34"/>
      <x:c r="B118" s="34"/>
      <x:c r="C118" s="34"/>
      <x:c r="D118" s="34"/>
      <x:c r="E118" s="34"/>
      <x:c r="F118" s="34"/>
      <x:c r="G118" s="50"/>
      <x:c r="H118" s="50"/>
      <x:c r="I118" s="50"/>
      <x:c r="J118" s="52" t="n">
        <x:f>IFERROR((G118*H118)*(6-I118)/20,"")</x:f>
        <x:v>0</x:v>
      </x:c>
      <x:c r="K118" s="34"/>
      <x:c r="L118" s="34"/>
      <x:c r="M118" s="54" t="str">
        <x:f>IF(J118="","",IF(J118&gt;=3,"Использовать",IF(J118&gt;=1.8,"Проверить дополнительно","Не использовать как основание")))</x:f>
      </x:c>
      <x:c r="N118" s="34"/>
    </x:row>
    <x:row r="119" ht="34" customHeight="1">
      <x:c r="A119" s="34"/>
      <x:c r="B119" s="34"/>
      <x:c r="C119" s="34"/>
      <x:c r="D119" s="34"/>
      <x:c r="E119" s="34"/>
      <x:c r="F119" s="34"/>
      <x:c r="G119" s="50"/>
      <x:c r="H119" s="50"/>
      <x:c r="I119" s="50"/>
      <x:c r="J119" s="52" t="n">
        <x:f>IFERROR((G119*H119)*(6-I119)/20,"")</x:f>
        <x:v>0</x:v>
      </x:c>
      <x:c r="K119" s="34"/>
      <x:c r="L119" s="34"/>
      <x:c r="M119" s="54" t="str">
        <x:f>IF(J119="","",IF(J119&gt;=3,"Использовать",IF(J119&gt;=1.8,"Проверить дополнительно","Не использовать как основание")))</x:f>
      </x:c>
      <x:c r="N119" s="34"/>
    </x:row>
    <x:row r="120" ht="34" customHeight="1">
      <x:c r="A120" s="34"/>
      <x:c r="B120" s="34"/>
      <x:c r="C120" s="34"/>
      <x:c r="D120" s="34"/>
      <x:c r="E120" s="34"/>
      <x:c r="F120" s="34"/>
      <x:c r="G120" s="50"/>
      <x:c r="H120" s="50"/>
      <x:c r="I120" s="50"/>
      <x:c r="J120" s="52" t="n">
        <x:f>IFERROR((G120*H120)*(6-I120)/20,"")</x:f>
        <x:v>0</x:v>
      </x:c>
      <x:c r="K120" s="34"/>
      <x:c r="L120" s="34"/>
      <x:c r="M120" s="54" t="str">
        <x:f>IF(J120="","",IF(J120&gt;=3,"Использовать",IF(J120&gt;=1.8,"Проверить дополнительно","Не использовать как основание")))</x:f>
      </x:c>
      <x:c r="N120" s="34"/>
    </x:row>
    <x:row r="121" ht="34" customHeight="1">
      <x:c r="A121" s="34"/>
      <x:c r="B121" s="34"/>
      <x:c r="C121" s="34"/>
      <x:c r="D121" s="34"/>
      <x:c r="E121" s="34"/>
      <x:c r="F121" s="34"/>
      <x:c r="G121" s="50"/>
      <x:c r="H121" s="50"/>
      <x:c r="I121" s="50"/>
      <x:c r="J121" s="52" t="n">
        <x:f>IFERROR((G121*H121)*(6-I121)/20,"")</x:f>
        <x:v>0</x:v>
      </x:c>
      <x:c r="K121" s="34"/>
      <x:c r="L121" s="34"/>
      <x:c r="M121" s="54" t="str">
        <x:f>IF(J121="","",IF(J121&gt;=3,"Использовать",IF(J121&gt;=1.8,"Проверить дополнительно","Не использовать как основание")))</x:f>
      </x:c>
      <x:c r="N121" s="34"/>
    </x:row>
    <x:row r="122" ht="34" customHeight="1">
      <x:c r="A122" s="34"/>
      <x:c r="B122" s="34"/>
      <x:c r="C122" s="34"/>
      <x:c r="D122" s="34"/>
      <x:c r="E122" s="34"/>
      <x:c r="F122" s="34"/>
      <x:c r="G122" s="50"/>
      <x:c r="H122" s="50"/>
      <x:c r="I122" s="50"/>
      <x:c r="J122" s="52" t="n">
        <x:f>IFERROR((G122*H122)*(6-I122)/20,"")</x:f>
        <x:v>0</x:v>
      </x:c>
      <x:c r="K122" s="34"/>
      <x:c r="L122" s="34"/>
      <x:c r="M122" s="54" t="str">
        <x:f>IF(J122="","",IF(J122&gt;=3,"Использовать",IF(J122&gt;=1.8,"Проверить дополнительно","Не использовать как основание")))</x:f>
      </x:c>
      <x:c r="N122" s="34"/>
    </x:row>
    <x:row r="123" ht="34" customHeight="1">
      <x:c r="A123" s="34"/>
      <x:c r="B123" s="34"/>
      <x:c r="C123" s="34"/>
      <x:c r="D123" s="34"/>
      <x:c r="E123" s="34"/>
      <x:c r="F123" s="34"/>
      <x:c r="G123" s="50"/>
      <x:c r="H123" s="50"/>
      <x:c r="I123" s="50"/>
      <x:c r="J123" s="52" t="n">
        <x:f>IFERROR((G123*H123)*(6-I123)/20,"")</x:f>
        <x:v>0</x:v>
      </x:c>
      <x:c r="K123" s="34"/>
      <x:c r="L123" s="34"/>
      <x:c r="M123" s="54" t="str">
        <x:f>IF(J123="","",IF(J123&gt;=3,"Использовать",IF(J123&gt;=1.8,"Проверить дополнительно","Не использовать как основание")))</x:f>
      </x:c>
      <x:c r="N123" s="34"/>
    </x:row>
    <x:row r="124" ht="34" customHeight="1">
      <x:c r="A124" s="34"/>
      <x:c r="B124" s="34"/>
      <x:c r="C124" s="34"/>
      <x:c r="D124" s="34"/>
      <x:c r="E124" s="34"/>
      <x:c r="F124" s="34"/>
      <x:c r="G124" s="50"/>
      <x:c r="H124" s="50"/>
      <x:c r="I124" s="50"/>
      <x:c r="J124" s="52" t="n">
        <x:f>IFERROR((G124*H124)*(6-I124)/20,"")</x:f>
        <x:v>0</x:v>
      </x:c>
      <x:c r="K124" s="34"/>
      <x:c r="L124" s="34"/>
      <x:c r="M124" s="54" t="str">
        <x:f>IF(J124="","",IF(J124&gt;=3,"Использовать",IF(J124&gt;=1.8,"Проверить дополнительно","Не использовать как основание")))</x:f>
      </x:c>
      <x:c r="N124" s="34"/>
    </x:row>
    <x:row r="125" ht="34" customHeight="1">
      <x:c r="A125" s="34"/>
      <x:c r="B125" s="34"/>
      <x:c r="C125" s="34"/>
      <x:c r="D125" s="34"/>
      <x:c r="E125" s="34"/>
      <x:c r="F125" s="34"/>
      <x:c r="G125" s="50"/>
      <x:c r="H125" s="50"/>
      <x:c r="I125" s="50"/>
      <x:c r="J125" s="52" t="n">
        <x:f>IFERROR((G125*H125)*(6-I125)/20,"")</x:f>
        <x:v>0</x:v>
      </x:c>
      <x:c r="K125" s="34"/>
      <x:c r="L125" s="34"/>
      <x:c r="M125" s="54" t="str">
        <x:f>IF(J125="","",IF(J125&gt;=3,"Использовать",IF(J125&gt;=1.8,"Проверить дополнительно","Не использовать как основание")))</x:f>
      </x:c>
      <x:c r="N125" s="34"/>
    </x:row>
    <x:row r="126" ht="34" customHeight="1">
      <x:c r="A126" s="34"/>
      <x:c r="B126" s="34"/>
      <x:c r="C126" s="34"/>
      <x:c r="D126" s="34"/>
      <x:c r="E126" s="34"/>
      <x:c r="F126" s="34"/>
      <x:c r="G126" s="50"/>
      <x:c r="H126" s="50"/>
      <x:c r="I126" s="50"/>
      <x:c r="J126" s="52" t="n">
        <x:f>IFERROR((G126*H126)*(6-I126)/20,"")</x:f>
        <x:v>0</x:v>
      </x:c>
      <x:c r="K126" s="34"/>
      <x:c r="L126" s="34"/>
      <x:c r="M126" s="54" t="str">
        <x:f>IF(J126="","",IF(J126&gt;=3,"Использовать",IF(J126&gt;=1.8,"Проверить дополнительно","Не использовать как основание")))</x:f>
      </x:c>
      <x:c r="N126" s="34"/>
    </x:row>
    <x:row r="127" ht="34" customHeight="1">
      <x:c r="A127" s="34"/>
      <x:c r="B127" s="34"/>
      <x:c r="C127" s="34"/>
      <x:c r="D127" s="34"/>
      <x:c r="E127" s="34"/>
      <x:c r="F127" s="34"/>
      <x:c r="G127" s="50"/>
      <x:c r="H127" s="50"/>
      <x:c r="I127" s="50"/>
      <x:c r="J127" s="52" t="n">
        <x:f>IFERROR((G127*H127)*(6-I127)/20,"")</x:f>
        <x:v>0</x:v>
      </x:c>
      <x:c r="K127" s="34"/>
      <x:c r="L127" s="34"/>
      <x:c r="M127" s="54" t="str">
        <x:f>IF(J127="","",IF(J127&gt;=3,"Использовать",IF(J127&gt;=1.8,"Проверить дополнительно","Не использовать как основание")))</x:f>
      </x:c>
      <x:c r="N127" s="34"/>
    </x:row>
    <x:row r="128" ht="34" customHeight="1">
      <x:c r="A128" s="34"/>
      <x:c r="B128" s="34"/>
      <x:c r="C128" s="34"/>
      <x:c r="D128" s="34"/>
      <x:c r="E128" s="34"/>
      <x:c r="F128" s="34"/>
      <x:c r="G128" s="50"/>
      <x:c r="H128" s="50"/>
      <x:c r="I128" s="50"/>
      <x:c r="J128" s="52" t="n">
        <x:f>IFERROR((G128*H128)*(6-I128)/20,"")</x:f>
        <x:v>0</x:v>
      </x:c>
      <x:c r="K128" s="34"/>
      <x:c r="L128" s="34"/>
      <x:c r="M128" s="54" t="str">
        <x:f>IF(J128="","",IF(J128&gt;=3,"Использовать",IF(J128&gt;=1.8,"Проверить дополнительно","Не использовать как основание")))</x:f>
      </x:c>
      <x:c r="N128" s="34"/>
    </x:row>
    <x:row r="129" ht="34" customHeight="1">
      <x:c r="A129" s="34"/>
      <x:c r="B129" s="34"/>
      <x:c r="C129" s="34"/>
      <x:c r="D129" s="34"/>
      <x:c r="E129" s="34"/>
      <x:c r="F129" s="34"/>
      <x:c r="G129" s="50"/>
      <x:c r="H129" s="50"/>
      <x:c r="I129" s="50"/>
      <x:c r="J129" s="52" t="n">
        <x:f>IFERROR((G129*H129)*(6-I129)/20,"")</x:f>
        <x:v>0</x:v>
      </x:c>
      <x:c r="K129" s="34"/>
      <x:c r="L129" s="34"/>
      <x:c r="M129" s="54" t="str">
        <x:f>IF(J129="","",IF(J129&gt;=3,"Использовать",IF(J129&gt;=1.8,"Проверить дополнительно","Не использовать как основание")))</x:f>
      </x:c>
      <x:c r="N129" s="34"/>
    </x:row>
    <x:row r="130" ht="34" customHeight="1">
      <x:c r="A130" s="34"/>
      <x:c r="B130" s="34"/>
      <x:c r="C130" s="34"/>
      <x:c r="D130" s="34"/>
      <x:c r="E130" s="34"/>
      <x:c r="F130" s="34"/>
      <x:c r="G130" s="50"/>
      <x:c r="H130" s="50"/>
      <x:c r="I130" s="50"/>
      <x:c r="J130" s="52" t="n">
        <x:f>IFERROR((G130*H130)*(6-I130)/20,"")</x:f>
        <x:v>0</x:v>
      </x:c>
      <x:c r="K130" s="34"/>
      <x:c r="L130" s="34"/>
      <x:c r="M130" s="54" t="str">
        <x:f>IF(J130="","",IF(J130&gt;=3,"Использовать",IF(J130&gt;=1.8,"Проверить дополнительно","Не использовать как основание")))</x:f>
      </x:c>
      <x:c r="N130" s="34"/>
    </x:row>
    <x:row r="131" ht="34" customHeight="1">
      <x:c r="A131" s="34"/>
      <x:c r="B131" s="34"/>
      <x:c r="C131" s="34"/>
      <x:c r="D131" s="34"/>
      <x:c r="E131" s="34"/>
      <x:c r="F131" s="34"/>
      <x:c r="G131" s="50"/>
      <x:c r="H131" s="50"/>
      <x:c r="I131" s="50"/>
      <x:c r="J131" s="52" t="n">
        <x:f>IFERROR((G131*H131)*(6-I131)/20,"")</x:f>
        <x:v>0</x:v>
      </x:c>
      <x:c r="K131" s="34"/>
      <x:c r="L131" s="34"/>
      <x:c r="M131" s="54" t="str">
        <x:f>IF(J131="","",IF(J131&gt;=3,"Использовать",IF(J131&gt;=1.8,"Проверить дополнительно","Не использовать как основание")))</x:f>
      </x:c>
      <x:c r="N131" s="34"/>
    </x:row>
    <x:row r="132" ht="34" customHeight="1">
      <x:c r="A132" s="34"/>
      <x:c r="B132" s="34"/>
      <x:c r="C132" s="34"/>
      <x:c r="D132" s="34"/>
      <x:c r="E132" s="34"/>
      <x:c r="F132" s="34"/>
      <x:c r="G132" s="50"/>
      <x:c r="H132" s="50"/>
      <x:c r="I132" s="50"/>
      <x:c r="J132" s="52" t="n">
        <x:f>IFERROR((G132*H132)*(6-I132)/20,"")</x:f>
        <x:v>0</x:v>
      </x:c>
      <x:c r="K132" s="34"/>
      <x:c r="L132" s="34"/>
      <x:c r="M132" s="54" t="str">
        <x:f>IF(J132="","",IF(J132&gt;=3,"Использовать",IF(J132&gt;=1.8,"Проверить дополнительно","Не использовать как основание")))</x:f>
      </x:c>
      <x:c r="N132" s="34"/>
    </x:row>
    <x:row r="133" ht="34" customHeight="1">
      <x:c r="A133" s="34"/>
      <x:c r="B133" s="34"/>
      <x:c r="C133" s="34"/>
      <x:c r="D133" s="34"/>
      <x:c r="E133" s="34"/>
      <x:c r="F133" s="34"/>
      <x:c r="G133" s="50"/>
      <x:c r="H133" s="50"/>
      <x:c r="I133" s="50"/>
      <x:c r="J133" s="52" t="n">
        <x:f>IFERROR((G133*H133)*(6-I133)/20,"")</x:f>
        <x:v>0</x:v>
      </x:c>
      <x:c r="K133" s="34"/>
      <x:c r="L133" s="34"/>
      <x:c r="M133" s="54" t="str">
        <x:f>IF(J133="","",IF(J133&gt;=3,"Использовать",IF(J133&gt;=1.8,"Проверить дополнительно","Не использовать как основание")))</x:f>
      </x:c>
      <x:c r="N133" s="34"/>
    </x:row>
    <x:row r="134" ht="34" customHeight="1">
      <x:c r="A134" s="34"/>
      <x:c r="B134" s="34"/>
      <x:c r="C134" s="34"/>
      <x:c r="D134" s="34"/>
      <x:c r="E134" s="34"/>
      <x:c r="F134" s="34"/>
      <x:c r="G134" s="50"/>
      <x:c r="H134" s="50"/>
      <x:c r="I134" s="50"/>
      <x:c r="J134" s="52" t="n">
        <x:f>IFERROR((G134*H134)*(6-I134)/20,"")</x:f>
        <x:v>0</x:v>
      </x:c>
      <x:c r="K134" s="34"/>
      <x:c r="L134" s="34"/>
      <x:c r="M134" s="54" t="str">
        <x:f>IF(J134="","",IF(J134&gt;=3,"Использовать",IF(J134&gt;=1.8,"Проверить дополнительно","Не использовать как основание")))</x:f>
      </x:c>
      <x:c r="N134" s="34"/>
    </x:row>
    <x:row r="135" ht="34" customHeight="1">
      <x:c r="A135" s="34"/>
      <x:c r="B135" s="34"/>
      <x:c r="C135" s="34"/>
      <x:c r="D135" s="34"/>
      <x:c r="E135" s="34"/>
      <x:c r="F135" s="34"/>
      <x:c r="G135" s="50"/>
      <x:c r="H135" s="50"/>
      <x:c r="I135" s="50"/>
      <x:c r="J135" s="52" t="n">
        <x:f>IFERROR((G135*H135)*(6-I135)/20,"")</x:f>
        <x:v>0</x:v>
      </x:c>
      <x:c r="K135" s="34"/>
      <x:c r="L135" s="34"/>
      <x:c r="M135" s="54" t="str">
        <x:f>IF(J135="","",IF(J135&gt;=3,"Использовать",IF(J135&gt;=1.8,"Проверить дополнительно","Не использовать как основание")))</x:f>
      </x:c>
      <x:c r="N135" s="34"/>
    </x:row>
    <x:row r="136" ht="34" customHeight="1">
      <x:c r="A136" s="34"/>
      <x:c r="B136" s="34"/>
      <x:c r="C136" s="34"/>
      <x:c r="D136" s="34"/>
      <x:c r="E136" s="34"/>
      <x:c r="F136" s="34"/>
      <x:c r="G136" s="50"/>
      <x:c r="H136" s="50"/>
      <x:c r="I136" s="50"/>
      <x:c r="J136" s="52" t="n">
        <x:f>IFERROR((G136*H136)*(6-I136)/20,"")</x:f>
        <x:v>0</x:v>
      </x:c>
      <x:c r="K136" s="34"/>
      <x:c r="L136" s="34"/>
      <x:c r="M136" s="54" t="str">
        <x:f>IF(J136="","",IF(J136&gt;=3,"Использовать",IF(J136&gt;=1.8,"Проверить дополнительно","Не использовать как основание")))</x:f>
      </x:c>
      <x:c r="N136" s="34"/>
    </x:row>
    <x:row r="137" ht="34" customHeight="1">
      <x:c r="A137" s="34"/>
      <x:c r="B137" s="34"/>
      <x:c r="C137" s="34"/>
      <x:c r="D137" s="34"/>
      <x:c r="E137" s="34"/>
      <x:c r="F137" s="34"/>
      <x:c r="G137" s="50"/>
      <x:c r="H137" s="50"/>
      <x:c r="I137" s="50"/>
      <x:c r="J137" s="52" t="n">
        <x:f>IFERROR((G137*H137)*(6-I137)/20,"")</x:f>
        <x:v>0</x:v>
      </x:c>
      <x:c r="K137" s="34"/>
      <x:c r="L137" s="34"/>
      <x:c r="M137" s="54" t="str">
        <x:f>IF(J137="","",IF(J137&gt;=3,"Использовать",IF(J137&gt;=1.8,"Проверить дополнительно","Не использовать как основание")))</x:f>
      </x:c>
      <x:c r="N137" s="34"/>
    </x:row>
    <x:row r="138" ht="34" customHeight="1">
      <x:c r="A138" s="34"/>
      <x:c r="B138" s="34"/>
      <x:c r="C138" s="34"/>
      <x:c r="D138" s="34"/>
      <x:c r="E138" s="34"/>
      <x:c r="F138" s="34"/>
      <x:c r="G138" s="50"/>
      <x:c r="H138" s="50"/>
      <x:c r="I138" s="50"/>
      <x:c r="J138" s="52" t="n">
        <x:f>IFERROR((G138*H138)*(6-I138)/20,"")</x:f>
        <x:v>0</x:v>
      </x:c>
      <x:c r="K138" s="34"/>
      <x:c r="L138" s="34"/>
      <x:c r="M138" s="54" t="str">
        <x:f>IF(J138="","",IF(J138&gt;=3,"Использовать",IF(J138&gt;=1.8,"Проверить дополнительно","Не использовать как основание")))</x:f>
      </x:c>
      <x:c r="N138" s="34"/>
    </x:row>
    <x:row r="139" ht="34" customHeight="1">
      <x:c r="A139" s="34"/>
      <x:c r="B139" s="34"/>
      <x:c r="C139" s="34"/>
      <x:c r="D139" s="34"/>
      <x:c r="E139" s="34"/>
      <x:c r="F139" s="34"/>
      <x:c r="G139" s="50"/>
      <x:c r="H139" s="50"/>
      <x:c r="I139" s="50"/>
      <x:c r="J139" s="52" t="n">
        <x:f>IFERROR((G139*H139)*(6-I139)/20,"")</x:f>
        <x:v>0</x:v>
      </x:c>
      <x:c r="K139" s="34"/>
      <x:c r="L139" s="34"/>
      <x:c r="M139" s="54" t="str">
        <x:f>IF(J139="","",IF(J139&gt;=3,"Использовать",IF(J139&gt;=1.8,"Проверить дополнительно","Не использовать как основание")))</x:f>
      </x:c>
      <x:c r="N139" s="34"/>
    </x:row>
    <x:row r="140" ht="34" customHeight="1">
      <x:c r="A140" s="34"/>
      <x:c r="B140" s="34"/>
      <x:c r="C140" s="34"/>
      <x:c r="D140" s="34"/>
      <x:c r="E140" s="34"/>
      <x:c r="F140" s="34"/>
      <x:c r="G140" s="50"/>
      <x:c r="H140" s="50"/>
      <x:c r="I140" s="50"/>
      <x:c r="J140" s="52" t="n">
        <x:f>IFERROR((G140*H140)*(6-I140)/20,"")</x:f>
        <x:v>0</x:v>
      </x:c>
      <x:c r="K140" s="34"/>
      <x:c r="L140" s="34"/>
      <x:c r="M140" s="54" t="str">
        <x:f>IF(J140="","",IF(J140&gt;=3,"Использовать",IF(J140&gt;=1.8,"Проверить дополнительно","Не использовать как основание")))</x:f>
      </x:c>
      <x:c r="N140" s="34"/>
    </x:row>
    <x:row r="141" ht="34" customHeight="1">
      <x:c r="A141" s="34"/>
      <x:c r="B141" s="34"/>
      <x:c r="C141" s="34"/>
      <x:c r="D141" s="34"/>
      <x:c r="E141" s="34"/>
      <x:c r="F141" s="34"/>
      <x:c r="G141" s="50"/>
      <x:c r="H141" s="50"/>
      <x:c r="I141" s="50"/>
      <x:c r="J141" s="52" t="n">
        <x:f>IFERROR((G141*H141)*(6-I141)/20,"")</x:f>
        <x:v>0</x:v>
      </x:c>
      <x:c r="K141" s="34"/>
      <x:c r="L141" s="34"/>
      <x:c r="M141" s="54" t="str">
        <x:f>IF(J141="","",IF(J141&gt;=3,"Использовать",IF(J141&gt;=1.8,"Проверить дополнительно","Не использовать как основание")))</x:f>
      </x:c>
      <x:c r="N141" s="34"/>
    </x:row>
    <x:row r="142" ht="34" customHeight="1">
      <x:c r="A142" s="34"/>
      <x:c r="B142" s="34"/>
      <x:c r="C142" s="34"/>
      <x:c r="D142" s="34"/>
      <x:c r="E142" s="34"/>
      <x:c r="F142" s="34"/>
      <x:c r="G142" s="50"/>
      <x:c r="H142" s="50"/>
      <x:c r="I142" s="50"/>
      <x:c r="J142" s="52" t="n">
        <x:f>IFERROR((G142*H142)*(6-I142)/20,"")</x:f>
        <x:v>0</x:v>
      </x:c>
      <x:c r="K142" s="34"/>
      <x:c r="L142" s="34"/>
      <x:c r="M142" s="54" t="str">
        <x:f>IF(J142="","",IF(J142&gt;=3,"Использовать",IF(J142&gt;=1.8,"Проверить дополнительно","Не использовать как основание")))</x:f>
      </x:c>
      <x:c r="N142" s="34"/>
    </x:row>
    <x:row r="143" ht="34" customHeight="1">
      <x:c r="A143" s="34"/>
      <x:c r="B143" s="34"/>
      <x:c r="C143" s="34"/>
      <x:c r="D143" s="34"/>
      <x:c r="E143" s="34"/>
      <x:c r="F143" s="34"/>
      <x:c r="G143" s="50"/>
      <x:c r="H143" s="50"/>
      <x:c r="I143" s="50"/>
      <x:c r="J143" s="52" t="n">
        <x:f>IFERROR((G143*H143)*(6-I143)/20,"")</x:f>
        <x:v>0</x:v>
      </x:c>
      <x:c r="K143" s="34"/>
      <x:c r="L143" s="34"/>
      <x:c r="M143" s="54" t="str">
        <x:f>IF(J143="","",IF(J143&gt;=3,"Использовать",IF(J143&gt;=1.8,"Проверить дополнительно","Не использовать как основание")))</x:f>
      </x:c>
      <x:c r="N143" s="34"/>
    </x:row>
    <x:row r="144" ht="34" customHeight="1">
      <x:c r="A144" s="34"/>
      <x:c r="B144" s="34"/>
      <x:c r="C144" s="34"/>
      <x:c r="D144" s="34"/>
      <x:c r="E144" s="34"/>
      <x:c r="F144" s="34"/>
      <x:c r="G144" s="50"/>
      <x:c r="H144" s="50"/>
      <x:c r="I144" s="50"/>
      <x:c r="J144" s="52" t="n">
        <x:f>IFERROR((G144*H144)*(6-I144)/20,"")</x:f>
        <x:v>0</x:v>
      </x:c>
      <x:c r="K144" s="34"/>
      <x:c r="L144" s="34"/>
      <x:c r="M144" s="54" t="str">
        <x:f>IF(J144="","",IF(J144&gt;=3,"Использовать",IF(J144&gt;=1.8,"Проверить дополнительно","Не использовать как основание")))</x:f>
      </x:c>
      <x:c r="N144" s="34"/>
    </x:row>
    <x:row r="145" ht="34" customHeight="1">
      <x:c r="A145" s="34"/>
      <x:c r="B145" s="34"/>
      <x:c r="C145" s="34"/>
      <x:c r="D145" s="34"/>
      <x:c r="E145" s="34"/>
      <x:c r="F145" s="34"/>
      <x:c r="G145" s="50"/>
      <x:c r="H145" s="50"/>
      <x:c r="I145" s="50"/>
      <x:c r="J145" s="52" t="n">
        <x:f>IFERROR((G145*H145)*(6-I145)/20,"")</x:f>
        <x:v>0</x:v>
      </x:c>
      <x:c r="K145" s="34"/>
      <x:c r="L145" s="34"/>
      <x:c r="M145" s="54" t="str">
        <x:f>IF(J145="","",IF(J145&gt;=3,"Использовать",IF(J145&gt;=1.8,"Проверить дополнительно","Не использовать как основание")))</x:f>
      </x:c>
      <x:c r="N145" s="34"/>
    </x:row>
    <x:row r="146" ht="34" customHeight="1">
      <x:c r="A146" s="34"/>
      <x:c r="B146" s="34"/>
      <x:c r="C146" s="34"/>
      <x:c r="D146" s="34"/>
      <x:c r="E146" s="34"/>
      <x:c r="F146" s="34"/>
      <x:c r="G146" s="50"/>
      <x:c r="H146" s="50"/>
      <x:c r="I146" s="50"/>
      <x:c r="J146" s="52" t="n">
        <x:f>IFERROR((G146*H146)*(6-I146)/20,"")</x:f>
        <x:v>0</x:v>
      </x:c>
      <x:c r="K146" s="34"/>
      <x:c r="L146" s="34"/>
      <x:c r="M146" s="54" t="str">
        <x:f>IF(J146="","",IF(J146&gt;=3,"Использовать",IF(J146&gt;=1.8,"Проверить дополнительно","Не использовать как основание")))</x:f>
      </x:c>
      <x:c r="N146" s="34"/>
    </x:row>
    <x:row r="147" ht="34" customHeight="1">
      <x:c r="A147" s="34"/>
      <x:c r="B147" s="34"/>
      <x:c r="C147" s="34"/>
      <x:c r="D147" s="34"/>
      <x:c r="E147" s="34"/>
      <x:c r="F147" s="34"/>
      <x:c r="G147" s="50"/>
      <x:c r="H147" s="50"/>
      <x:c r="I147" s="50"/>
      <x:c r="J147" s="52" t="n">
        <x:f>IFERROR((G147*H147)*(6-I147)/20,"")</x:f>
        <x:v>0</x:v>
      </x:c>
      <x:c r="K147" s="34"/>
      <x:c r="L147" s="34"/>
      <x:c r="M147" s="54" t="str">
        <x:f>IF(J147="","",IF(J147&gt;=3,"Использовать",IF(J147&gt;=1.8,"Проверить дополнительно","Не использовать как основание")))</x:f>
      </x:c>
      <x:c r="N147" s="34"/>
    </x:row>
    <x:row r="148" ht="34" customHeight="1">
      <x:c r="A148" s="34"/>
      <x:c r="B148" s="34"/>
      <x:c r="C148" s="34"/>
      <x:c r="D148" s="34"/>
      <x:c r="E148" s="34"/>
      <x:c r="F148" s="34"/>
      <x:c r="G148" s="50"/>
      <x:c r="H148" s="50"/>
      <x:c r="I148" s="50"/>
      <x:c r="J148" s="52" t="n">
        <x:f>IFERROR((G148*H148)*(6-I148)/20,"")</x:f>
        <x:v>0</x:v>
      </x:c>
      <x:c r="K148" s="34"/>
      <x:c r="L148" s="34"/>
      <x:c r="M148" s="54" t="str">
        <x:f>IF(J148="","",IF(J148&gt;=3,"Использовать",IF(J148&gt;=1.8,"Проверить дополнительно","Не использовать как основание")))</x:f>
      </x:c>
      <x:c r="N148" s="34"/>
    </x:row>
    <x:row r="149" ht="34" customHeight="1">
      <x:c r="A149" s="34"/>
      <x:c r="B149" s="34"/>
      <x:c r="C149" s="34"/>
      <x:c r="D149" s="34"/>
      <x:c r="E149" s="34"/>
      <x:c r="F149" s="34"/>
      <x:c r="G149" s="50"/>
      <x:c r="H149" s="50"/>
      <x:c r="I149" s="50"/>
      <x:c r="J149" s="52" t="n">
        <x:f>IFERROR((G149*H149)*(6-I149)/20,"")</x:f>
        <x:v>0</x:v>
      </x:c>
      <x:c r="K149" s="34"/>
      <x:c r="L149" s="34"/>
      <x:c r="M149" s="54" t="str">
        <x:f>IF(J149="","",IF(J149&gt;=3,"Использовать",IF(J149&gt;=1.8,"Проверить дополнительно","Не использовать как основание")))</x:f>
      </x:c>
      <x:c r="N149" s="34"/>
    </x:row>
    <x:row r="150" ht="34" customHeight="1">
      <x:c r="A150" s="34"/>
      <x:c r="B150" s="34"/>
      <x:c r="C150" s="34"/>
      <x:c r="D150" s="34"/>
      <x:c r="E150" s="34"/>
      <x:c r="F150" s="34"/>
      <x:c r="G150" s="50"/>
      <x:c r="H150" s="50"/>
      <x:c r="I150" s="50"/>
      <x:c r="J150" s="52" t="n">
        <x:f>IFERROR((G150*H150)*(6-I150)/20,"")</x:f>
        <x:v>0</x:v>
      </x:c>
      <x:c r="K150" s="34"/>
      <x:c r="L150" s="34"/>
      <x:c r="M150" s="54" t="str">
        <x:f>IF(J150="","",IF(J150&gt;=3,"Использовать",IF(J150&gt;=1.8,"Проверить дополнительно","Не использовать как основание")))</x:f>
      </x:c>
      <x:c r="N150" s="34"/>
    </x:row>
    <x:row r="151" ht="34" customHeight="1">
      <x:c r="A151" s="34"/>
      <x:c r="B151" s="34"/>
      <x:c r="C151" s="34"/>
      <x:c r="D151" s="34"/>
      <x:c r="E151" s="34"/>
      <x:c r="F151" s="34"/>
      <x:c r="G151" s="50"/>
      <x:c r="H151" s="50"/>
      <x:c r="I151" s="50"/>
      <x:c r="J151" s="52" t="n">
        <x:f>IFERROR((G151*H151)*(6-I151)/20,"")</x:f>
        <x:v>0</x:v>
      </x:c>
      <x:c r="K151" s="34"/>
      <x:c r="L151" s="34"/>
      <x:c r="M151" s="54" t="str">
        <x:f>IF(J151="","",IF(J151&gt;=3,"Использовать",IF(J151&gt;=1.8,"Проверить дополнительно","Не использовать как основание")))</x:f>
      </x:c>
      <x:c r="N151" s="34"/>
    </x:row>
    <x:row r="152" ht="34" customHeight="1">
      <x:c r="A152" s="34"/>
      <x:c r="B152" s="34"/>
      <x:c r="C152" s="34"/>
      <x:c r="D152" s="34"/>
      <x:c r="E152" s="34"/>
      <x:c r="F152" s="34"/>
      <x:c r="G152" s="50"/>
      <x:c r="H152" s="50"/>
      <x:c r="I152" s="50"/>
      <x:c r="J152" s="52" t="n">
        <x:f>IFERROR((G152*H152)*(6-I152)/20,"")</x:f>
        <x:v>0</x:v>
      </x:c>
      <x:c r="K152" s="34"/>
      <x:c r="L152" s="34"/>
      <x:c r="M152" s="54" t="str">
        <x:f>IF(J152="","",IF(J152&gt;=3,"Использовать",IF(J152&gt;=1.8,"Проверить дополнительно","Не использовать как основание")))</x:f>
      </x:c>
      <x:c r="N152" s="34"/>
    </x:row>
    <x:row r="153" ht="34" customHeight="1">
      <x:c r="A153" s="34"/>
      <x:c r="B153" s="34"/>
      <x:c r="C153" s="34"/>
      <x:c r="D153" s="34"/>
      <x:c r="E153" s="34"/>
      <x:c r="F153" s="34"/>
      <x:c r="G153" s="50"/>
      <x:c r="H153" s="50"/>
      <x:c r="I153" s="50"/>
      <x:c r="J153" s="52" t="n">
        <x:f>IFERROR((G153*H153)*(6-I153)/20,"")</x:f>
        <x:v>0</x:v>
      </x:c>
      <x:c r="K153" s="34"/>
      <x:c r="L153" s="34"/>
      <x:c r="M153" s="54" t="str">
        <x:f>IF(J153="","",IF(J153&gt;=3,"Использовать",IF(J153&gt;=1.8,"Проверить дополнительно","Не использовать как основание")))</x:f>
      </x:c>
      <x:c r="N153" s="34"/>
    </x:row>
    <x:row r="154" ht="34" customHeight="1">
      <x:c r="A154" s="34"/>
      <x:c r="B154" s="34"/>
      <x:c r="C154" s="34"/>
      <x:c r="D154" s="34"/>
      <x:c r="E154" s="34"/>
      <x:c r="F154" s="34"/>
      <x:c r="G154" s="50"/>
      <x:c r="H154" s="50"/>
      <x:c r="I154" s="50"/>
      <x:c r="J154" s="52" t="n">
        <x:f>IFERROR((G154*H154)*(6-I154)/20,"")</x:f>
        <x:v>0</x:v>
      </x:c>
      <x:c r="K154" s="34"/>
      <x:c r="L154" s="34"/>
      <x:c r="M154" s="54" t="str">
        <x:f>IF(J154="","",IF(J154&gt;=3,"Использовать",IF(J154&gt;=1.8,"Проверить дополнительно","Не использовать как основание")))</x:f>
      </x:c>
      <x:c r="N154" s="34"/>
    </x:row>
    <x:row r="155" ht="34" customHeight="1">
      <x:c r="A155" s="34"/>
      <x:c r="B155" s="34"/>
      <x:c r="C155" s="34"/>
      <x:c r="D155" s="34"/>
      <x:c r="E155" s="34"/>
      <x:c r="F155" s="34"/>
      <x:c r="G155" s="50"/>
      <x:c r="H155" s="50"/>
      <x:c r="I155" s="50"/>
      <x:c r="J155" s="52" t="n">
        <x:f>IFERROR((G155*H155)*(6-I155)/20,"")</x:f>
        <x:v>0</x:v>
      </x:c>
      <x:c r="K155" s="34"/>
      <x:c r="L155" s="34"/>
      <x:c r="M155" s="54" t="str">
        <x:f>IF(J155="","",IF(J155&gt;=3,"Использовать",IF(J155&gt;=1.8,"Проверить дополнительно","Не использовать как основание")))</x:f>
      </x:c>
      <x:c r="N155" s="34"/>
    </x:row>
    <x:row r="156" ht="34" customHeight="1">
      <x:c r="A156" s="34"/>
      <x:c r="B156" s="34"/>
      <x:c r="C156" s="34"/>
      <x:c r="D156" s="34"/>
      <x:c r="E156" s="34"/>
      <x:c r="F156" s="34"/>
      <x:c r="G156" s="50"/>
      <x:c r="H156" s="50"/>
      <x:c r="I156" s="50"/>
      <x:c r="J156" s="52" t="n">
        <x:f>IFERROR((G156*H156)*(6-I156)/20,"")</x:f>
        <x:v>0</x:v>
      </x:c>
      <x:c r="K156" s="34"/>
      <x:c r="L156" s="34"/>
      <x:c r="M156" s="54" t="str">
        <x:f>IF(J156="","",IF(J156&gt;=3,"Использовать",IF(J156&gt;=1.8,"Проверить дополнительно","Не использовать как основание")))</x:f>
      </x:c>
      <x:c r="N156" s="34"/>
    </x:row>
    <x:row r="157" ht="34" customHeight="1">
      <x:c r="A157" s="34"/>
      <x:c r="B157" s="34"/>
      <x:c r="C157" s="34"/>
      <x:c r="D157" s="34"/>
      <x:c r="E157" s="34"/>
      <x:c r="F157" s="34"/>
      <x:c r="G157" s="50"/>
      <x:c r="H157" s="50"/>
      <x:c r="I157" s="50"/>
      <x:c r="J157" s="52" t="n">
        <x:f>IFERROR((G157*H157)*(6-I157)/20,"")</x:f>
        <x:v>0</x:v>
      </x:c>
      <x:c r="K157" s="34"/>
      <x:c r="L157" s="34"/>
      <x:c r="M157" s="54" t="str">
        <x:f>IF(J157="","",IF(J157&gt;=3,"Использовать",IF(J157&gt;=1.8,"Проверить дополнительно","Не использовать как основание")))</x:f>
      </x:c>
      <x:c r="N157" s="34"/>
    </x:row>
    <x:row r="158" ht="34" customHeight="1">
      <x:c r="A158" s="34"/>
      <x:c r="B158" s="34"/>
      <x:c r="C158" s="34"/>
      <x:c r="D158" s="34"/>
      <x:c r="E158" s="34"/>
      <x:c r="F158" s="34"/>
      <x:c r="G158" s="50"/>
      <x:c r="H158" s="50"/>
      <x:c r="I158" s="50"/>
      <x:c r="J158" s="52" t="n">
        <x:f>IFERROR((G158*H158)*(6-I158)/20,"")</x:f>
        <x:v>0</x:v>
      </x:c>
      <x:c r="K158" s="34"/>
      <x:c r="L158" s="34"/>
      <x:c r="M158" s="54" t="str">
        <x:f>IF(J158="","",IF(J158&gt;=3,"Использовать",IF(J158&gt;=1.8,"Проверить дополнительно","Не использовать как основание")))</x:f>
      </x:c>
      <x:c r="N158" s="34"/>
    </x:row>
    <x:row r="159" ht="34" customHeight="1">
      <x:c r="A159" s="34"/>
      <x:c r="B159" s="34"/>
      <x:c r="C159" s="34"/>
      <x:c r="D159" s="34"/>
      <x:c r="E159" s="34"/>
      <x:c r="F159" s="34"/>
      <x:c r="G159" s="50"/>
      <x:c r="H159" s="50"/>
      <x:c r="I159" s="50"/>
      <x:c r="J159" s="52" t="n">
        <x:f>IFERROR((G159*H159)*(6-I159)/20,"")</x:f>
        <x:v>0</x:v>
      </x:c>
      <x:c r="K159" s="34"/>
      <x:c r="L159" s="34"/>
      <x:c r="M159" s="54" t="str">
        <x:f>IF(J159="","",IF(J159&gt;=3,"Использовать",IF(J159&gt;=1.8,"Проверить дополнительно","Не использовать как основание")))</x:f>
      </x:c>
      <x:c r="N159" s="34"/>
    </x:row>
    <x:row r="160" ht="34" customHeight="1">
      <x:c r="A160" s="34"/>
      <x:c r="B160" s="34"/>
      <x:c r="C160" s="34"/>
      <x:c r="D160" s="34"/>
      <x:c r="E160" s="34"/>
      <x:c r="F160" s="34"/>
      <x:c r="G160" s="50"/>
      <x:c r="H160" s="50"/>
      <x:c r="I160" s="50"/>
      <x:c r="J160" s="52" t="n">
        <x:f>IFERROR((G160*H160)*(6-I160)/20,"")</x:f>
        <x:v>0</x:v>
      </x:c>
      <x:c r="K160" s="34"/>
      <x:c r="L160" s="34"/>
      <x:c r="M160" s="54" t="str">
        <x:f>IF(J160="","",IF(J160&gt;=3,"Использовать",IF(J160&gt;=1.8,"Проверить дополнительно","Не использовать как основание")))</x:f>
      </x:c>
      <x:c r="N160" s="34"/>
    </x:row>
    <x:row r="161" ht="34" customHeight="1">
      <x:c r="A161" s="34"/>
      <x:c r="B161" s="34"/>
      <x:c r="C161" s="34"/>
      <x:c r="D161" s="34"/>
      <x:c r="E161" s="34"/>
      <x:c r="F161" s="34"/>
      <x:c r="G161" s="50"/>
      <x:c r="H161" s="50"/>
      <x:c r="I161" s="50"/>
      <x:c r="J161" s="52" t="n">
        <x:f>IFERROR((G161*H161)*(6-I161)/20,"")</x:f>
        <x:v>0</x:v>
      </x:c>
      <x:c r="K161" s="34"/>
      <x:c r="L161" s="34"/>
      <x:c r="M161" s="54" t="str">
        <x:f>IF(J161="","",IF(J161&gt;=3,"Использовать",IF(J161&gt;=1.8,"Проверить дополнительно","Не использовать как основание")))</x:f>
      </x:c>
      <x:c r="N161" s="34"/>
    </x:row>
    <x:row r="162" ht="34" customHeight="1">
      <x:c r="A162" s="34"/>
      <x:c r="B162" s="34"/>
      <x:c r="C162" s="34"/>
      <x:c r="D162" s="34"/>
      <x:c r="E162" s="34"/>
      <x:c r="F162" s="34"/>
      <x:c r="G162" s="50"/>
      <x:c r="H162" s="50"/>
      <x:c r="I162" s="50"/>
      <x:c r="J162" s="52" t="n">
        <x:f>IFERROR((G162*H162)*(6-I162)/20,"")</x:f>
        <x:v>0</x:v>
      </x:c>
      <x:c r="K162" s="34"/>
      <x:c r="L162" s="34"/>
      <x:c r="M162" s="54" t="str">
        <x:f>IF(J162="","",IF(J162&gt;=3,"Использовать",IF(J162&gt;=1.8,"Проверить дополнительно","Не использовать как основание")))</x:f>
      </x:c>
      <x:c r="N162" s="34"/>
    </x:row>
    <x:row r="163" ht="34" customHeight="1">
      <x:c r="A163" s="34"/>
      <x:c r="B163" s="34"/>
      <x:c r="C163" s="34"/>
      <x:c r="D163" s="34"/>
      <x:c r="E163" s="34"/>
      <x:c r="F163" s="34"/>
      <x:c r="G163" s="50"/>
      <x:c r="H163" s="50"/>
      <x:c r="I163" s="50"/>
      <x:c r="J163" s="52" t="n">
        <x:f>IFERROR((G163*H163)*(6-I163)/20,"")</x:f>
        <x:v>0</x:v>
      </x:c>
      <x:c r="K163" s="34"/>
      <x:c r="L163" s="34"/>
      <x:c r="M163" s="54" t="str">
        <x:f>IF(J163="","",IF(J163&gt;=3,"Использовать",IF(J163&gt;=1.8,"Проверить дополнительно","Не использовать как основание")))</x:f>
      </x:c>
      <x:c r="N163" s="34"/>
    </x:row>
    <x:row r="164" ht="34" customHeight="1">
      <x:c r="A164" s="34"/>
      <x:c r="B164" s="34"/>
      <x:c r="C164" s="34"/>
      <x:c r="D164" s="34"/>
      <x:c r="E164" s="34"/>
      <x:c r="F164" s="34"/>
      <x:c r="G164" s="50"/>
      <x:c r="H164" s="50"/>
      <x:c r="I164" s="50"/>
      <x:c r="J164" s="52" t="n">
        <x:f>IFERROR((G164*H164)*(6-I164)/20,"")</x:f>
        <x:v>0</x:v>
      </x:c>
      <x:c r="K164" s="34"/>
      <x:c r="L164" s="34"/>
      <x:c r="M164" s="54" t="str">
        <x:f>IF(J164="","",IF(J164&gt;=3,"Использовать",IF(J164&gt;=1.8,"Проверить дополнительно","Не использовать как основание")))</x:f>
      </x:c>
      <x:c r="N164" s="34"/>
    </x:row>
    <x:row r="165" ht="34" customHeight="1">
      <x:c r="A165" s="34"/>
      <x:c r="B165" s="34"/>
      <x:c r="C165" s="34"/>
      <x:c r="D165" s="34"/>
      <x:c r="E165" s="34"/>
      <x:c r="F165" s="34"/>
      <x:c r="G165" s="50"/>
      <x:c r="H165" s="50"/>
      <x:c r="I165" s="50"/>
      <x:c r="J165" s="52" t="n">
        <x:f>IFERROR((G165*H165)*(6-I165)/20,"")</x:f>
        <x:v>0</x:v>
      </x:c>
      <x:c r="K165" s="34"/>
      <x:c r="L165" s="34"/>
      <x:c r="M165" s="54" t="str">
        <x:f>IF(J165="","",IF(J165&gt;=3,"Использовать",IF(J165&gt;=1.8,"Проверить дополнительно","Не использовать как основание")))</x:f>
      </x:c>
      <x:c r="N165" s="34"/>
    </x:row>
    <x:row r="166" ht="34" customHeight="1">
      <x:c r="A166" s="34"/>
      <x:c r="B166" s="34"/>
      <x:c r="C166" s="34"/>
      <x:c r="D166" s="34"/>
      <x:c r="E166" s="34"/>
      <x:c r="F166" s="34"/>
      <x:c r="G166" s="50"/>
      <x:c r="H166" s="50"/>
      <x:c r="I166" s="50"/>
      <x:c r="J166" s="52" t="n">
        <x:f>IFERROR((G166*H166)*(6-I166)/20,"")</x:f>
        <x:v>0</x:v>
      </x:c>
      <x:c r="K166" s="34"/>
      <x:c r="L166" s="34"/>
      <x:c r="M166" s="54" t="str">
        <x:f>IF(J166="","",IF(J166&gt;=3,"Использовать",IF(J166&gt;=1.8,"Проверить дополнительно","Не использовать как основание")))</x:f>
      </x:c>
      <x:c r="N166" s="34"/>
    </x:row>
    <x:row r="167" ht="34" customHeight="1">
      <x:c r="A167" s="34"/>
      <x:c r="B167" s="34"/>
      <x:c r="C167" s="34"/>
      <x:c r="D167" s="34"/>
      <x:c r="E167" s="34"/>
      <x:c r="F167" s="34"/>
      <x:c r="G167" s="50"/>
      <x:c r="H167" s="50"/>
      <x:c r="I167" s="50"/>
      <x:c r="J167" s="52" t="n">
        <x:f>IFERROR((G167*H167)*(6-I167)/20,"")</x:f>
        <x:v>0</x:v>
      </x:c>
      <x:c r="K167" s="34"/>
      <x:c r="L167" s="34"/>
      <x:c r="M167" s="54" t="str">
        <x:f>IF(J167="","",IF(J167&gt;=3,"Использовать",IF(J167&gt;=1.8,"Проверить дополнительно","Не использовать как основание")))</x:f>
      </x:c>
      <x:c r="N167" s="34"/>
    </x:row>
    <x:row r="168" ht="34" customHeight="1">
      <x:c r="A168" s="34"/>
      <x:c r="B168" s="34"/>
      <x:c r="C168" s="34"/>
      <x:c r="D168" s="34"/>
      <x:c r="E168" s="34"/>
      <x:c r="F168" s="34"/>
      <x:c r="G168" s="50"/>
      <x:c r="H168" s="50"/>
      <x:c r="I168" s="50"/>
      <x:c r="J168" s="52" t="n">
        <x:f>IFERROR((G168*H168)*(6-I168)/20,"")</x:f>
        <x:v>0</x:v>
      </x:c>
      <x:c r="K168" s="34"/>
      <x:c r="L168" s="34"/>
      <x:c r="M168" s="54" t="str">
        <x:f>IF(J168="","",IF(J168&gt;=3,"Использовать",IF(J168&gt;=1.8,"Проверить дополнительно","Не использовать как основание")))</x:f>
      </x:c>
      <x:c r="N168" s="34"/>
    </x:row>
    <x:row r="169" ht="34" customHeight="1">
      <x:c r="A169" s="34"/>
      <x:c r="B169" s="34"/>
      <x:c r="C169" s="34"/>
      <x:c r="D169" s="34"/>
      <x:c r="E169" s="34"/>
      <x:c r="F169" s="34"/>
      <x:c r="G169" s="50"/>
      <x:c r="H169" s="50"/>
      <x:c r="I169" s="50"/>
      <x:c r="J169" s="52" t="n">
        <x:f>IFERROR((G169*H169)*(6-I169)/20,"")</x:f>
        <x:v>0</x:v>
      </x:c>
      <x:c r="K169" s="34"/>
      <x:c r="L169" s="34"/>
      <x:c r="M169" s="54" t="str">
        <x:f>IF(J169="","",IF(J169&gt;=3,"Использовать",IF(J169&gt;=1.8,"Проверить дополнительно","Не использовать как основание")))</x:f>
      </x:c>
      <x:c r="N169" s="34"/>
    </x:row>
    <x:row r="170" ht="34" customHeight="1">
      <x:c r="A170" s="34"/>
      <x:c r="B170" s="34"/>
      <x:c r="C170" s="34"/>
      <x:c r="D170" s="34"/>
      <x:c r="E170" s="34"/>
      <x:c r="F170" s="34"/>
      <x:c r="G170" s="50"/>
      <x:c r="H170" s="50"/>
      <x:c r="I170" s="50"/>
      <x:c r="J170" s="52" t="n">
        <x:f>IFERROR((G170*H170)*(6-I170)/20,"")</x:f>
        <x:v>0</x:v>
      </x:c>
      <x:c r="K170" s="34"/>
      <x:c r="L170" s="34"/>
      <x:c r="M170" s="54" t="str">
        <x:f>IF(J170="","",IF(J170&gt;=3,"Использовать",IF(J170&gt;=1.8,"Проверить дополнительно","Не использовать как основание")))</x:f>
      </x:c>
      <x:c r="N170" s="34"/>
    </x:row>
    <x:row r="171" ht="34" customHeight="1">
      <x:c r="A171" s="34"/>
      <x:c r="B171" s="34"/>
      <x:c r="C171" s="34"/>
      <x:c r="D171" s="34"/>
      <x:c r="E171" s="34"/>
      <x:c r="F171" s="34"/>
      <x:c r="G171" s="50"/>
      <x:c r="H171" s="50"/>
      <x:c r="I171" s="50"/>
      <x:c r="J171" s="52" t="n">
        <x:f>IFERROR((G171*H171)*(6-I171)/20,"")</x:f>
        <x:v>0</x:v>
      </x:c>
      <x:c r="K171" s="34"/>
      <x:c r="L171" s="34"/>
      <x:c r="M171" s="54" t="str">
        <x:f>IF(J171="","",IF(J171&gt;=3,"Использовать",IF(J171&gt;=1.8,"Проверить дополнительно","Не использовать как основание")))</x:f>
      </x:c>
      <x:c r="N171" s="34"/>
    </x:row>
    <x:row r="172" ht="34" customHeight="1">
      <x:c r="A172" s="34"/>
      <x:c r="B172" s="34"/>
      <x:c r="C172" s="34"/>
      <x:c r="D172" s="34"/>
      <x:c r="E172" s="34"/>
      <x:c r="F172" s="34"/>
      <x:c r="G172" s="50"/>
      <x:c r="H172" s="50"/>
      <x:c r="I172" s="50"/>
      <x:c r="J172" s="52" t="n">
        <x:f>IFERROR((G172*H172)*(6-I172)/20,"")</x:f>
        <x:v>0</x:v>
      </x:c>
      <x:c r="K172" s="34"/>
      <x:c r="L172" s="34"/>
      <x:c r="M172" s="54" t="str">
        <x:f>IF(J172="","",IF(J172&gt;=3,"Использовать",IF(J172&gt;=1.8,"Проверить дополнительно","Не использовать как основание")))</x:f>
      </x:c>
      <x:c r="N172" s="34"/>
    </x:row>
    <x:row r="173" ht="34" customHeight="1">
      <x:c r="A173" s="34"/>
      <x:c r="B173" s="34"/>
      <x:c r="C173" s="34"/>
      <x:c r="D173" s="34"/>
      <x:c r="E173" s="34"/>
      <x:c r="F173" s="34"/>
      <x:c r="G173" s="50"/>
      <x:c r="H173" s="50"/>
      <x:c r="I173" s="50"/>
      <x:c r="J173" s="52" t="n">
        <x:f>IFERROR((G173*H173)*(6-I173)/20,"")</x:f>
        <x:v>0</x:v>
      </x:c>
      <x:c r="K173" s="34"/>
      <x:c r="L173" s="34"/>
      <x:c r="M173" s="54" t="str">
        <x:f>IF(J173="","",IF(J173&gt;=3,"Использовать",IF(J173&gt;=1.8,"Проверить дополнительно","Не использовать как основание")))</x:f>
      </x:c>
      <x:c r="N173" s="34"/>
    </x:row>
    <x:row r="174" ht="34" customHeight="1">
      <x:c r="A174" s="34"/>
      <x:c r="B174" s="34"/>
      <x:c r="C174" s="34"/>
      <x:c r="D174" s="34"/>
      <x:c r="E174" s="34"/>
      <x:c r="F174" s="34"/>
      <x:c r="G174" s="50"/>
      <x:c r="H174" s="50"/>
      <x:c r="I174" s="50"/>
      <x:c r="J174" s="52" t="n">
        <x:f>IFERROR((G174*H174)*(6-I174)/20,"")</x:f>
        <x:v>0</x:v>
      </x:c>
      <x:c r="K174" s="34"/>
      <x:c r="L174" s="34"/>
      <x:c r="M174" s="54" t="str">
        <x:f>IF(J174="","",IF(J174&gt;=3,"Использовать",IF(J174&gt;=1.8,"Проверить дополнительно","Не использовать как основание")))</x:f>
      </x:c>
      <x:c r="N174" s="34"/>
    </x:row>
    <x:row r="175" ht="34" customHeight="1">
      <x:c r="A175" s="34"/>
      <x:c r="B175" s="34"/>
      <x:c r="C175" s="34"/>
      <x:c r="D175" s="34"/>
      <x:c r="E175" s="34"/>
      <x:c r="F175" s="34"/>
      <x:c r="G175" s="50"/>
      <x:c r="H175" s="50"/>
      <x:c r="I175" s="50"/>
      <x:c r="J175" s="52" t="n">
        <x:f>IFERROR((G175*H175)*(6-I175)/20,"")</x:f>
        <x:v>0</x:v>
      </x:c>
      <x:c r="K175" s="34"/>
      <x:c r="L175" s="34"/>
      <x:c r="M175" s="54" t="str">
        <x:f>IF(J175="","",IF(J175&gt;=3,"Использовать",IF(J175&gt;=1.8,"Проверить дополнительно","Не использовать как основание")))</x:f>
      </x:c>
      <x:c r="N175" s="34"/>
    </x:row>
    <x:row r="176" ht="34" customHeight="1">
      <x:c r="A176" s="34"/>
      <x:c r="B176" s="34"/>
      <x:c r="C176" s="34"/>
      <x:c r="D176" s="34"/>
      <x:c r="E176" s="34"/>
      <x:c r="F176" s="34"/>
      <x:c r="G176" s="50"/>
      <x:c r="H176" s="50"/>
      <x:c r="I176" s="50"/>
      <x:c r="J176" s="52" t="n">
        <x:f>IFERROR((G176*H176)*(6-I176)/20,"")</x:f>
        <x:v>0</x:v>
      </x:c>
      <x:c r="K176" s="34"/>
      <x:c r="L176" s="34"/>
      <x:c r="M176" s="54" t="str">
        <x:f>IF(J176="","",IF(J176&gt;=3,"Использовать",IF(J176&gt;=1.8,"Проверить дополнительно","Не использовать как основание")))</x:f>
      </x:c>
      <x:c r="N176" s="34"/>
    </x:row>
    <x:row r="177" ht="34" customHeight="1">
      <x:c r="A177" s="34"/>
      <x:c r="B177" s="34"/>
      <x:c r="C177" s="34"/>
      <x:c r="D177" s="34"/>
      <x:c r="E177" s="34"/>
      <x:c r="F177" s="34"/>
      <x:c r="G177" s="50"/>
      <x:c r="H177" s="50"/>
      <x:c r="I177" s="50"/>
      <x:c r="J177" s="52" t="n">
        <x:f>IFERROR((G177*H177)*(6-I177)/20,"")</x:f>
        <x:v>0</x:v>
      </x:c>
      <x:c r="K177" s="34"/>
      <x:c r="L177" s="34"/>
      <x:c r="M177" s="54" t="str">
        <x:f>IF(J177="","",IF(J177&gt;=3,"Использовать",IF(J177&gt;=1.8,"Проверить дополнительно","Не использовать как основание")))</x:f>
      </x:c>
      <x:c r="N177" s="34"/>
    </x:row>
    <x:row r="178" ht="34" customHeight="1">
      <x:c r="A178" s="34"/>
      <x:c r="B178" s="34"/>
      <x:c r="C178" s="34"/>
      <x:c r="D178" s="34"/>
      <x:c r="E178" s="34"/>
      <x:c r="F178" s="34"/>
      <x:c r="G178" s="50"/>
      <x:c r="H178" s="50"/>
      <x:c r="I178" s="50"/>
      <x:c r="J178" s="52" t="n">
        <x:f>IFERROR((G178*H178)*(6-I178)/20,"")</x:f>
        <x:v>0</x:v>
      </x:c>
      <x:c r="K178" s="34"/>
      <x:c r="L178" s="34"/>
      <x:c r="M178" s="54" t="str">
        <x:f>IF(J178="","",IF(J178&gt;=3,"Использовать",IF(J178&gt;=1.8,"Проверить дополнительно","Не использовать как основание")))</x:f>
      </x:c>
      <x:c r="N178" s="34"/>
    </x:row>
    <x:row r="179" ht="34" customHeight="1">
      <x:c r="A179" s="34"/>
      <x:c r="B179" s="34"/>
      <x:c r="C179" s="34"/>
      <x:c r="D179" s="34"/>
      <x:c r="E179" s="34"/>
      <x:c r="F179" s="34"/>
      <x:c r="G179" s="50"/>
      <x:c r="H179" s="50"/>
      <x:c r="I179" s="50"/>
      <x:c r="J179" s="52" t="n">
        <x:f>IFERROR((G179*H179)*(6-I179)/20,"")</x:f>
        <x:v>0</x:v>
      </x:c>
      <x:c r="K179" s="34"/>
      <x:c r="L179" s="34"/>
      <x:c r="M179" s="54" t="str">
        <x:f>IF(J179="","",IF(J179&gt;=3,"Использовать",IF(J179&gt;=1.8,"Проверить дополнительно","Не использовать как основание")))</x:f>
      </x:c>
      <x:c r="N179" s="34"/>
    </x:row>
    <x:row r="180" ht="34" customHeight="1">
      <x:c r="A180" s="34"/>
      <x:c r="B180" s="34"/>
      <x:c r="C180" s="34"/>
      <x:c r="D180" s="34"/>
      <x:c r="E180" s="34"/>
      <x:c r="F180" s="34"/>
      <x:c r="G180" s="50"/>
      <x:c r="H180" s="50"/>
      <x:c r="I180" s="50"/>
      <x:c r="J180" s="52" t="n">
        <x:f>IFERROR((G180*H180)*(6-I180)/20,"")</x:f>
        <x:v>0</x:v>
      </x:c>
      <x:c r="K180" s="34"/>
      <x:c r="L180" s="34"/>
      <x:c r="M180" s="54" t="str">
        <x:f>IF(J180="","",IF(J180&gt;=3,"Использовать",IF(J180&gt;=1.8,"Проверить дополнительно","Не использовать как основание")))</x:f>
      </x:c>
      <x:c r="N180" s="34"/>
    </x:row>
    <x:row r="181" ht="34" customHeight="1">
      <x:c r="A181" s="34"/>
      <x:c r="B181" s="34"/>
      <x:c r="C181" s="34"/>
      <x:c r="D181" s="34"/>
      <x:c r="E181" s="34"/>
      <x:c r="F181" s="34"/>
      <x:c r="G181" s="50"/>
      <x:c r="H181" s="50"/>
      <x:c r="I181" s="50"/>
      <x:c r="J181" s="52" t="n">
        <x:f>IFERROR((G181*H181)*(6-I181)/20,"")</x:f>
        <x:v>0</x:v>
      </x:c>
      <x:c r="K181" s="34"/>
      <x:c r="L181" s="34"/>
      <x:c r="M181" s="54" t="str">
        <x:f>IF(J181="","",IF(J181&gt;=3,"Использовать",IF(J181&gt;=1.8,"Проверить дополнительно","Не использовать как основание")))</x:f>
      </x:c>
      <x:c r="N181" s="34"/>
    </x:row>
    <x:row r="182" ht="34" customHeight="1">
      <x:c r="A182" s="34"/>
      <x:c r="B182" s="34"/>
      <x:c r="C182" s="34"/>
      <x:c r="D182" s="34"/>
      <x:c r="E182" s="34"/>
      <x:c r="F182" s="34"/>
      <x:c r="G182" s="50"/>
      <x:c r="H182" s="50"/>
      <x:c r="I182" s="50"/>
      <x:c r="J182" s="52" t="n">
        <x:f>IFERROR((G182*H182)*(6-I182)/20,"")</x:f>
        <x:v>0</x:v>
      </x:c>
      <x:c r="K182" s="34"/>
      <x:c r="L182" s="34"/>
      <x:c r="M182" s="54" t="str">
        <x:f>IF(J182="","",IF(J182&gt;=3,"Использовать",IF(J182&gt;=1.8,"Проверить дополнительно","Не использовать как основание")))</x:f>
      </x:c>
      <x:c r="N182" s="34"/>
    </x:row>
    <x:row r="183" ht="34" customHeight="1">
      <x:c r="A183" s="34"/>
      <x:c r="B183" s="34"/>
      <x:c r="C183" s="34"/>
      <x:c r="D183" s="34"/>
      <x:c r="E183" s="34"/>
      <x:c r="F183" s="34"/>
      <x:c r="G183" s="50"/>
      <x:c r="H183" s="50"/>
      <x:c r="I183" s="50"/>
      <x:c r="J183" s="52" t="n">
        <x:f>IFERROR((G183*H183)*(6-I183)/20,"")</x:f>
        <x:v>0</x:v>
      </x:c>
      <x:c r="K183" s="34"/>
      <x:c r="L183" s="34"/>
      <x:c r="M183" s="54" t="str">
        <x:f>IF(J183="","",IF(J183&gt;=3,"Использовать",IF(J183&gt;=1.8,"Проверить дополнительно","Не использовать как основание")))</x:f>
      </x:c>
      <x:c r="N183" s="34"/>
    </x:row>
    <x:row r="184" ht="34" customHeight="1">
      <x:c r="A184" s="34"/>
      <x:c r="B184" s="34"/>
      <x:c r="C184" s="34"/>
      <x:c r="D184" s="34"/>
      <x:c r="E184" s="34"/>
      <x:c r="F184" s="34"/>
      <x:c r="G184" s="50"/>
      <x:c r="H184" s="50"/>
      <x:c r="I184" s="50"/>
      <x:c r="J184" s="52" t="n">
        <x:f>IFERROR((G184*H184)*(6-I184)/20,"")</x:f>
        <x:v>0</x:v>
      </x:c>
      <x:c r="K184" s="34"/>
      <x:c r="L184" s="34"/>
      <x:c r="M184" s="54" t="str">
        <x:f>IF(J184="","",IF(J184&gt;=3,"Использовать",IF(J184&gt;=1.8,"Проверить дополнительно","Не использовать как основание")))</x:f>
      </x:c>
      <x:c r="N184" s="34"/>
    </x:row>
    <x:row r="185" ht="34" customHeight="1">
      <x:c r="A185" s="34"/>
      <x:c r="B185" s="34"/>
      <x:c r="C185" s="34"/>
      <x:c r="D185" s="34"/>
      <x:c r="E185" s="34"/>
      <x:c r="F185" s="34"/>
      <x:c r="G185" s="50"/>
      <x:c r="H185" s="50"/>
      <x:c r="I185" s="50"/>
      <x:c r="J185" s="52" t="n">
        <x:f>IFERROR((G185*H185)*(6-I185)/20,"")</x:f>
        <x:v>0</x:v>
      </x:c>
      <x:c r="K185" s="34"/>
      <x:c r="L185" s="34"/>
      <x:c r="M185" s="54" t="str">
        <x:f>IF(J185="","",IF(J185&gt;=3,"Использовать",IF(J185&gt;=1.8,"Проверить дополнительно","Не использовать как основание")))</x:f>
      </x:c>
      <x:c r="N185" s="34"/>
    </x:row>
    <x:row r="186" ht="34" customHeight="1">
      <x:c r="A186" s="34"/>
      <x:c r="B186" s="34"/>
      <x:c r="C186" s="34"/>
      <x:c r="D186" s="34"/>
      <x:c r="E186" s="34"/>
      <x:c r="F186" s="34"/>
      <x:c r="G186" s="50"/>
      <x:c r="H186" s="50"/>
      <x:c r="I186" s="50"/>
      <x:c r="J186" s="52" t="n">
        <x:f>IFERROR((G186*H186)*(6-I186)/20,"")</x:f>
        <x:v>0</x:v>
      </x:c>
      <x:c r="K186" s="34"/>
      <x:c r="L186" s="34"/>
      <x:c r="M186" s="54" t="str">
        <x:f>IF(J186="","",IF(J186&gt;=3,"Использовать",IF(J186&gt;=1.8,"Проверить дополнительно","Не использовать как основание")))</x:f>
      </x:c>
      <x:c r="N186" s="34"/>
    </x:row>
    <x:row r="187" ht="34" customHeight="1">
      <x:c r="A187" s="34"/>
      <x:c r="B187" s="34"/>
      <x:c r="C187" s="34"/>
      <x:c r="D187" s="34"/>
      <x:c r="E187" s="34"/>
      <x:c r="F187" s="34"/>
      <x:c r="G187" s="50"/>
      <x:c r="H187" s="50"/>
      <x:c r="I187" s="50"/>
      <x:c r="J187" s="52" t="n">
        <x:f>IFERROR((G187*H187)*(6-I187)/20,"")</x:f>
        <x:v>0</x:v>
      </x:c>
      <x:c r="K187" s="34"/>
      <x:c r="L187" s="34"/>
      <x:c r="M187" s="54" t="str">
        <x:f>IF(J187="","",IF(J187&gt;=3,"Использовать",IF(J187&gt;=1.8,"Проверить дополнительно","Не использовать как основание")))</x:f>
      </x:c>
      <x:c r="N187" s="34"/>
    </x:row>
    <x:row r="188" ht="34" customHeight="1">
      <x:c r="A188" s="34"/>
      <x:c r="B188" s="34"/>
      <x:c r="C188" s="34"/>
      <x:c r="D188" s="34"/>
      <x:c r="E188" s="34"/>
      <x:c r="F188" s="34"/>
      <x:c r="G188" s="50"/>
      <x:c r="H188" s="50"/>
      <x:c r="I188" s="50"/>
      <x:c r="J188" s="52" t="n">
        <x:f>IFERROR((G188*H188)*(6-I188)/20,"")</x:f>
        <x:v>0</x:v>
      </x:c>
      <x:c r="K188" s="34"/>
      <x:c r="L188" s="34"/>
      <x:c r="M188" s="54" t="str">
        <x:f>IF(J188="","",IF(J188&gt;=3,"Использовать",IF(J188&gt;=1.8,"Проверить дополнительно","Не использовать как основание")))</x:f>
      </x:c>
      <x:c r="N188" s="34"/>
    </x:row>
    <x:row r="189" ht="34" customHeight="1">
      <x:c r="A189" s="34"/>
      <x:c r="B189" s="34"/>
      <x:c r="C189" s="34"/>
      <x:c r="D189" s="34"/>
      <x:c r="E189" s="34"/>
      <x:c r="F189" s="34"/>
      <x:c r="G189" s="50"/>
      <x:c r="H189" s="50"/>
      <x:c r="I189" s="50"/>
      <x:c r="J189" s="52" t="n">
        <x:f>IFERROR((G189*H189)*(6-I189)/20,"")</x:f>
        <x:v>0</x:v>
      </x:c>
      <x:c r="K189" s="34"/>
      <x:c r="L189" s="34"/>
      <x:c r="M189" s="54" t="str">
        <x:f>IF(J189="","",IF(J189&gt;=3,"Использовать",IF(J189&gt;=1.8,"Проверить дополнительно","Не использовать как основание")))</x:f>
      </x:c>
      <x:c r="N189" s="34"/>
    </x:row>
    <x:row r="190" ht="34" customHeight="1">
      <x:c r="A190" s="34"/>
      <x:c r="B190" s="34"/>
      <x:c r="C190" s="34"/>
      <x:c r="D190" s="34"/>
      <x:c r="E190" s="34"/>
      <x:c r="F190" s="34"/>
      <x:c r="G190" s="50"/>
      <x:c r="H190" s="50"/>
      <x:c r="I190" s="50"/>
      <x:c r="J190" s="52" t="n">
        <x:f>IFERROR((G190*H190)*(6-I190)/20,"")</x:f>
        <x:v>0</x:v>
      </x:c>
      <x:c r="K190" s="34"/>
      <x:c r="L190" s="34"/>
      <x:c r="M190" s="54" t="str">
        <x:f>IF(J190="","",IF(J190&gt;=3,"Использовать",IF(J190&gt;=1.8,"Проверить дополнительно","Не использовать как основание")))</x:f>
      </x:c>
      <x:c r="N190" s="34"/>
    </x:row>
    <x:row r="191" ht="34" customHeight="1">
      <x:c r="A191" s="34"/>
      <x:c r="B191" s="34"/>
      <x:c r="C191" s="34"/>
      <x:c r="D191" s="34"/>
      <x:c r="E191" s="34"/>
      <x:c r="F191" s="34"/>
      <x:c r="G191" s="50"/>
      <x:c r="H191" s="50"/>
      <x:c r="I191" s="50"/>
      <x:c r="J191" s="52" t="n">
        <x:f>IFERROR((G191*H191)*(6-I191)/20,"")</x:f>
        <x:v>0</x:v>
      </x:c>
      <x:c r="K191" s="34"/>
      <x:c r="L191" s="34"/>
      <x:c r="M191" s="54" t="str">
        <x:f>IF(J191="","",IF(J191&gt;=3,"Использовать",IF(J191&gt;=1.8,"Проверить дополнительно","Не использовать как основание")))</x:f>
      </x:c>
      <x:c r="N191" s="34"/>
    </x:row>
    <x:row r="192" ht="34" customHeight="1">
      <x:c r="A192" s="34"/>
      <x:c r="B192" s="34"/>
      <x:c r="C192" s="34"/>
      <x:c r="D192" s="34"/>
      <x:c r="E192" s="34"/>
      <x:c r="F192" s="34"/>
      <x:c r="G192" s="50"/>
      <x:c r="H192" s="50"/>
      <x:c r="I192" s="50"/>
      <x:c r="J192" s="52" t="n">
        <x:f>IFERROR((G192*H192)*(6-I192)/20,"")</x:f>
        <x:v>0</x:v>
      </x:c>
      <x:c r="K192" s="34"/>
      <x:c r="L192" s="34"/>
      <x:c r="M192" s="54" t="str">
        <x:f>IF(J192="","",IF(J192&gt;=3,"Использовать",IF(J192&gt;=1.8,"Проверить дополнительно","Не использовать как основание")))</x:f>
      </x:c>
      <x:c r="N192" s="34"/>
    </x:row>
    <x:row r="193" ht="34" customHeight="1">
      <x:c r="A193" s="34"/>
      <x:c r="B193" s="34"/>
      <x:c r="C193" s="34"/>
      <x:c r="D193" s="34"/>
      <x:c r="E193" s="34"/>
      <x:c r="F193" s="34"/>
      <x:c r="G193" s="50"/>
      <x:c r="H193" s="50"/>
      <x:c r="I193" s="50"/>
      <x:c r="J193" s="52" t="n">
        <x:f>IFERROR((G193*H193)*(6-I193)/20,"")</x:f>
        <x:v>0</x:v>
      </x:c>
      <x:c r="K193" s="34"/>
      <x:c r="L193" s="34"/>
      <x:c r="M193" s="54" t="str">
        <x:f>IF(J193="","",IF(J193&gt;=3,"Использовать",IF(J193&gt;=1.8,"Проверить дополнительно","Не использовать как основание")))</x:f>
      </x:c>
      <x:c r="N193" s="34"/>
    </x:row>
    <x:row r="194" ht="34" customHeight="1">
      <x:c r="A194" s="34"/>
      <x:c r="B194" s="34"/>
      <x:c r="C194" s="34"/>
      <x:c r="D194" s="34"/>
      <x:c r="E194" s="34"/>
      <x:c r="F194" s="34"/>
      <x:c r="G194" s="50"/>
      <x:c r="H194" s="50"/>
      <x:c r="I194" s="50"/>
      <x:c r="J194" s="52" t="n">
        <x:f>IFERROR((G194*H194)*(6-I194)/20,"")</x:f>
        <x:v>0</x:v>
      </x:c>
      <x:c r="K194" s="34"/>
      <x:c r="L194" s="34"/>
      <x:c r="M194" s="54" t="str">
        <x:f>IF(J194="","",IF(J194&gt;=3,"Использовать",IF(J194&gt;=1.8,"Проверить дополнительно","Не использовать как основание")))</x:f>
      </x:c>
      <x:c r="N194" s="34"/>
    </x:row>
    <x:row r="195" ht="34" customHeight="1">
      <x:c r="A195" s="34"/>
      <x:c r="B195" s="34"/>
      <x:c r="C195" s="34"/>
      <x:c r="D195" s="34"/>
      <x:c r="E195" s="34"/>
      <x:c r="F195" s="34"/>
      <x:c r="G195" s="50"/>
      <x:c r="H195" s="50"/>
      <x:c r="I195" s="50"/>
      <x:c r="J195" s="52" t="n">
        <x:f>IFERROR((G195*H195)*(6-I195)/20,"")</x:f>
        <x:v>0</x:v>
      </x:c>
      <x:c r="K195" s="34"/>
      <x:c r="L195" s="34"/>
      <x:c r="M195" s="54" t="str">
        <x:f>IF(J195="","",IF(J195&gt;=3,"Использовать",IF(J195&gt;=1.8,"Проверить дополнительно","Не использовать как основание")))</x:f>
      </x:c>
      <x:c r="N195" s="34"/>
    </x:row>
    <x:row r="196" ht="34" customHeight="1">
      <x:c r="A196" s="34"/>
      <x:c r="B196" s="34"/>
      <x:c r="C196" s="34"/>
      <x:c r="D196" s="34"/>
      <x:c r="E196" s="34"/>
      <x:c r="F196" s="34"/>
      <x:c r="G196" s="50"/>
      <x:c r="H196" s="50"/>
      <x:c r="I196" s="50"/>
      <x:c r="J196" s="52" t="n">
        <x:f>IFERROR((G196*H196)*(6-I196)/20,"")</x:f>
        <x:v>0</x:v>
      </x:c>
      <x:c r="K196" s="34"/>
      <x:c r="L196" s="34"/>
      <x:c r="M196" s="54" t="str">
        <x:f>IF(J196="","",IF(J196&gt;=3,"Использовать",IF(J196&gt;=1.8,"Проверить дополнительно","Не использовать как основание")))</x:f>
      </x:c>
      <x:c r="N196" s="34"/>
    </x:row>
    <x:row r="197" ht="34" customHeight="1">
      <x:c r="A197" s="34"/>
      <x:c r="B197" s="34"/>
      <x:c r="C197" s="34"/>
      <x:c r="D197" s="34"/>
      <x:c r="E197" s="34"/>
      <x:c r="F197" s="34"/>
      <x:c r="G197" s="50"/>
      <x:c r="H197" s="50"/>
      <x:c r="I197" s="50"/>
      <x:c r="J197" s="52" t="n">
        <x:f>IFERROR((G197*H197)*(6-I197)/20,"")</x:f>
        <x:v>0</x:v>
      </x:c>
      <x:c r="K197" s="34"/>
      <x:c r="L197" s="34"/>
      <x:c r="M197" s="54" t="str">
        <x:f>IF(J197="","",IF(J197&gt;=3,"Использовать",IF(J197&gt;=1.8,"Проверить дополнительно","Не использовать как основание")))</x:f>
      </x:c>
      <x:c r="N197" s="34"/>
    </x:row>
    <x:row r="198" ht="34" customHeight="1">
      <x:c r="A198" s="34"/>
      <x:c r="B198" s="34"/>
      <x:c r="C198" s="34"/>
      <x:c r="D198" s="34"/>
      <x:c r="E198" s="34"/>
      <x:c r="F198" s="34"/>
      <x:c r="G198" s="50"/>
      <x:c r="H198" s="50"/>
      <x:c r="I198" s="50"/>
      <x:c r="J198" s="52" t="n">
        <x:f>IFERROR((G198*H198)*(6-I198)/20,"")</x:f>
        <x:v>0</x:v>
      </x:c>
      <x:c r="K198" s="34"/>
      <x:c r="L198" s="34"/>
      <x:c r="M198" s="54" t="str">
        <x:f>IF(J198="","",IF(J198&gt;=3,"Использовать",IF(J198&gt;=1.8,"Проверить дополнительно","Не использовать как основание")))</x:f>
      </x:c>
      <x:c r="N198" s="34"/>
    </x:row>
    <x:row r="199" ht="34" customHeight="1">
      <x:c r="A199" s="34"/>
      <x:c r="B199" s="34"/>
      <x:c r="C199" s="34"/>
      <x:c r="D199" s="34"/>
      <x:c r="E199" s="34"/>
      <x:c r="F199" s="34"/>
      <x:c r="G199" s="50"/>
      <x:c r="H199" s="50"/>
      <x:c r="I199" s="50"/>
      <x:c r="J199" s="52" t="n">
        <x:f>IFERROR((G199*H199)*(6-I199)/20,"")</x:f>
        <x:v>0</x:v>
      </x:c>
      <x:c r="K199" s="34"/>
      <x:c r="L199" s="34"/>
      <x:c r="M199" s="54" t="str">
        <x:f>IF(J199="","",IF(J199&gt;=3,"Использовать",IF(J199&gt;=1.8,"Проверить дополнительно","Не использовать как основание")))</x:f>
      </x:c>
      <x:c r="N199" s="34"/>
    </x:row>
    <x:row r="200" ht="34" customHeight="1">
      <x:c r="A200" s="34"/>
      <x:c r="B200" s="34"/>
      <x:c r="C200" s="34"/>
      <x:c r="D200" s="34"/>
      <x:c r="E200" s="34"/>
      <x:c r="F200" s="34"/>
      <x:c r="G200" s="50"/>
      <x:c r="H200" s="50"/>
      <x:c r="I200" s="50"/>
      <x:c r="J200" s="52" t="n">
        <x:f>IFERROR((G200*H200)*(6-I200)/20,"")</x:f>
        <x:v>0</x:v>
      </x:c>
      <x:c r="K200" s="34"/>
      <x:c r="L200" s="34"/>
      <x:c r="M200" s="54" t="str">
        <x:f>IF(J200="","",IF(J200&gt;=3,"Использовать",IF(J200&gt;=1.8,"Проверить дополнительно","Не использовать как основание")))</x:f>
      </x:c>
      <x:c r="N200" s="34"/>
    </x:row>
    <x:row r="201" ht="34" customHeight="1">
      <x:c r="A201" s="34"/>
      <x:c r="B201" s="34"/>
      <x:c r="C201" s="34"/>
      <x:c r="D201" s="34"/>
      <x:c r="E201" s="34"/>
      <x:c r="F201" s="34"/>
      <x:c r="G201" s="50"/>
      <x:c r="H201" s="50"/>
      <x:c r="I201" s="50"/>
      <x:c r="J201" s="52" t="n">
        <x:f>IFERROR((G201*H201)*(6-I201)/20,"")</x:f>
        <x:v>0</x:v>
      </x:c>
      <x:c r="K201" s="34"/>
      <x:c r="L201" s="34"/>
      <x:c r="M201" s="54" t="str">
        <x:f>IF(J201="","",IF(J201&gt;=3,"Использовать",IF(J201&gt;=1.8,"Проверить дополнительно","Не использовать как основание")))</x:f>
      </x:c>
      <x:c r="N201" s="34"/>
    </x:row>
    <x:row r="202" ht="34" customHeight="1">
      <x:c r="A202" s="34"/>
      <x:c r="B202" s="34"/>
      <x:c r="C202" s="34"/>
      <x:c r="D202" s="34"/>
      <x:c r="E202" s="34"/>
      <x:c r="F202" s="34"/>
      <x:c r="G202" s="50"/>
      <x:c r="H202" s="50"/>
      <x:c r="I202" s="50"/>
      <x:c r="J202" s="52" t="n">
        <x:f>IFERROR((G202*H202)*(6-I202)/20,"")</x:f>
        <x:v>0</x:v>
      </x:c>
      <x:c r="K202" s="34"/>
      <x:c r="L202" s="34"/>
      <x:c r="M202" s="54" t="str">
        <x:f>IF(J202="","",IF(J202&gt;=3,"Использовать",IF(J202&gt;=1.8,"Проверить дополнительно","Не использовать как основание")))</x:f>
      </x:c>
      <x:c r="N202" s="34"/>
    </x:row>
    <x:row r="203" ht="34" customHeight="1">
      <x:c r="A203" s="34"/>
      <x:c r="B203" s="34"/>
      <x:c r="C203" s="34"/>
      <x:c r="D203" s="34"/>
      <x:c r="E203" s="34"/>
      <x:c r="F203" s="34"/>
      <x:c r="G203" s="50"/>
      <x:c r="H203" s="50"/>
      <x:c r="I203" s="50"/>
      <x:c r="J203" s="52" t="n">
        <x:f>IFERROR((G203*H203)*(6-I203)/20,"")</x:f>
        <x:v>0</x:v>
      </x:c>
      <x:c r="K203" s="34"/>
      <x:c r="L203" s="34"/>
      <x:c r="M203" s="54" t="str">
        <x:f>IF(J203="","",IF(J203&gt;=3,"Использовать",IF(J203&gt;=1.8,"Проверить дополнительно","Не использовать как основание")))</x:f>
      </x:c>
      <x:c r="N203" s="34"/>
    </x:row>
  </x:sheetData>
  <x:mergeCells>
    <x:mergeCell ref="A1:N1"/>
  </x:mergeCells>
  <x:conditionalFormatting sqref="J4:J203">
    <x:cfRule type="colorScale" priority="1">
      <x:colorScale>
        <x:cfvo type="min"/>
        <x:cfvo type="percentile" val="50"/>
        <x:cfvo type="max"/>
        <x:color rgb="FCE4D6"/>
        <x:color rgb="FFF2CC"/>
        <x:color rgb="E2F0D9"/>
      </x:colorScale>
    </x:cfRule>
  </x:conditionalFormatting>
  <x:dataValidations count="4">
    <x:dataValidation type="list" sqref="B4:B203">
      <x:formula1>Справочники!$A$4:$A$13</x:formula1>
    </x:dataValidation>
    <x:dataValidation type="list" sqref="K4:K203">
      <x:formula1>Справочники!$D$4:$D$12</x:formula1>
    </x:dataValidation>
    <x:dataValidation type="list" sqref="G4:G203">
      <x:formula1>"1,2,3,4"</x:formula1>
    </x:dataValidation>
    <x:dataValidation type="list" sqref="H4:I203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7b8b61a6e4438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38" hidden="0" customWidth="1"/>
    <x:col min="5" max="5" width="24" hidden="0" customWidth="1"/>
    <x:col min="6" max="6" width="34" hidden="0" customWidth="1"/>
    <x:col min="7" max="7" width="36" hidden="0" customWidth="1"/>
    <x:col min="8" max="8" width="34" hidden="0" customWidth="1"/>
    <x:col min="9" max="9" width="20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0" hidden="0" customWidth="1"/>
    <x:col min="15" max="15" width="34" hidden="0" customWidth="1"/>
  </x:cols>
  <x:sheetData>
    <x:row r="1" ht="30" customHeight="1">
      <x:c r="A1" s="58" t="str">
        <x:v>Формулирование бизнес-логики цифрового товара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3" ht="34" customHeight="1">
      <x:c r="A3" s="40" t="str">
        <x:v>ID элемента</x:v>
      </x:c>
      <x:c r="B3" s="40" t="str">
        <x:v>Элемент бизнес-логики</x:v>
      </x:c>
      <x:c r="C3" s="40" t="str">
        <x:v>Тип бизнес-логики</x:v>
      </x:c>
      <x:c r="D3" s="40" t="str">
        <x:v>Какая ценность создается</x:v>
      </x:c>
      <x:c r="E3" s="40" t="str">
        <x:v>Для кого</x:v>
      </x:c>
      <x:c r="F3" s="40" t="str">
        <x:v>Цифровой товар / функция</x:v>
      </x:c>
      <x:c r="G3" s="40" t="str">
        <x:v>Процесс или механизм</x:v>
      </x:c>
      <x:c r="H3" s="40" t="str">
        <x:v>Источник выручки / единица монетизации</x:v>
      </x:c>
      <x:c r="I3" s="40" t="str">
        <x:v>Связанный вывод анализа</x:v>
      </x:c>
      <x:c r="J3" s="40" t="str">
        <x:v>Доказательность (1-4)</x:v>
      </x:c>
      <x:c r="K3" s="40" t="str">
        <x:v>Влияние на модель (1-5)</x:v>
      </x:c>
      <x:c r="L3" s="40" t="str">
        <x:v>Проверка связности</x:v>
      </x:c>
      <x:c r="M3" s="40" t="str">
        <x:v>Индекс надежности</x:v>
      </x:c>
      <x:c r="N3" s="40" t="str">
        <x:v>Статус</x:v>
      </x:c>
      <x:c r="O3" s="40" t="str">
        <x:v>Нужное уточнение</x:v>
      </x:c>
    </x:row>
    <x:row r="4" ht="34" customHeight="1">
      <x:c r="A4" s="34" t="str">
        <x:v>BL-001</x:v>
      </x:c>
      <x:c r="B4" s="34" t="str">
        <x:v>Снижение барьера первого использования</x:v>
      </x:c>
      <x:c r="C4" s="34" t="str">
        <x:v>Клиентская</x:v>
      </x:c>
      <x:c r="D4" s="34" t="str">
        <x:v>Пользователь быстрее понимает, как получить первый результат</x:v>
      </x:c>
      <x:c r="E4" s="34" t="str">
        <x:v>Новый пользователь</x:v>
      </x:c>
      <x:c r="F4" s="34" t="str">
        <x:v>Демо-доступ, пошаговая настройка</x:v>
      </x:c>
      <x:c r="G4" s="34" t="str">
        <x:v>Проводник первичной настройки</x:v>
      </x:c>
      <x:c r="H4" s="34" t="str">
        <x:v>Конверсия в платный доступ</x:v>
      </x:c>
      <x:c r="I4" s="34" t="str">
        <x:v>A-001</x:v>
      </x:c>
      <x:c r="J4" s="34" t="n">
        <x:v>3</x:v>
      </x:c>
      <x:c r="K4" s="34" t="n">
        <x:v>5</x:v>
      </x:c>
      <x:c r="L4" s="54" t="n">
        <x:f>IF(A4="","",IF(COUNTA(D4:I4)&gt;=5,1,0))</x:f>
        <x:v>1</x:v>
      </x:c>
      <x:c r="M4" s="52" t="n">
        <x:f>IF(A4="","",IFERROR(J4*K4*L4/20,0))</x:f>
        <x:v>0.75</x:v>
      </x:c>
      <x:c r="N4" s="34" t="str">
        <x:v>Требует проверки</x:v>
      </x:c>
      <x:c r="O4" s="34" t="str">
        <x:v>Уточнить, какие шаги настройки критичны</x:v>
      </x:c>
    </x:row>
    <x:row r="5" ht="34" customHeight="1">
      <x:c r="A5" s="34" t="str">
        <x:v>BL-002</x:v>
      </x:c>
      <x:c r="B5" s="34" t="str">
        <x:v>Монетизация регулярного доступа</x:v>
      </x:c>
      <x:c r="C5" s="34" t="str">
        <x:v>Монетизационная</x:v>
      </x:c>
      <x:c r="D5" s="34" t="str">
        <x:v>Ценность создается через постоянный доступ к сервису</x:v>
      </x:c>
      <x:c r="E5" s="34" t="str">
        <x:v>Платящий клиент</x:v>
      </x:c>
      <x:c r="F5" s="34" t="str">
        <x:v>Подписочный доступ</x:v>
      </x:c>
      <x:c r="G5" s="34" t="str">
        <x:v>Ограничение функций по тарифам</x:v>
      </x:c>
      <x:c r="H5" s="34" t="str">
        <x:v>Подписка</x:v>
      </x:c>
      <x:c r="I5" s="34" t="str">
        <x:v>A-003</x:v>
      </x:c>
      <x:c r="J5" s="34" t="n">
        <x:v>4</x:v>
      </x:c>
      <x:c r="K5" s="34" t="n">
        <x:v>5</x:v>
      </x:c>
      <x:c r="L5" s="54" t="n">
        <x:f>IF(A5="","",IF(COUNTA(D5:I5)&gt;=5,1,0))</x:f>
        <x:v>1</x:v>
      </x:c>
      <x:c r="M5" s="52" t="n">
        <x:f>IF(A5="","",IFERROR(J5*K5*L5/20,0))</x:f>
        <x:v>1</x:v>
      </x:c>
      <x:c r="N5" s="34" t="str">
        <x:v>Подтверждено</x:v>
      </x:c>
      <x:c r="O5" s="34" t="str"/>
    </x:row>
    <x:row r="6" ht="34" customHeight="1">
      <x:c r="A6" s="34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54" t="str">
        <x:f>IF(A6="","",IF(COUNTA(D6:I6)&gt;=5,1,0))</x:f>
      </x:c>
      <x:c r="M6" s="52" t="str">
        <x:f>IF(A6="","",IFERROR(J6*K6*L6/20,0))</x:f>
      </x:c>
      <x:c r="N6" s="34"/>
      <x:c r="O6" s="34"/>
    </x:row>
    <x:row r="7" ht="34" customHeight="1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54" t="str">
        <x:f>IF(A7="","",IF(COUNTA(D7:I7)&gt;=5,1,0))</x:f>
      </x:c>
      <x:c r="M7" s="52" t="str">
        <x:f>IF(A7="","",IFERROR(J7*K7*L7/20,0))</x:f>
      </x:c>
      <x:c r="N7" s="34"/>
      <x:c r="O7" s="34"/>
    </x:row>
    <x:row r="8" ht="34" customHeight="1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54" t="str">
        <x:f>IF(A8="","",IF(COUNTA(D8:I8)&gt;=5,1,0))</x:f>
      </x:c>
      <x:c r="M8" s="52" t="str">
        <x:f>IF(A8="","",IFERROR(J8*K8*L8/20,0))</x:f>
      </x:c>
      <x:c r="N8" s="34"/>
      <x:c r="O8" s="34"/>
    </x:row>
    <x:row r="9" ht="34" customHeight="1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54" t="str">
        <x:f>IF(A9="","",IF(COUNTA(D9:I9)&gt;=5,1,0))</x:f>
      </x:c>
      <x:c r="M9" s="52" t="str">
        <x:f>IF(A9="","",IFERROR(J9*K9*L9/20,0))</x:f>
      </x:c>
      <x:c r="N9" s="34"/>
      <x:c r="O9" s="34"/>
    </x:row>
    <x:row r="10" ht="34" customHeight="1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54" t="str">
        <x:f>IF(A10="","",IF(COUNTA(D10:I10)&gt;=5,1,0))</x:f>
      </x:c>
      <x:c r="M10" s="52" t="str">
        <x:f>IF(A10="","",IFERROR(J10*K10*L10/20,0))</x:f>
      </x:c>
      <x:c r="N10" s="34"/>
      <x:c r="O10" s="34"/>
    </x:row>
    <x:row r="11" ht="34" customHeight="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54" t="str">
        <x:f>IF(A11="","",IF(COUNTA(D11:I11)&gt;=5,1,0))</x:f>
      </x:c>
      <x:c r="M11" s="52" t="str">
        <x:f>IF(A11="","",IFERROR(J11*K11*L11/20,0))</x:f>
      </x:c>
      <x:c r="N11" s="34"/>
      <x:c r="O11" s="34"/>
    </x:row>
    <x:row r="12" ht="34" customHeight="1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54" t="str">
        <x:f>IF(A12="","",IF(COUNTA(D12:I12)&gt;=5,1,0))</x:f>
      </x:c>
      <x:c r="M12" s="52" t="str">
        <x:f>IF(A12="","",IFERROR(J12*K12*L12/20,0))</x:f>
      </x:c>
      <x:c r="N12" s="34"/>
      <x:c r="O12" s="34"/>
    </x:row>
    <x:row r="13" ht="34" customHeight="1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54" t="str">
        <x:f>IF(A13="","",IF(COUNTA(D13:I13)&gt;=5,1,0))</x:f>
      </x:c>
      <x:c r="M13" s="52" t="str">
        <x:f>IF(A13="","",IFERROR(J13*K13*L13/20,0))</x:f>
      </x:c>
      <x:c r="N13" s="34"/>
      <x:c r="O13" s="34"/>
    </x:row>
    <x:row r="14" ht="34" customHeight="1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54" t="str">
        <x:f>IF(A14="","",IF(COUNTA(D14:I14)&gt;=5,1,0))</x:f>
      </x:c>
      <x:c r="M14" s="52" t="str">
        <x:f>IF(A14="","",IFERROR(J14*K14*L14/20,0))</x:f>
      </x:c>
      <x:c r="N14" s="34"/>
      <x:c r="O14" s="34"/>
    </x:row>
    <x:row r="15" ht="34" customHeight="1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54" t="str">
        <x:f>IF(A15="","",IF(COUNTA(D15:I15)&gt;=5,1,0))</x:f>
      </x:c>
      <x:c r="M15" s="52" t="str">
        <x:f>IF(A15="","",IFERROR(J15*K15*L15/20,0))</x:f>
      </x:c>
      <x:c r="N15" s="34"/>
      <x:c r="O15" s="34"/>
    </x:row>
    <x:row r="16" ht="34" customHeight="1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54" t="str">
        <x:f>IF(A16="","",IF(COUNTA(D16:I16)&gt;=5,1,0))</x:f>
      </x:c>
      <x:c r="M16" s="52" t="str">
        <x:f>IF(A16="","",IFERROR(J16*K16*L16/20,0))</x:f>
      </x:c>
      <x:c r="N16" s="34"/>
      <x:c r="O16" s="34"/>
    </x:row>
    <x:row r="17" ht="34" customHeight="1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54" t="str">
        <x:f>IF(A17="","",IF(COUNTA(D17:I17)&gt;=5,1,0))</x:f>
      </x:c>
      <x:c r="M17" s="52" t="str">
        <x:f>IF(A17="","",IFERROR(J17*K17*L17/20,0))</x:f>
      </x:c>
      <x:c r="N17" s="34"/>
      <x:c r="O17" s="34"/>
    </x:row>
    <x:row r="18" ht="34" customHeight="1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54" t="str">
        <x:f>IF(A18="","",IF(COUNTA(D18:I18)&gt;=5,1,0))</x:f>
      </x:c>
      <x:c r="M18" s="52" t="str">
        <x:f>IF(A18="","",IFERROR(J18*K18*L18/20,0))</x:f>
      </x:c>
      <x:c r="N18" s="34"/>
      <x:c r="O18" s="34"/>
    </x:row>
    <x:row r="19" ht="34" customHeight="1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54" t="str">
        <x:f>IF(A19="","",IF(COUNTA(D19:I19)&gt;=5,1,0))</x:f>
      </x:c>
      <x:c r="M19" s="52" t="str">
        <x:f>IF(A19="","",IFERROR(J19*K19*L19/20,0))</x:f>
      </x:c>
      <x:c r="N19" s="34"/>
      <x:c r="O19" s="34"/>
    </x:row>
    <x:row r="20" ht="34" customHeight="1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54" t="str">
        <x:f>IF(A20="","",IF(COUNTA(D20:I20)&gt;=5,1,0))</x:f>
      </x:c>
      <x:c r="M20" s="52" t="str">
        <x:f>IF(A20="","",IFERROR(J20*K20*L20/20,0))</x:f>
      </x:c>
      <x:c r="N20" s="34"/>
      <x:c r="O20" s="34"/>
    </x:row>
    <x:row r="21" ht="34" customHeight="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54" t="str">
        <x:f>IF(A21="","",IF(COUNTA(D21:I21)&gt;=5,1,0))</x:f>
      </x:c>
      <x:c r="M21" s="52" t="str">
        <x:f>IF(A21="","",IFERROR(J21*K21*L21/20,0))</x:f>
      </x:c>
      <x:c r="N21" s="34"/>
      <x:c r="O21" s="34"/>
    </x:row>
    <x:row r="22" ht="34" customHeight="1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54" t="str">
        <x:f>IF(A22="","",IF(COUNTA(D22:I22)&gt;=5,1,0))</x:f>
      </x:c>
      <x:c r="M22" s="52" t="str">
        <x:f>IF(A22="","",IFERROR(J22*K22*L22/20,0))</x:f>
      </x:c>
      <x:c r="N22" s="34"/>
      <x:c r="O22" s="34"/>
    </x:row>
    <x:row r="23" ht="34" customHeight="1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54" t="str">
        <x:f>IF(A23="","",IF(COUNTA(D23:I23)&gt;=5,1,0))</x:f>
      </x:c>
      <x:c r="M23" s="52" t="str">
        <x:f>IF(A23="","",IFERROR(J23*K23*L23/20,0))</x:f>
      </x:c>
      <x:c r="N23" s="34"/>
      <x:c r="O23" s="34"/>
    </x:row>
    <x:row r="24" ht="34" customHeight="1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54" t="str">
        <x:f>IF(A24="","",IF(COUNTA(D24:I24)&gt;=5,1,0))</x:f>
      </x:c>
      <x:c r="M24" s="52" t="str">
        <x:f>IF(A24="","",IFERROR(J24*K24*L24/20,0))</x:f>
      </x:c>
      <x:c r="N24" s="34"/>
      <x:c r="O24" s="34"/>
    </x:row>
    <x:row r="25" ht="34" customHeight="1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54" t="str">
        <x:f>IF(A25="","",IF(COUNTA(D25:I25)&gt;=5,1,0))</x:f>
      </x:c>
      <x:c r="M25" s="52" t="str">
        <x:f>IF(A25="","",IFERROR(J25*K25*L25/20,0))</x:f>
      </x:c>
      <x:c r="N25" s="34"/>
      <x:c r="O25" s="34"/>
    </x:row>
    <x:row r="26" ht="34" customHeight="1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54" t="str">
        <x:f>IF(A26="","",IF(COUNTA(D26:I26)&gt;=5,1,0))</x:f>
      </x:c>
      <x:c r="M26" s="52" t="str">
        <x:f>IF(A26="","",IFERROR(J26*K26*L26/20,0))</x:f>
      </x:c>
      <x:c r="N26" s="34"/>
      <x:c r="O26" s="34"/>
    </x:row>
    <x:row r="27" ht="34" customHeight="1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54" t="str">
        <x:f>IF(A27="","",IF(COUNTA(D27:I27)&gt;=5,1,0))</x:f>
      </x:c>
      <x:c r="M27" s="52" t="str">
        <x:f>IF(A27="","",IFERROR(J27*K27*L27/20,0))</x:f>
      </x:c>
      <x:c r="N27" s="34"/>
      <x:c r="O27" s="34"/>
    </x:row>
    <x:row r="28" ht="34" customHeight="1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54" t="str">
        <x:f>IF(A28="","",IF(COUNTA(D28:I28)&gt;=5,1,0))</x:f>
      </x:c>
      <x:c r="M28" s="52" t="str">
        <x:f>IF(A28="","",IFERROR(J28*K28*L28/20,0))</x:f>
      </x:c>
      <x:c r="N28" s="34"/>
      <x:c r="O28" s="34"/>
    </x:row>
    <x:row r="29" ht="34" customHeight="1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54" t="str">
        <x:f>IF(A29="","",IF(COUNTA(D29:I29)&gt;=5,1,0))</x:f>
      </x:c>
      <x:c r="M29" s="52" t="str">
        <x:f>IF(A29="","",IFERROR(J29*K29*L29/20,0))</x:f>
      </x:c>
      <x:c r="N29" s="34"/>
      <x:c r="O29" s="34"/>
    </x:row>
    <x:row r="30" ht="34" customHeight="1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54" t="str">
        <x:f>IF(A30="","",IF(COUNTA(D30:I30)&gt;=5,1,0))</x:f>
      </x:c>
      <x:c r="M30" s="52" t="str">
        <x:f>IF(A30="","",IFERROR(J30*K30*L30/20,0))</x:f>
      </x:c>
      <x:c r="N30" s="34"/>
      <x:c r="O30" s="34"/>
    </x:row>
    <x:row r="31" ht="34" customHeight="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54" t="str">
        <x:f>IF(A31="","",IF(COUNTA(D31:I31)&gt;=5,1,0))</x:f>
      </x:c>
      <x:c r="M31" s="52" t="str">
        <x:f>IF(A31="","",IFERROR(J31*K31*L31/20,0))</x:f>
      </x:c>
      <x:c r="N31" s="34"/>
      <x:c r="O31" s="34"/>
    </x:row>
    <x:row r="32" ht="34" customHeight="1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54" t="str">
        <x:f>IF(A32="","",IF(COUNTA(D32:I32)&gt;=5,1,0))</x:f>
      </x:c>
      <x:c r="M32" s="52" t="str">
        <x:f>IF(A32="","",IFERROR(J32*K32*L32/20,0))</x:f>
      </x:c>
      <x:c r="N32" s="34"/>
      <x:c r="O32" s="34"/>
    </x:row>
    <x:row r="33" ht="34" customHeight="1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54" t="str">
        <x:f>IF(A33="","",IF(COUNTA(D33:I33)&gt;=5,1,0))</x:f>
      </x:c>
      <x:c r="M33" s="52" t="str">
        <x:f>IF(A33="","",IFERROR(J33*K33*L33/20,0))</x:f>
      </x:c>
      <x:c r="N33" s="34"/>
      <x:c r="O33" s="34"/>
    </x:row>
    <x:row r="34" ht="34" customHeight="1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54" t="str">
        <x:f>IF(A34="","",IF(COUNTA(D34:I34)&gt;=5,1,0))</x:f>
      </x:c>
      <x:c r="M34" s="52" t="str">
        <x:f>IF(A34="","",IFERROR(J34*K34*L34/20,0))</x:f>
      </x:c>
      <x:c r="N34" s="34"/>
      <x:c r="O34" s="34"/>
    </x:row>
    <x:row r="35" ht="34" customHeight="1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54" t="str">
        <x:f>IF(A35="","",IF(COUNTA(D35:I35)&gt;=5,1,0))</x:f>
      </x:c>
      <x:c r="M35" s="52" t="str">
        <x:f>IF(A35="","",IFERROR(J35*K35*L35/20,0))</x:f>
      </x:c>
      <x:c r="N35" s="34"/>
      <x:c r="O35" s="34"/>
    </x:row>
    <x:row r="36" ht="34" customHeight="1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54" t="str">
        <x:f>IF(A36="","",IF(COUNTA(D36:I36)&gt;=5,1,0))</x:f>
      </x:c>
      <x:c r="M36" s="52" t="str">
        <x:f>IF(A36="","",IFERROR(J36*K36*L36/20,0))</x:f>
      </x:c>
      <x:c r="N36" s="34"/>
      <x:c r="O36" s="34"/>
    </x:row>
    <x:row r="37" ht="34" customHeight="1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54" t="str">
        <x:f>IF(A37="","",IF(COUNTA(D37:I37)&gt;=5,1,0))</x:f>
      </x:c>
      <x:c r="M37" s="52" t="str">
        <x:f>IF(A37="","",IFERROR(J37*K37*L37/20,0))</x:f>
      </x:c>
      <x:c r="N37" s="34"/>
      <x:c r="O37" s="34"/>
    </x:row>
    <x:row r="38" ht="34" customHeight="1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54" t="str">
        <x:f>IF(A38="","",IF(COUNTA(D38:I38)&gt;=5,1,0))</x:f>
      </x:c>
      <x:c r="M38" s="52" t="str">
        <x:f>IF(A38="","",IFERROR(J38*K38*L38/20,0))</x:f>
      </x:c>
      <x:c r="N38" s="34"/>
      <x:c r="O38" s="34"/>
    </x:row>
    <x:row r="39" ht="34" customHeight="1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54" t="str">
        <x:f>IF(A39="","",IF(COUNTA(D39:I39)&gt;=5,1,0))</x:f>
      </x:c>
      <x:c r="M39" s="52" t="str">
        <x:f>IF(A39="","",IFERROR(J39*K39*L39/20,0))</x:f>
      </x:c>
      <x:c r="N39" s="34"/>
      <x:c r="O39" s="34"/>
    </x:row>
    <x:row r="40" ht="34" customHeight="1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54" t="str">
        <x:f>IF(A40="","",IF(COUNTA(D40:I40)&gt;=5,1,0))</x:f>
      </x:c>
      <x:c r="M40" s="52" t="str">
        <x:f>IF(A40="","",IFERROR(J40*K40*L40/20,0))</x:f>
      </x:c>
      <x:c r="N40" s="34"/>
      <x:c r="O40" s="34"/>
    </x:row>
    <x:row r="41" ht="34" customHeight="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54" t="str">
        <x:f>IF(A41="","",IF(COUNTA(D41:I41)&gt;=5,1,0))</x:f>
      </x:c>
      <x:c r="M41" s="52" t="str">
        <x:f>IF(A41="","",IFERROR(J41*K41*L41/20,0))</x:f>
      </x:c>
      <x:c r="N41" s="34"/>
      <x:c r="O41" s="34"/>
    </x:row>
    <x:row r="42" ht="34" customHeight="1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54" t="str">
        <x:f>IF(A42="","",IF(COUNTA(D42:I42)&gt;=5,1,0))</x:f>
      </x:c>
      <x:c r="M42" s="52" t="str">
        <x:f>IF(A42="","",IFERROR(J42*K42*L42/20,0))</x:f>
      </x:c>
      <x:c r="N42" s="34"/>
      <x:c r="O42" s="34"/>
    </x:row>
    <x:row r="43" ht="34" customHeight="1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54" t="str">
        <x:f>IF(A43="","",IF(COUNTA(D43:I43)&gt;=5,1,0))</x:f>
      </x:c>
      <x:c r="M43" s="52" t="str">
        <x:f>IF(A43="","",IFERROR(J43*K43*L43/20,0))</x:f>
      </x:c>
      <x:c r="N43" s="34"/>
      <x:c r="O43" s="34"/>
    </x:row>
    <x:row r="44" ht="34" customHeight="1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54" t="str">
        <x:f>IF(A44="","",IF(COUNTA(D44:I44)&gt;=5,1,0))</x:f>
      </x:c>
      <x:c r="M44" s="52" t="str">
        <x:f>IF(A44="","",IFERROR(J44*K44*L44/20,0))</x:f>
      </x:c>
      <x:c r="N44" s="34"/>
      <x:c r="O44" s="34"/>
    </x:row>
    <x:row r="45" ht="34" customHeight="1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54" t="str">
        <x:f>IF(A45="","",IF(COUNTA(D45:I45)&gt;=5,1,0))</x:f>
      </x:c>
      <x:c r="M45" s="52" t="str">
        <x:f>IF(A45="","",IFERROR(J45*K45*L45/20,0))</x:f>
      </x:c>
      <x:c r="N45" s="34"/>
      <x:c r="O45" s="34"/>
    </x:row>
    <x:row r="46" ht="34" customHeight="1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54" t="str">
        <x:f>IF(A46="","",IF(COUNTA(D46:I46)&gt;=5,1,0))</x:f>
      </x:c>
      <x:c r="M46" s="52" t="str">
        <x:f>IF(A46="","",IFERROR(J46*K46*L46/20,0))</x:f>
      </x:c>
      <x:c r="N46" s="34"/>
      <x:c r="O46" s="34"/>
    </x:row>
    <x:row r="47" ht="34" customHeight="1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54" t="str">
        <x:f>IF(A47="","",IF(COUNTA(D47:I47)&gt;=5,1,0))</x:f>
      </x:c>
      <x:c r="M47" s="52" t="str">
        <x:f>IF(A47="","",IFERROR(J47*K47*L47/20,0))</x:f>
      </x:c>
      <x:c r="N47" s="34"/>
      <x:c r="O47" s="34"/>
    </x:row>
    <x:row r="48" ht="34" customHeight="1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54" t="str">
        <x:f>IF(A48="","",IF(COUNTA(D48:I48)&gt;=5,1,0))</x:f>
      </x:c>
      <x:c r="M48" s="52" t="str">
        <x:f>IF(A48="","",IFERROR(J48*K48*L48/20,0))</x:f>
      </x:c>
      <x:c r="N48" s="34"/>
      <x:c r="O48" s="34"/>
    </x:row>
    <x:row r="49" ht="34" customHeight="1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54" t="str">
        <x:f>IF(A49="","",IF(COUNTA(D49:I49)&gt;=5,1,0))</x:f>
      </x:c>
      <x:c r="M49" s="52" t="str">
        <x:f>IF(A49="","",IFERROR(J49*K49*L49/20,0))</x:f>
      </x:c>
      <x:c r="N49" s="34"/>
      <x:c r="O49" s="34"/>
    </x:row>
    <x:row r="50" ht="34" customHeight="1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54" t="str">
        <x:f>IF(A50="","",IF(COUNTA(D50:I50)&gt;=5,1,0))</x:f>
      </x:c>
      <x:c r="M50" s="52" t="str">
        <x:f>IF(A50="","",IFERROR(J50*K50*L50/20,0))</x:f>
      </x:c>
      <x:c r="N50" s="34"/>
      <x:c r="O50" s="34"/>
    </x:row>
    <x:row r="51" ht="34" customHeight="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54" t="str">
        <x:f>IF(A51="","",IF(COUNTA(D51:I51)&gt;=5,1,0))</x:f>
      </x:c>
      <x:c r="M51" s="52" t="str">
        <x:f>IF(A51="","",IFERROR(J51*K51*L51/20,0))</x:f>
      </x:c>
      <x:c r="N51" s="34"/>
      <x:c r="O51" s="34"/>
    </x:row>
    <x:row r="52" ht="34" customHeight="1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54" t="str">
        <x:f>IF(A52="","",IF(COUNTA(D52:I52)&gt;=5,1,0))</x:f>
      </x:c>
      <x:c r="M52" s="52" t="str">
        <x:f>IF(A52="","",IFERROR(J52*K52*L52/20,0))</x:f>
      </x:c>
      <x:c r="N52" s="34"/>
      <x:c r="O52" s="34"/>
    </x:row>
    <x:row r="53" ht="34" customHeight="1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54" t="str">
        <x:f>IF(A53="","",IF(COUNTA(D53:I53)&gt;=5,1,0))</x:f>
      </x:c>
      <x:c r="M53" s="52" t="str">
        <x:f>IF(A53="","",IFERROR(J53*K53*L53/20,0))</x:f>
      </x:c>
      <x:c r="N53" s="34"/>
      <x:c r="O53" s="34"/>
    </x:row>
    <x:row r="54" ht="34" customHeight="1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54" t="str">
        <x:f>IF(A54="","",IF(COUNTA(D54:I54)&gt;=5,1,0))</x:f>
      </x:c>
      <x:c r="M54" s="52" t="str">
        <x:f>IF(A54="","",IFERROR(J54*K54*L54/20,0))</x:f>
      </x:c>
      <x:c r="N54" s="34"/>
      <x:c r="O54" s="34"/>
    </x:row>
    <x:row r="55" ht="34" customHeight="1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54" t="str">
        <x:f>IF(A55="","",IF(COUNTA(D55:I55)&gt;=5,1,0))</x:f>
      </x:c>
      <x:c r="M55" s="52" t="str">
        <x:f>IF(A55="","",IFERROR(J55*K55*L55/20,0))</x:f>
      </x:c>
      <x:c r="N55" s="34"/>
      <x:c r="O55" s="34"/>
    </x:row>
    <x:row r="56" ht="34" customHeight="1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54" t="str">
        <x:f>IF(A56="","",IF(COUNTA(D56:I56)&gt;=5,1,0))</x:f>
      </x:c>
      <x:c r="M56" s="52" t="str">
        <x:f>IF(A56="","",IFERROR(J56*K56*L56/20,0))</x:f>
      </x:c>
      <x:c r="N56" s="34"/>
      <x:c r="O56" s="34"/>
    </x:row>
    <x:row r="57" ht="34" customHeight="1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54" t="str">
        <x:f>IF(A57="","",IF(COUNTA(D57:I57)&gt;=5,1,0))</x:f>
      </x:c>
      <x:c r="M57" s="52" t="str">
        <x:f>IF(A57="","",IFERROR(J57*K57*L57/20,0))</x:f>
      </x:c>
      <x:c r="N57" s="34"/>
      <x:c r="O57" s="34"/>
    </x:row>
    <x:row r="58" ht="34" customHeight="1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54" t="str">
        <x:f>IF(A58="","",IF(COUNTA(D58:I58)&gt;=5,1,0))</x:f>
      </x:c>
      <x:c r="M58" s="52" t="str">
        <x:f>IF(A58="","",IFERROR(J58*K58*L58/20,0))</x:f>
      </x:c>
      <x:c r="N58" s="34"/>
      <x:c r="O58" s="34"/>
    </x:row>
    <x:row r="59" ht="34" customHeight="1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54" t="str">
        <x:f>IF(A59="","",IF(COUNTA(D59:I59)&gt;=5,1,0))</x:f>
      </x:c>
      <x:c r="M59" s="52" t="str">
        <x:f>IF(A59="","",IFERROR(J59*K59*L59/20,0))</x:f>
      </x:c>
      <x:c r="N59" s="34"/>
      <x:c r="O59" s="34"/>
    </x:row>
    <x:row r="60" ht="34" customHeight="1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54" t="str">
        <x:f>IF(A60="","",IF(COUNTA(D60:I60)&gt;=5,1,0))</x:f>
      </x:c>
      <x:c r="M60" s="52" t="str">
        <x:f>IF(A60="","",IFERROR(J60*K60*L60/20,0))</x:f>
      </x:c>
      <x:c r="N60" s="34"/>
      <x:c r="O60" s="34"/>
    </x:row>
    <x:row r="61" ht="34" customHeight="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54" t="str">
        <x:f>IF(A61="","",IF(COUNTA(D61:I61)&gt;=5,1,0))</x:f>
      </x:c>
      <x:c r="M61" s="52" t="str">
        <x:f>IF(A61="","",IFERROR(J61*K61*L61/20,0))</x:f>
      </x:c>
      <x:c r="N61" s="34"/>
      <x:c r="O61" s="34"/>
    </x:row>
    <x:row r="62" ht="34" customHeight="1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54" t="str">
        <x:f>IF(A62="","",IF(COUNTA(D62:I62)&gt;=5,1,0))</x:f>
      </x:c>
      <x:c r="M62" s="52" t="str">
        <x:f>IF(A62="","",IFERROR(J62*K62*L62/20,0))</x:f>
      </x:c>
      <x:c r="N62" s="34"/>
      <x:c r="O62" s="34"/>
    </x:row>
    <x:row r="63" ht="34" customHeight="1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54" t="str">
        <x:f>IF(A63="","",IF(COUNTA(D63:I63)&gt;=5,1,0))</x:f>
      </x:c>
      <x:c r="M63" s="52" t="str">
        <x:f>IF(A63="","",IFERROR(J63*K63*L63/20,0))</x:f>
      </x:c>
      <x:c r="N63" s="34"/>
      <x:c r="O63" s="34"/>
    </x:row>
    <x:row r="64" ht="34" customHeight="1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54" t="str">
        <x:f>IF(A64="","",IF(COUNTA(D64:I64)&gt;=5,1,0))</x:f>
      </x:c>
      <x:c r="M64" s="52" t="str">
        <x:f>IF(A64="","",IFERROR(J64*K64*L64/20,0))</x:f>
      </x:c>
      <x:c r="N64" s="34"/>
      <x:c r="O64" s="34"/>
    </x:row>
    <x:row r="65" ht="34" customHeight="1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54" t="str">
        <x:f>IF(A65="","",IF(COUNTA(D65:I65)&gt;=5,1,0))</x:f>
      </x:c>
      <x:c r="M65" s="52" t="str">
        <x:f>IF(A65="","",IFERROR(J65*K65*L65/20,0))</x:f>
      </x:c>
      <x:c r="N65" s="34"/>
      <x:c r="O65" s="34"/>
    </x:row>
    <x:row r="66" ht="34" customHeight="1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54" t="str">
        <x:f>IF(A66="","",IF(COUNTA(D66:I66)&gt;=5,1,0))</x:f>
      </x:c>
      <x:c r="M66" s="52" t="str">
        <x:f>IF(A66="","",IFERROR(J66*K66*L66/20,0))</x:f>
      </x:c>
      <x:c r="N66" s="34"/>
      <x:c r="O66" s="34"/>
    </x:row>
    <x:row r="67" ht="34" customHeight="1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54" t="str">
        <x:f>IF(A67="","",IF(COUNTA(D67:I67)&gt;=5,1,0))</x:f>
      </x:c>
      <x:c r="M67" s="52" t="str">
        <x:f>IF(A67="","",IFERROR(J67*K67*L67/20,0))</x:f>
      </x:c>
      <x:c r="N67" s="34"/>
      <x:c r="O67" s="34"/>
    </x:row>
    <x:row r="68" ht="34" customHeight="1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54" t="str">
        <x:f>IF(A68="","",IF(COUNTA(D68:I68)&gt;=5,1,0))</x:f>
      </x:c>
      <x:c r="M68" s="52" t="str">
        <x:f>IF(A68="","",IFERROR(J68*K68*L68/20,0))</x:f>
      </x:c>
      <x:c r="N68" s="34"/>
      <x:c r="O68" s="34"/>
    </x:row>
    <x:row r="69" ht="34" customHeight="1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54" t="str">
        <x:f>IF(A69="","",IF(COUNTA(D69:I69)&gt;=5,1,0))</x:f>
      </x:c>
      <x:c r="M69" s="52" t="str">
        <x:f>IF(A69="","",IFERROR(J69*K69*L69/20,0))</x:f>
      </x:c>
      <x:c r="N69" s="34"/>
      <x:c r="O69" s="34"/>
    </x:row>
    <x:row r="70" ht="34" customHeight="1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54" t="str">
        <x:f>IF(A70="","",IF(COUNTA(D70:I70)&gt;=5,1,0))</x:f>
      </x:c>
      <x:c r="M70" s="52" t="str">
        <x:f>IF(A70="","",IFERROR(J70*K70*L70/20,0))</x:f>
      </x:c>
      <x:c r="N70" s="34"/>
      <x:c r="O70" s="34"/>
    </x:row>
    <x:row r="71" ht="34" customHeight="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54" t="str">
        <x:f>IF(A71="","",IF(COUNTA(D71:I71)&gt;=5,1,0))</x:f>
      </x:c>
      <x:c r="M71" s="52" t="str">
        <x:f>IF(A71="","",IFERROR(J71*K71*L71/20,0))</x:f>
      </x:c>
      <x:c r="N71" s="34"/>
      <x:c r="O71" s="34"/>
    </x:row>
    <x:row r="72" ht="34" customHeight="1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54" t="str">
        <x:f>IF(A72="","",IF(COUNTA(D72:I72)&gt;=5,1,0))</x:f>
      </x:c>
      <x:c r="M72" s="52" t="str">
        <x:f>IF(A72="","",IFERROR(J72*K72*L72/20,0))</x:f>
      </x:c>
      <x:c r="N72" s="34"/>
      <x:c r="O72" s="34"/>
    </x:row>
    <x:row r="73" ht="34" customHeight="1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54" t="str">
        <x:f>IF(A73="","",IF(COUNTA(D73:I73)&gt;=5,1,0))</x:f>
      </x:c>
      <x:c r="M73" s="52" t="str">
        <x:f>IF(A73="","",IFERROR(J73*K73*L73/20,0))</x:f>
      </x:c>
      <x:c r="N73" s="34"/>
      <x:c r="O73" s="34"/>
    </x:row>
    <x:row r="74" ht="34" customHeight="1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54" t="str">
        <x:f>IF(A74="","",IF(COUNTA(D74:I74)&gt;=5,1,0))</x:f>
      </x:c>
      <x:c r="M74" s="52" t="str">
        <x:f>IF(A74="","",IFERROR(J74*K74*L74/20,0))</x:f>
      </x:c>
      <x:c r="N74" s="34"/>
      <x:c r="O74" s="34"/>
    </x:row>
    <x:row r="75" ht="34" customHeight="1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54" t="str">
        <x:f>IF(A75="","",IF(COUNTA(D75:I75)&gt;=5,1,0))</x:f>
      </x:c>
      <x:c r="M75" s="52" t="str">
        <x:f>IF(A75="","",IFERROR(J75*K75*L75/20,0))</x:f>
      </x:c>
      <x:c r="N75" s="34"/>
      <x:c r="O75" s="34"/>
    </x:row>
    <x:row r="76" ht="34" customHeight="1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54" t="str">
        <x:f>IF(A76="","",IF(COUNTA(D76:I76)&gt;=5,1,0))</x:f>
      </x:c>
      <x:c r="M76" s="52" t="str">
        <x:f>IF(A76="","",IFERROR(J76*K76*L76/20,0))</x:f>
      </x:c>
      <x:c r="N76" s="34"/>
      <x:c r="O76" s="34"/>
    </x:row>
    <x:row r="77" ht="34" customHeight="1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54" t="str">
        <x:f>IF(A77="","",IF(COUNTA(D77:I77)&gt;=5,1,0))</x:f>
      </x:c>
      <x:c r="M77" s="52" t="str">
        <x:f>IF(A77="","",IFERROR(J77*K77*L77/20,0))</x:f>
      </x:c>
      <x:c r="N77" s="34"/>
      <x:c r="O77" s="34"/>
    </x:row>
    <x:row r="78" ht="34" customHeight="1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54" t="str">
        <x:f>IF(A78="","",IF(COUNTA(D78:I78)&gt;=5,1,0))</x:f>
      </x:c>
      <x:c r="M78" s="52" t="str">
        <x:f>IF(A78="","",IFERROR(J78*K78*L78/20,0))</x:f>
      </x:c>
      <x:c r="N78" s="34"/>
      <x:c r="O78" s="34"/>
    </x:row>
    <x:row r="79" ht="34" customHeight="1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54" t="str">
        <x:f>IF(A79="","",IF(COUNTA(D79:I79)&gt;=5,1,0))</x:f>
      </x:c>
      <x:c r="M79" s="52" t="str">
        <x:f>IF(A79="","",IFERROR(J79*K79*L79/20,0))</x:f>
      </x:c>
      <x:c r="N79" s="34"/>
      <x:c r="O79" s="34"/>
    </x:row>
    <x:row r="80" ht="34" customHeight="1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54" t="str">
        <x:f>IF(A80="","",IF(COUNTA(D80:I80)&gt;=5,1,0))</x:f>
      </x:c>
      <x:c r="M80" s="52" t="str">
        <x:f>IF(A80="","",IFERROR(J80*K80*L80/20,0))</x:f>
      </x:c>
      <x:c r="N80" s="34"/>
      <x:c r="O80" s="34"/>
    </x:row>
    <x:row r="81" ht="34" customHeight="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54" t="str">
        <x:f>IF(A81="","",IF(COUNTA(D81:I81)&gt;=5,1,0))</x:f>
      </x:c>
      <x:c r="M81" s="52" t="str">
        <x:f>IF(A81="","",IFERROR(J81*K81*L81/20,0))</x:f>
      </x:c>
      <x:c r="N81" s="34"/>
      <x:c r="O81" s="34"/>
    </x:row>
    <x:row r="82" ht="34" customHeight="1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54" t="str">
        <x:f>IF(A82="","",IF(COUNTA(D82:I82)&gt;=5,1,0))</x:f>
      </x:c>
      <x:c r="M82" s="52" t="str">
        <x:f>IF(A82="","",IFERROR(J82*K82*L82/20,0))</x:f>
      </x:c>
      <x:c r="N82" s="34"/>
      <x:c r="O82" s="34"/>
    </x:row>
    <x:row r="83" ht="34" customHeight="1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54" t="str">
        <x:f>IF(A83="","",IF(COUNTA(D83:I83)&gt;=5,1,0))</x:f>
      </x:c>
      <x:c r="M83" s="52" t="str">
        <x:f>IF(A83="","",IFERROR(J83*K83*L83/20,0))</x:f>
      </x:c>
      <x:c r="N83" s="34"/>
      <x:c r="O83" s="34"/>
    </x:row>
    <x:row r="84" ht="34" customHeight="1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54" t="str">
        <x:f>IF(A84="","",IF(COUNTA(D84:I84)&gt;=5,1,0))</x:f>
      </x:c>
      <x:c r="M84" s="52" t="str">
        <x:f>IF(A84="","",IFERROR(J84*K84*L84/20,0))</x:f>
      </x:c>
      <x:c r="N84" s="34"/>
      <x:c r="O84" s="34"/>
    </x:row>
    <x:row r="85" ht="34" customHeight="1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54" t="str">
        <x:f>IF(A85="","",IF(COUNTA(D85:I85)&gt;=5,1,0))</x:f>
      </x:c>
      <x:c r="M85" s="52" t="str">
        <x:f>IF(A85="","",IFERROR(J85*K85*L85/20,0))</x:f>
      </x:c>
      <x:c r="N85" s="34"/>
      <x:c r="O85" s="34"/>
    </x:row>
    <x:row r="86" ht="34" customHeight="1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54" t="str">
        <x:f>IF(A86="","",IF(COUNTA(D86:I86)&gt;=5,1,0))</x:f>
      </x:c>
      <x:c r="M86" s="52" t="str">
        <x:f>IF(A86="","",IFERROR(J86*K86*L86/20,0))</x:f>
      </x:c>
      <x:c r="N86" s="34"/>
      <x:c r="O86" s="34"/>
    </x:row>
    <x:row r="87" ht="34" customHeight="1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54" t="str">
        <x:f>IF(A87="","",IF(COUNTA(D87:I87)&gt;=5,1,0))</x:f>
      </x:c>
      <x:c r="M87" s="52" t="str">
        <x:f>IF(A87="","",IFERROR(J87*K87*L87/20,0))</x:f>
      </x:c>
      <x:c r="N87" s="34"/>
      <x:c r="O87" s="34"/>
    </x:row>
    <x:row r="88" ht="34" customHeight="1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54" t="str">
        <x:f>IF(A88="","",IF(COUNTA(D88:I88)&gt;=5,1,0))</x:f>
      </x:c>
      <x:c r="M88" s="52" t="str">
        <x:f>IF(A88="","",IFERROR(J88*K88*L88/20,0))</x:f>
      </x:c>
      <x:c r="N88" s="34"/>
      <x:c r="O88" s="34"/>
    </x:row>
    <x:row r="89" ht="34" customHeight="1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54" t="str">
        <x:f>IF(A89="","",IF(COUNTA(D89:I89)&gt;=5,1,0))</x:f>
      </x:c>
      <x:c r="M89" s="52" t="str">
        <x:f>IF(A89="","",IFERROR(J89*K89*L89/20,0))</x:f>
      </x:c>
      <x:c r="N89" s="34"/>
      <x:c r="O89" s="34"/>
    </x:row>
    <x:row r="90" ht="34" customHeight="1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54" t="str">
        <x:f>IF(A90="","",IF(COUNTA(D90:I90)&gt;=5,1,0))</x:f>
      </x:c>
      <x:c r="M90" s="52" t="str">
        <x:f>IF(A90="","",IFERROR(J90*K90*L90/20,0))</x:f>
      </x:c>
      <x:c r="N90" s="34"/>
      <x:c r="O90" s="34"/>
    </x:row>
    <x:row r="91" ht="34" customHeight="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54" t="str">
        <x:f>IF(A91="","",IF(COUNTA(D91:I91)&gt;=5,1,0))</x:f>
      </x:c>
      <x:c r="M91" s="52" t="str">
        <x:f>IF(A91="","",IFERROR(J91*K91*L91/20,0))</x:f>
      </x:c>
      <x:c r="N91" s="34"/>
      <x:c r="O91" s="34"/>
    </x:row>
    <x:row r="92" ht="34" customHeight="1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54" t="str">
        <x:f>IF(A92="","",IF(COUNTA(D92:I92)&gt;=5,1,0))</x:f>
      </x:c>
      <x:c r="M92" s="52" t="str">
        <x:f>IF(A92="","",IFERROR(J92*K92*L92/20,0))</x:f>
      </x:c>
      <x:c r="N92" s="34"/>
      <x:c r="O92" s="34"/>
    </x:row>
    <x:row r="93" ht="34" customHeight="1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54" t="str">
        <x:f>IF(A93="","",IF(COUNTA(D93:I93)&gt;=5,1,0))</x:f>
      </x:c>
      <x:c r="M93" s="52" t="str">
        <x:f>IF(A93="","",IFERROR(J93*K93*L93/20,0))</x:f>
      </x:c>
      <x:c r="N93" s="34"/>
      <x:c r="O93" s="34"/>
    </x:row>
    <x:row r="94" ht="34" customHeight="1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54" t="str">
        <x:f>IF(A94="","",IF(COUNTA(D94:I94)&gt;=5,1,0))</x:f>
      </x:c>
      <x:c r="M94" s="52" t="str">
        <x:f>IF(A94="","",IFERROR(J94*K94*L94/20,0))</x:f>
      </x:c>
      <x:c r="N94" s="34"/>
      <x:c r="O94" s="34"/>
    </x:row>
    <x:row r="95" ht="34" customHeight="1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54" t="str">
        <x:f>IF(A95="","",IF(COUNTA(D95:I95)&gt;=5,1,0))</x:f>
      </x:c>
      <x:c r="M95" s="52" t="str">
        <x:f>IF(A95="","",IFERROR(J95*K95*L95/20,0))</x:f>
      </x:c>
      <x:c r="N95" s="34"/>
      <x:c r="O95" s="34"/>
    </x:row>
    <x:row r="96" ht="34" customHeight="1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54" t="str">
        <x:f>IF(A96="","",IF(COUNTA(D96:I96)&gt;=5,1,0))</x:f>
      </x:c>
      <x:c r="M96" s="52" t="str">
        <x:f>IF(A96="","",IFERROR(J96*K96*L96/20,0))</x:f>
      </x:c>
      <x:c r="N96" s="34"/>
      <x:c r="O96" s="34"/>
    </x:row>
    <x:row r="97" ht="34" customHeight="1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54" t="str">
        <x:f>IF(A97="","",IF(COUNTA(D97:I97)&gt;=5,1,0))</x:f>
      </x:c>
      <x:c r="M97" s="52" t="str">
        <x:f>IF(A97="","",IFERROR(J97*K97*L97/20,0))</x:f>
      </x:c>
      <x:c r="N97" s="34"/>
      <x:c r="O97" s="34"/>
    </x:row>
    <x:row r="98" ht="34" customHeight="1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54" t="str">
        <x:f>IF(A98="","",IF(COUNTA(D98:I98)&gt;=5,1,0))</x:f>
      </x:c>
      <x:c r="M98" s="52" t="str">
        <x:f>IF(A98="","",IFERROR(J98*K98*L98/20,0))</x:f>
      </x:c>
      <x:c r="N98" s="34"/>
      <x:c r="O98" s="34"/>
    </x:row>
    <x:row r="99" ht="34" customHeight="1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54" t="str">
        <x:f>IF(A99="","",IF(COUNTA(D99:I99)&gt;=5,1,0))</x:f>
      </x:c>
      <x:c r="M99" s="52" t="str">
        <x:f>IF(A99="","",IFERROR(J99*K99*L99/20,0))</x:f>
      </x:c>
      <x:c r="N99" s="34"/>
      <x:c r="O99" s="34"/>
    </x:row>
    <x:row r="100" ht="34" customHeight="1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54" t="str">
        <x:f>IF(A100="","",IF(COUNTA(D100:I100)&gt;=5,1,0))</x:f>
      </x:c>
      <x:c r="M100" s="52" t="str">
        <x:f>IF(A100="","",IFERROR(J100*K100*L100/20,0))</x:f>
      </x:c>
      <x:c r="N100" s="34"/>
      <x:c r="O100" s="34"/>
    </x:row>
    <x:row r="101" ht="34" customHeight="1">
      <x:c r="A101" s="34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34"/>
      <x:c r="L101" s="54" t="str">
        <x:f>IF(A101="","",IF(COUNTA(D101:I101)&gt;=5,1,0))</x:f>
      </x:c>
      <x:c r="M101" s="52" t="str">
        <x:f>IF(A101="","",IFERROR(J101*K101*L101/20,0))</x:f>
      </x:c>
      <x:c r="N101" s="34"/>
      <x:c r="O101" s="34"/>
    </x:row>
    <x:row r="102" ht="34" customHeight="1">
      <x:c r="A102" s="34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34"/>
      <x:c r="L102" s="54" t="str">
        <x:f>IF(A102="","",IF(COUNTA(D102:I102)&gt;=5,1,0))</x:f>
      </x:c>
      <x:c r="M102" s="52" t="str">
        <x:f>IF(A102="","",IFERROR(J102*K102*L102/20,0))</x:f>
      </x:c>
      <x:c r="N102" s="34"/>
      <x:c r="O102" s="34"/>
    </x:row>
    <x:row r="103" ht="34" customHeight="1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  <x:c r="L103" s="54" t="str">
        <x:f>IF(A103="","",IF(COUNTA(D103:I103)&gt;=5,1,0))</x:f>
      </x:c>
      <x:c r="M103" s="52" t="str">
        <x:f>IF(A103="","",IFERROR(J103*K103*L103/20,0))</x:f>
      </x:c>
      <x:c r="N103" s="34"/>
      <x:c r="O103" s="34"/>
    </x:row>
    <x:row r="104" ht="34" customHeight="1">
      <x:c r="A104" s="34"/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34"/>
      <x:c r="L104" s="54" t="str">
        <x:f>IF(A104="","",IF(COUNTA(D104:I104)&gt;=5,1,0))</x:f>
      </x:c>
      <x:c r="M104" s="52" t="str">
        <x:f>IF(A104="","",IFERROR(J104*K104*L104/20,0))</x:f>
      </x:c>
      <x:c r="N104" s="34"/>
      <x:c r="O104" s="34"/>
    </x:row>
    <x:row r="105" ht="34" customHeight="1">
      <x:c r="A105" s="34"/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34"/>
      <x:c r="L105" s="54" t="str">
        <x:f>IF(A105="","",IF(COUNTA(D105:I105)&gt;=5,1,0))</x:f>
      </x:c>
      <x:c r="M105" s="52" t="str">
        <x:f>IF(A105="","",IFERROR(J105*K105*L105/20,0))</x:f>
      </x:c>
      <x:c r="N105" s="34"/>
      <x:c r="O105" s="34"/>
    </x:row>
    <x:row r="106" ht="34" customHeight="1">
      <x:c r="A106" s="34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34"/>
      <x:c r="L106" s="54" t="str">
        <x:f>IF(A106="","",IF(COUNTA(D106:I106)&gt;=5,1,0))</x:f>
      </x:c>
      <x:c r="M106" s="52" t="str">
        <x:f>IF(A106="","",IFERROR(J106*K106*L106/20,0))</x:f>
      </x:c>
      <x:c r="N106" s="34"/>
      <x:c r="O106" s="34"/>
    </x:row>
    <x:row r="107" ht="34" customHeight="1">
      <x:c r="A107" s="34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34"/>
      <x:c r="L107" s="54" t="str">
        <x:f>IF(A107="","",IF(COUNTA(D107:I107)&gt;=5,1,0))</x:f>
      </x:c>
      <x:c r="M107" s="52" t="str">
        <x:f>IF(A107="","",IFERROR(J107*K107*L107/20,0))</x:f>
      </x:c>
      <x:c r="N107" s="34"/>
      <x:c r="O107" s="34"/>
    </x:row>
    <x:row r="108" ht="34" customHeight="1">
      <x:c r="A108" s="34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54" t="str">
        <x:f>IF(A108="","",IF(COUNTA(D108:I108)&gt;=5,1,0))</x:f>
      </x:c>
      <x:c r="M108" s="52" t="str">
        <x:f>IF(A108="","",IFERROR(J108*K108*L108/20,0))</x:f>
      </x:c>
      <x:c r="N108" s="34"/>
      <x:c r="O108" s="34"/>
    </x:row>
    <x:row r="109" ht="34" customHeight="1">
      <x:c r="A109" s="34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54" t="str">
        <x:f>IF(A109="","",IF(COUNTA(D109:I109)&gt;=5,1,0))</x:f>
      </x:c>
      <x:c r="M109" s="52" t="str">
        <x:f>IF(A109="","",IFERROR(J109*K109*L109/20,0))</x:f>
      </x:c>
      <x:c r="N109" s="34"/>
      <x:c r="O109" s="34"/>
    </x:row>
    <x:row r="110" ht="34" customHeight="1">
      <x:c r="A110" s="34"/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34"/>
      <x:c r="L110" s="54" t="str">
        <x:f>IF(A110="","",IF(COUNTA(D110:I110)&gt;=5,1,0))</x:f>
      </x:c>
      <x:c r="M110" s="52" t="str">
        <x:f>IF(A110="","",IFERROR(J110*K110*L110/20,0))</x:f>
      </x:c>
      <x:c r="N110" s="34"/>
      <x:c r="O110" s="34"/>
    </x:row>
    <x:row r="111" ht="34" customHeight="1">
      <x:c r="A111" s="34"/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34"/>
      <x:c r="L111" s="54" t="str">
        <x:f>IF(A111="","",IF(COUNTA(D111:I111)&gt;=5,1,0))</x:f>
      </x:c>
      <x:c r="M111" s="52" t="str">
        <x:f>IF(A111="","",IFERROR(J111*K111*L111/20,0))</x:f>
      </x:c>
      <x:c r="N111" s="34"/>
      <x:c r="O111" s="34"/>
    </x:row>
    <x:row r="112" ht="34" customHeight="1">
      <x:c r="A112" s="34"/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34"/>
      <x:c r="L112" s="54" t="str">
        <x:f>IF(A112="","",IF(COUNTA(D112:I112)&gt;=5,1,0))</x:f>
      </x:c>
      <x:c r="M112" s="52" t="str">
        <x:f>IF(A112="","",IFERROR(J112*K112*L112/20,0))</x:f>
      </x:c>
      <x:c r="N112" s="34"/>
      <x:c r="O112" s="34"/>
    </x:row>
    <x:row r="113" ht="34" customHeight="1">
      <x:c r="A113" s="34"/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34"/>
      <x:c r="L113" s="54" t="str">
        <x:f>IF(A113="","",IF(COUNTA(D113:I113)&gt;=5,1,0))</x:f>
      </x:c>
      <x:c r="M113" s="52" t="str">
        <x:f>IF(A113="","",IFERROR(J113*K113*L113/20,0))</x:f>
      </x:c>
      <x:c r="N113" s="34"/>
      <x:c r="O113" s="34"/>
    </x:row>
    <x:row r="114" ht="34" customHeight="1">
      <x:c r="A114" s="34"/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54" t="str">
        <x:f>IF(A114="","",IF(COUNTA(D114:I114)&gt;=5,1,0))</x:f>
      </x:c>
      <x:c r="M114" s="52" t="str">
        <x:f>IF(A114="","",IFERROR(J114*K114*L114/20,0))</x:f>
      </x:c>
      <x:c r="N114" s="34"/>
      <x:c r="O114" s="34"/>
    </x:row>
    <x:row r="115" ht="34" customHeight="1">
      <x:c r="A115" s="34"/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34"/>
      <x:c r="L115" s="54" t="str">
        <x:f>IF(A115="","",IF(COUNTA(D115:I115)&gt;=5,1,0))</x:f>
      </x:c>
      <x:c r="M115" s="52" t="str">
        <x:f>IF(A115="","",IFERROR(J115*K115*L115/20,0))</x:f>
      </x:c>
      <x:c r="N115" s="34"/>
      <x:c r="O115" s="34"/>
    </x:row>
    <x:row r="116" ht="34" customHeight="1">
      <x:c r="A116" s="34"/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34"/>
      <x:c r="L116" s="54" t="str">
        <x:f>IF(A116="","",IF(COUNTA(D116:I116)&gt;=5,1,0))</x:f>
      </x:c>
      <x:c r="M116" s="52" t="str">
        <x:f>IF(A116="","",IFERROR(J116*K116*L116/20,0))</x:f>
      </x:c>
      <x:c r="N116" s="34"/>
      <x:c r="O116" s="34"/>
    </x:row>
    <x:row r="117" ht="34" customHeight="1">
      <x:c r="A117" s="34"/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  <x:c r="L117" s="54" t="str">
        <x:f>IF(A117="","",IF(COUNTA(D117:I117)&gt;=5,1,0))</x:f>
      </x:c>
      <x:c r="M117" s="52" t="str">
        <x:f>IF(A117="","",IFERROR(J117*K117*L117/20,0))</x:f>
      </x:c>
      <x:c r="N117" s="34"/>
      <x:c r="O117" s="34"/>
    </x:row>
    <x:row r="118" ht="34" customHeight="1">
      <x:c r="A118" s="34"/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34"/>
      <x:c r="L118" s="54" t="str">
        <x:f>IF(A118="","",IF(COUNTA(D118:I118)&gt;=5,1,0))</x:f>
      </x:c>
      <x:c r="M118" s="52" t="str">
        <x:f>IF(A118="","",IFERROR(J118*K118*L118/20,0))</x:f>
      </x:c>
      <x:c r="N118" s="34"/>
      <x:c r="O118" s="34"/>
    </x:row>
    <x:row r="119" ht="34" customHeight="1">
      <x:c r="A119" s="34"/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34"/>
      <x:c r="L119" s="54" t="str">
        <x:f>IF(A119="","",IF(COUNTA(D119:I119)&gt;=5,1,0))</x:f>
      </x:c>
      <x:c r="M119" s="52" t="str">
        <x:f>IF(A119="","",IFERROR(J119*K119*L119/20,0))</x:f>
      </x:c>
      <x:c r="N119" s="34"/>
      <x:c r="O119" s="34"/>
    </x:row>
    <x:row r="120" ht="34" customHeight="1">
      <x:c r="A120" s="34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34"/>
      <x:c r="L120" s="54" t="str">
        <x:f>IF(A120="","",IF(COUNTA(D120:I120)&gt;=5,1,0))</x:f>
      </x:c>
      <x:c r="M120" s="52" t="str">
        <x:f>IF(A120="","",IFERROR(J120*K120*L120/20,0))</x:f>
      </x:c>
      <x:c r="N120" s="34"/>
      <x:c r="O120" s="34"/>
    </x:row>
    <x:row r="121" ht="34" customHeight="1">
      <x:c r="A121" s="34"/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54" t="str">
        <x:f>IF(A121="","",IF(COUNTA(D121:I121)&gt;=5,1,0))</x:f>
      </x:c>
      <x:c r="M121" s="52" t="str">
        <x:f>IF(A121="","",IFERROR(J121*K121*L121/20,0))</x:f>
      </x:c>
      <x:c r="N121" s="34"/>
      <x:c r="O121" s="34"/>
    </x:row>
    <x:row r="122" ht="34" customHeight="1">
      <x:c r="A122" s="34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54" t="str">
        <x:f>IF(A122="","",IF(COUNTA(D122:I122)&gt;=5,1,0))</x:f>
      </x:c>
      <x:c r="M122" s="52" t="str">
        <x:f>IF(A122="","",IFERROR(J122*K122*L122/20,0))</x:f>
      </x:c>
      <x:c r="N122" s="34"/>
      <x:c r="O122" s="34"/>
    </x:row>
    <x:row r="123" ht="34" customHeight="1">
      <x:c r="A123" s="34"/>
      <x:c r="B123" s="34"/>
      <x:c r="C123" s="34"/>
      <x:c r="D123" s="34"/>
      <x:c r="E123" s="34"/>
      <x:c r="F123" s="34"/>
      <x:c r="G123" s="34"/>
      <x:c r="H123" s="34"/>
      <x:c r="I123" s="34"/>
      <x:c r="J123" s="34"/>
      <x:c r="K123" s="34"/>
      <x:c r="L123" s="54" t="str">
        <x:f>IF(A123="","",IF(COUNTA(D123:I123)&gt;=5,1,0))</x:f>
      </x:c>
      <x:c r="M123" s="52" t="str">
        <x:f>IF(A123="","",IFERROR(J123*K123*L123/20,0))</x:f>
      </x:c>
      <x:c r="N123" s="34"/>
      <x:c r="O123" s="34"/>
    </x:row>
    <x:row r="124" ht="34" customHeight="1">
      <x:c r="A124" s="34"/>
      <x:c r="B124" s="34"/>
      <x:c r="C124" s="34"/>
      <x:c r="D124" s="34"/>
      <x:c r="E124" s="34"/>
      <x:c r="F124" s="34"/>
      <x:c r="G124" s="34"/>
      <x:c r="H124" s="34"/>
      <x:c r="I124" s="34"/>
      <x:c r="J124" s="34"/>
      <x:c r="K124" s="34"/>
      <x:c r="L124" s="54" t="str">
        <x:f>IF(A124="","",IF(COUNTA(D124:I124)&gt;=5,1,0))</x:f>
      </x:c>
      <x:c r="M124" s="52" t="str">
        <x:f>IF(A124="","",IFERROR(J124*K124*L124/20,0))</x:f>
      </x:c>
      <x:c r="N124" s="34"/>
      <x:c r="O124" s="34"/>
    </x:row>
    <x:row r="125" ht="34" customHeight="1">
      <x:c r="A125" s="34"/>
      <x:c r="B125" s="34"/>
      <x:c r="C125" s="34"/>
      <x:c r="D125" s="34"/>
      <x:c r="E125" s="34"/>
      <x:c r="F125" s="34"/>
      <x:c r="G125" s="34"/>
      <x:c r="H125" s="34"/>
      <x:c r="I125" s="34"/>
      <x:c r="J125" s="34"/>
      <x:c r="K125" s="34"/>
      <x:c r="L125" s="54" t="str">
        <x:f>IF(A125="","",IF(COUNTA(D125:I125)&gt;=5,1,0))</x:f>
      </x:c>
      <x:c r="M125" s="52" t="str">
        <x:f>IF(A125="","",IFERROR(J125*K125*L125/20,0))</x:f>
      </x:c>
      <x:c r="N125" s="34"/>
      <x:c r="O125" s="34"/>
    </x:row>
    <x:row r="126" ht="34" customHeight="1">
      <x:c r="A126" s="34"/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34"/>
      <x:c r="L126" s="54" t="str">
        <x:f>IF(A126="","",IF(COUNTA(D126:I126)&gt;=5,1,0))</x:f>
      </x:c>
      <x:c r="M126" s="52" t="str">
        <x:f>IF(A126="","",IFERROR(J126*K126*L126/20,0))</x:f>
      </x:c>
      <x:c r="N126" s="34"/>
      <x:c r="O126" s="34"/>
    </x:row>
    <x:row r="127" ht="34" customHeight="1">
      <x:c r="A127" s="34"/>
      <x:c r="B127" s="34"/>
      <x:c r="C127" s="34"/>
      <x:c r="D127" s="34"/>
      <x:c r="E127" s="34"/>
      <x:c r="F127" s="34"/>
      <x:c r="G127" s="34"/>
      <x:c r="H127" s="34"/>
      <x:c r="I127" s="34"/>
      <x:c r="J127" s="34"/>
      <x:c r="K127" s="34"/>
      <x:c r="L127" s="54" t="str">
        <x:f>IF(A127="","",IF(COUNTA(D127:I127)&gt;=5,1,0))</x:f>
      </x:c>
      <x:c r="M127" s="52" t="str">
        <x:f>IF(A127="","",IFERROR(J127*K127*L127/20,0))</x:f>
      </x:c>
      <x:c r="N127" s="34"/>
      <x:c r="O127" s="34"/>
    </x:row>
    <x:row r="128" ht="34" customHeight="1">
      <x:c r="A128" s="34"/>
      <x:c r="B128" s="34"/>
      <x:c r="C128" s="34"/>
      <x:c r="D128" s="34"/>
      <x:c r="E128" s="34"/>
      <x:c r="F128" s="34"/>
      <x:c r="G128" s="34"/>
      <x:c r="H128" s="34"/>
      <x:c r="I128" s="34"/>
      <x:c r="J128" s="34"/>
      <x:c r="K128" s="34"/>
      <x:c r="L128" s="54" t="str">
        <x:f>IF(A128="","",IF(COUNTA(D128:I128)&gt;=5,1,0))</x:f>
      </x:c>
      <x:c r="M128" s="52" t="str">
        <x:f>IF(A128="","",IFERROR(J128*K128*L128/20,0))</x:f>
      </x:c>
      <x:c r="N128" s="34"/>
      <x:c r="O128" s="34"/>
    </x:row>
    <x:row r="129" ht="34" customHeight="1">
      <x:c r="A129" s="34"/>
      <x:c r="B129" s="34"/>
      <x:c r="C129" s="34"/>
      <x:c r="D129" s="34"/>
      <x:c r="E129" s="34"/>
      <x:c r="F129" s="34"/>
      <x:c r="G129" s="34"/>
      <x:c r="H129" s="34"/>
      <x:c r="I129" s="34"/>
      <x:c r="J129" s="34"/>
      <x:c r="K129" s="34"/>
      <x:c r="L129" s="54" t="str">
        <x:f>IF(A129="","",IF(COUNTA(D129:I129)&gt;=5,1,0))</x:f>
      </x:c>
      <x:c r="M129" s="52" t="str">
        <x:f>IF(A129="","",IFERROR(J129*K129*L129/20,0))</x:f>
      </x:c>
      <x:c r="N129" s="34"/>
      <x:c r="O129" s="34"/>
    </x:row>
    <x:row r="130" ht="34" customHeight="1">
      <x:c r="A130" s="34"/>
      <x:c r="B130" s="34"/>
      <x:c r="C130" s="34"/>
      <x:c r="D130" s="34"/>
      <x:c r="E130" s="34"/>
      <x:c r="F130" s="34"/>
      <x:c r="G130" s="34"/>
      <x:c r="H130" s="34"/>
      <x:c r="I130" s="34"/>
      <x:c r="J130" s="34"/>
      <x:c r="K130" s="34"/>
      <x:c r="L130" s="54" t="str">
        <x:f>IF(A130="","",IF(COUNTA(D130:I130)&gt;=5,1,0))</x:f>
      </x:c>
      <x:c r="M130" s="52" t="str">
        <x:f>IF(A130="","",IFERROR(J130*K130*L130/20,0))</x:f>
      </x:c>
      <x:c r="N130" s="34"/>
      <x:c r="O130" s="34"/>
    </x:row>
    <x:row r="131" ht="34" customHeight="1">
      <x:c r="A131" s="34"/>
      <x:c r="B131" s="34"/>
      <x:c r="C131" s="34"/>
      <x:c r="D131" s="34"/>
      <x:c r="E131" s="34"/>
      <x:c r="F131" s="34"/>
      <x:c r="G131" s="34"/>
      <x:c r="H131" s="34"/>
      <x:c r="I131" s="34"/>
      <x:c r="J131" s="34"/>
      <x:c r="K131" s="34"/>
      <x:c r="L131" s="54" t="str">
        <x:f>IF(A131="","",IF(COUNTA(D131:I131)&gt;=5,1,0))</x:f>
      </x:c>
      <x:c r="M131" s="52" t="str">
        <x:f>IF(A131="","",IFERROR(J131*K131*L131/20,0))</x:f>
      </x:c>
      <x:c r="N131" s="34"/>
      <x:c r="O131" s="34"/>
    </x:row>
    <x:row r="132" ht="34" customHeight="1">
      <x:c r="A132" s="34"/>
      <x:c r="B132" s="34"/>
      <x:c r="C132" s="34"/>
      <x:c r="D132" s="34"/>
      <x:c r="E132" s="34"/>
      <x:c r="F132" s="34"/>
      <x:c r="G132" s="34"/>
      <x:c r="H132" s="34"/>
      <x:c r="I132" s="34"/>
      <x:c r="J132" s="34"/>
      <x:c r="K132" s="34"/>
      <x:c r="L132" s="54" t="str">
        <x:f>IF(A132="","",IF(COUNTA(D132:I132)&gt;=5,1,0))</x:f>
      </x:c>
      <x:c r="M132" s="52" t="str">
        <x:f>IF(A132="","",IFERROR(J132*K132*L132/20,0))</x:f>
      </x:c>
      <x:c r="N132" s="34"/>
      <x:c r="O132" s="34"/>
    </x:row>
    <x:row r="133" ht="34" customHeight="1">
      <x:c r="A133" s="34"/>
      <x:c r="B133" s="34"/>
      <x:c r="C133" s="34"/>
      <x:c r="D133" s="34"/>
      <x:c r="E133" s="34"/>
      <x:c r="F133" s="34"/>
      <x:c r="G133" s="34"/>
      <x:c r="H133" s="34"/>
      <x:c r="I133" s="34"/>
      <x:c r="J133" s="34"/>
      <x:c r="K133" s="34"/>
      <x:c r="L133" s="54" t="str">
        <x:f>IF(A133="","",IF(COUNTA(D133:I133)&gt;=5,1,0))</x:f>
      </x:c>
      <x:c r="M133" s="52" t="str">
        <x:f>IF(A133="","",IFERROR(J133*K133*L133/20,0))</x:f>
      </x:c>
      <x:c r="N133" s="34"/>
      <x:c r="O133" s="34"/>
    </x:row>
    <x:row r="134" ht="34" customHeight="1">
      <x:c r="A134" s="34"/>
      <x:c r="B134" s="34"/>
      <x:c r="C134" s="34"/>
      <x:c r="D134" s="34"/>
      <x:c r="E134" s="34"/>
      <x:c r="F134" s="34"/>
      <x:c r="G134" s="34"/>
      <x:c r="H134" s="34"/>
      <x:c r="I134" s="34"/>
      <x:c r="J134" s="34"/>
      <x:c r="K134" s="34"/>
      <x:c r="L134" s="54" t="str">
        <x:f>IF(A134="","",IF(COUNTA(D134:I134)&gt;=5,1,0))</x:f>
      </x:c>
      <x:c r="M134" s="52" t="str">
        <x:f>IF(A134="","",IFERROR(J134*K134*L134/20,0))</x:f>
      </x:c>
      <x:c r="N134" s="34"/>
      <x:c r="O134" s="34"/>
    </x:row>
    <x:row r="135" ht="34" customHeight="1">
      <x:c r="A135" s="34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  <x:c r="L135" s="54" t="str">
        <x:f>IF(A135="","",IF(COUNTA(D135:I135)&gt;=5,1,0))</x:f>
      </x:c>
      <x:c r="M135" s="52" t="str">
        <x:f>IF(A135="","",IFERROR(J135*K135*L135/20,0))</x:f>
      </x:c>
      <x:c r="N135" s="34"/>
      <x:c r="O135" s="34"/>
    </x:row>
    <x:row r="136" ht="34" customHeight="1">
      <x:c r="A136" s="34"/>
      <x:c r="B136" s="34"/>
      <x:c r="C136" s="34"/>
      <x:c r="D136" s="34"/>
      <x:c r="E136" s="34"/>
      <x:c r="F136" s="34"/>
      <x:c r="G136" s="34"/>
      <x:c r="H136" s="34"/>
      <x:c r="I136" s="34"/>
      <x:c r="J136" s="34"/>
      <x:c r="K136" s="34"/>
      <x:c r="L136" s="54" t="str">
        <x:f>IF(A136="","",IF(COUNTA(D136:I136)&gt;=5,1,0))</x:f>
      </x:c>
      <x:c r="M136" s="52" t="str">
        <x:f>IF(A136="","",IFERROR(J136*K136*L136/20,0))</x:f>
      </x:c>
      <x:c r="N136" s="34"/>
      <x:c r="O136" s="34"/>
    </x:row>
    <x:row r="137" ht="34" customHeight="1">
      <x:c r="A137" s="34"/>
      <x:c r="B137" s="34"/>
      <x:c r="C137" s="34"/>
      <x:c r="D137" s="34"/>
      <x:c r="E137" s="34"/>
      <x:c r="F137" s="34"/>
      <x:c r="G137" s="34"/>
      <x:c r="H137" s="34"/>
      <x:c r="I137" s="34"/>
      <x:c r="J137" s="34"/>
      <x:c r="K137" s="34"/>
      <x:c r="L137" s="54" t="str">
        <x:f>IF(A137="","",IF(COUNTA(D137:I137)&gt;=5,1,0))</x:f>
      </x:c>
      <x:c r="M137" s="52" t="str">
        <x:f>IF(A137="","",IFERROR(J137*K137*L137/20,0))</x:f>
      </x:c>
      <x:c r="N137" s="34"/>
      <x:c r="O137" s="34"/>
    </x:row>
    <x:row r="138" ht="34" customHeight="1">
      <x:c r="A138" s="34"/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34"/>
      <x:c r="L138" s="54" t="str">
        <x:f>IF(A138="","",IF(COUNTA(D138:I138)&gt;=5,1,0))</x:f>
      </x:c>
      <x:c r="M138" s="52" t="str">
        <x:f>IF(A138="","",IFERROR(J138*K138*L138/20,0))</x:f>
      </x:c>
      <x:c r="N138" s="34"/>
      <x:c r="O138" s="34"/>
    </x:row>
    <x:row r="139" ht="34" customHeight="1">
      <x:c r="A139" s="34"/>
      <x:c r="B139" s="34"/>
      <x:c r="C139" s="34"/>
      <x:c r="D139" s="34"/>
      <x:c r="E139" s="34"/>
      <x:c r="F139" s="34"/>
      <x:c r="G139" s="34"/>
      <x:c r="H139" s="34"/>
      <x:c r="I139" s="34"/>
      <x:c r="J139" s="34"/>
      <x:c r="K139" s="34"/>
      <x:c r="L139" s="54" t="str">
        <x:f>IF(A139="","",IF(COUNTA(D139:I139)&gt;=5,1,0))</x:f>
      </x:c>
      <x:c r="M139" s="52" t="str">
        <x:f>IF(A139="","",IFERROR(J139*K139*L139/20,0))</x:f>
      </x:c>
      <x:c r="N139" s="34"/>
      <x:c r="O139" s="34"/>
    </x:row>
    <x:row r="140" ht="34" customHeight="1">
      <x:c r="A140" s="34"/>
      <x:c r="B140" s="34"/>
      <x:c r="C140" s="34"/>
      <x:c r="D140" s="34"/>
      <x:c r="E140" s="34"/>
      <x:c r="F140" s="34"/>
      <x:c r="G140" s="34"/>
      <x:c r="H140" s="34"/>
      <x:c r="I140" s="34"/>
      <x:c r="J140" s="34"/>
      <x:c r="K140" s="34"/>
      <x:c r="L140" s="54" t="str">
        <x:f>IF(A140="","",IF(COUNTA(D140:I140)&gt;=5,1,0))</x:f>
      </x:c>
      <x:c r="M140" s="52" t="str">
        <x:f>IF(A140="","",IFERROR(J140*K140*L140/20,0))</x:f>
      </x:c>
      <x:c r="N140" s="34"/>
      <x:c r="O140" s="34"/>
    </x:row>
    <x:row r="141" ht="34" customHeight="1">
      <x:c r="A141" s="34"/>
      <x:c r="B141" s="34"/>
      <x:c r="C141" s="34"/>
      <x:c r="D141" s="34"/>
      <x:c r="E141" s="34"/>
      <x:c r="F141" s="34"/>
      <x:c r="G141" s="34"/>
      <x:c r="H141" s="34"/>
      <x:c r="I141" s="34"/>
      <x:c r="J141" s="34"/>
      <x:c r="K141" s="34"/>
      <x:c r="L141" s="54" t="str">
        <x:f>IF(A141="","",IF(COUNTA(D141:I141)&gt;=5,1,0))</x:f>
      </x:c>
      <x:c r="M141" s="52" t="str">
        <x:f>IF(A141="","",IFERROR(J141*K141*L141/20,0))</x:f>
      </x:c>
      <x:c r="N141" s="34"/>
      <x:c r="O141" s="34"/>
    </x:row>
    <x:row r="142" ht="34" customHeight="1">
      <x:c r="A142" s="34"/>
      <x:c r="B142" s="34"/>
      <x:c r="C142" s="34"/>
      <x:c r="D142" s="34"/>
      <x:c r="E142" s="34"/>
      <x:c r="F142" s="34"/>
      <x:c r="G142" s="34"/>
      <x:c r="H142" s="34"/>
      <x:c r="I142" s="34"/>
      <x:c r="J142" s="34"/>
      <x:c r="K142" s="34"/>
      <x:c r="L142" s="54" t="str">
        <x:f>IF(A142="","",IF(COUNTA(D142:I142)&gt;=5,1,0))</x:f>
      </x:c>
      <x:c r="M142" s="52" t="str">
        <x:f>IF(A142="","",IFERROR(J142*K142*L142/20,0))</x:f>
      </x:c>
      <x:c r="N142" s="34"/>
      <x:c r="O142" s="34"/>
    </x:row>
    <x:row r="143" ht="34" customHeight="1">
      <x:c r="A143" s="34"/>
      <x:c r="B143" s="34"/>
      <x:c r="C143" s="34"/>
      <x:c r="D143" s="34"/>
      <x:c r="E143" s="34"/>
      <x:c r="F143" s="34"/>
      <x:c r="G143" s="34"/>
      <x:c r="H143" s="34"/>
      <x:c r="I143" s="34"/>
      <x:c r="J143" s="34"/>
      <x:c r="K143" s="34"/>
      <x:c r="L143" s="54" t="str">
        <x:f>IF(A143="","",IF(COUNTA(D143:I143)&gt;=5,1,0))</x:f>
      </x:c>
      <x:c r="M143" s="52" t="str">
        <x:f>IF(A143="","",IFERROR(J143*K143*L143/20,0))</x:f>
      </x:c>
      <x:c r="N143" s="34"/>
      <x:c r="O143" s="34"/>
    </x:row>
    <x:row r="144" ht="34" customHeight="1">
      <x:c r="A144" s="34"/>
      <x:c r="B144" s="34"/>
      <x:c r="C144" s="34"/>
      <x:c r="D144" s="34"/>
      <x:c r="E144" s="34"/>
      <x:c r="F144" s="34"/>
      <x:c r="G144" s="34"/>
      <x:c r="H144" s="34"/>
      <x:c r="I144" s="34"/>
      <x:c r="J144" s="34"/>
      <x:c r="K144" s="34"/>
      <x:c r="L144" s="54" t="str">
        <x:f>IF(A144="","",IF(COUNTA(D144:I144)&gt;=5,1,0))</x:f>
      </x:c>
      <x:c r="M144" s="52" t="str">
        <x:f>IF(A144="","",IFERROR(J144*K144*L144/20,0))</x:f>
      </x:c>
      <x:c r="N144" s="34"/>
      <x:c r="O144" s="34"/>
    </x:row>
    <x:row r="145" ht="34" customHeight="1">
      <x:c r="A145" s="34"/>
      <x:c r="B145" s="34"/>
      <x:c r="C145" s="34"/>
      <x:c r="D145" s="34"/>
      <x:c r="E145" s="34"/>
      <x:c r="F145" s="34"/>
      <x:c r="G145" s="34"/>
      <x:c r="H145" s="34"/>
      <x:c r="I145" s="34"/>
      <x:c r="J145" s="34"/>
      <x:c r="K145" s="34"/>
      <x:c r="L145" s="54" t="str">
        <x:f>IF(A145="","",IF(COUNTA(D145:I145)&gt;=5,1,0))</x:f>
      </x:c>
      <x:c r="M145" s="52" t="str">
        <x:f>IF(A145="","",IFERROR(J145*K145*L145/20,0))</x:f>
      </x:c>
      <x:c r="N145" s="34"/>
      <x:c r="O145" s="34"/>
    </x:row>
    <x:row r="146" ht="34" customHeight="1">
      <x:c r="A146" s="34"/>
      <x:c r="B146" s="34"/>
      <x:c r="C146" s="34"/>
      <x:c r="D146" s="34"/>
      <x:c r="E146" s="34"/>
      <x:c r="F146" s="34"/>
      <x:c r="G146" s="34"/>
      <x:c r="H146" s="34"/>
      <x:c r="I146" s="34"/>
      <x:c r="J146" s="34"/>
      <x:c r="K146" s="34"/>
      <x:c r="L146" s="54" t="str">
        <x:f>IF(A146="","",IF(COUNTA(D146:I146)&gt;=5,1,0))</x:f>
      </x:c>
      <x:c r="M146" s="52" t="str">
        <x:f>IF(A146="","",IFERROR(J146*K146*L146/20,0))</x:f>
      </x:c>
      <x:c r="N146" s="34"/>
      <x:c r="O146" s="34"/>
    </x:row>
    <x:row r="147" ht="34" customHeight="1">
      <x:c r="A147" s="34"/>
      <x:c r="B147" s="34"/>
      <x:c r="C147" s="34"/>
      <x:c r="D147" s="34"/>
      <x:c r="E147" s="34"/>
      <x:c r="F147" s="34"/>
      <x:c r="G147" s="34"/>
      <x:c r="H147" s="34"/>
      <x:c r="I147" s="34"/>
      <x:c r="J147" s="34"/>
      <x:c r="K147" s="34"/>
      <x:c r="L147" s="54" t="str">
        <x:f>IF(A147="","",IF(COUNTA(D147:I147)&gt;=5,1,0))</x:f>
      </x:c>
      <x:c r="M147" s="52" t="str">
        <x:f>IF(A147="","",IFERROR(J147*K147*L147/20,0))</x:f>
      </x:c>
      <x:c r="N147" s="34"/>
      <x:c r="O147" s="34"/>
    </x:row>
    <x:row r="148" ht="34" customHeight="1">
      <x:c r="A148" s="34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  <x:c r="L148" s="54" t="str">
        <x:f>IF(A148="","",IF(COUNTA(D148:I148)&gt;=5,1,0))</x:f>
      </x:c>
      <x:c r="M148" s="52" t="str">
        <x:f>IF(A148="","",IFERROR(J148*K148*L148/20,0))</x:f>
      </x:c>
      <x:c r="N148" s="34"/>
      <x:c r="O148" s="34"/>
    </x:row>
    <x:row r="149" ht="34" customHeight="1">
      <x:c r="A149" s="34"/>
      <x:c r="B149" s="34"/>
      <x:c r="C149" s="34"/>
      <x:c r="D149" s="34"/>
      <x:c r="E149" s="34"/>
      <x:c r="F149" s="34"/>
      <x:c r="G149" s="34"/>
      <x:c r="H149" s="34"/>
      <x:c r="I149" s="34"/>
      <x:c r="J149" s="34"/>
      <x:c r="K149" s="34"/>
      <x:c r="L149" s="54" t="str">
        <x:f>IF(A149="","",IF(COUNTA(D149:I149)&gt;=5,1,0))</x:f>
      </x:c>
      <x:c r="M149" s="52" t="str">
        <x:f>IF(A149="","",IFERROR(J149*K149*L149/20,0))</x:f>
      </x:c>
      <x:c r="N149" s="34"/>
      <x:c r="O149" s="34"/>
    </x:row>
    <x:row r="150" ht="34" customHeight="1">
      <x:c r="A150" s="34"/>
      <x:c r="B150" s="34"/>
      <x:c r="C150" s="34"/>
      <x:c r="D150" s="34"/>
      <x:c r="E150" s="34"/>
      <x:c r="F150" s="34"/>
      <x:c r="G150" s="34"/>
      <x:c r="H150" s="34"/>
      <x:c r="I150" s="34"/>
      <x:c r="J150" s="34"/>
      <x:c r="K150" s="34"/>
      <x:c r="L150" s="54" t="str">
        <x:f>IF(A150="","",IF(COUNTA(D150:I150)&gt;=5,1,0))</x:f>
      </x:c>
      <x:c r="M150" s="52" t="str">
        <x:f>IF(A150="","",IFERROR(J150*K150*L150/20,0))</x:f>
      </x:c>
      <x:c r="N150" s="34"/>
      <x:c r="O150" s="34"/>
    </x:row>
    <x:row r="151" ht="34" customHeight="1">
      <x:c r="A151" s="34"/>
      <x:c r="B151" s="34"/>
      <x:c r="C151" s="34"/>
      <x:c r="D151" s="34"/>
      <x:c r="E151" s="34"/>
      <x:c r="F151" s="34"/>
      <x:c r="G151" s="34"/>
      <x:c r="H151" s="34"/>
      <x:c r="I151" s="34"/>
      <x:c r="J151" s="34"/>
      <x:c r="K151" s="34"/>
      <x:c r="L151" s="54" t="str">
        <x:f>IF(A151="","",IF(COUNTA(D151:I151)&gt;=5,1,0))</x:f>
      </x:c>
      <x:c r="M151" s="52" t="str">
        <x:f>IF(A151="","",IFERROR(J151*K151*L151/20,0))</x:f>
      </x:c>
      <x:c r="N151" s="34"/>
      <x:c r="O151" s="34"/>
    </x:row>
    <x:row r="152" ht="34" customHeight="1">
      <x:c r="A152" s="34"/>
      <x:c r="B152" s="34"/>
      <x:c r="C152" s="34"/>
      <x:c r="D152" s="34"/>
      <x:c r="E152" s="34"/>
      <x:c r="F152" s="34"/>
      <x:c r="G152" s="34"/>
      <x:c r="H152" s="34"/>
      <x:c r="I152" s="34"/>
      <x:c r="J152" s="34"/>
      <x:c r="K152" s="34"/>
      <x:c r="L152" s="54" t="str">
        <x:f>IF(A152="","",IF(COUNTA(D152:I152)&gt;=5,1,0))</x:f>
      </x:c>
      <x:c r="M152" s="52" t="str">
        <x:f>IF(A152="","",IFERROR(J152*K152*L152/20,0))</x:f>
      </x:c>
      <x:c r="N152" s="34"/>
      <x:c r="O152" s="34"/>
    </x:row>
    <x:row r="153" ht="34" customHeight="1">
      <x:c r="A153" s="34"/>
      <x:c r="B153" s="34"/>
      <x:c r="C153" s="34"/>
      <x:c r="D153" s="34"/>
      <x:c r="E153" s="34"/>
      <x:c r="F153" s="34"/>
      <x:c r="G153" s="34"/>
      <x:c r="H153" s="34"/>
      <x:c r="I153" s="34"/>
      <x:c r="J153" s="34"/>
      <x:c r="K153" s="34"/>
      <x:c r="L153" s="54" t="str">
        <x:f>IF(A153="","",IF(COUNTA(D153:I153)&gt;=5,1,0))</x:f>
      </x:c>
      <x:c r="M153" s="52" t="str">
        <x:f>IF(A153="","",IFERROR(J153*K153*L153/20,0))</x:f>
      </x:c>
      <x:c r="N153" s="34"/>
      <x:c r="O153" s="34"/>
    </x:row>
    <x:row r="154" ht="34" customHeight="1">
      <x:c r="A154" s="34"/>
      <x:c r="B154" s="34"/>
      <x:c r="C154" s="34"/>
      <x:c r="D154" s="34"/>
      <x:c r="E154" s="34"/>
      <x:c r="F154" s="34"/>
      <x:c r="G154" s="34"/>
      <x:c r="H154" s="34"/>
      <x:c r="I154" s="34"/>
      <x:c r="J154" s="34"/>
      <x:c r="K154" s="34"/>
      <x:c r="L154" s="54" t="str">
        <x:f>IF(A154="","",IF(COUNTA(D154:I154)&gt;=5,1,0))</x:f>
      </x:c>
      <x:c r="M154" s="52" t="str">
        <x:f>IF(A154="","",IFERROR(J154*K154*L154/20,0))</x:f>
      </x:c>
      <x:c r="N154" s="34"/>
      <x:c r="O154" s="34"/>
    </x:row>
    <x:row r="155" ht="34" customHeight="1">
      <x:c r="A155" s="34"/>
      <x:c r="B155" s="34"/>
      <x:c r="C155" s="34"/>
      <x:c r="D155" s="34"/>
      <x:c r="E155" s="34"/>
      <x:c r="F155" s="34"/>
      <x:c r="G155" s="34"/>
      <x:c r="H155" s="34"/>
      <x:c r="I155" s="34"/>
      <x:c r="J155" s="34"/>
      <x:c r="K155" s="34"/>
      <x:c r="L155" s="54" t="str">
        <x:f>IF(A155="","",IF(COUNTA(D155:I155)&gt;=5,1,0))</x:f>
      </x:c>
      <x:c r="M155" s="52" t="str">
        <x:f>IF(A155="","",IFERROR(J155*K155*L155/20,0))</x:f>
      </x:c>
      <x:c r="N155" s="34"/>
      <x:c r="O155" s="34"/>
    </x:row>
    <x:row r="156" ht="34" customHeight="1">
      <x:c r="A156" s="34"/>
      <x:c r="B156" s="34"/>
      <x:c r="C156" s="34"/>
      <x:c r="D156" s="34"/>
      <x:c r="E156" s="34"/>
      <x:c r="F156" s="34"/>
      <x:c r="G156" s="34"/>
      <x:c r="H156" s="34"/>
      <x:c r="I156" s="34"/>
      <x:c r="J156" s="34"/>
      <x:c r="K156" s="34"/>
      <x:c r="L156" s="54" t="str">
        <x:f>IF(A156="","",IF(COUNTA(D156:I156)&gt;=5,1,0))</x:f>
      </x:c>
      <x:c r="M156" s="52" t="str">
        <x:f>IF(A156="","",IFERROR(J156*K156*L156/20,0))</x:f>
      </x:c>
      <x:c r="N156" s="34"/>
      <x:c r="O156" s="34"/>
    </x:row>
    <x:row r="157" ht="34" customHeight="1">
      <x:c r="A157" s="34"/>
      <x:c r="B157" s="34"/>
      <x:c r="C157" s="34"/>
      <x:c r="D157" s="34"/>
      <x:c r="E157" s="34"/>
      <x:c r="F157" s="34"/>
      <x:c r="G157" s="34"/>
      <x:c r="H157" s="34"/>
      <x:c r="I157" s="34"/>
      <x:c r="J157" s="34"/>
      <x:c r="K157" s="34"/>
      <x:c r="L157" s="54" t="str">
        <x:f>IF(A157="","",IF(COUNTA(D157:I157)&gt;=5,1,0))</x:f>
      </x:c>
      <x:c r="M157" s="52" t="str">
        <x:f>IF(A157="","",IFERROR(J157*K157*L157/20,0))</x:f>
      </x:c>
      <x:c r="N157" s="34"/>
      <x:c r="O157" s="34"/>
    </x:row>
    <x:row r="158" ht="34" customHeight="1">
      <x:c r="A158" s="34"/>
      <x:c r="B158" s="34"/>
      <x:c r="C158" s="34"/>
      <x:c r="D158" s="34"/>
      <x:c r="E158" s="34"/>
      <x:c r="F158" s="34"/>
      <x:c r="G158" s="34"/>
      <x:c r="H158" s="34"/>
      <x:c r="I158" s="34"/>
      <x:c r="J158" s="34"/>
      <x:c r="K158" s="34"/>
      <x:c r="L158" s="54" t="str">
        <x:f>IF(A158="","",IF(COUNTA(D158:I158)&gt;=5,1,0))</x:f>
      </x:c>
      <x:c r="M158" s="52" t="str">
        <x:f>IF(A158="","",IFERROR(J158*K158*L158/20,0))</x:f>
      </x:c>
      <x:c r="N158" s="34"/>
      <x:c r="O158" s="34"/>
    </x:row>
    <x:row r="159" ht="34" customHeight="1">
      <x:c r="A159" s="34"/>
      <x:c r="B159" s="34"/>
      <x:c r="C159" s="34"/>
      <x:c r="D159" s="34"/>
      <x:c r="E159" s="34"/>
      <x:c r="F159" s="34"/>
      <x:c r="G159" s="34"/>
      <x:c r="H159" s="34"/>
      <x:c r="I159" s="34"/>
      <x:c r="J159" s="34"/>
      <x:c r="K159" s="34"/>
      <x:c r="L159" s="54" t="str">
        <x:f>IF(A159="","",IF(COUNTA(D159:I159)&gt;=5,1,0))</x:f>
      </x:c>
      <x:c r="M159" s="52" t="str">
        <x:f>IF(A159="","",IFERROR(J159*K159*L159/20,0))</x:f>
      </x:c>
      <x:c r="N159" s="34"/>
      <x:c r="O159" s="34"/>
    </x:row>
    <x:row r="160" ht="34" customHeight="1">
      <x:c r="A160" s="34"/>
      <x:c r="B160" s="34"/>
      <x:c r="C160" s="34"/>
      <x:c r="D160" s="34"/>
      <x:c r="E160" s="34"/>
      <x:c r="F160" s="34"/>
      <x:c r="G160" s="34"/>
      <x:c r="H160" s="34"/>
      <x:c r="I160" s="34"/>
      <x:c r="J160" s="34"/>
      <x:c r="K160" s="34"/>
      <x:c r="L160" s="54" t="str">
        <x:f>IF(A160="","",IF(COUNTA(D160:I160)&gt;=5,1,0))</x:f>
      </x:c>
      <x:c r="M160" s="52" t="str">
        <x:f>IF(A160="","",IFERROR(J160*K160*L160/20,0))</x:f>
      </x:c>
      <x:c r="N160" s="34"/>
      <x:c r="O160" s="34"/>
    </x:row>
    <x:row r="161" ht="34" customHeight="1">
      <x:c r="A161" s="34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34"/>
      <x:c r="L161" s="54" t="str">
        <x:f>IF(A161="","",IF(COUNTA(D161:I161)&gt;=5,1,0))</x:f>
      </x:c>
      <x:c r="M161" s="52" t="str">
        <x:f>IF(A161="","",IFERROR(J161*K161*L161/20,0))</x:f>
      </x:c>
      <x:c r="N161" s="34"/>
      <x:c r="O161" s="34"/>
    </x:row>
    <x:row r="162" ht="34" customHeight="1">
      <x:c r="A162" s="34"/>
      <x:c r="B162" s="34"/>
      <x:c r="C162" s="34"/>
      <x:c r="D162" s="34"/>
      <x:c r="E162" s="34"/>
      <x:c r="F162" s="34"/>
      <x:c r="G162" s="34"/>
      <x:c r="H162" s="34"/>
      <x:c r="I162" s="34"/>
      <x:c r="J162" s="34"/>
      <x:c r="K162" s="34"/>
      <x:c r="L162" s="54" t="str">
        <x:f>IF(A162="","",IF(COUNTA(D162:I162)&gt;=5,1,0))</x:f>
      </x:c>
      <x:c r="M162" s="52" t="str">
        <x:f>IF(A162="","",IFERROR(J162*K162*L162/20,0))</x:f>
      </x:c>
      <x:c r="N162" s="34"/>
      <x:c r="O162" s="34"/>
    </x:row>
    <x:row r="163" ht="34" customHeight="1">
      <x:c r="A163" s="34"/>
      <x:c r="B163" s="34"/>
      <x:c r="C163" s="34"/>
      <x:c r="D163" s="34"/>
      <x:c r="E163" s="34"/>
      <x:c r="F163" s="34"/>
      <x:c r="G163" s="34"/>
      <x:c r="H163" s="34"/>
      <x:c r="I163" s="34"/>
      <x:c r="J163" s="34"/>
      <x:c r="K163" s="34"/>
      <x:c r="L163" s="54" t="str">
        <x:f>IF(A163="","",IF(COUNTA(D163:I163)&gt;=5,1,0))</x:f>
      </x:c>
      <x:c r="M163" s="52" t="str">
        <x:f>IF(A163="","",IFERROR(J163*K163*L163/20,0))</x:f>
      </x:c>
      <x:c r="N163" s="34"/>
      <x:c r="O163" s="34"/>
    </x:row>
    <x:row r="164" ht="34" customHeight="1">
      <x:c r="A164" s="34"/>
      <x:c r="B164" s="34"/>
      <x:c r="C164" s="34"/>
      <x:c r="D164" s="34"/>
      <x:c r="E164" s="34"/>
      <x:c r="F164" s="34"/>
      <x:c r="G164" s="34"/>
      <x:c r="H164" s="34"/>
      <x:c r="I164" s="34"/>
      <x:c r="J164" s="34"/>
      <x:c r="K164" s="34"/>
      <x:c r="L164" s="54" t="str">
        <x:f>IF(A164="","",IF(COUNTA(D164:I164)&gt;=5,1,0))</x:f>
      </x:c>
      <x:c r="M164" s="52" t="str">
        <x:f>IF(A164="","",IFERROR(J164*K164*L164/20,0))</x:f>
      </x:c>
      <x:c r="N164" s="34"/>
      <x:c r="O164" s="34"/>
    </x:row>
    <x:row r="165" ht="34" customHeight="1">
      <x:c r="A165" s="34"/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34"/>
      <x:c r="L165" s="54" t="str">
        <x:f>IF(A165="","",IF(COUNTA(D165:I165)&gt;=5,1,0))</x:f>
      </x:c>
      <x:c r="M165" s="52" t="str">
        <x:f>IF(A165="","",IFERROR(J165*K165*L165/20,0))</x:f>
      </x:c>
      <x:c r="N165" s="34"/>
      <x:c r="O165" s="34"/>
    </x:row>
    <x:row r="166" ht="34" customHeight="1">
      <x:c r="A166" s="34"/>
      <x:c r="B166" s="34"/>
      <x:c r="C166" s="34"/>
      <x:c r="D166" s="34"/>
      <x:c r="E166" s="34"/>
      <x:c r="F166" s="34"/>
      <x:c r="G166" s="34"/>
      <x:c r="H166" s="34"/>
      <x:c r="I166" s="34"/>
      <x:c r="J166" s="34"/>
      <x:c r="K166" s="34"/>
      <x:c r="L166" s="54" t="str">
        <x:f>IF(A166="","",IF(COUNTA(D166:I166)&gt;=5,1,0))</x:f>
      </x:c>
      <x:c r="M166" s="52" t="str">
        <x:f>IF(A166="","",IFERROR(J166*K166*L166/20,0))</x:f>
      </x:c>
      <x:c r="N166" s="34"/>
      <x:c r="O166" s="34"/>
    </x:row>
    <x:row r="167" ht="34" customHeight="1">
      <x:c r="A167" s="34"/>
      <x:c r="B167" s="34"/>
      <x:c r="C167" s="34"/>
      <x:c r="D167" s="34"/>
      <x:c r="E167" s="34"/>
      <x:c r="F167" s="34"/>
      <x:c r="G167" s="34"/>
      <x:c r="H167" s="34"/>
      <x:c r="I167" s="34"/>
      <x:c r="J167" s="34"/>
      <x:c r="K167" s="34"/>
      <x:c r="L167" s="54" t="str">
        <x:f>IF(A167="","",IF(COUNTA(D167:I167)&gt;=5,1,0))</x:f>
      </x:c>
      <x:c r="M167" s="52" t="str">
        <x:f>IF(A167="","",IFERROR(J167*K167*L167/20,0))</x:f>
      </x:c>
      <x:c r="N167" s="34"/>
      <x:c r="O167" s="34"/>
    </x:row>
    <x:row r="168" ht="34" customHeight="1">
      <x:c r="A168" s="34"/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54" t="str">
        <x:f>IF(A168="","",IF(COUNTA(D168:I168)&gt;=5,1,0))</x:f>
      </x:c>
      <x:c r="M168" s="52" t="str">
        <x:f>IF(A168="","",IFERROR(J168*K168*L168/20,0))</x:f>
      </x:c>
      <x:c r="N168" s="34"/>
      <x:c r="O168" s="34"/>
    </x:row>
    <x:row r="169" ht="34" customHeight="1">
      <x:c r="A169" s="34"/>
      <x:c r="B169" s="34"/>
      <x:c r="C169" s="34"/>
      <x:c r="D169" s="34"/>
      <x:c r="E169" s="34"/>
      <x:c r="F169" s="34"/>
      <x:c r="G169" s="34"/>
      <x:c r="H169" s="34"/>
      <x:c r="I169" s="34"/>
      <x:c r="J169" s="34"/>
      <x:c r="K169" s="34"/>
      <x:c r="L169" s="54" t="str">
        <x:f>IF(A169="","",IF(COUNTA(D169:I169)&gt;=5,1,0))</x:f>
      </x:c>
      <x:c r="M169" s="52" t="str">
        <x:f>IF(A169="","",IFERROR(J169*K169*L169/20,0))</x:f>
      </x:c>
      <x:c r="N169" s="34"/>
      <x:c r="O169" s="34"/>
    </x:row>
    <x:row r="170" ht="34" customHeight="1">
      <x:c r="A170" s="34"/>
      <x:c r="B170" s="34"/>
      <x:c r="C170" s="34"/>
      <x:c r="D170" s="34"/>
      <x:c r="E170" s="34"/>
      <x:c r="F170" s="34"/>
      <x:c r="G170" s="34"/>
      <x:c r="H170" s="34"/>
      <x:c r="I170" s="34"/>
      <x:c r="J170" s="34"/>
      <x:c r="K170" s="34"/>
      <x:c r="L170" s="54" t="str">
        <x:f>IF(A170="","",IF(COUNTA(D170:I170)&gt;=5,1,0))</x:f>
      </x:c>
      <x:c r="M170" s="52" t="str">
        <x:f>IF(A170="","",IFERROR(J170*K170*L170/20,0))</x:f>
      </x:c>
      <x:c r="N170" s="34"/>
      <x:c r="O170" s="34"/>
    </x:row>
    <x:row r="171" ht="34" customHeight="1">
      <x:c r="A171" s="34"/>
      <x:c r="B171" s="34"/>
      <x:c r="C171" s="34"/>
      <x:c r="D171" s="34"/>
      <x:c r="E171" s="34"/>
      <x:c r="F171" s="34"/>
      <x:c r="G171" s="34"/>
      <x:c r="H171" s="34"/>
      <x:c r="I171" s="34"/>
      <x:c r="J171" s="34"/>
      <x:c r="K171" s="34"/>
      <x:c r="L171" s="54" t="str">
        <x:f>IF(A171="","",IF(COUNTA(D171:I171)&gt;=5,1,0))</x:f>
      </x:c>
      <x:c r="M171" s="52" t="str">
        <x:f>IF(A171="","",IFERROR(J171*K171*L171/20,0))</x:f>
      </x:c>
      <x:c r="N171" s="34"/>
      <x:c r="O171" s="34"/>
    </x:row>
    <x:row r="172" ht="34" customHeight="1">
      <x:c r="A172" s="34"/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34"/>
      <x:c r="L172" s="54" t="str">
        <x:f>IF(A172="","",IF(COUNTA(D172:I172)&gt;=5,1,0))</x:f>
      </x:c>
      <x:c r="M172" s="52" t="str">
        <x:f>IF(A172="","",IFERROR(J172*K172*L172/20,0))</x:f>
      </x:c>
      <x:c r="N172" s="34"/>
      <x:c r="O172" s="34"/>
    </x:row>
    <x:row r="173" ht="34" customHeight="1">
      <x:c r="A173" s="34"/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54" t="str">
        <x:f>IF(A173="","",IF(COUNTA(D173:I173)&gt;=5,1,0))</x:f>
      </x:c>
      <x:c r="M173" s="52" t="str">
        <x:f>IF(A173="","",IFERROR(J173*K173*L173/20,0))</x:f>
      </x:c>
      <x:c r="N173" s="34"/>
      <x:c r="O173" s="34"/>
    </x:row>
    <x:row r="174" ht="34" customHeight="1">
      <x:c r="A174" s="34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34"/>
      <x:c r="L174" s="54" t="str">
        <x:f>IF(A174="","",IF(COUNTA(D174:I174)&gt;=5,1,0))</x:f>
      </x:c>
      <x:c r="M174" s="52" t="str">
        <x:f>IF(A174="","",IFERROR(J174*K174*L174/20,0))</x:f>
      </x:c>
      <x:c r="N174" s="34"/>
      <x:c r="O174" s="34"/>
    </x:row>
    <x:row r="175" ht="34" customHeight="1">
      <x:c r="A175" s="34"/>
      <x:c r="B175" s="34"/>
      <x:c r="C175" s="34"/>
      <x:c r="D175" s="34"/>
      <x:c r="E175" s="34"/>
      <x:c r="F175" s="34"/>
      <x:c r="G175" s="34"/>
      <x:c r="H175" s="34"/>
      <x:c r="I175" s="34"/>
      <x:c r="J175" s="34"/>
      <x:c r="K175" s="34"/>
      <x:c r="L175" s="54" t="str">
        <x:f>IF(A175="","",IF(COUNTA(D175:I175)&gt;=5,1,0))</x:f>
      </x:c>
      <x:c r="M175" s="52" t="str">
        <x:f>IF(A175="","",IFERROR(J175*K175*L175/20,0))</x:f>
      </x:c>
      <x:c r="N175" s="34"/>
      <x:c r="O175" s="34"/>
    </x:row>
    <x:row r="176" ht="34" customHeight="1">
      <x:c r="A176" s="34"/>
      <x:c r="B176" s="34"/>
      <x:c r="C176" s="34"/>
      <x:c r="D176" s="34"/>
      <x:c r="E176" s="34"/>
      <x:c r="F176" s="34"/>
      <x:c r="G176" s="34"/>
      <x:c r="H176" s="34"/>
      <x:c r="I176" s="34"/>
      <x:c r="J176" s="34"/>
      <x:c r="K176" s="34"/>
      <x:c r="L176" s="54" t="str">
        <x:f>IF(A176="","",IF(COUNTA(D176:I176)&gt;=5,1,0))</x:f>
      </x:c>
      <x:c r="M176" s="52" t="str">
        <x:f>IF(A176="","",IFERROR(J176*K176*L176/20,0))</x:f>
      </x:c>
      <x:c r="N176" s="34"/>
      <x:c r="O176" s="34"/>
    </x:row>
    <x:row r="177" ht="34" customHeight="1">
      <x:c r="A177" s="34"/>
      <x:c r="B177" s="34"/>
      <x:c r="C177" s="34"/>
      <x:c r="D177" s="34"/>
      <x:c r="E177" s="34"/>
      <x:c r="F177" s="34"/>
      <x:c r="G177" s="34"/>
      <x:c r="H177" s="34"/>
      <x:c r="I177" s="34"/>
      <x:c r="J177" s="34"/>
      <x:c r="K177" s="34"/>
      <x:c r="L177" s="54" t="str">
        <x:f>IF(A177="","",IF(COUNTA(D177:I177)&gt;=5,1,0))</x:f>
      </x:c>
      <x:c r="M177" s="52" t="str">
        <x:f>IF(A177="","",IFERROR(J177*K177*L177/20,0))</x:f>
      </x:c>
      <x:c r="N177" s="34"/>
      <x:c r="O177" s="34"/>
    </x:row>
    <x:row r="178" ht="34" customHeight="1">
      <x:c r="A178" s="34"/>
      <x:c r="B178" s="34"/>
      <x:c r="C178" s="34"/>
      <x:c r="D178" s="34"/>
      <x:c r="E178" s="34"/>
      <x:c r="F178" s="34"/>
      <x:c r="G178" s="34"/>
      <x:c r="H178" s="34"/>
      <x:c r="I178" s="34"/>
      <x:c r="J178" s="34"/>
      <x:c r="K178" s="34"/>
      <x:c r="L178" s="54" t="str">
        <x:f>IF(A178="","",IF(COUNTA(D178:I178)&gt;=5,1,0))</x:f>
      </x:c>
      <x:c r="M178" s="52" t="str">
        <x:f>IF(A178="","",IFERROR(J178*K178*L178/20,0))</x:f>
      </x:c>
      <x:c r="N178" s="34"/>
      <x:c r="O178" s="34"/>
    </x:row>
    <x:row r="179" ht="34" customHeight="1">
      <x:c r="A179" s="34"/>
      <x:c r="B179" s="34"/>
      <x:c r="C179" s="34"/>
      <x:c r="D179" s="34"/>
      <x:c r="E179" s="34"/>
      <x:c r="F179" s="34"/>
      <x:c r="G179" s="34"/>
      <x:c r="H179" s="34"/>
      <x:c r="I179" s="34"/>
      <x:c r="J179" s="34"/>
      <x:c r="K179" s="34"/>
      <x:c r="L179" s="54" t="str">
        <x:f>IF(A179="","",IF(COUNTA(D179:I179)&gt;=5,1,0))</x:f>
      </x:c>
      <x:c r="M179" s="52" t="str">
        <x:f>IF(A179="","",IFERROR(J179*K179*L179/20,0))</x:f>
      </x:c>
      <x:c r="N179" s="34"/>
      <x:c r="O179" s="34"/>
    </x:row>
    <x:row r="180" ht="34" customHeight="1">
      <x:c r="A180" s="34"/>
      <x:c r="B180" s="34"/>
      <x:c r="C180" s="34"/>
      <x:c r="D180" s="34"/>
      <x:c r="E180" s="34"/>
      <x:c r="F180" s="34"/>
      <x:c r="G180" s="34"/>
      <x:c r="H180" s="34"/>
      <x:c r="I180" s="34"/>
      <x:c r="J180" s="34"/>
      <x:c r="K180" s="34"/>
      <x:c r="L180" s="54" t="str">
        <x:f>IF(A180="","",IF(COUNTA(D180:I180)&gt;=5,1,0))</x:f>
      </x:c>
      <x:c r="M180" s="52" t="str">
        <x:f>IF(A180="","",IFERROR(J180*K180*L180/20,0))</x:f>
      </x:c>
      <x:c r="N180" s="34"/>
      <x:c r="O180" s="34"/>
    </x:row>
    <x:row r="181" ht="34" customHeight="1">
      <x:c r="A181" s="34"/>
      <x:c r="B181" s="34"/>
      <x:c r="C181" s="34"/>
      <x:c r="D181" s="34"/>
      <x:c r="E181" s="34"/>
      <x:c r="F181" s="34"/>
      <x:c r="G181" s="34"/>
      <x:c r="H181" s="34"/>
      <x:c r="I181" s="34"/>
      <x:c r="J181" s="34"/>
      <x:c r="K181" s="34"/>
      <x:c r="L181" s="54" t="str">
        <x:f>IF(A181="","",IF(COUNTA(D181:I181)&gt;=5,1,0))</x:f>
      </x:c>
      <x:c r="M181" s="52" t="str">
        <x:f>IF(A181="","",IFERROR(J181*K181*L181/20,0))</x:f>
      </x:c>
      <x:c r="N181" s="34"/>
      <x:c r="O181" s="34"/>
    </x:row>
    <x:row r="182" ht="34" customHeight="1">
      <x:c r="A182" s="34"/>
      <x:c r="B182" s="34"/>
      <x:c r="C182" s="34"/>
      <x:c r="D182" s="34"/>
      <x:c r="E182" s="34"/>
      <x:c r="F182" s="34"/>
      <x:c r="G182" s="34"/>
      <x:c r="H182" s="34"/>
      <x:c r="I182" s="34"/>
      <x:c r="J182" s="34"/>
      <x:c r="K182" s="34"/>
      <x:c r="L182" s="54" t="str">
        <x:f>IF(A182="","",IF(COUNTA(D182:I182)&gt;=5,1,0))</x:f>
      </x:c>
      <x:c r="M182" s="52" t="str">
        <x:f>IF(A182="","",IFERROR(J182*K182*L182/20,0))</x:f>
      </x:c>
      <x:c r="N182" s="34"/>
      <x:c r="O182" s="34"/>
    </x:row>
    <x:row r="183" ht="34" customHeight="1">
      <x:c r="A183" s="34"/>
      <x:c r="B183" s="34"/>
      <x:c r="C183" s="34"/>
      <x:c r="D183" s="34"/>
      <x:c r="E183" s="34"/>
      <x:c r="F183" s="34"/>
      <x:c r="G183" s="34"/>
      <x:c r="H183" s="34"/>
      <x:c r="I183" s="34"/>
      <x:c r="J183" s="34"/>
      <x:c r="K183" s="34"/>
      <x:c r="L183" s="54" t="str">
        <x:f>IF(A183="","",IF(COUNTA(D183:I183)&gt;=5,1,0))</x:f>
      </x:c>
      <x:c r="M183" s="52" t="str">
        <x:f>IF(A183="","",IFERROR(J183*K183*L183/20,0))</x:f>
      </x:c>
      <x:c r="N183" s="34"/>
      <x:c r="O183" s="34"/>
    </x:row>
    <x:row r="184" ht="34" customHeight="1">
      <x:c r="A184" s="34"/>
      <x:c r="B184" s="34"/>
      <x:c r="C184" s="34"/>
      <x:c r="D184" s="34"/>
      <x:c r="E184" s="34"/>
      <x:c r="F184" s="34"/>
      <x:c r="G184" s="34"/>
      <x:c r="H184" s="34"/>
      <x:c r="I184" s="34"/>
      <x:c r="J184" s="34"/>
      <x:c r="K184" s="34"/>
      <x:c r="L184" s="54" t="str">
        <x:f>IF(A184="","",IF(COUNTA(D184:I184)&gt;=5,1,0))</x:f>
      </x:c>
      <x:c r="M184" s="52" t="str">
        <x:f>IF(A184="","",IFERROR(J184*K184*L184/20,0))</x:f>
      </x:c>
      <x:c r="N184" s="34"/>
      <x:c r="O184" s="34"/>
    </x:row>
    <x:row r="185" ht="34" customHeight="1">
      <x:c r="A185" s="34"/>
      <x:c r="B185" s="34"/>
      <x:c r="C185" s="34"/>
      <x:c r="D185" s="34"/>
      <x:c r="E185" s="34"/>
      <x:c r="F185" s="34"/>
      <x:c r="G185" s="34"/>
      <x:c r="H185" s="34"/>
      <x:c r="I185" s="34"/>
      <x:c r="J185" s="34"/>
      <x:c r="K185" s="34"/>
      <x:c r="L185" s="54" t="str">
        <x:f>IF(A185="","",IF(COUNTA(D185:I185)&gt;=5,1,0))</x:f>
      </x:c>
      <x:c r="M185" s="52" t="str">
        <x:f>IF(A185="","",IFERROR(J185*K185*L185/20,0))</x:f>
      </x:c>
      <x:c r="N185" s="34"/>
      <x:c r="O185" s="34"/>
    </x:row>
    <x:row r="186" ht="34" customHeight="1">
      <x:c r="A186" s="34"/>
      <x:c r="B186" s="34"/>
      <x:c r="C186" s="34"/>
      <x:c r="D186" s="34"/>
      <x:c r="E186" s="34"/>
      <x:c r="F186" s="34"/>
      <x:c r="G186" s="34"/>
      <x:c r="H186" s="34"/>
      <x:c r="I186" s="34"/>
      <x:c r="J186" s="34"/>
      <x:c r="K186" s="34"/>
      <x:c r="L186" s="54" t="str">
        <x:f>IF(A186="","",IF(COUNTA(D186:I186)&gt;=5,1,0))</x:f>
      </x:c>
      <x:c r="M186" s="52" t="str">
        <x:f>IF(A186="","",IFERROR(J186*K186*L186/20,0))</x:f>
      </x:c>
      <x:c r="N186" s="34"/>
      <x:c r="O186" s="34"/>
    </x:row>
    <x:row r="187" ht="34" customHeight="1">
      <x:c r="A187" s="34"/>
      <x:c r="B187" s="34"/>
      <x:c r="C187" s="34"/>
      <x:c r="D187" s="34"/>
      <x:c r="E187" s="34"/>
      <x:c r="F187" s="34"/>
      <x:c r="G187" s="34"/>
      <x:c r="H187" s="34"/>
      <x:c r="I187" s="34"/>
      <x:c r="J187" s="34"/>
      <x:c r="K187" s="34"/>
      <x:c r="L187" s="54" t="str">
        <x:f>IF(A187="","",IF(COUNTA(D187:I187)&gt;=5,1,0))</x:f>
      </x:c>
      <x:c r="M187" s="52" t="str">
        <x:f>IF(A187="","",IFERROR(J187*K187*L187/20,0))</x:f>
      </x:c>
      <x:c r="N187" s="34"/>
      <x:c r="O187" s="34"/>
    </x:row>
    <x:row r="188" ht="34" customHeight="1">
      <x:c r="A188" s="34"/>
      <x:c r="B188" s="34"/>
      <x:c r="C188" s="34"/>
      <x:c r="D188" s="34"/>
      <x:c r="E188" s="34"/>
      <x:c r="F188" s="34"/>
      <x:c r="G188" s="34"/>
      <x:c r="H188" s="34"/>
      <x:c r="I188" s="34"/>
      <x:c r="J188" s="34"/>
      <x:c r="K188" s="34"/>
      <x:c r="L188" s="54" t="str">
        <x:f>IF(A188="","",IF(COUNTA(D188:I188)&gt;=5,1,0))</x:f>
      </x:c>
      <x:c r="M188" s="52" t="str">
        <x:f>IF(A188="","",IFERROR(J188*K188*L188/20,0))</x:f>
      </x:c>
      <x:c r="N188" s="34"/>
      <x:c r="O188" s="34"/>
    </x:row>
    <x:row r="189" ht="34" customHeight="1">
      <x:c r="A189" s="34"/>
      <x:c r="B189" s="34"/>
      <x:c r="C189" s="34"/>
      <x:c r="D189" s="34"/>
      <x:c r="E189" s="34"/>
      <x:c r="F189" s="34"/>
      <x:c r="G189" s="34"/>
      <x:c r="H189" s="34"/>
      <x:c r="I189" s="34"/>
      <x:c r="J189" s="34"/>
      <x:c r="K189" s="34"/>
      <x:c r="L189" s="54" t="str">
        <x:f>IF(A189="","",IF(COUNTA(D189:I189)&gt;=5,1,0))</x:f>
      </x:c>
      <x:c r="M189" s="52" t="str">
        <x:f>IF(A189="","",IFERROR(J189*K189*L189/20,0))</x:f>
      </x:c>
      <x:c r="N189" s="34"/>
      <x:c r="O189" s="34"/>
    </x:row>
    <x:row r="190" ht="34" customHeight="1">
      <x:c r="A190" s="34"/>
      <x:c r="B190" s="34"/>
      <x:c r="C190" s="34"/>
      <x:c r="D190" s="34"/>
      <x:c r="E190" s="34"/>
      <x:c r="F190" s="34"/>
      <x:c r="G190" s="34"/>
      <x:c r="H190" s="34"/>
      <x:c r="I190" s="34"/>
      <x:c r="J190" s="34"/>
      <x:c r="K190" s="34"/>
      <x:c r="L190" s="54" t="str">
        <x:f>IF(A190="","",IF(COUNTA(D190:I190)&gt;=5,1,0))</x:f>
      </x:c>
      <x:c r="M190" s="52" t="str">
        <x:f>IF(A190="","",IFERROR(J190*K190*L190/20,0))</x:f>
      </x:c>
      <x:c r="N190" s="34"/>
      <x:c r="O190" s="34"/>
    </x:row>
    <x:row r="191" ht="34" customHeight="1">
      <x:c r="A191" s="34"/>
      <x:c r="B191" s="34"/>
      <x:c r="C191" s="34"/>
      <x:c r="D191" s="34"/>
      <x:c r="E191" s="34"/>
      <x:c r="F191" s="34"/>
      <x:c r="G191" s="34"/>
      <x:c r="H191" s="34"/>
      <x:c r="I191" s="34"/>
      <x:c r="J191" s="34"/>
      <x:c r="K191" s="34"/>
      <x:c r="L191" s="54" t="str">
        <x:f>IF(A191="","",IF(COUNTA(D191:I191)&gt;=5,1,0))</x:f>
      </x:c>
      <x:c r="M191" s="52" t="str">
        <x:f>IF(A191="","",IFERROR(J191*K191*L191/20,0))</x:f>
      </x:c>
      <x:c r="N191" s="34"/>
      <x:c r="O191" s="34"/>
    </x:row>
    <x:row r="192" ht="34" customHeight="1">
      <x:c r="A192" s="34"/>
      <x:c r="B192" s="34"/>
      <x:c r="C192" s="34"/>
      <x:c r="D192" s="34"/>
      <x:c r="E192" s="34"/>
      <x:c r="F192" s="34"/>
      <x:c r="G192" s="34"/>
      <x:c r="H192" s="34"/>
      <x:c r="I192" s="34"/>
      <x:c r="J192" s="34"/>
      <x:c r="K192" s="34"/>
      <x:c r="L192" s="54" t="str">
        <x:f>IF(A192="","",IF(COUNTA(D192:I192)&gt;=5,1,0))</x:f>
      </x:c>
      <x:c r="M192" s="52" t="str">
        <x:f>IF(A192="","",IFERROR(J192*K192*L192/20,0))</x:f>
      </x:c>
      <x:c r="N192" s="34"/>
      <x:c r="O192" s="34"/>
    </x:row>
    <x:row r="193" ht="34" customHeight="1">
      <x:c r="A193" s="34"/>
      <x:c r="B193" s="34"/>
      <x:c r="C193" s="34"/>
      <x:c r="D193" s="34"/>
      <x:c r="E193" s="34"/>
      <x:c r="F193" s="34"/>
      <x:c r="G193" s="34"/>
      <x:c r="H193" s="34"/>
      <x:c r="I193" s="34"/>
      <x:c r="J193" s="34"/>
      <x:c r="K193" s="34"/>
      <x:c r="L193" s="54" t="str">
        <x:f>IF(A193="","",IF(COUNTA(D193:I193)&gt;=5,1,0))</x:f>
      </x:c>
      <x:c r="M193" s="52" t="str">
        <x:f>IF(A193="","",IFERROR(J193*K193*L193/20,0))</x:f>
      </x:c>
      <x:c r="N193" s="34"/>
      <x:c r="O193" s="34"/>
    </x:row>
    <x:row r="194" ht="34" customHeight="1">
      <x:c r="A194" s="34"/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34"/>
      <x:c r="L194" s="54" t="str">
        <x:f>IF(A194="","",IF(COUNTA(D194:I194)&gt;=5,1,0))</x:f>
      </x:c>
      <x:c r="M194" s="52" t="str">
        <x:f>IF(A194="","",IFERROR(J194*K194*L194/20,0))</x:f>
      </x:c>
      <x:c r="N194" s="34"/>
      <x:c r="O194" s="34"/>
    </x:row>
    <x:row r="195" ht="34" customHeight="1">
      <x:c r="A195" s="34"/>
      <x:c r="B195" s="34"/>
      <x:c r="C195" s="34"/>
      <x:c r="D195" s="34"/>
      <x:c r="E195" s="34"/>
      <x:c r="F195" s="34"/>
      <x:c r="G195" s="34"/>
      <x:c r="H195" s="34"/>
      <x:c r="I195" s="34"/>
      <x:c r="J195" s="34"/>
      <x:c r="K195" s="34"/>
      <x:c r="L195" s="54" t="str">
        <x:f>IF(A195="","",IF(COUNTA(D195:I195)&gt;=5,1,0))</x:f>
      </x:c>
      <x:c r="M195" s="52" t="str">
        <x:f>IF(A195="","",IFERROR(J195*K195*L195/20,0))</x:f>
      </x:c>
      <x:c r="N195" s="34"/>
      <x:c r="O195" s="34"/>
    </x:row>
    <x:row r="196" ht="34" customHeight="1">
      <x:c r="A196" s="34"/>
      <x:c r="B196" s="34"/>
      <x:c r="C196" s="34"/>
      <x:c r="D196" s="34"/>
      <x:c r="E196" s="34"/>
      <x:c r="F196" s="34"/>
      <x:c r="G196" s="34"/>
      <x:c r="H196" s="34"/>
      <x:c r="I196" s="34"/>
      <x:c r="J196" s="34"/>
      <x:c r="K196" s="34"/>
      <x:c r="L196" s="54" t="str">
        <x:f>IF(A196="","",IF(COUNTA(D196:I196)&gt;=5,1,0))</x:f>
      </x:c>
      <x:c r="M196" s="52" t="str">
        <x:f>IF(A196="","",IFERROR(J196*K196*L196/20,0))</x:f>
      </x:c>
      <x:c r="N196" s="34"/>
      <x:c r="O196" s="34"/>
    </x:row>
    <x:row r="197" ht="34" customHeight="1">
      <x:c r="A197" s="34"/>
      <x:c r="B197" s="34"/>
      <x:c r="C197" s="34"/>
      <x:c r="D197" s="34"/>
      <x:c r="E197" s="34"/>
      <x:c r="F197" s="34"/>
      <x:c r="G197" s="34"/>
      <x:c r="H197" s="34"/>
      <x:c r="I197" s="34"/>
      <x:c r="J197" s="34"/>
      <x:c r="K197" s="34"/>
      <x:c r="L197" s="54" t="str">
        <x:f>IF(A197="","",IF(COUNTA(D197:I197)&gt;=5,1,0))</x:f>
      </x:c>
      <x:c r="M197" s="52" t="str">
        <x:f>IF(A197="","",IFERROR(J197*K197*L197/20,0))</x:f>
      </x:c>
      <x:c r="N197" s="34"/>
      <x:c r="O197" s="34"/>
    </x:row>
    <x:row r="198" ht="34" customHeight="1">
      <x:c r="A198" s="34"/>
      <x:c r="B198" s="34"/>
      <x:c r="C198" s="34"/>
      <x:c r="D198" s="34"/>
      <x:c r="E198" s="34"/>
      <x:c r="F198" s="34"/>
      <x:c r="G198" s="34"/>
      <x:c r="H198" s="34"/>
      <x:c r="I198" s="34"/>
      <x:c r="J198" s="34"/>
      <x:c r="K198" s="34"/>
      <x:c r="L198" s="54" t="str">
        <x:f>IF(A198="","",IF(COUNTA(D198:I198)&gt;=5,1,0))</x:f>
      </x:c>
      <x:c r="M198" s="52" t="str">
        <x:f>IF(A198="","",IFERROR(J198*K198*L198/20,0))</x:f>
      </x:c>
      <x:c r="N198" s="34"/>
      <x:c r="O198" s="34"/>
    </x:row>
    <x:row r="199" ht="34" customHeight="1">
      <x:c r="A199" s="34"/>
      <x:c r="B199" s="34"/>
      <x:c r="C199" s="34"/>
      <x:c r="D199" s="34"/>
      <x:c r="E199" s="34"/>
      <x:c r="F199" s="34"/>
      <x:c r="G199" s="34"/>
      <x:c r="H199" s="34"/>
      <x:c r="I199" s="34"/>
      <x:c r="J199" s="34"/>
      <x:c r="K199" s="34"/>
      <x:c r="L199" s="54" t="str">
        <x:f>IF(A199="","",IF(COUNTA(D199:I199)&gt;=5,1,0))</x:f>
      </x:c>
      <x:c r="M199" s="52" t="str">
        <x:f>IF(A199="","",IFERROR(J199*K199*L199/20,0))</x:f>
      </x:c>
      <x:c r="N199" s="34"/>
      <x:c r="O199" s="34"/>
    </x:row>
    <x:row r="200" ht="34" customHeight="1">
      <x:c r="A200" s="34"/>
      <x:c r="B200" s="34"/>
      <x:c r="C200" s="34"/>
      <x:c r="D200" s="34"/>
      <x:c r="E200" s="34"/>
      <x:c r="F200" s="34"/>
      <x:c r="G200" s="34"/>
      <x:c r="H200" s="34"/>
      <x:c r="I200" s="34"/>
      <x:c r="J200" s="34"/>
      <x:c r="K200" s="34"/>
      <x:c r="L200" s="54" t="str">
        <x:f>IF(A200="","",IF(COUNTA(D200:I200)&gt;=5,1,0))</x:f>
      </x:c>
      <x:c r="M200" s="52" t="str">
        <x:f>IF(A200="","",IFERROR(J200*K200*L200/20,0))</x:f>
      </x:c>
      <x:c r="N200" s="34"/>
      <x:c r="O200" s="34"/>
    </x:row>
    <x:row r="201" ht="34" customHeight="1">
      <x:c r="A201" s="34"/>
      <x:c r="B201" s="34"/>
      <x:c r="C201" s="34"/>
      <x:c r="D201" s="34"/>
      <x:c r="E201" s="34"/>
      <x:c r="F201" s="34"/>
      <x:c r="G201" s="34"/>
      <x:c r="H201" s="34"/>
      <x:c r="I201" s="34"/>
      <x:c r="J201" s="34"/>
      <x:c r="K201" s="34"/>
      <x:c r="L201" s="54" t="str">
        <x:f>IF(A201="","",IF(COUNTA(D201:I201)&gt;=5,1,0))</x:f>
      </x:c>
      <x:c r="M201" s="52" t="str">
        <x:f>IF(A201="","",IFERROR(J201*K201*L201/20,0))</x:f>
      </x:c>
      <x:c r="N201" s="34"/>
      <x:c r="O201" s="34"/>
    </x:row>
    <x:row r="202" ht="34" customHeight="1">
      <x:c r="A202" s="34"/>
      <x:c r="B202" s="34"/>
      <x:c r="C202" s="34"/>
      <x:c r="D202" s="34"/>
      <x:c r="E202" s="34"/>
      <x:c r="F202" s="34"/>
      <x:c r="G202" s="34"/>
      <x:c r="H202" s="34"/>
      <x:c r="I202" s="34"/>
      <x:c r="J202" s="34"/>
      <x:c r="K202" s="34"/>
      <x:c r="L202" s="54" t="str">
        <x:f>IF(A202="","",IF(COUNTA(D202:I202)&gt;=5,1,0))</x:f>
      </x:c>
      <x:c r="M202" s="52" t="str">
        <x:f>IF(A202="","",IFERROR(J202*K202*L202/20,0))</x:f>
      </x:c>
      <x:c r="N202" s="34"/>
      <x:c r="O202" s="34"/>
    </x:row>
    <x:row r="203" ht="34" customHeight="1">
      <x:c r="A203" s="34"/>
      <x:c r="B203" s="34"/>
      <x:c r="C203" s="34"/>
      <x:c r="D203" s="34"/>
      <x:c r="E203" s="34"/>
      <x:c r="F203" s="34"/>
      <x:c r="G203" s="34"/>
      <x:c r="H203" s="34"/>
      <x:c r="I203" s="34"/>
      <x:c r="J203" s="34"/>
      <x:c r="K203" s="34"/>
      <x:c r="L203" s="54" t="str">
        <x:f>IF(A203="","",IF(COUNTA(D203:I203)&gt;=5,1,0))</x:f>
      </x:c>
      <x:c r="M203" s="52" t="str">
        <x:f>IF(A203="","",IFERROR(J203*K203*L203/20,0))</x:f>
      </x:c>
      <x:c r="N203" s="34"/>
      <x:c r="O203" s="34"/>
    </x:row>
  </x:sheetData>
  <x:mergeCells>
    <x:mergeCell ref="A1:O1"/>
  </x:mergeCells>
  <x:conditionalFormatting sqref="L4:L203">
    <x:cfRule type="expression" dxfId="0" priority="1">
      <x:formula>L4=0</x:formula>
    </x:cfRule>
  </x:conditionalFormatting>
  <x:conditionalFormatting sqref="M4:M203">
    <x:cfRule type="colorScale" priority="2">
      <x:colorScale>
        <x:cfvo type="min"/>
        <x:cfvo type="percentile" val="50"/>
        <x:cfvo type="max"/>
        <x:color rgb="FCE4D6"/>
        <x:color rgb="FFF2CC"/>
        <x:color rgb="E2F0D9"/>
      </x:colorScale>
    </x:cfRule>
  </x:conditionalFormatting>
  <x:dataValidations count="4">
    <x:dataValidation type="list" sqref="C4:C203">
      <x:formula1>Справочники!$A$32:$A$41</x:formula1>
    </x:dataValidation>
    <x:dataValidation type="list" sqref="J4:J203">
      <x:formula1>"1,2,3,4"</x:formula1>
    </x:dataValidation>
    <x:dataValidation type="list" sqref="K4:K203">
      <x:formula1>"1,2,3,4,5"</x:formula1>
    </x:dataValidation>
    <x:dataValidation type="list" sqref="N4:N203">
      <x:formula1>Справочники!$J$18:$J$22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61438847dc497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36" hidden="0" customWidth="1"/>
    <x:col min="4" max="4" width="36" hidden="0" customWidth="1"/>
    <x:col min="5" max="5" width="32" hidden="0" customWidth="1"/>
    <x:col min="6" max="6" width="30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6" hidden="0" customWidth="1"/>
    <x:col min="12" max="12" width="26" hidden="0" customWidth="1"/>
    <x:col min="13" max="13" width="18" hidden="0" customWidth="1"/>
    <x:col min="14" max="14" width="20" hidden="0" customWidth="1"/>
  </x:cols>
  <x:sheetData>
    <x:row r="1" ht="30" customHeight="1">
      <x:c r="A1" s="58" t="str">
        <x:v>Роли пользователей и потребительские сегменты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3" ht="34" customHeight="1">
      <x:c r="A3" s="40" t="str">
        <x:v>ID роли</x:v>
      </x:c>
      <x:c r="B3" s="40" t="str">
        <x:v>Роль / сегмент</x:v>
      </x:c>
      <x:c r="C3" s="40" t="str">
        <x:v>Потребительская задача</x:v>
      </x:c>
      <x:c r="D3" s="40" t="str">
        <x:v>Проблема</x:v>
      </x:c>
      <x:c r="E3" s="40" t="str">
        <x:v>Мотивация</x:v>
      </x:c>
      <x:c r="F3" s="40" t="str">
        <x:v>Ограничения</x:v>
      </x:c>
      <x:c r="G3" s="40" t="str">
        <x:v>Готовность платить (1-5)</x:v>
      </x:c>
      <x:c r="H3" s="40" t="str">
        <x:v>Частота потребности (1-5)</x:v>
      </x:c>
      <x:c r="I3" s="40" t="str">
        <x:v>Ценность сегмента</x:v>
      </x:c>
      <x:c r="J3" s="40" t="str">
        <x:v>Канал входа</x:v>
      </x:c>
      <x:c r="K3" s="40" t="str">
        <x:v>Связанный блок Канвас</x:v>
      </x:c>
      <x:c r="L3" s="40" t="str">
        <x:v>Основание из анализа</x:v>
      </x:c>
      <x:c r="M3" s="40" t="str">
        <x:v>Доказательность (1-4)</x:v>
      </x:c>
      <x:c r="N3" s="40" t="str">
        <x:v>Статус</x:v>
      </x:c>
    </x:row>
    <x:row r="4" ht="34" customHeight="1">
      <x:c r="A4" s="34" t="str">
        <x:v>R-001</x:v>
      </x:c>
      <x:c r="B4" s="34" t="str">
        <x:v>Новый пользователь</x:v>
      </x:c>
      <x:c r="C4" s="34" t="str">
        <x:v>Понять, подходит ли цифровой товар для задачи</x:v>
      </x:c>
      <x:c r="D4" s="34" t="str">
        <x:v>Неясно, как быстро получить первый результат</x:v>
      </x:c>
      <x:c r="E4" s="34" t="str">
        <x:v>Снизить риск выбора и затраты времени</x:v>
      </x:c>
      <x:c r="F4" s="34" t="str">
        <x:v>Недоверие, нехватка времени</x:v>
      </x:c>
      <x:c r="G4" s="34" t="n">
        <x:v>3</x:v>
      </x:c>
      <x:c r="H4" s="34" t="n">
        <x:v>4</x:v>
      </x:c>
      <x:c r="I4" s="54" t="n">
        <x:f>IF(A4="","",IFERROR(G4*H4,""))</x:f>
        <x:v>12</x:v>
      </x:c>
      <x:c r="J4" s="34" t="str">
        <x:v>Органический поиск / сайт</x:v>
      </x:c>
      <x:c r="K4" s="34" t="str">
        <x:v>Потребительские сегменты</x:v>
      </x:c>
      <x:c r="L4" s="34" t="str">
        <x:v>A-001</x:v>
      </x:c>
      <x:c r="M4" s="34" t="n">
        <x:v>3</x:v>
      </x:c>
      <x:c r="N4" s="34" t="str">
        <x:v>Требует проверки</x:v>
      </x:c>
    </x:row>
    <x:row r="5" ht="34" customHeight="1">
      <x:c r="A5" s="34" t="str">
        <x:v>R-002</x:v>
      </x:c>
      <x:c r="B5" s="34" t="str">
        <x:v>Платящий клиент</x:v>
      </x:c>
      <x:c r="C5" s="34" t="str">
        <x:v>Регулярно получать результат без ручной работы</x:v>
      </x:c>
      <x:c r="D5" s="34" t="str">
        <x:v>Не хватает автоматизации повторяющихся действий</x:v>
      </x:c>
      <x:c r="E5" s="34" t="str">
        <x:v>Экономия времени и снижение ошибок</x:v>
      </x:c>
      <x:c r="F5" s="34" t="str">
        <x:v>Цена, интеграции</x:v>
      </x:c>
      <x:c r="G5" s="34" t="n">
        <x:v>5</x:v>
      </x:c>
      <x:c r="H5" s="34" t="n">
        <x:v>5</x:v>
      </x:c>
      <x:c r="I5" s="54" t="n">
        <x:f>IF(A5="","",IFERROR(G5*H5,""))</x:f>
        <x:v>25</x:v>
      </x:c>
      <x:c r="J5" s="34" t="str">
        <x:v>Прямой заход / личный кабинет</x:v>
      </x:c>
      <x:c r="K5" s="34" t="str">
        <x:v>Потоки доходов</x:v>
      </x:c>
      <x:c r="L5" s="34" t="str">
        <x:v>A-003</x:v>
      </x:c>
      <x:c r="M5" s="34" t="n">
        <x:v>4</x:v>
      </x:c>
      <x:c r="N5" s="34" t="str">
        <x:v>Подтверждено</x:v>
      </x:c>
    </x:row>
    <x:row r="6" ht="34" customHeight="1">
      <x:c r="A6" s="34"/>
      <x:c r="B6" s="34"/>
      <x:c r="C6" s="34"/>
      <x:c r="D6" s="34"/>
      <x:c r="E6" s="34"/>
      <x:c r="F6" s="34"/>
      <x:c r="G6" s="34"/>
      <x:c r="H6" s="34"/>
      <x:c r="I6" s="54" t="str">
        <x:f>IF(A6="","",IFERROR(G6*H6,""))</x:f>
      </x:c>
      <x:c r="J6" s="34"/>
      <x:c r="K6" s="34"/>
      <x:c r="L6" s="34"/>
      <x:c r="M6" s="34"/>
      <x:c r="N6" s="34"/>
    </x:row>
    <x:row r="7" ht="34" customHeight="1">
      <x:c r="A7" s="34"/>
      <x:c r="B7" s="34"/>
      <x:c r="C7" s="34"/>
      <x:c r="D7" s="34"/>
      <x:c r="E7" s="34"/>
      <x:c r="F7" s="34"/>
      <x:c r="G7" s="34"/>
      <x:c r="H7" s="34"/>
      <x:c r="I7" s="54" t="str">
        <x:f>IF(A7="","",IFERROR(G7*H7,""))</x:f>
      </x:c>
      <x:c r="J7" s="34"/>
      <x:c r="K7" s="34"/>
      <x:c r="L7" s="34"/>
      <x:c r="M7" s="34"/>
      <x:c r="N7" s="34"/>
    </x:row>
    <x:row r="8" ht="34" customHeight="1">
      <x:c r="A8" s="34"/>
      <x:c r="B8" s="34"/>
      <x:c r="C8" s="34"/>
      <x:c r="D8" s="34"/>
      <x:c r="E8" s="34"/>
      <x:c r="F8" s="34"/>
      <x:c r="G8" s="34"/>
      <x:c r="H8" s="34"/>
      <x:c r="I8" s="54" t="str">
        <x:f>IF(A8="","",IFERROR(G8*H8,""))</x:f>
      </x:c>
      <x:c r="J8" s="34"/>
      <x:c r="K8" s="34"/>
      <x:c r="L8" s="34"/>
      <x:c r="M8" s="34"/>
      <x:c r="N8" s="34"/>
    </x:row>
    <x:row r="9" ht="34" customHeight="1">
      <x:c r="A9" s="34"/>
      <x:c r="B9" s="34"/>
      <x:c r="C9" s="34"/>
      <x:c r="D9" s="34"/>
      <x:c r="E9" s="34"/>
      <x:c r="F9" s="34"/>
      <x:c r="G9" s="34"/>
      <x:c r="H9" s="34"/>
      <x:c r="I9" s="54" t="str">
        <x:f>IF(A9="","",IFERROR(G9*H9,""))</x:f>
      </x:c>
      <x:c r="J9" s="34"/>
      <x:c r="K9" s="34"/>
      <x:c r="L9" s="34"/>
      <x:c r="M9" s="34"/>
      <x:c r="N9" s="34"/>
    </x:row>
    <x:row r="10" ht="34" customHeight="1">
      <x:c r="A10" s="34"/>
      <x:c r="B10" s="34"/>
      <x:c r="C10" s="34"/>
      <x:c r="D10" s="34"/>
      <x:c r="E10" s="34"/>
      <x:c r="F10" s="34"/>
      <x:c r="G10" s="34"/>
      <x:c r="H10" s="34"/>
      <x:c r="I10" s="54" t="str">
        <x:f>IF(A10="","",IFERROR(G10*H10,""))</x:f>
      </x:c>
      <x:c r="J10" s="34"/>
      <x:c r="K10" s="34"/>
      <x:c r="L10" s="34"/>
      <x:c r="M10" s="34"/>
      <x:c r="N10" s="34"/>
    </x:row>
    <x:row r="11" ht="34" customHeight="1">
      <x:c r="A11" s="34"/>
      <x:c r="B11" s="34"/>
      <x:c r="C11" s="34"/>
      <x:c r="D11" s="34"/>
      <x:c r="E11" s="34"/>
      <x:c r="F11" s="34"/>
      <x:c r="G11" s="34"/>
      <x:c r="H11" s="34"/>
      <x:c r="I11" s="54" t="str">
        <x:f>IF(A11="","",IFERROR(G11*H11,""))</x:f>
      </x:c>
      <x:c r="J11" s="34"/>
      <x:c r="K11" s="34"/>
      <x:c r="L11" s="34"/>
      <x:c r="M11" s="34"/>
      <x:c r="N11" s="34"/>
    </x:row>
    <x:row r="12" ht="34" customHeight="1">
      <x:c r="A12" s="34"/>
      <x:c r="B12" s="34"/>
      <x:c r="C12" s="34"/>
      <x:c r="D12" s="34"/>
      <x:c r="E12" s="34"/>
      <x:c r="F12" s="34"/>
      <x:c r="G12" s="34"/>
      <x:c r="H12" s="34"/>
      <x:c r="I12" s="54" t="str">
        <x:f>IF(A12="","",IFERROR(G12*H12,""))</x:f>
      </x:c>
      <x:c r="J12" s="34"/>
      <x:c r="K12" s="34"/>
      <x:c r="L12" s="34"/>
      <x:c r="M12" s="34"/>
      <x:c r="N12" s="34"/>
    </x:row>
    <x:row r="13" ht="34" customHeight="1">
      <x:c r="A13" s="34"/>
      <x:c r="B13" s="34"/>
      <x:c r="C13" s="34"/>
      <x:c r="D13" s="34"/>
      <x:c r="E13" s="34"/>
      <x:c r="F13" s="34"/>
      <x:c r="G13" s="34"/>
      <x:c r="H13" s="34"/>
      <x:c r="I13" s="54" t="str">
        <x:f>IF(A13="","",IFERROR(G13*H13,""))</x:f>
      </x:c>
      <x:c r="J13" s="34"/>
      <x:c r="K13" s="34"/>
      <x:c r="L13" s="34"/>
      <x:c r="M13" s="34"/>
      <x:c r="N13" s="34"/>
    </x:row>
    <x:row r="14" ht="34" customHeight="1">
      <x:c r="A14" s="34"/>
      <x:c r="B14" s="34"/>
      <x:c r="C14" s="34"/>
      <x:c r="D14" s="34"/>
      <x:c r="E14" s="34"/>
      <x:c r="F14" s="34"/>
      <x:c r="G14" s="34"/>
      <x:c r="H14" s="34"/>
      <x:c r="I14" s="54" t="str">
        <x:f>IF(A14="","",IFERROR(G14*H14,""))</x:f>
      </x:c>
      <x:c r="J14" s="34"/>
      <x:c r="K14" s="34"/>
      <x:c r="L14" s="34"/>
      <x:c r="M14" s="34"/>
      <x:c r="N14" s="34"/>
    </x:row>
    <x:row r="15" ht="34" customHeight="1">
      <x:c r="A15" s="34"/>
      <x:c r="B15" s="34"/>
      <x:c r="C15" s="34"/>
      <x:c r="D15" s="34"/>
      <x:c r="E15" s="34"/>
      <x:c r="F15" s="34"/>
      <x:c r="G15" s="34"/>
      <x:c r="H15" s="34"/>
      <x:c r="I15" s="54" t="str">
        <x:f>IF(A15="","",IFERROR(G15*H15,""))</x:f>
      </x:c>
      <x:c r="J15" s="34"/>
      <x:c r="K15" s="34"/>
      <x:c r="L15" s="34"/>
      <x:c r="M15" s="34"/>
      <x:c r="N15" s="34"/>
    </x:row>
    <x:row r="16" ht="34" customHeight="1">
      <x:c r="A16" s="34"/>
      <x:c r="B16" s="34"/>
      <x:c r="C16" s="34"/>
      <x:c r="D16" s="34"/>
      <x:c r="E16" s="34"/>
      <x:c r="F16" s="34"/>
      <x:c r="G16" s="34"/>
      <x:c r="H16" s="34"/>
      <x:c r="I16" s="54" t="str">
        <x:f>IF(A16="","",IFERROR(G16*H16,""))</x:f>
      </x:c>
      <x:c r="J16" s="34"/>
      <x:c r="K16" s="34"/>
      <x:c r="L16" s="34"/>
      <x:c r="M16" s="34"/>
      <x:c r="N16" s="34"/>
    </x:row>
    <x:row r="17" ht="34" customHeight="1">
      <x:c r="A17" s="34"/>
      <x:c r="B17" s="34"/>
      <x:c r="C17" s="34"/>
      <x:c r="D17" s="34"/>
      <x:c r="E17" s="34"/>
      <x:c r="F17" s="34"/>
      <x:c r="G17" s="34"/>
      <x:c r="H17" s="34"/>
      <x:c r="I17" s="54" t="str">
        <x:f>IF(A17="","",IFERROR(G17*H17,""))</x:f>
      </x:c>
      <x:c r="J17" s="34"/>
      <x:c r="K17" s="34"/>
      <x:c r="L17" s="34"/>
      <x:c r="M17" s="34"/>
      <x:c r="N17" s="34"/>
    </x:row>
    <x:row r="18" ht="34" customHeight="1">
      <x:c r="A18" s="34"/>
      <x:c r="B18" s="34"/>
      <x:c r="C18" s="34"/>
      <x:c r="D18" s="34"/>
      <x:c r="E18" s="34"/>
      <x:c r="F18" s="34"/>
      <x:c r="G18" s="34"/>
      <x:c r="H18" s="34"/>
      <x:c r="I18" s="54" t="str">
        <x:f>IF(A18="","",IFERROR(G18*H18,""))</x:f>
      </x:c>
      <x:c r="J18" s="34"/>
      <x:c r="K18" s="34"/>
      <x:c r="L18" s="34"/>
      <x:c r="M18" s="34"/>
      <x:c r="N18" s="34"/>
    </x:row>
    <x:row r="19" ht="34" customHeight="1">
      <x:c r="A19" s="34"/>
      <x:c r="B19" s="34"/>
      <x:c r="C19" s="34"/>
      <x:c r="D19" s="34"/>
      <x:c r="E19" s="34"/>
      <x:c r="F19" s="34"/>
      <x:c r="G19" s="34"/>
      <x:c r="H19" s="34"/>
      <x:c r="I19" s="54" t="str">
        <x:f>IF(A19="","",IFERROR(G19*H19,""))</x:f>
      </x:c>
      <x:c r="J19" s="34"/>
      <x:c r="K19" s="34"/>
      <x:c r="L19" s="34"/>
      <x:c r="M19" s="34"/>
      <x:c r="N19" s="34"/>
    </x:row>
    <x:row r="20" ht="34" customHeight="1">
      <x:c r="A20" s="34"/>
      <x:c r="B20" s="34"/>
      <x:c r="C20" s="34"/>
      <x:c r="D20" s="34"/>
      <x:c r="E20" s="34"/>
      <x:c r="F20" s="34"/>
      <x:c r="G20" s="34"/>
      <x:c r="H20" s="34"/>
      <x:c r="I20" s="54" t="str">
        <x:f>IF(A20="","",IFERROR(G20*H20,""))</x:f>
      </x:c>
      <x:c r="J20" s="34"/>
      <x:c r="K20" s="34"/>
      <x:c r="L20" s="34"/>
      <x:c r="M20" s="34"/>
      <x:c r="N20" s="34"/>
    </x:row>
    <x:row r="21" ht="34" customHeight="1">
      <x:c r="A21" s="34"/>
      <x:c r="B21" s="34"/>
      <x:c r="C21" s="34"/>
      <x:c r="D21" s="34"/>
      <x:c r="E21" s="34"/>
      <x:c r="F21" s="34"/>
      <x:c r="G21" s="34"/>
      <x:c r="H21" s="34"/>
      <x:c r="I21" s="54" t="str">
        <x:f>IF(A21="","",IFERROR(G21*H21,""))</x:f>
      </x:c>
      <x:c r="J21" s="34"/>
      <x:c r="K21" s="34"/>
      <x:c r="L21" s="34"/>
      <x:c r="M21" s="34"/>
      <x:c r="N21" s="34"/>
    </x:row>
    <x:row r="22" ht="34" customHeight="1">
      <x:c r="A22" s="34"/>
      <x:c r="B22" s="34"/>
      <x:c r="C22" s="34"/>
      <x:c r="D22" s="34"/>
      <x:c r="E22" s="34"/>
      <x:c r="F22" s="34"/>
      <x:c r="G22" s="34"/>
      <x:c r="H22" s="34"/>
      <x:c r="I22" s="54" t="str">
        <x:f>IF(A22="","",IFERROR(G22*H22,""))</x:f>
      </x:c>
      <x:c r="J22" s="34"/>
      <x:c r="K22" s="34"/>
      <x:c r="L22" s="34"/>
      <x:c r="M22" s="34"/>
      <x:c r="N22" s="34"/>
    </x:row>
    <x:row r="23" ht="34" customHeight="1">
      <x:c r="A23" s="34"/>
      <x:c r="B23" s="34"/>
      <x:c r="C23" s="34"/>
      <x:c r="D23" s="34"/>
      <x:c r="E23" s="34"/>
      <x:c r="F23" s="34"/>
      <x:c r="G23" s="34"/>
      <x:c r="H23" s="34"/>
      <x:c r="I23" s="54" t="str">
        <x:f>IF(A23="","",IFERROR(G23*H23,""))</x:f>
      </x:c>
      <x:c r="J23" s="34"/>
      <x:c r="K23" s="34"/>
      <x:c r="L23" s="34"/>
      <x:c r="M23" s="34"/>
      <x:c r="N23" s="34"/>
    </x:row>
    <x:row r="24" ht="34" customHeight="1">
      <x:c r="A24" s="34"/>
      <x:c r="B24" s="34"/>
      <x:c r="C24" s="34"/>
      <x:c r="D24" s="34"/>
      <x:c r="E24" s="34"/>
      <x:c r="F24" s="34"/>
      <x:c r="G24" s="34"/>
      <x:c r="H24" s="34"/>
      <x:c r="I24" s="54" t="str">
        <x:f>IF(A24="","",IFERROR(G24*H24,""))</x:f>
      </x:c>
      <x:c r="J24" s="34"/>
      <x:c r="K24" s="34"/>
      <x:c r="L24" s="34"/>
      <x:c r="M24" s="34"/>
      <x:c r="N24" s="34"/>
    </x:row>
    <x:row r="25" ht="34" customHeight="1">
      <x:c r="A25" s="34"/>
      <x:c r="B25" s="34"/>
      <x:c r="C25" s="34"/>
      <x:c r="D25" s="34"/>
      <x:c r="E25" s="34"/>
      <x:c r="F25" s="34"/>
      <x:c r="G25" s="34"/>
      <x:c r="H25" s="34"/>
      <x:c r="I25" s="54" t="str">
        <x:f>IF(A25="","",IFERROR(G25*H25,""))</x:f>
      </x:c>
      <x:c r="J25" s="34"/>
      <x:c r="K25" s="34"/>
      <x:c r="L25" s="34"/>
      <x:c r="M25" s="34"/>
      <x:c r="N25" s="34"/>
    </x:row>
    <x:row r="26" ht="34" customHeight="1">
      <x:c r="A26" s="34"/>
      <x:c r="B26" s="34"/>
      <x:c r="C26" s="34"/>
      <x:c r="D26" s="34"/>
      <x:c r="E26" s="34"/>
      <x:c r="F26" s="34"/>
      <x:c r="G26" s="34"/>
      <x:c r="H26" s="34"/>
      <x:c r="I26" s="54" t="str">
        <x:f>IF(A26="","",IFERROR(G26*H26,""))</x:f>
      </x:c>
      <x:c r="J26" s="34"/>
      <x:c r="K26" s="34"/>
      <x:c r="L26" s="34"/>
      <x:c r="M26" s="34"/>
      <x:c r="N26" s="34"/>
    </x:row>
    <x:row r="27" ht="34" customHeight="1">
      <x:c r="A27" s="34"/>
      <x:c r="B27" s="34"/>
      <x:c r="C27" s="34"/>
      <x:c r="D27" s="34"/>
      <x:c r="E27" s="34"/>
      <x:c r="F27" s="34"/>
      <x:c r="G27" s="34"/>
      <x:c r="H27" s="34"/>
      <x:c r="I27" s="54" t="str">
        <x:f>IF(A27="","",IFERROR(G27*H27,""))</x:f>
      </x:c>
      <x:c r="J27" s="34"/>
      <x:c r="K27" s="34"/>
      <x:c r="L27" s="34"/>
      <x:c r="M27" s="34"/>
      <x:c r="N27" s="34"/>
    </x:row>
    <x:row r="28" ht="34" customHeight="1">
      <x:c r="A28" s="34"/>
      <x:c r="B28" s="34"/>
      <x:c r="C28" s="34"/>
      <x:c r="D28" s="34"/>
      <x:c r="E28" s="34"/>
      <x:c r="F28" s="34"/>
      <x:c r="G28" s="34"/>
      <x:c r="H28" s="34"/>
      <x:c r="I28" s="54" t="str">
        <x:f>IF(A28="","",IFERROR(G28*H28,""))</x:f>
      </x:c>
      <x:c r="J28" s="34"/>
      <x:c r="K28" s="34"/>
      <x:c r="L28" s="34"/>
      <x:c r="M28" s="34"/>
      <x:c r="N28" s="34"/>
    </x:row>
    <x:row r="29" ht="34" customHeight="1">
      <x:c r="A29" s="34"/>
      <x:c r="B29" s="34"/>
      <x:c r="C29" s="34"/>
      <x:c r="D29" s="34"/>
      <x:c r="E29" s="34"/>
      <x:c r="F29" s="34"/>
      <x:c r="G29" s="34"/>
      <x:c r="H29" s="34"/>
      <x:c r="I29" s="54" t="str">
        <x:f>IF(A29="","",IFERROR(G29*H29,""))</x:f>
      </x:c>
      <x:c r="J29" s="34"/>
      <x:c r="K29" s="34"/>
      <x:c r="L29" s="34"/>
      <x:c r="M29" s="34"/>
      <x:c r="N29" s="34"/>
    </x:row>
    <x:row r="30" ht="34" customHeight="1">
      <x:c r="A30" s="34"/>
      <x:c r="B30" s="34"/>
      <x:c r="C30" s="34"/>
      <x:c r="D30" s="34"/>
      <x:c r="E30" s="34"/>
      <x:c r="F30" s="34"/>
      <x:c r="G30" s="34"/>
      <x:c r="H30" s="34"/>
      <x:c r="I30" s="54" t="str">
        <x:f>IF(A30="","",IFERROR(G30*H30,""))</x:f>
      </x:c>
      <x:c r="J30" s="34"/>
      <x:c r="K30" s="34"/>
      <x:c r="L30" s="34"/>
      <x:c r="M30" s="34"/>
      <x:c r="N30" s="34"/>
    </x:row>
    <x:row r="31" ht="34" customHeight="1">
      <x:c r="A31" s="34"/>
      <x:c r="B31" s="34"/>
      <x:c r="C31" s="34"/>
      <x:c r="D31" s="34"/>
      <x:c r="E31" s="34"/>
      <x:c r="F31" s="34"/>
      <x:c r="G31" s="34"/>
      <x:c r="H31" s="34"/>
      <x:c r="I31" s="54" t="str">
        <x:f>IF(A31="","",IFERROR(G31*H31,""))</x:f>
      </x:c>
      <x:c r="J31" s="34"/>
      <x:c r="K31" s="34"/>
      <x:c r="L31" s="34"/>
      <x:c r="M31" s="34"/>
      <x:c r="N31" s="34"/>
    </x:row>
    <x:row r="32" ht="34" customHeight="1">
      <x:c r="A32" s="34"/>
      <x:c r="B32" s="34"/>
      <x:c r="C32" s="34"/>
      <x:c r="D32" s="34"/>
      <x:c r="E32" s="34"/>
      <x:c r="F32" s="34"/>
      <x:c r="G32" s="34"/>
      <x:c r="H32" s="34"/>
      <x:c r="I32" s="54" t="str">
        <x:f>IF(A32="","",IFERROR(G32*H32,""))</x:f>
      </x:c>
      <x:c r="J32" s="34"/>
      <x:c r="K32" s="34"/>
      <x:c r="L32" s="34"/>
      <x:c r="M32" s="34"/>
      <x:c r="N32" s="34"/>
    </x:row>
    <x:row r="33" ht="34" customHeight="1">
      <x:c r="A33" s="34"/>
      <x:c r="B33" s="34"/>
      <x:c r="C33" s="34"/>
      <x:c r="D33" s="34"/>
      <x:c r="E33" s="34"/>
      <x:c r="F33" s="34"/>
      <x:c r="G33" s="34"/>
      <x:c r="H33" s="34"/>
      <x:c r="I33" s="54" t="str">
        <x:f>IF(A33="","",IFERROR(G33*H33,""))</x:f>
      </x:c>
      <x:c r="J33" s="34"/>
      <x:c r="K33" s="34"/>
      <x:c r="L33" s="34"/>
      <x:c r="M33" s="34"/>
      <x:c r="N33" s="34"/>
    </x:row>
    <x:row r="34" ht="34" customHeight="1">
      <x:c r="A34" s="34"/>
      <x:c r="B34" s="34"/>
      <x:c r="C34" s="34"/>
      <x:c r="D34" s="34"/>
      <x:c r="E34" s="34"/>
      <x:c r="F34" s="34"/>
      <x:c r="G34" s="34"/>
      <x:c r="H34" s="34"/>
      <x:c r="I34" s="54" t="str">
        <x:f>IF(A34="","",IFERROR(G34*H34,""))</x:f>
      </x:c>
      <x:c r="J34" s="34"/>
      <x:c r="K34" s="34"/>
      <x:c r="L34" s="34"/>
      <x:c r="M34" s="34"/>
      <x:c r="N34" s="34"/>
    </x:row>
    <x:row r="35" ht="34" customHeight="1">
      <x:c r="A35" s="34"/>
      <x:c r="B35" s="34"/>
      <x:c r="C35" s="34"/>
      <x:c r="D35" s="34"/>
      <x:c r="E35" s="34"/>
      <x:c r="F35" s="34"/>
      <x:c r="G35" s="34"/>
      <x:c r="H35" s="34"/>
      <x:c r="I35" s="54" t="str">
        <x:f>IF(A35="","",IFERROR(G35*H35,""))</x:f>
      </x:c>
      <x:c r="J35" s="34"/>
      <x:c r="K35" s="34"/>
      <x:c r="L35" s="34"/>
      <x:c r="M35" s="34"/>
      <x:c r="N35" s="34"/>
    </x:row>
    <x:row r="36" ht="34" customHeight="1">
      <x:c r="A36" s="34"/>
      <x:c r="B36" s="34"/>
      <x:c r="C36" s="34"/>
      <x:c r="D36" s="34"/>
      <x:c r="E36" s="34"/>
      <x:c r="F36" s="34"/>
      <x:c r="G36" s="34"/>
      <x:c r="H36" s="34"/>
      <x:c r="I36" s="54" t="str">
        <x:f>IF(A36="","",IFERROR(G36*H36,""))</x:f>
      </x:c>
      <x:c r="J36" s="34"/>
      <x:c r="K36" s="34"/>
      <x:c r="L36" s="34"/>
      <x:c r="M36" s="34"/>
      <x:c r="N36" s="34"/>
    </x:row>
    <x:row r="37" ht="34" customHeight="1">
      <x:c r="A37" s="34"/>
      <x:c r="B37" s="34"/>
      <x:c r="C37" s="34"/>
      <x:c r="D37" s="34"/>
      <x:c r="E37" s="34"/>
      <x:c r="F37" s="34"/>
      <x:c r="G37" s="34"/>
      <x:c r="H37" s="34"/>
      <x:c r="I37" s="54" t="str">
        <x:f>IF(A37="","",IFERROR(G37*H37,""))</x:f>
      </x:c>
      <x:c r="J37" s="34"/>
      <x:c r="K37" s="34"/>
      <x:c r="L37" s="34"/>
      <x:c r="M37" s="34"/>
      <x:c r="N37" s="34"/>
    </x:row>
    <x:row r="38" ht="34" customHeight="1">
      <x:c r="A38" s="34"/>
      <x:c r="B38" s="34"/>
      <x:c r="C38" s="34"/>
      <x:c r="D38" s="34"/>
      <x:c r="E38" s="34"/>
      <x:c r="F38" s="34"/>
      <x:c r="G38" s="34"/>
      <x:c r="H38" s="34"/>
      <x:c r="I38" s="54" t="str">
        <x:f>IF(A38="","",IFERROR(G38*H38,""))</x:f>
      </x:c>
      <x:c r="J38" s="34"/>
      <x:c r="K38" s="34"/>
      <x:c r="L38" s="34"/>
      <x:c r="M38" s="34"/>
      <x:c r="N38" s="34"/>
    </x:row>
    <x:row r="39" ht="34" customHeight="1">
      <x:c r="A39" s="34"/>
      <x:c r="B39" s="34"/>
      <x:c r="C39" s="34"/>
      <x:c r="D39" s="34"/>
      <x:c r="E39" s="34"/>
      <x:c r="F39" s="34"/>
      <x:c r="G39" s="34"/>
      <x:c r="H39" s="34"/>
      <x:c r="I39" s="54" t="str">
        <x:f>IF(A39="","",IFERROR(G39*H39,""))</x:f>
      </x:c>
      <x:c r="J39" s="34"/>
      <x:c r="K39" s="34"/>
      <x:c r="L39" s="34"/>
      <x:c r="M39" s="34"/>
      <x:c r="N39" s="34"/>
    </x:row>
    <x:row r="40" ht="34" customHeight="1">
      <x:c r="A40" s="34"/>
      <x:c r="B40" s="34"/>
      <x:c r="C40" s="34"/>
      <x:c r="D40" s="34"/>
      <x:c r="E40" s="34"/>
      <x:c r="F40" s="34"/>
      <x:c r="G40" s="34"/>
      <x:c r="H40" s="34"/>
      <x:c r="I40" s="54" t="str">
        <x:f>IF(A40="","",IFERROR(G40*H40,""))</x:f>
      </x:c>
      <x:c r="J40" s="34"/>
      <x:c r="K40" s="34"/>
      <x:c r="L40" s="34"/>
      <x:c r="M40" s="34"/>
      <x:c r="N40" s="34"/>
    </x:row>
    <x:row r="41" ht="34" customHeight="1">
      <x:c r="A41" s="34"/>
      <x:c r="B41" s="34"/>
      <x:c r="C41" s="34"/>
      <x:c r="D41" s="34"/>
      <x:c r="E41" s="34"/>
      <x:c r="F41" s="34"/>
      <x:c r="G41" s="34"/>
      <x:c r="H41" s="34"/>
      <x:c r="I41" s="54" t="str">
        <x:f>IF(A41="","",IFERROR(G41*H41,""))</x:f>
      </x:c>
      <x:c r="J41" s="34"/>
      <x:c r="K41" s="34"/>
      <x:c r="L41" s="34"/>
      <x:c r="M41" s="34"/>
      <x:c r="N41" s="34"/>
    </x:row>
    <x:row r="42" ht="34" customHeight="1">
      <x:c r="A42" s="34"/>
      <x:c r="B42" s="34"/>
      <x:c r="C42" s="34"/>
      <x:c r="D42" s="34"/>
      <x:c r="E42" s="34"/>
      <x:c r="F42" s="34"/>
      <x:c r="G42" s="34"/>
      <x:c r="H42" s="34"/>
      <x:c r="I42" s="54" t="str">
        <x:f>IF(A42="","",IFERROR(G42*H42,""))</x:f>
      </x:c>
      <x:c r="J42" s="34"/>
      <x:c r="K42" s="34"/>
      <x:c r="L42" s="34"/>
      <x:c r="M42" s="34"/>
      <x:c r="N42" s="34"/>
    </x:row>
    <x:row r="43" ht="34" customHeight="1">
      <x:c r="A43" s="34"/>
      <x:c r="B43" s="34"/>
      <x:c r="C43" s="34"/>
      <x:c r="D43" s="34"/>
      <x:c r="E43" s="34"/>
      <x:c r="F43" s="34"/>
      <x:c r="G43" s="34"/>
      <x:c r="H43" s="34"/>
      <x:c r="I43" s="54" t="str">
        <x:f>IF(A43="","",IFERROR(G43*H43,""))</x:f>
      </x:c>
      <x:c r="J43" s="34"/>
      <x:c r="K43" s="34"/>
      <x:c r="L43" s="34"/>
      <x:c r="M43" s="34"/>
      <x:c r="N43" s="34"/>
    </x:row>
    <x:row r="44" ht="34" customHeight="1">
      <x:c r="A44" s="34"/>
      <x:c r="B44" s="34"/>
      <x:c r="C44" s="34"/>
      <x:c r="D44" s="34"/>
      <x:c r="E44" s="34"/>
      <x:c r="F44" s="34"/>
      <x:c r="G44" s="34"/>
      <x:c r="H44" s="34"/>
      <x:c r="I44" s="54" t="str">
        <x:f>IF(A44="","",IFERROR(G44*H44,""))</x:f>
      </x:c>
      <x:c r="J44" s="34"/>
      <x:c r="K44" s="34"/>
      <x:c r="L44" s="34"/>
      <x:c r="M44" s="34"/>
      <x:c r="N44" s="34"/>
    </x:row>
    <x:row r="45" ht="34" customHeight="1">
      <x:c r="A45" s="34"/>
      <x:c r="B45" s="34"/>
      <x:c r="C45" s="34"/>
      <x:c r="D45" s="34"/>
      <x:c r="E45" s="34"/>
      <x:c r="F45" s="34"/>
      <x:c r="G45" s="34"/>
      <x:c r="H45" s="34"/>
      <x:c r="I45" s="54" t="str">
        <x:f>IF(A45="","",IFERROR(G45*H45,""))</x:f>
      </x:c>
      <x:c r="J45" s="34"/>
      <x:c r="K45" s="34"/>
      <x:c r="L45" s="34"/>
      <x:c r="M45" s="34"/>
      <x:c r="N45" s="34"/>
    </x:row>
    <x:row r="46" ht="34" customHeight="1">
      <x:c r="A46" s="34"/>
      <x:c r="B46" s="34"/>
      <x:c r="C46" s="34"/>
      <x:c r="D46" s="34"/>
      <x:c r="E46" s="34"/>
      <x:c r="F46" s="34"/>
      <x:c r="G46" s="34"/>
      <x:c r="H46" s="34"/>
      <x:c r="I46" s="54" t="str">
        <x:f>IF(A46="","",IFERROR(G46*H46,""))</x:f>
      </x:c>
      <x:c r="J46" s="34"/>
      <x:c r="K46" s="34"/>
      <x:c r="L46" s="34"/>
      <x:c r="M46" s="34"/>
      <x:c r="N46" s="34"/>
    </x:row>
    <x:row r="47" ht="34" customHeight="1">
      <x:c r="A47" s="34"/>
      <x:c r="B47" s="34"/>
      <x:c r="C47" s="34"/>
      <x:c r="D47" s="34"/>
      <x:c r="E47" s="34"/>
      <x:c r="F47" s="34"/>
      <x:c r="G47" s="34"/>
      <x:c r="H47" s="34"/>
      <x:c r="I47" s="54" t="str">
        <x:f>IF(A47="","",IFERROR(G47*H47,""))</x:f>
      </x:c>
      <x:c r="J47" s="34"/>
      <x:c r="K47" s="34"/>
      <x:c r="L47" s="34"/>
      <x:c r="M47" s="34"/>
      <x:c r="N47" s="34"/>
    </x:row>
    <x:row r="48" ht="34" customHeight="1">
      <x:c r="A48" s="34"/>
      <x:c r="B48" s="34"/>
      <x:c r="C48" s="34"/>
      <x:c r="D48" s="34"/>
      <x:c r="E48" s="34"/>
      <x:c r="F48" s="34"/>
      <x:c r="G48" s="34"/>
      <x:c r="H48" s="34"/>
      <x:c r="I48" s="54" t="str">
        <x:f>IF(A48="","",IFERROR(G48*H48,""))</x:f>
      </x:c>
      <x:c r="J48" s="34"/>
      <x:c r="K48" s="34"/>
      <x:c r="L48" s="34"/>
      <x:c r="M48" s="34"/>
      <x:c r="N48" s="34"/>
    </x:row>
    <x:row r="49" ht="34" customHeight="1">
      <x:c r="A49" s="34"/>
      <x:c r="B49" s="34"/>
      <x:c r="C49" s="34"/>
      <x:c r="D49" s="34"/>
      <x:c r="E49" s="34"/>
      <x:c r="F49" s="34"/>
      <x:c r="G49" s="34"/>
      <x:c r="H49" s="34"/>
      <x:c r="I49" s="54" t="str">
        <x:f>IF(A49="","",IFERROR(G49*H49,""))</x:f>
      </x:c>
      <x:c r="J49" s="34"/>
      <x:c r="K49" s="34"/>
      <x:c r="L49" s="34"/>
      <x:c r="M49" s="34"/>
      <x:c r="N49" s="34"/>
    </x:row>
    <x:row r="50" ht="34" customHeight="1">
      <x:c r="A50" s="34"/>
      <x:c r="B50" s="34"/>
      <x:c r="C50" s="34"/>
      <x:c r="D50" s="34"/>
      <x:c r="E50" s="34"/>
      <x:c r="F50" s="34"/>
      <x:c r="G50" s="34"/>
      <x:c r="H50" s="34"/>
      <x:c r="I50" s="54" t="str">
        <x:f>IF(A50="","",IFERROR(G50*H50,""))</x:f>
      </x:c>
      <x:c r="J50" s="34"/>
      <x:c r="K50" s="34"/>
      <x:c r="L50" s="34"/>
      <x:c r="M50" s="34"/>
      <x:c r="N50" s="34"/>
    </x:row>
    <x:row r="51" ht="34" customHeight="1">
      <x:c r="A51" s="34"/>
      <x:c r="B51" s="34"/>
      <x:c r="C51" s="34"/>
      <x:c r="D51" s="34"/>
      <x:c r="E51" s="34"/>
      <x:c r="F51" s="34"/>
      <x:c r="G51" s="34"/>
      <x:c r="H51" s="34"/>
      <x:c r="I51" s="54" t="str">
        <x:f>IF(A51="","",IFERROR(G51*H51,""))</x:f>
      </x:c>
      <x:c r="J51" s="34"/>
      <x:c r="K51" s="34"/>
      <x:c r="L51" s="34"/>
      <x:c r="M51" s="34"/>
      <x:c r="N51" s="34"/>
    </x:row>
    <x:row r="52" ht="34" customHeight="1">
      <x:c r="A52" s="34"/>
      <x:c r="B52" s="34"/>
      <x:c r="C52" s="34"/>
      <x:c r="D52" s="34"/>
      <x:c r="E52" s="34"/>
      <x:c r="F52" s="34"/>
      <x:c r="G52" s="34"/>
      <x:c r="H52" s="34"/>
      <x:c r="I52" s="54" t="str">
        <x:f>IF(A52="","",IFERROR(G52*H52,""))</x:f>
      </x:c>
      <x:c r="J52" s="34"/>
      <x:c r="K52" s="34"/>
      <x:c r="L52" s="34"/>
      <x:c r="M52" s="34"/>
      <x:c r="N52" s="34"/>
    </x:row>
    <x:row r="53" ht="34" customHeight="1">
      <x:c r="A53" s="34"/>
      <x:c r="B53" s="34"/>
      <x:c r="C53" s="34"/>
      <x:c r="D53" s="34"/>
      <x:c r="E53" s="34"/>
      <x:c r="F53" s="34"/>
      <x:c r="G53" s="34"/>
      <x:c r="H53" s="34"/>
      <x:c r="I53" s="54" t="str">
        <x:f>IF(A53="","",IFERROR(G53*H53,""))</x:f>
      </x:c>
      <x:c r="J53" s="34"/>
      <x:c r="K53" s="34"/>
      <x:c r="L53" s="34"/>
      <x:c r="M53" s="34"/>
      <x:c r="N53" s="34"/>
    </x:row>
    <x:row r="54" ht="34" customHeight="1">
      <x:c r="A54" s="34"/>
      <x:c r="B54" s="34"/>
      <x:c r="C54" s="34"/>
      <x:c r="D54" s="34"/>
      <x:c r="E54" s="34"/>
      <x:c r="F54" s="34"/>
      <x:c r="G54" s="34"/>
      <x:c r="H54" s="34"/>
      <x:c r="I54" s="54" t="str">
        <x:f>IF(A54="","",IFERROR(G54*H54,""))</x:f>
      </x:c>
      <x:c r="J54" s="34"/>
      <x:c r="K54" s="34"/>
      <x:c r="L54" s="34"/>
      <x:c r="M54" s="34"/>
      <x:c r="N54" s="34"/>
    </x:row>
    <x:row r="55" ht="34" customHeight="1">
      <x:c r="A55" s="34"/>
      <x:c r="B55" s="34"/>
      <x:c r="C55" s="34"/>
      <x:c r="D55" s="34"/>
      <x:c r="E55" s="34"/>
      <x:c r="F55" s="34"/>
      <x:c r="G55" s="34"/>
      <x:c r="H55" s="34"/>
      <x:c r="I55" s="54" t="str">
        <x:f>IF(A55="","",IFERROR(G55*H55,""))</x:f>
      </x:c>
      <x:c r="J55" s="34"/>
      <x:c r="K55" s="34"/>
      <x:c r="L55" s="34"/>
      <x:c r="M55" s="34"/>
      <x:c r="N55" s="34"/>
    </x:row>
    <x:row r="56" ht="34" customHeight="1">
      <x:c r="A56" s="34"/>
      <x:c r="B56" s="34"/>
      <x:c r="C56" s="34"/>
      <x:c r="D56" s="34"/>
      <x:c r="E56" s="34"/>
      <x:c r="F56" s="34"/>
      <x:c r="G56" s="34"/>
      <x:c r="H56" s="34"/>
      <x:c r="I56" s="54" t="str">
        <x:f>IF(A56="","",IFERROR(G56*H56,""))</x:f>
      </x:c>
      <x:c r="J56" s="34"/>
      <x:c r="K56" s="34"/>
      <x:c r="L56" s="34"/>
      <x:c r="M56" s="34"/>
      <x:c r="N56" s="34"/>
    </x:row>
    <x:row r="57" ht="34" customHeight="1">
      <x:c r="A57" s="34"/>
      <x:c r="B57" s="34"/>
      <x:c r="C57" s="34"/>
      <x:c r="D57" s="34"/>
      <x:c r="E57" s="34"/>
      <x:c r="F57" s="34"/>
      <x:c r="G57" s="34"/>
      <x:c r="H57" s="34"/>
      <x:c r="I57" s="54" t="str">
        <x:f>IF(A57="","",IFERROR(G57*H57,""))</x:f>
      </x:c>
      <x:c r="J57" s="34"/>
      <x:c r="K57" s="34"/>
      <x:c r="L57" s="34"/>
      <x:c r="M57" s="34"/>
      <x:c r="N57" s="34"/>
    </x:row>
    <x:row r="58" ht="34" customHeight="1">
      <x:c r="A58" s="34"/>
      <x:c r="B58" s="34"/>
      <x:c r="C58" s="34"/>
      <x:c r="D58" s="34"/>
      <x:c r="E58" s="34"/>
      <x:c r="F58" s="34"/>
      <x:c r="G58" s="34"/>
      <x:c r="H58" s="34"/>
      <x:c r="I58" s="54" t="str">
        <x:f>IF(A58="","",IFERROR(G58*H58,""))</x:f>
      </x:c>
      <x:c r="J58" s="34"/>
      <x:c r="K58" s="34"/>
      <x:c r="L58" s="34"/>
      <x:c r="M58" s="34"/>
      <x:c r="N58" s="34"/>
    </x:row>
    <x:row r="59" ht="34" customHeight="1">
      <x:c r="A59" s="34"/>
      <x:c r="B59" s="34"/>
      <x:c r="C59" s="34"/>
      <x:c r="D59" s="34"/>
      <x:c r="E59" s="34"/>
      <x:c r="F59" s="34"/>
      <x:c r="G59" s="34"/>
      <x:c r="H59" s="34"/>
      <x:c r="I59" s="54" t="str">
        <x:f>IF(A59="","",IFERROR(G59*H59,""))</x:f>
      </x:c>
      <x:c r="J59" s="34"/>
      <x:c r="K59" s="34"/>
      <x:c r="L59" s="34"/>
      <x:c r="M59" s="34"/>
      <x:c r="N59" s="34"/>
    </x:row>
    <x:row r="60" ht="34" customHeight="1">
      <x:c r="A60" s="34"/>
      <x:c r="B60" s="34"/>
      <x:c r="C60" s="34"/>
      <x:c r="D60" s="34"/>
      <x:c r="E60" s="34"/>
      <x:c r="F60" s="34"/>
      <x:c r="G60" s="34"/>
      <x:c r="H60" s="34"/>
      <x:c r="I60" s="54" t="str">
        <x:f>IF(A60="","",IFERROR(G60*H60,""))</x:f>
      </x:c>
      <x:c r="J60" s="34"/>
      <x:c r="K60" s="34"/>
      <x:c r="L60" s="34"/>
      <x:c r="M60" s="34"/>
      <x:c r="N60" s="34"/>
    </x:row>
    <x:row r="61" ht="34" customHeight="1">
      <x:c r="A61" s="34"/>
      <x:c r="B61" s="34"/>
      <x:c r="C61" s="34"/>
      <x:c r="D61" s="34"/>
      <x:c r="E61" s="34"/>
      <x:c r="F61" s="34"/>
      <x:c r="G61" s="34"/>
      <x:c r="H61" s="34"/>
      <x:c r="I61" s="54" t="str">
        <x:f>IF(A61="","",IFERROR(G61*H61,""))</x:f>
      </x:c>
      <x:c r="J61" s="34"/>
      <x:c r="K61" s="34"/>
      <x:c r="L61" s="34"/>
      <x:c r="M61" s="34"/>
      <x:c r="N61" s="34"/>
    </x:row>
    <x:row r="62" ht="34" customHeight="1">
      <x:c r="A62" s="34"/>
      <x:c r="B62" s="34"/>
      <x:c r="C62" s="34"/>
      <x:c r="D62" s="34"/>
      <x:c r="E62" s="34"/>
      <x:c r="F62" s="34"/>
      <x:c r="G62" s="34"/>
      <x:c r="H62" s="34"/>
      <x:c r="I62" s="54" t="str">
        <x:f>IF(A62="","",IFERROR(G62*H62,""))</x:f>
      </x:c>
      <x:c r="J62" s="34"/>
      <x:c r="K62" s="34"/>
      <x:c r="L62" s="34"/>
      <x:c r="M62" s="34"/>
      <x:c r="N62" s="34"/>
    </x:row>
    <x:row r="63" ht="34" customHeight="1">
      <x:c r="A63" s="34"/>
      <x:c r="B63" s="34"/>
      <x:c r="C63" s="34"/>
      <x:c r="D63" s="34"/>
      <x:c r="E63" s="34"/>
      <x:c r="F63" s="34"/>
      <x:c r="G63" s="34"/>
      <x:c r="H63" s="34"/>
      <x:c r="I63" s="54" t="str">
        <x:f>IF(A63="","",IFERROR(G63*H63,""))</x:f>
      </x:c>
      <x:c r="J63" s="34"/>
      <x:c r="K63" s="34"/>
      <x:c r="L63" s="34"/>
      <x:c r="M63" s="34"/>
      <x:c r="N63" s="34"/>
    </x:row>
    <x:row r="64" ht="34" customHeight="1">
      <x:c r="A64" s="34"/>
      <x:c r="B64" s="34"/>
      <x:c r="C64" s="34"/>
      <x:c r="D64" s="34"/>
      <x:c r="E64" s="34"/>
      <x:c r="F64" s="34"/>
      <x:c r="G64" s="34"/>
      <x:c r="H64" s="34"/>
      <x:c r="I64" s="54" t="str">
        <x:f>IF(A64="","",IFERROR(G64*H64,""))</x:f>
      </x:c>
      <x:c r="J64" s="34"/>
      <x:c r="K64" s="34"/>
      <x:c r="L64" s="34"/>
      <x:c r="M64" s="34"/>
      <x:c r="N64" s="34"/>
    </x:row>
    <x:row r="65" ht="34" customHeight="1">
      <x:c r="A65" s="34"/>
      <x:c r="B65" s="34"/>
      <x:c r="C65" s="34"/>
      <x:c r="D65" s="34"/>
      <x:c r="E65" s="34"/>
      <x:c r="F65" s="34"/>
      <x:c r="G65" s="34"/>
      <x:c r="H65" s="34"/>
      <x:c r="I65" s="54" t="str">
        <x:f>IF(A65="","",IFERROR(G65*H65,""))</x:f>
      </x:c>
      <x:c r="J65" s="34"/>
      <x:c r="K65" s="34"/>
      <x:c r="L65" s="34"/>
      <x:c r="M65" s="34"/>
      <x:c r="N65" s="34"/>
    </x:row>
    <x:row r="66" ht="34" customHeight="1">
      <x:c r="A66" s="34"/>
      <x:c r="B66" s="34"/>
      <x:c r="C66" s="34"/>
      <x:c r="D66" s="34"/>
      <x:c r="E66" s="34"/>
      <x:c r="F66" s="34"/>
      <x:c r="G66" s="34"/>
      <x:c r="H66" s="34"/>
      <x:c r="I66" s="54" t="str">
        <x:f>IF(A66="","",IFERROR(G66*H66,""))</x:f>
      </x:c>
      <x:c r="J66" s="34"/>
      <x:c r="K66" s="34"/>
      <x:c r="L66" s="34"/>
      <x:c r="M66" s="34"/>
      <x:c r="N66" s="34"/>
    </x:row>
    <x:row r="67" ht="34" customHeight="1">
      <x:c r="A67" s="34"/>
      <x:c r="B67" s="34"/>
      <x:c r="C67" s="34"/>
      <x:c r="D67" s="34"/>
      <x:c r="E67" s="34"/>
      <x:c r="F67" s="34"/>
      <x:c r="G67" s="34"/>
      <x:c r="H67" s="34"/>
      <x:c r="I67" s="54" t="str">
        <x:f>IF(A67="","",IFERROR(G67*H67,""))</x:f>
      </x:c>
      <x:c r="J67" s="34"/>
      <x:c r="K67" s="34"/>
      <x:c r="L67" s="34"/>
      <x:c r="M67" s="34"/>
      <x:c r="N67" s="34"/>
    </x:row>
    <x:row r="68" ht="34" customHeight="1">
      <x:c r="A68" s="34"/>
      <x:c r="B68" s="34"/>
      <x:c r="C68" s="34"/>
      <x:c r="D68" s="34"/>
      <x:c r="E68" s="34"/>
      <x:c r="F68" s="34"/>
      <x:c r="G68" s="34"/>
      <x:c r="H68" s="34"/>
      <x:c r="I68" s="54" t="str">
        <x:f>IF(A68="","",IFERROR(G68*H68,""))</x:f>
      </x:c>
      <x:c r="J68" s="34"/>
      <x:c r="K68" s="34"/>
      <x:c r="L68" s="34"/>
      <x:c r="M68" s="34"/>
      <x:c r="N68" s="34"/>
    </x:row>
    <x:row r="69" ht="34" customHeight="1">
      <x:c r="A69" s="34"/>
      <x:c r="B69" s="34"/>
      <x:c r="C69" s="34"/>
      <x:c r="D69" s="34"/>
      <x:c r="E69" s="34"/>
      <x:c r="F69" s="34"/>
      <x:c r="G69" s="34"/>
      <x:c r="H69" s="34"/>
      <x:c r="I69" s="54" t="str">
        <x:f>IF(A69="","",IFERROR(G69*H69,""))</x:f>
      </x:c>
      <x:c r="J69" s="34"/>
      <x:c r="K69" s="34"/>
      <x:c r="L69" s="34"/>
      <x:c r="M69" s="34"/>
      <x:c r="N69" s="34"/>
    </x:row>
    <x:row r="70" ht="34" customHeight="1">
      <x:c r="A70" s="34"/>
      <x:c r="B70" s="34"/>
      <x:c r="C70" s="34"/>
      <x:c r="D70" s="34"/>
      <x:c r="E70" s="34"/>
      <x:c r="F70" s="34"/>
      <x:c r="G70" s="34"/>
      <x:c r="H70" s="34"/>
      <x:c r="I70" s="54" t="str">
        <x:f>IF(A70="","",IFERROR(G70*H70,""))</x:f>
      </x:c>
      <x:c r="J70" s="34"/>
      <x:c r="K70" s="34"/>
      <x:c r="L70" s="34"/>
      <x:c r="M70" s="34"/>
      <x:c r="N70" s="34"/>
    </x:row>
    <x:row r="71" ht="34" customHeight="1">
      <x:c r="A71" s="34"/>
      <x:c r="B71" s="34"/>
      <x:c r="C71" s="34"/>
      <x:c r="D71" s="34"/>
      <x:c r="E71" s="34"/>
      <x:c r="F71" s="34"/>
      <x:c r="G71" s="34"/>
      <x:c r="H71" s="34"/>
      <x:c r="I71" s="54" t="str">
        <x:f>IF(A71="","",IFERROR(G71*H71,""))</x:f>
      </x:c>
      <x:c r="J71" s="34"/>
      <x:c r="K71" s="34"/>
      <x:c r="L71" s="34"/>
      <x:c r="M71" s="34"/>
      <x:c r="N71" s="34"/>
    </x:row>
    <x:row r="72" ht="34" customHeight="1">
      <x:c r="A72" s="34"/>
      <x:c r="B72" s="34"/>
      <x:c r="C72" s="34"/>
      <x:c r="D72" s="34"/>
      <x:c r="E72" s="34"/>
      <x:c r="F72" s="34"/>
      <x:c r="G72" s="34"/>
      <x:c r="H72" s="34"/>
      <x:c r="I72" s="54" t="str">
        <x:f>IF(A72="","",IFERROR(G72*H72,""))</x:f>
      </x:c>
      <x:c r="J72" s="34"/>
      <x:c r="K72" s="34"/>
      <x:c r="L72" s="34"/>
      <x:c r="M72" s="34"/>
      <x:c r="N72" s="34"/>
    </x:row>
    <x:row r="73" ht="34" customHeight="1">
      <x:c r="A73" s="34"/>
      <x:c r="B73" s="34"/>
      <x:c r="C73" s="34"/>
      <x:c r="D73" s="34"/>
      <x:c r="E73" s="34"/>
      <x:c r="F73" s="34"/>
      <x:c r="G73" s="34"/>
      <x:c r="H73" s="34"/>
      <x:c r="I73" s="54" t="str">
        <x:f>IF(A73="","",IFERROR(G73*H73,""))</x:f>
      </x:c>
      <x:c r="J73" s="34"/>
      <x:c r="K73" s="34"/>
      <x:c r="L73" s="34"/>
      <x:c r="M73" s="34"/>
      <x:c r="N73" s="34"/>
    </x:row>
    <x:row r="74" ht="34" customHeight="1">
      <x:c r="A74" s="34"/>
      <x:c r="B74" s="34"/>
      <x:c r="C74" s="34"/>
      <x:c r="D74" s="34"/>
      <x:c r="E74" s="34"/>
      <x:c r="F74" s="34"/>
      <x:c r="G74" s="34"/>
      <x:c r="H74" s="34"/>
      <x:c r="I74" s="54" t="str">
        <x:f>IF(A74="","",IFERROR(G74*H74,""))</x:f>
      </x:c>
      <x:c r="J74" s="34"/>
      <x:c r="K74" s="34"/>
      <x:c r="L74" s="34"/>
      <x:c r="M74" s="34"/>
      <x:c r="N74" s="34"/>
    </x:row>
    <x:row r="75" ht="34" customHeight="1">
      <x:c r="A75" s="34"/>
      <x:c r="B75" s="34"/>
      <x:c r="C75" s="34"/>
      <x:c r="D75" s="34"/>
      <x:c r="E75" s="34"/>
      <x:c r="F75" s="34"/>
      <x:c r="G75" s="34"/>
      <x:c r="H75" s="34"/>
      <x:c r="I75" s="54" t="str">
        <x:f>IF(A75="","",IFERROR(G75*H75,""))</x:f>
      </x:c>
      <x:c r="J75" s="34"/>
      <x:c r="K75" s="34"/>
      <x:c r="L75" s="34"/>
      <x:c r="M75" s="34"/>
      <x:c r="N75" s="34"/>
    </x:row>
    <x:row r="76" ht="34" customHeight="1">
      <x:c r="A76" s="34"/>
      <x:c r="B76" s="34"/>
      <x:c r="C76" s="34"/>
      <x:c r="D76" s="34"/>
      <x:c r="E76" s="34"/>
      <x:c r="F76" s="34"/>
      <x:c r="G76" s="34"/>
      <x:c r="H76" s="34"/>
      <x:c r="I76" s="54" t="str">
        <x:f>IF(A76="","",IFERROR(G76*H76,""))</x:f>
      </x:c>
      <x:c r="J76" s="34"/>
      <x:c r="K76" s="34"/>
      <x:c r="L76" s="34"/>
      <x:c r="M76" s="34"/>
      <x:c r="N76" s="34"/>
    </x:row>
    <x:row r="77" ht="34" customHeight="1">
      <x:c r="A77" s="34"/>
      <x:c r="B77" s="34"/>
      <x:c r="C77" s="34"/>
      <x:c r="D77" s="34"/>
      <x:c r="E77" s="34"/>
      <x:c r="F77" s="34"/>
      <x:c r="G77" s="34"/>
      <x:c r="H77" s="34"/>
      <x:c r="I77" s="54" t="str">
        <x:f>IF(A77="","",IFERROR(G77*H77,""))</x:f>
      </x:c>
      <x:c r="J77" s="34"/>
      <x:c r="K77" s="34"/>
      <x:c r="L77" s="34"/>
      <x:c r="M77" s="34"/>
      <x:c r="N77" s="34"/>
    </x:row>
    <x:row r="78" ht="34" customHeight="1">
      <x:c r="A78" s="34"/>
      <x:c r="B78" s="34"/>
      <x:c r="C78" s="34"/>
      <x:c r="D78" s="34"/>
      <x:c r="E78" s="34"/>
      <x:c r="F78" s="34"/>
      <x:c r="G78" s="34"/>
      <x:c r="H78" s="34"/>
      <x:c r="I78" s="54" t="str">
        <x:f>IF(A78="","",IFERROR(G78*H78,""))</x:f>
      </x:c>
      <x:c r="J78" s="34"/>
      <x:c r="K78" s="34"/>
      <x:c r="L78" s="34"/>
      <x:c r="M78" s="34"/>
      <x:c r="N78" s="34"/>
    </x:row>
    <x:row r="79" ht="34" customHeight="1">
      <x:c r="A79" s="34"/>
      <x:c r="B79" s="34"/>
      <x:c r="C79" s="34"/>
      <x:c r="D79" s="34"/>
      <x:c r="E79" s="34"/>
      <x:c r="F79" s="34"/>
      <x:c r="G79" s="34"/>
      <x:c r="H79" s="34"/>
      <x:c r="I79" s="54" t="str">
        <x:f>IF(A79="","",IFERROR(G79*H79,""))</x:f>
      </x:c>
      <x:c r="J79" s="34"/>
      <x:c r="K79" s="34"/>
      <x:c r="L79" s="34"/>
      <x:c r="M79" s="34"/>
      <x:c r="N79" s="34"/>
    </x:row>
    <x:row r="80" ht="34" customHeight="1">
      <x:c r="A80" s="34"/>
      <x:c r="B80" s="34"/>
      <x:c r="C80" s="34"/>
      <x:c r="D80" s="34"/>
      <x:c r="E80" s="34"/>
      <x:c r="F80" s="34"/>
      <x:c r="G80" s="34"/>
      <x:c r="H80" s="34"/>
      <x:c r="I80" s="54" t="str">
        <x:f>IF(A80="","",IFERROR(G80*H80,""))</x:f>
      </x:c>
      <x:c r="J80" s="34"/>
      <x:c r="K80" s="34"/>
      <x:c r="L80" s="34"/>
      <x:c r="M80" s="34"/>
      <x:c r="N80" s="34"/>
    </x:row>
    <x:row r="81" ht="34" customHeight="1">
      <x:c r="A81" s="34"/>
      <x:c r="B81" s="34"/>
      <x:c r="C81" s="34"/>
      <x:c r="D81" s="34"/>
      <x:c r="E81" s="34"/>
      <x:c r="F81" s="34"/>
      <x:c r="G81" s="34"/>
      <x:c r="H81" s="34"/>
      <x:c r="I81" s="54" t="str">
        <x:f>IF(A81="","",IFERROR(G81*H81,""))</x:f>
      </x:c>
      <x:c r="J81" s="34"/>
      <x:c r="K81" s="34"/>
      <x:c r="L81" s="34"/>
      <x:c r="M81" s="34"/>
      <x:c r="N81" s="34"/>
    </x:row>
    <x:row r="82" ht="34" customHeight="1">
      <x:c r="A82" s="34"/>
      <x:c r="B82" s="34"/>
      <x:c r="C82" s="34"/>
      <x:c r="D82" s="34"/>
      <x:c r="E82" s="34"/>
      <x:c r="F82" s="34"/>
      <x:c r="G82" s="34"/>
      <x:c r="H82" s="34"/>
      <x:c r="I82" s="54" t="str">
        <x:f>IF(A82="","",IFERROR(G82*H82,""))</x:f>
      </x:c>
      <x:c r="J82" s="34"/>
      <x:c r="K82" s="34"/>
      <x:c r="L82" s="34"/>
      <x:c r="M82" s="34"/>
      <x:c r="N82" s="34"/>
    </x:row>
    <x:row r="83" ht="34" customHeight="1">
      <x:c r="A83" s="34"/>
      <x:c r="B83" s="34"/>
      <x:c r="C83" s="34"/>
      <x:c r="D83" s="34"/>
      <x:c r="E83" s="34"/>
      <x:c r="F83" s="34"/>
      <x:c r="G83" s="34"/>
      <x:c r="H83" s="34"/>
      <x:c r="I83" s="54" t="str">
        <x:f>IF(A83="","",IFERROR(G83*H83,""))</x:f>
      </x:c>
      <x:c r="J83" s="34"/>
      <x:c r="K83" s="34"/>
      <x:c r="L83" s="34"/>
      <x:c r="M83" s="34"/>
      <x:c r="N83" s="34"/>
    </x:row>
    <x:row r="84" ht="34" customHeight="1">
      <x:c r="A84" s="34"/>
      <x:c r="B84" s="34"/>
      <x:c r="C84" s="34"/>
      <x:c r="D84" s="34"/>
      <x:c r="E84" s="34"/>
      <x:c r="F84" s="34"/>
      <x:c r="G84" s="34"/>
      <x:c r="H84" s="34"/>
      <x:c r="I84" s="54" t="str">
        <x:f>IF(A84="","",IFERROR(G84*H84,""))</x:f>
      </x:c>
      <x:c r="J84" s="34"/>
      <x:c r="K84" s="34"/>
      <x:c r="L84" s="34"/>
      <x:c r="M84" s="34"/>
      <x:c r="N84" s="34"/>
    </x:row>
    <x:row r="85" ht="34" customHeight="1">
      <x:c r="A85" s="34"/>
      <x:c r="B85" s="34"/>
      <x:c r="C85" s="34"/>
      <x:c r="D85" s="34"/>
      <x:c r="E85" s="34"/>
      <x:c r="F85" s="34"/>
      <x:c r="G85" s="34"/>
      <x:c r="H85" s="34"/>
      <x:c r="I85" s="54" t="str">
        <x:f>IF(A85="","",IFERROR(G85*H85,""))</x:f>
      </x:c>
      <x:c r="J85" s="34"/>
      <x:c r="K85" s="34"/>
      <x:c r="L85" s="34"/>
      <x:c r="M85" s="34"/>
      <x:c r="N85" s="34"/>
    </x:row>
    <x:row r="86" ht="34" customHeight="1">
      <x:c r="A86" s="34"/>
      <x:c r="B86" s="34"/>
      <x:c r="C86" s="34"/>
      <x:c r="D86" s="34"/>
      <x:c r="E86" s="34"/>
      <x:c r="F86" s="34"/>
      <x:c r="G86" s="34"/>
      <x:c r="H86" s="34"/>
      <x:c r="I86" s="54" t="str">
        <x:f>IF(A86="","",IFERROR(G86*H86,""))</x:f>
      </x:c>
      <x:c r="J86" s="34"/>
      <x:c r="K86" s="34"/>
      <x:c r="L86" s="34"/>
      <x:c r="M86" s="34"/>
      <x:c r="N86" s="34"/>
    </x:row>
    <x:row r="87" ht="34" customHeight="1">
      <x:c r="A87" s="34"/>
      <x:c r="B87" s="34"/>
      <x:c r="C87" s="34"/>
      <x:c r="D87" s="34"/>
      <x:c r="E87" s="34"/>
      <x:c r="F87" s="34"/>
      <x:c r="G87" s="34"/>
      <x:c r="H87" s="34"/>
      <x:c r="I87" s="54" t="str">
        <x:f>IF(A87="","",IFERROR(G87*H87,""))</x:f>
      </x:c>
      <x:c r="J87" s="34"/>
      <x:c r="K87" s="34"/>
      <x:c r="L87" s="34"/>
      <x:c r="M87" s="34"/>
      <x:c r="N87" s="34"/>
    </x:row>
    <x:row r="88" ht="34" customHeight="1">
      <x:c r="A88" s="34"/>
      <x:c r="B88" s="34"/>
      <x:c r="C88" s="34"/>
      <x:c r="D88" s="34"/>
      <x:c r="E88" s="34"/>
      <x:c r="F88" s="34"/>
      <x:c r="G88" s="34"/>
      <x:c r="H88" s="34"/>
      <x:c r="I88" s="54" t="str">
        <x:f>IF(A88="","",IFERROR(G88*H88,""))</x:f>
      </x:c>
      <x:c r="J88" s="34"/>
      <x:c r="K88" s="34"/>
      <x:c r="L88" s="34"/>
      <x:c r="M88" s="34"/>
      <x:c r="N88" s="34"/>
    </x:row>
    <x:row r="89" ht="34" customHeight="1">
      <x:c r="A89" s="34"/>
      <x:c r="B89" s="34"/>
      <x:c r="C89" s="34"/>
      <x:c r="D89" s="34"/>
      <x:c r="E89" s="34"/>
      <x:c r="F89" s="34"/>
      <x:c r="G89" s="34"/>
      <x:c r="H89" s="34"/>
      <x:c r="I89" s="54" t="str">
        <x:f>IF(A89="","",IFERROR(G89*H89,""))</x:f>
      </x:c>
      <x:c r="J89" s="34"/>
      <x:c r="K89" s="34"/>
      <x:c r="L89" s="34"/>
      <x:c r="M89" s="34"/>
      <x:c r="N89" s="34"/>
    </x:row>
    <x:row r="90" ht="34" customHeight="1">
      <x:c r="A90" s="34"/>
      <x:c r="B90" s="34"/>
      <x:c r="C90" s="34"/>
      <x:c r="D90" s="34"/>
      <x:c r="E90" s="34"/>
      <x:c r="F90" s="34"/>
      <x:c r="G90" s="34"/>
      <x:c r="H90" s="34"/>
      <x:c r="I90" s="54" t="str">
        <x:f>IF(A90="","",IFERROR(G90*H90,""))</x:f>
      </x:c>
      <x:c r="J90" s="34"/>
      <x:c r="K90" s="34"/>
      <x:c r="L90" s="34"/>
      <x:c r="M90" s="34"/>
      <x:c r="N90" s="34"/>
    </x:row>
    <x:row r="91" ht="34" customHeight="1">
      <x:c r="A91" s="34"/>
      <x:c r="B91" s="34"/>
      <x:c r="C91" s="34"/>
      <x:c r="D91" s="34"/>
      <x:c r="E91" s="34"/>
      <x:c r="F91" s="34"/>
      <x:c r="G91" s="34"/>
      <x:c r="H91" s="34"/>
      <x:c r="I91" s="54" t="str">
        <x:f>IF(A91="","",IFERROR(G91*H91,""))</x:f>
      </x:c>
      <x:c r="J91" s="34"/>
      <x:c r="K91" s="34"/>
      <x:c r="L91" s="34"/>
      <x:c r="M91" s="34"/>
      <x:c r="N91" s="34"/>
    </x:row>
    <x:row r="92" ht="34" customHeight="1">
      <x:c r="A92" s="34"/>
      <x:c r="B92" s="34"/>
      <x:c r="C92" s="34"/>
      <x:c r="D92" s="34"/>
      <x:c r="E92" s="34"/>
      <x:c r="F92" s="34"/>
      <x:c r="G92" s="34"/>
      <x:c r="H92" s="34"/>
      <x:c r="I92" s="54" t="str">
        <x:f>IF(A92="","",IFERROR(G92*H92,""))</x:f>
      </x:c>
      <x:c r="J92" s="34"/>
      <x:c r="K92" s="34"/>
      <x:c r="L92" s="34"/>
      <x:c r="M92" s="34"/>
      <x:c r="N92" s="34"/>
    </x:row>
    <x:row r="93" ht="34" customHeight="1">
      <x:c r="A93" s="34"/>
      <x:c r="B93" s="34"/>
      <x:c r="C93" s="34"/>
      <x:c r="D93" s="34"/>
      <x:c r="E93" s="34"/>
      <x:c r="F93" s="34"/>
      <x:c r="G93" s="34"/>
      <x:c r="H93" s="34"/>
      <x:c r="I93" s="54" t="str">
        <x:f>IF(A93="","",IFERROR(G93*H93,""))</x:f>
      </x:c>
      <x:c r="J93" s="34"/>
      <x:c r="K93" s="34"/>
      <x:c r="L93" s="34"/>
      <x:c r="M93" s="34"/>
      <x:c r="N93" s="34"/>
    </x:row>
    <x:row r="94" ht="34" customHeight="1">
      <x:c r="A94" s="34"/>
      <x:c r="B94" s="34"/>
      <x:c r="C94" s="34"/>
      <x:c r="D94" s="34"/>
      <x:c r="E94" s="34"/>
      <x:c r="F94" s="34"/>
      <x:c r="G94" s="34"/>
      <x:c r="H94" s="34"/>
      <x:c r="I94" s="54" t="str">
        <x:f>IF(A94="","",IFERROR(G94*H94,""))</x:f>
      </x:c>
      <x:c r="J94" s="34"/>
      <x:c r="K94" s="34"/>
      <x:c r="L94" s="34"/>
      <x:c r="M94" s="34"/>
      <x:c r="N94" s="34"/>
    </x:row>
    <x:row r="95" ht="34" customHeight="1">
      <x:c r="A95" s="34"/>
      <x:c r="B95" s="34"/>
      <x:c r="C95" s="34"/>
      <x:c r="D95" s="34"/>
      <x:c r="E95" s="34"/>
      <x:c r="F95" s="34"/>
      <x:c r="G95" s="34"/>
      <x:c r="H95" s="34"/>
      <x:c r="I95" s="54" t="str">
        <x:f>IF(A95="","",IFERROR(G95*H95,""))</x:f>
      </x:c>
      <x:c r="J95" s="34"/>
      <x:c r="K95" s="34"/>
      <x:c r="L95" s="34"/>
      <x:c r="M95" s="34"/>
      <x:c r="N95" s="34"/>
    </x:row>
    <x:row r="96" ht="34" customHeight="1">
      <x:c r="A96" s="34"/>
      <x:c r="B96" s="34"/>
      <x:c r="C96" s="34"/>
      <x:c r="D96" s="34"/>
      <x:c r="E96" s="34"/>
      <x:c r="F96" s="34"/>
      <x:c r="G96" s="34"/>
      <x:c r="H96" s="34"/>
      <x:c r="I96" s="54" t="str">
        <x:f>IF(A96="","",IFERROR(G96*H96,""))</x:f>
      </x:c>
      <x:c r="J96" s="34"/>
      <x:c r="K96" s="34"/>
      <x:c r="L96" s="34"/>
      <x:c r="M96" s="34"/>
      <x:c r="N96" s="34"/>
    </x:row>
    <x:row r="97" ht="34" customHeight="1">
      <x:c r="A97" s="34"/>
      <x:c r="B97" s="34"/>
      <x:c r="C97" s="34"/>
      <x:c r="D97" s="34"/>
      <x:c r="E97" s="34"/>
      <x:c r="F97" s="34"/>
      <x:c r="G97" s="34"/>
      <x:c r="H97" s="34"/>
      <x:c r="I97" s="54" t="str">
        <x:f>IF(A97="","",IFERROR(G97*H97,""))</x:f>
      </x:c>
      <x:c r="J97" s="34"/>
      <x:c r="K97" s="34"/>
      <x:c r="L97" s="34"/>
      <x:c r="M97" s="34"/>
      <x:c r="N97" s="34"/>
    </x:row>
    <x:row r="98" ht="34" customHeight="1">
      <x:c r="A98" s="34"/>
      <x:c r="B98" s="34"/>
      <x:c r="C98" s="34"/>
      <x:c r="D98" s="34"/>
      <x:c r="E98" s="34"/>
      <x:c r="F98" s="34"/>
      <x:c r="G98" s="34"/>
      <x:c r="H98" s="34"/>
      <x:c r="I98" s="54" t="str">
        <x:f>IF(A98="","",IFERROR(G98*H98,""))</x:f>
      </x:c>
      <x:c r="J98" s="34"/>
      <x:c r="K98" s="34"/>
      <x:c r="L98" s="34"/>
      <x:c r="M98" s="34"/>
      <x:c r="N98" s="34"/>
    </x:row>
    <x:row r="99" ht="34" customHeight="1">
      <x:c r="A99" s="34"/>
      <x:c r="B99" s="34"/>
      <x:c r="C99" s="34"/>
      <x:c r="D99" s="34"/>
      <x:c r="E99" s="34"/>
      <x:c r="F99" s="34"/>
      <x:c r="G99" s="34"/>
      <x:c r="H99" s="34"/>
      <x:c r="I99" s="54" t="str">
        <x:f>IF(A99="","",IFERROR(G99*H99,""))</x:f>
      </x:c>
      <x:c r="J99" s="34"/>
      <x:c r="K99" s="34"/>
      <x:c r="L99" s="34"/>
      <x:c r="M99" s="34"/>
      <x:c r="N99" s="34"/>
    </x:row>
    <x:row r="100" ht="34" customHeight="1">
      <x:c r="A100" s="34"/>
      <x:c r="B100" s="34"/>
      <x:c r="C100" s="34"/>
      <x:c r="D100" s="34"/>
      <x:c r="E100" s="34"/>
      <x:c r="F100" s="34"/>
      <x:c r="G100" s="34"/>
      <x:c r="H100" s="34"/>
      <x:c r="I100" s="54" t="str">
        <x:f>IF(A100="","",IFERROR(G100*H100,""))</x:f>
      </x:c>
      <x:c r="J100" s="34"/>
      <x:c r="K100" s="34"/>
      <x:c r="L100" s="34"/>
      <x:c r="M100" s="34"/>
      <x:c r="N100" s="34"/>
    </x:row>
    <x:row r="101" ht="34" customHeight="1">
      <x:c r="A101" s="34"/>
      <x:c r="B101" s="34"/>
      <x:c r="C101" s="34"/>
      <x:c r="D101" s="34"/>
      <x:c r="E101" s="34"/>
      <x:c r="F101" s="34"/>
      <x:c r="G101" s="34"/>
      <x:c r="H101" s="34"/>
      <x:c r="I101" s="54" t="str">
        <x:f>IF(A101="","",IFERROR(G101*H101,""))</x:f>
      </x:c>
      <x:c r="J101" s="34"/>
      <x:c r="K101" s="34"/>
      <x:c r="L101" s="34"/>
      <x:c r="M101" s="34"/>
      <x:c r="N101" s="34"/>
    </x:row>
    <x:row r="102" ht="34" customHeight="1">
      <x:c r="A102" s="34"/>
      <x:c r="B102" s="34"/>
      <x:c r="C102" s="34"/>
      <x:c r="D102" s="34"/>
      <x:c r="E102" s="34"/>
      <x:c r="F102" s="34"/>
      <x:c r="G102" s="34"/>
      <x:c r="H102" s="34"/>
      <x:c r="I102" s="54" t="str">
        <x:f>IF(A102="","",IFERROR(G102*H102,""))</x:f>
      </x:c>
      <x:c r="J102" s="34"/>
      <x:c r="K102" s="34"/>
      <x:c r="L102" s="34"/>
      <x:c r="M102" s="34"/>
      <x:c r="N102" s="34"/>
    </x:row>
    <x:row r="103" ht="34" customHeight="1">
      <x:c r="A103" s="34"/>
      <x:c r="B103" s="34"/>
      <x:c r="C103" s="34"/>
      <x:c r="D103" s="34"/>
      <x:c r="E103" s="34"/>
      <x:c r="F103" s="34"/>
      <x:c r="G103" s="34"/>
      <x:c r="H103" s="34"/>
      <x:c r="I103" s="54" t="str">
        <x:f>IF(A103="","",IFERROR(G103*H103,""))</x:f>
      </x:c>
      <x:c r="J103" s="34"/>
      <x:c r="K103" s="34"/>
      <x:c r="L103" s="34"/>
      <x:c r="M103" s="34"/>
      <x:c r="N103" s="34"/>
    </x:row>
    <x:row r="104" ht="34" customHeight="1">
      <x:c r="A104" s="34"/>
      <x:c r="B104" s="34"/>
      <x:c r="C104" s="34"/>
      <x:c r="D104" s="34"/>
      <x:c r="E104" s="34"/>
      <x:c r="F104" s="34"/>
      <x:c r="G104" s="34"/>
      <x:c r="H104" s="34"/>
      <x:c r="I104" s="54" t="str">
        <x:f>IF(A104="","",IFERROR(G104*H104,""))</x:f>
      </x:c>
      <x:c r="J104" s="34"/>
      <x:c r="K104" s="34"/>
      <x:c r="L104" s="34"/>
      <x:c r="M104" s="34"/>
      <x:c r="N104" s="34"/>
    </x:row>
    <x:row r="105" ht="34" customHeight="1">
      <x:c r="A105" s="34"/>
      <x:c r="B105" s="34"/>
      <x:c r="C105" s="34"/>
      <x:c r="D105" s="34"/>
      <x:c r="E105" s="34"/>
      <x:c r="F105" s="34"/>
      <x:c r="G105" s="34"/>
      <x:c r="H105" s="34"/>
      <x:c r="I105" s="54" t="str">
        <x:f>IF(A105="","",IFERROR(G105*H105,""))</x:f>
      </x:c>
      <x:c r="J105" s="34"/>
      <x:c r="K105" s="34"/>
      <x:c r="L105" s="34"/>
      <x:c r="M105" s="34"/>
      <x:c r="N105" s="34"/>
    </x:row>
    <x:row r="106" ht="34" customHeight="1">
      <x:c r="A106" s="34"/>
      <x:c r="B106" s="34"/>
      <x:c r="C106" s="34"/>
      <x:c r="D106" s="34"/>
      <x:c r="E106" s="34"/>
      <x:c r="F106" s="34"/>
      <x:c r="G106" s="34"/>
      <x:c r="H106" s="34"/>
      <x:c r="I106" s="54" t="str">
        <x:f>IF(A106="","",IFERROR(G106*H106,""))</x:f>
      </x:c>
      <x:c r="J106" s="34"/>
      <x:c r="K106" s="34"/>
      <x:c r="L106" s="34"/>
      <x:c r="M106" s="34"/>
      <x:c r="N106" s="34"/>
    </x:row>
    <x:row r="107" ht="34" customHeight="1">
      <x:c r="A107" s="34"/>
      <x:c r="B107" s="34"/>
      <x:c r="C107" s="34"/>
      <x:c r="D107" s="34"/>
      <x:c r="E107" s="34"/>
      <x:c r="F107" s="34"/>
      <x:c r="G107" s="34"/>
      <x:c r="H107" s="34"/>
      <x:c r="I107" s="54" t="str">
        <x:f>IF(A107="","",IFERROR(G107*H107,""))</x:f>
      </x:c>
      <x:c r="J107" s="34"/>
      <x:c r="K107" s="34"/>
      <x:c r="L107" s="34"/>
      <x:c r="M107" s="34"/>
      <x:c r="N107" s="34"/>
    </x:row>
    <x:row r="108" ht="34" customHeight="1">
      <x:c r="A108" s="34"/>
      <x:c r="B108" s="34"/>
      <x:c r="C108" s="34"/>
      <x:c r="D108" s="34"/>
      <x:c r="E108" s="34"/>
      <x:c r="F108" s="34"/>
      <x:c r="G108" s="34"/>
      <x:c r="H108" s="34"/>
      <x:c r="I108" s="54" t="str">
        <x:f>IF(A108="","",IFERROR(G108*H108,""))</x:f>
      </x:c>
      <x:c r="J108" s="34"/>
      <x:c r="K108" s="34"/>
      <x:c r="L108" s="34"/>
      <x:c r="M108" s="34"/>
      <x:c r="N108" s="34"/>
    </x:row>
    <x:row r="109" ht="34" customHeight="1">
      <x:c r="A109" s="34"/>
      <x:c r="B109" s="34"/>
      <x:c r="C109" s="34"/>
      <x:c r="D109" s="34"/>
      <x:c r="E109" s="34"/>
      <x:c r="F109" s="34"/>
      <x:c r="G109" s="34"/>
      <x:c r="H109" s="34"/>
      <x:c r="I109" s="54" t="str">
        <x:f>IF(A109="","",IFERROR(G109*H109,""))</x:f>
      </x:c>
      <x:c r="J109" s="34"/>
      <x:c r="K109" s="34"/>
      <x:c r="L109" s="34"/>
      <x:c r="M109" s="34"/>
      <x:c r="N109" s="34"/>
    </x:row>
    <x:row r="110" ht="34" customHeight="1">
      <x:c r="A110" s="34"/>
      <x:c r="B110" s="34"/>
      <x:c r="C110" s="34"/>
      <x:c r="D110" s="34"/>
      <x:c r="E110" s="34"/>
      <x:c r="F110" s="34"/>
      <x:c r="G110" s="34"/>
      <x:c r="H110" s="34"/>
      <x:c r="I110" s="54" t="str">
        <x:f>IF(A110="","",IFERROR(G110*H110,""))</x:f>
      </x:c>
      <x:c r="J110" s="34"/>
      <x:c r="K110" s="34"/>
      <x:c r="L110" s="34"/>
      <x:c r="M110" s="34"/>
      <x:c r="N110" s="34"/>
    </x:row>
    <x:row r="111" ht="34" customHeight="1">
      <x:c r="A111" s="34"/>
      <x:c r="B111" s="34"/>
      <x:c r="C111" s="34"/>
      <x:c r="D111" s="34"/>
      <x:c r="E111" s="34"/>
      <x:c r="F111" s="34"/>
      <x:c r="G111" s="34"/>
      <x:c r="H111" s="34"/>
      <x:c r="I111" s="54" t="str">
        <x:f>IF(A111="","",IFERROR(G111*H111,""))</x:f>
      </x:c>
      <x:c r="J111" s="34"/>
      <x:c r="K111" s="34"/>
      <x:c r="L111" s="34"/>
      <x:c r="M111" s="34"/>
      <x:c r="N111" s="34"/>
    </x:row>
    <x:row r="112" ht="34" customHeight="1">
      <x:c r="A112" s="34"/>
      <x:c r="B112" s="34"/>
      <x:c r="C112" s="34"/>
      <x:c r="D112" s="34"/>
      <x:c r="E112" s="34"/>
      <x:c r="F112" s="34"/>
      <x:c r="G112" s="34"/>
      <x:c r="H112" s="34"/>
      <x:c r="I112" s="54" t="str">
        <x:f>IF(A112="","",IFERROR(G112*H112,""))</x:f>
      </x:c>
      <x:c r="J112" s="34"/>
      <x:c r="K112" s="34"/>
      <x:c r="L112" s="34"/>
      <x:c r="M112" s="34"/>
      <x:c r="N112" s="34"/>
    </x:row>
    <x:row r="113" ht="34" customHeight="1">
      <x:c r="A113" s="34"/>
      <x:c r="B113" s="34"/>
      <x:c r="C113" s="34"/>
      <x:c r="D113" s="34"/>
      <x:c r="E113" s="34"/>
      <x:c r="F113" s="34"/>
      <x:c r="G113" s="34"/>
      <x:c r="H113" s="34"/>
      <x:c r="I113" s="54" t="str">
        <x:f>IF(A113="","",IFERROR(G113*H113,""))</x:f>
      </x:c>
      <x:c r="J113" s="34"/>
      <x:c r="K113" s="34"/>
      <x:c r="L113" s="34"/>
      <x:c r="M113" s="34"/>
      <x:c r="N113" s="34"/>
    </x:row>
    <x:row r="114" ht="34" customHeight="1">
      <x:c r="A114" s="34"/>
      <x:c r="B114" s="34"/>
      <x:c r="C114" s="34"/>
      <x:c r="D114" s="34"/>
      <x:c r="E114" s="34"/>
      <x:c r="F114" s="34"/>
      <x:c r="G114" s="34"/>
      <x:c r="H114" s="34"/>
      <x:c r="I114" s="54" t="str">
        <x:f>IF(A114="","",IFERROR(G114*H114,""))</x:f>
      </x:c>
      <x:c r="J114" s="34"/>
      <x:c r="K114" s="34"/>
      <x:c r="L114" s="34"/>
      <x:c r="M114" s="34"/>
      <x:c r="N114" s="34"/>
    </x:row>
    <x:row r="115" ht="34" customHeight="1">
      <x:c r="A115" s="34"/>
      <x:c r="B115" s="34"/>
      <x:c r="C115" s="34"/>
      <x:c r="D115" s="34"/>
      <x:c r="E115" s="34"/>
      <x:c r="F115" s="34"/>
      <x:c r="G115" s="34"/>
      <x:c r="H115" s="34"/>
      <x:c r="I115" s="54" t="str">
        <x:f>IF(A115="","",IFERROR(G115*H115,""))</x:f>
      </x:c>
      <x:c r="J115" s="34"/>
      <x:c r="K115" s="34"/>
      <x:c r="L115" s="34"/>
      <x:c r="M115" s="34"/>
      <x:c r="N115" s="34"/>
    </x:row>
    <x:row r="116" ht="34" customHeight="1">
      <x:c r="A116" s="34"/>
      <x:c r="B116" s="34"/>
      <x:c r="C116" s="34"/>
      <x:c r="D116" s="34"/>
      <x:c r="E116" s="34"/>
      <x:c r="F116" s="34"/>
      <x:c r="G116" s="34"/>
      <x:c r="H116" s="34"/>
      <x:c r="I116" s="54" t="str">
        <x:f>IF(A116="","",IFERROR(G116*H116,""))</x:f>
      </x:c>
      <x:c r="J116" s="34"/>
      <x:c r="K116" s="34"/>
      <x:c r="L116" s="34"/>
      <x:c r="M116" s="34"/>
      <x:c r="N116" s="34"/>
    </x:row>
    <x:row r="117" ht="34" customHeight="1">
      <x:c r="A117" s="34"/>
      <x:c r="B117" s="34"/>
      <x:c r="C117" s="34"/>
      <x:c r="D117" s="34"/>
      <x:c r="E117" s="34"/>
      <x:c r="F117" s="34"/>
      <x:c r="G117" s="34"/>
      <x:c r="H117" s="34"/>
      <x:c r="I117" s="54" t="str">
        <x:f>IF(A117="","",IFERROR(G117*H117,""))</x:f>
      </x:c>
      <x:c r="J117" s="34"/>
      <x:c r="K117" s="34"/>
      <x:c r="L117" s="34"/>
      <x:c r="M117" s="34"/>
      <x:c r="N117" s="34"/>
    </x:row>
    <x:row r="118" ht="34" customHeight="1">
      <x:c r="A118" s="34"/>
      <x:c r="B118" s="34"/>
      <x:c r="C118" s="34"/>
      <x:c r="D118" s="34"/>
      <x:c r="E118" s="34"/>
      <x:c r="F118" s="34"/>
      <x:c r="G118" s="34"/>
      <x:c r="H118" s="34"/>
      <x:c r="I118" s="54" t="str">
        <x:f>IF(A118="","",IFERROR(G118*H118,""))</x:f>
      </x:c>
      <x:c r="J118" s="34"/>
      <x:c r="K118" s="34"/>
      <x:c r="L118" s="34"/>
      <x:c r="M118" s="34"/>
      <x:c r="N118" s="34"/>
    </x:row>
    <x:row r="119" ht="34" customHeight="1">
      <x:c r="A119" s="34"/>
      <x:c r="B119" s="34"/>
      <x:c r="C119" s="34"/>
      <x:c r="D119" s="34"/>
      <x:c r="E119" s="34"/>
      <x:c r="F119" s="34"/>
      <x:c r="G119" s="34"/>
      <x:c r="H119" s="34"/>
      <x:c r="I119" s="54" t="str">
        <x:f>IF(A119="","",IFERROR(G119*H119,""))</x:f>
      </x:c>
      <x:c r="J119" s="34"/>
      <x:c r="K119" s="34"/>
      <x:c r="L119" s="34"/>
      <x:c r="M119" s="34"/>
      <x:c r="N119" s="34"/>
    </x:row>
    <x:row r="120" ht="34" customHeight="1">
      <x:c r="A120" s="34"/>
      <x:c r="B120" s="34"/>
      <x:c r="C120" s="34"/>
      <x:c r="D120" s="34"/>
      <x:c r="E120" s="34"/>
      <x:c r="F120" s="34"/>
      <x:c r="G120" s="34"/>
      <x:c r="H120" s="34"/>
      <x:c r="I120" s="54" t="str">
        <x:f>IF(A120="","",IFERROR(G120*H120,""))</x:f>
      </x:c>
      <x:c r="J120" s="34"/>
      <x:c r="K120" s="34"/>
      <x:c r="L120" s="34"/>
      <x:c r="M120" s="34"/>
      <x:c r="N120" s="34"/>
    </x:row>
    <x:row r="121" ht="34" customHeight="1">
      <x:c r="A121" s="34"/>
      <x:c r="B121" s="34"/>
      <x:c r="C121" s="34"/>
      <x:c r="D121" s="34"/>
      <x:c r="E121" s="34"/>
      <x:c r="F121" s="34"/>
      <x:c r="G121" s="34"/>
      <x:c r="H121" s="34"/>
      <x:c r="I121" s="54" t="str">
        <x:f>IF(A121="","",IFERROR(G121*H121,""))</x:f>
      </x:c>
      <x:c r="J121" s="34"/>
      <x:c r="K121" s="34"/>
      <x:c r="L121" s="34"/>
      <x:c r="M121" s="34"/>
      <x:c r="N121" s="34"/>
    </x:row>
    <x:row r="122" ht="34" customHeight="1">
      <x:c r="A122" s="34"/>
      <x:c r="B122" s="34"/>
      <x:c r="C122" s="34"/>
      <x:c r="D122" s="34"/>
      <x:c r="E122" s="34"/>
      <x:c r="F122" s="34"/>
      <x:c r="G122" s="34"/>
      <x:c r="H122" s="34"/>
      <x:c r="I122" s="54" t="str">
        <x:f>IF(A122="","",IFERROR(G122*H122,""))</x:f>
      </x:c>
      <x:c r="J122" s="34"/>
      <x:c r="K122" s="34"/>
      <x:c r="L122" s="34"/>
      <x:c r="M122" s="34"/>
      <x:c r="N122" s="34"/>
    </x:row>
    <x:row r="123" ht="34" customHeight="1">
      <x:c r="A123" s="34"/>
      <x:c r="B123" s="34"/>
      <x:c r="C123" s="34"/>
      <x:c r="D123" s="34"/>
      <x:c r="E123" s="34"/>
      <x:c r="F123" s="34"/>
      <x:c r="G123" s="34"/>
      <x:c r="H123" s="34"/>
      <x:c r="I123" s="54" t="str">
        <x:f>IF(A123="","",IFERROR(G123*H123,""))</x:f>
      </x:c>
      <x:c r="J123" s="34"/>
      <x:c r="K123" s="34"/>
      <x:c r="L123" s="34"/>
      <x:c r="M123" s="34"/>
      <x:c r="N123" s="34"/>
    </x:row>
    <x:row r="124" ht="34" customHeight="1">
      <x:c r="A124" s="34"/>
      <x:c r="B124" s="34"/>
      <x:c r="C124" s="34"/>
      <x:c r="D124" s="34"/>
      <x:c r="E124" s="34"/>
      <x:c r="F124" s="34"/>
      <x:c r="G124" s="34"/>
      <x:c r="H124" s="34"/>
      <x:c r="I124" s="54" t="str">
        <x:f>IF(A124="","",IFERROR(G124*H124,""))</x:f>
      </x:c>
      <x:c r="J124" s="34"/>
      <x:c r="K124" s="34"/>
      <x:c r="L124" s="34"/>
      <x:c r="M124" s="34"/>
      <x:c r="N124" s="34"/>
    </x:row>
    <x:row r="125" ht="34" customHeight="1">
      <x:c r="A125" s="34"/>
      <x:c r="B125" s="34"/>
      <x:c r="C125" s="34"/>
      <x:c r="D125" s="34"/>
      <x:c r="E125" s="34"/>
      <x:c r="F125" s="34"/>
      <x:c r="G125" s="34"/>
      <x:c r="H125" s="34"/>
      <x:c r="I125" s="54" t="str">
        <x:f>IF(A125="","",IFERROR(G125*H125,""))</x:f>
      </x:c>
      <x:c r="J125" s="34"/>
      <x:c r="K125" s="34"/>
      <x:c r="L125" s="34"/>
      <x:c r="M125" s="34"/>
      <x:c r="N125" s="34"/>
    </x:row>
    <x:row r="126" ht="34" customHeight="1">
      <x:c r="A126" s="34"/>
      <x:c r="B126" s="34"/>
      <x:c r="C126" s="34"/>
      <x:c r="D126" s="34"/>
      <x:c r="E126" s="34"/>
      <x:c r="F126" s="34"/>
      <x:c r="G126" s="34"/>
      <x:c r="H126" s="34"/>
      <x:c r="I126" s="54" t="str">
        <x:f>IF(A126="","",IFERROR(G126*H126,""))</x:f>
      </x:c>
      <x:c r="J126" s="34"/>
      <x:c r="K126" s="34"/>
      <x:c r="L126" s="34"/>
      <x:c r="M126" s="34"/>
      <x:c r="N126" s="34"/>
    </x:row>
    <x:row r="127" ht="34" customHeight="1">
      <x:c r="A127" s="34"/>
      <x:c r="B127" s="34"/>
      <x:c r="C127" s="34"/>
      <x:c r="D127" s="34"/>
      <x:c r="E127" s="34"/>
      <x:c r="F127" s="34"/>
      <x:c r="G127" s="34"/>
      <x:c r="H127" s="34"/>
      <x:c r="I127" s="54" t="str">
        <x:f>IF(A127="","",IFERROR(G127*H127,""))</x:f>
      </x:c>
      <x:c r="J127" s="34"/>
      <x:c r="K127" s="34"/>
      <x:c r="L127" s="34"/>
      <x:c r="M127" s="34"/>
      <x:c r="N127" s="34"/>
    </x:row>
    <x:row r="128" ht="34" customHeight="1">
      <x:c r="A128" s="34"/>
      <x:c r="B128" s="34"/>
      <x:c r="C128" s="34"/>
      <x:c r="D128" s="34"/>
      <x:c r="E128" s="34"/>
      <x:c r="F128" s="34"/>
      <x:c r="G128" s="34"/>
      <x:c r="H128" s="34"/>
      <x:c r="I128" s="54" t="str">
        <x:f>IF(A128="","",IFERROR(G128*H128,""))</x:f>
      </x:c>
      <x:c r="J128" s="34"/>
      <x:c r="K128" s="34"/>
      <x:c r="L128" s="34"/>
      <x:c r="M128" s="34"/>
      <x:c r="N128" s="34"/>
    </x:row>
    <x:row r="129" ht="34" customHeight="1">
      <x:c r="A129" s="34"/>
      <x:c r="B129" s="34"/>
      <x:c r="C129" s="34"/>
      <x:c r="D129" s="34"/>
      <x:c r="E129" s="34"/>
      <x:c r="F129" s="34"/>
      <x:c r="G129" s="34"/>
      <x:c r="H129" s="34"/>
      <x:c r="I129" s="54" t="str">
        <x:f>IF(A129="","",IFERROR(G129*H129,""))</x:f>
      </x:c>
      <x:c r="J129" s="34"/>
      <x:c r="K129" s="34"/>
      <x:c r="L129" s="34"/>
      <x:c r="M129" s="34"/>
      <x:c r="N129" s="34"/>
    </x:row>
    <x:row r="130" ht="34" customHeight="1">
      <x:c r="A130" s="34"/>
      <x:c r="B130" s="34"/>
      <x:c r="C130" s="34"/>
      <x:c r="D130" s="34"/>
      <x:c r="E130" s="34"/>
      <x:c r="F130" s="34"/>
      <x:c r="G130" s="34"/>
      <x:c r="H130" s="34"/>
      <x:c r="I130" s="54" t="str">
        <x:f>IF(A130="","",IFERROR(G130*H130,""))</x:f>
      </x:c>
      <x:c r="J130" s="34"/>
      <x:c r="K130" s="34"/>
      <x:c r="L130" s="34"/>
      <x:c r="M130" s="34"/>
      <x:c r="N130" s="34"/>
    </x:row>
    <x:row r="131" ht="34" customHeight="1">
      <x:c r="A131" s="34"/>
      <x:c r="B131" s="34"/>
      <x:c r="C131" s="34"/>
      <x:c r="D131" s="34"/>
      <x:c r="E131" s="34"/>
      <x:c r="F131" s="34"/>
      <x:c r="G131" s="34"/>
      <x:c r="H131" s="34"/>
      <x:c r="I131" s="54" t="str">
        <x:f>IF(A131="","",IFERROR(G131*H131,""))</x:f>
      </x:c>
      <x:c r="J131" s="34"/>
      <x:c r="K131" s="34"/>
      <x:c r="L131" s="34"/>
      <x:c r="M131" s="34"/>
      <x:c r="N131" s="34"/>
    </x:row>
    <x:row r="132" ht="34" customHeight="1">
      <x:c r="A132" s="34"/>
      <x:c r="B132" s="34"/>
      <x:c r="C132" s="34"/>
      <x:c r="D132" s="34"/>
      <x:c r="E132" s="34"/>
      <x:c r="F132" s="34"/>
      <x:c r="G132" s="34"/>
      <x:c r="H132" s="34"/>
      <x:c r="I132" s="54" t="str">
        <x:f>IF(A132="","",IFERROR(G132*H132,""))</x:f>
      </x:c>
      <x:c r="J132" s="34"/>
      <x:c r="K132" s="34"/>
      <x:c r="L132" s="34"/>
      <x:c r="M132" s="34"/>
      <x:c r="N132" s="34"/>
    </x:row>
    <x:row r="133" ht="34" customHeight="1">
      <x:c r="A133" s="34"/>
      <x:c r="B133" s="34"/>
      <x:c r="C133" s="34"/>
      <x:c r="D133" s="34"/>
      <x:c r="E133" s="34"/>
      <x:c r="F133" s="34"/>
      <x:c r="G133" s="34"/>
      <x:c r="H133" s="34"/>
      <x:c r="I133" s="54" t="str">
        <x:f>IF(A133="","",IFERROR(G133*H133,""))</x:f>
      </x:c>
      <x:c r="J133" s="34"/>
      <x:c r="K133" s="34"/>
      <x:c r="L133" s="34"/>
      <x:c r="M133" s="34"/>
      <x:c r="N133" s="34"/>
    </x:row>
    <x:row r="134" ht="34" customHeight="1">
      <x:c r="A134" s="34"/>
      <x:c r="B134" s="34"/>
      <x:c r="C134" s="34"/>
      <x:c r="D134" s="34"/>
      <x:c r="E134" s="34"/>
      <x:c r="F134" s="34"/>
      <x:c r="G134" s="34"/>
      <x:c r="H134" s="34"/>
      <x:c r="I134" s="54" t="str">
        <x:f>IF(A134="","",IFERROR(G134*H134,""))</x:f>
      </x:c>
      <x:c r="J134" s="34"/>
      <x:c r="K134" s="34"/>
      <x:c r="L134" s="34"/>
      <x:c r="M134" s="34"/>
      <x:c r="N134" s="34"/>
    </x:row>
    <x:row r="135" ht="34" customHeight="1">
      <x:c r="A135" s="34"/>
      <x:c r="B135" s="34"/>
      <x:c r="C135" s="34"/>
      <x:c r="D135" s="34"/>
      <x:c r="E135" s="34"/>
      <x:c r="F135" s="34"/>
      <x:c r="G135" s="34"/>
      <x:c r="H135" s="34"/>
      <x:c r="I135" s="54" t="str">
        <x:f>IF(A135="","",IFERROR(G135*H135,""))</x:f>
      </x:c>
      <x:c r="J135" s="34"/>
      <x:c r="K135" s="34"/>
      <x:c r="L135" s="34"/>
      <x:c r="M135" s="34"/>
      <x:c r="N135" s="34"/>
    </x:row>
    <x:row r="136" ht="34" customHeight="1">
      <x:c r="A136" s="34"/>
      <x:c r="B136" s="34"/>
      <x:c r="C136" s="34"/>
      <x:c r="D136" s="34"/>
      <x:c r="E136" s="34"/>
      <x:c r="F136" s="34"/>
      <x:c r="G136" s="34"/>
      <x:c r="H136" s="34"/>
      <x:c r="I136" s="54" t="str">
        <x:f>IF(A136="","",IFERROR(G136*H136,""))</x:f>
      </x:c>
      <x:c r="J136" s="34"/>
      <x:c r="K136" s="34"/>
      <x:c r="L136" s="34"/>
      <x:c r="M136" s="34"/>
      <x:c r="N136" s="34"/>
    </x:row>
    <x:row r="137" ht="34" customHeight="1">
      <x:c r="A137" s="34"/>
      <x:c r="B137" s="34"/>
      <x:c r="C137" s="34"/>
      <x:c r="D137" s="34"/>
      <x:c r="E137" s="34"/>
      <x:c r="F137" s="34"/>
      <x:c r="G137" s="34"/>
      <x:c r="H137" s="34"/>
      <x:c r="I137" s="54" t="str">
        <x:f>IF(A137="","",IFERROR(G137*H137,""))</x:f>
      </x:c>
      <x:c r="J137" s="34"/>
      <x:c r="K137" s="34"/>
      <x:c r="L137" s="34"/>
      <x:c r="M137" s="34"/>
      <x:c r="N137" s="34"/>
    </x:row>
    <x:row r="138" ht="34" customHeight="1">
      <x:c r="A138" s="34"/>
      <x:c r="B138" s="34"/>
      <x:c r="C138" s="34"/>
      <x:c r="D138" s="34"/>
      <x:c r="E138" s="34"/>
      <x:c r="F138" s="34"/>
      <x:c r="G138" s="34"/>
      <x:c r="H138" s="34"/>
      <x:c r="I138" s="54" t="str">
        <x:f>IF(A138="","",IFERROR(G138*H138,""))</x:f>
      </x:c>
      <x:c r="J138" s="34"/>
      <x:c r="K138" s="34"/>
      <x:c r="L138" s="34"/>
      <x:c r="M138" s="34"/>
      <x:c r="N138" s="34"/>
    </x:row>
    <x:row r="139" ht="34" customHeight="1">
      <x:c r="A139" s="34"/>
      <x:c r="B139" s="34"/>
      <x:c r="C139" s="34"/>
      <x:c r="D139" s="34"/>
      <x:c r="E139" s="34"/>
      <x:c r="F139" s="34"/>
      <x:c r="G139" s="34"/>
      <x:c r="H139" s="34"/>
      <x:c r="I139" s="54" t="str">
        <x:f>IF(A139="","",IFERROR(G139*H139,""))</x:f>
      </x:c>
      <x:c r="J139" s="34"/>
      <x:c r="K139" s="34"/>
      <x:c r="L139" s="34"/>
      <x:c r="M139" s="34"/>
      <x:c r="N139" s="34"/>
    </x:row>
    <x:row r="140" ht="34" customHeight="1">
      <x:c r="A140" s="34"/>
      <x:c r="B140" s="34"/>
      <x:c r="C140" s="34"/>
      <x:c r="D140" s="34"/>
      <x:c r="E140" s="34"/>
      <x:c r="F140" s="34"/>
      <x:c r="G140" s="34"/>
      <x:c r="H140" s="34"/>
      <x:c r="I140" s="54" t="str">
        <x:f>IF(A140="","",IFERROR(G140*H140,""))</x:f>
      </x:c>
      <x:c r="J140" s="34"/>
      <x:c r="K140" s="34"/>
      <x:c r="L140" s="34"/>
      <x:c r="M140" s="34"/>
      <x:c r="N140" s="34"/>
    </x:row>
    <x:row r="141" ht="34" customHeight="1">
      <x:c r="A141" s="34"/>
      <x:c r="B141" s="34"/>
      <x:c r="C141" s="34"/>
      <x:c r="D141" s="34"/>
      <x:c r="E141" s="34"/>
      <x:c r="F141" s="34"/>
      <x:c r="G141" s="34"/>
      <x:c r="H141" s="34"/>
      <x:c r="I141" s="54" t="str">
        <x:f>IF(A141="","",IFERROR(G141*H141,""))</x:f>
      </x:c>
      <x:c r="J141" s="34"/>
      <x:c r="K141" s="34"/>
      <x:c r="L141" s="34"/>
      <x:c r="M141" s="34"/>
      <x:c r="N141" s="34"/>
    </x:row>
    <x:row r="142" ht="34" customHeight="1">
      <x:c r="A142" s="34"/>
      <x:c r="B142" s="34"/>
      <x:c r="C142" s="34"/>
      <x:c r="D142" s="34"/>
      <x:c r="E142" s="34"/>
      <x:c r="F142" s="34"/>
      <x:c r="G142" s="34"/>
      <x:c r="H142" s="34"/>
      <x:c r="I142" s="54" t="str">
        <x:f>IF(A142="","",IFERROR(G142*H142,""))</x:f>
      </x:c>
      <x:c r="J142" s="34"/>
      <x:c r="K142" s="34"/>
      <x:c r="L142" s="34"/>
      <x:c r="M142" s="34"/>
      <x:c r="N142" s="34"/>
    </x:row>
    <x:row r="143" ht="34" customHeight="1">
      <x:c r="A143" s="34"/>
      <x:c r="B143" s="34"/>
      <x:c r="C143" s="34"/>
      <x:c r="D143" s="34"/>
      <x:c r="E143" s="34"/>
      <x:c r="F143" s="34"/>
      <x:c r="G143" s="34"/>
      <x:c r="H143" s="34"/>
      <x:c r="I143" s="54" t="str">
        <x:f>IF(A143="","",IFERROR(G143*H143,""))</x:f>
      </x:c>
      <x:c r="J143" s="34"/>
      <x:c r="K143" s="34"/>
      <x:c r="L143" s="34"/>
      <x:c r="M143" s="34"/>
      <x:c r="N143" s="34"/>
    </x:row>
    <x:row r="144" ht="34" customHeight="1">
      <x:c r="A144" s="34"/>
      <x:c r="B144" s="34"/>
      <x:c r="C144" s="34"/>
      <x:c r="D144" s="34"/>
      <x:c r="E144" s="34"/>
      <x:c r="F144" s="34"/>
      <x:c r="G144" s="34"/>
      <x:c r="H144" s="34"/>
      <x:c r="I144" s="54" t="str">
        <x:f>IF(A144="","",IFERROR(G144*H144,""))</x:f>
      </x:c>
      <x:c r="J144" s="34"/>
      <x:c r="K144" s="34"/>
      <x:c r="L144" s="34"/>
      <x:c r="M144" s="34"/>
      <x:c r="N144" s="34"/>
    </x:row>
    <x:row r="145" ht="34" customHeight="1">
      <x:c r="A145" s="34"/>
      <x:c r="B145" s="34"/>
      <x:c r="C145" s="34"/>
      <x:c r="D145" s="34"/>
      <x:c r="E145" s="34"/>
      <x:c r="F145" s="34"/>
      <x:c r="G145" s="34"/>
      <x:c r="H145" s="34"/>
      <x:c r="I145" s="54" t="str">
        <x:f>IF(A145="","",IFERROR(G145*H145,""))</x:f>
      </x:c>
      <x:c r="J145" s="34"/>
      <x:c r="K145" s="34"/>
      <x:c r="L145" s="34"/>
      <x:c r="M145" s="34"/>
      <x:c r="N145" s="34"/>
    </x:row>
    <x:row r="146" ht="34" customHeight="1">
      <x:c r="A146" s="34"/>
      <x:c r="B146" s="34"/>
      <x:c r="C146" s="34"/>
      <x:c r="D146" s="34"/>
      <x:c r="E146" s="34"/>
      <x:c r="F146" s="34"/>
      <x:c r="G146" s="34"/>
      <x:c r="H146" s="34"/>
      <x:c r="I146" s="54" t="str">
        <x:f>IF(A146="","",IFERROR(G146*H146,""))</x:f>
      </x:c>
      <x:c r="J146" s="34"/>
      <x:c r="K146" s="34"/>
      <x:c r="L146" s="34"/>
      <x:c r="M146" s="34"/>
      <x:c r="N146" s="34"/>
    </x:row>
    <x:row r="147" ht="34" customHeight="1">
      <x:c r="A147" s="34"/>
      <x:c r="B147" s="34"/>
      <x:c r="C147" s="34"/>
      <x:c r="D147" s="34"/>
      <x:c r="E147" s="34"/>
      <x:c r="F147" s="34"/>
      <x:c r="G147" s="34"/>
      <x:c r="H147" s="34"/>
      <x:c r="I147" s="54" t="str">
        <x:f>IF(A147="","",IFERROR(G147*H147,""))</x:f>
      </x:c>
      <x:c r="J147" s="34"/>
      <x:c r="K147" s="34"/>
      <x:c r="L147" s="34"/>
      <x:c r="M147" s="34"/>
      <x:c r="N147" s="34"/>
    </x:row>
    <x:row r="148" ht="34" customHeight="1">
      <x:c r="A148" s="34"/>
      <x:c r="B148" s="34"/>
      <x:c r="C148" s="34"/>
      <x:c r="D148" s="34"/>
      <x:c r="E148" s="34"/>
      <x:c r="F148" s="34"/>
      <x:c r="G148" s="34"/>
      <x:c r="H148" s="34"/>
      <x:c r="I148" s="54" t="str">
        <x:f>IF(A148="","",IFERROR(G148*H148,""))</x:f>
      </x:c>
      <x:c r="J148" s="34"/>
      <x:c r="K148" s="34"/>
      <x:c r="L148" s="34"/>
      <x:c r="M148" s="34"/>
      <x:c r="N148" s="34"/>
    </x:row>
    <x:row r="149" ht="34" customHeight="1">
      <x:c r="A149" s="34"/>
      <x:c r="B149" s="34"/>
      <x:c r="C149" s="34"/>
      <x:c r="D149" s="34"/>
      <x:c r="E149" s="34"/>
      <x:c r="F149" s="34"/>
      <x:c r="G149" s="34"/>
      <x:c r="H149" s="34"/>
      <x:c r="I149" s="54" t="str">
        <x:f>IF(A149="","",IFERROR(G149*H149,""))</x:f>
      </x:c>
      <x:c r="J149" s="34"/>
      <x:c r="K149" s="34"/>
      <x:c r="L149" s="34"/>
      <x:c r="M149" s="34"/>
      <x:c r="N149" s="34"/>
    </x:row>
    <x:row r="150" ht="34" customHeight="1">
      <x:c r="A150" s="34"/>
      <x:c r="B150" s="34"/>
      <x:c r="C150" s="34"/>
      <x:c r="D150" s="34"/>
      <x:c r="E150" s="34"/>
      <x:c r="F150" s="34"/>
      <x:c r="G150" s="34"/>
      <x:c r="H150" s="34"/>
      <x:c r="I150" s="54" t="str">
        <x:f>IF(A150="","",IFERROR(G150*H150,""))</x:f>
      </x:c>
      <x:c r="J150" s="34"/>
      <x:c r="K150" s="34"/>
      <x:c r="L150" s="34"/>
      <x:c r="M150" s="34"/>
      <x:c r="N150" s="34"/>
    </x:row>
    <x:row r="151" ht="34" customHeight="1">
      <x:c r="A151" s="34"/>
      <x:c r="B151" s="34"/>
      <x:c r="C151" s="34"/>
      <x:c r="D151" s="34"/>
      <x:c r="E151" s="34"/>
      <x:c r="F151" s="34"/>
      <x:c r="G151" s="34"/>
      <x:c r="H151" s="34"/>
      <x:c r="I151" s="54" t="str">
        <x:f>IF(A151="","",IFERROR(G151*H151,""))</x:f>
      </x:c>
      <x:c r="J151" s="34"/>
      <x:c r="K151" s="34"/>
      <x:c r="L151" s="34"/>
      <x:c r="M151" s="34"/>
      <x:c r="N151" s="34"/>
    </x:row>
    <x:row r="152" ht="34" customHeight="1">
      <x:c r="A152" s="34"/>
      <x:c r="B152" s="34"/>
      <x:c r="C152" s="34"/>
      <x:c r="D152" s="34"/>
      <x:c r="E152" s="34"/>
      <x:c r="F152" s="34"/>
      <x:c r="G152" s="34"/>
      <x:c r="H152" s="34"/>
      <x:c r="I152" s="54" t="str">
        <x:f>IF(A152="","",IFERROR(G152*H152,""))</x:f>
      </x:c>
      <x:c r="J152" s="34"/>
      <x:c r="K152" s="34"/>
      <x:c r="L152" s="34"/>
      <x:c r="M152" s="34"/>
      <x:c r="N152" s="34"/>
    </x:row>
    <x:row r="153" ht="34" customHeight="1">
      <x:c r="A153" s="34"/>
      <x:c r="B153" s="34"/>
      <x:c r="C153" s="34"/>
      <x:c r="D153" s="34"/>
      <x:c r="E153" s="34"/>
      <x:c r="F153" s="34"/>
      <x:c r="G153" s="34"/>
      <x:c r="H153" s="34"/>
      <x:c r="I153" s="54" t="str">
        <x:f>IF(A153="","",IFERROR(G153*H153,""))</x:f>
      </x:c>
      <x:c r="J153" s="34"/>
      <x:c r="K153" s="34"/>
      <x:c r="L153" s="34"/>
      <x:c r="M153" s="34"/>
      <x:c r="N153" s="34"/>
    </x:row>
    <x:row r="154" ht="34" customHeight="1">
      <x:c r="A154" s="34"/>
      <x:c r="B154" s="34"/>
      <x:c r="C154" s="34"/>
      <x:c r="D154" s="34"/>
      <x:c r="E154" s="34"/>
      <x:c r="F154" s="34"/>
      <x:c r="G154" s="34"/>
      <x:c r="H154" s="34"/>
      <x:c r="I154" s="54" t="str">
        <x:f>IF(A154="","",IFERROR(G154*H154,""))</x:f>
      </x:c>
      <x:c r="J154" s="34"/>
      <x:c r="K154" s="34"/>
      <x:c r="L154" s="34"/>
      <x:c r="M154" s="34"/>
      <x:c r="N154" s="34"/>
    </x:row>
    <x:row r="155" ht="34" customHeight="1">
      <x:c r="A155" s="34"/>
      <x:c r="B155" s="34"/>
      <x:c r="C155" s="34"/>
      <x:c r="D155" s="34"/>
      <x:c r="E155" s="34"/>
      <x:c r="F155" s="34"/>
      <x:c r="G155" s="34"/>
      <x:c r="H155" s="34"/>
      <x:c r="I155" s="54" t="str">
        <x:f>IF(A155="","",IFERROR(G155*H155,""))</x:f>
      </x:c>
      <x:c r="J155" s="34"/>
      <x:c r="K155" s="34"/>
      <x:c r="L155" s="34"/>
      <x:c r="M155" s="34"/>
      <x:c r="N155" s="34"/>
    </x:row>
    <x:row r="156" ht="34" customHeight="1">
      <x:c r="A156" s="34"/>
      <x:c r="B156" s="34"/>
      <x:c r="C156" s="34"/>
      <x:c r="D156" s="34"/>
      <x:c r="E156" s="34"/>
      <x:c r="F156" s="34"/>
      <x:c r="G156" s="34"/>
      <x:c r="H156" s="34"/>
      <x:c r="I156" s="54" t="str">
        <x:f>IF(A156="","",IFERROR(G156*H156,""))</x:f>
      </x:c>
      <x:c r="J156" s="34"/>
      <x:c r="K156" s="34"/>
      <x:c r="L156" s="34"/>
      <x:c r="M156" s="34"/>
      <x:c r="N156" s="34"/>
    </x:row>
    <x:row r="157" ht="34" customHeight="1">
      <x:c r="A157" s="34"/>
      <x:c r="B157" s="34"/>
      <x:c r="C157" s="34"/>
      <x:c r="D157" s="34"/>
      <x:c r="E157" s="34"/>
      <x:c r="F157" s="34"/>
      <x:c r="G157" s="34"/>
      <x:c r="H157" s="34"/>
      <x:c r="I157" s="54" t="str">
        <x:f>IF(A157="","",IFERROR(G157*H157,""))</x:f>
      </x:c>
      <x:c r="J157" s="34"/>
      <x:c r="K157" s="34"/>
      <x:c r="L157" s="34"/>
      <x:c r="M157" s="34"/>
      <x:c r="N157" s="34"/>
    </x:row>
    <x:row r="158" ht="34" customHeight="1">
      <x:c r="A158" s="34"/>
      <x:c r="B158" s="34"/>
      <x:c r="C158" s="34"/>
      <x:c r="D158" s="34"/>
      <x:c r="E158" s="34"/>
      <x:c r="F158" s="34"/>
      <x:c r="G158" s="34"/>
      <x:c r="H158" s="34"/>
      <x:c r="I158" s="54" t="str">
        <x:f>IF(A158="","",IFERROR(G158*H158,""))</x:f>
      </x:c>
      <x:c r="J158" s="34"/>
      <x:c r="K158" s="34"/>
      <x:c r="L158" s="34"/>
      <x:c r="M158" s="34"/>
      <x:c r="N158" s="34"/>
    </x:row>
    <x:row r="159" ht="34" customHeight="1">
      <x:c r="A159" s="34"/>
      <x:c r="B159" s="34"/>
      <x:c r="C159" s="34"/>
      <x:c r="D159" s="34"/>
      <x:c r="E159" s="34"/>
      <x:c r="F159" s="34"/>
      <x:c r="G159" s="34"/>
      <x:c r="H159" s="34"/>
      <x:c r="I159" s="54" t="str">
        <x:f>IF(A159="","",IFERROR(G159*H159,""))</x:f>
      </x:c>
      <x:c r="J159" s="34"/>
      <x:c r="K159" s="34"/>
      <x:c r="L159" s="34"/>
      <x:c r="M159" s="34"/>
      <x:c r="N159" s="34"/>
    </x:row>
    <x:row r="160" ht="34" customHeight="1">
      <x:c r="A160" s="34"/>
      <x:c r="B160" s="34"/>
      <x:c r="C160" s="34"/>
      <x:c r="D160" s="34"/>
      <x:c r="E160" s="34"/>
      <x:c r="F160" s="34"/>
      <x:c r="G160" s="34"/>
      <x:c r="H160" s="34"/>
      <x:c r="I160" s="54" t="str">
        <x:f>IF(A160="","",IFERROR(G160*H160,""))</x:f>
      </x:c>
      <x:c r="J160" s="34"/>
      <x:c r="K160" s="34"/>
      <x:c r="L160" s="34"/>
      <x:c r="M160" s="34"/>
      <x:c r="N160" s="34"/>
    </x:row>
    <x:row r="161" ht="34" customHeight="1">
      <x:c r="A161" s="34"/>
      <x:c r="B161" s="34"/>
      <x:c r="C161" s="34"/>
      <x:c r="D161" s="34"/>
      <x:c r="E161" s="34"/>
      <x:c r="F161" s="34"/>
      <x:c r="G161" s="34"/>
      <x:c r="H161" s="34"/>
      <x:c r="I161" s="54" t="str">
        <x:f>IF(A161="","",IFERROR(G161*H161,""))</x:f>
      </x:c>
      <x:c r="J161" s="34"/>
      <x:c r="K161" s="34"/>
      <x:c r="L161" s="34"/>
      <x:c r="M161" s="34"/>
      <x:c r="N161" s="34"/>
    </x:row>
    <x:row r="162" ht="34" customHeight="1">
      <x:c r="A162" s="34"/>
      <x:c r="B162" s="34"/>
      <x:c r="C162" s="34"/>
      <x:c r="D162" s="34"/>
      <x:c r="E162" s="34"/>
      <x:c r="F162" s="34"/>
      <x:c r="G162" s="34"/>
      <x:c r="H162" s="34"/>
      <x:c r="I162" s="54" t="str">
        <x:f>IF(A162="","",IFERROR(G162*H162,""))</x:f>
      </x:c>
      <x:c r="J162" s="34"/>
      <x:c r="K162" s="34"/>
      <x:c r="L162" s="34"/>
      <x:c r="M162" s="34"/>
      <x:c r="N162" s="34"/>
    </x:row>
    <x:row r="163" ht="34" customHeight="1">
      <x:c r="A163" s="34"/>
      <x:c r="B163" s="34"/>
      <x:c r="C163" s="34"/>
      <x:c r="D163" s="34"/>
      <x:c r="E163" s="34"/>
      <x:c r="F163" s="34"/>
      <x:c r="G163" s="34"/>
      <x:c r="H163" s="34"/>
      <x:c r="I163" s="54" t="str">
        <x:f>IF(A163="","",IFERROR(G163*H163,""))</x:f>
      </x:c>
      <x:c r="J163" s="34"/>
      <x:c r="K163" s="34"/>
      <x:c r="L163" s="34"/>
      <x:c r="M163" s="34"/>
      <x:c r="N163" s="34"/>
    </x:row>
    <x:row r="164" ht="34" customHeight="1">
      <x:c r="A164" s="34"/>
      <x:c r="B164" s="34"/>
      <x:c r="C164" s="34"/>
      <x:c r="D164" s="34"/>
      <x:c r="E164" s="34"/>
      <x:c r="F164" s="34"/>
      <x:c r="G164" s="34"/>
      <x:c r="H164" s="34"/>
      <x:c r="I164" s="54" t="str">
        <x:f>IF(A164="","",IFERROR(G164*H164,""))</x:f>
      </x:c>
      <x:c r="J164" s="34"/>
      <x:c r="K164" s="34"/>
      <x:c r="L164" s="34"/>
      <x:c r="M164" s="34"/>
      <x:c r="N164" s="34"/>
    </x:row>
    <x:row r="165" ht="34" customHeight="1">
      <x:c r="A165" s="34"/>
      <x:c r="B165" s="34"/>
      <x:c r="C165" s="34"/>
      <x:c r="D165" s="34"/>
      <x:c r="E165" s="34"/>
      <x:c r="F165" s="34"/>
      <x:c r="G165" s="34"/>
      <x:c r="H165" s="34"/>
      <x:c r="I165" s="54" t="str">
        <x:f>IF(A165="","",IFERROR(G165*H165,""))</x:f>
      </x:c>
      <x:c r="J165" s="34"/>
      <x:c r="K165" s="34"/>
      <x:c r="L165" s="34"/>
      <x:c r="M165" s="34"/>
      <x:c r="N165" s="34"/>
    </x:row>
    <x:row r="166" ht="34" customHeight="1">
      <x:c r="A166" s="34"/>
      <x:c r="B166" s="34"/>
      <x:c r="C166" s="34"/>
      <x:c r="D166" s="34"/>
      <x:c r="E166" s="34"/>
      <x:c r="F166" s="34"/>
      <x:c r="G166" s="34"/>
      <x:c r="H166" s="34"/>
      <x:c r="I166" s="54" t="str">
        <x:f>IF(A166="","",IFERROR(G166*H166,""))</x:f>
      </x:c>
      <x:c r="J166" s="34"/>
      <x:c r="K166" s="34"/>
      <x:c r="L166" s="34"/>
      <x:c r="M166" s="34"/>
      <x:c r="N166" s="34"/>
    </x:row>
    <x:row r="167" ht="34" customHeight="1">
      <x:c r="A167" s="34"/>
      <x:c r="B167" s="34"/>
      <x:c r="C167" s="34"/>
      <x:c r="D167" s="34"/>
      <x:c r="E167" s="34"/>
      <x:c r="F167" s="34"/>
      <x:c r="G167" s="34"/>
      <x:c r="H167" s="34"/>
      <x:c r="I167" s="54" t="str">
        <x:f>IF(A167="","",IFERROR(G167*H167,""))</x:f>
      </x:c>
      <x:c r="J167" s="34"/>
      <x:c r="K167" s="34"/>
      <x:c r="L167" s="34"/>
      <x:c r="M167" s="34"/>
      <x:c r="N167" s="34"/>
    </x:row>
    <x:row r="168" ht="34" customHeight="1">
      <x:c r="A168" s="34"/>
      <x:c r="B168" s="34"/>
      <x:c r="C168" s="34"/>
      <x:c r="D168" s="34"/>
      <x:c r="E168" s="34"/>
      <x:c r="F168" s="34"/>
      <x:c r="G168" s="34"/>
      <x:c r="H168" s="34"/>
      <x:c r="I168" s="54" t="str">
        <x:f>IF(A168="","",IFERROR(G168*H168,""))</x:f>
      </x:c>
      <x:c r="J168" s="34"/>
      <x:c r="K168" s="34"/>
      <x:c r="L168" s="34"/>
      <x:c r="M168" s="34"/>
      <x:c r="N168" s="34"/>
    </x:row>
    <x:row r="169" ht="34" customHeight="1">
      <x:c r="A169" s="34"/>
      <x:c r="B169" s="34"/>
      <x:c r="C169" s="34"/>
      <x:c r="D169" s="34"/>
      <x:c r="E169" s="34"/>
      <x:c r="F169" s="34"/>
      <x:c r="G169" s="34"/>
      <x:c r="H169" s="34"/>
      <x:c r="I169" s="54" t="str">
        <x:f>IF(A169="","",IFERROR(G169*H169,""))</x:f>
      </x:c>
      <x:c r="J169" s="34"/>
      <x:c r="K169" s="34"/>
      <x:c r="L169" s="34"/>
      <x:c r="M169" s="34"/>
      <x:c r="N169" s="34"/>
    </x:row>
    <x:row r="170" ht="34" customHeight="1">
      <x:c r="A170" s="34"/>
      <x:c r="B170" s="34"/>
      <x:c r="C170" s="34"/>
      <x:c r="D170" s="34"/>
      <x:c r="E170" s="34"/>
      <x:c r="F170" s="34"/>
      <x:c r="G170" s="34"/>
      <x:c r="H170" s="34"/>
      <x:c r="I170" s="54" t="str">
        <x:f>IF(A170="","",IFERROR(G170*H170,""))</x:f>
      </x:c>
      <x:c r="J170" s="34"/>
      <x:c r="K170" s="34"/>
      <x:c r="L170" s="34"/>
      <x:c r="M170" s="34"/>
      <x:c r="N170" s="34"/>
    </x:row>
    <x:row r="171" ht="34" customHeight="1">
      <x:c r="A171" s="34"/>
      <x:c r="B171" s="34"/>
      <x:c r="C171" s="34"/>
      <x:c r="D171" s="34"/>
      <x:c r="E171" s="34"/>
      <x:c r="F171" s="34"/>
      <x:c r="G171" s="34"/>
      <x:c r="H171" s="34"/>
      <x:c r="I171" s="54" t="str">
        <x:f>IF(A171="","",IFERROR(G171*H171,""))</x:f>
      </x:c>
      <x:c r="J171" s="34"/>
      <x:c r="K171" s="34"/>
      <x:c r="L171" s="34"/>
      <x:c r="M171" s="34"/>
      <x:c r="N171" s="34"/>
    </x:row>
    <x:row r="172" ht="34" customHeight="1">
      <x:c r="A172" s="34"/>
      <x:c r="B172" s="34"/>
      <x:c r="C172" s="34"/>
      <x:c r="D172" s="34"/>
      <x:c r="E172" s="34"/>
      <x:c r="F172" s="34"/>
      <x:c r="G172" s="34"/>
      <x:c r="H172" s="34"/>
      <x:c r="I172" s="54" t="str">
        <x:f>IF(A172="","",IFERROR(G172*H172,""))</x:f>
      </x:c>
      <x:c r="J172" s="34"/>
      <x:c r="K172" s="34"/>
      <x:c r="L172" s="34"/>
      <x:c r="M172" s="34"/>
      <x:c r="N172" s="34"/>
    </x:row>
    <x:row r="173" ht="34" customHeight="1">
      <x:c r="A173" s="34"/>
      <x:c r="B173" s="34"/>
      <x:c r="C173" s="34"/>
      <x:c r="D173" s="34"/>
      <x:c r="E173" s="34"/>
      <x:c r="F173" s="34"/>
      <x:c r="G173" s="34"/>
      <x:c r="H173" s="34"/>
      <x:c r="I173" s="54" t="str">
        <x:f>IF(A173="","",IFERROR(G173*H173,""))</x:f>
      </x:c>
      <x:c r="J173" s="34"/>
      <x:c r="K173" s="34"/>
      <x:c r="L173" s="34"/>
      <x:c r="M173" s="34"/>
      <x:c r="N173" s="34"/>
    </x:row>
    <x:row r="174" ht="34" customHeight="1">
      <x:c r="A174" s="34"/>
      <x:c r="B174" s="34"/>
      <x:c r="C174" s="34"/>
      <x:c r="D174" s="34"/>
      <x:c r="E174" s="34"/>
      <x:c r="F174" s="34"/>
      <x:c r="G174" s="34"/>
      <x:c r="H174" s="34"/>
      <x:c r="I174" s="54" t="str">
        <x:f>IF(A174="","",IFERROR(G174*H174,""))</x:f>
      </x:c>
      <x:c r="J174" s="34"/>
      <x:c r="K174" s="34"/>
      <x:c r="L174" s="34"/>
      <x:c r="M174" s="34"/>
      <x:c r="N174" s="34"/>
    </x:row>
    <x:row r="175" ht="34" customHeight="1">
      <x:c r="A175" s="34"/>
      <x:c r="B175" s="34"/>
      <x:c r="C175" s="34"/>
      <x:c r="D175" s="34"/>
      <x:c r="E175" s="34"/>
      <x:c r="F175" s="34"/>
      <x:c r="G175" s="34"/>
      <x:c r="H175" s="34"/>
      <x:c r="I175" s="54" t="str">
        <x:f>IF(A175="","",IFERROR(G175*H175,""))</x:f>
      </x:c>
      <x:c r="J175" s="34"/>
      <x:c r="K175" s="34"/>
      <x:c r="L175" s="34"/>
      <x:c r="M175" s="34"/>
      <x:c r="N175" s="34"/>
    </x:row>
    <x:row r="176" ht="34" customHeight="1">
      <x:c r="A176" s="34"/>
      <x:c r="B176" s="34"/>
      <x:c r="C176" s="34"/>
      <x:c r="D176" s="34"/>
      <x:c r="E176" s="34"/>
      <x:c r="F176" s="34"/>
      <x:c r="G176" s="34"/>
      <x:c r="H176" s="34"/>
      <x:c r="I176" s="54" t="str">
        <x:f>IF(A176="","",IFERROR(G176*H176,""))</x:f>
      </x:c>
      <x:c r="J176" s="34"/>
      <x:c r="K176" s="34"/>
      <x:c r="L176" s="34"/>
      <x:c r="M176" s="34"/>
      <x:c r="N176" s="34"/>
    </x:row>
    <x:row r="177" ht="34" customHeight="1">
      <x:c r="A177" s="34"/>
      <x:c r="B177" s="34"/>
      <x:c r="C177" s="34"/>
      <x:c r="D177" s="34"/>
      <x:c r="E177" s="34"/>
      <x:c r="F177" s="34"/>
      <x:c r="G177" s="34"/>
      <x:c r="H177" s="34"/>
      <x:c r="I177" s="54" t="str">
        <x:f>IF(A177="","",IFERROR(G177*H177,""))</x:f>
      </x:c>
      <x:c r="J177" s="34"/>
      <x:c r="K177" s="34"/>
      <x:c r="L177" s="34"/>
      <x:c r="M177" s="34"/>
      <x:c r="N177" s="34"/>
    </x:row>
    <x:row r="178" ht="34" customHeight="1">
      <x:c r="A178" s="34"/>
      <x:c r="B178" s="34"/>
      <x:c r="C178" s="34"/>
      <x:c r="D178" s="34"/>
      <x:c r="E178" s="34"/>
      <x:c r="F178" s="34"/>
      <x:c r="G178" s="34"/>
      <x:c r="H178" s="34"/>
      <x:c r="I178" s="54" t="str">
        <x:f>IF(A178="","",IFERROR(G178*H178,""))</x:f>
      </x:c>
      <x:c r="J178" s="34"/>
      <x:c r="K178" s="34"/>
      <x:c r="L178" s="34"/>
      <x:c r="M178" s="34"/>
      <x:c r="N178" s="34"/>
    </x:row>
    <x:row r="179" ht="34" customHeight="1">
      <x:c r="A179" s="34"/>
      <x:c r="B179" s="34"/>
      <x:c r="C179" s="34"/>
      <x:c r="D179" s="34"/>
      <x:c r="E179" s="34"/>
      <x:c r="F179" s="34"/>
      <x:c r="G179" s="34"/>
      <x:c r="H179" s="34"/>
      <x:c r="I179" s="54" t="str">
        <x:f>IF(A179="","",IFERROR(G179*H179,""))</x:f>
      </x:c>
      <x:c r="J179" s="34"/>
      <x:c r="K179" s="34"/>
      <x:c r="L179" s="34"/>
      <x:c r="M179" s="34"/>
      <x:c r="N179" s="34"/>
    </x:row>
    <x:row r="180" ht="34" customHeight="1">
      <x:c r="A180" s="34"/>
      <x:c r="B180" s="34"/>
      <x:c r="C180" s="34"/>
      <x:c r="D180" s="34"/>
      <x:c r="E180" s="34"/>
      <x:c r="F180" s="34"/>
      <x:c r="G180" s="34"/>
      <x:c r="H180" s="34"/>
      <x:c r="I180" s="54" t="str">
        <x:f>IF(A180="","",IFERROR(G180*H180,""))</x:f>
      </x:c>
      <x:c r="J180" s="34"/>
      <x:c r="K180" s="34"/>
      <x:c r="L180" s="34"/>
      <x:c r="M180" s="34"/>
      <x:c r="N180" s="34"/>
    </x:row>
    <x:row r="181" ht="34" customHeight="1">
      <x:c r="A181" s="34"/>
      <x:c r="B181" s="34"/>
      <x:c r="C181" s="34"/>
      <x:c r="D181" s="34"/>
      <x:c r="E181" s="34"/>
      <x:c r="F181" s="34"/>
      <x:c r="G181" s="34"/>
      <x:c r="H181" s="34"/>
      <x:c r="I181" s="54" t="str">
        <x:f>IF(A181="","",IFERROR(G181*H181,""))</x:f>
      </x:c>
      <x:c r="J181" s="34"/>
      <x:c r="K181" s="34"/>
      <x:c r="L181" s="34"/>
      <x:c r="M181" s="34"/>
      <x:c r="N181" s="34"/>
    </x:row>
    <x:row r="182" ht="34" customHeight="1">
      <x:c r="A182" s="34"/>
      <x:c r="B182" s="34"/>
      <x:c r="C182" s="34"/>
      <x:c r="D182" s="34"/>
      <x:c r="E182" s="34"/>
      <x:c r="F182" s="34"/>
      <x:c r="G182" s="34"/>
      <x:c r="H182" s="34"/>
      <x:c r="I182" s="54" t="str">
        <x:f>IF(A182="","",IFERROR(G182*H182,""))</x:f>
      </x:c>
      <x:c r="J182" s="34"/>
      <x:c r="K182" s="34"/>
      <x:c r="L182" s="34"/>
      <x:c r="M182" s="34"/>
      <x:c r="N182" s="34"/>
    </x:row>
    <x:row r="183" ht="34" customHeight="1">
      <x:c r="A183" s="34"/>
      <x:c r="B183" s="34"/>
      <x:c r="C183" s="34"/>
      <x:c r="D183" s="34"/>
      <x:c r="E183" s="34"/>
      <x:c r="F183" s="34"/>
      <x:c r="G183" s="34"/>
      <x:c r="H183" s="34"/>
      <x:c r="I183" s="54" t="str">
        <x:f>IF(A183="","",IFERROR(G183*H183,""))</x:f>
      </x:c>
      <x:c r="J183" s="34"/>
      <x:c r="K183" s="34"/>
      <x:c r="L183" s="34"/>
      <x:c r="M183" s="34"/>
      <x:c r="N183" s="34"/>
    </x:row>
    <x:row r="184" ht="34" customHeight="1">
      <x:c r="A184" s="34"/>
      <x:c r="B184" s="34"/>
      <x:c r="C184" s="34"/>
      <x:c r="D184" s="34"/>
      <x:c r="E184" s="34"/>
      <x:c r="F184" s="34"/>
      <x:c r="G184" s="34"/>
      <x:c r="H184" s="34"/>
      <x:c r="I184" s="54" t="str">
        <x:f>IF(A184="","",IFERROR(G184*H184,""))</x:f>
      </x:c>
      <x:c r="J184" s="34"/>
      <x:c r="K184" s="34"/>
      <x:c r="L184" s="34"/>
      <x:c r="M184" s="34"/>
      <x:c r="N184" s="34"/>
    </x:row>
    <x:row r="185" ht="34" customHeight="1">
      <x:c r="A185" s="34"/>
      <x:c r="B185" s="34"/>
      <x:c r="C185" s="34"/>
      <x:c r="D185" s="34"/>
      <x:c r="E185" s="34"/>
      <x:c r="F185" s="34"/>
      <x:c r="G185" s="34"/>
      <x:c r="H185" s="34"/>
      <x:c r="I185" s="54" t="str">
        <x:f>IF(A185="","",IFERROR(G185*H185,""))</x:f>
      </x:c>
      <x:c r="J185" s="34"/>
      <x:c r="K185" s="34"/>
      <x:c r="L185" s="34"/>
      <x:c r="M185" s="34"/>
      <x:c r="N185" s="34"/>
    </x:row>
    <x:row r="186" ht="34" customHeight="1">
      <x:c r="A186" s="34"/>
      <x:c r="B186" s="34"/>
      <x:c r="C186" s="34"/>
      <x:c r="D186" s="34"/>
      <x:c r="E186" s="34"/>
      <x:c r="F186" s="34"/>
      <x:c r="G186" s="34"/>
      <x:c r="H186" s="34"/>
      <x:c r="I186" s="54" t="str">
        <x:f>IF(A186="","",IFERROR(G186*H186,""))</x:f>
      </x:c>
      <x:c r="J186" s="34"/>
      <x:c r="K186" s="34"/>
      <x:c r="L186" s="34"/>
      <x:c r="M186" s="34"/>
      <x:c r="N186" s="34"/>
    </x:row>
    <x:row r="187" ht="34" customHeight="1">
      <x:c r="A187" s="34"/>
      <x:c r="B187" s="34"/>
      <x:c r="C187" s="34"/>
      <x:c r="D187" s="34"/>
      <x:c r="E187" s="34"/>
      <x:c r="F187" s="34"/>
      <x:c r="G187" s="34"/>
      <x:c r="H187" s="34"/>
      <x:c r="I187" s="54" t="str">
        <x:f>IF(A187="","",IFERROR(G187*H187,""))</x:f>
      </x:c>
      <x:c r="J187" s="34"/>
      <x:c r="K187" s="34"/>
      <x:c r="L187" s="34"/>
      <x:c r="M187" s="34"/>
      <x:c r="N187" s="34"/>
    </x:row>
    <x:row r="188" ht="34" customHeight="1">
      <x:c r="A188" s="34"/>
      <x:c r="B188" s="34"/>
      <x:c r="C188" s="34"/>
      <x:c r="D188" s="34"/>
      <x:c r="E188" s="34"/>
      <x:c r="F188" s="34"/>
      <x:c r="G188" s="34"/>
      <x:c r="H188" s="34"/>
      <x:c r="I188" s="54" t="str">
        <x:f>IF(A188="","",IFERROR(G188*H188,""))</x:f>
      </x:c>
      <x:c r="J188" s="34"/>
      <x:c r="K188" s="34"/>
      <x:c r="L188" s="34"/>
      <x:c r="M188" s="34"/>
      <x:c r="N188" s="34"/>
    </x:row>
    <x:row r="189" ht="34" customHeight="1">
      <x:c r="A189" s="34"/>
      <x:c r="B189" s="34"/>
      <x:c r="C189" s="34"/>
      <x:c r="D189" s="34"/>
      <x:c r="E189" s="34"/>
      <x:c r="F189" s="34"/>
      <x:c r="G189" s="34"/>
      <x:c r="H189" s="34"/>
      <x:c r="I189" s="54" t="str">
        <x:f>IF(A189="","",IFERROR(G189*H189,""))</x:f>
      </x:c>
      <x:c r="J189" s="34"/>
      <x:c r="K189" s="34"/>
      <x:c r="L189" s="34"/>
      <x:c r="M189" s="34"/>
      <x:c r="N189" s="34"/>
    </x:row>
    <x:row r="190" ht="34" customHeight="1">
      <x:c r="A190" s="34"/>
      <x:c r="B190" s="34"/>
      <x:c r="C190" s="34"/>
      <x:c r="D190" s="34"/>
      <x:c r="E190" s="34"/>
      <x:c r="F190" s="34"/>
      <x:c r="G190" s="34"/>
      <x:c r="H190" s="34"/>
      <x:c r="I190" s="54" t="str">
        <x:f>IF(A190="","",IFERROR(G190*H190,""))</x:f>
      </x:c>
      <x:c r="J190" s="34"/>
      <x:c r="K190" s="34"/>
      <x:c r="L190" s="34"/>
      <x:c r="M190" s="34"/>
      <x:c r="N190" s="34"/>
    </x:row>
    <x:row r="191" ht="34" customHeight="1">
      <x:c r="A191" s="34"/>
      <x:c r="B191" s="34"/>
      <x:c r="C191" s="34"/>
      <x:c r="D191" s="34"/>
      <x:c r="E191" s="34"/>
      <x:c r="F191" s="34"/>
      <x:c r="G191" s="34"/>
      <x:c r="H191" s="34"/>
      <x:c r="I191" s="54" t="str">
        <x:f>IF(A191="","",IFERROR(G191*H191,""))</x:f>
      </x:c>
      <x:c r="J191" s="34"/>
      <x:c r="K191" s="34"/>
      <x:c r="L191" s="34"/>
      <x:c r="M191" s="34"/>
      <x:c r="N191" s="34"/>
    </x:row>
    <x:row r="192" ht="34" customHeight="1">
      <x:c r="A192" s="34"/>
      <x:c r="B192" s="34"/>
      <x:c r="C192" s="34"/>
      <x:c r="D192" s="34"/>
      <x:c r="E192" s="34"/>
      <x:c r="F192" s="34"/>
      <x:c r="G192" s="34"/>
      <x:c r="H192" s="34"/>
      <x:c r="I192" s="54" t="str">
        <x:f>IF(A192="","",IFERROR(G192*H192,""))</x:f>
      </x:c>
      <x:c r="J192" s="34"/>
      <x:c r="K192" s="34"/>
      <x:c r="L192" s="34"/>
      <x:c r="M192" s="34"/>
      <x:c r="N192" s="34"/>
    </x:row>
    <x:row r="193" ht="34" customHeight="1">
      <x:c r="A193" s="34"/>
      <x:c r="B193" s="34"/>
      <x:c r="C193" s="34"/>
      <x:c r="D193" s="34"/>
      <x:c r="E193" s="34"/>
      <x:c r="F193" s="34"/>
      <x:c r="G193" s="34"/>
      <x:c r="H193" s="34"/>
      <x:c r="I193" s="54" t="str">
        <x:f>IF(A193="","",IFERROR(G193*H193,""))</x:f>
      </x:c>
      <x:c r="J193" s="34"/>
      <x:c r="K193" s="34"/>
      <x:c r="L193" s="34"/>
      <x:c r="M193" s="34"/>
      <x:c r="N193" s="34"/>
    </x:row>
    <x:row r="194" ht="34" customHeight="1">
      <x:c r="A194" s="34"/>
      <x:c r="B194" s="34"/>
      <x:c r="C194" s="34"/>
      <x:c r="D194" s="34"/>
      <x:c r="E194" s="34"/>
      <x:c r="F194" s="34"/>
      <x:c r="G194" s="34"/>
      <x:c r="H194" s="34"/>
      <x:c r="I194" s="54" t="str">
        <x:f>IF(A194="","",IFERROR(G194*H194,""))</x:f>
      </x:c>
      <x:c r="J194" s="34"/>
      <x:c r="K194" s="34"/>
      <x:c r="L194" s="34"/>
      <x:c r="M194" s="34"/>
      <x:c r="N194" s="34"/>
    </x:row>
    <x:row r="195" ht="34" customHeight="1">
      <x:c r="A195" s="34"/>
      <x:c r="B195" s="34"/>
      <x:c r="C195" s="34"/>
      <x:c r="D195" s="34"/>
      <x:c r="E195" s="34"/>
      <x:c r="F195" s="34"/>
      <x:c r="G195" s="34"/>
      <x:c r="H195" s="34"/>
      <x:c r="I195" s="54" t="str">
        <x:f>IF(A195="","",IFERROR(G195*H195,""))</x:f>
      </x:c>
      <x:c r="J195" s="34"/>
      <x:c r="K195" s="34"/>
      <x:c r="L195" s="34"/>
      <x:c r="M195" s="34"/>
      <x:c r="N195" s="34"/>
    </x:row>
    <x:row r="196" ht="34" customHeight="1">
      <x:c r="A196" s="34"/>
      <x:c r="B196" s="34"/>
      <x:c r="C196" s="34"/>
      <x:c r="D196" s="34"/>
      <x:c r="E196" s="34"/>
      <x:c r="F196" s="34"/>
      <x:c r="G196" s="34"/>
      <x:c r="H196" s="34"/>
      <x:c r="I196" s="54" t="str">
        <x:f>IF(A196="","",IFERROR(G196*H196,""))</x:f>
      </x:c>
      <x:c r="J196" s="34"/>
      <x:c r="K196" s="34"/>
      <x:c r="L196" s="34"/>
      <x:c r="M196" s="34"/>
      <x:c r="N196" s="34"/>
    </x:row>
    <x:row r="197" ht="34" customHeight="1">
      <x:c r="A197" s="34"/>
      <x:c r="B197" s="34"/>
      <x:c r="C197" s="34"/>
      <x:c r="D197" s="34"/>
      <x:c r="E197" s="34"/>
      <x:c r="F197" s="34"/>
      <x:c r="G197" s="34"/>
      <x:c r="H197" s="34"/>
      <x:c r="I197" s="54" t="str">
        <x:f>IF(A197="","",IFERROR(G197*H197,""))</x:f>
      </x:c>
      <x:c r="J197" s="34"/>
      <x:c r="K197" s="34"/>
      <x:c r="L197" s="34"/>
      <x:c r="M197" s="34"/>
      <x:c r="N197" s="34"/>
    </x:row>
    <x:row r="198" ht="34" customHeight="1">
      <x:c r="A198" s="34"/>
      <x:c r="B198" s="34"/>
      <x:c r="C198" s="34"/>
      <x:c r="D198" s="34"/>
      <x:c r="E198" s="34"/>
      <x:c r="F198" s="34"/>
      <x:c r="G198" s="34"/>
      <x:c r="H198" s="34"/>
      <x:c r="I198" s="54" t="str">
        <x:f>IF(A198="","",IFERROR(G198*H198,""))</x:f>
      </x:c>
      <x:c r="J198" s="34"/>
      <x:c r="K198" s="34"/>
      <x:c r="L198" s="34"/>
      <x:c r="M198" s="34"/>
      <x:c r="N198" s="34"/>
    </x:row>
    <x:row r="199" ht="34" customHeight="1">
      <x:c r="A199" s="34"/>
      <x:c r="B199" s="34"/>
      <x:c r="C199" s="34"/>
      <x:c r="D199" s="34"/>
      <x:c r="E199" s="34"/>
      <x:c r="F199" s="34"/>
      <x:c r="G199" s="34"/>
      <x:c r="H199" s="34"/>
      <x:c r="I199" s="54" t="str">
        <x:f>IF(A199="","",IFERROR(G199*H199,""))</x:f>
      </x:c>
      <x:c r="J199" s="34"/>
      <x:c r="K199" s="34"/>
      <x:c r="L199" s="34"/>
      <x:c r="M199" s="34"/>
      <x:c r="N199" s="34"/>
    </x:row>
    <x:row r="200" ht="34" customHeight="1">
      <x:c r="A200" s="34"/>
      <x:c r="B200" s="34"/>
      <x:c r="C200" s="34"/>
      <x:c r="D200" s="34"/>
      <x:c r="E200" s="34"/>
      <x:c r="F200" s="34"/>
      <x:c r="G200" s="34"/>
      <x:c r="H200" s="34"/>
      <x:c r="I200" s="54" t="str">
        <x:f>IF(A200="","",IFERROR(G200*H200,""))</x:f>
      </x:c>
      <x:c r="J200" s="34"/>
      <x:c r="K200" s="34"/>
      <x:c r="L200" s="34"/>
      <x:c r="M200" s="34"/>
      <x:c r="N200" s="34"/>
    </x:row>
    <x:row r="201" ht="34" customHeight="1">
      <x:c r="A201" s="34"/>
      <x:c r="B201" s="34"/>
      <x:c r="C201" s="34"/>
      <x:c r="D201" s="34"/>
      <x:c r="E201" s="34"/>
      <x:c r="F201" s="34"/>
      <x:c r="G201" s="34"/>
      <x:c r="H201" s="34"/>
      <x:c r="I201" s="54" t="str">
        <x:f>IF(A201="","",IFERROR(G201*H201,""))</x:f>
      </x:c>
      <x:c r="J201" s="34"/>
      <x:c r="K201" s="34"/>
      <x:c r="L201" s="34"/>
      <x:c r="M201" s="34"/>
      <x:c r="N201" s="34"/>
    </x:row>
    <x:row r="202" ht="34" customHeight="1">
      <x:c r="A202" s="34"/>
      <x:c r="B202" s="34"/>
      <x:c r="C202" s="34"/>
      <x:c r="D202" s="34"/>
      <x:c r="E202" s="34"/>
      <x:c r="F202" s="34"/>
      <x:c r="G202" s="34"/>
      <x:c r="H202" s="34"/>
      <x:c r="I202" s="54" t="str">
        <x:f>IF(A202="","",IFERROR(G202*H202,""))</x:f>
      </x:c>
      <x:c r="J202" s="34"/>
      <x:c r="K202" s="34"/>
      <x:c r="L202" s="34"/>
      <x:c r="M202" s="34"/>
      <x:c r="N202" s="34"/>
    </x:row>
    <x:row r="203" ht="34" customHeight="1">
      <x:c r="A203" s="34"/>
      <x:c r="B203" s="34"/>
      <x:c r="C203" s="34"/>
      <x:c r="D203" s="34"/>
      <x:c r="E203" s="34"/>
      <x:c r="F203" s="34"/>
      <x:c r="G203" s="34"/>
      <x:c r="H203" s="34"/>
      <x:c r="I203" s="54" t="str">
        <x:f>IF(A203="","",IFERROR(G203*H203,""))</x:f>
      </x:c>
      <x:c r="J203" s="34"/>
      <x:c r="K203" s="34"/>
      <x:c r="L203" s="34"/>
      <x:c r="M203" s="34"/>
      <x:c r="N203" s="34"/>
    </x:row>
  </x:sheetData>
  <x:mergeCells>
    <x:mergeCell ref="A1:N1"/>
  </x:mergeCells>
  <x:conditionalFormatting sqref="I4:I203">
    <x:cfRule type="colorScale" priority="1">
      <x:colorScale>
        <x:cfvo type="min"/>
        <x:cfvo type="percentile" val="50"/>
        <x:cfvo type="max"/>
        <x:color rgb="FCE4D6"/>
        <x:color rgb="FFF2CC"/>
        <x:color rgb="E2F0D9"/>
      </x:colorScale>
    </x:cfRule>
  </x:conditionalFormatting>
  <x:dataValidations count="5">
    <x:dataValidation type="list" sqref="B4:B203">
      <x:formula1>Справочники!$J$4:$J$12</x:formula1>
    </x:dataValidation>
    <x:dataValidation type="list" sqref="G4:H203">
      <x:formula1>"1,2,3,4,5"</x:formula1>
    </x:dataValidation>
    <x:dataValidation type="list" sqref="K4:K203">
      <x:formula1>Справочники!$D$4:$D$12</x:formula1>
    </x:dataValidation>
    <x:dataValidation type="list" sqref="M4:M203">
      <x:formula1>"1,2,3,4"</x:formula1>
    </x:dataValidation>
    <x:dataValidation type="list" sqref="N4:N203">
      <x:formula1>Справочники!$J$18:$J$22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14d32b8579437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4" hidden="0" customWidth="1"/>
    <x:col min="4" max="4" width="22" hidden="0" customWidth="1"/>
    <x:col min="5" max="5" width="22" hidden="0" customWidth="1"/>
    <x:col min="6" max="6" width="34" hidden="0" customWidth="1"/>
    <x:col min="7" max="7" width="34" hidden="0" customWidth="1"/>
    <x:col min="8" max="8" width="28" hidden="0" customWidth="1"/>
    <x:col min="9" max="9" width="48" hidden="0" customWidth="1"/>
    <x:col min="10" max="10" width="42" hidden="0" customWidth="1"/>
    <x:col min="11" max="11" width="34" hidden="0" customWidth="1"/>
    <x:col min="12" max="12" width="34" hidden="0" customWidth="1"/>
    <x:col min="13" max="13" width="26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6" hidden="0" customWidth="1"/>
    <x:col min="19" max="19" width="18" hidden="0" customWidth="1"/>
    <x:col min="20" max="20" width="20" hidden="0" customWidth="1"/>
    <x:col min="21" max="21" width="22" hidden="0" customWidth="1"/>
  </x:cols>
  <x:sheetData>
    <x:row r="1" ht="30" customHeight="1">
      <x:c r="A1" s="58" t="str">
        <x:v>Пользовательские сценарии: от проблемы к действию и монетизации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20"/>
      <x:c r="W1" s="20"/>
      <x:c r="X1" s="20"/>
      <x:c r="Y1" s="20"/>
      <x:c r="Z1" s="20"/>
    </x:row>
    <x:row r="3" ht="34" customHeight="1">
      <x:c r="A3" s="40" t="str">
        <x:v>ID сценария</x:v>
      </x:c>
      <x:c r="B3" s="40" t="str">
        <x:v>Название сценария</x:v>
      </x:c>
      <x:c r="C3" s="40" t="str">
        <x:v>Роль</x:v>
      </x:c>
      <x:c r="D3" s="40" t="str">
        <x:v>Этап</x:v>
      </x:c>
      <x:c r="E3" s="40" t="str">
        <x:v>Тип сценария</x:v>
      </x:c>
      <x:c r="F3" s="40" t="str">
        <x:v>Исходная проблема</x:v>
      </x:c>
      <x:c r="G3" s="40" t="str">
        <x:v>Цель пользователя</x:v>
      </x:c>
      <x:c r="H3" s="40" t="str">
        <x:v>Триггер</x:v>
      </x:c>
      <x:c r="I3" s="40" t="str">
        <x:v>Основной путь</x:v>
      </x:c>
      <x:c r="J3" s="40" t="str">
        <x:v>Альтернативный путь / ошибка</x:v>
      </x:c>
      <x:c r="K3" s="40" t="str">
        <x:v>Результат для пользователя</x:v>
      </x:c>
      <x:c r="L3" s="40" t="str">
        <x:v>Результат для бизнес-модели</x:v>
      </x:c>
      <x:c r="M3" s="40" t="str">
        <x:v>Единица монетизации</x:v>
      </x:c>
      <x:c r="N3" s="40" t="str">
        <x:v>Частота потребности (1-5)</x:v>
      </x:c>
      <x:c r="O3" s="40" t="str">
        <x:v>Значимость проблемы (1-5)</x:v>
      </x:c>
      <x:c r="P3" s="40" t="str">
        <x:v>Влияние на выручку (1-5)</x:v>
      </x:c>
      <x:c r="Q3" s="40" t="str">
        <x:v>Доказательность (1-4)</x:v>
      </x:c>
      <x:c r="R3" s="40" t="str">
        <x:v>Индекс сценария</x:v>
      </x:c>
      <x:c r="S3" s="40" t="str">
        <x:v>Приоритет</x:v>
      </x:c>
      <x:c r="T3" s="40" t="str">
        <x:v>Статус</x:v>
      </x:c>
      <x:c r="U3" s="40" t="str">
        <x:v>Источник анализа</x:v>
      </x:c>
    </x:row>
    <x:row r="4" ht="34" customHeight="1">
      <x:c r="A4" s="34" t="str">
        <x:v>S-001</x:v>
      </x:c>
      <x:c r="B4" s="34" t="str">
        <x:v>Получить первый результат в демо-режиме</x:v>
      </x:c>
      <x:c r="C4" s="34" t="str">
        <x:v>Новый пользователь</x:v>
      </x:c>
      <x:c r="D4" s="34" t="str">
        <x:v>Получение ценности</x:v>
      </x:c>
      <x:c r="E4" s="34" t="str">
        <x:v>Основной</x:v>
      </x:c>
      <x:c r="F4" s="34" t="str">
        <x:v>Сложная первичная настройка</x:v>
      </x:c>
      <x:c r="G4" s="34" t="str">
        <x:v>Быстро понять пользу сервиса</x:v>
      </x:c>
      <x:c r="H4" s="34" t="str">
        <x:v>Переход с сайта на демо</x:v>
      </x:c>
      <x:c r="I4" s="34" t="str">
        <x:v>Выбор задачи → автонастройка → первый результат → предложение регистрации</x:v>
      </x:c>
      <x:c r="J4" s="34" t="str">
        <x:v>Пользователь не понимает шаг; нужна подсказка</x:v>
      </x:c>
      <x:c r="K4" s="34" t="str">
        <x:v>Первый измеримый результат</x:v>
      </x:c>
      <x:c r="L4" s="34" t="str">
        <x:v>Рост конверсии в регистрацию и оплату</x:v>
      </x:c>
      <x:c r="M4" s="34" t="str">
        <x:v>Пробный доступ / подписка</x:v>
      </x:c>
      <x:c r="N4" s="34" t="n">
        <x:v>4</x:v>
      </x:c>
      <x:c r="O4" s="34" t="n">
        <x:v>5</x:v>
      </x:c>
      <x:c r="P4" s="34" t="n">
        <x:v>4</x:v>
      </x:c>
      <x:c r="Q4" s="34" t="n">
        <x:v>3</x:v>
      </x:c>
      <x:c r="R4" s="52" t="n">
        <x:f>IF(A4="","",IFERROR(N4*O4*P4*Q4/20,0))</x:f>
        <x:v>12</x:v>
      </x:c>
      <x:c r="S4" s="54" t="str">
        <x:f>IF(R4="","",IF(R4&gt;=15,"Критический",IF(R4&gt;=9,"Высокий",IF(R4&gt;=5,"Средний",IF(R4&gt;=2,"Низкий","Отложить")))))</x:f>
        <x:v>Высокий</x:v>
      </x:c>
      <x:c r="T4" s="34" t="str">
        <x:v>Требует проверки</x:v>
      </x:c>
      <x:c r="U4" s="34" t="str">
        <x:v>A-001</x:v>
      </x:c>
    </x:row>
    <x:row r="5" ht="34" customHeight="1">
      <x:c r="A5" s="34" t="str">
        <x:v>S-002</x:v>
      </x:c>
      <x:c r="B5" s="34" t="str">
        <x:v>Оформить подписку после проверки ценности</x:v>
      </x:c>
      <x:c r="C5" s="34" t="str">
        <x:v>Потенциальный клиент</x:v>
      </x:c>
      <x:c r="D5" s="34" t="str">
        <x:v>Оплата</x:v>
      </x:c>
      <x:c r="E5" s="34" t="str">
        <x:v>Монетизационный</x:v>
      </x:c>
      <x:c r="F5" s="34" t="str">
        <x:v>Нужно снизить риск оплаты</x:v>
      </x:c>
      <x:c r="G5" s="34" t="str">
        <x:v>Выбрать тариф и оплатить понятный объем ценности</x:v>
      </x:c>
      <x:c r="H5" s="34" t="str">
        <x:v>Окончание пробного периода</x:v>
      </x:c>
      <x:c r="I5" s="34" t="str">
        <x:v>Сравнение тарифов → выбор → оплата → активация доступа</x:v>
      </x:c>
      <x:c r="J5" s="34" t="str">
        <x:v>Ошибка оплаты; возврат к выбору тарифа</x:v>
      </x:c>
      <x:c r="K5" s="34" t="str">
        <x:v>Получен доступ к платным функциям</x:v>
      </x:c>
      <x:c r="L5" s="34" t="str">
        <x:v>Возникновение потока доходов</x:v>
      </x:c>
      <x:c r="M5" s="34" t="str">
        <x:v>Подписка</x:v>
      </x:c>
      <x:c r="N5" s="34" t="n">
        <x:v>3</x:v>
      </x:c>
      <x:c r="O5" s="34" t="n">
        <x:v>5</x:v>
      </x:c>
      <x:c r="P5" s="34" t="n">
        <x:v>5</x:v>
      </x:c>
      <x:c r="Q5" s="34" t="n">
        <x:v>4</x:v>
      </x:c>
      <x:c r="R5" s="52" t="n">
        <x:f>IF(A5="","",IFERROR(N5*O5*P5*Q5/20,0))</x:f>
        <x:v>15</x:v>
      </x:c>
      <x:c r="S5" s="54" t="str">
        <x:f>IF(R5="","",IF(R5&gt;=15,"Критический",IF(R5&gt;=9,"Высокий",IF(R5&gt;=5,"Средний",IF(R5&gt;=2,"Низкий","Отложить")))))</x:f>
        <x:v>Критический</x:v>
      </x:c>
      <x:c r="T5" s="34" t="str">
        <x:v>Подтверждено</x:v>
      </x:c>
      <x:c r="U5" s="34" t="str">
        <x:v>A-003</x:v>
      </x:c>
    </x:row>
    <x:row r="6" ht="34" customHeight="1">
      <x:c r="A6" s="34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  <x:c r="R6" s="52" t="str">
        <x:f>IF(A6="","",IFERROR(N6*O6*P6*Q6/20,0))</x:f>
      </x:c>
      <x:c r="S6" s="54" t="str">
        <x:f>IF(R6="","",IF(R6&gt;=15,"Критический",IF(R6&gt;=9,"Высокий",IF(R6&gt;=5,"Средний",IF(R6&gt;=2,"Низкий","Отложить")))))</x:f>
      </x:c>
      <x:c r="T6" s="34"/>
      <x:c r="U6" s="34"/>
    </x:row>
    <x:row r="7" ht="34" customHeight="1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34"/>
      <x:c r="Q7" s="34"/>
      <x:c r="R7" s="52" t="str">
        <x:f>IF(A7="","",IFERROR(N7*O7*P7*Q7/20,0))</x:f>
      </x:c>
      <x:c r="S7" s="54" t="str">
        <x:f>IF(R7="","",IF(R7&gt;=15,"Критический",IF(R7&gt;=9,"Высокий",IF(R7&gt;=5,"Средний",IF(R7&gt;=2,"Низкий","Отложить")))))</x:f>
      </x:c>
      <x:c r="T7" s="34"/>
      <x:c r="U7" s="34"/>
    </x:row>
    <x:row r="8" ht="34" customHeight="1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  <x:c r="P8" s="34"/>
      <x:c r="Q8" s="34"/>
      <x:c r="R8" s="52" t="str">
        <x:f>IF(A8="","",IFERROR(N8*O8*P8*Q8/20,0))</x:f>
      </x:c>
      <x:c r="S8" s="54" t="str">
        <x:f>IF(R8="","",IF(R8&gt;=15,"Критический",IF(R8&gt;=9,"Высокий",IF(R8&gt;=5,"Средний",IF(R8&gt;=2,"Низкий","Отложить")))))</x:f>
      </x:c>
      <x:c r="T8" s="34"/>
      <x:c r="U8" s="34"/>
    </x:row>
    <x:row r="9" ht="34" customHeight="1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  <x:c r="Q9" s="34"/>
      <x:c r="R9" s="52" t="str">
        <x:f>IF(A9="","",IFERROR(N9*O9*P9*Q9/20,0))</x:f>
      </x:c>
      <x:c r="S9" s="54" t="str">
        <x:f>IF(R9="","",IF(R9&gt;=15,"Критический",IF(R9&gt;=9,"Высокий",IF(R9&gt;=5,"Средний",IF(R9&gt;=2,"Низкий","Отложить")))))</x:f>
      </x:c>
      <x:c r="T9" s="34"/>
      <x:c r="U9" s="34"/>
    </x:row>
    <x:row r="10" ht="34" customHeight="1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52" t="str">
        <x:f>IF(A10="","",IFERROR(N10*O10*P10*Q10/20,0))</x:f>
      </x:c>
      <x:c r="S10" s="54" t="str">
        <x:f>IF(R10="","",IF(R10&gt;=15,"Критический",IF(R10&gt;=9,"Высокий",IF(R10&gt;=5,"Средний",IF(R10&gt;=2,"Низкий","Отложить")))))</x:f>
      </x:c>
      <x:c r="T10" s="34"/>
      <x:c r="U10" s="34"/>
    </x:row>
    <x:row r="11" ht="34" customHeight="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  <x:c r="P11" s="34"/>
      <x:c r="Q11" s="34"/>
      <x:c r="R11" s="52" t="str">
        <x:f>IF(A11="","",IFERROR(N11*O11*P11*Q11/20,0))</x:f>
      </x:c>
      <x:c r="S11" s="54" t="str">
        <x:f>IF(R11="","",IF(R11&gt;=15,"Критический",IF(R11&gt;=9,"Высокий",IF(R11&gt;=5,"Средний",IF(R11&gt;=2,"Низкий","Отложить")))))</x:f>
      </x:c>
      <x:c r="T11" s="34"/>
      <x:c r="U11" s="34"/>
    </x:row>
    <x:row r="12" ht="34" customHeight="1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  <x:c r="P12" s="34"/>
      <x:c r="Q12" s="34"/>
      <x:c r="R12" s="52" t="str">
        <x:f>IF(A12="","",IFERROR(N12*O12*P12*Q12/20,0))</x:f>
      </x:c>
      <x:c r="S12" s="54" t="str">
        <x:f>IF(R12="","",IF(R12&gt;=15,"Критический",IF(R12&gt;=9,"Высокий",IF(R12&gt;=5,"Средний",IF(R12&gt;=2,"Низкий","Отложить")))))</x:f>
      </x:c>
      <x:c r="T12" s="34"/>
      <x:c r="U12" s="34"/>
    </x:row>
    <x:row r="13" ht="34" customHeight="1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  <x:c r="P13" s="34"/>
      <x:c r="Q13" s="34"/>
      <x:c r="R13" s="52" t="str">
        <x:f>IF(A13="","",IFERROR(N13*O13*P13*Q13/20,0))</x:f>
      </x:c>
      <x:c r="S13" s="54" t="str">
        <x:f>IF(R13="","",IF(R13&gt;=15,"Критический",IF(R13&gt;=9,"Высокий",IF(R13&gt;=5,"Средний",IF(R13&gt;=2,"Низкий","Отложить")))))</x:f>
      </x:c>
      <x:c r="T13" s="34"/>
      <x:c r="U13" s="34"/>
    </x:row>
    <x:row r="14" ht="34" customHeight="1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  <x:c r="P14" s="34"/>
      <x:c r="Q14" s="34"/>
      <x:c r="R14" s="52" t="str">
        <x:f>IF(A14="","",IFERROR(N14*O14*P14*Q14/20,0))</x:f>
      </x:c>
      <x:c r="S14" s="54" t="str">
        <x:f>IF(R14="","",IF(R14&gt;=15,"Критический",IF(R14&gt;=9,"Высокий",IF(R14&gt;=5,"Средний",IF(R14&gt;=2,"Низкий","Отложить")))))</x:f>
      </x:c>
      <x:c r="T14" s="34"/>
      <x:c r="U14" s="34"/>
    </x:row>
    <x:row r="15" ht="34" customHeight="1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  <x:c r="P15" s="34"/>
      <x:c r="Q15" s="34"/>
      <x:c r="R15" s="52" t="str">
        <x:f>IF(A15="","",IFERROR(N15*O15*P15*Q15/20,0))</x:f>
      </x:c>
      <x:c r="S15" s="54" t="str">
        <x:f>IF(R15="","",IF(R15&gt;=15,"Критический",IF(R15&gt;=9,"Высокий",IF(R15&gt;=5,"Средний",IF(R15&gt;=2,"Низкий","Отложить")))))</x:f>
      </x:c>
      <x:c r="T15" s="34"/>
      <x:c r="U15" s="34"/>
    </x:row>
    <x:row r="16" ht="34" customHeight="1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/>
      <x:c r="R16" s="52" t="str">
        <x:f>IF(A16="","",IFERROR(N16*O16*P16*Q16/20,0))</x:f>
      </x:c>
      <x:c r="S16" s="54" t="str">
        <x:f>IF(R16="","",IF(R16&gt;=15,"Критический",IF(R16&gt;=9,"Высокий",IF(R16&gt;=5,"Средний",IF(R16&gt;=2,"Низкий","Отложить")))))</x:f>
      </x:c>
      <x:c r="T16" s="34"/>
      <x:c r="U16" s="34"/>
    </x:row>
    <x:row r="17" ht="34" customHeight="1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  <x:c r="P17" s="34"/>
      <x:c r="Q17" s="34"/>
      <x:c r="R17" s="52" t="str">
        <x:f>IF(A17="","",IFERROR(N17*O17*P17*Q17/20,0))</x:f>
      </x:c>
      <x:c r="S17" s="54" t="str">
        <x:f>IF(R17="","",IF(R17&gt;=15,"Критический",IF(R17&gt;=9,"Высокий",IF(R17&gt;=5,"Средний",IF(R17&gt;=2,"Низкий","Отложить")))))</x:f>
      </x:c>
      <x:c r="T17" s="34"/>
      <x:c r="U17" s="34"/>
    </x:row>
    <x:row r="18" ht="34" customHeight="1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  <x:c r="P18" s="34"/>
      <x:c r="Q18" s="34"/>
      <x:c r="R18" s="52" t="str">
        <x:f>IF(A18="","",IFERROR(N18*O18*P18*Q18/20,0))</x:f>
      </x:c>
      <x:c r="S18" s="54" t="str">
        <x:f>IF(R18="","",IF(R18&gt;=15,"Критический",IF(R18&gt;=9,"Высокий",IF(R18&gt;=5,"Средний",IF(R18&gt;=2,"Низкий","Отложить")))))</x:f>
      </x:c>
      <x:c r="T18" s="34"/>
      <x:c r="U18" s="34"/>
    </x:row>
    <x:row r="19" ht="34" customHeight="1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  <x:c r="P19" s="34"/>
      <x:c r="Q19" s="34"/>
      <x:c r="R19" s="52" t="str">
        <x:f>IF(A19="","",IFERROR(N19*O19*P19*Q19/20,0))</x:f>
      </x:c>
      <x:c r="S19" s="54" t="str">
        <x:f>IF(R19="","",IF(R19&gt;=15,"Критический",IF(R19&gt;=9,"Высокий",IF(R19&gt;=5,"Средний",IF(R19&gt;=2,"Низкий","Отложить")))))</x:f>
      </x:c>
      <x:c r="T19" s="34"/>
      <x:c r="U19" s="34"/>
    </x:row>
    <x:row r="20" ht="34" customHeight="1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  <x:c r="P20" s="34"/>
      <x:c r="Q20" s="34"/>
      <x:c r="R20" s="52" t="str">
        <x:f>IF(A20="","",IFERROR(N20*O20*P20*Q20/20,0))</x:f>
      </x:c>
      <x:c r="S20" s="54" t="str">
        <x:f>IF(R20="","",IF(R20&gt;=15,"Критический",IF(R20&gt;=9,"Высокий",IF(R20&gt;=5,"Средний",IF(R20&gt;=2,"Низкий","Отложить")))))</x:f>
      </x:c>
      <x:c r="T20" s="34"/>
      <x:c r="U20" s="34"/>
    </x:row>
    <x:row r="21" ht="34" customHeight="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  <x:c r="P21" s="34"/>
      <x:c r="Q21" s="34"/>
      <x:c r="R21" s="52" t="str">
        <x:f>IF(A21="","",IFERROR(N21*O21*P21*Q21/20,0))</x:f>
      </x:c>
      <x:c r="S21" s="54" t="str">
        <x:f>IF(R21="","",IF(R21&gt;=15,"Критический",IF(R21&gt;=9,"Высокий",IF(R21&gt;=5,"Средний",IF(R21&gt;=2,"Низкий","Отложить")))))</x:f>
      </x:c>
      <x:c r="T21" s="34"/>
      <x:c r="U21" s="34"/>
    </x:row>
    <x:row r="22" ht="34" customHeight="1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  <x:c r="P22" s="34"/>
      <x:c r="Q22" s="34"/>
      <x:c r="R22" s="52" t="str">
        <x:f>IF(A22="","",IFERROR(N22*O22*P22*Q22/20,0))</x:f>
      </x:c>
      <x:c r="S22" s="54" t="str">
        <x:f>IF(R22="","",IF(R22&gt;=15,"Критический",IF(R22&gt;=9,"Высокий",IF(R22&gt;=5,"Средний",IF(R22&gt;=2,"Низкий","Отложить")))))</x:f>
      </x:c>
      <x:c r="T22" s="34"/>
      <x:c r="U22" s="34"/>
    </x:row>
    <x:row r="23" ht="34" customHeight="1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  <x:c r="P23" s="34"/>
      <x:c r="Q23" s="34"/>
      <x:c r="R23" s="52" t="str">
        <x:f>IF(A23="","",IFERROR(N23*O23*P23*Q23/20,0))</x:f>
      </x:c>
      <x:c r="S23" s="54" t="str">
        <x:f>IF(R23="","",IF(R23&gt;=15,"Критический",IF(R23&gt;=9,"Высокий",IF(R23&gt;=5,"Средний",IF(R23&gt;=2,"Низкий","Отложить")))))</x:f>
      </x:c>
      <x:c r="T23" s="34"/>
      <x:c r="U23" s="34"/>
    </x:row>
    <x:row r="24" ht="34" customHeight="1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  <x:c r="P24" s="34"/>
      <x:c r="Q24" s="34"/>
      <x:c r="R24" s="52" t="str">
        <x:f>IF(A24="","",IFERROR(N24*O24*P24*Q24/20,0))</x:f>
      </x:c>
      <x:c r="S24" s="54" t="str">
        <x:f>IF(R24="","",IF(R24&gt;=15,"Критический",IF(R24&gt;=9,"Высокий",IF(R24&gt;=5,"Средний",IF(R24&gt;=2,"Низкий","Отложить")))))</x:f>
      </x:c>
      <x:c r="T24" s="34"/>
      <x:c r="U24" s="34"/>
    </x:row>
    <x:row r="25" ht="34" customHeight="1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  <x:c r="P25" s="34"/>
      <x:c r="Q25" s="34"/>
      <x:c r="R25" s="52" t="str">
        <x:f>IF(A25="","",IFERROR(N25*O25*P25*Q25/20,0))</x:f>
      </x:c>
      <x:c r="S25" s="54" t="str">
        <x:f>IF(R25="","",IF(R25&gt;=15,"Критический",IF(R25&gt;=9,"Высокий",IF(R25&gt;=5,"Средний",IF(R25&gt;=2,"Низкий","Отложить")))))</x:f>
      </x:c>
      <x:c r="T25" s="34"/>
      <x:c r="U25" s="34"/>
    </x:row>
    <x:row r="26" ht="34" customHeight="1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52" t="str">
        <x:f>IF(A26="","",IFERROR(N26*O26*P26*Q26/20,0))</x:f>
      </x:c>
      <x:c r="S26" s="54" t="str">
        <x:f>IF(R26="","",IF(R26&gt;=15,"Критический",IF(R26&gt;=9,"Высокий",IF(R26&gt;=5,"Средний",IF(R26&gt;=2,"Низкий","Отложить")))))</x:f>
      </x:c>
      <x:c r="T26" s="34"/>
      <x:c r="U26" s="34"/>
    </x:row>
    <x:row r="27" ht="34" customHeight="1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  <x:c r="P27" s="34"/>
      <x:c r="Q27" s="34"/>
      <x:c r="R27" s="52" t="str">
        <x:f>IF(A27="","",IFERROR(N27*O27*P27*Q27/20,0))</x:f>
      </x:c>
      <x:c r="S27" s="54" t="str">
        <x:f>IF(R27="","",IF(R27&gt;=15,"Критический",IF(R27&gt;=9,"Высокий",IF(R27&gt;=5,"Средний",IF(R27&gt;=2,"Низкий","Отложить")))))</x:f>
      </x:c>
      <x:c r="T27" s="34"/>
      <x:c r="U27" s="34"/>
    </x:row>
    <x:row r="28" ht="34" customHeight="1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  <x:c r="P28" s="34"/>
      <x:c r="Q28" s="34"/>
      <x:c r="R28" s="52" t="str">
        <x:f>IF(A28="","",IFERROR(N28*O28*P28*Q28/20,0))</x:f>
      </x:c>
      <x:c r="S28" s="54" t="str">
        <x:f>IF(R28="","",IF(R28&gt;=15,"Критический",IF(R28&gt;=9,"Высокий",IF(R28&gt;=5,"Средний",IF(R28&gt;=2,"Низкий","Отложить")))))</x:f>
      </x:c>
      <x:c r="T28" s="34"/>
      <x:c r="U28" s="34"/>
    </x:row>
    <x:row r="29" ht="34" customHeight="1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  <x:c r="P29" s="34"/>
      <x:c r="Q29" s="34"/>
      <x:c r="R29" s="52" t="str">
        <x:f>IF(A29="","",IFERROR(N29*O29*P29*Q29/20,0))</x:f>
      </x:c>
      <x:c r="S29" s="54" t="str">
        <x:f>IF(R29="","",IF(R29&gt;=15,"Критический",IF(R29&gt;=9,"Высокий",IF(R29&gt;=5,"Средний",IF(R29&gt;=2,"Низкий","Отложить")))))</x:f>
      </x:c>
      <x:c r="T29" s="34"/>
      <x:c r="U29" s="34"/>
    </x:row>
    <x:row r="30" ht="34" customHeight="1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  <x:c r="P30" s="34"/>
      <x:c r="Q30" s="34"/>
      <x:c r="R30" s="52" t="str">
        <x:f>IF(A30="","",IFERROR(N30*O30*P30*Q30/20,0))</x:f>
      </x:c>
      <x:c r="S30" s="54" t="str">
        <x:f>IF(R30="","",IF(R30&gt;=15,"Критический",IF(R30&gt;=9,"Высокий",IF(R30&gt;=5,"Средний",IF(R30&gt;=2,"Низкий","Отложить")))))</x:f>
      </x:c>
      <x:c r="T30" s="34"/>
      <x:c r="U30" s="34"/>
    </x:row>
    <x:row r="31" ht="34" customHeight="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  <x:c r="P31" s="34"/>
      <x:c r="Q31" s="34"/>
      <x:c r="R31" s="52" t="str">
        <x:f>IF(A31="","",IFERROR(N31*O31*P31*Q31/20,0))</x:f>
      </x:c>
      <x:c r="S31" s="54" t="str">
        <x:f>IF(R31="","",IF(R31&gt;=15,"Критический",IF(R31&gt;=9,"Высокий",IF(R31&gt;=5,"Средний",IF(R31&gt;=2,"Низкий","Отложить")))))</x:f>
      </x:c>
      <x:c r="T31" s="34"/>
      <x:c r="U31" s="34"/>
    </x:row>
    <x:row r="32" ht="34" customHeight="1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  <x:c r="P32" s="34"/>
      <x:c r="Q32" s="34"/>
      <x:c r="R32" s="52" t="str">
        <x:f>IF(A32="","",IFERROR(N32*O32*P32*Q32/20,0))</x:f>
      </x:c>
      <x:c r="S32" s="54" t="str">
        <x:f>IF(R32="","",IF(R32&gt;=15,"Критический",IF(R32&gt;=9,"Высокий",IF(R32&gt;=5,"Средний",IF(R32&gt;=2,"Низкий","Отложить")))))</x:f>
      </x:c>
      <x:c r="T32" s="34"/>
      <x:c r="U32" s="34"/>
    </x:row>
    <x:row r="33" ht="34" customHeight="1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52" t="str">
        <x:f>IF(A33="","",IFERROR(N33*O33*P33*Q33/20,0))</x:f>
      </x:c>
      <x:c r="S33" s="54" t="str">
        <x:f>IF(R33="","",IF(R33&gt;=15,"Критический",IF(R33&gt;=9,"Высокий",IF(R33&gt;=5,"Средний",IF(R33&gt;=2,"Низкий","Отложить")))))</x:f>
      </x:c>
      <x:c r="T33" s="34"/>
      <x:c r="U33" s="34"/>
    </x:row>
    <x:row r="34" ht="34" customHeight="1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/>
      <x:c r="R34" s="52" t="str">
        <x:f>IF(A34="","",IFERROR(N34*O34*P34*Q34/20,0))</x:f>
      </x:c>
      <x:c r="S34" s="54" t="str">
        <x:f>IF(R34="","",IF(R34&gt;=15,"Критический",IF(R34&gt;=9,"Высокий",IF(R34&gt;=5,"Средний",IF(R34&gt;=2,"Низкий","Отложить")))))</x:f>
      </x:c>
      <x:c r="T34" s="34"/>
      <x:c r="U34" s="34"/>
    </x:row>
    <x:row r="35" ht="34" customHeight="1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  <x:c r="P35" s="34"/>
      <x:c r="Q35" s="34"/>
      <x:c r="R35" s="52" t="str">
        <x:f>IF(A35="","",IFERROR(N35*O35*P35*Q35/20,0))</x:f>
      </x:c>
      <x:c r="S35" s="54" t="str">
        <x:f>IF(R35="","",IF(R35&gt;=15,"Критический",IF(R35&gt;=9,"Высокий",IF(R35&gt;=5,"Средний",IF(R35&gt;=2,"Низкий","Отложить")))))</x:f>
      </x:c>
      <x:c r="T35" s="34"/>
      <x:c r="U35" s="34"/>
    </x:row>
    <x:row r="36" ht="34" customHeight="1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  <x:c r="P36" s="34"/>
      <x:c r="Q36" s="34"/>
      <x:c r="R36" s="52" t="str">
        <x:f>IF(A36="","",IFERROR(N36*O36*P36*Q36/20,0))</x:f>
      </x:c>
      <x:c r="S36" s="54" t="str">
        <x:f>IF(R36="","",IF(R36&gt;=15,"Критический",IF(R36&gt;=9,"Высокий",IF(R36&gt;=5,"Средний",IF(R36&gt;=2,"Низкий","Отложить")))))</x:f>
      </x:c>
      <x:c r="T36" s="34"/>
      <x:c r="U36" s="34"/>
    </x:row>
    <x:row r="37" ht="34" customHeight="1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  <x:c r="P37" s="34"/>
      <x:c r="Q37" s="34"/>
      <x:c r="R37" s="52" t="str">
        <x:f>IF(A37="","",IFERROR(N37*O37*P37*Q37/20,0))</x:f>
      </x:c>
      <x:c r="S37" s="54" t="str">
        <x:f>IF(R37="","",IF(R37&gt;=15,"Критический",IF(R37&gt;=9,"Высокий",IF(R37&gt;=5,"Средний",IF(R37&gt;=2,"Низкий","Отложить")))))</x:f>
      </x:c>
      <x:c r="T37" s="34"/>
      <x:c r="U37" s="34"/>
    </x:row>
    <x:row r="38" ht="34" customHeight="1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  <x:c r="P38" s="34"/>
      <x:c r="Q38" s="34"/>
      <x:c r="R38" s="52" t="str">
        <x:f>IF(A38="","",IFERROR(N38*O38*P38*Q38/20,0))</x:f>
      </x:c>
      <x:c r="S38" s="54" t="str">
        <x:f>IF(R38="","",IF(R38&gt;=15,"Критический",IF(R38&gt;=9,"Высокий",IF(R38&gt;=5,"Средний",IF(R38&gt;=2,"Низкий","Отложить")))))</x:f>
      </x:c>
      <x:c r="T38" s="34"/>
      <x:c r="U38" s="34"/>
    </x:row>
    <x:row r="39" ht="34" customHeight="1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  <x:c r="P39" s="34"/>
      <x:c r="Q39" s="34"/>
      <x:c r="R39" s="52" t="str">
        <x:f>IF(A39="","",IFERROR(N39*O39*P39*Q39/20,0))</x:f>
      </x:c>
      <x:c r="S39" s="54" t="str">
        <x:f>IF(R39="","",IF(R39&gt;=15,"Критический",IF(R39&gt;=9,"Высокий",IF(R39&gt;=5,"Средний",IF(R39&gt;=2,"Низкий","Отложить")))))</x:f>
      </x:c>
      <x:c r="T39" s="34"/>
      <x:c r="U39" s="34"/>
    </x:row>
    <x:row r="40" ht="34" customHeight="1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  <x:c r="P40" s="34"/>
      <x:c r="Q40" s="34"/>
      <x:c r="R40" s="52" t="str">
        <x:f>IF(A40="","",IFERROR(N40*O40*P40*Q40/20,0))</x:f>
      </x:c>
      <x:c r="S40" s="54" t="str">
        <x:f>IF(R40="","",IF(R40&gt;=15,"Критический",IF(R40&gt;=9,"Высокий",IF(R40&gt;=5,"Средний",IF(R40&gt;=2,"Низкий","Отложить")))))</x:f>
      </x:c>
      <x:c r="T40" s="34"/>
      <x:c r="U40" s="34"/>
    </x:row>
    <x:row r="41" ht="34" customHeight="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  <x:c r="P41" s="34"/>
      <x:c r="Q41" s="34"/>
      <x:c r="R41" s="52" t="str">
        <x:f>IF(A41="","",IFERROR(N41*O41*P41*Q41/20,0))</x:f>
      </x:c>
      <x:c r="S41" s="54" t="str">
        <x:f>IF(R41="","",IF(R41&gt;=15,"Критический",IF(R41&gt;=9,"Высокий",IF(R41&gt;=5,"Средний",IF(R41&gt;=2,"Низкий","Отложить")))))</x:f>
      </x:c>
      <x:c r="T41" s="34"/>
      <x:c r="U41" s="34"/>
    </x:row>
    <x:row r="42" ht="34" customHeight="1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  <x:c r="P42" s="34"/>
      <x:c r="Q42" s="34"/>
      <x:c r="R42" s="52" t="str">
        <x:f>IF(A42="","",IFERROR(N42*O42*P42*Q42/20,0))</x:f>
      </x:c>
      <x:c r="S42" s="54" t="str">
        <x:f>IF(R42="","",IF(R42&gt;=15,"Критический",IF(R42&gt;=9,"Высокий",IF(R42&gt;=5,"Средний",IF(R42&gt;=2,"Низкий","Отложить")))))</x:f>
      </x:c>
      <x:c r="T42" s="34"/>
      <x:c r="U42" s="34"/>
    </x:row>
    <x:row r="43" ht="34" customHeight="1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34"/>
      <x:c r="Q43" s="34"/>
      <x:c r="R43" s="52" t="str">
        <x:f>IF(A43="","",IFERROR(N43*O43*P43*Q43/20,0))</x:f>
      </x:c>
      <x:c r="S43" s="54" t="str">
        <x:f>IF(R43="","",IF(R43&gt;=15,"Критический",IF(R43&gt;=9,"Высокий",IF(R43&gt;=5,"Средний",IF(R43&gt;=2,"Низкий","Отложить")))))</x:f>
      </x:c>
      <x:c r="T43" s="34"/>
      <x:c r="U43" s="34"/>
    </x:row>
    <x:row r="44" ht="34" customHeight="1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  <x:c r="P44" s="34"/>
      <x:c r="Q44" s="34"/>
      <x:c r="R44" s="52" t="str">
        <x:f>IF(A44="","",IFERROR(N44*O44*P44*Q44/20,0))</x:f>
      </x:c>
      <x:c r="S44" s="54" t="str">
        <x:f>IF(R44="","",IF(R44&gt;=15,"Критический",IF(R44&gt;=9,"Высокий",IF(R44&gt;=5,"Средний",IF(R44&gt;=2,"Низкий","Отложить")))))</x:f>
      </x:c>
      <x:c r="T44" s="34"/>
      <x:c r="U44" s="34"/>
    </x:row>
    <x:row r="45" ht="34" customHeight="1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  <x:c r="P45" s="34"/>
      <x:c r="Q45" s="34"/>
      <x:c r="R45" s="52" t="str">
        <x:f>IF(A45="","",IFERROR(N45*O45*P45*Q45/20,0))</x:f>
      </x:c>
      <x:c r="S45" s="54" t="str">
        <x:f>IF(R45="","",IF(R45&gt;=15,"Критический",IF(R45&gt;=9,"Высокий",IF(R45&gt;=5,"Средний",IF(R45&gt;=2,"Низкий","Отложить")))))</x:f>
      </x:c>
      <x:c r="T45" s="34"/>
      <x:c r="U45" s="34"/>
    </x:row>
    <x:row r="46" ht="34" customHeight="1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  <x:c r="P46" s="34"/>
      <x:c r="Q46" s="34"/>
      <x:c r="R46" s="52" t="str">
        <x:f>IF(A46="","",IFERROR(N46*O46*P46*Q46/20,0))</x:f>
      </x:c>
      <x:c r="S46" s="54" t="str">
        <x:f>IF(R46="","",IF(R46&gt;=15,"Критический",IF(R46&gt;=9,"Высокий",IF(R46&gt;=5,"Средний",IF(R46&gt;=2,"Низкий","Отложить")))))</x:f>
      </x:c>
      <x:c r="T46" s="34"/>
      <x:c r="U46" s="34"/>
    </x:row>
    <x:row r="47" ht="34" customHeight="1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  <x:c r="P47" s="34"/>
      <x:c r="Q47" s="34"/>
      <x:c r="R47" s="52" t="str">
        <x:f>IF(A47="","",IFERROR(N47*O47*P47*Q47/20,0))</x:f>
      </x:c>
      <x:c r="S47" s="54" t="str">
        <x:f>IF(R47="","",IF(R47&gt;=15,"Критический",IF(R47&gt;=9,"Высокий",IF(R47&gt;=5,"Средний",IF(R47&gt;=2,"Низкий","Отложить")))))</x:f>
      </x:c>
      <x:c r="T47" s="34"/>
      <x:c r="U47" s="34"/>
    </x:row>
    <x:row r="48" ht="34" customHeight="1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  <x:c r="P48" s="34"/>
      <x:c r="Q48" s="34"/>
      <x:c r="R48" s="52" t="str">
        <x:f>IF(A48="","",IFERROR(N48*O48*P48*Q48/20,0))</x:f>
      </x:c>
      <x:c r="S48" s="54" t="str">
        <x:f>IF(R48="","",IF(R48&gt;=15,"Критический",IF(R48&gt;=9,"Высокий",IF(R48&gt;=5,"Средний",IF(R48&gt;=2,"Низкий","Отложить")))))</x:f>
      </x:c>
      <x:c r="T48" s="34"/>
      <x:c r="U48" s="34"/>
    </x:row>
    <x:row r="49" ht="34" customHeight="1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  <x:c r="P49" s="34"/>
      <x:c r="Q49" s="34"/>
      <x:c r="R49" s="52" t="str">
        <x:f>IF(A49="","",IFERROR(N49*O49*P49*Q49/20,0))</x:f>
      </x:c>
      <x:c r="S49" s="54" t="str">
        <x:f>IF(R49="","",IF(R49&gt;=15,"Критический",IF(R49&gt;=9,"Высокий",IF(R49&gt;=5,"Средний",IF(R49&gt;=2,"Низкий","Отложить")))))</x:f>
      </x:c>
      <x:c r="T49" s="34"/>
      <x:c r="U49" s="34"/>
    </x:row>
    <x:row r="50" ht="34" customHeight="1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  <x:c r="P50" s="34"/>
      <x:c r="Q50" s="34"/>
      <x:c r="R50" s="52" t="str">
        <x:f>IF(A50="","",IFERROR(N50*O50*P50*Q50/20,0))</x:f>
      </x:c>
      <x:c r="S50" s="54" t="str">
        <x:f>IF(R50="","",IF(R50&gt;=15,"Критический",IF(R50&gt;=9,"Высокий",IF(R50&gt;=5,"Средний",IF(R50&gt;=2,"Низкий","Отложить")))))</x:f>
      </x:c>
      <x:c r="T50" s="34"/>
      <x:c r="U50" s="34"/>
    </x:row>
    <x:row r="51" ht="34" customHeight="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  <x:c r="P51" s="34"/>
      <x:c r="Q51" s="34"/>
      <x:c r="R51" s="52" t="str">
        <x:f>IF(A51="","",IFERROR(N51*O51*P51*Q51/20,0))</x:f>
      </x:c>
      <x:c r="S51" s="54" t="str">
        <x:f>IF(R51="","",IF(R51&gt;=15,"Критический",IF(R51&gt;=9,"Высокий",IF(R51&gt;=5,"Средний",IF(R51&gt;=2,"Низкий","Отложить")))))</x:f>
      </x:c>
      <x:c r="T51" s="34"/>
      <x:c r="U51" s="34"/>
    </x:row>
    <x:row r="52" ht="34" customHeight="1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  <x:c r="P52" s="34"/>
      <x:c r="Q52" s="34"/>
      <x:c r="R52" s="52" t="str">
        <x:f>IF(A52="","",IFERROR(N52*O52*P52*Q52/20,0))</x:f>
      </x:c>
      <x:c r="S52" s="54" t="str">
        <x:f>IF(R52="","",IF(R52&gt;=15,"Критический",IF(R52&gt;=9,"Высокий",IF(R52&gt;=5,"Средний",IF(R52&gt;=2,"Низкий","Отложить")))))</x:f>
      </x:c>
      <x:c r="T52" s="34"/>
      <x:c r="U52" s="34"/>
    </x:row>
    <x:row r="53" ht="34" customHeight="1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  <x:c r="P53" s="34"/>
      <x:c r="Q53" s="34"/>
      <x:c r="R53" s="52" t="str">
        <x:f>IF(A53="","",IFERROR(N53*O53*P53*Q53/20,0))</x:f>
      </x:c>
      <x:c r="S53" s="54" t="str">
        <x:f>IF(R53="","",IF(R53&gt;=15,"Критический",IF(R53&gt;=9,"Высокий",IF(R53&gt;=5,"Средний",IF(R53&gt;=2,"Низкий","Отложить")))))</x:f>
      </x:c>
      <x:c r="T53" s="34"/>
      <x:c r="U53" s="34"/>
    </x:row>
    <x:row r="54" ht="34" customHeight="1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  <x:c r="P54" s="34"/>
      <x:c r="Q54" s="34"/>
      <x:c r="R54" s="52" t="str">
        <x:f>IF(A54="","",IFERROR(N54*O54*P54*Q54/20,0))</x:f>
      </x:c>
      <x:c r="S54" s="54" t="str">
        <x:f>IF(R54="","",IF(R54&gt;=15,"Критический",IF(R54&gt;=9,"Высокий",IF(R54&gt;=5,"Средний",IF(R54&gt;=2,"Низкий","Отложить")))))</x:f>
      </x:c>
      <x:c r="T54" s="34"/>
      <x:c r="U54" s="34"/>
    </x:row>
    <x:row r="55" ht="34" customHeight="1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  <x:c r="P55" s="34"/>
      <x:c r="Q55" s="34"/>
      <x:c r="R55" s="52" t="str">
        <x:f>IF(A55="","",IFERROR(N55*O55*P55*Q55/20,0))</x:f>
      </x:c>
      <x:c r="S55" s="54" t="str">
        <x:f>IF(R55="","",IF(R55&gt;=15,"Критический",IF(R55&gt;=9,"Высокий",IF(R55&gt;=5,"Средний",IF(R55&gt;=2,"Низкий","Отложить")))))</x:f>
      </x:c>
      <x:c r="T55" s="34"/>
      <x:c r="U55" s="34"/>
    </x:row>
    <x:row r="56" ht="34" customHeight="1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  <x:c r="P56" s="34"/>
      <x:c r="Q56" s="34"/>
      <x:c r="R56" s="52" t="str">
        <x:f>IF(A56="","",IFERROR(N56*O56*P56*Q56/20,0))</x:f>
      </x:c>
      <x:c r="S56" s="54" t="str">
        <x:f>IF(R56="","",IF(R56&gt;=15,"Критический",IF(R56&gt;=9,"Высокий",IF(R56&gt;=5,"Средний",IF(R56&gt;=2,"Низкий","Отложить")))))</x:f>
      </x:c>
      <x:c r="T56" s="34"/>
      <x:c r="U56" s="34"/>
    </x:row>
    <x:row r="57" ht="34" customHeight="1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  <x:c r="P57" s="34"/>
      <x:c r="Q57" s="34"/>
      <x:c r="R57" s="52" t="str">
        <x:f>IF(A57="","",IFERROR(N57*O57*P57*Q57/20,0))</x:f>
      </x:c>
      <x:c r="S57" s="54" t="str">
        <x:f>IF(R57="","",IF(R57&gt;=15,"Критический",IF(R57&gt;=9,"Высокий",IF(R57&gt;=5,"Средний",IF(R57&gt;=2,"Низкий","Отложить")))))</x:f>
      </x:c>
      <x:c r="T57" s="34"/>
      <x:c r="U57" s="34"/>
    </x:row>
    <x:row r="58" ht="34" customHeight="1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  <x:c r="P58" s="34"/>
      <x:c r="Q58" s="34"/>
      <x:c r="R58" s="52" t="str">
        <x:f>IF(A58="","",IFERROR(N58*O58*P58*Q58/20,0))</x:f>
      </x:c>
      <x:c r="S58" s="54" t="str">
        <x:f>IF(R58="","",IF(R58&gt;=15,"Критический",IF(R58&gt;=9,"Высокий",IF(R58&gt;=5,"Средний",IF(R58&gt;=2,"Низкий","Отложить")))))</x:f>
      </x:c>
      <x:c r="T58" s="34"/>
      <x:c r="U58" s="34"/>
    </x:row>
    <x:row r="59" ht="34" customHeight="1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  <x:c r="P59" s="34"/>
      <x:c r="Q59" s="34"/>
      <x:c r="R59" s="52" t="str">
        <x:f>IF(A59="","",IFERROR(N59*O59*P59*Q59/20,0))</x:f>
      </x:c>
      <x:c r="S59" s="54" t="str">
        <x:f>IF(R59="","",IF(R59&gt;=15,"Критический",IF(R59&gt;=9,"Высокий",IF(R59&gt;=5,"Средний",IF(R59&gt;=2,"Низкий","Отложить")))))</x:f>
      </x:c>
      <x:c r="T59" s="34"/>
      <x:c r="U59" s="34"/>
    </x:row>
    <x:row r="60" ht="34" customHeight="1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  <x:c r="P60" s="34"/>
      <x:c r="Q60" s="34"/>
      <x:c r="R60" s="52" t="str">
        <x:f>IF(A60="","",IFERROR(N60*O60*P60*Q60/20,0))</x:f>
      </x:c>
      <x:c r="S60" s="54" t="str">
        <x:f>IF(R60="","",IF(R60&gt;=15,"Критический",IF(R60&gt;=9,"Высокий",IF(R60&gt;=5,"Средний",IF(R60&gt;=2,"Низкий","Отложить")))))</x:f>
      </x:c>
      <x:c r="T60" s="34"/>
      <x:c r="U60" s="34"/>
    </x:row>
    <x:row r="61" ht="34" customHeight="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  <x:c r="P61" s="34"/>
      <x:c r="Q61" s="34"/>
      <x:c r="R61" s="52" t="str">
        <x:f>IF(A61="","",IFERROR(N61*O61*P61*Q61/20,0))</x:f>
      </x:c>
      <x:c r="S61" s="54" t="str">
        <x:f>IF(R61="","",IF(R61&gt;=15,"Критический",IF(R61&gt;=9,"Высокий",IF(R61&gt;=5,"Средний",IF(R61&gt;=2,"Низкий","Отложить")))))</x:f>
      </x:c>
      <x:c r="T61" s="34"/>
      <x:c r="U61" s="34"/>
    </x:row>
    <x:row r="62" ht="34" customHeight="1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  <x:c r="P62" s="34"/>
      <x:c r="Q62" s="34"/>
      <x:c r="R62" s="52" t="str">
        <x:f>IF(A62="","",IFERROR(N62*O62*P62*Q62/20,0))</x:f>
      </x:c>
      <x:c r="S62" s="54" t="str">
        <x:f>IF(R62="","",IF(R62&gt;=15,"Критический",IF(R62&gt;=9,"Высокий",IF(R62&gt;=5,"Средний",IF(R62&gt;=2,"Низкий","Отложить")))))</x:f>
      </x:c>
      <x:c r="T62" s="34"/>
      <x:c r="U62" s="34"/>
    </x:row>
    <x:row r="63" ht="34" customHeight="1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  <x:c r="P63" s="34"/>
      <x:c r="Q63" s="34"/>
      <x:c r="R63" s="52" t="str">
        <x:f>IF(A63="","",IFERROR(N63*O63*P63*Q63/20,0))</x:f>
      </x:c>
      <x:c r="S63" s="54" t="str">
        <x:f>IF(R63="","",IF(R63&gt;=15,"Критический",IF(R63&gt;=9,"Высокий",IF(R63&gt;=5,"Средний",IF(R63&gt;=2,"Низкий","Отложить")))))</x:f>
      </x:c>
      <x:c r="T63" s="34"/>
      <x:c r="U63" s="34"/>
    </x:row>
    <x:row r="64" ht="34" customHeight="1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  <x:c r="P64" s="34"/>
      <x:c r="Q64" s="34"/>
      <x:c r="R64" s="52" t="str">
        <x:f>IF(A64="","",IFERROR(N64*O64*P64*Q64/20,0))</x:f>
      </x:c>
      <x:c r="S64" s="54" t="str">
        <x:f>IF(R64="","",IF(R64&gt;=15,"Критический",IF(R64&gt;=9,"Высокий",IF(R64&gt;=5,"Средний",IF(R64&gt;=2,"Низкий","Отложить")))))</x:f>
      </x:c>
      <x:c r="T64" s="34"/>
      <x:c r="U64" s="34"/>
    </x:row>
    <x:row r="65" ht="34" customHeight="1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  <x:c r="P65" s="34"/>
      <x:c r="Q65" s="34"/>
      <x:c r="R65" s="52" t="str">
        <x:f>IF(A65="","",IFERROR(N65*O65*P65*Q65/20,0))</x:f>
      </x:c>
      <x:c r="S65" s="54" t="str">
        <x:f>IF(R65="","",IF(R65&gt;=15,"Критический",IF(R65&gt;=9,"Высокий",IF(R65&gt;=5,"Средний",IF(R65&gt;=2,"Низкий","Отложить")))))</x:f>
      </x:c>
      <x:c r="T65" s="34"/>
      <x:c r="U65" s="34"/>
    </x:row>
    <x:row r="66" ht="34" customHeight="1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  <x:c r="P66" s="34"/>
      <x:c r="Q66" s="34"/>
      <x:c r="R66" s="52" t="str">
        <x:f>IF(A66="","",IFERROR(N66*O66*P66*Q66/20,0))</x:f>
      </x:c>
      <x:c r="S66" s="54" t="str">
        <x:f>IF(R66="","",IF(R66&gt;=15,"Критический",IF(R66&gt;=9,"Высокий",IF(R66&gt;=5,"Средний",IF(R66&gt;=2,"Низкий","Отложить")))))</x:f>
      </x:c>
      <x:c r="T66" s="34"/>
      <x:c r="U66" s="34"/>
    </x:row>
    <x:row r="67" ht="34" customHeight="1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  <x:c r="P67" s="34"/>
      <x:c r="Q67" s="34"/>
      <x:c r="R67" s="52" t="str">
        <x:f>IF(A67="","",IFERROR(N67*O67*P67*Q67/20,0))</x:f>
      </x:c>
      <x:c r="S67" s="54" t="str">
        <x:f>IF(R67="","",IF(R67&gt;=15,"Критический",IF(R67&gt;=9,"Высокий",IF(R67&gt;=5,"Средний",IF(R67&gt;=2,"Низкий","Отложить")))))</x:f>
      </x:c>
      <x:c r="T67" s="34"/>
      <x:c r="U67" s="34"/>
    </x:row>
    <x:row r="68" ht="34" customHeight="1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  <x:c r="P68" s="34"/>
      <x:c r="Q68" s="34"/>
      <x:c r="R68" s="52" t="str">
        <x:f>IF(A68="","",IFERROR(N68*O68*P68*Q68/20,0))</x:f>
      </x:c>
      <x:c r="S68" s="54" t="str">
        <x:f>IF(R68="","",IF(R68&gt;=15,"Критический",IF(R68&gt;=9,"Высокий",IF(R68&gt;=5,"Средний",IF(R68&gt;=2,"Низкий","Отложить")))))</x:f>
      </x:c>
      <x:c r="T68" s="34"/>
      <x:c r="U68" s="34"/>
    </x:row>
    <x:row r="69" ht="34" customHeight="1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  <x:c r="P69" s="34"/>
      <x:c r="Q69" s="34"/>
      <x:c r="R69" s="52" t="str">
        <x:f>IF(A69="","",IFERROR(N69*O69*P69*Q69/20,0))</x:f>
      </x:c>
      <x:c r="S69" s="54" t="str">
        <x:f>IF(R69="","",IF(R69&gt;=15,"Критический",IF(R69&gt;=9,"Высокий",IF(R69&gt;=5,"Средний",IF(R69&gt;=2,"Низкий","Отложить")))))</x:f>
      </x:c>
      <x:c r="T69" s="34"/>
      <x:c r="U69" s="34"/>
    </x:row>
    <x:row r="70" ht="34" customHeight="1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52" t="str">
        <x:f>IF(A70="","",IFERROR(N70*O70*P70*Q70/20,0))</x:f>
      </x:c>
      <x:c r="S70" s="54" t="str">
        <x:f>IF(R70="","",IF(R70&gt;=15,"Критический",IF(R70&gt;=9,"Высокий",IF(R70&gt;=5,"Средний",IF(R70&gt;=2,"Низкий","Отложить")))))</x:f>
      </x:c>
      <x:c r="T70" s="34"/>
      <x:c r="U70" s="34"/>
    </x:row>
    <x:row r="71" ht="34" customHeight="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52" t="str">
        <x:f>IF(A71="","",IFERROR(N71*O71*P71*Q71/20,0))</x:f>
      </x:c>
      <x:c r="S71" s="54" t="str">
        <x:f>IF(R71="","",IF(R71&gt;=15,"Критический",IF(R71&gt;=9,"Высокий",IF(R71&gt;=5,"Средний",IF(R71&gt;=2,"Низкий","Отложить")))))</x:f>
      </x:c>
      <x:c r="T71" s="34"/>
      <x:c r="U71" s="34"/>
    </x:row>
    <x:row r="72" ht="34" customHeight="1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52" t="str">
        <x:f>IF(A72="","",IFERROR(N72*O72*P72*Q72/20,0))</x:f>
      </x:c>
      <x:c r="S72" s="54" t="str">
        <x:f>IF(R72="","",IF(R72&gt;=15,"Критический",IF(R72&gt;=9,"Высокий",IF(R72&gt;=5,"Средний",IF(R72&gt;=2,"Низкий","Отложить")))))</x:f>
      </x:c>
      <x:c r="T72" s="34"/>
      <x:c r="U72" s="34"/>
    </x:row>
    <x:row r="73" ht="34" customHeight="1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  <x:c r="P73" s="34"/>
      <x:c r="Q73" s="34"/>
      <x:c r="R73" s="52" t="str">
        <x:f>IF(A73="","",IFERROR(N73*O73*P73*Q73/20,0))</x:f>
      </x:c>
      <x:c r="S73" s="54" t="str">
        <x:f>IF(R73="","",IF(R73&gt;=15,"Критический",IF(R73&gt;=9,"Высокий",IF(R73&gt;=5,"Средний",IF(R73&gt;=2,"Низкий","Отложить")))))</x:f>
      </x:c>
      <x:c r="T73" s="34"/>
      <x:c r="U73" s="34"/>
    </x:row>
    <x:row r="74" ht="34" customHeight="1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  <x:c r="P74" s="34"/>
      <x:c r="Q74" s="34"/>
      <x:c r="R74" s="52" t="str">
        <x:f>IF(A74="","",IFERROR(N74*O74*P74*Q74/20,0))</x:f>
      </x:c>
      <x:c r="S74" s="54" t="str">
        <x:f>IF(R74="","",IF(R74&gt;=15,"Критический",IF(R74&gt;=9,"Высокий",IF(R74&gt;=5,"Средний",IF(R74&gt;=2,"Низкий","Отложить")))))</x:f>
      </x:c>
      <x:c r="T74" s="34"/>
      <x:c r="U74" s="34"/>
    </x:row>
    <x:row r="75" ht="34" customHeight="1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  <x:c r="P75" s="34"/>
      <x:c r="Q75" s="34"/>
      <x:c r="R75" s="52" t="str">
        <x:f>IF(A75="","",IFERROR(N75*O75*P75*Q75/20,0))</x:f>
      </x:c>
      <x:c r="S75" s="54" t="str">
        <x:f>IF(R75="","",IF(R75&gt;=15,"Критический",IF(R75&gt;=9,"Высокий",IF(R75&gt;=5,"Средний",IF(R75&gt;=2,"Низкий","Отложить")))))</x:f>
      </x:c>
      <x:c r="T75" s="34"/>
      <x:c r="U75" s="34"/>
    </x:row>
    <x:row r="76" ht="34" customHeight="1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  <x:c r="P76" s="34"/>
      <x:c r="Q76" s="34"/>
      <x:c r="R76" s="52" t="str">
        <x:f>IF(A76="","",IFERROR(N76*O76*P76*Q76/20,0))</x:f>
      </x:c>
      <x:c r="S76" s="54" t="str">
        <x:f>IF(R76="","",IF(R76&gt;=15,"Критический",IF(R76&gt;=9,"Высокий",IF(R76&gt;=5,"Средний",IF(R76&gt;=2,"Низкий","Отложить")))))</x:f>
      </x:c>
      <x:c r="T76" s="34"/>
      <x:c r="U76" s="34"/>
    </x:row>
    <x:row r="77" ht="34" customHeight="1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  <x:c r="P77" s="34"/>
      <x:c r="Q77" s="34"/>
      <x:c r="R77" s="52" t="str">
        <x:f>IF(A77="","",IFERROR(N77*O77*P77*Q77/20,0))</x:f>
      </x:c>
      <x:c r="S77" s="54" t="str">
        <x:f>IF(R77="","",IF(R77&gt;=15,"Критический",IF(R77&gt;=9,"Высокий",IF(R77&gt;=5,"Средний",IF(R77&gt;=2,"Низкий","Отложить")))))</x:f>
      </x:c>
      <x:c r="T77" s="34"/>
      <x:c r="U77" s="34"/>
    </x:row>
    <x:row r="78" ht="34" customHeight="1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  <x:c r="P78" s="34"/>
      <x:c r="Q78" s="34"/>
      <x:c r="R78" s="52" t="str">
        <x:f>IF(A78="","",IFERROR(N78*O78*P78*Q78/20,0))</x:f>
      </x:c>
      <x:c r="S78" s="54" t="str">
        <x:f>IF(R78="","",IF(R78&gt;=15,"Критический",IF(R78&gt;=9,"Высокий",IF(R78&gt;=5,"Средний",IF(R78&gt;=2,"Низкий","Отложить")))))</x:f>
      </x:c>
      <x:c r="T78" s="34"/>
      <x:c r="U78" s="34"/>
    </x:row>
    <x:row r="79" ht="34" customHeight="1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  <x:c r="P79" s="34"/>
      <x:c r="Q79" s="34"/>
      <x:c r="R79" s="52" t="str">
        <x:f>IF(A79="","",IFERROR(N79*O79*P79*Q79/20,0))</x:f>
      </x:c>
      <x:c r="S79" s="54" t="str">
        <x:f>IF(R79="","",IF(R79&gt;=15,"Критический",IF(R79&gt;=9,"Высокий",IF(R79&gt;=5,"Средний",IF(R79&gt;=2,"Низкий","Отложить")))))</x:f>
      </x:c>
      <x:c r="T79" s="34"/>
      <x:c r="U79" s="34"/>
    </x:row>
    <x:row r="80" ht="34" customHeight="1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  <x:c r="P80" s="34"/>
      <x:c r="Q80" s="34"/>
      <x:c r="R80" s="52" t="str">
        <x:f>IF(A80="","",IFERROR(N80*O80*P80*Q80/20,0))</x:f>
      </x:c>
      <x:c r="S80" s="54" t="str">
        <x:f>IF(R80="","",IF(R80&gt;=15,"Критический",IF(R80&gt;=9,"Высокий",IF(R80&gt;=5,"Средний",IF(R80&gt;=2,"Низкий","Отложить")))))</x:f>
      </x:c>
      <x:c r="T80" s="34"/>
      <x:c r="U80" s="34"/>
    </x:row>
    <x:row r="81" ht="34" customHeight="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  <x:c r="P81" s="34"/>
      <x:c r="Q81" s="34"/>
      <x:c r="R81" s="52" t="str">
        <x:f>IF(A81="","",IFERROR(N81*O81*P81*Q81/20,0))</x:f>
      </x:c>
      <x:c r="S81" s="54" t="str">
        <x:f>IF(R81="","",IF(R81&gt;=15,"Критический",IF(R81&gt;=9,"Высокий",IF(R81&gt;=5,"Средний",IF(R81&gt;=2,"Низкий","Отложить")))))</x:f>
      </x:c>
      <x:c r="T81" s="34"/>
      <x:c r="U81" s="34"/>
    </x:row>
    <x:row r="82" ht="34" customHeight="1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52" t="str">
        <x:f>IF(A82="","",IFERROR(N82*O82*P82*Q82/20,0))</x:f>
      </x:c>
      <x:c r="S82" s="54" t="str">
        <x:f>IF(R82="","",IF(R82&gt;=15,"Критический",IF(R82&gt;=9,"Высокий",IF(R82&gt;=5,"Средний",IF(R82&gt;=2,"Низкий","Отложить")))))</x:f>
      </x:c>
      <x:c r="T82" s="34"/>
      <x:c r="U82" s="34"/>
    </x:row>
    <x:row r="83" ht="34" customHeight="1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  <x:c r="P83" s="34"/>
      <x:c r="Q83" s="34"/>
      <x:c r="R83" s="52" t="str">
        <x:f>IF(A83="","",IFERROR(N83*O83*P83*Q83/20,0))</x:f>
      </x:c>
      <x:c r="S83" s="54" t="str">
        <x:f>IF(R83="","",IF(R83&gt;=15,"Критический",IF(R83&gt;=9,"Высокий",IF(R83&gt;=5,"Средний",IF(R83&gt;=2,"Низкий","Отложить")))))</x:f>
      </x:c>
      <x:c r="T83" s="34"/>
      <x:c r="U83" s="34"/>
    </x:row>
    <x:row r="84" ht="34" customHeight="1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  <x:c r="P84" s="34"/>
      <x:c r="Q84" s="34"/>
      <x:c r="R84" s="52" t="str">
        <x:f>IF(A84="","",IFERROR(N84*O84*P84*Q84/20,0))</x:f>
      </x:c>
      <x:c r="S84" s="54" t="str">
        <x:f>IF(R84="","",IF(R84&gt;=15,"Критический",IF(R84&gt;=9,"Высокий",IF(R84&gt;=5,"Средний",IF(R84&gt;=2,"Низкий","Отложить")))))</x:f>
      </x:c>
      <x:c r="T84" s="34"/>
      <x:c r="U84" s="34"/>
    </x:row>
    <x:row r="85" ht="34" customHeight="1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  <x:c r="P85" s="34"/>
      <x:c r="Q85" s="34"/>
      <x:c r="R85" s="52" t="str">
        <x:f>IF(A85="","",IFERROR(N85*O85*P85*Q85/20,0))</x:f>
      </x:c>
      <x:c r="S85" s="54" t="str">
        <x:f>IF(R85="","",IF(R85&gt;=15,"Критический",IF(R85&gt;=9,"Высокий",IF(R85&gt;=5,"Средний",IF(R85&gt;=2,"Низкий","Отложить")))))</x:f>
      </x:c>
      <x:c r="T85" s="34"/>
      <x:c r="U85" s="34"/>
    </x:row>
    <x:row r="86" ht="34" customHeight="1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  <x:c r="P86" s="34"/>
      <x:c r="Q86" s="34"/>
      <x:c r="R86" s="52" t="str">
        <x:f>IF(A86="","",IFERROR(N86*O86*P86*Q86/20,0))</x:f>
      </x:c>
      <x:c r="S86" s="54" t="str">
        <x:f>IF(R86="","",IF(R86&gt;=15,"Критический",IF(R86&gt;=9,"Высокий",IF(R86&gt;=5,"Средний",IF(R86&gt;=2,"Низкий","Отложить")))))</x:f>
      </x:c>
      <x:c r="T86" s="34"/>
      <x:c r="U86" s="34"/>
    </x:row>
    <x:row r="87" ht="34" customHeight="1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  <x:c r="P87" s="34"/>
      <x:c r="Q87" s="34"/>
      <x:c r="R87" s="52" t="str">
        <x:f>IF(A87="","",IFERROR(N87*O87*P87*Q87/20,0))</x:f>
      </x:c>
      <x:c r="S87" s="54" t="str">
        <x:f>IF(R87="","",IF(R87&gt;=15,"Критический",IF(R87&gt;=9,"Высокий",IF(R87&gt;=5,"Средний",IF(R87&gt;=2,"Низкий","Отложить")))))</x:f>
      </x:c>
      <x:c r="T87" s="34"/>
      <x:c r="U87" s="34"/>
    </x:row>
    <x:row r="88" ht="34" customHeight="1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  <x:c r="P88" s="34"/>
      <x:c r="Q88" s="34"/>
      <x:c r="R88" s="52" t="str">
        <x:f>IF(A88="","",IFERROR(N88*O88*P88*Q88/20,0))</x:f>
      </x:c>
      <x:c r="S88" s="54" t="str">
        <x:f>IF(R88="","",IF(R88&gt;=15,"Критический",IF(R88&gt;=9,"Высокий",IF(R88&gt;=5,"Средний",IF(R88&gt;=2,"Низкий","Отложить")))))</x:f>
      </x:c>
      <x:c r="T88" s="34"/>
      <x:c r="U88" s="34"/>
    </x:row>
    <x:row r="89" ht="34" customHeight="1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  <x:c r="P89" s="34"/>
      <x:c r="Q89" s="34"/>
      <x:c r="R89" s="52" t="str">
        <x:f>IF(A89="","",IFERROR(N89*O89*P89*Q89/20,0))</x:f>
      </x:c>
      <x:c r="S89" s="54" t="str">
        <x:f>IF(R89="","",IF(R89&gt;=15,"Критический",IF(R89&gt;=9,"Высокий",IF(R89&gt;=5,"Средний",IF(R89&gt;=2,"Низкий","Отложить")))))</x:f>
      </x:c>
      <x:c r="T89" s="34"/>
      <x:c r="U89" s="34"/>
    </x:row>
    <x:row r="90" ht="34" customHeight="1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  <x:c r="P90" s="34"/>
      <x:c r="Q90" s="34"/>
      <x:c r="R90" s="52" t="str">
        <x:f>IF(A90="","",IFERROR(N90*O90*P90*Q90/20,0))</x:f>
      </x:c>
      <x:c r="S90" s="54" t="str">
        <x:f>IF(R90="","",IF(R90&gt;=15,"Критический",IF(R90&gt;=9,"Высокий",IF(R90&gt;=5,"Средний",IF(R90&gt;=2,"Низкий","Отложить")))))</x:f>
      </x:c>
      <x:c r="T90" s="34"/>
      <x:c r="U90" s="34"/>
    </x:row>
    <x:row r="91" ht="34" customHeight="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  <x:c r="P91" s="34"/>
      <x:c r="Q91" s="34"/>
      <x:c r="R91" s="52" t="str">
        <x:f>IF(A91="","",IFERROR(N91*O91*P91*Q91/20,0))</x:f>
      </x:c>
      <x:c r="S91" s="54" t="str">
        <x:f>IF(R91="","",IF(R91&gt;=15,"Критический",IF(R91&gt;=9,"Высокий",IF(R91&gt;=5,"Средний",IF(R91&gt;=2,"Низкий","Отложить")))))</x:f>
      </x:c>
      <x:c r="T91" s="34"/>
      <x:c r="U91" s="34"/>
    </x:row>
    <x:row r="92" ht="34" customHeight="1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  <x:c r="P92" s="34"/>
      <x:c r="Q92" s="34"/>
      <x:c r="R92" s="52" t="str">
        <x:f>IF(A92="","",IFERROR(N92*O92*P92*Q92/20,0))</x:f>
      </x:c>
      <x:c r="S92" s="54" t="str">
        <x:f>IF(R92="","",IF(R92&gt;=15,"Критический",IF(R92&gt;=9,"Высокий",IF(R92&gt;=5,"Средний",IF(R92&gt;=2,"Низкий","Отложить")))))</x:f>
      </x:c>
      <x:c r="T92" s="34"/>
      <x:c r="U92" s="34"/>
    </x:row>
    <x:row r="93" ht="34" customHeight="1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  <x:c r="P93" s="34"/>
      <x:c r="Q93" s="34"/>
      <x:c r="R93" s="52" t="str">
        <x:f>IF(A93="","",IFERROR(N93*O93*P93*Q93/20,0))</x:f>
      </x:c>
      <x:c r="S93" s="54" t="str">
        <x:f>IF(R93="","",IF(R93&gt;=15,"Критический",IF(R93&gt;=9,"Высокий",IF(R93&gt;=5,"Средний",IF(R93&gt;=2,"Низкий","Отложить")))))</x:f>
      </x:c>
      <x:c r="T93" s="34"/>
      <x:c r="U93" s="34"/>
    </x:row>
    <x:row r="94" ht="34" customHeight="1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  <x:c r="P94" s="34"/>
      <x:c r="Q94" s="34"/>
      <x:c r="R94" s="52" t="str">
        <x:f>IF(A94="","",IFERROR(N94*O94*P94*Q94/20,0))</x:f>
      </x:c>
      <x:c r="S94" s="54" t="str">
        <x:f>IF(R94="","",IF(R94&gt;=15,"Критический",IF(R94&gt;=9,"Высокий",IF(R94&gt;=5,"Средний",IF(R94&gt;=2,"Низкий","Отложить")))))</x:f>
      </x:c>
      <x:c r="T94" s="34"/>
      <x:c r="U94" s="34"/>
    </x:row>
    <x:row r="95" ht="34" customHeight="1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  <x:c r="P95" s="34"/>
      <x:c r="Q95" s="34"/>
      <x:c r="R95" s="52" t="str">
        <x:f>IF(A95="","",IFERROR(N95*O95*P95*Q95/20,0))</x:f>
      </x:c>
      <x:c r="S95" s="54" t="str">
        <x:f>IF(R95="","",IF(R95&gt;=15,"Критический",IF(R95&gt;=9,"Высокий",IF(R95&gt;=5,"Средний",IF(R95&gt;=2,"Низкий","Отложить")))))</x:f>
      </x:c>
      <x:c r="T95" s="34"/>
      <x:c r="U95" s="34"/>
    </x:row>
    <x:row r="96" ht="34" customHeight="1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  <x:c r="P96" s="34"/>
      <x:c r="Q96" s="34"/>
      <x:c r="R96" s="52" t="str">
        <x:f>IF(A96="","",IFERROR(N96*O96*P96*Q96/20,0))</x:f>
      </x:c>
      <x:c r="S96" s="54" t="str">
        <x:f>IF(R96="","",IF(R96&gt;=15,"Критический",IF(R96&gt;=9,"Высокий",IF(R96&gt;=5,"Средний",IF(R96&gt;=2,"Низкий","Отложить")))))</x:f>
      </x:c>
      <x:c r="T96" s="34"/>
      <x:c r="U96" s="34"/>
    </x:row>
    <x:row r="97" ht="34" customHeight="1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  <x:c r="P97" s="34"/>
      <x:c r="Q97" s="34"/>
      <x:c r="R97" s="52" t="str">
        <x:f>IF(A97="","",IFERROR(N97*O97*P97*Q97/20,0))</x:f>
      </x:c>
      <x:c r="S97" s="54" t="str">
        <x:f>IF(R97="","",IF(R97&gt;=15,"Критический",IF(R97&gt;=9,"Высокий",IF(R97&gt;=5,"Средний",IF(R97&gt;=2,"Низкий","Отложить")))))</x:f>
      </x:c>
      <x:c r="T97" s="34"/>
      <x:c r="U97" s="34"/>
    </x:row>
    <x:row r="98" ht="34" customHeight="1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  <x:c r="P98" s="34"/>
      <x:c r="Q98" s="34"/>
      <x:c r="R98" s="52" t="str">
        <x:f>IF(A98="","",IFERROR(N98*O98*P98*Q98/20,0))</x:f>
      </x:c>
      <x:c r="S98" s="54" t="str">
        <x:f>IF(R98="","",IF(R98&gt;=15,"Критический",IF(R98&gt;=9,"Высокий",IF(R98&gt;=5,"Средний",IF(R98&gt;=2,"Низкий","Отложить")))))</x:f>
      </x:c>
      <x:c r="T98" s="34"/>
      <x:c r="U98" s="34"/>
    </x:row>
    <x:row r="99" ht="34" customHeight="1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  <x:c r="P99" s="34"/>
      <x:c r="Q99" s="34"/>
      <x:c r="R99" s="52" t="str">
        <x:f>IF(A99="","",IFERROR(N99*O99*P99*Q99/20,0))</x:f>
      </x:c>
      <x:c r="S99" s="54" t="str">
        <x:f>IF(R99="","",IF(R99&gt;=15,"Критический",IF(R99&gt;=9,"Высокий",IF(R99&gt;=5,"Средний",IF(R99&gt;=2,"Низкий","Отложить")))))</x:f>
      </x:c>
      <x:c r="T99" s="34"/>
      <x:c r="U99" s="34"/>
    </x:row>
    <x:row r="100" ht="34" customHeight="1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52" t="str">
        <x:f>IF(A100="","",IFERROR(N100*O100*P100*Q100/20,0))</x:f>
      </x:c>
      <x:c r="S100" s="54" t="str">
        <x:f>IF(R100="","",IF(R100&gt;=15,"Критический",IF(R100&gt;=9,"Высокий",IF(R100&gt;=5,"Средний",IF(R100&gt;=2,"Низкий","Отложить")))))</x:f>
      </x:c>
      <x:c r="T100" s="34"/>
      <x:c r="U100" s="34"/>
    </x:row>
    <x:row r="101" ht="34" customHeight="1">
      <x:c r="A101" s="34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  <x:c r="P101" s="34"/>
      <x:c r="Q101" s="34"/>
      <x:c r="R101" s="52" t="str">
        <x:f>IF(A101="","",IFERROR(N101*O101*P101*Q101/20,0))</x:f>
      </x:c>
      <x:c r="S101" s="54" t="str">
        <x:f>IF(R101="","",IF(R101&gt;=15,"Критический",IF(R101&gt;=9,"Высокий",IF(R101&gt;=5,"Средний",IF(R101&gt;=2,"Низкий","Отложить")))))</x:f>
      </x:c>
      <x:c r="T101" s="34"/>
      <x:c r="U101" s="34"/>
    </x:row>
    <x:row r="102" ht="34" customHeight="1">
      <x:c r="A102" s="34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  <x:c r="P102" s="34"/>
      <x:c r="Q102" s="34"/>
      <x:c r="R102" s="52" t="str">
        <x:f>IF(A102="","",IFERROR(N102*O102*P102*Q102/20,0))</x:f>
      </x:c>
      <x:c r="S102" s="54" t="str">
        <x:f>IF(R102="","",IF(R102&gt;=15,"Критический",IF(R102&gt;=9,"Высокий",IF(R102&gt;=5,"Средний",IF(R102&gt;=2,"Низкий","Отложить")))))</x:f>
      </x:c>
      <x:c r="T102" s="34"/>
      <x:c r="U102" s="34"/>
    </x:row>
    <x:row r="103" ht="34" customHeight="1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  <x:c r="P103" s="34"/>
      <x:c r="Q103" s="34"/>
      <x:c r="R103" s="52" t="str">
        <x:f>IF(A103="","",IFERROR(N103*O103*P103*Q103/20,0))</x:f>
      </x:c>
      <x:c r="S103" s="54" t="str">
        <x:f>IF(R103="","",IF(R103&gt;=15,"Критический",IF(R103&gt;=9,"Высокий",IF(R103&gt;=5,"Средний",IF(R103&gt;=2,"Низкий","Отложить")))))</x:f>
      </x:c>
      <x:c r="T103" s="34"/>
      <x:c r="U103" s="34"/>
    </x:row>
    <x:row r="104" ht="34" customHeight="1">
      <x:c r="A104" s="34"/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34"/>
      <x:c r="L104" s="34"/>
      <x:c r="M104" s="34"/>
      <x:c r="N104" s="34"/>
      <x:c r="O104" s="34"/>
      <x:c r="P104" s="34"/>
      <x:c r="Q104" s="34"/>
      <x:c r="R104" s="52" t="str">
        <x:f>IF(A104="","",IFERROR(N104*O104*P104*Q104/20,0))</x:f>
      </x:c>
      <x:c r="S104" s="54" t="str">
        <x:f>IF(R104="","",IF(R104&gt;=15,"Критический",IF(R104&gt;=9,"Высокий",IF(R104&gt;=5,"Средний",IF(R104&gt;=2,"Низкий","Отложить")))))</x:f>
      </x:c>
      <x:c r="T104" s="34"/>
      <x:c r="U104" s="34"/>
    </x:row>
    <x:row r="105" ht="34" customHeight="1">
      <x:c r="A105" s="34"/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34"/>
      <x:c r="L105" s="34"/>
      <x:c r="M105" s="34"/>
      <x:c r="N105" s="34"/>
      <x:c r="O105" s="34"/>
      <x:c r="P105" s="34"/>
      <x:c r="Q105" s="34"/>
      <x:c r="R105" s="52" t="str">
        <x:f>IF(A105="","",IFERROR(N105*O105*P105*Q105/20,0))</x:f>
      </x:c>
      <x:c r="S105" s="54" t="str">
        <x:f>IF(R105="","",IF(R105&gt;=15,"Критический",IF(R105&gt;=9,"Высокий",IF(R105&gt;=5,"Средний",IF(R105&gt;=2,"Низкий","Отложить")))))</x:f>
      </x:c>
      <x:c r="T105" s="34"/>
      <x:c r="U105" s="34"/>
    </x:row>
    <x:row r="106" ht="34" customHeight="1">
      <x:c r="A106" s="34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34"/>
      <x:c r="L106" s="34"/>
      <x:c r="M106" s="34"/>
      <x:c r="N106" s="34"/>
      <x:c r="O106" s="34"/>
      <x:c r="P106" s="34"/>
      <x:c r="Q106" s="34"/>
      <x:c r="R106" s="52" t="str">
        <x:f>IF(A106="","",IFERROR(N106*O106*P106*Q106/20,0))</x:f>
      </x:c>
      <x:c r="S106" s="54" t="str">
        <x:f>IF(R106="","",IF(R106&gt;=15,"Критический",IF(R106&gt;=9,"Высокий",IF(R106&gt;=5,"Средний",IF(R106&gt;=2,"Низкий","Отложить")))))</x:f>
      </x:c>
      <x:c r="T106" s="34"/>
      <x:c r="U106" s="34"/>
    </x:row>
    <x:row r="107" ht="34" customHeight="1">
      <x:c r="A107" s="34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34"/>
      <x:c r="L107" s="34"/>
      <x:c r="M107" s="34"/>
      <x:c r="N107" s="34"/>
      <x:c r="O107" s="34"/>
      <x:c r="P107" s="34"/>
      <x:c r="Q107" s="34"/>
      <x:c r="R107" s="52" t="str">
        <x:f>IF(A107="","",IFERROR(N107*O107*P107*Q107/20,0))</x:f>
      </x:c>
      <x:c r="S107" s="54" t="str">
        <x:f>IF(R107="","",IF(R107&gt;=15,"Критический",IF(R107&gt;=9,"Высокий",IF(R107&gt;=5,"Средний",IF(R107&gt;=2,"Низкий","Отложить")))))</x:f>
      </x:c>
      <x:c r="T107" s="34"/>
      <x:c r="U107" s="34"/>
    </x:row>
    <x:row r="108" ht="34" customHeight="1">
      <x:c r="A108" s="34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34"/>
      <x:c r="N108" s="34"/>
      <x:c r="O108" s="34"/>
      <x:c r="P108" s="34"/>
      <x:c r="Q108" s="34"/>
      <x:c r="R108" s="52" t="str">
        <x:f>IF(A108="","",IFERROR(N108*O108*P108*Q108/20,0))</x:f>
      </x:c>
      <x:c r="S108" s="54" t="str">
        <x:f>IF(R108="","",IF(R108&gt;=15,"Критический",IF(R108&gt;=9,"Высокий",IF(R108&gt;=5,"Средний",IF(R108&gt;=2,"Низкий","Отложить")))))</x:f>
      </x:c>
      <x:c r="T108" s="34"/>
      <x:c r="U108" s="34"/>
    </x:row>
    <x:row r="109" ht="34" customHeight="1">
      <x:c r="A109" s="34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34"/>
      <x:c r="N109" s="34"/>
      <x:c r="O109" s="34"/>
      <x:c r="P109" s="34"/>
      <x:c r="Q109" s="34"/>
      <x:c r="R109" s="52" t="str">
        <x:f>IF(A109="","",IFERROR(N109*O109*P109*Q109/20,0))</x:f>
      </x:c>
      <x:c r="S109" s="54" t="str">
        <x:f>IF(R109="","",IF(R109&gt;=15,"Критический",IF(R109&gt;=9,"Высокий",IF(R109&gt;=5,"Средний",IF(R109&gt;=2,"Низкий","Отложить")))))</x:f>
      </x:c>
      <x:c r="T109" s="34"/>
      <x:c r="U109" s="34"/>
    </x:row>
    <x:row r="110" ht="34" customHeight="1">
      <x:c r="A110" s="34"/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34"/>
      <x:c r="L110" s="34"/>
      <x:c r="M110" s="34"/>
      <x:c r="N110" s="34"/>
      <x:c r="O110" s="34"/>
      <x:c r="P110" s="34"/>
      <x:c r="Q110" s="34"/>
      <x:c r="R110" s="52" t="str">
        <x:f>IF(A110="","",IFERROR(N110*O110*P110*Q110/20,0))</x:f>
      </x:c>
      <x:c r="S110" s="54" t="str">
        <x:f>IF(R110="","",IF(R110&gt;=15,"Критический",IF(R110&gt;=9,"Высокий",IF(R110&gt;=5,"Средний",IF(R110&gt;=2,"Низкий","Отложить")))))</x:f>
      </x:c>
      <x:c r="T110" s="34"/>
      <x:c r="U110" s="34"/>
    </x:row>
    <x:row r="111" ht="34" customHeight="1">
      <x:c r="A111" s="34"/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34"/>
      <x:c r="L111" s="34"/>
      <x:c r="M111" s="34"/>
      <x:c r="N111" s="34"/>
      <x:c r="O111" s="34"/>
      <x:c r="P111" s="34"/>
      <x:c r="Q111" s="34"/>
      <x:c r="R111" s="52" t="str">
        <x:f>IF(A111="","",IFERROR(N111*O111*P111*Q111/20,0))</x:f>
      </x:c>
      <x:c r="S111" s="54" t="str">
        <x:f>IF(R111="","",IF(R111&gt;=15,"Критический",IF(R111&gt;=9,"Высокий",IF(R111&gt;=5,"Средний",IF(R111&gt;=2,"Низкий","Отложить")))))</x:f>
      </x:c>
      <x:c r="T111" s="34"/>
      <x:c r="U111" s="34"/>
    </x:row>
    <x:row r="112" ht="34" customHeight="1">
      <x:c r="A112" s="34"/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34"/>
      <x:c r="L112" s="34"/>
      <x:c r="M112" s="34"/>
      <x:c r="N112" s="34"/>
      <x:c r="O112" s="34"/>
      <x:c r="P112" s="34"/>
      <x:c r="Q112" s="34"/>
      <x:c r="R112" s="52" t="str">
        <x:f>IF(A112="","",IFERROR(N112*O112*P112*Q112/20,0))</x:f>
      </x:c>
      <x:c r="S112" s="54" t="str">
        <x:f>IF(R112="","",IF(R112&gt;=15,"Критический",IF(R112&gt;=9,"Высокий",IF(R112&gt;=5,"Средний",IF(R112&gt;=2,"Низкий","Отложить")))))</x:f>
      </x:c>
      <x:c r="T112" s="34"/>
      <x:c r="U112" s="34"/>
    </x:row>
    <x:row r="113" ht="34" customHeight="1">
      <x:c r="A113" s="34"/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52" t="str">
        <x:f>IF(A113="","",IFERROR(N113*O113*P113*Q113/20,0))</x:f>
      </x:c>
      <x:c r="S113" s="54" t="str">
        <x:f>IF(R113="","",IF(R113&gt;=15,"Критический",IF(R113&gt;=9,"Высокий",IF(R113&gt;=5,"Средний",IF(R113&gt;=2,"Низкий","Отложить")))))</x:f>
      </x:c>
      <x:c r="T113" s="34"/>
      <x:c r="U113" s="34"/>
    </x:row>
    <x:row r="114" ht="34" customHeight="1">
      <x:c r="A114" s="34"/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  <x:c r="P114" s="34"/>
      <x:c r="Q114" s="34"/>
      <x:c r="R114" s="52" t="str">
        <x:f>IF(A114="","",IFERROR(N114*O114*P114*Q114/20,0))</x:f>
      </x:c>
      <x:c r="S114" s="54" t="str">
        <x:f>IF(R114="","",IF(R114&gt;=15,"Критический",IF(R114&gt;=9,"Высокий",IF(R114&gt;=5,"Средний",IF(R114&gt;=2,"Низкий","Отложить")))))</x:f>
      </x:c>
      <x:c r="T114" s="34"/>
      <x:c r="U114" s="34"/>
    </x:row>
    <x:row r="115" ht="34" customHeight="1">
      <x:c r="A115" s="34"/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34"/>
      <x:c r="L115" s="34"/>
      <x:c r="M115" s="34"/>
      <x:c r="N115" s="34"/>
      <x:c r="O115" s="34"/>
      <x:c r="P115" s="34"/>
      <x:c r="Q115" s="34"/>
      <x:c r="R115" s="52" t="str">
        <x:f>IF(A115="","",IFERROR(N115*O115*P115*Q115/20,0))</x:f>
      </x:c>
      <x:c r="S115" s="54" t="str">
        <x:f>IF(R115="","",IF(R115&gt;=15,"Критический",IF(R115&gt;=9,"Высокий",IF(R115&gt;=5,"Средний",IF(R115&gt;=2,"Низкий","Отложить")))))</x:f>
      </x:c>
      <x:c r="T115" s="34"/>
      <x:c r="U115" s="34"/>
    </x:row>
    <x:row r="116" ht="34" customHeight="1">
      <x:c r="A116" s="34"/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34"/>
      <x:c r="L116" s="34"/>
      <x:c r="M116" s="34"/>
      <x:c r="N116" s="34"/>
      <x:c r="O116" s="34"/>
      <x:c r="P116" s="34"/>
      <x:c r="Q116" s="34"/>
      <x:c r="R116" s="52" t="str">
        <x:f>IF(A116="","",IFERROR(N116*O116*P116*Q116/20,0))</x:f>
      </x:c>
      <x:c r="S116" s="54" t="str">
        <x:f>IF(R116="","",IF(R116&gt;=15,"Критический",IF(R116&gt;=9,"Высокий",IF(R116&gt;=5,"Средний",IF(R116&gt;=2,"Низкий","Отложить")))))</x:f>
      </x:c>
      <x:c r="T116" s="34"/>
      <x:c r="U116" s="34"/>
    </x:row>
    <x:row r="117" ht="34" customHeight="1">
      <x:c r="A117" s="34"/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  <x:c r="L117" s="34"/>
      <x:c r="M117" s="34"/>
      <x:c r="N117" s="34"/>
      <x:c r="O117" s="34"/>
      <x:c r="P117" s="34"/>
      <x:c r="Q117" s="34"/>
      <x:c r="R117" s="52" t="str">
        <x:f>IF(A117="","",IFERROR(N117*O117*P117*Q117/20,0))</x:f>
      </x:c>
      <x:c r="S117" s="54" t="str">
        <x:f>IF(R117="","",IF(R117&gt;=15,"Критический",IF(R117&gt;=9,"Высокий",IF(R117&gt;=5,"Средний",IF(R117&gt;=2,"Низкий","Отложить")))))</x:f>
      </x:c>
      <x:c r="T117" s="34"/>
      <x:c r="U117" s="34"/>
    </x:row>
    <x:row r="118" ht="34" customHeight="1">
      <x:c r="A118" s="34"/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34"/>
      <x:c r="L118" s="34"/>
      <x:c r="M118" s="34"/>
      <x:c r="N118" s="34"/>
      <x:c r="O118" s="34"/>
      <x:c r="P118" s="34"/>
      <x:c r="Q118" s="34"/>
      <x:c r="R118" s="52" t="str">
        <x:f>IF(A118="","",IFERROR(N118*O118*P118*Q118/20,0))</x:f>
      </x:c>
      <x:c r="S118" s="54" t="str">
        <x:f>IF(R118="","",IF(R118&gt;=15,"Критический",IF(R118&gt;=9,"Высокий",IF(R118&gt;=5,"Средний",IF(R118&gt;=2,"Низкий","Отложить")))))</x:f>
      </x:c>
      <x:c r="T118" s="34"/>
      <x:c r="U118" s="34"/>
    </x:row>
    <x:row r="119" ht="34" customHeight="1">
      <x:c r="A119" s="34"/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34"/>
      <x:c r="L119" s="34"/>
      <x:c r="M119" s="34"/>
      <x:c r="N119" s="34"/>
      <x:c r="O119" s="34"/>
      <x:c r="P119" s="34"/>
      <x:c r="Q119" s="34"/>
      <x:c r="R119" s="52" t="str">
        <x:f>IF(A119="","",IFERROR(N119*O119*P119*Q119/20,0))</x:f>
      </x:c>
      <x:c r="S119" s="54" t="str">
        <x:f>IF(R119="","",IF(R119&gt;=15,"Критический",IF(R119&gt;=9,"Высокий",IF(R119&gt;=5,"Средний",IF(R119&gt;=2,"Низкий","Отложить")))))</x:f>
      </x:c>
      <x:c r="T119" s="34"/>
      <x:c r="U119" s="34"/>
    </x:row>
    <x:row r="120" ht="34" customHeight="1">
      <x:c r="A120" s="34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34"/>
      <x:c r="L120" s="34"/>
      <x:c r="M120" s="34"/>
      <x:c r="N120" s="34"/>
      <x:c r="O120" s="34"/>
      <x:c r="P120" s="34"/>
      <x:c r="Q120" s="34"/>
      <x:c r="R120" s="52" t="str">
        <x:f>IF(A120="","",IFERROR(N120*O120*P120*Q120/20,0))</x:f>
      </x:c>
      <x:c r="S120" s="54" t="str">
        <x:f>IF(R120="","",IF(R120&gt;=15,"Критический",IF(R120&gt;=9,"Высокий",IF(R120&gt;=5,"Средний",IF(R120&gt;=2,"Низкий","Отложить")))))</x:f>
      </x:c>
      <x:c r="T120" s="34"/>
      <x:c r="U120" s="34"/>
    </x:row>
    <x:row r="121" ht="34" customHeight="1">
      <x:c r="A121" s="34"/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52" t="str">
        <x:f>IF(A121="","",IFERROR(N121*O121*P121*Q121/20,0))</x:f>
      </x:c>
      <x:c r="S121" s="54" t="str">
        <x:f>IF(R121="","",IF(R121&gt;=15,"Критический",IF(R121&gt;=9,"Высокий",IF(R121&gt;=5,"Средний",IF(R121&gt;=2,"Низкий","Отложить")))))</x:f>
      </x:c>
      <x:c r="T121" s="34"/>
      <x:c r="U121" s="34"/>
    </x:row>
    <x:row r="122" ht="34" customHeight="1">
      <x:c r="A122" s="34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34"/>
      <x:c r="N122" s="34"/>
      <x:c r="O122" s="34"/>
      <x:c r="P122" s="34"/>
      <x:c r="Q122" s="34"/>
      <x:c r="R122" s="52" t="str">
        <x:f>IF(A122="","",IFERROR(N122*O122*P122*Q122/20,0))</x:f>
      </x:c>
      <x:c r="S122" s="54" t="str">
        <x:f>IF(R122="","",IF(R122&gt;=15,"Критический",IF(R122&gt;=9,"Высокий",IF(R122&gt;=5,"Средний",IF(R122&gt;=2,"Низкий","Отложить")))))</x:f>
      </x:c>
      <x:c r="T122" s="34"/>
      <x:c r="U122" s="34"/>
    </x:row>
    <x:row r="123" ht="34" customHeight="1">
      <x:c r="A123" s="34"/>
      <x:c r="B123" s="34"/>
      <x:c r="C123" s="34"/>
      <x:c r="D123" s="34"/>
      <x:c r="E123" s="34"/>
      <x:c r="F123" s="34"/>
      <x:c r="G123" s="34"/>
      <x:c r="H123" s="34"/>
      <x:c r="I123" s="34"/>
      <x:c r="J123" s="34"/>
      <x:c r="K123" s="34"/>
      <x:c r="L123" s="34"/>
      <x:c r="M123" s="34"/>
      <x:c r="N123" s="34"/>
      <x:c r="O123" s="34"/>
      <x:c r="P123" s="34"/>
      <x:c r="Q123" s="34"/>
      <x:c r="R123" s="52" t="str">
        <x:f>IF(A123="","",IFERROR(N123*O123*P123*Q123/20,0))</x:f>
      </x:c>
      <x:c r="S123" s="54" t="str">
        <x:f>IF(R123="","",IF(R123&gt;=15,"Критический",IF(R123&gt;=9,"Высокий",IF(R123&gt;=5,"Средний",IF(R123&gt;=2,"Низкий","Отложить")))))</x:f>
      </x:c>
      <x:c r="T123" s="34"/>
      <x:c r="U123" s="34"/>
    </x:row>
    <x:row r="124" ht="34" customHeight="1">
      <x:c r="A124" s="34"/>
      <x:c r="B124" s="34"/>
      <x:c r="C124" s="34"/>
      <x:c r="D124" s="34"/>
      <x:c r="E124" s="34"/>
      <x:c r="F124" s="34"/>
      <x:c r="G124" s="34"/>
      <x:c r="H124" s="34"/>
      <x:c r="I124" s="34"/>
      <x:c r="J124" s="34"/>
      <x:c r="K124" s="34"/>
      <x:c r="L124" s="34"/>
      <x:c r="M124" s="34"/>
      <x:c r="N124" s="34"/>
      <x:c r="O124" s="34"/>
      <x:c r="P124" s="34"/>
      <x:c r="Q124" s="34"/>
      <x:c r="R124" s="52" t="str">
        <x:f>IF(A124="","",IFERROR(N124*O124*P124*Q124/20,0))</x:f>
      </x:c>
      <x:c r="S124" s="54" t="str">
        <x:f>IF(R124="","",IF(R124&gt;=15,"Критический",IF(R124&gt;=9,"Высокий",IF(R124&gt;=5,"Средний",IF(R124&gt;=2,"Низкий","Отложить")))))</x:f>
      </x:c>
      <x:c r="T124" s="34"/>
      <x:c r="U124" s="34"/>
    </x:row>
    <x:row r="125" ht="34" customHeight="1">
      <x:c r="A125" s="34"/>
      <x:c r="B125" s="34"/>
      <x:c r="C125" s="34"/>
      <x:c r="D125" s="34"/>
      <x:c r="E125" s="34"/>
      <x:c r="F125" s="34"/>
      <x:c r="G125" s="34"/>
      <x:c r="H125" s="34"/>
      <x:c r="I125" s="34"/>
      <x:c r="J125" s="34"/>
      <x:c r="K125" s="34"/>
      <x:c r="L125" s="34"/>
      <x:c r="M125" s="34"/>
      <x:c r="N125" s="34"/>
      <x:c r="O125" s="34"/>
      <x:c r="P125" s="34"/>
      <x:c r="Q125" s="34"/>
      <x:c r="R125" s="52" t="str">
        <x:f>IF(A125="","",IFERROR(N125*O125*P125*Q125/20,0))</x:f>
      </x:c>
      <x:c r="S125" s="54" t="str">
        <x:f>IF(R125="","",IF(R125&gt;=15,"Критический",IF(R125&gt;=9,"Высокий",IF(R125&gt;=5,"Средний",IF(R125&gt;=2,"Низкий","Отложить")))))</x:f>
      </x:c>
      <x:c r="T125" s="34"/>
      <x:c r="U125" s="34"/>
    </x:row>
    <x:row r="126" ht="34" customHeight="1">
      <x:c r="A126" s="34"/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34"/>
      <x:c r="L126" s="34"/>
      <x:c r="M126" s="34"/>
      <x:c r="N126" s="34"/>
      <x:c r="O126" s="34"/>
      <x:c r="P126" s="34"/>
      <x:c r="Q126" s="34"/>
      <x:c r="R126" s="52" t="str">
        <x:f>IF(A126="","",IFERROR(N126*O126*P126*Q126/20,0))</x:f>
      </x:c>
      <x:c r="S126" s="54" t="str">
        <x:f>IF(R126="","",IF(R126&gt;=15,"Критический",IF(R126&gt;=9,"Высокий",IF(R126&gt;=5,"Средний",IF(R126&gt;=2,"Низкий","Отложить")))))</x:f>
      </x:c>
      <x:c r="T126" s="34"/>
      <x:c r="U126" s="34"/>
    </x:row>
    <x:row r="127" ht="34" customHeight="1">
      <x:c r="A127" s="34"/>
      <x:c r="B127" s="34"/>
      <x:c r="C127" s="34"/>
      <x:c r="D127" s="34"/>
      <x:c r="E127" s="34"/>
      <x:c r="F127" s="34"/>
      <x:c r="G127" s="34"/>
      <x:c r="H127" s="34"/>
      <x:c r="I127" s="34"/>
      <x:c r="J127" s="34"/>
      <x:c r="K127" s="34"/>
      <x:c r="L127" s="34"/>
      <x:c r="M127" s="34"/>
      <x:c r="N127" s="34"/>
      <x:c r="O127" s="34"/>
      <x:c r="P127" s="34"/>
      <x:c r="Q127" s="34"/>
      <x:c r="R127" s="52" t="str">
        <x:f>IF(A127="","",IFERROR(N127*O127*P127*Q127/20,0))</x:f>
      </x:c>
      <x:c r="S127" s="54" t="str">
        <x:f>IF(R127="","",IF(R127&gt;=15,"Критический",IF(R127&gt;=9,"Высокий",IF(R127&gt;=5,"Средний",IF(R127&gt;=2,"Низкий","Отложить")))))</x:f>
      </x:c>
      <x:c r="T127" s="34"/>
      <x:c r="U127" s="34"/>
    </x:row>
    <x:row r="128" ht="34" customHeight="1">
      <x:c r="A128" s="34"/>
      <x:c r="B128" s="34"/>
      <x:c r="C128" s="34"/>
      <x:c r="D128" s="34"/>
      <x:c r="E128" s="34"/>
      <x:c r="F128" s="34"/>
      <x:c r="G128" s="34"/>
      <x:c r="H128" s="34"/>
      <x:c r="I128" s="34"/>
      <x:c r="J128" s="34"/>
      <x:c r="K128" s="34"/>
      <x:c r="L128" s="34"/>
      <x:c r="M128" s="34"/>
      <x:c r="N128" s="34"/>
      <x:c r="O128" s="34"/>
      <x:c r="P128" s="34"/>
      <x:c r="Q128" s="34"/>
      <x:c r="R128" s="52" t="str">
        <x:f>IF(A128="","",IFERROR(N128*O128*P128*Q128/20,0))</x:f>
      </x:c>
      <x:c r="S128" s="54" t="str">
        <x:f>IF(R128="","",IF(R128&gt;=15,"Критический",IF(R128&gt;=9,"Высокий",IF(R128&gt;=5,"Средний",IF(R128&gt;=2,"Низкий","Отложить")))))</x:f>
      </x:c>
      <x:c r="T128" s="34"/>
      <x:c r="U128" s="34"/>
    </x:row>
    <x:row r="129" ht="34" customHeight="1">
      <x:c r="A129" s="34"/>
      <x:c r="B129" s="34"/>
      <x:c r="C129" s="34"/>
      <x:c r="D129" s="34"/>
      <x:c r="E129" s="34"/>
      <x:c r="F129" s="34"/>
      <x:c r="G129" s="34"/>
      <x:c r="H129" s="34"/>
      <x:c r="I129" s="34"/>
      <x:c r="J129" s="34"/>
      <x:c r="K129" s="34"/>
      <x:c r="L129" s="34"/>
      <x:c r="M129" s="34"/>
      <x:c r="N129" s="34"/>
      <x:c r="O129" s="34"/>
      <x:c r="P129" s="34"/>
      <x:c r="Q129" s="34"/>
      <x:c r="R129" s="52" t="str">
        <x:f>IF(A129="","",IFERROR(N129*O129*P129*Q129/20,0))</x:f>
      </x:c>
      <x:c r="S129" s="54" t="str">
        <x:f>IF(R129="","",IF(R129&gt;=15,"Критический",IF(R129&gt;=9,"Высокий",IF(R129&gt;=5,"Средний",IF(R129&gt;=2,"Низкий","Отложить")))))</x:f>
      </x:c>
      <x:c r="T129" s="34"/>
      <x:c r="U129" s="34"/>
    </x:row>
    <x:row r="130" ht="34" customHeight="1">
      <x:c r="A130" s="34"/>
      <x:c r="B130" s="34"/>
      <x:c r="C130" s="34"/>
      <x:c r="D130" s="34"/>
      <x:c r="E130" s="34"/>
      <x:c r="F130" s="34"/>
      <x:c r="G130" s="34"/>
      <x:c r="H130" s="34"/>
      <x:c r="I130" s="34"/>
      <x:c r="J130" s="34"/>
      <x:c r="K130" s="34"/>
      <x:c r="L130" s="34"/>
      <x:c r="M130" s="34"/>
      <x:c r="N130" s="34"/>
      <x:c r="O130" s="34"/>
      <x:c r="P130" s="34"/>
      <x:c r="Q130" s="34"/>
      <x:c r="R130" s="52" t="str">
        <x:f>IF(A130="","",IFERROR(N130*O130*P130*Q130/20,0))</x:f>
      </x:c>
      <x:c r="S130" s="54" t="str">
        <x:f>IF(R130="","",IF(R130&gt;=15,"Критический",IF(R130&gt;=9,"Высокий",IF(R130&gt;=5,"Средний",IF(R130&gt;=2,"Низкий","Отложить")))))</x:f>
      </x:c>
      <x:c r="T130" s="34"/>
      <x:c r="U130" s="34"/>
    </x:row>
    <x:row r="131" ht="34" customHeight="1">
      <x:c r="A131" s="34"/>
      <x:c r="B131" s="34"/>
      <x:c r="C131" s="34"/>
      <x:c r="D131" s="34"/>
      <x:c r="E131" s="34"/>
      <x:c r="F131" s="34"/>
      <x:c r="G131" s="34"/>
      <x:c r="H131" s="34"/>
      <x:c r="I131" s="34"/>
      <x:c r="J131" s="34"/>
      <x:c r="K131" s="34"/>
      <x:c r="L131" s="34"/>
      <x:c r="M131" s="34"/>
      <x:c r="N131" s="34"/>
      <x:c r="O131" s="34"/>
      <x:c r="P131" s="34"/>
      <x:c r="Q131" s="34"/>
      <x:c r="R131" s="52" t="str">
        <x:f>IF(A131="","",IFERROR(N131*O131*P131*Q131/20,0))</x:f>
      </x:c>
      <x:c r="S131" s="54" t="str">
        <x:f>IF(R131="","",IF(R131&gt;=15,"Критический",IF(R131&gt;=9,"Высокий",IF(R131&gt;=5,"Средний",IF(R131&gt;=2,"Низкий","Отложить")))))</x:f>
      </x:c>
      <x:c r="T131" s="34"/>
      <x:c r="U131" s="34"/>
    </x:row>
    <x:row r="132" ht="34" customHeight="1">
      <x:c r="A132" s="34"/>
      <x:c r="B132" s="34"/>
      <x:c r="C132" s="34"/>
      <x:c r="D132" s="34"/>
      <x:c r="E132" s="34"/>
      <x:c r="F132" s="34"/>
      <x:c r="G132" s="34"/>
      <x:c r="H132" s="34"/>
      <x:c r="I132" s="34"/>
      <x:c r="J132" s="34"/>
      <x:c r="K132" s="34"/>
      <x:c r="L132" s="34"/>
      <x:c r="M132" s="34"/>
      <x:c r="N132" s="34"/>
      <x:c r="O132" s="34"/>
      <x:c r="P132" s="34"/>
      <x:c r="Q132" s="34"/>
      <x:c r="R132" s="52" t="str">
        <x:f>IF(A132="","",IFERROR(N132*O132*P132*Q132/20,0))</x:f>
      </x:c>
      <x:c r="S132" s="54" t="str">
        <x:f>IF(R132="","",IF(R132&gt;=15,"Критический",IF(R132&gt;=9,"Высокий",IF(R132&gt;=5,"Средний",IF(R132&gt;=2,"Низкий","Отложить")))))</x:f>
      </x:c>
      <x:c r="T132" s="34"/>
      <x:c r="U132" s="34"/>
    </x:row>
    <x:row r="133" ht="34" customHeight="1">
      <x:c r="A133" s="34"/>
      <x:c r="B133" s="34"/>
      <x:c r="C133" s="34"/>
      <x:c r="D133" s="34"/>
      <x:c r="E133" s="34"/>
      <x:c r="F133" s="34"/>
      <x:c r="G133" s="34"/>
      <x:c r="H133" s="34"/>
      <x:c r="I133" s="34"/>
      <x:c r="J133" s="34"/>
      <x:c r="K133" s="34"/>
      <x:c r="L133" s="34"/>
      <x:c r="M133" s="34"/>
      <x:c r="N133" s="34"/>
      <x:c r="O133" s="34"/>
      <x:c r="P133" s="34"/>
      <x:c r="Q133" s="34"/>
      <x:c r="R133" s="52" t="str">
        <x:f>IF(A133="","",IFERROR(N133*O133*P133*Q133/20,0))</x:f>
      </x:c>
      <x:c r="S133" s="54" t="str">
        <x:f>IF(R133="","",IF(R133&gt;=15,"Критический",IF(R133&gt;=9,"Высокий",IF(R133&gt;=5,"Средний",IF(R133&gt;=2,"Низкий","Отложить")))))</x:f>
      </x:c>
      <x:c r="T133" s="34"/>
      <x:c r="U133" s="34"/>
    </x:row>
    <x:row r="134" ht="34" customHeight="1">
      <x:c r="A134" s="34"/>
      <x:c r="B134" s="34"/>
      <x:c r="C134" s="34"/>
      <x:c r="D134" s="34"/>
      <x:c r="E134" s="34"/>
      <x:c r="F134" s="34"/>
      <x:c r="G134" s="34"/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52" t="str">
        <x:f>IF(A134="","",IFERROR(N134*O134*P134*Q134/20,0))</x:f>
      </x:c>
      <x:c r="S134" s="54" t="str">
        <x:f>IF(R134="","",IF(R134&gt;=15,"Критический",IF(R134&gt;=9,"Высокий",IF(R134&gt;=5,"Средний",IF(R134&gt;=2,"Низкий","Отложить")))))</x:f>
      </x:c>
      <x:c r="T134" s="34"/>
      <x:c r="U134" s="34"/>
    </x:row>
    <x:row r="135" ht="34" customHeight="1">
      <x:c r="A135" s="34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  <x:c r="L135" s="34"/>
      <x:c r="M135" s="34"/>
      <x:c r="N135" s="34"/>
      <x:c r="O135" s="34"/>
      <x:c r="P135" s="34"/>
      <x:c r="Q135" s="34"/>
      <x:c r="R135" s="52" t="str">
        <x:f>IF(A135="","",IFERROR(N135*O135*P135*Q135/20,0))</x:f>
      </x:c>
      <x:c r="S135" s="54" t="str">
        <x:f>IF(R135="","",IF(R135&gt;=15,"Критический",IF(R135&gt;=9,"Высокий",IF(R135&gt;=5,"Средний",IF(R135&gt;=2,"Низкий","Отложить")))))</x:f>
      </x:c>
      <x:c r="T135" s="34"/>
      <x:c r="U135" s="34"/>
    </x:row>
    <x:row r="136" ht="34" customHeight="1">
      <x:c r="A136" s="34"/>
      <x:c r="B136" s="34"/>
      <x:c r="C136" s="34"/>
      <x:c r="D136" s="34"/>
      <x:c r="E136" s="34"/>
      <x:c r="F136" s="34"/>
      <x:c r="G136" s="34"/>
      <x:c r="H136" s="34"/>
      <x:c r="I136" s="34"/>
      <x:c r="J136" s="34"/>
      <x:c r="K136" s="34"/>
      <x:c r="L136" s="34"/>
      <x:c r="M136" s="34"/>
      <x:c r="N136" s="34"/>
      <x:c r="O136" s="34"/>
      <x:c r="P136" s="34"/>
      <x:c r="Q136" s="34"/>
      <x:c r="R136" s="52" t="str">
        <x:f>IF(A136="","",IFERROR(N136*O136*P136*Q136/20,0))</x:f>
      </x:c>
      <x:c r="S136" s="54" t="str">
        <x:f>IF(R136="","",IF(R136&gt;=15,"Критический",IF(R136&gt;=9,"Высокий",IF(R136&gt;=5,"Средний",IF(R136&gt;=2,"Низкий","Отложить")))))</x:f>
      </x:c>
      <x:c r="T136" s="34"/>
      <x:c r="U136" s="34"/>
    </x:row>
    <x:row r="137" ht="34" customHeight="1">
      <x:c r="A137" s="34"/>
      <x:c r="B137" s="34"/>
      <x:c r="C137" s="34"/>
      <x:c r="D137" s="34"/>
      <x:c r="E137" s="34"/>
      <x:c r="F137" s="34"/>
      <x:c r="G137" s="34"/>
      <x:c r="H137" s="34"/>
      <x:c r="I137" s="34"/>
      <x:c r="J137" s="34"/>
      <x:c r="K137" s="34"/>
      <x:c r="L137" s="34"/>
      <x:c r="M137" s="34"/>
      <x:c r="N137" s="34"/>
      <x:c r="O137" s="34"/>
      <x:c r="P137" s="34"/>
      <x:c r="Q137" s="34"/>
      <x:c r="R137" s="52" t="str">
        <x:f>IF(A137="","",IFERROR(N137*O137*P137*Q137/20,0))</x:f>
      </x:c>
      <x:c r="S137" s="54" t="str">
        <x:f>IF(R137="","",IF(R137&gt;=15,"Критический",IF(R137&gt;=9,"Высокий",IF(R137&gt;=5,"Средний",IF(R137&gt;=2,"Низкий","Отложить")))))</x:f>
      </x:c>
      <x:c r="T137" s="34"/>
      <x:c r="U137" s="34"/>
    </x:row>
    <x:row r="138" ht="34" customHeight="1">
      <x:c r="A138" s="34"/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  <x:c r="Q138" s="34"/>
      <x:c r="R138" s="52" t="str">
        <x:f>IF(A138="","",IFERROR(N138*O138*P138*Q138/20,0))</x:f>
      </x:c>
      <x:c r="S138" s="54" t="str">
        <x:f>IF(R138="","",IF(R138&gt;=15,"Критический",IF(R138&gt;=9,"Высокий",IF(R138&gt;=5,"Средний",IF(R138&gt;=2,"Низкий","Отложить")))))</x:f>
      </x:c>
      <x:c r="T138" s="34"/>
      <x:c r="U138" s="34"/>
    </x:row>
    <x:row r="139" ht="34" customHeight="1">
      <x:c r="A139" s="34"/>
      <x:c r="B139" s="34"/>
      <x:c r="C139" s="34"/>
      <x:c r="D139" s="34"/>
      <x:c r="E139" s="34"/>
      <x:c r="F139" s="34"/>
      <x:c r="G139" s="34"/>
      <x:c r="H139" s="34"/>
      <x:c r="I139" s="34"/>
      <x:c r="J139" s="34"/>
      <x:c r="K139" s="34"/>
      <x:c r="L139" s="34"/>
      <x:c r="M139" s="34"/>
      <x:c r="N139" s="34"/>
      <x:c r="O139" s="34"/>
      <x:c r="P139" s="34"/>
      <x:c r="Q139" s="34"/>
      <x:c r="R139" s="52" t="str">
        <x:f>IF(A139="","",IFERROR(N139*O139*P139*Q139/20,0))</x:f>
      </x:c>
      <x:c r="S139" s="54" t="str">
        <x:f>IF(R139="","",IF(R139&gt;=15,"Критический",IF(R139&gt;=9,"Высокий",IF(R139&gt;=5,"Средний",IF(R139&gt;=2,"Низкий","Отложить")))))</x:f>
      </x:c>
      <x:c r="T139" s="34"/>
      <x:c r="U139" s="34"/>
    </x:row>
    <x:row r="140" ht="34" customHeight="1">
      <x:c r="A140" s="34"/>
      <x:c r="B140" s="34"/>
      <x:c r="C140" s="34"/>
      <x:c r="D140" s="34"/>
      <x:c r="E140" s="34"/>
      <x:c r="F140" s="34"/>
      <x:c r="G140" s="34"/>
      <x:c r="H140" s="34"/>
      <x:c r="I140" s="34"/>
      <x:c r="J140" s="34"/>
      <x:c r="K140" s="34"/>
      <x:c r="L140" s="34"/>
      <x:c r="M140" s="34"/>
      <x:c r="N140" s="34"/>
      <x:c r="O140" s="34"/>
      <x:c r="P140" s="34"/>
      <x:c r="Q140" s="34"/>
      <x:c r="R140" s="52" t="str">
        <x:f>IF(A140="","",IFERROR(N140*O140*P140*Q140/20,0))</x:f>
      </x:c>
      <x:c r="S140" s="54" t="str">
        <x:f>IF(R140="","",IF(R140&gt;=15,"Критический",IF(R140&gt;=9,"Высокий",IF(R140&gt;=5,"Средний",IF(R140&gt;=2,"Низкий","Отложить")))))</x:f>
      </x:c>
      <x:c r="T140" s="34"/>
      <x:c r="U140" s="34"/>
    </x:row>
    <x:row r="141" ht="34" customHeight="1">
      <x:c r="A141" s="34"/>
      <x:c r="B141" s="34"/>
      <x:c r="C141" s="34"/>
      <x:c r="D141" s="34"/>
      <x:c r="E141" s="34"/>
      <x:c r="F141" s="34"/>
      <x:c r="G141" s="34"/>
      <x:c r="H141" s="34"/>
      <x:c r="I141" s="34"/>
      <x:c r="J141" s="34"/>
      <x:c r="K141" s="34"/>
      <x:c r="L141" s="34"/>
      <x:c r="M141" s="34"/>
      <x:c r="N141" s="34"/>
      <x:c r="O141" s="34"/>
      <x:c r="P141" s="34"/>
      <x:c r="Q141" s="34"/>
      <x:c r="R141" s="52" t="str">
        <x:f>IF(A141="","",IFERROR(N141*O141*P141*Q141/20,0))</x:f>
      </x:c>
      <x:c r="S141" s="54" t="str">
        <x:f>IF(R141="","",IF(R141&gt;=15,"Критический",IF(R141&gt;=9,"Высокий",IF(R141&gt;=5,"Средний",IF(R141&gt;=2,"Низкий","Отложить")))))</x:f>
      </x:c>
      <x:c r="T141" s="34"/>
      <x:c r="U141" s="34"/>
    </x:row>
    <x:row r="142" ht="34" customHeight="1">
      <x:c r="A142" s="34"/>
      <x:c r="B142" s="34"/>
      <x:c r="C142" s="34"/>
      <x:c r="D142" s="34"/>
      <x:c r="E142" s="34"/>
      <x:c r="F142" s="34"/>
      <x:c r="G142" s="34"/>
      <x:c r="H142" s="34"/>
      <x:c r="I142" s="34"/>
      <x:c r="J142" s="34"/>
      <x:c r="K142" s="34"/>
      <x:c r="L142" s="34"/>
      <x:c r="M142" s="34"/>
      <x:c r="N142" s="34"/>
      <x:c r="O142" s="34"/>
      <x:c r="P142" s="34"/>
      <x:c r="Q142" s="34"/>
      <x:c r="R142" s="52" t="str">
        <x:f>IF(A142="","",IFERROR(N142*O142*P142*Q142/20,0))</x:f>
      </x:c>
      <x:c r="S142" s="54" t="str">
        <x:f>IF(R142="","",IF(R142&gt;=15,"Критический",IF(R142&gt;=9,"Высокий",IF(R142&gt;=5,"Средний",IF(R142&gt;=2,"Низкий","Отложить")))))</x:f>
      </x:c>
      <x:c r="T142" s="34"/>
      <x:c r="U142" s="34"/>
    </x:row>
    <x:row r="143" ht="34" customHeight="1">
      <x:c r="A143" s="34"/>
      <x:c r="B143" s="34"/>
      <x:c r="C143" s="34"/>
      <x:c r="D143" s="34"/>
      <x:c r="E143" s="34"/>
      <x:c r="F143" s="34"/>
      <x:c r="G143" s="34"/>
      <x:c r="H143" s="34"/>
      <x:c r="I143" s="34"/>
      <x:c r="J143" s="34"/>
      <x:c r="K143" s="34"/>
      <x:c r="L143" s="34"/>
      <x:c r="M143" s="34"/>
      <x:c r="N143" s="34"/>
      <x:c r="O143" s="34"/>
      <x:c r="P143" s="34"/>
      <x:c r="Q143" s="34"/>
      <x:c r="R143" s="52" t="str">
        <x:f>IF(A143="","",IFERROR(N143*O143*P143*Q143/20,0))</x:f>
      </x:c>
      <x:c r="S143" s="54" t="str">
        <x:f>IF(R143="","",IF(R143&gt;=15,"Критический",IF(R143&gt;=9,"Высокий",IF(R143&gt;=5,"Средний",IF(R143&gt;=2,"Низкий","Отложить")))))</x:f>
      </x:c>
      <x:c r="T143" s="34"/>
      <x:c r="U143" s="34"/>
    </x:row>
    <x:row r="144" ht="34" customHeight="1">
      <x:c r="A144" s="34"/>
      <x:c r="B144" s="34"/>
      <x:c r="C144" s="34"/>
      <x:c r="D144" s="34"/>
      <x:c r="E144" s="34"/>
      <x:c r="F144" s="34"/>
      <x:c r="G144" s="34"/>
      <x:c r="H144" s="34"/>
      <x:c r="I144" s="34"/>
      <x:c r="J144" s="34"/>
      <x:c r="K144" s="34"/>
      <x:c r="L144" s="34"/>
      <x:c r="M144" s="34"/>
      <x:c r="N144" s="34"/>
      <x:c r="O144" s="34"/>
      <x:c r="P144" s="34"/>
      <x:c r="Q144" s="34"/>
      <x:c r="R144" s="52" t="str">
        <x:f>IF(A144="","",IFERROR(N144*O144*P144*Q144/20,0))</x:f>
      </x:c>
      <x:c r="S144" s="54" t="str">
        <x:f>IF(R144="","",IF(R144&gt;=15,"Критический",IF(R144&gt;=9,"Высокий",IF(R144&gt;=5,"Средний",IF(R144&gt;=2,"Низкий","Отложить")))))</x:f>
      </x:c>
      <x:c r="T144" s="34"/>
      <x:c r="U144" s="34"/>
    </x:row>
    <x:row r="145" ht="34" customHeight="1">
      <x:c r="A145" s="34"/>
      <x:c r="B145" s="34"/>
      <x:c r="C145" s="34"/>
      <x:c r="D145" s="34"/>
      <x:c r="E145" s="34"/>
      <x:c r="F145" s="34"/>
      <x:c r="G145" s="34"/>
      <x:c r="H145" s="34"/>
      <x:c r="I145" s="34"/>
      <x:c r="J145" s="34"/>
      <x:c r="K145" s="34"/>
      <x:c r="L145" s="34"/>
      <x:c r="M145" s="34"/>
      <x:c r="N145" s="34"/>
      <x:c r="O145" s="34"/>
      <x:c r="P145" s="34"/>
      <x:c r="Q145" s="34"/>
      <x:c r="R145" s="52" t="str">
        <x:f>IF(A145="","",IFERROR(N145*O145*P145*Q145/20,0))</x:f>
      </x:c>
      <x:c r="S145" s="54" t="str">
        <x:f>IF(R145="","",IF(R145&gt;=15,"Критический",IF(R145&gt;=9,"Высокий",IF(R145&gt;=5,"Средний",IF(R145&gt;=2,"Низкий","Отложить")))))</x:f>
      </x:c>
      <x:c r="T145" s="34"/>
      <x:c r="U145" s="34"/>
    </x:row>
    <x:row r="146" ht="34" customHeight="1">
      <x:c r="A146" s="34"/>
      <x:c r="B146" s="34"/>
      <x:c r="C146" s="34"/>
      <x:c r="D146" s="34"/>
      <x:c r="E146" s="34"/>
      <x:c r="F146" s="34"/>
      <x:c r="G146" s="34"/>
      <x:c r="H146" s="34"/>
      <x:c r="I146" s="34"/>
      <x:c r="J146" s="34"/>
      <x:c r="K146" s="34"/>
      <x:c r="L146" s="34"/>
      <x:c r="M146" s="34"/>
      <x:c r="N146" s="34"/>
      <x:c r="O146" s="34"/>
      <x:c r="P146" s="34"/>
      <x:c r="Q146" s="34"/>
      <x:c r="R146" s="52" t="str">
        <x:f>IF(A146="","",IFERROR(N146*O146*P146*Q146/20,0))</x:f>
      </x:c>
      <x:c r="S146" s="54" t="str">
        <x:f>IF(R146="","",IF(R146&gt;=15,"Критический",IF(R146&gt;=9,"Высокий",IF(R146&gt;=5,"Средний",IF(R146&gt;=2,"Низкий","Отложить")))))</x:f>
      </x:c>
      <x:c r="T146" s="34"/>
      <x:c r="U146" s="34"/>
    </x:row>
    <x:row r="147" ht="34" customHeight="1">
      <x:c r="A147" s="34"/>
      <x:c r="B147" s="34"/>
      <x:c r="C147" s="34"/>
      <x:c r="D147" s="34"/>
      <x:c r="E147" s="34"/>
      <x:c r="F147" s="34"/>
      <x:c r="G147" s="34"/>
      <x:c r="H147" s="34"/>
      <x:c r="I147" s="34"/>
      <x:c r="J147" s="34"/>
      <x:c r="K147" s="34"/>
      <x:c r="L147" s="34"/>
      <x:c r="M147" s="34"/>
      <x:c r="N147" s="34"/>
      <x:c r="O147" s="34"/>
      <x:c r="P147" s="34"/>
      <x:c r="Q147" s="34"/>
      <x:c r="R147" s="52" t="str">
        <x:f>IF(A147="","",IFERROR(N147*O147*P147*Q147/20,0))</x:f>
      </x:c>
      <x:c r="S147" s="54" t="str">
        <x:f>IF(R147="","",IF(R147&gt;=15,"Критический",IF(R147&gt;=9,"Высокий",IF(R147&gt;=5,"Средний",IF(R147&gt;=2,"Низкий","Отложить")))))</x:f>
      </x:c>
      <x:c r="T147" s="34"/>
      <x:c r="U147" s="34"/>
    </x:row>
    <x:row r="148" ht="34" customHeight="1">
      <x:c r="A148" s="34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  <x:c r="L148" s="34"/>
      <x:c r="M148" s="34"/>
      <x:c r="N148" s="34"/>
      <x:c r="O148" s="34"/>
      <x:c r="P148" s="34"/>
      <x:c r="Q148" s="34"/>
      <x:c r="R148" s="52" t="str">
        <x:f>IF(A148="","",IFERROR(N148*O148*P148*Q148/20,0))</x:f>
      </x:c>
      <x:c r="S148" s="54" t="str">
        <x:f>IF(R148="","",IF(R148&gt;=15,"Критический",IF(R148&gt;=9,"Высокий",IF(R148&gt;=5,"Средний",IF(R148&gt;=2,"Низкий","Отложить")))))</x:f>
      </x:c>
      <x:c r="T148" s="34"/>
      <x:c r="U148" s="34"/>
    </x:row>
    <x:row r="149" ht="34" customHeight="1">
      <x:c r="A149" s="34"/>
      <x:c r="B149" s="34"/>
      <x:c r="C149" s="34"/>
      <x:c r="D149" s="34"/>
      <x:c r="E149" s="34"/>
      <x:c r="F149" s="34"/>
      <x:c r="G149" s="34"/>
      <x:c r="H149" s="34"/>
      <x:c r="I149" s="34"/>
      <x:c r="J149" s="34"/>
      <x:c r="K149" s="34"/>
      <x:c r="L149" s="34"/>
      <x:c r="M149" s="34"/>
      <x:c r="N149" s="34"/>
      <x:c r="O149" s="34"/>
      <x:c r="P149" s="34"/>
      <x:c r="Q149" s="34"/>
      <x:c r="R149" s="52" t="str">
        <x:f>IF(A149="","",IFERROR(N149*O149*P149*Q149/20,0))</x:f>
      </x:c>
      <x:c r="S149" s="54" t="str">
        <x:f>IF(R149="","",IF(R149&gt;=15,"Критический",IF(R149&gt;=9,"Высокий",IF(R149&gt;=5,"Средний",IF(R149&gt;=2,"Низкий","Отложить")))))</x:f>
      </x:c>
      <x:c r="T149" s="34"/>
      <x:c r="U149" s="34"/>
    </x:row>
    <x:row r="150" ht="34" customHeight="1">
      <x:c r="A150" s="34"/>
      <x:c r="B150" s="34"/>
      <x:c r="C150" s="34"/>
      <x:c r="D150" s="34"/>
      <x:c r="E150" s="34"/>
      <x:c r="F150" s="34"/>
      <x:c r="G150" s="34"/>
      <x:c r="H150" s="34"/>
      <x:c r="I150" s="34"/>
      <x:c r="J150" s="34"/>
      <x:c r="K150" s="34"/>
      <x:c r="L150" s="34"/>
      <x:c r="M150" s="34"/>
      <x:c r="N150" s="34"/>
      <x:c r="O150" s="34"/>
      <x:c r="P150" s="34"/>
      <x:c r="Q150" s="34"/>
      <x:c r="R150" s="52" t="str">
        <x:f>IF(A150="","",IFERROR(N150*O150*P150*Q150/20,0))</x:f>
      </x:c>
      <x:c r="S150" s="54" t="str">
        <x:f>IF(R150="","",IF(R150&gt;=15,"Критический",IF(R150&gt;=9,"Высокий",IF(R150&gt;=5,"Средний",IF(R150&gt;=2,"Низкий","Отложить")))))</x:f>
      </x:c>
      <x:c r="T150" s="34"/>
      <x:c r="U150" s="34"/>
    </x:row>
    <x:row r="151" ht="34" customHeight="1">
      <x:c r="A151" s="34"/>
      <x:c r="B151" s="34"/>
      <x:c r="C151" s="34"/>
      <x:c r="D151" s="34"/>
      <x:c r="E151" s="34"/>
      <x:c r="F151" s="34"/>
      <x:c r="G151" s="34"/>
      <x:c r="H151" s="34"/>
      <x:c r="I151" s="34"/>
      <x:c r="J151" s="34"/>
      <x:c r="K151" s="34"/>
      <x:c r="L151" s="34"/>
      <x:c r="M151" s="34"/>
      <x:c r="N151" s="34"/>
      <x:c r="O151" s="34"/>
      <x:c r="P151" s="34"/>
      <x:c r="Q151" s="34"/>
      <x:c r="R151" s="52" t="str">
        <x:f>IF(A151="","",IFERROR(N151*O151*P151*Q151/20,0))</x:f>
      </x:c>
      <x:c r="S151" s="54" t="str">
        <x:f>IF(R151="","",IF(R151&gt;=15,"Критический",IF(R151&gt;=9,"Высокий",IF(R151&gt;=5,"Средний",IF(R151&gt;=2,"Низкий","Отложить")))))</x:f>
      </x:c>
      <x:c r="T151" s="34"/>
      <x:c r="U151" s="34"/>
    </x:row>
    <x:row r="152" ht="34" customHeight="1">
      <x:c r="A152" s="34"/>
      <x:c r="B152" s="34"/>
      <x:c r="C152" s="34"/>
      <x:c r="D152" s="34"/>
      <x:c r="E152" s="34"/>
      <x:c r="F152" s="34"/>
      <x:c r="G152" s="34"/>
      <x:c r="H152" s="34"/>
      <x:c r="I152" s="34"/>
      <x:c r="J152" s="34"/>
      <x:c r="K152" s="34"/>
      <x:c r="L152" s="34"/>
      <x:c r="M152" s="34"/>
      <x:c r="N152" s="34"/>
      <x:c r="O152" s="34"/>
      <x:c r="P152" s="34"/>
      <x:c r="Q152" s="34"/>
      <x:c r="R152" s="52" t="str">
        <x:f>IF(A152="","",IFERROR(N152*O152*P152*Q152/20,0))</x:f>
      </x:c>
      <x:c r="S152" s="54" t="str">
        <x:f>IF(R152="","",IF(R152&gt;=15,"Критический",IF(R152&gt;=9,"Высокий",IF(R152&gt;=5,"Средний",IF(R152&gt;=2,"Низкий","Отложить")))))</x:f>
      </x:c>
      <x:c r="T152" s="34"/>
      <x:c r="U152" s="34"/>
    </x:row>
    <x:row r="153" ht="34" customHeight="1">
      <x:c r="A153" s="34"/>
      <x:c r="B153" s="34"/>
      <x:c r="C153" s="34"/>
      <x:c r="D153" s="34"/>
      <x:c r="E153" s="34"/>
      <x:c r="F153" s="34"/>
      <x:c r="G153" s="34"/>
      <x:c r="H153" s="34"/>
      <x:c r="I153" s="34"/>
      <x:c r="J153" s="34"/>
      <x:c r="K153" s="34"/>
      <x:c r="L153" s="34"/>
      <x:c r="M153" s="34"/>
      <x:c r="N153" s="34"/>
      <x:c r="O153" s="34"/>
      <x:c r="P153" s="34"/>
      <x:c r="Q153" s="34"/>
      <x:c r="R153" s="52" t="str">
        <x:f>IF(A153="","",IFERROR(N153*O153*P153*Q153/20,0))</x:f>
      </x:c>
      <x:c r="S153" s="54" t="str">
        <x:f>IF(R153="","",IF(R153&gt;=15,"Критический",IF(R153&gt;=9,"Высокий",IF(R153&gt;=5,"Средний",IF(R153&gt;=2,"Низкий","Отложить")))))</x:f>
      </x:c>
      <x:c r="T153" s="34"/>
      <x:c r="U153" s="34"/>
    </x:row>
    <x:row r="154" ht="34" customHeight="1">
      <x:c r="A154" s="34"/>
      <x:c r="B154" s="34"/>
      <x:c r="C154" s="34"/>
      <x:c r="D154" s="34"/>
      <x:c r="E154" s="34"/>
      <x:c r="F154" s="34"/>
      <x:c r="G154" s="34"/>
      <x:c r="H154" s="34"/>
      <x:c r="I154" s="34"/>
      <x:c r="J154" s="34"/>
      <x:c r="K154" s="34"/>
      <x:c r="L154" s="34"/>
      <x:c r="M154" s="34"/>
      <x:c r="N154" s="34"/>
      <x:c r="O154" s="34"/>
      <x:c r="P154" s="34"/>
      <x:c r="Q154" s="34"/>
      <x:c r="R154" s="52" t="str">
        <x:f>IF(A154="","",IFERROR(N154*O154*P154*Q154/20,0))</x:f>
      </x:c>
      <x:c r="S154" s="54" t="str">
        <x:f>IF(R154="","",IF(R154&gt;=15,"Критический",IF(R154&gt;=9,"Высокий",IF(R154&gt;=5,"Средний",IF(R154&gt;=2,"Низкий","Отложить")))))</x:f>
      </x:c>
      <x:c r="T154" s="34"/>
      <x:c r="U154" s="34"/>
    </x:row>
    <x:row r="155" ht="34" customHeight="1">
      <x:c r="A155" s="34"/>
      <x:c r="B155" s="34"/>
      <x:c r="C155" s="34"/>
      <x:c r="D155" s="34"/>
      <x:c r="E155" s="34"/>
      <x:c r="F155" s="34"/>
      <x:c r="G155" s="34"/>
      <x:c r="H155" s="34"/>
      <x:c r="I155" s="34"/>
      <x:c r="J155" s="34"/>
      <x:c r="K155" s="34"/>
      <x:c r="L155" s="34"/>
      <x:c r="M155" s="34"/>
      <x:c r="N155" s="34"/>
      <x:c r="O155" s="34"/>
      <x:c r="P155" s="34"/>
      <x:c r="Q155" s="34"/>
      <x:c r="R155" s="52" t="str">
        <x:f>IF(A155="","",IFERROR(N155*O155*P155*Q155/20,0))</x:f>
      </x:c>
      <x:c r="S155" s="54" t="str">
        <x:f>IF(R155="","",IF(R155&gt;=15,"Критический",IF(R155&gt;=9,"Высокий",IF(R155&gt;=5,"Средний",IF(R155&gt;=2,"Низкий","Отложить")))))</x:f>
      </x:c>
      <x:c r="T155" s="34"/>
      <x:c r="U155" s="34"/>
    </x:row>
    <x:row r="156" ht="34" customHeight="1">
      <x:c r="A156" s="34"/>
      <x:c r="B156" s="34"/>
      <x:c r="C156" s="34"/>
      <x:c r="D156" s="34"/>
      <x:c r="E156" s="34"/>
      <x:c r="F156" s="34"/>
      <x:c r="G156" s="34"/>
      <x:c r="H156" s="34"/>
      <x:c r="I156" s="34"/>
      <x:c r="J156" s="34"/>
      <x:c r="K156" s="34"/>
      <x:c r="L156" s="34"/>
      <x:c r="M156" s="34"/>
      <x:c r="N156" s="34"/>
      <x:c r="O156" s="34"/>
      <x:c r="P156" s="34"/>
      <x:c r="Q156" s="34"/>
      <x:c r="R156" s="52" t="str">
        <x:f>IF(A156="","",IFERROR(N156*O156*P156*Q156/20,0))</x:f>
      </x:c>
      <x:c r="S156" s="54" t="str">
        <x:f>IF(R156="","",IF(R156&gt;=15,"Критический",IF(R156&gt;=9,"Высокий",IF(R156&gt;=5,"Средний",IF(R156&gt;=2,"Низкий","Отложить")))))</x:f>
      </x:c>
      <x:c r="T156" s="34"/>
      <x:c r="U156" s="34"/>
    </x:row>
    <x:row r="157" ht="34" customHeight="1">
      <x:c r="A157" s="34"/>
      <x:c r="B157" s="34"/>
      <x:c r="C157" s="34"/>
      <x:c r="D157" s="34"/>
      <x:c r="E157" s="34"/>
      <x:c r="F157" s="34"/>
      <x:c r="G157" s="34"/>
      <x:c r="H157" s="34"/>
      <x:c r="I157" s="34"/>
      <x:c r="J157" s="34"/>
      <x:c r="K157" s="34"/>
      <x:c r="L157" s="34"/>
      <x:c r="M157" s="34"/>
      <x:c r="N157" s="34"/>
      <x:c r="O157" s="34"/>
      <x:c r="P157" s="34"/>
      <x:c r="Q157" s="34"/>
      <x:c r="R157" s="52" t="str">
        <x:f>IF(A157="","",IFERROR(N157*O157*P157*Q157/20,0))</x:f>
      </x:c>
      <x:c r="S157" s="54" t="str">
        <x:f>IF(R157="","",IF(R157&gt;=15,"Критический",IF(R157&gt;=9,"Высокий",IF(R157&gt;=5,"Средний",IF(R157&gt;=2,"Низкий","Отложить")))))</x:f>
      </x:c>
      <x:c r="T157" s="34"/>
      <x:c r="U157" s="34"/>
    </x:row>
    <x:row r="158" ht="34" customHeight="1">
      <x:c r="A158" s="34"/>
      <x:c r="B158" s="34"/>
      <x:c r="C158" s="34"/>
      <x:c r="D158" s="34"/>
      <x:c r="E158" s="34"/>
      <x:c r="F158" s="34"/>
      <x:c r="G158" s="34"/>
      <x:c r="H158" s="34"/>
      <x:c r="I158" s="34"/>
      <x:c r="J158" s="34"/>
      <x:c r="K158" s="34"/>
      <x:c r="L158" s="34"/>
      <x:c r="M158" s="34"/>
      <x:c r="N158" s="34"/>
      <x:c r="O158" s="34"/>
      <x:c r="P158" s="34"/>
      <x:c r="Q158" s="34"/>
      <x:c r="R158" s="52" t="str">
        <x:f>IF(A158="","",IFERROR(N158*O158*P158*Q158/20,0))</x:f>
      </x:c>
      <x:c r="S158" s="54" t="str">
        <x:f>IF(R158="","",IF(R158&gt;=15,"Критический",IF(R158&gt;=9,"Высокий",IF(R158&gt;=5,"Средний",IF(R158&gt;=2,"Низкий","Отложить")))))</x:f>
      </x:c>
      <x:c r="T158" s="34"/>
      <x:c r="U158" s="34"/>
    </x:row>
    <x:row r="159" ht="34" customHeight="1">
      <x:c r="A159" s="34"/>
      <x:c r="B159" s="34"/>
      <x:c r="C159" s="34"/>
      <x:c r="D159" s="34"/>
      <x:c r="E159" s="34"/>
      <x:c r="F159" s="34"/>
      <x:c r="G159" s="34"/>
      <x:c r="H159" s="34"/>
      <x:c r="I159" s="34"/>
      <x:c r="J159" s="34"/>
      <x:c r="K159" s="34"/>
      <x:c r="L159" s="34"/>
      <x:c r="M159" s="34"/>
      <x:c r="N159" s="34"/>
      <x:c r="O159" s="34"/>
      <x:c r="P159" s="34"/>
      <x:c r="Q159" s="34"/>
      <x:c r="R159" s="52" t="str">
        <x:f>IF(A159="","",IFERROR(N159*O159*P159*Q159/20,0))</x:f>
      </x:c>
      <x:c r="S159" s="54" t="str">
        <x:f>IF(R159="","",IF(R159&gt;=15,"Критический",IF(R159&gt;=9,"Высокий",IF(R159&gt;=5,"Средний",IF(R159&gt;=2,"Низкий","Отложить")))))</x:f>
      </x:c>
      <x:c r="T159" s="34"/>
      <x:c r="U159" s="34"/>
    </x:row>
    <x:row r="160" ht="34" customHeight="1">
      <x:c r="A160" s="34"/>
      <x:c r="B160" s="34"/>
      <x:c r="C160" s="34"/>
      <x:c r="D160" s="34"/>
      <x:c r="E160" s="34"/>
      <x:c r="F160" s="34"/>
      <x:c r="G160" s="34"/>
      <x:c r="H160" s="34"/>
      <x:c r="I160" s="34"/>
      <x:c r="J160" s="34"/>
      <x:c r="K160" s="34"/>
      <x:c r="L160" s="34"/>
      <x:c r="M160" s="34"/>
      <x:c r="N160" s="34"/>
      <x:c r="O160" s="34"/>
      <x:c r="P160" s="34"/>
      <x:c r="Q160" s="34"/>
      <x:c r="R160" s="52" t="str">
        <x:f>IF(A160="","",IFERROR(N160*O160*P160*Q160/20,0))</x:f>
      </x:c>
      <x:c r="S160" s="54" t="str">
        <x:f>IF(R160="","",IF(R160&gt;=15,"Критический",IF(R160&gt;=9,"Высокий",IF(R160&gt;=5,"Средний",IF(R160&gt;=2,"Низкий","Отложить")))))</x:f>
      </x:c>
      <x:c r="T160" s="34"/>
      <x:c r="U160" s="34"/>
    </x:row>
    <x:row r="161" ht="34" customHeight="1">
      <x:c r="A161" s="34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34"/>
      <x:c r="L161" s="34"/>
      <x:c r="M161" s="34"/>
      <x:c r="N161" s="34"/>
      <x:c r="O161" s="34"/>
      <x:c r="P161" s="34"/>
      <x:c r="Q161" s="34"/>
      <x:c r="R161" s="52" t="str">
        <x:f>IF(A161="","",IFERROR(N161*O161*P161*Q161/20,0))</x:f>
      </x:c>
      <x:c r="S161" s="54" t="str">
        <x:f>IF(R161="","",IF(R161&gt;=15,"Критический",IF(R161&gt;=9,"Высокий",IF(R161&gt;=5,"Средний",IF(R161&gt;=2,"Низкий","Отложить")))))</x:f>
      </x:c>
      <x:c r="T161" s="34"/>
      <x:c r="U161" s="34"/>
    </x:row>
    <x:row r="162" ht="34" customHeight="1">
      <x:c r="A162" s="34"/>
      <x:c r="B162" s="34"/>
      <x:c r="C162" s="34"/>
      <x:c r="D162" s="34"/>
      <x:c r="E162" s="34"/>
      <x:c r="F162" s="34"/>
      <x:c r="G162" s="34"/>
      <x:c r="H162" s="34"/>
      <x:c r="I162" s="34"/>
      <x:c r="J162" s="34"/>
      <x:c r="K162" s="34"/>
      <x:c r="L162" s="34"/>
      <x:c r="M162" s="34"/>
      <x:c r="N162" s="34"/>
      <x:c r="O162" s="34"/>
      <x:c r="P162" s="34"/>
      <x:c r="Q162" s="34"/>
      <x:c r="R162" s="52" t="str">
        <x:f>IF(A162="","",IFERROR(N162*O162*P162*Q162/20,0))</x:f>
      </x:c>
      <x:c r="S162" s="54" t="str">
        <x:f>IF(R162="","",IF(R162&gt;=15,"Критический",IF(R162&gt;=9,"Высокий",IF(R162&gt;=5,"Средний",IF(R162&gt;=2,"Низкий","Отложить")))))</x:f>
      </x:c>
      <x:c r="T162" s="34"/>
      <x:c r="U162" s="34"/>
    </x:row>
    <x:row r="163" ht="34" customHeight="1">
      <x:c r="A163" s="34"/>
      <x:c r="B163" s="34"/>
      <x:c r="C163" s="34"/>
      <x:c r="D163" s="34"/>
      <x:c r="E163" s="34"/>
      <x:c r="F163" s="34"/>
      <x:c r="G163" s="34"/>
      <x:c r="H163" s="34"/>
      <x:c r="I163" s="34"/>
      <x:c r="J163" s="34"/>
      <x:c r="K163" s="34"/>
      <x:c r="L163" s="34"/>
      <x:c r="M163" s="34"/>
      <x:c r="N163" s="34"/>
      <x:c r="O163" s="34"/>
      <x:c r="P163" s="34"/>
      <x:c r="Q163" s="34"/>
      <x:c r="R163" s="52" t="str">
        <x:f>IF(A163="","",IFERROR(N163*O163*P163*Q163/20,0))</x:f>
      </x:c>
      <x:c r="S163" s="54" t="str">
        <x:f>IF(R163="","",IF(R163&gt;=15,"Критический",IF(R163&gt;=9,"Высокий",IF(R163&gt;=5,"Средний",IF(R163&gt;=2,"Низкий","Отложить")))))</x:f>
      </x:c>
      <x:c r="T163" s="34"/>
      <x:c r="U163" s="34"/>
    </x:row>
    <x:row r="164" ht="34" customHeight="1">
      <x:c r="A164" s="34"/>
      <x:c r="B164" s="34"/>
      <x:c r="C164" s="34"/>
      <x:c r="D164" s="34"/>
      <x:c r="E164" s="34"/>
      <x:c r="F164" s="34"/>
      <x:c r="G164" s="34"/>
      <x:c r="H164" s="34"/>
      <x:c r="I164" s="34"/>
      <x:c r="J164" s="34"/>
      <x:c r="K164" s="34"/>
      <x:c r="L164" s="34"/>
      <x:c r="M164" s="34"/>
      <x:c r="N164" s="34"/>
      <x:c r="O164" s="34"/>
      <x:c r="P164" s="34"/>
      <x:c r="Q164" s="34"/>
      <x:c r="R164" s="52" t="str">
        <x:f>IF(A164="","",IFERROR(N164*O164*P164*Q164/20,0))</x:f>
      </x:c>
      <x:c r="S164" s="54" t="str">
        <x:f>IF(R164="","",IF(R164&gt;=15,"Критический",IF(R164&gt;=9,"Высокий",IF(R164&gt;=5,"Средний",IF(R164&gt;=2,"Низкий","Отложить")))))</x:f>
      </x:c>
      <x:c r="T164" s="34"/>
      <x:c r="U164" s="34"/>
    </x:row>
    <x:row r="165" ht="34" customHeight="1">
      <x:c r="A165" s="34"/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34"/>
      <x:c r="L165" s="34"/>
      <x:c r="M165" s="34"/>
      <x:c r="N165" s="34"/>
      <x:c r="O165" s="34"/>
      <x:c r="P165" s="34"/>
      <x:c r="Q165" s="34"/>
      <x:c r="R165" s="52" t="str">
        <x:f>IF(A165="","",IFERROR(N165*O165*P165*Q165/20,0))</x:f>
      </x:c>
      <x:c r="S165" s="54" t="str">
        <x:f>IF(R165="","",IF(R165&gt;=15,"Критический",IF(R165&gt;=9,"Высокий",IF(R165&gt;=5,"Средний",IF(R165&gt;=2,"Низкий","Отложить")))))</x:f>
      </x:c>
      <x:c r="T165" s="34"/>
      <x:c r="U165" s="34"/>
    </x:row>
    <x:row r="166" ht="34" customHeight="1">
      <x:c r="A166" s="34"/>
      <x:c r="B166" s="34"/>
      <x:c r="C166" s="34"/>
      <x:c r="D166" s="34"/>
      <x:c r="E166" s="34"/>
      <x:c r="F166" s="34"/>
      <x:c r="G166" s="34"/>
      <x:c r="H166" s="34"/>
      <x:c r="I166" s="34"/>
      <x:c r="J166" s="34"/>
      <x:c r="K166" s="34"/>
      <x:c r="L166" s="34"/>
      <x:c r="M166" s="34"/>
      <x:c r="N166" s="34"/>
      <x:c r="O166" s="34"/>
      <x:c r="P166" s="34"/>
      <x:c r="Q166" s="34"/>
      <x:c r="R166" s="52" t="str">
        <x:f>IF(A166="","",IFERROR(N166*O166*P166*Q166/20,0))</x:f>
      </x:c>
      <x:c r="S166" s="54" t="str">
        <x:f>IF(R166="","",IF(R166&gt;=15,"Критический",IF(R166&gt;=9,"Высокий",IF(R166&gt;=5,"Средний",IF(R166&gt;=2,"Низкий","Отложить")))))</x:f>
      </x:c>
      <x:c r="T166" s="34"/>
      <x:c r="U166" s="34"/>
    </x:row>
    <x:row r="167" ht="34" customHeight="1">
      <x:c r="A167" s="34"/>
      <x:c r="B167" s="34"/>
      <x:c r="C167" s="34"/>
      <x:c r="D167" s="34"/>
      <x:c r="E167" s="34"/>
      <x:c r="F167" s="34"/>
      <x:c r="G167" s="34"/>
      <x:c r="H167" s="34"/>
      <x:c r="I167" s="34"/>
      <x:c r="J167" s="34"/>
      <x:c r="K167" s="34"/>
      <x:c r="L167" s="34"/>
      <x:c r="M167" s="34"/>
      <x:c r="N167" s="34"/>
      <x:c r="O167" s="34"/>
      <x:c r="P167" s="34"/>
      <x:c r="Q167" s="34"/>
      <x:c r="R167" s="52" t="str">
        <x:f>IF(A167="","",IFERROR(N167*O167*P167*Q167/20,0))</x:f>
      </x:c>
      <x:c r="S167" s="54" t="str">
        <x:f>IF(R167="","",IF(R167&gt;=15,"Критический",IF(R167&gt;=9,"Высокий",IF(R167&gt;=5,"Средний",IF(R167&gt;=2,"Низкий","Отложить")))))</x:f>
      </x:c>
      <x:c r="T167" s="34"/>
      <x:c r="U167" s="34"/>
    </x:row>
    <x:row r="168" ht="34" customHeight="1">
      <x:c r="A168" s="34"/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  <x:c r="P168" s="34"/>
      <x:c r="Q168" s="34"/>
      <x:c r="R168" s="52" t="str">
        <x:f>IF(A168="","",IFERROR(N168*O168*P168*Q168/20,0))</x:f>
      </x:c>
      <x:c r="S168" s="54" t="str">
        <x:f>IF(R168="","",IF(R168&gt;=15,"Критический",IF(R168&gt;=9,"Высокий",IF(R168&gt;=5,"Средний",IF(R168&gt;=2,"Низкий","Отложить")))))</x:f>
      </x:c>
      <x:c r="T168" s="34"/>
      <x:c r="U168" s="34"/>
    </x:row>
    <x:row r="169" ht="34" customHeight="1">
      <x:c r="A169" s="34"/>
      <x:c r="B169" s="34"/>
      <x:c r="C169" s="34"/>
      <x:c r="D169" s="34"/>
      <x:c r="E169" s="34"/>
      <x:c r="F169" s="34"/>
      <x:c r="G169" s="34"/>
      <x:c r="H169" s="34"/>
      <x:c r="I169" s="34"/>
      <x:c r="J169" s="34"/>
      <x:c r="K169" s="34"/>
      <x:c r="L169" s="34"/>
      <x:c r="M169" s="34"/>
      <x:c r="N169" s="34"/>
      <x:c r="O169" s="34"/>
      <x:c r="P169" s="34"/>
      <x:c r="Q169" s="34"/>
      <x:c r="R169" s="52" t="str">
        <x:f>IF(A169="","",IFERROR(N169*O169*P169*Q169/20,0))</x:f>
      </x:c>
      <x:c r="S169" s="54" t="str">
        <x:f>IF(R169="","",IF(R169&gt;=15,"Критический",IF(R169&gt;=9,"Высокий",IF(R169&gt;=5,"Средний",IF(R169&gt;=2,"Низкий","Отложить")))))</x:f>
      </x:c>
      <x:c r="T169" s="34"/>
      <x:c r="U169" s="34"/>
    </x:row>
    <x:row r="170" ht="34" customHeight="1">
      <x:c r="A170" s="34"/>
      <x:c r="B170" s="34"/>
      <x:c r="C170" s="34"/>
      <x:c r="D170" s="34"/>
      <x:c r="E170" s="34"/>
      <x:c r="F170" s="34"/>
      <x:c r="G170" s="34"/>
      <x:c r="H170" s="34"/>
      <x:c r="I170" s="34"/>
      <x:c r="J170" s="34"/>
      <x:c r="K170" s="34"/>
      <x:c r="L170" s="34"/>
      <x:c r="M170" s="34"/>
      <x:c r="N170" s="34"/>
      <x:c r="O170" s="34"/>
      <x:c r="P170" s="34"/>
      <x:c r="Q170" s="34"/>
      <x:c r="R170" s="52" t="str">
        <x:f>IF(A170="","",IFERROR(N170*O170*P170*Q170/20,0))</x:f>
      </x:c>
      <x:c r="S170" s="54" t="str">
        <x:f>IF(R170="","",IF(R170&gt;=15,"Критический",IF(R170&gt;=9,"Высокий",IF(R170&gt;=5,"Средний",IF(R170&gt;=2,"Низкий","Отложить")))))</x:f>
      </x:c>
      <x:c r="T170" s="34"/>
      <x:c r="U170" s="34"/>
    </x:row>
    <x:row r="171" ht="34" customHeight="1">
      <x:c r="A171" s="34"/>
      <x:c r="B171" s="34"/>
      <x:c r="C171" s="34"/>
      <x:c r="D171" s="34"/>
      <x:c r="E171" s="34"/>
      <x:c r="F171" s="34"/>
      <x:c r="G171" s="34"/>
      <x:c r="H171" s="34"/>
      <x:c r="I171" s="34"/>
      <x:c r="J171" s="34"/>
      <x:c r="K171" s="34"/>
      <x:c r="L171" s="34"/>
      <x:c r="M171" s="34"/>
      <x:c r="N171" s="34"/>
      <x:c r="O171" s="34"/>
      <x:c r="P171" s="34"/>
      <x:c r="Q171" s="34"/>
      <x:c r="R171" s="52" t="str">
        <x:f>IF(A171="","",IFERROR(N171*O171*P171*Q171/20,0))</x:f>
      </x:c>
      <x:c r="S171" s="54" t="str">
        <x:f>IF(R171="","",IF(R171&gt;=15,"Критический",IF(R171&gt;=9,"Высокий",IF(R171&gt;=5,"Средний",IF(R171&gt;=2,"Низкий","Отложить")))))</x:f>
      </x:c>
      <x:c r="T171" s="34"/>
      <x:c r="U171" s="34"/>
    </x:row>
    <x:row r="172" ht="34" customHeight="1">
      <x:c r="A172" s="34"/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34"/>
      <x:c r="L172" s="34"/>
      <x:c r="M172" s="34"/>
      <x:c r="N172" s="34"/>
      <x:c r="O172" s="34"/>
      <x:c r="P172" s="34"/>
      <x:c r="Q172" s="34"/>
      <x:c r="R172" s="52" t="str">
        <x:f>IF(A172="","",IFERROR(N172*O172*P172*Q172/20,0))</x:f>
      </x:c>
      <x:c r="S172" s="54" t="str">
        <x:f>IF(R172="","",IF(R172&gt;=15,"Критический",IF(R172&gt;=9,"Высокий",IF(R172&gt;=5,"Средний",IF(R172&gt;=2,"Низкий","Отложить")))))</x:f>
      </x:c>
      <x:c r="T172" s="34"/>
      <x:c r="U172" s="34"/>
    </x:row>
    <x:row r="173" ht="34" customHeight="1">
      <x:c r="A173" s="34"/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34"/>
      <x:c r="M173" s="34"/>
      <x:c r="N173" s="34"/>
      <x:c r="O173" s="34"/>
      <x:c r="P173" s="34"/>
      <x:c r="Q173" s="34"/>
      <x:c r="R173" s="52" t="str">
        <x:f>IF(A173="","",IFERROR(N173*O173*P173*Q173/20,0))</x:f>
      </x:c>
      <x:c r="S173" s="54" t="str">
        <x:f>IF(R173="","",IF(R173&gt;=15,"Критический",IF(R173&gt;=9,"Высокий",IF(R173&gt;=5,"Средний",IF(R173&gt;=2,"Низкий","Отложить")))))</x:f>
      </x:c>
      <x:c r="T173" s="34"/>
      <x:c r="U173" s="34"/>
    </x:row>
    <x:row r="174" ht="34" customHeight="1">
      <x:c r="A174" s="34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34"/>
      <x:c r="L174" s="34"/>
      <x:c r="M174" s="34"/>
      <x:c r="N174" s="34"/>
      <x:c r="O174" s="34"/>
      <x:c r="P174" s="34"/>
      <x:c r="Q174" s="34"/>
      <x:c r="R174" s="52" t="str">
        <x:f>IF(A174="","",IFERROR(N174*O174*P174*Q174/20,0))</x:f>
      </x:c>
      <x:c r="S174" s="54" t="str">
        <x:f>IF(R174="","",IF(R174&gt;=15,"Критический",IF(R174&gt;=9,"Высокий",IF(R174&gt;=5,"Средний",IF(R174&gt;=2,"Низкий","Отложить")))))</x:f>
      </x:c>
      <x:c r="T174" s="34"/>
      <x:c r="U174" s="34"/>
    </x:row>
    <x:row r="175" ht="34" customHeight="1">
      <x:c r="A175" s="34"/>
      <x:c r="B175" s="34"/>
      <x:c r="C175" s="34"/>
      <x:c r="D175" s="34"/>
      <x:c r="E175" s="34"/>
      <x:c r="F175" s="34"/>
      <x:c r="G175" s="34"/>
      <x:c r="H175" s="34"/>
      <x:c r="I175" s="34"/>
      <x:c r="J175" s="34"/>
      <x:c r="K175" s="34"/>
      <x:c r="L175" s="34"/>
      <x:c r="M175" s="34"/>
      <x:c r="N175" s="34"/>
      <x:c r="O175" s="34"/>
      <x:c r="P175" s="34"/>
      <x:c r="Q175" s="34"/>
      <x:c r="R175" s="52" t="str">
        <x:f>IF(A175="","",IFERROR(N175*O175*P175*Q175/20,0))</x:f>
      </x:c>
      <x:c r="S175" s="54" t="str">
        <x:f>IF(R175="","",IF(R175&gt;=15,"Критический",IF(R175&gt;=9,"Высокий",IF(R175&gt;=5,"Средний",IF(R175&gt;=2,"Низкий","Отложить")))))</x:f>
      </x:c>
      <x:c r="T175" s="34"/>
      <x:c r="U175" s="34"/>
    </x:row>
    <x:row r="176" ht="34" customHeight="1">
      <x:c r="A176" s="34"/>
      <x:c r="B176" s="34"/>
      <x:c r="C176" s="34"/>
      <x:c r="D176" s="34"/>
      <x:c r="E176" s="34"/>
      <x:c r="F176" s="34"/>
      <x:c r="G176" s="34"/>
      <x:c r="H176" s="34"/>
      <x:c r="I176" s="34"/>
      <x:c r="J176" s="34"/>
      <x:c r="K176" s="34"/>
      <x:c r="L176" s="34"/>
      <x:c r="M176" s="34"/>
      <x:c r="N176" s="34"/>
      <x:c r="O176" s="34"/>
      <x:c r="P176" s="34"/>
      <x:c r="Q176" s="34"/>
      <x:c r="R176" s="52" t="str">
        <x:f>IF(A176="","",IFERROR(N176*O176*P176*Q176/20,0))</x:f>
      </x:c>
      <x:c r="S176" s="54" t="str">
        <x:f>IF(R176="","",IF(R176&gt;=15,"Критический",IF(R176&gt;=9,"Высокий",IF(R176&gt;=5,"Средний",IF(R176&gt;=2,"Низкий","Отложить")))))</x:f>
      </x:c>
      <x:c r="T176" s="34"/>
      <x:c r="U176" s="34"/>
    </x:row>
    <x:row r="177" ht="34" customHeight="1">
      <x:c r="A177" s="34"/>
      <x:c r="B177" s="34"/>
      <x:c r="C177" s="34"/>
      <x:c r="D177" s="34"/>
      <x:c r="E177" s="34"/>
      <x:c r="F177" s="34"/>
      <x:c r="G177" s="34"/>
      <x:c r="H177" s="34"/>
      <x:c r="I177" s="34"/>
      <x:c r="J177" s="34"/>
      <x:c r="K177" s="34"/>
      <x:c r="L177" s="34"/>
      <x:c r="M177" s="34"/>
      <x:c r="N177" s="34"/>
      <x:c r="O177" s="34"/>
      <x:c r="P177" s="34"/>
      <x:c r="Q177" s="34"/>
      <x:c r="R177" s="52" t="str">
        <x:f>IF(A177="","",IFERROR(N177*O177*P177*Q177/20,0))</x:f>
      </x:c>
      <x:c r="S177" s="54" t="str">
        <x:f>IF(R177="","",IF(R177&gt;=15,"Критический",IF(R177&gt;=9,"Высокий",IF(R177&gt;=5,"Средний",IF(R177&gt;=2,"Низкий","Отложить")))))</x:f>
      </x:c>
      <x:c r="T177" s="34"/>
      <x:c r="U177" s="34"/>
    </x:row>
    <x:row r="178" ht="34" customHeight="1">
      <x:c r="A178" s="34"/>
      <x:c r="B178" s="34"/>
      <x:c r="C178" s="34"/>
      <x:c r="D178" s="34"/>
      <x:c r="E178" s="34"/>
      <x:c r="F178" s="34"/>
      <x:c r="G178" s="34"/>
      <x:c r="H178" s="34"/>
      <x:c r="I178" s="34"/>
      <x:c r="J178" s="34"/>
      <x:c r="K178" s="34"/>
      <x:c r="L178" s="34"/>
      <x:c r="M178" s="34"/>
      <x:c r="N178" s="34"/>
      <x:c r="O178" s="34"/>
      <x:c r="P178" s="34"/>
      <x:c r="Q178" s="34"/>
      <x:c r="R178" s="52" t="str">
        <x:f>IF(A178="","",IFERROR(N178*O178*P178*Q178/20,0))</x:f>
      </x:c>
      <x:c r="S178" s="54" t="str">
        <x:f>IF(R178="","",IF(R178&gt;=15,"Критический",IF(R178&gt;=9,"Высокий",IF(R178&gt;=5,"Средний",IF(R178&gt;=2,"Низкий","Отложить")))))</x:f>
      </x:c>
      <x:c r="T178" s="34"/>
      <x:c r="U178" s="34"/>
    </x:row>
    <x:row r="179" ht="34" customHeight="1">
      <x:c r="A179" s="34"/>
      <x:c r="B179" s="34"/>
      <x:c r="C179" s="34"/>
      <x:c r="D179" s="34"/>
      <x:c r="E179" s="34"/>
      <x:c r="F179" s="34"/>
      <x:c r="G179" s="34"/>
      <x:c r="H179" s="34"/>
      <x:c r="I179" s="34"/>
      <x:c r="J179" s="34"/>
      <x:c r="K179" s="34"/>
      <x:c r="L179" s="34"/>
      <x:c r="M179" s="34"/>
      <x:c r="N179" s="34"/>
      <x:c r="O179" s="34"/>
      <x:c r="P179" s="34"/>
      <x:c r="Q179" s="34"/>
      <x:c r="R179" s="52" t="str">
        <x:f>IF(A179="","",IFERROR(N179*O179*P179*Q179/20,0))</x:f>
      </x:c>
      <x:c r="S179" s="54" t="str">
        <x:f>IF(R179="","",IF(R179&gt;=15,"Критический",IF(R179&gt;=9,"Высокий",IF(R179&gt;=5,"Средний",IF(R179&gt;=2,"Низкий","Отложить")))))</x:f>
      </x:c>
      <x:c r="T179" s="34"/>
      <x:c r="U179" s="34"/>
    </x:row>
    <x:row r="180" ht="34" customHeight="1">
      <x:c r="A180" s="34"/>
      <x:c r="B180" s="34"/>
      <x:c r="C180" s="34"/>
      <x:c r="D180" s="34"/>
      <x:c r="E180" s="34"/>
      <x:c r="F180" s="34"/>
      <x:c r="G180" s="34"/>
      <x:c r="H180" s="34"/>
      <x:c r="I180" s="34"/>
      <x:c r="J180" s="34"/>
      <x:c r="K180" s="34"/>
      <x:c r="L180" s="34"/>
      <x:c r="M180" s="34"/>
      <x:c r="N180" s="34"/>
      <x:c r="O180" s="34"/>
      <x:c r="P180" s="34"/>
      <x:c r="Q180" s="34"/>
      <x:c r="R180" s="52" t="str">
        <x:f>IF(A180="","",IFERROR(N180*O180*P180*Q180/20,0))</x:f>
      </x:c>
      <x:c r="S180" s="54" t="str">
        <x:f>IF(R180="","",IF(R180&gt;=15,"Критический",IF(R180&gt;=9,"Высокий",IF(R180&gt;=5,"Средний",IF(R180&gt;=2,"Низкий","Отложить")))))</x:f>
      </x:c>
      <x:c r="T180" s="34"/>
      <x:c r="U180" s="34"/>
    </x:row>
    <x:row r="181" ht="34" customHeight="1">
      <x:c r="A181" s="34"/>
      <x:c r="B181" s="34"/>
      <x:c r="C181" s="34"/>
      <x:c r="D181" s="34"/>
      <x:c r="E181" s="34"/>
      <x:c r="F181" s="34"/>
      <x:c r="G181" s="34"/>
      <x:c r="H181" s="34"/>
      <x:c r="I181" s="34"/>
      <x:c r="J181" s="34"/>
      <x:c r="K181" s="34"/>
      <x:c r="L181" s="34"/>
      <x:c r="M181" s="34"/>
      <x:c r="N181" s="34"/>
      <x:c r="O181" s="34"/>
      <x:c r="P181" s="34"/>
      <x:c r="Q181" s="34"/>
      <x:c r="R181" s="52" t="str">
        <x:f>IF(A181="","",IFERROR(N181*O181*P181*Q181/20,0))</x:f>
      </x:c>
      <x:c r="S181" s="54" t="str">
        <x:f>IF(R181="","",IF(R181&gt;=15,"Критический",IF(R181&gt;=9,"Высокий",IF(R181&gt;=5,"Средний",IF(R181&gt;=2,"Низкий","Отложить")))))</x:f>
      </x:c>
      <x:c r="T181" s="34"/>
      <x:c r="U181" s="34"/>
    </x:row>
    <x:row r="182" ht="34" customHeight="1">
      <x:c r="A182" s="34"/>
      <x:c r="B182" s="34"/>
      <x:c r="C182" s="34"/>
      <x:c r="D182" s="34"/>
      <x:c r="E182" s="34"/>
      <x:c r="F182" s="34"/>
      <x:c r="G182" s="34"/>
      <x:c r="H182" s="34"/>
      <x:c r="I182" s="34"/>
      <x:c r="J182" s="34"/>
      <x:c r="K182" s="34"/>
      <x:c r="L182" s="34"/>
      <x:c r="M182" s="34"/>
      <x:c r="N182" s="34"/>
      <x:c r="O182" s="34"/>
      <x:c r="P182" s="34"/>
      <x:c r="Q182" s="34"/>
      <x:c r="R182" s="52" t="str">
        <x:f>IF(A182="","",IFERROR(N182*O182*P182*Q182/20,0))</x:f>
      </x:c>
      <x:c r="S182" s="54" t="str">
        <x:f>IF(R182="","",IF(R182&gt;=15,"Критический",IF(R182&gt;=9,"Высокий",IF(R182&gt;=5,"Средний",IF(R182&gt;=2,"Низкий","Отложить")))))</x:f>
      </x:c>
      <x:c r="T182" s="34"/>
      <x:c r="U182" s="34"/>
    </x:row>
    <x:row r="183" ht="34" customHeight="1">
      <x:c r="A183" s="34"/>
      <x:c r="B183" s="34"/>
      <x:c r="C183" s="34"/>
      <x:c r="D183" s="34"/>
      <x:c r="E183" s="34"/>
      <x:c r="F183" s="34"/>
      <x:c r="G183" s="34"/>
      <x:c r="H183" s="34"/>
      <x:c r="I183" s="34"/>
      <x:c r="J183" s="34"/>
      <x:c r="K183" s="34"/>
      <x:c r="L183" s="34"/>
      <x:c r="M183" s="34"/>
      <x:c r="N183" s="34"/>
      <x:c r="O183" s="34"/>
      <x:c r="P183" s="34"/>
      <x:c r="Q183" s="34"/>
      <x:c r="R183" s="52" t="str">
        <x:f>IF(A183="","",IFERROR(N183*O183*P183*Q183/20,0))</x:f>
      </x:c>
      <x:c r="S183" s="54" t="str">
        <x:f>IF(R183="","",IF(R183&gt;=15,"Критический",IF(R183&gt;=9,"Высокий",IF(R183&gt;=5,"Средний",IF(R183&gt;=2,"Низкий","Отложить")))))</x:f>
      </x:c>
      <x:c r="T183" s="34"/>
      <x:c r="U183" s="34"/>
    </x:row>
    <x:row r="184" ht="34" customHeight="1">
      <x:c r="A184" s="34"/>
      <x:c r="B184" s="34"/>
      <x:c r="C184" s="34"/>
      <x:c r="D184" s="34"/>
      <x:c r="E184" s="34"/>
      <x:c r="F184" s="34"/>
      <x:c r="G184" s="34"/>
      <x:c r="H184" s="34"/>
      <x:c r="I184" s="34"/>
      <x:c r="J184" s="34"/>
      <x:c r="K184" s="34"/>
      <x:c r="L184" s="34"/>
      <x:c r="M184" s="34"/>
      <x:c r="N184" s="34"/>
      <x:c r="O184" s="34"/>
      <x:c r="P184" s="34"/>
      <x:c r="Q184" s="34"/>
      <x:c r="R184" s="52" t="str">
        <x:f>IF(A184="","",IFERROR(N184*O184*P184*Q184/20,0))</x:f>
      </x:c>
      <x:c r="S184" s="54" t="str">
        <x:f>IF(R184="","",IF(R184&gt;=15,"Критический",IF(R184&gt;=9,"Высокий",IF(R184&gt;=5,"Средний",IF(R184&gt;=2,"Низкий","Отложить")))))</x:f>
      </x:c>
      <x:c r="T184" s="34"/>
      <x:c r="U184" s="34"/>
    </x:row>
    <x:row r="185" ht="34" customHeight="1">
      <x:c r="A185" s="34"/>
      <x:c r="B185" s="34"/>
      <x:c r="C185" s="34"/>
      <x:c r="D185" s="34"/>
      <x:c r="E185" s="34"/>
      <x:c r="F185" s="34"/>
      <x:c r="G185" s="34"/>
      <x:c r="H185" s="34"/>
      <x:c r="I185" s="34"/>
      <x:c r="J185" s="34"/>
      <x:c r="K185" s="34"/>
      <x:c r="L185" s="34"/>
      <x:c r="M185" s="34"/>
      <x:c r="N185" s="34"/>
      <x:c r="O185" s="34"/>
      <x:c r="P185" s="34"/>
      <x:c r="Q185" s="34"/>
      <x:c r="R185" s="52" t="str">
        <x:f>IF(A185="","",IFERROR(N185*O185*P185*Q185/20,0))</x:f>
      </x:c>
      <x:c r="S185" s="54" t="str">
        <x:f>IF(R185="","",IF(R185&gt;=15,"Критический",IF(R185&gt;=9,"Высокий",IF(R185&gt;=5,"Средний",IF(R185&gt;=2,"Низкий","Отложить")))))</x:f>
      </x:c>
      <x:c r="T185" s="34"/>
      <x:c r="U185" s="34"/>
    </x:row>
    <x:row r="186" ht="34" customHeight="1">
      <x:c r="A186" s="34"/>
      <x:c r="B186" s="34"/>
      <x:c r="C186" s="34"/>
      <x:c r="D186" s="34"/>
      <x:c r="E186" s="34"/>
      <x:c r="F186" s="34"/>
      <x:c r="G186" s="34"/>
      <x:c r="H186" s="34"/>
      <x:c r="I186" s="34"/>
      <x:c r="J186" s="34"/>
      <x:c r="K186" s="34"/>
      <x:c r="L186" s="34"/>
      <x:c r="M186" s="34"/>
      <x:c r="N186" s="34"/>
      <x:c r="O186" s="34"/>
      <x:c r="P186" s="34"/>
      <x:c r="Q186" s="34"/>
      <x:c r="R186" s="52" t="str">
        <x:f>IF(A186="","",IFERROR(N186*O186*P186*Q186/20,0))</x:f>
      </x:c>
      <x:c r="S186" s="54" t="str">
        <x:f>IF(R186="","",IF(R186&gt;=15,"Критический",IF(R186&gt;=9,"Высокий",IF(R186&gt;=5,"Средний",IF(R186&gt;=2,"Низкий","Отложить")))))</x:f>
      </x:c>
      <x:c r="T186" s="34"/>
      <x:c r="U186" s="34"/>
    </x:row>
    <x:row r="187" ht="34" customHeight="1">
      <x:c r="A187" s="34"/>
      <x:c r="B187" s="34"/>
      <x:c r="C187" s="34"/>
      <x:c r="D187" s="34"/>
      <x:c r="E187" s="34"/>
      <x:c r="F187" s="34"/>
      <x:c r="G187" s="34"/>
      <x:c r="H187" s="34"/>
      <x:c r="I187" s="34"/>
      <x:c r="J187" s="34"/>
      <x:c r="K187" s="34"/>
      <x:c r="L187" s="34"/>
      <x:c r="M187" s="34"/>
      <x:c r="N187" s="34"/>
      <x:c r="O187" s="34"/>
      <x:c r="P187" s="34"/>
      <x:c r="Q187" s="34"/>
      <x:c r="R187" s="52" t="str">
        <x:f>IF(A187="","",IFERROR(N187*O187*P187*Q187/20,0))</x:f>
      </x:c>
      <x:c r="S187" s="54" t="str">
        <x:f>IF(R187="","",IF(R187&gt;=15,"Критический",IF(R187&gt;=9,"Высокий",IF(R187&gt;=5,"Средний",IF(R187&gt;=2,"Низкий","Отложить")))))</x:f>
      </x:c>
      <x:c r="T187" s="34"/>
      <x:c r="U187" s="34"/>
    </x:row>
    <x:row r="188" ht="34" customHeight="1">
      <x:c r="A188" s="34"/>
      <x:c r="B188" s="34"/>
      <x:c r="C188" s="34"/>
      <x:c r="D188" s="34"/>
      <x:c r="E188" s="34"/>
      <x:c r="F188" s="34"/>
      <x:c r="G188" s="34"/>
      <x:c r="H188" s="34"/>
      <x:c r="I188" s="34"/>
      <x:c r="J188" s="34"/>
      <x:c r="K188" s="34"/>
      <x:c r="L188" s="34"/>
      <x:c r="M188" s="34"/>
      <x:c r="N188" s="34"/>
      <x:c r="O188" s="34"/>
      <x:c r="P188" s="34"/>
      <x:c r="Q188" s="34"/>
      <x:c r="R188" s="52" t="str">
        <x:f>IF(A188="","",IFERROR(N188*O188*P188*Q188/20,0))</x:f>
      </x:c>
      <x:c r="S188" s="54" t="str">
        <x:f>IF(R188="","",IF(R188&gt;=15,"Критический",IF(R188&gt;=9,"Высокий",IF(R188&gt;=5,"Средний",IF(R188&gt;=2,"Низкий","Отложить")))))</x:f>
      </x:c>
      <x:c r="T188" s="34"/>
      <x:c r="U188" s="34"/>
    </x:row>
    <x:row r="189" ht="34" customHeight="1">
      <x:c r="A189" s="34"/>
      <x:c r="B189" s="34"/>
      <x:c r="C189" s="34"/>
      <x:c r="D189" s="34"/>
      <x:c r="E189" s="34"/>
      <x:c r="F189" s="34"/>
      <x:c r="G189" s="34"/>
      <x:c r="H189" s="34"/>
      <x:c r="I189" s="34"/>
      <x:c r="J189" s="34"/>
      <x:c r="K189" s="34"/>
      <x:c r="L189" s="34"/>
      <x:c r="M189" s="34"/>
      <x:c r="N189" s="34"/>
      <x:c r="O189" s="34"/>
      <x:c r="P189" s="34"/>
      <x:c r="Q189" s="34"/>
      <x:c r="R189" s="52" t="str">
        <x:f>IF(A189="","",IFERROR(N189*O189*P189*Q189/20,0))</x:f>
      </x:c>
      <x:c r="S189" s="54" t="str">
        <x:f>IF(R189="","",IF(R189&gt;=15,"Критический",IF(R189&gt;=9,"Высокий",IF(R189&gt;=5,"Средний",IF(R189&gt;=2,"Низкий","Отложить")))))</x:f>
      </x:c>
      <x:c r="T189" s="34"/>
      <x:c r="U189" s="34"/>
    </x:row>
    <x:row r="190" ht="34" customHeight="1">
      <x:c r="A190" s="34"/>
      <x:c r="B190" s="34"/>
      <x:c r="C190" s="34"/>
      <x:c r="D190" s="34"/>
      <x:c r="E190" s="34"/>
      <x:c r="F190" s="34"/>
      <x:c r="G190" s="34"/>
      <x:c r="H190" s="34"/>
      <x:c r="I190" s="34"/>
      <x:c r="J190" s="34"/>
      <x:c r="K190" s="34"/>
      <x:c r="L190" s="34"/>
      <x:c r="M190" s="34"/>
      <x:c r="N190" s="34"/>
      <x:c r="O190" s="34"/>
      <x:c r="P190" s="34"/>
      <x:c r="Q190" s="34"/>
      <x:c r="R190" s="52" t="str">
        <x:f>IF(A190="","",IFERROR(N190*O190*P190*Q190/20,0))</x:f>
      </x:c>
      <x:c r="S190" s="54" t="str">
        <x:f>IF(R190="","",IF(R190&gt;=15,"Критический",IF(R190&gt;=9,"Высокий",IF(R190&gt;=5,"Средний",IF(R190&gt;=2,"Низкий","Отложить")))))</x:f>
      </x:c>
      <x:c r="T190" s="34"/>
      <x:c r="U190" s="34"/>
    </x:row>
    <x:row r="191" ht="34" customHeight="1">
      <x:c r="A191" s="34"/>
      <x:c r="B191" s="34"/>
      <x:c r="C191" s="34"/>
      <x:c r="D191" s="34"/>
      <x:c r="E191" s="34"/>
      <x:c r="F191" s="34"/>
      <x:c r="G191" s="34"/>
      <x:c r="H191" s="34"/>
      <x:c r="I191" s="34"/>
      <x:c r="J191" s="34"/>
      <x:c r="K191" s="34"/>
      <x:c r="L191" s="34"/>
      <x:c r="M191" s="34"/>
      <x:c r="N191" s="34"/>
      <x:c r="O191" s="34"/>
      <x:c r="P191" s="34"/>
      <x:c r="Q191" s="34"/>
      <x:c r="R191" s="52" t="str">
        <x:f>IF(A191="","",IFERROR(N191*O191*P191*Q191/20,0))</x:f>
      </x:c>
      <x:c r="S191" s="54" t="str">
        <x:f>IF(R191="","",IF(R191&gt;=15,"Критический",IF(R191&gt;=9,"Высокий",IF(R191&gt;=5,"Средний",IF(R191&gt;=2,"Низкий","Отложить")))))</x:f>
      </x:c>
      <x:c r="T191" s="34"/>
      <x:c r="U191" s="34"/>
    </x:row>
    <x:row r="192" ht="34" customHeight="1">
      <x:c r="A192" s="34"/>
      <x:c r="B192" s="34"/>
      <x:c r="C192" s="34"/>
      <x:c r="D192" s="34"/>
      <x:c r="E192" s="34"/>
      <x:c r="F192" s="34"/>
      <x:c r="G192" s="34"/>
      <x:c r="H192" s="34"/>
      <x:c r="I192" s="34"/>
      <x:c r="J192" s="34"/>
      <x:c r="K192" s="34"/>
      <x:c r="L192" s="34"/>
      <x:c r="M192" s="34"/>
      <x:c r="N192" s="34"/>
      <x:c r="O192" s="34"/>
      <x:c r="P192" s="34"/>
      <x:c r="Q192" s="34"/>
      <x:c r="R192" s="52" t="str">
        <x:f>IF(A192="","",IFERROR(N192*O192*P192*Q192/20,0))</x:f>
      </x:c>
      <x:c r="S192" s="54" t="str">
        <x:f>IF(R192="","",IF(R192&gt;=15,"Критический",IF(R192&gt;=9,"Высокий",IF(R192&gt;=5,"Средний",IF(R192&gt;=2,"Низкий","Отложить")))))</x:f>
      </x:c>
      <x:c r="T192" s="34"/>
      <x:c r="U192" s="34"/>
    </x:row>
    <x:row r="193" ht="34" customHeight="1">
      <x:c r="A193" s="34"/>
      <x:c r="B193" s="34"/>
      <x:c r="C193" s="34"/>
      <x:c r="D193" s="34"/>
      <x:c r="E193" s="34"/>
      <x:c r="F193" s="34"/>
      <x:c r="G193" s="34"/>
      <x:c r="H193" s="34"/>
      <x:c r="I193" s="34"/>
      <x:c r="J193" s="34"/>
      <x:c r="K193" s="34"/>
      <x:c r="L193" s="34"/>
      <x:c r="M193" s="34"/>
      <x:c r="N193" s="34"/>
      <x:c r="O193" s="34"/>
      <x:c r="P193" s="34"/>
      <x:c r="Q193" s="34"/>
      <x:c r="R193" s="52" t="str">
        <x:f>IF(A193="","",IFERROR(N193*O193*P193*Q193/20,0))</x:f>
      </x:c>
      <x:c r="S193" s="54" t="str">
        <x:f>IF(R193="","",IF(R193&gt;=15,"Критический",IF(R193&gt;=9,"Высокий",IF(R193&gt;=5,"Средний",IF(R193&gt;=2,"Низкий","Отложить")))))</x:f>
      </x:c>
      <x:c r="T193" s="34"/>
      <x:c r="U193" s="34"/>
    </x:row>
    <x:row r="194" ht="34" customHeight="1">
      <x:c r="A194" s="34"/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  <x:c r="Q194" s="34"/>
      <x:c r="R194" s="52" t="str">
        <x:f>IF(A194="","",IFERROR(N194*O194*P194*Q194/20,0))</x:f>
      </x:c>
      <x:c r="S194" s="54" t="str">
        <x:f>IF(R194="","",IF(R194&gt;=15,"Критический",IF(R194&gt;=9,"Высокий",IF(R194&gt;=5,"Средний",IF(R194&gt;=2,"Низкий","Отложить")))))</x:f>
      </x:c>
      <x:c r="T194" s="34"/>
      <x:c r="U194" s="34"/>
    </x:row>
    <x:row r="195" ht="34" customHeight="1">
      <x:c r="A195" s="34"/>
      <x:c r="B195" s="34"/>
      <x:c r="C195" s="34"/>
      <x:c r="D195" s="34"/>
      <x:c r="E195" s="34"/>
      <x:c r="F195" s="34"/>
      <x:c r="G195" s="34"/>
      <x:c r="H195" s="34"/>
      <x:c r="I195" s="34"/>
      <x:c r="J195" s="34"/>
      <x:c r="K195" s="34"/>
      <x:c r="L195" s="34"/>
      <x:c r="M195" s="34"/>
      <x:c r="N195" s="34"/>
      <x:c r="O195" s="34"/>
      <x:c r="P195" s="34"/>
      <x:c r="Q195" s="34"/>
      <x:c r="R195" s="52" t="str">
        <x:f>IF(A195="","",IFERROR(N195*O195*P195*Q195/20,0))</x:f>
      </x:c>
      <x:c r="S195" s="54" t="str">
        <x:f>IF(R195="","",IF(R195&gt;=15,"Критический",IF(R195&gt;=9,"Высокий",IF(R195&gt;=5,"Средний",IF(R195&gt;=2,"Низкий","Отложить")))))</x:f>
      </x:c>
      <x:c r="T195" s="34"/>
      <x:c r="U195" s="34"/>
    </x:row>
    <x:row r="196" ht="34" customHeight="1">
      <x:c r="A196" s="34"/>
      <x:c r="B196" s="34"/>
      <x:c r="C196" s="34"/>
      <x:c r="D196" s="34"/>
      <x:c r="E196" s="34"/>
      <x:c r="F196" s="34"/>
      <x:c r="G196" s="34"/>
      <x:c r="H196" s="34"/>
      <x:c r="I196" s="34"/>
      <x:c r="J196" s="34"/>
      <x:c r="K196" s="34"/>
      <x:c r="L196" s="34"/>
      <x:c r="M196" s="34"/>
      <x:c r="N196" s="34"/>
      <x:c r="O196" s="34"/>
      <x:c r="P196" s="34"/>
      <x:c r="Q196" s="34"/>
      <x:c r="R196" s="52" t="str">
        <x:f>IF(A196="","",IFERROR(N196*O196*P196*Q196/20,0))</x:f>
      </x:c>
      <x:c r="S196" s="54" t="str">
        <x:f>IF(R196="","",IF(R196&gt;=15,"Критический",IF(R196&gt;=9,"Высокий",IF(R196&gt;=5,"Средний",IF(R196&gt;=2,"Низкий","Отложить")))))</x:f>
      </x:c>
      <x:c r="T196" s="34"/>
      <x:c r="U196" s="34"/>
    </x:row>
    <x:row r="197" ht="34" customHeight="1">
      <x:c r="A197" s="34"/>
      <x:c r="B197" s="34"/>
      <x:c r="C197" s="34"/>
      <x:c r="D197" s="34"/>
      <x:c r="E197" s="34"/>
      <x:c r="F197" s="34"/>
      <x:c r="G197" s="34"/>
      <x:c r="H197" s="34"/>
      <x:c r="I197" s="34"/>
      <x:c r="J197" s="34"/>
      <x:c r="K197" s="34"/>
      <x:c r="L197" s="34"/>
      <x:c r="M197" s="34"/>
      <x:c r="N197" s="34"/>
      <x:c r="O197" s="34"/>
      <x:c r="P197" s="34"/>
      <x:c r="Q197" s="34"/>
      <x:c r="R197" s="52" t="str">
        <x:f>IF(A197="","",IFERROR(N197*O197*P197*Q197/20,0))</x:f>
      </x:c>
      <x:c r="S197" s="54" t="str">
        <x:f>IF(R197="","",IF(R197&gt;=15,"Критический",IF(R197&gt;=9,"Высокий",IF(R197&gt;=5,"Средний",IF(R197&gt;=2,"Низкий","Отложить")))))</x:f>
      </x:c>
      <x:c r="T197" s="34"/>
      <x:c r="U197" s="34"/>
    </x:row>
    <x:row r="198" ht="34" customHeight="1">
      <x:c r="A198" s="34"/>
      <x:c r="B198" s="34"/>
      <x:c r="C198" s="34"/>
      <x:c r="D198" s="34"/>
      <x:c r="E198" s="34"/>
      <x:c r="F198" s="34"/>
      <x:c r="G198" s="34"/>
      <x:c r="H198" s="34"/>
      <x:c r="I198" s="34"/>
      <x:c r="J198" s="34"/>
      <x:c r="K198" s="34"/>
      <x:c r="L198" s="34"/>
      <x:c r="M198" s="34"/>
      <x:c r="N198" s="34"/>
      <x:c r="O198" s="34"/>
      <x:c r="P198" s="34"/>
      <x:c r="Q198" s="34"/>
      <x:c r="R198" s="52" t="str">
        <x:f>IF(A198="","",IFERROR(N198*O198*P198*Q198/20,0))</x:f>
      </x:c>
      <x:c r="S198" s="54" t="str">
        <x:f>IF(R198="","",IF(R198&gt;=15,"Критический",IF(R198&gt;=9,"Высокий",IF(R198&gt;=5,"Средний",IF(R198&gt;=2,"Низкий","Отложить")))))</x:f>
      </x:c>
      <x:c r="T198" s="34"/>
      <x:c r="U198" s="34"/>
    </x:row>
    <x:row r="199" ht="34" customHeight="1">
      <x:c r="A199" s="34"/>
      <x:c r="B199" s="34"/>
      <x:c r="C199" s="34"/>
      <x:c r="D199" s="34"/>
      <x:c r="E199" s="34"/>
      <x:c r="F199" s="34"/>
      <x:c r="G199" s="34"/>
      <x:c r="H199" s="34"/>
      <x:c r="I199" s="34"/>
      <x:c r="J199" s="34"/>
      <x:c r="K199" s="34"/>
      <x:c r="L199" s="34"/>
      <x:c r="M199" s="34"/>
      <x:c r="N199" s="34"/>
      <x:c r="O199" s="34"/>
      <x:c r="P199" s="34"/>
      <x:c r="Q199" s="34"/>
      <x:c r="R199" s="52" t="str">
        <x:f>IF(A199="","",IFERROR(N199*O199*P199*Q199/20,0))</x:f>
      </x:c>
      <x:c r="S199" s="54" t="str">
        <x:f>IF(R199="","",IF(R199&gt;=15,"Критический",IF(R199&gt;=9,"Высокий",IF(R199&gt;=5,"Средний",IF(R199&gt;=2,"Низкий","Отложить")))))</x:f>
      </x:c>
      <x:c r="T199" s="34"/>
      <x:c r="U199" s="34"/>
    </x:row>
    <x:row r="200" ht="34" customHeight="1">
      <x:c r="A200" s="34"/>
      <x:c r="B200" s="34"/>
      <x:c r="C200" s="34"/>
      <x:c r="D200" s="34"/>
      <x:c r="E200" s="34"/>
      <x:c r="F200" s="34"/>
      <x:c r="G200" s="34"/>
      <x:c r="H200" s="34"/>
      <x:c r="I200" s="34"/>
      <x:c r="J200" s="34"/>
      <x:c r="K200" s="34"/>
      <x:c r="L200" s="34"/>
      <x:c r="M200" s="34"/>
      <x:c r="N200" s="34"/>
      <x:c r="O200" s="34"/>
      <x:c r="P200" s="34"/>
      <x:c r="Q200" s="34"/>
      <x:c r="R200" s="52" t="str">
        <x:f>IF(A200="","",IFERROR(N200*O200*P200*Q200/20,0))</x:f>
      </x:c>
      <x:c r="S200" s="54" t="str">
        <x:f>IF(R200="","",IF(R200&gt;=15,"Критический",IF(R200&gt;=9,"Высокий",IF(R200&gt;=5,"Средний",IF(R200&gt;=2,"Низкий","Отложить")))))</x:f>
      </x:c>
      <x:c r="T200" s="34"/>
      <x:c r="U200" s="34"/>
    </x:row>
    <x:row r="201" ht="34" customHeight="1">
      <x:c r="A201" s="34"/>
      <x:c r="B201" s="34"/>
      <x:c r="C201" s="34"/>
      <x:c r="D201" s="34"/>
      <x:c r="E201" s="34"/>
      <x:c r="F201" s="34"/>
      <x:c r="G201" s="34"/>
      <x:c r="H201" s="34"/>
      <x:c r="I201" s="34"/>
      <x:c r="J201" s="34"/>
      <x:c r="K201" s="34"/>
      <x:c r="L201" s="34"/>
      <x:c r="M201" s="34"/>
      <x:c r="N201" s="34"/>
      <x:c r="O201" s="34"/>
      <x:c r="P201" s="34"/>
      <x:c r="Q201" s="34"/>
      <x:c r="R201" s="52" t="str">
        <x:f>IF(A201="","",IFERROR(N201*O201*P201*Q201/20,0))</x:f>
      </x:c>
      <x:c r="S201" s="54" t="str">
        <x:f>IF(R201="","",IF(R201&gt;=15,"Критический",IF(R201&gt;=9,"Высокий",IF(R201&gt;=5,"Средний",IF(R201&gt;=2,"Низкий","Отложить")))))</x:f>
      </x:c>
      <x:c r="T201" s="34"/>
      <x:c r="U201" s="34"/>
    </x:row>
    <x:row r="202" ht="34" customHeight="1">
      <x:c r="A202" s="34"/>
      <x:c r="B202" s="34"/>
      <x:c r="C202" s="34"/>
      <x:c r="D202" s="34"/>
      <x:c r="E202" s="34"/>
      <x:c r="F202" s="34"/>
      <x:c r="G202" s="34"/>
      <x:c r="H202" s="34"/>
      <x:c r="I202" s="34"/>
      <x:c r="J202" s="34"/>
      <x:c r="K202" s="34"/>
      <x:c r="L202" s="34"/>
      <x:c r="M202" s="34"/>
      <x:c r="N202" s="34"/>
      <x:c r="O202" s="34"/>
      <x:c r="P202" s="34"/>
      <x:c r="Q202" s="34"/>
      <x:c r="R202" s="52" t="str">
        <x:f>IF(A202="","",IFERROR(N202*O202*P202*Q202/20,0))</x:f>
      </x:c>
      <x:c r="S202" s="54" t="str">
        <x:f>IF(R202="","",IF(R202&gt;=15,"Критический",IF(R202&gt;=9,"Высокий",IF(R202&gt;=5,"Средний",IF(R202&gt;=2,"Низкий","Отложить")))))</x:f>
      </x:c>
      <x:c r="T202" s="34"/>
      <x:c r="U202" s="34"/>
    </x:row>
    <x:row r="203" ht="34" customHeight="1">
      <x:c r="A203" s="34"/>
      <x:c r="B203" s="34"/>
      <x:c r="C203" s="34"/>
      <x:c r="D203" s="34"/>
      <x:c r="E203" s="34"/>
      <x:c r="F203" s="34"/>
      <x:c r="G203" s="34"/>
      <x:c r="H203" s="34"/>
      <x:c r="I203" s="34"/>
      <x:c r="J203" s="34"/>
      <x:c r="K203" s="34"/>
      <x:c r="L203" s="34"/>
      <x:c r="M203" s="34"/>
      <x:c r="N203" s="34"/>
      <x:c r="O203" s="34"/>
      <x:c r="P203" s="34"/>
      <x:c r="Q203" s="34"/>
      <x:c r="R203" s="52" t="str">
        <x:f>IF(A203="","",IFERROR(N203*O203*P203*Q203/20,0))</x:f>
      </x:c>
      <x:c r="S203" s="54" t="str">
        <x:f>IF(R203="","",IF(R203&gt;=15,"Критический",IF(R203&gt;=9,"Высокий",IF(R203&gt;=5,"Средний",IF(R203&gt;=2,"Низкий","Отложить")))))</x:f>
      </x:c>
      <x:c r="T203" s="34"/>
      <x:c r="U203" s="34"/>
    </x:row>
  </x:sheetData>
  <x:mergeCells>
    <x:mergeCell ref="A1:U1"/>
  </x:mergeCells>
  <x:conditionalFormatting sqref="R4:R203">
    <x:cfRule type="colorScale" priority="1">
      <x:colorScale>
        <x:cfvo type="min"/>
        <x:cfvo type="percentile" val="50"/>
        <x:cfvo type="max"/>
        <x:color rgb="FCE4D6"/>
        <x:color rgb="FFF2CC"/>
        <x:color rgb="E2F0D9"/>
      </x:colorScale>
    </x:cfRule>
  </x:conditionalFormatting>
  <x:conditionalFormatting sqref="S4:S203">
    <x:cfRule type="expression" dxfId="1" priority="2">
      <x:formula>S4="Критический"</x:formula>
    </x:cfRule>
    <x:cfRule type="expression" dxfId="2" priority="3">
      <x:formula>S4="Высокий"</x:formula>
    </x:cfRule>
  </x:conditionalFormatting>
  <x:dataValidations count="6">
    <x:dataValidation type="list" sqref="C4:C203">
      <x:formula1>Справочники!$J$4:$J$12</x:formula1>
    </x:dataValidation>
    <x:dataValidation type="list" sqref="D4:D203">
      <x:formula1>Справочники!$A$18:$A$28</x:formula1>
    </x:dataValidation>
    <x:dataValidation type="list" sqref="E4:E203">
      <x:formula1>Справочники!$D$18:$D$24</x:formula1>
    </x:dataValidation>
    <x:dataValidation type="list" sqref="N4:Q203">
      <x:formula1>"1,2,3,4,5"</x:formula1>
    </x:dataValidation>
    <x:dataValidation type="list" sqref="Q4:Q203">
      <x:formula1>"1,2,3,4"</x:formula1>
    </x:dataValidation>
    <x:dataValidation type="list" sqref="T4:T203">
      <x:formula1>Справочники!$J$18:$J$22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82547dcacc43d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4" hidden="0" customWidth="1"/>
    <x:col min="9" max="9" width="20" hidden="0" customWidth="1"/>
    <x:col min="10" max="10" width="24" hidden="0" customWidth="1"/>
    <x:col min="11" max="11" width="22" hidden="0" customWidth="1"/>
    <x:col min="12" max="12" width="22" hidden="0" customWidth="1"/>
    <x:col min="13" max="13" width="34" hidden="0" customWidth="1"/>
    <x:col min="14" max="14" width="24" hidden="0" customWidth="1"/>
    <x:col min="15" max="15" width="30" hidden="0" customWidth="1"/>
  </x:cols>
  <x:sheetData>
    <x:row r="1" ht="30" customHeight="1">
      <x:c r="A1" s="58" t="str">
        <x:v>Карта прохождения пользовательских сценариев по этапам взаимодействия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3" ht="34" customHeight="1">
      <x:c r="A3" s="40" t="str">
        <x:v>ID сценария</x:v>
      </x:c>
      <x:c r="B3" s="40" t="str">
        <x:v>Роль</x:v>
      </x:c>
      <x:c r="C3" s="40" t="str">
        <x:v>Сценарий</x:v>
      </x:c>
      <x:c r="D3" s="40" t="str">
        <x:v>Привлечение</x:v>
      </x:c>
      <x:c r="E3" s="40" t="str">
        <x:v>Первичный интерес</x:v>
      </x:c>
      <x:c r="F3" s="40" t="str">
        <x:v>Регистрация</x:v>
      </x:c>
      <x:c r="G3" s="40" t="str">
        <x:v>Настройка</x:v>
      </x:c>
      <x:c r="H3" s="40" t="str">
        <x:v>Получение ценности</x:v>
      </x:c>
      <x:c r="I3" s="40" t="str">
        <x:v>Оплата</x:v>
      </x:c>
      <x:c r="J3" s="40" t="str">
        <x:v>Повторное использование</x:v>
      </x:c>
      <x:c r="K3" s="40" t="str">
        <x:v>Поддержка</x:v>
      </x:c>
      <x:c r="L3" s="40" t="str">
        <x:v>Удержание</x:v>
      </x:c>
      <x:c r="M3" s="40" t="str">
        <x:v>Разрыв / риск</x:v>
      </x:c>
      <x:c r="N3" s="40" t="str">
        <x:v>Критическая точка</x:v>
      </x:c>
      <x:c r="O3" s="40" t="str">
        <x:v>Комментарий</x:v>
      </x:c>
    </x:row>
    <x:row r="4" ht="34" customHeight="1">
      <x:c r="A4" s="34" t="str">
        <x:v>S-001</x:v>
      </x:c>
      <x:c r="B4" s="34" t="str">
        <x:v>Новый пользователь</x:v>
      </x:c>
      <x:c r="C4" s="34" t="str">
        <x:v>Получить первый результат в демо-режиме</x:v>
      </x:c>
      <x:c r="D4" s="34" t="str">
        <x:v>источник трафика</x:v>
      </x:c>
      <x:c r="E4" s="34" t="str">
        <x:v>страница продукта</x:v>
      </x:c>
      <x:c r="F4" s="34" t="str">
        <x:v>демо без регистрации</x:v>
      </x:c>
      <x:c r="G4" s="34" t="str">
        <x:v>автонастройка</x:v>
      </x:c>
      <x:c r="H4" s="34" t="str">
        <x:v>первый результат</x:v>
      </x:c>
      <x:c r="I4" s="34" t="str"/>
      <x:c r="J4" s="34" t="str"/>
      <x:c r="K4" s="34" t="str">
        <x:v>подсказка</x:v>
      </x:c>
      <x:c r="L4" s="34" t="str">
        <x:v>email-приглашение</x:v>
      </x:c>
      <x:c r="M4" s="34" t="str">
        <x:v>пользователь не дошел до результата</x:v>
      </x:c>
      <x:c r="N4" s="34" t="str">
        <x:v>Получение ценности</x:v>
      </x:c>
      <x:c r="O4" s="34" t="str"/>
    </x:row>
    <x:row r="5" ht="34" customHeight="1">
      <x:c r="A5" s="34" t="str">
        <x:v>S-002</x:v>
      </x:c>
      <x:c r="B5" s="34" t="str">
        <x:v>Потенциальный клиент</x:v>
      </x:c>
      <x:c r="C5" s="34" t="str">
        <x:v>Оформить подписку после проверки ценности</x:v>
      </x:c>
      <x:c r="D5" s="34" t="str">
        <x:v>ретаргетинг</x:v>
      </x:c>
      <x:c r="E5" s="34" t="str">
        <x:v>сравнение тарифов</x:v>
      </x:c>
      <x:c r="F5" s="34" t="str">
        <x:v>аккаунт создан</x:v>
      </x:c>
      <x:c r="G5" s="34" t="str"/>
      <x:c r="H5" s="34" t="str">
        <x:v>доступ к ограничениям</x:v>
      </x:c>
      <x:c r="I5" s="34" t="str">
        <x:v>оплата тарифа</x:v>
      </x:c>
      <x:c r="J5" s="34" t="str">
        <x:v>активация доступа</x:v>
      </x:c>
      <x:c r="K5" s="34" t="str">
        <x:v>помощь при оплате</x:v>
      </x:c>
      <x:c r="L5" s="34" t="str">
        <x:v>уведомление о ценности</x:v>
      </x:c>
      <x:c r="M5" s="34" t="str">
        <x:v>ошибка оплаты или неясность тарифа</x:v>
      </x:c>
      <x:c r="N5" s="34" t="str">
        <x:v>Оплата</x:v>
      </x:c>
      <x:c r="O5" s="34" t="str"/>
    </x:row>
    <x:row r="6" ht="34" customHeight="1">
      <x:c r="A6" s="34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</x:row>
    <x:row r="7" ht="34" customHeight="1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</x:row>
    <x:row r="8" ht="34" customHeight="1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  <x:c r="O8" s="34"/>
    </x:row>
    <x:row r="9" ht="34" customHeight="1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</x:row>
    <x:row r="10" ht="34" customHeight="1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</x:row>
    <x:row r="11" ht="34" customHeight="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  <x:c r="O11" s="34"/>
    </x:row>
    <x:row r="12" ht="34" customHeight="1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  <x:c r="N12" s="34"/>
      <x:c r="O12" s="34"/>
    </x:row>
    <x:row r="13" ht="34" customHeight="1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  <x:c r="N13" s="34"/>
      <x:c r="O13" s="34"/>
    </x:row>
    <x:row r="14" ht="34" customHeight="1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4"/>
      <x:c r="N14" s="34"/>
      <x:c r="O14" s="34"/>
    </x:row>
    <x:row r="15" ht="34" customHeight="1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  <x:c r="N15" s="34"/>
      <x:c r="O15" s="34"/>
    </x:row>
    <x:row r="16" ht="34" customHeight="1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</x:row>
    <x:row r="17" ht="34" customHeight="1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  <x:c r="N17" s="34"/>
      <x:c r="O17" s="34"/>
    </x:row>
    <x:row r="18" ht="34" customHeight="1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  <x:c r="N18" s="34"/>
      <x:c r="O18" s="34"/>
    </x:row>
    <x:row r="19" ht="34" customHeight="1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  <x:c r="N19" s="34"/>
      <x:c r="O19" s="34"/>
    </x:row>
    <x:row r="20" ht="34" customHeight="1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  <x:c r="N20" s="34"/>
      <x:c r="O20" s="34"/>
    </x:row>
    <x:row r="21" ht="34" customHeight="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  <x:c r="N21" s="34"/>
      <x:c r="O21" s="34"/>
    </x:row>
    <x:row r="22" ht="34" customHeight="1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  <x:c r="N22" s="34"/>
      <x:c r="O22" s="34"/>
    </x:row>
    <x:row r="23" ht="34" customHeight="1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  <x:c r="N23" s="34"/>
      <x:c r="O23" s="34"/>
    </x:row>
    <x:row r="24" ht="34" customHeight="1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</x:row>
    <x:row r="25" ht="34" customHeight="1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  <x:c r="N25" s="34"/>
      <x:c r="O25" s="34"/>
    </x:row>
    <x:row r="26" ht="34" customHeight="1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</x:row>
    <x:row r="27" ht="34" customHeight="1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  <x:c r="N27" s="34"/>
      <x:c r="O27" s="34"/>
    </x:row>
    <x:row r="28" ht="34" customHeight="1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  <x:c r="N28" s="34"/>
      <x:c r="O28" s="34"/>
    </x:row>
    <x:row r="29" ht="34" customHeight="1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  <x:c r="N29" s="34"/>
      <x:c r="O29" s="34"/>
    </x:row>
    <x:row r="30" ht="34" customHeight="1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  <x:c r="N30" s="34"/>
      <x:c r="O30" s="34"/>
    </x:row>
    <x:row r="31" ht="34" customHeight="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  <x:c r="N31" s="34"/>
      <x:c r="O31" s="34"/>
    </x:row>
    <x:row r="32" ht="34" customHeight="1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  <x:c r="N32" s="34"/>
      <x:c r="O32" s="34"/>
    </x:row>
    <x:row r="33" ht="34" customHeight="1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</x:row>
    <x:row r="34" ht="34" customHeight="1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</x:row>
    <x:row r="35" ht="34" customHeight="1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  <x:c r="N35" s="34"/>
      <x:c r="O35" s="34"/>
    </x:row>
    <x:row r="36" ht="34" customHeight="1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  <x:c r="N36" s="34"/>
      <x:c r="O36" s="34"/>
    </x:row>
    <x:row r="37" ht="34" customHeight="1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  <x:c r="N37" s="34"/>
      <x:c r="O37" s="34"/>
    </x:row>
    <x:row r="38" ht="34" customHeight="1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  <x:c r="N38" s="34"/>
      <x:c r="O38" s="34"/>
    </x:row>
    <x:row r="39" ht="34" customHeight="1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  <x:c r="N39" s="34"/>
      <x:c r="O39" s="34"/>
    </x:row>
    <x:row r="40" ht="34" customHeight="1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  <x:c r="N40" s="34"/>
      <x:c r="O40" s="34"/>
    </x:row>
    <x:row r="41" ht="34" customHeight="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  <x:c r="N41" s="34"/>
      <x:c r="O41" s="34"/>
    </x:row>
    <x:row r="42" ht="34" customHeight="1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  <x:c r="N42" s="34"/>
      <x:c r="O42" s="34"/>
    </x:row>
    <x:row r="43" ht="34" customHeight="1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</x:row>
    <x:row r="44" ht="34" customHeight="1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  <x:c r="N44" s="34"/>
      <x:c r="O44" s="34"/>
    </x:row>
    <x:row r="45" ht="34" customHeight="1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  <x:c r="N45" s="34"/>
      <x:c r="O45" s="34"/>
    </x:row>
    <x:row r="46" ht="34" customHeight="1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  <x:c r="N46" s="34"/>
      <x:c r="O46" s="34"/>
    </x:row>
    <x:row r="47" ht="34" customHeight="1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  <x:c r="N47" s="34"/>
      <x:c r="O47" s="34"/>
    </x:row>
    <x:row r="48" ht="34" customHeight="1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  <x:c r="N48" s="34"/>
      <x:c r="O48" s="34"/>
    </x:row>
    <x:row r="49" ht="34" customHeight="1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  <x:c r="N49" s="34"/>
      <x:c r="O49" s="34"/>
    </x:row>
    <x:row r="50" ht="34" customHeight="1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  <x:c r="N50" s="34"/>
      <x:c r="O50" s="34"/>
    </x:row>
    <x:row r="51" ht="34" customHeight="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  <x:c r="N51" s="34"/>
      <x:c r="O51" s="34"/>
    </x:row>
    <x:row r="52" ht="34" customHeight="1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  <x:c r="N52" s="34"/>
      <x:c r="O52" s="34"/>
    </x:row>
    <x:row r="53" ht="34" customHeight="1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  <x:c r="N53" s="34"/>
      <x:c r="O53" s="34"/>
    </x:row>
    <x:row r="54" ht="34" customHeight="1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  <x:c r="N54" s="34"/>
      <x:c r="O54" s="34"/>
    </x:row>
    <x:row r="55" ht="34" customHeight="1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  <x:c r="N55" s="34"/>
      <x:c r="O55" s="34"/>
    </x:row>
    <x:row r="56" ht="34" customHeight="1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  <x:c r="N56" s="34"/>
      <x:c r="O56" s="34"/>
    </x:row>
    <x:row r="57" ht="34" customHeight="1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  <x:c r="N57" s="34"/>
      <x:c r="O57" s="34"/>
    </x:row>
    <x:row r="58" ht="34" customHeight="1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  <x:c r="N58" s="34"/>
      <x:c r="O58" s="34"/>
    </x:row>
    <x:row r="59" ht="34" customHeight="1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  <x:c r="N59" s="34"/>
      <x:c r="O59" s="34"/>
    </x:row>
    <x:row r="60" ht="34" customHeight="1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  <x:c r="O60" s="34"/>
    </x:row>
    <x:row r="61" ht="34" customHeight="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  <x:c r="N61" s="34"/>
      <x:c r="O61" s="34"/>
    </x:row>
    <x:row r="62" ht="34" customHeight="1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  <x:c r="N62" s="34"/>
      <x:c r="O62" s="34"/>
    </x:row>
    <x:row r="63" ht="34" customHeight="1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  <x:c r="N63" s="34"/>
      <x:c r="O63" s="34"/>
    </x:row>
    <x:row r="64" ht="34" customHeight="1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  <x:c r="N64" s="34"/>
      <x:c r="O64" s="34"/>
    </x:row>
    <x:row r="65" ht="34" customHeight="1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  <x:c r="N65" s="34"/>
      <x:c r="O65" s="34"/>
    </x:row>
    <x:row r="66" ht="34" customHeight="1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  <x:c r="N66" s="34"/>
      <x:c r="O66" s="34"/>
    </x:row>
    <x:row r="67" ht="34" customHeight="1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  <x:c r="N67" s="34"/>
      <x:c r="O67" s="34"/>
    </x:row>
    <x:row r="68" ht="34" customHeight="1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  <x:c r="N68" s="34"/>
      <x:c r="O68" s="34"/>
    </x:row>
    <x:row r="69" ht="34" customHeight="1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  <x:c r="N69" s="34"/>
      <x:c r="O69" s="34"/>
    </x:row>
    <x:row r="70" ht="34" customHeight="1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</x:row>
    <x:row r="71" ht="34" customHeight="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</x:row>
    <x:row r="72" ht="34" customHeight="1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</x:row>
    <x:row r="73" ht="34" customHeight="1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  <x:c r="N73" s="34"/>
      <x:c r="O73" s="34"/>
    </x:row>
    <x:row r="74" ht="34" customHeight="1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  <x:c r="N74" s="34"/>
      <x:c r="O74" s="34"/>
    </x:row>
    <x:row r="75" ht="34" customHeight="1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  <x:c r="N75" s="34"/>
      <x:c r="O75" s="34"/>
    </x:row>
    <x:row r="76" ht="34" customHeight="1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  <x:c r="N76" s="34"/>
      <x:c r="O76" s="34"/>
    </x:row>
    <x:row r="77" ht="34" customHeight="1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  <x:c r="N77" s="34"/>
      <x:c r="O77" s="34"/>
    </x:row>
    <x:row r="78" ht="34" customHeight="1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  <x:c r="N78" s="34"/>
      <x:c r="O78" s="34"/>
    </x:row>
    <x:row r="79" ht="34" customHeight="1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  <x:c r="N79" s="34"/>
      <x:c r="O79" s="34"/>
    </x:row>
    <x:row r="80" ht="34" customHeight="1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  <x:c r="N80" s="34"/>
      <x:c r="O80" s="34"/>
    </x:row>
    <x:row r="81" ht="34" customHeight="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  <x:c r="M81" s="34"/>
      <x:c r="N81" s="34"/>
      <x:c r="O81" s="34"/>
    </x:row>
    <x:row r="82" ht="34" customHeight="1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</x:row>
    <x:row r="83" ht="34" customHeight="1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34"/>
      <x:c r="N83" s="34"/>
      <x:c r="O83" s="34"/>
    </x:row>
    <x:row r="84" ht="34" customHeight="1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  <x:c r="M84" s="34"/>
      <x:c r="N84" s="34"/>
      <x:c r="O84" s="34"/>
    </x:row>
    <x:row r="85" ht="34" customHeight="1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  <x:c r="M85" s="34"/>
      <x:c r="N85" s="34"/>
      <x:c r="O85" s="34"/>
    </x:row>
    <x:row r="86" ht="34" customHeight="1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  <x:c r="M86" s="34"/>
      <x:c r="N86" s="34"/>
      <x:c r="O86" s="34"/>
    </x:row>
    <x:row r="87" ht="34" customHeight="1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  <x:c r="M87" s="34"/>
      <x:c r="N87" s="34"/>
      <x:c r="O87" s="34"/>
    </x:row>
    <x:row r="88" ht="34" customHeight="1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  <x:c r="M88" s="34"/>
      <x:c r="N88" s="34"/>
      <x:c r="O88" s="34"/>
    </x:row>
    <x:row r="89" ht="34" customHeight="1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  <x:c r="M89" s="34"/>
      <x:c r="N89" s="34"/>
      <x:c r="O89" s="34"/>
    </x:row>
    <x:row r="90" ht="34" customHeight="1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  <x:c r="M90" s="34"/>
      <x:c r="N90" s="34"/>
      <x:c r="O90" s="34"/>
    </x:row>
    <x:row r="91" ht="34" customHeight="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  <x:c r="M91" s="34"/>
      <x:c r="N91" s="34"/>
      <x:c r="O91" s="34"/>
    </x:row>
    <x:row r="92" ht="34" customHeight="1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  <x:c r="M92" s="34"/>
      <x:c r="N92" s="34"/>
      <x:c r="O92" s="34"/>
    </x:row>
    <x:row r="93" ht="34" customHeight="1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  <x:c r="M93" s="34"/>
      <x:c r="N93" s="34"/>
      <x:c r="O93" s="34"/>
    </x:row>
    <x:row r="94" ht="34" customHeight="1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  <x:c r="M94" s="34"/>
      <x:c r="N94" s="34"/>
      <x:c r="O94" s="34"/>
    </x:row>
    <x:row r="95" ht="34" customHeight="1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34"/>
      <x:c r="N95" s="34"/>
      <x:c r="O95" s="34"/>
    </x:row>
    <x:row r="96" ht="34" customHeight="1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34"/>
      <x:c r="N96" s="34"/>
      <x:c r="O96" s="34"/>
    </x:row>
    <x:row r="97" ht="34" customHeight="1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  <x:c r="M97" s="34"/>
      <x:c r="N97" s="34"/>
      <x:c r="O97" s="34"/>
    </x:row>
    <x:row r="98" ht="34" customHeight="1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  <x:c r="M98" s="34"/>
      <x:c r="N98" s="34"/>
      <x:c r="O98" s="34"/>
    </x:row>
    <x:row r="99" ht="34" customHeight="1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  <x:c r="M99" s="34"/>
      <x:c r="N99" s="34"/>
      <x:c r="O99" s="34"/>
    </x:row>
    <x:row r="100" ht="34" customHeight="1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</x:row>
    <x:row r="101" ht="34" customHeight="1">
      <x:c r="A101" s="34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34"/>
      <x:c r="L101" s="34"/>
      <x:c r="M101" s="34"/>
      <x:c r="N101" s="34"/>
      <x:c r="O101" s="34"/>
    </x:row>
    <x:row r="102" ht="34" customHeight="1">
      <x:c r="A102" s="34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34"/>
      <x:c r="L102" s="34"/>
      <x:c r="M102" s="34"/>
      <x:c r="N102" s="34"/>
      <x:c r="O102" s="34"/>
    </x:row>
    <x:row r="103" ht="34" customHeight="1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  <x:c r="L103" s="34"/>
      <x:c r="M103" s="34"/>
      <x:c r="N103" s="34"/>
      <x:c r="O103" s="34"/>
    </x:row>
    <x:row r="104" ht="34" customHeight="1"/>
    <x:row r="105" ht="34" customHeight="1"/>
    <x:row r="106" ht="34" customHeight="1"/>
    <x:row r="107" ht="34" customHeight="1"/>
    <x:row r="108" ht="34" customHeight="1"/>
    <x:row r="109" ht="34" customHeight="1"/>
    <x:row r="110" ht="34" customHeight="1"/>
    <x:row r="111" ht="34" customHeight="1"/>
    <x:row r="112" ht="34" customHeight="1"/>
    <x:row r="113" ht="34" customHeight="1"/>
    <x:row r="114" ht="34" customHeight="1"/>
    <x:row r="115" ht="34" customHeight="1"/>
    <x:row r="116" ht="34" customHeight="1"/>
    <x:row r="117" ht="34" customHeight="1"/>
    <x:row r="118" ht="34" customHeight="1"/>
    <x:row r="119" ht="34" customHeight="1"/>
    <x:row r="120" ht="34" customHeight="1"/>
    <x:row r="121" ht="34" customHeight="1"/>
    <x:row r="122" ht="34" customHeight="1"/>
    <x:row r="123" ht="34" customHeight="1"/>
    <x:row r="124" ht="34" customHeight="1"/>
    <x:row r="125" ht="34" customHeight="1"/>
    <x:row r="126" ht="34" customHeight="1"/>
    <x:row r="127" ht="34" customHeight="1"/>
    <x:row r="128" ht="34" customHeight="1"/>
    <x:row r="129" ht="34" customHeight="1"/>
    <x:row r="130" ht="34" customHeight="1"/>
    <x:row r="131" ht="34" customHeight="1"/>
    <x:row r="132" ht="34" customHeight="1"/>
    <x:row r="133" ht="34" customHeight="1"/>
    <x:row r="134" ht="34" customHeight="1"/>
    <x:row r="135" ht="34" customHeight="1"/>
    <x:row r="136" ht="34" customHeight="1"/>
    <x:row r="137" ht="34" customHeight="1"/>
    <x:row r="138" ht="34" customHeight="1"/>
    <x:row r="139" ht="34" customHeight="1"/>
    <x:row r="140" ht="34" customHeight="1"/>
    <x:row r="141" ht="34" customHeight="1"/>
    <x:row r="142" ht="34" customHeight="1"/>
    <x:row r="143" ht="34" customHeight="1"/>
    <x:row r="144" ht="34" customHeight="1"/>
    <x:row r="145" ht="34" customHeight="1"/>
    <x:row r="146" ht="34" customHeight="1"/>
    <x:row r="147" ht="34" customHeight="1"/>
    <x:row r="148" ht="34" customHeight="1"/>
    <x:row r="149" ht="34" customHeight="1"/>
    <x:row r="150" ht="34" customHeight="1"/>
    <x:row r="151" ht="34" customHeight="1"/>
    <x:row r="152" ht="34" customHeight="1"/>
    <x:row r="153" ht="34" customHeight="1"/>
    <x:row r="154" ht="34" customHeight="1"/>
    <x:row r="155" ht="34" customHeight="1"/>
    <x:row r="156" ht="34" customHeight="1"/>
    <x:row r="157" ht="34" customHeight="1"/>
    <x:row r="158" ht="34" customHeight="1"/>
    <x:row r="159" ht="34" customHeight="1"/>
    <x:row r="160" ht="34" customHeight="1"/>
    <x:row r="161" ht="34" customHeight="1"/>
    <x:row r="162" ht="34" customHeight="1"/>
    <x:row r="163" ht="34" customHeight="1"/>
    <x:row r="164" ht="34" customHeight="1"/>
    <x:row r="165" ht="34" customHeight="1"/>
    <x:row r="166" ht="34" customHeight="1"/>
    <x:row r="167" ht="34" customHeight="1"/>
    <x:row r="168" ht="34" customHeight="1"/>
    <x:row r="169" ht="34" customHeight="1"/>
    <x:row r="170" ht="34" customHeight="1"/>
    <x:row r="171" ht="34" customHeight="1"/>
    <x:row r="172" ht="34" customHeight="1"/>
    <x:row r="173" ht="34" customHeight="1"/>
    <x:row r="174" ht="34" customHeight="1"/>
    <x:row r="175" ht="34" customHeight="1"/>
    <x:row r="176" ht="34" customHeight="1"/>
    <x:row r="177" ht="34" customHeight="1"/>
    <x:row r="178" ht="34" customHeight="1"/>
    <x:row r="179" ht="34" customHeight="1"/>
    <x:row r="180" ht="34" customHeight="1"/>
    <x:row r="181" ht="34" customHeight="1"/>
    <x:row r="182" ht="34" customHeight="1"/>
    <x:row r="183" ht="34" customHeight="1"/>
    <x:row r="184" ht="34" customHeight="1"/>
    <x:row r="185" ht="34" customHeight="1"/>
    <x:row r="186" ht="34" customHeight="1"/>
    <x:row r="187" ht="34" customHeight="1"/>
    <x:row r="188" ht="34" customHeight="1"/>
    <x:row r="189" ht="34" customHeight="1"/>
    <x:row r="190" ht="34" customHeight="1"/>
    <x:row r="191" ht="34" customHeight="1"/>
    <x:row r="192" ht="34" customHeight="1"/>
    <x:row r="193" ht="34" customHeight="1"/>
    <x:row r="194" ht="34" customHeight="1"/>
    <x:row r="195" ht="34" customHeight="1"/>
    <x:row r="196" ht="34" customHeight="1"/>
    <x:row r="197" ht="34" customHeight="1"/>
    <x:row r="198" ht="34" customHeight="1"/>
    <x:row r="199" ht="34" customHeight="1"/>
    <x:row r="200" ht="34" customHeight="1"/>
    <x:row r="201" ht="34" customHeight="1"/>
    <x:row r="202" ht="34" customHeight="1"/>
    <x:row r="203" ht="34" customHeight="1"/>
  </x:sheetData>
  <x:mergeCells>
    <x:mergeCell ref="A1:O1"/>
  </x:mergeCells>
  <x:dataValidations count="2">
    <x:dataValidation type="list" sqref="B4:B103">
      <x:formula1>Справочники!$J$4:$J$12</x:formula1>
    </x:dataValidation>
    <x:dataValidation type="list" sqref="N4:N103">
      <x:formula1>Справочники!$A$18:$A$28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54fd8ded31452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18" hidden="0" customWidth="1"/>
    <x:col min="4" max="4" width="24" hidden="0" customWidth="1"/>
    <x:col min="5" max="5" width="36" hidden="0" customWidth="1"/>
    <x:col min="6" max="6" width="32" hidden="0" customWidth="1"/>
    <x:col min="7" max="7" width="24" hidden="0" customWidth="1"/>
    <x:col min="8" max="8" width="24" hidden="0" customWidth="1"/>
    <x:col min="9" max="9" width="18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4" hidden="0" customWidth="1"/>
    <x:col min="16" max="16" width="20" hidden="0" customWidth="1"/>
    <x:col min="17" max="17" width="22" hidden="0" customWidth="1"/>
  </x:cols>
  <x:sheetData>
    <x:row r="1" ht="30" customHeight="1">
      <x:c r="A1" s="58" t="str">
        <x:v>Перевод пользовательских сценариев в функциональные требования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20"/>
      <x:c r="S1" s="20"/>
      <x:c r="T1" s="20"/>
      <x:c r="U1" s="20"/>
      <x:c r="V1" s="20"/>
      <x:c r="W1" s="20"/>
      <x:c r="X1" s="20"/>
      <x:c r="Y1" s="20"/>
      <x:c r="Z1" s="20"/>
    </x:row>
    <x:row r="3" ht="34" customHeight="1">
      <x:c r="A3" s="40" t="str">
        <x:v>ID требования</x:v>
      </x:c>
      <x:c r="B3" s="40" t="str">
        <x:v>Требование</x:v>
      </x:c>
      <x:c r="C3" s="40" t="str">
        <x:v>Связанный сценарий</x:v>
      </x:c>
      <x:c r="D3" s="40" t="str">
        <x:v>Роль</x:v>
      </x:c>
      <x:c r="E3" s="40" t="str">
        <x:v>Пользовательская задача</x:v>
      </x:c>
      <x:c r="F3" s="40" t="str">
        <x:v>Бизнес-цель</x:v>
      </x:c>
      <x:c r="G3" s="40" t="str">
        <x:v>Категория Кано</x:v>
      </x:c>
      <x:c r="H3" s="40" t="str">
        <x:v>Уровень товара по Левитту</x:v>
      </x:c>
      <x:c r="I3" s="40" t="str">
        <x:v>Влияние на ценность (1-5)</x:v>
      </x:c>
      <x:c r="J3" s="40" t="str">
        <x:v>Влияние на монетизацию (1-5)</x:v>
      </x:c>
      <x:c r="K3" s="40" t="str">
        <x:v>Сложность реализации (1-5)</x:v>
      </x:c>
      <x:c r="L3" s="40" t="str">
        <x:v>Доказательность (1-4)</x:v>
      </x:c>
      <x:c r="M3" s="40" t="str">
        <x:v>Индекс приоритета</x:v>
      </x:c>
      <x:c r="N3" s="40" t="str">
        <x:v>Приоритет</x:v>
      </x:c>
      <x:c r="O3" s="40" t="str">
        <x:v>MVP</x:v>
      </x:c>
      <x:c r="P3" s="40" t="str">
        <x:v>Статус</x:v>
      </x:c>
      <x:c r="Q3" s="40" t="str">
        <x:v>Источник</x:v>
      </x:c>
    </x:row>
    <x:row r="4" ht="34" customHeight="1">
      <x:c r="A4" s="34" t="str">
        <x:v>F-001</x:v>
      </x:c>
      <x:c r="B4" s="34" t="str">
        <x:v>Пошаговая первичная настройка с подсказками</x:v>
      </x:c>
      <x:c r="C4" s="34" t="str">
        <x:v>S-001</x:v>
      </x:c>
      <x:c r="D4" s="34" t="str">
        <x:v>Новый пользователь</x:v>
      </x:c>
      <x:c r="E4" s="34" t="str">
        <x:v>Получить первый результат без длительного изучения</x:v>
      </x:c>
      <x:c r="F4" s="34" t="str">
        <x:v>Повысить конверсию в регистрацию</x:v>
      </x:c>
      <x:c r="G4" s="34" t="str">
        <x:v>Базовое требование</x:v>
      </x:c>
      <x:c r="H4" s="34" t="str">
        <x:v>Ожидаемый товар</x:v>
      </x:c>
      <x:c r="I4" s="34" t="n">
        <x:v>5</x:v>
      </x:c>
      <x:c r="J4" s="34" t="n">
        <x:v>4</x:v>
      </x:c>
      <x:c r="K4" s="34" t="n">
        <x:v>3</x:v>
      </x:c>
      <x:c r="L4" s="34" t="n">
        <x:v>3</x:v>
      </x:c>
      <x:c r="M4" s="52" t="n">
        <x:f>IF(A4="","",IFERROR((I4+J4)*L4/K4,0))</x:f>
        <x:v>9</x:v>
      </x:c>
      <x:c r="N4" s="54" t="str">
        <x:f>IF(M4="","",IF(M4&gt;=16,"Критический",IF(M4&gt;=10,"Высокий",IF(M4&gt;=6,"Средний",IF(M4&gt;=3,"Низкий","Отложить")))))</x:f>
        <x:v>Средний</x:v>
      </x:c>
      <x:c r="O4" s="54" t="str">
        <x:f>IF(M4="","",IF(OR(N4="Критический",N4="Высокий"),"Да",IF(N4="Средний","Кандидат","Нет")))</x:f>
        <x:v>Кандидат</x:v>
      </x:c>
      <x:c r="P4" s="34" t="str">
        <x:v>Требует проверки</x:v>
      </x:c>
      <x:c r="Q4" s="34" t="str">
        <x:v>A-001</x:v>
      </x:c>
    </x:row>
    <x:row r="5" ht="34" customHeight="1">
      <x:c r="A5" s="34" t="str">
        <x:v>F-002</x:v>
      </x:c>
      <x:c r="B5" s="34" t="str">
        <x:v>Сравнение тарифов с привязкой к результату пользователя</x:v>
      </x:c>
      <x:c r="C5" s="34" t="str">
        <x:v>S-002</x:v>
      </x:c>
      <x:c r="D5" s="34" t="str">
        <x:v>Потенциальный клиент</x:v>
      </x:c>
      <x:c r="E5" s="34" t="str">
        <x:v>Понять, за что пользователь платит</x:v>
      </x:c>
      <x:c r="F5" s="34" t="str">
        <x:v>Повысить конверсию в оплату</x:v>
      </x:c>
      <x:c r="G5" s="34" t="str">
        <x:v>Линейное требование</x:v>
      </x:c>
      <x:c r="H5" s="34" t="str">
        <x:v>Расширенный товар</x:v>
      </x:c>
      <x:c r="I5" s="34" t="n">
        <x:v>4</x:v>
      </x:c>
      <x:c r="J5" s="34" t="n">
        <x:v>5</x:v>
      </x:c>
      <x:c r="K5" s="34" t="n">
        <x:v>2</x:v>
      </x:c>
      <x:c r="L5" s="34" t="n">
        <x:v>4</x:v>
      </x:c>
      <x:c r="M5" s="52" t="n">
        <x:f>IF(A5="","",IFERROR((I5+J5)*L5/K5,0))</x:f>
        <x:v>18</x:v>
      </x:c>
      <x:c r="N5" s="54" t="str">
        <x:f>IF(M5="","",IF(M5&gt;=16,"Критический",IF(M5&gt;=10,"Высокий",IF(M5&gt;=6,"Средний",IF(M5&gt;=3,"Низкий","Отложить")))))</x:f>
        <x:v>Критический</x:v>
      </x:c>
      <x:c r="O5" s="54" t="str">
        <x:f>IF(M5="","",IF(OR(N5="Критический",N5="Высокий"),"Да",IF(N5="Средний","Кандидат","Нет")))</x:f>
        <x:v>Да</x:v>
      </x:c>
      <x:c r="P5" s="34" t="str">
        <x:v>Подтверждено</x:v>
      </x:c>
      <x:c r="Q5" s="34" t="str">
        <x:v>A-003</x:v>
      </x:c>
    </x:row>
    <x:row r="6" ht="34" customHeight="1">
      <x:c r="A6" s="34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52" t="str">
        <x:f>IF(A6="","",IFERROR((I6+J6)*L6/K6,0))</x:f>
      </x:c>
      <x:c r="N6" s="54" t="str">
        <x:f>IF(M6="","",IF(M6&gt;=16,"Критический",IF(M6&gt;=10,"Высокий",IF(M6&gt;=6,"Средний",IF(M6&gt;=3,"Низкий","Отложить")))))</x:f>
      </x:c>
      <x:c r="O6" s="54" t="str">
        <x:f>IF(M6="","",IF(OR(N6="Критический",N6="Высокий"),"Да",IF(N6="Средний","Кандидат","Нет")))</x:f>
      </x:c>
      <x:c r="P6" s="34"/>
      <x:c r="Q6" s="34"/>
    </x:row>
    <x:row r="7" ht="34" customHeight="1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52" t="str">
        <x:f>IF(A7="","",IFERROR((I7+J7)*L7/K7,0))</x:f>
      </x:c>
      <x:c r="N7" s="54" t="str">
        <x:f>IF(M7="","",IF(M7&gt;=16,"Критический",IF(M7&gt;=10,"Высокий",IF(M7&gt;=6,"Средний",IF(M7&gt;=3,"Низкий","Отложить")))))</x:f>
      </x:c>
      <x:c r="O7" s="54" t="str">
        <x:f>IF(M7="","",IF(OR(N7="Критический",N7="Высокий"),"Да",IF(N7="Средний","Кандидат","Нет")))</x:f>
      </x:c>
      <x:c r="P7" s="34"/>
      <x:c r="Q7" s="34"/>
    </x:row>
    <x:row r="8" ht="34" customHeight="1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52" t="str">
        <x:f>IF(A8="","",IFERROR((I8+J8)*L8/K8,0))</x:f>
      </x:c>
      <x:c r="N8" s="54" t="str">
        <x:f>IF(M8="","",IF(M8&gt;=16,"Критический",IF(M8&gt;=10,"Высокий",IF(M8&gt;=6,"Средний",IF(M8&gt;=3,"Низкий","Отложить")))))</x:f>
      </x:c>
      <x:c r="O8" s="54" t="str">
        <x:f>IF(M8="","",IF(OR(N8="Критический",N8="Высокий"),"Да",IF(N8="Средний","Кандидат","Нет")))</x:f>
      </x:c>
      <x:c r="P8" s="34"/>
      <x:c r="Q8" s="34"/>
    </x:row>
    <x:row r="9" ht="34" customHeight="1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52" t="str">
        <x:f>IF(A9="","",IFERROR((I9+J9)*L9/K9,0))</x:f>
      </x:c>
      <x:c r="N9" s="54" t="str">
        <x:f>IF(M9="","",IF(M9&gt;=16,"Критический",IF(M9&gt;=10,"Высокий",IF(M9&gt;=6,"Средний",IF(M9&gt;=3,"Низкий","Отложить")))))</x:f>
      </x:c>
      <x:c r="O9" s="54" t="str">
        <x:f>IF(M9="","",IF(OR(N9="Критический",N9="Высокий"),"Да",IF(N9="Средний","Кандидат","Нет")))</x:f>
      </x:c>
      <x:c r="P9" s="34"/>
      <x:c r="Q9" s="34"/>
    </x:row>
    <x:row r="10" ht="34" customHeight="1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52" t="str">
        <x:f>IF(A10="","",IFERROR((I10+J10)*L10/K10,0))</x:f>
      </x:c>
      <x:c r="N10" s="54" t="str">
        <x:f>IF(M10="","",IF(M10&gt;=16,"Критический",IF(M10&gt;=10,"Высокий",IF(M10&gt;=6,"Средний",IF(M10&gt;=3,"Низкий","Отложить")))))</x:f>
      </x:c>
      <x:c r="O10" s="54" t="str">
        <x:f>IF(M10="","",IF(OR(N10="Критический",N10="Высокий"),"Да",IF(N10="Средний","Кандидат","Нет")))</x:f>
      </x:c>
      <x:c r="P10" s="34"/>
      <x:c r="Q10" s="34"/>
    </x:row>
    <x:row r="11" ht="34" customHeight="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52" t="str">
        <x:f>IF(A11="","",IFERROR((I11+J11)*L11/K11,0))</x:f>
      </x:c>
      <x:c r="N11" s="54" t="str">
        <x:f>IF(M11="","",IF(M11&gt;=16,"Критический",IF(M11&gt;=10,"Высокий",IF(M11&gt;=6,"Средний",IF(M11&gt;=3,"Низкий","Отложить")))))</x:f>
      </x:c>
      <x:c r="O11" s="54" t="str">
        <x:f>IF(M11="","",IF(OR(N11="Критический",N11="Высокий"),"Да",IF(N11="Средний","Кандидат","Нет")))</x:f>
      </x:c>
      <x:c r="P11" s="34"/>
      <x:c r="Q11" s="34"/>
    </x:row>
    <x:row r="12" ht="34" customHeight="1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52" t="str">
        <x:f>IF(A12="","",IFERROR((I12+J12)*L12/K12,0))</x:f>
      </x:c>
      <x:c r="N12" s="54" t="str">
        <x:f>IF(M12="","",IF(M12&gt;=16,"Критический",IF(M12&gt;=10,"Высокий",IF(M12&gt;=6,"Средний",IF(M12&gt;=3,"Низкий","Отложить")))))</x:f>
      </x:c>
      <x:c r="O12" s="54" t="str">
        <x:f>IF(M12="","",IF(OR(N12="Критический",N12="Высокий"),"Да",IF(N12="Средний","Кандидат","Нет")))</x:f>
      </x:c>
      <x:c r="P12" s="34"/>
      <x:c r="Q12" s="34"/>
    </x:row>
    <x:row r="13" ht="34" customHeight="1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52" t="str">
        <x:f>IF(A13="","",IFERROR((I13+J13)*L13/K13,0))</x:f>
      </x:c>
      <x:c r="N13" s="54" t="str">
        <x:f>IF(M13="","",IF(M13&gt;=16,"Критический",IF(M13&gt;=10,"Высокий",IF(M13&gt;=6,"Средний",IF(M13&gt;=3,"Низкий","Отложить")))))</x:f>
      </x:c>
      <x:c r="O13" s="54" t="str">
        <x:f>IF(M13="","",IF(OR(N13="Критический",N13="Высокий"),"Да",IF(N13="Средний","Кандидат","Нет")))</x:f>
      </x:c>
      <x:c r="P13" s="34"/>
      <x:c r="Q13" s="34"/>
    </x:row>
    <x:row r="14" ht="34" customHeight="1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52" t="str">
        <x:f>IF(A14="","",IFERROR((I14+J14)*L14/K14,0))</x:f>
      </x:c>
      <x:c r="N14" s="54" t="str">
        <x:f>IF(M14="","",IF(M14&gt;=16,"Критический",IF(M14&gt;=10,"Высокий",IF(M14&gt;=6,"Средний",IF(M14&gt;=3,"Низкий","Отложить")))))</x:f>
      </x:c>
      <x:c r="O14" s="54" t="str">
        <x:f>IF(M14="","",IF(OR(N14="Критический",N14="Высокий"),"Да",IF(N14="Средний","Кандидат","Нет")))</x:f>
      </x:c>
      <x:c r="P14" s="34"/>
      <x:c r="Q14" s="34"/>
    </x:row>
    <x:row r="15" ht="34" customHeight="1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52" t="str">
        <x:f>IF(A15="","",IFERROR((I15+J15)*L15/K15,0))</x:f>
      </x:c>
      <x:c r="N15" s="54" t="str">
        <x:f>IF(M15="","",IF(M15&gt;=16,"Критический",IF(M15&gt;=10,"Высокий",IF(M15&gt;=6,"Средний",IF(M15&gt;=3,"Низкий","Отложить")))))</x:f>
      </x:c>
      <x:c r="O15" s="54" t="str">
        <x:f>IF(M15="","",IF(OR(N15="Критический",N15="Высокий"),"Да",IF(N15="Средний","Кандидат","Нет")))</x:f>
      </x:c>
      <x:c r="P15" s="34"/>
      <x:c r="Q15" s="34"/>
    </x:row>
    <x:row r="16" ht="34" customHeight="1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52" t="str">
        <x:f>IF(A16="","",IFERROR((I16+J16)*L16/K16,0))</x:f>
      </x:c>
      <x:c r="N16" s="54" t="str">
        <x:f>IF(M16="","",IF(M16&gt;=16,"Критический",IF(M16&gt;=10,"Высокий",IF(M16&gt;=6,"Средний",IF(M16&gt;=3,"Низкий","Отложить")))))</x:f>
      </x:c>
      <x:c r="O16" s="54" t="str">
        <x:f>IF(M16="","",IF(OR(N16="Критический",N16="Высокий"),"Да",IF(N16="Средний","Кандидат","Нет")))</x:f>
      </x:c>
      <x:c r="P16" s="34"/>
      <x:c r="Q16" s="34"/>
    </x:row>
    <x:row r="17" ht="34" customHeight="1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52" t="str">
        <x:f>IF(A17="","",IFERROR((I17+J17)*L17/K17,0))</x:f>
      </x:c>
      <x:c r="N17" s="54" t="str">
        <x:f>IF(M17="","",IF(M17&gt;=16,"Критический",IF(M17&gt;=10,"Высокий",IF(M17&gt;=6,"Средний",IF(M17&gt;=3,"Низкий","Отложить")))))</x:f>
      </x:c>
      <x:c r="O17" s="54" t="str">
        <x:f>IF(M17="","",IF(OR(N17="Критический",N17="Высокий"),"Да",IF(N17="Средний","Кандидат","Нет")))</x:f>
      </x:c>
      <x:c r="P17" s="34"/>
      <x:c r="Q17" s="34"/>
    </x:row>
    <x:row r="18" ht="34" customHeight="1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52" t="str">
        <x:f>IF(A18="","",IFERROR((I18+J18)*L18/K18,0))</x:f>
      </x:c>
      <x:c r="N18" s="54" t="str">
        <x:f>IF(M18="","",IF(M18&gt;=16,"Критический",IF(M18&gt;=10,"Высокий",IF(M18&gt;=6,"Средний",IF(M18&gt;=3,"Низкий","Отложить")))))</x:f>
      </x:c>
      <x:c r="O18" s="54" t="str">
        <x:f>IF(M18="","",IF(OR(N18="Критический",N18="Высокий"),"Да",IF(N18="Средний","Кандидат","Нет")))</x:f>
      </x:c>
      <x:c r="P18" s="34"/>
      <x:c r="Q18" s="34"/>
    </x:row>
    <x:row r="19" ht="34" customHeight="1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52" t="str">
        <x:f>IF(A19="","",IFERROR((I19+J19)*L19/K19,0))</x:f>
      </x:c>
      <x:c r="N19" s="54" t="str">
        <x:f>IF(M19="","",IF(M19&gt;=16,"Критический",IF(M19&gt;=10,"Высокий",IF(M19&gt;=6,"Средний",IF(M19&gt;=3,"Низкий","Отложить")))))</x:f>
      </x:c>
      <x:c r="O19" s="54" t="str">
        <x:f>IF(M19="","",IF(OR(N19="Критический",N19="Высокий"),"Да",IF(N19="Средний","Кандидат","Нет")))</x:f>
      </x:c>
      <x:c r="P19" s="34"/>
      <x:c r="Q19" s="34"/>
    </x:row>
    <x:row r="20" ht="34" customHeight="1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52" t="str">
        <x:f>IF(A20="","",IFERROR((I20+J20)*L20/K20,0))</x:f>
      </x:c>
      <x:c r="N20" s="54" t="str">
        <x:f>IF(M20="","",IF(M20&gt;=16,"Критический",IF(M20&gt;=10,"Высокий",IF(M20&gt;=6,"Средний",IF(M20&gt;=3,"Низкий","Отложить")))))</x:f>
      </x:c>
      <x:c r="O20" s="54" t="str">
        <x:f>IF(M20="","",IF(OR(N20="Критический",N20="Высокий"),"Да",IF(N20="Средний","Кандидат","Нет")))</x:f>
      </x:c>
      <x:c r="P20" s="34"/>
      <x:c r="Q20" s="34"/>
    </x:row>
    <x:row r="21" ht="34" customHeight="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52" t="str">
        <x:f>IF(A21="","",IFERROR((I21+J21)*L21/K21,0))</x:f>
      </x:c>
      <x:c r="N21" s="54" t="str">
        <x:f>IF(M21="","",IF(M21&gt;=16,"Критический",IF(M21&gt;=10,"Высокий",IF(M21&gt;=6,"Средний",IF(M21&gt;=3,"Низкий","Отложить")))))</x:f>
      </x:c>
      <x:c r="O21" s="54" t="str">
        <x:f>IF(M21="","",IF(OR(N21="Критический",N21="Высокий"),"Да",IF(N21="Средний","Кандидат","Нет")))</x:f>
      </x:c>
      <x:c r="P21" s="34"/>
      <x:c r="Q21" s="34"/>
    </x:row>
    <x:row r="22" ht="34" customHeight="1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52" t="str">
        <x:f>IF(A22="","",IFERROR((I22+J22)*L22/K22,0))</x:f>
      </x:c>
      <x:c r="N22" s="54" t="str">
        <x:f>IF(M22="","",IF(M22&gt;=16,"Критический",IF(M22&gt;=10,"Высокий",IF(M22&gt;=6,"Средний",IF(M22&gt;=3,"Низкий","Отложить")))))</x:f>
      </x:c>
      <x:c r="O22" s="54" t="str">
        <x:f>IF(M22="","",IF(OR(N22="Критический",N22="Высокий"),"Да",IF(N22="Средний","Кандидат","Нет")))</x:f>
      </x:c>
      <x:c r="P22" s="34"/>
      <x:c r="Q22" s="34"/>
    </x:row>
    <x:row r="23" ht="34" customHeight="1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52" t="str">
        <x:f>IF(A23="","",IFERROR((I23+J23)*L23/K23,0))</x:f>
      </x:c>
      <x:c r="N23" s="54" t="str">
        <x:f>IF(M23="","",IF(M23&gt;=16,"Критический",IF(M23&gt;=10,"Высокий",IF(M23&gt;=6,"Средний",IF(M23&gt;=3,"Низкий","Отложить")))))</x:f>
      </x:c>
      <x:c r="O23" s="54" t="str">
        <x:f>IF(M23="","",IF(OR(N23="Критический",N23="Высокий"),"Да",IF(N23="Средний","Кандидат","Нет")))</x:f>
      </x:c>
      <x:c r="P23" s="34"/>
      <x:c r="Q23" s="34"/>
    </x:row>
    <x:row r="24" ht="34" customHeight="1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52" t="str">
        <x:f>IF(A24="","",IFERROR((I24+J24)*L24/K24,0))</x:f>
      </x:c>
      <x:c r="N24" s="54" t="str">
        <x:f>IF(M24="","",IF(M24&gt;=16,"Критический",IF(M24&gt;=10,"Высокий",IF(M24&gt;=6,"Средний",IF(M24&gt;=3,"Низкий","Отложить")))))</x:f>
      </x:c>
      <x:c r="O24" s="54" t="str">
        <x:f>IF(M24="","",IF(OR(N24="Критический",N24="Высокий"),"Да",IF(N24="Средний","Кандидат","Нет")))</x:f>
      </x:c>
      <x:c r="P24" s="34"/>
      <x:c r="Q24" s="34"/>
    </x:row>
    <x:row r="25" ht="34" customHeight="1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52" t="str">
        <x:f>IF(A25="","",IFERROR((I25+J25)*L25/K25,0))</x:f>
      </x:c>
      <x:c r="N25" s="54" t="str">
        <x:f>IF(M25="","",IF(M25&gt;=16,"Критический",IF(M25&gt;=10,"Высокий",IF(M25&gt;=6,"Средний",IF(M25&gt;=3,"Низкий","Отложить")))))</x:f>
      </x:c>
      <x:c r="O25" s="54" t="str">
        <x:f>IF(M25="","",IF(OR(N25="Критический",N25="Высокий"),"Да",IF(N25="Средний","Кандидат","Нет")))</x:f>
      </x:c>
      <x:c r="P25" s="34"/>
      <x:c r="Q25" s="34"/>
    </x:row>
    <x:row r="26" ht="34" customHeight="1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52" t="str">
        <x:f>IF(A26="","",IFERROR((I26+J26)*L26/K26,0))</x:f>
      </x:c>
      <x:c r="N26" s="54" t="str">
        <x:f>IF(M26="","",IF(M26&gt;=16,"Критический",IF(M26&gt;=10,"Высокий",IF(M26&gt;=6,"Средний",IF(M26&gt;=3,"Низкий","Отложить")))))</x:f>
      </x:c>
      <x:c r="O26" s="54" t="str">
        <x:f>IF(M26="","",IF(OR(N26="Критический",N26="Высокий"),"Да",IF(N26="Средний","Кандидат","Нет")))</x:f>
      </x:c>
      <x:c r="P26" s="34"/>
      <x:c r="Q26" s="34"/>
    </x:row>
    <x:row r="27" ht="34" customHeight="1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52" t="str">
        <x:f>IF(A27="","",IFERROR((I27+J27)*L27/K27,0))</x:f>
      </x:c>
      <x:c r="N27" s="54" t="str">
        <x:f>IF(M27="","",IF(M27&gt;=16,"Критический",IF(M27&gt;=10,"Высокий",IF(M27&gt;=6,"Средний",IF(M27&gt;=3,"Низкий","Отложить")))))</x:f>
      </x:c>
      <x:c r="O27" s="54" t="str">
        <x:f>IF(M27="","",IF(OR(N27="Критический",N27="Высокий"),"Да",IF(N27="Средний","Кандидат","Нет")))</x:f>
      </x:c>
      <x:c r="P27" s="34"/>
      <x:c r="Q27" s="34"/>
    </x:row>
    <x:row r="28" ht="34" customHeight="1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52" t="str">
        <x:f>IF(A28="","",IFERROR((I28+J28)*L28/K28,0))</x:f>
      </x:c>
      <x:c r="N28" s="54" t="str">
        <x:f>IF(M28="","",IF(M28&gt;=16,"Критический",IF(M28&gt;=10,"Высокий",IF(M28&gt;=6,"Средний",IF(M28&gt;=3,"Низкий","Отложить")))))</x:f>
      </x:c>
      <x:c r="O28" s="54" t="str">
        <x:f>IF(M28="","",IF(OR(N28="Критический",N28="Высокий"),"Да",IF(N28="Средний","Кандидат","Нет")))</x:f>
      </x:c>
      <x:c r="P28" s="34"/>
      <x:c r="Q28" s="34"/>
    </x:row>
    <x:row r="29" ht="34" customHeight="1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52" t="str">
        <x:f>IF(A29="","",IFERROR((I29+J29)*L29/K29,0))</x:f>
      </x:c>
      <x:c r="N29" s="54" t="str">
        <x:f>IF(M29="","",IF(M29&gt;=16,"Критический",IF(M29&gt;=10,"Высокий",IF(M29&gt;=6,"Средний",IF(M29&gt;=3,"Низкий","Отложить")))))</x:f>
      </x:c>
      <x:c r="O29" s="54" t="str">
        <x:f>IF(M29="","",IF(OR(N29="Критический",N29="Высокий"),"Да",IF(N29="Средний","Кандидат","Нет")))</x:f>
      </x:c>
      <x:c r="P29" s="34"/>
      <x:c r="Q29" s="34"/>
    </x:row>
    <x:row r="30" ht="34" customHeight="1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52" t="str">
        <x:f>IF(A30="","",IFERROR((I30+J30)*L30/K30,0))</x:f>
      </x:c>
      <x:c r="N30" s="54" t="str">
        <x:f>IF(M30="","",IF(M30&gt;=16,"Критический",IF(M30&gt;=10,"Высокий",IF(M30&gt;=6,"Средний",IF(M30&gt;=3,"Низкий","Отложить")))))</x:f>
      </x:c>
      <x:c r="O30" s="54" t="str">
        <x:f>IF(M30="","",IF(OR(N30="Критический",N30="Высокий"),"Да",IF(N30="Средний","Кандидат","Нет")))</x:f>
      </x:c>
      <x:c r="P30" s="34"/>
      <x:c r="Q30" s="34"/>
    </x:row>
    <x:row r="31" ht="34" customHeight="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52" t="str">
        <x:f>IF(A31="","",IFERROR((I31+J31)*L31/K31,0))</x:f>
      </x:c>
      <x:c r="N31" s="54" t="str">
        <x:f>IF(M31="","",IF(M31&gt;=16,"Критический",IF(M31&gt;=10,"Высокий",IF(M31&gt;=6,"Средний",IF(M31&gt;=3,"Низкий","Отложить")))))</x:f>
      </x:c>
      <x:c r="O31" s="54" t="str">
        <x:f>IF(M31="","",IF(OR(N31="Критический",N31="Высокий"),"Да",IF(N31="Средний","Кандидат","Нет")))</x:f>
      </x:c>
      <x:c r="P31" s="34"/>
      <x:c r="Q31" s="34"/>
    </x:row>
    <x:row r="32" ht="34" customHeight="1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52" t="str">
        <x:f>IF(A32="","",IFERROR((I32+J32)*L32/K32,0))</x:f>
      </x:c>
      <x:c r="N32" s="54" t="str">
        <x:f>IF(M32="","",IF(M32&gt;=16,"Критический",IF(M32&gt;=10,"Высокий",IF(M32&gt;=6,"Средний",IF(M32&gt;=3,"Низкий","Отложить")))))</x:f>
      </x:c>
      <x:c r="O32" s="54" t="str">
        <x:f>IF(M32="","",IF(OR(N32="Критический",N32="Высокий"),"Да",IF(N32="Средний","Кандидат","Нет")))</x:f>
      </x:c>
      <x:c r="P32" s="34"/>
      <x:c r="Q32" s="34"/>
    </x:row>
    <x:row r="33" ht="34" customHeight="1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52" t="str">
        <x:f>IF(A33="","",IFERROR((I33+J33)*L33/K33,0))</x:f>
      </x:c>
      <x:c r="N33" s="54" t="str">
        <x:f>IF(M33="","",IF(M33&gt;=16,"Критический",IF(M33&gt;=10,"Высокий",IF(M33&gt;=6,"Средний",IF(M33&gt;=3,"Низкий","Отложить")))))</x:f>
      </x:c>
      <x:c r="O33" s="54" t="str">
        <x:f>IF(M33="","",IF(OR(N33="Критический",N33="Высокий"),"Да",IF(N33="Средний","Кандидат","Нет")))</x:f>
      </x:c>
      <x:c r="P33" s="34"/>
      <x:c r="Q33" s="34"/>
    </x:row>
    <x:row r="34" ht="34" customHeight="1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52" t="str">
        <x:f>IF(A34="","",IFERROR((I34+J34)*L34/K34,0))</x:f>
      </x:c>
      <x:c r="N34" s="54" t="str">
        <x:f>IF(M34="","",IF(M34&gt;=16,"Критический",IF(M34&gt;=10,"Высокий",IF(M34&gt;=6,"Средний",IF(M34&gt;=3,"Низкий","Отложить")))))</x:f>
      </x:c>
      <x:c r="O34" s="54" t="str">
        <x:f>IF(M34="","",IF(OR(N34="Критический",N34="Высокий"),"Да",IF(N34="Средний","Кандидат","Нет")))</x:f>
      </x:c>
      <x:c r="P34" s="34"/>
      <x:c r="Q34" s="34"/>
    </x:row>
    <x:row r="35" ht="34" customHeight="1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52" t="str">
        <x:f>IF(A35="","",IFERROR((I35+J35)*L35/K35,0))</x:f>
      </x:c>
      <x:c r="N35" s="54" t="str">
        <x:f>IF(M35="","",IF(M35&gt;=16,"Критический",IF(M35&gt;=10,"Высокий",IF(M35&gt;=6,"Средний",IF(M35&gt;=3,"Низкий","Отложить")))))</x:f>
      </x:c>
      <x:c r="O35" s="54" t="str">
        <x:f>IF(M35="","",IF(OR(N35="Критический",N35="Высокий"),"Да",IF(N35="Средний","Кандидат","Нет")))</x:f>
      </x:c>
      <x:c r="P35" s="34"/>
      <x:c r="Q35" s="34"/>
    </x:row>
    <x:row r="36" ht="34" customHeight="1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52" t="str">
        <x:f>IF(A36="","",IFERROR((I36+J36)*L36/K36,0))</x:f>
      </x:c>
      <x:c r="N36" s="54" t="str">
        <x:f>IF(M36="","",IF(M36&gt;=16,"Критический",IF(M36&gt;=10,"Высокий",IF(M36&gt;=6,"Средний",IF(M36&gt;=3,"Низкий","Отложить")))))</x:f>
      </x:c>
      <x:c r="O36" s="54" t="str">
        <x:f>IF(M36="","",IF(OR(N36="Критический",N36="Высокий"),"Да",IF(N36="Средний","Кандидат","Нет")))</x:f>
      </x:c>
      <x:c r="P36" s="34"/>
      <x:c r="Q36" s="34"/>
    </x:row>
    <x:row r="37" ht="34" customHeight="1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52" t="str">
        <x:f>IF(A37="","",IFERROR((I37+J37)*L37/K37,0))</x:f>
      </x:c>
      <x:c r="N37" s="54" t="str">
        <x:f>IF(M37="","",IF(M37&gt;=16,"Критический",IF(M37&gt;=10,"Высокий",IF(M37&gt;=6,"Средний",IF(M37&gt;=3,"Низкий","Отложить")))))</x:f>
      </x:c>
      <x:c r="O37" s="54" t="str">
        <x:f>IF(M37="","",IF(OR(N37="Критический",N37="Высокий"),"Да",IF(N37="Средний","Кандидат","Нет")))</x:f>
      </x:c>
      <x:c r="P37" s="34"/>
      <x:c r="Q37" s="34"/>
    </x:row>
    <x:row r="38" ht="34" customHeight="1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52" t="str">
        <x:f>IF(A38="","",IFERROR((I38+J38)*L38/K38,0))</x:f>
      </x:c>
      <x:c r="N38" s="54" t="str">
        <x:f>IF(M38="","",IF(M38&gt;=16,"Критический",IF(M38&gt;=10,"Высокий",IF(M38&gt;=6,"Средний",IF(M38&gt;=3,"Низкий","Отложить")))))</x:f>
      </x:c>
      <x:c r="O38" s="54" t="str">
        <x:f>IF(M38="","",IF(OR(N38="Критический",N38="Высокий"),"Да",IF(N38="Средний","Кандидат","Нет")))</x:f>
      </x:c>
      <x:c r="P38" s="34"/>
      <x:c r="Q38" s="34"/>
    </x:row>
    <x:row r="39" ht="34" customHeight="1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52" t="str">
        <x:f>IF(A39="","",IFERROR((I39+J39)*L39/K39,0))</x:f>
      </x:c>
      <x:c r="N39" s="54" t="str">
        <x:f>IF(M39="","",IF(M39&gt;=16,"Критический",IF(M39&gt;=10,"Высокий",IF(M39&gt;=6,"Средний",IF(M39&gt;=3,"Низкий","Отложить")))))</x:f>
      </x:c>
      <x:c r="O39" s="54" t="str">
        <x:f>IF(M39="","",IF(OR(N39="Критический",N39="Высокий"),"Да",IF(N39="Средний","Кандидат","Нет")))</x:f>
      </x:c>
      <x:c r="P39" s="34"/>
      <x:c r="Q39" s="34"/>
    </x:row>
    <x:row r="40" ht="34" customHeight="1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52" t="str">
        <x:f>IF(A40="","",IFERROR((I40+J40)*L40/K40,0))</x:f>
      </x:c>
      <x:c r="N40" s="54" t="str">
        <x:f>IF(M40="","",IF(M40&gt;=16,"Критический",IF(M40&gt;=10,"Высокий",IF(M40&gt;=6,"Средний",IF(M40&gt;=3,"Низкий","Отложить")))))</x:f>
      </x:c>
      <x:c r="O40" s="54" t="str">
        <x:f>IF(M40="","",IF(OR(N40="Критический",N40="Высокий"),"Да",IF(N40="Средний","Кандидат","Нет")))</x:f>
      </x:c>
      <x:c r="P40" s="34"/>
      <x:c r="Q40" s="34"/>
    </x:row>
    <x:row r="41" ht="34" customHeight="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52" t="str">
        <x:f>IF(A41="","",IFERROR((I41+J41)*L41/K41,0))</x:f>
      </x:c>
      <x:c r="N41" s="54" t="str">
        <x:f>IF(M41="","",IF(M41&gt;=16,"Критический",IF(M41&gt;=10,"Высокий",IF(M41&gt;=6,"Средний",IF(M41&gt;=3,"Низкий","Отложить")))))</x:f>
      </x:c>
      <x:c r="O41" s="54" t="str">
        <x:f>IF(M41="","",IF(OR(N41="Критический",N41="Высокий"),"Да",IF(N41="Средний","Кандидат","Нет")))</x:f>
      </x:c>
      <x:c r="P41" s="34"/>
      <x:c r="Q41" s="34"/>
    </x:row>
    <x:row r="42" ht="34" customHeight="1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52" t="str">
        <x:f>IF(A42="","",IFERROR((I42+J42)*L42/K42,0))</x:f>
      </x:c>
      <x:c r="N42" s="54" t="str">
        <x:f>IF(M42="","",IF(M42&gt;=16,"Критический",IF(M42&gt;=10,"Высокий",IF(M42&gt;=6,"Средний",IF(M42&gt;=3,"Низкий","Отложить")))))</x:f>
      </x:c>
      <x:c r="O42" s="54" t="str">
        <x:f>IF(M42="","",IF(OR(N42="Критический",N42="Высокий"),"Да",IF(N42="Средний","Кандидат","Нет")))</x:f>
      </x:c>
      <x:c r="P42" s="34"/>
      <x:c r="Q42" s="34"/>
    </x:row>
    <x:row r="43" ht="34" customHeight="1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52" t="str">
        <x:f>IF(A43="","",IFERROR((I43+J43)*L43/K43,0))</x:f>
      </x:c>
      <x:c r="N43" s="54" t="str">
        <x:f>IF(M43="","",IF(M43&gt;=16,"Критический",IF(M43&gt;=10,"Высокий",IF(M43&gt;=6,"Средний",IF(M43&gt;=3,"Низкий","Отложить")))))</x:f>
      </x:c>
      <x:c r="O43" s="54" t="str">
        <x:f>IF(M43="","",IF(OR(N43="Критический",N43="Высокий"),"Да",IF(N43="Средний","Кандидат","Нет")))</x:f>
      </x:c>
      <x:c r="P43" s="34"/>
      <x:c r="Q43" s="34"/>
    </x:row>
    <x:row r="44" ht="34" customHeight="1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52" t="str">
        <x:f>IF(A44="","",IFERROR((I44+J44)*L44/K44,0))</x:f>
      </x:c>
      <x:c r="N44" s="54" t="str">
        <x:f>IF(M44="","",IF(M44&gt;=16,"Критический",IF(M44&gt;=10,"Высокий",IF(M44&gt;=6,"Средний",IF(M44&gt;=3,"Низкий","Отложить")))))</x:f>
      </x:c>
      <x:c r="O44" s="54" t="str">
        <x:f>IF(M44="","",IF(OR(N44="Критический",N44="Высокий"),"Да",IF(N44="Средний","Кандидат","Нет")))</x:f>
      </x:c>
      <x:c r="P44" s="34"/>
      <x:c r="Q44" s="34"/>
    </x:row>
    <x:row r="45" ht="34" customHeight="1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52" t="str">
        <x:f>IF(A45="","",IFERROR((I45+J45)*L45/K45,0))</x:f>
      </x:c>
      <x:c r="N45" s="54" t="str">
        <x:f>IF(M45="","",IF(M45&gt;=16,"Критический",IF(M45&gt;=10,"Высокий",IF(M45&gt;=6,"Средний",IF(M45&gt;=3,"Низкий","Отложить")))))</x:f>
      </x:c>
      <x:c r="O45" s="54" t="str">
        <x:f>IF(M45="","",IF(OR(N45="Критический",N45="Высокий"),"Да",IF(N45="Средний","Кандидат","Нет")))</x:f>
      </x:c>
      <x:c r="P45" s="34"/>
      <x:c r="Q45" s="34"/>
    </x:row>
    <x:row r="46" ht="34" customHeight="1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52" t="str">
        <x:f>IF(A46="","",IFERROR((I46+J46)*L46/K46,0))</x:f>
      </x:c>
      <x:c r="N46" s="54" t="str">
        <x:f>IF(M46="","",IF(M46&gt;=16,"Критический",IF(M46&gt;=10,"Высокий",IF(M46&gt;=6,"Средний",IF(M46&gt;=3,"Низкий","Отложить")))))</x:f>
      </x:c>
      <x:c r="O46" s="54" t="str">
        <x:f>IF(M46="","",IF(OR(N46="Критический",N46="Высокий"),"Да",IF(N46="Средний","Кандидат","Нет")))</x:f>
      </x:c>
      <x:c r="P46" s="34"/>
      <x:c r="Q46" s="34"/>
    </x:row>
    <x:row r="47" ht="34" customHeight="1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52" t="str">
        <x:f>IF(A47="","",IFERROR((I47+J47)*L47/K47,0))</x:f>
      </x:c>
      <x:c r="N47" s="54" t="str">
        <x:f>IF(M47="","",IF(M47&gt;=16,"Критический",IF(M47&gt;=10,"Высокий",IF(M47&gt;=6,"Средний",IF(M47&gt;=3,"Низкий","Отложить")))))</x:f>
      </x:c>
      <x:c r="O47" s="54" t="str">
        <x:f>IF(M47="","",IF(OR(N47="Критический",N47="Высокий"),"Да",IF(N47="Средний","Кандидат","Нет")))</x:f>
      </x:c>
      <x:c r="P47" s="34"/>
      <x:c r="Q47" s="34"/>
    </x:row>
    <x:row r="48" ht="34" customHeight="1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52" t="str">
        <x:f>IF(A48="","",IFERROR((I48+J48)*L48/K48,0))</x:f>
      </x:c>
      <x:c r="N48" s="54" t="str">
        <x:f>IF(M48="","",IF(M48&gt;=16,"Критический",IF(M48&gt;=10,"Высокий",IF(M48&gt;=6,"Средний",IF(M48&gt;=3,"Низкий","Отложить")))))</x:f>
      </x:c>
      <x:c r="O48" s="54" t="str">
        <x:f>IF(M48="","",IF(OR(N48="Критический",N48="Высокий"),"Да",IF(N48="Средний","Кандидат","Нет")))</x:f>
      </x:c>
      <x:c r="P48" s="34"/>
      <x:c r="Q48" s="34"/>
    </x:row>
    <x:row r="49" ht="34" customHeight="1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52" t="str">
        <x:f>IF(A49="","",IFERROR((I49+J49)*L49/K49,0))</x:f>
      </x:c>
      <x:c r="N49" s="54" t="str">
        <x:f>IF(M49="","",IF(M49&gt;=16,"Критический",IF(M49&gt;=10,"Высокий",IF(M49&gt;=6,"Средний",IF(M49&gt;=3,"Низкий","Отложить")))))</x:f>
      </x:c>
      <x:c r="O49" s="54" t="str">
        <x:f>IF(M49="","",IF(OR(N49="Критический",N49="Высокий"),"Да",IF(N49="Средний","Кандидат","Нет")))</x:f>
      </x:c>
      <x:c r="P49" s="34"/>
      <x:c r="Q49" s="34"/>
    </x:row>
    <x:row r="50" ht="34" customHeight="1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52" t="str">
        <x:f>IF(A50="","",IFERROR((I50+J50)*L50/K50,0))</x:f>
      </x:c>
      <x:c r="N50" s="54" t="str">
        <x:f>IF(M50="","",IF(M50&gt;=16,"Критический",IF(M50&gt;=10,"Высокий",IF(M50&gt;=6,"Средний",IF(M50&gt;=3,"Низкий","Отложить")))))</x:f>
      </x:c>
      <x:c r="O50" s="54" t="str">
        <x:f>IF(M50="","",IF(OR(N50="Критический",N50="Высокий"),"Да",IF(N50="Средний","Кандидат","Нет")))</x:f>
      </x:c>
      <x:c r="P50" s="34"/>
      <x:c r="Q50" s="34"/>
    </x:row>
    <x:row r="51" ht="34" customHeight="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52" t="str">
        <x:f>IF(A51="","",IFERROR((I51+J51)*L51/K51,0))</x:f>
      </x:c>
      <x:c r="N51" s="54" t="str">
        <x:f>IF(M51="","",IF(M51&gt;=16,"Критический",IF(M51&gt;=10,"Высокий",IF(M51&gt;=6,"Средний",IF(M51&gt;=3,"Низкий","Отложить")))))</x:f>
      </x:c>
      <x:c r="O51" s="54" t="str">
        <x:f>IF(M51="","",IF(OR(N51="Критический",N51="Высокий"),"Да",IF(N51="Средний","Кандидат","Нет")))</x:f>
      </x:c>
      <x:c r="P51" s="34"/>
      <x:c r="Q51" s="34"/>
    </x:row>
    <x:row r="52" ht="34" customHeight="1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52" t="str">
        <x:f>IF(A52="","",IFERROR((I52+J52)*L52/K52,0))</x:f>
      </x:c>
      <x:c r="N52" s="54" t="str">
        <x:f>IF(M52="","",IF(M52&gt;=16,"Критический",IF(M52&gt;=10,"Высокий",IF(M52&gt;=6,"Средний",IF(M52&gt;=3,"Низкий","Отложить")))))</x:f>
      </x:c>
      <x:c r="O52" s="54" t="str">
        <x:f>IF(M52="","",IF(OR(N52="Критический",N52="Высокий"),"Да",IF(N52="Средний","Кандидат","Нет")))</x:f>
      </x:c>
      <x:c r="P52" s="34"/>
      <x:c r="Q52" s="34"/>
    </x:row>
    <x:row r="53" ht="34" customHeight="1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52" t="str">
        <x:f>IF(A53="","",IFERROR((I53+J53)*L53/K53,0))</x:f>
      </x:c>
      <x:c r="N53" s="54" t="str">
        <x:f>IF(M53="","",IF(M53&gt;=16,"Критический",IF(M53&gt;=10,"Высокий",IF(M53&gt;=6,"Средний",IF(M53&gt;=3,"Низкий","Отложить")))))</x:f>
      </x:c>
      <x:c r="O53" s="54" t="str">
        <x:f>IF(M53="","",IF(OR(N53="Критический",N53="Высокий"),"Да",IF(N53="Средний","Кандидат","Нет")))</x:f>
      </x:c>
      <x:c r="P53" s="34"/>
      <x:c r="Q53" s="34"/>
    </x:row>
    <x:row r="54" ht="34" customHeight="1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52" t="str">
        <x:f>IF(A54="","",IFERROR((I54+J54)*L54/K54,0))</x:f>
      </x:c>
      <x:c r="N54" s="54" t="str">
        <x:f>IF(M54="","",IF(M54&gt;=16,"Критический",IF(M54&gt;=10,"Высокий",IF(M54&gt;=6,"Средний",IF(M54&gt;=3,"Низкий","Отложить")))))</x:f>
      </x:c>
      <x:c r="O54" s="54" t="str">
        <x:f>IF(M54="","",IF(OR(N54="Критический",N54="Высокий"),"Да",IF(N54="Средний","Кандидат","Нет")))</x:f>
      </x:c>
      <x:c r="P54" s="34"/>
      <x:c r="Q54" s="34"/>
    </x:row>
    <x:row r="55" ht="34" customHeight="1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52" t="str">
        <x:f>IF(A55="","",IFERROR((I55+J55)*L55/K55,0))</x:f>
      </x:c>
      <x:c r="N55" s="54" t="str">
        <x:f>IF(M55="","",IF(M55&gt;=16,"Критический",IF(M55&gt;=10,"Высокий",IF(M55&gt;=6,"Средний",IF(M55&gt;=3,"Низкий","Отложить")))))</x:f>
      </x:c>
      <x:c r="O55" s="54" t="str">
        <x:f>IF(M55="","",IF(OR(N55="Критический",N55="Высокий"),"Да",IF(N55="Средний","Кандидат","Нет")))</x:f>
      </x:c>
      <x:c r="P55" s="34"/>
      <x:c r="Q55" s="34"/>
    </x:row>
    <x:row r="56" ht="34" customHeight="1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52" t="str">
        <x:f>IF(A56="","",IFERROR((I56+J56)*L56/K56,0))</x:f>
      </x:c>
      <x:c r="N56" s="54" t="str">
        <x:f>IF(M56="","",IF(M56&gt;=16,"Критический",IF(M56&gt;=10,"Высокий",IF(M56&gt;=6,"Средний",IF(M56&gt;=3,"Низкий","Отложить")))))</x:f>
      </x:c>
      <x:c r="O56" s="54" t="str">
        <x:f>IF(M56="","",IF(OR(N56="Критический",N56="Высокий"),"Да",IF(N56="Средний","Кандидат","Нет")))</x:f>
      </x:c>
      <x:c r="P56" s="34"/>
      <x:c r="Q56" s="34"/>
    </x:row>
    <x:row r="57" ht="34" customHeight="1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52" t="str">
        <x:f>IF(A57="","",IFERROR((I57+J57)*L57/K57,0))</x:f>
      </x:c>
      <x:c r="N57" s="54" t="str">
        <x:f>IF(M57="","",IF(M57&gt;=16,"Критический",IF(M57&gt;=10,"Высокий",IF(M57&gt;=6,"Средний",IF(M57&gt;=3,"Низкий","Отложить")))))</x:f>
      </x:c>
      <x:c r="O57" s="54" t="str">
        <x:f>IF(M57="","",IF(OR(N57="Критический",N57="Высокий"),"Да",IF(N57="Средний","Кандидат","Нет")))</x:f>
      </x:c>
      <x:c r="P57" s="34"/>
      <x:c r="Q57" s="34"/>
    </x:row>
    <x:row r="58" ht="34" customHeight="1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52" t="str">
        <x:f>IF(A58="","",IFERROR((I58+J58)*L58/K58,0))</x:f>
      </x:c>
      <x:c r="N58" s="54" t="str">
        <x:f>IF(M58="","",IF(M58&gt;=16,"Критический",IF(M58&gt;=10,"Высокий",IF(M58&gt;=6,"Средний",IF(M58&gt;=3,"Низкий","Отложить")))))</x:f>
      </x:c>
      <x:c r="O58" s="54" t="str">
        <x:f>IF(M58="","",IF(OR(N58="Критический",N58="Высокий"),"Да",IF(N58="Средний","Кандидат","Нет")))</x:f>
      </x:c>
      <x:c r="P58" s="34"/>
      <x:c r="Q58" s="34"/>
    </x:row>
    <x:row r="59" ht="34" customHeight="1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52" t="str">
        <x:f>IF(A59="","",IFERROR((I59+J59)*L59/K59,0))</x:f>
      </x:c>
      <x:c r="N59" s="54" t="str">
        <x:f>IF(M59="","",IF(M59&gt;=16,"Критический",IF(M59&gt;=10,"Высокий",IF(M59&gt;=6,"Средний",IF(M59&gt;=3,"Низкий","Отложить")))))</x:f>
      </x:c>
      <x:c r="O59" s="54" t="str">
        <x:f>IF(M59="","",IF(OR(N59="Критический",N59="Высокий"),"Да",IF(N59="Средний","Кандидат","Нет")))</x:f>
      </x:c>
      <x:c r="P59" s="34"/>
      <x:c r="Q59" s="34"/>
    </x:row>
    <x:row r="60" ht="34" customHeight="1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52" t="str">
        <x:f>IF(A60="","",IFERROR((I60+J60)*L60/K60,0))</x:f>
      </x:c>
      <x:c r="N60" s="54" t="str">
        <x:f>IF(M60="","",IF(M60&gt;=16,"Критический",IF(M60&gt;=10,"Высокий",IF(M60&gt;=6,"Средний",IF(M60&gt;=3,"Низкий","Отложить")))))</x:f>
      </x:c>
      <x:c r="O60" s="54" t="str">
        <x:f>IF(M60="","",IF(OR(N60="Критический",N60="Высокий"),"Да",IF(N60="Средний","Кандидат","Нет")))</x:f>
      </x:c>
      <x:c r="P60" s="34"/>
      <x:c r="Q60" s="34"/>
    </x:row>
    <x:row r="61" ht="34" customHeight="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52" t="str">
        <x:f>IF(A61="","",IFERROR((I61+J61)*L61/K61,0))</x:f>
      </x:c>
      <x:c r="N61" s="54" t="str">
        <x:f>IF(M61="","",IF(M61&gt;=16,"Критический",IF(M61&gt;=10,"Высокий",IF(M61&gt;=6,"Средний",IF(M61&gt;=3,"Низкий","Отложить")))))</x:f>
      </x:c>
      <x:c r="O61" s="54" t="str">
        <x:f>IF(M61="","",IF(OR(N61="Критический",N61="Высокий"),"Да",IF(N61="Средний","Кандидат","Нет")))</x:f>
      </x:c>
      <x:c r="P61" s="34"/>
      <x:c r="Q61" s="34"/>
    </x:row>
    <x:row r="62" ht="34" customHeight="1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52" t="str">
        <x:f>IF(A62="","",IFERROR((I62+J62)*L62/K62,0))</x:f>
      </x:c>
      <x:c r="N62" s="54" t="str">
        <x:f>IF(M62="","",IF(M62&gt;=16,"Критический",IF(M62&gt;=10,"Высокий",IF(M62&gt;=6,"Средний",IF(M62&gt;=3,"Низкий","Отложить")))))</x:f>
      </x:c>
      <x:c r="O62" s="54" t="str">
        <x:f>IF(M62="","",IF(OR(N62="Критический",N62="Высокий"),"Да",IF(N62="Средний","Кандидат","Нет")))</x:f>
      </x:c>
      <x:c r="P62" s="34"/>
      <x:c r="Q62" s="34"/>
    </x:row>
    <x:row r="63" ht="34" customHeight="1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52" t="str">
        <x:f>IF(A63="","",IFERROR((I63+J63)*L63/K63,0))</x:f>
      </x:c>
      <x:c r="N63" s="54" t="str">
        <x:f>IF(M63="","",IF(M63&gt;=16,"Критический",IF(M63&gt;=10,"Высокий",IF(M63&gt;=6,"Средний",IF(M63&gt;=3,"Низкий","Отложить")))))</x:f>
      </x:c>
      <x:c r="O63" s="54" t="str">
        <x:f>IF(M63="","",IF(OR(N63="Критический",N63="Высокий"),"Да",IF(N63="Средний","Кандидат","Нет")))</x:f>
      </x:c>
      <x:c r="P63" s="34"/>
      <x:c r="Q63" s="34"/>
    </x:row>
    <x:row r="64" ht="34" customHeight="1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52" t="str">
        <x:f>IF(A64="","",IFERROR((I64+J64)*L64/K64,0))</x:f>
      </x:c>
      <x:c r="N64" s="54" t="str">
        <x:f>IF(M64="","",IF(M64&gt;=16,"Критический",IF(M64&gt;=10,"Высокий",IF(M64&gt;=6,"Средний",IF(M64&gt;=3,"Низкий","Отложить")))))</x:f>
      </x:c>
      <x:c r="O64" s="54" t="str">
        <x:f>IF(M64="","",IF(OR(N64="Критический",N64="Высокий"),"Да",IF(N64="Средний","Кандидат","Нет")))</x:f>
      </x:c>
      <x:c r="P64" s="34"/>
      <x:c r="Q64" s="34"/>
    </x:row>
    <x:row r="65" ht="34" customHeight="1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52" t="str">
        <x:f>IF(A65="","",IFERROR((I65+J65)*L65/K65,0))</x:f>
      </x:c>
      <x:c r="N65" s="54" t="str">
        <x:f>IF(M65="","",IF(M65&gt;=16,"Критический",IF(M65&gt;=10,"Высокий",IF(M65&gt;=6,"Средний",IF(M65&gt;=3,"Низкий","Отложить")))))</x:f>
      </x:c>
      <x:c r="O65" s="54" t="str">
        <x:f>IF(M65="","",IF(OR(N65="Критический",N65="Высокий"),"Да",IF(N65="Средний","Кандидат","Нет")))</x:f>
      </x:c>
      <x:c r="P65" s="34"/>
      <x:c r="Q65" s="34"/>
    </x:row>
    <x:row r="66" ht="34" customHeight="1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52" t="str">
        <x:f>IF(A66="","",IFERROR((I66+J66)*L66/K66,0))</x:f>
      </x:c>
      <x:c r="N66" s="54" t="str">
        <x:f>IF(M66="","",IF(M66&gt;=16,"Критический",IF(M66&gt;=10,"Высокий",IF(M66&gt;=6,"Средний",IF(M66&gt;=3,"Низкий","Отложить")))))</x:f>
      </x:c>
      <x:c r="O66" s="54" t="str">
        <x:f>IF(M66="","",IF(OR(N66="Критический",N66="Высокий"),"Да",IF(N66="Средний","Кандидат","Нет")))</x:f>
      </x:c>
      <x:c r="P66" s="34"/>
      <x:c r="Q66" s="34"/>
    </x:row>
    <x:row r="67" ht="34" customHeight="1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52" t="str">
        <x:f>IF(A67="","",IFERROR((I67+J67)*L67/K67,0))</x:f>
      </x:c>
      <x:c r="N67" s="54" t="str">
        <x:f>IF(M67="","",IF(M67&gt;=16,"Критический",IF(M67&gt;=10,"Высокий",IF(M67&gt;=6,"Средний",IF(M67&gt;=3,"Низкий","Отложить")))))</x:f>
      </x:c>
      <x:c r="O67" s="54" t="str">
        <x:f>IF(M67="","",IF(OR(N67="Критический",N67="Высокий"),"Да",IF(N67="Средний","Кандидат","Нет")))</x:f>
      </x:c>
      <x:c r="P67" s="34"/>
      <x:c r="Q67" s="34"/>
    </x:row>
    <x:row r="68" ht="34" customHeight="1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52" t="str">
        <x:f>IF(A68="","",IFERROR((I68+J68)*L68/K68,0))</x:f>
      </x:c>
      <x:c r="N68" s="54" t="str">
        <x:f>IF(M68="","",IF(M68&gt;=16,"Критический",IF(M68&gt;=10,"Высокий",IF(M68&gt;=6,"Средний",IF(M68&gt;=3,"Низкий","Отложить")))))</x:f>
      </x:c>
      <x:c r="O68" s="54" t="str">
        <x:f>IF(M68="","",IF(OR(N68="Критический",N68="Высокий"),"Да",IF(N68="Средний","Кандидат","Нет")))</x:f>
      </x:c>
      <x:c r="P68" s="34"/>
      <x:c r="Q68" s="34"/>
    </x:row>
    <x:row r="69" ht="34" customHeight="1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52" t="str">
        <x:f>IF(A69="","",IFERROR((I69+J69)*L69/K69,0))</x:f>
      </x:c>
      <x:c r="N69" s="54" t="str">
        <x:f>IF(M69="","",IF(M69&gt;=16,"Критический",IF(M69&gt;=10,"Высокий",IF(M69&gt;=6,"Средний",IF(M69&gt;=3,"Низкий","Отложить")))))</x:f>
      </x:c>
      <x:c r="O69" s="54" t="str">
        <x:f>IF(M69="","",IF(OR(N69="Критический",N69="Высокий"),"Да",IF(N69="Средний","Кандидат","Нет")))</x:f>
      </x:c>
      <x:c r="P69" s="34"/>
      <x:c r="Q69" s="34"/>
    </x:row>
    <x:row r="70" ht="34" customHeight="1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52" t="str">
        <x:f>IF(A70="","",IFERROR((I70+J70)*L70/K70,0))</x:f>
      </x:c>
      <x:c r="N70" s="54" t="str">
        <x:f>IF(M70="","",IF(M70&gt;=16,"Критический",IF(M70&gt;=10,"Высокий",IF(M70&gt;=6,"Средний",IF(M70&gt;=3,"Низкий","Отложить")))))</x:f>
      </x:c>
      <x:c r="O70" s="54" t="str">
        <x:f>IF(M70="","",IF(OR(N70="Критический",N70="Высокий"),"Да",IF(N70="Средний","Кандидат","Нет")))</x:f>
      </x:c>
      <x:c r="P70" s="34"/>
      <x:c r="Q70" s="34"/>
    </x:row>
    <x:row r="71" ht="34" customHeight="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52" t="str">
        <x:f>IF(A71="","",IFERROR((I71+J71)*L71/K71,0))</x:f>
      </x:c>
      <x:c r="N71" s="54" t="str">
        <x:f>IF(M71="","",IF(M71&gt;=16,"Критический",IF(M71&gt;=10,"Высокий",IF(M71&gt;=6,"Средний",IF(M71&gt;=3,"Низкий","Отложить")))))</x:f>
      </x:c>
      <x:c r="O71" s="54" t="str">
        <x:f>IF(M71="","",IF(OR(N71="Критический",N71="Высокий"),"Да",IF(N71="Средний","Кандидат","Нет")))</x:f>
      </x:c>
      <x:c r="P71" s="34"/>
      <x:c r="Q71" s="34"/>
    </x:row>
    <x:row r="72" ht="34" customHeight="1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52" t="str">
        <x:f>IF(A72="","",IFERROR((I72+J72)*L72/K72,0))</x:f>
      </x:c>
      <x:c r="N72" s="54" t="str">
        <x:f>IF(M72="","",IF(M72&gt;=16,"Критический",IF(M72&gt;=10,"Высокий",IF(M72&gt;=6,"Средний",IF(M72&gt;=3,"Низкий","Отложить")))))</x:f>
      </x:c>
      <x:c r="O72" s="54" t="str">
        <x:f>IF(M72="","",IF(OR(N72="Критический",N72="Высокий"),"Да",IF(N72="Средний","Кандидат","Нет")))</x:f>
      </x:c>
      <x:c r="P72" s="34"/>
      <x:c r="Q72" s="34"/>
    </x:row>
    <x:row r="73" ht="34" customHeight="1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52" t="str">
        <x:f>IF(A73="","",IFERROR((I73+J73)*L73/K73,0))</x:f>
      </x:c>
      <x:c r="N73" s="54" t="str">
        <x:f>IF(M73="","",IF(M73&gt;=16,"Критический",IF(M73&gt;=10,"Высокий",IF(M73&gt;=6,"Средний",IF(M73&gt;=3,"Низкий","Отложить")))))</x:f>
      </x:c>
      <x:c r="O73" s="54" t="str">
        <x:f>IF(M73="","",IF(OR(N73="Критический",N73="Высокий"),"Да",IF(N73="Средний","Кандидат","Нет")))</x:f>
      </x:c>
      <x:c r="P73" s="34"/>
      <x:c r="Q73" s="34"/>
    </x:row>
    <x:row r="74" ht="34" customHeight="1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52" t="str">
        <x:f>IF(A74="","",IFERROR((I74+J74)*L74/K74,0))</x:f>
      </x:c>
      <x:c r="N74" s="54" t="str">
        <x:f>IF(M74="","",IF(M74&gt;=16,"Критический",IF(M74&gt;=10,"Высокий",IF(M74&gt;=6,"Средний",IF(M74&gt;=3,"Низкий","Отложить")))))</x:f>
      </x:c>
      <x:c r="O74" s="54" t="str">
        <x:f>IF(M74="","",IF(OR(N74="Критический",N74="Высокий"),"Да",IF(N74="Средний","Кандидат","Нет")))</x:f>
      </x:c>
      <x:c r="P74" s="34"/>
      <x:c r="Q74" s="34"/>
    </x:row>
    <x:row r="75" ht="34" customHeight="1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52" t="str">
        <x:f>IF(A75="","",IFERROR((I75+J75)*L75/K75,0))</x:f>
      </x:c>
      <x:c r="N75" s="54" t="str">
        <x:f>IF(M75="","",IF(M75&gt;=16,"Критический",IF(M75&gt;=10,"Высокий",IF(M75&gt;=6,"Средний",IF(M75&gt;=3,"Низкий","Отложить")))))</x:f>
      </x:c>
      <x:c r="O75" s="54" t="str">
        <x:f>IF(M75="","",IF(OR(N75="Критический",N75="Высокий"),"Да",IF(N75="Средний","Кандидат","Нет")))</x:f>
      </x:c>
      <x:c r="P75" s="34"/>
      <x:c r="Q75" s="34"/>
    </x:row>
    <x:row r="76" ht="34" customHeight="1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52" t="str">
        <x:f>IF(A76="","",IFERROR((I76+J76)*L76/K76,0))</x:f>
      </x:c>
      <x:c r="N76" s="54" t="str">
        <x:f>IF(M76="","",IF(M76&gt;=16,"Критический",IF(M76&gt;=10,"Высокий",IF(M76&gt;=6,"Средний",IF(M76&gt;=3,"Низкий","Отложить")))))</x:f>
      </x:c>
      <x:c r="O76" s="54" t="str">
        <x:f>IF(M76="","",IF(OR(N76="Критический",N76="Высокий"),"Да",IF(N76="Средний","Кандидат","Нет")))</x:f>
      </x:c>
      <x:c r="P76" s="34"/>
      <x:c r="Q76" s="34"/>
    </x:row>
    <x:row r="77" ht="34" customHeight="1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52" t="str">
        <x:f>IF(A77="","",IFERROR((I77+J77)*L77/K77,0))</x:f>
      </x:c>
      <x:c r="N77" s="54" t="str">
        <x:f>IF(M77="","",IF(M77&gt;=16,"Критический",IF(M77&gt;=10,"Высокий",IF(M77&gt;=6,"Средний",IF(M77&gt;=3,"Низкий","Отложить")))))</x:f>
      </x:c>
      <x:c r="O77" s="54" t="str">
        <x:f>IF(M77="","",IF(OR(N77="Критический",N77="Высокий"),"Да",IF(N77="Средний","Кандидат","Нет")))</x:f>
      </x:c>
      <x:c r="P77" s="34"/>
      <x:c r="Q77" s="34"/>
    </x:row>
    <x:row r="78" ht="34" customHeight="1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52" t="str">
        <x:f>IF(A78="","",IFERROR((I78+J78)*L78/K78,0))</x:f>
      </x:c>
      <x:c r="N78" s="54" t="str">
        <x:f>IF(M78="","",IF(M78&gt;=16,"Критический",IF(M78&gt;=10,"Высокий",IF(M78&gt;=6,"Средний",IF(M78&gt;=3,"Низкий","Отложить")))))</x:f>
      </x:c>
      <x:c r="O78" s="54" t="str">
        <x:f>IF(M78="","",IF(OR(N78="Критический",N78="Высокий"),"Да",IF(N78="Средний","Кандидат","Нет")))</x:f>
      </x:c>
      <x:c r="P78" s="34"/>
      <x:c r="Q78" s="34"/>
    </x:row>
    <x:row r="79" ht="34" customHeight="1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52" t="str">
        <x:f>IF(A79="","",IFERROR((I79+J79)*L79/K79,0))</x:f>
      </x:c>
      <x:c r="N79" s="54" t="str">
        <x:f>IF(M79="","",IF(M79&gt;=16,"Критический",IF(M79&gt;=10,"Высокий",IF(M79&gt;=6,"Средний",IF(M79&gt;=3,"Низкий","Отложить")))))</x:f>
      </x:c>
      <x:c r="O79" s="54" t="str">
        <x:f>IF(M79="","",IF(OR(N79="Критический",N79="Высокий"),"Да",IF(N79="Средний","Кандидат","Нет")))</x:f>
      </x:c>
      <x:c r="P79" s="34"/>
      <x:c r="Q79" s="34"/>
    </x:row>
    <x:row r="80" ht="34" customHeight="1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52" t="str">
        <x:f>IF(A80="","",IFERROR((I80+J80)*L80/K80,0))</x:f>
      </x:c>
      <x:c r="N80" s="54" t="str">
        <x:f>IF(M80="","",IF(M80&gt;=16,"Критический",IF(M80&gt;=10,"Высокий",IF(M80&gt;=6,"Средний",IF(M80&gt;=3,"Низкий","Отложить")))))</x:f>
      </x:c>
      <x:c r="O80" s="54" t="str">
        <x:f>IF(M80="","",IF(OR(N80="Критический",N80="Высокий"),"Да",IF(N80="Средний","Кандидат","Нет")))</x:f>
      </x:c>
      <x:c r="P80" s="34"/>
      <x:c r="Q80" s="34"/>
    </x:row>
    <x:row r="81" ht="34" customHeight="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  <x:c r="L81" s="34"/>
      <x:c r="M81" s="52" t="str">
        <x:f>IF(A81="","",IFERROR((I81+J81)*L81/K81,0))</x:f>
      </x:c>
      <x:c r="N81" s="54" t="str">
        <x:f>IF(M81="","",IF(M81&gt;=16,"Критический",IF(M81&gt;=10,"Высокий",IF(M81&gt;=6,"Средний",IF(M81&gt;=3,"Низкий","Отложить")))))</x:f>
      </x:c>
      <x:c r="O81" s="54" t="str">
        <x:f>IF(M81="","",IF(OR(N81="Критический",N81="Высокий"),"Да",IF(N81="Средний","Кандидат","Нет")))</x:f>
      </x:c>
      <x:c r="P81" s="34"/>
      <x:c r="Q81" s="34"/>
    </x:row>
    <x:row r="82" ht="34" customHeight="1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52" t="str">
        <x:f>IF(A82="","",IFERROR((I82+J82)*L82/K82,0))</x:f>
      </x:c>
      <x:c r="N82" s="54" t="str">
        <x:f>IF(M82="","",IF(M82&gt;=16,"Критический",IF(M82&gt;=10,"Высокий",IF(M82&gt;=6,"Средний",IF(M82&gt;=3,"Низкий","Отложить")))))</x:f>
      </x:c>
      <x:c r="O82" s="54" t="str">
        <x:f>IF(M82="","",IF(OR(N82="Критический",N82="Высокий"),"Да",IF(N82="Средний","Кандидат","Нет")))</x:f>
      </x:c>
      <x:c r="P82" s="34"/>
      <x:c r="Q82" s="34"/>
    </x:row>
    <x:row r="83" ht="34" customHeight="1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  <x:c r="L83" s="34"/>
      <x:c r="M83" s="52" t="str">
        <x:f>IF(A83="","",IFERROR((I83+J83)*L83/K83,0))</x:f>
      </x:c>
      <x:c r="N83" s="54" t="str">
        <x:f>IF(M83="","",IF(M83&gt;=16,"Критический",IF(M83&gt;=10,"Высокий",IF(M83&gt;=6,"Средний",IF(M83&gt;=3,"Низкий","Отложить")))))</x:f>
      </x:c>
      <x:c r="O83" s="54" t="str">
        <x:f>IF(M83="","",IF(OR(N83="Критический",N83="Высокий"),"Да",IF(N83="Средний","Кандидат","Нет")))</x:f>
      </x:c>
      <x:c r="P83" s="34"/>
      <x:c r="Q83" s="34"/>
    </x:row>
    <x:row r="84" ht="34" customHeight="1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  <x:c r="L84" s="34"/>
      <x:c r="M84" s="52" t="str">
        <x:f>IF(A84="","",IFERROR((I84+J84)*L84/K84,0))</x:f>
      </x:c>
      <x:c r="N84" s="54" t="str">
        <x:f>IF(M84="","",IF(M84&gt;=16,"Критический",IF(M84&gt;=10,"Высокий",IF(M84&gt;=6,"Средний",IF(M84&gt;=3,"Низкий","Отложить")))))</x:f>
      </x:c>
      <x:c r="O84" s="54" t="str">
        <x:f>IF(M84="","",IF(OR(N84="Критический",N84="Высокий"),"Да",IF(N84="Средний","Кандидат","Нет")))</x:f>
      </x:c>
      <x:c r="P84" s="34"/>
      <x:c r="Q84" s="34"/>
    </x:row>
    <x:row r="85" ht="34" customHeight="1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  <x:c r="L85" s="34"/>
      <x:c r="M85" s="52" t="str">
        <x:f>IF(A85="","",IFERROR((I85+J85)*L85/K85,0))</x:f>
      </x:c>
      <x:c r="N85" s="54" t="str">
        <x:f>IF(M85="","",IF(M85&gt;=16,"Критический",IF(M85&gt;=10,"Высокий",IF(M85&gt;=6,"Средний",IF(M85&gt;=3,"Низкий","Отложить")))))</x:f>
      </x:c>
      <x:c r="O85" s="54" t="str">
        <x:f>IF(M85="","",IF(OR(N85="Критический",N85="Высокий"),"Да",IF(N85="Средний","Кандидат","Нет")))</x:f>
      </x:c>
      <x:c r="P85" s="34"/>
      <x:c r="Q85" s="34"/>
    </x:row>
    <x:row r="86" ht="34" customHeight="1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  <x:c r="L86" s="34"/>
      <x:c r="M86" s="52" t="str">
        <x:f>IF(A86="","",IFERROR((I86+J86)*L86/K86,0))</x:f>
      </x:c>
      <x:c r="N86" s="54" t="str">
        <x:f>IF(M86="","",IF(M86&gt;=16,"Критический",IF(M86&gt;=10,"Высокий",IF(M86&gt;=6,"Средний",IF(M86&gt;=3,"Низкий","Отложить")))))</x:f>
      </x:c>
      <x:c r="O86" s="54" t="str">
        <x:f>IF(M86="","",IF(OR(N86="Критический",N86="Высокий"),"Да",IF(N86="Средний","Кандидат","Нет")))</x:f>
      </x:c>
      <x:c r="P86" s="34"/>
      <x:c r="Q86" s="34"/>
    </x:row>
    <x:row r="87" ht="34" customHeight="1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  <x:c r="L87" s="34"/>
      <x:c r="M87" s="52" t="str">
        <x:f>IF(A87="","",IFERROR((I87+J87)*L87/K87,0))</x:f>
      </x:c>
      <x:c r="N87" s="54" t="str">
        <x:f>IF(M87="","",IF(M87&gt;=16,"Критический",IF(M87&gt;=10,"Высокий",IF(M87&gt;=6,"Средний",IF(M87&gt;=3,"Низкий","Отложить")))))</x:f>
      </x:c>
      <x:c r="O87" s="54" t="str">
        <x:f>IF(M87="","",IF(OR(N87="Критический",N87="Высокий"),"Да",IF(N87="Средний","Кандидат","Нет")))</x:f>
      </x:c>
      <x:c r="P87" s="34"/>
      <x:c r="Q87" s="34"/>
    </x:row>
    <x:row r="88" ht="34" customHeight="1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  <x:c r="L88" s="34"/>
      <x:c r="M88" s="52" t="str">
        <x:f>IF(A88="","",IFERROR((I88+J88)*L88/K88,0))</x:f>
      </x:c>
      <x:c r="N88" s="54" t="str">
        <x:f>IF(M88="","",IF(M88&gt;=16,"Критический",IF(M88&gt;=10,"Высокий",IF(M88&gt;=6,"Средний",IF(M88&gt;=3,"Низкий","Отложить")))))</x:f>
      </x:c>
      <x:c r="O88" s="54" t="str">
        <x:f>IF(M88="","",IF(OR(N88="Критический",N88="Высокий"),"Да",IF(N88="Средний","Кандидат","Нет")))</x:f>
      </x:c>
      <x:c r="P88" s="34"/>
      <x:c r="Q88" s="34"/>
    </x:row>
    <x:row r="89" ht="34" customHeight="1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  <x:c r="L89" s="34"/>
      <x:c r="M89" s="52" t="str">
        <x:f>IF(A89="","",IFERROR((I89+J89)*L89/K89,0))</x:f>
      </x:c>
      <x:c r="N89" s="54" t="str">
        <x:f>IF(M89="","",IF(M89&gt;=16,"Критический",IF(M89&gt;=10,"Высокий",IF(M89&gt;=6,"Средний",IF(M89&gt;=3,"Низкий","Отложить")))))</x:f>
      </x:c>
      <x:c r="O89" s="54" t="str">
        <x:f>IF(M89="","",IF(OR(N89="Критический",N89="Высокий"),"Да",IF(N89="Средний","Кандидат","Нет")))</x:f>
      </x:c>
      <x:c r="P89" s="34"/>
      <x:c r="Q89" s="34"/>
    </x:row>
    <x:row r="90" ht="34" customHeight="1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  <x:c r="L90" s="34"/>
      <x:c r="M90" s="52" t="str">
        <x:f>IF(A90="","",IFERROR((I90+J90)*L90/K90,0))</x:f>
      </x:c>
      <x:c r="N90" s="54" t="str">
        <x:f>IF(M90="","",IF(M90&gt;=16,"Критический",IF(M90&gt;=10,"Высокий",IF(M90&gt;=6,"Средний",IF(M90&gt;=3,"Низкий","Отложить")))))</x:f>
      </x:c>
      <x:c r="O90" s="54" t="str">
        <x:f>IF(M90="","",IF(OR(N90="Критический",N90="Высокий"),"Да",IF(N90="Средний","Кандидат","Нет")))</x:f>
      </x:c>
      <x:c r="P90" s="34"/>
      <x:c r="Q90" s="34"/>
    </x:row>
    <x:row r="91" ht="34" customHeight="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  <x:c r="L91" s="34"/>
      <x:c r="M91" s="52" t="str">
        <x:f>IF(A91="","",IFERROR((I91+J91)*L91/K91,0))</x:f>
      </x:c>
      <x:c r="N91" s="54" t="str">
        <x:f>IF(M91="","",IF(M91&gt;=16,"Критический",IF(M91&gt;=10,"Высокий",IF(M91&gt;=6,"Средний",IF(M91&gt;=3,"Низкий","Отложить")))))</x:f>
      </x:c>
      <x:c r="O91" s="54" t="str">
        <x:f>IF(M91="","",IF(OR(N91="Критический",N91="Высокий"),"Да",IF(N91="Средний","Кандидат","Нет")))</x:f>
      </x:c>
      <x:c r="P91" s="34"/>
      <x:c r="Q91" s="34"/>
    </x:row>
    <x:row r="92" ht="34" customHeight="1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  <x:c r="L92" s="34"/>
      <x:c r="M92" s="52" t="str">
        <x:f>IF(A92="","",IFERROR((I92+J92)*L92/K92,0))</x:f>
      </x:c>
      <x:c r="N92" s="54" t="str">
        <x:f>IF(M92="","",IF(M92&gt;=16,"Критический",IF(M92&gt;=10,"Высокий",IF(M92&gt;=6,"Средний",IF(M92&gt;=3,"Низкий","Отложить")))))</x:f>
      </x:c>
      <x:c r="O92" s="54" t="str">
        <x:f>IF(M92="","",IF(OR(N92="Критический",N92="Высокий"),"Да",IF(N92="Средний","Кандидат","Нет")))</x:f>
      </x:c>
      <x:c r="P92" s="34"/>
      <x:c r="Q92" s="34"/>
    </x:row>
    <x:row r="93" ht="34" customHeight="1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  <x:c r="L93" s="34"/>
      <x:c r="M93" s="52" t="str">
        <x:f>IF(A93="","",IFERROR((I93+J93)*L93/K93,0))</x:f>
      </x:c>
      <x:c r="N93" s="54" t="str">
        <x:f>IF(M93="","",IF(M93&gt;=16,"Критический",IF(M93&gt;=10,"Высокий",IF(M93&gt;=6,"Средний",IF(M93&gt;=3,"Низкий","Отложить")))))</x:f>
      </x:c>
      <x:c r="O93" s="54" t="str">
        <x:f>IF(M93="","",IF(OR(N93="Критический",N93="Высокий"),"Да",IF(N93="Средний","Кандидат","Нет")))</x:f>
      </x:c>
      <x:c r="P93" s="34"/>
      <x:c r="Q93" s="34"/>
    </x:row>
    <x:row r="94" ht="34" customHeight="1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  <x:c r="L94" s="34"/>
      <x:c r="M94" s="52" t="str">
        <x:f>IF(A94="","",IFERROR((I94+J94)*L94/K94,0))</x:f>
      </x:c>
      <x:c r="N94" s="54" t="str">
        <x:f>IF(M94="","",IF(M94&gt;=16,"Критический",IF(M94&gt;=10,"Высокий",IF(M94&gt;=6,"Средний",IF(M94&gt;=3,"Низкий","Отложить")))))</x:f>
      </x:c>
      <x:c r="O94" s="54" t="str">
        <x:f>IF(M94="","",IF(OR(N94="Критический",N94="Высокий"),"Да",IF(N94="Средний","Кандидат","Нет")))</x:f>
      </x:c>
      <x:c r="P94" s="34"/>
      <x:c r="Q94" s="34"/>
    </x:row>
    <x:row r="95" ht="34" customHeight="1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  <x:c r="L95" s="34"/>
      <x:c r="M95" s="52" t="str">
        <x:f>IF(A95="","",IFERROR((I95+J95)*L95/K95,0))</x:f>
      </x:c>
      <x:c r="N95" s="54" t="str">
        <x:f>IF(M95="","",IF(M95&gt;=16,"Критический",IF(M95&gt;=10,"Высокий",IF(M95&gt;=6,"Средний",IF(M95&gt;=3,"Низкий","Отложить")))))</x:f>
      </x:c>
      <x:c r="O95" s="54" t="str">
        <x:f>IF(M95="","",IF(OR(N95="Критический",N95="Высокий"),"Да",IF(N95="Средний","Кандидат","Нет")))</x:f>
      </x:c>
      <x:c r="P95" s="34"/>
      <x:c r="Q95" s="34"/>
    </x:row>
    <x:row r="96" ht="34" customHeight="1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  <x:c r="L96" s="34"/>
      <x:c r="M96" s="52" t="str">
        <x:f>IF(A96="","",IFERROR((I96+J96)*L96/K96,0))</x:f>
      </x:c>
      <x:c r="N96" s="54" t="str">
        <x:f>IF(M96="","",IF(M96&gt;=16,"Критический",IF(M96&gt;=10,"Высокий",IF(M96&gt;=6,"Средний",IF(M96&gt;=3,"Низкий","Отложить")))))</x:f>
      </x:c>
      <x:c r="O96" s="54" t="str">
        <x:f>IF(M96="","",IF(OR(N96="Критический",N96="Высокий"),"Да",IF(N96="Средний","Кандидат","Нет")))</x:f>
      </x:c>
      <x:c r="P96" s="34"/>
      <x:c r="Q96" s="34"/>
    </x:row>
    <x:row r="97" ht="34" customHeight="1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  <x:c r="L97" s="34"/>
      <x:c r="M97" s="52" t="str">
        <x:f>IF(A97="","",IFERROR((I97+J97)*L97/K97,0))</x:f>
      </x:c>
      <x:c r="N97" s="54" t="str">
        <x:f>IF(M97="","",IF(M97&gt;=16,"Критический",IF(M97&gt;=10,"Высокий",IF(M97&gt;=6,"Средний",IF(M97&gt;=3,"Низкий","Отложить")))))</x:f>
      </x:c>
      <x:c r="O97" s="54" t="str">
        <x:f>IF(M97="","",IF(OR(N97="Критический",N97="Высокий"),"Да",IF(N97="Средний","Кандидат","Нет")))</x:f>
      </x:c>
      <x:c r="P97" s="34"/>
      <x:c r="Q97" s="34"/>
    </x:row>
    <x:row r="98" ht="34" customHeight="1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  <x:c r="L98" s="34"/>
      <x:c r="M98" s="52" t="str">
        <x:f>IF(A98="","",IFERROR((I98+J98)*L98/K98,0))</x:f>
      </x:c>
      <x:c r="N98" s="54" t="str">
        <x:f>IF(M98="","",IF(M98&gt;=16,"Критический",IF(M98&gt;=10,"Высокий",IF(M98&gt;=6,"Средний",IF(M98&gt;=3,"Низкий","Отложить")))))</x:f>
      </x:c>
      <x:c r="O98" s="54" t="str">
        <x:f>IF(M98="","",IF(OR(N98="Критический",N98="Высокий"),"Да",IF(N98="Средний","Кандидат","Нет")))</x:f>
      </x:c>
      <x:c r="P98" s="34"/>
      <x:c r="Q98" s="34"/>
    </x:row>
    <x:row r="99" ht="34" customHeight="1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  <x:c r="L99" s="34"/>
      <x:c r="M99" s="52" t="str">
        <x:f>IF(A99="","",IFERROR((I99+J99)*L99/K99,0))</x:f>
      </x:c>
      <x:c r="N99" s="54" t="str">
        <x:f>IF(M99="","",IF(M99&gt;=16,"Критический",IF(M99&gt;=10,"Высокий",IF(M99&gt;=6,"Средний",IF(M99&gt;=3,"Низкий","Отложить")))))</x:f>
      </x:c>
      <x:c r="O99" s="54" t="str">
        <x:f>IF(M99="","",IF(OR(N99="Критический",N99="Высокий"),"Да",IF(N99="Средний","Кандидат","Нет")))</x:f>
      </x:c>
      <x:c r="P99" s="34"/>
      <x:c r="Q99" s="34"/>
    </x:row>
    <x:row r="100" ht="34" customHeight="1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52" t="str">
        <x:f>IF(A100="","",IFERROR((I100+J100)*L100/K100,0))</x:f>
      </x:c>
      <x:c r="N100" s="54" t="str">
        <x:f>IF(M100="","",IF(M100&gt;=16,"Критический",IF(M100&gt;=10,"Высокий",IF(M100&gt;=6,"Средний",IF(M100&gt;=3,"Низкий","Отложить")))))</x:f>
      </x:c>
      <x:c r="O100" s="54" t="str">
        <x:f>IF(M100="","",IF(OR(N100="Критический",N100="Высокий"),"Да",IF(N100="Средний","Кандидат","Нет")))</x:f>
      </x:c>
      <x:c r="P100" s="34"/>
      <x:c r="Q100" s="34"/>
    </x:row>
    <x:row r="101" ht="34" customHeight="1">
      <x:c r="A101" s="34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34"/>
      <x:c r="L101" s="34"/>
      <x:c r="M101" s="52" t="str">
        <x:f>IF(A101="","",IFERROR((I101+J101)*L101/K101,0))</x:f>
      </x:c>
      <x:c r="N101" s="54" t="str">
        <x:f>IF(M101="","",IF(M101&gt;=16,"Критический",IF(M101&gt;=10,"Высокий",IF(M101&gt;=6,"Средний",IF(M101&gt;=3,"Низкий","Отложить")))))</x:f>
      </x:c>
      <x:c r="O101" s="54" t="str">
        <x:f>IF(M101="","",IF(OR(N101="Критический",N101="Высокий"),"Да",IF(N101="Средний","Кандидат","Нет")))</x:f>
      </x:c>
      <x:c r="P101" s="34"/>
      <x:c r="Q101" s="34"/>
    </x:row>
    <x:row r="102" ht="34" customHeight="1">
      <x:c r="A102" s="34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34"/>
      <x:c r="L102" s="34"/>
      <x:c r="M102" s="52" t="str">
        <x:f>IF(A102="","",IFERROR((I102+J102)*L102/K102,0))</x:f>
      </x:c>
      <x:c r="N102" s="54" t="str">
        <x:f>IF(M102="","",IF(M102&gt;=16,"Критический",IF(M102&gt;=10,"Высокий",IF(M102&gt;=6,"Средний",IF(M102&gt;=3,"Низкий","Отложить")))))</x:f>
      </x:c>
      <x:c r="O102" s="54" t="str">
        <x:f>IF(M102="","",IF(OR(N102="Критический",N102="Высокий"),"Да",IF(N102="Средний","Кандидат","Нет")))</x:f>
      </x:c>
      <x:c r="P102" s="34"/>
      <x:c r="Q102" s="34"/>
    </x:row>
    <x:row r="103" ht="34" customHeight="1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  <x:c r="L103" s="34"/>
      <x:c r="M103" s="52" t="str">
        <x:f>IF(A103="","",IFERROR((I103+J103)*L103/K103,0))</x:f>
      </x:c>
      <x:c r="N103" s="54" t="str">
        <x:f>IF(M103="","",IF(M103&gt;=16,"Критический",IF(M103&gt;=10,"Высокий",IF(M103&gt;=6,"Средний",IF(M103&gt;=3,"Низкий","Отложить")))))</x:f>
      </x:c>
      <x:c r="O103" s="54" t="str">
        <x:f>IF(M103="","",IF(OR(N103="Критический",N103="Высокий"),"Да",IF(N103="Средний","Кандидат","Нет")))</x:f>
      </x:c>
      <x:c r="P103" s="34"/>
      <x:c r="Q103" s="34"/>
    </x:row>
    <x:row r="104" ht="34" customHeight="1">
      <x:c r="A104" s="34"/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34"/>
      <x:c r="L104" s="34"/>
      <x:c r="M104" s="52" t="str">
        <x:f>IF(A104="","",IFERROR((I104+J104)*L104/K104,0))</x:f>
      </x:c>
      <x:c r="N104" s="54" t="str">
        <x:f>IF(M104="","",IF(M104&gt;=16,"Критический",IF(M104&gt;=10,"Высокий",IF(M104&gt;=6,"Средний",IF(M104&gt;=3,"Низкий","Отложить")))))</x:f>
      </x:c>
      <x:c r="O104" s="54" t="str">
        <x:f>IF(M104="","",IF(OR(N104="Критический",N104="Высокий"),"Да",IF(N104="Средний","Кандидат","Нет")))</x:f>
      </x:c>
      <x:c r="P104" s="34"/>
      <x:c r="Q104" s="34"/>
    </x:row>
    <x:row r="105" ht="34" customHeight="1">
      <x:c r="A105" s="34"/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34"/>
      <x:c r="L105" s="34"/>
      <x:c r="M105" s="52" t="str">
        <x:f>IF(A105="","",IFERROR((I105+J105)*L105/K105,0))</x:f>
      </x:c>
      <x:c r="N105" s="54" t="str">
        <x:f>IF(M105="","",IF(M105&gt;=16,"Критический",IF(M105&gt;=10,"Высокий",IF(M105&gt;=6,"Средний",IF(M105&gt;=3,"Низкий","Отложить")))))</x:f>
      </x:c>
      <x:c r="O105" s="54" t="str">
        <x:f>IF(M105="","",IF(OR(N105="Критический",N105="Высокий"),"Да",IF(N105="Средний","Кандидат","Нет")))</x:f>
      </x:c>
      <x:c r="P105" s="34"/>
      <x:c r="Q105" s="34"/>
    </x:row>
    <x:row r="106" ht="34" customHeight="1">
      <x:c r="A106" s="34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34"/>
      <x:c r="L106" s="34"/>
      <x:c r="M106" s="52" t="str">
        <x:f>IF(A106="","",IFERROR((I106+J106)*L106/K106,0))</x:f>
      </x:c>
      <x:c r="N106" s="54" t="str">
        <x:f>IF(M106="","",IF(M106&gt;=16,"Критический",IF(M106&gt;=10,"Высокий",IF(M106&gt;=6,"Средний",IF(M106&gt;=3,"Низкий","Отложить")))))</x:f>
      </x:c>
      <x:c r="O106" s="54" t="str">
        <x:f>IF(M106="","",IF(OR(N106="Критический",N106="Высокий"),"Да",IF(N106="Средний","Кандидат","Нет")))</x:f>
      </x:c>
      <x:c r="P106" s="34"/>
      <x:c r="Q106" s="34"/>
    </x:row>
    <x:row r="107" ht="34" customHeight="1">
      <x:c r="A107" s="34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34"/>
      <x:c r="L107" s="34"/>
      <x:c r="M107" s="52" t="str">
        <x:f>IF(A107="","",IFERROR((I107+J107)*L107/K107,0))</x:f>
      </x:c>
      <x:c r="N107" s="54" t="str">
        <x:f>IF(M107="","",IF(M107&gt;=16,"Критический",IF(M107&gt;=10,"Высокий",IF(M107&gt;=6,"Средний",IF(M107&gt;=3,"Низкий","Отложить")))))</x:f>
      </x:c>
      <x:c r="O107" s="54" t="str">
        <x:f>IF(M107="","",IF(OR(N107="Критический",N107="Высокий"),"Да",IF(N107="Средний","Кандидат","Нет")))</x:f>
      </x:c>
      <x:c r="P107" s="34"/>
      <x:c r="Q107" s="34"/>
    </x:row>
    <x:row r="108" ht="34" customHeight="1">
      <x:c r="A108" s="34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34"/>
      <x:c r="L108" s="34"/>
      <x:c r="M108" s="52" t="str">
        <x:f>IF(A108="","",IFERROR((I108+J108)*L108/K108,0))</x:f>
      </x:c>
      <x:c r="N108" s="54" t="str">
        <x:f>IF(M108="","",IF(M108&gt;=16,"Критический",IF(M108&gt;=10,"Высокий",IF(M108&gt;=6,"Средний",IF(M108&gt;=3,"Низкий","Отложить")))))</x:f>
      </x:c>
      <x:c r="O108" s="54" t="str">
        <x:f>IF(M108="","",IF(OR(N108="Критический",N108="Высокий"),"Да",IF(N108="Средний","Кандидат","Нет")))</x:f>
      </x:c>
      <x:c r="P108" s="34"/>
      <x:c r="Q108" s="34"/>
    </x:row>
    <x:row r="109" ht="34" customHeight="1">
      <x:c r="A109" s="34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  <x:c r="L109" s="34"/>
      <x:c r="M109" s="52" t="str">
        <x:f>IF(A109="","",IFERROR((I109+J109)*L109/K109,0))</x:f>
      </x:c>
      <x:c r="N109" s="54" t="str">
        <x:f>IF(M109="","",IF(M109&gt;=16,"Критический",IF(M109&gt;=10,"Высокий",IF(M109&gt;=6,"Средний",IF(M109&gt;=3,"Низкий","Отложить")))))</x:f>
      </x:c>
      <x:c r="O109" s="54" t="str">
        <x:f>IF(M109="","",IF(OR(N109="Критический",N109="Высокий"),"Да",IF(N109="Средний","Кандидат","Нет")))</x:f>
      </x:c>
      <x:c r="P109" s="34"/>
      <x:c r="Q109" s="34"/>
    </x:row>
    <x:row r="110" ht="34" customHeight="1">
      <x:c r="A110" s="34"/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34"/>
      <x:c r="L110" s="34"/>
      <x:c r="M110" s="52" t="str">
        <x:f>IF(A110="","",IFERROR((I110+J110)*L110/K110,0))</x:f>
      </x:c>
      <x:c r="N110" s="54" t="str">
        <x:f>IF(M110="","",IF(M110&gt;=16,"Критический",IF(M110&gt;=10,"Высокий",IF(M110&gt;=6,"Средний",IF(M110&gt;=3,"Низкий","Отложить")))))</x:f>
      </x:c>
      <x:c r="O110" s="54" t="str">
        <x:f>IF(M110="","",IF(OR(N110="Критический",N110="Высокий"),"Да",IF(N110="Средний","Кандидат","Нет")))</x:f>
      </x:c>
      <x:c r="P110" s="34"/>
      <x:c r="Q110" s="34"/>
    </x:row>
    <x:row r="111" ht="34" customHeight="1">
      <x:c r="A111" s="34"/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34"/>
      <x:c r="L111" s="34"/>
      <x:c r="M111" s="52" t="str">
        <x:f>IF(A111="","",IFERROR((I111+J111)*L111/K111,0))</x:f>
      </x:c>
      <x:c r="N111" s="54" t="str">
        <x:f>IF(M111="","",IF(M111&gt;=16,"Критический",IF(M111&gt;=10,"Высокий",IF(M111&gt;=6,"Средний",IF(M111&gt;=3,"Низкий","Отложить")))))</x:f>
      </x:c>
      <x:c r="O111" s="54" t="str">
        <x:f>IF(M111="","",IF(OR(N111="Критический",N111="Высокий"),"Да",IF(N111="Средний","Кандидат","Нет")))</x:f>
      </x:c>
      <x:c r="P111" s="34"/>
      <x:c r="Q111" s="34"/>
    </x:row>
    <x:row r="112" ht="34" customHeight="1">
      <x:c r="A112" s="34"/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34"/>
      <x:c r="L112" s="34"/>
      <x:c r="M112" s="52" t="str">
        <x:f>IF(A112="","",IFERROR((I112+J112)*L112/K112,0))</x:f>
      </x:c>
      <x:c r="N112" s="54" t="str">
        <x:f>IF(M112="","",IF(M112&gt;=16,"Критический",IF(M112&gt;=10,"Высокий",IF(M112&gt;=6,"Средний",IF(M112&gt;=3,"Низкий","Отложить")))))</x:f>
      </x:c>
      <x:c r="O112" s="54" t="str">
        <x:f>IF(M112="","",IF(OR(N112="Критический",N112="Высокий"),"Да",IF(N112="Средний","Кандидат","Нет")))</x:f>
      </x:c>
      <x:c r="P112" s="34"/>
      <x:c r="Q112" s="34"/>
    </x:row>
    <x:row r="113" ht="34" customHeight="1">
      <x:c r="A113" s="34"/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34"/>
      <x:c r="L113" s="34"/>
      <x:c r="M113" s="52" t="str">
        <x:f>IF(A113="","",IFERROR((I113+J113)*L113/K113,0))</x:f>
      </x:c>
      <x:c r="N113" s="54" t="str">
        <x:f>IF(M113="","",IF(M113&gt;=16,"Критический",IF(M113&gt;=10,"Высокий",IF(M113&gt;=6,"Средний",IF(M113&gt;=3,"Низкий","Отложить")))))</x:f>
      </x:c>
      <x:c r="O113" s="54" t="str">
        <x:f>IF(M113="","",IF(OR(N113="Критический",N113="Высокий"),"Да",IF(N113="Средний","Кандидат","Нет")))</x:f>
      </x:c>
      <x:c r="P113" s="34"/>
      <x:c r="Q113" s="34"/>
    </x:row>
    <x:row r="114" ht="34" customHeight="1">
      <x:c r="A114" s="34"/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52" t="str">
        <x:f>IF(A114="","",IFERROR((I114+J114)*L114/K114,0))</x:f>
      </x:c>
      <x:c r="N114" s="54" t="str">
        <x:f>IF(M114="","",IF(M114&gt;=16,"Критический",IF(M114&gt;=10,"Высокий",IF(M114&gt;=6,"Средний",IF(M114&gt;=3,"Низкий","Отложить")))))</x:f>
      </x:c>
      <x:c r="O114" s="54" t="str">
        <x:f>IF(M114="","",IF(OR(N114="Критический",N114="Высокий"),"Да",IF(N114="Средний","Кандидат","Нет")))</x:f>
      </x:c>
      <x:c r="P114" s="34"/>
      <x:c r="Q114" s="34"/>
    </x:row>
    <x:row r="115" ht="34" customHeight="1">
      <x:c r="A115" s="34"/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34"/>
      <x:c r="L115" s="34"/>
      <x:c r="M115" s="52" t="str">
        <x:f>IF(A115="","",IFERROR((I115+J115)*L115/K115,0))</x:f>
      </x:c>
      <x:c r="N115" s="54" t="str">
        <x:f>IF(M115="","",IF(M115&gt;=16,"Критический",IF(M115&gt;=10,"Высокий",IF(M115&gt;=6,"Средний",IF(M115&gt;=3,"Низкий","Отложить")))))</x:f>
      </x:c>
      <x:c r="O115" s="54" t="str">
        <x:f>IF(M115="","",IF(OR(N115="Критический",N115="Высокий"),"Да",IF(N115="Средний","Кандидат","Нет")))</x:f>
      </x:c>
      <x:c r="P115" s="34"/>
      <x:c r="Q115" s="34"/>
    </x:row>
    <x:row r="116" ht="34" customHeight="1">
      <x:c r="A116" s="34"/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34"/>
      <x:c r="L116" s="34"/>
      <x:c r="M116" s="52" t="str">
        <x:f>IF(A116="","",IFERROR((I116+J116)*L116/K116,0))</x:f>
      </x:c>
      <x:c r="N116" s="54" t="str">
        <x:f>IF(M116="","",IF(M116&gt;=16,"Критический",IF(M116&gt;=10,"Высокий",IF(M116&gt;=6,"Средний",IF(M116&gt;=3,"Низкий","Отложить")))))</x:f>
      </x:c>
      <x:c r="O116" s="54" t="str">
        <x:f>IF(M116="","",IF(OR(N116="Критический",N116="Высокий"),"Да",IF(N116="Средний","Кандидат","Нет")))</x:f>
      </x:c>
      <x:c r="P116" s="34"/>
      <x:c r="Q116" s="34"/>
    </x:row>
    <x:row r="117" ht="34" customHeight="1">
      <x:c r="A117" s="34"/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  <x:c r="L117" s="34"/>
      <x:c r="M117" s="52" t="str">
        <x:f>IF(A117="","",IFERROR((I117+J117)*L117/K117,0))</x:f>
      </x:c>
      <x:c r="N117" s="54" t="str">
        <x:f>IF(M117="","",IF(M117&gt;=16,"Критический",IF(M117&gt;=10,"Высокий",IF(M117&gt;=6,"Средний",IF(M117&gt;=3,"Низкий","Отложить")))))</x:f>
      </x:c>
      <x:c r="O117" s="54" t="str">
        <x:f>IF(M117="","",IF(OR(N117="Критический",N117="Высокий"),"Да",IF(N117="Средний","Кандидат","Нет")))</x:f>
      </x:c>
      <x:c r="P117" s="34"/>
      <x:c r="Q117" s="34"/>
    </x:row>
    <x:row r="118" ht="34" customHeight="1">
      <x:c r="A118" s="34"/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34"/>
      <x:c r="L118" s="34"/>
      <x:c r="M118" s="52" t="str">
        <x:f>IF(A118="","",IFERROR((I118+J118)*L118/K118,0))</x:f>
      </x:c>
      <x:c r="N118" s="54" t="str">
        <x:f>IF(M118="","",IF(M118&gt;=16,"Критический",IF(M118&gt;=10,"Высокий",IF(M118&gt;=6,"Средний",IF(M118&gt;=3,"Низкий","Отложить")))))</x:f>
      </x:c>
      <x:c r="O118" s="54" t="str">
        <x:f>IF(M118="","",IF(OR(N118="Критический",N118="Высокий"),"Да",IF(N118="Средний","Кандидат","Нет")))</x:f>
      </x:c>
      <x:c r="P118" s="34"/>
      <x:c r="Q118" s="34"/>
    </x:row>
    <x:row r="119" ht="34" customHeight="1">
      <x:c r="A119" s="34"/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34"/>
      <x:c r="L119" s="34"/>
      <x:c r="M119" s="52" t="str">
        <x:f>IF(A119="","",IFERROR((I119+J119)*L119/K119,0))</x:f>
      </x:c>
      <x:c r="N119" s="54" t="str">
        <x:f>IF(M119="","",IF(M119&gt;=16,"Критический",IF(M119&gt;=10,"Высокий",IF(M119&gt;=6,"Средний",IF(M119&gt;=3,"Низкий","Отложить")))))</x:f>
      </x:c>
      <x:c r="O119" s="54" t="str">
        <x:f>IF(M119="","",IF(OR(N119="Критический",N119="Высокий"),"Да",IF(N119="Средний","Кандидат","Нет")))</x:f>
      </x:c>
      <x:c r="P119" s="34"/>
      <x:c r="Q119" s="34"/>
    </x:row>
    <x:row r="120" ht="34" customHeight="1">
      <x:c r="A120" s="34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34"/>
      <x:c r="L120" s="34"/>
      <x:c r="M120" s="52" t="str">
        <x:f>IF(A120="","",IFERROR((I120+J120)*L120/K120,0))</x:f>
      </x:c>
      <x:c r="N120" s="54" t="str">
        <x:f>IF(M120="","",IF(M120&gt;=16,"Критический",IF(M120&gt;=10,"Высокий",IF(M120&gt;=6,"Средний",IF(M120&gt;=3,"Низкий","Отложить")))))</x:f>
      </x:c>
      <x:c r="O120" s="54" t="str">
        <x:f>IF(M120="","",IF(OR(N120="Критический",N120="Высокий"),"Да",IF(N120="Средний","Кандидат","Нет")))</x:f>
      </x:c>
      <x:c r="P120" s="34"/>
      <x:c r="Q120" s="34"/>
    </x:row>
    <x:row r="121" ht="34" customHeight="1">
      <x:c r="A121" s="34"/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34"/>
      <x:c r="L121" s="34"/>
      <x:c r="M121" s="52" t="str">
        <x:f>IF(A121="","",IFERROR((I121+J121)*L121/K121,0))</x:f>
      </x:c>
      <x:c r="N121" s="54" t="str">
        <x:f>IF(M121="","",IF(M121&gt;=16,"Критический",IF(M121&gt;=10,"Высокий",IF(M121&gt;=6,"Средний",IF(M121&gt;=3,"Низкий","Отложить")))))</x:f>
      </x:c>
      <x:c r="O121" s="54" t="str">
        <x:f>IF(M121="","",IF(OR(N121="Критический",N121="Высокий"),"Да",IF(N121="Средний","Кандидат","Нет")))</x:f>
      </x:c>
      <x:c r="P121" s="34"/>
      <x:c r="Q121" s="34"/>
    </x:row>
    <x:row r="122" ht="34" customHeight="1">
      <x:c r="A122" s="34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  <x:c r="L122" s="34"/>
      <x:c r="M122" s="52" t="str">
        <x:f>IF(A122="","",IFERROR((I122+J122)*L122/K122,0))</x:f>
      </x:c>
      <x:c r="N122" s="54" t="str">
        <x:f>IF(M122="","",IF(M122&gt;=16,"Критический",IF(M122&gt;=10,"Высокий",IF(M122&gt;=6,"Средний",IF(M122&gt;=3,"Низкий","Отложить")))))</x:f>
      </x:c>
      <x:c r="O122" s="54" t="str">
        <x:f>IF(M122="","",IF(OR(N122="Критический",N122="Высокий"),"Да",IF(N122="Средний","Кандидат","Нет")))</x:f>
      </x:c>
      <x:c r="P122" s="34"/>
      <x:c r="Q122" s="34"/>
    </x:row>
    <x:row r="123" ht="34" customHeight="1">
      <x:c r="A123" s="34"/>
      <x:c r="B123" s="34"/>
      <x:c r="C123" s="34"/>
      <x:c r="D123" s="34"/>
      <x:c r="E123" s="34"/>
      <x:c r="F123" s="34"/>
      <x:c r="G123" s="34"/>
      <x:c r="H123" s="34"/>
      <x:c r="I123" s="34"/>
      <x:c r="J123" s="34"/>
      <x:c r="K123" s="34"/>
      <x:c r="L123" s="34"/>
      <x:c r="M123" s="52" t="str">
        <x:f>IF(A123="","",IFERROR((I123+J123)*L123/K123,0))</x:f>
      </x:c>
      <x:c r="N123" s="54" t="str">
        <x:f>IF(M123="","",IF(M123&gt;=16,"Критический",IF(M123&gt;=10,"Высокий",IF(M123&gt;=6,"Средний",IF(M123&gt;=3,"Низкий","Отложить")))))</x:f>
      </x:c>
      <x:c r="O123" s="54" t="str">
        <x:f>IF(M123="","",IF(OR(N123="Критический",N123="Высокий"),"Да",IF(N123="Средний","Кандидат","Нет")))</x:f>
      </x:c>
      <x:c r="P123" s="34"/>
      <x:c r="Q123" s="34"/>
    </x:row>
    <x:row r="124" ht="34" customHeight="1">
      <x:c r="A124" s="34"/>
      <x:c r="B124" s="34"/>
      <x:c r="C124" s="34"/>
      <x:c r="D124" s="34"/>
      <x:c r="E124" s="34"/>
      <x:c r="F124" s="34"/>
      <x:c r="G124" s="34"/>
      <x:c r="H124" s="34"/>
      <x:c r="I124" s="34"/>
      <x:c r="J124" s="34"/>
      <x:c r="K124" s="34"/>
      <x:c r="L124" s="34"/>
      <x:c r="M124" s="52" t="str">
        <x:f>IF(A124="","",IFERROR((I124+J124)*L124/K124,0))</x:f>
      </x:c>
      <x:c r="N124" s="54" t="str">
        <x:f>IF(M124="","",IF(M124&gt;=16,"Критический",IF(M124&gt;=10,"Высокий",IF(M124&gt;=6,"Средний",IF(M124&gt;=3,"Низкий","Отложить")))))</x:f>
      </x:c>
      <x:c r="O124" s="54" t="str">
        <x:f>IF(M124="","",IF(OR(N124="Критический",N124="Высокий"),"Да",IF(N124="Средний","Кандидат","Нет")))</x:f>
      </x:c>
      <x:c r="P124" s="34"/>
      <x:c r="Q124" s="34"/>
    </x:row>
    <x:row r="125" ht="34" customHeight="1">
      <x:c r="A125" s="34"/>
      <x:c r="B125" s="34"/>
      <x:c r="C125" s="34"/>
      <x:c r="D125" s="34"/>
      <x:c r="E125" s="34"/>
      <x:c r="F125" s="34"/>
      <x:c r="G125" s="34"/>
      <x:c r="H125" s="34"/>
      <x:c r="I125" s="34"/>
      <x:c r="J125" s="34"/>
      <x:c r="K125" s="34"/>
      <x:c r="L125" s="34"/>
      <x:c r="M125" s="52" t="str">
        <x:f>IF(A125="","",IFERROR((I125+J125)*L125/K125,0))</x:f>
      </x:c>
      <x:c r="N125" s="54" t="str">
        <x:f>IF(M125="","",IF(M125&gt;=16,"Критический",IF(M125&gt;=10,"Высокий",IF(M125&gt;=6,"Средний",IF(M125&gt;=3,"Низкий","Отложить")))))</x:f>
      </x:c>
      <x:c r="O125" s="54" t="str">
        <x:f>IF(M125="","",IF(OR(N125="Критический",N125="Высокий"),"Да",IF(N125="Средний","Кандидат","Нет")))</x:f>
      </x:c>
      <x:c r="P125" s="34"/>
      <x:c r="Q125" s="34"/>
    </x:row>
    <x:row r="126" ht="34" customHeight="1">
      <x:c r="A126" s="34"/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34"/>
      <x:c r="L126" s="34"/>
      <x:c r="M126" s="52" t="str">
        <x:f>IF(A126="","",IFERROR((I126+J126)*L126/K126,0))</x:f>
      </x:c>
      <x:c r="N126" s="54" t="str">
        <x:f>IF(M126="","",IF(M126&gt;=16,"Критический",IF(M126&gt;=10,"Высокий",IF(M126&gt;=6,"Средний",IF(M126&gt;=3,"Низкий","Отложить")))))</x:f>
      </x:c>
      <x:c r="O126" s="54" t="str">
        <x:f>IF(M126="","",IF(OR(N126="Критический",N126="Высокий"),"Да",IF(N126="Средний","Кандидат","Нет")))</x:f>
      </x:c>
      <x:c r="P126" s="34"/>
      <x:c r="Q126" s="34"/>
    </x:row>
    <x:row r="127" ht="34" customHeight="1">
      <x:c r="A127" s="34"/>
      <x:c r="B127" s="34"/>
      <x:c r="C127" s="34"/>
      <x:c r="D127" s="34"/>
      <x:c r="E127" s="34"/>
      <x:c r="F127" s="34"/>
      <x:c r="G127" s="34"/>
      <x:c r="H127" s="34"/>
      <x:c r="I127" s="34"/>
      <x:c r="J127" s="34"/>
      <x:c r="K127" s="34"/>
      <x:c r="L127" s="34"/>
      <x:c r="M127" s="52" t="str">
        <x:f>IF(A127="","",IFERROR((I127+J127)*L127/K127,0))</x:f>
      </x:c>
      <x:c r="N127" s="54" t="str">
        <x:f>IF(M127="","",IF(M127&gt;=16,"Критический",IF(M127&gt;=10,"Высокий",IF(M127&gt;=6,"Средний",IF(M127&gt;=3,"Низкий","Отложить")))))</x:f>
      </x:c>
      <x:c r="O127" s="54" t="str">
        <x:f>IF(M127="","",IF(OR(N127="Критический",N127="Высокий"),"Да",IF(N127="Средний","Кандидат","Нет")))</x:f>
      </x:c>
      <x:c r="P127" s="34"/>
      <x:c r="Q127" s="34"/>
    </x:row>
    <x:row r="128" ht="34" customHeight="1">
      <x:c r="A128" s="34"/>
      <x:c r="B128" s="34"/>
      <x:c r="C128" s="34"/>
      <x:c r="D128" s="34"/>
      <x:c r="E128" s="34"/>
      <x:c r="F128" s="34"/>
      <x:c r="G128" s="34"/>
      <x:c r="H128" s="34"/>
      <x:c r="I128" s="34"/>
      <x:c r="J128" s="34"/>
      <x:c r="K128" s="34"/>
      <x:c r="L128" s="34"/>
      <x:c r="M128" s="52" t="str">
        <x:f>IF(A128="","",IFERROR((I128+J128)*L128/K128,0))</x:f>
      </x:c>
      <x:c r="N128" s="54" t="str">
        <x:f>IF(M128="","",IF(M128&gt;=16,"Критический",IF(M128&gt;=10,"Высокий",IF(M128&gt;=6,"Средний",IF(M128&gt;=3,"Низкий","Отложить")))))</x:f>
      </x:c>
      <x:c r="O128" s="54" t="str">
        <x:f>IF(M128="","",IF(OR(N128="Критический",N128="Высокий"),"Да",IF(N128="Средний","Кандидат","Нет")))</x:f>
      </x:c>
      <x:c r="P128" s="34"/>
      <x:c r="Q128" s="34"/>
    </x:row>
    <x:row r="129" ht="34" customHeight="1">
      <x:c r="A129" s="34"/>
      <x:c r="B129" s="34"/>
      <x:c r="C129" s="34"/>
      <x:c r="D129" s="34"/>
      <x:c r="E129" s="34"/>
      <x:c r="F129" s="34"/>
      <x:c r="G129" s="34"/>
      <x:c r="H129" s="34"/>
      <x:c r="I129" s="34"/>
      <x:c r="J129" s="34"/>
      <x:c r="K129" s="34"/>
      <x:c r="L129" s="34"/>
      <x:c r="M129" s="52" t="str">
        <x:f>IF(A129="","",IFERROR((I129+J129)*L129/K129,0))</x:f>
      </x:c>
      <x:c r="N129" s="54" t="str">
        <x:f>IF(M129="","",IF(M129&gt;=16,"Критический",IF(M129&gt;=10,"Высокий",IF(M129&gt;=6,"Средний",IF(M129&gt;=3,"Низкий","Отложить")))))</x:f>
      </x:c>
      <x:c r="O129" s="54" t="str">
        <x:f>IF(M129="","",IF(OR(N129="Критический",N129="Высокий"),"Да",IF(N129="Средний","Кандидат","Нет")))</x:f>
      </x:c>
      <x:c r="P129" s="34"/>
      <x:c r="Q129" s="34"/>
    </x:row>
    <x:row r="130" ht="34" customHeight="1">
      <x:c r="A130" s="34"/>
      <x:c r="B130" s="34"/>
      <x:c r="C130" s="34"/>
      <x:c r="D130" s="34"/>
      <x:c r="E130" s="34"/>
      <x:c r="F130" s="34"/>
      <x:c r="G130" s="34"/>
      <x:c r="H130" s="34"/>
      <x:c r="I130" s="34"/>
      <x:c r="J130" s="34"/>
      <x:c r="K130" s="34"/>
      <x:c r="L130" s="34"/>
      <x:c r="M130" s="52" t="str">
        <x:f>IF(A130="","",IFERROR((I130+J130)*L130/K130,0))</x:f>
      </x:c>
      <x:c r="N130" s="54" t="str">
        <x:f>IF(M130="","",IF(M130&gt;=16,"Критический",IF(M130&gt;=10,"Высокий",IF(M130&gt;=6,"Средний",IF(M130&gt;=3,"Низкий","Отложить")))))</x:f>
      </x:c>
      <x:c r="O130" s="54" t="str">
        <x:f>IF(M130="","",IF(OR(N130="Критический",N130="Высокий"),"Да",IF(N130="Средний","Кандидат","Нет")))</x:f>
      </x:c>
      <x:c r="P130" s="34"/>
      <x:c r="Q130" s="34"/>
    </x:row>
    <x:row r="131" ht="34" customHeight="1">
      <x:c r="A131" s="34"/>
      <x:c r="B131" s="34"/>
      <x:c r="C131" s="34"/>
      <x:c r="D131" s="34"/>
      <x:c r="E131" s="34"/>
      <x:c r="F131" s="34"/>
      <x:c r="G131" s="34"/>
      <x:c r="H131" s="34"/>
      <x:c r="I131" s="34"/>
      <x:c r="J131" s="34"/>
      <x:c r="K131" s="34"/>
      <x:c r="L131" s="34"/>
      <x:c r="M131" s="52" t="str">
        <x:f>IF(A131="","",IFERROR((I131+J131)*L131/K131,0))</x:f>
      </x:c>
      <x:c r="N131" s="54" t="str">
        <x:f>IF(M131="","",IF(M131&gt;=16,"Критический",IF(M131&gt;=10,"Высокий",IF(M131&gt;=6,"Средний",IF(M131&gt;=3,"Низкий","Отложить")))))</x:f>
      </x:c>
      <x:c r="O131" s="54" t="str">
        <x:f>IF(M131="","",IF(OR(N131="Критический",N131="Высокий"),"Да",IF(N131="Средний","Кандидат","Нет")))</x:f>
      </x:c>
      <x:c r="P131" s="34"/>
      <x:c r="Q131" s="34"/>
    </x:row>
    <x:row r="132" ht="34" customHeight="1">
      <x:c r="A132" s="34"/>
      <x:c r="B132" s="34"/>
      <x:c r="C132" s="34"/>
      <x:c r="D132" s="34"/>
      <x:c r="E132" s="34"/>
      <x:c r="F132" s="34"/>
      <x:c r="G132" s="34"/>
      <x:c r="H132" s="34"/>
      <x:c r="I132" s="34"/>
      <x:c r="J132" s="34"/>
      <x:c r="K132" s="34"/>
      <x:c r="L132" s="34"/>
      <x:c r="M132" s="52" t="str">
        <x:f>IF(A132="","",IFERROR((I132+J132)*L132/K132,0))</x:f>
      </x:c>
      <x:c r="N132" s="54" t="str">
        <x:f>IF(M132="","",IF(M132&gt;=16,"Критический",IF(M132&gt;=10,"Высокий",IF(M132&gt;=6,"Средний",IF(M132&gt;=3,"Низкий","Отложить")))))</x:f>
      </x:c>
      <x:c r="O132" s="54" t="str">
        <x:f>IF(M132="","",IF(OR(N132="Критический",N132="Высокий"),"Да",IF(N132="Средний","Кандидат","Нет")))</x:f>
      </x:c>
      <x:c r="P132" s="34"/>
      <x:c r="Q132" s="34"/>
    </x:row>
    <x:row r="133" ht="34" customHeight="1">
      <x:c r="A133" s="34"/>
      <x:c r="B133" s="34"/>
      <x:c r="C133" s="34"/>
      <x:c r="D133" s="34"/>
      <x:c r="E133" s="34"/>
      <x:c r="F133" s="34"/>
      <x:c r="G133" s="34"/>
      <x:c r="H133" s="34"/>
      <x:c r="I133" s="34"/>
      <x:c r="J133" s="34"/>
      <x:c r="K133" s="34"/>
      <x:c r="L133" s="34"/>
      <x:c r="M133" s="52" t="str">
        <x:f>IF(A133="","",IFERROR((I133+J133)*L133/K133,0))</x:f>
      </x:c>
      <x:c r="N133" s="54" t="str">
        <x:f>IF(M133="","",IF(M133&gt;=16,"Критический",IF(M133&gt;=10,"Высокий",IF(M133&gt;=6,"Средний",IF(M133&gt;=3,"Низкий","Отложить")))))</x:f>
      </x:c>
      <x:c r="O133" s="54" t="str">
        <x:f>IF(M133="","",IF(OR(N133="Критический",N133="Высокий"),"Да",IF(N133="Средний","Кандидат","Нет")))</x:f>
      </x:c>
      <x:c r="P133" s="34"/>
      <x:c r="Q133" s="34"/>
    </x:row>
    <x:row r="134" ht="34" customHeight="1">
      <x:c r="A134" s="34"/>
      <x:c r="B134" s="34"/>
      <x:c r="C134" s="34"/>
      <x:c r="D134" s="34"/>
      <x:c r="E134" s="34"/>
      <x:c r="F134" s="34"/>
      <x:c r="G134" s="34"/>
      <x:c r="H134" s="34"/>
      <x:c r="I134" s="34"/>
      <x:c r="J134" s="34"/>
      <x:c r="K134" s="34"/>
      <x:c r="L134" s="34"/>
      <x:c r="M134" s="52" t="str">
        <x:f>IF(A134="","",IFERROR((I134+J134)*L134/K134,0))</x:f>
      </x:c>
      <x:c r="N134" s="54" t="str">
        <x:f>IF(M134="","",IF(M134&gt;=16,"Критический",IF(M134&gt;=10,"Высокий",IF(M134&gt;=6,"Средний",IF(M134&gt;=3,"Низкий","Отложить")))))</x:f>
      </x:c>
      <x:c r="O134" s="54" t="str">
        <x:f>IF(M134="","",IF(OR(N134="Критический",N134="Высокий"),"Да",IF(N134="Средний","Кандидат","Нет")))</x:f>
      </x:c>
      <x:c r="P134" s="34"/>
      <x:c r="Q134" s="34"/>
    </x:row>
    <x:row r="135" ht="34" customHeight="1">
      <x:c r="A135" s="34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  <x:c r="L135" s="34"/>
      <x:c r="M135" s="52" t="str">
        <x:f>IF(A135="","",IFERROR((I135+J135)*L135/K135,0))</x:f>
      </x:c>
      <x:c r="N135" s="54" t="str">
        <x:f>IF(M135="","",IF(M135&gt;=16,"Критический",IF(M135&gt;=10,"Высокий",IF(M135&gt;=6,"Средний",IF(M135&gt;=3,"Низкий","Отложить")))))</x:f>
      </x:c>
      <x:c r="O135" s="54" t="str">
        <x:f>IF(M135="","",IF(OR(N135="Критический",N135="Высокий"),"Да",IF(N135="Средний","Кандидат","Нет")))</x:f>
      </x:c>
      <x:c r="P135" s="34"/>
      <x:c r="Q135" s="34"/>
    </x:row>
    <x:row r="136" ht="34" customHeight="1">
      <x:c r="A136" s="34"/>
      <x:c r="B136" s="34"/>
      <x:c r="C136" s="34"/>
      <x:c r="D136" s="34"/>
      <x:c r="E136" s="34"/>
      <x:c r="F136" s="34"/>
      <x:c r="G136" s="34"/>
      <x:c r="H136" s="34"/>
      <x:c r="I136" s="34"/>
      <x:c r="J136" s="34"/>
      <x:c r="K136" s="34"/>
      <x:c r="L136" s="34"/>
      <x:c r="M136" s="52" t="str">
        <x:f>IF(A136="","",IFERROR((I136+J136)*L136/K136,0))</x:f>
      </x:c>
      <x:c r="N136" s="54" t="str">
        <x:f>IF(M136="","",IF(M136&gt;=16,"Критический",IF(M136&gt;=10,"Высокий",IF(M136&gt;=6,"Средний",IF(M136&gt;=3,"Низкий","Отложить")))))</x:f>
      </x:c>
      <x:c r="O136" s="54" t="str">
        <x:f>IF(M136="","",IF(OR(N136="Критический",N136="Высокий"),"Да",IF(N136="Средний","Кандидат","Нет")))</x:f>
      </x:c>
      <x:c r="P136" s="34"/>
      <x:c r="Q136" s="34"/>
    </x:row>
    <x:row r="137" ht="34" customHeight="1">
      <x:c r="A137" s="34"/>
      <x:c r="B137" s="34"/>
      <x:c r="C137" s="34"/>
      <x:c r="D137" s="34"/>
      <x:c r="E137" s="34"/>
      <x:c r="F137" s="34"/>
      <x:c r="G137" s="34"/>
      <x:c r="H137" s="34"/>
      <x:c r="I137" s="34"/>
      <x:c r="J137" s="34"/>
      <x:c r="K137" s="34"/>
      <x:c r="L137" s="34"/>
      <x:c r="M137" s="52" t="str">
        <x:f>IF(A137="","",IFERROR((I137+J137)*L137/K137,0))</x:f>
      </x:c>
      <x:c r="N137" s="54" t="str">
        <x:f>IF(M137="","",IF(M137&gt;=16,"Критический",IF(M137&gt;=10,"Высокий",IF(M137&gt;=6,"Средний",IF(M137&gt;=3,"Низкий","Отложить")))))</x:f>
      </x:c>
      <x:c r="O137" s="54" t="str">
        <x:f>IF(M137="","",IF(OR(N137="Критический",N137="Высокий"),"Да",IF(N137="Средний","Кандидат","Нет")))</x:f>
      </x:c>
      <x:c r="P137" s="34"/>
      <x:c r="Q137" s="34"/>
    </x:row>
    <x:row r="138" ht="34" customHeight="1">
      <x:c r="A138" s="34"/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34"/>
      <x:c r="L138" s="34"/>
      <x:c r="M138" s="52" t="str">
        <x:f>IF(A138="","",IFERROR((I138+J138)*L138/K138,0))</x:f>
      </x:c>
      <x:c r="N138" s="54" t="str">
        <x:f>IF(M138="","",IF(M138&gt;=16,"Критический",IF(M138&gt;=10,"Высокий",IF(M138&gt;=6,"Средний",IF(M138&gt;=3,"Низкий","Отложить")))))</x:f>
      </x:c>
      <x:c r="O138" s="54" t="str">
        <x:f>IF(M138="","",IF(OR(N138="Критический",N138="Высокий"),"Да",IF(N138="Средний","Кандидат","Нет")))</x:f>
      </x:c>
      <x:c r="P138" s="34"/>
      <x:c r="Q138" s="34"/>
    </x:row>
    <x:row r="139" ht="34" customHeight="1">
      <x:c r="A139" s="34"/>
      <x:c r="B139" s="34"/>
      <x:c r="C139" s="34"/>
      <x:c r="D139" s="34"/>
      <x:c r="E139" s="34"/>
      <x:c r="F139" s="34"/>
      <x:c r="G139" s="34"/>
      <x:c r="H139" s="34"/>
      <x:c r="I139" s="34"/>
      <x:c r="J139" s="34"/>
      <x:c r="K139" s="34"/>
      <x:c r="L139" s="34"/>
      <x:c r="M139" s="52" t="str">
        <x:f>IF(A139="","",IFERROR((I139+J139)*L139/K139,0))</x:f>
      </x:c>
      <x:c r="N139" s="54" t="str">
        <x:f>IF(M139="","",IF(M139&gt;=16,"Критический",IF(M139&gt;=10,"Высокий",IF(M139&gt;=6,"Средний",IF(M139&gt;=3,"Низкий","Отложить")))))</x:f>
      </x:c>
      <x:c r="O139" s="54" t="str">
        <x:f>IF(M139="","",IF(OR(N139="Критический",N139="Высокий"),"Да",IF(N139="Средний","Кандидат","Нет")))</x:f>
      </x:c>
      <x:c r="P139" s="34"/>
      <x:c r="Q139" s="34"/>
    </x:row>
    <x:row r="140" ht="34" customHeight="1">
      <x:c r="A140" s="34"/>
      <x:c r="B140" s="34"/>
      <x:c r="C140" s="34"/>
      <x:c r="D140" s="34"/>
      <x:c r="E140" s="34"/>
      <x:c r="F140" s="34"/>
      <x:c r="G140" s="34"/>
      <x:c r="H140" s="34"/>
      <x:c r="I140" s="34"/>
      <x:c r="J140" s="34"/>
      <x:c r="K140" s="34"/>
      <x:c r="L140" s="34"/>
      <x:c r="M140" s="52" t="str">
        <x:f>IF(A140="","",IFERROR((I140+J140)*L140/K140,0))</x:f>
      </x:c>
      <x:c r="N140" s="54" t="str">
        <x:f>IF(M140="","",IF(M140&gt;=16,"Критический",IF(M140&gt;=10,"Высокий",IF(M140&gt;=6,"Средний",IF(M140&gt;=3,"Низкий","Отложить")))))</x:f>
      </x:c>
      <x:c r="O140" s="54" t="str">
        <x:f>IF(M140="","",IF(OR(N140="Критический",N140="Высокий"),"Да",IF(N140="Средний","Кандидат","Нет")))</x:f>
      </x:c>
      <x:c r="P140" s="34"/>
      <x:c r="Q140" s="34"/>
    </x:row>
    <x:row r="141" ht="34" customHeight="1">
      <x:c r="A141" s="34"/>
      <x:c r="B141" s="34"/>
      <x:c r="C141" s="34"/>
      <x:c r="D141" s="34"/>
      <x:c r="E141" s="34"/>
      <x:c r="F141" s="34"/>
      <x:c r="G141" s="34"/>
      <x:c r="H141" s="34"/>
      <x:c r="I141" s="34"/>
      <x:c r="J141" s="34"/>
      <x:c r="K141" s="34"/>
      <x:c r="L141" s="34"/>
      <x:c r="M141" s="52" t="str">
        <x:f>IF(A141="","",IFERROR((I141+J141)*L141/K141,0))</x:f>
      </x:c>
      <x:c r="N141" s="54" t="str">
        <x:f>IF(M141="","",IF(M141&gt;=16,"Критический",IF(M141&gt;=10,"Высокий",IF(M141&gt;=6,"Средний",IF(M141&gt;=3,"Низкий","Отложить")))))</x:f>
      </x:c>
      <x:c r="O141" s="54" t="str">
        <x:f>IF(M141="","",IF(OR(N141="Критический",N141="Высокий"),"Да",IF(N141="Средний","Кандидат","Нет")))</x:f>
      </x:c>
      <x:c r="P141" s="34"/>
      <x:c r="Q141" s="34"/>
    </x:row>
    <x:row r="142" ht="34" customHeight="1">
      <x:c r="A142" s="34"/>
      <x:c r="B142" s="34"/>
      <x:c r="C142" s="34"/>
      <x:c r="D142" s="34"/>
      <x:c r="E142" s="34"/>
      <x:c r="F142" s="34"/>
      <x:c r="G142" s="34"/>
      <x:c r="H142" s="34"/>
      <x:c r="I142" s="34"/>
      <x:c r="J142" s="34"/>
      <x:c r="K142" s="34"/>
      <x:c r="L142" s="34"/>
      <x:c r="M142" s="52" t="str">
        <x:f>IF(A142="","",IFERROR((I142+J142)*L142/K142,0))</x:f>
      </x:c>
      <x:c r="N142" s="54" t="str">
        <x:f>IF(M142="","",IF(M142&gt;=16,"Критический",IF(M142&gt;=10,"Высокий",IF(M142&gt;=6,"Средний",IF(M142&gt;=3,"Низкий","Отложить")))))</x:f>
      </x:c>
      <x:c r="O142" s="54" t="str">
        <x:f>IF(M142="","",IF(OR(N142="Критический",N142="Высокий"),"Да",IF(N142="Средний","Кандидат","Нет")))</x:f>
      </x:c>
      <x:c r="P142" s="34"/>
      <x:c r="Q142" s="34"/>
    </x:row>
    <x:row r="143" ht="34" customHeight="1">
      <x:c r="A143" s="34"/>
      <x:c r="B143" s="34"/>
      <x:c r="C143" s="34"/>
      <x:c r="D143" s="34"/>
      <x:c r="E143" s="34"/>
      <x:c r="F143" s="34"/>
      <x:c r="G143" s="34"/>
      <x:c r="H143" s="34"/>
      <x:c r="I143" s="34"/>
      <x:c r="J143" s="34"/>
      <x:c r="K143" s="34"/>
      <x:c r="L143" s="34"/>
      <x:c r="M143" s="52" t="str">
        <x:f>IF(A143="","",IFERROR((I143+J143)*L143/K143,0))</x:f>
      </x:c>
      <x:c r="N143" s="54" t="str">
        <x:f>IF(M143="","",IF(M143&gt;=16,"Критический",IF(M143&gt;=10,"Высокий",IF(M143&gt;=6,"Средний",IF(M143&gt;=3,"Низкий","Отложить")))))</x:f>
      </x:c>
      <x:c r="O143" s="54" t="str">
        <x:f>IF(M143="","",IF(OR(N143="Критический",N143="Высокий"),"Да",IF(N143="Средний","Кандидат","Нет")))</x:f>
      </x:c>
      <x:c r="P143" s="34"/>
      <x:c r="Q143" s="34"/>
    </x:row>
    <x:row r="144" ht="34" customHeight="1">
      <x:c r="A144" s="34"/>
      <x:c r="B144" s="34"/>
      <x:c r="C144" s="34"/>
      <x:c r="D144" s="34"/>
      <x:c r="E144" s="34"/>
      <x:c r="F144" s="34"/>
      <x:c r="G144" s="34"/>
      <x:c r="H144" s="34"/>
      <x:c r="I144" s="34"/>
      <x:c r="J144" s="34"/>
      <x:c r="K144" s="34"/>
      <x:c r="L144" s="34"/>
      <x:c r="M144" s="52" t="str">
        <x:f>IF(A144="","",IFERROR((I144+J144)*L144/K144,0))</x:f>
      </x:c>
      <x:c r="N144" s="54" t="str">
        <x:f>IF(M144="","",IF(M144&gt;=16,"Критический",IF(M144&gt;=10,"Высокий",IF(M144&gt;=6,"Средний",IF(M144&gt;=3,"Низкий","Отложить")))))</x:f>
      </x:c>
      <x:c r="O144" s="54" t="str">
        <x:f>IF(M144="","",IF(OR(N144="Критический",N144="Высокий"),"Да",IF(N144="Средний","Кандидат","Нет")))</x:f>
      </x:c>
      <x:c r="P144" s="34"/>
      <x:c r="Q144" s="34"/>
    </x:row>
    <x:row r="145" ht="34" customHeight="1">
      <x:c r="A145" s="34"/>
      <x:c r="B145" s="34"/>
      <x:c r="C145" s="34"/>
      <x:c r="D145" s="34"/>
      <x:c r="E145" s="34"/>
      <x:c r="F145" s="34"/>
      <x:c r="G145" s="34"/>
      <x:c r="H145" s="34"/>
      <x:c r="I145" s="34"/>
      <x:c r="J145" s="34"/>
      <x:c r="K145" s="34"/>
      <x:c r="L145" s="34"/>
      <x:c r="M145" s="52" t="str">
        <x:f>IF(A145="","",IFERROR((I145+J145)*L145/K145,0))</x:f>
      </x:c>
      <x:c r="N145" s="54" t="str">
        <x:f>IF(M145="","",IF(M145&gt;=16,"Критический",IF(M145&gt;=10,"Высокий",IF(M145&gt;=6,"Средний",IF(M145&gt;=3,"Низкий","Отложить")))))</x:f>
      </x:c>
      <x:c r="O145" s="54" t="str">
        <x:f>IF(M145="","",IF(OR(N145="Критический",N145="Высокий"),"Да",IF(N145="Средний","Кандидат","Нет")))</x:f>
      </x:c>
      <x:c r="P145" s="34"/>
      <x:c r="Q145" s="34"/>
    </x:row>
    <x:row r="146" ht="34" customHeight="1">
      <x:c r="A146" s="34"/>
      <x:c r="B146" s="34"/>
      <x:c r="C146" s="34"/>
      <x:c r="D146" s="34"/>
      <x:c r="E146" s="34"/>
      <x:c r="F146" s="34"/>
      <x:c r="G146" s="34"/>
      <x:c r="H146" s="34"/>
      <x:c r="I146" s="34"/>
      <x:c r="J146" s="34"/>
      <x:c r="K146" s="34"/>
      <x:c r="L146" s="34"/>
      <x:c r="M146" s="52" t="str">
        <x:f>IF(A146="","",IFERROR((I146+J146)*L146/K146,0))</x:f>
      </x:c>
      <x:c r="N146" s="54" t="str">
        <x:f>IF(M146="","",IF(M146&gt;=16,"Критический",IF(M146&gt;=10,"Высокий",IF(M146&gt;=6,"Средний",IF(M146&gt;=3,"Низкий","Отложить")))))</x:f>
      </x:c>
      <x:c r="O146" s="54" t="str">
        <x:f>IF(M146="","",IF(OR(N146="Критический",N146="Высокий"),"Да",IF(N146="Средний","Кандидат","Нет")))</x:f>
      </x:c>
      <x:c r="P146" s="34"/>
      <x:c r="Q146" s="34"/>
    </x:row>
    <x:row r="147" ht="34" customHeight="1">
      <x:c r="A147" s="34"/>
      <x:c r="B147" s="34"/>
      <x:c r="C147" s="34"/>
      <x:c r="D147" s="34"/>
      <x:c r="E147" s="34"/>
      <x:c r="F147" s="34"/>
      <x:c r="G147" s="34"/>
      <x:c r="H147" s="34"/>
      <x:c r="I147" s="34"/>
      <x:c r="J147" s="34"/>
      <x:c r="K147" s="34"/>
      <x:c r="L147" s="34"/>
      <x:c r="M147" s="52" t="str">
        <x:f>IF(A147="","",IFERROR((I147+J147)*L147/K147,0))</x:f>
      </x:c>
      <x:c r="N147" s="54" t="str">
        <x:f>IF(M147="","",IF(M147&gt;=16,"Критический",IF(M147&gt;=10,"Высокий",IF(M147&gt;=6,"Средний",IF(M147&gt;=3,"Низкий","Отложить")))))</x:f>
      </x:c>
      <x:c r="O147" s="54" t="str">
        <x:f>IF(M147="","",IF(OR(N147="Критический",N147="Высокий"),"Да",IF(N147="Средний","Кандидат","Нет")))</x:f>
      </x:c>
      <x:c r="P147" s="34"/>
      <x:c r="Q147" s="34"/>
    </x:row>
    <x:row r="148" ht="34" customHeight="1">
      <x:c r="A148" s="34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  <x:c r="L148" s="34"/>
      <x:c r="M148" s="52" t="str">
        <x:f>IF(A148="","",IFERROR((I148+J148)*L148/K148,0))</x:f>
      </x:c>
      <x:c r="N148" s="54" t="str">
        <x:f>IF(M148="","",IF(M148&gt;=16,"Критический",IF(M148&gt;=10,"Высокий",IF(M148&gt;=6,"Средний",IF(M148&gt;=3,"Низкий","Отложить")))))</x:f>
      </x:c>
      <x:c r="O148" s="54" t="str">
        <x:f>IF(M148="","",IF(OR(N148="Критический",N148="Высокий"),"Да",IF(N148="Средний","Кандидат","Нет")))</x:f>
      </x:c>
      <x:c r="P148" s="34"/>
      <x:c r="Q148" s="34"/>
    </x:row>
    <x:row r="149" ht="34" customHeight="1">
      <x:c r="A149" s="34"/>
      <x:c r="B149" s="34"/>
      <x:c r="C149" s="34"/>
      <x:c r="D149" s="34"/>
      <x:c r="E149" s="34"/>
      <x:c r="F149" s="34"/>
      <x:c r="G149" s="34"/>
      <x:c r="H149" s="34"/>
      <x:c r="I149" s="34"/>
      <x:c r="J149" s="34"/>
      <x:c r="K149" s="34"/>
      <x:c r="L149" s="34"/>
      <x:c r="M149" s="52" t="str">
        <x:f>IF(A149="","",IFERROR((I149+J149)*L149/K149,0))</x:f>
      </x:c>
      <x:c r="N149" s="54" t="str">
        <x:f>IF(M149="","",IF(M149&gt;=16,"Критический",IF(M149&gt;=10,"Высокий",IF(M149&gt;=6,"Средний",IF(M149&gt;=3,"Низкий","Отложить")))))</x:f>
      </x:c>
      <x:c r="O149" s="54" t="str">
        <x:f>IF(M149="","",IF(OR(N149="Критический",N149="Высокий"),"Да",IF(N149="Средний","Кандидат","Нет")))</x:f>
      </x:c>
      <x:c r="P149" s="34"/>
      <x:c r="Q149" s="34"/>
    </x:row>
    <x:row r="150" ht="34" customHeight="1">
      <x:c r="A150" s="34"/>
      <x:c r="B150" s="34"/>
      <x:c r="C150" s="34"/>
      <x:c r="D150" s="34"/>
      <x:c r="E150" s="34"/>
      <x:c r="F150" s="34"/>
      <x:c r="G150" s="34"/>
      <x:c r="H150" s="34"/>
      <x:c r="I150" s="34"/>
      <x:c r="J150" s="34"/>
      <x:c r="K150" s="34"/>
      <x:c r="L150" s="34"/>
      <x:c r="M150" s="52" t="str">
        <x:f>IF(A150="","",IFERROR((I150+J150)*L150/K150,0))</x:f>
      </x:c>
      <x:c r="N150" s="54" t="str">
        <x:f>IF(M150="","",IF(M150&gt;=16,"Критический",IF(M150&gt;=10,"Высокий",IF(M150&gt;=6,"Средний",IF(M150&gt;=3,"Низкий","Отложить")))))</x:f>
      </x:c>
      <x:c r="O150" s="54" t="str">
        <x:f>IF(M150="","",IF(OR(N150="Критический",N150="Высокий"),"Да",IF(N150="Средний","Кандидат","Нет")))</x:f>
      </x:c>
      <x:c r="P150" s="34"/>
      <x:c r="Q150" s="34"/>
    </x:row>
    <x:row r="151" ht="34" customHeight="1">
      <x:c r="A151" s="34"/>
      <x:c r="B151" s="34"/>
      <x:c r="C151" s="34"/>
      <x:c r="D151" s="34"/>
      <x:c r="E151" s="34"/>
      <x:c r="F151" s="34"/>
      <x:c r="G151" s="34"/>
      <x:c r="H151" s="34"/>
      <x:c r="I151" s="34"/>
      <x:c r="J151" s="34"/>
      <x:c r="K151" s="34"/>
      <x:c r="L151" s="34"/>
      <x:c r="M151" s="52" t="str">
        <x:f>IF(A151="","",IFERROR((I151+J151)*L151/K151,0))</x:f>
      </x:c>
      <x:c r="N151" s="54" t="str">
        <x:f>IF(M151="","",IF(M151&gt;=16,"Критический",IF(M151&gt;=10,"Высокий",IF(M151&gt;=6,"Средний",IF(M151&gt;=3,"Низкий","Отложить")))))</x:f>
      </x:c>
      <x:c r="O151" s="54" t="str">
        <x:f>IF(M151="","",IF(OR(N151="Критический",N151="Высокий"),"Да",IF(N151="Средний","Кандидат","Нет")))</x:f>
      </x:c>
      <x:c r="P151" s="34"/>
      <x:c r="Q151" s="34"/>
    </x:row>
    <x:row r="152" ht="34" customHeight="1">
      <x:c r="A152" s="34"/>
      <x:c r="B152" s="34"/>
      <x:c r="C152" s="34"/>
      <x:c r="D152" s="34"/>
      <x:c r="E152" s="34"/>
      <x:c r="F152" s="34"/>
      <x:c r="G152" s="34"/>
      <x:c r="H152" s="34"/>
      <x:c r="I152" s="34"/>
      <x:c r="J152" s="34"/>
      <x:c r="K152" s="34"/>
      <x:c r="L152" s="34"/>
      <x:c r="M152" s="52" t="str">
        <x:f>IF(A152="","",IFERROR((I152+J152)*L152/K152,0))</x:f>
      </x:c>
      <x:c r="N152" s="54" t="str">
        <x:f>IF(M152="","",IF(M152&gt;=16,"Критический",IF(M152&gt;=10,"Высокий",IF(M152&gt;=6,"Средний",IF(M152&gt;=3,"Низкий","Отложить")))))</x:f>
      </x:c>
      <x:c r="O152" s="54" t="str">
        <x:f>IF(M152="","",IF(OR(N152="Критический",N152="Высокий"),"Да",IF(N152="Средний","Кандидат","Нет")))</x:f>
      </x:c>
      <x:c r="P152" s="34"/>
      <x:c r="Q152" s="34"/>
    </x:row>
    <x:row r="153" ht="34" customHeight="1">
      <x:c r="A153" s="34"/>
      <x:c r="B153" s="34"/>
      <x:c r="C153" s="34"/>
      <x:c r="D153" s="34"/>
      <x:c r="E153" s="34"/>
      <x:c r="F153" s="34"/>
      <x:c r="G153" s="34"/>
      <x:c r="H153" s="34"/>
      <x:c r="I153" s="34"/>
      <x:c r="J153" s="34"/>
      <x:c r="K153" s="34"/>
      <x:c r="L153" s="34"/>
      <x:c r="M153" s="52" t="str">
        <x:f>IF(A153="","",IFERROR((I153+J153)*L153/K153,0))</x:f>
      </x:c>
      <x:c r="N153" s="54" t="str">
        <x:f>IF(M153="","",IF(M153&gt;=16,"Критический",IF(M153&gt;=10,"Высокий",IF(M153&gt;=6,"Средний",IF(M153&gt;=3,"Низкий","Отложить")))))</x:f>
      </x:c>
      <x:c r="O153" s="54" t="str">
        <x:f>IF(M153="","",IF(OR(N153="Критический",N153="Высокий"),"Да",IF(N153="Средний","Кандидат","Нет")))</x:f>
      </x:c>
      <x:c r="P153" s="34"/>
      <x:c r="Q153" s="34"/>
    </x:row>
    <x:row r="154" ht="34" customHeight="1">
      <x:c r="A154" s="34"/>
      <x:c r="B154" s="34"/>
      <x:c r="C154" s="34"/>
      <x:c r="D154" s="34"/>
      <x:c r="E154" s="34"/>
      <x:c r="F154" s="34"/>
      <x:c r="G154" s="34"/>
      <x:c r="H154" s="34"/>
      <x:c r="I154" s="34"/>
      <x:c r="J154" s="34"/>
      <x:c r="K154" s="34"/>
      <x:c r="L154" s="34"/>
      <x:c r="M154" s="52" t="str">
        <x:f>IF(A154="","",IFERROR((I154+J154)*L154/K154,0))</x:f>
      </x:c>
      <x:c r="N154" s="54" t="str">
        <x:f>IF(M154="","",IF(M154&gt;=16,"Критический",IF(M154&gt;=10,"Высокий",IF(M154&gt;=6,"Средний",IF(M154&gt;=3,"Низкий","Отложить")))))</x:f>
      </x:c>
      <x:c r="O154" s="54" t="str">
        <x:f>IF(M154="","",IF(OR(N154="Критический",N154="Высокий"),"Да",IF(N154="Средний","Кандидат","Нет")))</x:f>
      </x:c>
      <x:c r="P154" s="34"/>
      <x:c r="Q154" s="34"/>
    </x:row>
    <x:row r="155" ht="34" customHeight="1">
      <x:c r="A155" s="34"/>
      <x:c r="B155" s="34"/>
      <x:c r="C155" s="34"/>
      <x:c r="D155" s="34"/>
      <x:c r="E155" s="34"/>
      <x:c r="F155" s="34"/>
      <x:c r="G155" s="34"/>
      <x:c r="H155" s="34"/>
      <x:c r="I155" s="34"/>
      <x:c r="J155" s="34"/>
      <x:c r="K155" s="34"/>
      <x:c r="L155" s="34"/>
      <x:c r="M155" s="52" t="str">
        <x:f>IF(A155="","",IFERROR((I155+J155)*L155/K155,0))</x:f>
      </x:c>
      <x:c r="N155" s="54" t="str">
        <x:f>IF(M155="","",IF(M155&gt;=16,"Критический",IF(M155&gt;=10,"Высокий",IF(M155&gt;=6,"Средний",IF(M155&gt;=3,"Низкий","Отложить")))))</x:f>
      </x:c>
      <x:c r="O155" s="54" t="str">
        <x:f>IF(M155="","",IF(OR(N155="Критический",N155="Высокий"),"Да",IF(N155="Средний","Кандидат","Нет")))</x:f>
      </x:c>
      <x:c r="P155" s="34"/>
      <x:c r="Q155" s="34"/>
    </x:row>
    <x:row r="156" ht="34" customHeight="1">
      <x:c r="A156" s="34"/>
      <x:c r="B156" s="34"/>
      <x:c r="C156" s="34"/>
      <x:c r="D156" s="34"/>
      <x:c r="E156" s="34"/>
      <x:c r="F156" s="34"/>
      <x:c r="G156" s="34"/>
      <x:c r="H156" s="34"/>
      <x:c r="I156" s="34"/>
      <x:c r="J156" s="34"/>
      <x:c r="K156" s="34"/>
      <x:c r="L156" s="34"/>
      <x:c r="M156" s="52" t="str">
        <x:f>IF(A156="","",IFERROR((I156+J156)*L156/K156,0))</x:f>
      </x:c>
      <x:c r="N156" s="54" t="str">
        <x:f>IF(M156="","",IF(M156&gt;=16,"Критический",IF(M156&gt;=10,"Высокий",IF(M156&gt;=6,"Средний",IF(M156&gt;=3,"Низкий","Отложить")))))</x:f>
      </x:c>
      <x:c r="O156" s="54" t="str">
        <x:f>IF(M156="","",IF(OR(N156="Критический",N156="Высокий"),"Да",IF(N156="Средний","Кандидат","Нет")))</x:f>
      </x:c>
      <x:c r="P156" s="34"/>
      <x:c r="Q156" s="34"/>
    </x:row>
    <x:row r="157" ht="34" customHeight="1">
      <x:c r="A157" s="34"/>
      <x:c r="B157" s="34"/>
      <x:c r="C157" s="34"/>
      <x:c r="D157" s="34"/>
      <x:c r="E157" s="34"/>
      <x:c r="F157" s="34"/>
      <x:c r="G157" s="34"/>
      <x:c r="H157" s="34"/>
      <x:c r="I157" s="34"/>
      <x:c r="J157" s="34"/>
      <x:c r="K157" s="34"/>
      <x:c r="L157" s="34"/>
      <x:c r="M157" s="52" t="str">
        <x:f>IF(A157="","",IFERROR((I157+J157)*L157/K157,0))</x:f>
      </x:c>
      <x:c r="N157" s="54" t="str">
        <x:f>IF(M157="","",IF(M157&gt;=16,"Критический",IF(M157&gt;=10,"Высокий",IF(M157&gt;=6,"Средний",IF(M157&gt;=3,"Низкий","Отложить")))))</x:f>
      </x:c>
      <x:c r="O157" s="54" t="str">
        <x:f>IF(M157="","",IF(OR(N157="Критический",N157="Высокий"),"Да",IF(N157="Средний","Кандидат","Нет")))</x:f>
      </x:c>
      <x:c r="P157" s="34"/>
      <x:c r="Q157" s="34"/>
    </x:row>
    <x:row r="158" ht="34" customHeight="1">
      <x:c r="A158" s="34"/>
      <x:c r="B158" s="34"/>
      <x:c r="C158" s="34"/>
      <x:c r="D158" s="34"/>
      <x:c r="E158" s="34"/>
      <x:c r="F158" s="34"/>
      <x:c r="G158" s="34"/>
      <x:c r="H158" s="34"/>
      <x:c r="I158" s="34"/>
      <x:c r="J158" s="34"/>
      <x:c r="K158" s="34"/>
      <x:c r="L158" s="34"/>
      <x:c r="M158" s="52" t="str">
        <x:f>IF(A158="","",IFERROR((I158+J158)*L158/K158,0))</x:f>
      </x:c>
      <x:c r="N158" s="54" t="str">
        <x:f>IF(M158="","",IF(M158&gt;=16,"Критический",IF(M158&gt;=10,"Высокий",IF(M158&gt;=6,"Средний",IF(M158&gt;=3,"Низкий","Отложить")))))</x:f>
      </x:c>
      <x:c r="O158" s="54" t="str">
        <x:f>IF(M158="","",IF(OR(N158="Критический",N158="Высокий"),"Да",IF(N158="Средний","Кандидат","Нет")))</x:f>
      </x:c>
      <x:c r="P158" s="34"/>
      <x:c r="Q158" s="34"/>
    </x:row>
    <x:row r="159" ht="34" customHeight="1">
      <x:c r="A159" s="34"/>
      <x:c r="B159" s="34"/>
      <x:c r="C159" s="34"/>
      <x:c r="D159" s="34"/>
      <x:c r="E159" s="34"/>
      <x:c r="F159" s="34"/>
      <x:c r="G159" s="34"/>
      <x:c r="H159" s="34"/>
      <x:c r="I159" s="34"/>
      <x:c r="J159" s="34"/>
      <x:c r="K159" s="34"/>
      <x:c r="L159" s="34"/>
      <x:c r="M159" s="52" t="str">
        <x:f>IF(A159="","",IFERROR((I159+J159)*L159/K159,0))</x:f>
      </x:c>
      <x:c r="N159" s="54" t="str">
        <x:f>IF(M159="","",IF(M159&gt;=16,"Критический",IF(M159&gt;=10,"Высокий",IF(M159&gt;=6,"Средний",IF(M159&gt;=3,"Низкий","Отложить")))))</x:f>
      </x:c>
      <x:c r="O159" s="54" t="str">
        <x:f>IF(M159="","",IF(OR(N159="Критический",N159="Высокий"),"Да",IF(N159="Средний","Кандидат","Нет")))</x:f>
      </x:c>
      <x:c r="P159" s="34"/>
      <x:c r="Q159" s="34"/>
    </x:row>
    <x:row r="160" ht="34" customHeight="1">
      <x:c r="A160" s="34"/>
      <x:c r="B160" s="34"/>
      <x:c r="C160" s="34"/>
      <x:c r="D160" s="34"/>
      <x:c r="E160" s="34"/>
      <x:c r="F160" s="34"/>
      <x:c r="G160" s="34"/>
      <x:c r="H160" s="34"/>
      <x:c r="I160" s="34"/>
      <x:c r="J160" s="34"/>
      <x:c r="K160" s="34"/>
      <x:c r="L160" s="34"/>
      <x:c r="M160" s="52" t="str">
        <x:f>IF(A160="","",IFERROR((I160+J160)*L160/K160,0))</x:f>
      </x:c>
      <x:c r="N160" s="54" t="str">
        <x:f>IF(M160="","",IF(M160&gt;=16,"Критический",IF(M160&gt;=10,"Высокий",IF(M160&gt;=6,"Средний",IF(M160&gt;=3,"Низкий","Отложить")))))</x:f>
      </x:c>
      <x:c r="O160" s="54" t="str">
        <x:f>IF(M160="","",IF(OR(N160="Критический",N160="Высокий"),"Да",IF(N160="Средний","Кандидат","Нет")))</x:f>
      </x:c>
      <x:c r="P160" s="34"/>
      <x:c r="Q160" s="34"/>
    </x:row>
    <x:row r="161" ht="34" customHeight="1">
      <x:c r="A161" s="34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34"/>
      <x:c r="L161" s="34"/>
      <x:c r="M161" s="52" t="str">
        <x:f>IF(A161="","",IFERROR((I161+J161)*L161/K161,0))</x:f>
      </x:c>
      <x:c r="N161" s="54" t="str">
        <x:f>IF(M161="","",IF(M161&gt;=16,"Критический",IF(M161&gt;=10,"Высокий",IF(M161&gt;=6,"Средний",IF(M161&gt;=3,"Низкий","Отложить")))))</x:f>
      </x:c>
      <x:c r="O161" s="54" t="str">
        <x:f>IF(M161="","",IF(OR(N161="Критический",N161="Высокий"),"Да",IF(N161="Средний","Кандидат","Нет")))</x:f>
      </x:c>
      <x:c r="P161" s="34"/>
      <x:c r="Q161" s="34"/>
    </x:row>
    <x:row r="162" ht="34" customHeight="1">
      <x:c r="A162" s="34"/>
      <x:c r="B162" s="34"/>
      <x:c r="C162" s="34"/>
      <x:c r="D162" s="34"/>
      <x:c r="E162" s="34"/>
      <x:c r="F162" s="34"/>
      <x:c r="G162" s="34"/>
      <x:c r="H162" s="34"/>
      <x:c r="I162" s="34"/>
      <x:c r="J162" s="34"/>
      <x:c r="K162" s="34"/>
      <x:c r="L162" s="34"/>
      <x:c r="M162" s="52" t="str">
        <x:f>IF(A162="","",IFERROR((I162+J162)*L162/K162,0))</x:f>
      </x:c>
      <x:c r="N162" s="54" t="str">
        <x:f>IF(M162="","",IF(M162&gt;=16,"Критический",IF(M162&gt;=10,"Высокий",IF(M162&gt;=6,"Средний",IF(M162&gt;=3,"Низкий","Отложить")))))</x:f>
      </x:c>
      <x:c r="O162" s="54" t="str">
        <x:f>IF(M162="","",IF(OR(N162="Критический",N162="Высокий"),"Да",IF(N162="Средний","Кандидат","Нет")))</x:f>
      </x:c>
      <x:c r="P162" s="34"/>
      <x:c r="Q162" s="34"/>
    </x:row>
    <x:row r="163" ht="34" customHeight="1">
      <x:c r="A163" s="34"/>
      <x:c r="B163" s="34"/>
      <x:c r="C163" s="34"/>
      <x:c r="D163" s="34"/>
      <x:c r="E163" s="34"/>
      <x:c r="F163" s="34"/>
      <x:c r="G163" s="34"/>
      <x:c r="H163" s="34"/>
      <x:c r="I163" s="34"/>
      <x:c r="J163" s="34"/>
      <x:c r="K163" s="34"/>
      <x:c r="L163" s="34"/>
      <x:c r="M163" s="52" t="str">
        <x:f>IF(A163="","",IFERROR((I163+J163)*L163/K163,0))</x:f>
      </x:c>
      <x:c r="N163" s="54" t="str">
        <x:f>IF(M163="","",IF(M163&gt;=16,"Критический",IF(M163&gt;=10,"Высокий",IF(M163&gt;=6,"Средний",IF(M163&gt;=3,"Низкий","Отложить")))))</x:f>
      </x:c>
      <x:c r="O163" s="54" t="str">
        <x:f>IF(M163="","",IF(OR(N163="Критический",N163="Высокий"),"Да",IF(N163="Средний","Кандидат","Нет")))</x:f>
      </x:c>
      <x:c r="P163" s="34"/>
      <x:c r="Q163" s="34"/>
    </x:row>
    <x:row r="164" ht="34" customHeight="1">
      <x:c r="A164" s="34"/>
      <x:c r="B164" s="34"/>
      <x:c r="C164" s="34"/>
      <x:c r="D164" s="34"/>
      <x:c r="E164" s="34"/>
      <x:c r="F164" s="34"/>
      <x:c r="G164" s="34"/>
      <x:c r="H164" s="34"/>
      <x:c r="I164" s="34"/>
      <x:c r="J164" s="34"/>
      <x:c r="K164" s="34"/>
      <x:c r="L164" s="34"/>
      <x:c r="M164" s="52" t="str">
        <x:f>IF(A164="","",IFERROR((I164+J164)*L164/K164,0))</x:f>
      </x:c>
      <x:c r="N164" s="54" t="str">
        <x:f>IF(M164="","",IF(M164&gt;=16,"Критический",IF(M164&gt;=10,"Высокий",IF(M164&gt;=6,"Средний",IF(M164&gt;=3,"Низкий","Отложить")))))</x:f>
      </x:c>
      <x:c r="O164" s="54" t="str">
        <x:f>IF(M164="","",IF(OR(N164="Критический",N164="Высокий"),"Да",IF(N164="Средний","Кандидат","Нет")))</x:f>
      </x:c>
      <x:c r="P164" s="34"/>
      <x:c r="Q164" s="34"/>
    </x:row>
    <x:row r="165" ht="34" customHeight="1">
      <x:c r="A165" s="34"/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34"/>
      <x:c r="L165" s="34"/>
      <x:c r="M165" s="52" t="str">
        <x:f>IF(A165="","",IFERROR((I165+J165)*L165/K165,0))</x:f>
      </x:c>
      <x:c r="N165" s="54" t="str">
        <x:f>IF(M165="","",IF(M165&gt;=16,"Критический",IF(M165&gt;=10,"Высокий",IF(M165&gt;=6,"Средний",IF(M165&gt;=3,"Низкий","Отложить")))))</x:f>
      </x:c>
      <x:c r="O165" s="54" t="str">
        <x:f>IF(M165="","",IF(OR(N165="Критический",N165="Высокий"),"Да",IF(N165="Средний","Кандидат","Нет")))</x:f>
      </x:c>
      <x:c r="P165" s="34"/>
      <x:c r="Q165" s="34"/>
    </x:row>
    <x:row r="166" ht="34" customHeight="1">
      <x:c r="A166" s="34"/>
      <x:c r="B166" s="34"/>
      <x:c r="C166" s="34"/>
      <x:c r="D166" s="34"/>
      <x:c r="E166" s="34"/>
      <x:c r="F166" s="34"/>
      <x:c r="G166" s="34"/>
      <x:c r="H166" s="34"/>
      <x:c r="I166" s="34"/>
      <x:c r="J166" s="34"/>
      <x:c r="K166" s="34"/>
      <x:c r="L166" s="34"/>
      <x:c r="M166" s="52" t="str">
        <x:f>IF(A166="","",IFERROR((I166+J166)*L166/K166,0))</x:f>
      </x:c>
      <x:c r="N166" s="54" t="str">
        <x:f>IF(M166="","",IF(M166&gt;=16,"Критический",IF(M166&gt;=10,"Высокий",IF(M166&gt;=6,"Средний",IF(M166&gt;=3,"Низкий","Отложить")))))</x:f>
      </x:c>
      <x:c r="O166" s="54" t="str">
        <x:f>IF(M166="","",IF(OR(N166="Критический",N166="Высокий"),"Да",IF(N166="Средний","Кандидат","Нет")))</x:f>
      </x:c>
      <x:c r="P166" s="34"/>
      <x:c r="Q166" s="34"/>
    </x:row>
    <x:row r="167" ht="34" customHeight="1">
      <x:c r="A167" s="34"/>
      <x:c r="B167" s="34"/>
      <x:c r="C167" s="34"/>
      <x:c r="D167" s="34"/>
      <x:c r="E167" s="34"/>
      <x:c r="F167" s="34"/>
      <x:c r="G167" s="34"/>
      <x:c r="H167" s="34"/>
      <x:c r="I167" s="34"/>
      <x:c r="J167" s="34"/>
      <x:c r="K167" s="34"/>
      <x:c r="L167" s="34"/>
      <x:c r="M167" s="52" t="str">
        <x:f>IF(A167="","",IFERROR((I167+J167)*L167/K167,0))</x:f>
      </x:c>
      <x:c r="N167" s="54" t="str">
        <x:f>IF(M167="","",IF(M167&gt;=16,"Критический",IF(M167&gt;=10,"Высокий",IF(M167&gt;=6,"Средний",IF(M167&gt;=3,"Низкий","Отложить")))))</x:f>
      </x:c>
      <x:c r="O167" s="54" t="str">
        <x:f>IF(M167="","",IF(OR(N167="Критический",N167="Высокий"),"Да",IF(N167="Средний","Кандидат","Нет")))</x:f>
      </x:c>
      <x:c r="P167" s="34"/>
      <x:c r="Q167" s="34"/>
    </x:row>
    <x:row r="168" ht="34" customHeight="1">
      <x:c r="A168" s="34"/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34"/>
      <x:c r="M168" s="52" t="str">
        <x:f>IF(A168="","",IFERROR((I168+J168)*L168/K168,0))</x:f>
      </x:c>
      <x:c r="N168" s="54" t="str">
        <x:f>IF(M168="","",IF(M168&gt;=16,"Критический",IF(M168&gt;=10,"Высокий",IF(M168&gt;=6,"Средний",IF(M168&gt;=3,"Низкий","Отложить")))))</x:f>
      </x:c>
      <x:c r="O168" s="54" t="str">
        <x:f>IF(M168="","",IF(OR(N168="Критический",N168="Высокий"),"Да",IF(N168="Средний","Кандидат","Нет")))</x:f>
      </x:c>
      <x:c r="P168" s="34"/>
      <x:c r="Q168" s="34"/>
    </x:row>
    <x:row r="169" ht="34" customHeight="1">
      <x:c r="A169" s="34"/>
      <x:c r="B169" s="34"/>
      <x:c r="C169" s="34"/>
      <x:c r="D169" s="34"/>
      <x:c r="E169" s="34"/>
      <x:c r="F169" s="34"/>
      <x:c r="G169" s="34"/>
      <x:c r="H169" s="34"/>
      <x:c r="I169" s="34"/>
      <x:c r="J169" s="34"/>
      <x:c r="K169" s="34"/>
      <x:c r="L169" s="34"/>
      <x:c r="M169" s="52" t="str">
        <x:f>IF(A169="","",IFERROR((I169+J169)*L169/K169,0))</x:f>
      </x:c>
      <x:c r="N169" s="54" t="str">
        <x:f>IF(M169="","",IF(M169&gt;=16,"Критический",IF(M169&gt;=10,"Высокий",IF(M169&gt;=6,"Средний",IF(M169&gt;=3,"Низкий","Отложить")))))</x:f>
      </x:c>
      <x:c r="O169" s="54" t="str">
        <x:f>IF(M169="","",IF(OR(N169="Критический",N169="Высокий"),"Да",IF(N169="Средний","Кандидат","Нет")))</x:f>
      </x:c>
      <x:c r="P169" s="34"/>
      <x:c r="Q169" s="34"/>
    </x:row>
    <x:row r="170" ht="34" customHeight="1">
      <x:c r="A170" s="34"/>
      <x:c r="B170" s="34"/>
      <x:c r="C170" s="34"/>
      <x:c r="D170" s="34"/>
      <x:c r="E170" s="34"/>
      <x:c r="F170" s="34"/>
      <x:c r="G170" s="34"/>
      <x:c r="H170" s="34"/>
      <x:c r="I170" s="34"/>
      <x:c r="J170" s="34"/>
      <x:c r="K170" s="34"/>
      <x:c r="L170" s="34"/>
      <x:c r="M170" s="52" t="str">
        <x:f>IF(A170="","",IFERROR((I170+J170)*L170/K170,0))</x:f>
      </x:c>
      <x:c r="N170" s="54" t="str">
        <x:f>IF(M170="","",IF(M170&gt;=16,"Критический",IF(M170&gt;=10,"Высокий",IF(M170&gt;=6,"Средний",IF(M170&gt;=3,"Низкий","Отложить")))))</x:f>
      </x:c>
      <x:c r="O170" s="54" t="str">
        <x:f>IF(M170="","",IF(OR(N170="Критический",N170="Высокий"),"Да",IF(N170="Средний","Кандидат","Нет")))</x:f>
      </x:c>
      <x:c r="P170" s="34"/>
      <x:c r="Q170" s="34"/>
    </x:row>
    <x:row r="171" ht="34" customHeight="1">
      <x:c r="A171" s="34"/>
      <x:c r="B171" s="34"/>
      <x:c r="C171" s="34"/>
      <x:c r="D171" s="34"/>
      <x:c r="E171" s="34"/>
      <x:c r="F171" s="34"/>
      <x:c r="G171" s="34"/>
      <x:c r="H171" s="34"/>
      <x:c r="I171" s="34"/>
      <x:c r="J171" s="34"/>
      <x:c r="K171" s="34"/>
      <x:c r="L171" s="34"/>
      <x:c r="M171" s="52" t="str">
        <x:f>IF(A171="","",IFERROR((I171+J171)*L171/K171,0))</x:f>
      </x:c>
      <x:c r="N171" s="54" t="str">
        <x:f>IF(M171="","",IF(M171&gt;=16,"Критический",IF(M171&gt;=10,"Высокий",IF(M171&gt;=6,"Средний",IF(M171&gt;=3,"Низкий","Отложить")))))</x:f>
      </x:c>
      <x:c r="O171" s="54" t="str">
        <x:f>IF(M171="","",IF(OR(N171="Критический",N171="Высокий"),"Да",IF(N171="Средний","Кандидат","Нет")))</x:f>
      </x:c>
      <x:c r="P171" s="34"/>
      <x:c r="Q171" s="34"/>
    </x:row>
    <x:row r="172" ht="34" customHeight="1">
      <x:c r="A172" s="34"/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34"/>
      <x:c r="L172" s="34"/>
      <x:c r="M172" s="52" t="str">
        <x:f>IF(A172="","",IFERROR((I172+J172)*L172/K172,0))</x:f>
      </x:c>
      <x:c r="N172" s="54" t="str">
        <x:f>IF(M172="","",IF(M172&gt;=16,"Критический",IF(M172&gt;=10,"Высокий",IF(M172&gt;=6,"Средний",IF(M172&gt;=3,"Низкий","Отложить")))))</x:f>
      </x:c>
      <x:c r="O172" s="54" t="str">
        <x:f>IF(M172="","",IF(OR(N172="Критический",N172="Высокий"),"Да",IF(N172="Средний","Кандидат","Нет")))</x:f>
      </x:c>
      <x:c r="P172" s="34"/>
      <x:c r="Q172" s="34"/>
    </x:row>
    <x:row r="173" ht="34" customHeight="1">
      <x:c r="A173" s="34"/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34"/>
      <x:c r="L173" s="34"/>
      <x:c r="M173" s="52" t="str">
        <x:f>IF(A173="","",IFERROR((I173+J173)*L173/K173,0))</x:f>
      </x:c>
      <x:c r="N173" s="54" t="str">
        <x:f>IF(M173="","",IF(M173&gt;=16,"Критический",IF(M173&gt;=10,"Высокий",IF(M173&gt;=6,"Средний",IF(M173&gt;=3,"Низкий","Отложить")))))</x:f>
      </x:c>
      <x:c r="O173" s="54" t="str">
        <x:f>IF(M173="","",IF(OR(N173="Критический",N173="Высокий"),"Да",IF(N173="Средний","Кандидат","Нет")))</x:f>
      </x:c>
      <x:c r="P173" s="34"/>
      <x:c r="Q173" s="34"/>
    </x:row>
    <x:row r="174" ht="34" customHeight="1">
      <x:c r="A174" s="34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34"/>
      <x:c r="L174" s="34"/>
      <x:c r="M174" s="52" t="str">
        <x:f>IF(A174="","",IFERROR((I174+J174)*L174/K174,0))</x:f>
      </x:c>
      <x:c r="N174" s="54" t="str">
        <x:f>IF(M174="","",IF(M174&gt;=16,"Критический",IF(M174&gt;=10,"Высокий",IF(M174&gt;=6,"Средний",IF(M174&gt;=3,"Низкий","Отложить")))))</x:f>
      </x:c>
      <x:c r="O174" s="54" t="str">
        <x:f>IF(M174="","",IF(OR(N174="Критический",N174="Высокий"),"Да",IF(N174="Средний","Кандидат","Нет")))</x:f>
      </x:c>
      <x:c r="P174" s="34"/>
      <x:c r="Q174" s="34"/>
    </x:row>
    <x:row r="175" ht="34" customHeight="1">
      <x:c r="A175" s="34"/>
      <x:c r="B175" s="34"/>
      <x:c r="C175" s="34"/>
      <x:c r="D175" s="34"/>
      <x:c r="E175" s="34"/>
      <x:c r="F175" s="34"/>
      <x:c r="G175" s="34"/>
      <x:c r="H175" s="34"/>
      <x:c r="I175" s="34"/>
      <x:c r="J175" s="34"/>
      <x:c r="K175" s="34"/>
      <x:c r="L175" s="34"/>
      <x:c r="M175" s="52" t="str">
        <x:f>IF(A175="","",IFERROR((I175+J175)*L175/K175,0))</x:f>
      </x:c>
      <x:c r="N175" s="54" t="str">
        <x:f>IF(M175="","",IF(M175&gt;=16,"Критический",IF(M175&gt;=10,"Высокий",IF(M175&gt;=6,"Средний",IF(M175&gt;=3,"Низкий","Отложить")))))</x:f>
      </x:c>
      <x:c r="O175" s="54" t="str">
        <x:f>IF(M175="","",IF(OR(N175="Критический",N175="Высокий"),"Да",IF(N175="Средний","Кандидат","Нет")))</x:f>
      </x:c>
      <x:c r="P175" s="34"/>
      <x:c r="Q175" s="34"/>
    </x:row>
    <x:row r="176" ht="34" customHeight="1">
      <x:c r="A176" s="34"/>
      <x:c r="B176" s="34"/>
      <x:c r="C176" s="34"/>
      <x:c r="D176" s="34"/>
      <x:c r="E176" s="34"/>
      <x:c r="F176" s="34"/>
      <x:c r="G176" s="34"/>
      <x:c r="H176" s="34"/>
      <x:c r="I176" s="34"/>
      <x:c r="J176" s="34"/>
      <x:c r="K176" s="34"/>
      <x:c r="L176" s="34"/>
      <x:c r="M176" s="52" t="str">
        <x:f>IF(A176="","",IFERROR((I176+J176)*L176/K176,0))</x:f>
      </x:c>
      <x:c r="N176" s="54" t="str">
        <x:f>IF(M176="","",IF(M176&gt;=16,"Критический",IF(M176&gt;=10,"Высокий",IF(M176&gt;=6,"Средний",IF(M176&gt;=3,"Низкий","Отложить")))))</x:f>
      </x:c>
      <x:c r="O176" s="54" t="str">
        <x:f>IF(M176="","",IF(OR(N176="Критический",N176="Высокий"),"Да",IF(N176="Средний","Кандидат","Нет")))</x:f>
      </x:c>
      <x:c r="P176" s="34"/>
      <x:c r="Q176" s="34"/>
    </x:row>
    <x:row r="177" ht="34" customHeight="1">
      <x:c r="A177" s="34"/>
      <x:c r="B177" s="34"/>
      <x:c r="C177" s="34"/>
      <x:c r="D177" s="34"/>
      <x:c r="E177" s="34"/>
      <x:c r="F177" s="34"/>
      <x:c r="G177" s="34"/>
      <x:c r="H177" s="34"/>
      <x:c r="I177" s="34"/>
      <x:c r="J177" s="34"/>
      <x:c r="K177" s="34"/>
      <x:c r="L177" s="34"/>
      <x:c r="M177" s="52" t="str">
        <x:f>IF(A177="","",IFERROR((I177+J177)*L177/K177,0))</x:f>
      </x:c>
      <x:c r="N177" s="54" t="str">
        <x:f>IF(M177="","",IF(M177&gt;=16,"Критический",IF(M177&gt;=10,"Высокий",IF(M177&gt;=6,"Средний",IF(M177&gt;=3,"Низкий","Отложить")))))</x:f>
      </x:c>
      <x:c r="O177" s="54" t="str">
        <x:f>IF(M177="","",IF(OR(N177="Критический",N177="Высокий"),"Да",IF(N177="Средний","Кандидат","Нет")))</x:f>
      </x:c>
      <x:c r="P177" s="34"/>
      <x:c r="Q177" s="34"/>
    </x:row>
    <x:row r="178" ht="34" customHeight="1">
      <x:c r="A178" s="34"/>
      <x:c r="B178" s="34"/>
      <x:c r="C178" s="34"/>
      <x:c r="D178" s="34"/>
      <x:c r="E178" s="34"/>
      <x:c r="F178" s="34"/>
      <x:c r="G178" s="34"/>
      <x:c r="H178" s="34"/>
      <x:c r="I178" s="34"/>
      <x:c r="J178" s="34"/>
      <x:c r="K178" s="34"/>
      <x:c r="L178" s="34"/>
      <x:c r="M178" s="52" t="str">
        <x:f>IF(A178="","",IFERROR((I178+J178)*L178/K178,0))</x:f>
      </x:c>
      <x:c r="N178" s="54" t="str">
        <x:f>IF(M178="","",IF(M178&gt;=16,"Критический",IF(M178&gt;=10,"Высокий",IF(M178&gt;=6,"Средний",IF(M178&gt;=3,"Низкий","Отложить")))))</x:f>
      </x:c>
      <x:c r="O178" s="54" t="str">
        <x:f>IF(M178="","",IF(OR(N178="Критический",N178="Высокий"),"Да",IF(N178="Средний","Кандидат","Нет")))</x:f>
      </x:c>
      <x:c r="P178" s="34"/>
      <x:c r="Q178" s="34"/>
    </x:row>
    <x:row r="179" ht="34" customHeight="1">
      <x:c r="A179" s="34"/>
      <x:c r="B179" s="34"/>
      <x:c r="C179" s="34"/>
      <x:c r="D179" s="34"/>
      <x:c r="E179" s="34"/>
      <x:c r="F179" s="34"/>
      <x:c r="G179" s="34"/>
      <x:c r="H179" s="34"/>
      <x:c r="I179" s="34"/>
      <x:c r="J179" s="34"/>
      <x:c r="K179" s="34"/>
      <x:c r="L179" s="34"/>
      <x:c r="M179" s="52" t="str">
        <x:f>IF(A179="","",IFERROR((I179+J179)*L179/K179,0))</x:f>
      </x:c>
      <x:c r="N179" s="54" t="str">
        <x:f>IF(M179="","",IF(M179&gt;=16,"Критический",IF(M179&gt;=10,"Высокий",IF(M179&gt;=6,"Средний",IF(M179&gt;=3,"Низкий","Отложить")))))</x:f>
      </x:c>
      <x:c r="O179" s="54" t="str">
        <x:f>IF(M179="","",IF(OR(N179="Критический",N179="Высокий"),"Да",IF(N179="Средний","Кандидат","Нет")))</x:f>
      </x:c>
      <x:c r="P179" s="34"/>
      <x:c r="Q179" s="34"/>
    </x:row>
    <x:row r="180" ht="34" customHeight="1">
      <x:c r="A180" s="34"/>
      <x:c r="B180" s="34"/>
      <x:c r="C180" s="34"/>
      <x:c r="D180" s="34"/>
      <x:c r="E180" s="34"/>
      <x:c r="F180" s="34"/>
      <x:c r="G180" s="34"/>
      <x:c r="H180" s="34"/>
      <x:c r="I180" s="34"/>
      <x:c r="J180" s="34"/>
      <x:c r="K180" s="34"/>
      <x:c r="L180" s="34"/>
      <x:c r="M180" s="52" t="str">
        <x:f>IF(A180="","",IFERROR((I180+J180)*L180/K180,0))</x:f>
      </x:c>
      <x:c r="N180" s="54" t="str">
        <x:f>IF(M180="","",IF(M180&gt;=16,"Критический",IF(M180&gt;=10,"Высокий",IF(M180&gt;=6,"Средний",IF(M180&gt;=3,"Низкий","Отложить")))))</x:f>
      </x:c>
      <x:c r="O180" s="54" t="str">
        <x:f>IF(M180="","",IF(OR(N180="Критический",N180="Высокий"),"Да",IF(N180="Средний","Кандидат","Нет")))</x:f>
      </x:c>
      <x:c r="P180" s="34"/>
      <x:c r="Q180" s="34"/>
    </x:row>
    <x:row r="181" ht="34" customHeight="1">
      <x:c r="A181" s="34"/>
      <x:c r="B181" s="34"/>
      <x:c r="C181" s="34"/>
      <x:c r="D181" s="34"/>
      <x:c r="E181" s="34"/>
      <x:c r="F181" s="34"/>
      <x:c r="G181" s="34"/>
      <x:c r="H181" s="34"/>
      <x:c r="I181" s="34"/>
      <x:c r="J181" s="34"/>
      <x:c r="K181" s="34"/>
      <x:c r="L181" s="34"/>
      <x:c r="M181" s="52" t="str">
        <x:f>IF(A181="","",IFERROR((I181+J181)*L181/K181,0))</x:f>
      </x:c>
      <x:c r="N181" s="54" t="str">
        <x:f>IF(M181="","",IF(M181&gt;=16,"Критический",IF(M181&gt;=10,"Высокий",IF(M181&gt;=6,"Средний",IF(M181&gt;=3,"Низкий","Отложить")))))</x:f>
      </x:c>
      <x:c r="O181" s="54" t="str">
        <x:f>IF(M181="","",IF(OR(N181="Критический",N181="Высокий"),"Да",IF(N181="Средний","Кандидат","Нет")))</x:f>
      </x:c>
      <x:c r="P181" s="34"/>
      <x:c r="Q181" s="34"/>
    </x:row>
    <x:row r="182" ht="34" customHeight="1">
      <x:c r="A182" s="34"/>
      <x:c r="B182" s="34"/>
      <x:c r="C182" s="34"/>
      <x:c r="D182" s="34"/>
      <x:c r="E182" s="34"/>
      <x:c r="F182" s="34"/>
      <x:c r="G182" s="34"/>
      <x:c r="H182" s="34"/>
      <x:c r="I182" s="34"/>
      <x:c r="J182" s="34"/>
      <x:c r="K182" s="34"/>
      <x:c r="L182" s="34"/>
      <x:c r="M182" s="52" t="str">
        <x:f>IF(A182="","",IFERROR((I182+J182)*L182/K182,0))</x:f>
      </x:c>
      <x:c r="N182" s="54" t="str">
        <x:f>IF(M182="","",IF(M182&gt;=16,"Критический",IF(M182&gt;=10,"Высокий",IF(M182&gt;=6,"Средний",IF(M182&gt;=3,"Низкий","Отложить")))))</x:f>
      </x:c>
      <x:c r="O182" s="54" t="str">
        <x:f>IF(M182="","",IF(OR(N182="Критический",N182="Высокий"),"Да",IF(N182="Средний","Кандидат","Нет")))</x:f>
      </x:c>
      <x:c r="P182" s="34"/>
      <x:c r="Q182" s="34"/>
    </x:row>
    <x:row r="183" ht="34" customHeight="1">
      <x:c r="A183" s="34"/>
      <x:c r="B183" s="34"/>
      <x:c r="C183" s="34"/>
      <x:c r="D183" s="34"/>
      <x:c r="E183" s="34"/>
      <x:c r="F183" s="34"/>
      <x:c r="G183" s="34"/>
      <x:c r="H183" s="34"/>
      <x:c r="I183" s="34"/>
      <x:c r="J183" s="34"/>
      <x:c r="K183" s="34"/>
      <x:c r="L183" s="34"/>
      <x:c r="M183" s="52" t="str">
        <x:f>IF(A183="","",IFERROR((I183+J183)*L183/K183,0))</x:f>
      </x:c>
      <x:c r="N183" s="54" t="str">
        <x:f>IF(M183="","",IF(M183&gt;=16,"Критический",IF(M183&gt;=10,"Высокий",IF(M183&gt;=6,"Средний",IF(M183&gt;=3,"Низкий","Отложить")))))</x:f>
      </x:c>
      <x:c r="O183" s="54" t="str">
        <x:f>IF(M183="","",IF(OR(N183="Критический",N183="Высокий"),"Да",IF(N183="Средний","Кандидат","Нет")))</x:f>
      </x:c>
      <x:c r="P183" s="34"/>
      <x:c r="Q183" s="34"/>
    </x:row>
    <x:row r="184" ht="34" customHeight="1">
      <x:c r="A184" s="34"/>
      <x:c r="B184" s="34"/>
      <x:c r="C184" s="34"/>
      <x:c r="D184" s="34"/>
      <x:c r="E184" s="34"/>
      <x:c r="F184" s="34"/>
      <x:c r="G184" s="34"/>
      <x:c r="H184" s="34"/>
      <x:c r="I184" s="34"/>
      <x:c r="J184" s="34"/>
      <x:c r="K184" s="34"/>
      <x:c r="L184" s="34"/>
      <x:c r="M184" s="52" t="str">
        <x:f>IF(A184="","",IFERROR((I184+J184)*L184/K184,0))</x:f>
      </x:c>
      <x:c r="N184" s="54" t="str">
        <x:f>IF(M184="","",IF(M184&gt;=16,"Критический",IF(M184&gt;=10,"Высокий",IF(M184&gt;=6,"Средний",IF(M184&gt;=3,"Низкий","Отложить")))))</x:f>
      </x:c>
      <x:c r="O184" s="54" t="str">
        <x:f>IF(M184="","",IF(OR(N184="Критический",N184="Высокий"),"Да",IF(N184="Средний","Кандидат","Нет")))</x:f>
      </x:c>
      <x:c r="P184" s="34"/>
      <x:c r="Q184" s="34"/>
    </x:row>
    <x:row r="185" ht="34" customHeight="1">
      <x:c r="A185" s="34"/>
      <x:c r="B185" s="34"/>
      <x:c r="C185" s="34"/>
      <x:c r="D185" s="34"/>
      <x:c r="E185" s="34"/>
      <x:c r="F185" s="34"/>
      <x:c r="G185" s="34"/>
      <x:c r="H185" s="34"/>
      <x:c r="I185" s="34"/>
      <x:c r="J185" s="34"/>
      <x:c r="K185" s="34"/>
      <x:c r="L185" s="34"/>
      <x:c r="M185" s="52" t="str">
        <x:f>IF(A185="","",IFERROR((I185+J185)*L185/K185,0))</x:f>
      </x:c>
      <x:c r="N185" s="54" t="str">
        <x:f>IF(M185="","",IF(M185&gt;=16,"Критический",IF(M185&gt;=10,"Высокий",IF(M185&gt;=6,"Средний",IF(M185&gt;=3,"Низкий","Отложить")))))</x:f>
      </x:c>
      <x:c r="O185" s="54" t="str">
        <x:f>IF(M185="","",IF(OR(N185="Критический",N185="Высокий"),"Да",IF(N185="Средний","Кандидат","Нет")))</x:f>
      </x:c>
      <x:c r="P185" s="34"/>
      <x:c r="Q185" s="34"/>
    </x:row>
    <x:row r="186" ht="34" customHeight="1">
      <x:c r="A186" s="34"/>
      <x:c r="B186" s="34"/>
      <x:c r="C186" s="34"/>
      <x:c r="D186" s="34"/>
      <x:c r="E186" s="34"/>
      <x:c r="F186" s="34"/>
      <x:c r="G186" s="34"/>
      <x:c r="H186" s="34"/>
      <x:c r="I186" s="34"/>
      <x:c r="J186" s="34"/>
      <x:c r="K186" s="34"/>
      <x:c r="L186" s="34"/>
      <x:c r="M186" s="52" t="str">
        <x:f>IF(A186="","",IFERROR((I186+J186)*L186/K186,0))</x:f>
      </x:c>
      <x:c r="N186" s="54" t="str">
        <x:f>IF(M186="","",IF(M186&gt;=16,"Критический",IF(M186&gt;=10,"Высокий",IF(M186&gt;=6,"Средний",IF(M186&gt;=3,"Низкий","Отложить")))))</x:f>
      </x:c>
      <x:c r="O186" s="54" t="str">
        <x:f>IF(M186="","",IF(OR(N186="Критический",N186="Высокий"),"Да",IF(N186="Средний","Кандидат","Нет")))</x:f>
      </x:c>
      <x:c r="P186" s="34"/>
      <x:c r="Q186" s="34"/>
    </x:row>
    <x:row r="187" ht="34" customHeight="1">
      <x:c r="A187" s="34"/>
      <x:c r="B187" s="34"/>
      <x:c r="C187" s="34"/>
      <x:c r="D187" s="34"/>
      <x:c r="E187" s="34"/>
      <x:c r="F187" s="34"/>
      <x:c r="G187" s="34"/>
      <x:c r="H187" s="34"/>
      <x:c r="I187" s="34"/>
      <x:c r="J187" s="34"/>
      <x:c r="K187" s="34"/>
      <x:c r="L187" s="34"/>
      <x:c r="M187" s="52" t="str">
        <x:f>IF(A187="","",IFERROR((I187+J187)*L187/K187,0))</x:f>
      </x:c>
      <x:c r="N187" s="54" t="str">
        <x:f>IF(M187="","",IF(M187&gt;=16,"Критический",IF(M187&gt;=10,"Высокий",IF(M187&gt;=6,"Средний",IF(M187&gt;=3,"Низкий","Отложить")))))</x:f>
      </x:c>
      <x:c r="O187" s="54" t="str">
        <x:f>IF(M187="","",IF(OR(N187="Критический",N187="Высокий"),"Да",IF(N187="Средний","Кандидат","Нет")))</x:f>
      </x:c>
      <x:c r="P187" s="34"/>
      <x:c r="Q187" s="34"/>
    </x:row>
    <x:row r="188" ht="34" customHeight="1">
      <x:c r="A188" s="34"/>
      <x:c r="B188" s="34"/>
      <x:c r="C188" s="34"/>
      <x:c r="D188" s="34"/>
      <x:c r="E188" s="34"/>
      <x:c r="F188" s="34"/>
      <x:c r="G188" s="34"/>
      <x:c r="H188" s="34"/>
      <x:c r="I188" s="34"/>
      <x:c r="J188" s="34"/>
      <x:c r="K188" s="34"/>
      <x:c r="L188" s="34"/>
      <x:c r="M188" s="52" t="str">
        <x:f>IF(A188="","",IFERROR((I188+J188)*L188/K188,0))</x:f>
      </x:c>
      <x:c r="N188" s="54" t="str">
        <x:f>IF(M188="","",IF(M188&gt;=16,"Критический",IF(M188&gt;=10,"Высокий",IF(M188&gt;=6,"Средний",IF(M188&gt;=3,"Низкий","Отложить")))))</x:f>
      </x:c>
      <x:c r="O188" s="54" t="str">
        <x:f>IF(M188="","",IF(OR(N188="Критический",N188="Высокий"),"Да",IF(N188="Средний","Кандидат","Нет")))</x:f>
      </x:c>
      <x:c r="P188" s="34"/>
      <x:c r="Q188" s="34"/>
    </x:row>
    <x:row r="189" ht="34" customHeight="1">
      <x:c r="A189" s="34"/>
      <x:c r="B189" s="34"/>
      <x:c r="C189" s="34"/>
      <x:c r="D189" s="34"/>
      <x:c r="E189" s="34"/>
      <x:c r="F189" s="34"/>
      <x:c r="G189" s="34"/>
      <x:c r="H189" s="34"/>
      <x:c r="I189" s="34"/>
      <x:c r="J189" s="34"/>
      <x:c r="K189" s="34"/>
      <x:c r="L189" s="34"/>
      <x:c r="M189" s="52" t="str">
        <x:f>IF(A189="","",IFERROR((I189+J189)*L189/K189,0))</x:f>
      </x:c>
      <x:c r="N189" s="54" t="str">
        <x:f>IF(M189="","",IF(M189&gt;=16,"Критический",IF(M189&gt;=10,"Высокий",IF(M189&gt;=6,"Средний",IF(M189&gt;=3,"Низкий","Отложить")))))</x:f>
      </x:c>
      <x:c r="O189" s="54" t="str">
        <x:f>IF(M189="","",IF(OR(N189="Критический",N189="Высокий"),"Да",IF(N189="Средний","Кандидат","Нет")))</x:f>
      </x:c>
      <x:c r="P189" s="34"/>
      <x:c r="Q189" s="34"/>
    </x:row>
    <x:row r="190" ht="34" customHeight="1">
      <x:c r="A190" s="34"/>
      <x:c r="B190" s="34"/>
      <x:c r="C190" s="34"/>
      <x:c r="D190" s="34"/>
      <x:c r="E190" s="34"/>
      <x:c r="F190" s="34"/>
      <x:c r="G190" s="34"/>
      <x:c r="H190" s="34"/>
      <x:c r="I190" s="34"/>
      <x:c r="J190" s="34"/>
      <x:c r="K190" s="34"/>
      <x:c r="L190" s="34"/>
      <x:c r="M190" s="52" t="str">
        <x:f>IF(A190="","",IFERROR((I190+J190)*L190/K190,0))</x:f>
      </x:c>
      <x:c r="N190" s="54" t="str">
        <x:f>IF(M190="","",IF(M190&gt;=16,"Критический",IF(M190&gt;=10,"Высокий",IF(M190&gt;=6,"Средний",IF(M190&gt;=3,"Низкий","Отложить")))))</x:f>
      </x:c>
      <x:c r="O190" s="54" t="str">
        <x:f>IF(M190="","",IF(OR(N190="Критический",N190="Высокий"),"Да",IF(N190="Средний","Кандидат","Нет")))</x:f>
      </x:c>
      <x:c r="P190" s="34"/>
      <x:c r="Q190" s="34"/>
    </x:row>
    <x:row r="191" ht="34" customHeight="1">
      <x:c r="A191" s="34"/>
      <x:c r="B191" s="34"/>
      <x:c r="C191" s="34"/>
      <x:c r="D191" s="34"/>
      <x:c r="E191" s="34"/>
      <x:c r="F191" s="34"/>
      <x:c r="G191" s="34"/>
      <x:c r="H191" s="34"/>
      <x:c r="I191" s="34"/>
      <x:c r="J191" s="34"/>
      <x:c r="K191" s="34"/>
      <x:c r="L191" s="34"/>
      <x:c r="M191" s="52" t="str">
        <x:f>IF(A191="","",IFERROR((I191+J191)*L191/K191,0))</x:f>
      </x:c>
      <x:c r="N191" s="54" t="str">
        <x:f>IF(M191="","",IF(M191&gt;=16,"Критический",IF(M191&gt;=10,"Высокий",IF(M191&gt;=6,"Средний",IF(M191&gt;=3,"Низкий","Отложить")))))</x:f>
      </x:c>
      <x:c r="O191" s="54" t="str">
        <x:f>IF(M191="","",IF(OR(N191="Критический",N191="Высокий"),"Да",IF(N191="Средний","Кандидат","Нет")))</x:f>
      </x:c>
      <x:c r="P191" s="34"/>
      <x:c r="Q191" s="34"/>
    </x:row>
    <x:row r="192" ht="34" customHeight="1">
      <x:c r="A192" s="34"/>
      <x:c r="B192" s="34"/>
      <x:c r="C192" s="34"/>
      <x:c r="D192" s="34"/>
      <x:c r="E192" s="34"/>
      <x:c r="F192" s="34"/>
      <x:c r="G192" s="34"/>
      <x:c r="H192" s="34"/>
      <x:c r="I192" s="34"/>
      <x:c r="J192" s="34"/>
      <x:c r="K192" s="34"/>
      <x:c r="L192" s="34"/>
      <x:c r="M192" s="52" t="str">
        <x:f>IF(A192="","",IFERROR((I192+J192)*L192/K192,0))</x:f>
      </x:c>
      <x:c r="N192" s="54" t="str">
        <x:f>IF(M192="","",IF(M192&gt;=16,"Критический",IF(M192&gt;=10,"Высокий",IF(M192&gt;=6,"Средний",IF(M192&gt;=3,"Низкий","Отложить")))))</x:f>
      </x:c>
      <x:c r="O192" s="54" t="str">
        <x:f>IF(M192="","",IF(OR(N192="Критический",N192="Высокий"),"Да",IF(N192="Средний","Кандидат","Нет")))</x:f>
      </x:c>
      <x:c r="P192" s="34"/>
      <x:c r="Q192" s="34"/>
    </x:row>
    <x:row r="193" ht="34" customHeight="1">
      <x:c r="A193" s="34"/>
      <x:c r="B193" s="34"/>
      <x:c r="C193" s="34"/>
      <x:c r="D193" s="34"/>
      <x:c r="E193" s="34"/>
      <x:c r="F193" s="34"/>
      <x:c r="G193" s="34"/>
      <x:c r="H193" s="34"/>
      <x:c r="I193" s="34"/>
      <x:c r="J193" s="34"/>
      <x:c r="K193" s="34"/>
      <x:c r="L193" s="34"/>
      <x:c r="M193" s="52" t="str">
        <x:f>IF(A193="","",IFERROR((I193+J193)*L193/K193,0))</x:f>
      </x:c>
      <x:c r="N193" s="54" t="str">
        <x:f>IF(M193="","",IF(M193&gt;=16,"Критический",IF(M193&gt;=10,"Высокий",IF(M193&gt;=6,"Средний",IF(M193&gt;=3,"Низкий","Отложить")))))</x:f>
      </x:c>
      <x:c r="O193" s="54" t="str">
        <x:f>IF(M193="","",IF(OR(N193="Критический",N193="Высокий"),"Да",IF(N193="Средний","Кандидат","Нет")))</x:f>
      </x:c>
      <x:c r="P193" s="34"/>
      <x:c r="Q193" s="34"/>
    </x:row>
    <x:row r="194" ht="34" customHeight="1">
      <x:c r="A194" s="34"/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34"/>
      <x:c r="L194" s="34"/>
      <x:c r="M194" s="52" t="str">
        <x:f>IF(A194="","",IFERROR((I194+J194)*L194/K194,0))</x:f>
      </x:c>
      <x:c r="N194" s="54" t="str">
        <x:f>IF(M194="","",IF(M194&gt;=16,"Критический",IF(M194&gt;=10,"Высокий",IF(M194&gt;=6,"Средний",IF(M194&gt;=3,"Низкий","Отложить")))))</x:f>
      </x:c>
      <x:c r="O194" s="54" t="str">
        <x:f>IF(M194="","",IF(OR(N194="Критический",N194="Высокий"),"Да",IF(N194="Средний","Кандидат","Нет")))</x:f>
      </x:c>
      <x:c r="P194" s="34"/>
      <x:c r="Q194" s="34"/>
    </x:row>
    <x:row r="195" ht="34" customHeight="1">
      <x:c r="A195" s="34"/>
      <x:c r="B195" s="34"/>
      <x:c r="C195" s="34"/>
      <x:c r="D195" s="34"/>
      <x:c r="E195" s="34"/>
      <x:c r="F195" s="34"/>
      <x:c r="G195" s="34"/>
      <x:c r="H195" s="34"/>
      <x:c r="I195" s="34"/>
      <x:c r="J195" s="34"/>
      <x:c r="K195" s="34"/>
      <x:c r="L195" s="34"/>
      <x:c r="M195" s="52" t="str">
        <x:f>IF(A195="","",IFERROR((I195+J195)*L195/K195,0))</x:f>
      </x:c>
      <x:c r="N195" s="54" t="str">
        <x:f>IF(M195="","",IF(M195&gt;=16,"Критический",IF(M195&gt;=10,"Высокий",IF(M195&gt;=6,"Средний",IF(M195&gt;=3,"Низкий","Отложить")))))</x:f>
      </x:c>
      <x:c r="O195" s="54" t="str">
        <x:f>IF(M195="","",IF(OR(N195="Критический",N195="Высокий"),"Да",IF(N195="Средний","Кандидат","Нет")))</x:f>
      </x:c>
      <x:c r="P195" s="34"/>
      <x:c r="Q195" s="34"/>
    </x:row>
    <x:row r="196" ht="34" customHeight="1">
      <x:c r="A196" s="34"/>
      <x:c r="B196" s="34"/>
      <x:c r="C196" s="34"/>
      <x:c r="D196" s="34"/>
      <x:c r="E196" s="34"/>
      <x:c r="F196" s="34"/>
      <x:c r="G196" s="34"/>
      <x:c r="H196" s="34"/>
      <x:c r="I196" s="34"/>
      <x:c r="J196" s="34"/>
      <x:c r="K196" s="34"/>
      <x:c r="L196" s="34"/>
      <x:c r="M196" s="52" t="str">
        <x:f>IF(A196="","",IFERROR((I196+J196)*L196/K196,0))</x:f>
      </x:c>
      <x:c r="N196" s="54" t="str">
        <x:f>IF(M196="","",IF(M196&gt;=16,"Критический",IF(M196&gt;=10,"Высокий",IF(M196&gt;=6,"Средний",IF(M196&gt;=3,"Низкий","Отложить")))))</x:f>
      </x:c>
      <x:c r="O196" s="54" t="str">
        <x:f>IF(M196="","",IF(OR(N196="Критический",N196="Высокий"),"Да",IF(N196="Средний","Кандидат","Нет")))</x:f>
      </x:c>
      <x:c r="P196" s="34"/>
      <x:c r="Q196" s="34"/>
    </x:row>
    <x:row r="197" ht="34" customHeight="1">
      <x:c r="A197" s="34"/>
      <x:c r="B197" s="34"/>
      <x:c r="C197" s="34"/>
      <x:c r="D197" s="34"/>
      <x:c r="E197" s="34"/>
      <x:c r="F197" s="34"/>
      <x:c r="G197" s="34"/>
      <x:c r="H197" s="34"/>
      <x:c r="I197" s="34"/>
      <x:c r="J197" s="34"/>
      <x:c r="K197" s="34"/>
      <x:c r="L197" s="34"/>
      <x:c r="M197" s="52" t="str">
        <x:f>IF(A197="","",IFERROR((I197+J197)*L197/K197,0))</x:f>
      </x:c>
      <x:c r="N197" s="54" t="str">
        <x:f>IF(M197="","",IF(M197&gt;=16,"Критический",IF(M197&gt;=10,"Высокий",IF(M197&gt;=6,"Средний",IF(M197&gt;=3,"Низкий","Отложить")))))</x:f>
      </x:c>
      <x:c r="O197" s="54" t="str">
        <x:f>IF(M197="","",IF(OR(N197="Критический",N197="Высокий"),"Да",IF(N197="Средний","Кандидат","Нет")))</x:f>
      </x:c>
      <x:c r="P197" s="34"/>
      <x:c r="Q197" s="34"/>
    </x:row>
    <x:row r="198" ht="34" customHeight="1">
      <x:c r="A198" s="34"/>
      <x:c r="B198" s="34"/>
      <x:c r="C198" s="34"/>
      <x:c r="D198" s="34"/>
      <x:c r="E198" s="34"/>
      <x:c r="F198" s="34"/>
      <x:c r="G198" s="34"/>
      <x:c r="H198" s="34"/>
      <x:c r="I198" s="34"/>
      <x:c r="J198" s="34"/>
      <x:c r="K198" s="34"/>
      <x:c r="L198" s="34"/>
      <x:c r="M198" s="52" t="str">
        <x:f>IF(A198="","",IFERROR((I198+J198)*L198/K198,0))</x:f>
      </x:c>
      <x:c r="N198" s="54" t="str">
        <x:f>IF(M198="","",IF(M198&gt;=16,"Критический",IF(M198&gt;=10,"Высокий",IF(M198&gt;=6,"Средний",IF(M198&gt;=3,"Низкий","Отложить")))))</x:f>
      </x:c>
      <x:c r="O198" s="54" t="str">
        <x:f>IF(M198="","",IF(OR(N198="Критический",N198="Высокий"),"Да",IF(N198="Средний","Кандидат","Нет")))</x:f>
      </x:c>
      <x:c r="P198" s="34"/>
      <x:c r="Q198" s="34"/>
    </x:row>
    <x:row r="199" ht="34" customHeight="1">
      <x:c r="A199" s="34"/>
      <x:c r="B199" s="34"/>
      <x:c r="C199" s="34"/>
      <x:c r="D199" s="34"/>
      <x:c r="E199" s="34"/>
      <x:c r="F199" s="34"/>
      <x:c r="G199" s="34"/>
      <x:c r="H199" s="34"/>
      <x:c r="I199" s="34"/>
      <x:c r="J199" s="34"/>
      <x:c r="K199" s="34"/>
      <x:c r="L199" s="34"/>
      <x:c r="M199" s="52" t="str">
        <x:f>IF(A199="","",IFERROR((I199+J199)*L199/K199,0))</x:f>
      </x:c>
      <x:c r="N199" s="54" t="str">
        <x:f>IF(M199="","",IF(M199&gt;=16,"Критический",IF(M199&gt;=10,"Высокий",IF(M199&gt;=6,"Средний",IF(M199&gt;=3,"Низкий","Отложить")))))</x:f>
      </x:c>
      <x:c r="O199" s="54" t="str">
        <x:f>IF(M199="","",IF(OR(N199="Критический",N199="Высокий"),"Да",IF(N199="Средний","Кандидат","Нет")))</x:f>
      </x:c>
      <x:c r="P199" s="34"/>
      <x:c r="Q199" s="34"/>
    </x:row>
    <x:row r="200" ht="34" customHeight="1">
      <x:c r="A200" s="34"/>
      <x:c r="B200" s="34"/>
      <x:c r="C200" s="34"/>
      <x:c r="D200" s="34"/>
      <x:c r="E200" s="34"/>
      <x:c r="F200" s="34"/>
      <x:c r="G200" s="34"/>
      <x:c r="H200" s="34"/>
      <x:c r="I200" s="34"/>
      <x:c r="J200" s="34"/>
      <x:c r="K200" s="34"/>
      <x:c r="L200" s="34"/>
      <x:c r="M200" s="52" t="str">
        <x:f>IF(A200="","",IFERROR((I200+J200)*L200/K200,0))</x:f>
      </x:c>
      <x:c r="N200" s="54" t="str">
        <x:f>IF(M200="","",IF(M200&gt;=16,"Критический",IF(M200&gt;=10,"Высокий",IF(M200&gt;=6,"Средний",IF(M200&gt;=3,"Низкий","Отложить")))))</x:f>
      </x:c>
      <x:c r="O200" s="54" t="str">
        <x:f>IF(M200="","",IF(OR(N200="Критический",N200="Высокий"),"Да",IF(N200="Средний","Кандидат","Нет")))</x:f>
      </x:c>
      <x:c r="P200" s="34"/>
      <x:c r="Q200" s="34"/>
    </x:row>
    <x:row r="201" ht="34" customHeight="1">
      <x:c r="A201" s="34"/>
      <x:c r="B201" s="34"/>
      <x:c r="C201" s="34"/>
      <x:c r="D201" s="34"/>
      <x:c r="E201" s="34"/>
      <x:c r="F201" s="34"/>
      <x:c r="G201" s="34"/>
      <x:c r="H201" s="34"/>
      <x:c r="I201" s="34"/>
      <x:c r="J201" s="34"/>
      <x:c r="K201" s="34"/>
      <x:c r="L201" s="34"/>
      <x:c r="M201" s="52" t="str">
        <x:f>IF(A201="","",IFERROR((I201+J201)*L201/K201,0))</x:f>
      </x:c>
      <x:c r="N201" s="54" t="str">
        <x:f>IF(M201="","",IF(M201&gt;=16,"Критический",IF(M201&gt;=10,"Высокий",IF(M201&gt;=6,"Средний",IF(M201&gt;=3,"Низкий","Отложить")))))</x:f>
      </x:c>
      <x:c r="O201" s="54" t="str">
        <x:f>IF(M201="","",IF(OR(N201="Критический",N201="Высокий"),"Да",IF(N201="Средний","Кандидат","Нет")))</x:f>
      </x:c>
      <x:c r="P201" s="34"/>
      <x:c r="Q201" s="34"/>
    </x:row>
    <x:row r="202" ht="34" customHeight="1">
      <x:c r="A202" s="34"/>
      <x:c r="B202" s="34"/>
      <x:c r="C202" s="34"/>
      <x:c r="D202" s="34"/>
      <x:c r="E202" s="34"/>
      <x:c r="F202" s="34"/>
      <x:c r="G202" s="34"/>
      <x:c r="H202" s="34"/>
      <x:c r="I202" s="34"/>
      <x:c r="J202" s="34"/>
      <x:c r="K202" s="34"/>
      <x:c r="L202" s="34"/>
      <x:c r="M202" s="52" t="str">
        <x:f>IF(A202="","",IFERROR((I202+J202)*L202/K202,0))</x:f>
      </x:c>
      <x:c r="N202" s="54" t="str">
        <x:f>IF(M202="","",IF(M202&gt;=16,"Критический",IF(M202&gt;=10,"Высокий",IF(M202&gt;=6,"Средний",IF(M202&gt;=3,"Низкий","Отложить")))))</x:f>
      </x:c>
      <x:c r="O202" s="54" t="str">
        <x:f>IF(M202="","",IF(OR(N202="Критический",N202="Высокий"),"Да",IF(N202="Средний","Кандидат","Нет")))</x:f>
      </x:c>
      <x:c r="P202" s="34"/>
      <x:c r="Q202" s="34"/>
    </x:row>
    <x:row r="203" ht="34" customHeight="1">
      <x:c r="A203" s="34"/>
      <x:c r="B203" s="34"/>
      <x:c r="C203" s="34"/>
      <x:c r="D203" s="34"/>
      <x:c r="E203" s="34"/>
      <x:c r="F203" s="34"/>
      <x:c r="G203" s="34"/>
      <x:c r="H203" s="34"/>
      <x:c r="I203" s="34"/>
      <x:c r="J203" s="34"/>
      <x:c r="K203" s="34"/>
      <x:c r="L203" s="34"/>
      <x:c r="M203" s="52" t="str">
        <x:f>IF(A203="","",IFERROR((I203+J203)*L203/K203,0))</x:f>
      </x:c>
      <x:c r="N203" s="54" t="str">
        <x:f>IF(M203="","",IF(M203&gt;=16,"Критический",IF(M203&gt;=10,"Высокий",IF(M203&gt;=6,"Средний",IF(M203&gt;=3,"Низкий","Отложить")))))</x:f>
      </x:c>
      <x:c r="O203" s="54" t="str">
        <x:f>IF(M203="","",IF(OR(N203="Критический",N203="Высокий"),"Да",IF(N203="Средний","Кандидат","Нет")))</x:f>
      </x:c>
      <x:c r="P203" s="34"/>
      <x:c r="Q203" s="34"/>
    </x:row>
  </x:sheetData>
  <x:mergeCells>
    <x:mergeCell ref="A1:Q1"/>
  </x:mergeCells>
  <x:conditionalFormatting sqref="M4:M203">
    <x:cfRule type="colorScale" priority="1">
      <x:colorScale>
        <x:cfvo type="min"/>
        <x:cfvo type="percentile" val="50"/>
        <x:cfvo type="max"/>
        <x:color rgb="FCE4D6"/>
        <x:color rgb="FFF2CC"/>
        <x:color rgb="E2F0D9"/>
      </x:colorScale>
    </x:cfRule>
  </x:conditionalFormatting>
  <x:conditionalFormatting sqref="O4:O203">
    <x:cfRule type="expression" dxfId="3" priority="2">
      <x:formula>O4="Да"</x:formula>
    </x:cfRule>
  </x:conditionalFormatting>
  <x:dataValidations count="6">
    <x:dataValidation type="list" sqref="D4:D203">
      <x:formula1>Справочники!$J$4:$J$12</x:formula1>
    </x:dataValidation>
    <x:dataValidation type="list" sqref="G4:G203">
      <x:formula1>Справочники!$D$32:$D$37</x:formula1>
    </x:dataValidation>
    <x:dataValidation type="list" sqref="H4:H203">
      <x:formula1>Справочники!$G$32:$G$36</x:formula1>
    </x:dataValidation>
    <x:dataValidation type="list" sqref="I4:K203">
      <x:formula1>"1,2,3,4,5"</x:formula1>
    </x:dataValidation>
    <x:dataValidation type="list" sqref="L4:L203">
      <x:formula1>"1,2,3,4"</x:formula1>
    </x:dataValidation>
    <x:dataValidation type="list" sqref="P4:P203">
      <x:formula1>Справочники!$J$18:$J$22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93f03198c84ae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0" hidden="0" customWidth="1"/>
    <x:col min="3" max="3" width="24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6" hidden="0" customWidth="1"/>
    <x:col min="10" max="10" width="14" hidden="0" customWidth="1"/>
    <x:col min="11" max="11" width="16" hidden="0" customWidth="1"/>
    <x:col min="12" max="12" width="24" hidden="0" customWidth="1"/>
    <x:col min="13" max="13" width="20" hidden="0" customWidth="1"/>
    <x:col min="14" max="14" width="30" hidden="0" customWidth="1"/>
  </x:cols>
  <x:sheetData>
    <x:row r="1" ht="30" customHeight="1">
      <x:c r="A1" s="58" t="str">
        <x:v>Приоритизация сценариев, функций и продуктовых инициатив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3" ht="34" customHeight="1">
      <x:c r="A3" s="40" t="str">
        <x:v>ID инициативы</x:v>
      </x:c>
      <x:c r="B3" s="40" t="str">
        <x:v>Инициатива</x:v>
      </x:c>
      <x:c r="C3" s="40" t="str">
        <x:v>Тип</x:v>
      </x:c>
      <x:c r="D3" s="40" t="str">
        <x:v>Связанный сценарий</x:v>
      </x:c>
      <x:c r="E3" s="40" t="str">
        <x:v>Связанное требование</x:v>
      </x:c>
      <x:c r="F3" s="40" t="str">
        <x:v>Пользовательская ценность (1-5)</x:v>
      </x:c>
      <x:c r="G3" s="40" t="str">
        <x:v>Бизнес-эффект (1-5)</x:v>
      </x:c>
      <x:c r="H3" s="40" t="str">
        <x:v>Доказательность (1-4)</x:v>
      </x:c>
      <x:c r="I3" s="40" t="str">
        <x:v>Сложность (1-5)</x:v>
      </x:c>
      <x:c r="J3" s="40" t="str">
        <x:v>Риск (1-5)</x:v>
      </x:c>
      <x:c r="K3" s="40" t="str">
        <x:v>Итоговый индекс</x:v>
      </x:c>
      <x:c r="L3" s="40" t="str">
        <x:v>Решение</x:v>
      </x:c>
      <x:c r="M3" s="40" t="str">
        <x:v>Период реализации</x:v>
      </x:c>
      <x:c r="N3" s="40" t="str">
        <x:v>Комментарий</x:v>
      </x:c>
    </x:row>
    <x:row r="4" ht="34" customHeight="1">
      <x:c r="A4" s="34" t="str">
        <x:v>P-001</x:v>
      </x:c>
      <x:c r="B4" s="34" t="str">
        <x:v>Запустить демо-сценарий с первым результатом</x:v>
      </x:c>
      <x:c r="C4" s="34" t="str">
        <x:v>Сценарий + функция</x:v>
      </x:c>
      <x:c r="D4" s="34" t="str">
        <x:v>S-001</x:v>
      </x:c>
      <x:c r="E4" s="34" t="str">
        <x:v>F-001</x:v>
      </x:c>
      <x:c r="F4" s="34" t="n">
        <x:v>5</x:v>
      </x:c>
      <x:c r="G4" s="34" t="n">
        <x:v>5</x:v>
      </x:c>
      <x:c r="H4" s="34" t="n">
        <x:v>3</x:v>
      </x:c>
      <x:c r="I4" s="34" t="n">
        <x:v>3</x:v>
      </x:c>
      <x:c r="J4" s="34" t="n">
        <x:v>2</x:v>
      </x:c>
      <x:c r="K4" s="52" t="n">
        <x:f>IF(A4="","",IFERROR((F4+G4+H4)*((6-J4)/5)/I4,0))</x:f>
        <x:v>3.466666666666667</x:v>
      </x:c>
      <x:c r="L4" s="54" t="str">
        <x:f>IF(K4="","",IF(K4&gt;=6,"Включить в первую версию",IF(K4&gt;=4,"Включить после проверки",IF(K4&gt;=2.5,"Проверить дополнительно",IF(K4&gt;=1.5,"Отложить","Исключить")))))</x:f>
        <x:v>Проверить дополнительно</x:v>
      </x:c>
      <x:c r="M4" s="34" t="str">
        <x:v>Первая версия</x:v>
      </x:c>
      <x:c r="N4" s="34" t="str"/>
    </x:row>
    <x:row r="5" ht="34" customHeight="1">
      <x:c r="A5" s="34" t="str">
        <x:v>P-002</x:v>
      </x:c>
      <x:c r="B5" s="34" t="str">
        <x:v>Упростить тарифную страницу и оплату</x:v>
      </x:c>
      <x:c r="C5" s="34" t="str">
        <x:v>Монетизация</x:v>
      </x:c>
      <x:c r="D5" s="34" t="str">
        <x:v>S-002</x:v>
      </x:c>
      <x:c r="E5" s="34" t="str">
        <x:v>F-002</x:v>
      </x:c>
      <x:c r="F5" s="34" t="n">
        <x:v>4</x:v>
      </x:c>
      <x:c r="G5" s="34" t="n">
        <x:v>5</x:v>
      </x:c>
      <x:c r="H5" s="34" t="n">
        <x:v>4</x:v>
      </x:c>
      <x:c r="I5" s="34" t="n">
        <x:v>2</x:v>
      </x:c>
      <x:c r="J5" s="34" t="n">
        <x:v>2</x:v>
      </x:c>
      <x:c r="K5" s="52" t="n">
        <x:f>IF(A5="","",IFERROR((F5+G5+H5)*((6-J5)/5)/I5,0))</x:f>
        <x:v>5.2</x:v>
      </x:c>
      <x:c r="L5" s="54" t="str">
        <x:f>IF(K5="","",IF(K5&gt;=6,"Включить в первую версию",IF(K5&gt;=4,"Включить после проверки",IF(K5&gt;=2.5,"Проверить дополнительно",IF(K5&gt;=1.5,"Отложить","Исключить")))))</x:f>
        <x:v>Включить после проверки</x:v>
      </x:c>
      <x:c r="M5" s="34" t="str">
        <x:v>Первая версия</x:v>
      </x:c>
      <x:c r="N5" s="34" t="str"/>
    </x:row>
    <x:row r="6" ht="34" customHeight="1">
      <x:c r="A6" s="34"/>
      <x:c r="B6" s="34"/>
      <x:c r="C6" s="34"/>
      <x:c r="D6" s="34"/>
      <x:c r="E6" s="34"/>
      <x:c r="F6" s="34"/>
      <x:c r="G6" s="34"/>
      <x:c r="H6" s="34"/>
      <x:c r="I6" s="34"/>
      <x:c r="J6" s="34"/>
      <x:c r="K6" s="52" t="str">
        <x:f>IF(A6="","",IFERROR((F6+G6+H6)*((6-J6)/5)/I6,0))</x:f>
      </x:c>
      <x:c r="L6" s="54" t="str">
        <x:f>IF(K6="","",IF(K6&gt;=6,"Включить в первую версию",IF(K6&gt;=4,"Включить после проверки",IF(K6&gt;=2.5,"Проверить дополнительно",IF(K6&gt;=1.5,"Отложить","Исключить")))))</x:f>
      </x:c>
      <x:c r="M6" s="34"/>
      <x:c r="N6" s="34"/>
    </x:row>
    <x:row r="7" ht="34" customHeight="1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52" t="str">
        <x:f>IF(A7="","",IFERROR((F7+G7+H7)*((6-J7)/5)/I7,0))</x:f>
      </x:c>
      <x:c r="L7" s="54" t="str">
        <x:f>IF(K7="","",IF(K7&gt;=6,"Включить в первую версию",IF(K7&gt;=4,"Включить после проверки",IF(K7&gt;=2.5,"Проверить дополнительно",IF(K7&gt;=1.5,"Отложить","Исключить")))))</x:f>
      </x:c>
      <x:c r="M7" s="34"/>
      <x:c r="N7" s="34"/>
    </x:row>
    <x:row r="8" ht="34" customHeight="1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52" t="str">
        <x:f>IF(A8="","",IFERROR((F8+G8+H8)*((6-J8)/5)/I8,0))</x:f>
      </x:c>
      <x:c r="L8" s="54" t="str">
        <x:f>IF(K8="","",IF(K8&gt;=6,"Включить в первую версию",IF(K8&gt;=4,"Включить после проверки",IF(K8&gt;=2.5,"Проверить дополнительно",IF(K8&gt;=1.5,"Отложить","Исключить")))))</x:f>
      </x:c>
      <x:c r="M8" s="34"/>
      <x:c r="N8" s="34"/>
    </x:row>
    <x:row r="9" ht="34" customHeight="1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52" t="str">
        <x:f>IF(A9="","",IFERROR((F9+G9+H9)*((6-J9)/5)/I9,0))</x:f>
      </x:c>
      <x:c r="L9" s="54" t="str">
        <x:f>IF(K9="","",IF(K9&gt;=6,"Включить в первую версию",IF(K9&gt;=4,"Включить после проверки",IF(K9&gt;=2.5,"Проверить дополнительно",IF(K9&gt;=1.5,"Отложить","Исключить")))))</x:f>
      </x:c>
      <x:c r="M9" s="34"/>
      <x:c r="N9" s="34"/>
    </x:row>
    <x:row r="10" ht="34" customHeight="1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52" t="str">
        <x:f>IF(A10="","",IFERROR((F10+G10+H10)*((6-J10)/5)/I10,0))</x:f>
      </x:c>
      <x:c r="L10" s="54" t="str">
        <x:f>IF(K10="","",IF(K10&gt;=6,"Включить в первую версию",IF(K10&gt;=4,"Включить после проверки",IF(K10&gt;=2.5,"Проверить дополнительно",IF(K10&gt;=1.5,"Отложить","Исключить")))))</x:f>
      </x:c>
      <x:c r="M10" s="34"/>
      <x:c r="N10" s="34"/>
    </x:row>
    <x:row r="11" ht="34" customHeight="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52" t="str">
        <x:f>IF(A11="","",IFERROR((F11+G11+H11)*((6-J11)/5)/I11,0))</x:f>
      </x:c>
      <x:c r="L11" s="54" t="str">
        <x:f>IF(K11="","",IF(K11&gt;=6,"Включить в первую версию",IF(K11&gt;=4,"Включить после проверки",IF(K11&gt;=2.5,"Проверить дополнительно",IF(K11&gt;=1.5,"Отложить","Исключить")))))</x:f>
      </x:c>
      <x:c r="M11" s="34"/>
      <x:c r="N11" s="34"/>
    </x:row>
    <x:row r="12" ht="34" customHeight="1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52" t="str">
        <x:f>IF(A12="","",IFERROR((F12+G12+H12)*((6-J12)/5)/I12,0))</x:f>
      </x:c>
      <x:c r="L12" s="54" t="str">
        <x:f>IF(K12="","",IF(K12&gt;=6,"Включить в первую версию",IF(K12&gt;=4,"Включить после проверки",IF(K12&gt;=2.5,"Проверить дополнительно",IF(K12&gt;=1.5,"Отложить","Исключить")))))</x:f>
      </x:c>
      <x:c r="M12" s="34"/>
      <x:c r="N12" s="34"/>
    </x:row>
    <x:row r="13" ht="34" customHeight="1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52" t="str">
        <x:f>IF(A13="","",IFERROR((F13+G13+H13)*((6-J13)/5)/I13,0))</x:f>
      </x:c>
      <x:c r="L13" s="54" t="str">
        <x:f>IF(K13="","",IF(K13&gt;=6,"Включить в первую версию",IF(K13&gt;=4,"Включить после проверки",IF(K13&gt;=2.5,"Проверить дополнительно",IF(K13&gt;=1.5,"Отложить","Исключить")))))</x:f>
      </x:c>
      <x:c r="M13" s="34"/>
      <x:c r="N13" s="34"/>
    </x:row>
    <x:row r="14" ht="34" customHeight="1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52" t="str">
        <x:f>IF(A14="","",IFERROR((F14+G14+H14)*((6-J14)/5)/I14,0))</x:f>
      </x:c>
      <x:c r="L14" s="54" t="str">
        <x:f>IF(K14="","",IF(K14&gt;=6,"Включить в первую версию",IF(K14&gt;=4,"Включить после проверки",IF(K14&gt;=2.5,"Проверить дополнительно",IF(K14&gt;=1.5,"Отложить","Исключить")))))</x:f>
      </x:c>
      <x:c r="M14" s="34"/>
      <x:c r="N14" s="34"/>
    </x:row>
    <x:row r="15" ht="34" customHeight="1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52" t="str">
        <x:f>IF(A15="","",IFERROR((F15+G15+H15)*((6-J15)/5)/I15,0))</x:f>
      </x:c>
      <x:c r="L15" s="54" t="str">
        <x:f>IF(K15="","",IF(K15&gt;=6,"Включить в первую версию",IF(K15&gt;=4,"Включить после проверки",IF(K15&gt;=2.5,"Проверить дополнительно",IF(K15&gt;=1.5,"Отложить","Исключить")))))</x:f>
      </x:c>
      <x:c r="M15" s="34"/>
      <x:c r="N15" s="34"/>
    </x:row>
    <x:row r="16" ht="34" customHeight="1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52" t="str">
        <x:f>IF(A16="","",IFERROR((F16+G16+H16)*((6-J16)/5)/I16,0))</x:f>
      </x:c>
      <x:c r="L16" s="54" t="str">
        <x:f>IF(K16="","",IF(K16&gt;=6,"Включить в первую версию",IF(K16&gt;=4,"Включить после проверки",IF(K16&gt;=2.5,"Проверить дополнительно",IF(K16&gt;=1.5,"Отложить","Исключить")))))</x:f>
      </x:c>
      <x:c r="M16" s="34"/>
      <x:c r="N16" s="34"/>
    </x:row>
    <x:row r="17" ht="34" customHeight="1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52" t="str">
        <x:f>IF(A17="","",IFERROR((F17+G17+H17)*((6-J17)/5)/I17,0))</x:f>
      </x:c>
      <x:c r="L17" s="54" t="str">
        <x:f>IF(K17="","",IF(K17&gt;=6,"Включить в первую версию",IF(K17&gt;=4,"Включить после проверки",IF(K17&gt;=2.5,"Проверить дополнительно",IF(K17&gt;=1.5,"Отложить","Исключить")))))</x:f>
      </x:c>
      <x:c r="M17" s="34"/>
      <x:c r="N17" s="34"/>
    </x:row>
    <x:row r="18" ht="34" customHeight="1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52" t="str">
        <x:f>IF(A18="","",IFERROR((F18+G18+H18)*((6-J18)/5)/I18,0))</x:f>
      </x:c>
      <x:c r="L18" s="54" t="str">
        <x:f>IF(K18="","",IF(K18&gt;=6,"Включить в первую версию",IF(K18&gt;=4,"Включить после проверки",IF(K18&gt;=2.5,"Проверить дополнительно",IF(K18&gt;=1.5,"Отложить","Исключить")))))</x:f>
      </x:c>
      <x:c r="M18" s="34"/>
      <x:c r="N18" s="34"/>
    </x:row>
    <x:row r="19" ht="34" customHeight="1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52" t="str">
        <x:f>IF(A19="","",IFERROR((F19+G19+H19)*((6-J19)/5)/I19,0))</x:f>
      </x:c>
      <x:c r="L19" s="54" t="str">
        <x:f>IF(K19="","",IF(K19&gt;=6,"Включить в первую версию",IF(K19&gt;=4,"Включить после проверки",IF(K19&gt;=2.5,"Проверить дополнительно",IF(K19&gt;=1.5,"Отложить","Исключить")))))</x:f>
      </x:c>
      <x:c r="M19" s="34"/>
      <x:c r="N19" s="34"/>
    </x:row>
    <x:row r="20" ht="34" customHeight="1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52" t="str">
        <x:f>IF(A20="","",IFERROR((F20+G20+H20)*((6-J20)/5)/I20,0))</x:f>
      </x:c>
      <x:c r="L20" s="54" t="str">
        <x:f>IF(K20="","",IF(K20&gt;=6,"Включить в первую версию",IF(K20&gt;=4,"Включить после проверки",IF(K20&gt;=2.5,"Проверить дополнительно",IF(K20&gt;=1.5,"Отложить","Исключить")))))</x:f>
      </x:c>
      <x:c r="M20" s="34"/>
      <x:c r="N20" s="34"/>
    </x:row>
    <x:row r="21" ht="34" customHeight="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52" t="str">
        <x:f>IF(A21="","",IFERROR((F21+G21+H21)*((6-J21)/5)/I21,0))</x:f>
      </x:c>
      <x:c r="L21" s="54" t="str">
        <x:f>IF(K21="","",IF(K21&gt;=6,"Включить в первую версию",IF(K21&gt;=4,"Включить после проверки",IF(K21&gt;=2.5,"Проверить дополнительно",IF(K21&gt;=1.5,"Отложить","Исключить")))))</x:f>
      </x:c>
      <x:c r="M21" s="34"/>
      <x:c r="N21" s="34"/>
    </x:row>
    <x:row r="22" ht="34" customHeight="1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52" t="str">
        <x:f>IF(A22="","",IFERROR((F22+G22+H22)*((6-J22)/5)/I22,0))</x:f>
      </x:c>
      <x:c r="L22" s="54" t="str">
        <x:f>IF(K22="","",IF(K22&gt;=6,"Включить в первую версию",IF(K22&gt;=4,"Включить после проверки",IF(K22&gt;=2.5,"Проверить дополнительно",IF(K22&gt;=1.5,"Отложить","Исключить")))))</x:f>
      </x:c>
      <x:c r="M22" s="34"/>
      <x:c r="N22" s="34"/>
    </x:row>
    <x:row r="23" ht="34" customHeight="1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52" t="str">
        <x:f>IF(A23="","",IFERROR((F23+G23+H23)*((6-J23)/5)/I23,0))</x:f>
      </x:c>
      <x:c r="L23" s="54" t="str">
        <x:f>IF(K23="","",IF(K23&gt;=6,"Включить в первую версию",IF(K23&gt;=4,"Включить после проверки",IF(K23&gt;=2.5,"Проверить дополнительно",IF(K23&gt;=1.5,"Отложить","Исключить")))))</x:f>
      </x:c>
      <x:c r="M23" s="34"/>
      <x:c r="N23" s="34"/>
    </x:row>
    <x:row r="24" ht="34" customHeight="1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52" t="str">
        <x:f>IF(A24="","",IFERROR((F24+G24+H24)*((6-J24)/5)/I24,0))</x:f>
      </x:c>
      <x:c r="L24" s="54" t="str">
        <x:f>IF(K24="","",IF(K24&gt;=6,"Включить в первую версию",IF(K24&gt;=4,"Включить после проверки",IF(K24&gt;=2.5,"Проверить дополнительно",IF(K24&gt;=1.5,"Отложить","Исключить")))))</x:f>
      </x:c>
      <x:c r="M24" s="34"/>
      <x:c r="N24" s="34"/>
    </x:row>
    <x:row r="25" ht="34" customHeight="1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52" t="str">
        <x:f>IF(A25="","",IFERROR((F25+G25+H25)*((6-J25)/5)/I25,0))</x:f>
      </x:c>
      <x:c r="L25" s="54" t="str">
        <x:f>IF(K25="","",IF(K25&gt;=6,"Включить в первую версию",IF(K25&gt;=4,"Включить после проверки",IF(K25&gt;=2.5,"Проверить дополнительно",IF(K25&gt;=1.5,"Отложить","Исключить")))))</x:f>
      </x:c>
      <x:c r="M25" s="34"/>
      <x:c r="N25" s="34"/>
    </x:row>
    <x:row r="26" ht="34" customHeight="1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52" t="str">
        <x:f>IF(A26="","",IFERROR((F26+G26+H26)*((6-J26)/5)/I26,0))</x:f>
      </x:c>
      <x:c r="L26" s="54" t="str">
        <x:f>IF(K26="","",IF(K26&gt;=6,"Включить в первую версию",IF(K26&gt;=4,"Включить после проверки",IF(K26&gt;=2.5,"Проверить дополнительно",IF(K26&gt;=1.5,"Отложить","Исключить")))))</x:f>
      </x:c>
      <x:c r="M26" s="34"/>
      <x:c r="N26" s="34"/>
    </x:row>
    <x:row r="27" ht="34" customHeight="1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52" t="str">
        <x:f>IF(A27="","",IFERROR((F27+G27+H27)*((6-J27)/5)/I27,0))</x:f>
      </x:c>
      <x:c r="L27" s="54" t="str">
        <x:f>IF(K27="","",IF(K27&gt;=6,"Включить в первую версию",IF(K27&gt;=4,"Включить после проверки",IF(K27&gt;=2.5,"Проверить дополнительно",IF(K27&gt;=1.5,"Отложить","Исключить")))))</x:f>
      </x:c>
      <x:c r="M27" s="34"/>
      <x:c r="N27" s="34"/>
    </x:row>
    <x:row r="28" ht="34" customHeight="1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52" t="str">
        <x:f>IF(A28="","",IFERROR((F28+G28+H28)*((6-J28)/5)/I28,0))</x:f>
      </x:c>
      <x:c r="L28" s="54" t="str">
        <x:f>IF(K28="","",IF(K28&gt;=6,"Включить в первую версию",IF(K28&gt;=4,"Включить после проверки",IF(K28&gt;=2.5,"Проверить дополнительно",IF(K28&gt;=1.5,"Отложить","Исключить")))))</x:f>
      </x:c>
      <x:c r="M28" s="34"/>
      <x:c r="N28" s="34"/>
    </x:row>
    <x:row r="29" ht="34" customHeight="1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52" t="str">
        <x:f>IF(A29="","",IFERROR((F29+G29+H29)*((6-J29)/5)/I29,0))</x:f>
      </x:c>
      <x:c r="L29" s="54" t="str">
        <x:f>IF(K29="","",IF(K29&gt;=6,"Включить в первую версию",IF(K29&gt;=4,"Включить после проверки",IF(K29&gt;=2.5,"Проверить дополнительно",IF(K29&gt;=1.5,"Отложить","Исключить")))))</x:f>
      </x:c>
      <x:c r="M29" s="34"/>
      <x:c r="N29" s="34"/>
    </x:row>
    <x:row r="30" ht="34" customHeight="1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52" t="str">
        <x:f>IF(A30="","",IFERROR((F30+G30+H30)*((6-J30)/5)/I30,0))</x:f>
      </x:c>
      <x:c r="L30" s="54" t="str">
        <x:f>IF(K30="","",IF(K30&gt;=6,"Включить в первую версию",IF(K30&gt;=4,"Включить после проверки",IF(K30&gt;=2.5,"Проверить дополнительно",IF(K30&gt;=1.5,"Отложить","Исключить")))))</x:f>
      </x:c>
      <x:c r="M30" s="34"/>
      <x:c r="N30" s="34"/>
    </x:row>
    <x:row r="31" ht="34" customHeight="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52" t="str">
        <x:f>IF(A31="","",IFERROR((F31+G31+H31)*((6-J31)/5)/I31,0))</x:f>
      </x:c>
      <x:c r="L31" s="54" t="str">
        <x:f>IF(K31="","",IF(K31&gt;=6,"Включить в первую версию",IF(K31&gt;=4,"Включить после проверки",IF(K31&gt;=2.5,"Проверить дополнительно",IF(K31&gt;=1.5,"Отложить","Исключить")))))</x:f>
      </x:c>
      <x:c r="M31" s="34"/>
      <x:c r="N31" s="34"/>
    </x:row>
    <x:row r="32" ht="34" customHeight="1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52" t="str">
        <x:f>IF(A32="","",IFERROR((F32+G32+H32)*((6-J32)/5)/I32,0))</x:f>
      </x:c>
      <x:c r="L32" s="54" t="str">
        <x:f>IF(K32="","",IF(K32&gt;=6,"Включить в первую версию",IF(K32&gt;=4,"Включить после проверки",IF(K32&gt;=2.5,"Проверить дополнительно",IF(K32&gt;=1.5,"Отложить","Исключить")))))</x:f>
      </x:c>
      <x:c r="M32" s="34"/>
      <x:c r="N32" s="34"/>
    </x:row>
    <x:row r="33" ht="34" customHeight="1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52" t="str">
        <x:f>IF(A33="","",IFERROR((F33+G33+H33)*((6-J33)/5)/I33,0))</x:f>
      </x:c>
      <x:c r="L33" s="54" t="str">
        <x:f>IF(K33="","",IF(K33&gt;=6,"Включить в первую версию",IF(K33&gt;=4,"Включить после проверки",IF(K33&gt;=2.5,"Проверить дополнительно",IF(K33&gt;=1.5,"Отложить","Исключить")))))</x:f>
      </x:c>
      <x:c r="M33" s="34"/>
      <x:c r="N33" s="34"/>
    </x:row>
    <x:row r="34" ht="34" customHeight="1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52" t="str">
        <x:f>IF(A34="","",IFERROR((F34+G34+H34)*((6-J34)/5)/I34,0))</x:f>
      </x:c>
      <x:c r="L34" s="54" t="str">
        <x:f>IF(K34="","",IF(K34&gt;=6,"Включить в первую версию",IF(K34&gt;=4,"Включить после проверки",IF(K34&gt;=2.5,"Проверить дополнительно",IF(K34&gt;=1.5,"Отложить","Исключить")))))</x:f>
      </x:c>
      <x:c r="M34" s="34"/>
      <x:c r="N34" s="34"/>
    </x:row>
    <x:row r="35" ht="34" customHeight="1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52" t="str">
        <x:f>IF(A35="","",IFERROR((F35+G35+H35)*((6-J35)/5)/I35,0))</x:f>
      </x:c>
      <x:c r="L35" s="54" t="str">
        <x:f>IF(K35="","",IF(K35&gt;=6,"Включить в первую версию",IF(K35&gt;=4,"Включить после проверки",IF(K35&gt;=2.5,"Проверить дополнительно",IF(K35&gt;=1.5,"Отложить","Исключить")))))</x:f>
      </x:c>
      <x:c r="M35" s="34"/>
      <x:c r="N35" s="34"/>
    </x:row>
    <x:row r="36" ht="34" customHeight="1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52" t="str">
        <x:f>IF(A36="","",IFERROR((F36+G36+H36)*((6-J36)/5)/I36,0))</x:f>
      </x:c>
      <x:c r="L36" s="54" t="str">
        <x:f>IF(K36="","",IF(K36&gt;=6,"Включить в первую версию",IF(K36&gt;=4,"Включить после проверки",IF(K36&gt;=2.5,"Проверить дополнительно",IF(K36&gt;=1.5,"Отложить","Исключить")))))</x:f>
      </x:c>
      <x:c r="M36" s="34"/>
      <x:c r="N36" s="34"/>
    </x:row>
    <x:row r="37" ht="34" customHeight="1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52" t="str">
        <x:f>IF(A37="","",IFERROR((F37+G37+H37)*((6-J37)/5)/I37,0))</x:f>
      </x:c>
      <x:c r="L37" s="54" t="str">
        <x:f>IF(K37="","",IF(K37&gt;=6,"Включить в первую версию",IF(K37&gt;=4,"Включить после проверки",IF(K37&gt;=2.5,"Проверить дополнительно",IF(K37&gt;=1.5,"Отложить","Исключить")))))</x:f>
      </x:c>
      <x:c r="M37" s="34"/>
      <x:c r="N37" s="34"/>
    </x:row>
    <x:row r="38" ht="34" customHeight="1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52" t="str">
        <x:f>IF(A38="","",IFERROR((F38+G38+H38)*((6-J38)/5)/I38,0))</x:f>
      </x:c>
      <x:c r="L38" s="54" t="str">
        <x:f>IF(K38="","",IF(K38&gt;=6,"Включить в первую версию",IF(K38&gt;=4,"Включить после проверки",IF(K38&gt;=2.5,"Проверить дополнительно",IF(K38&gt;=1.5,"Отложить","Исключить")))))</x:f>
      </x:c>
      <x:c r="M38" s="34"/>
      <x:c r="N38" s="34"/>
    </x:row>
    <x:row r="39" ht="34" customHeight="1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52" t="str">
        <x:f>IF(A39="","",IFERROR((F39+G39+H39)*((6-J39)/5)/I39,0))</x:f>
      </x:c>
      <x:c r="L39" s="54" t="str">
        <x:f>IF(K39="","",IF(K39&gt;=6,"Включить в первую версию",IF(K39&gt;=4,"Включить после проверки",IF(K39&gt;=2.5,"Проверить дополнительно",IF(K39&gt;=1.5,"Отложить","Исключить")))))</x:f>
      </x:c>
      <x:c r="M39" s="34"/>
      <x:c r="N39" s="34"/>
    </x:row>
    <x:row r="40" ht="34" customHeight="1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52" t="str">
        <x:f>IF(A40="","",IFERROR((F40+G40+H40)*((6-J40)/5)/I40,0))</x:f>
      </x:c>
      <x:c r="L40" s="54" t="str">
        <x:f>IF(K40="","",IF(K40&gt;=6,"Включить в первую версию",IF(K40&gt;=4,"Включить после проверки",IF(K40&gt;=2.5,"Проверить дополнительно",IF(K40&gt;=1.5,"Отложить","Исключить")))))</x:f>
      </x:c>
      <x:c r="M40" s="34"/>
      <x:c r="N40" s="34"/>
    </x:row>
    <x:row r="41" ht="34" customHeight="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52" t="str">
        <x:f>IF(A41="","",IFERROR((F41+G41+H41)*((6-J41)/5)/I41,0))</x:f>
      </x:c>
      <x:c r="L41" s="54" t="str">
        <x:f>IF(K41="","",IF(K41&gt;=6,"Включить в первую версию",IF(K41&gt;=4,"Включить после проверки",IF(K41&gt;=2.5,"Проверить дополнительно",IF(K41&gt;=1.5,"Отложить","Исключить")))))</x:f>
      </x:c>
      <x:c r="M41" s="34"/>
      <x:c r="N41" s="34"/>
    </x:row>
    <x:row r="42" ht="34" customHeight="1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52" t="str">
        <x:f>IF(A42="","",IFERROR((F42+G42+H42)*((6-J42)/5)/I42,0))</x:f>
      </x:c>
      <x:c r="L42" s="54" t="str">
        <x:f>IF(K42="","",IF(K42&gt;=6,"Включить в первую версию",IF(K42&gt;=4,"Включить после проверки",IF(K42&gt;=2.5,"Проверить дополнительно",IF(K42&gt;=1.5,"Отложить","Исключить")))))</x:f>
      </x:c>
      <x:c r="M42" s="34"/>
      <x:c r="N42" s="34"/>
    </x:row>
    <x:row r="43" ht="34" customHeight="1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52" t="str">
        <x:f>IF(A43="","",IFERROR((F43+G43+H43)*((6-J43)/5)/I43,0))</x:f>
      </x:c>
      <x:c r="L43" s="54" t="str">
        <x:f>IF(K43="","",IF(K43&gt;=6,"Включить в первую версию",IF(K43&gt;=4,"Включить после проверки",IF(K43&gt;=2.5,"Проверить дополнительно",IF(K43&gt;=1.5,"Отложить","Исключить")))))</x:f>
      </x:c>
      <x:c r="M43" s="34"/>
      <x:c r="N43" s="34"/>
    </x:row>
    <x:row r="44" ht="34" customHeight="1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52" t="str">
        <x:f>IF(A44="","",IFERROR((F44+G44+H44)*((6-J44)/5)/I44,0))</x:f>
      </x:c>
      <x:c r="L44" s="54" t="str">
        <x:f>IF(K44="","",IF(K44&gt;=6,"Включить в первую версию",IF(K44&gt;=4,"Включить после проверки",IF(K44&gt;=2.5,"Проверить дополнительно",IF(K44&gt;=1.5,"Отложить","Исключить")))))</x:f>
      </x:c>
      <x:c r="M44" s="34"/>
      <x:c r="N44" s="34"/>
    </x:row>
    <x:row r="45" ht="34" customHeight="1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52" t="str">
        <x:f>IF(A45="","",IFERROR((F45+G45+H45)*((6-J45)/5)/I45,0))</x:f>
      </x:c>
      <x:c r="L45" s="54" t="str">
        <x:f>IF(K45="","",IF(K45&gt;=6,"Включить в первую версию",IF(K45&gt;=4,"Включить после проверки",IF(K45&gt;=2.5,"Проверить дополнительно",IF(K45&gt;=1.5,"Отложить","Исключить")))))</x:f>
      </x:c>
      <x:c r="M45" s="34"/>
      <x:c r="N45" s="34"/>
    </x:row>
    <x:row r="46" ht="34" customHeight="1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52" t="str">
        <x:f>IF(A46="","",IFERROR((F46+G46+H46)*((6-J46)/5)/I46,0))</x:f>
      </x:c>
      <x:c r="L46" s="54" t="str">
        <x:f>IF(K46="","",IF(K46&gt;=6,"Включить в первую версию",IF(K46&gt;=4,"Включить после проверки",IF(K46&gt;=2.5,"Проверить дополнительно",IF(K46&gt;=1.5,"Отложить","Исключить")))))</x:f>
      </x:c>
      <x:c r="M46" s="34"/>
      <x:c r="N46" s="34"/>
    </x:row>
    <x:row r="47" ht="34" customHeight="1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52" t="str">
        <x:f>IF(A47="","",IFERROR((F47+G47+H47)*((6-J47)/5)/I47,0))</x:f>
      </x:c>
      <x:c r="L47" s="54" t="str">
        <x:f>IF(K47="","",IF(K47&gt;=6,"Включить в первую версию",IF(K47&gt;=4,"Включить после проверки",IF(K47&gt;=2.5,"Проверить дополнительно",IF(K47&gt;=1.5,"Отложить","Исключить")))))</x:f>
      </x:c>
      <x:c r="M47" s="34"/>
      <x:c r="N47" s="34"/>
    </x:row>
    <x:row r="48" ht="34" customHeight="1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52" t="str">
        <x:f>IF(A48="","",IFERROR((F48+G48+H48)*((6-J48)/5)/I48,0))</x:f>
      </x:c>
      <x:c r="L48" s="54" t="str">
        <x:f>IF(K48="","",IF(K48&gt;=6,"Включить в первую версию",IF(K48&gt;=4,"Включить после проверки",IF(K48&gt;=2.5,"Проверить дополнительно",IF(K48&gt;=1.5,"Отложить","Исключить")))))</x:f>
      </x:c>
      <x:c r="M48" s="34"/>
      <x:c r="N48" s="34"/>
    </x:row>
    <x:row r="49" ht="34" customHeight="1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52" t="str">
        <x:f>IF(A49="","",IFERROR((F49+G49+H49)*((6-J49)/5)/I49,0))</x:f>
      </x:c>
      <x:c r="L49" s="54" t="str">
        <x:f>IF(K49="","",IF(K49&gt;=6,"Включить в первую версию",IF(K49&gt;=4,"Включить после проверки",IF(K49&gt;=2.5,"Проверить дополнительно",IF(K49&gt;=1.5,"Отложить","Исключить")))))</x:f>
      </x:c>
      <x:c r="M49" s="34"/>
      <x:c r="N49" s="34"/>
    </x:row>
    <x:row r="50" ht="34" customHeight="1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52" t="str">
        <x:f>IF(A50="","",IFERROR((F50+G50+H50)*((6-J50)/5)/I50,0))</x:f>
      </x:c>
      <x:c r="L50" s="54" t="str">
        <x:f>IF(K50="","",IF(K50&gt;=6,"Включить в первую версию",IF(K50&gt;=4,"Включить после проверки",IF(K50&gt;=2.5,"Проверить дополнительно",IF(K50&gt;=1.5,"Отложить","Исключить")))))</x:f>
      </x:c>
      <x:c r="M50" s="34"/>
      <x:c r="N50" s="34"/>
    </x:row>
    <x:row r="51" ht="34" customHeight="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52" t="str">
        <x:f>IF(A51="","",IFERROR((F51+G51+H51)*((6-J51)/5)/I51,0))</x:f>
      </x:c>
      <x:c r="L51" s="54" t="str">
        <x:f>IF(K51="","",IF(K51&gt;=6,"Включить в первую версию",IF(K51&gt;=4,"Включить после проверки",IF(K51&gt;=2.5,"Проверить дополнительно",IF(K51&gt;=1.5,"Отложить","Исключить")))))</x:f>
      </x:c>
      <x:c r="M51" s="34"/>
      <x:c r="N51" s="34"/>
    </x:row>
    <x:row r="52" ht="34" customHeight="1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52" t="str">
        <x:f>IF(A52="","",IFERROR((F52+G52+H52)*((6-J52)/5)/I52,0))</x:f>
      </x:c>
      <x:c r="L52" s="54" t="str">
        <x:f>IF(K52="","",IF(K52&gt;=6,"Включить в первую версию",IF(K52&gt;=4,"Включить после проверки",IF(K52&gt;=2.5,"Проверить дополнительно",IF(K52&gt;=1.5,"Отложить","Исключить")))))</x:f>
      </x:c>
      <x:c r="M52" s="34"/>
      <x:c r="N52" s="34"/>
    </x:row>
    <x:row r="53" ht="34" customHeight="1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52" t="str">
        <x:f>IF(A53="","",IFERROR((F53+G53+H53)*((6-J53)/5)/I53,0))</x:f>
      </x:c>
      <x:c r="L53" s="54" t="str">
        <x:f>IF(K53="","",IF(K53&gt;=6,"Включить в первую версию",IF(K53&gt;=4,"Включить после проверки",IF(K53&gt;=2.5,"Проверить дополнительно",IF(K53&gt;=1.5,"Отложить","Исключить")))))</x:f>
      </x:c>
      <x:c r="M53" s="34"/>
      <x:c r="N53" s="34"/>
    </x:row>
    <x:row r="54" ht="34" customHeight="1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52" t="str">
        <x:f>IF(A54="","",IFERROR((F54+G54+H54)*((6-J54)/5)/I54,0))</x:f>
      </x:c>
      <x:c r="L54" s="54" t="str">
        <x:f>IF(K54="","",IF(K54&gt;=6,"Включить в первую версию",IF(K54&gt;=4,"Включить после проверки",IF(K54&gt;=2.5,"Проверить дополнительно",IF(K54&gt;=1.5,"Отложить","Исключить")))))</x:f>
      </x:c>
      <x:c r="M54" s="34"/>
      <x:c r="N54" s="34"/>
    </x:row>
    <x:row r="55" ht="34" customHeight="1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52" t="str">
        <x:f>IF(A55="","",IFERROR((F55+G55+H55)*((6-J55)/5)/I55,0))</x:f>
      </x:c>
      <x:c r="L55" s="54" t="str">
        <x:f>IF(K55="","",IF(K55&gt;=6,"Включить в первую версию",IF(K55&gt;=4,"Включить после проверки",IF(K55&gt;=2.5,"Проверить дополнительно",IF(K55&gt;=1.5,"Отложить","Исключить")))))</x:f>
      </x:c>
      <x:c r="M55" s="34"/>
      <x:c r="N55" s="34"/>
    </x:row>
    <x:row r="56" ht="34" customHeight="1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52" t="str">
        <x:f>IF(A56="","",IFERROR((F56+G56+H56)*((6-J56)/5)/I56,0))</x:f>
      </x:c>
      <x:c r="L56" s="54" t="str">
        <x:f>IF(K56="","",IF(K56&gt;=6,"Включить в первую версию",IF(K56&gt;=4,"Включить после проверки",IF(K56&gt;=2.5,"Проверить дополнительно",IF(K56&gt;=1.5,"Отложить","Исключить")))))</x:f>
      </x:c>
      <x:c r="M56" s="34"/>
      <x:c r="N56" s="34"/>
    </x:row>
    <x:row r="57" ht="34" customHeight="1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52" t="str">
        <x:f>IF(A57="","",IFERROR((F57+G57+H57)*((6-J57)/5)/I57,0))</x:f>
      </x:c>
      <x:c r="L57" s="54" t="str">
        <x:f>IF(K57="","",IF(K57&gt;=6,"Включить в первую версию",IF(K57&gt;=4,"Включить после проверки",IF(K57&gt;=2.5,"Проверить дополнительно",IF(K57&gt;=1.5,"Отложить","Исключить")))))</x:f>
      </x:c>
      <x:c r="M57" s="34"/>
      <x:c r="N57" s="34"/>
    </x:row>
    <x:row r="58" ht="34" customHeight="1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52" t="str">
        <x:f>IF(A58="","",IFERROR((F58+G58+H58)*((6-J58)/5)/I58,0))</x:f>
      </x:c>
      <x:c r="L58" s="54" t="str">
        <x:f>IF(K58="","",IF(K58&gt;=6,"Включить в первую версию",IF(K58&gt;=4,"Включить после проверки",IF(K58&gt;=2.5,"Проверить дополнительно",IF(K58&gt;=1.5,"Отложить","Исключить")))))</x:f>
      </x:c>
      <x:c r="M58" s="34"/>
      <x:c r="N58" s="34"/>
    </x:row>
    <x:row r="59" ht="34" customHeight="1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52" t="str">
        <x:f>IF(A59="","",IFERROR((F59+G59+H59)*((6-J59)/5)/I59,0))</x:f>
      </x:c>
      <x:c r="L59" s="54" t="str">
        <x:f>IF(K59="","",IF(K59&gt;=6,"Включить в первую версию",IF(K59&gt;=4,"Включить после проверки",IF(K59&gt;=2.5,"Проверить дополнительно",IF(K59&gt;=1.5,"Отложить","Исключить")))))</x:f>
      </x:c>
      <x:c r="M59" s="34"/>
      <x:c r="N59" s="34"/>
    </x:row>
    <x:row r="60" ht="34" customHeight="1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52" t="str">
        <x:f>IF(A60="","",IFERROR((F60+G60+H60)*((6-J60)/5)/I60,0))</x:f>
      </x:c>
      <x:c r="L60" s="54" t="str">
        <x:f>IF(K60="","",IF(K60&gt;=6,"Включить в первую версию",IF(K60&gt;=4,"Включить после проверки",IF(K60&gt;=2.5,"Проверить дополнительно",IF(K60&gt;=1.5,"Отложить","Исключить")))))</x:f>
      </x:c>
      <x:c r="M60" s="34"/>
      <x:c r="N60" s="34"/>
    </x:row>
    <x:row r="61" ht="34" customHeight="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52" t="str">
        <x:f>IF(A61="","",IFERROR((F61+G61+H61)*((6-J61)/5)/I61,0))</x:f>
      </x:c>
      <x:c r="L61" s="54" t="str">
        <x:f>IF(K61="","",IF(K61&gt;=6,"Включить в первую версию",IF(K61&gt;=4,"Включить после проверки",IF(K61&gt;=2.5,"Проверить дополнительно",IF(K61&gt;=1.5,"Отложить","Исключить")))))</x:f>
      </x:c>
      <x:c r="M61" s="34"/>
      <x:c r="N61" s="34"/>
    </x:row>
    <x:row r="62" ht="34" customHeight="1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52" t="str">
        <x:f>IF(A62="","",IFERROR((F62+G62+H62)*((6-J62)/5)/I62,0))</x:f>
      </x:c>
      <x:c r="L62" s="54" t="str">
        <x:f>IF(K62="","",IF(K62&gt;=6,"Включить в первую версию",IF(K62&gt;=4,"Включить после проверки",IF(K62&gt;=2.5,"Проверить дополнительно",IF(K62&gt;=1.5,"Отложить","Исключить")))))</x:f>
      </x:c>
      <x:c r="M62" s="34"/>
      <x:c r="N62" s="34"/>
    </x:row>
    <x:row r="63" ht="34" customHeight="1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52" t="str">
        <x:f>IF(A63="","",IFERROR((F63+G63+H63)*((6-J63)/5)/I63,0))</x:f>
      </x:c>
      <x:c r="L63" s="54" t="str">
        <x:f>IF(K63="","",IF(K63&gt;=6,"Включить в первую версию",IF(K63&gt;=4,"Включить после проверки",IF(K63&gt;=2.5,"Проверить дополнительно",IF(K63&gt;=1.5,"Отложить","Исключить")))))</x:f>
      </x:c>
      <x:c r="M63" s="34"/>
      <x:c r="N63" s="34"/>
    </x:row>
    <x:row r="64" ht="34" customHeight="1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52" t="str">
        <x:f>IF(A64="","",IFERROR((F64+G64+H64)*((6-J64)/5)/I64,0))</x:f>
      </x:c>
      <x:c r="L64" s="54" t="str">
        <x:f>IF(K64="","",IF(K64&gt;=6,"Включить в первую версию",IF(K64&gt;=4,"Включить после проверки",IF(K64&gt;=2.5,"Проверить дополнительно",IF(K64&gt;=1.5,"Отложить","Исключить")))))</x:f>
      </x:c>
      <x:c r="M64" s="34"/>
      <x:c r="N64" s="34"/>
    </x:row>
    <x:row r="65" ht="34" customHeight="1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52" t="str">
        <x:f>IF(A65="","",IFERROR((F65+G65+H65)*((6-J65)/5)/I65,0))</x:f>
      </x:c>
      <x:c r="L65" s="54" t="str">
        <x:f>IF(K65="","",IF(K65&gt;=6,"Включить в первую версию",IF(K65&gt;=4,"Включить после проверки",IF(K65&gt;=2.5,"Проверить дополнительно",IF(K65&gt;=1.5,"Отложить","Исключить")))))</x:f>
      </x:c>
      <x:c r="M65" s="34"/>
      <x:c r="N65" s="34"/>
    </x:row>
    <x:row r="66" ht="34" customHeight="1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52" t="str">
        <x:f>IF(A66="","",IFERROR((F66+G66+H66)*((6-J66)/5)/I66,0))</x:f>
      </x:c>
      <x:c r="L66" s="54" t="str">
        <x:f>IF(K66="","",IF(K66&gt;=6,"Включить в первую версию",IF(K66&gt;=4,"Включить после проверки",IF(K66&gt;=2.5,"Проверить дополнительно",IF(K66&gt;=1.5,"Отложить","Исключить")))))</x:f>
      </x:c>
      <x:c r="M66" s="34"/>
      <x:c r="N66" s="34"/>
    </x:row>
    <x:row r="67" ht="34" customHeight="1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52" t="str">
        <x:f>IF(A67="","",IFERROR((F67+G67+H67)*((6-J67)/5)/I67,0))</x:f>
      </x:c>
      <x:c r="L67" s="54" t="str">
        <x:f>IF(K67="","",IF(K67&gt;=6,"Включить в первую версию",IF(K67&gt;=4,"Включить после проверки",IF(K67&gt;=2.5,"Проверить дополнительно",IF(K67&gt;=1.5,"Отложить","Исключить")))))</x:f>
      </x:c>
      <x:c r="M67" s="34"/>
      <x:c r="N67" s="34"/>
    </x:row>
    <x:row r="68" ht="34" customHeight="1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52" t="str">
        <x:f>IF(A68="","",IFERROR((F68+G68+H68)*((6-J68)/5)/I68,0))</x:f>
      </x:c>
      <x:c r="L68" s="54" t="str">
        <x:f>IF(K68="","",IF(K68&gt;=6,"Включить в первую версию",IF(K68&gt;=4,"Включить после проверки",IF(K68&gt;=2.5,"Проверить дополнительно",IF(K68&gt;=1.5,"Отложить","Исключить")))))</x:f>
      </x:c>
      <x:c r="M68" s="34"/>
      <x:c r="N68" s="34"/>
    </x:row>
    <x:row r="69" ht="34" customHeight="1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52" t="str">
        <x:f>IF(A69="","",IFERROR((F69+G69+H69)*((6-J69)/5)/I69,0))</x:f>
      </x:c>
      <x:c r="L69" s="54" t="str">
        <x:f>IF(K69="","",IF(K69&gt;=6,"Включить в первую версию",IF(K69&gt;=4,"Включить после проверки",IF(K69&gt;=2.5,"Проверить дополнительно",IF(K69&gt;=1.5,"Отложить","Исключить")))))</x:f>
      </x:c>
      <x:c r="M69" s="34"/>
      <x:c r="N69" s="34"/>
    </x:row>
    <x:row r="70" ht="34" customHeight="1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52" t="str">
        <x:f>IF(A70="","",IFERROR((F70+G70+H70)*((6-J70)/5)/I70,0))</x:f>
      </x:c>
      <x:c r="L70" s="54" t="str">
        <x:f>IF(K70="","",IF(K70&gt;=6,"Включить в первую версию",IF(K70&gt;=4,"Включить после проверки",IF(K70&gt;=2.5,"Проверить дополнительно",IF(K70&gt;=1.5,"Отложить","Исключить")))))</x:f>
      </x:c>
      <x:c r="M70" s="34"/>
      <x:c r="N70" s="34"/>
    </x:row>
    <x:row r="71" ht="34" customHeight="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52" t="str">
        <x:f>IF(A71="","",IFERROR((F71+G71+H71)*((6-J71)/5)/I71,0))</x:f>
      </x:c>
      <x:c r="L71" s="54" t="str">
        <x:f>IF(K71="","",IF(K71&gt;=6,"Включить в первую версию",IF(K71&gt;=4,"Включить после проверки",IF(K71&gt;=2.5,"Проверить дополнительно",IF(K71&gt;=1.5,"Отложить","Исключить")))))</x:f>
      </x:c>
      <x:c r="M71" s="34"/>
      <x:c r="N71" s="34"/>
    </x:row>
    <x:row r="72" ht="34" customHeight="1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52" t="str">
        <x:f>IF(A72="","",IFERROR((F72+G72+H72)*((6-J72)/5)/I72,0))</x:f>
      </x:c>
      <x:c r="L72" s="54" t="str">
        <x:f>IF(K72="","",IF(K72&gt;=6,"Включить в первую версию",IF(K72&gt;=4,"Включить после проверки",IF(K72&gt;=2.5,"Проверить дополнительно",IF(K72&gt;=1.5,"Отложить","Исключить")))))</x:f>
      </x:c>
      <x:c r="M72" s="34"/>
      <x:c r="N72" s="34"/>
    </x:row>
    <x:row r="73" ht="34" customHeight="1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52" t="str">
        <x:f>IF(A73="","",IFERROR((F73+G73+H73)*((6-J73)/5)/I73,0))</x:f>
      </x:c>
      <x:c r="L73" s="54" t="str">
        <x:f>IF(K73="","",IF(K73&gt;=6,"Включить в первую версию",IF(K73&gt;=4,"Включить после проверки",IF(K73&gt;=2.5,"Проверить дополнительно",IF(K73&gt;=1.5,"Отложить","Исключить")))))</x:f>
      </x:c>
      <x:c r="M73" s="34"/>
      <x:c r="N73" s="34"/>
    </x:row>
    <x:row r="74" ht="34" customHeight="1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52" t="str">
        <x:f>IF(A74="","",IFERROR((F74+G74+H74)*((6-J74)/5)/I74,0))</x:f>
      </x:c>
      <x:c r="L74" s="54" t="str">
        <x:f>IF(K74="","",IF(K74&gt;=6,"Включить в первую версию",IF(K74&gt;=4,"Включить после проверки",IF(K74&gt;=2.5,"Проверить дополнительно",IF(K74&gt;=1.5,"Отложить","Исключить")))))</x:f>
      </x:c>
      <x:c r="M74" s="34"/>
      <x:c r="N74" s="34"/>
    </x:row>
    <x:row r="75" ht="34" customHeight="1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52" t="str">
        <x:f>IF(A75="","",IFERROR((F75+G75+H75)*((6-J75)/5)/I75,0))</x:f>
      </x:c>
      <x:c r="L75" s="54" t="str">
        <x:f>IF(K75="","",IF(K75&gt;=6,"Включить в первую версию",IF(K75&gt;=4,"Включить после проверки",IF(K75&gt;=2.5,"Проверить дополнительно",IF(K75&gt;=1.5,"Отложить","Исключить")))))</x:f>
      </x:c>
      <x:c r="M75" s="34"/>
      <x:c r="N75" s="34"/>
    </x:row>
    <x:row r="76" ht="34" customHeight="1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52" t="str">
        <x:f>IF(A76="","",IFERROR((F76+G76+H76)*((6-J76)/5)/I76,0))</x:f>
      </x:c>
      <x:c r="L76" s="54" t="str">
        <x:f>IF(K76="","",IF(K76&gt;=6,"Включить в первую версию",IF(K76&gt;=4,"Включить после проверки",IF(K76&gt;=2.5,"Проверить дополнительно",IF(K76&gt;=1.5,"Отложить","Исключить")))))</x:f>
      </x:c>
      <x:c r="M76" s="34"/>
      <x:c r="N76" s="34"/>
    </x:row>
    <x:row r="77" ht="34" customHeight="1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52" t="str">
        <x:f>IF(A77="","",IFERROR((F77+G77+H77)*((6-J77)/5)/I77,0))</x:f>
      </x:c>
      <x:c r="L77" s="54" t="str">
        <x:f>IF(K77="","",IF(K77&gt;=6,"Включить в первую версию",IF(K77&gt;=4,"Включить после проверки",IF(K77&gt;=2.5,"Проверить дополнительно",IF(K77&gt;=1.5,"Отложить","Исключить")))))</x:f>
      </x:c>
      <x:c r="M77" s="34"/>
      <x:c r="N77" s="34"/>
    </x:row>
    <x:row r="78" ht="34" customHeight="1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52" t="str">
        <x:f>IF(A78="","",IFERROR((F78+G78+H78)*((6-J78)/5)/I78,0))</x:f>
      </x:c>
      <x:c r="L78" s="54" t="str">
        <x:f>IF(K78="","",IF(K78&gt;=6,"Включить в первую версию",IF(K78&gt;=4,"Включить после проверки",IF(K78&gt;=2.5,"Проверить дополнительно",IF(K78&gt;=1.5,"Отложить","Исключить")))))</x:f>
      </x:c>
      <x:c r="M78" s="34"/>
      <x:c r="N78" s="34"/>
    </x:row>
    <x:row r="79" ht="34" customHeight="1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52" t="str">
        <x:f>IF(A79="","",IFERROR((F79+G79+H79)*((6-J79)/5)/I79,0))</x:f>
      </x:c>
      <x:c r="L79" s="54" t="str">
        <x:f>IF(K79="","",IF(K79&gt;=6,"Включить в первую версию",IF(K79&gt;=4,"Включить после проверки",IF(K79&gt;=2.5,"Проверить дополнительно",IF(K79&gt;=1.5,"Отложить","Исключить")))))</x:f>
      </x:c>
      <x:c r="M79" s="34"/>
      <x:c r="N79" s="34"/>
    </x:row>
    <x:row r="80" ht="34" customHeight="1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52" t="str">
        <x:f>IF(A80="","",IFERROR((F80+G80+H80)*((6-J80)/5)/I80,0))</x:f>
      </x:c>
      <x:c r="L80" s="54" t="str">
        <x:f>IF(K80="","",IF(K80&gt;=6,"Включить в первую версию",IF(K80&gt;=4,"Включить после проверки",IF(K80&gt;=2.5,"Проверить дополнительно",IF(K80&gt;=1.5,"Отложить","Исключить")))))</x:f>
      </x:c>
      <x:c r="M80" s="34"/>
      <x:c r="N80" s="34"/>
    </x:row>
    <x:row r="81" ht="34" customHeight="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52" t="str">
        <x:f>IF(A81="","",IFERROR((F81+G81+H81)*((6-J81)/5)/I81,0))</x:f>
      </x:c>
      <x:c r="L81" s="54" t="str">
        <x:f>IF(K81="","",IF(K81&gt;=6,"Включить в первую версию",IF(K81&gt;=4,"Включить после проверки",IF(K81&gt;=2.5,"Проверить дополнительно",IF(K81&gt;=1.5,"Отложить","Исключить")))))</x:f>
      </x:c>
      <x:c r="M81" s="34"/>
      <x:c r="N81" s="34"/>
    </x:row>
    <x:row r="82" ht="34" customHeight="1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52" t="str">
        <x:f>IF(A82="","",IFERROR((F82+G82+H82)*((6-J82)/5)/I82,0))</x:f>
      </x:c>
      <x:c r="L82" s="54" t="str">
        <x:f>IF(K82="","",IF(K82&gt;=6,"Включить в первую версию",IF(K82&gt;=4,"Включить после проверки",IF(K82&gt;=2.5,"Проверить дополнительно",IF(K82&gt;=1.5,"Отложить","Исключить")))))</x:f>
      </x:c>
      <x:c r="M82" s="34"/>
      <x:c r="N82" s="34"/>
    </x:row>
    <x:row r="83" ht="34" customHeight="1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52" t="str">
        <x:f>IF(A83="","",IFERROR((F83+G83+H83)*((6-J83)/5)/I83,0))</x:f>
      </x:c>
      <x:c r="L83" s="54" t="str">
        <x:f>IF(K83="","",IF(K83&gt;=6,"Включить в первую версию",IF(K83&gt;=4,"Включить после проверки",IF(K83&gt;=2.5,"Проверить дополнительно",IF(K83&gt;=1.5,"Отложить","Исключить")))))</x:f>
      </x:c>
      <x:c r="M83" s="34"/>
      <x:c r="N83" s="34"/>
    </x:row>
    <x:row r="84" ht="34" customHeight="1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52" t="str">
        <x:f>IF(A84="","",IFERROR((F84+G84+H84)*((6-J84)/5)/I84,0))</x:f>
      </x:c>
      <x:c r="L84" s="54" t="str">
        <x:f>IF(K84="","",IF(K84&gt;=6,"Включить в первую версию",IF(K84&gt;=4,"Включить после проверки",IF(K84&gt;=2.5,"Проверить дополнительно",IF(K84&gt;=1.5,"Отложить","Исключить")))))</x:f>
      </x:c>
      <x:c r="M84" s="34"/>
      <x:c r="N84" s="34"/>
    </x:row>
    <x:row r="85" ht="34" customHeight="1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52" t="str">
        <x:f>IF(A85="","",IFERROR((F85+G85+H85)*((6-J85)/5)/I85,0))</x:f>
      </x:c>
      <x:c r="L85" s="54" t="str">
        <x:f>IF(K85="","",IF(K85&gt;=6,"Включить в первую версию",IF(K85&gt;=4,"Включить после проверки",IF(K85&gt;=2.5,"Проверить дополнительно",IF(K85&gt;=1.5,"Отложить","Исключить")))))</x:f>
      </x:c>
      <x:c r="M85" s="34"/>
      <x:c r="N85" s="34"/>
    </x:row>
    <x:row r="86" ht="34" customHeight="1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52" t="str">
        <x:f>IF(A86="","",IFERROR((F86+G86+H86)*((6-J86)/5)/I86,0))</x:f>
      </x:c>
      <x:c r="L86" s="54" t="str">
        <x:f>IF(K86="","",IF(K86&gt;=6,"Включить в первую версию",IF(K86&gt;=4,"Включить после проверки",IF(K86&gt;=2.5,"Проверить дополнительно",IF(K86&gt;=1.5,"Отложить","Исключить")))))</x:f>
      </x:c>
      <x:c r="M86" s="34"/>
      <x:c r="N86" s="34"/>
    </x:row>
    <x:row r="87" ht="34" customHeight="1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52" t="str">
        <x:f>IF(A87="","",IFERROR((F87+G87+H87)*((6-J87)/5)/I87,0))</x:f>
      </x:c>
      <x:c r="L87" s="54" t="str">
        <x:f>IF(K87="","",IF(K87&gt;=6,"Включить в первую версию",IF(K87&gt;=4,"Включить после проверки",IF(K87&gt;=2.5,"Проверить дополнительно",IF(K87&gt;=1.5,"Отложить","Исключить")))))</x:f>
      </x:c>
      <x:c r="M87" s="34"/>
      <x:c r="N87" s="34"/>
    </x:row>
    <x:row r="88" ht="34" customHeight="1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52" t="str">
        <x:f>IF(A88="","",IFERROR((F88+G88+H88)*((6-J88)/5)/I88,0))</x:f>
      </x:c>
      <x:c r="L88" s="54" t="str">
        <x:f>IF(K88="","",IF(K88&gt;=6,"Включить в первую версию",IF(K88&gt;=4,"Включить после проверки",IF(K88&gt;=2.5,"Проверить дополнительно",IF(K88&gt;=1.5,"Отложить","Исключить")))))</x:f>
      </x:c>
      <x:c r="M88" s="34"/>
      <x:c r="N88" s="34"/>
    </x:row>
    <x:row r="89" ht="34" customHeight="1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52" t="str">
        <x:f>IF(A89="","",IFERROR((F89+G89+H89)*((6-J89)/5)/I89,0))</x:f>
      </x:c>
      <x:c r="L89" s="54" t="str">
        <x:f>IF(K89="","",IF(K89&gt;=6,"Включить в первую версию",IF(K89&gt;=4,"Включить после проверки",IF(K89&gt;=2.5,"Проверить дополнительно",IF(K89&gt;=1.5,"Отложить","Исключить")))))</x:f>
      </x:c>
      <x:c r="M89" s="34"/>
      <x:c r="N89" s="34"/>
    </x:row>
    <x:row r="90" ht="34" customHeight="1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52" t="str">
        <x:f>IF(A90="","",IFERROR((F90+G90+H90)*((6-J90)/5)/I90,0))</x:f>
      </x:c>
      <x:c r="L90" s="54" t="str">
        <x:f>IF(K90="","",IF(K90&gt;=6,"Включить в первую версию",IF(K90&gt;=4,"Включить после проверки",IF(K90&gt;=2.5,"Проверить дополнительно",IF(K90&gt;=1.5,"Отложить","Исключить")))))</x:f>
      </x:c>
      <x:c r="M90" s="34"/>
      <x:c r="N90" s="34"/>
    </x:row>
    <x:row r="91" ht="34" customHeight="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52" t="str">
        <x:f>IF(A91="","",IFERROR((F91+G91+H91)*((6-J91)/5)/I91,0))</x:f>
      </x:c>
      <x:c r="L91" s="54" t="str">
        <x:f>IF(K91="","",IF(K91&gt;=6,"Включить в первую версию",IF(K91&gt;=4,"Включить после проверки",IF(K91&gt;=2.5,"Проверить дополнительно",IF(K91&gt;=1.5,"Отложить","Исключить")))))</x:f>
      </x:c>
      <x:c r="M91" s="34"/>
      <x:c r="N91" s="34"/>
    </x:row>
    <x:row r="92" ht="34" customHeight="1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52" t="str">
        <x:f>IF(A92="","",IFERROR((F92+G92+H92)*((6-J92)/5)/I92,0))</x:f>
      </x:c>
      <x:c r="L92" s="54" t="str">
        <x:f>IF(K92="","",IF(K92&gt;=6,"Включить в первую версию",IF(K92&gt;=4,"Включить после проверки",IF(K92&gt;=2.5,"Проверить дополнительно",IF(K92&gt;=1.5,"Отложить","Исключить")))))</x:f>
      </x:c>
      <x:c r="M92" s="34"/>
      <x:c r="N92" s="34"/>
    </x:row>
    <x:row r="93" ht="34" customHeight="1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52" t="str">
        <x:f>IF(A93="","",IFERROR((F93+G93+H93)*((6-J93)/5)/I93,0))</x:f>
      </x:c>
      <x:c r="L93" s="54" t="str">
        <x:f>IF(K93="","",IF(K93&gt;=6,"Включить в первую версию",IF(K93&gt;=4,"Включить после проверки",IF(K93&gt;=2.5,"Проверить дополнительно",IF(K93&gt;=1.5,"Отложить","Исключить")))))</x:f>
      </x:c>
      <x:c r="M93" s="34"/>
      <x:c r="N93" s="34"/>
    </x:row>
    <x:row r="94" ht="34" customHeight="1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52" t="str">
        <x:f>IF(A94="","",IFERROR((F94+G94+H94)*((6-J94)/5)/I94,0))</x:f>
      </x:c>
      <x:c r="L94" s="54" t="str">
        <x:f>IF(K94="","",IF(K94&gt;=6,"Включить в первую версию",IF(K94&gt;=4,"Включить после проверки",IF(K94&gt;=2.5,"Проверить дополнительно",IF(K94&gt;=1.5,"Отложить","Исключить")))))</x:f>
      </x:c>
      <x:c r="M94" s="34"/>
      <x:c r="N94" s="34"/>
    </x:row>
    <x:row r="95" ht="34" customHeight="1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52" t="str">
        <x:f>IF(A95="","",IFERROR((F95+G95+H95)*((6-J95)/5)/I95,0))</x:f>
      </x:c>
      <x:c r="L95" s="54" t="str">
        <x:f>IF(K95="","",IF(K95&gt;=6,"Включить в первую версию",IF(K95&gt;=4,"Включить после проверки",IF(K95&gt;=2.5,"Проверить дополнительно",IF(K95&gt;=1.5,"Отложить","Исключить")))))</x:f>
      </x:c>
      <x:c r="M95" s="34"/>
      <x:c r="N95" s="34"/>
    </x:row>
    <x:row r="96" ht="34" customHeight="1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52" t="str">
        <x:f>IF(A96="","",IFERROR((F96+G96+H96)*((6-J96)/5)/I96,0))</x:f>
      </x:c>
      <x:c r="L96" s="54" t="str">
        <x:f>IF(K96="","",IF(K96&gt;=6,"Включить в первую версию",IF(K96&gt;=4,"Включить после проверки",IF(K96&gt;=2.5,"Проверить дополнительно",IF(K96&gt;=1.5,"Отложить","Исключить")))))</x:f>
      </x:c>
      <x:c r="M96" s="34"/>
      <x:c r="N96" s="34"/>
    </x:row>
    <x:row r="97" ht="34" customHeight="1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52" t="str">
        <x:f>IF(A97="","",IFERROR((F97+G97+H97)*((6-J97)/5)/I97,0))</x:f>
      </x:c>
      <x:c r="L97" s="54" t="str">
        <x:f>IF(K97="","",IF(K97&gt;=6,"Включить в первую версию",IF(K97&gt;=4,"Включить после проверки",IF(K97&gt;=2.5,"Проверить дополнительно",IF(K97&gt;=1.5,"Отложить","Исключить")))))</x:f>
      </x:c>
      <x:c r="M97" s="34"/>
      <x:c r="N97" s="34"/>
    </x:row>
    <x:row r="98" ht="34" customHeight="1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52" t="str">
        <x:f>IF(A98="","",IFERROR((F98+G98+H98)*((6-J98)/5)/I98,0))</x:f>
      </x:c>
      <x:c r="L98" s="54" t="str">
        <x:f>IF(K98="","",IF(K98&gt;=6,"Включить в первую версию",IF(K98&gt;=4,"Включить после проверки",IF(K98&gt;=2.5,"Проверить дополнительно",IF(K98&gt;=1.5,"Отложить","Исключить")))))</x:f>
      </x:c>
      <x:c r="M98" s="34"/>
      <x:c r="N98" s="34"/>
    </x:row>
    <x:row r="99" ht="34" customHeight="1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52" t="str">
        <x:f>IF(A99="","",IFERROR((F99+G99+H99)*((6-J99)/5)/I99,0))</x:f>
      </x:c>
      <x:c r="L99" s="54" t="str">
        <x:f>IF(K99="","",IF(K99&gt;=6,"Включить в первую версию",IF(K99&gt;=4,"Включить после проверки",IF(K99&gt;=2.5,"Проверить дополнительно",IF(K99&gt;=1.5,"Отложить","Исключить")))))</x:f>
      </x:c>
      <x:c r="M99" s="34"/>
      <x:c r="N99" s="34"/>
    </x:row>
    <x:row r="100" ht="34" customHeight="1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52" t="str">
        <x:f>IF(A100="","",IFERROR((F100+G100+H100)*((6-J100)/5)/I100,0))</x:f>
      </x:c>
      <x:c r="L100" s="54" t="str">
        <x:f>IF(K100="","",IF(K100&gt;=6,"Включить в первую версию",IF(K100&gt;=4,"Включить после проверки",IF(K100&gt;=2.5,"Проверить дополнительно",IF(K100&gt;=1.5,"Отложить","Исключить")))))</x:f>
      </x:c>
      <x:c r="M100" s="34"/>
      <x:c r="N100" s="34"/>
    </x:row>
    <x:row r="101" ht="34" customHeight="1">
      <x:c r="A101" s="34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52" t="str">
        <x:f>IF(A101="","",IFERROR((F101+G101+H101)*((6-J101)/5)/I101,0))</x:f>
      </x:c>
      <x:c r="L101" s="54" t="str">
        <x:f>IF(K101="","",IF(K101&gt;=6,"Включить в первую версию",IF(K101&gt;=4,"Включить после проверки",IF(K101&gt;=2.5,"Проверить дополнительно",IF(K101&gt;=1.5,"Отложить","Исключить")))))</x:f>
      </x:c>
      <x:c r="M101" s="34"/>
      <x:c r="N101" s="34"/>
    </x:row>
    <x:row r="102" ht="34" customHeight="1">
      <x:c r="A102" s="34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52" t="str">
        <x:f>IF(A102="","",IFERROR((F102+G102+H102)*((6-J102)/5)/I102,0))</x:f>
      </x:c>
      <x:c r="L102" s="54" t="str">
        <x:f>IF(K102="","",IF(K102&gt;=6,"Включить в первую версию",IF(K102&gt;=4,"Включить после проверки",IF(K102&gt;=2.5,"Проверить дополнительно",IF(K102&gt;=1.5,"Отложить","Исключить")))))</x:f>
      </x:c>
      <x:c r="M102" s="34"/>
      <x:c r="N102" s="34"/>
    </x:row>
    <x:row r="103" ht="34" customHeight="1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52" t="str">
        <x:f>IF(A103="","",IFERROR((F103+G103+H103)*((6-J103)/5)/I103,0))</x:f>
      </x:c>
      <x:c r="L103" s="54" t="str">
        <x:f>IF(K103="","",IF(K103&gt;=6,"Включить в первую версию",IF(K103&gt;=4,"Включить после проверки",IF(K103&gt;=2.5,"Проверить дополнительно",IF(K103&gt;=1.5,"Отложить","Исключить")))))</x:f>
      </x:c>
      <x:c r="M103" s="34"/>
      <x:c r="N103" s="34"/>
    </x:row>
    <x:row r="104" ht="34" customHeight="1">
      <x:c r="A104" s="34"/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52" t="str">
        <x:f>IF(A104="","",IFERROR((F104+G104+H104)*((6-J104)/5)/I104,0))</x:f>
      </x:c>
      <x:c r="L104" s="54" t="str">
        <x:f>IF(K104="","",IF(K104&gt;=6,"Включить в первую версию",IF(K104&gt;=4,"Включить после проверки",IF(K104&gt;=2.5,"Проверить дополнительно",IF(K104&gt;=1.5,"Отложить","Исключить")))))</x:f>
      </x:c>
      <x:c r="M104" s="34"/>
      <x:c r="N104" s="34"/>
    </x:row>
    <x:row r="105" ht="34" customHeight="1">
      <x:c r="A105" s="34"/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52" t="str">
        <x:f>IF(A105="","",IFERROR((F105+G105+H105)*((6-J105)/5)/I105,0))</x:f>
      </x:c>
      <x:c r="L105" s="54" t="str">
        <x:f>IF(K105="","",IF(K105&gt;=6,"Включить в первую версию",IF(K105&gt;=4,"Включить после проверки",IF(K105&gt;=2.5,"Проверить дополнительно",IF(K105&gt;=1.5,"Отложить","Исключить")))))</x:f>
      </x:c>
      <x:c r="M105" s="34"/>
      <x:c r="N105" s="34"/>
    </x:row>
    <x:row r="106" ht="34" customHeight="1">
      <x:c r="A106" s="34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52" t="str">
        <x:f>IF(A106="","",IFERROR((F106+G106+H106)*((6-J106)/5)/I106,0))</x:f>
      </x:c>
      <x:c r="L106" s="54" t="str">
        <x:f>IF(K106="","",IF(K106&gt;=6,"Включить в первую версию",IF(K106&gt;=4,"Включить после проверки",IF(K106&gt;=2.5,"Проверить дополнительно",IF(K106&gt;=1.5,"Отложить","Исключить")))))</x:f>
      </x:c>
      <x:c r="M106" s="34"/>
      <x:c r="N106" s="34"/>
    </x:row>
    <x:row r="107" ht="34" customHeight="1">
      <x:c r="A107" s="34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52" t="str">
        <x:f>IF(A107="","",IFERROR((F107+G107+H107)*((6-J107)/5)/I107,0))</x:f>
      </x:c>
      <x:c r="L107" s="54" t="str">
        <x:f>IF(K107="","",IF(K107&gt;=6,"Включить в первую версию",IF(K107&gt;=4,"Включить после проверки",IF(K107&gt;=2.5,"Проверить дополнительно",IF(K107&gt;=1.5,"Отложить","Исключить")))))</x:f>
      </x:c>
      <x:c r="M107" s="34"/>
      <x:c r="N107" s="34"/>
    </x:row>
    <x:row r="108" ht="34" customHeight="1">
      <x:c r="A108" s="34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52" t="str">
        <x:f>IF(A108="","",IFERROR((F108+G108+H108)*((6-J108)/5)/I108,0))</x:f>
      </x:c>
      <x:c r="L108" s="54" t="str">
        <x:f>IF(K108="","",IF(K108&gt;=6,"Включить в первую версию",IF(K108&gt;=4,"Включить после проверки",IF(K108&gt;=2.5,"Проверить дополнительно",IF(K108&gt;=1.5,"Отложить","Исключить")))))</x:f>
      </x:c>
      <x:c r="M108" s="34"/>
      <x:c r="N108" s="34"/>
    </x:row>
    <x:row r="109" ht="34" customHeight="1">
      <x:c r="A109" s="34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52" t="str">
        <x:f>IF(A109="","",IFERROR((F109+G109+H109)*((6-J109)/5)/I109,0))</x:f>
      </x:c>
      <x:c r="L109" s="54" t="str">
        <x:f>IF(K109="","",IF(K109&gt;=6,"Включить в первую версию",IF(K109&gt;=4,"Включить после проверки",IF(K109&gt;=2.5,"Проверить дополнительно",IF(K109&gt;=1.5,"Отложить","Исключить")))))</x:f>
      </x:c>
      <x:c r="M109" s="34"/>
      <x:c r="N109" s="34"/>
    </x:row>
    <x:row r="110" ht="34" customHeight="1">
      <x:c r="A110" s="34"/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52" t="str">
        <x:f>IF(A110="","",IFERROR((F110+G110+H110)*((6-J110)/5)/I110,0))</x:f>
      </x:c>
      <x:c r="L110" s="54" t="str">
        <x:f>IF(K110="","",IF(K110&gt;=6,"Включить в первую версию",IF(K110&gt;=4,"Включить после проверки",IF(K110&gt;=2.5,"Проверить дополнительно",IF(K110&gt;=1.5,"Отложить","Исключить")))))</x:f>
      </x:c>
      <x:c r="M110" s="34"/>
      <x:c r="N110" s="34"/>
    </x:row>
    <x:row r="111" ht="34" customHeight="1">
      <x:c r="A111" s="34"/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52" t="str">
        <x:f>IF(A111="","",IFERROR((F111+G111+H111)*((6-J111)/5)/I111,0))</x:f>
      </x:c>
      <x:c r="L111" s="54" t="str">
        <x:f>IF(K111="","",IF(K111&gt;=6,"Включить в первую версию",IF(K111&gt;=4,"Включить после проверки",IF(K111&gt;=2.5,"Проверить дополнительно",IF(K111&gt;=1.5,"Отложить","Исключить")))))</x:f>
      </x:c>
      <x:c r="M111" s="34"/>
      <x:c r="N111" s="34"/>
    </x:row>
    <x:row r="112" ht="34" customHeight="1">
      <x:c r="A112" s="34"/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52" t="str">
        <x:f>IF(A112="","",IFERROR((F112+G112+H112)*((6-J112)/5)/I112,0))</x:f>
      </x:c>
      <x:c r="L112" s="54" t="str">
        <x:f>IF(K112="","",IF(K112&gt;=6,"Включить в первую версию",IF(K112&gt;=4,"Включить после проверки",IF(K112&gt;=2.5,"Проверить дополнительно",IF(K112&gt;=1.5,"Отложить","Исключить")))))</x:f>
      </x:c>
      <x:c r="M112" s="34"/>
      <x:c r="N112" s="34"/>
    </x:row>
    <x:row r="113" ht="34" customHeight="1">
      <x:c r="A113" s="34"/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52" t="str">
        <x:f>IF(A113="","",IFERROR((F113+G113+H113)*((6-J113)/5)/I113,0))</x:f>
      </x:c>
      <x:c r="L113" s="54" t="str">
        <x:f>IF(K113="","",IF(K113&gt;=6,"Включить в первую версию",IF(K113&gt;=4,"Включить после проверки",IF(K113&gt;=2.5,"Проверить дополнительно",IF(K113&gt;=1.5,"Отложить","Исключить")))))</x:f>
      </x:c>
      <x:c r="M113" s="34"/>
      <x:c r="N113" s="34"/>
    </x:row>
    <x:row r="114" ht="34" customHeight="1">
      <x:c r="A114" s="34"/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52" t="str">
        <x:f>IF(A114="","",IFERROR((F114+G114+H114)*((6-J114)/5)/I114,0))</x:f>
      </x:c>
      <x:c r="L114" s="54" t="str">
        <x:f>IF(K114="","",IF(K114&gt;=6,"Включить в первую версию",IF(K114&gt;=4,"Включить после проверки",IF(K114&gt;=2.5,"Проверить дополнительно",IF(K114&gt;=1.5,"Отложить","Исключить")))))</x:f>
      </x:c>
      <x:c r="M114" s="34"/>
      <x:c r="N114" s="34"/>
    </x:row>
    <x:row r="115" ht="34" customHeight="1">
      <x:c r="A115" s="34"/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52" t="str">
        <x:f>IF(A115="","",IFERROR((F115+G115+H115)*((6-J115)/5)/I115,0))</x:f>
      </x:c>
      <x:c r="L115" s="54" t="str">
        <x:f>IF(K115="","",IF(K115&gt;=6,"Включить в первую версию",IF(K115&gt;=4,"Включить после проверки",IF(K115&gt;=2.5,"Проверить дополнительно",IF(K115&gt;=1.5,"Отложить","Исключить")))))</x:f>
      </x:c>
      <x:c r="M115" s="34"/>
      <x:c r="N115" s="34"/>
    </x:row>
    <x:row r="116" ht="34" customHeight="1">
      <x:c r="A116" s="34"/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52" t="str">
        <x:f>IF(A116="","",IFERROR((F116+G116+H116)*((6-J116)/5)/I116,0))</x:f>
      </x:c>
      <x:c r="L116" s="54" t="str">
        <x:f>IF(K116="","",IF(K116&gt;=6,"Включить в первую версию",IF(K116&gt;=4,"Включить после проверки",IF(K116&gt;=2.5,"Проверить дополнительно",IF(K116&gt;=1.5,"Отложить","Исключить")))))</x:f>
      </x:c>
      <x:c r="M116" s="34"/>
      <x:c r="N116" s="34"/>
    </x:row>
    <x:row r="117" ht="34" customHeight="1">
      <x:c r="A117" s="34"/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52" t="str">
        <x:f>IF(A117="","",IFERROR((F117+G117+H117)*((6-J117)/5)/I117,0))</x:f>
      </x:c>
      <x:c r="L117" s="54" t="str">
        <x:f>IF(K117="","",IF(K117&gt;=6,"Включить в первую версию",IF(K117&gt;=4,"Включить после проверки",IF(K117&gt;=2.5,"Проверить дополнительно",IF(K117&gt;=1.5,"Отложить","Исключить")))))</x:f>
      </x:c>
      <x:c r="M117" s="34"/>
      <x:c r="N117" s="34"/>
    </x:row>
    <x:row r="118" ht="34" customHeight="1">
      <x:c r="A118" s="34"/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52" t="str">
        <x:f>IF(A118="","",IFERROR((F118+G118+H118)*((6-J118)/5)/I118,0))</x:f>
      </x:c>
      <x:c r="L118" s="54" t="str">
        <x:f>IF(K118="","",IF(K118&gt;=6,"Включить в первую версию",IF(K118&gt;=4,"Включить после проверки",IF(K118&gt;=2.5,"Проверить дополнительно",IF(K118&gt;=1.5,"Отложить","Исключить")))))</x:f>
      </x:c>
      <x:c r="M118" s="34"/>
      <x:c r="N118" s="34"/>
    </x:row>
    <x:row r="119" ht="34" customHeight="1">
      <x:c r="A119" s="34"/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52" t="str">
        <x:f>IF(A119="","",IFERROR((F119+G119+H119)*((6-J119)/5)/I119,0))</x:f>
      </x:c>
      <x:c r="L119" s="54" t="str">
        <x:f>IF(K119="","",IF(K119&gt;=6,"Включить в первую версию",IF(K119&gt;=4,"Включить после проверки",IF(K119&gt;=2.5,"Проверить дополнительно",IF(K119&gt;=1.5,"Отложить","Исключить")))))</x:f>
      </x:c>
      <x:c r="M119" s="34"/>
      <x:c r="N119" s="34"/>
    </x:row>
    <x:row r="120" ht="34" customHeight="1">
      <x:c r="A120" s="34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52" t="str">
        <x:f>IF(A120="","",IFERROR((F120+G120+H120)*((6-J120)/5)/I120,0))</x:f>
      </x:c>
      <x:c r="L120" s="54" t="str">
        <x:f>IF(K120="","",IF(K120&gt;=6,"Включить в первую версию",IF(K120&gt;=4,"Включить после проверки",IF(K120&gt;=2.5,"Проверить дополнительно",IF(K120&gt;=1.5,"Отложить","Исключить")))))</x:f>
      </x:c>
      <x:c r="M120" s="34"/>
      <x:c r="N120" s="34"/>
    </x:row>
    <x:row r="121" ht="34" customHeight="1">
      <x:c r="A121" s="34"/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52" t="str">
        <x:f>IF(A121="","",IFERROR((F121+G121+H121)*((6-J121)/5)/I121,0))</x:f>
      </x:c>
      <x:c r="L121" s="54" t="str">
        <x:f>IF(K121="","",IF(K121&gt;=6,"Включить в первую версию",IF(K121&gt;=4,"Включить после проверки",IF(K121&gt;=2.5,"Проверить дополнительно",IF(K121&gt;=1.5,"Отложить","Исключить")))))</x:f>
      </x:c>
      <x:c r="M121" s="34"/>
      <x:c r="N121" s="34"/>
    </x:row>
    <x:row r="122" ht="34" customHeight="1">
      <x:c r="A122" s="34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52" t="str">
        <x:f>IF(A122="","",IFERROR((F122+G122+H122)*((6-J122)/5)/I122,0))</x:f>
      </x:c>
      <x:c r="L122" s="54" t="str">
        <x:f>IF(K122="","",IF(K122&gt;=6,"Включить в первую версию",IF(K122&gt;=4,"Включить после проверки",IF(K122&gt;=2.5,"Проверить дополнительно",IF(K122&gt;=1.5,"Отложить","Исключить")))))</x:f>
      </x:c>
      <x:c r="M122" s="34"/>
      <x:c r="N122" s="34"/>
    </x:row>
    <x:row r="123" ht="34" customHeight="1">
      <x:c r="A123" s="34"/>
      <x:c r="B123" s="34"/>
      <x:c r="C123" s="34"/>
      <x:c r="D123" s="34"/>
      <x:c r="E123" s="34"/>
      <x:c r="F123" s="34"/>
      <x:c r="G123" s="34"/>
      <x:c r="H123" s="34"/>
      <x:c r="I123" s="34"/>
      <x:c r="J123" s="34"/>
      <x:c r="K123" s="52" t="str">
        <x:f>IF(A123="","",IFERROR((F123+G123+H123)*((6-J123)/5)/I123,0))</x:f>
      </x:c>
      <x:c r="L123" s="54" t="str">
        <x:f>IF(K123="","",IF(K123&gt;=6,"Включить в первую версию",IF(K123&gt;=4,"Включить после проверки",IF(K123&gt;=2.5,"Проверить дополнительно",IF(K123&gt;=1.5,"Отложить","Исключить")))))</x:f>
      </x:c>
      <x:c r="M123" s="34"/>
      <x:c r="N123" s="34"/>
    </x:row>
    <x:row r="124" ht="34" customHeight="1">
      <x:c r="A124" s="34"/>
      <x:c r="B124" s="34"/>
      <x:c r="C124" s="34"/>
      <x:c r="D124" s="34"/>
      <x:c r="E124" s="34"/>
      <x:c r="F124" s="34"/>
      <x:c r="G124" s="34"/>
      <x:c r="H124" s="34"/>
      <x:c r="I124" s="34"/>
      <x:c r="J124" s="34"/>
      <x:c r="K124" s="52" t="str">
        <x:f>IF(A124="","",IFERROR((F124+G124+H124)*((6-J124)/5)/I124,0))</x:f>
      </x:c>
      <x:c r="L124" s="54" t="str">
        <x:f>IF(K124="","",IF(K124&gt;=6,"Включить в первую версию",IF(K124&gt;=4,"Включить после проверки",IF(K124&gt;=2.5,"Проверить дополнительно",IF(K124&gt;=1.5,"Отложить","Исключить")))))</x:f>
      </x:c>
      <x:c r="M124" s="34"/>
      <x:c r="N124" s="34"/>
    </x:row>
    <x:row r="125" ht="34" customHeight="1">
      <x:c r="A125" s="34"/>
      <x:c r="B125" s="34"/>
      <x:c r="C125" s="34"/>
      <x:c r="D125" s="34"/>
      <x:c r="E125" s="34"/>
      <x:c r="F125" s="34"/>
      <x:c r="G125" s="34"/>
      <x:c r="H125" s="34"/>
      <x:c r="I125" s="34"/>
      <x:c r="J125" s="34"/>
      <x:c r="K125" s="52" t="str">
        <x:f>IF(A125="","",IFERROR((F125+G125+H125)*((6-J125)/5)/I125,0))</x:f>
      </x:c>
      <x:c r="L125" s="54" t="str">
        <x:f>IF(K125="","",IF(K125&gt;=6,"Включить в первую версию",IF(K125&gt;=4,"Включить после проверки",IF(K125&gt;=2.5,"Проверить дополнительно",IF(K125&gt;=1.5,"Отложить","Исключить")))))</x:f>
      </x:c>
      <x:c r="M125" s="34"/>
      <x:c r="N125" s="34"/>
    </x:row>
    <x:row r="126" ht="34" customHeight="1">
      <x:c r="A126" s="34"/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52" t="str">
        <x:f>IF(A126="","",IFERROR((F126+G126+H126)*((6-J126)/5)/I126,0))</x:f>
      </x:c>
      <x:c r="L126" s="54" t="str">
        <x:f>IF(K126="","",IF(K126&gt;=6,"Включить в первую версию",IF(K126&gt;=4,"Включить после проверки",IF(K126&gt;=2.5,"Проверить дополнительно",IF(K126&gt;=1.5,"Отложить","Исключить")))))</x:f>
      </x:c>
      <x:c r="M126" s="34"/>
      <x:c r="N126" s="34"/>
    </x:row>
    <x:row r="127" ht="34" customHeight="1">
      <x:c r="A127" s="34"/>
      <x:c r="B127" s="34"/>
      <x:c r="C127" s="34"/>
      <x:c r="D127" s="34"/>
      <x:c r="E127" s="34"/>
      <x:c r="F127" s="34"/>
      <x:c r="G127" s="34"/>
      <x:c r="H127" s="34"/>
      <x:c r="I127" s="34"/>
      <x:c r="J127" s="34"/>
      <x:c r="K127" s="52" t="str">
        <x:f>IF(A127="","",IFERROR((F127+G127+H127)*((6-J127)/5)/I127,0))</x:f>
      </x:c>
      <x:c r="L127" s="54" t="str">
        <x:f>IF(K127="","",IF(K127&gt;=6,"Включить в первую версию",IF(K127&gt;=4,"Включить после проверки",IF(K127&gt;=2.5,"Проверить дополнительно",IF(K127&gt;=1.5,"Отложить","Исключить")))))</x:f>
      </x:c>
      <x:c r="M127" s="34"/>
      <x:c r="N127" s="34"/>
    </x:row>
    <x:row r="128" ht="34" customHeight="1">
      <x:c r="A128" s="34"/>
      <x:c r="B128" s="34"/>
      <x:c r="C128" s="34"/>
      <x:c r="D128" s="34"/>
      <x:c r="E128" s="34"/>
      <x:c r="F128" s="34"/>
      <x:c r="G128" s="34"/>
      <x:c r="H128" s="34"/>
      <x:c r="I128" s="34"/>
      <x:c r="J128" s="34"/>
      <x:c r="K128" s="52" t="str">
        <x:f>IF(A128="","",IFERROR((F128+G128+H128)*((6-J128)/5)/I128,0))</x:f>
      </x:c>
      <x:c r="L128" s="54" t="str">
        <x:f>IF(K128="","",IF(K128&gt;=6,"Включить в первую версию",IF(K128&gt;=4,"Включить после проверки",IF(K128&gt;=2.5,"Проверить дополнительно",IF(K128&gt;=1.5,"Отложить","Исключить")))))</x:f>
      </x:c>
      <x:c r="M128" s="34"/>
      <x:c r="N128" s="34"/>
    </x:row>
    <x:row r="129" ht="34" customHeight="1">
      <x:c r="A129" s="34"/>
      <x:c r="B129" s="34"/>
      <x:c r="C129" s="34"/>
      <x:c r="D129" s="34"/>
      <x:c r="E129" s="34"/>
      <x:c r="F129" s="34"/>
      <x:c r="G129" s="34"/>
      <x:c r="H129" s="34"/>
      <x:c r="I129" s="34"/>
      <x:c r="J129" s="34"/>
      <x:c r="K129" s="52" t="str">
        <x:f>IF(A129="","",IFERROR((F129+G129+H129)*((6-J129)/5)/I129,0))</x:f>
      </x:c>
      <x:c r="L129" s="54" t="str">
        <x:f>IF(K129="","",IF(K129&gt;=6,"Включить в первую версию",IF(K129&gt;=4,"Включить после проверки",IF(K129&gt;=2.5,"Проверить дополнительно",IF(K129&gt;=1.5,"Отложить","Исключить")))))</x:f>
      </x:c>
      <x:c r="M129" s="34"/>
      <x:c r="N129" s="34"/>
    </x:row>
    <x:row r="130" ht="34" customHeight="1">
      <x:c r="A130" s="34"/>
      <x:c r="B130" s="34"/>
      <x:c r="C130" s="34"/>
      <x:c r="D130" s="34"/>
      <x:c r="E130" s="34"/>
      <x:c r="F130" s="34"/>
      <x:c r="G130" s="34"/>
      <x:c r="H130" s="34"/>
      <x:c r="I130" s="34"/>
      <x:c r="J130" s="34"/>
      <x:c r="K130" s="52" t="str">
        <x:f>IF(A130="","",IFERROR((F130+G130+H130)*((6-J130)/5)/I130,0))</x:f>
      </x:c>
      <x:c r="L130" s="54" t="str">
        <x:f>IF(K130="","",IF(K130&gt;=6,"Включить в первую версию",IF(K130&gt;=4,"Включить после проверки",IF(K130&gt;=2.5,"Проверить дополнительно",IF(K130&gt;=1.5,"Отложить","Исключить")))))</x:f>
      </x:c>
      <x:c r="M130" s="34"/>
      <x:c r="N130" s="34"/>
    </x:row>
    <x:row r="131" ht="34" customHeight="1">
      <x:c r="A131" s="34"/>
      <x:c r="B131" s="34"/>
      <x:c r="C131" s="34"/>
      <x:c r="D131" s="34"/>
      <x:c r="E131" s="34"/>
      <x:c r="F131" s="34"/>
      <x:c r="G131" s="34"/>
      <x:c r="H131" s="34"/>
      <x:c r="I131" s="34"/>
      <x:c r="J131" s="34"/>
      <x:c r="K131" s="52" t="str">
        <x:f>IF(A131="","",IFERROR((F131+G131+H131)*((6-J131)/5)/I131,0))</x:f>
      </x:c>
      <x:c r="L131" s="54" t="str">
        <x:f>IF(K131="","",IF(K131&gt;=6,"Включить в первую версию",IF(K131&gt;=4,"Включить после проверки",IF(K131&gt;=2.5,"Проверить дополнительно",IF(K131&gt;=1.5,"Отложить","Исключить")))))</x:f>
      </x:c>
      <x:c r="M131" s="34"/>
      <x:c r="N131" s="34"/>
    </x:row>
    <x:row r="132" ht="34" customHeight="1">
      <x:c r="A132" s="34"/>
      <x:c r="B132" s="34"/>
      <x:c r="C132" s="34"/>
      <x:c r="D132" s="34"/>
      <x:c r="E132" s="34"/>
      <x:c r="F132" s="34"/>
      <x:c r="G132" s="34"/>
      <x:c r="H132" s="34"/>
      <x:c r="I132" s="34"/>
      <x:c r="J132" s="34"/>
      <x:c r="K132" s="52" t="str">
        <x:f>IF(A132="","",IFERROR((F132+G132+H132)*((6-J132)/5)/I132,0))</x:f>
      </x:c>
      <x:c r="L132" s="54" t="str">
        <x:f>IF(K132="","",IF(K132&gt;=6,"Включить в первую версию",IF(K132&gt;=4,"Включить после проверки",IF(K132&gt;=2.5,"Проверить дополнительно",IF(K132&gt;=1.5,"Отложить","Исключить")))))</x:f>
      </x:c>
      <x:c r="M132" s="34"/>
      <x:c r="N132" s="34"/>
    </x:row>
    <x:row r="133" ht="34" customHeight="1">
      <x:c r="A133" s="34"/>
      <x:c r="B133" s="34"/>
      <x:c r="C133" s="34"/>
      <x:c r="D133" s="34"/>
      <x:c r="E133" s="34"/>
      <x:c r="F133" s="34"/>
      <x:c r="G133" s="34"/>
      <x:c r="H133" s="34"/>
      <x:c r="I133" s="34"/>
      <x:c r="J133" s="34"/>
      <x:c r="K133" s="52" t="str">
        <x:f>IF(A133="","",IFERROR((F133+G133+H133)*((6-J133)/5)/I133,0))</x:f>
      </x:c>
      <x:c r="L133" s="54" t="str">
        <x:f>IF(K133="","",IF(K133&gt;=6,"Включить в первую версию",IF(K133&gt;=4,"Включить после проверки",IF(K133&gt;=2.5,"Проверить дополнительно",IF(K133&gt;=1.5,"Отложить","Исключить")))))</x:f>
      </x:c>
      <x:c r="M133" s="34"/>
      <x:c r="N133" s="34"/>
    </x:row>
    <x:row r="134" ht="34" customHeight="1">
      <x:c r="A134" s="34"/>
      <x:c r="B134" s="34"/>
      <x:c r="C134" s="34"/>
      <x:c r="D134" s="34"/>
      <x:c r="E134" s="34"/>
      <x:c r="F134" s="34"/>
      <x:c r="G134" s="34"/>
      <x:c r="H134" s="34"/>
      <x:c r="I134" s="34"/>
      <x:c r="J134" s="34"/>
      <x:c r="K134" s="52" t="str">
        <x:f>IF(A134="","",IFERROR((F134+G134+H134)*((6-J134)/5)/I134,0))</x:f>
      </x:c>
      <x:c r="L134" s="54" t="str">
        <x:f>IF(K134="","",IF(K134&gt;=6,"Включить в первую версию",IF(K134&gt;=4,"Включить после проверки",IF(K134&gt;=2.5,"Проверить дополнительно",IF(K134&gt;=1.5,"Отложить","Исключить")))))</x:f>
      </x:c>
      <x:c r="M134" s="34"/>
      <x:c r="N134" s="34"/>
    </x:row>
    <x:row r="135" ht="34" customHeight="1">
      <x:c r="A135" s="34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52" t="str">
        <x:f>IF(A135="","",IFERROR((F135+G135+H135)*((6-J135)/5)/I135,0))</x:f>
      </x:c>
      <x:c r="L135" s="54" t="str">
        <x:f>IF(K135="","",IF(K135&gt;=6,"Включить в первую версию",IF(K135&gt;=4,"Включить после проверки",IF(K135&gt;=2.5,"Проверить дополнительно",IF(K135&gt;=1.5,"Отложить","Исключить")))))</x:f>
      </x:c>
      <x:c r="M135" s="34"/>
      <x:c r="N135" s="34"/>
    </x:row>
    <x:row r="136" ht="34" customHeight="1">
      <x:c r="A136" s="34"/>
      <x:c r="B136" s="34"/>
      <x:c r="C136" s="34"/>
      <x:c r="D136" s="34"/>
      <x:c r="E136" s="34"/>
      <x:c r="F136" s="34"/>
      <x:c r="G136" s="34"/>
      <x:c r="H136" s="34"/>
      <x:c r="I136" s="34"/>
      <x:c r="J136" s="34"/>
      <x:c r="K136" s="52" t="str">
        <x:f>IF(A136="","",IFERROR((F136+G136+H136)*((6-J136)/5)/I136,0))</x:f>
      </x:c>
      <x:c r="L136" s="54" t="str">
        <x:f>IF(K136="","",IF(K136&gt;=6,"Включить в первую версию",IF(K136&gt;=4,"Включить после проверки",IF(K136&gt;=2.5,"Проверить дополнительно",IF(K136&gt;=1.5,"Отложить","Исключить")))))</x:f>
      </x:c>
      <x:c r="M136" s="34"/>
      <x:c r="N136" s="34"/>
    </x:row>
    <x:row r="137" ht="34" customHeight="1">
      <x:c r="A137" s="34"/>
      <x:c r="B137" s="34"/>
      <x:c r="C137" s="34"/>
      <x:c r="D137" s="34"/>
      <x:c r="E137" s="34"/>
      <x:c r="F137" s="34"/>
      <x:c r="G137" s="34"/>
      <x:c r="H137" s="34"/>
      <x:c r="I137" s="34"/>
      <x:c r="J137" s="34"/>
      <x:c r="K137" s="52" t="str">
        <x:f>IF(A137="","",IFERROR((F137+G137+H137)*((6-J137)/5)/I137,0))</x:f>
      </x:c>
      <x:c r="L137" s="54" t="str">
        <x:f>IF(K137="","",IF(K137&gt;=6,"Включить в первую версию",IF(K137&gt;=4,"Включить после проверки",IF(K137&gt;=2.5,"Проверить дополнительно",IF(K137&gt;=1.5,"Отложить","Исключить")))))</x:f>
      </x:c>
      <x:c r="M137" s="34"/>
      <x:c r="N137" s="34"/>
    </x:row>
    <x:row r="138" ht="34" customHeight="1">
      <x:c r="A138" s="34"/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52" t="str">
        <x:f>IF(A138="","",IFERROR((F138+G138+H138)*((6-J138)/5)/I138,0))</x:f>
      </x:c>
      <x:c r="L138" s="54" t="str">
        <x:f>IF(K138="","",IF(K138&gt;=6,"Включить в первую версию",IF(K138&gt;=4,"Включить после проверки",IF(K138&gt;=2.5,"Проверить дополнительно",IF(K138&gt;=1.5,"Отложить","Исключить")))))</x:f>
      </x:c>
      <x:c r="M138" s="34"/>
      <x:c r="N138" s="34"/>
    </x:row>
    <x:row r="139" ht="34" customHeight="1">
      <x:c r="A139" s="34"/>
      <x:c r="B139" s="34"/>
      <x:c r="C139" s="34"/>
      <x:c r="D139" s="34"/>
      <x:c r="E139" s="34"/>
      <x:c r="F139" s="34"/>
      <x:c r="G139" s="34"/>
      <x:c r="H139" s="34"/>
      <x:c r="I139" s="34"/>
      <x:c r="J139" s="34"/>
      <x:c r="K139" s="52" t="str">
        <x:f>IF(A139="","",IFERROR((F139+G139+H139)*((6-J139)/5)/I139,0))</x:f>
      </x:c>
      <x:c r="L139" s="54" t="str">
        <x:f>IF(K139="","",IF(K139&gt;=6,"Включить в первую версию",IF(K139&gt;=4,"Включить после проверки",IF(K139&gt;=2.5,"Проверить дополнительно",IF(K139&gt;=1.5,"Отложить","Исключить")))))</x:f>
      </x:c>
      <x:c r="M139" s="34"/>
      <x:c r="N139" s="34"/>
    </x:row>
    <x:row r="140" ht="34" customHeight="1">
      <x:c r="A140" s="34"/>
      <x:c r="B140" s="34"/>
      <x:c r="C140" s="34"/>
      <x:c r="D140" s="34"/>
      <x:c r="E140" s="34"/>
      <x:c r="F140" s="34"/>
      <x:c r="G140" s="34"/>
      <x:c r="H140" s="34"/>
      <x:c r="I140" s="34"/>
      <x:c r="J140" s="34"/>
      <x:c r="K140" s="52" t="str">
        <x:f>IF(A140="","",IFERROR((F140+G140+H140)*((6-J140)/5)/I140,0))</x:f>
      </x:c>
      <x:c r="L140" s="54" t="str">
        <x:f>IF(K140="","",IF(K140&gt;=6,"Включить в первую версию",IF(K140&gt;=4,"Включить после проверки",IF(K140&gt;=2.5,"Проверить дополнительно",IF(K140&gt;=1.5,"Отложить","Исключить")))))</x:f>
      </x:c>
      <x:c r="M140" s="34"/>
      <x:c r="N140" s="34"/>
    </x:row>
    <x:row r="141" ht="34" customHeight="1">
      <x:c r="A141" s="34"/>
      <x:c r="B141" s="34"/>
      <x:c r="C141" s="34"/>
      <x:c r="D141" s="34"/>
      <x:c r="E141" s="34"/>
      <x:c r="F141" s="34"/>
      <x:c r="G141" s="34"/>
      <x:c r="H141" s="34"/>
      <x:c r="I141" s="34"/>
      <x:c r="J141" s="34"/>
      <x:c r="K141" s="52" t="str">
        <x:f>IF(A141="","",IFERROR((F141+G141+H141)*((6-J141)/5)/I141,0))</x:f>
      </x:c>
      <x:c r="L141" s="54" t="str">
        <x:f>IF(K141="","",IF(K141&gt;=6,"Включить в первую версию",IF(K141&gt;=4,"Включить после проверки",IF(K141&gt;=2.5,"Проверить дополнительно",IF(K141&gt;=1.5,"Отложить","Исключить")))))</x:f>
      </x:c>
      <x:c r="M141" s="34"/>
      <x:c r="N141" s="34"/>
    </x:row>
    <x:row r="142" ht="34" customHeight="1">
      <x:c r="A142" s="34"/>
      <x:c r="B142" s="34"/>
      <x:c r="C142" s="34"/>
      <x:c r="D142" s="34"/>
      <x:c r="E142" s="34"/>
      <x:c r="F142" s="34"/>
      <x:c r="G142" s="34"/>
      <x:c r="H142" s="34"/>
      <x:c r="I142" s="34"/>
      <x:c r="J142" s="34"/>
      <x:c r="K142" s="52" t="str">
        <x:f>IF(A142="","",IFERROR((F142+G142+H142)*((6-J142)/5)/I142,0))</x:f>
      </x:c>
      <x:c r="L142" s="54" t="str">
        <x:f>IF(K142="","",IF(K142&gt;=6,"Включить в первую версию",IF(K142&gt;=4,"Включить после проверки",IF(K142&gt;=2.5,"Проверить дополнительно",IF(K142&gt;=1.5,"Отложить","Исключить")))))</x:f>
      </x:c>
      <x:c r="M142" s="34"/>
      <x:c r="N142" s="34"/>
    </x:row>
    <x:row r="143" ht="34" customHeight="1">
      <x:c r="A143" s="34"/>
      <x:c r="B143" s="34"/>
      <x:c r="C143" s="34"/>
      <x:c r="D143" s="34"/>
      <x:c r="E143" s="34"/>
      <x:c r="F143" s="34"/>
      <x:c r="G143" s="34"/>
      <x:c r="H143" s="34"/>
      <x:c r="I143" s="34"/>
      <x:c r="J143" s="34"/>
      <x:c r="K143" s="52" t="str">
        <x:f>IF(A143="","",IFERROR((F143+G143+H143)*((6-J143)/5)/I143,0))</x:f>
      </x:c>
      <x:c r="L143" s="54" t="str">
        <x:f>IF(K143="","",IF(K143&gt;=6,"Включить в первую версию",IF(K143&gt;=4,"Включить после проверки",IF(K143&gt;=2.5,"Проверить дополнительно",IF(K143&gt;=1.5,"Отложить","Исключить")))))</x:f>
      </x:c>
      <x:c r="M143" s="34"/>
      <x:c r="N143" s="34"/>
    </x:row>
    <x:row r="144" ht="34" customHeight="1">
      <x:c r="A144" s="34"/>
      <x:c r="B144" s="34"/>
      <x:c r="C144" s="34"/>
      <x:c r="D144" s="34"/>
      <x:c r="E144" s="34"/>
      <x:c r="F144" s="34"/>
      <x:c r="G144" s="34"/>
      <x:c r="H144" s="34"/>
      <x:c r="I144" s="34"/>
      <x:c r="J144" s="34"/>
      <x:c r="K144" s="52" t="str">
        <x:f>IF(A144="","",IFERROR((F144+G144+H144)*((6-J144)/5)/I144,0))</x:f>
      </x:c>
      <x:c r="L144" s="54" t="str">
        <x:f>IF(K144="","",IF(K144&gt;=6,"Включить в первую версию",IF(K144&gt;=4,"Включить после проверки",IF(K144&gt;=2.5,"Проверить дополнительно",IF(K144&gt;=1.5,"Отложить","Исключить")))))</x:f>
      </x:c>
      <x:c r="M144" s="34"/>
      <x:c r="N144" s="34"/>
    </x:row>
    <x:row r="145" ht="34" customHeight="1">
      <x:c r="A145" s="34"/>
      <x:c r="B145" s="34"/>
      <x:c r="C145" s="34"/>
      <x:c r="D145" s="34"/>
      <x:c r="E145" s="34"/>
      <x:c r="F145" s="34"/>
      <x:c r="G145" s="34"/>
      <x:c r="H145" s="34"/>
      <x:c r="I145" s="34"/>
      <x:c r="J145" s="34"/>
      <x:c r="K145" s="52" t="str">
        <x:f>IF(A145="","",IFERROR((F145+G145+H145)*((6-J145)/5)/I145,0))</x:f>
      </x:c>
      <x:c r="L145" s="54" t="str">
        <x:f>IF(K145="","",IF(K145&gt;=6,"Включить в первую версию",IF(K145&gt;=4,"Включить после проверки",IF(K145&gt;=2.5,"Проверить дополнительно",IF(K145&gt;=1.5,"Отложить","Исключить")))))</x:f>
      </x:c>
      <x:c r="M145" s="34"/>
      <x:c r="N145" s="34"/>
    </x:row>
    <x:row r="146" ht="34" customHeight="1">
      <x:c r="A146" s="34"/>
      <x:c r="B146" s="34"/>
      <x:c r="C146" s="34"/>
      <x:c r="D146" s="34"/>
      <x:c r="E146" s="34"/>
      <x:c r="F146" s="34"/>
      <x:c r="G146" s="34"/>
      <x:c r="H146" s="34"/>
      <x:c r="I146" s="34"/>
      <x:c r="J146" s="34"/>
      <x:c r="K146" s="52" t="str">
        <x:f>IF(A146="","",IFERROR((F146+G146+H146)*((6-J146)/5)/I146,0))</x:f>
      </x:c>
      <x:c r="L146" s="54" t="str">
        <x:f>IF(K146="","",IF(K146&gt;=6,"Включить в первую версию",IF(K146&gt;=4,"Включить после проверки",IF(K146&gt;=2.5,"Проверить дополнительно",IF(K146&gt;=1.5,"Отложить","Исключить")))))</x:f>
      </x:c>
      <x:c r="M146" s="34"/>
      <x:c r="N146" s="34"/>
    </x:row>
    <x:row r="147" ht="34" customHeight="1">
      <x:c r="A147" s="34"/>
      <x:c r="B147" s="34"/>
      <x:c r="C147" s="34"/>
      <x:c r="D147" s="34"/>
      <x:c r="E147" s="34"/>
      <x:c r="F147" s="34"/>
      <x:c r="G147" s="34"/>
      <x:c r="H147" s="34"/>
      <x:c r="I147" s="34"/>
      <x:c r="J147" s="34"/>
      <x:c r="K147" s="52" t="str">
        <x:f>IF(A147="","",IFERROR((F147+G147+H147)*((6-J147)/5)/I147,0))</x:f>
      </x:c>
      <x:c r="L147" s="54" t="str">
        <x:f>IF(K147="","",IF(K147&gt;=6,"Включить в первую версию",IF(K147&gt;=4,"Включить после проверки",IF(K147&gt;=2.5,"Проверить дополнительно",IF(K147&gt;=1.5,"Отложить","Исключить")))))</x:f>
      </x:c>
      <x:c r="M147" s="34"/>
      <x:c r="N147" s="34"/>
    </x:row>
    <x:row r="148" ht="34" customHeight="1">
      <x:c r="A148" s="34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52" t="str">
        <x:f>IF(A148="","",IFERROR((F148+G148+H148)*((6-J148)/5)/I148,0))</x:f>
      </x:c>
      <x:c r="L148" s="54" t="str">
        <x:f>IF(K148="","",IF(K148&gt;=6,"Включить в первую версию",IF(K148&gt;=4,"Включить после проверки",IF(K148&gt;=2.5,"Проверить дополнительно",IF(K148&gt;=1.5,"Отложить","Исключить")))))</x:f>
      </x:c>
      <x:c r="M148" s="34"/>
      <x:c r="N148" s="34"/>
    </x:row>
    <x:row r="149" ht="34" customHeight="1">
      <x:c r="A149" s="34"/>
      <x:c r="B149" s="34"/>
      <x:c r="C149" s="34"/>
      <x:c r="D149" s="34"/>
      <x:c r="E149" s="34"/>
      <x:c r="F149" s="34"/>
      <x:c r="G149" s="34"/>
      <x:c r="H149" s="34"/>
      <x:c r="I149" s="34"/>
      <x:c r="J149" s="34"/>
      <x:c r="K149" s="52" t="str">
        <x:f>IF(A149="","",IFERROR((F149+G149+H149)*((6-J149)/5)/I149,0))</x:f>
      </x:c>
      <x:c r="L149" s="54" t="str">
        <x:f>IF(K149="","",IF(K149&gt;=6,"Включить в первую версию",IF(K149&gt;=4,"Включить после проверки",IF(K149&gt;=2.5,"Проверить дополнительно",IF(K149&gt;=1.5,"Отложить","Исключить")))))</x:f>
      </x:c>
      <x:c r="M149" s="34"/>
      <x:c r="N149" s="34"/>
    </x:row>
    <x:row r="150" ht="34" customHeight="1">
      <x:c r="A150" s="34"/>
      <x:c r="B150" s="34"/>
      <x:c r="C150" s="34"/>
      <x:c r="D150" s="34"/>
      <x:c r="E150" s="34"/>
      <x:c r="F150" s="34"/>
      <x:c r="G150" s="34"/>
      <x:c r="H150" s="34"/>
      <x:c r="I150" s="34"/>
      <x:c r="J150" s="34"/>
      <x:c r="K150" s="52" t="str">
        <x:f>IF(A150="","",IFERROR((F150+G150+H150)*((6-J150)/5)/I150,0))</x:f>
      </x:c>
      <x:c r="L150" s="54" t="str">
        <x:f>IF(K150="","",IF(K150&gt;=6,"Включить в первую версию",IF(K150&gt;=4,"Включить после проверки",IF(K150&gt;=2.5,"Проверить дополнительно",IF(K150&gt;=1.5,"Отложить","Исключить")))))</x:f>
      </x:c>
      <x:c r="M150" s="34"/>
      <x:c r="N150" s="34"/>
    </x:row>
    <x:row r="151" ht="34" customHeight="1">
      <x:c r="A151" s="34"/>
      <x:c r="B151" s="34"/>
      <x:c r="C151" s="34"/>
      <x:c r="D151" s="34"/>
      <x:c r="E151" s="34"/>
      <x:c r="F151" s="34"/>
      <x:c r="G151" s="34"/>
      <x:c r="H151" s="34"/>
      <x:c r="I151" s="34"/>
      <x:c r="J151" s="34"/>
      <x:c r="K151" s="52" t="str">
        <x:f>IF(A151="","",IFERROR((F151+G151+H151)*((6-J151)/5)/I151,0))</x:f>
      </x:c>
      <x:c r="L151" s="54" t="str">
        <x:f>IF(K151="","",IF(K151&gt;=6,"Включить в первую версию",IF(K151&gt;=4,"Включить после проверки",IF(K151&gt;=2.5,"Проверить дополнительно",IF(K151&gt;=1.5,"Отложить","Исключить")))))</x:f>
      </x:c>
      <x:c r="M151" s="34"/>
      <x:c r="N151" s="34"/>
    </x:row>
    <x:row r="152" ht="34" customHeight="1">
      <x:c r="A152" s="34"/>
      <x:c r="B152" s="34"/>
      <x:c r="C152" s="34"/>
      <x:c r="D152" s="34"/>
      <x:c r="E152" s="34"/>
      <x:c r="F152" s="34"/>
      <x:c r="G152" s="34"/>
      <x:c r="H152" s="34"/>
      <x:c r="I152" s="34"/>
      <x:c r="J152" s="34"/>
      <x:c r="K152" s="52" t="str">
        <x:f>IF(A152="","",IFERROR((F152+G152+H152)*((6-J152)/5)/I152,0))</x:f>
      </x:c>
      <x:c r="L152" s="54" t="str">
        <x:f>IF(K152="","",IF(K152&gt;=6,"Включить в первую версию",IF(K152&gt;=4,"Включить после проверки",IF(K152&gt;=2.5,"Проверить дополнительно",IF(K152&gt;=1.5,"Отложить","Исключить")))))</x:f>
      </x:c>
      <x:c r="M152" s="34"/>
      <x:c r="N152" s="34"/>
    </x:row>
    <x:row r="153" ht="34" customHeight="1">
      <x:c r="A153" s="34"/>
      <x:c r="B153" s="34"/>
      <x:c r="C153" s="34"/>
      <x:c r="D153" s="34"/>
      <x:c r="E153" s="34"/>
      <x:c r="F153" s="34"/>
      <x:c r="G153" s="34"/>
      <x:c r="H153" s="34"/>
      <x:c r="I153" s="34"/>
      <x:c r="J153" s="34"/>
      <x:c r="K153" s="52" t="str">
        <x:f>IF(A153="","",IFERROR((F153+G153+H153)*((6-J153)/5)/I153,0))</x:f>
      </x:c>
      <x:c r="L153" s="54" t="str">
        <x:f>IF(K153="","",IF(K153&gt;=6,"Включить в первую версию",IF(K153&gt;=4,"Включить после проверки",IF(K153&gt;=2.5,"Проверить дополнительно",IF(K153&gt;=1.5,"Отложить","Исключить")))))</x:f>
      </x:c>
      <x:c r="M153" s="34"/>
      <x:c r="N153" s="34"/>
    </x:row>
    <x:row r="154" ht="34" customHeight="1">
      <x:c r="A154" s="34"/>
      <x:c r="B154" s="34"/>
      <x:c r="C154" s="34"/>
      <x:c r="D154" s="34"/>
      <x:c r="E154" s="34"/>
      <x:c r="F154" s="34"/>
      <x:c r="G154" s="34"/>
      <x:c r="H154" s="34"/>
      <x:c r="I154" s="34"/>
      <x:c r="J154" s="34"/>
      <x:c r="K154" s="52" t="str">
        <x:f>IF(A154="","",IFERROR((F154+G154+H154)*((6-J154)/5)/I154,0))</x:f>
      </x:c>
      <x:c r="L154" s="54" t="str">
        <x:f>IF(K154="","",IF(K154&gt;=6,"Включить в первую версию",IF(K154&gt;=4,"Включить после проверки",IF(K154&gt;=2.5,"Проверить дополнительно",IF(K154&gt;=1.5,"Отложить","Исключить")))))</x:f>
      </x:c>
      <x:c r="M154" s="34"/>
      <x:c r="N154" s="34"/>
    </x:row>
    <x:row r="155" ht="34" customHeight="1">
      <x:c r="A155" s="34"/>
      <x:c r="B155" s="34"/>
      <x:c r="C155" s="34"/>
      <x:c r="D155" s="34"/>
      <x:c r="E155" s="34"/>
      <x:c r="F155" s="34"/>
      <x:c r="G155" s="34"/>
      <x:c r="H155" s="34"/>
      <x:c r="I155" s="34"/>
      <x:c r="J155" s="34"/>
      <x:c r="K155" s="52" t="str">
        <x:f>IF(A155="","",IFERROR((F155+G155+H155)*((6-J155)/5)/I155,0))</x:f>
      </x:c>
      <x:c r="L155" s="54" t="str">
        <x:f>IF(K155="","",IF(K155&gt;=6,"Включить в первую версию",IF(K155&gt;=4,"Включить после проверки",IF(K155&gt;=2.5,"Проверить дополнительно",IF(K155&gt;=1.5,"Отложить","Исключить")))))</x:f>
      </x:c>
      <x:c r="M155" s="34"/>
      <x:c r="N155" s="34"/>
    </x:row>
    <x:row r="156" ht="34" customHeight="1">
      <x:c r="A156" s="34"/>
      <x:c r="B156" s="34"/>
      <x:c r="C156" s="34"/>
      <x:c r="D156" s="34"/>
      <x:c r="E156" s="34"/>
      <x:c r="F156" s="34"/>
      <x:c r="G156" s="34"/>
      <x:c r="H156" s="34"/>
      <x:c r="I156" s="34"/>
      <x:c r="J156" s="34"/>
      <x:c r="K156" s="52" t="str">
        <x:f>IF(A156="","",IFERROR((F156+G156+H156)*((6-J156)/5)/I156,0))</x:f>
      </x:c>
      <x:c r="L156" s="54" t="str">
        <x:f>IF(K156="","",IF(K156&gt;=6,"Включить в первую версию",IF(K156&gt;=4,"Включить после проверки",IF(K156&gt;=2.5,"Проверить дополнительно",IF(K156&gt;=1.5,"Отложить","Исключить")))))</x:f>
      </x:c>
      <x:c r="M156" s="34"/>
      <x:c r="N156" s="34"/>
    </x:row>
    <x:row r="157" ht="34" customHeight="1">
      <x:c r="A157" s="34"/>
      <x:c r="B157" s="34"/>
      <x:c r="C157" s="34"/>
      <x:c r="D157" s="34"/>
      <x:c r="E157" s="34"/>
      <x:c r="F157" s="34"/>
      <x:c r="G157" s="34"/>
      <x:c r="H157" s="34"/>
      <x:c r="I157" s="34"/>
      <x:c r="J157" s="34"/>
      <x:c r="K157" s="52" t="str">
        <x:f>IF(A157="","",IFERROR((F157+G157+H157)*((6-J157)/5)/I157,0))</x:f>
      </x:c>
      <x:c r="L157" s="54" t="str">
        <x:f>IF(K157="","",IF(K157&gt;=6,"Включить в первую версию",IF(K157&gt;=4,"Включить после проверки",IF(K157&gt;=2.5,"Проверить дополнительно",IF(K157&gt;=1.5,"Отложить","Исключить")))))</x:f>
      </x:c>
      <x:c r="M157" s="34"/>
      <x:c r="N157" s="34"/>
    </x:row>
    <x:row r="158" ht="34" customHeight="1">
      <x:c r="A158" s="34"/>
      <x:c r="B158" s="34"/>
      <x:c r="C158" s="34"/>
      <x:c r="D158" s="34"/>
      <x:c r="E158" s="34"/>
      <x:c r="F158" s="34"/>
      <x:c r="G158" s="34"/>
      <x:c r="H158" s="34"/>
      <x:c r="I158" s="34"/>
      <x:c r="J158" s="34"/>
      <x:c r="K158" s="52" t="str">
        <x:f>IF(A158="","",IFERROR((F158+G158+H158)*((6-J158)/5)/I158,0))</x:f>
      </x:c>
      <x:c r="L158" s="54" t="str">
        <x:f>IF(K158="","",IF(K158&gt;=6,"Включить в первую версию",IF(K158&gt;=4,"Включить после проверки",IF(K158&gt;=2.5,"Проверить дополнительно",IF(K158&gt;=1.5,"Отложить","Исключить")))))</x:f>
      </x:c>
      <x:c r="M158" s="34"/>
      <x:c r="N158" s="34"/>
    </x:row>
    <x:row r="159" ht="34" customHeight="1">
      <x:c r="A159" s="34"/>
      <x:c r="B159" s="34"/>
      <x:c r="C159" s="34"/>
      <x:c r="D159" s="34"/>
      <x:c r="E159" s="34"/>
      <x:c r="F159" s="34"/>
      <x:c r="G159" s="34"/>
      <x:c r="H159" s="34"/>
      <x:c r="I159" s="34"/>
      <x:c r="J159" s="34"/>
      <x:c r="K159" s="52" t="str">
        <x:f>IF(A159="","",IFERROR((F159+G159+H159)*((6-J159)/5)/I159,0))</x:f>
      </x:c>
      <x:c r="L159" s="54" t="str">
        <x:f>IF(K159="","",IF(K159&gt;=6,"Включить в первую версию",IF(K159&gt;=4,"Включить после проверки",IF(K159&gt;=2.5,"Проверить дополнительно",IF(K159&gt;=1.5,"Отложить","Исключить")))))</x:f>
      </x:c>
      <x:c r="M159" s="34"/>
      <x:c r="N159" s="34"/>
    </x:row>
    <x:row r="160" ht="34" customHeight="1">
      <x:c r="A160" s="34"/>
      <x:c r="B160" s="34"/>
      <x:c r="C160" s="34"/>
      <x:c r="D160" s="34"/>
      <x:c r="E160" s="34"/>
      <x:c r="F160" s="34"/>
      <x:c r="G160" s="34"/>
      <x:c r="H160" s="34"/>
      <x:c r="I160" s="34"/>
      <x:c r="J160" s="34"/>
      <x:c r="K160" s="52" t="str">
        <x:f>IF(A160="","",IFERROR((F160+G160+H160)*((6-J160)/5)/I160,0))</x:f>
      </x:c>
      <x:c r="L160" s="54" t="str">
        <x:f>IF(K160="","",IF(K160&gt;=6,"Включить в первую версию",IF(K160&gt;=4,"Включить после проверки",IF(K160&gt;=2.5,"Проверить дополнительно",IF(K160&gt;=1.5,"Отложить","Исключить")))))</x:f>
      </x:c>
      <x:c r="M160" s="34"/>
      <x:c r="N160" s="34"/>
    </x:row>
    <x:row r="161" ht="34" customHeight="1">
      <x:c r="A161" s="34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52" t="str">
        <x:f>IF(A161="","",IFERROR((F161+G161+H161)*((6-J161)/5)/I161,0))</x:f>
      </x:c>
      <x:c r="L161" s="54" t="str">
        <x:f>IF(K161="","",IF(K161&gt;=6,"Включить в первую версию",IF(K161&gt;=4,"Включить после проверки",IF(K161&gt;=2.5,"Проверить дополнительно",IF(K161&gt;=1.5,"Отложить","Исключить")))))</x:f>
      </x:c>
      <x:c r="M161" s="34"/>
      <x:c r="N161" s="34"/>
    </x:row>
    <x:row r="162" ht="34" customHeight="1">
      <x:c r="A162" s="34"/>
      <x:c r="B162" s="34"/>
      <x:c r="C162" s="34"/>
      <x:c r="D162" s="34"/>
      <x:c r="E162" s="34"/>
      <x:c r="F162" s="34"/>
      <x:c r="G162" s="34"/>
      <x:c r="H162" s="34"/>
      <x:c r="I162" s="34"/>
      <x:c r="J162" s="34"/>
      <x:c r="K162" s="52" t="str">
        <x:f>IF(A162="","",IFERROR((F162+G162+H162)*((6-J162)/5)/I162,0))</x:f>
      </x:c>
      <x:c r="L162" s="54" t="str">
        <x:f>IF(K162="","",IF(K162&gt;=6,"Включить в первую версию",IF(K162&gt;=4,"Включить после проверки",IF(K162&gt;=2.5,"Проверить дополнительно",IF(K162&gt;=1.5,"Отложить","Исключить")))))</x:f>
      </x:c>
      <x:c r="M162" s="34"/>
      <x:c r="N162" s="34"/>
    </x:row>
    <x:row r="163" ht="34" customHeight="1">
      <x:c r="A163" s="34"/>
      <x:c r="B163" s="34"/>
      <x:c r="C163" s="34"/>
      <x:c r="D163" s="34"/>
      <x:c r="E163" s="34"/>
      <x:c r="F163" s="34"/>
      <x:c r="G163" s="34"/>
      <x:c r="H163" s="34"/>
      <x:c r="I163" s="34"/>
      <x:c r="J163" s="34"/>
      <x:c r="K163" s="52" t="str">
        <x:f>IF(A163="","",IFERROR((F163+G163+H163)*((6-J163)/5)/I163,0))</x:f>
      </x:c>
      <x:c r="L163" s="54" t="str">
        <x:f>IF(K163="","",IF(K163&gt;=6,"Включить в первую версию",IF(K163&gt;=4,"Включить после проверки",IF(K163&gt;=2.5,"Проверить дополнительно",IF(K163&gt;=1.5,"Отложить","Исключить")))))</x:f>
      </x:c>
      <x:c r="M163" s="34"/>
      <x:c r="N163" s="34"/>
    </x:row>
    <x:row r="164" ht="34" customHeight="1">
      <x:c r="A164" s="34"/>
      <x:c r="B164" s="34"/>
      <x:c r="C164" s="34"/>
      <x:c r="D164" s="34"/>
      <x:c r="E164" s="34"/>
      <x:c r="F164" s="34"/>
      <x:c r="G164" s="34"/>
      <x:c r="H164" s="34"/>
      <x:c r="I164" s="34"/>
      <x:c r="J164" s="34"/>
      <x:c r="K164" s="52" t="str">
        <x:f>IF(A164="","",IFERROR((F164+G164+H164)*((6-J164)/5)/I164,0))</x:f>
      </x:c>
      <x:c r="L164" s="54" t="str">
        <x:f>IF(K164="","",IF(K164&gt;=6,"Включить в первую версию",IF(K164&gt;=4,"Включить после проверки",IF(K164&gt;=2.5,"Проверить дополнительно",IF(K164&gt;=1.5,"Отложить","Исключить")))))</x:f>
      </x:c>
      <x:c r="M164" s="34"/>
      <x:c r="N164" s="34"/>
    </x:row>
    <x:row r="165" ht="34" customHeight="1">
      <x:c r="A165" s="34"/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52" t="str">
        <x:f>IF(A165="","",IFERROR((F165+G165+H165)*((6-J165)/5)/I165,0))</x:f>
      </x:c>
      <x:c r="L165" s="54" t="str">
        <x:f>IF(K165="","",IF(K165&gt;=6,"Включить в первую версию",IF(K165&gt;=4,"Включить после проверки",IF(K165&gt;=2.5,"Проверить дополнительно",IF(K165&gt;=1.5,"Отложить","Исключить")))))</x:f>
      </x:c>
      <x:c r="M165" s="34"/>
      <x:c r="N165" s="34"/>
    </x:row>
    <x:row r="166" ht="34" customHeight="1">
      <x:c r="A166" s="34"/>
      <x:c r="B166" s="34"/>
      <x:c r="C166" s="34"/>
      <x:c r="D166" s="34"/>
      <x:c r="E166" s="34"/>
      <x:c r="F166" s="34"/>
      <x:c r="G166" s="34"/>
      <x:c r="H166" s="34"/>
      <x:c r="I166" s="34"/>
      <x:c r="J166" s="34"/>
      <x:c r="K166" s="52" t="str">
        <x:f>IF(A166="","",IFERROR((F166+G166+H166)*((6-J166)/5)/I166,0))</x:f>
      </x:c>
      <x:c r="L166" s="54" t="str">
        <x:f>IF(K166="","",IF(K166&gt;=6,"Включить в первую версию",IF(K166&gt;=4,"Включить после проверки",IF(K166&gt;=2.5,"Проверить дополнительно",IF(K166&gt;=1.5,"Отложить","Исключить")))))</x:f>
      </x:c>
      <x:c r="M166" s="34"/>
      <x:c r="N166" s="34"/>
    </x:row>
    <x:row r="167" ht="34" customHeight="1">
      <x:c r="A167" s="34"/>
      <x:c r="B167" s="34"/>
      <x:c r="C167" s="34"/>
      <x:c r="D167" s="34"/>
      <x:c r="E167" s="34"/>
      <x:c r="F167" s="34"/>
      <x:c r="G167" s="34"/>
      <x:c r="H167" s="34"/>
      <x:c r="I167" s="34"/>
      <x:c r="J167" s="34"/>
      <x:c r="K167" s="52" t="str">
        <x:f>IF(A167="","",IFERROR((F167+G167+H167)*((6-J167)/5)/I167,0))</x:f>
      </x:c>
      <x:c r="L167" s="54" t="str">
        <x:f>IF(K167="","",IF(K167&gt;=6,"Включить в первую версию",IF(K167&gt;=4,"Включить после проверки",IF(K167&gt;=2.5,"Проверить дополнительно",IF(K167&gt;=1.5,"Отложить","Исключить")))))</x:f>
      </x:c>
      <x:c r="M167" s="34"/>
      <x:c r="N167" s="34"/>
    </x:row>
    <x:row r="168" ht="34" customHeight="1">
      <x:c r="A168" s="34"/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52" t="str">
        <x:f>IF(A168="","",IFERROR((F168+G168+H168)*((6-J168)/5)/I168,0))</x:f>
      </x:c>
      <x:c r="L168" s="54" t="str">
        <x:f>IF(K168="","",IF(K168&gt;=6,"Включить в первую версию",IF(K168&gt;=4,"Включить после проверки",IF(K168&gt;=2.5,"Проверить дополнительно",IF(K168&gt;=1.5,"Отложить","Исключить")))))</x:f>
      </x:c>
      <x:c r="M168" s="34"/>
      <x:c r="N168" s="34"/>
    </x:row>
    <x:row r="169" ht="34" customHeight="1">
      <x:c r="A169" s="34"/>
      <x:c r="B169" s="34"/>
      <x:c r="C169" s="34"/>
      <x:c r="D169" s="34"/>
      <x:c r="E169" s="34"/>
      <x:c r="F169" s="34"/>
      <x:c r="G169" s="34"/>
      <x:c r="H169" s="34"/>
      <x:c r="I169" s="34"/>
      <x:c r="J169" s="34"/>
      <x:c r="K169" s="52" t="str">
        <x:f>IF(A169="","",IFERROR((F169+G169+H169)*((6-J169)/5)/I169,0))</x:f>
      </x:c>
      <x:c r="L169" s="54" t="str">
        <x:f>IF(K169="","",IF(K169&gt;=6,"Включить в первую версию",IF(K169&gt;=4,"Включить после проверки",IF(K169&gt;=2.5,"Проверить дополнительно",IF(K169&gt;=1.5,"Отложить","Исключить")))))</x:f>
      </x:c>
      <x:c r="M169" s="34"/>
      <x:c r="N169" s="34"/>
    </x:row>
    <x:row r="170" ht="34" customHeight="1">
      <x:c r="A170" s="34"/>
      <x:c r="B170" s="34"/>
      <x:c r="C170" s="34"/>
      <x:c r="D170" s="34"/>
      <x:c r="E170" s="34"/>
      <x:c r="F170" s="34"/>
      <x:c r="G170" s="34"/>
      <x:c r="H170" s="34"/>
      <x:c r="I170" s="34"/>
      <x:c r="J170" s="34"/>
      <x:c r="K170" s="52" t="str">
        <x:f>IF(A170="","",IFERROR((F170+G170+H170)*((6-J170)/5)/I170,0))</x:f>
      </x:c>
      <x:c r="L170" s="54" t="str">
        <x:f>IF(K170="","",IF(K170&gt;=6,"Включить в первую версию",IF(K170&gt;=4,"Включить после проверки",IF(K170&gt;=2.5,"Проверить дополнительно",IF(K170&gt;=1.5,"Отложить","Исключить")))))</x:f>
      </x:c>
      <x:c r="M170" s="34"/>
      <x:c r="N170" s="34"/>
    </x:row>
    <x:row r="171" ht="34" customHeight="1">
      <x:c r="A171" s="34"/>
      <x:c r="B171" s="34"/>
      <x:c r="C171" s="34"/>
      <x:c r="D171" s="34"/>
      <x:c r="E171" s="34"/>
      <x:c r="F171" s="34"/>
      <x:c r="G171" s="34"/>
      <x:c r="H171" s="34"/>
      <x:c r="I171" s="34"/>
      <x:c r="J171" s="34"/>
      <x:c r="K171" s="52" t="str">
        <x:f>IF(A171="","",IFERROR((F171+G171+H171)*((6-J171)/5)/I171,0))</x:f>
      </x:c>
      <x:c r="L171" s="54" t="str">
        <x:f>IF(K171="","",IF(K171&gt;=6,"Включить в первую версию",IF(K171&gt;=4,"Включить после проверки",IF(K171&gt;=2.5,"Проверить дополнительно",IF(K171&gt;=1.5,"Отложить","Исключить")))))</x:f>
      </x:c>
      <x:c r="M171" s="34"/>
      <x:c r="N171" s="34"/>
    </x:row>
    <x:row r="172" ht="34" customHeight="1">
      <x:c r="A172" s="34"/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52" t="str">
        <x:f>IF(A172="","",IFERROR((F172+G172+H172)*((6-J172)/5)/I172,0))</x:f>
      </x:c>
      <x:c r="L172" s="54" t="str">
        <x:f>IF(K172="","",IF(K172&gt;=6,"Включить в первую версию",IF(K172&gt;=4,"Включить после проверки",IF(K172&gt;=2.5,"Проверить дополнительно",IF(K172&gt;=1.5,"Отложить","Исключить")))))</x:f>
      </x:c>
      <x:c r="M172" s="34"/>
      <x:c r="N172" s="34"/>
    </x:row>
    <x:row r="173" ht="34" customHeight="1">
      <x:c r="A173" s="34"/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52" t="str">
        <x:f>IF(A173="","",IFERROR((F173+G173+H173)*((6-J173)/5)/I173,0))</x:f>
      </x:c>
      <x:c r="L173" s="54" t="str">
        <x:f>IF(K173="","",IF(K173&gt;=6,"Включить в первую версию",IF(K173&gt;=4,"Включить после проверки",IF(K173&gt;=2.5,"Проверить дополнительно",IF(K173&gt;=1.5,"Отложить","Исключить")))))</x:f>
      </x:c>
      <x:c r="M173" s="34"/>
      <x:c r="N173" s="34"/>
    </x:row>
    <x:row r="174" ht="34" customHeight="1">
      <x:c r="A174" s="34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52" t="str">
        <x:f>IF(A174="","",IFERROR((F174+G174+H174)*((6-J174)/5)/I174,0))</x:f>
      </x:c>
      <x:c r="L174" s="54" t="str">
        <x:f>IF(K174="","",IF(K174&gt;=6,"Включить в первую версию",IF(K174&gt;=4,"Включить после проверки",IF(K174&gt;=2.5,"Проверить дополнительно",IF(K174&gt;=1.5,"Отложить","Исключить")))))</x:f>
      </x:c>
      <x:c r="M174" s="34"/>
      <x:c r="N174" s="34"/>
    </x:row>
    <x:row r="175" ht="34" customHeight="1">
      <x:c r="A175" s="34"/>
      <x:c r="B175" s="34"/>
      <x:c r="C175" s="34"/>
      <x:c r="D175" s="34"/>
      <x:c r="E175" s="34"/>
      <x:c r="F175" s="34"/>
      <x:c r="G175" s="34"/>
      <x:c r="H175" s="34"/>
      <x:c r="I175" s="34"/>
      <x:c r="J175" s="34"/>
      <x:c r="K175" s="52" t="str">
        <x:f>IF(A175="","",IFERROR((F175+G175+H175)*((6-J175)/5)/I175,0))</x:f>
      </x:c>
      <x:c r="L175" s="54" t="str">
        <x:f>IF(K175="","",IF(K175&gt;=6,"Включить в первую версию",IF(K175&gt;=4,"Включить после проверки",IF(K175&gt;=2.5,"Проверить дополнительно",IF(K175&gt;=1.5,"Отложить","Исключить")))))</x:f>
      </x:c>
      <x:c r="M175" s="34"/>
      <x:c r="N175" s="34"/>
    </x:row>
    <x:row r="176" ht="34" customHeight="1">
      <x:c r="A176" s="34"/>
      <x:c r="B176" s="34"/>
      <x:c r="C176" s="34"/>
      <x:c r="D176" s="34"/>
      <x:c r="E176" s="34"/>
      <x:c r="F176" s="34"/>
      <x:c r="G176" s="34"/>
      <x:c r="H176" s="34"/>
      <x:c r="I176" s="34"/>
      <x:c r="J176" s="34"/>
      <x:c r="K176" s="52" t="str">
        <x:f>IF(A176="","",IFERROR((F176+G176+H176)*((6-J176)/5)/I176,0))</x:f>
      </x:c>
      <x:c r="L176" s="54" t="str">
        <x:f>IF(K176="","",IF(K176&gt;=6,"Включить в первую версию",IF(K176&gt;=4,"Включить после проверки",IF(K176&gt;=2.5,"Проверить дополнительно",IF(K176&gt;=1.5,"Отложить","Исключить")))))</x:f>
      </x:c>
      <x:c r="M176" s="34"/>
      <x:c r="N176" s="34"/>
    </x:row>
    <x:row r="177" ht="34" customHeight="1">
      <x:c r="A177" s="34"/>
      <x:c r="B177" s="34"/>
      <x:c r="C177" s="34"/>
      <x:c r="D177" s="34"/>
      <x:c r="E177" s="34"/>
      <x:c r="F177" s="34"/>
      <x:c r="G177" s="34"/>
      <x:c r="H177" s="34"/>
      <x:c r="I177" s="34"/>
      <x:c r="J177" s="34"/>
      <x:c r="K177" s="52" t="str">
        <x:f>IF(A177="","",IFERROR((F177+G177+H177)*((6-J177)/5)/I177,0))</x:f>
      </x:c>
      <x:c r="L177" s="54" t="str">
        <x:f>IF(K177="","",IF(K177&gt;=6,"Включить в первую версию",IF(K177&gt;=4,"Включить после проверки",IF(K177&gt;=2.5,"Проверить дополнительно",IF(K177&gt;=1.5,"Отложить","Исключить")))))</x:f>
      </x:c>
      <x:c r="M177" s="34"/>
      <x:c r="N177" s="34"/>
    </x:row>
    <x:row r="178" ht="34" customHeight="1">
      <x:c r="A178" s="34"/>
      <x:c r="B178" s="34"/>
      <x:c r="C178" s="34"/>
      <x:c r="D178" s="34"/>
      <x:c r="E178" s="34"/>
      <x:c r="F178" s="34"/>
      <x:c r="G178" s="34"/>
      <x:c r="H178" s="34"/>
      <x:c r="I178" s="34"/>
      <x:c r="J178" s="34"/>
      <x:c r="K178" s="52" t="str">
        <x:f>IF(A178="","",IFERROR((F178+G178+H178)*((6-J178)/5)/I178,0))</x:f>
      </x:c>
      <x:c r="L178" s="54" t="str">
        <x:f>IF(K178="","",IF(K178&gt;=6,"Включить в первую версию",IF(K178&gt;=4,"Включить после проверки",IF(K178&gt;=2.5,"Проверить дополнительно",IF(K178&gt;=1.5,"Отложить","Исключить")))))</x:f>
      </x:c>
      <x:c r="M178" s="34"/>
      <x:c r="N178" s="34"/>
    </x:row>
    <x:row r="179" ht="34" customHeight="1">
      <x:c r="A179" s="34"/>
      <x:c r="B179" s="34"/>
      <x:c r="C179" s="34"/>
      <x:c r="D179" s="34"/>
      <x:c r="E179" s="34"/>
      <x:c r="F179" s="34"/>
      <x:c r="G179" s="34"/>
      <x:c r="H179" s="34"/>
      <x:c r="I179" s="34"/>
      <x:c r="J179" s="34"/>
      <x:c r="K179" s="52" t="str">
        <x:f>IF(A179="","",IFERROR((F179+G179+H179)*((6-J179)/5)/I179,0))</x:f>
      </x:c>
      <x:c r="L179" s="54" t="str">
        <x:f>IF(K179="","",IF(K179&gt;=6,"Включить в первую версию",IF(K179&gt;=4,"Включить после проверки",IF(K179&gt;=2.5,"Проверить дополнительно",IF(K179&gt;=1.5,"Отложить","Исключить")))))</x:f>
      </x:c>
      <x:c r="M179" s="34"/>
      <x:c r="N179" s="34"/>
    </x:row>
    <x:row r="180" ht="34" customHeight="1">
      <x:c r="A180" s="34"/>
      <x:c r="B180" s="34"/>
      <x:c r="C180" s="34"/>
      <x:c r="D180" s="34"/>
      <x:c r="E180" s="34"/>
      <x:c r="F180" s="34"/>
      <x:c r="G180" s="34"/>
      <x:c r="H180" s="34"/>
      <x:c r="I180" s="34"/>
      <x:c r="J180" s="34"/>
      <x:c r="K180" s="52" t="str">
        <x:f>IF(A180="","",IFERROR((F180+G180+H180)*((6-J180)/5)/I180,0))</x:f>
      </x:c>
      <x:c r="L180" s="54" t="str">
        <x:f>IF(K180="","",IF(K180&gt;=6,"Включить в первую версию",IF(K180&gt;=4,"Включить после проверки",IF(K180&gt;=2.5,"Проверить дополнительно",IF(K180&gt;=1.5,"Отложить","Исключить")))))</x:f>
      </x:c>
      <x:c r="M180" s="34"/>
      <x:c r="N180" s="34"/>
    </x:row>
    <x:row r="181" ht="34" customHeight="1">
      <x:c r="A181" s="34"/>
      <x:c r="B181" s="34"/>
      <x:c r="C181" s="34"/>
      <x:c r="D181" s="34"/>
      <x:c r="E181" s="34"/>
      <x:c r="F181" s="34"/>
      <x:c r="G181" s="34"/>
      <x:c r="H181" s="34"/>
      <x:c r="I181" s="34"/>
      <x:c r="J181" s="34"/>
      <x:c r="K181" s="52" t="str">
        <x:f>IF(A181="","",IFERROR((F181+G181+H181)*((6-J181)/5)/I181,0))</x:f>
      </x:c>
      <x:c r="L181" s="54" t="str">
        <x:f>IF(K181="","",IF(K181&gt;=6,"Включить в первую версию",IF(K181&gt;=4,"Включить после проверки",IF(K181&gt;=2.5,"Проверить дополнительно",IF(K181&gt;=1.5,"Отложить","Исключить")))))</x:f>
      </x:c>
      <x:c r="M181" s="34"/>
      <x:c r="N181" s="34"/>
    </x:row>
    <x:row r="182" ht="34" customHeight="1">
      <x:c r="A182" s="34"/>
      <x:c r="B182" s="34"/>
      <x:c r="C182" s="34"/>
      <x:c r="D182" s="34"/>
      <x:c r="E182" s="34"/>
      <x:c r="F182" s="34"/>
      <x:c r="G182" s="34"/>
      <x:c r="H182" s="34"/>
      <x:c r="I182" s="34"/>
      <x:c r="J182" s="34"/>
      <x:c r="K182" s="52" t="str">
        <x:f>IF(A182="","",IFERROR((F182+G182+H182)*((6-J182)/5)/I182,0))</x:f>
      </x:c>
      <x:c r="L182" s="54" t="str">
        <x:f>IF(K182="","",IF(K182&gt;=6,"Включить в первую версию",IF(K182&gt;=4,"Включить после проверки",IF(K182&gt;=2.5,"Проверить дополнительно",IF(K182&gt;=1.5,"Отложить","Исключить")))))</x:f>
      </x:c>
      <x:c r="M182" s="34"/>
      <x:c r="N182" s="34"/>
    </x:row>
    <x:row r="183" ht="34" customHeight="1">
      <x:c r="A183" s="34"/>
      <x:c r="B183" s="34"/>
      <x:c r="C183" s="34"/>
      <x:c r="D183" s="34"/>
      <x:c r="E183" s="34"/>
      <x:c r="F183" s="34"/>
      <x:c r="G183" s="34"/>
      <x:c r="H183" s="34"/>
      <x:c r="I183" s="34"/>
      <x:c r="J183" s="34"/>
      <x:c r="K183" s="52" t="str">
        <x:f>IF(A183="","",IFERROR((F183+G183+H183)*((6-J183)/5)/I183,0))</x:f>
      </x:c>
      <x:c r="L183" s="54" t="str">
        <x:f>IF(K183="","",IF(K183&gt;=6,"Включить в первую версию",IF(K183&gt;=4,"Включить после проверки",IF(K183&gt;=2.5,"Проверить дополнительно",IF(K183&gt;=1.5,"Отложить","Исключить")))))</x:f>
      </x:c>
      <x:c r="M183" s="34"/>
      <x:c r="N183" s="34"/>
    </x:row>
    <x:row r="184" ht="34" customHeight="1">
      <x:c r="A184" s="34"/>
      <x:c r="B184" s="34"/>
      <x:c r="C184" s="34"/>
      <x:c r="D184" s="34"/>
      <x:c r="E184" s="34"/>
      <x:c r="F184" s="34"/>
      <x:c r="G184" s="34"/>
      <x:c r="H184" s="34"/>
      <x:c r="I184" s="34"/>
      <x:c r="J184" s="34"/>
      <x:c r="K184" s="52" t="str">
        <x:f>IF(A184="","",IFERROR((F184+G184+H184)*((6-J184)/5)/I184,0))</x:f>
      </x:c>
      <x:c r="L184" s="54" t="str">
        <x:f>IF(K184="","",IF(K184&gt;=6,"Включить в первую версию",IF(K184&gt;=4,"Включить после проверки",IF(K184&gt;=2.5,"Проверить дополнительно",IF(K184&gt;=1.5,"Отложить","Исключить")))))</x:f>
      </x:c>
      <x:c r="M184" s="34"/>
      <x:c r="N184" s="34"/>
    </x:row>
    <x:row r="185" ht="34" customHeight="1">
      <x:c r="A185" s="34"/>
      <x:c r="B185" s="34"/>
      <x:c r="C185" s="34"/>
      <x:c r="D185" s="34"/>
      <x:c r="E185" s="34"/>
      <x:c r="F185" s="34"/>
      <x:c r="G185" s="34"/>
      <x:c r="H185" s="34"/>
      <x:c r="I185" s="34"/>
      <x:c r="J185" s="34"/>
      <x:c r="K185" s="52" t="str">
        <x:f>IF(A185="","",IFERROR((F185+G185+H185)*((6-J185)/5)/I185,0))</x:f>
      </x:c>
      <x:c r="L185" s="54" t="str">
        <x:f>IF(K185="","",IF(K185&gt;=6,"Включить в первую версию",IF(K185&gt;=4,"Включить после проверки",IF(K185&gt;=2.5,"Проверить дополнительно",IF(K185&gt;=1.5,"Отложить","Исключить")))))</x:f>
      </x:c>
      <x:c r="M185" s="34"/>
      <x:c r="N185" s="34"/>
    </x:row>
    <x:row r="186" ht="34" customHeight="1">
      <x:c r="A186" s="34"/>
      <x:c r="B186" s="34"/>
      <x:c r="C186" s="34"/>
      <x:c r="D186" s="34"/>
      <x:c r="E186" s="34"/>
      <x:c r="F186" s="34"/>
      <x:c r="G186" s="34"/>
      <x:c r="H186" s="34"/>
      <x:c r="I186" s="34"/>
      <x:c r="J186" s="34"/>
      <x:c r="K186" s="52" t="str">
        <x:f>IF(A186="","",IFERROR((F186+G186+H186)*((6-J186)/5)/I186,0))</x:f>
      </x:c>
      <x:c r="L186" s="54" t="str">
        <x:f>IF(K186="","",IF(K186&gt;=6,"Включить в первую версию",IF(K186&gt;=4,"Включить после проверки",IF(K186&gt;=2.5,"Проверить дополнительно",IF(K186&gt;=1.5,"Отложить","Исключить")))))</x:f>
      </x:c>
      <x:c r="M186" s="34"/>
      <x:c r="N186" s="34"/>
    </x:row>
    <x:row r="187" ht="34" customHeight="1">
      <x:c r="A187" s="34"/>
      <x:c r="B187" s="34"/>
      <x:c r="C187" s="34"/>
      <x:c r="D187" s="34"/>
      <x:c r="E187" s="34"/>
      <x:c r="F187" s="34"/>
      <x:c r="G187" s="34"/>
      <x:c r="H187" s="34"/>
      <x:c r="I187" s="34"/>
      <x:c r="J187" s="34"/>
      <x:c r="K187" s="52" t="str">
        <x:f>IF(A187="","",IFERROR((F187+G187+H187)*((6-J187)/5)/I187,0))</x:f>
      </x:c>
      <x:c r="L187" s="54" t="str">
        <x:f>IF(K187="","",IF(K187&gt;=6,"Включить в первую версию",IF(K187&gt;=4,"Включить после проверки",IF(K187&gt;=2.5,"Проверить дополнительно",IF(K187&gt;=1.5,"Отложить","Исключить")))))</x:f>
      </x:c>
      <x:c r="M187" s="34"/>
      <x:c r="N187" s="34"/>
    </x:row>
    <x:row r="188" ht="34" customHeight="1">
      <x:c r="A188" s="34"/>
      <x:c r="B188" s="34"/>
      <x:c r="C188" s="34"/>
      <x:c r="D188" s="34"/>
      <x:c r="E188" s="34"/>
      <x:c r="F188" s="34"/>
      <x:c r="G188" s="34"/>
      <x:c r="H188" s="34"/>
      <x:c r="I188" s="34"/>
      <x:c r="J188" s="34"/>
      <x:c r="K188" s="52" t="str">
        <x:f>IF(A188="","",IFERROR((F188+G188+H188)*((6-J188)/5)/I188,0))</x:f>
      </x:c>
      <x:c r="L188" s="54" t="str">
        <x:f>IF(K188="","",IF(K188&gt;=6,"Включить в первую версию",IF(K188&gt;=4,"Включить после проверки",IF(K188&gt;=2.5,"Проверить дополнительно",IF(K188&gt;=1.5,"Отложить","Исключить")))))</x:f>
      </x:c>
      <x:c r="M188" s="34"/>
      <x:c r="N188" s="34"/>
    </x:row>
    <x:row r="189" ht="34" customHeight="1">
      <x:c r="A189" s="34"/>
      <x:c r="B189" s="34"/>
      <x:c r="C189" s="34"/>
      <x:c r="D189" s="34"/>
      <x:c r="E189" s="34"/>
      <x:c r="F189" s="34"/>
      <x:c r="G189" s="34"/>
      <x:c r="H189" s="34"/>
      <x:c r="I189" s="34"/>
      <x:c r="J189" s="34"/>
      <x:c r="K189" s="52" t="str">
        <x:f>IF(A189="","",IFERROR((F189+G189+H189)*((6-J189)/5)/I189,0))</x:f>
      </x:c>
      <x:c r="L189" s="54" t="str">
        <x:f>IF(K189="","",IF(K189&gt;=6,"Включить в первую версию",IF(K189&gt;=4,"Включить после проверки",IF(K189&gt;=2.5,"Проверить дополнительно",IF(K189&gt;=1.5,"Отложить","Исключить")))))</x:f>
      </x:c>
      <x:c r="M189" s="34"/>
      <x:c r="N189" s="34"/>
    </x:row>
    <x:row r="190" ht="34" customHeight="1">
      <x:c r="A190" s="34"/>
      <x:c r="B190" s="34"/>
      <x:c r="C190" s="34"/>
      <x:c r="D190" s="34"/>
      <x:c r="E190" s="34"/>
      <x:c r="F190" s="34"/>
      <x:c r="G190" s="34"/>
      <x:c r="H190" s="34"/>
      <x:c r="I190" s="34"/>
      <x:c r="J190" s="34"/>
      <x:c r="K190" s="52" t="str">
        <x:f>IF(A190="","",IFERROR((F190+G190+H190)*((6-J190)/5)/I190,0))</x:f>
      </x:c>
      <x:c r="L190" s="54" t="str">
        <x:f>IF(K190="","",IF(K190&gt;=6,"Включить в первую версию",IF(K190&gt;=4,"Включить после проверки",IF(K190&gt;=2.5,"Проверить дополнительно",IF(K190&gt;=1.5,"Отложить","Исключить")))))</x:f>
      </x:c>
      <x:c r="M190" s="34"/>
      <x:c r="N190" s="34"/>
    </x:row>
    <x:row r="191" ht="34" customHeight="1">
      <x:c r="A191" s="34"/>
      <x:c r="B191" s="34"/>
      <x:c r="C191" s="34"/>
      <x:c r="D191" s="34"/>
      <x:c r="E191" s="34"/>
      <x:c r="F191" s="34"/>
      <x:c r="G191" s="34"/>
      <x:c r="H191" s="34"/>
      <x:c r="I191" s="34"/>
      <x:c r="J191" s="34"/>
      <x:c r="K191" s="52" t="str">
        <x:f>IF(A191="","",IFERROR((F191+G191+H191)*((6-J191)/5)/I191,0))</x:f>
      </x:c>
      <x:c r="L191" s="54" t="str">
        <x:f>IF(K191="","",IF(K191&gt;=6,"Включить в первую версию",IF(K191&gt;=4,"Включить после проверки",IF(K191&gt;=2.5,"Проверить дополнительно",IF(K191&gt;=1.5,"Отложить","Исключить")))))</x:f>
      </x:c>
      <x:c r="M191" s="34"/>
      <x:c r="N191" s="34"/>
    </x:row>
    <x:row r="192" ht="34" customHeight="1">
      <x:c r="A192" s="34"/>
      <x:c r="B192" s="34"/>
      <x:c r="C192" s="34"/>
      <x:c r="D192" s="34"/>
      <x:c r="E192" s="34"/>
      <x:c r="F192" s="34"/>
      <x:c r="G192" s="34"/>
      <x:c r="H192" s="34"/>
      <x:c r="I192" s="34"/>
      <x:c r="J192" s="34"/>
      <x:c r="K192" s="52" t="str">
        <x:f>IF(A192="","",IFERROR((F192+G192+H192)*((6-J192)/5)/I192,0))</x:f>
      </x:c>
      <x:c r="L192" s="54" t="str">
        <x:f>IF(K192="","",IF(K192&gt;=6,"Включить в первую версию",IF(K192&gt;=4,"Включить после проверки",IF(K192&gt;=2.5,"Проверить дополнительно",IF(K192&gt;=1.5,"Отложить","Исключить")))))</x:f>
      </x:c>
      <x:c r="M192" s="34"/>
      <x:c r="N192" s="34"/>
    </x:row>
    <x:row r="193" ht="34" customHeight="1">
      <x:c r="A193" s="34"/>
      <x:c r="B193" s="34"/>
      <x:c r="C193" s="34"/>
      <x:c r="D193" s="34"/>
      <x:c r="E193" s="34"/>
      <x:c r="F193" s="34"/>
      <x:c r="G193" s="34"/>
      <x:c r="H193" s="34"/>
      <x:c r="I193" s="34"/>
      <x:c r="J193" s="34"/>
      <x:c r="K193" s="52" t="str">
        <x:f>IF(A193="","",IFERROR((F193+G193+H193)*((6-J193)/5)/I193,0))</x:f>
      </x:c>
      <x:c r="L193" s="54" t="str">
        <x:f>IF(K193="","",IF(K193&gt;=6,"Включить в первую версию",IF(K193&gt;=4,"Включить после проверки",IF(K193&gt;=2.5,"Проверить дополнительно",IF(K193&gt;=1.5,"Отложить","Исключить")))))</x:f>
      </x:c>
      <x:c r="M193" s="34"/>
      <x:c r="N193" s="34"/>
    </x:row>
    <x:row r="194" ht="34" customHeight="1">
      <x:c r="A194" s="34"/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52" t="str">
        <x:f>IF(A194="","",IFERROR((F194+G194+H194)*((6-J194)/5)/I194,0))</x:f>
      </x:c>
      <x:c r="L194" s="54" t="str">
        <x:f>IF(K194="","",IF(K194&gt;=6,"Включить в первую версию",IF(K194&gt;=4,"Включить после проверки",IF(K194&gt;=2.5,"Проверить дополнительно",IF(K194&gt;=1.5,"Отложить","Исключить")))))</x:f>
      </x:c>
      <x:c r="M194" s="34"/>
      <x:c r="N194" s="34"/>
    </x:row>
    <x:row r="195" ht="34" customHeight="1">
      <x:c r="A195" s="34"/>
      <x:c r="B195" s="34"/>
      <x:c r="C195" s="34"/>
      <x:c r="D195" s="34"/>
      <x:c r="E195" s="34"/>
      <x:c r="F195" s="34"/>
      <x:c r="G195" s="34"/>
      <x:c r="H195" s="34"/>
      <x:c r="I195" s="34"/>
      <x:c r="J195" s="34"/>
      <x:c r="K195" s="52" t="str">
        <x:f>IF(A195="","",IFERROR((F195+G195+H195)*((6-J195)/5)/I195,0))</x:f>
      </x:c>
      <x:c r="L195" s="54" t="str">
        <x:f>IF(K195="","",IF(K195&gt;=6,"Включить в первую версию",IF(K195&gt;=4,"Включить после проверки",IF(K195&gt;=2.5,"Проверить дополнительно",IF(K195&gt;=1.5,"Отложить","Исключить")))))</x:f>
      </x:c>
      <x:c r="M195" s="34"/>
      <x:c r="N195" s="34"/>
    </x:row>
    <x:row r="196" ht="34" customHeight="1">
      <x:c r="A196" s="34"/>
      <x:c r="B196" s="34"/>
      <x:c r="C196" s="34"/>
      <x:c r="D196" s="34"/>
      <x:c r="E196" s="34"/>
      <x:c r="F196" s="34"/>
      <x:c r="G196" s="34"/>
      <x:c r="H196" s="34"/>
      <x:c r="I196" s="34"/>
      <x:c r="J196" s="34"/>
      <x:c r="K196" s="52" t="str">
        <x:f>IF(A196="","",IFERROR((F196+G196+H196)*((6-J196)/5)/I196,0))</x:f>
      </x:c>
      <x:c r="L196" s="54" t="str">
        <x:f>IF(K196="","",IF(K196&gt;=6,"Включить в первую версию",IF(K196&gt;=4,"Включить после проверки",IF(K196&gt;=2.5,"Проверить дополнительно",IF(K196&gt;=1.5,"Отложить","Исключить")))))</x:f>
      </x:c>
      <x:c r="M196" s="34"/>
      <x:c r="N196" s="34"/>
    </x:row>
    <x:row r="197" ht="34" customHeight="1">
      <x:c r="A197" s="34"/>
      <x:c r="B197" s="34"/>
      <x:c r="C197" s="34"/>
      <x:c r="D197" s="34"/>
      <x:c r="E197" s="34"/>
      <x:c r="F197" s="34"/>
      <x:c r="G197" s="34"/>
      <x:c r="H197" s="34"/>
      <x:c r="I197" s="34"/>
      <x:c r="J197" s="34"/>
      <x:c r="K197" s="52" t="str">
        <x:f>IF(A197="","",IFERROR((F197+G197+H197)*((6-J197)/5)/I197,0))</x:f>
      </x:c>
      <x:c r="L197" s="54" t="str">
        <x:f>IF(K197="","",IF(K197&gt;=6,"Включить в первую версию",IF(K197&gt;=4,"Включить после проверки",IF(K197&gt;=2.5,"Проверить дополнительно",IF(K197&gt;=1.5,"Отложить","Исключить")))))</x:f>
      </x:c>
      <x:c r="M197" s="34"/>
      <x:c r="N197" s="34"/>
    </x:row>
    <x:row r="198" ht="34" customHeight="1">
      <x:c r="A198" s="34"/>
      <x:c r="B198" s="34"/>
      <x:c r="C198" s="34"/>
      <x:c r="D198" s="34"/>
      <x:c r="E198" s="34"/>
      <x:c r="F198" s="34"/>
      <x:c r="G198" s="34"/>
      <x:c r="H198" s="34"/>
      <x:c r="I198" s="34"/>
      <x:c r="J198" s="34"/>
      <x:c r="K198" s="52" t="str">
        <x:f>IF(A198="","",IFERROR((F198+G198+H198)*((6-J198)/5)/I198,0))</x:f>
      </x:c>
      <x:c r="L198" s="54" t="str">
        <x:f>IF(K198="","",IF(K198&gt;=6,"Включить в первую версию",IF(K198&gt;=4,"Включить после проверки",IF(K198&gt;=2.5,"Проверить дополнительно",IF(K198&gt;=1.5,"Отложить","Исключить")))))</x:f>
      </x:c>
      <x:c r="M198" s="34"/>
      <x:c r="N198" s="34"/>
    </x:row>
    <x:row r="199" ht="34" customHeight="1">
      <x:c r="A199" s="34"/>
      <x:c r="B199" s="34"/>
      <x:c r="C199" s="34"/>
      <x:c r="D199" s="34"/>
      <x:c r="E199" s="34"/>
      <x:c r="F199" s="34"/>
      <x:c r="G199" s="34"/>
      <x:c r="H199" s="34"/>
      <x:c r="I199" s="34"/>
      <x:c r="J199" s="34"/>
      <x:c r="K199" s="52" t="str">
        <x:f>IF(A199="","",IFERROR((F199+G199+H199)*((6-J199)/5)/I199,0))</x:f>
      </x:c>
      <x:c r="L199" s="54" t="str">
        <x:f>IF(K199="","",IF(K199&gt;=6,"Включить в первую версию",IF(K199&gt;=4,"Включить после проверки",IF(K199&gt;=2.5,"Проверить дополнительно",IF(K199&gt;=1.5,"Отложить","Исключить")))))</x:f>
      </x:c>
      <x:c r="M199" s="34"/>
      <x:c r="N199" s="34"/>
    </x:row>
    <x:row r="200" ht="34" customHeight="1">
      <x:c r="A200" s="34"/>
      <x:c r="B200" s="34"/>
      <x:c r="C200" s="34"/>
      <x:c r="D200" s="34"/>
      <x:c r="E200" s="34"/>
      <x:c r="F200" s="34"/>
      <x:c r="G200" s="34"/>
      <x:c r="H200" s="34"/>
      <x:c r="I200" s="34"/>
      <x:c r="J200" s="34"/>
      <x:c r="K200" s="52" t="str">
        <x:f>IF(A200="","",IFERROR((F200+G200+H200)*((6-J200)/5)/I200,0))</x:f>
      </x:c>
      <x:c r="L200" s="54" t="str">
        <x:f>IF(K200="","",IF(K200&gt;=6,"Включить в первую версию",IF(K200&gt;=4,"Включить после проверки",IF(K200&gt;=2.5,"Проверить дополнительно",IF(K200&gt;=1.5,"Отложить","Исключить")))))</x:f>
      </x:c>
      <x:c r="M200" s="34"/>
      <x:c r="N200" s="34"/>
    </x:row>
    <x:row r="201" ht="34" customHeight="1">
      <x:c r="A201" s="34"/>
      <x:c r="B201" s="34"/>
      <x:c r="C201" s="34"/>
      <x:c r="D201" s="34"/>
      <x:c r="E201" s="34"/>
      <x:c r="F201" s="34"/>
      <x:c r="G201" s="34"/>
      <x:c r="H201" s="34"/>
      <x:c r="I201" s="34"/>
      <x:c r="J201" s="34"/>
      <x:c r="K201" s="52" t="str">
        <x:f>IF(A201="","",IFERROR((F201+G201+H201)*((6-J201)/5)/I201,0))</x:f>
      </x:c>
      <x:c r="L201" s="54" t="str">
        <x:f>IF(K201="","",IF(K201&gt;=6,"Включить в первую версию",IF(K201&gt;=4,"Включить после проверки",IF(K201&gt;=2.5,"Проверить дополнительно",IF(K201&gt;=1.5,"Отложить","Исключить")))))</x:f>
      </x:c>
      <x:c r="M201" s="34"/>
      <x:c r="N201" s="34"/>
    </x:row>
    <x:row r="202" ht="34" customHeight="1">
      <x:c r="A202" s="34"/>
      <x:c r="B202" s="34"/>
      <x:c r="C202" s="34"/>
      <x:c r="D202" s="34"/>
      <x:c r="E202" s="34"/>
      <x:c r="F202" s="34"/>
      <x:c r="G202" s="34"/>
      <x:c r="H202" s="34"/>
      <x:c r="I202" s="34"/>
      <x:c r="J202" s="34"/>
      <x:c r="K202" s="52" t="str">
        <x:f>IF(A202="","",IFERROR((F202+G202+H202)*((6-J202)/5)/I202,0))</x:f>
      </x:c>
      <x:c r="L202" s="54" t="str">
        <x:f>IF(K202="","",IF(K202&gt;=6,"Включить в первую версию",IF(K202&gt;=4,"Включить после проверки",IF(K202&gt;=2.5,"Проверить дополнительно",IF(K202&gt;=1.5,"Отложить","Исключить")))))</x:f>
      </x:c>
      <x:c r="M202" s="34"/>
      <x:c r="N202" s="34"/>
    </x:row>
    <x:row r="203" ht="34" customHeight="1">
      <x:c r="A203" s="34"/>
      <x:c r="B203" s="34"/>
      <x:c r="C203" s="34"/>
      <x:c r="D203" s="34"/>
      <x:c r="E203" s="34"/>
      <x:c r="F203" s="34"/>
      <x:c r="G203" s="34"/>
      <x:c r="H203" s="34"/>
      <x:c r="I203" s="34"/>
      <x:c r="J203" s="34"/>
      <x:c r="K203" s="52" t="str">
        <x:f>IF(A203="","",IFERROR((F203+G203+H203)*((6-J203)/5)/I203,0))</x:f>
      </x:c>
      <x:c r="L203" s="54" t="str">
        <x:f>IF(K203="","",IF(K203&gt;=6,"Включить в первую версию",IF(K203&gt;=4,"Включить после проверки",IF(K203&gt;=2.5,"Проверить дополнительно",IF(K203&gt;=1.5,"Отложить","Исключить")))))</x:f>
      </x:c>
      <x:c r="M203" s="34"/>
      <x:c r="N203" s="34"/>
    </x:row>
  </x:sheetData>
  <x:mergeCells>
    <x:mergeCell ref="A1:N1"/>
  </x:mergeCells>
  <x:conditionalFormatting sqref="K4:K203">
    <x:cfRule type="colorScale" priority="1">
      <x:colorScale>
        <x:cfvo type="min"/>
        <x:cfvo type="percentile" val="50"/>
        <x:cfvo type="max"/>
        <x:color rgb="FCE4D6"/>
        <x:color rgb="FFF2CC"/>
        <x:color rgb="E2F0D9"/>
      </x:colorScale>
    </x:cfRule>
  </x:conditionalFormatting>
  <x:dataValidations count="3">
    <x:dataValidation type="list" sqref="F4:J203">
      <x:formula1>"1,2,3,4,5"</x:formula1>
    </x:dataValidation>
    <x:dataValidation type="list" sqref="H4:H203">
      <x:formula1>"1,2,3,4"</x:formula1>
    </x:dataValidation>
    <x:dataValidation type="list" sqref="L4:L203">
      <x:formula1>Справочники!$A$46:$A$50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853a751e50449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44" hidden="0" customWidth="1"/>
    <x:col min="4" max="4" width="28" hidden="0" customWidth="1"/>
    <x:col min="5" max="5" width="34" hidden="0" customWidth="1"/>
    <x:col min="6" max="6" width="14" hidden="0" customWidth="1"/>
    <x:col min="7" max="7" width="12" hidden="0" customWidth="1"/>
    <x:col min="8" max="8" width="18" hidden="0" customWidth="1"/>
    <x:col min="9" max="9" width="32" hidden="0" customWidth="1"/>
  </x:cols>
  <x:sheetData>
    <x:row r="1" ht="30" customHeight="1">
      <x:c r="A1" s="58" t="str">
        <x:v>Проверка связности: анализ → бизнес-логика → сценарии → требования → монетизация</x:v>
      </x:c>
      <x:c r="B1" s="58"/>
      <x:c r="C1" s="58"/>
      <x:c r="D1" s="58"/>
      <x:c r="E1" s="58"/>
      <x:c r="F1" s="58"/>
      <x:c r="G1" s="58"/>
      <x:c r="H1" s="58"/>
      <x:c r="I1" s="58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3" ht="34" customHeight="1">
      <x:c r="A3" s="40" t="str">
        <x:v>Контрольная точка</x:v>
      </x:c>
      <x:c r="B3" s="40" t="str">
        <x:v>Что проверяется</x:v>
      </x:c>
      <x:c r="C3" s="40" t="str">
        <x:v>Проверочный вопрос</x:v>
      </x:c>
      <x:c r="D3" s="40" t="str">
        <x:v>Источник листа</x:v>
      </x:c>
      <x:c r="E3" s="40" t="str">
        <x:v>Критерий прохождения</x:v>
      </x:c>
      <x:c r="F3" s="40" t="str">
        <x:v>Количество</x:v>
      </x:c>
      <x:c r="G3" s="40" t="str">
        <x:v>Порог</x:v>
      </x:c>
      <x:c r="H3" s="40" t="str">
        <x:v>Статус</x:v>
      </x:c>
      <x:c r="I3" s="40" t="str">
        <x:v>Комментарий</x:v>
      </x:c>
    </x:row>
    <x:row r="4" ht="34" customHeight="1">
      <x:c r="A4" s="34" t="str">
        <x:v>Единая доказательная база</x:v>
      </x:c>
      <x:c r="B4" s="34" t="str">
        <x:v>Наличие выводов анализа</x:v>
      </x:c>
      <x:c r="C4" s="34" t="str">
        <x:v>Есть ли перенесенные выводы из предыдущих видов анализа?</x:v>
      </x:c>
      <x:c r="D4" s="34" t="str">
        <x:v>Банк анализа</x:v>
      </x:c>
      <x:c r="E4" s="34" t="str">
        <x:v>Не менее 5 выводов</x:v>
      </x:c>
      <x:c r="F4" s="54" t="n">
        <x:f>COUNTA('Банк анализа'!A4:A203)</x:f>
        <x:v>3</x:v>
      </x:c>
      <x:c r="G4" s="34" t="n">
        <x:v>5</x:v>
      </x:c>
      <x:c r="H4" s="54" t="str">
        <x:f>IF(F4&gt;=G4,"Пройдено","Недостаточно")</x:f>
        <x:v>Недостаточно</x:v>
      </x:c>
      <x:c r="I4" s="34" t="str"/>
    </x:row>
    <x:row r="5" ht="34" customHeight="1">
      <x:c r="A5" s="34" t="str">
        <x:v>Подтвержденные основания</x:v>
      </x:c>
      <x:c r="B5" s="34" t="str">
        <x:v>Качество доказательств</x:v>
      </x:c>
      <x:c r="C5" s="34" t="str">
        <x:v>Есть ли сильные основания для решений?</x:v>
      </x:c>
      <x:c r="D5" s="34" t="str">
        <x:v>Банк анализа</x:v>
      </x:c>
      <x:c r="E5" s="34" t="str">
        <x:v>Не менее 3 выводов с силой доказательства 3-4</x:v>
      </x:c>
      <x:c r="F5" s="54" t="n">
        <x:f>COUNTIF('Банк анализа'!G4:G203,"&gt;=3")</x:f>
        <x:v>3</x:v>
      </x:c>
      <x:c r="G5" s="34" t="n">
        <x:v>3</x:v>
      </x:c>
      <x:c r="H5" s="54" t="str">
        <x:f>IF(F5&gt;=G5,"Пройдено","Недостаточно")</x:f>
        <x:v>Пройдено</x:v>
      </x:c>
      <x:c r="I5" s="34" t="str"/>
    </x:row>
    <x:row r="6" ht="34" customHeight="1">
      <x:c r="A6" s="34" t="str">
        <x:v>Бизнес-логика</x:v>
      </x:c>
      <x:c r="B6" s="34" t="str">
        <x:v>Наличие элементов логики</x:v>
      </x:c>
      <x:c r="C6" s="34" t="str">
        <x:v>Сформулировано ли, за счет чего создается и монетизируется ценность?</x:v>
      </x:c>
      <x:c r="D6" s="34" t="str">
        <x:v>Бизнес-логика</x:v>
      </x:c>
      <x:c r="E6" s="34" t="str">
        <x:v>Не менее 3 элементов</x:v>
      </x:c>
      <x:c r="F6" s="54" t="n">
        <x:f>COUNTA('Бизнес-логика'!A4:A203)</x:f>
        <x:v>2</x:v>
      </x:c>
      <x:c r="G6" s="34" t="n">
        <x:v>3</x:v>
      </x:c>
      <x:c r="H6" s="54" t="str">
        <x:f>IF(F6&gt;=G6,"Пройдено","Недостаточно")</x:f>
        <x:v>Недостаточно</x:v>
      </x:c>
      <x:c r="I6" s="34" t="str"/>
    </x:row>
    <x:row r="7" ht="34" customHeight="1">
      <x:c r="A7" s="34" t="str">
        <x:v>Роли и сегменты</x:v>
      </x:c>
      <x:c r="B7" s="34" t="str">
        <x:v>Наличие ролей</x:v>
      </x:c>
      <x:c r="C7" s="34" t="str">
        <x:v>Понятно ли, для кого создаются сценарии?</x:v>
      </x:c>
      <x:c r="D7" s="34" t="str">
        <x:v>Роли и сегменты</x:v>
      </x:c>
      <x:c r="E7" s="34" t="str">
        <x:v>Не менее 2 ролей</x:v>
      </x:c>
      <x:c r="F7" s="54" t="n">
        <x:f>COUNTA('Роли и сегменты'!A4:A203)</x:f>
        <x:v>2</x:v>
      </x:c>
      <x:c r="G7" s="34" t="n">
        <x:v>2</x:v>
      </x:c>
      <x:c r="H7" s="54" t="str">
        <x:f>IF(F7&gt;=G7,"Пройдено","Недостаточно")</x:f>
        <x:v>Пройдено</x:v>
      </x:c>
      <x:c r="I7" s="34" t="str"/>
    </x:row>
    <x:row r="8" ht="34" customHeight="1">
      <x:c r="A8" s="34" t="str">
        <x:v>Сценарии</x:v>
      </x:c>
      <x:c r="B8" s="34" t="str">
        <x:v>Наличие пользовательских сценариев</x:v>
      </x:c>
      <x:c r="C8" s="34" t="str">
        <x:v>Описаны ли действия пользователя от проблемы до результата?</x:v>
      </x:c>
      <x:c r="D8" s="34" t="str">
        <x:v>Пользовательские сценарии</x:v>
      </x:c>
      <x:c r="E8" s="34" t="str">
        <x:v>Не менее 5 сценариев</x:v>
      </x:c>
      <x:c r="F8" s="54" t="n">
        <x:f>COUNTA('Пользовательские сценарии'!A4:A203)</x:f>
        <x:v>2</x:v>
      </x:c>
      <x:c r="G8" s="34" t="n">
        <x:v>5</x:v>
      </x:c>
      <x:c r="H8" s="54" t="str">
        <x:f>IF(F8&gt;=G8,"Пройдено","Недостаточно")</x:f>
        <x:v>Недостаточно</x:v>
      </x:c>
      <x:c r="I8" s="34" t="str"/>
    </x:row>
    <x:row r="9" ht="34" customHeight="1">
      <x:c r="A9" s="34" t="str">
        <x:v>Монетизационные сценарии</x:v>
      </x:c>
      <x:c r="B9" s="34" t="str">
        <x:v>Связь сценариев с доходами</x:v>
      </x:c>
      <x:c r="C9" s="34" t="str">
        <x:v>Есть ли сценарии, напрямую связанные с оплатой или удержанием?</x:v>
      </x:c>
      <x:c r="D9" s="34" t="str">
        <x:v>Пользовательские сценарии</x:v>
      </x:c>
      <x:c r="E9" s="34" t="str">
        <x:v>Не менее 1 монетизационного сценария</x:v>
      </x:c>
      <x:c r="F9" s="54" t="n">
        <x:f>COUNTIF('Пользовательские сценарии'!E4:E203,"Монетизационный")</x:f>
        <x:v>1</x:v>
      </x:c>
      <x:c r="G9" s="34" t="n">
        <x:v>1</x:v>
      </x:c>
      <x:c r="H9" s="54" t="str">
        <x:f>IF(F9&gt;=G9,"Пройдено","Недостаточно")</x:f>
        <x:v>Пройдено</x:v>
      </x:c>
      <x:c r="I9" s="34" t="str"/>
    </x:row>
    <x:row r="10" ht="34" customHeight="1">
      <x:c r="A10" s="34" t="str">
        <x:v>Требования</x:v>
      </x:c>
      <x:c r="B10" s="34" t="str">
        <x:v>Перевод сценариев в функции</x:v>
      </x:c>
      <x:c r="C10" s="34" t="str">
        <x:v>Есть ли функциональные требования, выведенные из сценариев?</x:v>
      </x:c>
      <x:c r="D10" s="34" t="str">
        <x:v>Функциональные требования</x:v>
      </x:c>
      <x:c r="E10" s="34" t="str">
        <x:v>Не менее 5 требований</x:v>
      </x:c>
      <x:c r="F10" s="54" t="n">
        <x:f>COUNTA('Функциональные требования'!A4:A203)</x:f>
        <x:v>2</x:v>
      </x:c>
      <x:c r="G10" s="34" t="n">
        <x:v>5</x:v>
      </x:c>
      <x:c r="H10" s="54" t="str">
        <x:f>IF(F10&gt;=G10,"Пройдено","Недостаточно")</x:f>
        <x:v>Недостаточно</x:v>
      </x:c>
      <x:c r="I10" s="34" t="str"/>
    </x:row>
    <x:row r="11" ht="34" customHeight="1">
      <x:c r="A11" s="34" t="str">
        <x:v>MVP</x:v>
      </x:c>
      <x:c r="B11" s="34" t="str">
        <x:v>Фокус первой версии</x:v>
      </x:c>
      <x:c r="C11" s="34" t="str">
        <x:v>Есть ли требования, рекомендованные в первую версию?</x:v>
      </x:c>
      <x:c r="D11" s="34" t="str">
        <x:v>Функциональные требования</x:v>
      </x:c>
      <x:c r="E11" s="34" t="str">
        <x:v>Не менее 3 требований MVP</x:v>
      </x:c>
      <x:c r="F11" s="54" t="n">
        <x:f>COUNTIF('Функциональные требования'!O4:O203,"Да")</x:f>
        <x:v>1</x:v>
      </x:c>
      <x:c r="G11" s="34" t="n">
        <x:v>3</x:v>
      </x:c>
      <x:c r="H11" s="54" t="str">
        <x:f>IF(F11&gt;=G11,"Пройдено","Недостаточно")</x:f>
        <x:v>Недостаточно</x:v>
      </x:c>
      <x:c r="I11" s="34" t="str"/>
    </x:row>
    <x:row r="12" ht="34" customHeight="1">
      <x:c r="A12" s="34" t="str">
        <x:v>Приоритизация</x:v>
      </x:c>
      <x:c r="B12" s="34" t="str">
        <x:v>Очередность реализации</x:v>
      </x:c>
      <x:c r="C12" s="34" t="str">
        <x:v>Определены ли инициативы и решения по ним?</x:v>
      </x:c>
      <x:c r="D12" s="34" t="str">
        <x:v>Приоритизация</x:v>
      </x:c>
      <x:c r="E12" s="34" t="str">
        <x:v>Не менее 5 инициатив</x:v>
      </x:c>
      <x:c r="F12" s="54" t="n">
        <x:f>COUNTA('Приоритизация'!A4:A203)</x:f>
        <x:v>2</x:v>
      </x:c>
      <x:c r="G12" s="34" t="n">
        <x:v>5</x:v>
      </x:c>
      <x:c r="H12" s="54" t="str">
        <x:f>IF(F12&gt;=G12,"Пройдено","Недостаточно")</x:f>
        <x:v>Недостаточно</x:v>
      </x:c>
      <x:c r="I12" s="34" t="str"/>
    </x:row>
    <x:row r="13" ht="34" customHeight="1">
      <x:c r="A13" s="34" t="str">
        <x:v>Общая связность</x:v>
      </x:c>
      <x:c r="B13" s="34" t="str">
        <x:v>Прохождение контрольных точек</x:v>
      </x:c>
      <x:c r="C13" s="34" t="str">
        <x:v>Прошла ли модель ключевые проверки?</x:v>
      </x:c>
      <x:c r="D13" s="34" t="str">
        <x:v>Связность</x:v>
      </x:c>
      <x:c r="E13" s="34" t="str">
        <x:v>Не менее 7 пройденных точек</x:v>
      </x:c>
      <x:c r="F13" s="54" t="n">
        <x:f>COUNTIF(H4:H12,"Пройдено")</x:f>
        <x:v>3</x:v>
      </x:c>
      <x:c r="G13" s="34" t="n">
        <x:v>7</x:v>
      </x:c>
      <x:c r="H13" s="54" t="str">
        <x:f>IF(F13&gt;=G13,"Пройдено","Недостаточно")</x:f>
        <x:v>Недостаточно</x:v>
      </x:c>
      <x:c r="I13" s="34" t="str"/>
    </x:row>
    <x:row r="14" ht="34" customHeight="1"/>
    <x:row r="15" ht="34" customHeight="1"/>
    <x:row r="16" ht="34" customHeight="1"/>
    <x:row r="17" ht="34" customHeight="1"/>
    <x:row r="18" ht="34" customHeight="1"/>
    <x:row r="19" ht="34" customHeight="1"/>
    <x:row r="20" ht="34" customHeight="1"/>
    <x:row r="21" ht="34" customHeight="1"/>
    <x:row r="22" ht="34" customHeight="1"/>
    <x:row r="23" ht="34" customHeight="1"/>
    <x:row r="24" ht="34" customHeight="1"/>
    <x:row r="25" ht="34" customHeight="1"/>
    <x:row r="26" ht="34" customHeight="1"/>
    <x:row r="27" ht="34" customHeight="1"/>
    <x:row r="28" ht="34" customHeight="1"/>
    <x:row r="29" ht="34" customHeight="1"/>
    <x:row r="30" ht="34" customHeight="1"/>
    <x:row r="31" ht="34" customHeight="1"/>
    <x:row r="32" ht="34" customHeight="1"/>
    <x:row r="33" ht="34" customHeight="1"/>
    <x:row r="34" ht="34" customHeight="1"/>
    <x:row r="35" ht="34" customHeight="1"/>
    <x:row r="36" ht="34" customHeight="1"/>
    <x:row r="37" ht="34" customHeight="1"/>
    <x:row r="38" ht="34" customHeight="1"/>
    <x:row r="39" ht="34" customHeight="1"/>
    <x:row r="40" ht="34" customHeight="1"/>
    <x:row r="41" ht="34" customHeight="1"/>
    <x:row r="42" ht="34" customHeight="1"/>
    <x:row r="43" ht="34" customHeight="1"/>
    <x:row r="44" ht="34" customHeight="1"/>
    <x:row r="45" ht="34" customHeight="1"/>
    <x:row r="46" ht="34" customHeight="1"/>
    <x:row r="47" ht="34" customHeight="1"/>
    <x:row r="48" ht="34" customHeight="1"/>
    <x:row r="49" ht="34" customHeight="1"/>
    <x:row r="50" ht="34" customHeight="1"/>
    <x:row r="51" ht="34" customHeight="1"/>
    <x:row r="52" ht="34" customHeight="1"/>
    <x:row r="53" ht="34" customHeight="1"/>
    <x:row r="54" ht="34" customHeight="1"/>
    <x:row r="55" ht="34" customHeight="1"/>
    <x:row r="56" ht="34" customHeight="1"/>
    <x:row r="57" ht="34" customHeight="1"/>
    <x:row r="58" ht="34" customHeight="1"/>
    <x:row r="59" ht="34" customHeight="1"/>
    <x:row r="60" ht="34" customHeight="1"/>
    <x:row r="61" ht="34" customHeight="1"/>
    <x:row r="62" ht="34" customHeight="1"/>
    <x:row r="63" ht="34" customHeight="1"/>
    <x:row r="64" ht="34" customHeight="1"/>
    <x:row r="65" ht="34" customHeight="1"/>
    <x:row r="66" ht="34" customHeight="1"/>
    <x:row r="67" ht="34" customHeight="1"/>
    <x:row r="68" ht="34" customHeight="1"/>
    <x:row r="69" ht="34" customHeight="1"/>
    <x:row r="70" ht="34" customHeight="1"/>
    <x:row r="71" ht="34" customHeight="1"/>
    <x:row r="72" ht="34" customHeight="1"/>
    <x:row r="73" ht="34" customHeight="1"/>
    <x:row r="74" ht="34" customHeight="1"/>
    <x:row r="75" ht="34" customHeight="1"/>
    <x:row r="76" ht="34" customHeight="1"/>
    <x:row r="77" ht="34" customHeight="1"/>
    <x:row r="78" ht="34" customHeight="1"/>
    <x:row r="79" ht="34" customHeight="1"/>
    <x:row r="80" ht="34" customHeight="1"/>
    <x:row r="81" ht="34" customHeight="1"/>
    <x:row r="82" ht="34" customHeight="1"/>
    <x:row r="83" ht="34" customHeight="1"/>
    <x:row r="84" ht="34" customHeight="1"/>
    <x:row r="85" ht="34" customHeight="1"/>
    <x:row r="86" ht="34" customHeight="1"/>
    <x:row r="87" ht="34" customHeight="1"/>
    <x:row r="88" ht="34" customHeight="1"/>
    <x:row r="89" ht="34" customHeight="1"/>
    <x:row r="90" ht="34" customHeight="1"/>
    <x:row r="91" ht="34" customHeight="1"/>
    <x:row r="92" ht="34" customHeight="1"/>
    <x:row r="93" ht="34" customHeight="1"/>
    <x:row r="94" ht="34" customHeight="1"/>
    <x:row r="95" ht="34" customHeight="1"/>
    <x:row r="96" ht="34" customHeight="1"/>
    <x:row r="97" ht="34" customHeight="1"/>
    <x:row r="98" ht="34" customHeight="1"/>
    <x:row r="99" ht="34" customHeight="1"/>
    <x:row r="100" ht="34" customHeight="1"/>
    <x:row r="101" ht="34" customHeight="1"/>
    <x:row r="102" ht="34" customHeight="1"/>
    <x:row r="103" ht="34" customHeight="1"/>
    <x:row r="104" ht="34" customHeight="1"/>
    <x:row r="105" ht="34" customHeight="1"/>
    <x:row r="106" ht="34" customHeight="1"/>
    <x:row r="107" ht="34" customHeight="1"/>
    <x:row r="108" ht="34" customHeight="1"/>
    <x:row r="109" ht="34" customHeight="1"/>
    <x:row r="110" ht="34" customHeight="1"/>
    <x:row r="111" ht="34" customHeight="1"/>
    <x:row r="112" ht="34" customHeight="1"/>
    <x:row r="113" ht="34" customHeight="1"/>
    <x:row r="114" ht="34" customHeight="1"/>
    <x:row r="115" ht="34" customHeight="1"/>
    <x:row r="116" ht="34" customHeight="1"/>
    <x:row r="117" ht="34" customHeight="1"/>
    <x:row r="118" ht="34" customHeight="1"/>
    <x:row r="119" ht="34" customHeight="1"/>
    <x:row r="120" ht="34" customHeight="1"/>
    <x:row r="121" ht="34" customHeight="1"/>
    <x:row r="122" ht="34" customHeight="1"/>
    <x:row r="123" ht="34" customHeight="1"/>
    <x:row r="124" ht="34" customHeight="1"/>
    <x:row r="125" ht="34" customHeight="1"/>
    <x:row r="126" ht="34" customHeight="1"/>
    <x:row r="127" ht="34" customHeight="1"/>
    <x:row r="128" ht="34" customHeight="1"/>
    <x:row r="129" ht="34" customHeight="1"/>
    <x:row r="130" ht="34" customHeight="1"/>
    <x:row r="131" ht="34" customHeight="1"/>
    <x:row r="132" ht="34" customHeight="1"/>
    <x:row r="133" ht="34" customHeight="1"/>
    <x:row r="134" ht="34" customHeight="1"/>
    <x:row r="135" ht="34" customHeight="1"/>
    <x:row r="136" ht="34" customHeight="1"/>
    <x:row r="137" ht="34" customHeight="1"/>
    <x:row r="138" ht="34" customHeight="1"/>
    <x:row r="139" ht="34" customHeight="1"/>
    <x:row r="140" ht="34" customHeight="1"/>
    <x:row r="141" ht="34" customHeight="1"/>
    <x:row r="142" ht="34" customHeight="1"/>
    <x:row r="143" ht="34" customHeight="1"/>
    <x:row r="144" ht="34" customHeight="1"/>
    <x:row r="145" ht="34" customHeight="1"/>
    <x:row r="146" ht="34" customHeight="1"/>
    <x:row r="147" ht="34" customHeight="1"/>
    <x:row r="148" ht="34" customHeight="1"/>
    <x:row r="149" ht="34" customHeight="1"/>
    <x:row r="150" ht="34" customHeight="1"/>
    <x:row r="151" ht="34" customHeight="1"/>
    <x:row r="152" ht="34" customHeight="1"/>
    <x:row r="153" ht="34" customHeight="1"/>
    <x:row r="154" ht="34" customHeight="1"/>
    <x:row r="155" ht="34" customHeight="1"/>
    <x:row r="156" ht="34" customHeight="1"/>
    <x:row r="157" ht="34" customHeight="1"/>
    <x:row r="158" ht="34" customHeight="1"/>
    <x:row r="159" ht="34" customHeight="1"/>
    <x:row r="160" ht="34" customHeight="1"/>
    <x:row r="161" ht="34" customHeight="1"/>
    <x:row r="162" ht="34" customHeight="1"/>
    <x:row r="163" ht="34" customHeight="1"/>
    <x:row r="164" ht="34" customHeight="1"/>
    <x:row r="165" ht="34" customHeight="1"/>
    <x:row r="166" ht="34" customHeight="1"/>
    <x:row r="167" ht="34" customHeight="1"/>
    <x:row r="168" ht="34" customHeight="1"/>
    <x:row r="169" ht="34" customHeight="1"/>
    <x:row r="170" ht="34" customHeight="1"/>
    <x:row r="171" ht="34" customHeight="1"/>
    <x:row r="172" ht="34" customHeight="1"/>
    <x:row r="173" ht="34" customHeight="1"/>
    <x:row r="174" ht="34" customHeight="1"/>
    <x:row r="175" ht="34" customHeight="1"/>
    <x:row r="176" ht="34" customHeight="1"/>
    <x:row r="177" ht="34" customHeight="1"/>
    <x:row r="178" ht="34" customHeight="1"/>
    <x:row r="179" ht="34" customHeight="1"/>
    <x:row r="180" ht="34" customHeight="1"/>
    <x:row r="181" ht="34" customHeight="1"/>
    <x:row r="182" ht="34" customHeight="1"/>
    <x:row r="183" ht="34" customHeight="1"/>
    <x:row r="184" ht="34" customHeight="1"/>
    <x:row r="185" ht="34" customHeight="1"/>
    <x:row r="186" ht="34" customHeight="1"/>
    <x:row r="187" ht="34" customHeight="1"/>
    <x:row r="188" ht="34" customHeight="1"/>
    <x:row r="189" ht="34" customHeight="1"/>
    <x:row r="190" ht="34" customHeight="1"/>
    <x:row r="191" ht="34" customHeight="1"/>
    <x:row r="192" ht="34" customHeight="1"/>
    <x:row r="193" ht="34" customHeight="1"/>
    <x:row r="194" ht="34" customHeight="1"/>
    <x:row r="195" ht="34" customHeight="1"/>
    <x:row r="196" ht="34" customHeight="1"/>
    <x:row r="197" ht="34" customHeight="1"/>
    <x:row r="198" ht="34" customHeight="1"/>
    <x:row r="199" ht="34" customHeight="1"/>
    <x:row r="200" ht="34" customHeight="1"/>
    <x:row r="201" ht="34" customHeight="1"/>
    <x:row r="202" ht="34" customHeight="1"/>
    <x:row r="203" ht="34" customHeight="1"/>
  </x:sheetData>
  <x:mergeCells>
    <x:mergeCell ref="A1:I1"/>
  </x:mergeCells>
  <x:conditionalFormatting sqref="H4:H13">
    <x:cfRule type="expression" dxfId="4" priority="1">
      <x:formula>H4="Пройдено"</x:formula>
    </x:cfRule>
    <x:cfRule type="expression" dxfId="5" priority="2">
      <x:formula>H4="Недостаточно"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49b30d380bf4d4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30" customHeight="1">
      <x:c r="A1" s="58" t="str">
        <x:v>Дашборд готовности бизнес-логики и пользовательских сценариев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3" ht="34" customHeight="1">
      <x:c r="A3" s="28" t="str">
        <x:v>Ключевые показатели</x:v>
      </x:c>
      <x:c r="B3" s="28"/>
      <x:c r="C3" s="28"/>
      <x:c r="D3" s="28"/>
      <x:c r="F3" s="28" t="str">
        <x:v>Распределение сценариев и требований по приоритетам</x:v>
      </x:c>
      <x:c r="G3" s="28"/>
      <x:c r="H3" s="28"/>
      <x:c r="I3" s="28"/>
    </x:row>
    <x:row r="4" ht="34" customHeight="1">
      <x:c r="A4" s="40" t="str">
        <x:v>Показатель</x:v>
      </x:c>
      <x:c r="B4" s="40" t="str">
        <x:v>Значение</x:v>
      </x:c>
      <x:c r="C4" s="40" t="str">
        <x:v>Единица</x:v>
      </x:c>
      <x:c r="D4" s="40" t="str">
        <x:v>Интерпретация</x:v>
      </x:c>
      <x:c r="F4" s="40" t="str">
        <x:v>Приоритет</x:v>
      </x:c>
      <x:c r="G4" s="40" t="str">
        <x:v>Сценарии</x:v>
      </x:c>
      <x:c r="H4" s="40" t="str">
        <x:v>Требования</x:v>
      </x:c>
      <x:c r="I4" s="40" t="str">
        <x:v>Инициативы</x:v>
      </x:c>
    </x:row>
    <x:row r="5" ht="34" customHeight="1">
      <x:c r="A5" s="21" t="str">
        <x:v>Выводов анализа</x:v>
      </x:c>
      <x:c r="B5" s="54" t="n">
        <x:f>COUNTA('Банк анализа'!A4:A203)</x:f>
        <x:v>3</x:v>
      </x:c>
      <x:c r="C5" s="21" t="str">
        <x:v>шт.</x:v>
      </x:c>
      <x:c r="D5" s="21" t="str">
        <x:v>Объем доказательной базы</x:v>
      </x:c>
      <x:c r="F5" s="21" t="str">
        <x:v>Критический</x:v>
      </x:c>
      <x:c r="G5" s="54" t="n">
        <x:f>COUNTIF('Пользовательские сценарии'!S4:S203,F5)</x:f>
        <x:v>1</x:v>
      </x:c>
      <x:c r="H5" s="54" t="n">
        <x:f>COUNTIF('Функциональные требования'!N4:N203,F5)</x:f>
        <x:v>1</x:v>
      </x:c>
      <x:c r="I5" s="54" t="n">
        <x:f>COUNTIF('Приоритизация'!L4:L203,"*"&amp;F5&amp;"*")</x:f>
        <x:v>0</x:v>
      </x:c>
    </x:row>
    <x:row r="6" ht="34" customHeight="1">
      <x:c r="A6" s="21" t="str">
        <x:v>Сильных выводов</x:v>
      </x:c>
      <x:c r="B6" s="54" t="n">
        <x:f>COUNTIF('Банк анализа'!G4:G203,"&gt;=3")</x:f>
        <x:v>3</x:v>
      </x:c>
      <x:c r="C6" s="21" t="str">
        <x:v>шт.</x:v>
      </x:c>
      <x:c r="D6" s="21" t="str">
        <x:v>Сила доказательной базы</x:v>
      </x:c>
      <x:c r="F6" s="21" t="str">
        <x:v>Высокий</x:v>
      </x:c>
      <x:c r="G6" s="54" t="n">
        <x:f>COUNTIF('Пользовательские сценарии'!S4:S203,F6)</x:f>
        <x:v>1</x:v>
      </x:c>
      <x:c r="H6" s="54" t="n">
        <x:f>COUNTIF('Функциональные требования'!N4:N203,F6)</x:f>
        <x:v>0</x:v>
      </x:c>
      <x:c r="I6" s="54" t="n">
        <x:f>COUNTIF('Приоритизация'!L4:L203,"*"&amp;F6&amp;"*")</x:f>
        <x:v>0</x:v>
      </x:c>
    </x:row>
    <x:row r="7" ht="34" customHeight="1">
      <x:c r="A7" s="21" t="str">
        <x:v>Элементов бизнес-логики</x:v>
      </x:c>
      <x:c r="B7" s="54" t="n">
        <x:f>COUNTA('Бизнес-логика'!A4:A203)</x:f>
        <x:v>2</x:v>
      </x:c>
      <x:c r="C7" s="21" t="str">
        <x:v>шт.</x:v>
      </x:c>
      <x:c r="D7" s="21" t="str">
        <x:v>Сформированность логики</x:v>
      </x:c>
      <x:c r="F7" s="21" t="str">
        <x:v>Средний</x:v>
      </x:c>
      <x:c r="G7" s="54" t="n">
        <x:f>COUNTIF('Пользовательские сценарии'!S4:S203,F7)</x:f>
        <x:v>0</x:v>
      </x:c>
      <x:c r="H7" s="54" t="n">
        <x:f>COUNTIF('Функциональные требования'!N4:N203,F7)</x:f>
        <x:v>1</x:v>
      </x:c>
      <x:c r="I7" s="54" t="n">
        <x:f>COUNTIF('Приоритизация'!L4:L203,"*"&amp;F7&amp;"*")</x:f>
        <x:v>0</x:v>
      </x:c>
    </x:row>
    <x:row r="8" ht="34" customHeight="1">
      <x:c r="A8" s="21" t="str">
        <x:v>Средний индекс надежности логики</x:v>
      </x:c>
      <x:c r="B8" s="54" t="n">
        <x:f>IFERROR(AVERAGEIF('Бизнес-логика'!M4:M203,"&gt;0",'Бизнес-логика'!M4:M203),0)</x:f>
        <x:v>0.875</x:v>
      </x:c>
      <x:c r="C8" s="21" t="str">
        <x:v>0-1</x:v>
      </x:c>
      <x:c r="D8" s="21" t="str">
        <x:v>Качество связности элементов</x:v>
      </x:c>
      <x:c r="F8" s="21" t="str">
        <x:v>Низкий</x:v>
      </x:c>
      <x:c r="G8" s="54" t="n">
        <x:f>COUNTIF('Пользовательские сценарии'!S4:S203,F8)</x:f>
        <x:v>0</x:v>
      </x:c>
      <x:c r="H8" s="54" t="n">
        <x:f>COUNTIF('Функциональные требования'!N4:N203,F8)</x:f>
        <x:v>0</x:v>
      </x:c>
      <x:c r="I8" s="54" t="n">
        <x:f>COUNTIF('Приоритизация'!L4:L203,"*"&amp;F8&amp;"*")</x:f>
        <x:v>0</x:v>
      </x:c>
    </x:row>
    <x:row r="9" ht="34" customHeight="1">
      <x:c r="A9" s="21" t="str">
        <x:v>Ролей и сегментов</x:v>
      </x:c>
      <x:c r="B9" s="54" t="n">
        <x:f>COUNTA('Роли и сегменты'!A4:A203)</x:f>
        <x:v>2</x:v>
      </x:c>
      <x:c r="C9" s="21" t="str">
        <x:v>шт.</x:v>
      </x:c>
      <x:c r="D9" s="21" t="str">
        <x:v>Покрытие пользователей</x:v>
      </x:c>
      <x:c r="F9" s="21" t="str">
        <x:v>Отложить</x:v>
      </x:c>
      <x:c r="G9" s="54" t="n">
        <x:f>COUNTIF('Пользовательские сценарии'!S4:S203,F9)</x:f>
        <x:v>0</x:v>
      </x:c>
      <x:c r="H9" s="54" t="n">
        <x:f>COUNTIF('Функциональные требования'!N4:N203,F9)</x:f>
        <x:v>0</x:v>
      </x:c>
      <x:c r="I9" s="54" t="n">
        <x:f>COUNTIF('Приоритизация'!L4:L203,"*"&amp;F9&amp;"*")</x:f>
        <x:v>0</x:v>
      </x:c>
    </x:row>
    <x:row r="10" ht="34" customHeight="1">
      <x:c r="A10" s="21" t="str">
        <x:v>Пользовательских сценариев</x:v>
      </x:c>
      <x:c r="B10" s="54" t="n">
        <x:f>COUNTA('Пользовательские сценарии'!A4:A203)</x:f>
        <x:v>2</x:v>
      </x:c>
      <x:c r="C10" s="21" t="str">
        <x:v>шт.</x:v>
      </x:c>
      <x:c r="D10" s="21" t="str">
        <x:v>Полнота сценарной модели</x:v>
      </x:c>
    </x:row>
    <x:row r="11" ht="34" customHeight="1">
      <x:c r="A11" s="21" t="str">
        <x:v>Критических и высоких сценариев</x:v>
      </x:c>
      <x:c r="B11" s="54" t="n">
        <x:f>COUNTIF('Пользовательские сценарии'!S4:S203,"Критический")+COUNTIF('Пользовательские сценарии'!S4:S203,"Высокий")</x:f>
        <x:v>2</x:v>
      </x:c>
      <x:c r="C11" s="21" t="str">
        <x:v>шт.</x:v>
      </x:c>
      <x:c r="D11" s="21" t="str">
        <x:v>Фокус для проектирования</x:v>
      </x:c>
    </x:row>
    <x:row r="12" ht="34" customHeight="1">
      <x:c r="A12" s="21" t="str">
        <x:v>Функциональных требований</x:v>
      </x:c>
      <x:c r="B12" s="54" t="n">
        <x:f>COUNTA('Функциональные требования'!A4:A203)</x:f>
        <x:v>2</x:v>
      </x:c>
      <x:c r="C12" s="21" t="str">
        <x:v>шт.</x:v>
      </x:c>
      <x:c r="D12" s="21" t="str">
        <x:v>Перевод сценариев в продукт</x:v>
      </x:c>
      <x:c r="F12" s="28" t="str">
        <x:v>Контрольные точки связности</x:v>
      </x:c>
      <x:c r="G12" s="28"/>
      <x:c r="H12" s="28"/>
      <x:c r="I12" s="28"/>
    </x:row>
    <x:row r="13" ht="34" customHeight="1">
      <x:c r="A13" s="21" t="str">
        <x:v>Требований MVP</x:v>
      </x:c>
      <x:c r="B13" s="54" t="n">
        <x:f>COUNTIF('Функциональные требования'!O4:O203,"Да")</x:f>
        <x:v>1</x:v>
      </x:c>
      <x:c r="C13" s="21" t="str">
        <x:v>шт.</x:v>
      </x:c>
      <x:c r="D13" s="21" t="str">
        <x:v>Состав первой версии</x:v>
      </x:c>
      <x:c r="F13" s="40" t="str">
        <x:v>Контрольная точка</x:v>
      </x:c>
      <x:c r="G13" s="40" t="str">
        <x:v>Количество</x:v>
      </x:c>
      <x:c r="H13" s="40" t="str">
        <x:v>Порог</x:v>
      </x:c>
      <x:c r="I13" s="40" t="str">
        <x:v>Статус</x:v>
      </x:c>
    </x:row>
    <x:row r="14" ht="34" customHeight="1">
      <x:c r="A14" s="21" t="str">
        <x:v>Пройденных контрольных точек</x:v>
      </x:c>
      <x:c r="B14" s="54" t="n">
        <x:f>COUNTIF('Связность'!H4:H13,"Пройдено")</x:f>
        <x:v>3</x:v>
      </x:c>
      <x:c r="C14" s="21" t="str">
        <x:v>из 10</x:v>
      </x:c>
      <x:c r="D14" s="21" t="str">
        <x:v>Общая проверка</x:v>
      </x:c>
      <x:c r="F14" s="21" t="str">
        <x:f>'Связность'!A4</x:f>
        <x:v>Единая доказательная база</x:v>
      </x:c>
      <x:c r="G14" s="54" t="n">
        <x:f>'Связность'!F4</x:f>
        <x:v>3</x:v>
      </x:c>
      <x:c r="H14" s="54" t="n">
        <x:f>'Связность'!G4</x:f>
        <x:v>5</x:v>
      </x:c>
      <x:c r="I14" s="54" t="str">
        <x:f>'Связность'!H4</x:f>
        <x:v>Недостаточно</x:v>
      </x:c>
    </x:row>
    <x:row r="15" ht="34" customHeight="1">
      <x:c r="A15" s="21" t="str">
        <x:v>Индекс готовности</x:v>
      </x:c>
      <x:c r="B15" s="56" t="n">
        <x:f>IFERROR(COUNTIF('Связность'!H4:H13,"Пройдено")/10,0)</x:f>
        <x:v>0.3</x:v>
      </x:c>
      <x:c r="C15" s="21" t="str">
        <x:v>%</x:v>
      </x:c>
      <x:c r="D15" s="21" t="str">
        <x:v>Итоговая готовность</x:v>
      </x:c>
      <x:c r="F15" s="21" t="str">
        <x:f>'Связность'!A5</x:f>
        <x:v>Подтвержденные основания</x:v>
      </x:c>
      <x:c r="G15" s="54" t="n">
        <x:f>'Связность'!F5</x:f>
        <x:v>3</x:v>
      </x:c>
      <x:c r="H15" s="54" t="n">
        <x:f>'Связность'!G5</x:f>
        <x:v>3</x:v>
      </x:c>
      <x:c r="I15" s="54" t="str">
        <x:f>'Связность'!H5</x:f>
        <x:v>Пройдено</x:v>
      </x:c>
    </x:row>
    <x:row r="16" ht="34" customHeight="1">
      <x:c r="F16" s="21" t="str">
        <x:f>'Связность'!A6</x:f>
        <x:v>Бизнес-логика</x:v>
      </x:c>
      <x:c r="G16" s="54" t="n">
        <x:f>'Связность'!F6</x:f>
        <x:v>2</x:v>
      </x:c>
      <x:c r="H16" s="54" t="n">
        <x:f>'Связность'!G6</x:f>
        <x:v>3</x:v>
      </x:c>
      <x:c r="I16" s="54" t="str">
        <x:f>'Связность'!H6</x:f>
        <x:v>Недостаточно</x:v>
      </x:c>
    </x:row>
    <x:row r="17" ht="34" customHeight="1">
      <x:c r="F17" s="21" t="str">
        <x:f>'Связность'!A7</x:f>
        <x:v>Роли и сегменты</x:v>
      </x:c>
      <x:c r="G17" s="54" t="n">
        <x:f>'Связность'!F7</x:f>
        <x:v>2</x:v>
      </x:c>
      <x:c r="H17" s="54" t="n">
        <x:f>'Связность'!G7</x:f>
        <x:v>2</x:v>
      </x:c>
      <x:c r="I17" s="54" t="str">
        <x:f>'Связность'!H7</x:f>
        <x:v>Пройдено</x:v>
      </x:c>
    </x:row>
    <x:row r="18" ht="34" customHeight="1">
      <x:c r="A18" s="28" t="str">
        <x:v>Итоговая интерпретация</x:v>
      </x:c>
      <x:c r="B18" s="28"/>
      <x:c r="C18" s="28"/>
      <x:c r="D18" s="28"/>
      <x:c r="F18" s="21" t="str">
        <x:f>'Связность'!A8</x:f>
        <x:v>Сценарии</x:v>
      </x:c>
      <x:c r="G18" s="54" t="n">
        <x:f>'Связность'!F8</x:f>
        <x:v>2</x:v>
      </x:c>
      <x:c r="H18" s="54" t="n">
        <x:f>'Связность'!G8</x:f>
        <x:v>5</x:v>
      </x:c>
      <x:c r="I18" s="54" t="str">
        <x:f>'Связность'!H8</x:f>
        <x:v>Недостаточно</x:v>
      </x:c>
    </x:row>
    <x:row r="19" ht="34" customHeight="1">
      <x:c r="A19" s="21" t="str">
        <x:v>Индекс готовности менее 50%</x:v>
      </x:c>
      <x:c r="B19" s="21" t="str">
        <x:v>Модель неполная: сначала усилить доказательную базу, роли и сценарии.</x:v>
      </x:c>
      <x:c r="C19" s="21" t="str"/>
      <x:c r="D19" s="21" t="str"/>
      <x:c r="F19" s="21" t="str">
        <x:f>'Связность'!A9</x:f>
        <x:v>Монетизационные сценарии</x:v>
      </x:c>
      <x:c r="G19" s="54" t="n">
        <x:f>'Связность'!F9</x:f>
        <x:v>1</x:v>
      </x:c>
      <x:c r="H19" s="54" t="n">
        <x:f>'Связность'!G9</x:f>
        <x:v>1</x:v>
      </x:c>
      <x:c r="I19" s="54" t="str">
        <x:f>'Связность'!H9</x:f>
        <x:v>Пройдено</x:v>
      </x:c>
    </x:row>
    <x:row r="20" ht="34" customHeight="1">
      <x:c r="A20" s="21" t="str">
        <x:v>Индекс готовности 50–79%</x:v>
      </x:c>
      <x:c r="B20" s="21" t="str">
        <x:v>Модель рабочая, но требует проверки слабых связей и уточнения монетизационных сценариев.</x:v>
      </x:c>
      <x:c r="C20" s="21" t="str"/>
      <x:c r="D20" s="21" t="str"/>
      <x:c r="F20" s="21" t="str">
        <x:f>'Связность'!A10</x:f>
        <x:v>Требования</x:v>
      </x:c>
      <x:c r="G20" s="54" t="n">
        <x:f>'Связность'!F10</x:f>
        <x:v>2</x:v>
      </x:c>
      <x:c r="H20" s="54" t="n">
        <x:f>'Связность'!G10</x:f>
        <x:v>5</x:v>
      </x:c>
      <x:c r="I20" s="54" t="str">
        <x:f>'Связность'!H10</x:f>
        <x:v>Недостаточно</x:v>
      </x:c>
    </x:row>
    <x:row r="21" ht="34" customHeight="1">
      <x:c r="A21" s="21" t="str">
        <x:v>Индекс готовности 80–100%</x:v>
      </x:c>
      <x:c r="B21" s="21" t="str">
        <x:v>Модель готова к переводу в техническое задание, прототипирование и план первой версии.</x:v>
      </x:c>
      <x:c r="C21" s="21" t="str"/>
      <x:c r="D21" s="21" t="str"/>
      <x:c r="F21" s="21" t="str">
        <x:f>'Связность'!A11</x:f>
        <x:v>MVP</x:v>
      </x:c>
      <x:c r="G21" s="54" t="n">
        <x:f>'Связность'!F11</x:f>
        <x:v>1</x:v>
      </x:c>
      <x:c r="H21" s="54" t="n">
        <x:f>'Связность'!G11</x:f>
        <x:v>3</x:v>
      </x:c>
      <x:c r="I21" s="54" t="str">
        <x:f>'Связность'!H11</x:f>
        <x:v>Недостаточно</x:v>
      </x:c>
    </x:row>
    <x:row r="22" ht="34" customHeight="1">
      <x:c r="A22" s="21" t="str">
        <x:v>Главный риск</x:v>
      </x:c>
      <x:c r="B22" s="21" t="str">
        <x:v>Сценарии без связи с проблемой, товаром или единицей монетизации не должны попадать в первую версию.</x:v>
      </x:c>
      <x:c r="C22" s="21" t="str"/>
      <x:c r="D22" s="21" t="str"/>
      <x:c r="F22" s="21" t="str">
        <x:f>'Связность'!A12</x:f>
        <x:v>Приоритизация</x:v>
      </x:c>
      <x:c r="G22" s="54" t="n">
        <x:f>'Связность'!F12</x:f>
        <x:v>2</x:v>
      </x:c>
      <x:c r="H22" s="54" t="n">
        <x:f>'Связность'!G12</x:f>
        <x:v>5</x:v>
      </x:c>
      <x:c r="I22" s="54" t="str">
        <x:f>'Связность'!H12</x:f>
        <x:v>Недостаточно</x:v>
      </x:c>
    </x:row>
    <x:row r="23" ht="34" customHeight="1">
      <x:c r="A23" s="21" t="str">
        <x:v>Главное правило</x:v>
      </x:c>
      <x:c r="B23" s="21" t="str">
        <x:v>Функция включается в продукт только если она поддерживает ценность, сценарий или монетизацию.</x:v>
      </x:c>
      <x:c r="C23" s="21" t="str"/>
      <x:c r="D23" s="21" t="str"/>
      <x:c r="F23" s="21" t="str">
        <x:f>'Связность'!A13</x:f>
        <x:v>Общая связность</x:v>
      </x:c>
      <x:c r="G23" s="54" t="n">
        <x:f>'Связность'!F13</x:f>
        <x:v>3</x:v>
      </x:c>
      <x:c r="H23" s="54" t="n">
        <x:f>'Связность'!G13</x:f>
        <x:v>7</x:v>
      </x:c>
      <x:c r="I23" s="54" t="str">
        <x:f>'Связность'!H13</x:f>
        <x:v>Недостаточно</x:v>
      </x:c>
    </x:row>
    <x:row r="24" ht="34" customHeight="1"/>
    <x:row r="25" ht="34" customHeight="1"/>
    <x:row r="26" ht="34" customHeight="1"/>
    <x:row r="27" ht="34" customHeight="1"/>
    <x:row r="28" ht="34" customHeight="1"/>
    <x:row r="29" ht="34" customHeight="1"/>
    <x:row r="30" ht="34" customHeight="1"/>
    <x:row r="31" ht="34" customHeight="1"/>
    <x:row r="32" ht="34" customHeight="1"/>
    <x:row r="33" ht="34" customHeight="1"/>
    <x:row r="34" ht="34" customHeight="1"/>
    <x:row r="35" ht="34" customHeight="1"/>
    <x:row r="36" ht="34" customHeight="1"/>
    <x:row r="37" ht="34" customHeight="1"/>
    <x:row r="38" ht="34" customHeight="1"/>
    <x:row r="39" ht="34" customHeight="1"/>
    <x:row r="40" ht="34" customHeight="1"/>
    <x:row r="41" ht="34" customHeight="1"/>
    <x:row r="42" ht="34" customHeight="1"/>
    <x:row r="43" ht="34" customHeight="1"/>
    <x:row r="44" ht="34" customHeight="1"/>
    <x:row r="45" ht="34" customHeight="1"/>
    <x:row r="46" ht="34" customHeight="1"/>
    <x:row r="47" ht="34" customHeight="1"/>
    <x:row r="48" ht="34" customHeight="1"/>
    <x:row r="49" ht="34" customHeight="1"/>
    <x:row r="50" ht="34" customHeight="1"/>
    <x:row r="51" ht="34" customHeight="1"/>
    <x:row r="52" ht="34" customHeight="1"/>
    <x:row r="53" ht="34" customHeight="1"/>
    <x:row r="54" ht="34" customHeight="1"/>
    <x:row r="55" ht="34" customHeight="1"/>
    <x:row r="56" ht="34" customHeight="1"/>
    <x:row r="57" ht="34" customHeight="1"/>
    <x:row r="58" ht="34" customHeight="1"/>
    <x:row r="59" ht="34" customHeight="1"/>
    <x:row r="60" ht="34" customHeight="1"/>
    <x:row r="61" ht="34" customHeight="1"/>
    <x:row r="62" ht="34" customHeight="1"/>
    <x:row r="63" ht="34" customHeight="1"/>
    <x:row r="64" ht="34" customHeight="1"/>
    <x:row r="65" ht="34" customHeight="1"/>
    <x:row r="66" ht="34" customHeight="1"/>
    <x:row r="67" ht="34" customHeight="1"/>
    <x:row r="68" ht="34" customHeight="1"/>
    <x:row r="69" ht="34" customHeight="1"/>
    <x:row r="70" ht="34" customHeight="1"/>
    <x:row r="71" ht="34" customHeight="1"/>
    <x:row r="72" ht="34" customHeight="1"/>
    <x:row r="73" ht="34" customHeight="1"/>
    <x:row r="74" ht="34" customHeight="1"/>
    <x:row r="75" ht="34" customHeight="1"/>
    <x:row r="76" ht="34" customHeight="1"/>
    <x:row r="77" ht="34" customHeight="1"/>
    <x:row r="78" ht="34" customHeight="1"/>
    <x:row r="79" ht="34" customHeight="1"/>
    <x:row r="80" ht="34" customHeight="1"/>
    <x:row r="81" ht="34" customHeight="1"/>
    <x:row r="82" ht="34" customHeight="1"/>
    <x:row r="83" ht="34" customHeight="1"/>
    <x:row r="84" ht="34" customHeight="1"/>
    <x:row r="85" ht="34" customHeight="1"/>
    <x:row r="86" ht="34" customHeight="1"/>
    <x:row r="87" ht="34" customHeight="1"/>
    <x:row r="88" ht="34" customHeight="1"/>
    <x:row r="89" ht="34" customHeight="1"/>
    <x:row r="90" ht="34" customHeight="1"/>
    <x:row r="91" ht="34" customHeight="1"/>
    <x:row r="92" ht="34" customHeight="1"/>
    <x:row r="93" ht="34" customHeight="1"/>
    <x:row r="94" ht="34" customHeight="1"/>
    <x:row r="95" ht="34" customHeight="1"/>
    <x:row r="96" ht="34" customHeight="1"/>
    <x:row r="97" ht="34" customHeight="1"/>
    <x:row r="98" ht="34" customHeight="1"/>
    <x:row r="99" ht="34" customHeight="1"/>
    <x:row r="100" ht="34" customHeight="1"/>
    <x:row r="101" ht="34" customHeight="1"/>
    <x:row r="102" ht="34" customHeight="1"/>
    <x:row r="103" ht="34" customHeight="1"/>
    <x:row r="104" ht="34" customHeight="1"/>
    <x:row r="105" ht="34" customHeight="1"/>
    <x:row r="106" ht="34" customHeight="1"/>
    <x:row r="107" ht="34" customHeight="1"/>
    <x:row r="108" ht="34" customHeight="1"/>
    <x:row r="109" ht="34" customHeight="1"/>
    <x:row r="110" ht="34" customHeight="1"/>
    <x:row r="111" ht="34" customHeight="1"/>
    <x:row r="112" ht="34" customHeight="1"/>
    <x:row r="113" ht="34" customHeight="1"/>
    <x:row r="114" ht="34" customHeight="1"/>
    <x:row r="115" ht="34" customHeight="1"/>
    <x:row r="116" ht="34" customHeight="1"/>
    <x:row r="117" ht="34" customHeight="1"/>
    <x:row r="118" ht="34" customHeight="1"/>
    <x:row r="119" ht="34" customHeight="1"/>
    <x:row r="120" ht="34" customHeight="1"/>
    <x:row r="121" ht="34" customHeight="1"/>
    <x:row r="122" ht="34" customHeight="1"/>
    <x:row r="123" ht="34" customHeight="1"/>
    <x:row r="124" ht="34" customHeight="1"/>
    <x:row r="125" ht="34" customHeight="1"/>
    <x:row r="126" ht="34" customHeight="1"/>
    <x:row r="127" ht="34" customHeight="1"/>
    <x:row r="128" ht="34" customHeight="1"/>
    <x:row r="129" ht="34" customHeight="1"/>
    <x:row r="130" ht="34" customHeight="1"/>
    <x:row r="131" ht="34" customHeight="1"/>
    <x:row r="132" ht="34" customHeight="1"/>
    <x:row r="133" ht="34" customHeight="1"/>
    <x:row r="134" ht="34" customHeight="1"/>
    <x:row r="135" ht="34" customHeight="1"/>
    <x:row r="136" ht="34" customHeight="1"/>
    <x:row r="137" ht="34" customHeight="1"/>
    <x:row r="138" ht="34" customHeight="1"/>
    <x:row r="139" ht="34" customHeight="1"/>
    <x:row r="140" ht="34" customHeight="1"/>
    <x:row r="141" ht="34" customHeight="1"/>
    <x:row r="142" ht="34" customHeight="1"/>
    <x:row r="143" ht="34" customHeight="1"/>
    <x:row r="144" ht="34" customHeight="1"/>
    <x:row r="145" ht="34" customHeight="1"/>
    <x:row r="146" ht="34" customHeight="1"/>
    <x:row r="147" ht="34" customHeight="1"/>
    <x:row r="148" ht="34" customHeight="1"/>
    <x:row r="149" ht="34" customHeight="1"/>
    <x:row r="150" ht="34" customHeight="1"/>
    <x:row r="151" ht="34" customHeight="1"/>
    <x:row r="152" ht="34" customHeight="1"/>
    <x:row r="153" ht="34" customHeight="1"/>
    <x:row r="154" ht="34" customHeight="1"/>
    <x:row r="155" ht="34" customHeight="1"/>
    <x:row r="156" ht="34" customHeight="1"/>
    <x:row r="157" ht="34" customHeight="1"/>
    <x:row r="158" ht="34" customHeight="1"/>
    <x:row r="159" ht="34" customHeight="1"/>
    <x:row r="160" ht="34" customHeight="1"/>
    <x:row r="161" ht="34" customHeight="1"/>
    <x:row r="162" ht="34" customHeight="1"/>
    <x:row r="163" ht="34" customHeight="1"/>
    <x:row r="164" ht="34" customHeight="1"/>
    <x:row r="165" ht="34" customHeight="1"/>
    <x:row r="166" ht="34" customHeight="1"/>
    <x:row r="167" ht="34" customHeight="1"/>
    <x:row r="168" ht="34" customHeight="1"/>
    <x:row r="169" ht="34" customHeight="1"/>
    <x:row r="170" ht="34" customHeight="1"/>
    <x:row r="171" ht="34" customHeight="1"/>
    <x:row r="172" ht="34" customHeight="1"/>
    <x:row r="173" ht="34" customHeight="1"/>
    <x:row r="174" ht="34" customHeight="1"/>
    <x:row r="175" ht="34" customHeight="1"/>
    <x:row r="176" ht="34" customHeight="1"/>
    <x:row r="177" ht="34" customHeight="1"/>
    <x:row r="178" ht="34" customHeight="1"/>
    <x:row r="179" ht="34" customHeight="1"/>
    <x:row r="180" ht="34" customHeight="1"/>
    <x:row r="181" ht="34" customHeight="1"/>
    <x:row r="182" ht="34" customHeight="1"/>
    <x:row r="183" ht="34" customHeight="1"/>
    <x:row r="184" ht="34" customHeight="1"/>
    <x:row r="185" ht="34" customHeight="1"/>
    <x:row r="186" ht="34" customHeight="1"/>
    <x:row r="187" ht="34" customHeight="1"/>
    <x:row r="188" ht="34" customHeight="1"/>
    <x:row r="189" ht="34" customHeight="1"/>
    <x:row r="190" ht="34" customHeight="1"/>
    <x:row r="191" ht="34" customHeight="1"/>
    <x:row r="192" ht="34" customHeight="1"/>
    <x:row r="193" ht="34" customHeight="1"/>
    <x:row r="194" ht="34" customHeight="1"/>
    <x:row r="195" ht="34" customHeight="1"/>
    <x:row r="196" ht="34" customHeight="1"/>
    <x:row r="197" ht="34" customHeight="1"/>
    <x:row r="198" ht="34" customHeight="1"/>
    <x:row r="199" ht="34" customHeight="1"/>
    <x:row r="200" ht="34" customHeight="1"/>
    <x:row r="201" ht="34" customHeight="1"/>
    <x:row r="202" ht="34" customHeight="1"/>
    <x:row r="203" ht="34" customHeight="1"/>
  </x:sheetData>
  <x:mergeCells>
    <x:mergeCell ref="A1:L1"/>
    <x:mergeCell ref="A3:D3"/>
    <x:mergeCell ref="F3:I3"/>
    <x:mergeCell ref="F12:I12"/>
    <x:mergeCell ref="A18:D18"/>
  </x:mergeCells>
  <x:conditionalFormatting sqref="I14:I23">
    <x:cfRule type="expression" dxfId="6" priority="1">
      <x:formula>I14="Пройдено"</x:formula>
    </x:cfRule>
    <x:cfRule type="expression" dxfId="7" priority="2">
      <x:formula>I14="Недостаточно"</x:formula>
    </x:cfRule>
  </x:conditionalFormatting>
  <x:pageMargins left="0.7" right="0.7" top="0.75" bottom="0.75" header="0.3" footer="0.3"/>
  <x:drawing xmlns:r="http://schemas.openxmlformats.org/officeDocument/2006/relationships" r:id="Rde9b503f009a4f5c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4" max="4" width="22" hidden="0" customWidth="1"/>
    <x:col min="7" max="7" width="28" hidden="0" customWidth="1"/>
    <x:col min="10" max="10" width="28" hidden="0" customWidth="1"/>
    <x:col min="2" max="2" width="22" hidden="0" customWidth="1"/>
    <x:col min="3" max="3" width="22" hidden="0" customWidth="1"/>
    <x:col min="5" max="5" width="22" hidden="0" customWidth="1"/>
    <x:col min="6" max="6" width="22" hidden="0" customWidth="1"/>
  </x:cols>
  <x:sheetData>
    <x:row r="1" ht="30" customHeight="1">
      <x:c r="A1" s="58" t="str">
        <x:v>Справочники для выпадающих списков и шкал оценки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3" ht="34" customHeight="1">
      <x:c r="A3" s="14" t="str">
        <x:v>Источник анализа</x:v>
      </x:c>
      <x:c r="D3" s="14" t="str">
        <x:v>Блок Канвас</x:v>
      </x:c>
      <x:c r="G3" s="14" t="str">
        <x:v>Уровень доказательности</x:v>
      </x:c>
      <x:c r="J3" s="14" t="str">
        <x:v>Роль пользователя</x:v>
      </x:c>
    </x:row>
    <x:row r="4" ht="34" customHeight="1">
      <x:c r="A4" s="21" t="str">
        <x:v>Анализ проблем клиентов</x:v>
      </x:c>
      <x:c r="D4" s="21" t="str">
        <x:v>Потребительские сегменты</x:v>
      </x:c>
      <x:c r="G4" s="21" t="str">
        <x:v>1 — слабый сигнал</x:v>
      </x:c>
      <x:c r="J4" s="21" t="str">
        <x:v>Посетитель</x:v>
      </x:c>
    </x:row>
    <x:row r="5" ht="34" customHeight="1">
      <x:c r="A5" s="21" t="str">
        <x:v>Анализ отзывов</x:v>
      </x:c>
      <x:c r="D5" s="21" t="str">
        <x:v>Ценностные предложения</x:v>
      </x:c>
      <x:c r="G5" s="21" t="str">
        <x:v>2 — частично подтверждено</x:v>
      </x:c>
      <x:c r="J5" s="21" t="str">
        <x:v>Потенциальный клиент</x:v>
      </x:c>
    </x:row>
    <x:row r="6" ht="34" customHeight="1">
      <x:c r="A6" s="21" t="str">
        <x:v>Анализ конкурентов по сайтам</x:v>
      </x:c>
      <x:c r="D6" s="21" t="str">
        <x:v>Каналы</x:v>
      </x:c>
      <x:c r="G6" s="21" t="str">
        <x:v>3 — подтверждено несколькими источниками</x:v>
      </x:c>
      <x:c r="J6" s="21" t="str">
        <x:v>Новый пользователь</x:v>
      </x:c>
    </x:row>
    <x:row r="7" ht="34" customHeight="1">
      <x:c r="A7" s="21" t="str">
        <x:v>Анализ бизнес-моделей конкурентов</x:v>
      </x:c>
      <x:c r="D7" s="21" t="str">
        <x:v>Отношения с клиентами</x:v>
      </x:c>
      <x:c r="G7" s="21" t="str">
        <x:v>4 — проверенное основание</x:v>
      </x:c>
      <x:c r="J7" s="21" t="str">
        <x:v>Активный пользователь</x:v>
      </x:c>
    </x:row>
    <x:row r="8" ht="34" customHeight="1">
      <x:c r="A8" s="21" t="str">
        <x:v>Классификация компаний по уровням конкуренции</x:v>
      </x:c>
      <x:c r="D8" s="21" t="str">
        <x:v>Потоки доходов</x:v>
      </x:c>
      <x:c r="J8" s="21" t="str">
        <x:v>Платящий клиент</x:v>
      </x:c>
    </x:row>
    <x:row r="9" ht="34" customHeight="1">
      <x:c r="A9" s="21" t="str">
        <x:v>Анализ цифрового товара и рыночного стандарта</x:v>
      </x:c>
      <x:c r="D9" s="21" t="str">
        <x:v>Ключевые ресурсы</x:v>
      </x:c>
      <x:c r="J9" s="21" t="str">
        <x:v>Администратор клиента</x:v>
      </x:c>
    </x:row>
    <x:row r="10" ht="34" customHeight="1">
      <x:c r="A10" s="21" t="str">
        <x:v>Ценностное предложение и цифровой товар</x:v>
      </x:c>
      <x:c r="D10" s="21" t="str">
        <x:v>Ключевые виды деятельности</x:v>
      </x:c>
      <x:c r="J10" s="21" t="str">
        <x:v>Менеджер/оператор</x:v>
      </x:c>
    </x:row>
    <x:row r="11" ht="34" customHeight="1">
      <x:c r="A11" s="21" t="str">
        <x:v>Канвас бизнес-модели</x:v>
      </x:c>
      <x:c r="D11" s="21" t="str">
        <x:v>Ключевые партнеры</x:v>
      </x:c>
      <x:c r="J11" s="21" t="str">
        <x:v>Партнер</x:v>
      </x:c>
    </x:row>
    <x:row r="12" ht="34" customHeight="1">
      <x:c r="A12" s="21" t="str">
        <x:v>Экономика монетизации</x:v>
      </x:c>
      <x:c r="D12" s="21" t="str">
        <x:v>Структура затрат</x:v>
      </x:c>
      <x:c r="J12" s="21" t="str">
        <x:v>Внутренний администратор</x:v>
      </x:c>
    </x:row>
    <x:row r="13" ht="34" customHeight="1">
      <x:c r="A13" s="21" t="str">
        <x:v>Проверка пользовательских сценариев</x:v>
      </x:c>
    </x:row>
    <x:row r="14" ht="34" customHeight="1"/>
    <x:row r="15" ht="34" customHeight="1"/>
    <x:row r="16" ht="34" customHeight="1"/>
    <x:row r="17" ht="34" customHeight="1">
      <x:c r="A17" s="14" t="str">
        <x:v>Этап сценария</x:v>
      </x:c>
      <x:c r="D17" s="14" t="str">
        <x:v>Тип сценария</x:v>
      </x:c>
      <x:c r="G17" s="14" t="str">
        <x:v>Приоритет</x:v>
      </x:c>
      <x:c r="J17" s="14" t="str">
        <x:v>Статус</x:v>
      </x:c>
    </x:row>
    <x:row r="18" ht="34" customHeight="1">
      <x:c r="A18" s="21" t="str">
        <x:v>Привлечение</x:v>
      </x:c>
      <x:c r="D18" s="21" t="str">
        <x:v>Основной</x:v>
      </x:c>
      <x:c r="G18" s="21" t="str">
        <x:v>Критический</x:v>
      </x:c>
      <x:c r="J18" s="21" t="str">
        <x:v>Черновик</x:v>
      </x:c>
    </x:row>
    <x:row r="19" ht="34" customHeight="1">
      <x:c r="A19" s="21" t="str">
        <x:v>Первичный интерес</x:v>
      </x:c>
      <x:c r="D19" s="21" t="str">
        <x:v>Вспомогательный</x:v>
      </x:c>
      <x:c r="G19" s="21" t="str">
        <x:v>Высокий</x:v>
      </x:c>
      <x:c r="J19" s="21" t="str">
        <x:v>Требует проверки</x:v>
      </x:c>
    </x:row>
    <x:row r="20" ht="34" customHeight="1">
      <x:c r="A20" s="21" t="str">
        <x:v>Регистрация</x:v>
      </x:c>
      <x:c r="D20" s="21" t="str">
        <x:v>Монетизационный</x:v>
      </x:c>
      <x:c r="G20" s="21" t="str">
        <x:v>Средний</x:v>
      </x:c>
      <x:c r="J20" s="21" t="str">
        <x:v>Подтверждено</x:v>
      </x:c>
    </x:row>
    <x:row r="21" ht="34" customHeight="1">
      <x:c r="A21" s="21" t="str">
        <x:v>Первичная настройка</x:v>
      </x:c>
      <x:c r="D21" s="21" t="str">
        <x:v>Сервисный</x:v>
      </x:c>
      <x:c r="G21" s="21" t="str">
        <x:v>Низкий</x:v>
      </x:c>
      <x:c r="J21" s="21" t="str">
        <x:v>В разработку</x:v>
      </x:c>
    </x:row>
    <x:row r="22" ht="34" customHeight="1">
      <x:c r="A22" s="21" t="str">
        <x:v>Получение ценности</x:v>
      </x:c>
      <x:c r="D22" s="21" t="str">
        <x:v>Административный</x:v>
      </x:c>
      <x:c r="G22" s="21" t="str">
        <x:v>Отложить</x:v>
      </x:c>
      <x:c r="J22" s="21" t="str">
        <x:v>Исключено</x:v>
      </x:c>
    </x:row>
    <x:row r="23" ht="34" customHeight="1">
      <x:c r="A23" s="21" t="str">
        <x:v>Оплата</x:v>
      </x:c>
      <x:c r="D23" s="21" t="str">
        <x:v>Удерживающий</x:v>
      </x:c>
    </x:row>
    <x:row r="24" ht="34" customHeight="1">
      <x:c r="A24" s="21" t="str">
        <x:v>Повторное использование</x:v>
      </x:c>
      <x:c r="D24" s="21" t="str">
        <x:v>Партнерский</x:v>
      </x:c>
    </x:row>
    <x:row r="25" ht="34" customHeight="1">
      <x:c r="A25" s="21" t="str">
        <x:v>Поддержка</x:v>
      </x:c>
    </x:row>
    <x:row r="26" ht="34" customHeight="1">
      <x:c r="A26" s="21" t="str">
        <x:v>Удержание</x:v>
      </x:c>
    </x:row>
    <x:row r="27" ht="34" customHeight="1">
      <x:c r="A27" s="21" t="str">
        <x:v>Расширение потребления</x:v>
      </x:c>
    </x:row>
    <x:row r="28" ht="34" customHeight="1">
      <x:c r="A28" s="21" t="str">
        <x:v>Отказ/возврат</x:v>
      </x:c>
    </x:row>
    <x:row r="29" ht="34" customHeight="1"/>
    <x:row r="30" ht="34" customHeight="1"/>
    <x:row r="31" ht="34" customHeight="1">
      <x:c r="A31" s="14" t="str">
        <x:v>Тип бизнес-логики</x:v>
      </x:c>
      <x:c r="D31" s="14" t="str">
        <x:v>Категория Кано</x:v>
      </x:c>
      <x:c r="G31" s="14" t="str">
        <x:v>Уровень товара по Левитту</x:v>
      </x:c>
      <x:c r="J31" s="14" t="str">
        <x:v>Тип цифрового товара</x:v>
      </x:c>
    </x:row>
    <x:row r="32" ht="34" customHeight="1">
      <x:c r="A32" s="21" t="str">
        <x:v>Клиентская</x:v>
      </x:c>
      <x:c r="D32" s="21" t="str">
        <x:v>Базовое требование</x:v>
      </x:c>
      <x:c r="G32" s="21" t="str">
        <x:v>Ядро выгоды</x:v>
      </x:c>
      <x:c r="J32" s="21" t="str">
        <x:v>Подписка</x:v>
      </x:c>
    </x:row>
    <x:row r="33" ht="34" customHeight="1">
      <x:c r="A33" s="21" t="str">
        <x:v>Продуктовая</x:v>
      </x:c>
      <x:c r="D33" s="21" t="str">
        <x:v>Линейное требование</x:v>
      </x:c>
      <x:c r="G33" s="21" t="str">
        <x:v>Базовый товар</x:v>
      </x:c>
      <x:c r="J33" s="21" t="str">
        <x:v>Доступ к сервису</x:v>
      </x:c>
    </x:row>
    <x:row r="34" ht="34" customHeight="1">
      <x:c r="A34" s="21" t="str">
        <x:v>Монетизационная</x:v>
      </x:c>
      <x:c r="D34" s="21" t="str">
        <x:v>Восхищающее требование</x:v>
      </x:c>
      <x:c r="G34" s="21" t="str">
        <x:v>Ожидаемый товар</x:v>
      </x:c>
      <x:c r="J34" s="21" t="str">
        <x:v>Цифровой контент</x:v>
      </x:c>
    </x:row>
    <x:row r="35" ht="34" customHeight="1">
      <x:c r="A35" s="21" t="str">
        <x:v>Канальная</x:v>
      </x:c>
      <x:c r="D35" s="21" t="str">
        <x:v>Нейтральный признак</x:v>
      </x:c>
      <x:c r="G35" s="21" t="str">
        <x:v>Расширенный товар</x:v>
      </x:c>
      <x:c r="J35" s="21" t="str">
        <x:v>Транзакционная услуга</x:v>
      </x:c>
    </x:row>
    <x:row r="36" ht="34" customHeight="1">
      <x:c r="A36" s="21" t="str">
        <x:v>Сервисная</x:v>
      </x:c>
      <x:c r="D36" s="21" t="str">
        <x:v>Обратное требование</x:v>
      </x:c>
      <x:c r="G36" s="21" t="str">
        <x:v>Потенциальный товар</x:v>
      </x:c>
      <x:c r="J36" s="21" t="str">
        <x:v>Маркетплейс-доступ</x:v>
      </x:c>
    </x:row>
    <x:row r="37" ht="34" customHeight="1">
      <x:c r="A37" s="21" t="str">
        <x:v>Партнерская</x:v>
      </x:c>
      <x:c r="D37" s="21" t="str">
        <x:v>Не определено</x:v>
      </x:c>
      <x:c r="J37" s="21" t="str">
        <x:v>Программный модуль</x:v>
      </x:c>
    </x:row>
    <x:row r="38" ht="34" customHeight="1">
      <x:c r="A38" s="21" t="str">
        <x:v>Операционная</x:v>
      </x:c>
      <x:c r="J38" s="21" t="str">
        <x:v>Данные/аналитика</x:v>
      </x:c>
    </x:row>
    <x:row r="39" ht="34" customHeight="1">
      <x:c r="A39" s="21" t="str">
        <x:v>Инфраструктурная</x:v>
      </x:c>
      <x:c r="J39" s="21" t="str">
        <x:v>Образовательный продукт</x:v>
      </x:c>
    </x:row>
    <x:row r="40" ht="34" customHeight="1">
      <x:c r="A40" s="21" t="str">
        <x:v>Правовая</x:v>
      </x:c>
      <x:c r="J40" s="21" t="str">
        <x:v>Гибридный товар</x:v>
      </x:c>
    </x:row>
    <x:row r="41" ht="34" customHeight="1">
      <x:c r="A41" s="21" t="str">
        <x:v>Аналитическая</x:v>
      </x:c>
    </x:row>
    <x:row r="42" ht="34" customHeight="1"/>
    <x:row r="43" ht="34" customHeight="1"/>
    <x:row r="44" ht="34" customHeight="1"/>
    <x:row r="45" ht="34" customHeight="1">
      <x:c r="A45" s="14" t="str">
        <x:v>Шкала</x:v>
      </x:c>
      <x:c r="B45" s="14" t="str">
        <x:v>1</x:v>
      </x:c>
      <x:c r="C45" s="14" t="str">
        <x:v>2</x:v>
      </x:c>
      <x:c r="D45" s="14" t="str">
        <x:v>3</x:v>
      </x:c>
      <x:c r="E45" s="14" t="str">
        <x:v>4-5</x:v>
      </x:c>
      <x:c r="F45" s="20" t="str">
        <x:v>Правило</x:v>
      </x:c>
    </x:row>
    <x:row r="46" ht="34" customHeight="1">
      <x:c r="A46" s="21" t="str">
        <x:v>Значимость проблемы</x:v>
      </x:c>
      <x:c r="B46" s="20" t="str">
        <x:v>единичный дискомфорт</x:v>
      </x:c>
      <x:c r="C46" s="20" t="str">
        <x:v>частая неудобность</x:v>
      </x:c>
      <x:c r="D46" s="20" t="str">
        <x:v>существенный ущерб</x:v>
      </x:c>
      <x:c r="E46" s="20" t="str">
        <x:v>критичная боль</x:v>
      </x:c>
      <x:c r="F46" s="20" t="str">
        <x:v>Оценивать по частоте, тяжести, экономическим последствиям</x:v>
      </x:c>
    </x:row>
    <x:row r="47" ht="34" customHeight="1">
      <x:c r="A47" s="21" t="str">
        <x:v>Влияние на выручку</x:v>
      </x:c>
      <x:c r="B47" s="20" t="str">
        <x:v>слабое</x:v>
      </x:c>
      <x:c r="C47" s="20" t="str">
        <x:v>косвенное</x:v>
      </x:c>
      <x:c r="D47" s="20" t="str">
        <x:v>заметное</x:v>
      </x:c>
      <x:c r="E47" s="20" t="str">
        <x:v>прямое</x:v>
      </x:c>
      <x:c r="F47" s="20" t="str">
        <x:v>Связывать с оплатой, удержанием, расширением потребления</x:v>
      </x:c>
    </x:row>
    <x:row r="48" ht="34" customHeight="1">
      <x:c r="A48" s="21" t="str">
        <x:v>Сложность реализации</x:v>
      </x:c>
      <x:c r="B48" s="20" t="str">
        <x:v>низкая</x:v>
      </x:c>
      <x:c r="C48" s="20" t="str">
        <x:v>умеренная</x:v>
      </x:c>
      <x:c r="D48" s="20" t="str">
        <x:v>средняя</x:v>
      </x:c>
      <x:c r="E48" s="20" t="str">
        <x:v>высокая</x:v>
      </x:c>
      <x:c r="F48" s="20" t="str">
        <x:v>Чем выше сложность, тем ниже приоритет при равной ценности</x:v>
      </x:c>
    </x:row>
    <x:row r="49" ht="34" customHeight="1">
      <x:c r="A49" s="21" t="str">
        <x:v>Доказательность</x:v>
      </x:c>
      <x:c r="B49" s="20" t="str">
        <x:v>слабый сигнал</x:v>
      </x:c>
      <x:c r="C49" s="20" t="str">
        <x:v>частично</x:v>
      </x:c>
      <x:c r="D49" s="20" t="str">
        <x:v>подтверждено</x:v>
      </x:c>
      <x:c r="E49" s="20" t="str">
        <x:v>проверено</x:v>
      </x:c>
      <x:c r="F49" s="20" t="str">
        <x:v>Оценивать по числу и качеству источников</x:v>
      </x:c>
    </x:row>
    <x:row r="50" ht="34" customHeight="1">
      <x:c r="A50" s="21" t="str">
        <x:v>Исключить</x:v>
      </x:c>
    </x:row>
    <x:row r="51" ht="34" customHeight="1"/>
    <x:row r="52" ht="34" customHeight="1"/>
    <x:row r="53" ht="34" customHeight="1"/>
    <x:row r="54" ht="34" customHeight="1"/>
    <x:row r="55" ht="34" customHeight="1"/>
    <x:row r="56" ht="34" customHeight="1"/>
    <x:row r="57" ht="34" customHeight="1"/>
    <x:row r="58" ht="34" customHeight="1"/>
    <x:row r="59" ht="34" customHeight="1"/>
    <x:row r="60" ht="34" customHeight="1"/>
    <x:row r="61" ht="34" customHeight="1"/>
    <x:row r="62" ht="34" customHeight="1"/>
    <x:row r="63" ht="34" customHeight="1"/>
    <x:row r="64" ht="34" customHeight="1"/>
    <x:row r="65" ht="34" customHeight="1"/>
    <x:row r="66" ht="34" customHeight="1"/>
    <x:row r="67" ht="34" customHeight="1"/>
    <x:row r="68" ht="34" customHeight="1"/>
    <x:row r="69" ht="34" customHeight="1"/>
    <x:row r="70" ht="34" customHeight="1"/>
    <x:row r="71" ht="34" customHeight="1"/>
    <x:row r="72" ht="34" customHeight="1"/>
    <x:row r="73" ht="34" customHeight="1"/>
    <x:row r="74" ht="34" customHeight="1"/>
    <x:row r="75" ht="34" customHeight="1"/>
    <x:row r="76" ht="34" customHeight="1"/>
    <x:row r="77" ht="34" customHeight="1"/>
    <x:row r="78" ht="34" customHeight="1"/>
    <x:row r="79" ht="34" customHeight="1"/>
    <x:row r="80" ht="34" customHeight="1"/>
    <x:row r="81" ht="34" customHeight="1"/>
    <x:row r="82" ht="34" customHeight="1"/>
    <x:row r="83" ht="34" customHeight="1"/>
    <x:row r="84" ht="34" customHeight="1"/>
    <x:row r="85" ht="34" customHeight="1"/>
    <x:row r="86" ht="34" customHeight="1"/>
    <x:row r="87" ht="34" customHeight="1"/>
    <x:row r="88" ht="34" customHeight="1"/>
    <x:row r="89" ht="34" customHeight="1"/>
    <x:row r="90" ht="34" customHeight="1"/>
    <x:row r="91" ht="34" customHeight="1"/>
    <x:row r="92" ht="34" customHeight="1"/>
    <x:row r="93" ht="34" customHeight="1"/>
    <x:row r="94" ht="34" customHeight="1"/>
    <x:row r="95" ht="34" customHeight="1"/>
    <x:row r="96" ht="34" customHeight="1"/>
    <x:row r="97" ht="34" customHeight="1"/>
    <x:row r="98" ht="34" customHeight="1"/>
    <x:row r="99" ht="34" customHeight="1"/>
    <x:row r="100" ht="34" customHeight="1"/>
    <x:row r="101" ht="34" customHeight="1"/>
    <x:row r="102" ht="34" customHeight="1"/>
    <x:row r="103" ht="34" customHeight="1"/>
    <x:row r="104" ht="34" customHeight="1"/>
    <x:row r="105" ht="34" customHeight="1"/>
    <x:row r="106" ht="34" customHeight="1"/>
    <x:row r="107" ht="34" customHeight="1"/>
    <x:row r="108" ht="34" customHeight="1"/>
    <x:row r="109" ht="34" customHeight="1"/>
    <x:row r="110" ht="34" customHeight="1"/>
    <x:row r="111" ht="34" customHeight="1"/>
    <x:row r="112" ht="34" customHeight="1"/>
    <x:row r="113" ht="34" customHeight="1"/>
    <x:row r="114" ht="34" customHeight="1"/>
    <x:row r="115" ht="34" customHeight="1"/>
    <x:row r="116" ht="34" customHeight="1"/>
    <x:row r="117" ht="34" customHeight="1"/>
    <x:row r="118" ht="34" customHeight="1"/>
    <x:row r="119" ht="34" customHeight="1"/>
    <x:row r="120" ht="34" customHeight="1"/>
    <x:row r="121" ht="34" customHeight="1"/>
    <x:row r="122" ht="34" customHeight="1"/>
    <x:row r="123" ht="34" customHeight="1"/>
    <x:row r="124" ht="34" customHeight="1"/>
    <x:row r="125" ht="34" customHeight="1"/>
    <x:row r="126" ht="34" customHeight="1"/>
    <x:row r="127" ht="34" customHeight="1"/>
    <x:row r="128" ht="34" customHeight="1"/>
    <x:row r="129" ht="34" customHeight="1"/>
    <x:row r="130" ht="34" customHeight="1"/>
    <x:row r="131" ht="34" customHeight="1"/>
    <x:row r="132" ht="34" customHeight="1"/>
    <x:row r="133" ht="34" customHeight="1"/>
    <x:row r="134" ht="34" customHeight="1"/>
    <x:row r="135" ht="34" customHeight="1"/>
    <x:row r="136" ht="34" customHeight="1"/>
    <x:row r="137" ht="34" customHeight="1"/>
    <x:row r="138" ht="34" customHeight="1"/>
    <x:row r="139" ht="34" customHeight="1"/>
    <x:row r="140" ht="34" customHeight="1"/>
    <x:row r="141" ht="34" customHeight="1"/>
    <x:row r="142" ht="34" customHeight="1"/>
    <x:row r="143" ht="34" customHeight="1"/>
    <x:row r="144" ht="34" customHeight="1"/>
    <x:row r="145" ht="34" customHeight="1"/>
    <x:row r="146" ht="34" customHeight="1"/>
    <x:row r="147" ht="34" customHeight="1"/>
    <x:row r="148" ht="34" customHeight="1"/>
    <x:row r="149" ht="34" customHeight="1"/>
    <x:row r="150" ht="34" customHeight="1"/>
    <x:row r="151" ht="34" customHeight="1"/>
    <x:row r="152" ht="34" customHeight="1"/>
    <x:row r="153" ht="34" customHeight="1"/>
    <x:row r="154" ht="34" customHeight="1"/>
    <x:row r="155" ht="34" customHeight="1"/>
    <x:row r="156" ht="34" customHeight="1"/>
    <x:row r="157" ht="34" customHeight="1"/>
    <x:row r="158" ht="34" customHeight="1"/>
    <x:row r="159" ht="34" customHeight="1"/>
    <x:row r="160" ht="34" customHeight="1"/>
    <x:row r="161" ht="34" customHeight="1"/>
    <x:row r="162" ht="34" customHeight="1"/>
    <x:row r="163" ht="34" customHeight="1"/>
    <x:row r="164" ht="34" customHeight="1"/>
    <x:row r="165" ht="34" customHeight="1"/>
    <x:row r="166" ht="34" customHeight="1"/>
    <x:row r="167" ht="34" customHeight="1"/>
    <x:row r="168" ht="34" customHeight="1"/>
    <x:row r="169" ht="34" customHeight="1"/>
    <x:row r="170" ht="34" customHeight="1"/>
    <x:row r="171" ht="34" customHeight="1"/>
    <x:row r="172" ht="34" customHeight="1"/>
    <x:row r="173" ht="34" customHeight="1"/>
    <x:row r="174" ht="34" customHeight="1"/>
    <x:row r="175" ht="34" customHeight="1"/>
    <x:row r="176" ht="34" customHeight="1"/>
    <x:row r="177" ht="34" customHeight="1"/>
    <x:row r="178" ht="34" customHeight="1"/>
    <x:row r="179" ht="34" customHeight="1"/>
    <x:row r="180" ht="34" customHeight="1"/>
    <x:row r="181" ht="34" customHeight="1"/>
    <x:row r="182" ht="34" customHeight="1"/>
    <x:row r="183" ht="34" customHeight="1"/>
    <x:row r="184" ht="34" customHeight="1"/>
    <x:row r="185" ht="34" customHeight="1"/>
    <x:row r="186" ht="34" customHeight="1"/>
    <x:row r="187" ht="34" customHeight="1"/>
    <x:row r="188" ht="34" customHeight="1"/>
    <x:row r="189" ht="34" customHeight="1"/>
    <x:row r="190" ht="34" customHeight="1"/>
    <x:row r="191" ht="34" customHeight="1"/>
    <x:row r="192" ht="34" customHeight="1"/>
    <x:row r="193" ht="34" customHeight="1"/>
    <x:row r="194" ht="34" customHeight="1"/>
    <x:row r="195" ht="34" customHeight="1"/>
    <x:row r="196" ht="34" customHeight="1"/>
    <x:row r="197" ht="34" customHeight="1"/>
    <x:row r="198" ht="34" customHeight="1"/>
    <x:row r="199" ht="34" customHeight="1"/>
    <x:row r="200" ht="34" customHeight="1"/>
    <x:row r="201" ht="34" customHeight="1"/>
    <x:row r="202" ht="34" customHeight="1"/>
    <x:row r="203" ht="34" customHeight="1"/>
  </x:sheetData>
  <x:mergeCells>
    <x:mergeCell ref="A1:Z1"/>
  </x:mergeCells>
  <x:pageMargins left="0.7" right="0.7" top="0.75" bottom="0.75" header="0.3" footer="0.3"/>
</x:worksheet>
</file>