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11b7e507a4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50f5d65ddaba42f6"/>
    <x:sheet xmlns:r="http://schemas.openxmlformats.org/officeDocument/2006/relationships" name="Банк_анализа" sheetId="2" r:id="R4505b983d0b6448f"/>
    <x:sheet xmlns:r="http://schemas.openxmlformats.org/officeDocument/2006/relationships" name="Реестр_единиц" sheetId="3" r:id="Rdc034ce94dbc434f"/>
    <x:sheet xmlns:r="http://schemas.openxmlformats.org/officeDocument/2006/relationships" name="Оценка_релизов" sheetId="4" r:id="R5e89e24aa60a42ec"/>
    <x:sheet xmlns:r="http://schemas.openxmlformats.org/officeDocument/2006/relationships" name="Первый_релиз" sheetId="5" r:id="R9298cbfcf0ec4c7d"/>
    <x:sheet xmlns:r="http://schemas.openxmlformats.org/officeDocument/2006/relationships" name="Следующие_релизы" sheetId="6" r:id="Rb58bd55d25884ba6"/>
    <x:sheet xmlns:r="http://schemas.openxmlformats.org/officeDocument/2006/relationships" name="Дорожная_карта" sheetId="7" r:id="Rb734ff2f9e504069"/>
    <x:sheet xmlns:r="http://schemas.openxmlformats.org/officeDocument/2006/relationships" name="Проверка_ценности" sheetId="8" r:id="R153e92b505454d96"/>
    <x:sheet xmlns:r="http://schemas.openxmlformats.org/officeDocument/2006/relationships" name="Риски_зависимости" sheetId="9" r:id="R93de00df9c2c43b6"/>
    <x:sheet xmlns:r="http://schemas.openxmlformats.org/officeDocument/2006/relationships" name="Дашборд" sheetId="10" r:id="Ra3eb0ac93bf94a7f"/>
    <x:sheet xmlns:r="http://schemas.openxmlformats.org/officeDocument/2006/relationships" name="Справочники" sheetId="11" r:id="Rf522767c2296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yyyy-mm-dd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17365D"/>
      <x:name val="Carlito"/>
    </x:font>
    <x:font>
      <x:sz val="11"/>
      <x:color rgb="000000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5B9BD5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vertical="top" wrapText="1"/>
    </x:xf>
    <x:xf numFmtId="200" fontId="3" fillId="4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6" borderId="0" xfId="0" applyNumberFormat="1" applyFont="1" applyFill="1" applyBorder="1"/>
    <x:xf numFmtId="0" fontId="0" fillId="6" borderId="0" xfId="0" applyNumberFormat="1" applyFont="1" applyFill="1" applyBorder="1"/>
    <x:xf numFmtId="201" fontId="3" fillId="6" borderId="0" xfId="0" applyNumberFormat="1" applyFont="1" applyFill="1" applyBorder="1"/>
    <x:xf numFmtId="0" fontId="3" fillId="6" borderId="0" xfId="0" applyNumberFormat="1" applyFont="1" applyFill="1" applyBorder="1"/>
    <x:xf numFmtId="201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201" fontId="3" fillId="6" borderId="0" xfId="0" applyNumberFormat="1" applyFont="1" applyFill="1" applyBorder="1" applyAlignment="1">
      <x:alignment vertical="top" wrapText="1"/>
    </x:xf>
    <x:xf numFmtId="201" fontId="0" fillId="6" borderId="1" xfId="0" applyNumberFormat="1" applyFont="1" applyFill="1" applyBorder="1"/>
    <x:xf numFmtId="0" fontId="0" fillId="6" borderId="1" xfId="0" applyNumberFormat="1" applyFont="1" applyFill="1" applyBorder="1"/>
    <x:xf numFmtId="201" fontId="3" fillId="6" borderId="1" xfId="0" applyNumberFormat="1" applyFont="1" applyFill="1" applyBorder="1"/>
    <x:xf numFmtId="0" fontId="3" fillId="6" borderId="1" xfId="0" applyNumberFormat="1" applyFont="1" applyFill="1" applyBorder="1"/>
    <x:xf numFmtId="201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201" fontId="3" fillId="6" borderId="1" xfId="0" applyNumberFormat="1" applyFont="1" applyFill="1" applyBorder="1" applyAlignment="1">
      <x:alignment vertical="top" wrapText="1"/>
    </x:xf>
    <x:xf numFmtId="202" fontId="3" fillId="4" borderId="0" xfId="0" applyNumberFormat="1" applyFont="1" applyFill="1" applyBorder="1" applyAlignment="1">
      <x:alignment vertical="top" wrapText="1"/>
    </x:xf>
    <x:xf numFmtId="202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336fbee4f24c9c" /><Relationship Type="http://schemas.openxmlformats.org/officeDocument/2006/relationships/theme" Target="/xl/theme/theme1.xml" Id="R6164d4b7c68b4a5b" /><Relationship Type="http://schemas.openxmlformats.org/officeDocument/2006/relationships/sharedStrings" Target="/xl/sharedStrings.xml" Id="Rd107c83a47b94a47" /><Relationship Type="http://schemas.openxmlformats.org/officeDocument/2006/relationships/worksheet" Target="/xl/worksheets/sheet1.xml" Id="R50f5d65ddaba42f6" /><Relationship Type="http://schemas.openxmlformats.org/officeDocument/2006/relationships/worksheet" Target="/xl/worksheets/sheet2.xml" Id="R4505b983d0b6448f" /><Relationship Type="http://schemas.openxmlformats.org/officeDocument/2006/relationships/worksheet" Target="/xl/worksheets/sheet3.xml" Id="Rdc034ce94dbc434f" /><Relationship Type="http://schemas.openxmlformats.org/officeDocument/2006/relationships/worksheet" Target="/xl/worksheets/sheet4.xml" Id="R5e89e24aa60a42ec" /><Relationship Type="http://schemas.openxmlformats.org/officeDocument/2006/relationships/worksheet" Target="/xl/worksheets/sheet5.xml" Id="R9298cbfcf0ec4c7d" /><Relationship Type="http://schemas.openxmlformats.org/officeDocument/2006/relationships/worksheet" Target="/xl/worksheets/sheet6.xml" Id="Rb58bd55d25884ba6" /><Relationship Type="http://schemas.openxmlformats.org/officeDocument/2006/relationships/worksheet" Target="/xl/worksheets/sheet7.xml" Id="Rb734ff2f9e504069" /><Relationship Type="http://schemas.openxmlformats.org/officeDocument/2006/relationships/worksheet" Target="/xl/worksheets/sheet8.xml" Id="R153e92b505454d96" /><Relationship Type="http://schemas.openxmlformats.org/officeDocument/2006/relationships/worksheet" Target="/xl/worksheets/sheet9.xml" Id="R93de00df9c2c43b6" /><Relationship Type="http://schemas.openxmlformats.org/officeDocument/2006/relationships/worksheet" Target="/xl/worksheets/sheet10.xml" Id="Ra3eb0ac93bf94a7f" /><Relationship Type="http://schemas.openxmlformats.org/officeDocument/2006/relationships/worksheet" Target="/xl/worksheets/sheet11.xml" Id="Rf522767c229646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d51032cf3944fb" /><Relationship Type="http://schemas.openxmlformats.org/officeDocument/2006/relationships/chart" Target="/xl/drawings/charts/chart2.xml" Id="Rc83ec181630d44c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cat>
            <c:strRef>
              <c:f>'Дашборд'!$E$4:$E$6</c:f>
              <c:strCache>
                <c:ptCount val="0"/>
              </c:strCache>
            </c:strRef>
          </c:cat>
          <c:val>
            <c:numRef>
              <c:f>'Дашборд'!$F$4:$F$6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Оценка</c:v>
          </c:tx>
          <c:cat>
            <c:strRef>
              <c:f>'Дашборд'!$A$13:$A$19</c:f>
              <c:strCache>
                <c:ptCount val="0"/>
              </c:strCache>
            </c:strRef>
          </c:cat>
          <c:val>
            <c:numRef>
              <c:f>'Дашборд'!$B$13:$B$19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11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d51032cf3944fb"/>
        </a:graphicData>
      </a:graphic>
    </xdr:graphicFrame>
    <xdr:clientData/>
  </xdr:twoCellAnchor>
  <xdr:twoCellAnchor>
    <xdr:from>
      <xdr:col>3</xdr:col>
      <xdr:colOff>0</xdr:colOff>
      <xdr:row>11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3ec181630d44c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nkAnalysisTable" displayName="BankAnalysisTable" ref="A1:L101" headerRowCount="1">
  <x:tableColumns count="12">
    <x:tableColumn id="1" name="ID вывода"/>
    <x:tableColumn id="2" name="Вид анализа"/>
    <x:tableColumn id="3" name="Объект анализа"/>
    <x:tableColumn id="4" name="Ключевой вывод"/>
    <x:tableColumn id="5" name="Проблема / потребность"/>
    <x:tableColumn id="6" name="Пользовательский сегмент"/>
    <x:tableColumn id="7" name="Доказательство"/>
    <x:tableColumn id="8" name="Источник / ссылка"/>
    <x:tableColumn id="9" name="Достоверность 1–5"/>
    <x:tableColumn id="10" name="Значимость 1–5"/>
    <x:tableColumn id="11" name="Вывод для релизов"/>
    <x:tableColumn id="12" name="Связанная единица разработки"/>
  </x:tableColumns>
  <x:tableStyleInfo name="TableStyleMedium2" showRowStripes="1"/>
</x:table>
</file>

<file path=xl/tables/table2.xml><?xml version="1.0" encoding="utf-8"?>
<x:table xmlns:x="http://schemas.openxmlformats.org/spreadsheetml/2006/main" id="2" name="ReleaseRegistryTable" displayName="ReleaseRegistryTable" ref="A1:U101" headerRowCount="1">
  <x:tableColumns count="21">
    <x:tableColumn id="1" name="ID"/>
    <x:tableColumn id="2" name="Тип единицы"/>
    <x:tableColumn id="3" name="Название единицы разработки"/>
    <x:tableColumn id="4" name="Роль / сегмент"/>
    <x:tableColumn id="5" name="Связанный сценарий"/>
    <x:tableColumn id="6" name="Блок Канвас"/>
    <x:tableColumn id="7" name="Связь с ценностным предложением 1–5"/>
    <x:tableColumn id="8" name="Критичность для первого дохода 1–5"/>
    <x:tableColumn id="9" name="Потенциал удержания 1–5"/>
    <x:tableColumn id="10" name="Потенциал роста аудитории 1–5"/>
    <x:tableColumn id="11" name="Доказательность 1–5"/>
    <x:tableColumn id="12" name="Рыночный стандарт 1–5"/>
    <x:tableColumn id="13" name="Быстрота реализации 1–5"/>
    <x:tableColumn id="14" name="Дешевизна реализации 1–5"/>
    <x:tableColumn id="15" name="Технический риск 1–5"/>
    <x:tableColumn id="16" name="Риск потери ценности при переносе 1–5"/>
    <x:tableColumn id="17" name="Балл первого релиза"/>
    <x:tableColumn id="18" name="Балл следующих релизов"/>
    <x:tableColumn id="19" name="Рекомендованный релиз"/>
    <x:tableColumn id="20" name="Решение"/>
    <x:tableColumn id="21" name="Обоснование"/>
  </x:tableColumns>
  <x:tableStyleInfo name="TableStyleMedium2" showRowStripes="1"/>
</x:table>
</file>

<file path=xl/tables/table3.xml><?xml version="1.0" encoding="utf-8"?>
<x:table xmlns:x="http://schemas.openxmlformats.org/spreadsheetml/2006/main" id="3" name="FirstReleasePlanTable" displayName="FirstReleasePlanTable" ref="A3:H50" headerRowCount="1">
  <x:tableColumns count="8">
    <x:tableColumn id="1" name="ID"/>
    <x:tableColumn id="2" name="Единица первого релиза"/>
    <x:tableColumn id="3" name="Зачем нужна в первом релизе"/>
    <x:tableColumn id="4" name="Проверяемая гипотеза"/>
    <x:tableColumn id="5" name="Минимальная реализация"/>
    <x:tableColumn id="6" name="Критерий готовности"/>
    <x:tableColumn id="7" name="Метрика после запуска"/>
    <x:tableColumn id="8" name="Ответственный"/>
  </x:tableColumns>
  <x:tableStyleInfo name="TableStyleMedium2" showRowStripes="1"/>
</x:table>
</file>

<file path=xl/tables/table4.xml><?xml version="1.0" encoding="utf-8"?>
<x:table xmlns:x="http://schemas.openxmlformats.org/spreadsheetml/2006/main" id="4" name="NextReleasePlanTable" displayName="NextReleasePlanTable" ref="A3:I60" headerRowCount="1">
  <x:tableColumns count="9">
    <x:tableColumn id="1" name="ID"/>
    <x:tableColumn id="2" name="Релиз"/>
    <x:tableColumn id="3" name="Единица развития"/>
    <x:tableColumn id="4" name="Основание переноса"/>
    <x:tableColumn id="5" name="Условие включения"/>
    <x:tableColumn id="6" name="Ожидаемый эффект"/>
    <x:tableColumn id="7" name="Связанная метрика"/>
    <x:tableColumn id="8" name="Зависимости"/>
    <x:tableColumn id="9" name="Комментарий"/>
  </x:tableColumns>
  <x:tableStyleInfo name="TableStyleMedium2" showRowStripes="1"/>
</x:table>
</file>

<file path=xl/tables/table5.xml><?xml version="1.0" encoding="utf-8"?>
<x:table xmlns:x="http://schemas.openxmlformats.org/spreadsheetml/2006/main" id="5" name="RoadmapTable" displayName="RoadmapTable" ref="A3:K30" headerRowCount="1">
  <x:tableColumns count="11">
    <x:tableColumn id="1" name="Релиз"/>
    <x:tableColumn id="2" name="Цель релиза"/>
    <x:tableColumn id="3" name="Состав"/>
    <x:tableColumn id="4" name="Ключевая гипотеза"/>
    <x:tableColumn id="5" name="Что измеряем"/>
    <x:tableColumn id="6" name="Критерий перехода к следующему релизу"/>
    <x:tableColumn id="7" name="Ограничение бюджета / срока"/>
    <x:tableColumn id="8" name="Риски"/>
    <x:tableColumn id="9" name="Решение по запуску"/>
    <x:tableColumn id="10" name="Дата начала"/>
    <x:tableColumn id="11" name="Дата окончания"/>
  </x:tableColumns>
  <x:tableStyleInfo name="TableStyleMedium2" showRowStripes="1"/>
</x:table>
</file>

<file path=xl/tables/table6.xml><?xml version="1.0" encoding="utf-8"?>
<x:table xmlns:x="http://schemas.openxmlformats.org/spreadsheetml/2006/main" id="6" name="ValueCheckTable" displayName="ValueCheckTable" ref="A3:I80" headerRowCount="1">
  <x:tableColumns count="9">
    <x:tableColumn id="1" name="Блок проверки"/>
    <x:tableColumn id="2" name="Контрольный вопрос"/>
    <x:tableColumn id="3" name="Оценка 1–5"/>
    <x:tableColumn id="4" name="Доказательство"/>
    <x:tableColumn id="5" name="Риск при низкой оценке"/>
    <x:tableColumn id="6" name="Решение"/>
    <x:tableColumn id="7" name="Что добавить / изменить"/>
    <x:tableColumn id="8" name="Ответственный"/>
    <x:tableColumn id="9" name="Статус"/>
  </x:tableColumns>
  <x:tableStyleInfo name="TableStyleMedium2" showRowStripes="1"/>
</x:table>
</file>

<file path=xl/tables/table7.xml><?xml version="1.0" encoding="utf-8"?>
<x:table xmlns:x="http://schemas.openxmlformats.org/spreadsheetml/2006/main" id="7" name="RisksTable" displayName="RisksTable" ref="A3:J100" headerRowCount="1">
  <x:tableColumns count="10">
    <x:tableColumn id="1" name="ID"/>
    <x:tableColumn id="2" name="Единица / решение"/>
    <x:tableColumn id="3" name="Риск"/>
    <x:tableColumn id="4" name="Тип риска"/>
    <x:tableColumn id="5" name="Вероятность 1–5"/>
    <x:tableColumn id="6" name="Влияние 1–5"/>
    <x:tableColumn id="7" name="Индекс риска"/>
    <x:tableColumn id="8" name="Митигирующее действие"/>
    <x:tableColumn id="9" name="Связанный релиз"/>
    <x:tableColumn id="10" name="Ответственны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65a67d212f4c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a2d6b4e64f48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e8b271327de4d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6883aa93af14e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1281dcd16734d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f779a4ce0ce4b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f2565e482ce48a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50d003ccf4e44d5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  <x:col min="3" max="3" width="62" hidden="0" customWidth="1"/>
  </x:cols>
  <x:sheetData>
    <x:row r="1" ht="32" customHeight="1">
      <x:c r="A1" s="6" t="str">
        <x:v>Шаблон деления разработки сайта или мобильного приложения на первый и последующие релизы</x:v>
      </x:c>
      <x:c r="B1" s="6"/>
      <x:c r="C1" s="6"/>
      <x:c r="D1" s="6"/>
      <x:c r="E1" s="6"/>
      <x:c r="F1" s="6"/>
      <x:c r="G1" s="6"/>
      <x:c r="H1" s="6"/>
    </x:row>
    <x:row r="3" ht="36" customHeight="1">
      <x:c r="A3" s="16" t="str">
        <x:v>Назначение файла</x:v>
      </x:c>
      <x:c r="B3" s="25" t="str">
        <x:v>Помочь разделить разработку цифрового товара на первый релиз и последующие релизы так, чтобы быстро и экономно выйти на рынок, но не разрушить ценностное предложение, удержание и потенциал роста аудитории.</x:v>
      </x:c>
    </x:row>
    <x:row r="4" ht="54" customHeight="1">
      <x:c r="A4" s="16" t="str">
        <x:v>Логика работы</x:v>
      </x:c>
      <x:c r="B4" s="25" t="str">
        <x:v>1) перенесите выводы всех предыдущих анализов в лист «Банк_анализа»; 2) опишите страницы, экраны, функции, интеграции и контентные блоки в листе «Реестр_единиц»; 3) заполните баллы 1–5; 4) используйте расчетный рекомендованный релиз; 5) проверьте первый релиз на целостность ценности и монетизации.</x:v>
      </x:c>
    </x:row>
    <x:row r="5" ht="54" customHeight="1">
      <x:c r="A5" s="16" t="str">
        <x:v>Принцип первого релиза</x:v>
      </x:c>
      <x:c r="B5" s="25" t="str">
        <x:v>Первый релиз должен содержать минимальный набор, который позволяет пользователю получить заявленную ценность, бизнесу — проверить спрос и монетизацию, а продукту — собрать данные для следующего роста.</x:v>
      </x:c>
    </x:row>
    <x:row r="6" ht="54" customHeight="1">
      <x:c r="A6" s="16" t="str">
        <x:v>Что нельзя переносить из первого релиза</x:v>
      </x:c>
      <x:c r="B6" s="25" t="str">
        <x:v>Нельзя переносить элементы, без которых пользователь не достигает ключевого результата, невозможно проверить основную гипотезу, не работает единица монетизации, не собирается критически важная обратная связь или разрывается основной пользовательский сценарий.</x:v>
      </x:c>
    </x:row>
    <x:row r="7" ht="54" customHeight="1">
      <x:c r="A7" s="16" t="str">
        <x:v>Как читать расчет</x:v>
      </x:c>
      <x:c r="B7" s="25" t="str">
        <x:v>Рекомендованный релиз формируется по баллам: связь с ценностным предложением, критичность для первого дохода, удержание, рост, доказательность, рыночный стандарт, быстрота и дешевизна реализации, технический риск и риск потери ценности при переносе.</x:v>
      </x:c>
    </x:row>
    <x:row r="8" ht="54" customHeight="1">
      <x:c r="A8" s="16" t="str">
        <x:v>Редактируемые поля</x:v>
      </x:c>
      <x:c r="B8" s="25" t="str">
        <x:v>Желтые поля предназначены для ввода. Зеленые поля являются расчетными. Справочники и выпадающие списки находятся на листе «Справочники».</x:v>
      </x:c>
    </x:row>
    <x:row r="10" ht="38" customHeight="1">
      <x:c r="A10" s="34" t="str">
        <x:v>Шаг</x:v>
      </x:c>
      <x:c r="B10" s="34" t="str">
        <x:v>Действие</x:v>
      </x:c>
      <x:c r="C10" s="34" t="str">
        <x:v>Результат</x:v>
      </x:c>
    </x:row>
    <x:row r="11" ht="38" customHeight="1">
      <x:c r="A11" s="40" t="n">
        <x:v>1</x:v>
      </x:c>
      <x:c r="B11" s="40" t="str">
        <x:v>Собрать выводы из анализа проблем, отзывов, конкурентов, ценностного предложения, цифрового товара, Канвас, сценариев и страниц/экранов.</x:v>
      </x:c>
      <x:c r="C11" s="40" t="str">
        <x:v>Единый банк доказанных оснований для решений по релизам.</x:v>
      </x:c>
    </x:row>
    <x:row r="12" ht="38" customHeight="1">
      <x:c r="A12" s="40" t="n">
        <x:v>2</x:v>
      </x:c>
      <x:c r="B12" s="40" t="str">
        <x:v>Разложить будущий сайт или приложение на интерфейсные и функциональные единицы.</x:v>
      </x:c>
      <x:c r="C12" s="40" t="str">
        <x:v>Перечень кандидатов на включение в релизы.</x:v>
      </x:c>
    </x:row>
    <x:row r="13" ht="38" customHeight="1">
      <x:c r="A13" s="40" t="n">
        <x:v>3</x:v>
      </x:c>
      <x:c r="B13" s="40" t="str">
        <x:v>Оценить каждую единицу по шкалам 1–5.</x:v>
      </x:c>
      <x:c r="C13" s="40" t="str">
        <x:v>Сравнимые баллы для быстрого и обоснованного выбора состава первого релиза.</x:v>
      </x:c>
    </x:row>
    <x:row r="14" ht="38" customHeight="1">
      <x:c r="A14" s="40" t="n">
        <x:v>4</x:v>
      </x:c>
      <x:c r="B14" s="40" t="str">
        <x:v>Проверить, не нарушается ли ценностное предложение, монетизация, удержание и рост при переносе части функций.</x:v>
      </x:c>
      <x:c r="C14" s="40" t="str">
        <x:v>Сбалансированный первый релиз без избыточной разработки.</x:v>
      </x:c>
    </x:row>
    <x:row r="15" ht="38" customHeight="1">
      <x:c r="A15" s="40" t="n">
        <x:v>5</x:v>
      </x:c>
      <x:c r="B15" s="40" t="str">
        <x:v>Сформировать дорожную карту последующих релизов.</x:v>
      </x:c>
      <x:c r="C15" s="40" t="str">
        <x:v>Последовательность развития продукта после выхода на рынок.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2" hidden="0" customWidth="1"/>
    <x:col min="5" max="5" width="38" hidden="0" customWidth="1"/>
    <x:col min="6" max="6" width="28" hidden="0" customWidth="1"/>
    <x:col min="7" max="7" width="42" hidden="0" customWidth="1"/>
    <x:col min="8" max="8" width="32" hidden="0" customWidth="1"/>
    <x:col min="9" max="9" width="15" hidden="0" customWidth="1"/>
    <x:col min="10" max="10" width="15" hidden="0" customWidth="1"/>
    <x:col min="11" max="11" width="45" hidden="0" customWidth="1"/>
    <x:col min="12" max="12" width="32" hidden="0" customWidth="1"/>
  </x:cols>
  <x:sheetData>
    <x:row r="1" ht="32" customHeight="1">
      <x:c r="A1" s="34" t="str">
        <x:v>ID вывода</x:v>
      </x:c>
      <x:c r="B1" s="34" t="str">
        <x:v>Вид анализа</x:v>
      </x:c>
      <x:c r="C1" s="34" t="str">
        <x:v>Объект анализа</x:v>
      </x:c>
      <x:c r="D1" s="34" t="str">
        <x:v>Ключевой вывод</x:v>
      </x:c>
      <x:c r="E1" s="34" t="str">
        <x:v>Проблема / потребность</x:v>
      </x:c>
      <x:c r="F1" s="34" t="str">
        <x:v>Пользовательский сегмент</x:v>
      </x:c>
      <x:c r="G1" s="34" t="str">
        <x:v>Доказательство</x:v>
      </x:c>
      <x:c r="H1" s="34" t="str">
        <x:v>Источник / ссылка</x:v>
      </x:c>
      <x:c r="I1" s="34" t="str">
        <x:v>Достоверность 1–5</x:v>
      </x:c>
      <x:c r="J1" s="34" t="str">
        <x:v>Значимость 1–5</x:v>
      </x:c>
      <x:c r="K1" s="34" t="str">
        <x:v>Вывод для релизов</x:v>
      </x:c>
      <x:c r="L1" s="34" t="str">
        <x:v>Связанная единица разработки</x:v>
      </x:c>
    </x:row>
    <x:row r="2">
      <x:c r="A2" s="25" t="str">
        <x:v>A-001</x:v>
      </x:c>
      <x:c r="B2" s="25" t="str">
        <x:v>Анализ отзывов</x:v>
      </x:c>
      <x:c r="C2" s="25" t="str">
        <x:v>Отзывы о конкурентах</x:v>
      </x:c>
      <x:c r="D2" s="25" t="str">
        <x:v>Пользователи жалуются на сложный первый запуск</x:v>
      </x:c>
      <x:c r="E2" s="25" t="str">
        <x:v>Быстро понять, как начать работу</x:v>
      </x:c>
      <x:c r="F2" s="25" t="str">
        <x:v>Новый пользователь</x:v>
      </x:c>
      <x:c r="G2" s="25" t="str">
        <x:v>Повторяющиеся жалобы в отзывах</x:v>
      </x:c>
      <x:c r="H2" s="25" t="str">
        <x:v>G2 / Capterra / App Store</x:v>
      </x:c>
      <x:c r="I2" s="42" t="n">
        <x:v>4</x:v>
      </x:c>
      <x:c r="J2" s="42" t="n">
        <x:v>5</x:v>
      </x:c>
      <x:c r="K2" s="25" t="str">
        <x:v>Онбординг должен быть в первом релизе</x:v>
      </x:c>
      <x:c r="L2" s="25" t="str">
        <x:v>Экран первого запуска</x:v>
      </x:c>
    </x:row>
    <x:row r="3" ht="36" customHeight="1">
      <x:c r="A3" s="25" t="str">
        <x:v>A-002</x:v>
      </x:c>
      <x:c r="B3" s="25" t="str">
        <x:v>Анализ конкурентов по сайтам</x:v>
      </x:c>
      <x:c r="C3" s="25" t="str">
        <x:v>Сайты прямых конкурентов</x:v>
      </x:c>
      <x:c r="D3" s="25" t="str">
        <x:v>У всех лидеров рынка есть понятная страница тарифов</x:v>
      </x:c>
      <x:c r="E3" s="25" t="str">
        <x:v>Понять условия покупки до регистрации</x:v>
      </x:c>
      <x:c r="F3" s="25" t="str">
        <x:v>Покупатель / ЛПР</x:v>
      </x:c>
      <x:c r="G3" s="25" t="str">
        <x:v>5 из 6 конкурентов имеют публичные тарифы</x:v>
      </x:c>
      <x:c r="H3" s="25" t="str">
        <x:v>Сайты конкурентов</x:v>
      </x:c>
      <x:c r="I3" s="42" t="n">
        <x:v>5</x:v>
      </x:c>
      <x:c r="J3" s="42" t="n">
        <x:v>4</x:v>
      </x:c>
      <x:c r="K3" s="25" t="str">
        <x:v>Страница тарифов является рыночным стандартом</x:v>
      </x:c>
      <x:c r="L3" s="25" t="str">
        <x:v>Страница тарифов</x:v>
      </x:c>
    </x:row>
    <x:row r="4">
      <x:c r="A4" s="25" t="str">
        <x:v>A-003</x:v>
      </x:c>
      <x:c r="B4" s="25" t="str">
        <x:v>Ценностное предложение</x:v>
      </x:c>
      <x:c r="C4" s="25" t="str">
        <x:v>Итоговая формулировка ценности</x:v>
      </x:c>
      <x:c r="D4" s="25" t="str">
        <x:v>Ценность строится вокруг быстрого получения измеримого результата</x:v>
      </x:c>
      <x:c r="E4" s="25" t="str">
        <x:v>Сократить время до результата</x:v>
      </x:c>
      <x:c r="F4" s="25" t="str">
        <x:v>Основной пользователь</x:v>
      </x:c>
      <x:c r="G4" s="25" t="str">
        <x:v>Связано с приоритетной проблемой</x:v>
      </x:c>
      <x:c r="H4" s="25" t="str">
        <x:v>Методика ценностного предложения</x:v>
      </x:c>
      <x:c r="I4" s="42" t="n">
        <x:v>4</x:v>
      </x:c>
      <x:c r="J4" s="42" t="n">
        <x:v>5</x:v>
      </x:c>
      <x:c r="K4" s="25" t="str">
        <x:v>Нельзя переносить ключевой результат за пределы первого релиза</x:v>
      </x:c>
      <x:c r="L4" s="25" t="str">
        <x:v>Основной рабочий сценарий</x:v>
      </x:c>
    </x:row>
    <x:row r="5">
      <x:c r="A5" s="25" t="str">
        <x:v>A-004</x:v>
      </x:c>
      <x:c r="B5" s="25" t="str">
        <x:v>Канвас</x:v>
      </x:c>
      <x:c r="C5" s="25" t="str">
        <x:v>Доходы и каналы</x:v>
      </x:c>
      <x:c r="D5" s="25" t="str">
        <x:v>Проверка монетизации требует оплаты или заявки</x:v>
      </x:c>
      <x:c r="E5" s="25" t="str">
        <x:v>Проверить готовность платить</x:v>
      </x:c>
      <x:c r="F5" s="25" t="str">
        <x:v>Покупатель / организация</x:v>
      </x:c>
      <x:c r="G5" s="25" t="str">
        <x:v>Связь с блоком «потоки доходов»</x:v>
      </x:c>
      <x:c r="H5" s="25" t="str">
        <x:v>Канвас бизнес-модели</x:v>
      </x:c>
      <x:c r="I5" s="42" t="n">
        <x:v>4</x:v>
      </x:c>
      <x:c r="J5" s="42" t="n">
        <x:v>5</x:v>
      </x:c>
      <x:c r="K5" s="25" t="str">
        <x:v>Форма заявки или оплата должны быть в первом релизе</x:v>
      </x:c>
      <x:c r="L5" s="25" t="str">
        <x:v>Форма заявки</x:v>
      </x:c>
    </x:row>
    <x:row r="6">
      <x:c r="A6" s="25" t="str">
        <x:v>A-005</x:v>
      </x:c>
      <x:c r="B6" s="25" t="str">
        <x:v>Пользовательские сценарии</x:v>
      </x:c>
      <x:c r="C6" s="25" t="str">
        <x:v>Ключевой сценарий</x:v>
      </x:c>
      <x:c r="D6" s="25" t="str">
        <x:v>Основной сценарий состоит из 4 шагов: вход → выбор → получение результата → действие после результата</x:v>
      </x:c>
      <x:c r="E6" s="25" t="str">
        <x:v>Достичь результата без поддержки менеджера</x:v>
      </x:c>
      <x:c r="F6" s="25" t="str">
        <x:v>Основной пользователь</x:v>
      </x:c>
      <x:c r="G6" s="25" t="str">
        <x:v>Сценарная карта</x:v>
      </x:c>
      <x:c r="H6" s="25" t="str">
        <x:v>Шаблон сценариев</x:v>
      </x:c>
      <x:c r="I6" s="42" t="n">
        <x:v>5</x:v>
      </x:c>
      <x:c r="J6" s="42" t="n">
        <x:v>5</x:v>
      </x:c>
      <x:c r="K6" s="25" t="str">
        <x:v>Все критические шаги сценария должны быть закрыты</x:v>
      </x:c>
      <x:c r="L6" s="25" t="str">
        <x:v>Карта основного сценария</x:v>
      </x:c>
    </x:row>
    <x:row r="7">
      <x:c r="A7" s="25"/>
      <x:c r="B7" s="25"/>
      <x:c r="C7" s="25"/>
      <x:c r="D7" s="25"/>
      <x:c r="E7" s="25"/>
      <x:c r="F7" s="25"/>
      <x:c r="G7" s="25"/>
      <x:c r="H7" s="25"/>
      <x:c r="I7" s="42"/>
      <x:c r="J7" s="42"/>
      <x:c r="K7" s="25"/>
      <x:c r="L7" s="25"/>
    </x:row>
    <x:row r="8">
      <x:c r="A8" s="25"/>
      <x:c r="B8" s="25"/>
      <x:c r="C8" s="25"/>
      <x:c r="D8" s="25"/>
      <x:c r="E8" s="25"/>
      <x:c r="F8" s="25"/>
      <x:c r="G8" s="25"/>
      <x:c r="H8" s="25"/>
      <x:c r="I8" s="42"/>
      <x:c r="J8" s="42"/>
      <x:c r="K8" s="25"/>
      <x:c r="L8" s="25"/>
    </x:row>
    <x:row r="9">
      <x:c r="A9" s="25"/>
      <x:c r="B9" s="25"/>
      <x:c r="C9" s="25"/>
      <x:c r="D9" s="25"/>
      <x:c r="E9" s="25"/>
      <x:c r="F9" s="25"/>
      <x:c r="G9" s="25"/>
      <x:c r="H9" s="25"/>
      <x:c r="I9" s="42"/>
      <x:c r="J9" s="42"/>
      <x:c r="K9" s="25"/>
      <x:c r="L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42"/>
      <x:c r="J10" s="42"/>
      <x:c r="K10" s="25"/>
      <x:c r="L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42"/>
      <x:c r="J11" s="42"/>
      <x:c r="K11" s="25"/>
      <x:c r="L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42"/>
      <x:c r="J12" s="42"/>
      <x:c r="K12" s="25"/>
      <x:c r="L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42"/>
      <x:c r="J13" s="42"/>
      <x:c r="K13" s="25"/>
      <x:c r="L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42"/>
      <x:c r="J14" s="42"/>
      <x:c r="K14" s="25"/>
      <x:c r="L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42"/>
      <x:c r="J15" s="42"/>
      <x:c r="K15" s="25"/>
      <x:c r="L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42"/>
      <x:c r="J16" s="42"/>
      <x:c r="K16" s="25"/>
      <x:c r="L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42"/>
      <x:c r="J17" s="42"/>
      <x:c r="K17" s="25"/>
      <x:c r="L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42"/>
      <x:c r="J18" s="42"/>
      <x:c r="K18" s="25"/>
      <x:c r="L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42"/>
      <x:c r="J19" s="42"/>
      <x:c r="K19" s="25"/>
      <x:c r="L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42"/>
      <x:c r="J20" s="42"/>
      <x:c r="K20" s="25"/>
      <x:c r="L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42"/>
      <x:c r="J21" s="42"/>
      <x:c r="K21" s="25"/>
      <x:c r="L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42"/>
      <x:c r="J22" s="42"/>
      <x:c r="K22" s="25"/>
      <x:c r="L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42"/>
      <x:c r="J23" s="42"/>
      <x:c r="K23" s="25"/>
      <x:c r="L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42"/>
      <x:c r="J24" s="42"/>
      <x:c r="K24" s="25"/>
      <x:c r="L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42"/>
      <x:c r="J25" s="42"/>
      <x:c r="K25" s="25"/>
      <x:c r="L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42"/>
      <x:c r="J26" s="42"/>
      <x:c r="K26" s="25"/>
      <x:c r="L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42"/>
      <x:c r="J27" s="42"/>
      <x:c r="K27" s="25"/>
      <x:c r="L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42"/>
      <x:c r="J28" s="42"/>
      <x:c r="K28" s="25"/>
      <x:c r="L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42"/>
      <x:c r="J29" s="42"/>
      <x:c r="K29" s="25"/>
      <x:c r="L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42"/>
      <x:c r="J30" s="42"/>
      <x:c r="K30" s="25"/>
      <x:c r="L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42"/>
      <x:c r="J31" s="42"/>
      <x:c r="K31" s="25"/>
      <x:c r="L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42"/>
      <x:c r="J32" s="42"/>
      <x:c r="K32" s="25"/>
      <x:c r="L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42"/>
      <x:c r="J33" s="42"/>
      <x:c r="K33" s="25"/>
      <x:c r="L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42"/>
      <x:c r="J34" s="42"/>
      <x:c r="K34" s="25"/>
      <x:c r="L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42"/>
      <x:c r="J35" s="42"/>
      <x:c r="K35" s="25"/>
      <x:c r="L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42"/>
      <x:c r="J36" s="42"/>
      <x:c r="K36" s="25"/>
      <x:c r="L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42"/>
      <x:c r="J37" s="42"/>
      <x:c r="K37" s="25"/>
      <x:c r="L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42"/>
      <x:c r="J38" s="42"/>
      <x:c r="K38" s="25"/>
      <x:c r="L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42"/>
      <x:c r="J39" s="42"/>
      <x:c r="K39" s="25"/>
      <x:c r="L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42"/>
      <x:c r="J40" s="42"/>
      <x:c r="K40" s="25"/>
      <x:c r="L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42"/>
      <x:c r="J41" s="42"/>
      <x:c r="K41" s="25"/>
      <x:c r="L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42"/>
      <x:c r="J42" s="42"/>
      <x:c r="K42" s="25"/>
      <x:c r="L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42"/>
      <x:c r="J43" s="42"/>
      <x:c r="K43" s="25"/>
      <x:c r="L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42"/>
      <x:c r="J44" s="42"/>
      <x:c r="K44" s="25"/>
      <x:c r="L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42"/>
      <x:c r="J45" s="42"/>
      <x:c r="K45" s="25"/>
      <x:c r="L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42"/>
      <x:c r="J46" s="42"/>
      <x:c r="K46" s="25"/>
      <x:c r="L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42"/>
      <x:c r="J47" s="42"/>
      <x:c r="K47" s="25"/>
      <x:c r="L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42"/>
      <x:c r="J48" s="42"/>
      <x:c r="K48" s="25"/>
      <x:c r="L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42"/>
      <x:c r="J49" s="42"/>
      <x:c r="K49" s="25"/>
      <x:c r="L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42"/>
      <x:c r="J50" s="42"/>
      <x:c r="K50" s="25"/>
      <x:c r="L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42"/>
      <x:c r="J51" s="42"/>
      <x:c r="K51" s="25"/>
      <x:c r="L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42"/>
      <x:c r="J52" s="42"/>
      <x:c r="K52" s="25"/>
      <x:c r="L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42"/>
      <x:c r="J53" s="42"/>
      <x:c r="K53" s="25"/>
      <x:c r="L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42"/>
      <x:c r="J54" s="42"/>
      <x:c r="K54" s="25"/>
      <x:c r="L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42"/>
      <x:c r="J55" s="42"/>
      <x:c r="K55" s="25"/>
      <x:c r="L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42"/>
      <x:c r="J56" s="42"/>
      <x:c r="K56" s="25"/>
      <x:c r="L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42"/>
      <x:c r="J57" s="42"/>
      <x:c r="K57" s="25"/>
      <x:c r="L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42"/>
      <x:c r="J58" s="42"/>
      <x:c r="K58" s="25"/>
      <x:c r="L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42"/>
      <x:c r="J59" s="42"/>
      <x:c r="K59" s="25"/>
      <x:c r="L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42"/>
      <x:c r="J60" s="42"/>
      <x:c r="K60" s="25"/>
      <x:c r="L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42"/>
      <x:c r="J61" s="42"/>
      <x:c r="K61" s="25"/>
      <x:c r="L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42"/>
      <x:c r="J62" s="42"/>
      <x:c r="K62" s="25"/>
      <x:c r="L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42"/>
      <x:c r="J63" s="42"/>
      <x:c r="K63" s="25"/>
      <x:c r="L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42"/>
      <x:c r="J64" s="42"/>
      <x:c r="K64" s="25"/>
      <x:c r="L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42"/>
      <x:c r="J65" s="42"/>
      <x:c r="K65" s="25"/>
      <x:c r="L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42"/>
      <x:c r="J66" s="42"/>
      <x:c r="K66" s="25"/>
      <x:c r="L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42"/>
      <x:c r="J67" s="42"/>
      <x:c r="K67" s="25"/>
      <x:c r="L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42"/>
      <x:c r="J68" s="42"/>
      <x:c r="K68" s="25"/>
      <x:c r="L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42"/>
      <x:c r="J69" s="42"/>
      <x:c r="K69" s="25"/>
      <x:c r="L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42"/>
      <x:c r="J70" s="42"/>
      <x:c r="K70" s="25"/>
      <x:c r="L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42"/>
      <x:c r="J71" s="42"/>
      <x:c r="K71" s="25"/>
      <x:c r="L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42"/>
      <x:c r="J72" s="42"/>
      <x:c r="K72" s="25"/>
      <x:c r="L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42"/>
      <x:c r="J73" s="42"/>
      <x:c r="K73" s="25"/>
      <x:c r="L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42"/>
      <x:c r="J74" s="42"/>
      <x:c r="K74" s="25"/>
      <x:c r="L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42"/>
      <x:c r="J75" s="42"/>
      <x:c r="K75" s="25"/>
      <x:c r="L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42"/>
      <x:c r="J76" s="42"/>
      <x:c r="K76" s="25"/>
      <x:c r="L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42"/>
      <x:c r="J77" s="42"/>
      <x:c r="K77" s="25"/>
      <x:c r="L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42"/>
      <x:c r="J78" s="42"/>
      <x:c r="K78" s="25"/>
      <x:c r="L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42"/>
      <x:c r="J79" s="42"/>
      <x:c r="K79" s="25"/>
      <x:c r="L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42"/>
      <x:c r="J80" s="42"/>
      <x:c r="K80" s="25"/>
      <x:c r="L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42"/>
      <x:c r="J81" s="42"/>
      <x:c r="K81" s="25"/>
      <x:c r="L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42"/>
      <x:c r="J82" s="42"/>
      <x:c r="K82" s="25"/>
      <x:c r="L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42"/>
      <x:c r="J83" s="42"/>
      <x:c r="K83" s="25"/>
      <x:c r="L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42"/>
      <x:c r="J84" s="42"/>
      <x:c r="K84" s="25"/>
      <x:c r="L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42"/>
      <x:c r="J85" s="42"/>
      <x:c r="K85" s="25"/>
      <x:c r="L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42"/>
      <x:c r="J86" s="42"/>
      <x:c r="K86" s="25"/>
      <x:c r="L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42"/>
      <x:c r="J87" s="42"/>
      <x:c r="K87" s="25"/>
      <x:c r="L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42"/>
      <x:c r="J88" s="42"/>
      <x:c r="K88" s="25"/>
      <x:c r="L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42"/>
      <x:c r="J89" s="42"/>
      <x:c r="K89" s="25"/>
      <x:c r="L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42"/>
      <x:c r="J90" s="42"/>
      <x:c r="K90" s="25"/>
      <x:c r="L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42"/>
      <x:c r="J91" s="42"/>
      <x:c r="K91" s="25"/>
      <x:c r="L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42"/>
      <x:c r="J92" s="42"/>
      <x:c r="K92" s="25"/>
      <x:c r="L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42"/>
      <x:c r="J93" s="42"/>
      <x:c r="K93" s="25"/>
      <x:c r="L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42"/>
      <x:c r="J94" s="42"/>
      <x:c r="K94" s="25"/>
      <x:c r="L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42"/>
      <x:c r="J95" s="42"/>
      <x:c r="K95" s="25"/>
      <x:c r="L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42"/>
      <x:c r="J96" s="42"/>
      <x:c r="K96" s="25"/>
      <x:c r="L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42"/>
      <x:c r="J97" s="42"/>
      <x:c r="K97" s="25"/>
      <x:c r="L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42"/>
      <x:c r="J98" s="42"/>
      <x:c r="K98" s="25"/>
      <x:c r="L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42"/>
      <x:c r="J99" s="42"/>
      <x:c r="K99" s="25"/>
      <x:c r="L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42"/>
      <x:c r="J100" s="42"/>
      <x:c r="K100" s="25"/>
      <x:c r="L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42"/>
      <x:c r="J101" s="42"/>
      <x:c r="K101" s="25"/>
      <x:c r="L101" s="25"/>
    </x:row>
  </x:sheetData>
  <x:dataValidations count="2">
    <x:dataValidation type="list" sqref="B2:B101">
      <x:formula1>Справочники!$A$2:$A$10</x:formula1>
    </x:dataValidation>
    <x:dataValidation type="whole" operator="between" sqref="I2:J101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265a67d212f4c2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2" hidden="0" customWidth="1"/>
    <x:col min="4" max="4" width="22" hidden="0" customWidth="1"/>
    <x:col min="5" max="5" width="28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7" hidden="0" customWidth="1"/>
    <x:col min="14" max="14" width="17" hidden="0" customWidth="1"/>
    <x:col min="15" max="15" width="15" hidden="0" customWidth="1"/>
    <x:col min="16" max="16" width="20" hidden="0" customWidth="1"/>
    <x:col min="17" max="17" width="15" hidden="0" customWidth="1"/>
    <x:col min="18" max="18" width="17" hidden="0" customWidth="1"/>
    <x:col min="19" max="19" width="22" hidden="0" customWidth="1"/>
    <x:col min="20" max="20" width="34" hidden="0" customWidth="1"/>
    <x:col min="21" max="21" width="55" hidden="0" customWidth="1"/>
  </x:cols>
  <x:sheetData>
    <x:row r="1" ht="32" customHeight="1">
      <x:c r="A1" s="34" t="str">
        <x:v>ID</x:v>
      </x:c>
      <x:c r="B1" s="34" t="str">
        <x:v>Тип единицы</x:v>
      </x:c>
      <x:c r="C1" s="34" t="str">
        <x:v>Название единицы разработки</x:v>
      </x:c>
      <x:c r="D1" s="34" t="str">
        <x:v>Роль / сегмент</x:v>
      </x:c>
      <x:c r="E1" s="34" t="str">
        <x:v>Связанный сценарий</x:v>
      </x:c>
      <x:c r="F1" s="34" t="str">
        <x:v>Блок Канвас</x:v>
      </x:c>
      <x:c r="G1" s="34" t="str">
        <x:v>Связь с ценностным предложением 1–5</x:v>
      </x:c>
      <x:c r="H1" s="34" t="str">
        <x:v>Критичность для первого дохода 1–5</x:v>
      </x:c>
      <x:c r="I1" s="34" t="str">
        <x:v>Потенциал удержания 1–5</x:v>
      </x:c>
      <x:c r="J1" s="34" t="str">
        <x:v>Потенциал роста аудитории 1–5</x:v>
      </x:c>
      <x:c r="K1" s="34" t="str">
        <x:v>Доказательность 1–5</x:v>
      </x:c>
      <x:c r="L1" s="34" t="str">
        <x:v>Рыночный стандарт 1–5</x:v>
      </x:c>
      <x:c r="M1" s="34" t="str">
        <x:v>Быстрота реализации 1–5</x:v>
      </x:c>
      <x:c r="N1" s="34" t="str">
        <x:v>Дешевизна реализации 1–5</x:v>
      </x:c>
      <x:c r="O1" s="34" t="str">
        <x:v>Технический риск 1–5</x:v>
      </x:c>
      <x:c r="P1" s="34" t="str">
        <x:v>Риск потери ценности при переносе 1–5</x:v>
      </x:c>
      <x:c r="Q1" s="34" t="str">
        <x:v>Балл первого релиза</x:v>
      </x:c>
      <x:c r="R1" s="34" t="str">
        <x:v>Балл следующих релизов</x:v>
      </x:c>
      <x:c r="S1" s="34" t="str">
        <x:v>Рекомендованный релиз</x:v>
      </x:c>
      <x:c r="T1" s="34" t="str">
        <x:v>Решение</x:v>
      </x:c>
      <x:c r="U1" s="34" t="str">
        <x:v>Обоснование</x:v>
      </x:c>
    </x:row>
    <x:row r="2">
      <x:c r="A2" s="25" t="str">
        <x:v>U-001</x:v>
      </x:c>
      <x:c r="B2" s="25" t="str">
        <x:v>Экран приложения</x:v>
      </x:c>
      <x:c r="C2" s="25" t="str">
        <x:v>Экран первого запуска</x:v>
      </x:c>
      <x:c r="D2" s="25" t="str">
        <x:v>Новый пользователь</x:v>
      </x:c>
      <x:c r="E2" s="25" t="str">
        <x:v>Первичная активация</x:v>
      </x:c>
      <x:c r="F2" s="25" t="str">
        <x:v>Каналы и отношения</x:v>
      </x:c>
      <x:c r="G2" s="25" t="n">
        <x:v>5</x:v>
      </x:c>
      <x:c r="H2" s="25" t="n">
        <x:v>3</x:v>
      </x:c>
      <x:c r="I2" s="25" t="n">
        <x:v>5</x:v>
      </x:c>
      <x:c r="J2" s="25" t="n">
        <x:v>4</x:v>
      </x:c>
      <x:c r="K2" s="25" t="n">
        <x:v>4</x:v>
      </x:c>
      <x:c r="L2" s="25" t="n">
        <x:v>4</x:v>
      </x:c>
      <x:c r="M2" s="25" t="n">
        <x:v>4</x:v>
      </x:c>
      <x:c r="N2" s="25" t="n">
        <x:v>4</x:v>
      </x:c>
      <x:c r="O2" s="25" t="n">
        <x:v>2</x:v>
      </x:c>
      <x:c r="P2" s="25" t="n">
        <x:v>5</x:v>
      </x:c>
      <x:c r="Q2" s="44" t="n">
        <x:f>ROUND((G2*0.18)+(H2*0.15)+(I2*0.12)+(J2*0.08)+(K2*0.13)+(L2*0.10)+(M2*0.12)+(N2*0.12)-(O2*0.07)+(P2*0.10),2)</x:f>
        <x:v>4.51</x:v>
      </x:c>
      <x:c r="R2" s="44" t="n">
        <x:f>ROUND((I2*0.16)+(J2*0.20)+(K2*0.12)+(L2*0.10)+((6-M2)*0.08)+((6-N2)*0.08)+(O2*0.06)+(P2*0.14)+(G2*0.06),2)</x:f>
        <x:v>3.92</x:v>
      </x:c>
      <x:c r="S2" s="44" t="str">
        <x:f>IF(A2="","",IF(AND(G2&gt;=4,H2&gt;=4,K2&gt;=3,P2&gt;=4),"Первый релиз",IF(Q2&gt;=3.7,"Первый релиз",IF(R2&gt;=3.6,"Следующий релиз","Не включать / проверить"))))</x:f>
        <x:v>Первый релиз</x:v>
      </x:c>
      <x:c r="T2" s="44" t="str">
        <x:f>IF(A2="","",IF(S2="Первый релиз","Включить в минимальный рыночный выпуск",IF(S2="Следующий релиз","Запланировать после проверки первого релиза","Оставить как гипотезу / проверить позже")))</x:f>
        <x:v>Включить в минимальный рыночный выпуск</x:v>
      </x:c>
      <x:c r="U2" s="25" t="str">
        <x:v>Без онбординга возрастает риск отказа до получения ценности.</x:v>
      </x:c>
    </x:row>
    <x:row r="3" ht="36" customHeight="1">
      <x:c r="A3" s="25" t="str">
        <x:v>U-002</x:v>
      </x:c>
      <x:c r="B3" s="25" t="str">
        <x:v>Страница сайта</x:v>
      </x:c>
      <x:c r="C3" s="25" t="str">
        <x:v>Страница тарифов</x:v>
      </x:c>
      <x:c r="D3" s="25" t="str">
        <x:v>Покупатель / ЛПР</x:v>
      </x:c>
      <x:c r="E3" s="25" t="str">
        <x:v>Выбор тарифа</x:v>
      </x:c>
      <x:c r="F3" s="25" t="str">
        <x:v>Потоки доходов</x:v>
      </x:c>
      <x:c r="G3" s="25" t="n">
        <x:v>4</x:v>
      </x:c>
      <x:c r="H3" s="25" t="n">
        <x:v>5</x:v>
      </x:c>
      <x:c r="I3" s="25" t="n">
        <x:v>3</x:v>
      </x:c>
      <x:c r="J3" s="25" t="n">
        <x:v>3</x:v>
      </x:c>
      <x:c r="K3" s="25" t="n">
        <x:v>5</x:v>
      </x:c>
      <x:c r="L3" s="25" t="n">
        <x:v>5</x:v>
      </x:c>
      <x:c r="M3" s="25" t="n">
        <x:v>4</x:v>
      </x:c>
      <x:c r="N3" s="25" t="n">
        <x:v>4</x:v>
      </x:c>
      <x:c r="O3" s="25" t="n">
        <x:v>2</x:v>
      </x:c>
      <x:c r="P3" s="25" t="n">
        <x:v>4</x:v>
      </x:c>
      <x:c r="Q3" s="44" t="n">
        <x:f>ROUND((G3*0.18)+(H3*0.15)+(I3*0.12)+(J3*0.08)+(K3*0.13)+(L3*0.10)+(M3*0.12)+(N3*0.12)-(O3*0.07)+(P3*0.10),2)</x:f>
        <x:v>4.44</x:v>
      </x:c>
      <x:c r="R3" s="44" t="n">
        <x:f>ROUND((I3*0.16)+(J3*0.20)+(K3*0.12)+(L3*0.10)+((6-M3)*0.08)+((6-N3)*0.08)+(O3*0.06)+(P3*0.14)+(G3*0.06),2)</x:f>
        <x:v>3.42</x:v>
      </x:c>
      <x:c r="S3" s="44" t="str">
        <x:f>IF(A3="","",IF(AND(G3&gt;=4,H3&gt;=4,K3&gt;=3,P3&gt;=4),"Первый релиз",IF(Q3&gt;=3.7,"Первый релиз",IF(R3&gt;=3.6,"Следующий релиз","Не включать / проверить"))))</x:f>
        <x:v>Первый релиз</x:v>
      </x:c>
      <x:c r="T3" s="44" t="str">
        <x:f>IF(A3="","",IF(S3="Первый релиз","Включить в минимальный рыночный выпуск",IF(S3="Следующий релиз","Запланировать после проверки первого релиза","Оставить как гипотезу / проверить позже")))</x:f>
        <x:v>Включить в минимальный рыночный выпуск</x:v>
      </x:c>
      <x:c r="U3" s="25" t="str">
        <x:v>Публичные тарифы нужны для проверки спроса и снижения неопределенности покупки.</x:v>
      </x:c>
    </x:row>
    <x:row r="4">
      <x:c r="A4" s="25" t="str">
        <x:v>U-003</x:v>
      </x:c>
      <x:c r="B4" s="25" t="str">
        <x:v>Функция</x:v>
      </x:c>
      <x:c r="C4" s="25" t="str">
        <x:v>Основной рабочий сценарий</x:v>
      </x:c>
      <x:c r="D4" s="25" t="str">
        <x:v>Основной пользователь</x:v>
      </x:c>
      <x:c r="E4" s="25" t="str">
        <x:v>Получение ключевого результата</x:v>
      </x:c>
      <x:c r="F4" s="25" t="str">
        <x:v>Ценностное предложение</x:v>
      </x:c>
      <x:c r="G4" s="25" t="n">
        <x:v>5</x:v>
      </x:c>
      <x:c r="H4" s="25" t="n">
        <x:v>4</x:v>
      </x:c>
      <x:c r="I4" s="25" t="n">
        <x:v>5</x:v>
      </x:c>
      <x:c r="J4" s="25" t="n">
        <x:v>4</x:v>
      </x:c>
      <x:c r="K4" s="25" t="n">
        <x:v>5</x:v>
      </x:c>
      <x:c r="L4" s="25" t="n">
        <x:v>4</x:v>
      </x:c>
      <x:c r="M4" s="25" t="n">
        <x:v>3</x:v>
      </x:c>
      <x:c r="N4" s="25" t="n">
        <x:v>3</x:v>
      </x:c>
      <x:c r="O4" s="25" t="n">
        <x:v>3</x:v>
      </x:c>
      <x:c r="P4" s="25" t="n">
        <x:v>5</x:v>
      </x:c>
      <x:c r="Q4" s="44" t="n">
        <x:f>ROUND((G4*0.18)+(H4*0.15)+(I4*0.12)+(J4*0.08)+(K4*0.13)+(L4*0.10)+(M4*0.12)+(N4*0.12)-(O4*0.07)+(P4*0.10),2)</x:f>
        <x:v>4.48</x:v>
      </x:c>
      <x:c r="R4" s="44" t="n">
        <x:f>ROUND((I4*0.16)+(J4*0.20)+(K4*0.12)+(L4*0.10)+((6-M4)*0.08)+((6-N4)*0.08)+(O4*0.06)+(P4*0.14)+(G4*0.06),2)</x:f>
        <x:v>4.26</x:v>
      </x:c>
      <x:c r="S4" s="44" t="str">
        <x:f>IF(A4="","",IF(AND(G4&gt;=4,H4&gt;=4,K4&gt;=3,P4&gt;=4),"Первый релиз",IF(Q4&gt;=3.7,"Первый релиз",IF(R4&gt;=3.6,"Следующий релиз","Не включать / проверить"))))</x:f>
        <x:v>Первый релиз</x:v>
      </x:c>
      <x:c r="T4" s="44" t="str">
        <x:f>IF(A4="","",IF(S4="Первый релиз","Включить в минимальный рыночный выпуск",IF(S4="Следующий релиз","Запланировать после проверки первого релиза","Оставить как гипотезу / проверить позже")))</x:f>
        <x:v>Включить в минимальный рыночный выпуск</x:v>
      </x:c>
      <x:c r="U4" s="25" t="str">
        <x:v>Это ядро цифрового товара и носитель ценности.</x:v>
      </x:c>
    </x:row>
    <x:row r="5">
      <x:c r="A5" s="25" t="str">
        <x:v>U-004</x:v>
      </x:c>
      <x:c r="B5" s="25" t="str">
        <x:v>Форма</x:v>
      </x:c>
      <x:c r="C5" s="25" t="str">
        <x:v>Форма заявки / оплаты</x:v>
      </x:c>
      <x:c r="D5" s="25" t="str">
        <x:v>Покупатель</x:v>
      </x:c>
      <x:c r="E5" s="25" t="str">
        <x:v>Переход к покупке</x:v>
      </x:c>
      <x:c r="F5" s="25" t="str">
        <x:v>Потоки доходов</x:v>
      </x:c>
      <x:c r="G5" s="25" t="n">
        <x:v>4</x:v>
      </x:c>
      <x:c r="H5" s="25" t="n">
        <x:v>5</x:v>
      </x:c>
      <x:c r="I5" s="25" t="n">
        <x:v>3</x:v>
      </x:c>
      <x:c r="J5" s="25" t="n">
        <x:v>3</x:v>
      </x:c>
      <x:c r="K5" s="25" t="n">
        <x:v>4</x:v>
      </x:c>
      <x:c r="L5" s="25" t="n">
        <x:v>4</x:v>
      </x:c>
      <x:c r="M5" s="25" t="n">
        <x:v>4</x:v>
      </x:c>
      <x:c r="N5" s="25" t="n">
        <x:v>4</x:v>
      </x:c>
      <x:c r="O5" s="25" t="n">
        <x:v>2</x:v>
      </x:c>
      <x:c r="P5" s="25" t="n">
        <x:v>4</x:v>
      </x:c>
      <x:c r="Q5" s="44" t="n">
        <x:f>ROUND((G5*0.18)+(H5*0.15)+(I5*0.12)+(J5*0.08)+(K5*0.13)+(L5*0.10)+(M5*0.12)+(N5*0.12)-(O5*0.07)+(P5*0.10),2)</x:f>
        <x:v>4.21</x:v>
      </x:c>
      <x:c r="R5" s="44" t="n">
        <x:f>ROUND((I5*0.16)+(J5*0.20)+(K5*0.12)+(L5*0.10)+((6-M5)*0.08)+((6-N5)*0.08)+(O5*0.06)+(P5*0.14)+(G5*0.06),2)</x:f>
        <x:v>3.2</x:v>
      </x:c>
      <x:c r="S5" s="44" t="str">
        <x:f>IF(A5="","",IF(AND(G5&gt;=4,H5&gt;=4,K5&gt;=3,P5&gt;=4),"Первый релиз",IF(Q5&gt;=3.7,"Первый релиз",IF(R5&gt;=3.6,"Следующий релиз","Не включать / проверить"))))</x:f>
        <x:v>Первый релиз</x:v>
      </x:c>
      <x:c r="T5" s="44" t="str">
        <x:f>IF(A5="","",IF(S5="Первый релиз","Включить в минимальный рыночный выпуск",IF(S5="Следующий релиз","Запланировать после проверки первого релиза","Оставить как гипотезу / проверить позже")))</x:f>
        <x:v>Включить в минимальный рыночный выпуск</x:v>
      </x:c>
      <x:c r="U5" s="25" t="str">
        <x:v>Позволяет проверить монетизацию в первом релизе.</x:v>
      </x:c>
    </x:row>
    <x:row r="6">
      <x:c r="A6" s="25" t="str">
        <x:v>U-005</x:v>
      </x:c>
      <x:c r="B6" s="25" t="str">
        <x:v>Интеграция</x:v>
      </x:c>
      <x:c r="C6" s="25" t="str">
        <x:v>Интеграция с внешней системой</x:v>
      </x:c>
      <x:c r="D6" s="25" t="str">
        <x:v>Продвинутый пользователь</x:v>
      </x:c>
      <x:c r="E6" s="25" t="str">
        <x:v>Автоматизация</x:v>
      </x:c>
      <x:c r="F6" s="25" t="str">
        <x:v>Ключевые партнеры</x:v>
      </x:c>
      <x:c r="G6" s="25" t="n">
        <x:v>3</x:v>
      </x:c>
      <x:c r="H6" s="25" t="n">
        <x:v>2</x:v>
      </x:c>
      <x:c r="I6" s="25" t="n">
        <x:v>4</x:v>
      </x:c>
      <x:c r="J6" s="25" t="n">
        <x:v>4</x:v>
      </x:c>
      <x:c r="K6" s="25" t="n">
        <x:v>3</x:v>
      </x:c>
      <x:c r="L6" s="25" t="n">
        <x:v>2</x:v>
      </x:c>
      <x:c r="M6" s="25" t="n">
        <x:v>2</x:v>
      </x:c>
      <x:c r="N6" s="25" t="n">
        <x:v>2</x:v>
      </x:c>
      <x:c r="O6" s="25" t="n">
        <x:v>4</x:v>
      </x:c>
      <x:c r="P6" s="25" t="n">
        <x:v>2</x:v>
      </x:c>
      <x:c r="Q6" s="44" t="n">
        <x:f>ROUND((G6*0.18)+(H6*0.15)+(I6*0.12)+(J6*0.08)+(K6*0.13)+(L6*0.10)+(M6*0.12)+(N6*0.12)-(O6*0.07)+(P6*0.10),2)</x:f>
        <x:v>2.63</x:v>
      </x:c>
      <x:c r="R6" s="44" t="n">
        <x:f>ROUND((I6*0.16)+(J6*0.20)+(K6*0.12)+(L6*0.10)+((6-M6)*0.08)+((6-N6)*0.08)+(O6*0.06)+(P6*0.14)+(G6*0.06),2)</x:f>
        <x:v>3.34</x:v>
      </x:c>
      <x:c r="S6" s="44" t="str">
        <x:f>IF(A6="","",IF(AND(G6&gt;=4,H6&gt;=4,K6&gt;=3,P6&gt;=4),"Первый релиз",IF(Q6&gt;=3.7,"Первый релиз",IF(R6&gt;=3.6,"Следующий релиз","Не включать / проверить"))))</x:f>
        <x:v>Не включать / проверить</x:v>
      </x:c>
      <x:c r="T6" s="44" t="str">
        <x:f>IF(A6="","",IF(S6="Первый релиз","Включить в минимальный рыночный выпуск",IF(S6="Следующий релиз","Запланировать после проверки первого релиза","Оставить как гипотезу / проверить позже")))</x:f>
        <x:v>Оставить как гипотезу / проверить позже</x:v>
      </x:c>
      <x:c r="U6" s="25" t="str">
        <x:v>Может повысить удержание, но не обязательна для минимального выпуска.</x:v>
      </x:c>
    </x:row>
    <x:row r="7">
      <x:c r="A7" s="25" t="str">
        <x:v>U-006</x:v>
      </x:c>
      <x:c r="B7" s="25" t="str">
        <x:v>Аналитика</x:v>
      </x:c>
      <x:c r="C7" s="25" t="str">
        <x:v>Сбор событий активации</x:v>
      </x:c>
      <x:c r="D7" s="25" t="str">
        <x:v>Команда продукта</x:v>
      </x:c>
      <x:c r="E7" s="25" t="str">
        <x:v>Измерение поведения</x:v>
      </x:c>
      <x:c r="F7" s="25" t="str">
        <x:v>Ключевые ресурсы</x:v>
      </x:c>
      <x:c r="G7" s="25" t="n">
        <x:v>4</x:v>
      </x:c>
      <x:c r="H7" s="25" t="n">
        <x:v>3</x:v>
      </x:c>
      <x:c r="I7" s="25" t="n">
        <x:v>4</x:v>
      </x:c>
      <x:c r="J7" s="25" t="n">
        <x:v>5</x:v>
      </x:c>
      <x:c r="K7" s="25" t="n">
        <x:v>4</x:v>
      </x:c>
      <x:c r="L7" s="25" t="n">
        <x:v>3</x:v>
      </x:c>
      <x:c r="M7" s="25" t="n">
        <x:v>4</x:v>
      </x:c>
      <x:c r="N7" s="25" t="n">
        <x:v>5</x:v>
      </x:c>
      <x:c r="O7" s="25" t="n">
        <x:v>2</x:v>
      </x:c>
      <x:c r="P7" s="25" t="n">
        <x:v>4</x:v>
      </x:c>
      <x:c r="Q7" s="44" t="n">
        <x:f>ROUND((G7*0.18)+(H7*0.15)+(I7*0.12)+(J7*0.08)+(K7*0.13)+(L7*0.10)+(M7*0.12)+(N7*0.12)-(O7*0.07)+(P7*0.10),2)</x:f>
        <x:v>4.21</x:v>
      </x:c>
      <x:c r="R7" s="44" t="n">
        <x:f>ROUND((I7*0.16)+(J7*0.20)+(K7*0.12)+(L7*0.10)+((6-M7)*0.08)+((6-N7)*0.08)+(O7*0.06)+(P7*0.14)+(G7*0.06),2)</x:f>
        <x:v>3.58</x:v>
      </x:c>
      <x:c r="S7" s="44" t="str">
        <x:f>IF(A7="","",IF(AND(G7&gt;=4,H7&gt;=4,K7&gt;=3,P7&gt;=4),"Первый релиз",IF(Q7&gt;=3.7,"Первый релиз",IF(R7&gt;=3.6,"Следующий релиз","Не включать / проверить"))))</x:f>
        <x:v>Первый релиз</x:v>
      </x:c>
      <x:c r="T7" s="44" t="str">
        <x:f>IF(A7="","",IF(S7="Первый релиз","Включить в минимальный рыночный выпуск",IF(S7="Следующий релиз","Запланировать после проверки первого релиза","Оставить как гипотезу / проверить позже")))</x:f>
        <x:v>Включить в минимальный рыночный выпуск</x:v>
      </x:c>
      <x:c r="U7" s="25" t="str">
        <x:v>Нужна для оценки удержания и следующих релизов.</x:v>
      </x:c>
    </x:row>
    <x:row r="8">
      <x:c r="A8" s="25" t="str">
        <x:v>U-007</x:v>
      </x:c>
      <x:c r="B8" s="25" t="str">
        <x:v>Контентный блок</x:v>
      </x:c>
      <x:c r="C8" s="25" t="str">
        <x:v>Блок доказательств и кейсов</x:v>
      </x:c>
      <x:c r="D8" s="25" t="str">
        <x:v>Покупатель / ЛПР</x:v>
      </x:c>
      <x:c r="E8" s="25" t="str">
        <x:v>Убеждение перед покупкой</x:v>
      </x:c>
      <x:c r="F8" s="25" t="str">
        <x:v>Ценностное предложение</x:v>
      </x:c>
      <x:c r="G8" s="25" t="n">
        <x:v>4</x:v>
      </x:c>
      <x:c r="H8" s="25" t="n">
        <x:v>4</x:v>
      </x:c>
      <x:c r="I8" s="25" t="n">
        <x:v>2</x:v>
      </x:c>
      <x:c r="J8" s="25" t="n">
        <x:v>3</x:v>
      </x:c>
      <x:c r="K8" s="25" t="n">
        <x:v>4</x:v>
      </x:c>
      <x:c r="L8" s="25" t="n">
        <x:v>4</x:v>
      </x:c>
      <x:c r="M8" s="25" t="n">
        <x:v>5</x:v>
      </x:c>
      <x:c r="N8" s="25" t="n">
        <x:v>5</x:v>
      </x:c>
      <x:c r="O8" s="25" t="n">
        <x:v>1</x:v>
      </x:c>
      <x:c r="P8" s="25" t="n">
        <x:v>3</x:v>
      </x:c>
      <x:c r="Q8" s="44" t="n">
        <x:f>ROUND((G8*0.18)+(H8*0.15)+(I8*0.12)+(J8*0.08)+(K8*0.13)+(L8*0.10)+(M8*0.12)+(N8*0.12)-(O8*0.07)+(P8*0.10),2)</x:f>
        <x:v>4.15</x:v>
      </x:c>
      <x:c r="R8" s="44" t="n">
        <x:f>ROUND((I8*0.16)+(J8*0.20)+(K8*0.12)+(L8*0.10)+((6-M8)*0.08)+((6-N8)*0.08)+(O8*0.06)+(P8*0.14)+(G8*0.06),2)</x:f>
        <x:v>2.68</x:v>
      </x:c>
      <x:c r="S8" s="44" t="str">
        <x:f>IF(A8="","",IF(AND(G8&gt;=4,H8&gt;=4,K8&gt;=3,P8&gt;=4),"Первый релиз",IF(Q8&gt;=3.7,"Первый релиз",IF(R8&gt;=3.6,"Следующий релиз","Не включать / проверить"))))</x:f>
        <x:v>Первый релиз</x:v>
      </x:c>
      <x:c r="T8" s="44" t="str">
        <x:f>IF(A8="","",IF(S8="Первый релиз","Включить в минимальный рыночный выпуск",IF(S8="Следующий релиз","Запланировать после проверки первого релиза","Оставить как гипотезу / проверить позже")))</x:f>
        <x:v>Включить в минимальный рыночный выпуск</x:v>
      </x:c>
      <x:c r="U8" s="25" t="str">
        <x:v>Дешево реализуется и усиливает доверие к первому релизу.</x:v>
      </x:c>
    </x:row>
    <x:row r="9">
      <x:c r="A9" s="25" t="str">
        <x:v>U-008</x:v>
      </x:c>
      <x:c r="B9" s="25" t="str">
        <x:v>Административная функция</x:v>
      </x:c>
      <x:c r="C9" s="25" t="str">
        <x:v>Расширенная панель управления</x:v>
      </x:c>
      <x:c r="D9" s="25" t="str">
        <x:v>Администратор</x:v>
      </x:c>
      <x:c r="E9" s="25" t="str">
        <x:v>Управление настройками</x:v>
      </x:c>
      <x:c r="F9" s="25" t="str">
        <x:v>Ключевые виды деятельности</x:v>
      </x:c>
      <x:c r="G9" s="25" t="n">
        <x:v>2</x:v>
      </x:c>
      <x:c r="H9" s="25" t="n">
        <x:v>1</x:v>
      </x:c>
      <x:c r="I9" s="25" t="n">
        <x:v>3</x:v>
      </x:c>
      <x:c r="J9" s="25" t="n">
        <x:v>3</x:v>
      </x:c>
      <x:c r="K9" s="25" t="n">
        <x:v>2</x:v>
      </x:c>
      <x:c r="L9" s="25" t="n">
        <x:v>1</x:v>
      </x:c>
      <x:c r="M9" s="25" t="n">
        <x:v>2</x:v>
      </x:c>
      <x:c r="N9" s="25" t="n">
        <x:v>2</x:v>
      </x:c>
      <x:c r="O9" s="25" t="n">
        <x:v>4</x:v>
      </x:c>
      <x:c r="P9" s="25" t="n">
        <x:v>1</x:v>
      </x:c>
      <x:c r="Q9" s="44" t="n">
        <x:f>ROUND((G9*0.18)+(H9*0.15)+(I9*0.12)+(J9*0.08)+(K9*0.13)+(L9*0.10)+(M9*0.12)+(N9*0.12)-(O9*0.07)+(P9*0.10),2)</x:f>
        <x:v>1.77</x:v>
      </x:c>
      <x:c r="R9" s="44" t="n">
        <x:f>ROUND((I9*0.16)+(J9*0.20)+(K9*0.12)+(L9*0.10)+((6-M9)*0.08)+((6-N9)*0.08)+(O9*0.06)+(P9*0.14)+(G9*0.06),2)</x:f>
        <x:v>2.56</x:v>
      </x:c>
      <x:c r="S9" s="44" t="str">
        <x:f>IF(A9="","",IF(AND(G9&gt;=4,H9&gt;=4,K9&gt;=3,P9&gt;=4),"Первый релиз",IF(Q9&gt;=3.7,"Первый релиз",IF(R9&gt;=3.6,"Следующий релиз","Не включать / проверить"))))</x:f>
        <x:v>Не включать / проверить</x:v>
      </x:c>
      <x:c r="T9" s="44" t="str">
        <x:f>IF(A9="","",IF(S9="Первый релиз","Включить в минимальный рыночный выпуск",IF(S9="Следующий релиз","Запланировать после проверки первого релиза","Оставить как гипотезу / проверить позже")))</x:f>
        <x:v>Оставить как гипотезу / проверить позже</x:v>
      </x:c>
      <x:c r="U9" s="25" t="str">
        <x:v>Можно перенести, если нет необходимости для первого обслуживания клиентов.</x:v>
      </x:c>
    </x:row>
    <x:row r="10">
      <x:c r="A10" s="25" t="str">
        <x:v>U-009</x:v>
      </x:c>
      <x:c r="B10" s="25" t="str">
        <x:v>Страница сайта</x:v>
      </x:c>
      <x:c r="C10" s="25" t="str">
        <x:v>База знаний</x:v>
      </x:c>
      <x:c r="D10" s="25" t="str">
        <x:v>Новый пользователь</x:v>
      </x:c>
      <x:c r="E10" s="25" t="str">
        <x:v>Самостоятельное решение вопросов</x:v>
      </x:c>
      <x:c r="F10" s="25" t="str">
        <x:v>Отношения с клиентами</x:v>
      </x:c>
      <x:c r="G10" s="25" t="n">
        <x:v>3</x:v>
      </x:c>
      <x:c r="H10" s="25" t="n">
        <x:v>2</x:v>
      </x:c>
      <x:c r="I10" s="25" t="n">
        <x:v>4</x:v>
      </x:c>
      <x:c r="J10" s="25" t="n">
        <x:v>4</x:v>
      </x:c>
      <x:c r="K10" s="25" t="n">
        <x:v>3</x:v>
      </x:c>
      <x:c r="L10" s="25" t="n">
        <x:v>3</x:v>
      </x:c>
      <x:c r="M10" s="25" t="n">
        <x:v>4</x:v>
      </x:c>
      <x:c r="N10" s="25" t="n">
        <x:v>5</x:v>
      </x:c>
      <x:c r="O10" s="25" t="n">
        <x:v>1</x:v>
      </x:c>
      <x:c r="P10" s="25" t="n">
        <x:v>3</x:v>
      </x:c>
      <x:c r="Q10" s="44" t="n">
        <x:f>ROUND((G10*0.18)+(H10*0.15)+(I10*0.12)+(J10*0.08)+(K10*0.13)+(L10*0.10)+(M10*0.12)+(N10*0.12)-(O10*0.07)+(P10*0.10),2)</x:f>
        <x:v>3.64</x:v>
      </x:c>
      <x:c r="R10" s="44" t="n">
        <x:f>ROUND((I10*0.16)+(J10*0.20)+(K10*0.12)+(L10*0.10)+((6-M10)*0.08)+((6-N10)*0.08)+(O10*0.06)+(P10*0.14)+(G10*0.06),2)</x:f>
        <x:v>3</x:v>
      </x:c>
      <x:c r="S10" s="44" t="str">
        <x:f>IF(A10="","",IF(AND(G10&gt;=4,H10&gt;=4,K10&gt;=3,P10&gt;=4),"Первый релиз",IF(Q10&gt;=3.7,"Первый релиз",IF(R10&gt;=3.6,"Следующий релиз","Не включать / проверить"))))</x:f>
        <x:v>Не включать / проверить</x:v>
      </x:c>
      <x:c r="T10" s="44" t="str">
        <x:f>IF(A10="","",IF(S10="Первый релиз","Включить в минимальный рыночный выпуск",IF(S10="Следующий релиз","Запланировать после проверки первого релиза","Оставить как гипотезу / проверить позже")))</x:f>
        <x:v>Оставить как гипотезу / проверить позже</x:v>
      </x:c>
      <x:c r="U10" s="25" t="str">
        <x:v>Полезно для снижения поддержки, но объем можно ограничить.</x:v>
      </x:c>
    </x:row>
    <x:row r="11">
      <x:c r="A11" s="25" t="str">
        <x:v>U-010</x:v>
      </x:c>
      <x:c r="B11" s="25" t="str">
        <x:v>Функция</x:v>
      </x:c>
      <x:c r="C11" s="25" t="str">
        <x:v>Реферальный механизм</x:v>
      </x:c>
      <x:c r="D11" s="25" t="str">
        <x:v>Лояльный пользователь</x:v>
      </x:c>
      <x:c r="E11" s="25" t="str">
        <x:v>Приглашение новых пользователей</x:v>
      </x:c>
      <x:c r="F11" s="25" t="str">
        <x:v>Каналы</x:v>
      </x:c>
      <x:c r="G11" s="25" t="n">
        <x:v>3</x:v>
      </x:c>
      <x:c r="H11" s="25" t="n">
        <x:v>1</x:v>
      </x:c>
      <x:c r="I11" s="25" t="n">
        <x:v>4</x:v>
      </x:c>
      <x:c r="J11" s="25" t="n">
        <x:v>5</x:v>
      </x:c>
      <x:c r="K11" s="25" t="n">
        <x:v>2</x:v>
      </x:c>
      <x:c r="L11" s="25" t="n">
        <x:v>1</x:v>
      </x:c>
      <x:c r="M11" s="25" t="n">
        <x:v>2</x:v>
      </x:c>
      <x:c r="N11" s="25" t="n">
        <x:v>2</x:v>
      </x:c>
      <x:c r="O11" s="25" t="n">
        <x:v>3</x:v>
      </x:c>
      <x:c r="P11" s="25" t="n">
        <x:v>2</x:v>
      </x:c>
      <x:c r="Q11" s="44" t="n">
        <x:f>ROUND((G11*0.18)+(H11*0.15)+(I11*0.12)+(J11*0.08)+(K11*0.13)+(L11*0.10)+(M11*0.12)+(N11*0.12)-(O11*0.07)+(P11*0.10),2)</x:f>
        <x:v>2.4</x:v>
      </x:c>
      <x:c r="R11" s="44" t="n">
        <x:f>ROUND((I11*0.16)+(J11*0.20)+(K11*0.12)+(L11*0.10)+((6-M11)*0.08)+((6-N11)*0.08)+(O11*0.06)+(P11*0.14)+(G11*0.06),2)</x:f>
        <x:v>3.26</x:v>
      </x:c>
      <x:c r="S11" s="44" t="str">
        <x:f>IF(A11="","",IF(AND(G11&gt;=4,H11&gt;=4,K11&gt;=3,P11&gt;=4),"Первый релиз",IF(Q11&gt;=3.7,"Первый релиз",IF(R11&gt;=3.6,"Следующий релиз","Не включать / проверить"))))</x:f>
        <x:v>Не включать / проверить</x:v>
      </x:c>
      <x:c r="T11" s="44" t="str">
        <x:f>IF(A11="","",IF(S11="Первый релиз","Включить в минимальный рыночный выпуск",IF(S11="Следующий релиз","Запланировать после проверки первого релиза","Оставить как гипотезу / проверить позже")))</x:f>
        <x:v>Оставить как гипотезу / проверить позже</x:v>
      </x:c>
      <x:c r="U11" s="25" t="str">
        <x:v>Перспективно для роста, но не обязательно до подтверждения ценности.</x:v>
      </x:c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44" t="n">
        <x:f>ROUND((G12*0.18)+(H12*0.15)+(I12*0.12)+(J12*0.08)+(K12*0.13)+(L12*0.10)+(M12*0.12)+(N12*0.12)-(O12*0.07)+(P12*0.10),2)</x:f>
        <x:v>0</x:v>
      </x:c>
      <x:c r="R12" s="44" t="n">
        <x:f>ROUND((I12*0.16)+(J12*0.20)+(K12*0.12)+(L12*0.10)+((6-M12)*0.08)+((6-N12)*0.08)+(O12*0.06)+(P12*0.14)+(G12*0.06),2)</x:f>
        <x:v>0.96</x:v>
      </x:c>
      <x:c r="S12" s="44" t="str">
        <x:f>IF(A12="","",IF(AND(G12&gt;=4,H12&gt;=4,K12&gt;=3,P12&gt;=4),"Первый релиз",IF(Q12&gt;=3.7,"Первый релиз",IF(R12&gt;=3.6,"Следующий релиз","Не включать / проверить"))))</x:f>
      </x:c>
      <x:c r="T12" s="44" t="str">
        <x:f>IF(A12="","",IF(S12="Первый релиз","Включить в минимальный рыночный выпуск",IF(S12="Следующий релиз","Запланировать после проверки первого релиза","Оставить как гипотезу / проверить позже")))</x:f>
      </x:c>
      <x:c r="U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44" t="n">
        <x:f>ROUND((G13*0.18)+(H13*0.15)+(I13*0.12)+(J13*0.08)+(K13*0.13)+(L13*0.10)+(M13*0.12)+(N13*0.12)-(O13*0.07)+(P13*0.10),2)</x:f>
        <x:v>0</x:v>
      </x:c>
      <x:c r="R13" s="44" t="n">
        <x:f>ROUND((I13*0.16)+(J13*0.20)+(K13*0.12)+(L13*0.10)+((6-M13)*0.08)+((6-N13)*0.08)+(O13*0.06)+(P13*0.14)+(G13*0.06),2)</x:f>
        <x:v>0.96</x:v>
      </x:c>
      <x:c r="S13" s="44" t="str">
        <x:f>IF(A13="","",IF(AND(G13&gt;=4,H13&gt;=4,K13&gt;=3,P13&gt;=4),"Первый релиз",IF(Q13&gt;=3.7,"Первый релиз",IF(R13&gt;=3.6,"Следующий релиз","Не включать / проверить"))))</x:f>
      </x:c>
      <x:c r="T13" s="44" t="str">
        <x:f>IF(A13="","",IF(S13="Первый релиз","Включить в минимальный рыночный выпуск",IF(S13="Следующий релиз","Запланировать после проверки первого релиза","Оставить как гипотезу / проверить позже")))</x:f>
      </x:c>
      <x:c r="U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44" t="n">
        <x:f>ROUND((G14*0.18)+(H14*0.15)+(I14*0.12)+(J14*0.08)+(K14*0.13)+(L14*0.10)+(M14*0.12)+(N14*0.12)-(O14*0.07)+(P14*0.10),2)</x:f>
        <x:v>0</x:v>
      </x:c>
      <x:c r="R14" s="44" t="n">
        <x:f>ROUND((I14*0.16)+(J14*0.20)+(K14*0.12)+(L14*0.10)+((6-M14)*0.08)+((6-N14)*0.08)+(O14*0.06)+(P14*0.14)+(G14*0.06),2)</x:f>
        <x:v>0.96</x:v>
      </x:c>
      <x:c r="S14" s="44" t="str">
        <x:f>IF(A14="","",IF(AND(G14&gt;=4,H14&gt;=4,K14&gt;=3,P14&gt;=4),"Первый релиз",IF(Q14&gt;=3.7,"Первый релиз",IF(R14&gt;=3.6,"Следующий релиз","Не включать / проверить"))))</x:f>
      </x:c>
      <x:c r="T14" s="44" t="str">
        <x:f>IF(A14="","",IF(S14="Первый релиз","Включить в минимальный рыночный выпуск",IF(S14="Следующий релиз","Запланировать после проверки первого релиза","Оставить как гипотезу / проверить позже")))</x:f>
      </x:c>
      <x:c r="U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44" t="n">
        <x:f>ROUND((G15*0.18)+(H15*0.15)+(I15*0.12)+(J15*0.08)+(K15*0.13)+(L15*0.10)+(M15*0.12)+(N15*0.12)-(O15*0.07)+(P15*0.10),2)</x:f>
        <x:v>0</x:v>
      </x:c>
      <x:c r="R15" s="44" t="n">
        <x:f>ROUND((I15*0.16)+(J15*0.20)+(K15*0.12)+(L15*0.10)+((6-M15)*0.08)+((6-N15)*0.08)+(O15*0.06)+(P15*0.14)+(G15*0.06),2)</x:f>
        <x:v>0.96</x:v>
      </x:c>
      <x:c r="S15" s="44" t="str">
        <x:f>IF(A15="","",IF(AND(G15&gt;=4,H15&gt;=4,K15&gt;=3,P15&gt;=4),"Первый релиз",IF(Q15&gt;=3.7,"Первый релиз",IF(R15&gt;=3.6,"Следующий релиз","Не включать / проверить"))))</x:f>
      </x:c>
      <x:c r="T15" s="44" t="str">
        <x:f>IF(A15="","",IF(S15="Первый релиз","Включить в минимальный рыночный выпуск",IF(S15="Следующий релиз","Запланировать после проверки первого релиза","Оставить как гипотезу / проверить позже")))</x:f>
      </x:c>
      <x:c r="U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44" t="n">
        <x:f>ROUND((G16*0.18)+(H16*0.15)+(I16*0.12)+(J16*0.08)+(K16*0.13)+(L16*0.10)+(M16*0.12)+(N16*0.12)-(O16*0.07)+(P16*0.10),2)</x:f>
        <x:v>0</x:v>
      </x:c>
      <x:c r="R16" s="44" t="n">
        <x:f>ROUND((I16*0.16)+(J16*0.20)+(K16*0.12)+(L16*0.10)+((6-M16)*0.08)+((6-N16)*0.08)+(O16*0.06)+(P16*0.14)+(G16*0.06),2)</x:f>
        <x:v>0.96</x:v>
      </x:c>
      <x:c r="S16" s="44" t="str">
        <x:f>IF(A16="","",IF(AND(G16&gt;=4,H16&gt;=4,K16&gt;=3,P16&gt;=4),"Первый релиз",IF(Q16&gt;=3.7,"Первый релиз",IF(R16&gt;=3.6,"Следующий релиз","Не включать / проверить"))))</x:f>
      </x:c>
      <x:c r="T16" s="44" t="str">
        <x:f>IF(A16="","",IF(S16="Первый релиз","Включить в минимальный рыночный выпуск",IF(S16="Следующий релиз","Запланировать после проверки первого релиза","Оставить как гипотезу / проверить позже")))</x:f>
      </x:c>
      <x:c r="U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44" t="n">
        <x:f>ROUND((G17*0.18)+(H17*0.15)+(I17*0.12)+(J17*0.08)+(K17*0.13)+(L17*0.10)+(M17*0.12)+(N17*0.12)-(O17*0.07)+(P17*0.10),2)</x:f>
        <x:v>0</x:v>
      </x:c>
      <x:c r="R17" s="44" t="n">
        <x:f>ROUND((I17*0.16)+(J17*0.20)+(K17*0.12)+(L17*0.10)+((6-M17)*0.08)+((6-N17)*0.08)+(O17*0.06)+(P17*0.14)+(G17*0.06),2)</x:f>
        <x:v>0.96</x:v>
      </x:c>
      <x:c r="S17" s="44" t="str">
        <x:f>IF(A17="","",IF(AND(G17&gt;=4,H17&gt;=4,K17&gt;=3,P17&gt;=4),"Первый релиз",IF(Q17&gt;=3.7,"Первый релиз",IF(R17&gt;=3.6,"Следующий релиз","Не включать / проверить"))))</x:f>
      </x:c>
      <x:c r="T17" s="44" t="str">
        <x:f>IF(A17="","",IF(S17="Первый релиз","Включить в минимальный рыночный выпуск",IF(S17="Следующий релиз","Запланировать после проверки первого релиза","Оставить как гипотезу / проверить позже")))</x:f>
      </x:c>
      <x:c r="U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44" t="n">
        <x:f>ROUND((G18*0.18)+(H18*0.15)+(I18*0.12)+(J18*0.08)+(K18*0.13)+(L18*0.10)+(M18*0.12)+(N18*0.12)-(O18*0.07)+(P18*0.10),2)</x:f>
        <x:v>0</x:v>
      </x:c>
      <x:c r="R18" s="44" t="n">
        <x:f>ROUND((I18*0.16)+(J18*0.20)+(K18*0.12)+(L18*0.10)+((6-M18)*0.08)+((6-N18)*0.08)+(O18*0.06)+(P18*0.14)+(G18*0.06),2)</x:f>
        <x:v>0.96</x:v>
      </x:c>
      <x:c r="S18" s="44" t="str">
        <x:f>IF(A18="","",IF(AND(G18&gt;=4,H18&gt;=4,K18&gt;=3,P18&gt;=4),"Первый релиз",IF(Q18&gt;=3.7,"Первый релиз",IF(R18&gt;=3.6,"Следующий релиз","Не включать / проверить"))))</x:f>
      </x:c>
      <x:c r="T18" s="44" t="str">
        <x:f>IF(A18="","",IF(S18="Первый релиз","Включить в минимальный рыночный выпуск",IF(S18="Следующий релиз","Запланировать после проверки первого релиза","Оставить как гипотезу / проверить позже")))</x:f>
      </x:c>
      <x:c r="U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44" t="n">
        <x:f>ROUND((G19*0.18)+(H19*0.15)+(I19*0.12)+(J19*0.08)+(K19*0.13)+(L19*0.10)+(M19*0.12)+(N19*0.12)-(O19*0.07)+(P19*0.10),2)</x:f>
        <x:v>0</x:v>
      </x:c>
      <x:c r="R19" s="44" t="n">
        <x:f>ROUND((I19*0.16)+(J19*0.20)+(K19*0.12)+(L19*0.10)+((6-M19)*0.08)+((6-N19)*0.08)+(O19*0.06)+(P19*0.14)+(G19*0.06),2)</x:f>
        <x:v>0.96</x:v>
      </x:c>
      <x:c r="S19" s="44" t="str">
        <x:f>IF(A19="","",IF(AND(G19&gt;=4,H19&gt;=4,K19&gt;=3,P19&gt;=4),"Первый релиз",IF(Q19&gt;=3.7,"Первый релиз",IF(R19&gt;=3.6,"Следующий релиз","Не включать / проверить"))))</x:f>
      </x:c>
      <x:c r="T19" s="44" t="str">
        <x:f>IF(A19="","",IF(S19="Первый релиз","Включить в минимальный рыночный выпуск",IF(S19="Следующий релиз","Запланировать после проверки первого релиза","Оставить как гипотезу / проверить позже")))</x:f>
      </x:c>
      <x:c r="U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44" t="n">
        <x:f>ROUND((G20*0.18)+(H20*0.15)+(I20*0.12)+(J20*0.08)+(K20*0.13)+(L20*0.10)+(M20*0.12)+(N20*0.12)-(O20*0.07)+(P20*0.10),2)</x:f>
        <x:v>0</x:v>
      </x:c>
      <x:c r="R20" s="44" t="n">
        <x:f>ROUND((I20*0.16)+(J20*0.20)+(K20*0.12)+(L20*0.10)+((6-M20)*0.08)+((6-N20)*0.08)+(O20*0.06)+(P20*0.14)+(G20*0.06),2)</x:f>
        <x:v>0.96</x:v>
      </x:c>
      <x:c r="S20" s="44" t="str">
        <x:f>IF(A20="","",IF(AND(G20&gt;=4,H20&gt;=4,K20&gt;=3,P20&gt;=4),"Первый релиз",IF(Q20&gt;=3.7,"Первый релиз",IF(R20&gt;=3.6,"Следующий релиз","Не включать / проверить"))))</x:f>
      </x:c>
      <x:c r="T20" s="44" t="str">
        <x:f>IF(A20="","",IF(S20="Первый релиз","Включить в минимальный рыночный выпуск",IF(S20="Следующий релиз","Запланировать после проверки первого релиза","Оставить как гипотезу / проверить позже")))</x:f>
      </x:c>
      <x:c r="U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44" t="n">
        <x:f>ROUND((G21*0.18)+(H21*0.15)+(I21*0.12)+(J21*0.08)+(K21*0.13)+(L21*0.10)+(M21*0.12)+(N21*0.12)-(O21*0.07)+(P21*0.10),2)</x:f>
        <x:v>0</x:v>
      </x:c>
      <x:c r="R21" s="44" t="n">
        <x:f>ROUND((I21*0.16)+(J21*0.20)+(K21*0.12)+(L21*0.10)+((6-M21)*0.08)+((6-N21)*0.08)+(O21*0.06)+(P21*0.14)+(G21*0.06),2)</x:f>
        <x:v>0.96</x:v>
      </x:c>
      <x:c r="S21" s="44" t="str">
        <x:f>IF(A21="","",IF(AND(G21&gt;=4,H21&gt;=4,K21&gt;=3,P21&gt;=4),"Первый релиз",IF(Q21&gt;=3.7,"Первый релиз",IF(R21&gt;=3.6,"Следующий релиз","Не включать / проверить"))))</x:f>
      </x:c>
      <x:c r="T21" s="44" t="str">
        <x:f>IF(A21="","",IF(S21="Первый релиз","Включить в минимальный рыночный выпуск",IF(S21="Следующий релиз","Запланировать после проверки первого релиза","Оставить как гипотезу / проверить позже")))</x:f>
      </x:c>
      <x:c r="U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44" t="n">
        <x:f>ROUND((G22*0.18)+(H22*0.15)+(I22*0.12)+(J22*0.08)+(K22*0.13)+(L22*0.10)+(M22*0.12)+(N22*0.12)-(O22*0.07)+(P22*0.10),2)</x:f>
        <x:v>0</x:v>
      </x:c>
      <x:c r="R22" s="44" t="n">
        <x:f>ROUND((I22*0.16)+(J22*0.20)+(K22*0.12)+(L22*0.10)+((6-M22)*0.08)+((6-N22)*0.08)+(O22*0.06)+(P22*0.14)+(G22*0.06),2)</x:f>
        <x:v>0.96</x:v>
      </x:c>
      <x:c r="S22" s="44" t="str">
        <x:f>IF(A22="","",IF(AND(G22&gt;=4,H22&gt;=4,K22&gt;=3,P22&gt;=4),"Первый релиз",IF(Q22&gt;=3.7,"Первый релиз",IF(R22&gt;=3.6,"Следующий релиз","Не включать / проверить"))))</x:f>
      </x:c>
      <x:c r="T22" s="44" t="str">
        <x:f>IF(A22="","",IF(S22="Первый релиз","Включить в минимальный рыночный выпуск",IF(S22="Следующий релиз","Запланировать после проверки первого релиза","Оставить как гипотезу / проверить позже")))</x:f>
      </x:c>
      <x:c r="U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44" t="n">
        <x:f>ROUND((G23*0.18)+(H23*0.15)+(I23*0.12)+(J23*0.08)+(K23*0.13)+(L23*0.10)+(M23*0.12)+(N23*0.12)-(O23*0.07)+(P23*0.10),2)</x:f>
        <x:v>0</x:v>
      </x:c>
      <x:c r="R23" s="44" t="n">
        <x:f>ROUND((I23*0.16)+(J23*0.20)+(K23*0.12)+(L23*0.10)+((6-M23)*0.08)+((6-N23)*0.08)+(O23*0.06)+(P23*0.14)+(G23*0.06),2)</x:f>
        <x:v>0.96</x:v>
      </x:c>
      <x:c r="S23" s="44" t="str">
        <x:f>IF(A23="","",IF(AND(G23&gt;=4,H23&gt;=4,K23&gt;=3,P23&gt;=4),"Первый релиз",IF(Q23&gt;=3.7,"Первый релиз",IF(R23&gt;=3.6,"Следующий релиз","Не включать / проверить"))))</x:f>
      </x:c>
      <x:c r="T23" s="44" t="str">
        <x:f>IF(A23="","",IF(S23="Первый релиз","Включить в минимальный рыночный выпуск",IF(S23="Следующий релиз","Запланировать после проверки первого релиза","Оставить как гипотезу / проверить позже")))</x:f>
      </x:c>
      <x:c r="U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44" t="n">
        <x:f>ROUND((G24*0.18)+(H24*0.15)+(I24*0.12)+(J24*0.08)+(K24*0.13)+(L24*0.10)+(M24*0.12)+(N24*0.12)-(O24*0.07)+(P24*0.10),2)</x:f>
        <x:v>0</x:v>
      </x:c>
      <x:c r="R24" s="44" t="n">
        <x:f>ROUND((I24*0.16)+(J24*0.20)+(K24*0.12)+(L24*0.10)+((6-M24)*0.08)+((6-N24)*0.08)+(O24*0.06)+(P24*0.14)+(G24*0.06),2)</x:f>
        <x:v>0.96</x:v>
      </x:c>
      <x:c r="S24" s="44" t="str">
        <x:f>IF(A24="","",IF(AND(G24&gt;=4,H24&gt;=4,K24&gt;=3,P24&gt;=4),"Первый релиз",IF(Q24&gt;=3.7,"Первый релиз",IF(R24&gt;=3.6,"Следующий релиз","Не включать / проверить"))))</x:f>
      </x:c>
      <x:c r="T24" s="44" t="str">
        <x:f>IF(A24="","",IF(S24="Первый релиз","Включить в минимальный рыночный выпуск",IF(S24="Следующий релиз","Запланировать после проверки первого релиза","Оставить как гипотезу / проверить позже")))</x:f>
      </x:c>
      <x:c r="U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44" t="n">
        <x:f>ROUND((G25*0.18)+(H25*0.15)+(I25*0.12)+(J25*0.08)+(K25*0.13)+(L25*0.10)+(M25*0.12)+(N25*0.12)-(O25*0.07)+(P25*0.10),2)</x:f>
        <x:v>0</x:v>
      </x:c>
      <x:c r="R25" s="44" t="n">
        <x:f>ROUND((I25*0.16)+(J25*0.20)+(K25*0.12)+(L25*0.10)+((6-M25)*0.08)+((6-N25)*0.08)+(O25*0.06)+(P25*0.14)+(G25*0.06),2)</x:f>
        <x:v>0.96</x:v>
      </x:c>
      <x:c r="S25" s="44" t="str">
        <x:f>IF(A25="","",IF(AND(G25&gt;=4,H25&gt;=4,K25&gt;=3,P25&gt;=4),"Первый релиз",IF(Q25&gt;=3.7,"Первый релиз",IF(R25&gt;=3.6,"Следующий релиз","Не включать / проверить"))))</x:f>
      </x:c>
      <x:c r="T25" s="44" t="str">
        <x:f>IF(A25="","",IF(S25="Первый релиз","Включить в минимальный рыночный выпуск",IF(S25="Следующий релиз","Запланировать после проверки первого релиза","Оставить как гипотезу / проверить позже")))</x:f>
      </x:c>
      <x:c r="U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44" t="n">
        <x:f>ROUND((G26*0.18)+(H26*0.15)+(I26*0.12)+(J26*0.08)+(K26*0.13)+(L26*0.10)+(M26*0.12)+(N26*0.12)-(O26*0.07)+(P26*0.10),2)</x:f>
        <x:v>0</x:v>
      </x:c>
      <x:c r="R26" s="44" t="n">
        <x:f>ROUND((I26*0.16)+(J26*0.20)+(K26*0.12)+(L26*0.10)+((6-M26)*0.08)+((6-N26)*0.08)+(O26*0.06)+(P26*0.14)+(G26*0.06),2)</x:f>
        <x:v>0.96</x:v>
      </x:c>
      <x:c r="S26" s="44" t="str">
        <x:f>IF(A26="","",IF(AND(G26&gt;=4,H26&gt;=4,K26&gt;=3,P26&gt;=4),"Первый релиз",IF(Q26&gt;=3.7,"Первый релиз",IF(R26&gt;=3.6,"Следующий релиз","Не включать / проверить"))))</x:f>
      </x:c>
      <x:c r="T26" s="44" t="str">
        <x:f>IF(A26="","",IF(S26="Первый релиз","Включить в минимальный рыночный выпуск",IF(S26="Следующий релиз","Запланировать после проверки первого релиза","Оставить как гипотезу / проверить позже")))</x:f>
      </x:c>
      <x:c r="U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44" t="n">
        <x:f>ROUND((G27*0.18)+(H27*0.15)+(I27*0.12)+(J27*0.08)+(K27*0.13)+(L27*0.10)+(M27*0.12)+(N27*0.12)-(O27*0.07)+(P27*0.10),2)</x:f>
        <x:v>0</x:v>
      </x:c>
      <x:c r="R27" s="44" t="n">
        <x:f>ROUND((I27*0.16)+(J27*0.20)+(K27*0.12)+(L27*0.10)+((6-M27)*0.08)+((6-N27)*0.08)+(O27*0.06)+(P27*0.14)+(G27*0.06),2)</x:f>
        <x:v>0.96</x:v>
      </x:c>
      <x:c r="S27" s="44" t="str">
        <x:f>IF(A27="","",IF(AND(G27&gt;=4,H27&gt;=4,K27&gt;=3,P27&gt;=4),"Первый релиз",IF(Q27&gt;=3.7,"Первый релиз",IF(R27&gt;=3.6,"Следующий релиз","Не включать / проверить"))))</x:f>
      </x:c>
      <x:c r="T27" s="44" t="str">
        <x:f>IF(A27="","",IF(S27="Первый релиз","Включить в минимальный рыночный выпуск",IF(S27="Следующий релиз","Запланировать после проверки первого релиза","Оставить как гипотезу / проверить позже")))</x:f>
      </x:c>
      <x:c r="U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44" t="n">
        <x:f>ROUND((G28*0.18)+(H28*0.15)+(I28*0.12)+(J28*0.08)+(K28*0.13)+(L28*0.10)+(M28*0.12)+(N28*0.12)-(O28*0.07)+(P28*0.10),2)</x:f>
        <x:v>0</x:v>
      </x:c>
      <x:c r="R28" s="44" t="n">
        <x:f>ROUND((I28*0.16)+(J28*0.20)+(K28*0.12)+(L28*0.10)+((6-M28)*0.08)+((6-N28)*0.08)+(O28*0.06)+(P28*0.14)+(G28*0.06),2)</x:f>
        <x:v>0.96</x:v>
      </x:c>
      <x:c r="S28" s="44" t="str">
        <x:f>IF(A28="","",IF(AND(G28&gt;=4,H28&gt;=4,K28&gt;=3,P28&gt;=4),"Первый релиз",IF(Q28&gt;=3.7,"Первый релиз",IF(R28&gt;=3.6,"Следующий релиз","Не включать / проверить"))))</x:f>
      </x:c>
      <x:c r="T28" s="44" t="str">
        <x:f>IF(A28="","",IF(S28="Первый релиз","Включить в минимальный рыночный выпуск",IF(S28="Следующий релиз","Запланировать после проверки первого релиза","Оставить как гипотезу / проверить позже")))</x:f>
      </x:c>
      <x:c r="U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44" t="n">
        <x:f>ROUND((G29*0.18)+(H29*0.15)+(I29*0.12)+(J29*0.08)+(K29*0.13)+(L29*0.10)+(M29*0.12)+(N29*0.12)-(O29*0.07)+(P29*0.10),2)</x:f>
        <x:v>0</x:v>
      </x:c>
      <x:c r="R29" s="44" t="n">
        <x:f>ROUND((I29*0.16)+(J29*0.20)+(K29*0.12)+(L29*0.10)+((6-M29)*0.08)+((6-N29)*0.08)+(O29*0.06)+(P29*0.14)+(G29*0.06),2)</x:f>
        <x:v>0.96</x:v>
      </x:c>
      <x:c r="S29" s="44" t="str">
        <x:f>IF(A29="","",IF(AND(G29&gt;=4,H29&gt;=4,K29&gt;=3,P29&gt;=4),"Первый релиз",IF(Q29&gt;=3.7,"Первый релиз",IF(R29&gt;=3.6,"Следующий релиз","Не включать / проверить"))))</x:f>
      </x:c>
      <x:c r="T29" s="44" t="str">
        <x:f>IF(A29="","",IF(S29="Первый релиз","Включить в минимальный рыночный выпуск",IF(S29="Следующий релиз","Запланировать после проверки первого релиза","Оставить как гипотезу / проверить позже")))</x:f>
      </x:c>
      <x:c r="U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44" t="n">
        <x:f>ROUND((G30*0.18)+(H30*0.15)+(I30*0.12)+(J30*0.08)+(K30*0.13)+(L30*0.10)+(M30*0.12)+(N30*0.12)-(O30*0.07)+(P30*0.10),2)</x:f>
        <x:v>0</x:v>
      </x:c>
      <x:c r="R30" s="44" t="n">
        <x:f>ROUND((I30*0.16)+(J30*0.20)+(K30*0.12)+(L30*0.10)+((6-M30)*0.08)+((6-N30)*0.08)+(O30*0.06)+(P30*0.14)+(G30*0.06),2)</x:f>
        <x:v>0.96</x:v>
      </x:c>
      <x:c r="S30" s="44" t="str">
        <x:f>IF(A30="","",IF(AND(G30&gt;=4,H30&gt;=4,K30&gt;=3,P30&gt;=4),"Первый релиз",IF(Q30&gt;=3.7,"Первый релиз",IF(R30&gt;=3.6,"Следующий релиз","Не включать / проверить"))))</x:f>
      </x:c>
      <x:c r="T30" s="44" t="str">
        <x:f>IF(A30="","",IF(S30="Первый релиз","Включить в минимальный рыночный выпуск",IF(S30="Следующий релиз","Запланировать после проверки первого релиза","Оставить как гипотезу / проверить позже")))</x:f>
      </x:c>
      <x:c r="U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44" t="n">
        <x:f>ROUND((G31*0.18)+(H31*0.15)+(I31*0.12)+(J31*0.08)+(K31*0.13)+(L31*0.10)+(M31*0.12)+(N31*0.12)-(O31*0.07)+(P31*0.10),2)</x:f>
        <x:v>0</x:v>
      </x:c>
      <x:c r="R31" s="44" t="n">
        <x:f>ROUND((I31*0.16)+(J31*0.20)+(K31*0.12)+(L31*0.10)+((6-M31)*0.08)+((6-N31)*0.08)+(O31*0.06)+(P31*0.14)+(G31*0.06),2)</x:f>
        <x:v>0.96</x:v>
      </x:c>
      <x:c r="S31" s="44" t="str">
        <x:f>IF(A31="","",IF(AND(G31&gt;=4,H31&gt;=4,K31&gt;=3,P31&gt;=4),"Первый релиз",IF(Q31&gt;=3.7,"Первый релиз",IF(R31&gt;=3.6,"Следующий релиз","Не включать / проверить"))))</x:f>
      </x:c>
      <x:c r="T31" s="44" t="str">
        <x:f>IF(A31="","",IF(S31="Первый релиз","Включить в минимальный рыночный выпуск",IF(S31="Следующий релиз","Запланировать после проверки первого релиза","Оставить как гипотезу / проверить позже")))</x:f>
      </x:c>
      <x:c r="U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44" t="n">
        <x:f>ROUND((G32*0.18)+(H32*0.15)+(I32*0.12)+(J32*0.08)+(K32*0.13)+(L32*0.10)+(M32*0.12)+(N32*0.12)-(O32*0.07)+(P32*0.10),2)</x:f>
        <x:v>0</x:v>
      </x:c>
      <x:c r="R32" s="44" t="n">
        <x:f>ROUND((I32*0.16)+(J32*0.20)+(K32*0.12)+(L32*0.10)+((6-M32)*0.08)+((6-N32)*0.08)+(O32*0.06)+(P32*0.14)+(G32*0.06),2)</x:f>
        <x:v>0.96</x:v>
      </x:c>
      <x:c r="S32" s="44" t="str">
        <x:f>IF(A32="","",IF(AND(G32&gt;=4,H32&gt;=4,K32&gt;=3,P32&gt;=4),"Первый релиз",IF(Q32&gt;=3.7,"Первый релиз",IF(R32&gt;=3.6,"Следующий релиз","Не включать / проверить"))))</x:f>
      </x:c>
      <x:c r="T32" s="44" t="str">
        <x:f>IF(A32="","",IF(S32="Первый релиз","Включить в минимальный рыночный выпуск",IF(S32="Следующий релиз","Запланировать после проверки первого релиза","Оставить как гипотезу / проверить позже")))</x:f>
      </x:c>
      <x:c r="U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44" t="n">
        <x:f>ROUND((G33*0.18)+(H33*0.15)+(I33*0.12)+(J33*0.08)+(K33*0.13)+(L33*0.10)+(M33*0.12)+(N33*0.12)-(O33*0.07)+(P33*0.10),2)</x:f>
        <x:v>0</x:v>
      </x:c>
      <x:c r="R33" s="44" t="n">
        <x:f>ROUND((I33*0.16)+(J33*0.20)+(K33*0.12)+(L33*0.10)+((6-M33)*0.08)+((6-N33)*0.08)+(O33*0.06)+(P33*0.14)+(G33*0.06),2)</x:f>
        <x:v>0.96</x:v>
      </x:c>
      <x:c r="S33" s="44" t="str">
        <x:f>IF(A33="","",IF(AND(G33&gt;=4,H33&gt;=4,K33&gt;=3,P33&gt;=4),"Первый релиз",IF(Q33&gt;=3.7,"Первый релиз",IF(R33&gt;=3.6,"Следующий релиз","Не включать / проверить"))))</x:f>
      </x:c>
      <x:c r="T33" s="44" t="str">
        <x:f>IF(A33="","",IF(S33="Первый релиз","Включить в минимальный рыночный выпуск",IF(S33="Следующий релиз","Запланировать после проверки первого релиза","Оставить как гипотезу / проверить позже")))</x:f>
      </x:c>
      <x:c r="U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44" t="n">
        <x:f>ROUND((G34*0.18)+(H34*0.15)+(I34*0.12)+(J34*0.08)+(K34*0.13)+(L34*0.10)+(M34*0.12)+(N34*0.12)-(O34*0.07)+(P34*0.10),2)</x:f>
        <x:v>0</x:v>
      </x:c>
      <x:c r="R34" s="44" t="n">
        <x:f>ROUND((I34*0.16)+(J34*0.20)+(K34*0.12)+(L34*0.10)+((6-M34)*0.08)+((6-N34)*0.08)+(O34*0.06)+(P34*0.14)+(G34*0.06),2)</x:f>
        <x:v>0.96</x:v>
      </x:c>
      <x:c r="S34" s="44" t="str">
        <x:f>IF(A34="","",IF(AND(G34&gt;=4,H34&gt;=4,K34&gt;=3,P34&gt;=4),"Первый релиз",IF(Q34&gt;=3.7,"Первый релиз",IF(R34&gt;=3.6,"Следующий релиз","Не включать / проверить"))))</x:f>
      </x:c>
      <x:c r="T34" s="44" t="str">
        <x:f>IF(A34="","",IF(S34="Первый релиз","Включить в минимальный рыночный выпуск",IF(S34="Следующий релиз","Запланировать после проверки первого релиза","Оставить как гипотезу / проверить позже")))</x:f>
      </x:c>
      <x:c r="U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44" t="n">
        <x:f>ROUND((G35*0.18)+(H35*0.15)+(I35*0.12)+(J35*0.08)+(K35*0.13)+(L35*0.10)+(M35*0.12)+(N35*0.12)-(O35*0.07)+(P35*0.10),2)</x:f>
        <x:v>0</x:v>
      </x:c>
      <x:c r="R35" s="44" t="n">
        <x:f>ROUND((I35*0.16)+(J35*0.20)+(K35*0.12)+(L35*0.10)+((6-M35)*0.08)+((6-N35)*0.08)+(O35*0.06)+(P35*0.14)+(G35*0.06),2)</x:f>
        <x:v>0.96</x:v>
      </x:c>
      <x:c r="S35" s="44" t="str">
        <x:f>IF(A35="","",IF(AND(G35&gt;=4,H35&gt;=4,K35&gt;=3,P35&gt;=4),"Первый релиз",IF(Q35&gt;=3.7,"Первый релиз",IF(R35&gt;=3.6,"Следующий релиз","Не включать / проверить"))))</x:f>
      </x:c>
      <x:c r="T35" s="44" t="str">
        <x:f>IF(A35="","",IF(S35="Первый релиз","Включить в минимальный рыночный выпуск",IF(S35="Следующий релиз","Запланировать после проверки первого релиза","Оставить как гипотезу / проверить позже")))</x:f>
      </x:c>
      <x:c r="U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44" t="n">
        <x:f>ROUND((G36*0.18)+(H36*0.15)+(I36*0.12)+(J36*0.08)+(K36*0.13)+(L36*0.10)+(M36*0.12)+(N36*0.12)-(O36*0.07)+(P36*0.10),2)</x:f>
        <x:v>0</x:v>
      </x:c>
      <x:c r="R36" s="44" t="n">
        <x:f>ROUND((I36*0.16)+(J36*0.20)+(K36*0.12)+(L36*0.10)+((6-M36)*0.08)+((6-N36)*0.08)+(O36*0.06)+(P36*0.14)+(G36*0.06),2)</x:f>
        <x:v>0.96</x:v>
      </x:c>
      <x:c r="S36" s="44" t="str">
        <x:f>IF(A36="","",IF(AND(G36&gt;=4,H36&gt;=4,K36&gt;=3,P36&gt;=4),"Первый релиз",IF(Q36&gt;=3.7,"Первый релиз",IF(R36&gt;=3.6,"Следующий релиз","Не включать / проверить"))))</x:f>
      </x:c>
      <x:c r="T36" s="44" t="str">
        <x:f>IF(A36="","",IF(S36="Первый релиз","Включить в минимальный рыночный выпуск",IF(S36="Следующий релиз","Запланировать после проверки первого релиза","Оставить как гипотезу / проверить позже")))</x:f>
      </x:c>
      <x:c r="U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44" t="n">
        <x:f>ROUND((G37*0.18)+(H37*0.15)+(I37*0.12)+(J37*0.08)+(K37*0.13)+(L37*0.10)+(M37*0.12)+(N37*0.12)-(O37*0.07)+(P37*0.10),2)</x:f>
        <x:v>0</x:v>
      </x:c>
      <x:c r="R37" s="44" t="n">
        <x:f>ROUND((I37*0.16)+(J37*0.20)+(K37*0.12)+(L37*0.10)+((6-M37)*0.08)+((6-N37)*0.08)+(O37*0.06)+(P37*0.14)+(G37*0.06),2)</x:f>
        <x:v>0.96</x:v>
      </x:c>
      <x:c r="S37" s="44" t="str">
        <x:f>IF(A37="","",IF(AND(G37&gt;=4,H37&gt;=4,K37&gt;=3,P37&gt;=4),"Первый релиз",IF(Q37&gt;=3.7,"Первый релиз",IF(R37&gt;=3.6,"Следующий релиз","Не включать / проверить"))))</x:f>
      </x:c>
      <x:c r="T37" s="44" t="str">
        <x:f>IF(A37="","",IF(S37="Первый релиз","Включить в минимальный рыночный выпуск",IF(S37="Следующий релиз","Запланировать после проверки первого релиза","Оставить как гипотезу / проверить позже")))</x:f>
      </x:c>
      <x:c r="U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44" t="n">
        <x:f>ROUND((G38*0.18)+(H38*0.15)+(I38*0.12)+(J38*0.08)+(K38*0.13)+(L38*0.10)+(M38*0.12)+(N38*0.12)-(O38*0.07)+(P38*0.10),2)</x:f>
        <x:v>0</x:v>
      </x:c>
      <x:c r="R38" s="44" t="n">
        <x:f>ROUND((I38*0.16)+(J38*0.20)+(K38*0.12)+(L38*0.10)+((6-M38)*0.08)+((6-N38)*0.08)+(O38*0.06)+(P38*0.14)+(G38*0.06),2)</x:f>
        <x:v>0.96</x:v>
      </x:c>
      <x:c r="S38" s="44" t="str">
        <x:f>IF(A38="","",IF(AND(G38&gt;=4,H38&gt;=4,K38&gt;=3,P38&gt;=4),"Первый релиз",IF(Q38&gt;=3.7,"Первый релиз",IF(R38&gt;=3.6,"Следующий релиз","Не включать / проверить"))))</x:f>
      </x:c>
      <x:c r="T38" s="44" t="str">
        <x:f>IF(A38="","",IF(S38="Первый релиз","Включить в минимальный рыночный выпуск",IF(S38="Следующий релиз","Запланировать после проверки первого релиза","Оставить как гипотезу / проверить позже")))</x:f>
      </x:c>
      <x:c r="U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44" t="n">
        <x:f>ROUND((G39*0.18)+(H39*0.15)+(I39*0.12)+(J39*0.08)+(K39*0.13)+(L39*0.10)+(M39*0.12)+(N39*0.12)-(O39*0.07)+(P39*0.10),2)</x:f>
        <x:v>0</x:v>
      </x:c>
      <x:c r="R39" s="44" t="n">
        <x:f>ROUND((I39*0.16)+(J39*0.20)+(K39*0.12)+(L39*0.10)+((6-M39)*0.08)+((6-N39)*0.08)+(O39*0.06)+(P39*0.14)+(G39*0.06),2)</x:f>
        <x:v>0.96</x:v>
      </x:c>
      <x:c r="S39" s="44" t="str">
        <x:f>IF(A39="","",IF(AND(G39&gt;=4,H39&gt;=4,K39&gt;=3,P39&gt;=4),"Первый релиз",IF(Q39&gt;=3.7,"Первый релиз",IF(R39&gt;=3.6,"Следующий релиз","Не включать / проверить"))))</x:f>
      </x:c>
      <x:c r="T39" s="44" t="str">
        <x:f>IF(A39="","",IF(S39="Первый релиз","Включить в минимальный рыночный выпуск",IF(S39="Следующий релиз","Запланировать после проверки первого релиза","Оставить как гипотезу / проверить позже")))</x:f>
      </x:c>
      <x:c r="U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44" t="n">
        <x:f>ROUND((G40*0.18)+(H40*0.15)+(I40*0.12)+(J40*0.08)+(K40*0.13)+(L40*0.10)+(M40*0.12)+(N40*0.12)-(O40*0.07)+(P40*0.10),2)</x:f>
        <x:v>0</x:v>
      </x:c>
      <x:c r="R40" s="44" t="n">
        <x:f>ROUND((I40*0.16)+(J40*0.20)+(K40*0.12)+(L40*0.10)+((6-M40)*0.08)+((6-N40)*0.08)+(O40*0.06)+(P40*0.14)+(G40*0.06),2)</x:f>
        <x:v>0.96</x:v>
      </x:c>
      <x:c r="S40" s="44" t="str">
        <x:f>IF(A40="","",IF(AND(G40&gt;=4,H40&gt;=4,K40&gt;=3,P40&gt;=4),"Первый релиз",IF(Q40&gt;=3.7,"Первый релиз",IF(R40&gt;=3.6,"Следующий релиз","Не включать / проверить"))))</x:f>
      </x:c>
      <x:c r="T40" s="44" t="str">
        <x:f>IF(A40="","",IF(S40="Первый релиз","Включить в минимальный рыночный выпуск",IF(S40="Следующий релиз","Запланировать после проверки первого релиза","Оставить как гипотезу / проверить позже")))</x:f>
      </x:c>
      <x:c r="U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44" t="n">
        <x:f>ROUND((G41*0.18)+(H41*0.15)+(I41*0.12)+(J41*0.08)+(K41*0.13)+(L41*0.10)+(M41*0.12)+(N41*0.12)-(O41*0.07)+(P41*0.10),2)</x:f>
        <x:v>0</x:v>
      </x:c>
      <x:c r="R41" s="44" t="n">
        <x:f>ROUND((I41*0.16)+(J41*0.20)+(K41*0.12)+(L41*0.10)+((6-M41)*0.08)+((6-N41)*0.08)+(O41*0.06)+(P41*0.14)+(G41*0.06),2)</x:f>
        <x:v>0.96</x:v>
      </x:c>
      <x:c r="S41" s="44" t="str">
        <x:f>IF(A41="","",IF(AND(G41&gt;=4,H41&gt;=4,K41&gt;=3,P41&gt;=4),"Первый релиз",IF(Q41&gt;=3.7,"Первый релиз",IF(R41&gt;=3.6,"Следующий релиз","Не включать / проверить"))))</x:f>
      </x:c>
      <x:c r="T41" s="44" t="str">
        <x:f>IF(A41="","",IF(S41="Первый релиз","Включить в минимальный рыночный выпуск",IF(S41="Следующий релиз","Запланировать после проверки первого релиза","Оставить как гипотезу / проверить позже")))</x:f>
      </x:c>
      <x:c r="U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44" t="n">
        <x:f>ROUND((G42*0.18)+(H42*0.15)+(I42*0.12)+(J42*0.08)+(K42*0.13)+(L42*0.10)+(M42*0.12)+(N42*0.12)-(O42*0.07)+(P42*0.10),2)</x:f>
        <x:v>0</x:v>
      </x:c>
      <x:c r="R42" s="44" t="n">
        <x:f>ROUND((I42*0.16)+(J42*0.20)+(K42*0.12)+(L42*0.10)+((6-M42)*0.08)+((6-N42)*0.08)+(O42*0.06)+(P42*0.14)+(G42*0.06),2)</x:f>
        <x:v>0.96</x:v>
      </x:c>
      <x:c r="S42" s="44" t="str">
        <x:f>IF(A42="","",IF(AND(G42&gt;=4,H42&gt;=4,K42&gt;=3,P42&gt;=4),"Первый релиз",IF(Q42&gt;=3.7,"Первый релиз",IF(R42&gt;=3.6,"Следующий релиз","Не включать / проверить"))))</x:f>
      </x:c>
      <x:c r="T42" s="44" t="str">
        <x:f>IF(A42="","",IF(S42="Первый релиз","Включить в минимальный рыночный выпуск",IF(S42="Следующий релиз","Запланировать после проверки первого релиза","Оставить как гипотезу / проверить позже")))</x:f>
      </x:c>
      <x:c r="U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44" t="n">
        <x:f>ROUND((G43*0.18)+(H43*0.15)+(I43*0.12)+(J43*0.08)+(K43*0.13)+(L43*0.10)+(M43*0.12)+(N43*0.12)-(O43*0.07)+(P43*0.10),2)</x:f>
        <x:v>0</x:v>
      </x:c>
      <x:c r="R43" s="44" t="n">
        <x:f>ROUND((I43*0.16)+(J43*0.20)+(K43*0.12)+(L43*0.10)+((6-M43)*0.08)+((6-N43)*0.08)+(O43*0.06)+(P43*0.14)+(G43*0.06),2)</x:f>
        <x:v>0.96</x:v>
      </x:c>
      <x:c r="S43" s="44" t="str">
        <x:f>IF(A43="","",IF(AND(G43&gt;=4,H43&gt;=4,K43&gt;=3,P43&gt;=4),"Первый релиз",IF(Q43&gt;=3.7,"Первый релиз",IF(R43&gt;=3.6,"Следующий релиз","Не включать / проверить"))))</x:f>
      </x:c>
      <x:c r="T43" s="44" t="str">
        <x:f>IF(A43="","",IF(S43="Первый релиз","Включить в минимальный рыночный выпуск",IF(S43="Следующий релиз","Запланировать после проверки первого релиза","Оставить как гипотезу / проверить позже")))</x:f>
      </x:c>
      <x:c r="U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44" t="n">
        <x:f>ROUND((G44*0.18)+(H44*0.15)+(I44*0.12)+(J44*0.08)+(K44*0.13)+(L44*0.10)+(M44*0.12)+(N44*0.12)-(O44*0.07)+(P44*0.10),2)</x:f>
        <x:v>0</x:v>
      </x:c>
      <x:c r="R44" s="44" t="n">
        <x:f>ROUND((I44*0.16)+(J44*0.20)+(K44*0.12)+(L44*0.10)+((6-M44)*0.08)+((6-N44)*0.08)+(O44*0.06)+(P44*0.14)+(G44*0.06),2)</x:f>
        <x:v>0.96</x:v>
      </x:c>
      <x:c r="S44" s="44" t="str">
        <x:f>IF(A44="","",IF(AND(G44&gt;=4,H44&gt;=4,K44&gt;=3,P44&gt;=4),"Первый релиз",IF(Q44&gt;=3.7,"Первый релиз",IF(R44&gt;=3.6,"Следующий релиз","Не включать / проверить"))))</x:f>
      </x:c>
      <x:c r="T44" s="44" t="str">
        <x:f>IF(A44="","",IF(S44="Первый релиз","Включить в минимальный рыночный выпуск",IF(S44="Следующий релиз","Запланировать после проверки первого релиза","Оставить как гипотезу / проверить позже")))</x:f>
      </x:c>
      <x:c r="U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44" t="n">
        <x:f>ROUND((G45*0.18)+(H45*0.15)+(I45*0.12)+(J45*0.08)+(K45*0.13)+(L45*0.10)+(M45*0.12)+(N45*0.12)-(O45*0.07)+(P45*0.10),2)</x:f>
        <x:v>0</x:v>
      </x:c>
      <x:c r="R45" s="44" t="n">
        <x:f>ROUND((I45*0.16)+(J45*0.20)+(K45*0.12)+(L45*0.10)+((6-M45)*0.08)+((6-N45)*0.08)+(O45*0.06)+(P45*0.14)+(G45*0.06),2)</x:f>
        <x:v>0.96</x:v>
      </x:c>
      <x:c r="S45" s="44" t="str">
        <x:f>IF(A45="","",IF(AND(G45&gt;=4,H45&gt;=4,K45&gt;=3,P45&gt;=4),"Первый релиз",IF(Q45&gt;=3.7,"Первый релиз",IF(R45&gt;=3.6,"Следующий релиз","Не включать / проверить"))))</x:f>
      </x:c>
      <x:c r="T45" s="44" t="str">
        <x:f>IF(A45="","",IF(S45="Первый релиз","Включить в минимальный рыночный выпуск",IF(S45="Следующий релиз","Запланировать после проверки первого релиза","Оставить как гипотезу / проверить позже")))</x:f>
      </x:c>
      <x:c r="U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44" t="n">
        <x:f>ROUND((G46*0.18)+(H46*0.15)+(I46*0.12)+(J46*0.08)+(K46*0.13)+(L46*0.10)+(M46*0.12)+(N46*0.12)-(O46*0.07)+(P46*0.10),2)</x:f>
        <x:v>0</x:v>
      </x:c>
      <x:c r="R46" s="44" t="n">
        <x:f>ROUND((I46*0.16)+(J46*0.20)+(K46*0.12)+(L46*0.10)+((6-M46)*0.08)+((6-N46)*0.08)+(O46*0.06)+(P46*0.14)+(G46*0.06),2)</x:f>
        <x:v>0.96</x:v>
      </x:c>
      <x:c r="S46" s="44" t="str">
        <x:f>IF(A46="","",IF(AND(G46&gt;=4,H46&gt;=4,K46&gt;=3,P46&gt;=4),"Первый релиз",IF(Q46&gt;=3.7,"Первый релиз",IF(R46&gt;=3.6,"Следующий релиз","Не включать / проверить"))))</x:f>
      </x:c>
      <x:c r="T46" s="44" t="str">
        <x:f>IF(A46="","",IF(S46="Первый релиз","Включить в минимальный рыночный выпуск",IF(S46="Следующий релиз","Запланировать после проверки первого релиза","Оставить как гипотезу / проверить позже")))</x:f>
      </x:c>
      <x:c r="U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44" t="n">
        <x:f>ROUND((G47*0.18)+(H47*0.15)+(I47*0.12)+(J47*0.08)+(K47*0.13)+(L47*0.10)+(M47*0.12)+(N47*0.12)-(O47*0.07)+(P47*0.10),2)</x:f>
        <x:v>0</x:v>
      </x:c>
      <x:c r="R47" s="44" t="n">
        <x:f>ROUND((I47*0.16)+(J47*0.20)+(K47*0.12)+(L47*0.10)+((6-M47)*0.08)+((6-N47)*0.08)+(O47*0.06)+(P47*0.14)+(G47*0.06),2)</x:f>
        <x:v>0.96</x:v>
      </x:c>
      <x:c r="S47" s="44" t="str">
        <x:f>IF(A47="","",IF(AND(G47&gt;=4,H47&gt;=4,K47&gt;=3,P47&gt;=4),"Первый релиз",IF(Q47&gt;=3.7,"Первый релиз",IF(R47&gt;=3.6,"Следующий релиз","Не включать / проверить"))))</x:f>
      </x:c>
      <x:c r="T47" s="44" t="str">
        <x:f>IF(A47="","",IF(S47="Первый релиз","Включить в минимальный рыночный выпуск",IF(S47="Следующий релиз","Запланировать после проверки первого релиза","Оставить как гипотезу / проверить позже")))</x:f>
      </x:c>
      <x:c r="U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44" t="n">
        <x:f>ROUND((G48*0.18)+(H48*0.15)+(I48*0.12)+(J48*0.08)+(K48*0.13)+(L48*0.10)+(M48*0.12)+(N48*0.12)-(O48*0.07)+(P48*0.10),2)</x:f>
        <x:v>0</x:v>
      </x:c>
      <x:c r="R48" s="44" t="n">
        <x:f>ROUND((I48*0.16)+(J48*0.20)+(K48*0.12)+(L48*0.10)+((6-M48)*0.08)+((6-N48)*0.08)+(O48*0.06)+(P48*0.14)+(G48*0.06),2)</x:f>
        <x:v>0.96</x:v>
      </x:c>
      <x:c r="S48" s="44" t="str">
        <x:f>IF(A48="","",IF(AND(G48&gt;=4,H48&gt;=4,K48&gt;=3,P48&gt;=4),"Первый релиз",IF(Q48&gt;=3.7,"Первый релиз",IF(R48&gt;=3.6,"Следующий релиз","Не включать / проверить"))))</x:f>
      </x:c>
      <x:c r="T48" s="44" t="str">
        <x:f>IF(A48="","",IF(S48="Первый релиз","Включить в минимальный рыночный выпуск",IF(S48="Следующий релиз","Запланировать после проверки первого релиза","Оставить как гипотезу / проверить позже")))</x:f>
      </x:c>
      <x:c r="U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44" t="n">
        <x:f>ROUND((G49*0.18)+(H49*0.15)+(I49*0.12)+(J49*0.08)+(K49*0.13)+(L49*0.10)+(M49*0.12)+(N49*0.12)-(O49*0.07)+(P49*0.10),2)</x:f>
        <x:v>0</x:v>
      </x:c>
      <x:c r="R49" s="44" t="n">
        <x:f>ROUND((I49*0.16)+(J49*0.20)+(K49*0.12)+(L49*0.10)+((6-M49)*0.08)+((6-N49)*0.08)+(O49*0.06)+(P49*0.14)+(G49*0.06),2)</x:f>
        <x:v>0.96</x:v>
      </x:c>
      <x:c r="S49" s="44" t="str">
        <x:f>IF(A49="","",IF(AND(G49&gt;=4,H49&gt;=4,K49&gt;=3,P49&gt;=4),"Первый релиз",IF(Q49&gt;=3.7,"Первый релиз",IF(R49&gt;=3.6,"Следующий релиз","Не включать / проверить"))))</x:f>
      </x:c>
      <x:c r="T49" s="44" t="str">
        <x:f>IF(A49="","",IF(S49="Первый релиз","Включить в минимальный рыночный выпуск",IF(S49="Следующий релиз","Запланировать после проверки первого релиза","Оставить как гипотезу / проверить позже")))</x:f>
      </x:c>
      <x:c r="U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44" t="n">
        <x:f>ROUND((G50*0.18)+(H50*0.15)+(I50*0.12)+(J50*0.08)+(K50*0.13)+(L50*0.10)+(M50*0.12)+(N50*0.12)-(O50*0.07)+(P50*0.10),2)</x:f>
        <x:v>0</x:v>
      </x:c>
      <x:c r="R50" s="44" t="n">
        <x:f>ROUND((I50*0.16)+(J50*0.20)+(K50*0.12)+(L50*0.10)+((6-M50)*0.08)+((6-N50)*0.08)+(O50*0.06)+(P50*0.14)+(G50*0.06),2)</x:f>
        <x:v>0.96</x:v>
      </x:c>
      <x:c r="S50" s="44" t="str">
        <x:f>IF(A50="","",IF(AND(G50&gt;=4,H50&gt;=4,K50&gt;=3,P50&gt;=4),"Первый релиз",IF(Q50&gt;=3.7,"Первый релиз",IF(R50&gt;=3.6,"Следующий релиз","Не включать / проверить"))))</x:f>
      </x:c>
      <x:c r="T50" s="44" t="str">
        <x:f>IF(A50="","",IF(S50="Первый релиз","Включить в минимальный рыночный выпуск",IF(S50="Следующий релиз","Запланировать после проверки первого релиза","Оставить как гипотезу / проверить позже")))</x:f>
      </x:c>
      <x:c r="U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44" t="n">
        <x:f>ROUND((G51*0.18)+(H51*0.15)+(I51*0.12)+(J51*0.08)+(K51*0.13)+(L51*0.10)+(M51*0.12)+(N51*0.12)-(O51*0.07)+(P51*0.10),2)</x:f>
        <x:v>0</x:v>
      </x:c>
      <x:c r="R51" s="44" t="n">
        <x:f>ROUND((I51*0.16)+(J51*0.20)+(K51*0.12)+(L51*0.10)+((6-M51)*0.08)+((6-N51)*0.08)+(O51*0.06)+(P51*0.14)+(G51*0.06),2)</x:f>
        <x:v>0.96</x:v>
      </x:c>
      <x:c r="S51" s="44" t="str">
        <x:f>IF(A51="","",IF(AND(G51&gt;=4,H51&gt;=4,K51&gt;=3,P51&gt;=4),"Первый релиз",IF(Q51&gt;=3.7,"Первый релиз",IF(R51&gt;=3.6,"Следующий релиз","Не включать / проверить"))))</x:f>
      </x:c>
      <x:c r="T51" s="44" t="str">
        <x:f>IF(A51="","",IF(S51="Первый релиз","Включить в минимальный рыночный выпуск",IF(S51="Следующий релиз","Запланировать после проверки первого релиза","Оставить как гипотезу / проверить позже")))</x:f>
      </x:c>
      <x:c r="U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44" t="n">
        <x:f>ROUND((G52*0.18)+(H52*0.15)+(I52*0.12)+(J52*0.08)+(K52*0.13)+(L52*0.10)+(M52*0.12)+(N52*0.12)-(O52*0.07)+(P52*0.10),2)</x:f>
        <x:v>0</x:v>
      </x:c>
      <x:c r="R52" s="44" t="n">
        <x:f>ROUND((I52*0.16)+(J52*0.20)+(K52*0.12)+(L52*0.10)+((6-M52)*0.08)+((6-N52)*0.08)+(O52*0.06)+(P52*0.14)+(G52*0.06),2)</x:f>
        <x:v>0.96</x:v>
      </x:c>
      <x:c r="S52" s="44" t="str">
        <x:f>IF(A52="","",IF(AND(G52&gt;=4,H52&gt;=4,K52&gt;=3,P52&gt;=4),"Первый релиз",IF(Q52&gt;=3.7,"Первый релиз",IF(R52&gt;=3.6,"Следующий релиз","Не включать / проверить"))))</x:f>
      </x:c>
      <x:c r="T52" s="44" t="str">
        <x:f>IF(A52="","",IF(S52="Первый релиз","Включить в минимальный рыночный выпуск",IF(S52="Следующий релиз","Запланировать после проверки первого релиза","Оставить как гипотезу / проверить позже")))</x:f>
      </x:c>
      <x:c r="U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44" t="n">
        <x:f>ROUND((G53*0.18)+(H53*0.15)+(I53*0.12)+(J53*0.08)+(K53*0.13)+(L53*0.10)+(M53*0.12)+(N53*0.12)-(O53*0.07)+(P53*0.10),2)</x:f>
        <x:v>0</x:v>
      </x:c>
      <x:c r="R53" s="44" t="n">
        <x:f>ROUND((I53*0.16)+(J53*0.20)+(K53*0.12)+(L53*0.10)+((6-M53)*0.08)+((6-N53)*0.08)+(O53*0.06)+(P53*0.14)+(G53*0.06),2)</x:f>
        <x:v>0.96</x:v>
      </x:c>
      <x:c r="S53" s="44" t="str">
        <x:f>IF(A53="","",IF(AND(G53&gt;=4,H53&gt;=4,K53&gt;=3,P53&gt;=4),"Первый релиз",IF(Q53&gt;=3.7,"Первый релиз",IF(R53&gt;=3.6,"Следующий релиз","Не включать / проверить"))))</x:f>
      </x:c>
      <x:c r="T53" s="44" t="str">
        <x:f>IF(A53="","",IF(S53="Первый релиз","Включить в минимальный рыночный выпуск",IF(S53="Следующий релиз","Запланировать после проверки первого релиза","Оставить как гипотезу / проверить позже")))</x:f>
      </x:c>
      <x:c r="U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44" t="n">
        <x:f>ROUND((G54*0.18)+(H54*0.15)+(I54*0.12)+(J54*0.08)+(K54*0.13)+(L54*0.10)+(M54*0.12)+(N54*0.12)-(O54*0.07)+(P54*0.10),2)</x:f>
        <x:v>0</x:v>
      </x:c>
      <x:c r="R54" s="44" t="n">
        <x:f>ROUND((I54*0.16)+(J54*0.20)+(K54*0.12)+(L54*0.10)+((6-M54)*0.08)+((6-N54)*0.08)+(O54*0.06)+(P54*0.14)+(G54*0.06),2)</x:f>
        <x:v>0.96</x:v>
      </x:c>
      <x:c r="S54" s="44" t="str">
        <x:f>IF(A54="","",IF(AND(G54&gt;=4,H54&gt;=4,K54&gt;=3,P54&gt;=4),"Первый релиз",IF(Q54&gt;=3.7,"Первый релиз",IF(R54&gt;=3.6,"Следующий релиз","Не включать / проверить"))))</x:f>
      </x:c>
      <x:c r="T54" s="44" t="str">
        <x:f>IF(A54="","",IF(S54="Первый релиз","Включить в минимальный рыночный выпуск",IF(S54="Следующий релиз","Запланировать после проверки первого релиза","Оставить как гипотезу / проверить позже")))</x:f>
      </x:c>
      <x:c r="U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44" t="n">
        <x:f>ROUND((G55*0.18)+(H55*0.15)+(I55*0.12)+(J55*0.08)+(K55*0.13)+(L55*0.10)+(M55*0.12)+(N55*0.12)-(O55*0.07)+(P55*0.10),2)</x:f>
        <x:v>0</x:v>
      </x:c>
      <x:c r="R55" s="44" t="n">
        <x:f>ROUND((I55*0.16)+(J55*0.20)+(K55*0.12)+(L55*0.10)+((6-M55)*0.08)+((6-N55)*0.08)+(O55*0.06)+(P55*0.14)+(G55*0.06),2)</x:f>
        <x:v>0.96</x:v>
      </x:c>
      <x:c r="S55" s="44" t="str">
        <x:f>IF(A55="","",IF(AND(G55&gt;=4,H55&gt;=4,K55&gt;=3,P55&gt;=4),"Первый релиз",IF(Q55&gt;=3.7,"Первый релиз",IF(R55&gt;=3.6,"Следующий релиз","Не включать / проверить"))))</x:f>
      </x:c>
      <x:c r="T55" s="44" t="str">
        <x:f>IF(A55="","",IF(S55="Первый релиз","Включить в минимальный рыночный выпуск",IF(S55="Следующий релиз","Запланировать после проверки первого релиза","Оставить как гипотезу / проверить позже")))</x:f>
      </x:c>
      <x:c r="U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44" t="n">
        <x:f>ROUND((G56*0.18)+(H56*0.15)+(I56*0.12)+(J56*0.08)+(K56*0.13)+(L56*0.10)+(M56*0.12)+(N56*0.12)-(O56*0.07)+(P56*0.10),2)</x:f>
        <x:v>0</x:v>
      </x:c>
      <x:c r="R56" s="44" t="n">
        <x:f>ROUND((I56*0.16)+(J56*0.20)+(K56*0.12)+(L56*0.10)+((6-M56)*0.08)+((6-N56)*0.08)+(O56*0.06)+(P56*0.14)+(G56*0.06),2)</x:f>
        <x:v>0.96</x:v>
      </x:c>
      <x:c r="S56" s="44" t="str">
        <x:f>IF(A56="","",IF(AND(G56&gt;=4,H56&gt;=4,K56&gt;=3,P56&gt;=4),"Первый релиз",IF(Q56&gt;=3.7,"Первый релиз",IF(R56&gt;=3.6,"Следующий релиз","Не включать / проверить"))))</x:f>
      </x:c>
      <x:c r="T56" s="44" t="str">
        <x:f>IF(A56="","",IF(S56="Первый релиз","Включить в минимальный рыночный выпуск",IF(S56="Следующий релиз","Запланировать после проверки первого релиза","Оставить как гипотезу / проверить позже")))</x:f>
      </x:c>
      <x:c r="U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44" t="n">
        <x:f>ROUND((G57*0.18)+(H57*0.15)+(I57*0.12)+(J57*0.08)+(K57*0.13)+(L57*0.10)+(M57*0.12)+(N57*0.12)-(O57*0.07)+(P57*0.10),2)</x:f>
        <x:v>0</x:v>
      </x:c>
      <x:c r="R57" s="44" t="n">
        <x:f>ROUND((I57*0.16)+(J57*0.20)+(K57*0.12)+(L57*0.10)+((6-M57)*0.08)+((6-N57)*0.08)+(O57*0.06)+(P57*0.14)+(G57*0.06),2)</x:f>
        <x:v>0.96</x:v>
      </x:c>
      <x:c r="S57" s="44" t="str">
        <x:f>IF(A57="","",IF(AND(G57&gt;=4,H57&gt;=4,K57&gt;=3,P57&gt;=4),"Первый релиз",IF(Q57&gt;=3.7,"Первый релиз",IF(R57&gt;=3.6,"Следующий релиз","Не включать / проверить"))))</x:f>
      </x:c>
      <x:c r="T57" s="44" t="str">
        <x:f>IF(A57="","",IF(S57="Первый релиз","Включить в минимальный рыночный выпуск",IF(S57="Следующий релиз","Запланировать после проверки первого релиза","Оставить как гипотезу / проверить позже")))</x:f>
      </x:c>
      <x:c r="U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44" t="n">
        <x:f>ROUND((G58*0.18)+(H58*0.15)+(I58*0.12)+(J58*0.08)+(K58*0.13)+(L58*0.10)+(M58*0.12)+(N58*0.12)-(O58*0.07)+(P58*0.10),2)</x:f>
        <x:v>0</x:v>
      </x:c>
      <x:c r="R58" s="44" t="n">
        <x:f>ROUND((I58*0.16)+(J58*0.20)+(K58*0.12)+(L58*0.10)+((6-M58)*0.08)+((6-N58)*0.08)+(O58*0.06)+(P58*0.14)+(G58*0.06),2)</x:f>
        <x:v>0.96</x:v>
      </x:c>
      <x:c r="S58" s="44" t="str">
        <x:f>IF(A58="","",IF(AND(G58&gt;=4,H58&gt;=4,K58&gt;=3,P58&gt;=4),"Первый релиз",IF(Q58&gt;=3.7,"Первый релиз",IF(R58&gt;=3.6,"Следующий релиз","Не включать / проверить"))))</x:f>
      </x:c>
      <x:c r="T58" s="44" t="str">
        <x:f>IF(A58="","",IF(S58="Первый релиз","Включить в минимальный рыночный выпуск",IF(S58="Следующий релиз","Запланировать после проверки первого релиза","Оставить как гипотезу / проверить позже")))</x:f>
      </x:c>
      <x:c r="U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44" t="n">
        <x:f>ROUND((G59*0.18)+(H59*0.15)+(I59*0.12)+(J59*0.08)+(K59*0.13)+(L59*0.10)+(M59*0.12)+(N59*0.12)-(O59*0.07)+(P59*0.10),2)</x:f>
        <x:v>0</x:v>
      </x:c>
      <x:c r="R59" s="44" t="n">
        <x:f>ROUND((I59*0.16)+(J59*0.20)+(K59*0.12)+(L59*0.10)+((6-M59)*0.08)+((6-N59)*0.08)+(O59*0.06)+(P59*0.14)+(G59*0.06),2)</x:f>
        <x:v>0.96</x:v>
      </x:c>
      <x:c r="S59" s="44" t="str">
        <x:f>IF(A59="","",IF(AND(G59&gt;=4,H59&gt;=4,K59&gt;=3,P59&gt;=4),"Первый релиз",IF(Q59&gt;=3.7,"Первый релиз",IF(R59&gt;=3.6,"Следующий релиз","Не включать / проверить"))))</x:f>
      </x:c>
      <x:c r="T59" s="44" t="str">
        <x:f>IF(A59="","",IF(S59="Первый релиз","Включить в минимальный рыночный выпуск",IF(S59="Следующий релиз","Запланировать после проверки первого релиза","Оставить как гипотезу / проверить позже")))</x:f>
      </x:c>
      <x:c r="U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44" t="n">
        <x:f>ROUND((G60*0.18)+(H60*0.15)+(I60*0.12)+(J60*0.08)+(K60*0.13)+(L60*0.10)+(M60*0.12)+(N60*0.12)-(O60*0.07)+(P60*0.10),2)</x:f>
        <x:v>0</x:v>
      </x:c>
      <x:c r="R60" s="44" t="n">
        <x:f>ROUND((I60*0.16)+(J60*0.20)+(K60*0.12)+(L60*0.10)+((6-M60)*0.08)+((6-N60)*0.08)+(O60*0.06)+(P60*0.14)+(G60*0.06),2)</x:f>
        <x:v>0.96</x:v>
      </x:c>
      <x:c r="S60" s="44" t="str">
        <x:f>IF(A60="","",IF(AND(G60&gt;=4,H60&gt;=4,K60&gt;=3,P60&gt;=4),"Первый релиз",IF(Q60&gt;=3.7,"Первый релиз",IF(R60&gt;=3.6,"Следующий релиз","Не включать / проверить"))))</x:f>
      </x:c>
      <x:c r="T60" s="44" t="str">
        <x:f>IF(A60="","",IF(S60="Первый релиз","Включить в минимальный рыночный выпуск",IF(S60="Следующий релиз","Запланировать после проверки первого релиза","Оставить как гипотезу / проверить позже")))</x:f>
      </x:c>
      <x:c r="U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44" t="n">
        <x:f>ROUND((G61*0.18)+(H61*0.15)+(I61*0.12)+(J61*0.08)+(K61*0.13)+(L61*0.10)+(M61*0.12)+(N61*0.12)-(O61*0.07)+(P61*0.10),2)</x:f>
        <x:v>0</x:v>
      </x:c>
      <x:c r="R61" s="44" t="n">
        <x:f>ROUND((I61*0.16)+(J61*0.20)+(K61*0.12)+(L61*0.10)+((6-M61)*0.08)+((6-N61)*0.08)+(O61*0.06)+(P61*0.14)+(G61*0.06),2)</x:f>
        <x:v>0.96</x:v>
      </x:c>
      <x:c r="S61" s="44" t="str">
        <x:f>IF(A61="","",IF(AND(G61&gt;=4,H61&gt;=4,K61&gt;=3,P61&gt;=4),"Первый релиз",IF(Q61&gt;=3.7,"Первый релиз",IF(R61&gt;=3.6,"Следующий релиз","Не включать / проверить"))))</x:f>
      </x:c>
      <x:c r="T61" s="44" t="str">
        <x:f>IF(A61="","",IF(S61="Первый релиз","Включить в минимальный рыночный выпуск",IF(S61="Следующий релиз","Запланировать после проверки первого релиза","Оставить как гипотезу / проверить позже")))</x:f>
      </x:c>
      <x:c r="U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44" t="n">
        <x:f>ROUND((G62*0.18)+(H62*0.15)+(I62*0.12)+(J62*0.08)+(K62*0.13)+(L62*0.10)+(M62*0.12)+(N62*0.12)-(O62*0.07)+(P62*0.10),2)</x:f>
        <x:v>0</x:v>
      </x:c>
      <x:c r="R62" s="44" t="n">
        <x:f>ROUND((I62*0.16)+(J62*0.20)+(K62*0.12)+(L62*0.10)+((6-M62)*0.08)+((6-N62)*0.08)+(O62*0.06)+(P62*0.14)+(G62*0.06),2)</x:f>
        <x:v>0.96</x:v>
      </x:c>
      <x:c r="S62" s="44" t="str">
        <x:f>IF(A62="","",IF(AND(G62&gt;=4,H62&gt;=4,K62&gt;=3,P62&gt;=4),"Первый релиз",IF(Q62&gt;=3.7,"Первый релиз",IF(R62&gt;=3.6,"Следующий релиз","Не включать / проверить"))))</x:f>
      </x:c>
      <x:c r="T62" s="44" t="str">
        <x:f>IF(A62="","",IF(S62="Первый релиз","Включить в минимальный рыночный выпуск",IF(S62="Следующий релиз","Запланировать после проверки первого релиза","Оставить как гипотезу / проверить позже")))</x:f>
      </x:c>
      <x:c r="U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44" t="n">
        <x:f>ROUND((G63*0.18)+(H63*0.15)+(I63*0.12)+(J63*0.08)+(K63*0.13)+(L63*0.10)+(M63*0.12)+(N63*0.12)-(O63*0.07)+(P63*0.10),2)</x:f>
        <x:v>0</x:v>
      </x:c>
      <x:c r="R63" s="44" t="n">
        <x:f>ROUND((I63*0.16)+(J63*0.20)+(K63*0.12)+(L63*0.10)+((6-M63)*0.08)+((6-N63)*0.08)+(O63*0.06)+(P63*0.14)+(G63*0.06),2)</x:f>
        <x:v>0.96</x:v>
      </x:c>
      <x:c r="S63" s="44" t="str">
        <x:f>IF(A63="","",IF(AND(G63&gt;=4,H63&gt;=4,K63&gt;=3,P63&gt;=4),"Первый релиз",IF(Q63&gt;=3.7,"Первый релиз",IF(R63&gt;=3.6,"Следующий релиз","Не включать / проверить"))))</x:f>
      </x:c>
      <x:c r="T63" s="44" t="str">
        <x:f>IF(A63="","",IF(S63="Первый релиз","Включить в минимальный рыночный выпуск",IF(S63="Следующий релиз","Запланировать после проверки первого релиза","Оставить как гипотезу / проверить позже")))</x:f>
      </x:c>
      <x:c r="U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44" t="n">
        <x:f>ROUND((G64*0.18)+(H64*0.15)+(I64*0.12)+(J64*0.08)+(K64*0.13)+(L64*0.10)+(M64*0.12)+(N64*0.12)-(O64*0.07)+(P64*0.10),2)</x:f>
        <x:v>0</x:v>
      </x:c>
      <x:c r="R64" s="44" t="n">
        <x:f>ROUND((I64*0.16)+(J64*0.20)+(K64*0.12)+(L64*0.10)+((6-M64)*0.08)+((6-N64)*0.08)+(O64*0.06)+(P64*0.14)+(G64*0.06),2)</x:f>
        <x:v>0.96</x:v>
      </x:c>
      <x:c r="S64" s="44" t="str">
        <x:f>IF(A64="","",IF(AND(G64&gt;=4,H64&gt;=4,K64&gt;=3,P64&gt;=4),"Первый релиз",IF(Q64&gt;=3.7,"Первый релиз",IF(R64&gt;=3.6,"Следующий релиз","Не включать / проверить"))))</x:f>
      </x:c>
      <x:c r="T64" s="44" t="str">
        <x:f>IF(A64="","",IF(S64="Первый релиз","Включить в минимальный рыночный выпуск",IF(S64="Следующий релиз","Запланировать после проверки первого релиза","Оставить как гипотезу / проверить позже")))</x:f>
      </x:c>
      <x:c r="U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44" t="n">
        <x:f>ROUND((G65*0.18)+(H65*0.15)+(I65*0.12)+(J65*0.08)+(K65*0.13)+(L65*0.10)+(M65*0.12)+(N65*0.12)-(O65*0.07)+(P65*0.10),2)</x:f>
        <x:v>0</x:v>
      </x:c>
      <x:c r="R65" s="44" t="n">
        <x:f>ROUND((I65*0.16)+(J65*0.20)+(K65*0.12)+(L65*0.10)+((6-M65)*0.08)+((6-N65)*0.08)+(O65*0.06)+(P65*0.14)+(G65*0.06),2)</x:f>
        <x:v>0.96</x:v>
      </x:c>
      <x:c r="S65" s="44" t="str">
        <x:f>IF(A65="","",IF(AND(G65&gt;=4,H65&gt;=4,K65&gt;=3,P65&gt;=4),"Первый релиз",IF(Q65&gt;=3.7,"Первый релиз",IF(R65&gt;=3.6,"Следующий релиз","Не включать / проверить"))))</x:f>
      </x:c>
      <x:c r="T65" s="44" t="str">
        <x:f>IF(A65="","",IF(S65="Первый релиз","Включить в минимальный рыночный выпуск",IF(S65="Следующий релиз","Запланировать после проверки первого релиза","Оставить как гипотезу / проверить позже")))</x:f>
      </x:c>
      <x:c r="U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44" t="n">
        <x:f>ROUND((G66*0.18)+(H66*0.15)+(I66*0.12)+(J66*0.08)+(K66*0.13)+(L66*0.10)+(M66*0.12)+(N66*0.12)-(O66*0.07)+(P66*0.10),2)</x:f>
        <x:v>0</x:v>
      </x:c>
      <x:c r="R66" s="44" t="n">
        <x:f>ROUND((I66*0.16)+(J66*0.20)+(K66*0.12)+(L66*0.10)+((6-M66)*0.08)+((6-N66)*0.08)+(O66*0.06)+(P66*0.14)+(G66*0.06),2)</x:f>
        <x:v>0.96</x:v>
      </x:c>
      <x:c r="S66" s="44" t="str">
        <x:f>IF(A66="","",IF(AND(G66&gt;=4,H66&gt;=4,K66&gt;=3,P66&gt;=4),"Первый релиз",IF(Q66&gt;=3.7,"Первый релиз",IF(R66&gt;=3.6,"Следующий релиз","Не включать / проверить"))))</x:f>
      </x:c>
      <x:c r="T66" s="44" t="str">
        <x:f>IF(A66="","",IF(S66="Первый релиз","Включить в минимальный рыночный выпуск",IF(S66="Следующий релиз","Запланировать после проверки первого релиза","Оставить как гипотезу / проверить позже")))</x:f>
      </x:c>
      <x:c r="U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44" t="n">
        <x:f>ROUND((G67*0.18)+(H67*0.15)+(I67*0.12)+(J67*0.08)+(K67*0.13)+(L67*0.10)+(M67*0.12)+(N67*0.12)-(O67*0.07)+(P67*0.10),2)</x:f>
        <x:v>0</x:v>
      </x:c>
      <x:c r="R67" s="44" t="n">
        <x:f>ROUND((I67*0.16)+(J67*0.20)+(K67*0.12)+(L67*0.10)+((6-M67)*0.08)+((6-N67)*0.08)+(O67*0.06)+(P67*0.14)+(G67*0.06),2)</x:f>
        <x:v>0.96</x:v>
      </x:c>
      <x:c r="S67" s="44" t="str">
        <x:f>IF(A67="","",IF(AND(G67&gt;=4,H67&gt;=4,K67&gt;=3,P67&gt;=4),"Первый релиз",IF(Q67&gt;=3.7,"Первый релиз",IF(R67&gt;=3.6,"Следующий релиз","Не включать / проверить"))))</x:f>
      </x:c>
      <x:c r="T67" s="44" t="str">
        <x:f>IF(A67="","",IF(S67="Первый релиз","Включить в минимальный рыночный выпуск",IF(S67="Следующий релиз","Запланировать после проверки первого релиза","Оставить как гипотезу / проверить позже")))</x:f>
      </x:c>
      <x:c r="U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44" t="n">
        <x:f>ROUND((G68*0.18)+(H68*0.15)+(I68*0.12)+(J68*0.08)+(K68*0.13)+(L68*0.10)+(M68*0.12)+(N68*0.12)-(O68*0.07)+(P68*0.10),2)</x:f>
        <x:v>0</x:v>
      </x:c>
      <x:c r="R68" s="44" t="n">
        <x:f>ROUND((I68*0.16)+(J68*0.20)+(K68*0.12)+(L68*0.10)+((6-M68)*0.08)+((6-N68)*0.08)+(O68*0.06)+(P68*0.14)+(G68*0.06),2)</x:f>
        <x:v>0.96</x:v>
      </x:c>
      <x:c r="S68" s="44" t="str">
        <x:f>IF(A68="","",IF(AND(G68&gt;=4,H68&gt;=4,K68&gt;=3,P68&gt;=4),"Первый релиз",IF(Q68&gt;=3.7,"Первый релиз",IF(R68&gt;=3.6,"Следующий релиз","Не включать / проверить"))))</x:f>
      </x:c>
      <x:c r="T68" s="44" t="str">
        <x:f>IF(A68="","",IF(S68="Первый релиз","Включить в минимальный рыночный выпуск",IF(S68="Следующий релиз","Запланировать после проверки первого релиза","Оставить как гипотезу / проверить позже")))</x:f>
      </x:c>
      <x:c r="U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44" t="n">
        <x:f>ROUND((G69*0.18)+(H69*0.15)+(I69*0.12)+(J69*0.08)+(K69*0.13)+(L69*0.10)+(M69*0.12)+(N69*0.12)-(O69*0.07)+(P69*0.10),2)</x:f>
        <x:v>0</x:v>
      </x:c>
      <x:c r="R69" s="44" t="n">
        <x:f>ROUND((I69*0.16)+(J69*0.20)+(K69*0.12)+(L69*0.10)+((6-M69)*0.08)+((6-N69)*0.08)+(O69*0.06)+(P69*0.14)+(G69*0.06),2)</x:f>
        <x:v>0.96</x:v>
      </x:c>
      <x:c r="S69" s="44" t="str">
        <x:f>IF(A69="","",IF(AND(G69&gt;=4,H69&gt;=4,K69&gt;=3,P69&gt;=4),"Первый релиз",IF(Q69&gt;=3.7,"Первый релиз",IF(R69&gt;=3.6,"Следующий релиз","Не включать / проверить"))))</x:f>
      </x:c>
      <x:c r="T69" s="44" t="str">
        <x:f>IF(A69="","",IF(S69="Первый релиз","Включить в минимальный рыночный выпуск",IF(S69="Следующий релиз","Запланировать после проверки первого релиза","Оставить как гипотезу / проверить позже")))</x:f>
      </x:c>
      <x:c r="U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44" t="n">
        <x:f>ROUND((G70*0.18)+(H70*0.15)+(I70*0.12)+(J70*0.08)+(K70*0.13)+(L70*0.10)+(M70*0.12)+(N70*0.12)-(O70*0.07)+(P70*0.10),2)</x:f>
        <x:v>0</x:v>
      </x:c>
      <x:c r="R70" s="44" t="n">
        <x:f>ROUND((I70*0.16)+(J70*0.20)+(K70*0.12)+(L70*0.10)+((6-M70)*0.08)+((6-N70)*0.08)+(O70*0.06)+(P70*0.14)+(G70*0.06),2)</x:f>
        <x:v>0.96</x:v>
      </x:c>
      <x:c r="S70" s="44" t="str">
        <x:f>IF(A70="","",IF(AND(G70&gt;=4,H70&gt;=4,K70&gt;=3,P70&gt;=4),"Первый релиз",IF(Q70&gt;=3.7,"Первый релиз",IF(R70&gt;=3.6,"Следующий релиз","Не включать / проверить"))))</x:f>
      </x:c>
      <x:c r="T70" s="44" t="str">
        <x:f>IF(A70="","",IF(S70="Первый релиз","Включить в минимальный рыночный выпуск",IF(S70="Следующий релиз","Запланировать после проверки первого релиза","Оставить как гипотезу / проверить позже")))</x:f>
      </x:c>
      <x:c r="U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44" t="n">
        <x:f>ROUND((G71*0.18)+(H71*0.15)+(I71*0.12)+(J71*0.08)+(K71*0.13)+(L71*0.10)+(M71*0.12)+(N71*0.12)-(O71*0.07)+(P71*0.10),2)</x:f>
        <x:v>0</x:v>
      </x:c>
      <x:c r="R71" s="44" t="n">
        <x:f>ROUND((I71*0.16)+(J71*0.20)+(K71*0.12)+(L71*0.10)+((6-M71)*0.08)+((6-N71)*0.08)+(O71*0.06)+(P71*0.14)+(G71*0.06),2)</x:f>
        <x:v>0.96</x:v>
      </x:c>
      <x:c r="S71" s="44" t="str">
        <x:f>IF(A71="","",IF(AND(G71&gt;=4,H71&gt;=4,K71&gt;=3,P71&gt;=4),"Первый релиз",IF(Q71&gt;=3.7,"Первый релиз",IF(R71&gt;=3.6,"Следующий релиз","Не включать / проверить"))))</x:f>
      </x:c>
      <x:c r="T71" s="44" t="str">
        <x:f>IF(A71="","",IF(S71="Первый релиз","Включить в минимальный рыночный выпуск",IF(S71="Следующий релиз","Запланировать после проверки первого релиза","Оставить как гипотезу / проверить позже")))</x:f>
      </x:c>
      <x:c r="U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44" t="n">
        <x:f>ROUND((G72*0.18)+(H72*0.15)+(I72*0.12)+(J72*0.08)+(K72*0.13)+(L72*0.10)+(M72*0.12)+(N72*0.12)-(O72*0.07)+(P72*0.10),2)</x:f>
        <x:v>0</x:v>
      </x:c>
      <x:c r="R72" s="44" t="n">
        <x:f>ROUND((I72*0.16)+(J72*0.20)+(K72*0.12)+(L72*0.10)+((6-M72)*0.08)+((6-N72)*0.08)+(O72*0.06)+(P72*0.14)+(G72*0.06),2)</x:f>
        <x:v>0.96</x:v>
      </x:c>
      <x:c r="S72" s="44" t="str">
        <x:f>IF(A72="","",IF(AND(G72&gt;=4,H72&gt;=4,K72&gt;=3,P72&gt;=4),"Первый релиз",IF(Q72&gt;=3.7,"Первый релиз",IF(R72&gt;=3.6,"Следующий релиз","Не включать / проверить"))))</x:f>
      </x:c>
      <x:c r="T72" s="44" t="str">
        <x:f>IF(A72="","",IF(S72="Первый релиз","Включить в минимальный рыночный выпуск",IF(S72="Следующий релиз","Запланировать после проверки первого релиза","Оставить как гипотезу / проверить позже")))</x:f>
      </x:c>
      <x:c r="U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44" t="n">
        <x:f>ROUND((G73*0.18)+(H73*0.15)+(I73*0.12)+(J73*0.08)+(K73*0.13)+(L73*0.10)+(M73*0.12)+(N73*0.12)-(O73*0.07)+(P73*0.10),2)</x:f>
        <x:v>0</x:v>
      </x:c>
      <x:c r="R73" s="44" t="n">
        <x:f>ROUND((I73*0.16)+(J73*0.20)+(K73*0.12)+(L73*0.10)+((6-M73)*0.08)+((6-N73)*0.08)+(O73*0.06)+(P73*0.14)+(G73*0.06),2)</x:f>
        <x:v>0.96</x:v>
      </x:c>
      <x:c r="S73" s="44" t="str">
        <x:f>IF(A73="","",IF(AND(G73&gt;=4,H73&gt;=4,K73&gt;=3,P73&gt;=4),"Первый релиз",IF(Q73&gt;=3.7,"Первый релиз",IF(R73&gt;=3.6,"Следующий релиз","Не включать / проверить"))))</x:f>
      </x:c>
      <x:c r="T73" s="44" t="str">
        <x:f>IF(A73="","",IF(S73="Первый релиз","Включить в минимальный рыночный выпуск",IF(S73="Следующий релиз","Запланировать после проверки первого релиза","Оставить как гипотезу / проверить позже")))</x:f>
      </x:c>
      <x:c r="U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44" t="n">
        <x:f>ROUND((G74*0.18)+(H74*0.15)+(I74*0.12)+(J74*0.08)+(K74*0.13)+(L74*0.10)+(M74*0.12)+(N74*0.12)-(O74*0.07)+(P74*0.10),2)</x:f>
        <x:v>0</x:v>
      </x:c>
      <x:c r="R74" s="44" t="n">
        <x:f>ROUND((I74*0.16)+(J74*0.20)+(K74*0.12)+(L74*0.10)+((6-M74)*0.08)+((6-N74)*0.08)+(O74*0.06)+(P74*0.14)+(G74*0.06),2)</x:f>
        <x:v>0.96</x:v>
      </x:c>
      <x:c r="S74" s="44" t="str">
        <x:f>IF(A74="","",IF(AND(G74&gt;=4,H74&gt;=4,K74&gt;=3,P74&gt;=4),"Первый релиз",IF(Q74&gt;=3.7,"Первый релиз",IF(R74&gt;=3.6,"Следующий релиз","Не включать / проверить"))))</x:f>
      </x:c>
      <x:c r="T74" s="44" t="str">
        <x:f>IF(A74="","",IF(S74="Первый релиз","Включить в минимальный рыночный выпуск",IF(S74="Следующий релиз","Запланировать после проверки первого релиза","Оставить как гипотезу / проверить позже")))</x:f>
      </x:c>
      <x:c r="U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44" t="n">
        <x:f>ROUND((G75*0.18)+(H75*0.15)+(I75*0.12)+(J75*0.08)+(K75*0.13)+(L75*0.10)+(M75*0.12)+(N75*0.12)-(O75*0.07)+(P75*0.10),2)</x:f>
        <x:v>0</x:v>
      </x:c>
      <x:c r="R75" s="44" t="n">
        <x:f>ROUND((I75*0.16)+(J75*0.20)+(K75*0.12)+(L75*0.10)+((6-M75)*0.08)+((6-N75)*0.08)+(O75*0.06)+(P75*0.14)+(G75*0.06),2)</x:f>
        <x:v>0.96</x:v>
      </x:c>
      <x:c r="S75" s="44" t="str">
        <x:f>IF(A75="","",IF(AND(G75&gt;=4,H75&gt;=4,K75&gt;=3,P75&gt;=4),"Первый релиз",IF(Q75&gt;=3.7,"Первый релиз",IF(R75&gt;=3.6,"Следующий релиз","Не включать / проверить"))))</x:f>
      </x:c>
      <x:c r="T75" s="44" t="str">
        <x:f>IF(A75="","",IF(S75="Первый релиз","Включить в минимальный рыночный выпуск",IF(S75="Следующий релиз","Запланировать после проверки первого релиза","Оставить как гипотезу / проверить позже")))</x:f>
      </x:c>
      <x:c r="U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44" t="n">
        <x:f>ROUND((G76*0.18)+(H76*0.15)+(I76*0.12)+(J76*0.08)+(K76*0.13)+(L76*0.10)+(M76*0.12)+(N76*0.12)-(O76*0.07)+(P76*0.10),2)</x:f>
        <x:v>0</x:v>
      </x:c>
      <x:c r="R76" s="44" t="n">
        <x:f>ROUND((I76*0.16)+(J76*0.20)+(K76*0.12)+(L76*0.10)+((6-M76)*0.08)+((6-N76)*0.08)+(O76*0.06)+(P76*0.14)+(G76*0.06),2)</x:f>
        <x:v>0.96</x:v>
      </x:c>
      <x:c r="S76" s="44" t="str">
        <x:f>IF(A76="","",IF(AND(G76&gt;=4,H76&gt;=4,K76&gt;=3,P76&gt;=4),"Первый релиз",IF(Q76&gt;=3.7,"Первый релиз",IF(R76&gt;=3.6,"Следующий релиз","Не включать / проверить"))))</x:f>
      </x:c>
      <x:c r="T76" s="44" t="str">
        <x:f>IF(A76="","",IF(S76="Первый релиз","Включить в минимальный рыночный выпуск",IF(S76="Следующий релиз","Запланировать после проверки первого релиза","Оставить как гипотезу / проверить позже")))</x:f>
      </x:c>
      <x:c r="U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44" t="n">
        <x:f>ROUND((G77*0.18)+(H77*0.15)+(I77*0.12)+(J77*0.08)+(K77*0.13)+(L77*0.10)+(M77*0.12)+(N77*0.12)-(O77*0.07)+(P77*0.10),2)</x:f>
        <x:v>0</x:v>
      </x:c>
      <x:c r="R77" s="44" t="n">
        <x:f>ROUND((I77*0.16)+(J77*0.20)+(K77*0.12)+(L77*0.10)+((6-M77)*0.08)+((6-N77)*0.08)+(O77*0.06)+(P77*0.14)+(G77*0.06),2)</x:f>
        <x:v>0.96</x:v>
      </x:c>
      <x:c r="S77" s="44" t="str">
        <x:f>IF(A77="","",IF(AND(G77&gt;=4,H77&gt;=4,K77&gt;=3,P77&gt;=4),"Первый релиз",IF(Q77&gt;=3.7,"Первый релиз",IF(R77&gt;=3.6,"Следующий релиз","Не включать / проверить"))))</x:f>
      </x:c>
      <x:c r="T77" s="44" t="str">
        <x:f>IF(A77="","",IF(S77="Первый релиз","Включить в минимальный рыночный выпуск",IF(S77="Следующий релиз","Запланировать после проверки первого релиза","Оставить как гипотезу / проверить позже")))</x:f>
      </x:c>
      <x:c r="U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44" t="n">
        <x:f>ROUND((G78*0.18)+(H78*0.15)+(I78*0.12)+(J78*0.08)+(K78*0.13)+(L78*0.10)+(M78*0.12)+(N78*0.12)-(O78*0.07)+(P78*0.10),2)</x:f>
        <x:v>0</x:v>
      </x:c>
      <x:c r="R78" s="44" t="n">
        <x:f>ROUND((I78*0.16)+(J78*0.20)+(K78*0.12)+(L78*0.10)+((6-M78)*0.08)+((6-N78)*0.08)+(O78*0.06)+(P78*0.14)+(G78*0.06),2)</x:f>
        <x:v>0.96</x:v>
      </x:c>
      <x:c r="S78" s="44" t="str">
        <x:f>IF(A78="","",IF(AND(G78&gt;=4,H78&gt;=4,K78&gt;=3,P78&gt;=4),"Первый релиз",IF(Q78&gt;=3.7,"Первый релиз",IF(R78&gt;=3.6,"Следующий релиз","Не включать / проверить"))))</x:f>
      </x:c>
      <x:c r="T78" s="44" t="str">
        <x:f>IF(A78="","",IF(S78="Первый релиз","Включить в минимальный рыночный выпуск",IF(S78="Следующий релиз","Запланировать после проверки первого релиза","Оставить как гипотезу / проверить позже")))</x:f>
      </x:c>
      <x:c r="U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44" t="n">
        <x:f>ROUND((G79*0.18)+(H79*0.15)+(I79*0.12)+(J79*0.08)+(K79*0.13)+(L79*0.10)+(M79*0.12)+(N79*0.12)-(O79*0.07)+(P79*0.10),2)</x:f>
        <x:v>0</x:v>
      </x:c>
      <x:c r="R79" s="44" t="n">
        <x:f>ROUND((I79*0.16)+(J79*0.20)+(K79*0.12)+(L79*0.10)+((6-M79)*0.08)+((6-N79)*0.08)+(O79*0.06)+(P79*0.14)+(G79*0.06),2)</x:f>
        <x:v>0.96</x:v>
      </x:c>
      <x:c r="S79" s="44" t="str">
        <x:f>IF(A79="","",IF(AND(G79&gt;=4,H79&gt;=4,K79&gt;=3,P79&gt;=4),"Первый релиз",IF(Q79&gt;=3.7,"Первый релиз",IF(R79&gt;=3.6,"Следующий релиз","Не включать / проверить"))))</x:f>
      </x:c>
      <x:c r="T79" s="44" t="str">
        <x:f>IF(A79="","",IF(S79="Первый релиз","Включить в минимальный рыночный выпуск",IF(S79="Следующий релиз","Запланировать после проверки первого релиза","Оставить как гипотезу / проверить позже")))</x:f>
      </x:c>
      <x:c r="U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44" t="n">
        <x:f>ROUND((G80*0.18)+(H80*0.15)+(I80*0.12)+(J80*0.08)+(K80*0.13)+(L80*0.10)+(M80*0.12)+(N80*0.12)-(O80*0.07)+(P80*0.10),2)</x:f>
        <x:v>0</x:v>
      </x:c>
      <x:c r="R80" s="44" t="n">
        <x:f>ROUND((I80*0.16)+(J80*0.20)+(K80*0.12)+(L80*0.10)+((6-M80)*0.08)+((6-N80)*0.08)+(O80*0.06)+(P80*0.14)+(G80*0.06),2)</x:f>
        <x:v>0.96</x:v>
      </x:c>
      <x:c r="S80" s="44" t="str">
        <x:f>IF(A80="","",IF(AND(G80&gt;=4,H80&gt;=4,K80&gt;=3,P80&gt;=4),"Первый релиз",IF(Q80&gt;=3.7,"Первый релиз",IF(R80&gt;=3.6,"Следующий релиз","Не включать / проверить"))))</x:f>
      </x:c>
      <x:c r="T80" s="44" t="str">
        <x:f>IF(A80="","",IF(S80="Первый релиз","Включить в минимальный рыночный выпуск",IF(S80="Следующий релиз","Запланировать после проверки первого релиза","Оставить как гипотезу / проверить позже")))</x:f>
      </x:c>
      <x:c r="U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44" t="n">
        <x:f>ROUND((G81*0.18)+(H81*0.15)+(I81*0.12)+(J81*0.08)+(K81*0.13)+(L81*0.10)+(M81*0.12)+(N81*0.12)-(O81*0.07)+(P81*0.10),2)</x:f>
        <x:v>0</x:v>
      </x:c>
      <x:c r="R81" s="44" t="n">
        <x:f>ROUND((I81*0.16)+(J81*0.20)+(K81*0.12)+(L81*0.10)+((6-M81)*0.08)+((6-N81)*0.08)+(O81*0.06)+(P81*0.14)+(G81*0.06),2)</x:f>
        <x:v>0.96</x:v>
      </x:c>
      <x:c r="S81" s="44" t="str">
        <x:f>IF(A81="","",IF(AND(G81&gt;=4,H81&gt;=4,K81&gt;=3,P81&gt;=4),"Первый релиз",IF(Q81&gt;=3.7,"Первый релиз",IF(R81&gt;=3.6,"Следующий релиз","Не включать / проверить"))))</x:f>
      </x:c>
      <x:c r="T81" s="44" t="str">
        <x:f>IF(A81="","",IF(S81="Первый релиз","Включить в минимальный рыночный выпуск",IF(S81="Следующий релиз","Запланировать после проверки первого релиза","Оставить как гипотезу / проверить позже")))</x:f>
      </x:c>
      <x:c r="U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44" t="n">
        <x:f>ROUND((G82*0.18)+(H82*0.15)+(I82*0.12)+(J82*0.08)+(K82*0.13)+(L82*0.10)+(M82*0.12)+(N82*0.12)-(O82*0.07)+(P82*0.10),2)</x:f>
        <x:v>0</x:v>
      </x:c>
      <x:c r="R82" s="44" t="n">
        <x:f>ROUND((I82*0.16)+(J82*0.20)+(K82*0.12)+(L82*0.10)+((6-M82)*0.08)+((6-N82)*0.08)+(O82*0.06)+(P82*0.14)+(G82*0.06),2)</x:f>
        <x:v>0.96</x:v>
      </x:c>
      <x:c r="S82" s="44" t="str">
        <x:f>IF(A82="","",IF(AND(G82&gt;=4,H82&gt;=4,K82&gt;=3,P82&gt;=4),"Первый релиз",IF(Q82&gt;=3.7,"Первый релиз",IF(R82&gt;=3.6,"Следующий релиз","Не включать / проверить"))))</x:f>
      </x:c>
      <x:c r="T82" s="44" t="str">
        <x:f>IF(A82="","",IF(S82="Первый релиз","Включить в минимальный рыночный выпуск",IF(S82="Следующий релиз","Запланировать после проверки первого релиза","Оставить как гипотезу / проверить позже")))</x:f>
      </x:c>
      <x:c r="U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44" t="n">
        <x:f>ROUND((G83*0.18)+(H83*0.15)+(I83*0.12)+(J83*0.08)+(K83*0.13)+(L83*0.10)+(M83*0.12)+(N83*0.12)-(O83*0.07)+(P83*0.10),2)</x:f>
        <x:v>0</x:v>
      </x:c>
      <x:c r="R83" s="44" t="n">
        <x:f>ROUND((I83*0.16)+(J83*0.20)+(K83*0.12)+(L83*0.10)+((6-M83)*0.08)+((6-N83)*0.08)+(O83*0.06)+(P83*0.14)+(G83*0.06),2)</x:f>
        <x:v>0.96</x:v>
      </x:c>
      <x:c r="S83" s="44" t="str">
        <x:f>IF(A83="","",IF(AND(G83&gt;=4,H83&gt;=4,K83&gt;=3,P83&gt;=4),"Первый релиз",IF(Q83&gt;=3.7,"Первый релиз",IF(R83&gt;=3.6,"Следующий релиз","Не включать / проверить"))))</x:f>
      </x:c>
      <x:c r="T83" s="44" t="str">
        <x:f>IF(A83="","",IF(S83="Первый релиз","Включить в минимальный рыночный выпуск",IF(S83="Следующий релиз","Запланировать после проверки первого релиза","Оставить как гипотезу / проверить позже")))</x:f>
      </x:c>
      <x:c r="U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44" t="n">
        <x:f>ROUND((G84*0.18)+(H84*0.15)+(I84*0.12)+(J84*0.08)+(K84*0.13)+(L84*0.10)+(M84*0.12)+(N84*0.12)-(O84*0.07)+(P84*0.10),2)</x:f>
        <x:v>0</x:v>
      </x:c>
      <x:c r="R84" s="44" t="n">
        <x:f>ROUND((I84*0.16)+(J84*0.20)+(K84*0.12)+(L84*0.10)+((6-M84)*0.08)+((6-N84)*0.08)+(O84*0.06)+(P84*0.14)+(G84*0.06),2)</x:f>
        <x:v>0.96</x:v>
      </x:c>
      <x:c r="S84" s="44" t="str">
        <x:f>IF(A84="","",IF(AND(G84&gt;=4,H84&gt;=4,K84&gt;=3,P84&gt;=4),"Первый релиз",IF(Q84&gt;=3.7,"Первый релиз",IF(R84&gt;=3.6,"Следующий релиз","Не включать / проверить"))))</x:f>
      </x:c>
      <x:c r="T84" s="44" t="str">
        <x:f>IF(A84="","",IF(S84="Первый релиз","Включить в минимальный рыночный выпуск",IF(S84="Следующий релиз","Запланировать после проверки первого релиза","Оставить как гипотезу / проверить позже")))</x:f>
      </x:c>
      <x:c r="U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44" t="n">
        <x:f>ROUND((G85*0.18)+(H85*0.15)+(I85*0.12)+(J85*0.08)+(K85*0.13)+(L85*0.10)+(M85*0.12)+(N85*0.12)-(O85*0.07)+(P85*0.10),2)</x:f>
        <x:v>0</x:v>
      </x:c>
      <x:c r="R85" s="44" t="n">
        <x:f>ROUND((I85*0.16)+(J85*0.20)+(K85*0.12)+(L85*0.10)+((6-M85)*0.08)+((6-N85)*0.08)+(O85*0.06)+(P85*0.14)+(G85*0.06),2)</x:f>
        <x:v>0.96</x:v>
      </x:c>
      <x:c r="S85" s="44" t="str">
        <x:f>IF(A85="","",IF(AND(G85&gt;=4,H85&gt;=4,K85&gt;=3,P85&gt;=4),"Первый релиз",IF(Q85&gt;=3.7,"Первый релиз",IF(R85&gt;=3.6,"Следующий релиз","Не включать / проверить"))))</x:f>
      </x:c>
      <x:c r="T85" s="44" t="str">
        <x:f>IF(A85="","",IF(S85="Первый релиз","Включить в минимальный рыночный выпуск",IF(S85="Следующий релиз","Запланировать после проверки первого релиза","Оставить как гипотезу / проверить позже")))</x:f>
      </x:c>
      <x:c r="U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44" t="n">
        <x:f>ROUND((G86*0.18)+(H86*0.15)+(I86*0.12)+(J86*0.08)+(K86*0.13)+(L86*0.10)+(M86*0.12)+(N86*0.12)-(O86*0.07)+(P86*0.10),2)</x:f>
        <x:v>0</x:v>
      </x:c>
      <x:c r="R86" s="44" t="n">
        <x:f>ROUND((I86*0.16)+(J86*0.20)+(K86*0.12)+(L86*0.10)+((6-M86)*0.08)+((6-N86)*0.08)+(O86*0.06)+(P86*0.14)+(G86*0.06),2)</x:f>
        <x:v>0.96</x:v>
      </x:c>
      <x:c r="S86" s="44" t="str">
        <x:f>IF(A86="","",IF(AND(G86&gt;=4,H86&gt;=4,K86&gt;=3,P86&gt;=4),"Первый релиз",IF(Q86&gt;=3.7,"Первый релиз",IF(R86&gt;=3.6,"Следующий релиз","Не включать / проверить"))))</x:f>
      </x:c>
      <x:c r="T86" s="44" t="str">
        <x:f>IF(A86="","",IF(S86="Первый релиз","Включить в минимальный рыночный выпуск",IF(S86="Следующий релиз","Запланировать после проверки первого релиза","Оставить как гипотезу / проверить позже")))</x:f>
      </x:c>
      <x:c r="U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44" t="n">
        <x:f>ROUND((G87*0.18)+(H87*0.15)+(I87*0.12)+(J87*0.08)+(K87*0.13)+(L87*0.10)+(M87*0.12)+(N87*0.12)-(O87*0.07)+(P87*0.10),2)</x:f>
        <x:v>0</x:v>
      </x:c>
      <x:c r="R87" s="44" t="n">
        <x:f>ROUND((I87*0.16)+(J87*0.20)+(K87*0.12)+(L87*0.10)+((6-M87)*0.08)+((6-N87)*0.08)+(O87*0.06)+(P87*0.14)+(G87*0.06),2)</x:f>
        <x:v>0.96</x:v>
      </x:c>
      <x:c r="S87" s="44" t="str">
        <x:f>IF(A87="","",IF(AND(G87&gt;=4,H87&gt;=4,K87&gt;=3,P87&gt;=4),"Первый релиз",IF(Q87&gt;=3.7,"Первый релиз",IF(R87&gt;=3.6,"Следующий релиз","Не включать / проверить"))))</x:f>
      </x:c>
      <x:c r="T87" s="44" t="str">
        <x:f>IF(A87="","",IF(S87="Первый релиз","Включить в минимальный рыночный выпуск",IF(S87="Следующий релиз","Запланировать после проверки первого релиза","Оставить как гипотезу / проверить позже")))</x:f>
      </x:c>
      <x:c r="U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44" t="n">
        <x:f>ROUND((G88*0.18)+(H88*0.15)+(I88*0.12)+(J88*0.08)+(K88*0.13)+(L88*0.10)+(M88*0.12)+(N88*0.12)-(O88*0.07)+(P88*0.10),2)</x:f>
        <x:v>0</x:v>
      </x:c>
      <x:c r="R88" s="44" t="n">
        <x:f>ROUND((I88*0.16)+(J88*0.20)+(K88*0.12)+(L88*0.10)+((6-M88)*0.08)+((6-N88)*0.08)+(O88*0.06)+(P88*0.14)+(G88*0.06),2)</x:f>
        <x:v>0.96</x:v>
      </x:c>
      <x:c r="S88" s="44" t="str">
        <x:f>IF(A88="","",IF(AND(G88&gt;=4,H88&gt;=4,K88&gt;=3,P88&gt;=4),"Первый релиз",IF(Q88&gt;=3.7,"Первый релиз",IF(R88&gt;=3.6,"Следующий релиз","Не включать / проверить"))))</x:f>
      </x:c>
      <x:c r="T88" s="44" t="str">
        <x:f>IF(A88="","",IF(S88="Первый релиз","Включить в минимальный рыночный выпуск",IF(S88="Следующий релиз","Запланировать после проверки первого релиза","Оставить как гипотезу / проверить позже")))</x:f>
      </x:c>
      <x:c r="U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44" t="n">
        <x:f>ROUND((G89*0.18)+(H89*0.15)+(I89*0.12)+(J89*0.08)+(K89*0.13)+(L89*0.10)+(M89*0.12)+(N89*0.12)-(O89*0.07)+(P89*0.10),2)</x:f>
        <x:v>0</x:v>
      </x:c>
      <x:c r="R89" s="44" t="n">
        <x:f>ROUND((I89*0.16)+(J89*0.20)+(K89*0.12)+(L89*0.10)+((6-M89)*0.08)+((6-N89)*0.08)+(O89*0.06)+(P89*0.14)+(G89*0.06),2)</x:f>
        <x:v>0.96</x:v>
      </x:c>
      <x:c r="S89" s="44" t="str">
        <x:f>IF(A89="","",IF(AND(G89&gt;=4,H89&gt;=4,K89&gt;=3,P89&gt;=4),"Первый релиз",IF(Q89&gt;=3.7,"Первый релиз",IF(R89&gt;=3.6,"Следующий релиз","Не включать / проверить"))))</x:f>
      </x:c>
      <x:c r="T89" s="44" t="str">
        <x:f>IF(A89="","",IF(S89="Первый релиз","Включить в минимальный рыночный выпуск",IF(S89="Следующий релиз","Запланировать после проверки первого релиза","Оставить как гипотезу / проверить позже")))</x:f>
      </x:c>
      <x:c r="U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44" t="n">
        <x:f>ROUND((G90*0.18)+(H90*0.15)+(I90*0.12)+(J90*0.08)+(K90*0.13)+(L90*0.10)+(M90*0.12)+(N90*0.12)-(O90*0.07)+(P90*0.10),2)</x:f>
        <x:v>0</x:v>
      </x:c>
      <x:c r="R90" s="44" t="n">
        <x:f>ROUND((I90*0.16)+(J90*0.20)+(K90*0.12)+(L90*0.10)+((6-M90)*0.08)+((6-N90)*0.08)+(O90*0.06)+(P90*0.14)+(G90*0.06),2)</x:f>
        <x:v>0.96</x:v>
      </x:c>
      <x:c r="S90" s="44" t="str">
        <x:f>IF(A90="","",IF(AND(G90&gt;=4,H90&gt;=4,K90&gt;=3,P90&gt;=4),"Первый релиз",IF(Q90&gt;=3.7,"Первый релиз",IF(R90&gt;=3.6,"Следующий релиз","Не включать / проверить"))))</x:f>
      </x:c>
      <x:c r="T90" s="44" t="str">
        <x:f>IF(A90="","",IF(S90="Первый релиз","Включить в минимальный рыночный выпуск",IF(S90="Следующий релиз","Запланировать после проверки первого релиза","Оставить как гипотезу / проверить позже")))</x:f>
      </x:c>
      <x:c r="U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44" t="n">
        <x:f>ROUND((G91*0.18)+(H91*0.15)+(I91*0.12)+(J91*0.08)+(K91*0.13)+(L91*0.10)+(M91*0.12)+(N91*0.12)-(O91*0.07)+(P91*0.10),2)</x:f>
        <x:v>0</x:v>
      </x:c>
      <x:c r="R91" s="44" t="n">
        <x:f>ROUND((I91*0.16)+(J91*0.20)+(K91*0.12)+(L91*0.10)+((6-M91)*0.08)+((6-N91)*0.08)+(O91*0.06)+(P91*0.14)+(G91*0.06),2)</x:f>
        <x:v>0.96</x:v>
      </x:c>
      <x:c r="S91" s="44" t="str">
        <x:f>IF(A91="","",IF(AND(G91&gt;=4,H91&gt;=4,K91&gt;=3,P91&gt;=4),"Первый релиз",IF(Q91&gt;=3.7,"Первый релиз",IF(R91&gt;=3.6,"Следующий релиз","Не включать / проверить"))))</x:f>
      </x:c>
      <x:c r="T91" s="44" t="str">
        <x:f>IF(A91="","",IF(S91="Первый релиз","Включить в минимальный рыночный выпуск",IF(S91="Следующий релиз","Запланировать после проверки первого релиза","Оставить как гипотезу / проверить позже")))</x:f>
      </x:c>
      <x:c r="U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44" t="n">
        <x:f>ROUND((G92*0.18)+(H92*0.15)+(I92*0.12)+(J92*0.08)+(K92*0.13)+(L92*0.10)+(M92*0.12)+(N92*0.12)-(O92*0.07)+(P92*0.10),2)</x:f>
        <x:v>0</x:v>
      </x:c>
      <x:c r="R92" s="44" t="n">
        <x:f>ROUND((I92*0.16)+(J92*0.20)+(K92*0.12)+(L92*0.10)+((6-M92)*0.08)+((6-N92)*0.08)+(O92*0.06)+(P92*0.14)+(G92*0.06),2)</x:f>
        <x:v>0.96</x:v>
      </x:c>
      <x:c r="S92" s="44" t="str">
        <x:f>IF(A92="","",IF(AND(G92&gt;=4,H92&gt;=4,K92&gt;=3,P92&gt;=4),"Первый релиз",IF(Q92&gt;=3.7,"Первый релиз",IF(R92&gt;=3.6,"Следующий релиз","Не включать / проверить"))))</x:f>
      </x:c>
      <x:c r="T92" s="44" t="str">
        <x:f>IF(A92="","",IF(S92="Первый релиз","Включить в минимальный рыночный выпуск",IF(S92="Следующий релиз","Запланировать после проверки первого релиза","Оставить как гипотезу / проверить позже")))</x:f>
      </x:c>
      <x:c r="U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44" t="n">
        <x:f>ROUND((G93*0.18)+(H93*0.15)+(I93*0.12)+(J93*0.08)+(K93*0.13)+(L93*0.10)+(M93*0.12)+(N93*0.12)-(O93*0.07)+(P93*0.10),2)</x:f>
        <x:v>0</x:v>
      </x:c>
      <x:c r="R93" s="44" t="n">
        <x:f>ROUND((I93*0.16)+(J93*0.20)+(K93*0.12)+(L93*0.10)+((6-M93)*0.08)+((6-N93)*0.08)+(O93*0.06)+(P93*0.14)+(G93*0.06),2)</x:f>
        <x:v>0.96</x:v>
      </x:c>
      <x:c r="S93" s="44" t="str">
        <x:f>IF(A93="","",IF(AND(G93&gt;=4,H93&gt;=4,K93&gt;=3,P93&gt;=4),"Первый релиз",IF(Q93&gt;=3.7,"Первый релиз",IF(R93&gt;=3.6,"Следующий релиз","Не включать / проверить"))))</x:f>
      </x:c>
      <x:c r="T93" s="44" t="str">
        <x:f>IF(A93="","",IF(S93="Первый релиз","Включить в минимальный рыночный выпуск",IF(S93="Следующий релиз","Запланировать после проверки первого релиза","Оставить как гипотезу / проверить позже")))</x:f>
      </x:c>
      <x:c r="U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44" t="n">
        <x:f>ROUND((G94*0.18)+(H94*0.15)+(I94*0.12)+(J94*0.08)+(K94*0.13)+(L94*0.10)+(M94*0.12)+(N94*0.12)-(O94*0.07)+(P94*0.10),2)</x:f>
        <x:v>0</x:v>
      </x:c>
      <x:c r="R94" s="44" t="n">
        <x:f>ROUND((I94*0.16)+(J94*0.20)+(K94*0.12)+(L94*0.10)+((6-M94)*0.08)+((6-N94)*0.08)+(O94*0.06)+(P94*0.14)+(G94*0.06),2)</x:f>
        <x:v>0.96</x:v>
      </x:c>
      <x:c r="S94" s="44" t="str">
        <x:f>IF(A94="","",IF(AND(G94&gt;=4,H94&gt;=4,K94&gt;=3,P94&gt;=4),"Первый релиз",IF(Q94&gt;=3.7,"Первый релиз",IF(R94&gt;=3.6,"Следующий релиз","Не включать / проверить"))))</x:f>
      </x:c>
      <x:c r="T94" s="44" t="str">
        <x:f>IF(A94="","",IF(S94="Первый релиз","Включить в минимальный рыночный выпуск",IF(S94="Следующий релиз","Запланировать после проверки первого релиза","Оставить как гипотезу / проверить позже")))</x:f>
      </x:c>
      <x:c r="U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44" t="n">
        <x:f>ROUND((G95*0.18)+(H95*0.15)+(I95*0.12)+(J95*0.08)+(K95*0.13)+(L95*0.10)+(M95*0.12)+(N95*0.12)-(O95*0.07)+(P95*0.10),2)</x:f>
        <x:v>0</x:v>
      </x:c>
      <x:c r="R95" s="44" t="n">
        <x:f>ROUND((I95*0.16)+(J95*0.20)+(K95*0.12)+(L95*0.10)+((6-M95)*0.08)+((6-N95)*0.08)+(O95*0.06)+(P95*0.14)+(G95*0.06),2)</x:f>
        <x:v>0.96</x:v>
      </x:c>
      <x:c r="S95" s="44" t="str">
        <x:f>IF(A95="","",IF(AND(G95&gt;=4,H95&gt;=4,K95&gt;=3,P95&gt;=4),"Первый релиз",IF(Q95&gt;=3.7,"Первый релиз",IF(R95&gt;=3.6,"Следующий релиз","Не включать / проверить"))))</x:f>
      </x:c>
      <x:c r="T95" s="44" t="str">
        <x:f>IF(A95="","",IF(S95="Первый релиз","Включить в минимальный рыночный выпуск",IF(S95="Следующий релиз","Запланировать после проверки первого релиза","Оставить как гипотезу / проверить позже")))</x:f>
      </x:c>
      <x:c r="U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44" t="n">
        <x:f>ROUND((G96*0.18)+(H96*0.15)+(I96*0.12)+(J96*0.08)+(K96*0.13)+(L96*0.10)+(M96*0.12)+(N96*0.12)-(O96*0.07)+(P96*0.10),2)</x:f>
        <x:v>0</x:v>
      </x:c>
      <x:c r="R96" s="44" t="n">
        <x:f>ROUND((I96*0.16)+(J96*0.20)+(K96*0.12)+(L96*0.10)+((6-M96)*0.08)+((6-N96)*0.08)+(O96*0.06)+(P96*0.14)+(G96*0.06),2)</x:f>
        <x:v>0.96</x:v>
      </x:c>
      <x:c r="S96" s="44" t="str">
        <x:f>IF(A96="","",IF(AND(G96&gt;=4,H96&gt;=4,K96&gt;=3,P96&gt;=4),"Первый релиз",IF(Q96&gt;=3.7,"Первый релиз",IF(R96&gt;=3.6,"Следующий релиз","Не включать / проверить"))))</x:f>
      </x:c>
      <x:c r="T96" s="44" t="str">
        <x:f>IF(A96="","",IF(S96="Первый релиз","Включить в минимальный рыночный выпуск",IF(S96="Следующий релиз","Запланировать после проверки первого релиза","Оставить как гипотезу / проверить позже")))</x:f>
      </x:c>
      <x:c r="U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44" t="n">
        <x:f>ROUND((G97*0.18)+(H97*0.15)+(I97*0.12)+(J97*0.08)+(K97*0.13)+(L97*0.10)+(M97*0.12)+(N97*0.12)-(O97*0.07)+(P97*0.10),2)</x:f>
        <x:v>0</x:v>
      </x:c>
      <x:c r="R97" s="44" t="n">
        <x:f>ROUND((I97*0.16)+(J97*0.20)+(K97*0.12)+(L97*0.10)+((6-M97)*0.08)+((6-N97)*0.08)+(O97*0.06)+(P97*0.14)+(G97*0.06),2)</x:f>
        <x:v>0.96</x:v>
      </x:c>
      <x:c r="S97" s="44" t="str">
        <x:f>IF(A97="","",IF(AND(G97&gt;=4,H97&gt;=4,K97&gt;=3,P97&gt;=4),"Первый релиз",IF(Q97&gt;=3.7,"Первый релиз",IF(R97&gt;=3.6,"Следующий релиз","Не включать / проверить"))))</x:f>
      </x:c>
      <x:c r="T97" s="44" t="str">
        <x:f>IF(A97="","",IF(S97="Первый релиз","Включить в минимальный рыночный выпуск",IF(S97="Следующий релиз","Запланировать после проверки первого релиза","Оставить как гипотезу / проверить позже")))</x:f>
      </x:c>
      <x:c r="U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44" t="n">
        <x:f>ROUND((G98*0.18)+(H98*0.15)+(I98*0.12)+(J98*0.08)+(K98*0.13)+(L98*0.10)+(M98*0.12)+(N98*0.12)-(O98*0.07)+(P98*0.10),2)</x:f>
        <x:v>0</x:v>
      </x:c>
      <x:c r="R98" s="44" t="n">
        <x:f>ROUND((I98*0.16)+(J98*0.20)+(K98*0.12)+(L98*0.10)+((6-M98)*0.08)+((6-N98)*0.08)+(O98*0.06)+(P98*0.14)+(G98*0.06),2)</x:f>
        <x:v>0.96</x:v>
      </x:c>
      <x:c r="S98" s="44" t="str">
        <x:f>IF(A98="","",IF(AND(G98&gt;=4,H98&gt;=4,K98&gt;=3,P98&gt;=4),"Первый релиз",IF(Q98&gt;=3.7,"Первый релиз",IF(R98&gt;=3.6,"Следующий релиз","Не включать / проверить"))))</x:f>
      </x:c>
      <x:c r="T98" s="44" t="str">
        <x:f>IF(A98="","",IF(S98="Первый релиз","Включить в минимальный рыночный выпуск",IF(S98="Следующий релиз","Запланировать после проверки первого релиза","Оставить как гипотезу / проверить позже")))</x:f>
      </x:c>
      <x:c r="U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44" t="n">
        <x:f>ROUND((G99*0.18)+(H99*0.15)+(I99*0.12)+(J99*0.08)+(K99*0.13)+(L99*0.10)+(M99*0.12)+(N99*0.12)-(O99*0.07)+(P99*0.10),2)</x:f>
        <x:v>0</x:v>
      </x:c>
      <x:c r="R99" s="44" t="n">
        <x:f>ROUND((I99*0.16)+(J99*0.20)+(K99*0.12)+(L99*0.10)+((6-M99)*0.08)+((6-N99)*0.08)+(O99*0.06)+(P99*0.14)+(G99*0.06),2)</x:f>
        <x:v>0.96</x:v>
      </x:c>
      <x:c r="S99" s="44" t="str">
        <x:f>IF(A99="","",IF(AND(G99&gt;=4,H99&gt;=4,K99&gt;=3,P99&gt;=4),"Первый релиз",IF(Q99&gt;=3.7,"Первый релиз",IF(R99&gt;=3.6,"Следующий релиз","Не включать / проверить"))))</x:f>
      </x:c>
      <x:c r="T99" s="44" t="str">
        <x:f>IF(A99="","",IF(S99="Первый релиз","Включить в минимальный рыночный выпуск",IF(S99="Следующий релиз","Запланировать после проверки первого релиза","Оставить как гипотезу / проверить позже")))</x:f>
      </x:c>
      <x:c r="U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44" t="n">
        <x:f>ROUND((G100*0.18)+(H100*0.15)+(I100*0.12)+(J100*0.08)+(K100*0.13)+(L100*0.10)+(M100*0.12)+(N100*0.12)-(O100*0.07)+(P100*0.10),2)</x:f>
        <x:v>0</x:v>
      </x:c>
      <x:c r="R100" s="44" t="n">
        <x:f>ROUND((I100*0.16)+(J100*0.20)+(K100*0.12)+(L100*0.10)+((6-M100)*0.08)+((6-N100)*0.08)+(O100*0.06)+(P100*0.14)+(G100*0.06),2)</x:f>
        <x:v>0.96</x:v>
      </x:c>
      <x:c r="S100" s="44" t="str">
        <x:f>IF(A100="","",IF(AND(G100&gt;=4,H100&gt;=4,K100&gt;=3,P100&gt;=4),"Первый релиз",IF(Q100&gt;=3.7,"Первый релиз",IF(R100&gt;=3.6,"Следующий релиз","Не включать / проверить"))))</x:f>
      </x:c>
      <x:c r="T100" s="44" t="str">
        <x:f>IF(A100="","",IF(S100="Первый релиз","Включить в минимальный рыночный выпуск",IF(S100="Следующий релиз","Запланировать после проверки первого релиза","Оставить как гипотезу / проверить позже")))</x:f>
      </x:c>
      <x:c r="U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44" t="n">
        <x:f>ROUND((G101*0.18)+(H101*0.15)+(I101*0.12)+(J101*0.08)+(K101*0.13)+(L101*0.10)+(M101*0.12)+(N101*0.12)-(O101*0.07)+(P101*0.10),2)</x:f>
        <x:v>0</x:v>
      </x:c>
      <x:c r="R101" s="44" t="n">
        <x:f>ROUND((I101*0.16)+(J101*0.20)+(K101*0.12)+(L101*0.10)+((6-M101)*0.08)+((6-N101)*0.08)+(O101*0.06)+(P101*0.14)+(G101*0.06),2)</x:f>
        <x:v>0.96</x:v>
      </x:c>
      <x:c r="S101" s="44" t="str">
        <x:f>IF(A101="","",IF(AND(G101&gt;=4,H101&gt;=4,K101&gt;=3,P101&gt;=4),"Первый релиз",IF(Q101&gt;=3.7,"Первый релиз",IF(R101&gt;=3.6,"Следующий релиз","Не включать / проверить"))))</x:f>
      </x:c>
      <x:c r="T101" s="44" t="str">
        <x:f>IF(A101="","",IF(S101="Первый релиз","Включить в минимальный рыночный выпуск",IF(S101="Следующий релиз","Запланировать после проверки первого релиза","Оставить как гипотезу / проверить позже")))</x:f>
      </x:c>
      <x:c r="U101" s="25"/>
    </x:row>
  </x:sheetData>
  <x:conditionalFormatting sqref="Q2:Q101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R2:R101">
    <x:cfRule type="colorScale" priority="2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dataValidations count="4">
    <x:dataValidation type="whole" operator="between" sqref="G2:P101">
      <x:formula1>1</x:formula1>
      <x:formula2>5</x:formula2>
    </x:dataValidation>
    <x:dataValidation type="list" sqref="B2:B101">
      <x:formula1>Справочники!$C$2:$C$9</x:formula1>
    </x:dataValidation>
    <x:dataValidation type="list" sqref="F2:F101">
      <x:formula1>Справочники!$D$2:$D$10</x:formula1>
    </x:dataValidation>
    <x:dataValidation type="list" sqref="S2:S101">
      <x:formula1>Справочники!$E$2:$E$4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a2d6b4e64f480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22" hidden="0" customWidth="1"/>
    <x:col min="5" max="5" width="24" hidden="0" customWidth="1"/>
    <x:col min="6" max="6" width="24" hidden="0" customWidth="1"/>
    <x:col min="7" max="7" width="20" hidden="0" customWidth="1"/>
    <x:col min="8" max="8" width="18" hidden="0" customWidth="1"/>
    <x:col min="9" max="9" width="22" hidden="0" customWidth="1"/>
    <x:col min="10" max="10" width="42" hidden="0" customWidth="1"/>
  </x:cols>
  <x:sheetData>
    <x:row r="1" ht="32" customHeight="1">
      <x:c r="A1" s="6" t="str">
        <x:v>Сводная оценка состава релизов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3" ht="36" customHeight="1">
      <x:c r="A3" s="34" t="str">
        <x:v>Релиз</x:v>
      </x:c>
      <x:c r="B3" s="34" t="str">
        <x:v>Количество единиц</x:v>
      </x:c>
      <x:c r="C3" s="34" t="str">
        <x:v>Средний балл первого релиза</x:v>
      </x:c>
      <x:c r="D3" s="34" t="str">
        <x:v>Средняя доказательность</x:v>
      </x:c>
      <x:c r="E3" s="34" t="str">
        <x:v>Средняя связь с ценностью</x:v>
      </x:c>
      <x:c r="F3" s="34" t="str">
        <x:v>Средняя критичность дохода</x:v>
      </x:c>
      <x:c r="G3" s="34" t="str">
        <x:v>Среднее удержание</x:v>
      </x:c>
      <x:c r="H3" s="34" t="str">
        <x:v>Средний рост</x:v>
      </x:c>
      <x:c r="I3" s="34" t="str">
        <x:v>Средний технический риск</x:v>
      </x:c>
      <x:c r="J3" s="34" t="str">
        <x:v>Интерпретация</x:v>
      </x:c>
    </x:row>
    <x:row r="4">
      <x:c r="A4" s="16" t="str">
        <x:v>Первый релиз</x:v>
      </x:c>
      <x:c r="B4" s="54" t="e">
        <x:f>COUNTIF(Реестр_единиц!$S$2:$S$101,A4)</x:f>
      </x:c>
      <x:c r="C4" s="54" t="e">
        <x:f>IFERROR(AVERAGEIF(Реестр_единиц!$S$2:$S$101,A4,Реестр_единиц!$Q$2:$Q$101),0)</x:f>
      </x:c>
      <x:c r="D4" s="54" t="e">
        <x:f>IFERROR(AVERAGEIF(Реестр_единиц!$S$2:$S$101,A4,Реестр_единиц!$K$2:$K$101),0)</x:f>
      </x:c>
      <x:c r="E4" s="54" t="e">
        <x:f>IFERROR(AVERAGEIF(Реестр_единиц!$S$2:$S$101,A4,Реестр_единиц!$G$2:$G$101),0)</x:f>
      </x:c>
      <x:c r="F4" s="54" t="e">
        <x:f>IFERROR(AVERAGEIF(Реестр_единиц!$S$2:$S$101,A4,Реестр_единиц!$H$2:$H$101),0)</x:f>
      </x:c>
      <x:c r="G4" s="54" t="e">
        <x:f>IFERROR(AVERAGEIF(Реестр_единиц!$S$2:$S$101,A4,Реестр_единиц!$I$2:$I$101),0)</x:f>
      </x:c>
      <x:c r="H4" s="54" t="e">
        <x:f>IFERROR(AVERAGEIF(Реестр_единиц!$S$2:$S$101,A4,Реестр_единиц!$J$2:$J$101),0)</x:f>
      </x:c>
      <x:c r="I4" s="54" t="e">
        <x:f>IFERROR(AVERAGEIF(Реестр_единиц!$S$2:$S$101,A4,Реестр_единиц!$O$2:$O$101),0)</x:f>
      </x:c>
      <x:c r="J4" s="44" t="e">
        <x:f>IF(B4=0,"Нет выбранных единиц",IF(AND(E4&gt;=4,D4&gt;=3.5),"Состав достаточно обоснован","Требуется дополнительная проверка"))</x:f>
      </x:c>
    </x:row>
    <x:row r="5">
      <x:c r="A5" s="16" t="str">
        <x:v>Следующий релиз</x:v>
      </x:c>
      <x:c r="B5" s="54" t="e">
        <x:f>COUNTIF(Реестр_единиц!$S$2:$S$101,A5)</x:f>
      </x:c>
      <x:c r="C5" s="54" t="e">
        <x:f>IFERROR(AVERAGEIF(Реестр_единиц!$S$2:$S$101,A5,Реестр_единиц!$Q$2:$Q$101),0)</x:f>
      </x:c>
      <x:c r="D5" s="54" t="e">
        <x:f>IFERROR(AVERAGEIF(Реестр_единиц!$S$2:$S$101,A5,Реестр_единиц!$K$2:$K$101),0)</x:f>
      </x:c>
      <x:c r="E5" s="54" t="e">
        <x:f>IFERROR(AVERAGEIF(Реестр_единиц!$S$2:$S$101,A5,Реестр_единиц!$G$2:$G$101),0)</x:f>
      </x:c>
      <x:c r="F5" s="54" t="e">
        <x:f>IFERROR(AVERAGEIF(Реестр_единиц!$S$2:$S$101,A5,Реестр_единиц!$H$2:$H$101),0)</x:f>
      </x:c>
      <x:c r="G5" s="54" t="e">
        <x:f>IFERROR(AVERAGEIF(Реестр_единиц!$S$2:$S$101,A5,Реестр_единиц!$I$2:$I$101),0)</x:f>
      </x:c>
      <x:c r="H5" s="54" t="e">
        <x:f>IFERROR(AVERAGEIF(Реестр_единиц!$S$2:$S$101,A5,Реестр_единиц!$J$2:$J$101),0)</x:f>
      </x:c>
      <x:c r="I5" s="54" t="e">
        <x:f>IFERROR(AVERAGEIF(Реестр_единиц!$S$2:$S$101,A5,Реестр_единиц!$O$2:$O$101),0)</x:f>
      </x:c>
      <x:c r="J5" s="44" t="e">
        <x:f>IF(B5=0,"Нет выбранных единиц",IF(AND(E5&gt;=4,D5&gt;=3.5),"Состав достаточно обоснован","Требуется дополнительная проверка"))</x:f>
      </x:c>
    </x:row>
    <x:row r="6">
      <x:c r="A6" s="16" t="str">
        <x:v>Не включать / проверить</x:v>
      </x:c>
      <x:c r="B6" s="54" t="e">
        <x:f>COUNTIF(Реестр_единиц!$S$2:$S$101,A6)</x:f>
      </x:c>
      <x:c r="C6" s="54" t="e">
        <x:f>IFERROR(AVERAGEIF(Реестр_единиц!$S$2:$S$101,A6,Реестр_единиц!$Q$2:$Q$101),0)</x:f>
      </x:c>
      <x:c r="D6" s="54" t="e">
        <x:f>IFERROR(AVERAGEIF(Реестр_единиц!$S$2:$S$101,A6,Реестр_единиц!$K$2:$K$101),0)</x:f>
      </x:c>
      <x:c r="E6" s="54" t="e">
        <x:f>IFERROR(AVERAGEIF(Реестр_единиц!$S$2:$S$101,A6,Реестр_единиц!$G$2:$G$101),0)</x:f>
      </x:c>
      <x:c r="F6" s="54" t="e">
        <x:f>IFERROR(AVERAGEIF(Реестр_единиц!$S$2:$S$101,A6,Реестр_единиц!$H$2:$H$101),0)</x:f>
      </x:c>
      <x:c r="G6" s="54" t="e">
        <x:f>IFERROR(AVERAGEIF(Реестр_единиц!$S$2:$S$101,A6,Реестр_единиц!$I$2:$I$101),0)</x:f>
      </x:c>
      <x:c r="H6" s="54" t="e">
        <x:f>IFERROR(AVERAGEIF(Реестр_единиц!$S$2:$S$101,A6,Реестр_единиц!$J$2:$J$101),0)</x:f>
      </x:c>
      <x:c r="I6" s="54" t="e">
        <x:f>IFERROR(AVERAGEIF(Реестр_единиц!$S$2:$S$101,A6,Реестр_единиц!$O$2:$O$101),0)</x:f>
      </x:c>
      <x:c r="J6" s="44" t="e">
        <x:f>IF(B6=0,"Нет выбранных единиц",IF(AND(E6&gt;=4,D6&gt;=3.5),"Состав достаточно обоснован","Требуется дополнительная проверка"))</x:f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48" hidden="0" customWidth="1"/>
    <x:col min="4" max="4" width="42" hidden="0" customWidth="1"/>
    <x:col min="5" max="5" width="42" hidden="0" customWidth="1"/>
    <x:col min="6" max="6" width="42" hidden="0" customWidth="1"/>
    <x:col min="7" max="7" width="30" hidden="0" customWidth="1"/>
    <x:col min="8" max="8" width="20" hidden="0" customWidth="1"/>
  </x:cols>
  <x:sheetData>
    <x:row r="1" ht="32" customHeight="1">
      <x:c r="A1" s="6" t="str">
        <x:v>План первого релиза: быстрый и экономный выход на рынок без разрушения ценности</x:v>
      </x:c>
      <x:c r="B1" s="6"/>
      <x:c r="C1" s="6"/>
      <x:c r="D1" s="6"/>
      <x:c r="E1" s="6"/>
      <x:c r="F1" s="6"/>
      <x:c r="G1" s="6"/>
      <x:c r="H1" s="6"/>
    </x:row>
    <x:row r="3" ht="36" customHeight="1">
      <x:c r="A3" s="34" t="str">
        <x:v>ID</x:v>
      </x:c>
      <x:c r="B3" s="34" t="str">
        <x:v>Единица первого релиза</x:v>
      </x:c>
      <x:c r="C3" s="34" t="str">
        <x:v>Зачем нужна в первом релизе</x:v>
      </x:c>
      <x:c r="D3" s="34" t="str">
        <x:v>Проверяемая гипотеза</x:v>
      </x:c>
      <x:c r="E3" s="34" t="str">
        <x:v>Минимальная реализация</x:v>
      </x:c>
      <x:c r="F3" s="34" t="str">
        <x:v>Критерий готовности</x:v>
      </x:c>
      <x:c r="G3" s="34" t="str">
        <x:v>Метрика после запуска</x:v>
      </x:c>
      <x:c r="H3" s="34" t="str">
        <x:v>Ответственный</x:v>
      </x:c>
    </x:row>
    <x:row r="4">
      <x:c r="A4" s="25" t="str">
        <x:v>FR-001</x:v>
      </x:c>
      <x:c r="B4" s="25" t="str">
        <x:v>Основной рабочий сценарий</x:v>
      </x:c>
      <x:c r="C4" s="25" t="str">
        <x:v>Дает пользователю ключевой результат и подтверждает ценностное предложение.</x:v>
      </x:c>
      <x:c r="D4" s="25" t="str">
        <x:v>Пользователь готов пройти сценарий до результата.</x:v>
      </x:c>
      <x:c r="E4" s="25" t="str">
        <x:v>Один основной путь без вторичных настроек.</x:v>
      </x:c>
      <x:c r="F4" s="25" t="str">
        <x:v>Пользователь может завершить сценарий без ручной помощи.</x:v>
      </x:c>
      <x:c r="G4" s="25" t="str">
        <x:v>Доля завершения основного сценария</x:v>
      </x:c>
      <x:c r="H4" s="25" t="str"/>
    </x:row>
    <x:row r="5">
      <x:c r="A5" s="25" t="str">
        <x:v>FR-002</x:v>
      </x:c>
      <x:c r="B5" s="25" t="str">
        <x:v>Страница тарифов / форма заявки</x:v>
      </x:c>
      <x:c r="C5" s="25" t="str">
        <x:v>Позволяет проверить монетизацию и намерение платить.</x:v>
      </x:c>
      <x:c r="D5" s="25" t="str">
        <x:v>Сегмент понимает стоимость и готов оставить заявку / оплатить.</x:v>
      </x:c>
      <x:c r="E5" s="25" t="str">
        <x:v>Один-три тарифа или форма заявки вместо сложного биллинга.</x:v>
      </x:c>
      <x:c r="F5" s="25" t="str">
        <x:v>Пользователь видит условия и может совершить целевое действие.</x:v>
      </x:c>
      <x:c r="G5" s="25" t="str">
        <x:v>Конверсия в заявку / оплату</x:v>
      </x:c>
      <x:c r="H5" s="25" t="str"/>
    </x:row>
    <x:row r="6">
      <x:c r="A6" s="25" t="str">
        <x:v>FR-003</x:v>
      </x:c>
      <x:c r="B6" s="25" t="str">
        <x:v>Онбординг</x:v>
      </x:c>
      <x:c r="C6" s="25" t="str">
        <x:v>Снижает отказ до получения первой ценности.</x:v>
      </x:c>
      <x:c r="D6" s="25" t="str">
        <x:v>Пояснение первого шага повышает активацию.</x:v>
      </x:c>
      <x:c r="E6" s="25" t="str">
        <x:v>Короткая подсказка или последовательность из 2–4 шагов.</x:v>
      </x:c>
      <x:c r="F6" s="25" t="str">
        <x:v>Новый пользователь понимает, что делать дальше.</x:v>
      </x:c>
      <x:c r="G6" s="25" t="str">
        <x:v>Доля активации</x:v>
      </x:c>
      <x:c r="H6" s="25" t="str"/>
    </x:row>
    <x:row r="7">
      <x:c r="A7" s="25"/>
      <x:c r="B7" s="25"/>
      <x:c r="C7" s="25"/>
      <x:c r="D7" s="25"/>
      <x:c r="E7" s="25"/>
      <x:c r="F7" s="25"/>
      <x:c r="G7" s="25"/>
      <x:c r="H7" s="25"/>
    </x:row>
    <x:row r="8">
      <x:c r="A8" s="25"/>
      <x:c r="B8" s="25"/>
      <x:c r="C8" s="25"/>
      <x:c r="D8" s="25"/>
      <x:c r="E8" s="25"/>
      <x:c r="F8" s="25"/>
      <x:c r="G8" s="25"/>
      <x:c r="H8" s="25"/>
    </x:row>
    <x:row r="9">
      <x:c r="A9" s="25"/>
      <x:c r="B9" s="25"/>
      <x:c r="C9" s="25"/>
      <x:c r="D9" s="25"/>
      <x:c r="E9" s="25"/>
      <x:c r="F9" s="25"/>
      <x:c r="G9" s="25"/>
      <x:c r="H9" s="25"/>
    </x:row>
    <x:row r="10">
      <x:c r="A10" s="25"/>
      <x:c r="B10" s="25"/>
      <x:c r="C10" s="25"/>
      <x:c r="D10" s="25"/>
      <x:c r="E10" s="25"/>
      <x:c r="F10" s="25"/>
      <x:c r="G10" s="25"/>
      <x:c r="H10" s="25"/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25"/>
      <x:c r="B12" s="25"/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5"/>
      <x:c r="B15" s="25"/>
      <x:c r="C15" s="25"/>
      <x:c r="D15" s="25"/>
      <x:c r="E15" s="25"/>
      <x:c r="F15" s="25"/>
      <x:c r="G15" s="25"/>
      <x:c r="H15" s="25"/>
    </x:row>
    <x:row r="16">
      <x:c r="A16" s="25"/>
      <x:c r="B16" s="25"/>
      <x:c r="C16" s="25"/>
      <x:c r="D16" s="25"/>
      <x:c r="E16" s="25"/>
      <x:c r="F16" s="25"/>
      <x:c r="G16" s="25"/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0">
      <x:c r="A20" s="25"/>
      <x:c r="B20" s="25"/>
      <x:c r="C20" s="25"/>
      <x:c r="D20" s="25"/>
      <x:c r="E20" s="25"/>
      <x:c r="F20" s="25"/>
      <x:c r="G20" s="25"/>
      <x:c r="H20" s="25"/>
    </x:row>
    <x:row r="21">
      <x:c r="A21" s="25"/>
      <x:c r="B21" s="25"/>
      <x:c r="C21" s="25"/>
      <x:c r="D21" s="25"/>
      <x:c r="E21" s="25"/>
      <x:c r="F21" s="25"/>
      <x:c r="G21" s="25"/>
      <x:c r="H21" s="25"/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e8b271327de4d0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30" hidden="0" customWidth="1"/>
    <x:col min="4" max="4" width="42" hidden="0" customWidth="1"/>
    <x:col min="5" max="5" width="40" hidden="0" customWidth="1"/>
    <x:col min="6" max="6" width="40" hidden="0" customWidth="1"/>
    <x:col min="7" max="7" width="28" hidden="0" customWidth="1"/>
    <x:col min="8" max="8" width="32" hidden="0" customWidth="1"/>
    <x:col min="9" max="9" width="38" hidden="0" customWidth="1"/>
  </x:cols>
  <x:sheetData>
    <x:row r="1" ht="32" customHeight="1">
      <x:c r="A1" s="6" t="str">
        <x:v>План последующих релизов: развитие удержания, роста и операционной эффективности</x:v>
      </x:c>
      <x:c r="B1" s="6"/>
      <x:c r="C1" s="6"/>
      <x:c r="D1" s="6"/>
      <x:c r="E1" s="6"/>
      <x:c r="F1" s="6"/>
      <x:c r="G1" s="6"/>
      <x:c r="H1" s="6"/>
      <x:c r="I1" s="6"/>
    </x:row>
    <x:row r="3" ht="36" customHeight="1">
      <x:c r="A3" s="34" t="str">
        <x:v>ID</x:v>
      </x:c>
      <x:c r="B3" s="34" t="str">
        <x:v>Релиз</x:v>
      </x:c>
      <x:c r="C3" s="34" t="str">
        <x:v>Единица развития</x:v>
      </x:c>
      <x:c r="D3" s="34" t="str">
        <x:v>Основание переноса</x:v>
      </x:c>
      <x:c r="E3" s="34" t="str">
        <x:v>Условие включения</x:v>
      </x:c>
      <x:c r="F3" s="34" t="str">
        <x:v>Ожидаемый эффект</x:v>
      </x:c>
      <x:c r="G3" s="34" t="str">
        <x:v>Связанная метрика</x:v>
      </x:c>
      <x:c r="H3" s="34" t="str">
        <x:v>Зависимости</x:v>
      </x:c>
      <x:c r="I3" s="34" t="str">
        <x:v>Комментарий</x:v>
      </x:c>
    </x:row>
    <x:row r="4">
      <x:c r="A4" s="25" t="str">
        <x:v>NR-001</x:v>
      </x:c>
      <x:c r="B4" s="25" t="str">
        <x:v>Релиз 2</x:v>
      </x:c>
      <x:c r="C4" s="25" t="str">
        <x:v>Интеграция с внешней системой</x:v>
      </x:c>
      <x:c r="D4" s="25" t="str">
        <x:v>Высокая сложность, не обязательна для проверки первой ценности.</x:v>
      </x:c>
      <x:c r="E4" s="25" t="str">
        <x:v>Есть подтвержденный спрос со стороны активных пользователей.</x:v>
      </x:c>
      <x:c r="F4" s="25" t="str">
        <x:v>Повышение удержания и ценности для продвинутого сегмента.</x:v>
      </x:c>
      <x:c r="G4" s="25" t="str">
        <x:v>Повторное использование / удержание</x:v>
      </x:c>
      <x:c r="H4" s="25" t="str">
        <x:v>Стабильное ядро продукта</x:v>
      </x:c>
      <x:c r="I4" s="25" t="str"/>
    </x:row>
    <x:row r="5">
      <x:c r="A5" s="25" t="str">
        <x:v>NR-002</x:v>
      </x:c>
      <x:c r="B5" s="25" t="str">
        <x:v>Релиз 2</x:v>
      </x:c>
      <x:c r="C5" s="25" t="str">
        <x:v>База знаний</x:v>
      </x:c>
      <x:c r="D5" s="25" t="str">
        <x:v>Можно начать с минимального набора ответов в первом релизе.</x:v>
      </x:c>
      <x:c r="E5" s="25" t="str">
        <x:v>Появились повторяющиеся вопросы поддержки.</x:v>
      </x:c>
      <x:c r="F5" s="25" t="str">
        <x:v>Снижение нагрузки поддержки и рост самостоятельности пользователей.</x:v>
      </x:c>
      <x:c r="G5" s="25" t="str">
        <x:v>Количество обращений в поддержку</x:v>
      </x:c>
      <x:c r="H5" s="25" t="str">
        <x:v>Собранные вопросы пользователей</x:v>
      </x:c>
      <x:c r="I5" s="25" t="str"/>
    </x:row>
    <x:row r="6">
      <x:c r="A6" s="25" t="str">
        <x:v>NR-003</x:v>
      </x:c>
      <x:c r="B6" s="25" t="str">
        <x:v>Релиз 3</x:v>
      </x:c>
      <x:c r="C6" s="25" t="str">
        <x:v>Реферальный механизм</x:v>
      </x:c>
      <x:c r="D6" s="25" t="str">
        <x:v>Нужен после подтверждения ценности и первых лояльных пользователей.</x:v>
      </x:c>
      <x:c r="E6" s="25" t="str">
        <x:v>Есть достаточная база активных пользователей.</x:v>
      </x:c>
      <x:c r="F6" s="25" t="str">
        <x:v>Органический рост аудитории.</x:v>
      </x:c>
      <x:c r="G6" s="25" t="str">
        <x:v>Приглашения / новые пользователи</x:v>
      </x:c>
      <x:c r="H6" s="25" t="str">
        <x:v>Удержание и удовлетворенность</x:v>
      </x:c>
      <x:c r="I6" s="25" t="str"/>
    </x:row>
    <x:row r="7">
      <x:c r="A7" s="25"/>
      <x:c r="B7" s="25"/>
      <x:c r="C7" s="25"/>
      <x:c r="D7" s="25"/>
      <x:c r="E7" s="25"/>
      <x:c r="F7" s="25"/>
      <x:c r="G7" s="25"/>
      <x:c r="H7" s="25"/>
      <x:c r="I7" s="25"/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</x:row>
  </x:sheetData>
  <x:mergeCells>
    <x:mergeCell ref="A1:I1"/>
  </x:mergeCells>
  <x:dataValidations count="1">
    <x:dataValidation type="list" sqref="B4:B60">
      <x:formula1>"Релиз 2,Релиз 3,Релиз 4,Бэклог"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883aa93af14e3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8" hidden="0" customWidth="1"/>
    <x:col min="4" max="4" width="44" hidden="0" customWidth="1"/>
    <x:col min="5" max="5" width="32" hidden="0" customWidth="1"/>
    <x:col min="6" max="6" width="48" hidden="0" customWidth="1"/>
    <x:col min="7" max="7" width="32" hidden="0" customWidth="1"/>
    <x:col min="8" max="8" width="32" hidden="0" customWidth="1"/>
    <x:col min="9" max="9" width="34" hidden="0" customWidth="1"/>
    <x:col min="10" max="10" width="15" hidden="0" customWidth="1"/>
    <x:col min="11" max="11" width="15" hidden="0" customWidth="1"/>
  </x:cols>
  <x:sheetData>
    <x:row r="1" ht="32" customHeight="1">
      <x:c r="A1" s="6" t="str">
        <x:v>Дорожная карта релизов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6" customHeight="1">
      <x:c r="A3" s="34" t="str">
        <x:v>Релиз</x:v>
      </x:c>
      <x:c r="B3" s="34" t="str">
        <x:v>Цель релиза</x:v>
      </x:c>
      <x:c r="C3" s="34" t="str">
        <x:v>Состав</x:v>
      </x:c>
      <x:c r="D3" s="34" t="str">
        <x:v>Ключевая гипотеза</x:v>
      </x:c>
      <x:c r="E3" s="34" t="str">
        <x:v>Что измеряем</x:v>
      </x:c>
      <x:c r="F3" s="34" t="str">
        <x:v>Критерий перехода к следующему релизу</x:v>
      </x:c>
      <x:c r="G3" s="34" t="str">
        <x:v>Ограничение бюджета / срока</x:v>
      </x:c>
      <x:c r="H3" s="34" t="str">
        <x:v>Риски</x:v>
      </x:c>
      <x:c r="I3" s="34" t="str">
        <x:v>Решение по запуску</x:v>
      </x:c>
      <x:c r="J3" s="34" t="str">
        <x:v>Дата начала</x:v>
      </x:c>
      <x:c r="K3" s="34" t="str">
        <x:v>Дата окончания</x:v>
      </x:c>
    </x:row>
    <x:row r="4">
      <x:c r="A4" s="25" t="str">
        <x:v>Первый релиз</x:v>
      </x:c>
      <x:c r="B4" s="25" t="str">
        <x:v>Проверить ценность, спрос и минимальную монетизацию</x:v>
      </x:c>
      <x:c r="C4" s="25" t="str">
        <x:v>Ядро сценария, тарифы/заявка, онбординг, базовая аналитика</x:v>
      </x:c>
      <x:c r="D4" s="25" t="str">
        <x:v>Пользователь получает ценность и совершает целевое действие</x:v>
      </x:c>
      <x:c r="E4" s="25" t="str">
        <x:v>Активация, конверсия, первые заявки, отказ</x:v>
      </x:c>
      <x:c r="F4" s="25" t="str">
        <x:v>Есть признаки спроса и понятные данные для улучшения</x:v>
      </x:c>
      <x:c r="G4" s="25" t="str">
        <x:v>Минимальный срок и бюджет</x:v>
      </x:c>
      <x:c r="H4" s="25" t="str">
        <x:v>Недостаточная ценность при чрезмерном урезании</x:v>
      </x:c>
      <x:c r="I4" s="25" t="str">
        <x:v>Запустить при выполнении контрольного листа</x:v>
      </x:c>
      <x:c r="J4" s="62"/>
      <x:c r="K4" s="62"/>
    </x:row>
    <x:row r="5">
      <x:c r="A5" s="25" t="str">
        <x:v>Релиз 2</x:v>
      </x:c>
      <x:c r="B5" s="25" t="str">
        <x:v>Усилить удержание и снять частые барьеры</x:v>
      </x:c>
      <x:c r="C5" s="25" t="str">
        <x:v>Интеграции, база знаний, улучшение сценария</x:v>
      </x:c>
      <x:c r="D5" s="25" t="str">
        <x:v>Повторное использование растет при устранении выявленных барьеров</x:v>
      </x:c>
      <x:c r="E5" s="25" t="str">
        <x:v>Удержание, повторные действия, поддержка</x:v>
      </x:c>
      <x:c r="F5" s="25" t="str">
        <x:v>Удержание и повторное использование стабильны</x:v>
      </x:c>
      <x:c r="G5" s="25" t="str">
        <x:v>Разработка после подтверждения спроса</x:v>
      </x:c>
      <x:c r="H5" s="25" t="str">
        <x:v>Слишком раннее усложнение</x:v>
      </x:c>
      <x:c r="I5" s="25" t="str">
        <x:v>Запускать после данных первого релиза</x:v>
      </x:c>
      <x:c r="J5" s="62"/>
      <x:c r="K5" s="62"/>
    </x:row>
    <x:row r="6">
      <x:c r="A6" s="25" t="str">
        <x:v>Релиз 3</x:v>
      </x:c>
      <x:c r="B6" s="25" t="str">
        <x:v>Ускорить рост аудитории</x:v>
      </x:c>
      <x:c r="C6" s="25" t="str">
        <x:v>Реферальные механизмы, расширенные каналы, улучшения масштабирования</x:v>
      </x:c>
      <x:c r="D6" s="25" t="str">
        <x:v>Довольные пользователи готовы приводить новых</x:v>
      </x:c>
      <x:c r="E6" s="25" t="str">
        <x:v>Привлечения, рекомендации, стоимость привлечения</x:v>
      </x:c>
      <x:c r="F6" s="25" t="str">
        <x:v>Подтвержден масштабируемый канал роста</x:v>
      </x:c>
      <x:c r="G6" s="25" t="str">
        <x:v>Усиление после удержания</x:v>
      </x:c>
      <x:c r="H6" s="25" t="str">
        <x:v>Рост без удержания ведет к потере бюджета</x:v>
      </x:c>
      <x:c r="I6" s="25" t="str">
        <x:v>Запускать после подтверждения удержания</x:v>
      </x:c>
      <x:c r="J6" s="62"/>
      <x:c r="K6" s="62"/>
    </x:row>
    <x:row r="7">
      <x:c r="A7" s="25"/>
      <x:c r="B7" s="25"/>
      <x:c r="C7" s="25"/>
      <x:c r="D7" s="25"/>
      <x:c r="E7" s="25"/>
      <x:c r="F7" s="25"/>
      <x:c r="G7" s="25"/>
      <x:c r="H7" s="25"/>
      <x:c r="I7" s="25"/>
      <x:c r="J7" s="62"/>
      <x:c r="K7" s="62"/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62"/>
      <x:c r="K8" s="62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62"/>
      <x:c r="K9" s="62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62"/>
      <x:c r="K10" s="62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62"/>
      <x:c r="K11" s="62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62"/>
      <x:c r="K12" s="62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62"/>
      <x:c r="K13" s="62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62"/>
      <x:c r="K14" s="62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62"/>
      <x:c r="K15" s="62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62"/>
      <x:c r="K16" s="62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62"/>
      <x:c r="K17" s="62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62"/>
      <x:c r="K18" s="62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62"/>
      <x:c r="K19" s="62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62"/>
      <x:c r="K20" s="62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62"/>
      <x:c r="K21" s="62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62"/>
      <x:c r="K22" s="62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62"/>
      <x:c r="K23" s="62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62"/>
      <x:c r="K24" s="62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62"/>
      <x:c r="K25" s="62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62"/>
      <x:c r="K26" s="62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62"/>
      <x:c r="K27" s="62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62"/>
      <x:c r="K28" s="62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62"/>
      <x:c r="K29" s="62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62"/>
      <x:c r="K30" s="62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1281dcd16734d1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4" hidden="0" customWidth="1"/>
    <x:col min="3" max="3" width="14" hidden="0" customWidth="1"/>
    <x:col min="4" max="4" width="36" hidden="0" customWidth="1"/>
    <x:col min="5" max="5" width="42" hidden="0" customWidth="1"/>
    <x:col min="6" max="6" width="34" hidden="0" customWidth="1"/>
    <x:col min="7" max="7" width="38" hidden="0" customWidth="1"/>
    <x:col min="8" max="8" width="22" hidden="0" customWidth="1"/>
    <x:col min="9" max="9" width="18" hidden="0" customWidth="1"/>
  </x:cols>
  <x:sheetData>
    <x:row r="1" ht="32" customHeight="1">
      <x:c r="A1" s="6" t="str">
        <x:v>Контрольный лист: первый релиз сохраняет ценностное предложение, монетизацию, удержание и рост</x:v>
      </x:c>
      <x:c r="B1" s="6"/>
      <x:c r="C1" s="6"/>
      <x:c r="D1" s="6"/>
      <x:c r="E1" s="6"/>
      <x:c r="F1" s="6"/>
      <x:c r="G1" s="6"/>
      <x:c r="H1" s="6"/>
      <x:c r="I1" s="6"/>
    </x:row>
    <x:row r="3" ht="36" customHeight="1">
      <x:c r="A3" s="34" t="str">
        <x:v>Блок проверки</x:v>
      </x:c>
      <x:c r="B3" s="34" t="str">
        <x:v>Контрольный вопрос</x:v>
      </x:c>
      <x:c r="C3" s="34" t="str">
        <x:v>Оценка 1–5</x:v>
      </x:c>
      <x:c r="D3" s="34" t="str">
        <x:v>Доказательство</x:v>
      </x:c>
      <x:c r="E3" s="34" t="str">
        <x:v>Риск при низкой оценке</x:v>
      </x:c>
      <x:c r="F3" s="34" t="str">
        <x:v>Решение</x:v>
      </x:c>
      <x:c r="G3" s="34" t="str">
        <x:v>Что добавить / изменить</x:v>
      </x:c>
      <x:c r="H3" s="34" t="str">
        <x:v>Ответственный</x:v>
      </x:c>
      <x:c r="I3" s="34" t="str">
        <x:v>Статус</x:v>
      </x:c>
    </x:row>
    <x:row r="4">
      <x:c r="A4" s="25" t="str">
        <x:v>Ценность</x:v>
      </x:c>
      <x:c r="B4" s="25" t="str">
        <x:v>Может ли пользователь получить обещанный ключевой результат в первом релизе?</x:v>
      </x:c>
      <x:c r="C4" s="25" t="n">
        <x:v>5</x:v>
      </x:c>
      <x:c r="D4" s="25" t="str">
        <x:v>Основной сценарий включен</x:v>
      </x:c>
      <x:c r="E4" s="25" t="str">
        <x:v>Первый релиз не подтверждает ценностное предложение</x:v>
      </x:c>
      <x:c r="F4" s="25" t="str">
        <x:v>Оставить в первом релизе</x:v>
      </x:c>
      <x:c r="G4" s="25" t="str"/>
      <x:c r="H4" s="25" t="str"/>
      <x:c r="I4" s="25" t="str">
        <x:v>Готово</x:v>
      </x:c>
    </x:row>
    <x:row r="5">
      <x:c r="A5" s="25" t="str">
        <x:v>Проблема</x:v>
      </x:c>
      <x:c r="B5" s="25" t="str">
        <x:v>Закрывает ли первый релиз приоритетную проблему, выявленную в отзывах и анализе конкурентов?</x:v>
      </x:c>
      <x:c r="C5" s="25" t="n">
        <x:v>4</x:v>
      </x:c>
      <x:c r="D5" s="25" t="str">
        <x:v>Проблема подтверждена несколькими источниками</x:v>
      </x:c>
      <x:c r="E5" s="25" t="str">
        <x:v>Разработка проверяет второстепенную гипотезу</x:v>
      </x:c>
      <x:c r="F5" s="25" t="str">
        <x:v>Проверить формулировку проблемы</x:v>
      </x:c>
      <x:c r="G5" s="25" t="str"/>
      <x:c r="H5" s="25" t="str"/>
      <x:c r="I5" s="25" t="str">
        <x:v>В работе</x:v>
      </x:c>
    </x:row>
    <x:row r="6">
      <x:c r="A6" s="25" t="str">
        <x:v>Монетизация</x:v>
      </x:c>
      <x:c r="B6" s="25" t="str">
        <x:v>Есть ли в первом релизе единица монетизации или действие, показывающее намерение платить?</x:v>
      </x:c>
      <x:c r="C6" s="25" t="n">
        <x:v>4</x:v>
      </x:c>
      <x:c r="D6" s="25" t="str">
        <x:v>Форма заявки / тарифы</x:v>
      </x:c>
      <x:c r="E6" s="25" t="str">
        <x:v>Нельзя проверить бизнес-модель</x:v>
      </x:c>
      <x:c r="F6" s="25" t="str">
        <x:v>Включить платеж/заявку/лист ожидания</x:v>
      </x:c>
      <x:c r="G6" s="25" t="str"/>
      <x:c r="H6" s="25" t="str"/>
      <x:c r="I6" s="25" t="str">
        <x:v>Готово</x:v>
      </x:c>
    </x:row>
    <x:row r="7">
      <x:c r="A7" s="25" t="str">
        <x:v>Удержание</x:v>
      </x:c>
      <x:c r="B7" s="25" t="str">
        <x:v>Есть ли механизм, который помогает пользователю вернуться или продолжить использование?</x:v>
      </x:c>
      <x:c r="C7" s="25" t="n">
        <x:v>3</x:v>
      </x:c>
      <x:c r="D7" s="25" t="str">
        <x:v>Базовый сценарий и подсказки</x:v>
      </x:c>
      <x:c r="E7" s="25" t="str">
        <x:v>Первый релиз привлечет, но не удержит аудиторию</x:v>
      </x:c>
      <x:c r="F7" s="25" t="str">
        <x:v>Добавить минимальный механизм возврата</x:v>
      </x:c>
      <x:c r="G7" s="25" t="str"/>
      <x:c r="H7" s="25" t="str"/>
      <x:c r="I7" s="25" t="str">
        <x:v>В работе</x:v>
      </x:c>
    </x:row>
    <x:row r="8">
      <x:c r="A8" s="25" t="str">
        <x:v>Рост</x:v>
      </x:c>
      <x:c r="B8" s="25" t="str">
        <x:v>Собирает ли продукт данные для понимания следующего роста?</x:v>
      </x:c>
      <x:c r="C8" s="25" t="n">
        <x:v>4</x:v>
      </x:c>
      <x:c r="D8" s="25" t="str">
        <x:v>Аналитика событий</x:v>
      </x:c>
      <x:c r="E8" s="25" t="str">
        <x:v>Следующий релиз будет строиться без фактов</x:v>
      </x:c>
      <x:c r="F8" s="25" t="str">
        <x:v>Включить минимальную аналитику</x:v>
      </x:c>
      <x:c r="G8" s="25" t="str"/>
      <x:c r="H8" s="25" t="str"/>
      <x:c r="I8" s="25" t="str">
        <x:v>Готово</x:v>
      </x:c>
    </x:row>
    <x:row r="9">
      <x:c r="A9" s="25" t="str">
        <x:v>Экономичность</x:v>
      </x:c>
      <x:c r="B9" s="25" t="str">
        <x:v>Не включены ли в первый релиз дорогие функции, не обязательные для первой проверки ценности?</x:v>
      </x:c>
      <x:c r="C9" s="25" t="n">
        <x:v>4</x:v>
      </x:c>
      <x:c r="D9" s="25" t="str">
        <x:v>Сложные интеграции перенесены</x:v>
      </x:c>
      <x:c r="E9" s="25" t="str">
        <x:v>Перерасход до проверки спроса</x:v>
      </x:c>
      <x:c r="F9" s="25" t="str">
        <x:v>Перенести тяжелые функции</x:v>
      </x:c>
      <x:c r="G9" s="25" t="str"/>
      <x:c r="H9" s="25" t="str"/>
      <x:c r="I9" s="25" t="str">
        <x:v>Готово</x:v>
      </x:c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</x:row>
  </x:sheetData>
  <x:mergeCells>
    <x:mergeCell ref="A1:I1"/>
  </x:mergeCells>
  <x:conditionalFormatting sqref="C4:C80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dataValidations count="2">
    <x:dataValidation type="whole" operator="between" sqref="C4:C80">
      <x:formula1>1</x:formula1>
      <x:formula2>5</x:formula2>
    </x:dataValidation>
    <x:dataValidation type="list" sqref="I4:I80">
      <x:formula1>"Не начато,В работе,Готово,Требует решения"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779a4ce0ce4b7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44" hidden="0" customWidth="1"/>
    <x:col min="4" max="4" width="18" hidden="0" customWidth="1"/>
    <x:col min="5" max="5" width="14" hidden="0" customWidth="1"/>
    <x:col min="6" max="6" width="12" hidden="0" customWidth="1"/>
    <x:col min="7" max="7" width="14" hidden="0" customWidth="1"/>
    <x:col min="8" max="8" width="42" hidden="0" customWidth="1"/>
    <x:col min="9" max="9" width="18" hidden="0" customWidth="1"/>
    <x:col min="10" max="10" width="22" hidden="0" customWidth="1"/>
  </x:cols>
  <x:sheetData>
    <x:row r="1" ht="32" customHeight="1">
      <x:c r="A1" s="6" t="str">
        <x:v>Риски, зависимости и условия переноса функций между релизами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3" ht="36" customHeight="1">
      <x:c r="A3" s="34" t="str">
        <x:v>ID</x:v>
      </x:c>
      <x:c r="B3" s="34" t="str">
        <x:v>Единица / решение</x:v>
      </x:c>
      <x:c r="C3" s="34" t="str">
        <x:v>Риск</x:v>
      </x:c>
      <x:c r="D3" s="34" t="str">
        <x:v>Тип риска</x:v>
      </x:c>
      <x:c r="E3" s="34" t="str">
        <x:v>Вероятность 1–5</x:v>
      </x:c>
      <x:c r="F3" s="34" t="str">
        <x:v>Влияние 1–5</x:v>
      </x:c>
      <x:c r="G3" s="34" t="str">
        <x:v>Индекс риска</x:v>
      </x:c>
      <x:c r="H3" s="34" t="str">
        <x:v>Митигирующее действие</x:v>
      </x:c>
      <x:c r="I3" s="34" t="str">
        <x:v>Связанный релиз</x:v>
      </x:c>
      <x:c r="J3" s="34" t="str">
        <x:v>Ответственный</x:v>
      </x:c>
    </x:row>
    <x:row r="4">
      <x:c r="A4" s="25" t="str">
        <x:v>R-001</x:v>
      </x:c>
      <x:c r="B4" s="25" t="str">
        <x:v>Сокращение основного сценария</x:v>
      </x:c>
      <x:c r="C4" s="25" t="str">
        <x:v>Пользователь не получает заявленную ценность</x:v>
      </x:c>
      <x:c r="D4" s="25" t="str">
        <x:v>Ценность</x:v>
      </x:c>
      <x:c r="E4" s="25" t="n">
        <x:v>3</x:v>
      </x:c>
      <x:c r="F4" s="25" t="n">
        <x:v>5</x:v>
      </x:c>
      <x:c r="G4" s="44" t="n">
        <x:f>IF(A4="","",E4*F4)</x:f>
        <x:v>15</x:v>
      </x:c>
      <x:c r="H4" s="25" t="str">
        <x:v>Не удалять критические шаги сценария</x:v>
      </x:c>
      <x:c r="I4" s="25" t="str">
        <x:v>Первый релиз</x:v>
      </x:c>
      <x:c r="J4" s="25" t="str"/>
    </x:row>
    <x:row r="5">
      <x:c r="A5" s="25" t="str">
        <x:v>R-002</x:v>
      </x:c>
      <x:c r="B5" s="25" t="str">
        <x:v>Перенос аналитики</x:v>
      </x:c>
      <x:c r="C5" s="25" t="str">
        <x:v>Команда не сможет понять причины отказа и удержания</x:v>
      </x:c>
      <x:c r="D5" s="25" t="str">
        <x:v>Данные</x:v>
      </x:c>
      <x:c r="E5" s="25" t="n">
        <x:v>4</x:v>
      </x:c>
      <x:c r="F5" s="25" t="n">
        <x:v>4</x:v>
      </x:c>
      <x:c r="G5" s="44" t="n">
        <x:f>IF(A5="","",E5*F5)</x:f>
        <x:v>16</x:v>
      </x:c>
      <x:c r="H5" s="25" t="str">
        <x:v>Оставить минимальный сбор событий</x:v>
      </x:c>
      <x:c r="I5" s="25" t="str">
        <x:v>Первый релиз</x:v>
      </x:c>
      <x:c r="J5" s="25" t="str"/>
    </x:row>
    <x:row r="6">
      <x:c r="A6" s="25" t="str">
        <x:v>R-003</x:v>
      </x:c>
      <x:c r="B6" s="25" t="str">
        <x:v>Ранняя интеграция</x:v>
      </x:c>
      <x:c r="C6" s="25" t="str">
        <x:v>Рост бюджета до проверки спроса</x:v>
      </x:c>
      <x:c r="D6" s="25" t="str">
        <x:v>Стоимость</x:v>
      </x:c>
      <x:c r="E6" s="25" t="n">
        <x:v>3</x:v>
      </x:c>
      <x:c r="F6" s="25" t="n">
        <x:v>4</x:v>
      </x:c>
      <x:c r="G6" s="44" t="n">
        <x:f>IF(A6="","",E6*F6)</x:f>
        <x:v>12</x:v>
      </x:c>
      <x:c r="H6" s="25" t="str">
        <x:v>Перенести интеграцию в Релиз 2</x:v>
      </x:c>
      <x:c r="I6" s="25" t="str">
        <x:v>Следующий релиз</x:v>
      </x:c>
      <x:c r="J6" s="25" t="str"/>
    </x:row>
    <x:row r="7">
      <x:c r="A7" s="25"/>
      <x:c r="B7" s="25"/>
      <x:c r="C7" s="25"/>
      <x:c r="D7" s="25"/>
      <x:c r="E7" s="25"/>
      <x:c r="F7" s="25"/>
      <x:c r="G7" s="44" t="str">
        <x:f>IF(A7="","",E7*F7)</x:f>
      </x:c>
      <x:c r="H7" s="25"/>
      <x:c r="I7" s="25"/>
      <x:c r="J7" s="25"/>
    </x:row>
    <x:row r="8">
      <x:c r="A8" s="25"/>
      <x:c r="B8" s="25"/>
      <x:c r="C8" s="25"/>
      <x:c r="D8" s="25"/>
      <x:c r="E8" s="25"/>
      <x:c r="F8" s="25"/>
      <x:c r="G8" s="44" t="str">
        <x:f>IF(A8="","",E8*F8)</x:f>
      </x:c>
      <x:c r="H8" s="25"/>
      <x:c r="I8" s="25"/>
      <x:c r="J8" s="25"/>
    </x:row>
    <x:row r="9">
      <x:c r="A9" s="25"/>
      <x:c r="B9" s="25"/>
      <x:c r="C9" s="25"/>
      <x:c r="D9" s="25"/>
      <x:c r="E9" s="25"/>
      <x:c r="F9" s="25"/>
      <x:c r="G9" s="44" t="str">
        <x:f>IF(A9="","",E9*F9)</x:f>
      </x:c>
      <x:c r="H9" s="25"/>
      <x:c r="I9" s="25"/>
      <x:c r="J9" s="25"/>
    </x:row>
    <x:row r="10">
      <x:c r="A10" s="25"/>
      <x:c r="B10" s="25"/>
      <x:c r="C10" s="25"/>
      <x:c r="D10" s="25"/>
      <x:c r="E10" s="25"/>
      <x:c r="F10" s="25"/>
      <x:c r="G10" s="44" t="str">
        <x:f>IF(A10="","",E10*F10)</x:f>
      </x:c>
      <x:c r="H10" s="25"/>
      <x:c r="I10" s="25"/>
      <x:c r="J10" s="25"/>
    </x:row>
    <x:row r="11">
      <x:c r="A11" s="25"/>
      <x:c r="B11" s="25"/>
      <x:c r="C11" s="25"/>
      <x:c r="D11" s="25"/>
      <x:c r="E11" s="25"/>
      <x:c r="F11" s="25"/>
      <x:c r="G11" s="44" t="str">
        <x:f>IF(A11="","",E11*F11)</x:f>
      </x:c>
      <x:c r="H11" s="25"/>
      <x:c r="I11" s="25"/>
      <x:c r="J11" s="25"/>
    </x:row>
    <x:row r="12">
      <x:c r="A12" s="25"/>
      <x:c r="B12" s="25"/>
      <x:c r="C12" s="25"/>
      <x:c r="D12" s="25"/>
      <x:c r="E12" s="25"/>
      <x:c r="F12" s="25"/>
      <x:c r="G12" s="44" t="str">
        <x:f>IF(A12="","",E12*F12)</x:f>
      </x:c>
      <x:c r="H12" s="25"/>
      <x:c r="I12" s="25"/>
      <x:c r="J12" s="25"/>
    </x:row>
    <x:row r="13">
      <x:c r="A13" s="25"/>
      <x:c r="B13" s="25"/>
      <x:c r="C13" s="25"/>
      <x:c r="D13" s="25"/>
      <x:c r="E13" s="25"/>
      <x:c r="F13" s="25"/>
      <x:c r="G13" s="44" t="str">
        <x:f>IF(A13="","",E13*F13)</x:f>
      </x:c>
      <x:c r="H13" s="25"/>
      <x:c r="I13" s="25"/>
      <x:c r="J13" s="25"/>
    </x:row>
    <x:row r="14">
      <x:c r="A14" s="25"/>
      <x:c r="B14" s="25"/>
      <x:c r="C14" s="25"/>
      <x:c r="D14" s="25"/>
      <x:c r="E14" s="25"/>
      <x:c r="F14" s="25"/>
      <x:c r="G14" s="44" t="str">
        <x:f>IF(A14="","",E14*F14)</x:f>
      </x:c>
      <x:c r="H14" s="25"/>
      <x:c r="I14" s="25"/>
      <x:c r="J14" s="25"/>
    </x:row>
    <x:row r="15">
      <x:c r="A15" s="25"/>
      <x:c r="B15" s="25"/>
      <x:c r="C15" s="25"/>
      <x:c r="D15" s="25"/>
      <x:c r="E15" s="25"/>
      <x:c r="F15" s="25"/>
      <x:c r="G15" s="44" t="str">
        <x:f>IF(A15="","",E15*F15)</x:f>
      </x:c>
      <x:c r="H15" s="25"/>
      <x:c r="I15" s="25"/>
      <x:c r="J15" s="25"/>
    </x:row>
    <x:row r="16">
      <x:c r="A16" s="25"/>
      <x:c r="B16" s="25"/>
      <x:c r="C16" s="25"/>
      <x:c r="D16" s="25"/>
      <x:c r="E16" s="25"/>
      <x:c r="F16" s="25"/>
      <x:c r="G16" s="44" t="str">
        <x:f>IF(A16="","",E16*F16)</x:f>
      </x:c>
      <x:c r="H16" s="25"/>
      <x:c r="I16" s="25"/>
      <x:c r="J16" s="25"/>
    </x:row>
    <x:row r="17">
      <x:c r="A17" s="25"/>
      <x:c r="B17" s="25"/>
      <x:c r="C17" s="25"/>
      <x:c r="D17" s="25"/>
      <x:c r="E17" s="25"/>
      <x:c r="F17" s="25"/>
      <x:c r="G17" s="44" t="str">
        <x:f>IF(A17="","",E17*F17)</x:f>
      </x:c>
      <x:c r="H17" s="25"/>
      <x:c r="I17" s="25"/>
      <x:c r="J17" s="25"/>
    </x:row>
    <x:row r="18">
      <x:c r="A18" s="25"/>
      <x:c r="B18" s="25"/>
      <x:c r="C18" s="25"/>
      <x:c r="D18" s="25"/>
      <x:c r="E18" s="25"/>
      <x:c r="F18" s="25"/>
      <x:c r="G18" s="44" t="str">
        <x:f>IF(A18="","",E18*F18)</x:f>
      </x:c>
      <x:c r="H18" s="25"/>
      <x:c r="I18" s="25"/>
      <x:c r="J18" s="25"/>
    </x:row>
    <x:row r="19">
      <x:c r="A19" s="25"/>
      <x:c r="B19" s="25"/>
      <x:c r="C19" s="25"/>
      <x:c r="D19" s="25"/>
      <x:c r="E19" s="25"/>
      <x:c r="F19" s="25"/>
      <x:c r="G19" s="44" t="str">
        <x:f>IF(A19="","",E19*F19)</x:f>
      </x:c>
      <x:c r="H19" s="25"/>
      <x:c r="I19" s="25"/>
      <x:c r="J19" s="25"/>
    </x:row>
    <x:row r="20">
      <x:c r="A20" s="25"/>
      <x:c r="B20" s="25"/>
      <x:c r="C20" s="25"/>
      <x:c r="D20" s="25"/>
      <x:c r="E20" s="25"/>
      <x:c r="F20" s="25"/>
      <x:c r="G20" s="44" t="str">
        <x:f>IF(A20="","",E20*F20)</x:f>
      </x:c>
      <x:c r="H20" s="25"/>
      <x:c r="I20" s="25"/>
      <x:c r="J20" s="25"/>
    </x:row>
    <x:row r="21">
      <x:c r="A21" s="25"/>
      <x:c r="B21" s="25"/>
      <x:c r="C21" s="25"/>
      <x:c r="D21" s="25"/>
      <x:c r="E21" s="25"/>
      <x:c r="F21" s="25"/>
      <x:c r="G21" s="44" t="str">
        <x:f>IF(A21="","",E21*F21)</x:f>
      </x:c>
      <x:c r="H21" s="25"/>
      <x:c r="I21" s="25"/>
      <x:c r="J21" s="25"/>
    </x:row>
    <x:row r="22">
      <x:c r="A22" s="25"/>
      <x:c r="B22" s="25"/>
      <x:c r="C22" s="25"/>
      <x:c r="D22" s="25"/>
      <x:c r="E22" s="25"/>
      <x:c r="F22" s="25"/>
      <x:c r="G22" s="44" t="str">
        <x:f>IF(A22="","",E22*F22)</x:f>
      </x:c>
      <x:c r="H22" s="25"/>
      <x:c r="I22" s="25"/>
      <x:c r="J22" s="25"/>
    </x:row>
    <x:row r="23">
      <x:c r="A23" s="25"/>
      <x:c r="B23" s="25"/>
      <x:c r="C23" s="25"/>
      <x:c r="D23" s="25"/>
      <x:c r="E23" s="25"/>
      <x:c r="F23" s="25"/>
      <x:c r="G23" s="44" t="str">
        <x:f>IF(A23="","",E23*F23)</x:f>
      </x:c>
      <x:c r="H23" s="25"/>
      <x:c r="I23" s="25"/>
      <x:c r="J23" s="25"/>
    </x:row>
    <x:row r="24">
      <x:c r="A24" s="25"/>
      <x:c r="B24" s="25"/>
      <x:c r="C24" s="25"/>
      <x:c r="D24" s="25"/>
      <x:c r="E24" s="25"/>
      <x:c r="F24" s="25"/>
      <x:c r="G24" s="44" t="str">
        <x:f>IF(A24="","",E24*F24)</x:f>
      </x:c>
      <x:c r="H24" s="25"/>
      <x:c r="I24" s="25"/>
      <x:c r="J24" s="25"/>
    </x:row>
    <x:row r="25">
      <x:c r="A25" s="25"/>
      <x:c r="B25" s="25"/>
      <x:c r="C25" s="25"/>
      <x:c r="D25" s="25"/>
      <x:c r="E25" s="25"/>
      <x:c r="F25" s="25"/>
      <x:c r="G25" s="44" t="str">
        <x:f>IF(A25="","",E25*F25)</x:f>
      </x:c>
      <x:c r="H25" s="25"/>
      <x:c r="I25" s="25"/>
      <x:c r="J25" s="25"/>
    </x:row>
    <x:row r="26">
      <x:c r="A26" s="25"/>
      <x:c r="B26" s="25"/>
      <x:c r="C26" s="25"/>
      <x:c r="D26" s="25"/>
      <x:c r="E26" s="25"/>
      <x:c r="F26" s="25"/>
      <x:c r="G26" s="44" t="str">
        <x:f>IF(A26="","",E26*F26)</x:f>
      </x:c>
      <x:c r="H26" s="25"/>
      <x:c r="I26" s="25"/>
      <x:c r="J26" s="25"/>
    </x:row>
    <x:row r="27">
      <x:c r="A27" s="25"/>
      <x:c r="B27" s="25"/>
      <x:c r="C27" s="25"/>
      <x:c r="D27" s="25"/>
      <x:c r="E27" s="25"/>
      <x:c r="F27" s="25"/>
      <x:c r="G27" s="44" t="str">
        <x:f>IF(A27="","",E27*F27)</x:f>
      </x:c>
      <x:c r="H27" s="25"/>
      <x:c r="I27" s="25"/>
      <x:c r="J27" s="25"/>
    </x:row>
    <x:row r="28">
      <x:c r="A28" s="25"/>
      <x:c r="B28" s="25"/>
      <x:c r="C28" s="25"/>
      <x:c r="D28" s="25"/>
      <x:c r="E28" s="25"/>
      <x:c r="F28" s="25"/>
      <x:c r="G28" s="44" t="str">
        <x:f>IF(A28="","",E28*F28)</x:f>
      </x:c>
      <x:c r="H28" s="25"/>
      <x:c r="I28" s="25"/>
      <x:c r="J28" s="25"/>
    </x:row>
    <x:row r="29">
      <x:c r="A29" s="25"/>
      <x:c r="B29" s="25"/>
      <x:c r="C29" s="25"/>
      <x:c r="D29" s="25"/>
      <x:c r="E29" s="25"/>
      <x:c r="F29" s="25"/>
      <x:c r="G29" s="44" t="str">
        <x:f>IF(A29="","",E29*F29)</x:f>
      </x:c>
      <x:c r="H29" s="25"/>
      <x:c r="I29" s="25"/>
      <x:c r="J29" s="25"/>
    </x:row>
    <x:row r="30">
      <x:c r="A30" s="25"/>
      <x:c r="B30" s="25"/>
      <x:c r="C30" s="25"/>
      <x:c r="D30" s="25"/>
      <x:c r="E30" s="25"/>
      <x:c r="F30" s="25"/>
      <x:c r="G30" s="44" t="str">
        <x:f>IF(A30="","",E30*F30)</x:f>
      </x:c>
      <x:c r="H30" s="25"/>
      <x:c r="I30" s="25"/>
      <x:c r="J30" s="25"/>
    </x:row>
    <x:row r="31">
      <x:c r="A31" s="25"/>
      <x:c r="B31" s="25"/>
      <x:c r="C31" s="25"/>
      <x:c r="D31" s="25"/>
      <x:c r="E31" s="25"/>
      <x:c r="F31" s="25"/>
      <x:c r="G31" s="44" t="str">
        <x:f>IF(A31="","",E31*F31)</x:f>
      </x:c>
      <x:c r="H31" s="25"/>
      <x:c r="I31" s="25"/>
      <x:c r="J31" s="25"/>
    </x:row>
    <x:row r="32">
      <x:c r="A32" s="25"/>
      <x:c r="B32" s="25"/>
      <x:c r="C32" s="25"/>
      <x:c r="D32" s="25"/>
      <x:c r="E32" s="25"/>
      <x:c r="F32" s="25"/>
      <x:c r="G32" s="44" t="str">
        <x:f>IF(A32="","",E32*F32)</x:f>
      </x:c>
      <x:c r="H32" s="25"/>
      <x:c r="I32" s="25"/>
      <x:c r="J32" s="25"/>
    </x:row>
    <x:row r="33">
      <x:c r="A33" s="25"/>
      <x:c r="B33" s="25"/>
      <x:c r="C33" s="25"/>
      <x:c r="D33" s="25"/>
      <x:c r="E33" s="25"/>
      <x:c r="F33" s="25"/>
      <x:c r="G33" s="44" t="str">
        <x:f>IF(A33="","",E33*F33)</x:f>
      </x:c>
      <x:c r="H33" s="25"/>
      <x:c r="I33" s="25"/>
      <x:c r="J33" s="25"/>
    </x:row>
    <x:row r="34">
      <x:c r="A34" s="25"/>
      <x:c r="B34" s="25"/>
      <x:c r="C34" s="25"/>
      <x:c r="D34" s="25"/>
      <x:c r="E34" s="25"/>
      <x:c r="F34" s="25"/>
      <x:c r="G34" s="44" t="str">
        <x:f>IF(A34="","",E34*F34)</x:f>
      </x:c>
      <x:c r="H34" s="25"/>
      <x:c r="I34" s="25"/>
      <x:c r="J34" s="25"/>
    </x:row>
    <x:row r="35">
      <x:c r="A35" s="25"/>
      <x:c r="B35" s="25"/>
      <x:c r="C35" s="25"/>
      <x:c r="D35" s="25"/>
      <x:c r="E35" s="25"/>
      <x:c r="F35" s="25"/>
      <x:c r="G35" s="44" t="str">
        <x:f>IF(A35="","",E35*F35)</x:f>
      </x:c>
      <x:c r="H35" s="25"/>
      <x:c r="I35" s="25"/>
      <x:c r="J35" s="25"/>
    </x:row>
    <x:row r="36">
      <x:c r="A36" s="25"/>
      <x:c r="B36" s="25"/>
      <x:c r="C36" s="25"/>
      <x:c r="D36" s="25"/>
      <x:c r="E36" s="25"/>
      <x:c r="F36" s="25"/>
      <x:c r="G36" s="44" t="str">
        <x:f>IF(A36="","",E36*F36)</x:f>
      </x:c>
      <x:c r="H36" s="25"/>
      <x:c r="I36" s="25"/>
      <x:c r="J36" s="25"/>
    </x:row>
    <x:row r="37">
      <x:c r="A37" s="25"/>
      <x:c r="B37" s="25"/>
      <x:c r="C37" s="25"/>
      <x:c r="D37" s="25"/>
      <x:c r="E37" s="25"/>
      <x:c r="F37" s="25"/>
      <x:c r="G37" s="44" t="str">
        <x:f>IF(A37="","",E37*F37)</x:f>
      </x:c>
      <x:c r="H37" s="25"/>
      <x:c r="I37" s="25"/>
      <x:c r="J37" s="25"/>
    </x:row>
    <x:row r="38">
      <x:c r="A38" s="25"/>
      <x:c r="B38" s="25"/>
      <x:c r="C38" s="25"/>
      <x:c r="D38" s="25"/>
      <x:c r="E38" s="25"/>
      <x:c r="F38" s="25"/>
      <x:c r="G38" s="44" t="str">
        <x:f>IF(A38="","",E38*F38)</x:f>
      </x:c>
      <x:c r="H38" s="25"/>
      <x:c r="I38" s="25"/>
      <x:c r="J38" s="25"/>
    </x:row>
    <x:row r="39">
      <x:c r="A39" s="25"/>
      <x:c r="B39" s="25"/>
      <x:c r="C39" s="25"/>
      <x:c r="D39" s="25"/>
      <x:c r="E39" s="25"/>
      <x:c r="F39" s="25"/>
      <x:c r="G39" s="44" t="str">
        <x:f>IF(A39="","",E39*F39)</x:f>
      </x:c>
      <x:c r="H39" s="25"/>
      <x:c r="I39" s="25"/>
      <x:c r="J39" s="25"/>
    </x:row>
    <x:row r="40">
      <x:c r="A40" s="25"/>
      <x:c r="B40" s="25"/>
      <x:c r="C40" s="25"/>
      <x:c r="D40" s="25"/>
      <x:c r="E40" s="25"/>
      <x:c r="F40" s="25"/>
      <x:c r="G40" s="44" t="str">
        <x:f>IF(A40="","",E40*F40)</x:f>
      </x:c>
      <x:c r="H40" s="25"/>
      <x:c r="I40" s="25"/>
      <x:c r="J40" s="25"/>
    </x:row>
    <x:row r="41">
      <x:c r="A41" s="25"/>
      <x:c r="B41" s="25"/>
      <x:c r="C41" s="25"/>
      <x:c r="D41" s="25"/>
      <x:c r="E41" s="25"/>
      <x:c r="F41" s="25"/>
      <x:c r="G41" s="44" t="str">
        <x:f>IF(A41="","",E41*F41)</x:f>
      </x:c>
      <x:c r="H41" s="25"/>
      <x:c r="I41" s="25"/>
      <x:c r="J41" s="25"/>
    </x:row>
    <x:row r="42">
      <x:c r="A42" s="25"/>
      <x:c r="B42" s="25"/>
      <x:c r="C42" s="25"/>
      <x:c r="D42" s="25"/>
      <x:c r="E42" s="25"/>
      <x:c r="F42" s="25"/>
      <x:c r="G42" s="44" t="str">
        <x:f>IF(A42="","",E42*F42)</x:f>
      </x:c>
      <x:c r="H42" s="25"/>
      <x:c r="I42" s="25"/>
      <x:c r="J42" s="25"/>
    </x:row>
    <x:row r="43">
      <x:c r="A43" s="25"/>
      <x:c r="B43" s="25"/>
      <x:c r="C43" s="25"/>
      <x:c r="D43" s="25"/>
      <x:c r="E43" s="25"/>
      <x:c r="F43" s="25"/>
      <x:c r="G43" s="44" t="str">
        <x:f>IF(A43="","",E43*F43)</x:f>
      </x:c>
      <x:c r="H43" s="25"/>
      <x:c r="I43" s="25"/>
      <x:c r="J43" s="25"/>
    </x:row>
    <x:row r="44">
      <x:c r="A44" s="25"/>
      <x:c r="B44" s="25"/>
      <x:c r="C44" s="25"/>
      <x:c r="D44" s="25"/>
      <x:c r="E44" s="25"/>
      <x:c r="F44" s="25"/>
      <x:c r="G44" s="44" t="str">
        <x:f>IF(A44="","",E44*F44)</x:f>
      </x:c>
      <x:c r="H44" s="25"/>
      <x:c r="I44" s="25"/>
      <x:c r="J44" s="25"/>
    </x:row>
    <x:row r="45">
      <x:c r="A45" s="25"/>
      <x:c r="B45" s="25"/>
      <x:c r="C45" s="25"/>
      <x:c r="D45" s="25"/>
      <x:c r="E45" s="25"/>
      <x:c r="F45" s="25"/>
      <x:c r="G45" s="44" t="str">
        <x:f>IF(A45="","",E45*F45)</x:f>
      </x:c>
      <x:c r="H45" s="25"/>
      <x:c r="I45" s="25"/>
      <x:c r="J45" s="25"/>
    </x:row>
    <x:row r="46">
      <x:c r="A46" s="25"/>
      <x:c r="B46" s="25"/>
      <x:c r="C46" s="25"/>
      <x:c r="D46" s="25"/>
      <x:c r="E46" s="25"/>
      <x:c r="F46" s="25"/>
      <x:c r="G46" s="44" t="str">
        <x:f>IF(A46="","",E46*F46)</x:f>
      </x:c>
      <x:c r="H46" s="25"/>
      <x:c r="I46" s="25"/>
      <x:c r="J46" s="25"/>
    </x:row>
    <x:row r="47">
      <x:c r="A47" s="25"/>
      <x:c r="B47" s="25"/>
      <x:c r="C47" s="25"/>
      <x:c r="D47" s="25"/>
      <x:c r="E47" s="25"/>
      <x:c r="F47" s="25"/>
      <x:c r="G47" s="44" t="str">
        <x:f>IF(A47="","",E47*F47)</x:f>
      </x:c>
      <x:c r="H47" s="25"/>
      <x:c r="I47" s="25"/>
      <x:c r="J47" s="25"/>
    </x:row>
    <x:row r="48">
      <x:c r="A48" s="25"/>
      <x:c r="B48" s="25"/>
      <x:c r="C48" s="25"/>
      <x:c r="D48" s="25"/>
      <x:c r="E48" s="25"/>
      <x:c r="F48" s="25"/>
      <x:c r="G48" s="44" t="str">
        <x:f>IF(A48="","",E48*F48)</x:f>
      </x:c>
      <x:c r="H48" s="25"/>
      <x:c r="I48" s="25"/>
      <x:c r="J48" s="25"/>
    </x:row>
    <x:row r="49">
      <x:c r="A49" s="25"/>
      <x:c r="B49" s="25"/>
      <x:c r="C49" s="25"/>
      <x:c r="D49" s="25"/>
      <x:c r="E49" s="25"/>
      <x:c r="F49" s="25"/>
      <x:c r="G49" s="44" t="str">
        <x:f>IF(A49="","",E49*F49)</x:f>
      </x:c>
      <x:c r="H49" s="25"/>
      <x:c r="I49" s="25"/>
      <x:c r="J49" s="25"/>
    </x:row>
    <x:row r="50">
      <x:c r="A50" s="25"/>
      <x:c r="B50" s="25"/>
      <x:c r="C50" s="25"/>
      <x:c r="D50" s="25"/>
      <x:c r="E50" s="25"/>
      <x:c r="F50" s="25"/>
      <x:c r="G50" s="44" t="str">
        <x:f>IF(A50="","",E50*F50)</x:f>
      </x:c>
      <x:c r="H50" s="25"/>
      <x:c r="I50" s="25"/>
      <x:c r="J50" s="25"/>
    </x:row>
    <x:row r="51">
      <x:c r="A51" s="25"/>
      <x:c r="B51" s="25"/>
      <x:c r="C51" s="25"/>
      <x:c r="D51" s="25"/>
      <x:c r="E51" s="25"/>
      <x:c r="F51" s="25"/>
      <x:c r="G51" s="44" t="str">
        <x:f>IF(A51="","",E51*F51)</x:f>
      </x:c>
      <x:c r="H51" s="25"/>
      <x:c r="I51" s="25"/>
      <x:c r="J51" s="25"/>
    </x:row>
    <x:row r="52">
      <x:c r="A52" s="25"/>
      <x:c r="B52" s="25"/>
      <x:c r="C52" s="25"/>
      <x:c r="D52" s="25"/>
      <x:c r="E52" s="25"/>
      <x:c r="F52" s="25"/>
      <x:c r="G52" s="44" t="str">
        <x:f>IF(A52="","",E52*F52)</x:f>
      </x:c>
      <x:c r="H52" s="25"/>
      <x:c r="I52" s="25"/>
      <x:c r="J52" s="25"/>
    </x:row>
    <x:row r="53">
      <x:c r="A53" s="25"/>
      <x:c r="B53" s="25"/>
      <x:c r="C53" s="25"/>
      <x:c r="D53" s="25"/>
      <x:c r="E53" s="25"/>
      <x:c r="F53" s="25"/>
      <x:c r="G53" s="44" t="str">
        <x:f>IF(A53="","",E53*F53)</x:f>
      </x:c>
      <x:c r="H53" s="25"/>
      <x:c r="I53" s="25"/>
      <x:c r="J53" s="25"/>
    </x:row>
    <x:row r="54">
      <x:c r="A54" s="25"/>
      <x:c r="B54" s="25"/>
      <x:c r="C54" s="25"/>
      <x:c r="D54" s="25"/>
      <x:c r="E54" s="25"/>
      <x:c r="F54" s="25"/>
      <x:c r="G54" s="44" t="str">
        <x:f>IF(A54="","",E54*F54)</x:f>
      </x:c>
      <x:c r="H54" s="25"/>
      <x:c r="I54" s="25"/>
      <x:c r="J54" s="25"/>
    </x:row>
    <x:row r="55">
      <x:c r="A55" s="25"/>
      <x:c r="B55" s="25"/>
      <x:c r="C55" s="25"/>
      <x:c r="D55" s="25"/>
      <x:c r="E55" s="25"/>
      <x:c r="F55" s="25"/>
      <x:c r="G55" s="44" t="str">
        <x:f>IF(A55="","",E55*F55)</x:f>
      </x:c>
      <x:c r="H55" s="25"/>
      <x:c r="I55" s="25"/>
      <x:c r="J55" s="25"/>
    </x:row>
    <x:row r="56">
      <x:c r="A56" s="25"/>
      <x:c r="B56" s="25"/>
      <x:c r="C56" s="25"/>
      <x:c r="D56" s="25"/>
      <x:c r="E56" s="25"/>
      <x:c r="F56" s="25"/>
      <x:c r="G56" s="44" t="str">
        <x:f>IF(A56="","",E56*F56)</x:f>
      </x:c>
      <x:c r="H56" s="25"/>
      <x:c r="I56" s="25"/>
      <x:c r="J56" s="25"/>
    </x:row>
    <x:row r="57">
      <x:c r="A57" s="25"/>
      <x:c r="B57" s="25"/>
      <x:c r="C57" s="25"/>
      <x:c r="D57" s="25"/>
      <x:c r="E57" s="25"/>
      <x:c r="F57" s="25"/>
      <x:c r="G57" s="44" t="str">
        <x:f>IF(A57="","",E57*F57)</x:f>
      </x:c>
      <x:c r="H57" s="25"/>
      <x:c r="I57" s="25"/>
      <x:c r="J57" s="25"/>
    </x:row>
    <x:row r="58">
      <x:c r="A58" s="25"/>
      <x:c r="B58" s="25"/>
      <x:c r="C58" s="25"/>
      <x:c r="D58" s="25"/>
      <x:c r="E58" s="25"/>
      <x:c r="F58" s="25"/>
      <x:c r="G58" s="44" t="str">
        <x:f>IF(A58="","",E58*F58)</x:f>
      </x:c>
      <x:c r="H58" s="25"/>
      <x:c r="I58" s="25"/>
      <x:c r="J58" s="25"/>
    </x:row>
    <x:row r="59">
      <x:c r="A59" s="25"/>
      <x:c r="B59" s="25"/>
      <x:c r="C59" s="25"/>
      <x:c r="D59" s="25"/>
      <x:c r="E59" s="25"/>
      <x:c r="F59" s="25"/>
      <x:c r="G59" s="44" t="str">
        <x:f>IF(A59="","",E59*F59)</x:f>
      </x:c>
      <x:c r="H59" s="25"/>
      <x:c r="I59" s="25"/>
      <x:c r="J59" s="25"/>
    </x:row>
    <x:row r="60">
      <x:c r="A60" s="25"/>
      <x:c r="B60" s="25"/>
      <x:c r="C60" s="25"/>
      <x:c r="D60" s="25"/>
      <x:c r="E60" s="25"/>
      <x:c r="F60" s="25"/>
      <x:c r="G60" s="44" t="str">
        <x:f>IF(A60="","",E60*F60)</x:f>
      </x:c>
      <x:c r="H60" s="25"/>
      <x:c r="I60" s="25"/>
      <x:c r="J60" s="25"/>
    </x:row>
    <x:row r="61">
      <x:c r="A61" s="25"/>
      <x:c r="B61" s="25"/>
      <x:c r="C61" s="25"/>
      <x:c r="D61" s="25"/>
      <x:c r="E61" s="25"/>
      <x:c r="F61" s="25"/>
      <x:c r="G61" s="44" t="str">
        <x:f>IF(A61="","",E61*F61)</x:f>
      </x:c>
      <x:c r="H61" s="25"/>
      <x:c r="I61" s="25"/>
      <x:c r="J61" s="25"/>
    </x:row>
    <x:row r="62">
      <x:c r="A62" s="25"/>
      <x:c r="B62" s="25"/>
      <x:c r="C62" s="25"/>
      <x:c r="D62" s="25"/>
      <x:c r="E62" s="25"/>
      <x:c r="F62" s="25"/>
      <x:c r="G62" s="44" t="str">
        <x:f>IF(A62="","",E62*F62)</x:f>
      </x:c>
      <x:c r="H62" s="25"/>
      <x:c r="I62" s="25"/>
      <x:c r="J62" s="25"/>
    </x:row>
    <x:row r="63">
      <x:c r="A63" s="25"/>
      <x:c r="B63" s="25"/>
      <x:c r="C63" s="25"/>
      <x:c r="D63" s="25"/>
      <x:c r="E63" s="25"/>
      <x:c r="F63" s="25"/>
      <x:c r="G63" s="44" t="str">
        <x:f>IF(A63="","",E63*F63)</x:f>
      </x:c>
      <x:c r="H63" s="25"/>
      <x:c r="I63" s="25"/>
      <x:c r="J63" s="25"/>
    </x:row>
    <x:row r="64">
      <x:c r="A64" s="25"/>
      <x:c r="B64" s="25"/>
      <x:c r="C64" s="25"/>
      <x:c r="D64" s="25"/>
      <x:c r="E64" s="25"/>
      <x:c r="F64" s="25"/>
      <x:c r="G64" s="44" t="str">
        <x:f>IF(A64="","",E64*F64)</x:f>
      </x:c>
      <x:c r="H64" s="25"/>
      <x:c r="I64" s="25"/>
      <x:c r="J64" s="25"/>
    </x:row>
    <x:row r="65">
      <x:c r="A65" s="25"/>
      <x:c r="B65" s="25"/>
      <x:c r="C65" s="25"/>
      <x:c r="D65" s="25"/>
      <x:c r="E65" s="25"/>
      <x:c r="F65" s="25"/>
      <x:c r="G65" s="44" t="str">
        <x:f>IF(A65="","",E65*F65)</x:f>
      </x:c>
      <x:c r="H65" s="25"/>
      <x:c r="I65" s="25"/>
      <x:c r="J65" s="25"/>
    </x:row>
    <x:row r="66">
      <x:c r="A66" s="25"/>
      <x:c r="B66" s="25"/>
      <x:c r="C66" s="25"/>
      <x:c r="D66" s="25"/>
      <x:c r="E66" s="25"/>
      <x:c r="F66" s="25"/>
      <x:c r="G66" s="44" t="str">
        <x:f>IF(A66="","",E66*F66)</x:f>
      </x:c>
      <x:c r="H66" s="25"/>
      <x:c r="I66" s="25"/>
      <x:c r="J66" s="25"/>
    </x:row>
    <x:row r="67">
      <x:c r="A67" s="25"/>
      <x:c r="B67" s="25"/>
      <x:c r="C67" s="25"/>
      <x:c r="D67" s="25"/>
      <x:c r="E67" s="25"/>
      <x:c r="F67" s="25"/>
      <x:c r="G67" s="44" t="str">
        <x:f>IF(A67="","",E67*F67)</x:f>
      </x:c>
      <x:c r="H67" s="25"/>
      <x:c r="I67" s="25"/>
      <x:c r="J67" s="25"/>
    </x:row>
    <x:row r="68">
      <x:c r="A68" s="25"/>
      <x:c r="B68" s="25"/>
      <x:c r="C68" s="25"/>
      <x:c r="D68" s="25"/>
      <x:c r="E68" s="25"/>
      <x:c r="F68" s="25"/>
      <x:c r="G68" s="44" t="str">
        <x:f>IF(A68="","",E68*F68)</x:f>
      </x:c>
      <x:c r="H68" s="25"/>
      <x:c r="I68" s="25"/>
      <x:c r="J68" s="25"/>
    </x:row>
    <x:row r="69">
      <x:c r="A69" s="25"/>
      <x:c r="B69" s="25"/>
      <x:c r="C69" s="25"/>
      <x:c r="D69" s="25"/>
      <x:c r="E69" s="25"/>
      <x:c r="F69" s="25"/>
      <x:c r="G69" s="44" t="str">
        <x:f>IF(A69="","",E69*F69)</x:f>
      </x:c>
      <x:c r="H69" s="25"/>
      <x:c r="I69" s="25"/>
      <x:c r="J69" s="25"/>
    </x:row>
    <x:row r="70">
      <x:c r="A70" s="25"/>
      <x:c r="B70" s="25"/>
      <x:c r="C70" s="25"/>
      <x:c r="D70" s="25"/>
      <x:c r="E70" s="25"/>
      <x:c r="F70" s="25"/>
      <x:c r="G70" s="44" t="str">
        <x:f>IF(A70="","",E70*F70)</x:f>
      </x:c>
      <x:c r="H70" s="25"/>
      <x:c r="I70" s="25"/>
      <x:c r="J70" s="25"/>
    </x:row>
    <x:row r="71">
      <x:c r="A71" s="25"/>
      <x:c r="B71" s="25"/>
      <x:c r="C71" s="25"/>
      <x:c r="D71" s="25"/>
      <x:c r="E71" s="25"/>
      <x:c r="F71" s="25"/>
      <x:c r="G71" s="44" t="str">
        <x:f>IF(A71="","",E71*F71)</x:f>
      </x:c>
      <x:c r="H71" s="25"/>
      <x:c r="I71" s="25"/>
      <x:c r="J71" s="25"/>
    </x:row>
    <x:row r="72">
      <x:c r="A72" s="25"/>
      <x:c r="B72" s="25"/>
      <x:c r="C72" s="25"/>
      <x:c r="D72" s="25"/>
      <x:c r="E72" s="25"/>
      <x:c r="F72" s="25"/>
      <x:c r="G72" s="44" t="str">
        <x:f>IF(A72="","",E72*F72)</x:f>
      </x:c>
      <x:c r="H72" s="25"/>
      <x:c r="I72" s="25"/>
      <x:c r="J72" s="25"/>
    </x:row>
    <x:row r="73">
      <x:c r="A73" s="25"/>
      <x:c r="B73" s="25"/>
      <x:c r="C73" s="25"/>
      <x:c r="D73" s="25"/>
      <x:c r="E73" s="25"/>
      <x:c r="F73" s="25"/>
      <x:c r="G73" s="44" t="str">
        <x:f>IF(A73="","",E73*F73)</x:f>
      </x:c>
      <x:c r="H73" s="25"/>
      <x:c r="I73" s="25"/>
      <x:c r="J73" s="25"/>
    </x:row>
    <x:row r="74">
      <x:c r="A74" s="25"/>
      <x:c r="B74" s="25"/>
      <x:c r="C74" s="25"/>
      <x:c r="D74" s="25"/>
      <x:c r="E74" s="25"/>
      <x:c r="F74" s="25"/>
      <x:c r="G74" s="44" t="str">
        <x:f>IF(A74="","",E74*F74)</x:f>
      </x:c>
      <x:c r="H74" s="25"/>
      <x:c r="I74" s="25"/>
      <x:c r="J74" s="25"/>
    </x:row>
    <x:row r="75">
      <x:c r="A75" s="25"/>
      <x:c r="B75" s="25"/>
      <x:c r="C75" s="25"/>
      <x:c r="D75" s="25"/>
      <x:c r="E75" s="25"/>
      <x:c r="F75" s="25"/>
      <x:c r="G75" s="44" t="str">
        <x:f>IF(A75="","",E75*F75)</x:f>
      </x:c>
      <x:c r="H75" s="25"/>
      <x:c r="I75" s="25"/>
      <x:c r="J75" s="25"/>
    </x:row>
    <x:row r="76">
      <x:c r="A76" s="25"/>
      <x:c r="B76" s="25"/>
      <x:c r="C76" s="25"/>
      <x:c r="D76" s="25"/>
      <x:c r="E76" s="25"/>
      <x:c r="F76" s="25"/>
      <x:c r="G76" s="44" t="str">
        <x:f>IF(A76="","",E76*F76)</x:f>
      </x:c>
      <x:c r="H76" s="25"/>
      <x:c r="I76" s="25"/>
      <x:c r="J76" s="25"/>
    </x:row>
    <x:row r="77">
      <x:c r="A77" s="25"/>
      <x:c r="B77" s="25"/>
      <x:c r="C77" s="25"/>
      <x:c r="D77" s="25"/>
      <x:c r="E77" s="25"/>
      <x:c r="F77" s="25"/>
      <x:c r="G77" s="44" t="str">
        <x:f>IF(A77="","",E77*F77)</x:f>
      </x:c>
      <x:c r="H77" s="25"/>
      <x:c r="I77" s="25"/>
      <x:c r="J77" s="25"/>
    </x:row>
    <x:row r="78">
      <x:c r="A78" s="25"/>
      <x:c r="B78" s="25"/>
      <x:c r="C78" s="25"/>
      <x:c r="D78" s="25"/>
      <x:c r="E78" s="25"/>
      <x:c r="F78" s="25"/>
      <x:c r="G78" s="44" t="str">
        <x:f>IF(A78="","",E78*F78)</x:f>
      </x:c>
      <x:c r="H78" s="25"/>
      <x:c r="I78" s="25"/>
      <x:c r="J78" s="25"/>
    </x:row>
    <x:row r="79">
      <x:c r="A79" s="25"/>
      <x:c r="B79" s="25"/>
      <x:c r="C79" s="25"/>
      <x:c r="D79" s="25"/>
      <x:c r="E79" s="25"/>
      <x:c r="F79" s="25"/>
      <x:c r="G79" s="44" t="str">
        <x:f>IF(A79="","",E79*F79)</x:f>
      </x:c>
      <x:c r="H79" s="25"/>
      <x:c r="I79" s="25"/>
      <x:c r="J79" s="25"/>
    </x:row>
    <x:row r="80">
      <x:c r="A80" s="25"/>
      <x:c r="B80" s="25"/>
      <x:c r="C80" s="25"/>
      <x:c r="D80" s="25"/>
      <x:c r="E80" s="25"/>
      <x:c r="F80" s="25"/>
      <x:c r="G80" s="44" t="str">
        <x:f>IF(A80="","",E80*F80)</x:f>
      </x:c>
      <x:c r="H80" s="25"/>
      <x:c r="I80" s="25"/>
      <x:c r="J80" s="25"/>
    </x:row>
    <x:row r="81">
      <x:c r="A81" s="25"/>
      <x:c r="B81" s="25"/>
      <x:c r="C81" s="25"/>
      <x:c r="D81" s="25"/>
      <x:c r="E81" s="25"/>
      <x:c r="F81" s="25"/>
      <x:c r="G81" s="44" t="str">
        <x:f>IF(A81="","",E81*F81)</x:f>
      </x:c>
      <x:c r="H81" s="25"/>
      <x:c r="I81" s="25"/>
      <x:c r="J81" s="25"/>
    </x:row>
    <x:row r="82">
      <x:c r="A82" s="25"/>
      <x:c r="B82" s="25"/>
      <x:c r="C82" s="25"/>
      <x:c r="D82" s="25"/>
      <x:c r="E82" s="25"/>
      <x:c r="F82" s="25"/>
      <x:c r="G82" s="44" t="str">
        <x:f>IF(A82="","",E82*F82)</x:f>
      </x:c>
      <x:c r="H82" s="25"/>
      <x:c r="I82" s="25"/>
      <x:c r="J82" s="25"/>
    </x:row>
    <x:row r="83">
      <x:c r="A83" s="25"/>
      <x:c r="B83" s="25"/>
      <x:c r="C83" s="25"/>
      <x:c r="D83" s="25"/>
      <x:c r="E83" s="25"/>
      <x:c r="F83" s="25"/>
      <x:c r="G83" s="44" t="str">
        <x:f>IF(A83="","",E83*F83)</x:f>
      </x:c>
      <x:c r="H83" s="25"/>
      <x:c r="I83" s="25"/>
      <x:c r="J83" s="25"/>
    </x:row>
    <x:row r="84">
      <x:c r="A84" s="25"/>
      <x:c r="B84" s="25"/>
      <x:c r="C84" s="25"/>
      <x:c r="D84" s="25"/>
      <x:c r="E84" s="25"/>
      <x:c r="F84" s="25"/>
      <x:c r="G84" s="44" t="str">
        <x:f>IF(A84="","",E84*F84)</x:f>
      </x:c>
      <x:c r="H84" s="25"/>
      <x:c r="I84" s="25"/>
      <x:c r="J84" s="25"/>
    </x:row>
    <x:row r="85">
      <x:c r="A85" s="25"/>
      <x:c r="B85" s="25"/>
      <x:c r="C85" s="25"/>
      <x:c r="D85" s="25"/>
      <x:c r="E85" s="25"/>
      <x:c r="F85" s="25"/>
      <x:c r="G85" s="44" t="str">
        <x:f>IF(A85="","",E85*F85)</x:f>
      </x:c>
      <x:c r="H85" s="25"/>
      <x:c r="I85" s="25"/>
      <x:c r="J85" s="25"/>
    </x:row>
    <x:row r="86">
      <x:c r="A86" s="25"/>
      <x:c r="B86" s="25"/>
      <x:c r="C86" s="25"/>
      <x:c r="D86" s="25"/>
      <x:c r="E86" s="25"/>
      <x:c r="F86" s="25"/>
      <x:c r="G86" s="44" t="str">
        <x:f>IF(A86="","",E86*F86)</x:f>
      </x:c>
      <x:c r="H86" s="25"/>
      <x:c r="I86" s="25"/>
      <x:c r="J86" s="25"/>
    </x:row>
    <x:row r="87">
      <x:c r="A87" s="25"/>
      <x:c r="B87" s="25"/>
      <x:c r="C87" s="25"/>
      <x:c r="D87" s="25"/>
      <x:c r="E87" s="25"/>
      <x:c r="F87" s="25"/>
      <x:c r="G87" s="44" t="str">
        <x:f>IF(A87="","",E87*F87)</x:f>
      </x:c>
      <x:c r="H87" s="25"/>
      <x:c r="I87" s="25"/>
      <x:c r="J87" s="25"/>
    </x:row>
    <x:row r="88">
      <x:c r="A88" s="25"/>
      <x:c r="B88" s="25"/>
      <x:c r="C88" s="25"/>
      <x:c r="D88" s="25"/>
      <x:c r="E88" s="25"/>
      <x:c r="F88" s="25"/>
      <x:c r="G88" s="44" t="str">
        <x:f>IF(A88="","",E88*F88)</x:f>
      </x:c>
      <x:c r="H88" s="25"/>
      <x:c r="I88" s="25"/>
      <x:c r="J88" s="25"/>
    </x:row>
    <x:row r="89">
      <x:c r="A89" s="25"/>
      <x:c r="B89" s="25"/>
      <x:c r="C89" s="25"/>
      <x:c r="D89" s="25"/>
      <x:c r="E89" s="25"/>
      <x:c r="F89" s="25"/>
      <x:c r="G89" s="44" t="str">
        <x:f>IF(A89="","",E89*F89)</x:f>
      </x:c>
      <x:c r="H89" s="25"/>
      <x:c r="I89" s="25"/>
      <x:c r="J89" s="25"/>
    </x:row>
    <x:row r="90">
      <x:c r="A90" s="25"/>
      <x:c r="B90" s="25"/>
      <x:c r="C90" s="25"/>
      <x:c r="D90" s="25"/>
      <x:c r="E90" s="25"/>
      <x:c r="F90" s="25"/>
      <x:c r="G90" s="44" t="str">
        <x:f>IF(A90="","",E90*F90)</x:f>
      </x:c>
      <x:c r="H90" s="25"/>
      <x:c r="I90" s="25"/>
      <x:c r="J90" s="25"/>
    </x:row>
    <x:row r="91">
      <x:c r="A91" s="25"/>
      <x:c r="B91" s="25"/>
      <x:c r="C91" s="25"/>
      <x:c r="D91" s="25"/>
      <x:c r="E91" s="25"/>
      <x:c r="F91" s="25"/>
      <x:c r="G91" s="44" t="str">
        <x:f>IF(A91="","",E91*F91)</x:f>
      </x:c>
      <x:c r="H91" s="25"/>
      <x:c r="I91" s="25"/>
      <x:c r="J91" s="25"/>
    </x:row>
    <x:row r="92">
      <x:c r="A92" s="25"/>
      <x:c r="B92" s="25"/>
      <x:c r="C92" s="25"/>
      <x:c r="D92" s="25"/>
      <x:c r="E92" s="25"/>
      <x:c r="F92" s="25"/>
      <x:c r="G92" s="44" t="str">
        <x:f>IF(A92="","",E92*F92)</x:f>
      </x:c>
      <x:c r="H92" s="25"/>
      <x:c r="I92" s="25"/>
      <x:c r="J92" s="25"/>
    </x:row>
    <x:row r="93">
      <x:c r="A93" s="25"/>
      <x:c r="B93" s="25"/>
      <x:c r="C93" s="25"/>
      <x:c r="D93" s="25"/>
      <x:c r="E93" s="25"/>
      <x:c r="F93" s="25"/>
      <x:c r="G93" s="44" t="str">
        <x:f>IF(A93="","",E93*F93)</x:f>
      </x:c>
      <x:c r="H93" s="25"/>
      <x:c r="I93" s="25"/>
      <x:c r="J93" s="25"/>
    </x:row>
    <x:row r="94">
      <x:c r="A94" s="25"/>
      <x:c r="B94" s="25"/>
      <x:c r="C94" s="25"/>
      <x:c r="D94" s="25"/>
      <x:c r="E94" s="25"/>
      <x:c r="F94" s="25"/>
      <x:c r="G94" s="44" t="str">
        <x:f>IF(A94="","",E94*F94)</x:f>
      </x:c>
      <x:c r="H94" s="25"/>
      <x:c r="I94" s="25"/>
      <x:c r="J94" s="25"/>
    </x:row>
    <x:row r="95">
      <x:c r="A95" s="25"/>
      <x:c r="B95" s="25"/>
      <x:c r="C95" s="25"/>
      <x:c r="D95" s="25"/>
      <x:c r="E95" s="25"/>
      <x:c r="F95" s="25"/>
      <x:c r="G95" s="44" t="str">
        <x:f>IF(A95="","",E95*F95)</x:f>
      </x:c>
      <x:c r="H95" s="25"/>
      <x:c r="I95" s="25"/>
      <x:c r="J95" s="25"/>
    </x:row>
    <x:row r="96">
      <x:c r="A96" s="25"/>
      <x:c r="B96" s="25"/>
      <x:c r="C96" s="25"/>
      <x:c r="D96" s="25"/>
      <x:c r="E96" s="25"/>
      <x:c r="F96" s="25"/>
      <x:c r="G96" s="44" t="str">
        <x:f>IF(A96="","",E96*F96)</x:f>
      </x:c>
      <x:c r="H96" s="25"/>
      <x:c r="I96" s="25"/>
      <x:c r="J96" s="25"/>
    </x:row>
    <x:row r="97">
      <x:c r="A97" s="25"/>
      <x:c r="B97" s="25"/>
      <x:c r="C97" s="25"/>
      <x:c r="D97" s="25"/>
      <x:c r="E97" s="25"/>
      <x:c r="F97" s="25"/>
      <x:c r="G97" s="44" t="str">
        <x:f>IF(A97="","",E97*F97)</x:f>
      </x:c>
      <x:c r="H97" s="25"/>
      <x:c r="I97" s="25"/>
      <x:c r="J97" s="25"/>
    </x:row>
    <x:row r="98">
      <x:c r="A98" s="25"/>
      <x:c r="B98" s="25"/>
      <x:c r="C98" s="25"/>
      <x:c r="D98" s="25"/>
      <x:c r="E98" s="25"/>
      <x:c r="F98" s="25"/>
      <x:c r="G98" s="44" t="str">
        <x:f>IF(A98="","",E98*F98)</x:f>
      </x:c>
      <x:c r="H98" s="25"/>
      <x:c r="I98" s="25"/>
      <x:c r="J98" s="25"/>
    </x:row>
    <x:row r="99">
      <x:c r="A99" s="25"/>
      <x:c r="B99" s="25"/>
      <x:c r="C99" s="25"/>
      <x:c r="D99" s="25"/>
      <x:c r="E99" s="25"/>
      <x:c r="F99" s="25"/>
      <x:c r="G99" s="44" t="str">
        <x:f>IF(A99="","",E99*F99)</x:f>
      </x:c>
      <x:c r="H99" s="25"/>
      <x:c r="I99" s="25"/>
      <x:c r="J99" s="25"/>
    </x:row>
    <x:row r="100">
      <x:c r="A100" s="25"/>
      <x:c r="B100" s="25"/>
      <x:c r="C100" s="25"/>
      <x:c r="D100" s="25"/>
      <x:c r="E100" s="25"/>
      <x:c r="F100" s="25"/>
      <x:c r="G100" s="44" t="str">
        <x:f>IF(A100="","",E100*F100)</x:f>
      </x:c>
      <x:c r="H100" s="25"/>
      <x:c r="I100" s="25"/>
      <x:c r="J100" s="25"/>
    </x:row>
  </x:sheetData>
  <x:mergeCells>
    <x:mergeCell ref="A1:J1"/>
  </x:mergeCells>
  <x:conditionalFormatting sqref="G4:G100">
    <x:cfRule type="colorScale" priority="1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dataValidations count="3">
    <x:dataValidation type="whole" operator="between" sqref="E4:F100">
      <x:formula1>1</x:formula1>
      <x:formula2>5</x:formula2>
    </x:dataValidation>
    <x:dataValidation type="list" sqref="D4:D100">
      <x:formula1>"Ценность,Данные,Стоимость,Срок,Технология,Монетизация,Удержание,Рост"</x:formula1>
    </x:dataValidation>
    <x:dataValidation type="list" sqref="I4:I100">
      <x:formula1>"Первый релиз,Следующий релиз,Бэклог"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2565e482ce48a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8" hidden="0" customWidth="1"/>
    <x:col min="3" max="3" width="26" hidden="0" customWidth="1"/>
    <x:col min="4" max="4" width="24" hidden="0" customWidth="1"/>
    <x:col min="5" max="5" width="28" hidden="0" customWidth="1"/>
    <x:col min="6" max="6" width="16" hidden="0" customWidth="1"/>
  </x:cols>
  <x:sheetData>
    <x:row r="1" ht="32" customHeight="1">
      <x:c r="A1" s="6" t="str">
        <x:v>Дашборд готовности релизного плана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6" customHeight="1">
      <x:c r="A3" s="34" t="str">
        <x:v>Показатель</x:v>
      </x:c>
      <x:c r="B3" s="34" t="str">
        <x:v>Значение</x:v>
      </x:c>
      <x:c r="C3" s="34" t="str">
        <x:v>Интерпретация</x:v>
      </x:c>
      <x:c r="D3" s="40"/>
      <x:c r="E3" s="34" t="str">
        <x:v>Релиз</x:v>
      </x:c>
      <x:c r="F3" s="34" t="str">
        <x:v>Количество</x:v>
      </x:c>
    </x:row>
    <x:row r="4">
      <x:c r="A4" s="16" t="str">
        <x:v>Всего единиц разработки</x:v>
      </x:c>
      <x:c r="B4" s="44" t="e">
        <x:f>COUNTA(Реестр_единиц!$A$2:$A$101)</x:f>
      </x:c>
      <x:c r="C4" s="25" t="str">
        <x:v>Количество страниц, экранов, функций, интеграций и контентных блоков в реестре</x:v>
      </x:c>
      <x:c r="D4" s="40"/>
      <x:c r="E4" s="16" t="str">
        <x:v>Первый релиз</x:v>
      </x:c>
      <x:c r="F4" s="44" t="e">
        <x:f>COUNTIF(Реестр_единиц!$S$2:$S$101,E4)</x:f>
      </x:c>
    </x:row>
    <x:row r="5">
      <x:c r="A5" s="16" t="str">
        <x:v>Единиц в первом релизе</x:v>
      </x:c>
      <x:c r="B5" s="44" t="e">
        <x:f>COUNTIF(Реестр_единиц!$S$2:$S$101,"Первый релиз")</x:f>
      </x:c>
      <x:c r="C5" s="25" t="str">
        <x:v>Объем минимального рыночного выпуска</x:v>
      </x:c>
      <x:c r="D5" s="40"/>
      <x:c r="E5" s="16" t="str">
        <x:v>Следующий релиз</x:v>
      </x:c>
      <x:c r="F5" s="44" t="e">
        <x:f>COUNTIF(Реестр_единиц!$S$2:$S$101,E5)</x:f>
      </x:c>
    </x:row>
    <x:row r="6">
      <x:c r="A6" s="16" t="str">
        <x:v>Средний балл первого релиза</x:v>
      </x:c>
      <x:c r="B6" s="54" t="e">
        <x:f>IFERROR(AVERAGEIF(Реестр_единиц!$S$2:$S$101,"Первый релиз",Реестр_единиц!$Q$2:$Q$101),0)</x:f>
      </x:c>
      <x:c r="C6" s="25" t="str">
        <x:v>Насколько первый релиз сочетает ценность, скорость и экономичность</x:v>
      </x:c>
      <x:c r="D6" s="40"/>
      <x:c r="E6" s="16" t="str">
        <x:v>Не включать / проверить</x:v>
      </x:c>
      <x:c r="F6" s="44" t="e">
        <x:f>COUNTIF(Реестр_единиц!$S$2:$S$101,E6)</x:f>
      </x:c>
    </x:row>
    <x:row r="7">
      <x:c r="A7" s="16" t="str">
        <x:v>Средняя связь с ценностным предложением в первом релизе</x:v>
      </x:c>
      <x:c r="B7" s="54" t="e">
        <x:f>IFERROR(AVERAGEIF(Реестр_единиц!$S$2:$S$101,"Первый релиз",Реестр_единиц!$G$2:$G$101),0)</x:f>
      </x:c>
      <x:c r="C7" s="25" t="str">
        <x:v>Должна быть высокой, иначе первый релиз теряет смысл</x:v>
      </x:c>
      <x:c r="D7" s="40"/>
      <x:c r="E7" s="40"/>
      <x:c r="F7" s="40"/>
    </x:row>
    <x:row r="8">
      <x:c r="A8" s="16" t="str">
        <x:v>Средний риск первого релиза</x:v>
      </x:c>
      <x:c r="B8" s="54" t="e">
        <x:f>IFERROR(AVERAGEIF(Реестр_единиц!$S$2:$S$101,"Первый релиз",Реестр_единиц!$O$2:$O$101),0)</x:f>
      </x:c>
      <x:c r="C8" s="25" t="str">
        <x:v>Чем ниже, тем проще старт</x:v>
      </x:c>
      <x:c r="D8" s="40"/>
      <x:c r="E8" s="40"/>
      <x:c r="F8" s="40"/>
    </x:row>
    <x:row r="9">
      <x:c r="A9" s="16" t="str">
        <x:v>Средняя оценка контрольного листа ценности</x:v>
      </x:c>
      <x:c r="B9" s="54" t="e">
        <x:f>IFERROR(AVERAGE(Проверка_ценности!$C$4:$C$80),0)</x:f>
      </x:c>
      <x:c r="C9" s="25" t="str">
        <x:v>Показывает, насколько сохранены ценность, монетизация, удержание и рост</x:v>
      </x:c>
      <x:c r="D9" s="40"/>
      <x:c r="E9" s="40"/>
      <x:c r="F9" s="40"/>
    </x:row>
    <x:row r="10">
      <x:c r="A10" s="40"/>
      <x:c r="B10" s="40"/>
      <x:c r="C10" s="40"/>
      <x:c r="D10" s="40"/>
      <x:c r="E10" s="40"/>
      <x:c r="F10" s="40"/>
    </x:row>
    <x:row r="11">
      <x:c r="A11" s="40"/>
      <x:c r="B11" s="40"/>
      <x:c r="C11" s="40"/>
      <x:c r="D11" s="40"/>
      <x:c r="E11" s="40"/>
      <x:c r="F11" s="40"/>
    </x:row>
    <x:row r="12">
      <x:c r="A12" s="34" t="str">
        <x:v>Критерий</x:v>
      </x:c>
      <x:c r="B12" s="34" t="str">
        <x:v>Средняя оценка первого релиза</x:v>
      </x:c>
      <x:c r="C12" s="40"/>
      <x:c r="D12" s="40"/>
      <x:c r="E12" s="40"/>
      <x:c r="F12" s="40"/>
    </x:row>
    <x:row r="13">
      <x:c r="A13" s="16" t="str">
        <x:v>Ценность</x:v>
      </x:c>
      <x:c r="B13" s="54" t="e">
        <x:f>IFERROR(AVERAGEIF(Реестр_единиц!$S$2:$S$101,"Первый релиз",Реестр_единиц!$G$2:$G$101),0)</x:f>
      </x:c>
      <x:c r="C13" s="40"/>
      <x:c r="D13" s="40"/>
      <x:c r="E13" s="40"/>
      <x:c r="F13" s="40"/>
    </x:row>
    <x:row r="14">
      <x:c r="A14" s="16" t="str">
        <x:v>Доход</x:v>
      </x:c>
      <x:c r="B14" s="54" t="e">
        <x:f>IFERROR(AVERAGEIF(Реестр_единиц!$S$2:$S$101,"Первый релиз",Реестр_единиц!$H$2:$H$101),0)</x:f>
      </x:c>
      <x:c r="C14" s="40"/>
      <x:c r="D14" s="40"/>
      <x:c r="E14" s="40"/>
      <x:c r="F14" s="40"/>
    </x:row>
    <x:row r="15">
      <x:c r="A15" s="16" t="str">
        <x:v>Удержание</x:v>
      </x:c>
      <x:c r="B15" s="54" t="e">
        <x:f>IFERROR(AVERAGEIF(Реестр_единиц!$S$2:$S$101,"Первый релиз",Реестр_единиц!$I$2:$I$101),0)</x:f>
      </x:c>
      <x:c r="C15" s="40"/>
      <x:c r="D15" s="40"/>
      <x:c r="E15" s="40"/>
      <x:c r="F15" s="40"/>
    </x:row>
    <x:row r="16">
      <x:c r="A16" s="16" t="str">
        <x:v>Рост</x:v>
      </x:c>
      <x:c r="B16" s="54" t="e">
        <x:f>IFERROR(AVERAGEIF(Реестр_единиц!$S$2:$S$101,"Первый релиз",Реестр_единиц!$J$2:$J$101),0)</x:f>
      </x:c>
      <x:c r="C16" s="40"/>
      <x:c r="D16" s="40"/>
      <x:c r="E16" s="40"/>
      <x:c r="F16" s="40"/>
    </x:row>
    <x:row r="17">
      <x:c r="A17" s="16" t="str">
        <x:v>Доказательность</x:v>
      </x:c>
      <x:c r="B17" s="54" t="e">
        <x:f>IFERROR(AVERAGEIF(Реестр_единиц!$S$2:$S$101,"Первый релиз",Реестр_единиц!$K$2:$K$101),0)</x:f>
      </x:c>
      <x:c r="C17" s="40"/>
      <x:c r="D17" s="40"/>
      <x:c r="E17" s="40"/>
      <x:c r="F17" s="40"/>
    </x:row>
    <x:row r="18">
      <x:c r="A18" s="16" t="str">
        <x:v>Быстрота</x:v>
      </x:c>
      <x:c r="B18" s="54" t="e">
        <x:f>IFERROR(AVERAGEIF(Реестр_единиц!$S$2:$S$101,"Первый релиз",Реестр_единиц!$M$2:$M$101),0)</x:f>
      </x:c>
      <x:c r="C18" s="40"/>
      <x:c r="D18" s="40"/>
      <x:c r="E18" s="40"/>
      <x:c r="F18" s="40"/>
    </x:row>
    <x:row r="19">
      <x:c r="A19" s="16" t="str">
        <x:v>Дешевизна</x:v>
      </x:c>
      <x:c r="B19" s="54" t="e">
        <x:f>IFERROR(AVERAGEIF(Реестр_единиц!$S$2:$S$101,"Первый релиз",Реестр_единиц!$N$2:$N$101),0)</x:f>
      </x:c>
      <x:c r="C19" s="40"/>
      <x:c r="D19" s="40"/>
      <x:c r="E19" s="40"/>
      <x:c r="F19" s="40"/>
    </x:row>
  </x:sheetData>
  <x:mergeCells>
    <x:mergeCell ref="A1:K1"/>
  </x:mergeCells>
  <x:conditionalFormatting sqref="B13:B19">
    <x:cfRule type="dataBar" priority="1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{A1CCF684-FE46-F072-271C-E65D49F46FD2}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50d003ccf4e44d5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1CCF684-FE46-F072-271C-E65D49F46FD2}">
            <x14:dataBar gradient="1">
              <x14:cfvo type="min"/>
              <x14:cfvo type="max"/>
              <x14:fillColor rgb="5B9BD5"/>
            </x14:dataBar>
          </x14:cfRule>
          <xm:sqref>B13:B19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6" hidden="0" customWidth="1"/>
    <x:col min="4" max="4" width="28" hidden="0" customWidth="1"/>
    <x:col min="5" max="5" width="28" hidden="0" customWidth="1"/>
    <x:col min="6" max="6" width="22" hidden="0" customWidth="1"/>
    <x:col min="7" max="7" width="18" hidden="0" customWidth="1"/>
    <x:col min="8" max="8" width="25" hidden="0" customWidth="1"/>
  </x:cols>
  <x:sheetData>
    <x:row r="1" ht="32" customHeight="1">
      <x:c r="A1" s="6" t="str">
        <x:v>Справочники для выпадающих списков и шкал оценки</x:v>
      </x:c>
      <x:c r="B1" s="6"/>
      <x:c r="C1" s="6"/>
      <x:c r="D1" s="6"/>
      <x:c r="E1" s="6"/>
      <x:c r="F1" s="6"/>
      <x:c r="G1" s="6"/>
      <x:c r="H1" s="6"/>
    </x:row>
    <x:row r="3" ht="36" customHeight="1">
      <x:c r="A3" s="34" t="str">
        <x:v>Вид анализа</x:v>
      </x:c>
      <x:c r="B3" s="34" t="str">
        <x:v>Статус</x:v>
      </x:c>
      <x:c r="C3" s="34" t="str">
        <x:v>Тип единицы</x:v>
      </x:c>
      <x:c r="D3" s="34" t="str">
        <x:v>Блок Канвас</x:v>
      </x:c>
      <x:c r="E3" s="34" t="str">
        <x:v>Рекомендованный релиз</x:v>
      </x:c>
      <x:c r="F3" s="34" t="str">
        <x:v>Шкала</x:v>
      </x:c>
      <x:c r="G3" s="34" t="str">
        <x:v>Тип риска</x:v>
      </x:c>
      <x:c r="H3" s="34" t="str">
        <x:v>Тип метрики</x:v>
      </x:c>
    </x:row>
    <x:row r="4">
      <x:c r="A4" s="40" t="str">
        <x:v>Анализ проблем</x:v>
      </x:c>
      <x:c r="B4" s="40" t="str">
        <x:v>Не начато</x:v>
      </x:c>
      <x:c r="C4" s="40" t="str">
        <x:v>Страница сайта</x:v>
      </x:c>
      <x:c r="D4" s="40" t="str">
        <x:v>Потребительские сегменты</x:v>
      </x:c>
      <x:c r="E4" s="40" t="str">
        <x:v>Первый релиз</x:v>
      </x:c>
      <x:c r="F4" s="40" t="str">
        <x:v>1 — очень низко</x:v>
      </x:c>
      <x:c r="G4" s="40" t="str">
        <x:v>Ценность</x:v>
      </x:c>
      <x:c r="H4" s="40" t="str">
        <x:v>Активация</x:v>
      </x:c>
    </x:row>
    <x:row r="5">
      <x:c r="A5" s="40" t="str">
        <x:v>Анализ отзывов</x:v>
      </x:c>
      <x:c r="B5" s="40" t="str">
        <x:v>В работе</x:v>
      </x:c>
      <x:c r="C5" s="40" t="str">
        <x:v>Экран приложения</x:v>
      </x:c>
      <x:c r="D5" s="40" t="str">
        <x:v>Ценностное предложение</x:v>
      </x:c>
      <x:c r="E5" s="40" t="str">
        <x:v>Следующий релиз</x:v>
      </x:c>
      <x:c r="F5" s="40" t="str">
        <x:v>2 — низко</x:v>
      </x:c>
      <x:c r="G5" s="40" t="str">
        <x:v>Данные</x:v>
      </x:c>
      <x:c r="H5" s="40" t="str">
        <x:v>Конверсия</x:v>
      </x:c>
    </x:row>
    <x:row r="6">
      <x:c r="A6" s="40" t="str">
        <x:v>Анализ конкурентов по сайтам</x:v>
      </x:c>
      <x:c r="B6" s="40" t="str">
        <x:v>Готово</x:v>
      </x:c>
      <x:c r="C6" s="40" t="str">
        <x:v>Функция</x:v>
      </x:c>
      <x:c r="D6" s="40" t="str">
        <x:v>Каналы</x:v>
      </x:c>
      <x:c r="E6" s="40" t="str">
        <x:v>Не включать / проверить</x:v>
      </x:c>
      <x:c r="F6" s="40" t="str">
        <x:v>3 — средне</x:v>
      </x:c>
      <x:c r="G6" s="40" t="str">
        <x:v>Стоимость</x:v>
      </x:c>
      <x:c r="H6" s="40" t="str">
        <x:v>Удержание</x:v>
      </x:c>
    </x:row>
    <x:row r="7">
      <x:c r="A7" s="40" t="str">
        <x:v>Классификация конкурентов</x:v>
      </x:c>
      <x:c r="B7" s="40" t="str">
        <x:v>Требует решения</x:v>
      </x:c>
      <x:c r="C7" s="40" t="str">
        <x:v>Интеграция</x:v>
      </x:c>
      <x:c r="D7" s="40" t="str">
        <x:v>Отношения с клиентами</x:v>
      </x:c>
      <x:c r="E7" s="40" t="str"/>
      <x:c r="F7" s="40" t="str">
        <x:v>4 — высоко</x:v>
      </x:c>
      <x:c r="G7" s="40" t="str">
        <x:v>Срок</x:v>
      </x:c>
      <x:c r="H7" s="40" t="str">
        <x:v>Повторное использование</x:v>
      </x:c>
    </x:row>
    <x:row r="8">
      <x:c r="A8" s="40" t="str">
        <x:v>Ценностное предложение</x:v>
      </x:c>
      <x:c r="B8" s="40" t="str"/>
      <x:c r="C8" s="40" t="str">
        <x:v>Контентный блок</x:v>
      </x:c>
      <x:c r="D8" s="40" t="str">
        <x:v>Потоки доходов</x:v>
      </x:c>
      <x:c r="E8" s="40" t="str"/>
      <x:c r="F8" s="40" t="str">
        <x:v>5 — очень высоко</x:v>
      </x:c>
      <x:c r="G8" s="40" t="str">
        <x:v>Технология</x:v>
      </x:c>
      <x:c r="H8" s="40" t="str">
        <x:v>Рост аудитории</x:v>
      </x:c>
    </x:row>
    <x:row r="9">
      <x:c r="A9" s="40" t="str">
        <x:v>Цифровой товар</x:v>
      </x:c>
      <x:c r="B9" s="40" t="str"/>
      <x:c r="C9" s="40" t="str">
        <x:v>Форма</x:v>
      </x:c>
      <x:c r="D9" s="40" t="str">
        <x:v>Ключевые ресурсы</x:v>
      </x:c>
      <x:c r="E9" s="40" t="str"/>
      <x:c r="F9" s="40" t="str"/>
      <x:c r="G9" s="40" t="str">
        <x:v>Монетизация</x:v>
      </x:c>
      <x:c r="H9" s="40" t="str">
        <x:v>Выручка</x:v>
      </x:c>
    </x:row>
    <x:row r="10">
      <x:c r="A10" s="40" t="str">
        <x:v>Канвас</x:v>
      </x:c>
      <x:c r="B10" s="40" t="str"/>
      <x:c r="C10" s="40" t="str">
        <x:v>Административная функция</x:v>
      </x:c>
      <x:c r="D10" s="40" t="str">
        <x:v>Ключевые виды деятельности</x:v>
      </x:c>
      <x:c r="E10" s="40" t="str"/>
      <x:c r="F10" s="40" t="str"/>
      <x:c r="G10" s="40" t="str">
        <x:v>Удержание</x:v>
      </x:c>
      <x:c r="H10" s="40" t="str">
        <x:v>Обращения в поддержку</x:v>
      </x:c>
    </x:row>
    <x:row r="11">
      <x:c r="A11" s="40" t="str">
        <x:v>Пользовательские сценарии</x:v>
      </x:c>
      <x:c r="B11" s="40" t="str"/>
      <x:c r="C11" s="40" t="str">
        <x:v>Аналитика</x:v>
      </x:c>
      <x:c r="D11" s="40" t="str">
        <x:v>Ключевые партнеры</x:v>
      </x:c>
      <x:c r="E11" s="40" t="str"/>
      <x:c r="F11" s="40" t="str"/>
      <x:c r="G11" s="40" t="str">
        <x:v>Рост</x:v>
      </x:c>
      <x:c r="H11" s="40" t="str">
        <x:v>Стоимость привлечения</x:v>
      </x:c>
    </x:row>
    <x:row r="12">
      <x:c r="A12" s="40" t="str">
        <x:v>Страницы и экраны</x:v>
      </x:c>
      <x:c r="B12" s="40" t="str"/>
      <x:c r="C12" s="40" t="str"/>
      <x:c r="D12" s="40" t="str">
        <x:v>Структура затрат</x:v>
      </x:c>
      <x:c r="E12" s="40" t="str"/>
      <x:c r="F12" s="40" t="str"/>
      <x:c r="G12" s="40" t="str"/>
      <x:c r="H12" s="40" t="str">
        <x:v>Срок реализации</x:v>
      </x:c>
    </x:row>
    <x:row r="13">
      <x:c r="A13" s="40"/>
      <x:c r="B13" s="40"/>
      <x:c r="C13" s="40"/>
      <x:c r="D13" s="40"/>
      <x:c r="E13" s="40"/>
      <x:c r="F13" s="40"/>
      <x:c r="G13" s="40"/>
      <x:c r="H13" s="40"/>
    </x:row>
    <x:row r="14">
      <x:c r="A14" s="40"/>
      <x:c r="B14" s="40"/>
      <x:c r="C14" s="40"/>
      <x:c r="D14" s="40"/>
      <x:c r="E14" s="40"/>
      <x:c r="F14" s="40"/>
      <x:c r="G14" s="40"/>
      <x:c r="H14" s="40"/>
    </x:row>
    <x:row r="15">
      <x:c r="A15" s="40"/>
      <x:c r="B15" s="40"/>
      <x:c r="C15" s="40"/>
      <x:c r="D15" s="40"/>
      <x:c r="E15" s="40"/>
      <x:c r="F15" s="40"/>
      <x:c r="G15" s="40"/>
      <x:c r="H15" s="40"/>
    </x:row>
    <x:row r="16">
      <x:c r="A16" s="40"/>
      <x:c r="B16" s="40"/>
      <x:c r="C16" s="40"/>
      <x:c r="D16" s="40"/>
      <x:c r="E16" s="40"/>
      <x:c r="F16" s="40"/>
      <x:c r="G16" s="40"/>
      <x:c r="H16" s="40"/>
    </x:row>
    <x:row r="17">
      <x:c r="A17" s="40"/>
      <x:c r="B17" s="40"/>
      <x:c r="C17" s="40"/>
      <x:c r="D17" s="40"/>
      <x:c r="E17" s="40"/>
      <x:c r="F17" s="40"/>
      <x:c r="G17" s="40"/>
      <x:c r="H17" s="40"/>
    </x:row>
    <x:row r="18">
      <x:c r="A18" s="40"/>
      <x:c r="B18" s="40"/>
      <x:c r="C18" s="40"/>
      <x:c r="D18" s="40"/>
      <x:c r="E18" s="40"/>
      <x:c r="F18" s="40"/>
      <x:c r="G18" s="40"/>
      <x:c r="H18" s="40"/>
    </x:row>
    <x:row r="19">
      <x:c r="A19" s="40"/>
      <x:c r="B19" s="40"/>
      <x:c r="C19" s="40"/>
      <x:c r="D19" s="40"/>
      <x:c r="E19" s="40"/>
      <x:c r="F19" s="40"/>
      <x:c r="G19" s="40"/>
      <x:c r="H19" s="40"/>
    </x:row>
    <x:row r="20">
      <x:c r="A20" s="40"/>
      <x:c r="B20" s="40"/>
      <x:c r="C20" s="40"/>
      <x:c r="D20" s="40"/>
      <x:c r="E20" s="40"/>
      <x:c r="F20" s="40"/>
      <x:c r="G20" s="40"/>
      <x:c r="H20" s="40"/>
    </x:row>
  </x:sheetData>
  <x:mergeCells>
    <x:mergeCell ref="A1:H1"/>
  </x:mergeCells>
  <x:pageMargins left="0.7" right="0.7" top="0.75" bottom="0.75" header="0.3" footer="0.3"/>
</x:worksheet>
</file>