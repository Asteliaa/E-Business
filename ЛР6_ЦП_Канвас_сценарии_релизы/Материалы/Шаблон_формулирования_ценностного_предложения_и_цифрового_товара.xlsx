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85dad9fba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очники" sheetId="1" r:id="Raebe3b7a8ba24130"/>
    <x:sheet xmlns:r="http://schemas.openxmlformats.org/officeDocument/2006/relationships" name="Инструкция" sheetId="2" r:id="R00ef9c6cb6b74ca6"/>
    <x:sheet xmlns:r="http://schemas.openxmlformats.org/officeDocument/2006/relationships" name="Исходные данные" sheetId="3" r:id="Rfb18cd4045c0476d"/>
    <x:sheet xmlns:r="http://schemas.openxmlformats.org/officeDocument/2006/relationships" name="Проблемы клиентов" sheetId="4" r:id="R2fa70ac323ba4243"/>
    <x:sheet xmlns:r="http://schemas.openxmlformats.org/officeDocument/2006/relationships" name="Конкурентные решения" sheetId="5" r:id="Rcfb2a1f282774fd1"/>
    <x:sheet xmlns:r="http://schemas.openxmlformats.org/officeDocument/2006/relationships" name="Ценностные предложения" sheetId="6" r:id="R9e1986b6c43d4122"/>
    <x:sheet xmlns:r="http://schemas.openxmlformats.org/officeDocument/2006/relationships" name="Цифровой товар" sheetId="7" r:id="R759886a0470049ab"/>
    <x:sheet xmlns:r="http://schemas.openxmlformats.org/officeDocument/2006/relationships" name="Единица монетизации" sheetId="8" r:id="Ra52746c5a16743b7"/>
    <x:sheet xmlns:r="http://schemas.openxmlformats.org/officeDocument/2006/relationships" name="Бизнес-модель" sheetId="9" r:id="R6ef7a0d279a647d1"/>
    <x:sheet xmlns:r="http://schemas.openxmlformats.org/officeDocument/2006/relationships" name="Проверка связности" sheetId="10" r:id="R864d0218a2bf4d7e"/>
    <x:sheet xmlns:r="http://schemas.openxmlformats.org/officeDocument/2006/relationships" name="Дашборд" sheetId="11" r:id="Rb35f111fb7bd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%"/>
  </x:numFmts>
  <x:fonts count="6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b/>
      <x:sz val="11"/>
      <x:color rgb="FFFFFF"/>
      <x:name val="Carlito"/>
    </x:font>
    <x:font>
      <x:sz val="10"/>
      <x:color rgb="1F2937"/>
      <x:name val="Carlito"/>
    </x:font>
    <x:font>
      <x:b/>
      <x:sz val="10"/>
      <x:color rgb="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3F8"/>
      </x:patternFill>
    </x:fill>
    <x:fill>
      <x:patternFill patternType="solid">
        <x:fgColor rgb="E2F0D9"/>
      </x:patternFill>
    </x:fill>
  </x:fills>
  <x:borders count="20">
    <x:border/>
    <x:border/>
    <x:border>
      <x:right>
        <x:color rgb="B7C9D6"/>
      </x:right>
      <x:bottom>
        <x:color rgb="B7C9D6"/>
      </x:bottom>
    </x:border>
    <x:border>
      <x:left>
        <x:color rgb="B7C9D6"/>
      </x:left>
      <x:right>
        <x:color rgb="B7C9D6"/>
      </x:right>
      <x:bottom>
        <x:color rgb="B7C9D6"/>
      </x:bottom>
    </x:border>
    <x:border>
      <x:left>
        <x:color rgb="B7C9D6"/>
      </x:left>
      <x:bottom>
        <x:color rgb="B7C9D6"/>
      </x:bottom>
    </x:border>
    <x:border>
      <x:right>
        <x:color rgb="B7C9D6"/>
      </x:right>
      <x:top>
        <x:color rgb="B7C9D6"/>
      </x:top>
      <x:bottom>
        <x:color rgb="B7C9D6"/>
      </x:bottom>
    </x:border>
    <x:border>
      <x:left>
        <x:color rgb="B7C9D6"/>
      </x:left>
      <x:right>
        <x:color rgb="B7C9D6"/>
      </x:right>
      <x:top>
        <x:color rgb="B7C9D6"/>
      </x:top>
      <x:bottom>
        <x:color rgb="B7C9D6"/>
      </x:bottom>
    </x:border>
    <x:border>
      <x:left>
        <x:color rgb="B7C9D6"/>
      </x:left>
      <x:top>
        <x:color rgb="B7C9D6"/>
      </x:top>
      <x:bottom>
        <x:color rgb="B7C9D6"/>
      </x:bottom>
    </x:border>
    <x:border>
      <x:right>
        <x:color rgb="B7C9D6"/>
      </x:right>
      <x:top>
        <x:color rgb="B7C9D6"/>
      </x:top>
    </x:border>
    <x:border>
      <x:left>
        <x:color rgb="B7C9D6"/>
      </x:left>
      <x:right>
        <x:color rgb="B7C9D6"/>
      </x:right>
      <x:top>
        <x:color rgb="B7C9D6"/>
      </x:top>
    </x:border>
    <x:border>
      <x:left>
        <x:color rgb="B7C9D6"/>
      </x:left>
      <x:top>
        <x:color rgb="B7C9D6"/>
      </x:top>
    </x:border>
    <x:border>
      <x:right>
        <x:color rgb="B7C9D6"/>
      </x:right>
      <x:bottom>
        <x:color rgb="B7C9D6"/>
      </x:bottom>
    </x:border>
    <x:border>
      <x:left>
        <x:color rgb="B7C9D6"/>
      </x:left>
      <x:right>
        <x:color rgb="B7C9D6"/>
      </x:right>
      <x:bottom>
        <x:color rgb="B7C9D6"/>
      </x:bottom>
    </x:border>
    <x:border>
      <x:left>
        <x:color rgb="B7C9D6"/>
      </x:left>
      <x:bottom>
        <x:color rgb="B7C9D6"/>
      </x:bottom>
    </x:border>
    <x:border>
      <x:right>
        <x:color rgb="B7C9D6"/>
      </x:right>
      <x:top>
        <x:color rgb="B7C9D6"/>
      </x:top>
      <x:bottom>
        <x:color rgb="B7C9D6"/>
      </x:bottom>
    </x:border>
    <x:border>
      <x:left>
        <x:color rgb="B7C9D6"/>
      </x:left>
      <x:right>
        <x:color rgb="B7C9D6"/>
      </x:right>
      <x:top>
        <x:color rgb="B7C9D6"/>
      </x:top>
      <x:bottom>
        <x:color rgb="B7C9D6"/>
      </x:bottom>
    </x:border>
    <x:border>
      <x:left>
        <x:color rgb="B7C9D6"/>
      </x:left>
      <x:top>
        <x:color rgb="B7C9D6"/>
      </x:top>
      <x:bottom>
        <x:color rgb="B7C9D6"/>
      </x:bottom>
    </x:border>
    <x:border>
      <x:right>
        <x:color rgb="B7C9D6"/>
      </x:right>
      <x:top>
        <x:color rgb="B7C9D6"/>
      </x:top>
    </x:border>
    <x:border>
      <x:left>
        <x:color rgb="B7C9D6"/>
      </x:left>
      <x:right>
        <x:color rgb="B7C9D6"/>
      </x:right>
      <x:top>
        <x:color rgb="B7C9D6"/>
      </x:top>
    </x:border>
    <x:border>
      <x:left>
        <x:color rgb="B7C9D6"/>
      </x:left>
      <x:top>
        <x:color rgb="B7C9D6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horizontal="center" vertical="top" wrapText="1"/>
    </x:xf>
    <x:xf numFmtId="0" fontId="5" fillId="4" borderId="9" xfId="0" applyNumberFormat="1" applyFont="1" applyFill="1" applyBorder="1" applyAlignment="1">
      <x:alignment horizontal="center"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18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8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horizontal="center" vertical="top" wrapText="1"/>
    </x:xf>
    <x:xf numFmtId="0" fontId="5" fillId="4" borderId="18" xfId="0" applyNumberFormat="1" applyFont="1" applyFill="1" applyBorder="1" applyAlignment="1">
      <x:alignment horizontal="center" vertical="top" wrapText="1"/>
    </x:xf>
    <x:xf numFmtId="201" fontId="5" fillId="4" borderId="9" xfId="0" applyNumberFormat="1" applyFont="1" applyFill="1" applyBorder="1" applyAlignment="1">
      <x:alignment horizontal="center" vertical="top" wrapText="1"/>
    </x:xf>
    <x:xf numFmtId="201" fontId="5" fillId="4" borderId="18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4f7b31de6495d" /><Relationship Type="http://schemas.openxmlformats.org/officeDocument/2006/relationships/theme" Target="/xl/theme/theme1.xml" Id="R3478c6f09f5047b4" /><Relationship Type="http://schemas.openxmlformats.org/officeDocument/2006/relationships/sharedStrings" Target="/xl/sharedStrings.xml" Id="R63fd4d0734294a9c" /><Relationship Type="http://schemas.openxmlformats.org/officeDocument/2006/relationships/worksheet" Target="/xl/worksheets/sheet1.xml" Id="Raebe3b7a8ba24130" /><Relationship Type="http://schemas.openxmlformats.org/officeDocument/2006/relationships/worksheet" Target="/xl/worksheets/sheet2.xml" Id="R00ef9c6cb6b74ca6" /><Relationship Type="http://schemas.openxmlformats.org/officeDocument/2006/relationships/worksheet" Target="/xl/worksheets/sheet3.xml" Id="Rfb18cd4045c0476d" /><Relationship Type="http://schemas.openxmlformats.org/officeDocument/2006/relationships/worksheet" Target="/xl/worksheets/sheet4.xml" Id="R2fa70ac323ba4243" /><Relationship Type="http://schemas.openxmlformats.org/officeDocument/2006/relationships/worksheet" Target="/xl/worksheets/sheet5.xml" Id="Rcfb2a1f282774fd1" /><Relationship Type="http://schemas.openxmlformats.org/officeDocument/2006/relationships/worksheet" Target="/xl/worksheets/sheet6.xml" Id="R9e1986b6c43d4122" /><Relationship Type="http://schemas.openxmlformats.org/officeDocument/2006/relationships/worksheet" Target="/xl/worksheets/sheet7.xml" Id="R759886a0470049ab" /><Relationship Type="http://schemas.openxmlformats.org/officeDocument/2006/relationships/worksheet" Target="/xl/worksheets/sheet8.xml" Id="Ra52746c5a16743b7" /><Relationship Type="http://schemas.openxmlformats.org/officeDocument/2006/relationships/worksheet" Target="/xl/worksheets/sheet9.xml" Id="R6ef7a0d279a647d1" /><Relationship Type="http://schemas.openxmlformats.org/officeDocument/2006/relationships/worksheet" Target="/xl/worksheets/sheet10.xml" Id="R864d0218a2bf4d7e" /><Relationship Type="http://schemas.openxmlformats.org/officeDocument/2006/relationships/worksheet" Target="/xl/worksheets/sheet11.xml" Id="Rb35f111fb7bd46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3bfb16620f43a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cat>
            <c:strRef>
              <c:f>'Дашборд'!$E$5:$E$8</c:f>
              <c:strCache>
                <c:ptCount val="0"/>
              </c:strCache>
            </c:strRef>
          </c:cat>
          <c:val>
            <c:numRef>
              <c:f>'Дашборд'!$F$5:$F$8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3bfb16620f43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DataTable" displayName="SourceDataTable" ref="A4:J104" headerRowCount="1">
  <x:tableColumns count="10">
    <x:tableColumn id="1" name="ID источника"/>
    <x:tableColumn id="2" name="Дата сбора"/>
    <x:tableColumn id="3" name="Тип источника"/>
    <x:tableColumn id="4" name="Площадка/сайт"/>
    <x:tableColumn id="5" name="Компания/товар"/>
    <x:tableColumn id="6" name="Ссылка"/>
    <x:tableColumn id="7" name="Фрагмент факта"/>
    <x:tableColumn id="8" name="Какая проблема/решение подтверждается"/>
    <x:tableColumn id="9" name="Достоверность 1–5"/>
    <x:tableColumn id="10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ProblemsTable" displayName="ProblemsTable" ref="A4:M104" headerRowCount="1">
  <x:tableColumns count="13">
    <x:tableColumn id="1" name="ID проблемы"/>
    <x:tableColumn id="2" name="Сегмент"/>
    <x:tableColumn id="3" name="Тип проблемы"/>
    <x:tableColumn id="4" name="Формулировка проблемы клиента"/>
    <x:tableColumn id="5" name="Частота 1–5"/>
    <x:tableColumn id="6" name="Интенсивность 1–5"/>
    <x:tableColumn id="7" name="Срочность 1–5"/>
    <x:tableColumn id="8" name="Незакрытость конкурентами 1–5"/>
    <x:tableColumn id="9" name="Готовность платить 1–5"/>
    <x:tableColumn id="10" name="Доказательность 1–5"/>
    <x:tableColumn id="11" name="Индекс проблемы"/>
    <x:tableColumn id="12" name="Приоритет"/>
    <x:tableColumn id="13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CompetitorSolutionsTable" displayName="CompetitorSolutionsTable" ref="A4:L104" headerRowCount="1">
  <x:tableColumns count="12">
    <x:tableColumn id="1" name="Компания"/>
    <x:tableColumn id="2" name="Сайт"/>
    <x:tableColumn id="3" name="ID проблемы"/>
    <x:tableColumn id="4" name="Как конкурент решает проблему"/>
    <x:tableColumn id="5" name="Покрытие проблемы 1–5"/>
    <x:tableColumn id="6" name="Ясность обещания 1–5"/>
    <x:tableColumn id="7" name="Полнота товара 1–5"/>
    <x:tableColumn id="8" name="Удобство доступа 1–5"/>
    <x:tableColumn id="9" name="Доказательность 1–5"/>
    <x:tableColumn id="10" name="Индекс силы решения"/>
    <x:tableColumn id="11" name="Уровень решения"/>
    <x:tableColumn id="12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ValuePropositionsTable" displayName="ValuePropositionsTable" ref="A4:M104" headerRowCount="1">
  <x:tableColumns count="13">
    <x:tableColumn id="1" name="ID ЦП"/>
    <x:tableColumn id="2" name="ID проблемы"/>
    <x:tableColumn id="3" name="Сегмент"/>
    <x:tableColumn id="4" name="Опорная проблема"/>
    <x:tableColumn id="5" name="Конкурентный пробел"/>
    <x:tableColumn id="6" name="Обещаемый результат"/>
    <x:tableColumn id="7" name="Механизм создания ценности"/>
    <x:tableColumn id="8" name="Формулировка ценностного предложения"/>
    <x:tableColumn id="9" name="Тип ЦП"/>
    <x:tableColumn id="10" name="Тип ценности"/>
    <x:tableColumn id="11" name="Индекс проблемы"/>
    <x:tableColumn id="12" name="Статус"/>
    <x:tableColumn id="13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DigitalProductTable" displayName="DigitalProductTable" ref="A4:M104" headerRowCount="1">
  <x:tableColumns count="13">
    <x:tableColumn id="1" name="ID товара"/>
    <x:tableColumn id="2" name="ID ЦП"/>
    <x:tableColumn id="3" name="Название цифрового товара"/>
    <x:tableColumn id="4" name="Тип цифрового товара"/>
    <x:tableColumn id="5" name="Клиентская задача"/>
    <x:tableColumn id="6" name="Базовая функция"/>
    <x:tableColumn id="7" name="Расширенные функции"/>
    <x:tableColumn id="8" name="Данные/алгоритмы как часть ценности"/>
    <x:tableColumn id="9" name="Условия доступа и использования"/>
    <x:tableColumn id="10" name="Носитель ценности"/>
    <x:tableColumn id="11" name="Индекс товарной оформленности"/>
    <x:tableColumn id="12" name="Статус"/>
    <x:tableColumn id="13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MonetizationTable" displayName="MonetizationTable" ref="A4:N104" headerRowCount="1">
  <x:tableColumns count="14">
    <x:tableColumn id="1" name="ID монетизации"/>
    <x:tableColumn id="2" name="ID товара"/>
    <x:tableColumn id="3" name="Единица монетизации"/>
    <x:tableColumn id="4" name="Что покупает клиент"/>
    <x:tableColumn id="5" name="Периодичность"/>
    <x:tableColumn id="6" name="Базовая цена"/>
    <x:tableColumn id="7" name="Кол-во единиц в месяц"/>
    <x:tableColumn id="8" name="Расчетная выручка"/>
    <x:tableColumn id="9" name="Обоснование готовности платить"/>
    <x:tableColumn id="10" name="Связь с ценностью 1–5"/>
    <x:tableColumn id="11" name="Простота тарификации 1–5"/>
    <x:tableColumn id="12" name="Повторяемость 1–5"/>
    <x:tableColumn id="13" name="Монетизационный потенциал"/>
    <x:tableColumn id="14" name="Статус"/>
  </x:tableColumns>
  <x:tableStyleInfo name="TableStyleMedium2" showRowStripes="1"/>
</x:table>
</file>

<file path=xl/tables/table7.xml><?xml version="1.0" encoding="utf-8"?>
<x:table xmlns:x="http://schemas.openxmlformats.org/spreadsheetml/2006/main" id="7" name="BusinessModelTable" displayName="BusinessModelTable" ref="A4:M104" headerRowCount="1">
  <x:tableColumns count="13">
    <x:tableColumn id="1" name="ID модели"/>
    <x:tableColumn id="2" name="ID товара"/>
    <x:tableColumn id="3" name="Клиентские сегменты"/>
    <x:tableColumn id="4" name="Ценностное предложение"/>
    <x:tableColumn id="5" name="Каналы"/>
    <x:tableColumn id="6" name="Отношения с клиентами"/>
    <x:tableColumn id="7" name="Потоки доходов"/>
    <x:tableColumn id="8" name="Ключевые ресурсы"/>
    <x:tableColumn id="9" name="Ключевые виды деятельности"/>
    <x:tableColumn id="10" name="Ключевые партнеры"/>
    <x:tableColumn id="11" name="Структура затрат"/>
    <x:tableColumn id="12" name="Индекс полноты бизнес-модели"/>
    <x:tableColumn id="13" name="Комментарий"/>
  </x:tableColumns>
  <x:tableStyleInfo name="TableStyleMedium2" showRowStripes="1"/>
</x:table>
</file>

<file path=xl/tables/table8.xml><?xml version="1.0" encoding="utf-8"?>
<x:table xmlns:x="http://schemas.openxmlformats.org/spreadsheetml/2006/main" id="8" name="CoherenceCheckTable" displayName="CoherenceCheckTable" ref="A4:J104" headerRowCount="1">
  <x:tableColumns count="10">
    <x:tableColumn id="1" name="ID проверки"/>
    <x:tableColumn id="2" name="ID проблемы"/>
    <x:tableColumn id="3" name="ID ЦП"/>
    <x:tableColumn id="4" name="ID товара"/>
    <x:tableColumn id="5" name="ID монетизации"/>
    <x:tableColumn id="6" name="ID модели"/>
    <x:tableColumn id="7" name="Индекс связности"/>
    <x:tableColumn id="8" name="Решение"/>
    <x:tableColumn id="9" name="Главный разрыв"/>
    <x:tableColumn id="10" name="Что доработать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47c85a7cc7b47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ee39516c67340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232380c8d5a4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ebe95e850454e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e778ef4d8ab46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dd97fdd5f5648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b87455df70b48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c47bccfaaf645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842e42816147d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28" customHeight="1">
      <x:c r="A1" s="6" t="str">
        <x:v>Справочники для выпадающих списков и шкал</x:v>
      </x:c>
    </x:row>
    <x:row r="2" ht="34" customHeight="1">
      <x:c r="A2" s="16" t="str">
        <x:v>Используются на расчетных листах для унификации классификации, оценок и статусов.</x:v>
      </x:c>
    </x:row>
    <x:row r="3" ht="34" customHeight="1">
      <x:c r="A3" s="25" t="str">
        <x:v>Шкала_1_5</x:v>
      </x:c>
      <x:c r="B3" s="25" t="str">
        <x:v>Сегменты</x:v>
      </x:c>
      <x:c r="C3" s="25" t="str">
        <x:v>Тип_проблемы</x:v>
      </x:c>
      <x:c r="D3" s="25" t="str">
        <x:v>Тип_ценности</x:v>
      </x:c>
      <x:c r="E3" s="25" t="str">
        <x:v>Тип_ЦП</x:v>
      </x:c>
      <x:c r="F3" s="25" t="str">
        <x:v>Тип_цифрового_товара</x:v>
      </x:c>
      <x:c r="G3" s="25" t="str">
        <x:v>Единица_монетизации</x:v>
      </x:c>
      <x:c r="H3" s="25" t="str">
        <x:v>Периодичность</x:v>
      </x:c>
      <x:c r="I3" s="25" t="str">
        <x:v>Статус</x:v>
      </x:c>
      <x:c r="J3" s="25" t="str">
        <x:v>Да_нет</x:v>
      </x:c>
      <x:c r="K3" s="25" t="str">
        <x:v>Элемент_БМ</x:v>
      </x:c>
      <x:c r="L3" s="25" t="str">
        <x:v>Решение_проверки</x:v>
      </x:c>
      <x:c r="M3" s="25" t="str">
        <x:v>Приоритет</x:v>
      </x:c>
    </x:row>
    <x:row r="4">
      <x:c r="A4" s="32" t="n">
        <x:v>1</x:v>
      </x:c>
      <x:c r="B4" s="32" t="str">
        <x:v>B2B</x:v>
      </x:c>
      <x:c r="C4" s="32" t="str">
        <x:v>Функциональная</x:v>
      </x:c>
      <x:c r="D4" s="32" t="str">
        <x:v>Экономия времени</x:v>
      </x:c>
      <x:c r="E4" s="32" t="str">
        <x:v>Устранение боли</x:v>
      </x:c>
      <x:c r="F4" s="32" t="str">
        <x:v>Веб-сервис</x:v>
      </x:c>
      <x:c r="G4" s="32" t="str">
        <x:v>Пользователь</x:v>
      </x:c>
      <x:c r="H4" s="32" t="str">
        <x:v>Разово</x:v>
      </x:c>
      <x:c r="I4" s="32" t="str">
        <x:v>Черновик</x:v>
      </x:c>
      <x:c r="J4" s="32" t="str">
        <x:v>Да</x:v>
      </x:c>
      <x:c r="K4" s="32" t="str">
        <x:v>Клиентские сегменты</x:v>
      </x:c>
      <x:c r="L4" s="32" t="str">
        <x:v>Проходят проверку</x:v>
      </x:c>
      <x:c r="M4" s="32" t="str">
        <x:v>Критический</x:v>
      </x:c>
    </x:row>
    <x:row r="5">
      <x:c r="A5" s="32" t="n">
        <x:v>2</x:v>
      </x:c>
      <x:c r="B5" s="32" t="str">
        <x:v>B2C</x:v>
      </x:c>
      <x:c r="C5" s="32" t="str">
        <x:v>Экономическая</x:v>
      </x:c>
      <x:c r="D5" s="32" t="str">
        <x:v>Снижение затрат</x:v>
      </x:c>
      <x:c r="E5" s="32" t="str">
        <x:v>Усиление результата</x:v>
      </x:c>
      <x:c r="F5" s="32" t="str">
        <x:v>Мобильное приложение</x:v>
      </x:c>
      <x:c r="G5" s="32" t="str">
        <x:v>Рабочее место</x:v>
      </x:c>
      <x:c r="H5" s="32" t="str">
        <x:v>Ежемесячно</x:v>
      </x:c>
      <x:c r="I5" s="32" t="str">
        <x:v>Нужно дополнить</x:v>
      </x:c>
      <x:c r="J5" s="32" t="str">
        <x:v>Нет</x:v>
      </x:c>
      <x:c r="K5" s="32" t="str">
        <x:v>Ценностное предложение</x:v>
      </x:c>
      <x:c r="L5" s="32" t="str">
        <x:v>Требуется доработка</x:v>
      </x:c>
      <x:c r="M5" s="32" t="str">
        <x:v>Высокий</x:v>
      </x:c>
    </x:row>
    <x:row r="6">
      <x:c r="A6" s="32" t="n">
        <x:v>3</x:v>
      </x:c>
      <x:c r="B6" s="32" t="str">
        <x:v>B2B2C</x:v>
      </x:c>
      <x:c r="C6" s="32" t="str">
        <x:v>Организационная</x:v>
      </x:c>
      <x:c r="D6" s="32" t="str">
        <x:v>Снижение риска</x:v>
      </x:c>
      <x:c r="E6" s="32" t="str">
        <x:v>Повышение удобства</x:v>
      </x:c>
      <x:c r="F6" s="32" t="str">
        <x:v>Личный кабинет</x:v>
      </x:c>
      <x:c r="G6" s="32" t="str">
        <x:v>Транзакция</x:v>
      </x:c>
      <x:c r="H6" s="32" t="str">
        <x:v>Ежеквартально</x:v>
      </x:c>
      <x:c r="I6" s="32" t="str">
        <x:v>Готово</x:v>
      </x:c>
      <x:c r="J6" s="32" t="str"/>
      <x:c r="K6" s="32" t="str">
        <x:v>Каналы</x:v>
      </x:c>
      <x:c r="L6" s="32" t="str">
        <x:v>Недостаточно данных</x:v>
      </x:c>
      <x:c r="M6" s="32" t="str">
        <x:v>Средний</x:v>
      </x:c>
    </x:row>
    <x:row r="7">
      <x:c r="A7" s="32" t="n">
        <x:v>4</x:v>
      </x:c>
      <x:c r="B7" s="32" t="str">
        <x:v>Государственный сектор</x:v>
      </x:c>
      <x:c r="C7" s="32" t="str">
        <x:v>Информационная</x:v>
      </x:c>
      <x:c r="D7" s="32" t="str">
        <x:v>Повышение точности</x:v>
      </x:c>
      <x:c r="E7" s="32" t="str">
        <x:v>Автоматизация процесса</x:v>
      </x:c>
      <x:c r="F7" s="32" t="str">
        <x:v>Платформа</x:v>
      </x:c>
      <x:c r="G7" s="32" t="str">
        <x:v>Проект</x:v>
      </x:c>
      <x:c r="H7" s="32" t="str">
        <x:v>Ежегодно</x:v>
      </x:c>
      <x:c r="I7" s="32" t="str">
        <x:v>Отклонить</x:v>
      </x:c>
      <x:c r="J7" s="32" t="str"/>
      <x:c r="K7" s="32" t="str">
        <x:v>Отношения с клиентами</x:v>
      </x:c>
      <x:c r="L7" s="32" t="str"/>
      <x:c r="M7" s="32" t="str">
        <x:v>Низкий</x:v>
      </x:c>
    </x:row>
    <x:row r="8">
      <x:c r="A8" s="32" t="n">
        <x:v>5</x:v>
      </x:c>
      <x:c r="B8" s="32" t="str">
        <x:v>Смешанный сегмент</x:v>
      </x:c>
      <x:c r="C8" s="32" t="str">
        <x:v>Эмоциональная</x:v>
      </x:c>
      <x:c r="D8" s="32" t="str">
        <x:v>Рост дохода</x:v>
      </x:c>
      <x:c r="E8" s="32" t="str">
        <x:v>Новая возможность</x:v>
      </x:c>
      <x:c r="F8" s="32" t="str">
        <x:v>Расширение/модуль</x:v>
      </x:c>
      <x:c r="G8" s="32" t="str">
        <x:v>Объем данных</x:v>
      </x:c>
      <x:c r="H8" s="32" t="str">
        <x:v>По использованию</x:v>
      </x:c>
      <x:c r="I8" s="32" t="str"/>
      <x:c r="J8" s="32" t="str"/>
      <x:c r="K8" s="32" t="str">
        <x:v>Потоки доходов</x:v>
      </x:c>
      <x:c r="L8" s="32" t="str"/>
      <x:c r="M8" s="32" t="str"/>
    </x:row>
    <x:row r="9">
      <x:c r="A9" s="32" t="str"/>
      <x:c r="B9" s="32" t="str"/>
      <x:c r="C9" s="32" t="str">
        <x:v>Техническая</x:v>
      </x:c>
      <x:c r="D9" s="32" t="str">
        <x:v>Контроль и прозрачность</x:v>
      </x:c>
      <x:c r="E9" s="32" t="str">
        <x:v>Дифференциация</x:v>
      </x:c>
      <x:c r="F9" s="32" t="str">
        <x:v>Прикладной программный интерфейс</x:v>
      </x:c>
      <x:c r="G9" s="32" t="str">
        <x:v>Операция</x:v>
      </x:c>
      <x:c r="H9" s="32" t="str">
        <x:v>Подписка</x:v>
      </x:c>
      <x:c r="I9" s="32" t="str"/>
      <x:c r="J9" s="32" t="str"/>
      <x:c r="K9" s="32" t="str">
        <x:v>Ключевые ресурсы</x:v>
      </x:c>
      <x:c r="L9" s="32" t="str"/>
      <x:c r="M9" s="32" t="str"/>
    </x:row>
    <x:row r="10">
      <x:c r="A10" s="32" t="str"/>
      <x:c r="B10" s="32" t="str"/>
      <x:c r="C10" s="32" t="str">
        <x:v>Правовая/регуляторная</x:v>
      </x:c>
      <x:c r="D10" s="32" t="str">
        <x:v>Доступность</x:v>
      </x:c>
      <x:c r="E10" s="32" t="str">
        <x:v>Снижение барьера входа</x:v>
      </x:c>
      <x:c r="F10" s="32" t="str">
        <x:v>Цифровой контент</x:v>
      </x:c>
      <x:c r="G10" s="32" t="str">
        <x:v>Пакет функций</x:v>
      </x:c>
      <x:c r="H10" s="32" t="str">
        <x:v>Комиссия</x:v>
      </x:c>
      <x:c r="I10" s="32" t="str"/>
      <x:c r="J10" s="32" t="str"/>
      <x:c r="K10" s="32" t="str">
        <x:v>Ключевые виды деятельности</x:v>
      </x:c>
      <x:c r="L10" s="32" t="str"/>
      <x:c r="M10" s="32" t="str"/>
    </x:row>
    <x:row r="11">
      <x:c r="A11" s="32" t="str"/>
      <x:c r="B11" s="32" t="str"/>
      <x:c r="C11" s="32" t="str"/>
      <x:c r="D11" s="32" t="str">
        <x:v>Персонализация</x:v>
      </x:c>
      <x:c r="E11" s="32" t="str"/>
      <x:c r="F11" s="32" t="str">
        <x:v>Аналитический сервис</x:v>
      </x:c>
      <x:c r="G11" s="32" t="str">
        <x:v>Результат/отчет</x:v>
      </x:c>
      <x:c r="H11" s="32" t="str">
        <x:v>Смешанная модель</x:v>
      </x:c>
      <x:c r="I11" s="32" t="str"/>
      <x:c r="J11" s="32" t="str"/>
      <x:c r="K11" s="32" t="str">
        <x:v>Ключевые партнеры</x:v>
      </x:c>
      <x:c r="L11" s="32" t="str"/>
      <x:c r="M11" s="32" t="str"/>
    </x:row>
    <x:row r="12">
      <x:c r="A12" s="32" t="str"/>
      <x:c r="B12" s="32" t="str"/>
      <x:c r="C12" s="32" t="str"/>
      <x:c r="D12" s="32" t="str"/>
      <x:c r="E12" s="32" t="str"/>
      <x:c r="F12" s="32" t="str">
        <x:v>Маркетплейс</x:v>
      </x:c>
      <x:c r="G12" s="32" t="str">
        <x:v>Доступ к аудитории</x:v>
      </x:c>
      <x:c r="H12" s="32" t="str"/>
      <x:c r="I12" s="32" t="str"/>
      <x:c r="J12" s="32" t="str"/>
      <x:c r="K12" s="32" t="str">
        <x:v>Структура затрат</x:v>
      </x:c>
      <x:c r="L12" s="32" t="str"/>
      <x:c r="M12" s="3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46" hidden="0" customWidth="1"/>
  </x:cols>
  <x:sheetData>
    <x:row r="1" ht="28" customHeight="1">
      <x:c r="A1" s="6" t="str">
        <x:v>Excel-шаблон к методике формулирования ценностного предложения и цифрового товара</x:v>
      </x:c>
    </x:row>
    <x:row r="2" ht="34" customHeight="1">
      <x:c r="A2" s="16" t="str">
        <x:v>Книга предназначена для перехода от анализа проблем и конкурентов к проверяемому ценностному предложению, цифровому товару и единице монетизации.</x:v>
      </x:c>
    </x:row>
    <x:row r="4" ht="34" customHeight="1">
      <x:c r="A4" s="36" t="str">
        <x:v>Раздел</x:v>
      </x:c>
      <x:c r="B4" s="37" t="str">
        <x:v>Что заполняется</x:v>
      </x:c>
      <x:c r="C4" s="38" t="str">
        <x:v>Результат</x:v>
      </x:c>
    </x:row>
    <x:row r="5">
      <x:c r="A5" s="39" t="str">
        <x:v>1. Исходные данные</x:v>
      </x:c>
      <x:c r="B5" s="40" t="str">
        <x:v>Фиксируются источники: отзывы, сайты конкурентов, страницы тарифов, описания функций, кейсы, часто задаваемые вопросы.</x:v>
      </x:c>
      <x:c r="C5" s="41" t="str">
        <x:v>Контролируемая база доказательств.</x:v>
      </x:c>
    </x:row>
    <x:row r="6">
      <x:c r="A6" s="39" t="str">
        <x:v>2. Проблемы клиентов</x:v>
      </x:c>
      <x:c r="B6" s="40" t="str">
        <x:v>Каждая проблема оценивается по частоте, интенсивности, срочности, незакрытости конкурентами, готовности платить и доказательности.</x:v>
      </x:c>
      <x:c r="C6" s="41" t="str">
        <x:v>Рейтинг проблем для выбора опорной проблемы.</x:v>
      </x:c>
    </x:row>
    <x:row r="7">
      <x:c r="A7" s="39" t="str">
        <x:v>3. Конкурентные решения</x:v>
      </x:c>
      <x:c r="B7" s="40" t="str">
        <x:v>По каждому конкуренту фиксируется, как он закрывает проблему и насколько убедительно оформляет свое решение.</x:v>
      </x:c>
      <x:c r="C7" s="41" t="str">
        <x:v>Понимание рыночного стандарта и пробелов.</x:v>
      </x:c>
    </x:row>
    <x:row r="8">
      <x:c r="A8" s="39" t="str">
        <x:v>4. Ценностные предложения</x:v>
      </x:c>
      <x:c r="B8" s="40" t="str">
        <x:v>Для выбранных проблем формулируется обещаемый результат, разрыв рынка и итоговая формулировка ценностного предложения.</x:v>
      </x:c>
      <x:c r="C8" s="41" t="str">
        <x:v>Готовая формула ценности для клиента.</x:v>
      </x:c>
    </x:row>
    <x:row r="9">
      <x:c r="A9" s="39" t="str">
        <x:v>5. Цифровой товар</x:v>
      </x:c>
      <x:c r="B9" s="40" t="str">
        <x:v>Ценностное предложение переводится в состав цифрового товара: функции, данные, сценарии использования и условия доступа.</x:v>
      </x:c>
      <x:c r="C9" s="41" t="str">
        <x:v>Проверяемое описание товара как носителя ценности.</x:v>
      </x:c>
    </x:row>
    <x:row r="10">
      <x:c r="A10" s="39" t="str">
        <x:v>6. Единица монетизации</x:v>
      </x:c>
      <x:c r="B10" s="40" t="str">
        <x:v>Определяется, за что именно платит клиент: пользователь, доступ, транзакция, операция, объем данных, результат, пакет функций.</x:v>
      </x:c>
      <x:c r="C10" s="41" t="str">
        <x:v>Экономическая единица бизнес-модели.</x:v>
      </x:c>
    </x:row>
    <x:row r="11">
      <x:c r="A11" s="39" t="str">
        <x:v>7. Связь с бизнес-моделью</x:v>
      </x:c>
      <x:c r="B11" s="40" t="str">
        <x:v>Проверяется, как товар и ценность связаны с клиентами, каналами, отношениями, ресурсами, доходами и затратами.</x:v>
      </x:c>
      <x:c r="C11" s="41" t="str">
        <x:v>Согласованная бизнес-модель.</x:v>
      </x:c>
    </x:row>
    <x:row r="12">
      <x:c r="A12" s="42" t="str">
        <x:v>8. Проверка связности</x:v>
      </x:c>
      <x:c r="B12" s="43" t="str">
        <x:v>Оценивается, не разорвана ли цепочка: проблема → ценность → товар → монетизация → бизнес-модель.</x:v>
      </x:c>
      <x:c r="C12" s="44" t="str">
        <x:v>Итоговое решение о готовности концепции.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24" hidden="0" customWidth="1"/>
    <x:col min="6" max="6" width="34" hidden="0" customWidth="1"/>
    <x:col min="7" max="7" width="46" hidden="0" customWidth="1"/>
    <x:col min="8" max="8" width="38" hidden="0" customWidth="1"/>
    <x:col min="9" max="9" width="16" hidden="0" customWidth="1"/>
    <x:col min="10" max="10" width="34" hidden="0" customWidth="1"/>
  </x:cols>
  <x:sheetData>
    <x:row r="1" ht="28" customHeight="1">
      <x:c r="A1" s="6" t="str">
        <x:v>Исходные данные анализа</x:v>
      </x:c>
    </x:row>
    <x:row r="2" ht="34" customHeight="1">
      <x:c r="A2" s="16" t="str">
        <x:v>Единый реестр источников, на основании которых выделяются проблемы, конкурентные решения и признаки ценности.</x:v>
      </x:c>
    </x:row>
    <x:row r="4" ht="34" customHeight="1">
      <x:c r="A4" s="25" t="str">
        <x:v>ID источника</x:v>
      </x:c>
      <x:c r="B4" s="25" t="str">
        <x:v>Дата сбора</x:v>
      </x:c>
      <x:c r="C4" s="25" t="str">
        <x:v>Тип источника</x:v>
      </x:c>
      <x:c r="D4" s="25" t="str">
        <x:v>Площадка/сайт</x:v>
      </x:c>
      <x:c r="E4" s="25" t="str">
        <x:v>Компания/товар</x:v>
      </x:c>
      <x:c r="F4" s="25" t="str">
        <x:v>Ссылка</x:v>
      </x:c>
      <x:c r="G4" s="25" t="str">
        <x:v>Фрагмент факта</x:v>
      </x:c>
      <x:c r="H4" s="25" t="str">
        <x:v>Какая проблема/решение подтверждается</x:v>
      </x:c>
      <x:c r="I4" s="25" t="str">
        <x:v>Достоверность 1–5</x:v>
      </x:c>
      <x:c r="J4" s="25" t="str">
        <x:v>Комментарий</x:v>
      </x:c>
    </x:row>
    <x:row r="5" ht="42" customHeight="1">
      <x:c r="A5" s="32" t="str">
        <x:v>SRC-001</x:v>
      </x:c>
      <x:c r="B5" s="54" t="n">
        <x:v>46165</x:v>
      </x:c>
      <x:c r="C5" s="32" t="str">
        <x:v>Отзывы</x:v>
      </x:c>
      <x:c r="D5" s="32" t="str">
        <x:v>G2 / Capterra / App Store</x:v>
      </x:c>
      <x:c r="E5" s="32" t="str">
        <x:v>Пример конкурента</x:v>
      </x:c>
      <x:c r="F5" s="32" t="str">
        <x:v>https://example.com/review</x:v>
      </x:c>
      <x:c r="G5" s="32" t="str">
        <x:v>Пользователи жалуются на сложную первичную настройку.</x:v>
      </x:c>
      <x:c r="H5" s="32" t="str">
        <x:v>Сложность начала работы</x:v>
      </x:c>
      <x:c r="I5" s="32" t="n">
        <x:v>4</x:v>
      </x:c>
      <x:c r="J5" s="32" t="str">
        <x:v>Пример, замените на реальные данные.</x:v>
      </x:c>
    </x:row>
    <x:row r="6" ht="42" customHeight="1">
      <x:c r="A6" s="32" t="str">
        <x:v>SRC-002</x:v>
      </x:c>
      <x:c r="B6" s="54" t="n">
        <x:v>46165</x:v>
      </x:c>
      <x:c r="C6" s="32" t="str">
        <x:v>Сайт конкурента</x:v>
      </x:c>
      <x:c r="D6" s="32" t="str">
        <x:v>Страница тарифов</x:v>
      </x:c>
      <x:c r="E6" s="32" t="str">
        <x:v>Пример конкурента</x:v>
      </x:c>
      <x:c r="F6" s="32" t="str">
        <x:v>https://example.com/pricing</x:v>
      </x:c>
      <x:c r="G6" s="32" t="str">
        <x:v>В тарифах монетизируется количество пользователей.</x:v>
      </x:c>
      <x:c r="H6" s="32" t="str">
        <x:v>Единица монетизации: пользователь</x:v>
      </x:c>
      <x:c r="I6" s="32" t="n">
        <x:v>3</x:v>
      </x:c>
      <x:c r="J6" s="32" t="str">
        <x:v>Пример, замените на реальные данные.</x:v>
      </x:c>
    </x:row>
    <x:row r="7" ht="42" customHeight="1">
      <x:c r="A7" s="32"/>
      <x:c r="B7" s="54"/>
      <x:c r="C7" s="32"/>
      <x:c r="D7" s="32"/>
      <x:c r="E7" s="32"/>
      <x:c r="F7" s="32"/>
      <x:c r="G7" s="32"/>
      <x:c r="H7" s="32"/>
      <x:c r="I7" s="32"/>
      <x:c r="J7" s="32"/>
    </x:row>
    <x:row r="8" ht="42" customHeight="1">
      <x:c r="A8" s="32"/>
      <x:c r="B8" s="54"/>
      <x:c r="C8" s="32"/>
      <x:c r="D8" s="32"/>
      <x:c r="E8" s="32"/>
      <x:c r="F8" s="32"/>
      <x:c r="G8" s="32"/>
      <x:c r="H8" s="32"/>
      <x:c r="I8" s="32"/>
      <x:c r="J8" s="32"/>
    </x:row>
    <x:row r="9" ht="42" customHeight="1">
      <x:c r="A9" s="32"/>
      <x:c r="B9" s="54"/>
      <x:c r="C9" s="32"/>
      <x:c r="D9" s="32"/>
      <x:c r="E9" s="32"/>
      <x:c r="F9" s="32"/>
      <x:c r="G9" s="32"/>
      <x:c r="H9" s="32"/>
      <x:c r="I9" s="32"/>
      <x:c r="J9" s="32"/>
    </x:row>
    <x:row r="10" ht="42" customHeight="1">
      <x:c r="A10" s="32"/>
      <x:c r="B10" s="54"/>
      <x:c r="C10" s="32"/>
      <x:c r="D10" s="32"/>
      <x:c r="E10" s="32"/>
      <x:c r="F10" s="32"/>
      <x:c r="G10" s="32"/>
      <x:c r="H10" s="32"/>
      <x:c r="I10" s="32"/>
      <x:c r="J10" s="32"/>
    </x:row>
    <x:row r="11" ht="42" customHeight="1">
      <x:c r="A11" s="32"/>
      <x:c r="B11" s="54"/>
      <x:c r="C11" s="32"/>
      <x:c r="D11" s="32"/>
      <x:c r="E11" s="32"/>
      <x:c r="F11" s="32"/>
      <x:c r="G11" s="32"/>
      <x:c r="H11" s="32"/>
      <x:c r="I11" s="32"/>
      <x:c r="J11" s="32"/>
    </x:row>
    <x:row r="12" ht="42" customHeight="1">
      <x:c r="A12" s="32"/>
      <x:c r="B12" s="54"/>
      <x:c r="C12" s="32"/>
      <x:c r="D12" s="32"/>
      <x:c r="E12" s="32"/>
      <x:c r="F12" s="32"/>
      <x:c r="G12" s="32"/>
      <x:c r="H12" s="32"/>
      <x:c r="I12" s="32"/>
      <x:c r="J12" s="32"/>
    </x:row>
    <x:row r="13" ht="42" customHeight="1">
      <x:c r="A13" s="32"/>
      <x:c r="B13" s="54"/>
      <x:c r="C13" s="32"/>
      <x:c r="D13" s="32"/>
      <x:c r="E13" s="32"/>
      <x:c r="F13" s="32"/>
      <x:c r="G13" s="32"/>
      <x:c r="H13" s="32"/>
      <x:c r="I13" s="32"/>
      <x:c r="J13" s="32"/>
    </x:row>
    <x:row r="14" ht="42" customHeight="1">
      <x:c r="A14" s="32"/>
      <x:c r="B14" s="54"/>
      <x:c r="C14" s="32"/>
      <x:c r="D14" s="32"/>
      <x:c r="E14" s="32"/>
      <x:c r="F14" s="32"/>
      <x:c r="G14" s="32"/>
      <x:c r="H14" s="32"/>
      <x:c r="I14" s="32"/>
      <x:c r="J14" s="32"/>
    </x:row>
    <x:row r="15" ht="42" customHeight="1">
      <x:c r="A15" s="32"/>
      <x:c r="B15" s="54"/>
      <x:c r="C15" s="32"/>
      <x:c r="D15" s="32"/>
      <x:c r="E15" s="32"/>
      <x:c r="F15" s="32"/>
      <x:c r="G15" s="32"/>
      <x:c r="H15" s="32"/>
      <x:c r="I15" s="32"/>
      <x:c r="J15" s="32"/>
    </x:row>
    <x:row r="16" ht="42" customHeight="1">
      <x:c r="A16" s="32"/>
      <x:c r="B16" s="54"/>
      <x:c r="C16" s="32"/>
      <x:c r="D16" s="32"/>
      <x:c r="E16" s="32"/>
      <x:c r="F16" s="32"/>
      <x:c r="G16" s="32"/>
      <x:c r="H16" s="32"/>
      <x:c r="I16" s="32"/>
      <x:c r="J16" s="32"/>
    </x:row>
    <x:row r="17" ht="42" customHeight="1">
      <x:c r="A17" s="32"/>
      <x:c r="B17" s="54"/>
      <x:c r="C17" s="32"/>
      <x:c r="D17" s="32"/>
      <x:c r="E17" s="32"/>
      <x:c r="F17" s="32"/>
      <x:c r="G17" s="32"/>
      <x:c r="H17" s="32"/>
      <x:c r="I17" s="32"/>
      <x:c r="J17" s="32"/>
    </x:row>
    <x:row r="18" ht="42" customHeight="1">
      <x:c r="A18" s="32"/>
      <x:c r="B18" s="54"/>
      <x:c r="C18" s="32"/>
      <x:c r="D18" s="32"/>
      <x:c r="E18" s="32"/>
      <x:c r="F18" s="32"/>
      <x:c r="G18" s="32"/>
      <x:c r="H18" s="32"/>
      <x:c r="I18" s="32"/>
      <x:c r="J18" s="32"/>
    </x:row>
    <x:row r="19" ht="42" customHeight="1">
      <x:c r="A19" s="32"/>
      <x:c r="B19" s="54"/>
      <x:c r="C19" s="32"/>
      <x:c r="D19" s="32"/>
      <x:c r="E19" s="32"/>
      <x:c r="F19" s="32"/>
      <x:c r="G19" s="32"/>
      <x:c r="H19" s="32"/>
      <x:c r="I19" s="32"/>
      <x:c r="J19" s="32"/>
    </x:row>
    <x:row r="20" ht="42" customHeight="1">
      <x:c r="A20" s="32"/>
      <x:c r="B20" s="54"/>
      <x:c r="C20" s="32"/>
      <x:c r="D20" s="32"/>
      <x:c r="E20" s="32"/>
      <x:c r="F20" s="32"/>
      <x:c r="G20" s="32"/>
      <x:c r="H20" s="32"/>
      <x:c r="I20" s="32"/>
      <x:c r="J20" s="32"/>
    </x:row>
    <x:row r="21" ht="42" customHeight="1">
      <x:c r="A21" s="32"/>
      <x:c r="B21" s="54"/>
      <x:c r="C21" s="32"/>
      <x:c r="D21" s="32"/>
      <x:c r="E21" s="32"/>
      <x:c r="F21" s="32"/>
      <x:c r="G21" s="32"/>
      <x:c r="H21" s="32"/>
      <x:c r="I21" s="32"/>
      <x:c r="J21" s="32"/>
    </x:row>
    <x:row r="22" ht="42" customHeight="1">
      <x:c r="A22" s="32"/>
      <x:c r="B22" s="54"/>
      <x:c r="C22" s="32"/>
      <x:c r="D22" s="32"/>
      <x:c r="E22" s="32"/>
      <x:c r="F22" s="32"/>
      <x:c r="G22" s="32"/>
      <x:c r="H22" s="32"/>
      <x:c r="I22" s="32"/>
      <x:c r="J22" s="32"/>
    </x:row>
    <x:row r="23" ht="42" customHeight="1">
      <x:c r="A23" s="32"/>
      <x:c r="B23" s="54"/>
      <x:c r="C23" s="32"/>
      <x:c r="D23" s="32"/>
      <x:c r="E23" s="32"/>
      <x:c r="F23" s="32"/>
      <x:c r="G23" s="32"/>
      <x:c r="H23" s="32"/>
      <x:c r="I23" s="32"/>
      <x:c r="J23" s="32"/>
    </x:row>
    <x:row r="24" ht="42" customHeight="1">
      <x:c r="A24" s="32"/>
      <x:c r="B24" s="54"/>
      <x:c r="C24" s="32"/>
      <x:c r="D24" s="32"/>
      <x:c r="E24" s="32"/>
      <x:c r="F24" s="32"/>
      <x:c r="G24" s="32"/>
      <x:c r="H24" s="32"/>
      <x:c r="I24" s="32"/>
      <x:c r="J24" s="32"/>
    </x:row>
    <x:row r="25" ht="42" customHeight="1">
      <x:c r="A25" s="32"/>
      <x:c r="B25" s="54"/>
      <x:c r="C25" s="32"/>
      <x:c r="D25" s="32"/>
      <x:c r="E25" s="32"/>
      <x:c r="F25" s="32"/>
      <x:c r="G25" s="32"/>
      <x:c r="H25" s="32"/>
      <x:c r="I25" s="32"/>
      <x:c r="J25" s="32"/>
    </x:row>
    <x:row r="26" ht="42" customHeight="1">
      <x:c r="A26" s="32"/>
      <x:c r="B26" s="54"/>
      <x:c r="C26" s="32"/>
      <x:c r="D26" s="32"/>
      <x:c r="E26" s="32"/>
      <x:c r="F26" s="32"/>
      <x:c r="G26" s="32"/>
      <x:c r="H26" s="32"/>
      <x:c r="I26" s="32"/>
      <x:c r="J26" s="32"/>
    </x:row>
    <x:row r="27" ht="42" customHeight="1">
      <x:c r="A27" s="32"/>
      <x:c r="B27" s="54"/>
      <x:c r="C27" s="32"/>
      <x:c r="D27" s="32"/>
      <x:c r="E27" s="32"/>
      <x:c r="F27" s="32"/>
      <x:c r="G27" s="32"/>
      <x:c r="H27" s="32"/>
      <x:c r="I27" s="32"/>
      <x:c r="J27" s="32"/>
    </x:row>
    <x:row r="28" ht="42" customHeight="1">
      <x:c r="A28" s="32"/>
      <x:c r="B28" s="54"/>
      <x:c r="C28" s="32"/>
      <x:c r="D28" s="32"/>
      <x:c r="E28" s="32"/>
      <x:c r="F28" s="32"/>
      <x:c r="G28" s="32"/>
      <x:c r="H28" s="32"/>
      <x:c r="I28" s="32"/>
      <x:c r="J28" s="32"/>
    </x:row>
    <x:row r="29" ht="42" customHeight="1">
      <x:c r="A29" s="32"/>
      <x:c r="B29" s="54"/>
      <x:c r="C29" s="32"/>
      <x:c r="D29" s="32"/>
      <x:c r="E29" s="32"/>
      <x:c r="F29" s="32"/>
      <x:c r="G29" s="32"/>
      <x:c r="H29" s="32"/>
      <x:c r="I29" s="32"/>
      <x:c r="J29" s="32"/>
    </x:row>
    <x:row r="30" ht="42" customHeight="1">
      <x:c r="A30" s="32"/>
      <x:c r="B30" s="54"/>
      <x:c r="C30" s="32"/>
      <x:c r="D30" s="32"/>
      <x:c r="E30" s="32"/>
      <x:c r="F30" s="32"/>
      <x:c r="G30" s="32"/>
      <x:c r="H30" s="32"/>
      <x:c r="I30" s="32"/>
      <x:c r="J30" s="32"/>
    </x:row>
    <x:row r="31" ht="42" customHeight="1">
      <x:c r="A31" s="32"/>
      <x:c r="B31" s="54"/>
      <x:c r="C31" s="32"/>
      <x:c r="D31" s="32"/>
      <x:c r="E31" s="32"/>
      <x:c r="F31" s="32"/>
      <x:c r="G31" s="32"/>
      <x:c r="H31" s="32"/>
      <x:c r="I31" s="32"/>
      <x:c r="J31" s="32"/>
    </x:row>
    <x:row r="32" ht="42" customHeight="1">
      <x:c r="A32" s="32"/>
      <x:c r="B32" s="54"/>
      <x:c r="C32" s="32"/>
      <x:c r="D32" s="32"/>
      <x:c r="E32" s="32"/>
      <x:c r="F32" s="32"/>
      <x:c r="G32" s="32"/>
      <x:c r="H32" s="32"/>
      <x:c r="I32" s="32"/>
      <x:c r="J32" s="32"/>
    </x:row>
    <x:row r="33" ht="42" customHeight="1">
      <x:c r="A33" s="32"/>
      <x:c r="B33" s="54"/>
      <x:c r="C33" s="32"/>
      <x:c r="D33" s="32"/>
      <x:c r="E33" s="32"/>
      <x:c r="F33" s="32"/>
      <x:c r="G33" s="32"/>
      <x:c r="H33" s="32"/>
      <x:c r="I33" s="32"/>
      <x:c r="J33" s="32"/>
    </x:row>
    <x:row r="34" ht="42" customHeight="1">
      <x:c r="A34" s="32"/>
      <x:c r="B34" s="54"/>
      <x:c r="C34" s="32"/>
      <x:c r="D34" s="32"/>
      <x:c r="E34" s="32"/>
      <x:c r="F34" s="32"/>
      <x:c r="G34" s="32"/>
      <x:c r="H34" s="32"/>
      <x:c r="I34" s="32"/>
      <x:c r="J34" s="32"/>
    </x:row>
    <x:row r="35" ht="42" customHeight="1">
      <x:c r="A35" s="32"/>
      <x:c r="B35" s="54"/>
      <x:c r="C35" s="32"/>
      <x:c r="D35" s="32"/>
      <x:c r="E35" s="32"/>
      <x:c r="F35" s="32"/>
      <x:c r="G35" s="32"/>
      <x:c r="H35" s="32"/>
      <x:c r="I35" s="32"/>
      <x:c r="J35" s="32"/>
    </x:row>
    <x:row r="36" ht="42" customHeight="1">
      <x:c r="A36" s="32"/>
      <x:c r="B36" s="54"/>
      <x:c r="C36" s="32"/>
      <x:c r="D36" s="32"/>
      <x:c r="E36" s="32"/>
      <x:c r="F36" s="32"/>
      <x:c r="G36" s="32"/>
      <x:c r="H36" s="32"/>
      <x:c r="I36" s="32"/>
      <x:c r="J36" s="32"/>
    </x:row>
    <x:row r="37" ht="42" customHeight="1">
      <x:c r="A37" s="32"/>
      <x:c r="B37" s="54"/>
      <x:c r="C37" s="32"/>
      <x:c r="D37" s="32"/>
      <x:c r="E37" s="32"/>
      <x:c r="F37" s="32"/>
      <x:c r="G37" s="32"/>
      <x:c r="H37" s="32"/>
      <x:c r="I37" s="32"/>
      <x:c r="J37" s="32"/>
    </x:row>
    <x:row r="38" ht="42" customHeight="1">
      <x:c r="A38" s="32"/>
      <x:c r="B38" s="54"/>
      <x:c r="C38" s="32"/>
      <x:c r="D38" s="32"/>
      <x:c r="E38" s="32"/>
      <x:c r="F38" s="32"/>
      <x:c r="G38" s="32"/>
      <x:c r="H38" s="32"/>
      <x:c r="I38" s="32"/>
      <x:c r="J38" s="32"/>
    </x:row>
    <x:row r="39" ht="42" customHeight="1">
      <x:c r="A39" s="32"/>
      <x:c r="B39" s="54"/>
      <x:c r="C39" s="32"/>
      <x:c r="D39" s="32"/>
      <x:c r="E39" s="32"/>
      <x:c r="F39" s="32"/>
      <x:c r="G39" s="32"/>
      <x:c r="H39" s="32"/>
      <x:c r="I39" s="32"/>
      <x:c r="J39" s="32"/>
    </x:row>
    <x:row r="40" ht="42" customHeight="1">
      <x:c r="A40" s="32"/>
      <x:c r="B40" s="54"/>
      <x:c r="C40" s="32"/>
      <x:c r="D40" s="32"/>
      <x:c r="E40" s="32"/>
      <x:c r="F40" s="32"/>
      <x:c r="G40" s="32"/>
      <x:c r="H40" s="32"/>
      <x:c r="I40" s="32"/>
      <x:c r="J40" s="32"/>
    </x:row>
    <x:row r="41" ht="42" customHeight="1">
      <x:c r="A41" s="32"/>
      <x:c r="B41" s="54"/>
      <x:c r="C41" s="32"/>
      <x:c r="D41" s="32"/>
      <x:c r="E41" s="32"/>
      <x:c r="F41" s="32"/>
      <x:c r="G41" s="32"/>
      <x:c r="H41" s="32"/>
      <x:c r="I41" s="32"/>
      <x:c r="J41" s="32"/>
    </x:row>
    <x:row r="42" ht="42" customHeight="1">
      <x:c r="A42" s="32"/>
      <x:c r="B42" s="54"/>
      <x:c r="C42" s="32"/>
      <x:c r="D42" s="32"/>
      <x:c r="E42" s="32"/>
      <x:c r="F42" s="32"/>
      <x:c r="G42" s="32"/>
      <x:c r="H42" s="32"/>
      <x:c r="I42" s="32"/>
      <x:c r="J42" s="32"/>
    </x:row>
    <x:row r="43" ht="42" customHeight="1">
      <x:c r="A43" s="32"/>
      <x:c r="B43" s="54"/>
      <x:c r="C43" s="32"/>
      <x:c r="D43" s="32"/>
      <x:c r="E43" s="32"/>
      <x:c r="F43" s="32"/>
      <x:c r="G43" s="32"/>
      <x:c r="H43" s="32"/>
      <x:c r="I43" s="32"/>
      <x:c r="J43" s="32"/>
    </x:row>
    <x:row r="44" ht="42" customHeight="1">
      <x:c r="A44" s="32"/>
      <x:c r="B44" s="54"/>
      <x:c r="C44" s="32"/>
      <x:c r="D44" s="32"/>
      <x:c r="E44" s="32"/>
      <x:c r="F44" s="32"/>
      <x:c r="G44" s="32"/>
      <x:c r="H44" s="32"/>
      <x:c r="I44" s="32"/>
      <x:c r="J44" s="32"/>
    </x:row>
    <x:row r="45" ht="42" customHeight="1">
      <x:c r="A45" s="32"/>
      <x:c r="B45" s="54"/>
      <x:c r="C45" s="32"/>
      <x:c r="D45" s="32"/>
      <x:c r="E45" s="32"/>
      <x:c r="F45" s="32"/>
      <x:c r="G45" s="32"/>
      <x:c r="H45" s="32"/>
      <x:c r="I45" s="32"/>
      <x:c r="J45" s="32"/>
    </x:row>
    <x:row r="46" ht="42" customHeight="1">
      <x:c r="A46" s="32"/>
      <x:c r="B46" s="54"/>
      <x:c r="C46" s="32"/>
      <x:c r="D46" s="32"/>
      <x:c r="E46" s="32"/>
      <x:c r="F46" s="32"/>
      <x:c r="G46" s="32"/>
      <x:c r="H46" s="32"/>
      <x:c r="I46" s="32"/>
      <x:c r="J46" s="32"/>
    </x:row>
    <x:row r="47" ht="42" customHeight="1">
      <x:c r="A47" s="32"/>
      <x:c r="B47" s="54"/>
      <x:c r="C47" s="32"/>
      <x:c r="D47" s="32"/>
      <x:c r="E47" s="32"/>
      <x:c r="F47" s="32"/>
      <x:c r="G47" s="32"/>
      <x:c r="H47" s="32"/>
      <x:c r="I47" s="32"/>
      <x:c r="J47" s="32"/>
    </x:row>
    <x:row r="48" ht="42" customHeight="1">
      <x:c r="A48" s="32"/>
      <x:c r="B48" s="54"/>
      <x:c r="C48" s="32"/>
      <x:c r="D48" s="32"/>
      <x:c r="E48" s="32"/>
      <x:c r="F48" s="32"/>
      <x:c r="G48" s="32"/>
      <x:c r="H48" s="32"/>
      <x:c r="I48" s="32"/>
      <x:c r="J48" s="32"/>
    </x:row>
    <x:row r="49" ht="42" customHeight="1">
      <x:c r="A49" s="32"/>
      <x:c r="B49" s="54"/>
      <x:c r="C49" s="32"/>
      <x:c r="D49" s="32"/>
      <x:c r="E49" s="32"/>
      <x:c r="F49" s="32"/>
      <x:c r="G49" s="32"/>
      <x:c r="H49" s="32"/>
      <x:c r="I49" s="32"/>
      <x:c r="J49" s="32"/>
    </x:row>
    <x:row r="50" ht="42" customHeight="1">
      <x:c r="A50" s="32"/>
      <x:c r="B50" s="54"/>
      <x:c r="C50" s="32"/>
      <x:c r="D50" s="32"/>
      <x:c r="E50" s="32"/>
      <x:c r="F50" s="32"/>
      <x:c r="G50" s="32"/>
      <x:c r="H50" s="32"/>
      <x:c r="I50" s="32"/>
      <x:c r="J50" s="32"/>
    </x:row>
    <x:row r="51" ht="42" customHeight="1">
      <x:c r="A51" s="32"/>
      <x:c r="B51" s="54"/>
      <x:c r="C51" s="32"/>
      <x:c r="D51" s="32"/>
      <x:c r="E51" s="32"/>
      <x:c r="F51" s="32"/>
      <x:c r="G51" s="32"/>
      <x:c r="H51" s="32"/>
      <x:c r="I51" s="32"/>
      <x:c r="J51" s="32"/>
    </x:row>
    <x:row r="52" ht="42" customHeight="1">
      <x:c r="A52" s="32"/>
      <x:c r="B52" s="54"/>
      <x:c r="C52" s="32"/>
      <x:c r="D52" s="32"/>
      <x:c r="E52" s="32"/>
      <x:c r="F52" s="32"/>
      <x:c r="G52" s="32"/>
      <x:c r="H52" s="32"/>
      <x:c r="I52" s="32"/>
      <x:c r="J52" s="32"/>
    </x:row>
    <x:row r="53" ht="42" customHeight="1">
      <x:c r="A53" s="32"/>
      <x:c r="B53" s="54"/>
      <x:c r="C53" s="32"/>
      <x:c r="D53" s="32"/>
      <x:c r="E53" s="32"/>
      <x:c r="F53" s="32"/>
      <x:c r="G53" s="32"/>
      <x:c r="H53" s="32"/>
      <x:c r="I53" s="32"/>
      <x:c r="J53" s="32"/>
    </x:row>
    <x:row r="54" ht="42" customHeight="1">
      <x:c r="A54" s="32"/>
      <x:c r="B54" s="54"/>
      <x:c r="C54" s="32"/>
      <x:c r="D54" s="32"/>
      <x:c r="E54" s="32"/>
      <x:c r="F54" s="32"/>
      <x:c r="G54" s="32"/>
      <x:c r="H54" s="32"/>
      <x:c r="I54" s="32"/>
      <x:c r="J54" s="32"/>
    </x:row>
    <x:row r="55" ht="42" customHeight="1">
      <x:c r="A55" s="32"/>
      <x:c r="B55" s="54"/>
      <x:c r="C55" s="32"/>
      <x:c r="D55" s="32"/>
      <x:c r="E55" s="32"/>
      <x:c r="F55" s="32"/>
      <x:c r="G55" s="32"/>
      <x:c r="H55" s="32"/>
      <x:c r="I55" s="32"/>
      <x:c r="J55" s="32"/>
    </x:row>
    <x:row r="56" ht="42" customHeight="1">
      <x:c r="A56" s="32"/>
      <x:c r="B56" s="54"/>
      <x:c r="C56" s="32"/>
      <x:c r="D56" s="32"/>
      <x:c r="E56" s="32"/>
      <x:c r="F56" s="32"/>
      <x:c r="G56" s="32"/>
      <x:c r="H56" s="32"/>
      <x:c r="I56" s="32"/>
      <x:c r="J56" s="32"/>
    </x:row>
    <x:row r="57" ht="42" customHeight="1">
      <x:c r="A57" s="32"/>
      <x:c r="B57" s="54"/>
      <x:c r="C57" s="32"/>
      <x:c r="D57" s="32"/>
      <x:c r="E57" s="32"/>
      <x:c r="F57" s="32"/>
      <x:c r="G57" s="32"/>
      <x:c r="H57" s="32"/>
      <x:c r="I57" s="32"/>
      <x:c r="J57" s="32"/>
    </x:row>
    <x:row r="58" ht="42" customHeight="1">
      <x:c r="A58" s="32"/>
      <x:c r="B58" s="54"/>
      <x:c r="C58" s="32"/>
      <x:c r="D58" s="32"/>
      <x:c r="E58" s="32"/>
      <x:c r="F58" s="32"/>
      <x:c r="G58" s="32"/>
      <x:c r="H58" s="32"/>
      <x:c r="I58" s="32"/>
      <x:c r="J58" s="32"/>
    </x:row>
    <x:row r="59" ht="42" customHeight="1">
      <x:c r="A59" s="32"/>
      <x:c r="B59" s="54"/>
      <x:c r="C59" s="32"/>
      <x:c r="D59" s="32"/>
      <x:c r="E59" s="32"/>
      <x:c r="F59" s="32"/>
      <x:c r="G59" s="32"/>
      <x:c r="H59" s="32"/>
      <x:c r="I59" s="32"/>
      <x:c r="J59" s="32"/>
    </x:row>
    <x:row r="60" ht="42" customHeight="1">
      <x:c r="A60" s="32"/>
      <x:c r="B60" s="54"/>
      <x:c r="C60" s="32"/>
      <x:c r="D60" s="32"/>
      <x:c r="E60" s="32"/>
      <x:c r="F60" s="32"/>
      <x:c r="G60" s="32"/>
      <x:c r="H60" s="32"/>
      <x:c r="I60" s="32"/>
      <x:c r="J60" s="32"/>
    </x:row>
    <x:row r="61" ht="42" customHeight="1">
      <x:c r="A61" s="32"/>
      <x:c r="B61" s="54"/>
      <x:c r="C61" s="32"/>
      <x:c r="D61" s="32"/>
      <x:c r="E61" s="32"/>
      <x:c r="F61" s="32"/>
      <x:c r="G61" s="32"/>
      <x:c r="H61" s="32"/>
      <x:c r="I61" s="32"/>
      <x:c r="J61" s="32"/>
    </x:row>
    <x:row r="62" ht="42" customHeight="1">
      <x:c r="A62" s="32"/>
      <x:c r="B62" s="54"/>
      <x:c r="C62" s="32"/>
      <x:c r="D62" s="32"/>
      <x:c r="E62" s="32"/>
      <x:c r="F62" s="32"/>
      <x:c r="G62" s="32"/>
      <x:c r="H62" s="32"/>
      <x:c r="I62" s="32"/>
      <x:c r="J62" s="32"/>
    </x:row>
    <x:row r="63" ht="42" customHeight="1">
      <x:c r="A63" s="32"/>
      <x:c r="B63" s="54"/>
      <x:c r="C63" s="32"/>
      <x:c r="D63" s="32"/>
      <x:c r="E63" s="32"/>
      <x:c r="F63" s="32"/>
      <x:c r="G63" s="32"/>
      <x:c r="H63" s="32"/>
      <x:c r="I63" s="32"/>
      <x:c r="J63" s="32"/>
    </x:row>
    <x:row r="64" ht="42" customHeight="1">
      <x:c r="A64" s="32"/>
      <x:c r="B64" s="54"/>
      <x:c r="C64" s="32"/>
      <x:c r="D64" s="32"/>
      <x:c r="E64" s="32"/>
      <x:c r="F64" s="32"/>
      <x:c r="G64" s="32"/>
      <x:c r="H64" s="32"/>
      <x:c r="I64" s="32"/>
      <x:c r="J64" s="32"/>
    </x:row>
    <x:row r="65" ht="42" customHeight="1">
      <x:c r="A65" s="32"/>
      <x:c r="B65" s="54"/>
      <x:c r="C65" s="32"/>
      <x:c r="D65" s="32"/>
      <x:c r="E65" s="32"/>
      <x:c r="F65" s="32"/>
      <x:c r="G65" s="32"/>
      <x:c r="H65" s="32"/>
      <x:c r="I65" s="32"/>
      <x:c r="J65" s="32"/>
    </x:row>
    <x:row r="66" ht="42" customHeight="1">
      <x:c r="A66" s="32"/>
      <x:c r="B66" s="54"/>
      <x:c r="C66" s="32"/>
      <x:c r="D66" s="32"/>
      <x:c r="E66" s="32"/>
      <x:c r="F66" s="32"/>
      <x:c r="G66" s="32"/>
      <x:c r="H66" s="32"/>
      <x:c r="I66" s="32"/>
      <x:c r="J66" s="32"/>
    </x:row>
    <x:row r="67" ht="42" customHeight="1">
      <x:c r="A67" s="32"/>
      <x:c r="B67" s="54"/>
      <x:c r="C67" s="32"/>
      <x:c r="D67" s="32"/>
      <x:c r="E67" s="32"/>
      <x:c r="F67" s="32"/>
      <x:c r="G67" s="32"/>
      <x:c r="H67" s="32"/>
      <x:c r="I67" s="32"/>
      <x:c r="J67" s="32"/>
    </x:row>
    <x:row r="68" ht="42" customHeight="1">
      <x:c r="A68" s="32"/>
      <x:c r="B68" s="54"/>
      <x:c r="C68" s="32"/>
      <x:c r="D68" s="32"/>
      <x:c r="E68" s="32"/>
      <x:c r="F68" s="32"/>
      <x:c r="G68" s="32"/>
      <x:c r="H68" s="32"/>
      <x:c r="I68" s="32"/>
      <x:c r="J68" s="32"/>
    </x:row>
    <x:row r="69" ht="42" customHeight="1">
      <x:c r="A69" s="32"/>
      <x:c r="B69" s="54"/>
      <x:c r="C69" s="32"/>
      <x:c r="D69" s="32"/>
      <x:c r="E69" s="32"/>
      <x:c r="F69" s="32"/>
      <x:c r="G69" s="32"/>
      <x:c r="H69" s="32"/>
      <x:c r="I69" s="32"/>
      <x:c r="J69" s="32"/>
    </x:row>
    <x:row r="70" ht="42" customHeight="1">
      <x:c r="A70" s="32"/>
      <x:c r="B70" s="54"/>
      <x:c r="C70" s="32"/>
      <x:c r="D70" s="32"/>
      <x:c r="E70" s="32"/>
      <x:c r="F70" s="32"/>
      <x:c r="G70" s="32"/>
      <x:c r="H70" s="32"/>
      <x:c r="I70" s="32"/>
      <x:c r="J70" s="32"/>
    </x:row>
    <x:row r="71" ht="42" customHeight="1">
      <x:c r="A71" s="32"/>
      <x:c r="B71" s="54"/>
      <x:c r="C71" s="32"/>
      <x:c r="D71" s="32"/>
      <x:c r="E71" s="32"/>
      <x:c r="F71" s="32"/>
      <x:c r="G71" s="32"/>
      <x:c r="H71" s="32"/>
      <x:c r="I71" s="32"/>
      <x:c r="J71" s="32"/>
    </x:row>
    <x:row r="72" ht="42" customHeight="1">
      <x:c r="A72" s="32"/>
      <x:c r="B72" s="54"/>
      <x:c r="C72" s="32"/>
      <x:c r="D72" s="32"/>
      <x:c r="E72" s="32"/>
      <x:c r="F72" s="32"/>
      <x:c r="G72" s="32"/>
      <x:c r="H72" s="32"/>
      <x:c r="I72" s="32"/>
      <x:c r="J72" s="32"/>
    </x:row>
    <x:row r="73" ht="42" customHeight="1">
      <x:c r="A73" s="32"/>
      <x:c r="B73" s="54"/>
      <x:c r="C73" s="32"/>
      <x:c r="D73" s="32"/>
      <x:c r="E73" s="32"/>
      <x:c r="F73" s="32"/>
      <x:c r="G73" s="32"/>
      <x:c r="H73" s="32"/>
      <x:c r="I73" s="32"/>
      <x:c r="J73" s="32"/>
    </x:row>
    <x:row r="74" ht="42" customHeight="1">
      <x:c r="A74" s="32"/>
      <x:c r="B74" s="54"/>
      <x:c r="C74" s="32"/>
      <x:c r="D74" s="32"/>
      <x:c r="E74" s="32"/>
      <x:c r="F74" s="32"/>
      <x:c r="G74" s="32"/>
      <x:c r="H74" s="32"/>
      <x:c r="I74" s="32"/>
      <x:c r="J74" s="32"/>
    </x:row>
    <x:row r="75" ht="42" customHeight="1">
      <x:c r="A75" s="32"/>
      <x:c r="B75" s="54"/>
      <x:c r="C75" s="32"/>
      <x:c r="D75" s="32"/>
      <x:c r="E75" s="32"/>
      <x:c r="F75" s="32"/>
      <x:c r="G75" s="32"/>
      <x:c r="H75" s="32"/>
      <x:c r="I75" s="32"/>
      <x:c r="J75" s="32"/>
    </x:row>
    <x:row r="76" ht="42" customHeight="1">
      <x:c r="A76" s="32"/>
      <x:c r="B76" s="54"/>
      <x:c r="C76" s="32"/>
      <x:c r="D76" s="32"/>
      <x:c r="E76" s="32"/>
      <x:c r="F76" s="32"/>
      <x:c r="G76" s="32"/>
      <x:c r="H76" s="32"/>
      <x:c r="I76" s="32"/>
      <x:c r="J76" s="32"/>
    </x:row>
    <x:row r="77" ht="42" customHeight="1">
      <x:c r="A77" s="32"/>
      <x:c r="B77" s="54"/>
      <x:c r="C77" s="32"/>
      <x:c r="D77" s="32"/>
      <x:c r="E77" s="32"/>
      <x:c r="F77" s="32"/>
      <x:c r="G77" s="32"/>
      <x:c r="H77" s="32"/>
      <x:c r="I77" s="32"/>
      <x:c r="J77" s="32"/>
    </x:row>
    <x:row r="78" ht="42" customHeight="1">
      <x:c r="A78" s="32"/>
      <x:c r="B78" s="54"/>
      <x:c r="C78" s="32"/>
      <x:c r="D78" s="32"/>
      <x:c r="E78" s="32"/>
      <x:c r="F78" s="32"/>
      <x:c r="G78" s="32"/>
      <x:c r="H78" s="32"/>
      <x:c r="I78" s="32"/>
      <x:c r="J78" s="32"/>
    </x:row>
    <x:row r="79" ht="42" customHeight="1">
      <x:c r="A79" s="32"/>
      <x:c r="B79" s="54"/>
      <x:c r="C79" s="32"/>
      <x:c r="D79" s="32"/>
      <x:c r="E79" s="32"/>
      <x:c r="F79" s="32"/>
      <x:c r="G79" s="32"/>
      <x:c r="H79" s="32"/>
      <x:c r="I79" s="32"/>
      <x:c r="J79" s="32"/>
    </x:row>
    <x:row r="80" ht="42" customHeight="1">
      <x:c r="A80" s="32"/>
      <x:c r="B80" s="54"/>
      <x:c r="C80" s="32"/>
      <x:c r="D80" s="32"/>
      <x:c r="E80" s="32"/>
      <x:c r="F80" s="32"/>
      <x:c r="G80" s="32"/>
      <x:c r="H80" s="32"/>
      <x:c r="I80" s="32"/>
      <x:c r="J80" s="32"/>
    </x:row>
    <x:row r="81" ht="42" customHeight="1">
      <x:c r="A81" s="32"/>
      <x:c r="B81" s="54"/>
      <x:c r="C81" s="32"/>
      <x:c r="D81" s="32"/>
      <x:c r="E81" s="32"/>
      <x:c r="F81" s="32"/>
      <x:c r="G81" s="32"/>
      <x:c r="H81" s="32"/>
      <x:c r="I81" s="32"/>
      <x:c r="J81" s="32"/>
    </x:row>
    <x:row r="82" ht="42" customHeight="1">
      <x:c r="A82" s="32"/>
      <x:c r="B82" s="54"/>
      <x:c r="C82" s="32"/>
      <x:c r="D82" s="32"/>
      <x:c r="E82" s="32"/>
      <x:c r="F82" s="32"/>
      <x:c r="G82" s="32"/>
      <x:c r="H82" s="32"/>
      <x:c r="I82" s="32"/>
      <x:c r="J82" s="32"/>
    </x:row>
    <x:row r="83" ht="42" customHeight="1">
      <x:c r="A83" s="32"/>
      <x:c r="B83" s="54"/>
      <x:c r="C83" s="32"/>
      <x:c r="D83" s="32"/>
      <x:c r="E83" s="32"/>
      <x:c r="F83" s="32"/>
      <x:c r="G83" s="32"/>
      <x:c r="H83" s="32"/>
      <x:c r="I83" s="32"/>
      <x:c r="J83" s="32"/>
    </x:row>
    <x:row r="84" ht="42" customHeight="1">
      <x:c r="A84" s="32"/>
      <x:c r="B84" s="54"/>
      <x:c r="C84" s="32"/>
      <x:c r="D84" s="32"/>
      <x:c r="E84" s="32"/>
      <x:c r="F84" s="32"/>
      <x:c r="G84" s="32"/>
      <x:c r="H84" s="32"/>
      <x:c r="I84" s="32"/>
      <x:c r="J84" s="32"/>
    </x:row>
    <x:row r="85" ht="42" customHeight="1">
      <x:c r="A85" s="32"/>
      <x:c r="B85" s="54"/>
      <x:c r="C85" s="32"/>
      <x:c r="D85" s="32"/>
      <x:c r="E85" s="32"/>
      <x:c r="F85" s="32"/>
      <x:c r="G85" s="32"/>
      <x:c r="H85" s="32"/>
      <x:c r="I85" s="32"/>
      <x:c r="J85" s="32"/>
    </x:row>
    <x:row r="86" ht="42" customHeight="1">
      <x:c r="A86" s="32"/>
      <x:c r="B86" s="54"/>
      <x:c r="C86" s="32"/>
      <x:c r="D86" s="32"/>
      <x:c r="E86" s="32"/>
      <x:c r="F86" s="32"/>
      <x:c r="G86" s="32"/>
      <x:c r="H86" s="32"/>
      <x:c r="I86" s="32"/>
      <x:c r="J86" s="32"/>
    </x:row>
    <x:row r="87" ht="42" customHeight="1">
      <x:c r="A87" s="32"/>
      <x:c r="B87" s="54"/>
      <x:c r="C87" s="32"/>
      <x:c r="D87" s="32"/>
      <x:c r="E87" s="32"/>
      <x:c r="F87" s="32"/>
      <x:c r="G87" s="32"/>
      <x:c r="H87" s="32"/>
      <x:c r="I87" s="32"/>
      <x:c r="J87" s="32"/>
    </x:row>
    <x:row r="88" ht="42" customHeight="1">
      <x:c r="A88" s="32"/>
      <x:c r="B88" s="54"/>
      <x:c r="C88" s="32"/>
      <x:c r="D88" s="32"/>
      <x:c r="E88" s="32"/>
      <x:c r="F88" s="32"/>
      <x:c r="G88" s="32"/>
      <x:c r="H88" s="32"/>
      <x:c r="I88" s="32"/>
      <x:c r="J88" s="32"/>
    </x:row>
    <x:row r="89" ht="42" customHeight="1">
      <x:c r="A89" s="32"/>
      <x:c r="B89" s="54"/>
      <x:c r="C89" s="32"/>
      <x:c r="D89" s="32"/>
      <x:c r="E89" s="32"/>
      <x:c r="F89" s="32"/>
      <x:c r="G89" s="32"/>
      <x:c r="H89" s="32"/>
      <x:c r="I89" s="32"/>
      <x:c r="J89" s="32"/>
    </x:row>
    <x:row r="90" ht="42" customHeight="1">
      <x:c r="A90" s="32"/>
      <x:c r="B90" s="54"/>
      <x:c r="C90" s="32"/>
      <x:c r="D90" s="32"/>
      <x:c r="E90" s="32"/>
      <x:c r="F90" s="32"/>
      <x:c r="G90" s="32"/>
      <x:c r="H90" s="32"/>
      <x:c r="I90" s="32"/>
      <x:c r="J90" s="32"/>
    </x:row>
    <x:row r="91" ht="42" customHeight="1">
      <x:c r="A91" s="32"/>
      <x:c r="B91" s="54"/>
      <x:c r="C91" s="32"/>
      <x:c r="D91" s="32"/>
      <x:c r="E91" s="32"/>
      <x:c r="F91" s="32"/>
      <x:c r="G91" s="32"/>
      <x:c r="H91" s="32"/>
      <x:c r="I91" s="32"/>
      <x:c r="J91" s="32"/>
    </x:row>
    <x:row r="92" ht="42" customHeight="1">
      <x:c r="A92" s="32"/>
      <x:c r="B92" s="54"/>
      <x:c r="C92" s="32"/>
      <x:c r="D92" s="32"/>
      <x:c r="E92" s="32"/>
      <x:c r="F92" s="32"/>
      <x:c r="G92" s="32"/>
      <x:c r="H92" s="32"/>
      <x:c r="I92" s="32"/>
      <x:c r="J92" s="32"/>
    </x:row>
    <x:row r="93" ht="42" customHeight="1">
      <x:c r="A93" s="32"/>
      <x:c r="B93" s="54"/>
      <x:c r="C93" s="32"/>
      <x:c r="D93" s="32"/>
      <x:c r="E93" s="32"/>
      <x:c r="F93" s="32"/>
      <x:c r="G93" s="32"/>
      <x:c r="H93" s="32"/>
      <x:c r="I93" s="32"/>
      <x:c r="J93" s="32"/>
    </x:row>
    <x:row r="94" ht="42" customHeight="1">
      <x:c r="A94" s="32"/>
      <x:c r="B94" s="54"/>
      <x:c r="C94" s="32"/>
      <x:c r="D94" s="32"/>
      <x:c r="E94" s="32"/>
      <x:c r="F94" s="32"/>
      <x:c r="G94" s="32"/>
      <x:c r="H94" s="32"/>
      <x:c r="I94" s="32"/>
      <x:c r="J94" s="32"/>
    </x:row>
    <x:row r="95" ht="42" customHeight="1">
      <x:c r="A95" s="32"/>
      <x:c r="B95" s="54"/>
      <x:c r="C95" s="32"/>
      <x:c r="D95" s="32"/>
      <x:c r="E95" s="32"/>
      <x:c r="F95" s="32"/>
      <x:c r="G95" s="32"/>
      <x:c r="H95" s="32"/>
      <x:c r="I95" s="32"/>
      <x:c r="J95" s="32"/>
    </x:row>
    <x:row r="96" ht="42" customHeight="1">
      <x:c r="A96" s="32"/>
      <x:c r="B96" s="54"/>
      <x:c r="C96" s="32"/>
      <x:c r="D96" s="32"/>
      <x:c r="E96" s="32"/>
      <x:c r="F96" s="32"/>
      <x:c r="G96" s="32"/>
      <x:c r="H96" s="32"/>
      <x:c r="I96" s="32"/>
      <x:c r="J96" s="32"/>
    </x:row>
    <x:row r="97" ht="42" customHeight="1">
      <x:c r="A97" s="32"/>
      <x:c r="B97" s="54"/>
      <x:c r="C97" s="32"/>
      <x:c r="D97" s="32"/>
      <x:c r="E97" s="32"/>
      <x:c r="F97" s="32"/>
      <x:c r="G97" s="32"/>
      <x:c r="H97" s="32"/>
      <x:c r="I97" s="32"/>
      <x:c r="J97" s="32"/>
    </x:row>
    <x:row r="98" ht="42" customHeight="1">
      <x:c r="A98" s="32"/>
      <x:c r="B98" s="54"/>
      <x:c r="C98" s="32"/>
      <x:c r="D98" s="32"/>
      <x:c r="E98" s="32"/>
      <x:c r="F98" s="32"/>
      <x:c r="G98" s="32"/>
      <x:c r="H98" s="32"/>
      <x:c r="I98" s="32"/>
      <x:c r="J98" s="32"/>
    </x:row>
    <x:row r="99" ht="42" customHeight="1">
      <x:c r="A99" s="32"/>
      <x:c r="B99" s="54"/>
      <x:c r="C99" s="32"/>
      <x:c r="D99" s="32"/>
      <x:c r="E99" s="32"/>
      <x:c r="F99" s="32"/>
      <x:c r="G99" s="32"/>
      <x:c r="H99" s="32"/>
      <x:c r="I99" s="32"/>
      <x:c r="J99" s="32"/>
    </x:row>
    <x:row r="100" ht="42" customHeight="1">
      <x:c r="A100" s="32"/>
      <x:c r="B100" s="54"/>
      <x:c r="C100" s="32"/>
      <x:c r="D100" s="32"/>
      <x:c r="E100" s="32"/>
      <x:c r="F100" s="32"/>
      <x:c r="G100" s="32"/>
      <x:c r="H100" s="32"/>
      <x:c r="I100" s="32"/>
      <x:c r="J100" s="32"/>
    </x:row>
    <x:row r="101" ht="42" customHeight="1">
      <x:c r="A101" s="32"/>
      <x:c r="B101" s="54"/>
      <x:c r="C101" s="32"/>
      <x:c r="D101" s="32"/>
      <x:c r="E101" s="32"/>
      <x:c r="F101" s="32"/>
      <x:c r="G101" s="32"/>
      <x:c r="H101" s="32"/>
      <x:c r="I101" s="32"/>
      <x:c r="J101" s="32"/>
    </x:row>
    <x:row r="102" ht="42" customHeight="1">
      <x:c r="A102" s="32"/>
      <x:c r="B102" s="54"/>
      <x:c r="C102" s="32"/>
      <x:c r="D102" s="32"/>
      <x:c r="E102" s="32"/>
      <x:c r="F102" s="32"/>
      <x:c r="G102" s="32"/>
      <x:c r="H102" s="32"/>
      <x:c r="I102" s="32"/>
      <x:c r="J102" s="32"/>
    </x:row>
    <x:row r="103" ht="42" customHeight="1">
      <x:c r="A103" s="32"/>
      <x:c r="B103" s="54"/>
      <x:c r="C103" s="32"/>
      <x:c r="D103" s="32"/>
      <x:c r="E103" s="32"/>
      <x:c r="F103" s="32"/>
      <x:c r="G103" s="32"/>
      <x:c r="H103" s="32"/>
      <x:c r="I103" s="32"/>
      <x:c r="J103" s="32"/>
    </x:row>
    <x:row r="104" ht="42" customHeight="1">
      <x:c r="A104" s="32"/>
      <x:c r="B104" s="54"/>
      <x:c r="C104" s="32"/>
      <x:c r="D104" s="32"/>
      <x:c r="E104" s="32"/>
      <x:c r="F104" s="32"/>
      <x:c r="G104" s="32"/>
      <x:c r="H104" s="32"/>
      <x:c r="I104" s="32"/>
      <x:c r="J104" s="32"/>
    </x:row>
  </x:sheetData>
  <x:mergeCells>
    <x:mergeCell ref="A1:J1"/>
    <x:mergeCell ref="A2:J2"/>
  </x:mergeCells>
  <x:dataValidations count="2">
    <x:dataValidation type="list" sqref="I5:I104">
      <x:formula1>'Справочники'!$A$4:$A$8</x:formula1>
    </x:dataValidation>
    <x:dataValidation type="list" sqref="C5:C104">
      <x:formula1>"Отзывы,Сайт конкурента,Тарифы,Описание функций,Кейс,FAQ,Документация,Реклама,Сообщество"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7c85a7cc7b47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58" hidden="0" customWidth="1"/>
    <x:col min="5" max="5" width="13" hidden="0" customWidth="1"/>
    <x:col min="6" max="6" width="15" hidden="0" customWidth="1"/>
    <x:col min="7" max="7" width="13" hidden="0" customWidth="1"/>
    <x:col min="8" max="8" width="22" hidden="0" customWidth="1"/>
    <x:col min="9" max="9" width="18" hidden="0" customWidth="1"/>
    <x:col min="10" max="10" width="17" hidden="0" customWidth="1"/>
    <x:col min="11" max="11" width="16" hidden="0" customWidth="1"/>
    <x:col min="12" max="12" width="16" hidden="0" customWidth="1"/>
    <x:col min="13" max="13" width="34" hidden="0" customWidth="1"/>
  </x:cols>
  <x:sheetData>
    <x:row r="1" ht="28" customHeight="1">
      <x:c r="A1" s="6" t="str">
        <x:v>Анализ проблем клиентов</x:v>
      </x:c>
    </x:row>
    <x:row r="2" ht="34" customHeight="1">
      <x:c r="A2" s="16" t="str">
        <x:v>Приоритет проблемы рассчитывается по частоте, интенсивности, срочности, незакрытости конкурентами, готовности платить и доказательности.</x:v>
      </x:c>
    </x:row>
    <x:row r="4" ht="34" customHeight="1">
      <x:c r="A4" s="25" t="str">
        <x:v>ID проблемы</x:v>
      </x:c>
      <x:c r="B4" s="25" t="str">
        <x:v>Сегмент</x:v>
      </x:c>
      <x:c r="C4" s="25" t="str">
        <x:v>Тип проблемы</x:v>
      </x:c>
      <x:c r="D4" s="25" t="str">
        <x:v>Формулировка проблемы клиента</x:v>
      </x:c>
      <x:c r="E4" s="25" t="str">
        <x:v>Частота 1–5</x:v>
      </x:c>
      <x:c r="F4" s="25" t="str">
        <x:v>Интенсивность 1–5</x:v>
      </x:c>
      <x:c r="G4" s="25" t="str">
        <x:v>Срочность 1–5</x:v>
      </x:c>
      <x:c r="H4" s="25" t="str">
        <x:v>Незакрытость конкурентами 1–5</x:v>
      </x:c>
      <x:c r="I4" s="25" t="str">
        <x:v>Готовность платить 1–5</x:v>
      </x:c>
      <x:c r="J4" s="25" t="str">
        <x:v>Доказательность 1–5</x:v>
      </x:c>
      <x:c r="K4" s="25" t="str">
        <x:v>Индекс проблемы</x:v>
      </x:c>
      <x:c r="L4" s="25" t="str">
        <x:v>Приоритет</x:v>
      </x:c>
      <x:c r="M4" s="25" t="str">
        <x:v>Комментарий</x:v>
      </x:c>
    </x:row>
    <x:row r="5" ht="42" customHeight="1">
      <x:c r="A5" s="32" t="str">
        <x:v>P-001</x:v>
      </x:c>
      <x:c r="B5" s="32" t="str">
        <x:v>B2B</x:v>
      </x:c>
      <x:c r="C5" s="32" t="str">
        <x:v>Организационная</x:v>
      </x:c>
      <x:c r="D5" s="32" t="str">
        <x:v>Клиент тратит слишком много времени на первичную настройку и не понимает, как быстро получить первый результат.</x:v>
      </x:c>
      <x:c r="E5" s="32" t="n">
        <x:v>4</x:v>
      </x:c>
      <x:c r="F5" s="32" t="n">
        <x:v>5</x:v>
      </x:c>
      <x:c r="G5" s="32" t="n">
        <x:v>4</x:v>
      </x:c>
      <x:c r="H5" s="32" t="n">
        <x:v>4</x:v>
      </x:c>
      <x:c r="I5" s="32" t="n">
        <x:v>4</x:v>
      </x:c>
      <x:c r="J5" s="32" t="n">
        <x:v>4</x:v>
      </x:c>
      <x:c r="K5" s="32" t="n">
        <x:f>IF(COUNTA(E5:J5)=0,"",ROUND(((E5*0.18)+(F5*0.22)+(G5*0.18)+(H5*0.20)+(I5*0.14)+(J5*0.08))*20,0))</x:f>
        <x:v>84</x:v>
      </x:c>
      <x:c r="L5" s="32" t="str">
        <x:f>IF(K5="","",IF(K5&gt;=80,"Критический",IF(K5&gt;=65,"Высокий",IF(K5&gt;=45,"Средний","Низкий"))))</x:f>
        <x:v>Критический</x:v>
      </x:c>
      <x:c r="M5" s="32" t="str">
        <x:v>Пример, замените на реальные данные.</x:v>
      </x:c>
    </x:row>
    <x:row r="6" ht="42" customHeight="1">
      <x:c r="A6" s="32" t="str">
        <x:v>P-002</x:v>
      </x:c>
      <x:c r="B6" s="32" t="str">
        <x:v>B2B</x:v>
      </x:c>
      <x:c r="C6" s="32" t="str">
        <x:v>Информационная</x:v>
      </x:c>
      <x:c r="D6" s="32" t="str">
        <x:v>Руководитель не видит прозрачной картины эффективности процесса и не может быстро принять решение.</x:v>
      </x:c>
      <x:c r="E6" s="32" t="n">
        <x:v>3</x:v>
      </x:c>
      <x:c r="F6" s="32" t="n">
        <x:v>4</x:v>
      </x:c>
      <x:c r="G6" s="32" t="n">
        <x:v>4</x:v>
      </x:c>
      <x:c r="H6" s="32" t="n">
        <x:v>3</x:v>
      </x:c>
      <x:c r="I6" s="32" t="n">
        <x:v>4</x:v>
      </x:c>
      <x:c r="J6" s="32" t="n">
        <x:v>3</x:v>
      </x:c>
      <x:c r="K6" s="32" t="n">
        <x:f>IF(COUNTA(E6:J6)=0,"",ROUND(((E6*0.18)+(F6*0.22)+(G6*0.18)+(H6*0.20)+(I6*0.14)+(J6*0.08))*20,0))</x:f>
        <x:v>71</x:v>
      </x:c>
      <x:c r="L6" s="32" t="str">
        <x:f>IF(K6="","",IF(K6&gt;=80,"Критический",IF(K6&gt;=65,"Высокий",IF(K6&gt;=45,"Средний","Низкий"))))</x:f>
        <x:v>Высокий</x:v>
      </x:c>
      <x:c r="M6" s="32" t="str">
        <x:v>Пример, замените на реальные данные.</x:v>
      </x:c>
    </x:row>
    <x:row r="7" ht="42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 t="str">
        <x:f>IF(COUNTA(E7:J7)=0,"",ROUND(((E7*0.18)+(F7*0.22)+(G7*0.18)+(H7*0.20)+(I7*0.14)+(J7*0.08))*20,0))</x:f>
      </x:c>
      <x:c r="L7" s="32" t="str">
        <x:f>IF(K7="","",IF(K7&gt;=80,"Критический",IF(K7&gt;=65,"Высокий",IF(K7&gt;=45,"Средний","Низкий"))))</x:f>
      </x:c>
      <x:c r="M7" s="32"/>
    </x:row>
    <x:row r="8" ht="42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 t="str">
        <x:f>IF(COUNTA(E8:J8)=0,"",ROUND(((E8*0.18)+(F8*0.22)+(G8*0.18)+(H8*0.20)+(I8*0.14)+(J8*0.08))*20,0))</x:f>
      </x:c>
      <x:c r="L8" s="32" t="str">
        <x:f>IF(K8="","",IF(K8&gt;=80,"Критический",IF(K8&gt;=65,"Высокий",IF(K8&gt;=45,"Средний","Низкий"))))</x:f>
      </x:c>
      <x:c r="M8" s="32"/>
    </x:row>
    <x:row r="9" ht="42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 t="str">
        <x:f>IF(COUNTA(E9:J9)=0,"",ROUND(((E9*0.18)+(F9*0.22)+(G9*0.18)+(H9*0.20)+(I9*0.14)+(J9*0.08))*20,0))</x:f>
      </x:c>
      <x:c r="L9" s="32" t="str">
        <x:f>IF(K9="","",IF(K9&gt;=80,"Критический",IF(K9&gt;=65,"Высокий",IF(K9&gt;=45,"Средний","Низкий"))))</x:f>
      </x:c>
      <x:c r="M9" s="32"/>
    </x:row>
    <x:row r="10" ht="42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 t="str">
        <x:f>IF(COUNTA(E10:J10)=0,"",ROUND(((E10*0.18)+(F10*0.22)+(G10*0.18)+(H10*0.20)+(I10*0.14)+(J10*0.08))*20,0))</x:f>
      </x:c>
      <x:c r="L10" s="32" t="str">
        <x:f>IF(K10="","",IF(K10&gt;=80,"Критический",IF(K10&gt;=65,"Высокий",IF(K10&gt;=45,"Средний","Низкий"))))</x:f>
      </x:c>
      <x:c r="M10" s="32"/>
    </x:row>
    <x:row r="11" ht="42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 t="str">
        <x:f>IF(COUNTA(E11:J11)=0,"",ROUND(((E11*0.18)+(F11*0.22)+(G11*0.18)+(H11*0.20)+(I11*0.14)+(J11*0.08))*20,0))</x:f>
      </x:c>
      <x:c r="L11" s="32" t="str">
        <x:f>IF(K11="","",IF(K11&gt;=80,"Критический",IF(K11&gt;=65,"Высокий",IF(K11&gt;=45,"Средний","Низкий"))))</x:f>
      </x:c>
      <x:c r="M11" s="32"/>
    </x:row>
    <x:row r="12" ht="42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 t="str">
        <x:f>IF(COUNTA(E12:J12)=0,"",ROUND(((E12*0.18)+(F12*0.22)+(G12*0.18)+(H12*0.20)+(I12*0.14)+(J12*0.08))*20,0))</x:f>
      </x:c>
      <x:c r="L12" s="32" t="str">
        <x:f>IF(K12="","",IF(K12&gt;=80,"Критический",IF(K12&gt;=65,"Высокий",IF(K12&gt;=45,"Средний","Низкий"))))</x:f>
      </x:c>
      <x:c r="M12" s="32"/>
    </x:row>
    <x:row r="13" ht="42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 t="str">
        <x:f>IF(COUNTA(E13:J13)=0,"",ROUND(((E13*0.18)+(F13*0.22)+(G13*0.18)+(H13*0.20)+(I13*0.14)+(J13*0.08))*20,0))</x:f>
      </x:c>
      <x:c r="L13" s="32" t="str">
        <x:f>IF(K13="","",IF(K13&gt;=80,"Критический",IF(K13&gt;=65,"Высокий",IF(K13&gt;=45,"Средний","Низкий"))))</x:f>
      </x:c>
      <x:c r="M13" s="32"/>
    </x:row>
    <x:row r="14" ht="42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 t="str">
        <x:f>IF(COUNTA(E14:J14)=0,"",ROUND(((E14*0.18)+(F14*0.22)+(G14*0.18)+(H14*0.20)+(I14*0.14)+(J14*0.08))*20,0))</x:f>
      </x:c>
      <x:c r="L14" s="32" t="str">
        <x:f>IF(K14="","",IF(K14&gt;=80,"Критический",IF(K14&gt;=65,"Высокий",IF(K14&gt;=45,"Средний","Низкий"))))</x:f>
      </x:c>
      <x:c r="M14" s="32"/>
    </x:row>
    <x:row r="15" ht="42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 t="str">
        <x:f>IF(COUNTA(E15:J15)=0,"",ROUND(((E15*0.18)+(F15*0.22)+(G15*0.18)+(H15*0.20)+(I15*0.14)+(J15*0.08))*20,0))</x:f>
      </x:c>
      <x:c r="L15" s="32" t="str">
        <x:f>IF(K15="","",IF(K15&gt;=80,"Критический",IF(K15&gt;=65,"Высокий",IF(K15&gt;=45,"Средний","Низкий"))))</x:f>
      </x:c>
      <x:c r="M15" s="32"/>
    </x:row>
    <x:row r="16" ht="42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 t="str">
        <x:f>IF(COUNTA(E16:J16)=0,"",ROUND(((E16*0.18)+(F16*0.22)+(G16*0.18)+(H16*0.20)+(I16*0.14)+(J16*0.08))*20,0))</x:f>
      </x:c>
      <x:c r="L16" s="32" t="str">
        <x:f>IF(K16="","",IF(K16&gt;=80,"Критический",IF(K16&gt;=65,"Высокий",IF(K16&gt;=45,"Средний","Низкий"))))</x:f>
      </x:c>
      <x:c r="M16" s="32"/>
    </x:row>
    <x:row r="17" ht="42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 t="str">
        <x:f>IF(COUNTA(E17:J17)=0,"",ROUND(((E17*0.18)+(F17*0.22)+(G17*0.18)+(H17*0.20)+(I17*0.14)+(J17*0.08))*20,0))</x:f>
      </x:c>
      <x:c r="L17" s="32" t="str">
        <x:f>IF(K17="","",IF(K17&gt;=80,"Критический",IF(K17&gt;=65,"Высокий",IF(K17&gt;=45,"Средний","Низкий"))))</x:f>
      </x:c>
      <x:c r="M17" s="32"/>
    </x:row>
    <x:row r="18" ht="42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 t="str">
        <x:f>IF(COUNTA(E18:J18)=0,"",ROUND(((E18*0.18)+(F18*0.22)+(G18*0.18)+(H18*0.20)+(I18*0.14)+(J18*0.08))*20,0))</x:f>
      </x:c>
      <x:c r="L18" s="32" t="str">
        <x:f>IF(K18="","",IF(K18&gt;=80,"Критический",IF(K18&gt;=65,"Высокий",IF(K18&gt;=45,"Средний","Низкий"))))</x:f>
      </x:c>
      <x:c r="M18" s="32"/>
    </x:row>
    <x:row r="19" ht="42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 t="str">
        <x:f>IF(COUNTA(E19:J19)=0,"",ROUND(((E19*0.18)+(F19*0.22)+(G19*0.18)+(H19*0.20)+(I19*0.14)+(J19*0.08))*20,0))</x:f>
      </x:c>
      <x:c r="L19" s="32" t="str">
        <x:f>IF(K19="","",IF(K19&gt;=80,"Критический",IF(K19&gt;=65,"Высокий",IF(K19&gt;=45,"Средний","Низкий"))))</x:f>
      </x:c>
      <x:c r="M19" s="32"/>
    </x:row>
    <x:row r="20" ht="42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 t="str">
        <x:f>IF(COUNTA(E20:J20)=0,"",ROUND(((E20*0.18)+(F20*0.22)+(G20*0.18)+(H20*0.20)+(I20*0.14)+(J20*0.08))*20,0))</x:f>
      </x:c>
      <x:c r="L20" s="32" t="str">
        <x:f>IF(K20="","",IF(K20&gt;=80,"Критический",IF(K20&gt;=65,"Высокий",IF(K20&gt;=45,"Средний","Низкий"))))</x:f>
      </x:c>
      <x:c r="M20" s="32"/>
    </x:row>
    <x:row r="21" ht="42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 t="str">
        <x:f>IF(COUNTA(E21:J21)=0,"",ROUND(((E21*0.18)+(F21*0.22)+(G21*0.18)+(H21*0.20)+(I21*0.14)+(J21*0.08))*20,0))</x:f>
      </x:c>
      <x:c r="L21" s="32" t="str">
        <x:f>IF(K21="","",IF(K21&gt;=80,"Критический",IF(K21&gt;=65,"Высокий",IF(K21&gt;=45,"Средний","Низкий"))))</x:f>
      </x:c>
      <x:c r="M21" s="32"/>
    </x:row>
    <x:row r="22" ht="42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 t="str">
        <x:f>IF(COUNTA(E22:J22)=0,"",ROUND(((E22*0.18)+(F22*0.22)+(G22*0.18)+(H22*0.20)+(I22*0.14)+(J22*0.08))*20,0))</x:f>
      </x:c>
      <x:c r="L22" s="32" t="str">
        <x:f>IF(K22="","",IF(K22&gt;=80,"Критический",IF(K22&gt;=65,"Высокий",IF(K22&gt;=45,"Средний","Низкий"))))</x:f>
      </x:c>
      <x:c r="M22" s="32"/>
    </x:row>
    <x:row r="23" ht="42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 t="str">
        <x:f>IF(COUNTA(E23:J23)=0,"",ROUND(((E23*0.18)+(F23*0.22)+(G23*0.18)+(H23*0.20)+(I23*0.14)+(J23*0.08))*20,0))</x:f>
      </x:c>
      <x:c r="L23" s="32" t="str">
        <x:f>IF(K23="","",IF(K23&gt;=80,"Критический",IF(K23&gt;=65,"Высокий",IF(K23&gt;=45,"Средний","Низкий"))))</x:f>
      </x:c>
      <x:c r="M23" s="32"/>
    </x:row>
    <x:row r="24" ht="42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 t="str">
        <x:f>IF(COUNTA(E24:J24)=0,"",ROUND(((E24*0.18)+(F24*0.22)+(G24*0.18)+(H24*0.20)+(I24*0.14)+(J24*0.08))*20,0))</x:f>
      </x:c>
      <x:c r="L24" s="32" t="str">
        <x:f>IF(K24="","",IF(K24&gt;=80,"Критический",IF(K24&gt;=65,"Высокий",IF(K24&gt;=45,"Средний","Низкий"))))</x:f>
      </x:c>
      <x:c r="M24" s="32"/>
    </x:row>
    <x:row r="25" ht="42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 t="str">
        <x:f>IF(COUNTA(E25:J25)=0,"",ROUND(((E25*0.18)+(F25*0.22)+(G25*0.18)+(H25*0.20)+(I25*0.14)+(J25*0.08))*20,0))</x:f>
      </x:c>
      <x:c r="L25" s="32" t="str">
        <x:f>IF(K25="","",IF(K25&gt;=80,"Критический",IF(K25&gt;=65,"Высокий",IF(K25&gt;=45,"Средний","Низкий"))))</x:f>
      </x:c>
      <x:c r="M25" s="32"/>
    </x:row>
    <x:row r="26" ht="42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 t="str">
        <x:f>IF(COUNTA(E26:J26)=0,"",ROUND(((E26*0.18)+(F26*0.22)+(G26*0.18)+(H26*0.20)+(I26*0.14)+(J26*0.08))*20,0))</x:f>
      </x:c>
      <x:c r="L26" s="32" t="str">
        <x:f>IF(K26="","",IF(K26&gt;=80,"Критический",IF(K26&gt;=65,"Высокий",IF(K26&gt;=45,"Средний","Низкий"))))</x:f>
      </x:c>
      <x:c r="M26" s="32"/>
    </x:row>
    <x:row r="27" ht="42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 t="str">
        <x:f>IF(COUNTA(E27:J27)=0,"",ROUND(((E27*0.18)+(F27*0.22)+(G27*0.18)+(H27*0.20)+(I27*0.14)+(J27*0.08))*20,0))</x:f>
      </x:c>
      <x:c r="L27" s="32" t="str">
        <x:f>IF(K27="","",IF(K27&gt;=80,"Критический",IF(K27&gt;=65,"Высокий",IF(K27&gt;=45,"Средний","Низкий"))))</x:f>
      </x:c>
      <x:c r="M27" s="32"/>
    </x:row>
    <x:row r="28" ht="42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 t="str">
        <x:f>IF(COUNTA(E28:J28)=0,"",ROUND(((E28*0.18)+(F28*0.22)+(G28*0.18)+(H28*0.20)+(I28*0.14)+(J28*0.08))*20,0))</x:f>
      </x:c>
      <x:c r="L28" s="32" t="str">
        <x:f>IF(K28="","",IF(K28&gt;=80,"Критический",IF(K28&gt;=65,"Высокий",IF(K28&gt;=45,"Средний","Низкий"))))</x:f>
      </x:c>
      <x:c r="M28" s="32"/>
    </x:row>
    <x:row r="29" ht="42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 t="str">
        <x:f>IF(COUNTA(E29:J29)=0,"",ROUND(((E29*0.18)+(F29*0.22)+(G29*0.18)+(H29*0.20)+(I29*0.14)+(J29*0.08))*20,0))</x:f>
      </x:c>
      <x:c r="L29" s="32" t="str">
        <x:f>IF(K29="","",IF(K29&gt;=80,"Критический",IF(K29&gt;=65,"Высокий",IF(K29&gt;=45,"Средний","Низкий"))))</x:f>
      </x:c>
      <x:c r="M29" s="32"/>
    </x:row>
    <x:row r="30" ht="42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 t="str">
        <x:f>IF(COUNTA(E30:J30)=0,"",ROUND(((E30*0.18)+(F30*0.22)+(G30*0.18)+(H30*0.20)+(I30*0.14)+(J30*0.08))*20,0))</x:f>
      </x:c>
      <x:c r="L30" s="32" t="str">
        <x:f>IF(K30="","",IF(K30&gt;=80,"Критический",IF(K30&gt;=65,"Высокий",IF(K30&gt;=45,"Средний","Низкий"))))</x:f>
      </x:c>
      <x:c r="M30" s="32"/>
    </x:row>
    <x:row r="31" ht="42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 t="str">
        <x:f>IF(COUNTA(E31:J31)=0,"",ROUND(((E31*0.18)+(F31*0.22)+(G31*0.18)+(H31*0.20)+(I31*0.14)+(J31*0.08))*20,0))</x:f>
      </x:c>
      <x:c r="L31" s="32" t="str">
        <x:f>IF(K31="","",IF(K31&gt;=80,"Критический",IF(K31&gt;=65,"Высокий",IF(K31&gt;=45,"Средний","Низкий"))))</x:f>
      </x:c>
      <x:c r="M31" s="32"/>
    </x:row>
    <x:row r="32" ht="42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 t="str">
        <x:f>IF(COUNTA(E32:J32)=0,"",ROUND(((E32*0.18)+(F32*0.22)+(G32*0.18)+(H32*0.20)+(I32*0.14)+(J32*0.08))*20,0))</x:f>
      </x:c>
      <x:c r="L32" s="32" t="str">
        <x:f>IF(K32="","",IF(K32&gt;=80,"Критический",IF(K32&gt;=65,"Высокий",IF(K32&gt;=45,"Средний","Низкий"))))</x:f>
      </x:c>
      <x:c r="M32" s="32"/>
    </x:row>
    <x:row r="33" ht="42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 t="str">
        <x:f>IF(COUNTA(E33:J33)=0,"",ROUND(((E33*0.18)+(F33*0.22)+(G33*0.18)+(H33*0.20)+(I33*0.14)+(J33*0.08))*20,0))</x:f>
      </x:c>
      <x:c r="L33" s="32" t="str">
        <x:f>IF(K33="","",IF(K33&gt;=80,"Критический",IF(K33&gt;=65,"Высокий",IF(K33&gt;=45,"Средний","Низкий"))))</x:f>
      </x:c>
      <x:c r="M33" s="32"/>
    </x:row>
    <x:row r="34" ht="42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 t="str">
        <x:f>IF(COUNTA(E34:J34)=0,"",ROUND(((E34*0.18)+(F34*0.22)+(G34*0.18)+(H34*0.20)+(I34*0.14)+(J34*0.08))*20,0))</x:f>
      </x:c>
      <x:c r="L34" s="32" t="str">
        <x:f>IF(K34="","",IF(K34&gt;=80,"Критический",IF(K34&gt;=65,"Высокий",IF(K34&gt;=45,"Средний","Низкий"))))</x:f>
      </x:c>
      <x:c r="M34" s="32"/>
    </x:row>
    <x:row r="35" ht="42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 t="str">
        <x:f>IF(COUNTA(E35:J35)=0,"",ROUND(((E35*0.18)+(F35*0.22)+(G35*0.18)+(H35*0.20)+(I35*0.14)+(J35*0.08))*20,0))</x:f>
      </x:c>
      <x:c r="L35" s="32" t="str">
        <x:f>IF(K35="","",IF(K35&gt;=80,"Критический",IF(K35&gt;=65,"Высокий",IF(K35&gt;=45,"Средний","Низкий"))))</x:f>
      </x:c>
      <x:c r="M35" s="32"/>
    </x:row>
    <x:row r="36" ht="42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 t="str">
        <x:f>IF(COUNTA(E36:J36)=0,"",ROUND(((E36*0.18)+(F36*0.22)+(G36*0.18)+(H36*0.20)+(I36*0.14)+(J36*0.08))*20,0))</x:f>
      </x:c>
      <x:c r="L36" s="32" t="str">
        <x:f>IF(K36="","",IF(K36&gt;=80,"Критический",IF(K36&gt;=65,"Высокий",IF(K36&gt;=45,"Средний","Низкий"))))</x:f>
      </x:c>
      <x:c r="M36" s="32"/>
    </x:row>
    <x:row r="37" ht="42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 t="str">
        <x:f>IF(COUNTA(E37:J37)=0,"",ROUND(((E37*0.18)+(F37*0.22)+(G37*0.18)+(H37*0.20)+(I37*0.14)+(J37*0.08))*20,0))</x:f>
      </x:c>
      <x:c r="L37" s="32" t="str">
        <x:f>IF(K37="","",IF(K37&gt;=80,"Критический",IF(K37&gt;=65,"Высокий",IF(K37&gt;=45,"Средний","Низкий"))))</x:f>
      </x:c>
      <x:c r="M37" s="32"/>
    </x:row>
    <x:row r="38" ht="42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 t="str">
        <x:f>IF(COUNTA(E38:J38)=0,"",ROUND(((E38*0.18)+(F38*0.22)+(G38*0.18)+(H38*0.20)+(I38*0.14)+(J38*0.08))*20,0))</x:f>
      </x:c>
      <x:c r="L38" s="32" t="str">
        <x:f>IF(K38="","",IF(K38&gt;=80,"Критический",IF(K38&gt;=65,"Высокий",IF(K38&gt;=45,"Средний","Низкий"))))</x:f>
      </x:c>
      <x:c r="M38" s="32"/>
    </x:row>
    <x:row r="39" ht="42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 t="str">
        <x:f>IF(COUNTA(E39:J39)=0,"",ROUND(((E39*0.18)+(F39*0.22)+(G39*0.18)+(H39*0.20)+(I39*0.14)+(J39*0.08))*20,0))</x:f>
      </x:c>
      <x:c r="L39" s="32" t="str">
        <x:f>IF(K39="","",IF(K39&gt;=80,"Критический",IF(K39&gt;=65,"Высокий",IF(K39&gt;=45,"Средний","Низкий"))))</x:f>
      </x:c>
      <x:c r="M39" s="32"/>
    </x:row>
    <x:row r="40" ht="42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 t="str">
        <x:f>IF(COUNTA(E40:J40)=0,"",ROUND(((E40*0.18)+(F40*0.22)+(G40*0.18)+(H40*0.20)+(I40*0.14)+(J40*0.08))*20,0))</x:f>
      </x:c>
      <x:c r="L40" s="32" t="str">
        <x:f>IF(K40="","",IF(K40&gt;=80,"Критический",IF(K40&gt;=65,"Высокий",IF(K40&gt;=45,"Средний","Низкий"))))</x:f>
      </x:c>
      <x:c r="M40" s="32"/>
    </x:row>
    <x:row r="41" ht="42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 t="str">
        <x:f>IF(COUNTA(E41:J41)=0,"",ROUND(((E41*0.18)+(F41*0.22)+(G41*0.18)+(H41*0.20)+(I41*0.14)+(J41*0.08))*20,0))</x:f>
      </x:c>
      <x:c r="L41" s="32" t="str">
        <x:f>IF(K41="","",IF(K41&gt;=80,"Критический",IF(K41&gt;=65,"Высокий",IF(K41&gt;=45,"Средний","Низкий"))))</x:f>
      </x:c>
      <x:c r="M41" s="32"/>
    </x:row>
    <x:row r="42" ht="42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 t="str">
        <x:f>IF(COUNTA(E42:J42)=0,"",ROUND(((E42*0.18)+(F42*0.22)+(G42*0.18)+(H42*0.20)+(I42*0.14)+(J42*0.08))*20,0))</x:f>
      </x:c>
      <x:c r="L42" s="32" t="str">
        <x:f>IF(K42="","",IF(K42&gt;=80,"Критический",IF(K42&gt;=65,"Высокий",IF(K42&gt;=45,"Средний","Низкий"))))</x:f>
      </x:c>
      <x:c r="M42" s="32"/>
    </x:row>
    <x:row r="43" ht="42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 t="str">
        <x:f>IF(COUNTA(E43:J43)=0,"",ROUND(((E43*0.18)+(F43*0.22)+(G43*0.18)+(H43*0.20)+(I43*0.14)+(J43*0.08))*20,0))</x:f>
      </x:c>
      <x:c r="L43" s="32" t="str">
        <x:f>IF(K43="","",IF(K43&gt;=80,"Критический",IF(K43&gt;=65,"Высокий",IF(K43&gt;=45,"Средний","Низкий"))))</x:f>
      </x:c>
      <x:c r="M43" s="32"/>
    </x:row>
    <x:row r="44" ht="42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 t="str">
        <x:f>IF(COUNTA(E44:J44)=0,"",ROUND(((E44*0.18)+(F44*0.22)+(G44*0.18)+(H44*0.20)+(I44*0.14)+(J44*0.08))*20,0))</x:f>
      </x:c>
      <x:c r="L44" s="32" t="str">
        <x:f>IF(K44="","",IF(K44&gt;=80,"Критический",IF(K44&gt;=65,"Высокий",IF(K44&gt;=45,"Средний","Низкий"))))</x:f>
      </x:c>
      <x:c r="M44" s="32"/>
    </x:row>
    <x:row r="45" ht="42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 t="str">
        <x:f>IF(COUNTA(E45:J45)=0,"",ROUND(((E45*0.18)+(F45*0.22)+(G45*0.18)+(H45*0.20)+(I45*0.14)+(J45*0.08))*20,0))</x:f>
      </x:c>
      <x:c r="L45" s="32" t="str">
        <x:f>IF(K45="","",IF(K45&gt;=80,"Критический",IF(K45&gt;=65,"Высокий",IF(K45&gt;=45,"Средний","Низкий"))))</x:f>
      </x:c>
      <x:c r="M45" s="32"/>
    </x:row>
    <x:row r="46" ht="42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 t="str">
        <x:f>IF(COUNTA(E46:J46)=0,"",ROUND(((E46*0.18)+(F46*0.22)+(G46*0.18)+(H46*0.20)+(I46*0.14)+(J46*0.08))*20,0))</x:f>
      </x:c>
      <x:c r="L46" s="32" t="str">
        <x:f>IF(K46="","",IF(K46&gt;=80,"Критический",IF(K46&gt;=65,"Высокий",IF(K46&gt;=45,"Средний","Низкий"))))</x:f>
      </x:c>
      <x:c r="M46" s="32"/>
    </x:row>
    <x:row r="47" ht="42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 t="str">
        <x:f>IF(COUNTA(E47:J47)=0,"",ROUND(((E47*0.18)+(F47*0.22)+(G47*0.18)+(H47*0.20)+(I47*0.14)+(J47*0.08))*20,0))</x:f>
      </x:c>
      <x:c r="L47" s="32" t="str">
        <x:f>IF(K47="","",IF(K47&gt;=80,"Критический",IF(K47&gt;=65,"Высокий",IF(K47&gt;=45,"Средний","Низкий"))))</x:f>
      </x:c>
      <x:c r="M47" s="32"/>
    </x:row>
    <x:row r="48" ht="42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 t="str">
        <x:f>IF(COUNTA(E48:J48)=0,"",ROUND(((E48*0.18)+(F48*0.22)+(G48*0.18)+(H48*0.20)+(I48*0.14)+(J48*0.08))*20,0))</x:f>
      </x:c>
      <x:c r="L48" s="32" t="str">
        <x:f>IF(K48="","",IF(K48&gt;=80,"Критический",IF(K48&gt;=65,"Высокий",IF(K48&gt;=45,"Средний","Низкий"))))</x:f>
      </x:c>
      <x:c r="M48" s="32"/>
    </x:row>
    <x:row r="49" ht="42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 t="str">
        <x:f>IF(COUNTA(E49:J49)=0,"",ROUND(((E49*0.18)+(F49*0.22)+(G49*0.18)+(H49*0.20)+(I49*0.14)+(J49*0.08))*20,0))</x:f>
      </x:c>
      <x:c r="L49" s="32" t="str">
        <x:f>IF(K49="","",IF(K49&gt;=80,"Критический",IF(K49&gt;=65,"Высокий",IF(K49&gt;=45,"Средний","Низкий"))))</x:f>
      </x:c>
      <x:c r="M49" s="32"/>
    </x:row>
    <x:row r="50" ht="42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 t="str">
        <x:f>IF(COUNTA(E50:J50)=0,"",ROUND(((E50*0.18)+(F50*0.22)+(G50*0.18)+(H50*0.20)+(I50*0.14)+(J50*0.08))*20,0))</x:f>
      </x:c>
      <x:c r="L50" s="32" t="str">
        <x:f>IF(K50="","",IF(K50&gt;=80,"Критический",IF(K50&gt;=65,"Высокий",IF(K50&gt;=45,"Средний","Низкий"))))</x:f>
      </x:c>
      <x:c r="M50" s="32"/>
    </x:row>
    <x:row r="51" ht="42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 t="str">
        <x:f>IF(COUNTA(E51:J51)=0,"",ROUND(((E51*0.18)+(F51*0.22)+(G51*0.18)+(H51*0.20)+(I51*0.14)+(J51*0.08))*20,0))</x:f>
      </x:c>
      <x:c r="L51" s="32" t="str">
        <x:f>IF(K51="","",IF(K51&gt;=80,"Критический",IF(K51&gt;=65,"Высокий",IF(K51&gt;=45,"Средний","Низкий"))))</x:f>
      </x:c>
      <x:c r="M51" s="32"/>
    </x:row>
    <x:row r="52" ht="42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 t="str">
        <x:f>IF(COUNTA(E52:J52)=0,"",ROUND(((E52*0.18)+(F52*0.22)+(G52*0.18)+(H52*0.20)+(I52*0.14)+(J52*0.08))*20,0))</x:f>
      </x:c>
      <x:c r="L52" s="32" t="str">
        <x:f>IF(K52="","",IF(K52&gt;=80,"Критический",IF(K52&gt;=65,"Высокий",IF(K52&gt;=45,"Средний","Низкий"))))</x:f>
      </x:c>
      <x:c r="M52" s="32"/>
    </x:row>
    <x:row r="53" ht="42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 t="str">
        <x:f>IF(COUNTA(E53:J53)=0,"",ROUND(((E53*0.18)+(F53*0.22)+(G53*0.18)+(H53*0.20)+(I53*0.14)+(J53*0.08))*20,0))</x:f>
      </x:c>
      <x:c r="L53" s="32" t="str">
        <x:f>IF(K53="","",IF(K53&gt;=80,"Критический",IF(K53&gt;=65,"Высокий",IF(K53&gt;=45,"Средний","Низкий"))))</x:f>
      </x:c>
      <x:c r="M53" s="32"/>
    </x:row>
    <x:row r="54" ht="42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 t="str">
        <x:f>IF(COUNTA(E54:J54)=0,"",ROUND(((E54*0.18)+(F54*0.22)+(G54*0.18)+(H54*0.20)+(I54*0.14)+(J54*0.08))*20,0))</x:f>
      </x:c>
      <x:c r="L54" s="32" t="str">
        <x:f>IF(K54="","",IF(K54&gt;=80,"Критический",IF(K54&gt;=65,"Высокий",IF(K54&gt;=45,"Средний","Низкий"))))</x:f>
      </x:c>
      <x:c r="M54" s="32"/>
    </x:row>
    <x:row r="55" ht="42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 t="str">
        <x:f>IF(COUNTA(E55:J55)=0,"",ROUND(((E55*0.18)+(F55*0.22)+(G55*0.18)+(H55*0.20)+(I55*0.14)+(J55*0.08))*20,0))</x:f>
      </x:c>
      <x:c r="L55" s="32" t="str">
        <x:f>IF(K55="","",IF(K55&gt;=80,"Критический",IF(K55&gt;=65,"Высокий",IF(K55&gt;=45,"Средний","Низкий"))))</x:f>
      </x:c>
      <x:c r="M55" s="32"/>
    </x:row>
    <x:row r="56" ht="42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 t="str">
        <x:f>IF(COUNTA(E56:J56)=0,"",ROUND(((E56*0.18)+(F56*0.22)+(G56*0.18)+(H56*0.20)+(I56*0.14)+(J56*0.08))*20,0))</x:f>
      </x:c>
      <x:c r="L56" s="32" t="str">
        <x:f>IF(K56="","",IF(K56&gt;=80,"Критический",IF(K56&gt;=65,"Высокий",IF(K56&gt;=45,"Средний","Низкий"))))</x:f>
      </x:c>
      <x:c r="M56" s="32"/>
    </x:row>
    <x:row r="57" ht="42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 t="str">
        <x:f>IF(COUNTA(E57:J57)=0,"",ROUND(((E57*0.18)+(F57*0.22)+(G57*0.18)+(H57*0.20)+(I57*0.14)+(J57*0.08))*20,0))</x:f>
      </x:c>
      <x:c r="L57" s="32" t="str">
        <x:f>IF(K57="","",IF(K57&gt;=80,"Критический",IF(K57&gt;=65,"Высокий",IF(K57&gt;=45,"Средний","Низкий"))))</x:f>
      </x:c>
      <x:c r="M57" s="32"/>
    </x:row>
    <x:row r="58" ht="42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 t="str">
        <x:f>IF(COUNTA(E58:J58)=0,"",ROUND(((E58*0.18)+(F58*0.22)+(G58*0.18)+(H58*0.20)+(I58*0.14)+(J58*0.08))*20,0))</x:f>
      </x:c>
      <x:c r="L58" s="32" t="str">
        <x:f>IF(K58="","",IF(K58&gt;=80,"Критический",IF(K58&gt;=65,"Высокий",IF(K58&gt;=45,"Средний","Низкий"))))</x:f>
      </x:c>
      <x:c r="M58" s="32"/>
    </x:row>
    <x:row r="59" ht="42" customHeight="1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 t="str">
        <x:f>IF(COUNTA(E59:J59)=0,"",ROUND(((E59*0.18)+(F59*0.22)+(G59*0.18)+(H59*0.20)+(I59*0.14)+(J59*0.08))*20,0))</x:f>
      </x:c>
      <x:c r="L59" s="32" t="str">
        <x:f>IF(K59="","",IF(K59&gt;=80,"Критический",IF(K59&gt;=65,"Высокий",IF(K59&gt;=45,"Средний","Низкий"))))</x:f>
      </x:c>
      <x:c r="M59" s="32"/>
    </x:row>
    <x:row r="60" ht="42" customHeight="1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 t="str">
        <x:f>IF(COUNTA(E60:J60)=0,"",ROUND(((E60*0.18)+(F60*0.22)+(G60*0.18)+(H60*0.20)+(I60*0.14)+(J60*0.08))*20,0))</x:f>
      </x:c>
      <x:c r="L60" s="32" t="str">
        <x:f>IF(K60="","",IF(K60&gt;=80,"Критический",IF(K60&gt;=65,"Высокий",IF(K60&gt;=45,"Средний","Низкий"))))</x:f>
      </x:c>
      <x:c r="M60" s="32"/>
    </x:row>
    <x:row r="61" ht="42" customHeight="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 t="str">
        <x:f>IF(COUNTA(E61:J61)=0,"",ROUND(((E61*0.18)+(F61*0.22)+(G61*0.18)+(H61*0.20)+(I61*0.14)+(J61*0.08))*20,0))</x:f>
      </x:c>
      <x:c r="L61" s="32" t="str">
        <x:f>IF(K61="","",IF(K61&gt;=80,"Критический",IF(K61&gt;=65,"Высокий",IF(K61&gt;=45,"Средний","Низкий"))))</x:f>
      </x:c>
      <x:c r="M61" s="32"/>
    </x:row>
    <x:row r="62" ht="42" customHeight="1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 t="str">
        <x:f>IF(COUNTA(E62:J62)=0,"",ROUND(((E62*0.18)+(F62*0.22)+(G62*0.18)+(H62*0.20)+(I62*0.14)+(J62*0.08))*20,0))</x:f>
      </x:c>
      <x:c r="L62" s="32" t="str">
        <x:f>IF(K62="","",IF(K62&gt;=80,"Критический",IF(K62&gt;=65,"Высокий",IF(K62&gt;=45,"Средний","Низкий"))))</x:f>
      </x:c>
      <x:c r="M62" s="32"/>
    </x:row>
    <x:row r="63" ht="42" customHeight="1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 t="str">
        <x:f>IF(COUNTA(E63:J63)=0,"",ROUND(((E63*0.18)+(F63*0.22)+(G63*0.18)+(H63*0.20)+(I63*0.14)+(J63*0.08))*20,0))</x:f>
      </x:c>
      <x:c r="L63" s="32" t="str">
        <x:f>IF(K63="","",IF(K63&gt;=80,"Критический",IF(K63&gt;=65,"Высокий",IF(K63&gt;=45,"Средний","Низкий"))))</x:f>
      </x:c>
      <x:c r="M63" s="32"/>
    </x:row>
    <x:row r="64" ht="42" customHeight="1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 t="str">
        <x:f>IF(COUNTA(E64:J64)=0,"",ROUND(((E64*0.18)+(F64*0.22)+(G64*0.18)+(H64*0.20)+(I64*0.14)+(J64*0.08))*20,0))</x:f>
      </x:c>
      <x:c r="L64" s="32" t="str">
        <x:f>IF(K64="","",IF(K64&gt;=80,"Критический",IF(K64&gt;=65,"Высокий",IF(K64&gt;=45,"Средний","Низкий"))))</x:f>
      </x:c>
      <x:c r="M64" s="32"/>
    </x:row>
    <x:row r="65" ht="42" customHeight="1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 t="str">
        <x:f>IF(COUNTA(E65:J65)=0,"",ROUND(((E65*0.18)+(F65*0.22)+(G65*0.18)+(H65*0.20)+(I65*0.14)+(J65*0.08))*20,0))</x:f>
      </x:c>
      <x:c r="L65" s="32" t="str">
        <x:f>IF(K65="","",IF(K65&gt;=80,"Критический",IF(K65&gt;=65,"Высокий",IF(K65&gt;=45,"Средний","Низкий"))))</x:f>
      </x:c>
      <x:c r="M65" s="32"/>
    </x:row>
    <x:row r="66" ht="42" customHeight="1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 t="str">
        <x:f>IF(COUNTA(E66:J66)=0,"",ROUND(((E66*0.18)+(F66*0.22)+(G66*0.18)+(H66*0.20)+(I66*0.14)+(J66*0.08))*20,0))</x:f>
      </x:c>
      <x:c r="L66" s="32" t="str">
        <x:f>IF(K66="","",IF(K66&gt;=80,"Критический",IF(K66&gt;=65,"Высокий",IF(K66&gt;=45,"Средний","Низкий"))))</x:f>
      </x:c>
      <x:c r="M66" s="32"/>
    </x:row>
    <x:row r="67" ht="42" customHeight="1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 t="str">
        <x:f>IF(COUNTA(E67:J67)=0,"",ROUND(((E67*0.18)+(F67*0.22)+(G67*0.18)+(H67*0.20)+(I67*0.14)+(J67*0.08))*20,0))</x:f>
      </x:c>
      <x:c r="L67" s="32" t="str">
        <x:f>IF(K67="","",IF(K67&gt;=80,"Критический",IF(K67&gt;=65,"Высокий",IF(K67&gt;=45,"Средний","Низкий"))))</x:f>
      </x:c>
      <x:c r="M67" s="32"/>
    </x:row>
    <x:row r="68" ht="42" customHeight="1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 t="str">
        <x:f>IF(COUNTA(E68:J68)=0,"",ROUND(((E68*0.18)+(F68*0.22)+(G68*0.18)+(H68*0.20)+(I68*0.14)+(J68*0.08))*20,0))</x:f>
      </x:c>
      <x:c r="L68" s="32" t="str">
        <x:f>IF(K68="","",IF(K68&gt;=80,"Критический",IF(K68&gt;=65,"Высокий",IF(K68&gt;=45,"Средний","Низкий"))))</x:f>
      </x:c>
      <x:c r="M68" s="32"/>
    </x:row>
    <x:row r="69" ht="42" customHeight="1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 t="str">
        <x:f>IF(COUNTA(E69:J69)=0,"",ROUND(((E69*0.18)+(F69*0.22)+(G69*0.18)+(H69*0.20)+(I69*0.14)+(J69*0.08))*20,0))</x:f>
      </x:c>
      <x:c r="L69" s="32" t="str">
        <x:f>IF(K69="","",IF(K69&gt;=80,"Критический",IF(K69&gt;=65,"Высокий",IF(K69&gt;=45,"Средний","Низкий"))))</x:f>
      </x:c>
      <x:c r="M69" s="32"/>
    </x:row>
    <x:row r="70" ht="42" customHeight="1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 t="str">
        <x:f>IF(COUNTA(E70:J70)=0,"",ROUND(((E70*0.18)+(F70*0.22)+(G70*0.18)+(H70*0.20)+(I70*0.14)+(J70*0.08))*20,0))</x:f>
      </x:c>
      <x:c r="L70" s="32" t="str">
        <x:f>IF(K70="","",IF(K70&gt;=80,"Критический",IF(K70&gt;=65,"Высокий",IF(K70&gt;=45,"Средний","Низкий"))))</x:f>
      </x:c>
      <x:c r="M70" s="32"/>
    </x:row>
    <x:row r="71" ht="42" customHeight="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 t="str">
        <x:f>IF(COUNTA(E71:J71)=0,"",ROUND(((E71*0.18)+(F71*0.22)+(G71*0.18)+(H71*0.20)+(I71*0.14)+(J71*0.08))*20,0))</x:f>
      </x:c>
      <x:c r="L71" s="32" t="str">
        <x:f>IF(K71="","",IF(K71&gt;=80,"Критический",IF(K71&gt;=65,"Высокий",IF(K71&gt;=45,"Средний","Низкий"))))</x:f>
      </x:c>
      <x:c r="M71" s="32"/>
    </x:row>
    <x:row r="72" ht="42" customHeight="1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 t="str">
        <x:f>IF(COUNTA(E72:J72)=0,"",ROUND(((E72*0.18)+(F72*0.22)+(G72*0.18)+(H72*0.20)+(I72*0.14)+(J72*0.08))*20,0))</x:f>
      </x:c>
      <x:c r="L72" s="32" t="str">
        <x:f>IF(K72="","",IF(K72&gt;=80,"Критический",IF(K72&gt;=65,"Высокий",IF(K72&gt;=45,"Средний","Низкий"))))</x:f>
      </x:c>
      <x:c r="M72" s="32"/>
    </x:row>
    <x:row r="73" ht="42" customHeight="1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 t="str">
        <x:f>IF(COUNTA(E73:J73)=0,"",ROUND(((E73*0.18)+(F73*0.22)+(G73*0.18)+(H73*0.20)+(I73*0.14)+(J73*0.08))*20,0))</x:f>
      </x:c>
      <x:c r="L73" s="32" t="str">
        <x:f>IF(K73="","",IF(K73&gt;=80,"Критический",IF(K73&gt;=65,"Высокий",IF(K73&gt;=45,"Средний","Низкий"))))</x:f>
      </x:c>
      <x:c r="M73" s="32"/>
    </x:row>
    <x:row r="74" ht="42" customHeight="1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 t="str">
        <x:f>IF(COUNTA(E74:J74)=0,"",ROUND(((E74*0.18)+(F74*0.22)+(G74*0.18)+(H74*0.20)+(I74*0.14)+(J74*0.08))*20,0))</x:f>
      </x:c>
      <x:c r="L74" s="32" t="str">
        <x:f>IF(K74="","",IF(K74&gt;=80,"Критический",IF(K74&gt;=65,"Высокий",IF(K74&gt;=45,"Средний","Низкий"))))</x:f>
      </x:c>
      <x:c r="M74" s="32"/>
    </x:row>
    <x:row r="75" ht="42" customHeight="1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 t="str">
        <x:f>IF(COUNTA(E75:J75)=0,"",ROUND(((E75*0.18)+(F75*0.22)+(G75*0.18)+(H75*0.20)+(I75*0.14)+(J75*0.08))*20,0))</x:f>
      </x:c>
      <x:c r="L75" s="32" t="str">
        <x:f>IF(K75="","",IF(K75&gt;=80,"Критический",IF(K75&gt;=65,"Высокий",IF(K75&gt;=45,"Средний","Низкий"))))</x:f>
      </x:c>
      <x:c r="M75" s="32"/>
    </x:row>
    <x:row r="76" ht="42" customHeight="1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 t="str">
        <x:f>IF(COUNTA(E76:J76)=0,"",ROUND(((E76*0.18)+(F76*0.22)+(G76*0.18)+(H76*0.20)+(I76*0.14)+(J76*0.08))*20,0))</x:f>
      </x:c>
      <x:c r="L76" s="32" t="str">
        <x:f>IF(K76="","",IF(K76&gt;=80,"Критический",IF(K76&gt;=65,"Высокий",IF(K76&gt;=45,"Средний","Низкий"))))</x:f>
      </x:c>
      <x:c r="M76" s="32"/>
    </x:row>
    <x:row r="77" ht="42" customHeight="1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 t="str">
        <x:f>IF(COUNTA(E77:J77)=0,"",ROUND(((E77*0.18)+(F77*0.22)+(G77*0.18)+(H77*0.20)+(I77*0.14)+(J77*0.08))*20,0))</x:f>
      </x:c>
      <x:c r="L77" s="32" t="str">
        <x:f>IF(K77="","",IF(K77&gt;=80,"Критический",IF(K77&gt;=65,"Высокий",IF(K77&gt;=45,"Средний","Низкий"))))</x:f>
      </x:c>
      <x:c r="M77" s="32"/>
    </x:row>
    <x:row r="78" ht="42" customHeight="1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 t="str">
        <x:f>IF(COUNTA(E78:J78)=0,"",ROUND(((E78*0.18)+(F78*0.22)+(G78*0.18)+(H78*0.20)+(I78*0.14)+(J78*0.08))*20,0))</x:f>
      </x:c>
      <x:c r="L78" s="32" t="str">
        <x:f>IF(K78="","",IF(K78&gt;=80,"Критический",IF(K78&gt;=65,"Высокий",IF(K78&gt;=45,"Средний","Низкий"))))</x:f>
      </x:c>
      <x:c r="M78" s="32"/>
    </x:row>
    <x:row r="79" ht="42" customHeight="1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 t="str">
        <x:f>IF(COUNTA(E79:J79)=0,"",ROUND(((E79*0.18)+(F79*0.22)+(G79*0.18)+(H79*0.20)+(I79*0.14)+(J79*0.08))*20,0))</x:f>
      </x:c>
      <x:c r="L79" s="32" t="str">
        <x:f>IF(K79="","",IF(K79&gt;=80,"Критический",IF(K79&gt;=65,"Высокий",IF(K79&gt;=45,"Средний","Низкий"))))</x:f>
      </x:c>
      <x:c r="M79" s="32"/>
    </x:row>
    <x:row r="80" ht="42" customHeight="1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 t="str">
        <x:f>IF(COUNTA(E80:J80)=0,"",ROUND(((E80*0.18)+(F80*0.22)+(G80*0.18)+(H80*0.20)+(I80*0.14)+(J80*0.08))*20,0))</x:f>
      </x:c>
      <x:c r="L80" s="32" t="str">
        <x:f>IF(K80="","",IF(K80&gt;=80,"Критический",IF(K80&gt;=65,"Высокий",IF(K80&gt;=45,"Средний","Низкий"))))</x:f>
      </x:c>
      <x:c r="M80" s="32"/>
    </x:row>
    <x:row r="81" ht="42" customHeight="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 t="str">
        <x:f>IF(COUNTA(E81:J81)=0,"",ROUND(((E81*0.18)+(F81*0.22)+(G81*0.18)+(H81*0.20)+(I81*0.14)+(J81*0.08))*20,0))</x:f>
      </x:c>
      <x:c r="L81" s="32" t="str">
        <x:f>IF(K81="","",IF(K81&gt;=80,"Критический",IF(K81&gt;=65,"Высокий",IF(K81&gt;=45,"Средний","Низкий"))))</x:f>
      </x:c>
      <x:c r="M81" s="32"/>
    </x:row>
    <x:row r="82" ht="42" customHeight="1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 t="str">
        <x:f>IF(COUNTA(E82:J82)=0,"",ROUND(((E82*0.18)+(F82*0.22)+(G82*0.18)+(H82*0.20)+(I82*0.14)+(J82*0.08))*20,0))</x:f>
      </x:c>
      <x:c r="L82" s="32" t="str">
        <x:f>IF(K82="","",IF(K82&gt;=80,"Критический",IF(K82&gt;=65,"Высокий",IF(K82&gt;=45,"Средний","Низкий"))))</x:f>
      </x:c>
      <x:c r="M82" s="32"/>
    </x:row>
    <x:row r="83" ht="42" customHeight="1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 t="str">
        <x:f>IF(COUNTA(E83:J83)=0,"",ROUND(((E83*0.18)+(F83*0.22)+(G83*0.18)+(H83*0.20)+(I83*0.14)+(J83*0.08))*20,0))</x:f>
      </x:c>
      <x:c r="L83" s="32" t="str">
        <x:f>IF(K83="","",IF(K83&gt;=80,"Критический",IF(K83&gt;=65,"Высокий",IF(K83&gt;=45,"Средний","Низкий"))))</x:f>
      </x:c>
      <x:c r="M83" s="32"/>
    </x:row>
    <x:row r="84" ht="42" customHeight="1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 t="str">
        <x:f>IF(COUNTA(E84:J84)=0,"",ROUND(((E84*0.18)+(F84*0.22)+(G84*0.18)+(H84*0.20)+(I84*0.14)+(J84*0.08))*20,0))</x:f>
      </x:c>
      <x:c r="L84" s="32" t="str">
        <x:f>IF(K84="","",IF(K84&gt;=80,"Критический",IF(K84&gt;=65,"Высокий",IF(K84&gt;=45,"Средний","Низкий"))))</x:f>
      </x:c>
      <x:c r="M84" s="32"/>
    </x:row>
    <x:row r="85" ht="42" customHeight="1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 t="str">
        <x:f>IF(COUNTA(E85:J85)=0,"",ROUND(((E85*0.18)+(F85*0.22)+(G85*0.18)+(H85*0.20)+(I85*0.14)+(J85*0.08))*20,0))</x:f>
      </x:c>
      <x:c r="L85" s="32" t="str">
        <x:f>IF(K85="","",IF(K85&gt;=80,"Критический",IF(K85&gt;=65,"Высокий",IF(K85&gt;=45,"Средний","Низкий"))))</x:f>
      </x:c>
      <x:c r="M85" s="32"/>
    </x:row>
    <x:row r="86" ht="42" customHeight="1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 t="str">
        <x:f>IF(COUNTA(E86:J86)=0,"",ROUND(((E86*0.18)+(F86*0.22)+(G86*0.18)+(H86*0.20)+(I86*0.14)+(J86*0.08))*20,0))</x:f>
      </x:c>
      <x:c r="L86" s="32" t="str">
        <x:f>IF(K86="","",IF(K86&gt;=80,"Критический",IF(K86&gt;=65,"Высокий",IF(K86&gt;=45,"Средний","Низкий"))))</x:f>
      </x:c>
      <x:c r="M86" s="32"/>
    </x:row>
    <x:row r="87" ht="42" customHeight="1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 t="str">
        <x:f>IF(COUNTA(E87:J87)=0,"",ROUND(((E87*0.18)+(F87*0.22)+(G87*0.18)+(H87*0.20)+(I87*0.14)+(J87*0.08))*20,0))</x:f>
      </x:c>
      <x:c r="L87" s="32" t="str">
        <x:f>IF(K87="","",IF(K87&gt;=80,"Критический",IF(K87&gt;=65,"Высокий",IF(K87&gt;=45,"Средний","Низкий"))))</x:f>
      </x:c>
      <x:c r="M87" s="32"/>
    </x:row>
    <x:row r="88" ht="42" customHeight="1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 t="str">
        <x:f>IF(COUNTA(E88:J88)=0,"",ROUND(((E88*0.18)+(F88*0.22)+(G88*0.18)+(H88*0.20)+(I88*0.14)+(J88*0.08))*20,0))</x:f>
      </x:c>
      <x:c r="L88" s="32" t="str">
        <x:f>IF(K88="","",IF(K88&gt;=80,"Критический",IF(K88&gt;=65,"Высокий",IF(K88&gt;=45,"Средний","Низкий"))))</x:f>
      </x:c>
      <x:c r="M88" s="32"/>
    </x:row>
    <x:row r="89" ht="42" customHeight="1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 t="str">
        <x:f>IF(COUNTA(E89:J89)=0,"",ROUND(((E89*0.18)+(F89*0.22)+(G89*0.18)+(H89*0.20)+(I89*0.14)+(J89*0.08))*20,0))</x:f>
      </x:c>
      <x:c r="L89" s="32" t="str">
        <x:f>IF(K89="","",IF(K89&gt;=80,"Критический",IF(K89&gt;=65,"Высокий",IF(K89&gt;=45,"Средний","Низкий"))))</x:f>
      </x:c>
      <x:c r="M89" s="32"/>
    </x:row>
    <x:row r="90" ht="42" customHeight="1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 t="str">
        <x:f>IF(COUNTA(E90:J90)=0,"",ROUND(((E90*0.18)+(F90*0.22)+(G90*0.18)+(H90*0.20)+(I90*0.14)+(J90*0.08))*20,0))</x:f>
      </x:c>
      <x:c r="L90" s="32" t="str">
        <x:f>IF(K90="","",IF(K90&gt;=80,"Критический",IF(K90&gt;=65,"Высокий",IF(K90&gt;=45,"Средний","Низкий"))))</x:f>
      </x:c>
      <x:c r="M90" s="32"/>
    </x:row>
    <x:row r="91" ht="42" customHeight="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 t="str">
        <x:f>IF(COUNTA(E91:J91)=0,"",ROUND(((E91*0.18)+(F91*0.22)+(G91*0.18)+(H91*0.20)+(I91*0.14)+(J91*0.08))*20,0))</x:f>
      </x:c>
      <x:c r="L91" s="32" t="str">
        <x:f>IF(K91="","",IF(K91&gt;=80,"Критический",IF(K91&gt;=65,"Высокий",IF(K91&gt;=45,"Средний","Низкий"))))</x:f>
      </x:c>
      <x:c r="M91" s="32"/>
    </x:row>
    <x:row r="92" ht="42" customHeight="1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 t="str">
        <x:f>IF(COUNTA(E92:J92)=0,"",ROUND(((E92*0.18)+(F92*0.22)+(G92*0.18)+(H92*0.20)+(I92*0.14)+(J92*0.08))*20,0))</x:f>
      </x:c>
      <x:c r="L92" s="32" t="str">
        <x:f>IF(K92="","",IF(K92&gt;=80,"Критический",IF(K92&gt;=65,"Высокий",IF(K92&gt;=45,"Средний","Низкий"))))</x:f>
      </x:c>
      <x:c r="M92" s="32"/>
    </x:row>
    <x:row r="93" ht="42" customHeight="1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 t="str">
        <x:f>IF(COUNTA(E93:J93)=0,"",ROUND(((E93*0.18)+(F93*0.22)+(G93*0.18)+(H93*0.20)+(I93*0.14)+(J93*0.08))*20,0))</x:f>
      </x:c>
      <x:c r="L93" s="32" t="str">
        <x:f>IF(K93="","",IF(K93&gt;=80,"Критический",IF(K93&gt;=65,"Высокий",IF(K93&gt;=45,"Средний","Низкий"))))</x:f>
      </x:c>
      <x:c r="M93" s="32"/>
    </x:row>
    <x:row r="94" ht="42" customHeight="1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 t="str">
        <x:f>IF(COUNTA(E94:J94)=0,"",ROUND(((E94*0.18)+(F94*0.22)+(G94*0.18)+(H94*0.20)+(I94*0.14)+(J94*0.08))*20,0))</x:f>
      </x:c>
      <x:c r="L94" s="32" t="str">
        <x:f>IF(K94="","",IF(K94&gt;=80,"Критический",IF(K94&gt;=65,"Высокий",IF(K94&gt;=45,"Средний","Низкий"))))</x:f>
      </x:c>
      <x:c r="M94" s="32"/>
    </x:row>
    <x:row r="95" ht="42" customHeight="1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 t="str">
        <x:f>IF(COUNTA(E95:J95)=0,"",ROUND(((E95*0.18)+(F95*0.22)+(G95*0.18)+(H95*0.20)+(I95*0.14)+(J95*0.08))*20,0))</x:f>
      </x:c>
      <x:c r="L95" s="32" t="str">
        <x:f>IF(K95="","",IF(K95&gt;=80,"Критический",IF(K95&gt;=65,"Высокий",IF(K95&gt;=45,"Средний","Низкий"))))</x:f>
      </x:c>
      <x:c r="M95" s="32"/>
    </x:row>
    <x:row r="96" ht="42" customHeight="1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 t="str">
        <x:f>IF(COUNTA(E96:J96)=0,"",ROUND(((E96*0.18)+(F96*0.22)+(G96*0.18)+(H96*0.20)+(I96*0.14)+(J96*0.08))*20,0))</x:f>
      </x:c>
      <x:c r="L96" s="32" t="str">
        <x:f>IF(K96="","",IF(K96&gt;=80,"Критический",IF(K96&gt;=65,"Высокий",IF(K96&gt;=45,"Средний","Низкий"))))</x:f>
      </x:c>
      <x:c r="M96" s="32"/>
    </x:row>
    <x:row r="97" ht="42" customHeight="1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 t="str">
        <x:f>IF(COUNTA(E97:J97)=0,"",ROUND(((E97*0.18)+(F97*0.22)+(G97*0.18)+(H97*0.20)+(I97*0.14)+(J97*0.08))*20,0))</x:f>
      </x:c>
      <x:c r="L97" s="32" t="str">
        <x:f>IF(K97="","",IF(K97&gt;=80,"Критический",IF(K97&gt;=65,"Высокий",IF(K97&gt;=45,"Средний","Низкий"))))</x:f>
      </x:c>
      <x:c r="M97" s="32"/>
    </x:row>
    <x:row r="98" ht="42" customHeight="1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 t="str">
        <x:f>IF(COUNTA(E98:J98)=0,"",ROUND(((E98*0.18)+(F98*0.22)+(G98*0.18)+(H98*0.20)+(I98*0.14)+(J98*0.08))*20,0))</x:f>
      </x:c>
      <x:c r="L98" s="32" t="str">
        <x:f>IF(K98="","",IF(K98&gt;=80,"Критический",IF(K98&gt;=65,"Высокий",IF(K98&gt;=45,"Средний","Низкий"))))</x:f>
      </x:c>
      <x:c r="M98" s="32"/>
    </x:row>
    <x:row r="99" ht="42" customHeight="1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 t="str">
        <x:f>IF(COUNTA(E99:J99)=0,"",ROUND(((E99*0.18)+(F99*0.22)+(G99*0.18)+(H99*0.20)+(I99*0.14)+(J99*0.08))*20,0))</x:f>
      </x:c>
      <x:c r="L99" s="32" t="str">
        <x:f>IF(K99="","",IF(K99&gt;=80,"Критический",IF(K99&gt;=65,"Высокий",IF(K99&gt;=45,"Средний","Низкий"))))</x:f>
      </x:c>
      <x:c r="M99" s="32"/>
    </x:row>
    <x:row r="100" ht="42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 t="str">
        <x:f>IF(COUNTA(E100:J100)=0,"",ROUND(((E100*0.18)+(F100*0.22)+(G100*0.18)+(H100*0.20)+(I100*0.14)+(J100*0.08))*20,0))</x:f>
      </x:c>
      <x:c r="L100" s="32" t="str">
        <x:f>IF(K100="","",IF(K100&gt;=80,"Критический",IF(K100&gt;=65,"Высокий",IF(K100&gt;=45,"Средний","Низкий"))))</x:f>
      </x:c>
      <x:c r="M100" s="32"/>
    </x:row>
    <x:row r="101" ht="42" customHeight="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 t="str">
        <x:f>IF(COUNTA(E101:J101)=0,"",ROUND(((E101*0.18)+(F101*0.22)+(G101*0.18)+(H101*0.20)+(I101*0.14)+(J101*0.08))*20,0))</x:f>
      </x:c>
      <x:c r="L101" s="32" t="str">
        <x:f>IF(K101="","",IF(K101&gt;=80,"Критический",IF(K101&gt;=65,"Высокий",IF(K101&gt;=45,"Средний","Низкий"))))</x:f>
      </x:c>
      <x:c r="M101" s="32"/>
    </x:row>
    <x:row r="102" ht="42" customHeight="1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 t="str">
        <x:f>IF(COUNTA(E102:J102)=0,"",ROUND(((E102*0.18)+(F102*0.22)+(G102*0.18)+(H102*0.20)+(I102*0.14)+(J102*0.08))*20,0))</x:f>
      </x:c>
      <x:c r="L102" s="32" t="str">
        <x:f>IF(K102="","",IF(K102&gt;=80,"Критический",IF(K102&gt;=65,"Высокий",IF(K102&gt;=45,"Средний","Низкий"))))</x:f>
      </x:c>
      <x:c r="M102" s="32"/>
    </x:row>
    <x:row r="103" ht="42" customHeight="1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 t="str">
        <x:f>IF(COUNTA(E103:J103)=0,"",ROUND(((E103*0.18)+(F103*0.22)+(G103*0.18)+(H103*0.20)+(I103*0.14)+(J103*0.08))*20,0))</x:f>
      </x:c>
      <x:c r="L103" s="32" t="str">
        <x:f>IF(K103="","",IF(K103&gt;=80,"Критический",IF(K103&gt;=65,"Высокий",IF(K103&gt;=45,"Средний","Низкий"))))</x:f>
      </x:c>
      <x:c r="M103" s="32"/>
    </x:row>
    <x:row r="104" ht="42" customHeight="1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 t="str">
        <x:f>IF(COUNTA(E104:J104)=0,"",ROUND(((E104*0.18)+(F104*0.22)+(G104*0.18)+(H104*0.20)+(I104*0.14)+(J104*0.08))*20,0))</x:f>
      </x:c>
      <x:c r="L104" s="32" t="str">
        <x:f>IF(K104="","",IF(K104&gt;=80,"Критический",IF(K104&gt;=65,"Высокий",IF(K104&gt;=45,"Средний","Низкий"))))</x:f>
      </x:c>
      <x:c r="M104" s="32"/>
    </x:row>
  </x:sheetData>
  <x:mergeCells>
    <x:mergeCell ref="A1:M1"/>
    <x:mergeCell ref="A2:M2"/>
  </x:mergeCells>
  <x:conditionalFormatting sqref="K5:K104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dataValidations count="8">
    <x:dataValidation type="list" sqref="E5:E104">
      <x:formula1>'Справочники'!$A$4:$A$8</x:formula1>
    </x:dataValidation>
    <x:dataValidation type="list" sqref="F5:F104">
      <x:formula1>'Справочники'!$A$4:$A$8</x:formula1>
    </x:dataValidation>
    <x:dataValidation type="list" sqref="G5:G104">
      <x:formula1>'Справочники'!$A$4:$A$8</x:formula1>
    </x:dataValidation>
    <x:dataValidation type="list" sqref="H5:H104">
      <x:formula1>'Справочники'!$A$4:$A$8</x:formula1>
    </x:dataValidation>
    <x:dataValidation type="list" sqref="I5:I104">
      <x:formula1>'Справочники'!$A$4:$A$8</x:formula1>
    </x:dataValidation>
    <x:dataValidation type="list" sqref="J5:J104">
      <x:formula1>'Справочники'!$A$4:$A$8</x:formula1>
    </x:dataValidation>
    <x:dataValidation type="list" sqref="B5:B104">
      <x:formula1>'Справочники'!$B$4:$B$8</x:formula1>
    </x:dataValidation>
    <x:dataValidation type="list" sqref="C5:C104">
      <x:formula1>'Справочники'!$C$4:$C$10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e39516c67340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54" hidden="0" customWidth="1"/>
    <x:col min="5" max="5" width="16" hidden="0" customWidth="1"/>
    <x:col min="6" max="6" width="16" hidden="0" customWidth="1"/>
    <x:col min="7" max="7" width="15" hidden="0" customWidth="1"/>
    <x:col min="8" max="8" width="16" hidden="0" customWidth="1"/>
    <x:col min="9" max="9" width="15" hidden="0" customWidth="1"/>
    <x:col min="10" max="10" width="17" hidden="0" customWidth="1"/>
    <x:col min="11" max="11" width="20" hidden="0" customWidth="1"/>
    <x:col min="12" max="12" width="32" hidden="0" customWidth="1"/>
  </x:cols>
  <x:sheetData>
    <x:row r="1" ht="28" customHeight="1">
      <x:c r="A1" s="6" t="str">
        <x:v>Анализ конкурентных решений</x:v>
      </x:c>
    </x:row>
    <x:row r="2" ht="34" customHeight="1">
      <x:c r="A2" s="16" t="str">
        <x:v>Лист показывает, какие проблемы конкуренты уже закрывают, где находится рыночный стандарт и где сохраняется пространство для дифференциации.</x:v>
      </x:c>
    </x:row>
    <x:row r="4" ht="34" customHeight="1">
      <x:c r="A4" s="25" t="str">
        <x:v>Компания</x:v>
      </x:c>
      <x:c r="B4" s="25" t="str">
        <x:v>Сайт</x:v>
      </x:c>
      <x:c r="C4" s="25" t="str">
        <x:v>ID проблемы</x:v>
      </x:c>
      <x:c r="D4" s="25" t="str">
        <x:v>Как конкурент решает проблему</x:v>
      </x:c>
      <x:c r="E4" s="25" t="str">
        <x:v>Покрытие проблемы 1–5</x:v>
      </x:c>
      <x:c r="F4" s="25" t="str">
        <x:v>Ясность обещания 1–5</x:v>
      </x:c>
      <x:c r="G4" s="25" t="str">
        <x:v>Полнота товара 1–5</x:v>
      </x:c>
      <x:c r="H4" s="25" t="str">
        <x:v>Удобство доступа 1–5</x:v>
      </x:c>
      <x:c r="I4" s="25" t="str">
        <x:v>Доказательность 1–5</x:v>
      </x:c>
      <x:c r="J4" s="25" t="str">
        <x:v>Индекс силы решения</x:v>
      </x:c>
      <x:c r="K4" s="25" t="str">
        <x:v>Уровень решения</x:v>
      </x:c>
      <x:c r="L4" s="25" t="str">
        <x:v>Комментарий</x:v>
      </x:c>
    </x:row>
    <x:row r="5" ht="42" customHeight="1">
      <x:c r="A5" s="32" t="str">
        <x:v>Конкурент А</x:v>
      </x:c>
      <x:c r="B5" s="32" t="str">
        <x:v>https://example.com</x:v>
      </x:c>
      <x:c r="C5" s="32" t="str">
        <x:v>P-001</x:v>
      </x:c>
      <x:c r="D5" s="32" t="str">
        <x:v>Есть мастер настройки, но часть действий остается ручной.</x:v>
      </x:c>
      <x:c r="E5" s="32" t="n">
        <x:v>3</x:v>
      </x:c>
      <x:c r="F5" s="32" t="n">
        <x:v>4</x:v>
      </x:c>
      <x:c r="G5" s="32" t="n">
        <x:v>3</x:v>
      </x:c>
      <x:c r="H5" s="32" t="n">
        <x:v>4</x:v>
      </x:c>
      <x:c r="I5" s="32" t="n">
        <x:v>3</x:v>
      </x:c>
      <x:c r="J5" s="32" t="n">
        <x:f>IF(COUNTA(E5:I5)=0,"",ROUND(((E5*0.25)+(F5*0.20)+(G5*0.20)+(H5*0.15)+(I5*0.20))*20,0))</x:f>
        <x:v>67</x:v>
      </x:c>
      <x:c r="K5" s="32" t="str">
        <x:f>IF(J5="","",IF(J5&gt;=80,"Сильное решение",IF(J5&gt;=60,"Рыночный стандарт",IF(J5&gt;=40,"Частичное решение","Слабое решение"))))</x:f>
        <x:v>Рыночный стандарт</x:v>
      </x:c>
      <x:c r="L5" s="32" t="str">
        <x:v>Пример.</x:v>
      </x:c>
    </x:row>
    <x:row r="6" ht="42" customHeight="1">
      <x:c r="A6" s="32" t="str">
        <x:v>Конкурент Б</x:v>
      </x:c>
      <x:c r="B6" s="32" t="str">
        <x:v>https://example.org</x:v>
      </x:c>
      <x:c r="C6" s="32" t="str">
        <x:v>P-001</x:v>
      </x:c>
      <x:c r="D6" s="32" t="str">
        <x:v>Предлагается готовый шаблон и автоматические подсказки.</x:v>
      </x:c>
      <x:c r="E6" s="32" t="n">
        <x:v>4</x:v>
      </x:c>
      <x:c r="F6" s="32" t="n">
        <x:v>4</x:v>
      </x:c>
      <x:c r="G6" s="32" t="n">
        <x:v>4</x:v>
      </x:c>
      <x:c r="H6" s="32" t="n">
        <x:v>4</x:v>
      </x:c>
      <x:c r="I6" s="32" t="n">
        <x:v>4</x:v>
      </x:c>
      <x:c r="J6" s="32" t="n">
        <x:f>IF(COUNTA(E6:I6)=0,"",ROUND(((E6*0.25)+(F6*0.20)+(G6*0.20)+(H6*0.15)+(I6*0.20))*20,0))</x:f>
        <x:v>80</x:v>
      </x:c>
      <x:c r="K6" s="32" t="str">
        <x:f>IF(J6="","",IF(J6&gt;=80,"Сильное решение",IF(J6&gt;=60,"Рыночный стандарт",IF(J6&gt;=40,"Частичное решение","Слабое решение"))))</x:f>
        <x:v>Сильное решение</x:v>
      </x:c>
      <x:c r="L6" s="32" t="str">
        <x:v>Пример.</x:v>
      </x:c>
    </x:row>
    <x:row r="7" ht="42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 t="str">
        <x:f>IF(COUNTA(E7:I7)=0,"",ROUND(((E7*0.25)+(F7*0.20)+(G7*0.20)+(H7*0.15)+(I7*0.20))*20,0))</x:f>
      </x:c>
      <x:c r="K7" s="32" t="str">
        <x:f>IF(J7="","",IF(J7&gt;=80,"Сильное решение",IF(J7&gt;=60,"Рыночный стандарт",IF(J7&gt;=40,"Частичное решение","Слабое решение"))))</x:f>
      </x:c>
      <x:c r="L7" s="32"/>
    </x:row>
    <x:row r="8" ht="42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 t="str">
        <x:f>IF(COUNTA(E8:I8)=0,"",ROUND(((E8*0.25)+(F8*0.20)+(G8*0.20)+(H8*0.15)+(I8*0.20))*20,0))</x:f>
      </x:c>
      <x:c r="K8" s="32" t="str">
        <x:f>IF(J8="","",IF(J8&gt;=80,"Сильное решение",IF(J8&gt;=60,"Рыночный стандарт",IF(J8&gt;=40,"Частичное решение","Слабое решение"))))</x:f>
      </x:c>
      <x:c r="L8" s="32"/>
    </x:row>
    <x:row r="9" ht="42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 t="str">
        <x:f>IF(COUNTA(E9:I9)=0,"",ROUND(((E9*0.25)+(F9*0.20)+(G9*0.20)+(H9*0.15)+(I9*0.20))*20,0))</x:f>
      </x:c>
      <x:c r="K9" s="32" t="str">
        <x:f>IF(J9="","",IF(J9&gt;=80,"Сильное решение",IF(J9&gt;=60,"Рыночный стандарт",IF(J9&gt;=40,"Частичное решение","Слабое решение"))))</x:f>
      </x:c>
      <x:c r="L9" s="32"/>
    </x:row>
    <x:row r="10" ht="42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 t="str">
        <x:f>IF(COUNTA(E10:I10)=0,"",ROUND(((E10*0.25)+(F10*0.20)+(G10*0.20)+(H10*0.15)+(I10*0.20))*20,0))</x:f>
      </x:c>
      <x:c r="K10" s="32" t="str">
        <x:f>IF(J10="","",IF(J10&gt;=80,"Сильное решение",IF(J10&gt;=60,"Рыночный стандарт",IF(J10&gt;=40,"Частичное решение","Слабое решение"))))</x:f>
      </x:c>
      <x:c r="L10" s="32"/>
    </x:row>
    <x:row r="11" ht="42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 t="str">
        <x:f>IF(COUNTA(E11:I11)=0,"",ROUND(((E11*0.25)+(F11*0.20)+(G11*0.20)+(H11*0.15)+(I11*0.20))*20,0))</x:f>
      </x:c>
      <x:c r="K11" s="32" t="str">
        <x:f>IF(J11="","",IF(J11&gt;=80,"Сильное решение",IF(J11&gt;=60,"Рыночный стандарт",IF(J11&gt;=40,"Частичное решение","Слабое решение"))))</x:f>
      </x:c>
      <x:c r="L11" s="32"/>
    </x:row>
    <x:row r="12" ht="42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 t="str">
        <x:f>IF(COUNTA(E12:I12)=0,"",ROUND(((E12*0.25)+(F12*0.20)+(G12*0.20)+(H12*0.15)+(I12*0.20))*20,0))</x:f>
      </x:c>
      <x:c r="K12" s="32" t="str">
        <x:f>IF(J12="","",IF(J12&gt;=80,"Сильное решение",IF(J12&gt;=60,"Рыночный стандарт",IF(J12&gt;=40,"Частичное решение","Слабое решение"))))</x:f>
      </x:c>
      <x:c r="L12" s="32"/>
    </x:row>
    <x:row r="13" ht="42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 t="str">
        <x:f>IF(COUNTA(E13:I13)=0,"",ROUND(((E13*0.25)+(F13*0.20)+(G13*0.20)+(H13*0.15)+(I13*0.20))*20,0))</x:f>
      </x:c>
      <x:c r="K13" s="32" t="str">
        <x:f>IF(J13="","",IF(J13&gt;=80,"Сильное решение",IF(J13&gt;=60,"Рыночный стандарт",IF(J13&gt;=40,"Частичное решение","Слабое решение"))))</x:f>
      </x:c>
      <x:c r="L13" s="32"/>
    </x:row>
    <x:row r="14" ht="42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 t="str">
        <x:f>IF(COUNTA(E14:I14)=0,"",ROUND(((E14*0.25)+(F14*0.20)+(G14*0.20)+(H14*0.15)+(I14*0.20))*20,0))</x:f>
      </x:c>
      <x:c r="K14" s="32" t="str">
        <x:f>IF(J14="","",IF(J14&gt;=80,"Сильное решение",IF(J14&gt;=60,"Рыночный стандарт",IF(J14&gt;=40,"Частичное решение","Слабое решение"))))</x:f>
      </x:c>
      <x:c r="L14" s="32"/>
    </x:row>
    <x:row r="15" ht="42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 t="str">
        <x:f>IF(COUNTA(E15:I15)=0,"",ROUND(((E15*0.25)+(F15*0.20)+(G15*0.20)+(H15*0.15)+(I15*0.20))*20,0))</x:f>
      </x:c>
      <x:c r="K15" s="32" t="str">
        <x:f>IF(J15="","",IF(J15&gt;=80,"Сильное решение",IF(J15&gt;=60,"Рыночный стандарт",IF(J15&gt;=40,"Частичное решение","Слабое решение"))))</x:f>
      </x:c>
      <x:c r="L15" s="32"/>
    </x:row>
    <x:row r="16" ht="42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 t="str">
        <x:f>IF(COUNTA(E16:I16)=0,"",ROUND(((E16*0.25)+(F16*0.20)+(G16*0.20)+(H16*0.15)+(I16*0.20))*20,0))</x:f>
      </x:c>
      <x:c r="K16" s="32" t="str">
        <x:f>IF(J16="","",IF(J16&gt;=80,"Сильное решение",IF(J16&gt;=60,"Рыночный стандарт",IF(J16&gt;=40,"Частичное решение","Слабое решение"))))</x:f>
      </x:c>
      <x:c r="L16" s="32"/>
    </x:row>
    <x:row r="17" ht="42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 t="str">
        <x:f>IF(COUNTA(E17:I17)=0,"",ROUND(((E17*0.25)+(F17*0.20)+(G17*0.20)+(H17*0.15)+(I17*0.20))*20,0))</x:f>
      </x:c>
      <x:c r="K17" s="32" t="str">
        <x:f>IF(J17="","",IF(J17&gt;=80,"Сильное решение",IF(J17&gt;=60,"Рыночный стандарт",IF(J17&gt;=40,"Частичное решение","Слабое решение"))))</x:f>
      </x:c>
      <x:c r="L17" s="32"/>
    </x:row>
    <x:row r="18" ht="42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 t="str">
        <x:f>IF(COUNTA(E18:I18)=0,"",ROUND(((E18*0.25)+(F18*0.20)+(G18*0.20)+(H18*0.15)+(I18*0.20))*20,0))</x:f>
      </x:c>
      <x:c r="K18" s="32" t="str">
        <x:f>IF(J18="","",IF(J18&gt;=80,"Сильное решение",IF(J18&gt;=60,"Рыночный стандарт",IF(J18&gt;=40,"Частичное решение","Слабое решение"))))</x:f>
      </x:c>
      <x:c r="L18" s="32"/>
    </x:row>
    <x:row r="19" ht="42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 t="str">
        <x:f>IF(COUNTA(E19:I19)=0,"",ROUND(((E19*0.25)+(F19*0.20)+(G19*0.20)+(H19*0.15)+(I19*0.20))*20,0))</x:f>
      </x:c>
      <x:c r="K19" s="32" t="str">
        <x:f>IF(J19="","",IF(J19&gt;=80,"Сильное решение",IF(J19&gt;=60,"Рыночный стандарт",IF(J19&gt;=40,"Частичное решение","Слабое решение"))))</x:f>
      </x:c>
      <x:c r="L19" s="32"/>
    </x:row>
    <x:row r="20" ht="42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 t="str">
        <x:f>IF(COUNTA(E20:I20)=0,"",ROUND(((E20*0.25)+(F20*0.20)+(G20*0.20)+(H20*0.15)+(I20*0.20))*20,0))</x:f>
      </x:c>
      <x:c r="K20" s="32" t="str">
        <x:f>IF(J20="","",IF(J20&gt;=80,"Сильное решение",IF(J20&gt;=60,"Рыночный стандарт",IF(J20&gt;=40,"Частичное решение","Слабое решение"))))</x:f>
      </x:c>
      <x:c r="L20" s="32"/>
    </x:row>
    <x:row r="21" ht="42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 t="str">
        <x:f>IF(COUNTA(E21:I21)=0,"",ROUND(((E21*0.25)+(F21*0.20)+(G21*0.20)+(H21*0.15)+(I21*0.20))*20,0))</x:f>
      </x:c>
      <x:c r="K21" s="32" t="str">
        <x:f>IF(J21="","",IF(J21&gt;=80,"Сильное решение",IF(J21&gt;=60,"Рыночный стандарт",IF(J21&gt;=40,"Частичное решение","Слабое решение"))))</x:f>
      </x:c>
      <x:c r="L21" s="32"/>
    </x:row>
    <x:row r="22" ht="42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 t="str">
        <x:f>IF(COUNTA(E22:I22)=0,"",ROUND(((E22*0.25)+(F22*0.20)+(G22*0.20)+(H22*0.15)+(I22*0.20))*20,0))</x:f>
      </x:c>
      <x:c r="K22" s="32" t="str">
        <x:f>IF(J22="","",IF(J22&gt;=80,"Сильное решение",IF(J22&gt;=60,"Рыночный стандарт",IF(J22&gt;=40,"Частичное решение","Слабое решение"))))</x:f>
      </x:c>
      <x:c r="L22" s="32"/>
    </x:row>
    <x:row r="23" ht="42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 t="str">
        <x:f>IF(COUNTA(E23:I23)=0,"",ROUND(((E23*0.25)+(F23*0.20)+(G23*0.20)+(H23*0.15)+(I23*0.20))*20,0))</x:f>
      </x:c>
      <x:c r="K23" s="32" t="str">
        <x:f>IF(J23="","",IF(J23&gt;=80,"Сильное решение",IF(J23&gt;=60,"Рыночный стандарт",IF(J23&gt;=40,"Частичное решение","Слабое решение"))))</x:f>
      </x:c>
      <x:c r="L23" s="32"/>
    </x:row>
    <x:row r="24" ht="42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 t="str">
        <x:f>IF(COUNTA(E24:I24)=0,"",ROUND(((E24*0.25)+(F24*0.20)+(G24*0.20)+(H24*0.15)+(I24*0.20))*20,0))</x:f>
      </x:c>
      <x:c r="K24" s="32" t="str">
        <x:f>IF(J24="","",IF(J24&gt;=80,"Сильное решение",IF(J24&gt;=60,"Рыночный стандарт",IF(J24&gt;=40,"Частичное решение","Слабое решение"))))</x:f>
      </x:c>
      <x:c r="L24" s="32"/>
    </x:row>
    <x:row r="25" ht="42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 t="str">
        <x:f>IF(COUNTA(E25:I25)=0,"",ROUND(((E25*0.25)+(F25*0.20)+(G25*0.20)+(H25*0.15)+(I25*0.20))*20,0))</x:f>
      </x:c>
      <x:c r="K25" s="32" t="str">
        <x:f>IF(J25="","",IF(J25&gt;=80,"Сильное решение",IF(J25&gt;=60,"Рыночный стандарт",IF(J25&gt;=40,"Частичное решение","Слабое решение"))))</x:f>
      </x:c>
      <x:c r="L25" s="32"/>
    </x:row>
    <x:row r="26" ht="42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 t="str">
        <x:f>IF(COUNTA(E26:I26)=0,"",ROUND(((E26*0.25)+(F26*0.20)+(G26*0.20)+(H26*0.15)+(I26*0.20))*20,0))</x:f>
      </x:c>
      <x:c r="K26" s="32" t="str">
        <x:f>IF(J26="","",IF(J26&gt;=80,"Сильное решение",IF(J26&gt;=60,"Рыночный стандарт",IF(J26&gt;=40,"Частичное решение","Слабое решение"))))</x:f>
      </x:c>
      <x:c r="L26" s="32"/>
    </x:row>
    <x:row r="27" ht="42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 t="str">
        <x:f>IF(COUNTA(E27:I27)=0,"",ROUND(((E27*0.25)+(F27*0.20)+(G27*0.20)+(H27*0.15)+(I27*0.20))*20,0))</x:f>
      </x:c>
      <x:c r="K27" s="32" t="str">
        <x:f>IF(J27="","",IF(J27&gt;=80,"Сильное решение",IF(J27&gt;=60,"Рыночный стандарт",IF(J27&gt;=40,"Частичное решение","Слабое решение"))))</x:f>
      </x:c>
      <x:c r="L27" s="32"/>
    </x:row>
    <x:row r="28" ht="42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 t="str">
        <x:f>IF(COUNTA(E28:I28)=0,"",ROUND(((E28*0.25)+(F28*0.20)+(G28*0.20)+(H28*0.15)+(I28*0.20))*20,0))</x:f>
      </x:c>
      <x:c r="K28" s="32" t="str">
        <x:f>IF(J28="","",IF(J28&gt;=80,"Сильное решение",IF(J28&gt;=60,"Рыночный стандарт",IF(J28&gt;=40,"Частичное решение","Слабое решение"))))</x:f>
      </x:c>
      <x:c r="L28" s="32"/>
    </x:row>
    <x:row r="29" ht="42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 t="str">
        <x:f>IF(COUNTA(E29:I29)=0,"",ROUND(((E29*0.25)+(F29*0.20)+(G29*0.20)+(H29*0.15)+(I29*0.20))*20,0))</x:f>
      </x:c>
      <x:c r="K29" s="32" t="str">
        <x:f>IF(J29="","",IF(J29&gt;=80,"Сильное решение",IF(J29&gt;=60,"Рыночный стандарт",IF(J29&gt;=40,"Частичное решение","Слабое решение"))))</x:f>
      </x:c>
      <x:c r="L29" s="32"/>
    </x:row>
    <x:row r="30" ht="42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 t="str">
        <x:f>IF(COUNTA(E30:I30)=0,"",ROUND(((E30*0.25)+(F30*0.20)+(G30*0.20)+(H30*0.15)+(I30*0.20))*20,0))</x:f>
      </x:c>
      <x:c r="K30" s="32" t="str">
        <x:f>IF(J30="","",IF(J30&gt;=80,"Сильное решение",IF(J30&gt;=60,"Рыночный стандарт",IF(J30&gt;=40,"Частичное решение","Слабое решение"))))</x:f>
      </x:c>
      <x:c r="L30" s="32"/>
    </x:row>
    <x:row r="31" ht="42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 t="str">
        <x:f>IF(COUNTA(E31:I31)=0,"",ROUND(((E31*0.25)+(F31*0.20)+(G31*0.20)+(H31*0.15)+(I31*0.20))*20,0))</x:f>
      </x:c>
      <x:c r="K31" s="32" t="str">
        <x:f>IF(J31="","",IF(J31&gt;=80,"Сильное решение",IF(J31&gt;=60,"Рыночный стандарт",IF(J31&gt;=40,"Частичное решение","Слабое решение"))))</x:f>
      </x:c>
      <x:c r="L31" s="32"/>
    </x:row>
    <x:row r="32" ht="42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 t="str">
        <x:f>IF(COUNTA(E32:I32)=0,"",ROUND(((E32*0.25)+(F32*0.20)+(G32*0.20)+(H32*0.15)+(I32*0.20))*20,0))</x:f>
      </x:c>
      <x:c r="K32" s="32" t="str">
        <x:f>IF(J32="","",IF(J32&gt;=80,"Сильное решение",IF(J32&gt;=60,"Рыночный стандарт",IF(J32&gt;=40,"Частичное решение","Слабое решение"))))</x:f>
      </x:c>
      <x:c r="L32" s="32"/>
    </x:row>
    <x:row r="33" ht="42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 t="str">
        <x:f>IF(COUNTA(E33:I33)=0,"",ROUND(((E33*0.25)+(F33*0.20)+(G33*0.20)+(H33*0.15)+(I33*0.20))*20,0))</x:f>
      </x:c>
      <x:c r="K33" s="32" t="str">
        <x:f>IF(J33="","",IF(J33&gt;=80,"Сильное решение",IF(J33&gt;=60,"Рыночный стандарт",IF(J33&gt;=40,"Частичное решение","Слабое решение"))))</x:f>
      </x:c>
      <x:c r="L33" s="32"/>
    </x:row>
    <x:row r="34" ht="42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 t="str">
        <x:f>IF(COUNTA(E34:I34)=0,"",ROUND(((E34*0.25)+(F34*0.20)+(G34*0.20)+(H34*0.15)+(I34*0.20))*20,0))</x:f>
      </x:c>
      <x:c r="K34" s="32" t="str">
        <x:f>IF(J34="","",IF(J34&gt;=80,"Сильное решение",IF(J34&gt;=60,"Рыночный стандарт",IF(J34&gt;=40,"Частичное решение","Слабое решение"))))</x:f>
      </x:c>
      <x:c r="L34" s="32"/>
    </x:row>
    <x:row r="35" ht="42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 t="str">
        <x:f>IF(COUNTA(E35:I35)=0,"",ROUND(((E35*0.25)+(F35*0.20)+(G35*0.20)+(H35*0.15)+(I35*0.20))*20,0))</x:f>
      </x:c>
      <x:c r="K35" s="32" t="str">
        <x:f>IF(J35="","",IF(J35&gt;=80,"Сильное решение",IF(J35&gt;=60,"Рыночный стандарт",IF(J35&gt;=40,"Частичное решение","Слабое решение"))))</x:f>
      </x:c>
      <x:c r="L35" s="32"/>
    </x:row>
    <x:row r="36" ht="42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 t="str">
        <x:f>IF(COUNTA(E36:I36)=0,"",ROUND(((E36*0.25)+(F36*0.20)+(G36*0.20)+(H36*0.15)+(I36*0.20))*20,0))</x:f>
      </x:c>
      <x:c r="K36" s="32" t="str">
        <x:f>IF(J36="","",IF(J36&gt;=80,"Сильное решение",IF(J36&gt;=60,"Рыночный стандарт",IF(J36&gt;=40,"Частичное решение","Слабое решение"))))</x:f>
      </x:c>
      <x:c r="L36" s="32"/>
    </x:row>
    <x:row r="37" ht="42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 t="str">
        <x:f>IF(COUNTA(E37:I37)=0,"",ROUND(((E37*0.25)+(F37*0.20)+(G37*0.20)+(H37*0.15)+(I37*0.20))*20,0))</x:f>
      </x:c>
      <x:c r="K37" s="32" t="str">
        <x:f>IF(J37="","",IF(J37&gt;=80,"Сильное решение",IF(J37&gt;=60,"Рыночный стандарт",IF(J37&gt;=40,"Частичное решение","Слабое решение"))))</x:f>
      </x:c>
      <x:c r="L37" s="32"/>
    </x:row>
    <x:row r="38" ht="42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 t="str">
        <x:f>IF(COUNTA(E38:I38)=0,"",ROUND(((E38*0.25)+(F38*0.20)+(G38*0.20)+(H38*0.15)+(I38*0.20))*20,0))</x:f>
      </x:c>
      <x:c r="K38" s="32" t="str">
        <x:f>IF(J38="","",IF(J38&gt;=80,"Сильное решение",IF(J38&gt;=60,"Рыночный стандарт",IF(J38&gt;=40,"Частичное решение","Слабое решение"))))</x:f>
      </x:c>
      <x:c r="L38" s="32"/>
    </x:row>
    <x:row r="39" ht="42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 t="str">
        <x:f>IF(COUNTA(E39:I39)=0,"",ROUND(((E39*0.25)+(F39*0.20)+(G39*0.20)+(H39*0.15)+(I39*0.20))*20,0))</x:f>
      </x:c>
      <x:c r="K39" s="32" t="str">
        <x:f>IF(J39="","",IF(J39&gt;=80,"Сильное решение",IF(J39&gt;=60,"Рыночный стандарт",IF(J39&gt;=40,"Частичное решение","Слабое решение"))))</x:f>
      </x:c>
      <x:c r="L39" s="32"/>
    </x:row>
    <x:row r="40" ht="42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 t="str">
        <x:f>IF(COUNTA(E40:I40)=0,"",ROUND(((E40*0.25)+(F40*0.20)+(G40*0.20)+(H40*0.15)+(I40*0.20))*20,0))</x:f>
      </x:c>
      <x:c r="K40" s="32" t="str">
        <x:f>IF(J40="","",IF(J40&gt;=80,"Сильное решение",IF(J40&gt;=60,"Рыночный стандарт",IF(J40&gt;=40,"Частичное решение","Слабое решение"))))</x:f>
      </x:c>
      <x:c r="L40" s="32"/>
    </x:row>
    <x:row r="41" ht="42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 t="str">
        <x:f>IF(COUNTA(E41:I41)=0,"",ROUND(((E41*0.25)+(F41*0.20)+(G41*0.20)+(H41*0.15)+(I41*0.20))*20,0))</x:f>
      </x:c>
      <x:c r="K41" s="32" t="str">
        <x:f>IF(J41="","",IF(J41&gt;=80,"Сильное решение",IF(J41&gt;=60,"Рыночный стандарт",IF(J41&gt;=40,"Частичное решение","Слабое решение"))))</x:f>
      </x:c>
      <x:c r="L41" s="32"/>
    </x:row>
    <x:row r="42" ht="42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 t="str">
        <x:f>IF(COUNTA(E42:I42)=0,"",ROUND(((E42*0.25)+(F42*0.20)+(G42*0.20)+(H42*0.15)+(I42*0.20))*20,0))</x:f>
      </x:c>
      <x:c r="K42" s="32" t="str">
        <x:f>IF(J42="","",IF(J42&gt;=80,"Сильное решение",IF(J42&gt;=60,"Рыночный стандарт",IF(J42&gt;=40,"Частичное решение","Слабое решение"))))</x:f>
      </x:c>
      <x:c r="L42" s="32"/>
    </x:row>
    <x:row r="43" ht="42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 t="str">
        <x:f>IF(COUNTA(E43:I43)=0,"",ROUND(((E43*0.25)+(F43*0.20)+(G43*0.20)+(H43*0.15)+(I43*0.20))*20,0))</x:f>
      </x:c>
      <x:c r="K43" s="32" t="str">
        <x:f>IF(J43="","",IF(J43&gt;=80,"Сильное решение",IF(J43&gt;=60,"Рыночный стандарт",IF(J43&gt;=40,"Частичное решение","Слабое решение"))))</x:f>
      </x:c>
      <x:c r="L43" s="32"/>
    </x:row>
    <x:row r="44" ht="42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 t="str">
        <x:f>IF(COUNTA(E44:I44)=0,"",ROUND(((E44*0.25)+(F44*0.20)+(G44*0.20)+(H44*0.15)+(I44*0.20))*20,0))</x:f>
      </x:c>
      <x:c r="K44" s="32" t="str">
        <x:f>IF(J44="","",IF(J44&gt;=80,"Сильное решение",IF(J44&gt;=60,"Рыночный стандарт",IF(J44&gt;=40,"Частичное решение","Слабое решение"))))</x:f>
      </x:c>
      <x:c r="L44" s="32"/>
    </x:row>
    <x:row r="45" ht="42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 t="str">
        <x:f>IF(COUNTA(E45:I45)=0,"",ROUND(((E45*0.25)+(F45*0.20)+(G45*0.20)+(H45*0.15)+(I45*0.20))*20,0))</x:f>
      </x:c>
      <x:c r="K45" s="32" t="str">
        <x:f>IF(J45="","",IF(J45&gt;=80,"Сильное решение",IF(J45&gt;=60,"Рыночный стандарт",IF(J45&gt;=40,"Частичное решение","Слабое решение"))))</x:f>
      </x:c>
      <x:c r="L45" s="32"/>
    </x:row>
    <x:row r="46" ht="42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 t="str">
        <x:f>IF(COUNTA(E46:I46)=0,"",ROUND(((E46*0.25)+(F46*0.20)+(G46*0.20)+(H46*0.15)+(I46*0.20))*20,0))</x:f>
      </x:c>
      <x:c r="K46" s="32" t="str">
        <x:f>IF(J46="","",IF(J46&gt;=80,"Сильное решение",IF(J46&gt;=60,"Рыночный стандарт",IF(J46&gt;=40,"Частичное решение","Слабое решение"))))</x:f>
      </x:c>
      <x:c r="L46" s="32"/>
    </x:row>
    <x:row r="47" ht="42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 t="str">
        <x:f>IF(COUNTA(E47:I47)=0,"",ROUND(((E47*0.25)+(F47*0.20)+(G47*0.20)+(H47*0.15)+(I47*0.20))*20,0))</x:f>
      </x:c>
      <x:c r="K47" s="32" t="str">
        <x:f>IF(J47="","",IF(J47&gt;=80,"Сильное решение",IF(J47&gt;=60,"Рыночный стандарт",IF(J47&gt;=40,"Частичное решение","Слабое решение"))))</x:f>
      </x:c>
      <x:c r="L47" s="32"/>
    </x:row>
    <x:row r="48" ht="42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 t="str">
        <x:f>IF(COUNTA(E48:I48)=0,"",ROUND(((E48*0.25)+(F48*0.20)+(G48*0.20)+(H48*0.15)+(I48*0.20))*20,0))</x:f>
      </x:c>
      <x:c r="K48" s="32" t="str">
        <x:f>IF(J48="","",IF(J48&gt;=80,"Сильное решение",IF(J48&gt;=60,"Рыночный стандарт",IF(J48&gt;=40,"Частичное решение","Слабое решение"))))</x:f>
      </x:c>
      <x:c r="L48" s="32"/>
    </x:row>
    <x:row r="49" ht="42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 t="str">
        <x:f>IF(COUNTA(E49:I49)=0,"",ROUND(((E49*0.25)+(F49*0.20)+(G49*0.20)+(H49*0.15)+(I49*0.20))*20,0))</x:f>
      </x:c>
      <x:c r="K49" s="32" t="str">
        <x:f>IF(J49="","",IF(J49&gt;=80,"Сильное решение",IF(J49&gt;=60,"Рыночный стандарт",IF(J49&gt;=40,"Частичное решение","Слабое решение"))))</x:f>
      </x:c>
      <x:c r="L49" s="32"/>
    </x:row>
    <x:row r="50" ht="42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 t="str">
        <x:f>IF(COUNTA(E50:I50)=0,"",ROUND(((E50*0.25)+(F50*0.20)+(G50*0.20)+(H50*0.15)+(I50*0.20))*20,0))</x:f>
      </x:c>
      <x:c r="K50" s="32" t="str">
        <x:f>IF(J50="","",IF(J50&gt;=80,"Сильное решение",IF(J50&gt;=60,"Рыночный стандарт",IF(J50&gt;=40,"Частичное решение","Слабое решение"))))</x:f>
      </x:c>
      <x:c r="L50" s="32"/>
    </x:row>
    <x:row r="51" ht="42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 t="str">
        <x:f>IF(COUNTA(E51:I51)=0,"",ROUND(((E51*0.25)+(F51*0.20)+(G51*0.20)+(H51*0.15)+(I51*0.20))*20,0))</x:f>
      </x:c>
      <x:c r="K51" s="32" t="str">
        <x:f>IF(J51="","",IF(J51&gt;=80,"Сильное решение",IF(J51&gt;=60,"Рыночный стандарт",IF(J51&gt;=40,"Частичное решение","Слабое решение"))))</x:f>
      </x:c>
      <x:c r="L51" s="32"/>
    </x:row>
    <x:row r="52" ht="42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 t="str">
        <x:f>IF(COUNTA(E52:I52)=0,"",ROUND(((E52*0.25)+(F52*0.20)+(G52*0.20)+(H52*0.15)+(I52*0.20))*20,0))</x:f>
      </x:c>
      <x:c r="K52" s="32" t="str">
        <x:f>IF(J52="","",IF(J52&gt;=80,"Сильное решение",IF(J52&gt;=60,"Рыночный стандарт",IF(J52&gt;=40,"Частичное решение","Слабое решение"))))</x:f>
      </x:c>
      <x:c r="L52" s="32"/>
    </x:row>
    <x:row r="53" ht="42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 t="str">
        <x:f>IF(COUNTA(E53:I53)=0,"",ROUND(((E53*0.25)+(F53*0.20)+(G53*0.20)+(H53*0.15)+(I53*0.20))*20,0))</x:f>
      </x:c>
      <x:c r="K53" s="32" t="str">
        <x:f>IF(J53="","",IF(J53&gt;=80,"Сильное решение",IF(J53&gt;=60,"Рыночный стандарт",IF(J53&gt;=40,"Частичное решение","Слабое решение"))))</x:f>
      </x:c>
      <x:c r="L53" s="32"/>
    </x:row>
    <x:row r="54" ht="42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 t="str">
        <x:f>IF(COUNTA(E54:I54)=0,"",ROUND(((E54*0.25)+(F54*0.20)+(G54*0.20)+(H54*0.15)+(I54*0.20))*20,0))</x:f>
      </x:c>
      <x:c r="K54" s="32" t="str">
        <x:f>IF(J54="","",IF(J54&gt;=80,"Сильное решение",IF(J54&gt;=60,"Рыночный стандарт",IF(J54&gt;=40,"Частичное решение","Слабое решение"))))</x:f>
      </x:c>
      <x:c r="L54" s="32"/>
    </x:row>
    <x:row r="55" ht="42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 t="str">
        <x:f>IF(COUNTA(E55:I55)=0,"",ROUND(((E55*0.25)+(F55*0.20)+(G55*0.20)+(H55*0.15)+(I55*0.20))*20,0))</x:f>
      </x:c>
      <x:c r="K55" s="32" t="str">
        <x:f>IF(J55="","",IF(J55&gt;=80,"Сильное решение",IF(J55&gt;=60,"Рыночный стандарт",IF(J55&gt;=40,"Частичное решение","Слабое решение"))))</x:f>
      </x:c>
      <x:c r="L55" s="32"/>
    </x:row>
    <x:row r="56" ht="42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 t="str">
        <x:f>IF(COUNTA(E56:I56)=0,"",ROUND(((E56*0.25)+(F56*0.20)+(G56*0.20)+(H56*0.15)+(I56*0.20))*20,0))</x:f>
      </x:c>
      <x:c r="K56" s="32" t="str">
        <x:f>IF(J56="","",IF(J56&gt;=80,"Сильное решение",IF(J56&gt;=60,"Рыночный стандарт",IF(J56&gt;=40,"Частичное решение","Слабое решение"))))</x:f>
      </x:c>
      <x:c r="L56" s="32"/>
    </x:row>
    <x:row r="57" ht="42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 t="str">
        <x:f>IF(COUNTA(E57:I57)=0,"",ROUND(((E57*0.25)+(F57*0.20)+(G57*0.20)+(H57*0.15)+(I57*0.20))*20,0))</x:f>
      </x:c>
      <x:c r="K57" s="32" t="str">
        <x:f>IF(J57="","",IF(J57&gt;=80,"Сильное решение",IF(J57&gt;=60,"Рыночный стандарт",IF(J57&gt;=40,"Частичное решение","Слабое решение"))))</x:f>
      </x:c>
      <x:c r="L57" s="32"/>
    </x:row>
    <x:row r="58" ht="42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 t="str">
        <x:f>IF(COUNTA(E58:I58)=0,"",ROUND(((E58*0.25)+(F58*0.20)+(G58*0.20)+(H58*0.15)+(I58*0.20))*20,0))</x:f>
      </x:c>
      <x:c r="K58" s="32" t="str">
        <x:f>IF(J58="","",IF(J58&gt;=80,"Сильное решение",IF(J58&gt;=60,"Рыночный стандарт",IF(J58&gt;=40,"Частичное решение","Слабое решение"))))</x:f>
      </x:c>
      <x:c r="L58" s="32"/>
    </x:row>
    <x:row r="59" ht="42" customHeight="1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 t="str">
        <x:f>IF(COUNTA(E59:I59)=0,"",ROUND(((E59*0.25)+(F59*0.20)+(G59*0.20)+(H59*0.15)+(I59*0.20))*20,0))</x:f>
      </x:c>
      <x:c r="K59" s="32" t="str">
        <x:f>IF(J59="","",IF(J59&gt;=80,"Сильное решение",IF(J59&gt;=60,"Рыночный стандарт",IF(J59&gt;=40,"Частичное решение","Слабое решение"))))</x:f>
      </x:c>
      <x:c r="L59" s="32"/>
    </x:row>
    <x:row r="60" ht="42" customHeight="1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 t="str">
        <x:f>IF(COUNTA(E60:I60)=0,"",ROUND(((E60*0.25)+(F60*0.20)+(G60*0.20)+(H60*0.15)+(I60*0.20))*20,0))</x:f>
      </x:c>
      <x:c r="K60" s="32" t="str">
        <x:f>IF(J60="","",IF(J60&gt;=80,"Сильное решение",IF(J60&gt;=60,"Рыночный стандарт",IF(J60&gt;=40,"Частичное решение","Слабое решение"))))</x:f>
      </x:c>
      <x:c r="L60" s="32"/>
    </x:row>
    <x:row r="61" ht="42" customHeight="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 t="str">
        <x:f>IF(COUNTA(E61:I61)=0,"",ROUND(((E61*0.25)+(F61*0.20)+(G61*0.20)+(H61*0.15)+(I61*0.20))*20,0))</x:f>
      </x:c>
      <x:c r="K61" s="32" t="str">
        <x:f>IF(J61="","",IF(J61&gt;=80,"Сильное решение",IF(J61&gt;=60,"Рыночный стандарт",IF(J61&gt;=40,"Частичное решение","Слабое решение"))))</x:f>
      </x:c>
      <x:c r="L61" s="32"/>
    </x:row>
    <x:row r="62" ht="42" customHeight="1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 t="str">
        <x:f>IF(COUNTA(E62:I62)=0,"",ROUND(((E62*0.25)+(F62*0.20)+(G62*0.20)+(H62*0.15)+(I62*0.20))*20,0))</x:f>
      </x:c>
      <x:c r="K62" s="32" t="str">
        <x:f>IF(J62="","",IF(J62&gt;=80,"Сильное решение",IF(J62&gt;=60,"Рыночный стандарт",IF(J62&gt;=40,"Частичное решение","Слабое решение"))))</x:f>
      </x:c>
      <x:c r="L62" s="32"/>
    </x:row>
    <x:row r="63" ht="42" customHeight="1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 t="str">
        <x:f>IF(COUNTA(E63:I63)=0,"",ROUND(((E63*0.25)+(F63*0.20)+(G63*0.20)+(H63*0.15)+(I63*0.20))*20,0))</x:f>
      </x:c>
      <x:c r="K63" s="32" t="str">
        <x:f>IF(J63="","",IF(J63&gt;=80,"Сильное решение",IF(J63&gt;=60,"Рыночный стандарт",IF(J63&gt;=40,"Частичное решение","Слабое решение"))))</x:f>
      </x:c>
      <x:c r="L63" s="32"/>
    </x:row>
    <x:row r="64" ht="42" customHeight="1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 t="str">
        <x:f>IF(COUNTA(E64:I64)=0,"",ROUND(((E64*0.25)+(F64*0.20)+(G64*0.20)+(H64*0.15)+(I64*0.20))*20,0))</x:f>
      </x:c>
      <x:c r="K64" s="32" t="str">
        <x:f>IF(J64="","",IF(J64&gt;=80,"Сильное решение",IF(J64&gt;=60,"Рыночный стандарт",IF(J64&gt;=40,"Частичное решение","Слабое решение"))))</x:f>
      </x:c>
      <x:c r="L64" s="32"/>
    </x:row>
    <x:row r="65" ht="42" customHeight="1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 t="str">
        <x:f>IF(COUNTA(E65:I65)=0,"",ROUND(((E65*0.25)+(F65*0.20)+(G65*0.20)+(H65*0.15)+(I65*0.20))*20,0))</x:f>
      </x:c>
      <x:c r="K65" s="32" t="str">
        <x:f>IF(J65="","",IF(J65&gt;=80,"Сильное решение",IF(J65&gt;=60,"Рыночный стандарт",IF(J65&gt;=40,"Частичное решение","Слабое решение"))))</x:f>
      </x:c>
      <x:c r="L65" s="32"/>
    </x:row>
    <x:row r="66" ht="42" customHeight="1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 t="str">
        <x:f>IF(COUNTA(E66:I66)=0,"",ROUND(((E66*0.25)+(F66*0.20)+(G66*0.20)+(H66*0.15)+(I66*0.20))*20,0))</x:f>
      </x:c>
      <x:c r="K66" s="32" t="str">
        <x:f>IF(J66="","",IF(J66&gt;=80,"Сильное решение",IF(J66&gt;=60,"Рыночный стандарт",IF(J66&gt;=40,"Частичное решение","Слабое решение"))))</x:f>
      </x:c>
      <x:c r="L66" s="32"/>
    </x:row>
    <x:row r="67" ht="42" customHeight="1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 t="str">
        <x:f>IF(COUNTA(E67:I67)=0,"",ROUND(((E67*0.25)+(F67*0.20)+(G67*0.20)+(H67*0.15)+(I67*0.20))*20,0))</x:f>
      </x:c>
      <x:c r="K67" s="32" t="str">
        <x:f>IF(J67="","",IF(J67&gt;=80,"Сильное решение",IF(J67&gt;=60,"Рыночный стандарт",IF(J67&gt;=40,"Частичное решение","Слабое решение"))))</x:f>
      </x:c>
      <x:c r="L67" s="32"/>
    </x:row>
    <x:row r="68" ht="42" customHeight="1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 t="str">
        <x:f>IF(COUNTA(E68:I68)=0,"",ROUND(((E68*0.25)+(F68*0.20)+(G68*0.20)+(H68*0.15)+(I68*0.20))*20,0))</x:f>
      </x:c>
      <x:c r="K68" s="32" t="str">
        <x:f>IF(J68="","",IF(J68&gt;=80,"Сильное решение",IF(J68&gt;=60,"Рыночный стандарт",IF(J68&gt;=40,"Частичное решение","Слабое решение"))))</x:f>
      </x:c>
      <x:c r="L68" s="32"/>
    </x:row>
    <x:row r="69" ht="42" customHeight="1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 t="str">
        <x:f>IF(COUNTA(E69:I69)=0,"",ROUND(((E69*0.25)+(F69*0.20)+(G69*0.20)+(H69*0.15)+(I69*0.20))*20,0))</x:f>
      </x:c>
      <x:c r="K69" s="32" t="str">
        <x:f>IF(J69="","",IF(J69&gt;=80,"Сильное решение",IF(J69&gt;=60,"Рыночный стандарт",IF(J69&gt;=40,"Частичное решение","Слабое решение"))))</x:f>
      </x:c>
      <x:c r="L69" s="32"/>
    </x:row>
    <x:row r="70" ht="42" customHeight="1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 t="str">
        <x:f>IF(COUNTA(E70:I70)=0,"",ROUND(((E70*0.25)+(F70*0.20)+(G70*0.20)+(H70*0.15)+(I70*0.20))*20,0))</x:f>
      </x:c>
      <x:c r="K70" s="32" t="str">
        <x:f>IF(J70="","",IF(J70&gt;=80,"Сильное решение",IF(J70&gt;=60,"Рыночный стандарт",IF(J70&gt;=40,"Частичное решение","Слабое решение"))))</x:f>
      </x:c>
      <x:c r="L70" s="32"/>
    </x:row>
    <x:row r="71" ht="42" customHeight="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 t="str">
        <x:f>IF(COUNTA(E71:I71)=0,"",ROUND(((E71*0.25)+(F71*0.20)+(G71*0.20)+(H71*0.15)+(I71*0.20))*20,0))</x:f>
      </x:c>
      <x:c r="K71" s="32" t="str">
        <x:f>IF(J71="","",IF(J71&gt;=80,"Сильное решение",IF(J71&gt;=60,"Рыночный стандарт",IF(J71&gt;=40,"Частичное решение","Слабое решение"))))</x:f>
      </x:c>
      <x:c r="L71" s="32"/>
    </x:row>
    <x:row r="72" ht="42" customHeight="1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 t="str">
        <x:f>IF(COUNTA(E72:I72)=0,"",ROUND(((E72*0.25)+(F72*0.20)+(G72*0.20)+(H72*0.15)+(I72*0.20))*20,0))</x:f>
      </x:c>
      <x:c r="K72" s="32" t="str">
        <x:f>IF(J72="","",IF(J72&gt;=80,"Сильное решение",IF(J72&gt;=60,"Рыночный стандарт",IF(J72&gt;=40,"Частичное решение","Слабое решение"))))</x:f>
      </x:c>
      <x:c r="L72" s="32"/>
    </x:row>
    <x:row r="73" ht="42" customHeight="1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 t="str">
        <x:f>IF(COUNTA(E73:I73)=0,"",ROUND(((E73*0.25)+(F73*0.20)+(G73*0.20)+(H73*0.15)+(I73*0.20))*20,0))</x:f>
      </x:c>
      <x:c r="K73" s="32" t="str">
        <x:f>IF(J73="","",IF(J73&gt;=80,"Сильное решение",IF(J73&gt;=60,"Рыночный стандарт",IF(J73&gt;=40,"Частичное решение","Слабое решение"))))</x:f>
      </x:c>
      <x:c r="L73" s="32"/>
    </x:row>
    <x:row r="74" ht="42" customHeight="1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 t="str">
        <x:f>IF(COUNTA(E74:I74)=0,"",ROUND(((E74*0.25)+(F74*0.20)+(G74*0.20)+(H74*0.15)+(I74*0.20))*20,0))</x:f>
      </x:c>
      <x:c r="K74" s="32" t="str">
        <x:f>IF(J74="","",IF(J74&gt;=80,"Сильное решение",IF(J74&gt;=60,"Рыночный стандарт",IF(J74&gt;=40,"Частичное решение","Слабое решение"))))</x:f>
      </x:c>
      <x:c r="L74" s="32"/>
    </x:row>
    <x:row r="75" ht="42" customHeight="1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 t="str">
        <x:f>IF(COUNTA(E75:I75)=0,"",ROUND(((E75*0.25)+(F75*0.20)+(G75*0.20)+(H75*0.15)+(I75*0.20))*20,0))</x:f>
      </x:c>
      <x:c r="K75" s="32" t="str">
        <x:f>IF(J75="","",IF(J75&gt;=80,"Сильное решение",IF(J75&gt;=60,"Рыночный стандарт",IF(J75&gt;=40,"Частичное решение","Слабое решение"))))</x:f>
      </x:c>
      <x:c r="L75" s="32"/>
    </x:row>
    <x:row r="76" ht="42" customHeight="1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 t="str">
        <x:f>IF(COUNTA(E76:I76)=0,"",ROUND(((E76*0.25)+(F76*0.20)+(G76*0.20)+(H76*0.15)+(I76*0.20))*20,0))</x:f>
      </x:c>
      <x:c r="K76" s="32" t="str">
        <x:f>IF(J76="","",IF(J76&gt;=80,"Сильное решение",IF(J76&gt;=60,"Рыночный стандарт",IF(J76&gt;=40,"Частичное решение","Слабое решение"))))</x:f>
      </x:c>
      <x:c r="L76" s="32"/>
    </x:row>
    <x:row r="77" ht="42" customHeight="1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 t="str">
        <x:f>IF(COUNTA(E77:I77)=0,"",ROUND(((E77*0.25)+(F77*0.20)+(G77*0.20)+(H77*0.15)+(I77*0.20))*20,0))</x:f>
      </x:c>
      <x:c r="K77" s="32" t="str">
        <x:f>IF(J77="","",IF(J77&gt;=80,"Сильное решение",IF(J77&gt;=60,"Рыночный стандарт",IF(J77&gt;=40,"Частичное решение","Слабое решение"))))</x:f>
      </x:c>
      <x:c r="L77" s="32"/>
    </x:row>
    <x:row r="78" ht="42" customHeight="1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 t="str">
        <x:f>IF(COUNTA(E78:I78)=0,"",ROUND(((E78*0.25)+(F78*0.20)+(G78*0.20)+(H78*0.15)+(I78*0.20))*20,0))</x:f>
      </x:c>
      <x:c r="K78" s="32" t="str">
        <x:f>IF(J78="","",IF(J78&gt;=80,"Сильное решение",IF(J78&gt;=60,"Рыночный стандарт",IF(J78&gt;=40,"Частичное решение","Слабое решение"))))</x:f>
      </x:c>
      <x:c r="L78" s="32"/>
    </x:row>
    <x:row r="79" ht="42" customHeight="1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 t="str">
        <x:f>IF(COUNTA(E79:I79)=0,"",ROUND(((E79*0.25)+(F79*0.20)+(G79*0.20)+(H79*0.15)+(I79*0.20))*20,0))</x:f>
      </x:c>
      <x:c r="K79" s="32" t="str">
        <x:f>IF(J79="","",IF(J79&gt;=80,"Сильное решение",IF(J79&gt;=60,"Рыночный стандарт",IF(J79&gt;=40,"Частичное решение","Слабое решение"))))</x:f>
      </x:c>
      <x:c r="L79" s="32"/>
    </x:row>
    <x:row r="80" ht="42" customHeight="1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 t="str">
        <x:f>IF(COUNTA(E80:I80)=0,"",ROUND(((E80*0.25)+(F80*0.20)+(G80*0.20)+(H80*0.15)+(I80*0.20))*20,0))</x:f>
      </x:c>
      <x:c r="K80" s="32" t="str">
        <x:f>IF(J80="","",IF(J80&gt;=80,"Сильное решение",IF(J80&gt;=60,"Рыночный стандарт",IF(J80&gt;=40,"Частичное решение","Слабое решение"))))</x:f>
      </x:c>
      <x:c r="L80" s="32"/>
    </x:row>
    <x:row r="81" ht="42" customHeight="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 t="str">
        <x:f>IF(COUNTA(E81:I81)=0,"",ROUND(((E81*0.25)+(F81*0.20)+(G81*0.20)+(H81*0.15)+(I81*0.20))*20,0))</x:f>
      </x:c>
      <x:c r="K81" s="32" t="str">
        <x:f>IF(J81="","",IF(J81&gt;=80,"Сильное решение",IF(J81&gt;=60,"Рыночный стандарт",IF(J81&gt;=40,"Частичное решение","Слабое решение"))))</x:f>
      </x:c>
      <x:c r="L81" s="32"/>
    </x:row>
    <x:row r="82" ht="42" customHeight="1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 t="str">
        <x:f>IF(COUNTA(E82:I82)=0,"",ROUND(((E82*0.25)+(F82*0.20)+(G82*0.20)+(H82*0.15)+(I82*0.20))*20,0))</x:f>
      </x:c>
      <x:c r="K82" s="32" t="str">
        <x:f>IF(J82="","",IF(J82&gt;=80,"Сильное решение",IF(J82&gt;=60,"Рыночный стандарт",IF(J82&gt;=40,"Частичное решение","Слабое решение"))))</x:f>
      </x:c>
      <x:c r="L82" s="32"/>
    </x:row>
    <x:row r="83" ht="42" customHeight="1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 t="str">
        <x:f>IF(COUNTA(E83:I83)=0,"",ROUND(((E83*0.25)+(F83*0.20)+(G83*0.20)+(H83*0.15)+(I83*0.20))*20,0))</x:f>
      </x:c>
      <x:c r="K83" s="32" t="str">
        <x:f>IF(J83="","",IF(J83&gt;=80,"Сильное решение",IF(J83&gt;=60,"Рыночный стандарт",IF(J83&gt;=40,"Частичное решение","Слабое решение"))))</x:f>
      </x:c>
      <x:c r="L83" s="32"/>
    </x:row>
    <x:row r="84" ht="42" customHeight="1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 t="str">
        <x:f>IF(COUNTA(E84:I84)=0,"",ROUND(((E84*0.25)+(F84*0.20)+(G84*0.20)+(H84*0.15)+(I84*0.20))*20,0))</x:f>
      </x:c>
      <x:c r="K84" s="32" t="str">
        <x:f>IF(J84="","",IF(J84&gt;=80,"Сильное решение",IF(J84&gt;=60,"Рыночный стандарт",IF(J84&gt;=40,"Частичное решение","Слабое решение"))))</x:f>
      </x:c>
      <x:c r="L84" s="32"/>
    </x:row>
    <x:row r="85" ht="42" customHeight="1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 t="str">
        <x:f>IF(COUNTA(E85:I85)=0,"",ROUND(((E85*0.25)+(F85*0.20)+(G85*0.20)+(H85*0.15)+(I85*0.20))*20,0))</x:f>
      </x:c>
      <x:c r="K85" s="32" t="str">
        <x:f>IF(J85="","",IF(J85&gt;=80,"Сильное решение",IF(J85&gt;=60,"Рыночный стандарт",IF(J85&gt;=40,"Частичное решение","Слабое решение"))))</x:f>
      </x:c>
      <x:c r="L85" s="32"/>
    </x:row>
    <x:row r="86" ht="42" customHeight="1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 t="str">
        <x:f>IF(COUNTA(E86:I86)=0,"",ROUND(((E86*0.25)+(F86*0.20)+(G86*0.20)+(H86*0.15)+(I86*0.20))*20,0))</x:f>
      </x:c>
      <x:c r="K86" s="32" t="str">
        <x:f>IF(J86="","",IF(J86&gt;=80,"Сильное решение",IF(J86&gt;=60,"Рыночный стандарт",IF(J86&gt;=40,"Частичное решение","Слабое решение"))))</x:f>
      </x:c>
      <x:c r="L86" s="32"/>
    </x:row>
    <x:row r="87" ht="42" customHeight="1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 t="str">
        <x:f>IF(COUNTA(E87:I87)=0,"",ROUND(((E87*0.25)+(F87*0.20)+(G87*0.20)+(H87*0.15)+(I87*0.20))*20,0))</x:f>
      </x:c>
      <x:c r="K87" s="32" t="str">
        <x:f>IF(J87="","",IF(J87&gt;=80,"Сильное решение",IF(J87&gt;=60,"Рыночный стандарт",IF(J87&gt;=40,"Частичное решение","Слабое решение"))))</x:f>
      </x:c>
      <x:c r="L87" s="32"/>
    </x:row>
    <x:row r="88" ht="42" customHeight="1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 t="str">
        <x:f>IF(COUNTA(E88:I88)=0,"",ROUND(((E88*0.25)+(F88*0.20)+(G88*0.20)+(H88*0.15)+(I88*0.20))*20,0))</x:f>
      </x:c>
      <x:c r="K88" s="32" t="str">
        <x:f>IF(J88="","",IF(J88&gt;=80,"Сильное решение",IF(J88&gt;=60,"Рыночный стандарт",IF(J88&gt;=40,"Частичное решение","Слабое решение"))))</x:f>
      </x:c>
      <x:c r="L88" s="32"/>
    </x:row>
    <x:row r="89" ht="42" customHeight="1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 t="str">
        <x:f>IF(COUNTA(E89:I89)=0,"",ROUND(((E89*0.25)+(F89*0.20)+(G89*0.20)+(H89*0.15)+(I89*0.20))*20,0))</x:f>
      </x:c>
      <x:c r="K89" s="32" t="str">
        <x:f>IF(J89="","",IF(J89&gt;=80,"Сильное решение",IF(J89&gt;=60,"Рыночный стандарт",IF(J89&gt;=40,"Частичное решение","Слабое решение"))))</x:f>
      </x:c>
      <x:c r="L89" s="32"/>
    </x:row>
    <x:row r="90" ht="42" customHeight="1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 t="str">
        <x:f>IF(COUNTA(E90:I90)=0,"",ROUND(((E90*0.25)+(F90*0.20)+(G90*0.20)+(H90*0.15)+(I90*0.20))*20,0))</x:f>
      </x:c>
      <x:c r="K90" s="32" t="str">
        <x:f>IF(J90="","",IF(J90&gt;=80,"Сильное решение",IF(J90&gt;=60,"Рыночный стандарт",IF(J90&gt;=40,"Частичное решение","Слабое решение"))))</x:f>
      </x:c>
      <x:c r="L90" s="32"/>
    </x:row>
    <x:row r="91" ht="42" customHeight="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 t="str">
        <x:f>IF(COUNTA(E91:I91)=0,"",ROUND(((E91*0.25)+(F91*0.20)+(G91*0.20)+(H91*0.15)+(I91*0.20))*20,0))</x:f>
      </x:c>
      <x:c r="K91" s="32" t="str">
        <x:f>IF(J91="","",IF(J91&gt;=80,"Сильное решение",IF(J91&gt;=60,"Рыночный стандарт",IF(J91&gt;=40,"Частичное решение","Слабое решение"))))</x:f>
      </x:c>
      <x:c r="L91" s="32"/>
    </x:row>
    <x:row r="92" ht="42" customHeight="1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 t="str">
        <x:f>IF(COUNTA(E92:I92)=0,"",ROUND(((E92*0.25)+(F92*0.20)+(G92*0.20)+(H92*0.15)+(I92*0.20))*20,0))</x:f>
      </x:c>
      <x:c r="K92" s="32" t="str">
        <x:f>IF(J92="","",IF(J92&gt;=80,"Сильное решение",IF(J92&gt;=60,"Рыночный стандарт",IF(J92&gt;=40,"Частичное решение","Слабое решение"))))</x:f>
      </x:c>
      <x:c r="L92" s="32"/>
    </x:row>
    <x:row r="93" ht="42" customHeight="1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 t="str">
        <x:f>IF(COUNTA(E93:I93)=0,"",ROUND(((E93*0.25)+(F93*0.20)+(G93*0.20)+(H93*0.15)+(I93*0.20))*20,0))</x:f>
      </x:c>
      <x:c r="K93" s="32" t="str">
        <x:f>IF(J93="","",IF(J93&gt;=80,"Сильное решение",IF(J93&gt;=60,"Рыночный стандарт",IF(J93&gt;=40,"Частичное решение","Слабое решение"))))</x:f>
      </x:c>
      <x:c r="L93" s="32"/>
    </x:row>
    <x:row r="94" ht="42" customHeight="1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 t="str">
        <x:f>IF(COUNTA(E94:I94)=0,"",ROUND(((E94*0.25)+(F94*0.20)+(G94*0.20)+(H94*0.15)+(I94*0.20))*20,0))</x:f>
      </x:c>
      <x:c r="K94" s="32" t="str">
        <x:f>IF(J94="","",IF(J94&gt;=80,"Сильное решение",IF(J94&gt;=60,"Рыночный стандарт",IF(J94&gt;=40,"Частичное решение","Слабое решение"))))</x:f>
      </x:c>
      <x:c r="L94" s="32"/>
    </x:row>
    <x:row r="95" ht="42" customHeight="1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 t="str">
        <x:f>IF(COUNTA(E95:I95)=0,"",ROUND(((E95*0.25)+(F95*0.20)+(G95*0.20)+(H95*0.15)+(I95*0.20))*20,0))</x:f>
      </x:c>
      <x:c r="K95" s="32" t="str">
        <x:f>IF(J95="","",IF(J95&gt;=80,"Сильное решение",IF(J95&gt;=60,"Рыночный стандарт",IF(J95&gt;=40,"Частичное решение","Слабое решение"))))</x:f>
      </x:c>
      <x:c r="L95" s="32"/>
    </x:row>
    <x:row r="96" ht="42" customHeight="1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 t="str">
        <x:f>IF(COUNTA(E96:I96)=0,"",ROUND(((E96*0.25)+(F96*0.20)+(G96*0.20)+(H96*0.15)+(I96*0.20))*20,0))</x:f>
      </x:c>
      <x:c r="K96" s="32" t="str">
        <x:f>IF(J96="","",IF(J96&gt;=80,"Сильное решение",IF(J96&gt;=60,"Рыночный стандарт",IF(J96&gt;=40,"Частичное решение","Слабое решение"))))</x:f>
      </x:c>
      <x:c r="L96" s="32"/>
    </x:row>
    <x:row r="97" ht="42" customHeight="1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 t="str">
        <x:f>IF(COUNTA(E97:I97)=0,"",ROUND(((E97*0.25)+(F97*0.20)+(G97*0.20)+(H97*0.15)+(I97*0.20))*20,0))</x:f>
      </x:c>
      <x:c r="K97" s="32" t="str">
        <x:f>IF(J97="","",IF(J97&gt;=80,"Сильное решение",IF(J97&gt;=60,"Рыночный стандарт",IF(J97&gt;=40,"Частичное решение","Слабое решение"))))</x:f>
      </x:c>
      <x:c r="L97" s="32"/>
    </x:row>
    <x:row r="98" ht="42" customHeight="1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 t="str">
        <x:f>IF(COUNTA(E98:I98)=0,"",ROUND(((E98*0.25)+(F98*0.20)+(G98*0.20)+(H98*0.15)+(I98*0.20))*20,0))</x:f>
      </x:c>
      <x:c r="K98" s="32" t="str">
        <x:f>IF(J98="","",IF(J98&gt;=80,"Сильное решение",IF(J98&gt;=60,"Рыночный стандарт",IF(J98&gt;=40,"Частичное решение","Слабое решение"))))</x:f>
      </x:c>
      <x:c r="L98" s="32"/>
    </x:row>
    <x:row r="99" ht="42" customHeight="1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 t="str">
        <x:f>IF(COUNTA(E99:I99)=0,"",ROUND(((E99*0.25)+(F99*0.20)+(G99*0.20)+(H99*0.15)+(I99*0.20))*20,0))</x:f>
      </x:c>
      <x:c r="K99" s="32" t="str">
        <x:f>IF(J99="","",IF(J99&gt;=80,"Сильное решение",IF(J99&gt;=60,"Рыночный стандарт",IF(J99&gt;=40,"Частичное решение","Слабое решение"))))</x:f>
      </x:c>
      <x:c r="L99" s="32"/>
    </x:row>
    <x:row r="100" ht="42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 t="str">
        <x:f>IF(COUNTA(E100:I100)=0,"",ROUND(((E100*0.25)+(F100*0.20)+(G100*0.20)+(H100*0.15)+(I100*0.20))*20,0))</x:f>
      </x:c>
      <x:c r="K100" s="32" t="str">
        <x:f>IF(J100="","",IF(J100&gt;=80,"Сильное решение",IF(J100&gt;=60,"Рыночный стандарт",IF(J100&gt;=40,"Частичное решение","Слабое решение"))))</x:f>
      </x:c>
      <x:c r="L100" s="32"/>
    </x:row>
    <x:row r="101" ht="42" customHeight="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 t="str">
        <x:f>IF(COUNTA(E101:I101)=0,"",ROUND(((E101*0.25)+(F101*0.20)+(G101*0.20)+(H101*0.15)+(I101*0.20))*20,0))</x:f>
      </x:c>
      <x:c r="K101" s="32" t="str">
        <x:f>IF(J101="","",IF(J101&gt;=80,"Сильное решение",IF(J101&gt;=60,"Рыночный стандарт",IF(J101&gt;=40,"Частичное решение","Слабое решение"))))</x:f>
      </x:c>
      <x:c r="L101" s="32"/>
    </x:row>
    <x:row r="102" ht="42" customHeight="1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 t="str">
        <x:f>IF(COUNTA(E102:I102)=0,"",ROUND(((E102*0.25)+(F102*0.20)+(G102*0.20)+(H102*0.15)+(I102*0.20))*20,0))</x:f>
      </x:c>
      <x:c r="K102" s="32" t="str">
        <x:f>IF(J102="","",IF(J102&gt;=80,"Сильное решение",IF(J102&gt;=60,"Рыночный стандарт",IF(J102&gt;=40,"Частичное решение","Слабое решение"))))</x:f>
      </x:c>
      <x:c r="L102" s="32"/>
    </x:row>
    <x:row r="103" ht="42" customHeight="1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 t="str">
        <x:f>IF(COUNTA(E103:I103)=0,"",ROUND(((E103*0.25)+(F103*0.20)+(G103*0.20)+(H103*0.15)+(I103*0.20))*20,0))</x:f>
      </x:c>
      <x:c r="K103" s="32" t="str">
        <x:f>IF(J103="","",IF(J103&gt;=80,"Сильное решение",IF(J103&gt;=60,"Рыночный стандарт",IF(J103&gt;=40,"Частичное решение","Слабое решение"))))</x:f>
      </x:c>
      <x:c r="L103" s="32"/>
    </x:row>
    <x:row r="104" ht="42" customHeight="1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 t="str">
        <x:f>IF(COUNTA(E104:I104)=0,"",ROUND(((E104*0.25)+(F104*0.20)+(G104*0.20)+(H104*0.15)+(I104*0.20))*20,0))</x:f>
      </x:c>
      <x:c r="K104" s="32" t="str">
        <x:f>IF(J104="","",IF(J104&gt;=80,"Сильное решение",IF(J104&gt;=60,"Рыночный стандарт",IF(J104&gt;=40,"Частичное решение","Слабое решение"))))</x:f>
      </x:c>
      <x:c r="L104" s="32"/>
    </x:row>
  </x:sheetData>
  <x:mergeCells>
    <x:mergeCell ref="A1:L1"/>
    <x:mergeCell ref="A2:L2"/>
  </x:mergeCells>
  <x:conditionalFormatting sqref="J5:J104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{FDC0EADE-75BF-1EAB-B951-F21AFC751BD7}</x14:id>
        </x:ext>
      </x:extLst>
    </x:cfRule>
  </x:conditionalFormatting>
  <x:dataValidations count="5">
    <x:dataValidation type="list" sqref="E5:E104">
      <x:formula1>'Справочники'!$A$4:$A$8</x:formula1>
    </x:dataValidation>
    <x:dataValidation type="list" sqref="F5:F104">
      <x:formula1>'Справочники'!$A$4:$A$8</x:formula1>
    </x:dataValidation>
    <x:dataValidation type="list" sqref="G5:G104">
      <x:formula1>'Справочники'!$A$4:$A$8</x:formula1>
    </x:dataValidation>
    <x:dataValidation type="list" sqref="H5:H104">
      <x:formula1>'Справочники'!$A$4:$A$8</x:formula1>
    </x:dataValidation>
    <x:dataValidation type="list" sqref="I5:I104">
      <x:formula1>'Справочники'!$A$4:$A$8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32380c8d5a4d1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DC0EADE-75BF-1EAB-B951-F21AFC751BD7}">
            <x14:dataBar gradient="1">
              <x14:cfvo type="min"/>
              <x14:cfvo type="max"/>
              <x14:fillColor rgb="5B9BD5"/>
            </x14:dataBar>
          </x14:cfRule>
          <xm:sqref>J5:J104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42" hidden="0" customWidth="1"/>
    <x:col min="5" max="5" width="42" hidden="0" customWidth="1"/>
    <x:col min="6" max="6" width="36" hidden="0" customWidth="1"/>
    <x:col min="7" max="7" width="42" hidden="0" customWidth="1"/>
    <x:col min="8" max="8" width="64" hidden="0" customWidth="1"/>
    <x:col min="9" max="9" width="24" hidden="0" customWidth="1"/>
    <x:col min="10" max="10" width="24" hidden="0" customWidth="1"/>
    <x:col min="11" max="11" width="16" hidden="0" customWidth="1"/>
    <x:col min="12" max="12" width="18" hidden="0" customWidth="1"/>
    <x:col min="13" max="13" width="28" hidden="0" customWidth="1"/>
  </x:cols>
  <x:sheetData>
    <x:row r="1" ht="28" customHeight="1">
      <x:c r="A1" s="6" t="str">
        <x:v>Формулирование ценностного предложения</x:v>
      </x:c>
    </x:row>
    <x:row r="2" ht="34" customHeight="1">
      <x:c r="A2" s="16" t="str">
        <x:v>Ценностное предложение связывает опорную проблему клиента, конкурентный пробел и обещаемый измеримый результат.</x:v>
      </x:c>
    </x:row>
    <x:row r="4" ht="34" customHeight="1">
      <x:c r="A4" s="25" t="str">
        <x:v>ID ЦП</x:v>
      </x:c>
      <x:c r="B4" s="25" t="str">
        <x:v>ID проблемы</x:v>
      </x:c>
      <x:c r="C4" s="25" t="str">
        <x:v>Сегмент</x:v>
      </x:c>
      <x:c r="D4" s="25" t="str">
        <x:v>Опорная проблема</x:v>
      </x:c>
      <x:c r="E4" s="25" t="str">
        <x:v>Конкурентный пробел</x:v>
      </x:c>
      <x:c r="F4" s="25" t="str">
        <x:v>Обещаемый результат</x:v>
      </x:c>
      <x:c r="G4" s="25" t="str">
        <x:v>Механизм создания ценности</x:v>
      </x:c>
      <x:c r="H4" s="25" t="str">
        <x:v>Формулировка ценностного предложения</x:v>
      </x:c>
      <x:c r="I4" s="25" t="str">
        <x:v>Тип ЦП</x:v>
      </x:c>
      <x:c r="J4" s="25" t="str">
        <x:v>Тип ценности</x:v>
      </x:c>
      <x:c r="K4" s="25" t="str">
        <x:v>Индекс проблемы</x:v>
      </x:c>
      <x:c r="L4" s="25" t="str">
        <x:v>Статус</x:v>
      </x:c>
      <x:c r="M4" s="25" t="str">
        <x:v>Комментарий</x:v>
      </x:c>
    </x:row>
    <x:row r="5" ht="42" customHeight="1">
      <x:c r="A5" s="32" t="str">
        <x:v>VP-001</x:v>
      </x:c>
      <x:c r="B5" s="32" t="str">
        <x:v>P-001</x:v>
      </x:c>
      <x:c r="C5" s="32" t="str">
        <x:v>B2B</x:v>
      </x:c>
      <x:c r="D5" s="32" t="str">
        <x:v>Слишком долгий путь к первому результату.</x:v>
      </x:c>
      <x:c r="E5" s="32" t="str">
        <x:v>Конкуренты помогают настроить систему, но не гарантируют быстрый первый результат.</x:v>
      </x:c>
      <x:c r="F5" s="32" t="str">
        <x:v>Получить первый рабочий результат в день подключения.</x:v>
      </x:c>
      <x:c r="G5" s="32" t="str">
        <x:v>Автоматизация настройки, шаблоны и подсказки.</x:v>
      </x:c>
      <x:c r="H5" s="32" t="str">
        <x:v>Для B2B-команд, которым нужно быстро запустить процесс, сервис сокращает путь к первому результату за счет автоматической настройки и готовых сценариев.</x:v>
      </x:c>
      <x:c r="I5" s="32" t="str">
        <x:v>Устранение боли</x:v>
      </x:c>
      <x:c r="J5" s="32" t="str">
        <x:v>Экономия времени</x:v>
      </x:c>
      <x:c r="K5" s="32" t="n">
        <x:f>IF(B5="","",IFERROR(INDEX('Проблемы клиентов'!$K$5:$K$104,MATCH(B5,'Проблемы клиентов'!$A$5:$A$104,0)),0))</x:f>
        <x:v>84</x:v>
      </x:c>
      <x:c r="L5" s="32" t="str">
        <x:f>IF(A5="","",IF(AND(B5&lt;&gt;"",F5&lt;&gt;"",G5&lt;&gt;"",H5&lt;&gt;"",I5&lt;&gt;"",J5&lt;&gt;""),"Готово","Нужно дополнить"))</x:f>
        <x:v>Готово</x:v>
      </x:c>
      <x:c r="M5" s="32" t="str">
        <x:v>Пример.</x:v>
      </x:c>
    </x:row>
    <x:row r="6" ht="42" customHeight="1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 t="str">
        <x:f>IF(B6="","",IFERROR(INDEX('Проблемы клиентов'!$K$5:$K$104,MATCH(B6,'Проблемы клиентов'!$A$5:$A$104,0)),0))</x:f>
      </x:c>
      <x:c r="L6" s="32" t="str">
        <x:f>IF(A6="","",IF(AND(B6&lt;&gt;"",F6&lt;&gt;"",G6&lt;&gt;"",H6&lt;&gt;"",I6&lt;&gt;"",J6&lt;&gt;""),"Готово","Нужно дополнить"))</x:f>
      </x:c>
      <x:c r="M6" s="32"/>
    </x:row>
    <x:row r="7" ht="42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 t="str">
        <x:f>IF(B7="","",IFERROR(INDEX('Проблемы клиентов'!$K$5:$K$104,MATCH(B7,'Проблемы клиентов'!$A$5:$A$104,0)),0))</x:f>
      </x:c>
      <x:c r="L7" s="32" t="str">
        <x:f>IF(A7="","",IF(AND(B7&lt;&gt;"",F7&lt;&gt;"",G7&lt;&gt;"",H7&lt;&gt;"",I7&lt;&gt;"",J7&lt;&gt;""),"Готово","Нужно дополнить"))</x:f>
      </x:c>
      <x:c r="M7" s="32"/>
    </x:row>
    <x:row r="8" ht="42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 t="str">
        <x:f>IF(B8="","",IFERROR(INDEX('Проблемы клиентов'!$K$5:$K$104,MATCH(B8,'Проблемы клиентов'!$A$5:$A$104,0)),0))</x:f>
      </x:c>
      <x:c r="L8" s="32" t="str">
        <x:f>IF(A8="","",IF(AND(B8&lt;&gt;"",F8&lt;&gt;"",G8&lt;&gt;"",H8&lt;&gt;"",I8&lt;&gt;"",J8&lt;&gt;""),"Готово","Нужно дополнить"))</x:f>
      </x:c>
      <x:c r="M8" s="32"/>
    </x:row>
    <x:row r="9" ht="42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 t="str">
        <x:f>IF(B9="","",IFERROR(INDEX('Проблемы клиентов'!$K$5:$K$104,MATCH(B9,'Проблемы клиентов'!$A$5:$A$104,0)),0))</x:f>
      </x:c>
      <x:c r="L9" s="32" t="str">
        <x:f>IF(A9="","",IF(AND(B9&lt;&gt;"",F9&lt;&gt;"",G9&lt;&gt;"",H9&lt;&gt;"",I9&lt;&gt;"",J9&lt;&gt;""),"Готово","Нужно дополнить"))</x:f>
      </x:c>
      <x:c r="M9" s="32"/>
    </x:row>
    <x:row r="10" ht="42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 t="str">
        <x:f>IF(B10="","",IFERROR(INDEX('Проблемы клиентов'!$K$5:$K$104,MATCH(B10,'Проблемы клиентов'!$A$5:$A$104,0)),0))</x:f>
      </x:c>
      <x:c r="L10" s="32" t="str">
        <x:f>IF(A10="","",IF(AND(B10&lt;&gt;"",F10&lt;&gt;"",G10&lt;&gt;"",H10&lt;&gt;"",I10&lt;&gt;"",J10&lt;&gt;""),"Готово","Нужно дополнить"))</x:f>
      </x:c>
      <x:c r="M10" s="32"/>
    </x:row>
    <x:row r="11" ht="42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 t="str">
        <x:f>IF(B11="","",IFERROR(INDEX('Проблемы клиентов'!$K$5:$K$104,MATCH(B11,'Проблемы клиентов'!$A$5:$A$104,0)),0))</x:f>
      </x:c>
      <x:c r="L11" s="32" t="str">
        <x:f>IF(A11="","",IF(AND(B11&lt;&gt;"",F11&lt;&gt;"",G11&lt;&gt;"",H11&lt;&gt;"",I11&lt;&gt;"",J11&lt;&gt;""),"Готово","Нужно дополнить"))</x:f>
      </x:c>
      <x:c r="M11" s="32"/>
    </x:row>
    <x:row r="12" ht="42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 t="str">
        <x:f>IF(B12="","",IFERROR(INDEX('Проблемы клиентов'!$K$5:$K$104,MATCH(B12,'Проблемы клиентов'!$A$5:$A$104,0)),0))</x:f>
      </x:c>
      <x:c r="L12" s="32" t="str">
        <x:f>IF(A12="","",IF(AND(B12&lt;&gt;"",F12&lt;&gt;"",G12&lt;&gt;"",H12&lt;&gt;"",I12&lt;&gt;"",J12&lt;&gt;""),"Готово","Нужно дополнить"))</x:f>
      </x:c>
      <x:c r="M12" s="32"/>
    </x:row>
    <x:row r="13" ht="42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 t="str">
        <x:f>IF(B13="","",IFERROR(INDEX('Проблемы клиентов'!$K$5:$K$104,MATCH(B13,'Проблемы клиентов'!$A$5:$A$104,0)),0))</x:f>
      </x:c>
      <x:c r="L13" s="32" t="str">
        <x:f>IF(A13="","",IF(AND(B13&lt;&gt;"",F13&lt;&gt;"",G13&lt;&gt;"",H13&lt;&gt;"",I13&lt;&gt;"",J13&lt;&gt;""),"Готово","Нужно дополнить"))</x:f>
      </x:c>
      <x:c r="M13" s="32"/>
    </x:row>
    <x:row r="14" ht="42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 t="str">
        <x:f>IF(B14="","",IFERROR(INDEX('Проблемы клиентов'!$K$5:$K$104,MATCH(B14,'Проблемы клиентов'!$A$5:$A$104,0)),0))</x:f>
      </x:c>
      <x:c r="L14" s="32" t="str">
        <x:f>IF(A14="","",IF(AND(B14&lt;&gt;"",F14&lt;&gt;"",G14&lt;&gt;"",H14&lt;&gt;"",I14&lt;&gt;"",J14&lt;&gt;""),"Готово","Нужно дополнить"))</x:f>
      </x:c>
      <x:c r="M14" s="32"/>
    </x:row>
    <x:row r="15" ht="42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 t="str">
        <x:f>IF(B15="","",IFERROR(INDEX('Проблемы клиентов'!$K$5:$K$104,MATCH(B15,'Проблемы клиентов'!$A$5:$A$104,0)),0))</x:f>
      </x:c>
      <x:c r="L15" s="32" t="str">
        <x:f>IF(A15="","",IF(AND(B15&lt;&gt;"",F15&lt;&gt;"",G15&lt;&gt;"",H15&lt;&gt;"",I15&lt;&gt;"",J15&lt;&gt;""),"Готово","Нужно дополнить"))</x:f>
      </x:c>
      <x:c r="M15" s="32"/>
    </x:row>
    <x:row r="16" ht="42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 t="str">
        <x:f>IF(B16="","",IFERROR(INDEX('Проблемы клиентов'!$K$5:$K$104,MATCH(B16,'Проблемы клиентов'!$A$5:$A$104,0)),0))</x:f>
      </x:c>
      <x:c r="L16" s="32" t="str">
        <x:f>IF(A16="","",IF(AND(B16&lt;&gt;"",F16&lt;&gt;"",G16&lt;&gt;"",H16&lt;&gt;"",I16&lt;&gt;"",J16&lt;&gt;""),"Готово","Нужно дополнить"))</x:f>
      </x:c>
      <x:c r="M16" s="32"/>
    </x:row>
    <x:row r="17" ht="42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 t="str">
        <x:f>IF(B17="","",IFERROR(INDEX('Проблемы клиентов'!$K$5:$K$104,MATCH(B17,'Проблемы клиентов'!$A$5:$A$104,0)),0))</x:f>
      </x:c>
      <x:c r="L17" s="32" t="str">
        <x:f>IF(A17="","",IF(AND(B17&lt;&gt;"",F17&lt;&gt;"",G17&lt;&gt;"",H17&lt;&gt;"",I17&lt;&gt;"",J17&lt;&gt;""),"Готово","Нужно дополнить"))</x:f>
      </x:c>
      <x:c r="M17" s="32"/>
    </x:row>
    <x:row r="18" ht="42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 t="str">
        <x:f>IF(B18="","",IFERROR(INDEX('Проблемы клиентов'!$K$5:$K$104,MATCH(B18,'Проблемы клиентов'!$A$5:$A$104,0)),0))</x:f>
      </x:c>
      <x:c r="L18" s="32" t="str">
        <x:f>IF(A18="","",IF(AND(B18&lt;&gt;"",F18&lt;&gt;"",G18&lt;&gt;"",H18&lt;&gt;"",I18&lt;&gt;"",J18&lt;&gt;""),"Готово","Нужно дополнить"))</x:f>
      </x:c>
      <x:c r="M18" s="32"/>
    </x:row>
    <x:row r="19" ht="42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 t="str">
        <x:f>IF(B19="","",IFERROR(INDEX('Проблемы клиентов'!$K$5:$K$104,MATCH(B19,'Проблемы клиентов'!$A$5:$A$104,0)),0))</x:f>
      </x:c>
      <x:c r="L19" s="32" t="str">
        <x:f>IF(A19="","",IF(AND(B19&lt;&gt;"",F19&lt;&gt;"",G19&lt;&gt;"",H19&lt;&gt;"",I19&lt;&gt;"",J19&lt;&gt;""),"Готово","Нужно дополнить"))</x:f>
      </x:c>
      <x:c r="M19" s="32"/>
    </x:row>
    <x:row r="20" ht="42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 t="str">
        <x:f>IF(B20="","",IFERROR(INDEX('Проблемы клиентов'!$K$5:$K$104,MATCH(B20,'Проблемы клиентов'!$A$5:$A$104,0)),0))</x:f>
      </x:c>
      <x:c r="L20" s="32" t="str">
        <x:f>IF(A20="","",IF(AND(B20&lt;&gt;"",F20&lt;&gt;"",G20&lt;&gt;"",H20&lt;&gt;"",I20&lt;&gt;"",J20&lt;&gt;""),"Готово","Нужно дополнить"))</x:f>
      </x:c>
      <x:c r="M20" s="32"/>
    </x:row>
    <x:row r="21" ht="42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 t="str">
        <x:f>IF(B21="","",IFERROR(INDEX('Проблемы клиентов'!$K$5:$K$104,MATCH(B21,'Проблемы клиентов'!$A$5:$A$104,0)),0))</x:f>
      </x:c>
      <x:c r="L21" s="32" t="str">
        <x:f>IF(A21="","",IF(AND(B21&lt;&gt;"",F21&lt;&gt;"",G21&lt;&gt;"",H21&lt;&gt;"",I21&lt;&gt;"",J21&lt;&gt;""),"Готово","Нужно дополнить"))</x:f>
      </x:c>
      <x:c r="M21" s="32"/>
    </x:row>
    <x:row r="22" ht="42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 t="str">
        <x:f>IF(B22="","",IFERROR(INDEX('Проблемы клиентов'!$K$5:$K$104,MATCH(B22,'Проблемы клиентов'!$A$5:$A$104,0)),0))</x:f>
      </x:c>
      <x:c r="L22" s="32" t="str">
        <x:f>IF(A22="","",IF(AND(B22&lt;&gt;"",F22&lt;&gt;"",G22&lt;&gt;"",H22&lt;&gt;"",I22&lt;&gt;"",J22&lt;&gt;""),"Готово","Нужно дополнить"))</x:f>
      </x:c>
      <x:c r="M22" s="32"/>
    </x:row>
    <x:row r="23" ht="42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 t="str">
        <x:f>IF(B23="","",IFERROR(INDEX('Проблемы клиентов'!$K$5:$K$104,MATCH(B23,'Проблемы клиентов'!$A$5:$A$104,0)),0))</x:f>
      </x:c>
      <x:c r="L23" s="32" t="str">
        <x:f>IF(A23="","",IF(AND(B23&lt;&gt;"",F23&lt;&gt;"",G23&lt;&gt;"",H23&lt;&gt;"",I23&lt;&gt;"",J23&lt;&gt;""),"Готово","Нужно дополнить"))</x:f>
      </x:c>
      <x:c r="M23" s="32"/>
    </x:row>
    <x:row r="24" ht="42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 t="str">
        <x:f>IF(B24="","",IFERROR(INDEX('Проблемы клиентов'!$K$5:$K$104,MATCH(B24,'Проблемы клиентов'!$A$5:$A$104,0)),0))</x:f>
      </x:c>
      <x:c r="L24" s="32" t="str">
        <x:f>IF(A24="","",IF(AND(B24&lt;&gt;"",F24&lt;&gt;"",G24&lt;&gt;"",H24&lt;&gt;"",I24&lt;&gt;"",J24&lt;&gt;""),"Готово","Нужно дополнить"))</x:f>
      </x:c>
      <x:c r="M24" s="32"/>
    </x:row>
    <x:row r="25" ht="42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 t="str">
        <x:f>IF(B25="","",IFERROR(INDEX('Проблемы клиентов'!$K$5:$K$104,MATCH(B25,'Проблемы клиентов'!$A$5:$A$104,0)),0))</x:f>
      </x:c>
      <x:c r="L25" s="32" t="str">
        <x:f>IF(A25="","",IF(AND(B25&lt;&gt;"",F25&lt;&gt;"",G25&lt;&gt;"",H25&lt;&gt;"",I25&lt;&gt;"",J25&lt;&gt;""),"Готово","Нужно дополнить"))</x:f>
      </x:c>
      <x:c r="M25" s="32"/>
    </x:row>
    <x:row r="26" ht="42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 t="str">
        <x:f>IF(B26="","",IFERROR(INDEX('Проблемы клиентов'!$K$5:$K$104,MATCH(B26,'Проблемы клиентов'!$A$5:$A$104,0)),0))</x:f>
      </x:c>
      <x:c r="L26" s="32" t="str">
        <x:f>IF(A26="","",IF(AND(B26&lt;&gt;"",F26&lt;&gt;"",G26&lt;&gt;"",H26&lt;&gt;"",I26&lt;&gt;"",J26&lt;&gt;""),"Готово","Нужно дополнить"))</x:f>
      </x:c>
      <x:c r="M26" s="32"/>
    </x:row>
    <x:row r="27" ht="42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 t="str">
        <x:f>IF(B27="","",IFERROR(INDEX('Проблемы клиентов'!$K$5:$K$104,MATCH(B27,'Проблемы клиентов'!$A$5:$A$104,0)),0))</x:f>
      </x:c>
      <x:c r="L27" s="32" t="str">
        <x:f>IF(A27="","",IF(AND(B27&lt;&gt;"",F27&lt;&gt;"",G27&lt;&gt;"",H27&lt;&gt;"",I27&lt;&gt;"",J27&lt;&gt;""),"Готово","Нужно дополнить"))</x:f>
      </x:c>
      <x:c r="M27" s="32"/>
    </x:row>
    <x:row r="28" ht="42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 t="str">
        <x:f>IF(B28="","",IFERROR(INDEX('Проблемы клиентов'!$K$5:$K$104,MATCH(B28,'Проблемы клиентов'!$A$5:$A$104,0)),0))</x:f>
      </x:c>
      <x:c r="L28" s="32" t="str">
        <x:f>IF(A28="","",IF(AND(B28&lt;&gt;"",F28&lt;&gt;"",G28&lt;&gt;"",H28&lt;&gt;"",I28&lt;&gt;"",J28&lt;&gt;""),"Готово","Нужно дополнить"))</x:f>
      </x:c>
      <x:c r="M28" s="32"/>
    </x:row>
    <x:row r="29" ht="42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 t="str">
        <x:f>IF(B29="","",IFERROR(INDEX('Проблемы клиентов'!$K$5:$K$104,MATCH(B29,'Проблемы клиентов'!$A$5:$A$104,0)),0))</x:f>
      </x:c>
      <x:c r="L29" s="32" t="str">
        <x:f>IF(A29="","",IF(AND(B29&lt;&gt;"",F29&lt;&gt;"",G29&lt;&gt;"",H29&lt;&gt;"",I29&lt;&gt;"",J29&lt;&gt;""),"Готово","Нужно дополнить"))</x:f>
      </x:c>
      <x:c r="M29" s="32"/>
    </x:row>
    <x:row r="30" ht="42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 t="str">
        <x:f>IF(B30="","",IFERROR(INDEX('Проблемы клиентов'!$K$5:$K$104,MATCH(B30,'Проблемы клиентов'!$A$5:$A$104,0)),0))</x:f>
      </x:c>
      <x:c r="L30" s="32" t="str">
        <x:f>IF(A30="","",IF(AND(B30&lt;&gt;"",F30&lt;&gt;"",G30&lt;&gt;"",H30&lt;&gt;"",I30&lt;&gt;"",J30&lt;&gt;""),"Готово","Нужно дополнить"))</x:f>
      </x:c>
      <x:c r="M30" s="32"/>
    </x:row>
    <x:row r="31" ht="42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 t="str">
        <x:f>IF(B31="","",IFERROR(INDEX('Проблемы клиентов'!$K$5:$K$104,MATCH(B31,'Проблемы клиентов'!$A$5:$A$104,0)),0))</x:f>
      </x:c>
      <x:c r="L31" s="32" t="str">
        <x:f>IF(A31="","",IF(AND(B31&lt;&gt;"",F31&lt;&gt;"",G31&lt;&gt;"",H31&lt;&gt;"",I31&lt;&gt;"",J31&lt;&gt;""),"Готово","Нужно дополнить"))</x:f>
      </x:c>
      <x:c r="M31" s="32"/>
    </x:row>
    <x:row r="32" ht="42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 t="str">
        <x:f>IF(B32="","",IFERROR(INDEX('Проблемы клиентов'!$K$5:$K$104,MATCH(B32,'Проблемы клиентов'!$A$5:$A$104,0)),0))</x:f>
      </x:c>
      <x:c r="L32" s="32" t="str">
        <x:f>IF(A32="","",IF(AND(B32&lt;&gt;"",F32&lt;&gt;"",G32&lt;&gt;"",H32&lt;&gt;"",I32&lt;&gt;"",J32&lt;&gt;""),"Готово","Нужно дополнить"))</x:f>
      </x:c>
      <x:c r="M32" s="32"/>
    </x:row>
    <x:row r="33" ht="42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 t="str">
        <x:f>IF(B33="","",IFERROR(INDEX('Проблемы клиентов'!$K$5:$K$104,MATCH(B33,'Проблемы клиентов'!$A$5:$A$104,0)),0))</x:f>
      </x:c>
      <x:c r="L33" s="32" t="str">
        <x:f>IF(A33="","",IF(AND(B33&lt;&gt;"",F33&lt;&gt;"",G33&lt;&gt;"",H33&lt;&gt;"",I33&lt;&gt;"",J33&lt;&gt;""),"Готово","Нужно дополнить"))</x:f>
      </x:c>
      <x:c r="M33" s="32"/>
    </x:row>
    <x:row r="34" ht="42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 t="str">
        <x:f>IF(B34="","",IFERROR(INDEX('Проблемы клиентов'!$K$5:$K$104,MATCH(B34,'Проблемы клиентов'!$A$5:$A$104,0)),0))</x:f>
      </x:c>
      <x:c r="L34" s="32" t="str">
        <x:f>IF(A34="","",IF(AND(B34&lt;&gt;"",F34&lt;&gt;"",G34&lt;&gt;"",H34&lt;&gt;"",I34&lt;&gt;"",J34&lt;&gt;""),"Готово","Нужно дополнить"))</x:f>
      </x:c>
      <x:c r="M34" s="32"/>
    </x:row>
    <x:row r="35" ht="42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 t="str">
        <x:f>IF(B35="","",IFERROR(INDEX('Проблемы клиентов'!$K$5:$K$104,MATCH(B35,'Проблемы клиентов'!$A$5:$A$104,0)),0))</x:f>
      </x:c>
      <x:c r="L35" s="32" t="str">
        <x:f>IF(A35="","",IF(AND(B35&lt;&gt;"",F35&lt;&gt;"",G35&lt;&gt;"",H35&lt;&gt;"",I35&lt;&gt;"",J35&lt;&gt;""),"Готово","Нужно дополнить"))</x:f>
      </x:c>
      <x:c r="M35" s="32"/>
    </x:row>
    <x:row r="36" ht="42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 t="str">
        <x:f>IF(B36="","",IFERROR(INDEX('Проблемы клиентов'!$K$5:$K$104,MATCH(B36,'Проблемы клиентов'!$A$5:$A$104,0)),0))</x:f>
      </x:c>
      <x:c r="L36" s="32" t="str">
        <x:f>IF(A36="","",IF(AND(B36&lt;&gt;"",F36&lt;&gt;"",G36&lt;&gt;"",H36&lt;&gt;"",I36&lt;&gt;"",J36&lt;&gt;""),"Готово","Нужно дополнить"))</x:f>
      </x:c>
      <x:c r="M36" s="32"/>
    </x:row>
    <x:row r="37" ht="42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 t="str">
        <x:f>IF(B37="","",IFERROR(INDEX('Проблемы клиентов'!$K$5:$K$104,MATCH(B37,'Проблемы клиентов'!$A$5:$A$104,0)),0))</x:f>
      </x:c>
      <x:c r="L37" s="32" t="str">
        <x:f>IF(A37="","",IF(AND(B37&lt;&gt;"",F37&lt;&gt;"",G37&lt;&gt;"",H37&lt;&gt;"",I37&lt;&gt;"",J37&lt;&gt;""),"Готово","Нужно дополнить"))</x:f>
      </x:c>
      <x:c r="M37" s="32"/>
    </x:row>
    <x:row r="38" ht="42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 t="str">
        <x:f>IF(B38="","",IFERROR(INDEX('Проблемы клиентов'!$K$5:$K$104,MATCH(B38,'Проблемы клиентов'!$A$5:$A$104,0)),0))</x:f>
      </x:c>
      <x:c r="L38" s="32" t="str">
        <x:f>IF(A38="","",IF(AND(B38&lt;&gt;"",F38&lt;&gt;"",G38&lt;&gt;"",H38&lt;&gt;"",I38&lt;&gt;"",J38&lt;&gt;""),"Готово","Нужно дополнить"))</x:f>
      </x:c>
      <x:c r="M38" s="32"/>
    </x:row>
    <x:row r="39" ht="42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 t="str">
        <x:f>IF(B39="","",IFERROR(INDEX('Проблемы клиентов'!$K$5:$K$104,MATCH(B39,'Проблемы клиентов'!$A$5:$A$104,0)),0))</x:f>
      </x:c>
      <x:c r="L39" s="32" t="str">
        <x:f>IF(A39="","",IF(AND(B39&lt;&gt;"",F39&lt;&gt;"",G39&lt;&gt;"",H39&lt;&gt;"",I39&lt;&gt;"",J39&lt;&gt;""),"Готово","Нужно дополнить"))</x:f>
      </x:c>
      <x:c r="M39" s="32"/>
    </x:row>
    <x:row r="40" ht="42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 t="str">
        <x:f>IF(B40="","",IFERROR(INDEX('Проблемы клиентов'!$K$5:$K$104,MATCH(B40,'Проблемы клиентов'!$A$5:$A$104,0)),0))</x:f>
      </x:c>
      <x:c r="L40" s="32" t="str">
        <x:f>IF(A40="","",IF(AND(B40&lt;&gt;"",F40&lt;&gt;"",G40&lt;&gt;"",H40&lt;&gt;"",I40&lt;&gt;"",J40&lt;&gt;""),"Готово","Нужно дополнить"))</x:f>
      </x:c>
      <x:c r="M40" s="32"/>
    </x:row>
    <x:row r="41" ht="42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 t="str">
        <x:f>IF(B41="","",IFERROR(INDEX('Проблемы клиентов'!$K$5:$K$104,MATCH(B41,'Проблемы клиентов'!$A$5:$A$104,0)),0))</x:f>
      </x:c>
      <x:c r="L41" s="32" t="str">
        <x:f>IF(A41="","",IF(AND(B41&lt;&gt;"",F41&lt;&gt;"",G41&lt;&gt;"",H41&lt;&gt;"",I41&lt;&gt;"",J41&lt;&gt;""),"Готово","Нужно дополнить"))</x:f>
      </x:c>
      <x:c r="M41" s="32"/>
    </x:row>
    <x:row r="42" ht="42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 t="str">
        <x:f>IF(B42="","",IFERROR(INDEX('Проблемы клиентов'!$K$5:$K$104,MATCH(B42,'Проблемы клиентов'!$A$5:$A$104,0)),0))</x:f>
      </x:c>
      <x:c r="L42" s="32" t="str">
        <x:f>IF(A42="","",IF(AND(B42&lt;&gt;"",F42&lt;&gt;"",G42&lt;&gt;"",H42&lt;&gt;"",I42&lt;&gt;"",J42&lt;&gt;""),"Готово","Нужно дополнить"))</x:f>
      </x:c>
      <x:c r="M42" s="32"/>
    </x:row>
    <x:row r="43" ht="42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 t="str">
        <x:f>IF(B43="","",IFERROR(INDEX('Проблемы клиентов'!$K$5:$K$104,MATCH(B43,'Проблемы клиентов'!$A$5:$A$104,0)),0))</x:f>
      </x:c>
      <x:c r="L43" s="32" t="str">
        <x:f>IF(A43="","",IF(AND(B43&lt;&gt;"",F43&lt;&gt;"",G43&lt;&gt;"",H43&lt;&gt;"",I43&lt;&gt;"",J43&lt;&gt;""),"Готово","Нужно дополнить"))</x:f>
      </x:c>
      <x:c r="M43" s="32"/>
    </x:row>
    <x:row r="44" ht="42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 t="str">
        <x:f>IF(B44="","",IFERROR(INDEX('Проблемы клиентов'!$K$5:$K$104,MATCH(B44,'Проблемы клиентов'!$A$5:$A$104,0)),0))</x:f>
      </x:c>
      <x:c r="L44" s="32" t="str">
        <x:f>IF(A44="","",IF(AND(B44&lt;&gt;"",F44&lt;&gt;"",G44&lt;&gt;"",H44&lt;&gt;"",I44&lt;&gt;"",J44&lt;&gt;""),"Готово","Нужно дополнить"))</x:f>
      </x:c>
      <x:c r="M44" s="32"/>
    </x:row>
    <x:row r="45" ht="42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 t="str">
        <x:f>IF(B45="","",IFERROR(INDEX('Проблемы клиентов'!$K$5:$K$104,MATCH(B45,'Проблемы клиентов'!$A$5:$A$104,0)),0))</x:f>
      </x:c>
      <x:c r="L45" s="32" t="str">
        <x:f>IF(A45="","",IF(AND(B45&lt;&gt;"",F45&lt;&gt;"",G45&lt;&gt;"",H45&lt;&gt;"",I45&lt;&gt;"",J45&lt;&gt;""),"Готово","Нужно дополнить"))</x:f>
      </x:c>
      <x:c r="M45" s="32"/>
    </x:row>
    <x:row r="46" ht="42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 t="str">
        <x:f>IF(B46="","",IFERROR(INDEX('Проблемы клиентов'!$K$5:$K$104,MATCH(B46,'Проблемы клиентов'!$A$5:$A$104,0)),0))</x:f>
      </x:c>
      <x:c r="L46" s="32" t="str">
        <x:f>IF(A46="","",IF(AND(B46&lt;&gt;"",F46&lt;&gt;"",G46&lt;&gt;"",H46&lt;&gt;"",I46&lt;&gt;"",J46&lt;&gt;""),"Готово","Нужно дополнить"))</x:f>
      </x:c>
      <x:c r="M46" s="32"/>
    </x:row>
    <x:row r="47" ht="42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 t="str">
        <x:f>IF(B47="","",IFERROR(INDEX('Проблемы клиентов'!$K$5:$K$104,MATCH(B47,'Проблемы клиентов'!$A$5:$A$104,0)),0))</x:f>
      </x:c>
      <x:c r="L47" s="32" t="str">
        <x:f>IF(A47="","",IF(AND(B47&lt;&gt;"",F47&lt;&gt;"",G47&lt;&gt;"",H47&lt;&gt;"",I47&lt;&gt;"",J47&lt;&gt;""),"Готово","Нужно дополнить"))</x:f>
      </x:c>
      <x:c r="M47" s="32"/>
    </x:row>
    <x:row r="48" ht="42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 t="str">
        <x:f>IF(B48="","",IFERROR(INDEX('Проблемы клиентов'!$K$5:$K$104,MATCH(B48,'Проблемы клиентов'!$A$5:$A$104,0)),0))</x:f>
      </x:c>
      <x:c r="L48" s="32" t="str">
        <x:f>IF(A48="","",IF(AND(B48&lt;&gt;"",F48&lt;&gt;"",G48&lt;&gt;"",H48&lt;&gt;"",I48&lt;&gt;"",J48&lt;&gt;""),"Готово","Нужно дополнить"))</x:f>
      </x:c>
      <x:c r="M48" s="32"/>
    </x:row>
    <x:row r="49" ht="42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 t="str">
        <x:f>IF(B49="","",IFERROR(INDEX('Проблемы клиентов'!$K$5:$K$104,MATCH(B49,'Проблемы клиентов'!$A$5:$A$104,0)),0))</x:f>
      </x:c>
      <x:c r="L49" s="32" t="str">
        <x:f>IF(A49="","",IF(AND(B49&lt;&gt;"",F49&lt;&gt;"",G49&lt;&gt;"",H49&lt;&gt;"",I49&lt;&gt;"",J49&lt;&gt;""),"Готово","Нужно дополнить"))</x:f>
      </x:c>
      <x:c r="M49" s="32"/>
    </x:row>
    <x:row r="50" ht="42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 t="str">
        <x:f>IF(B50="","",IFERROR(INDEX('Проблемы клиентов'!$K$5:$K$104,MATCH(B50,'Проблемы клиентов'!$A$5:$A$104,0)),0))</x:f>
      </x:c>
      <x:c r="L50" s="32" t="str">
        <x:f>IF(A50="","",IF(AND(B50&lt;&gt;"",F50&lt;&gt;"",G50&lt;&gt;"",H50&lt;&gt;"",I50&lt;&gt;"",J50&lt;&gt;""),"Готово","Нужно дополнить"))</x:f>
      </x:c>
      <x:c r="M50" s="32"/>
    </x:row>
    <x:row r="51" ht="42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 t="str">
        <x:f>IF(B51="","",IFERROR(INDEX('Проблемы клиентов'!$K$5:$K$104,MATCH(B51,'Проблемы клиентов'!$A$5:$A$104,0)),0))</x:f>
      </x:c>
      <x:c r="L51" s="32" t="str">
        <x:f>IF(A51="","",IF(AND(B51&lt;&gt;"",F51&lt;&gt;"",G51&lt;&gt;"",H51&lt;&gt;"",I51&lt;&gt;"",J51&lt;&gt;""),"Готово","Нужно дополнить"))</x:f>
      </x:c>
      <x:c r="M51" s="32"/>
    </x:row>
    <x:row r="52" ht="42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 t="str">
        <x:f>IF(B52="","",IFERROR(INDEX('Проблемы клиентов'!$K$5:$K$104,MATCH(B52,'Проблемы клиентов'!$A$5:$A$104,0)),0))</x:f>
      </x:c>
      <x:c r="L52" s="32" t="str">
        <x:f>IF(A52="","",IF(AND(B52&lt;&gt;"",F52&lt;&gt;"",G52&lt;&gt;"",H52&lt;&gt;"",I52&lt;&gt;"",J52&lt;&gt;""),"Готово","Нужно дополнить"))</x:f>
      </x:c>
      <x:c r="M52" s="32"/>
    </x:row>
    <x:row r="53" ht="42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 t="str">
        <x:f>IF(B53="","",IFERROR(INDEX('Проблемы клиентов'!$K$5:$K$104,MATCH(B53,'Проблемы клиентов'!$A$5:$A$104,0)),0))</x:f>
      </x:c>
      <x:c r="L53" s="32" t="str">
        <x:f>IF(A53="","",IF(AND(B53&lt;&gt;"",F53&lt;&gt;"",G53&lt;&gt;"",H53&lt;&gt;"",I53&lt;&gt;"",J53&lt;&gt;""),"Готово","Нужно дополнить"))</x:f>
      </x:c>
      <x:c r="M53" s="32"/>
    </x:row>
    <x:row r="54" ht="42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 t="str">
        <x:f>IF(B54="","",IFERROR(INDEX('Проблемы клиентов'!$K$5:$K$104,MATCH(B54,'Проблемы клиентов'!$A$5:$A$104,0)),0))</x:f>
      </x:c>
      <x:c r="L54" s="32" t="str">
        <x:f>IF(A54="","",IF(AND(B54&lt;&gt;"",F54&lt;&gt;"",G54&lt;&gt;"",H54&lt;&gt;"",I54&lt;&gt;"",J54&lt;&gt;""),"Готово","Нужно дополнить"))</x:f>
      </x:c>
      <x:c r="M54" s="32"/>
    </x:row>
    <x:row r="55" ht="42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 t="str">
        <x:f>IF(B55="","",IFERROR(INDEX('Проблемы клиентов'!$K$5:$K$104,MATCH(B55,'Проблемы клиентов'!$A$5:$A$104,0)),0))</x:f>
      </x:c>
      <x:c r="L55" s="32" t="str">
        <x:f>IF(A55="","",IF(AND(B55&lt;&gt;"",F55&lt;&gt;"",G55&lt;&gt;"",H55&lt;&gt;"",I55&lt;&gt;"",J55&lt;&gt;""),"Готово","Нужно дополнить"))</x:f>
      </x:c>
      <x:c r="M55" s="32"/>
    </x:row>
    <x:row r="56" ht="42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 t="str">
        <x:f>IF(B56="","",IFERROR(INDEX('Проблемы клиентов'!$K$5:$K$104,MATCH(B56,'Проблемы клиентов'!$A$5:$A$104,0)),0))</x:f>
      </x:c>
      <x:c r="L56" s="32" t="str">
        <x:f>IF(A56="","",IF(AND(B56&lt;&gt;"",F56&lt;&gt;"",G56&lt;&gt;"",H56&lt;&gt;"",I56&lt;&gt;"",J56&lt;&gt;""),"Готово","Нужно дополнить"))</x:f>
      </x:c>
      <x:c r="M56" s="32"/>
    </x:row>
    <x:row r="57" ht="42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 t="str">
        <x:f>IF(B57="","",IFERROR(INDEX('Проблемы клиентов'!$K$5:$K$104,MATCH(B57,'Проблемы клиентов'!$A$5:$A$104,0)),0))</x:f>
      </x:c>
      <x:c r="L57" s="32" t="str">
        <x:f>IF(A57="","",IF(AND(B57&lt;&gt;"",F57&lt;&gt;"",G57&lt;&gt;"",H57&lt;&gt;"",I57&lt;&gt;"",J57&lt;&gt;""),"Готово","Нужно дополнить"))</x:f>
      </x:c>
      <x:c r="M57" s="32"/>
    </x:row>
    <x:row r="58" ht="42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 t="str">
        <x:f>IF(B58="","",IFERROR(INDEX('Проблемы клиентов'!$K$5:$K$104,MATCH(B58,'Проблемы клиентов'!$A$5:$A$104,0)),0))</x:f>
      </x:c>
      <x:c r="L58" s="32" t="str">
        <x:f>IF(A58="","",IF(AND(B58&lt;&gt;"",F58&lt;&gt;"",G58&lt;&gt;"",H58&lt;&gt;"",I58&lt;&gt;"",J58&lt;&gt;""),"Готово","Нужно дополнить"))</x:f>
      </x:c>
      <x:c r="M58" s="32"/>
    </x:row>
    <x:row r="59" ht="42" customHeight="1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 t="str">
        <x:f>IF(B59="","",IFERROR(INDEX('Проблемы клиентов'!$K$5:$K$104,MATCH(B59,'Проблемы клиентов'!$A$5:$A$104,0)),0))</x:f>
      </x:c>
      <x:c r="L59" s="32" t="str">
        <x:f>IF(A59="","",IF(AND(B59&lt;&gt;"",F59&lt;&gt;"",G59&lt;&gt;"",H59&lt;&gt;"",I59&lt;&gt;"",J59&lt;&gt;""),"Готово","Нужно дополнить"))</x:f>
      </x:c>
      <x:c r="M59" s="32"/>
    </x:row>
    <x:row r="60" ht="42" customHeight="1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 t="str">
        <x:f>IF(B60="","",IFERROR(INDEX('Проблемы клиентов'!$K$5:$K$104,MATCH(B60,'Проблемы клиентов'!$A$5:$A$104,0)),0))</x:f>
      </x:c>
      <x:c r="L60" s="32" t="str">
        <x:f>IF(A60="","",IF(AND(B60&lt;&gt;"",F60&lt;&gt;"",G60&lt;&gt;"",H60&lt;&gt;"",I60&lt;&gt;"",J60&lt;&gt;""),"Готово","Нужно дополнить"))</x:f>
      </x:c>
      <x:c r="M60" s="32"/>
    </x:row>
    <x:row r="61" ht="42" customHeight="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 t="str">
        <x:f>IF(B61="","",IFERROR(INDEX('Проблемы клиентов'!$K$5:$K$104,MATCH(B61,'Проблемы клиентов'!$A$5:$A$104,0)),0))</x:f>
      </x:c>
      <x:c r="L61" s="32" t="str">
        <x:f>IF(A61="","",IF(AND(B61&lt;&gt;"",F61&lt;&gt;"",G61&lt;&gt;"",H61&lt;&gt;"",I61&lt;&gt;"",J61&lt;&gt;""),"Готово","Нужно дополнить"))</x:f>
      </x:c>
      <x:c r="M61" s="32"/>
    </x:row>
    <x:row r="62" ht="42" customHeight="1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 t="str">
        <x:f>IF(B62="","",IFERROR(INDEX('Проблемы клиентов'!$K$5:$K$104,MATCH(B62,'Проблемы клиентов'!$A$5:$A$104,0)),0))</x:f>
      </x:c>
      <x:c r="L62" s="32" t="str">
        <x:f>IF(A62="","",IF(AND(B62&lt;&gt;"",F62&lt;&gt;"",G62&lt;&gt;"",H62&lt;&gt;"",I62&lt;&gt;"",J62&lt;&gt;""),"Готово","Нужно дополнить"))</x:f>
      </x:c>
      <x:c r="M62" s="32"/>
    </x:row>
    <x:row r="63" ht="42" customHeight="1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 t="str">
        <x:f>IF(B63="","",IFERROR(INDEX('Проблемы клиентов'!$K$5:$K$104,MATCH(B63,'Проблемы клиентов'!$A$5:$A$104,0)),0))</x:f>
      </x:c>
      <x:c r="L63" s="32" t="str">
        <x:f>IF(A63="","",IF(AND(B63&lt;&gt;"",F63&lt;&gt;"",G63&lt;&gt;"",H63&lt;&gt;"",I63&lt;&gt;"",J63&lt;&gt;""),"Готово","Нужно дополнить"))</x:f>
      </x:c>
      <x:c r="M63" s="32"/>
    </x:row>
    <x:row r="64" ht="42" customHeight="1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 t="str">
        <x:f>IF(B64="","",IFERROR(INDEX('Проблемы клиентов'!$K$5:$K$104,MATCH(B64,'Проблемы клиентов'!$A$5:$A$104,0)),0))</x:f>
      </x:c>
      <x:c r="L64" s="32" t="str">
        <x:f>IF(A64="","",IF(AND(B64&lt;&gt;"",F64&lt;&gt;"",G64&lt;&gt;"",H64&lt;&gt;"",I64&lt;&gt;"",J64&lt;&gt;""),"Готово","Нужно дополнить"))</x:f>
      </x:c>
      <x:c r="M64" s="32"/>
    </x:row>
    <x:row r="65" ht="42" customHeight="1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 t="str">
        <x:f>IF(B65="","",IFERROR(INDEX('Проблемы клиентов'!$K$5:$K$104,MATCH(B65,'Проблемы клиентов'!$A$5:$A$104,0)),0))</x:f>
      </x:c>
      <x:c r="L65" s="32" t="str">
        <x:f>IF(A65="","",IF(AND(B65&lt;&gt;"",F65&lt;&gt;"",G65&lt;&gt;"",H65&lt;&gt;"",I65&lt;&gt;"",J65&lt;&gt;""),"Готово","Нужно дополнить"))</x:f>
      </x:c>
      <x:c r="M65" s="32"/>
    </x:row>
    <x:row r="66" ht="42" customHeight="1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 t="str">
        <x:f>IF(B66="","",IFERROR(INDEX('Проблемы клиентов'!$K$5:$K$104,MATCH(B66,'Проблемы клиентов'!$A$5:$A$104,0)),0))</x:f>
      </x:c>
      <x:c r="L66" s="32" t="str">
        <x:f>IF(A66="","",IF(AND(B66&lt;&gt;"",F66&lt;&gt;"",G66&lt;&gt;"",H66&lt;&gt;"",I66&lt;&gt;"",J66&lt;&gt;""),"Готово","Нужно дополнить"))</x:f>
      </x:c>
      <x:c r="M66" s="32"/>
    </x:row>
    <x:row r="67" ht="42" customHeight="1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 t="str">
        <x:f>IF(B67="","",IFERROR(INDEX('Проблемы клиентов'!$K$5:$K$104,MATCH(B67,'Проблемы клиентов'!$A$5:$A$104,0)),0))</x:f>
      </x:c>
      <x:c r="L67" s="32" t="str">
        <x:f>IF(A67="","",IF(AND(B67&lt;&gt;"",F67&lt;&gt;"",G67&lt;&gt;"",H67&lt;&gt;"",I67&lt;&gt;"",J67&lt;&gt;""),"Готово","Нужно дополнить"))</x:f>
      </x:c>
      <x:c r="M67" s="32"/>
    </x:row>
    <x:row r="68" ht="42" customHeight="1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 t="str">
        <x:f>IF(B68="","",IFERROR(INDEX('Проблемы клиентов'!$K$5:$K$104,MATCH(B68,'Проблемы клиентов'!$A$5:$A$104,0)),0))</x:f>
      </x:c>
      <x:c r="L68" s="32" t="str">
        <x:f>IF(A68="","",IF(AND(B68&lt;&gt;"",F68&lt;&gt;"",G68&lt;&gt;"",H68&lt;&gt;"",I68&lt;&gt;"",J68&lt;&gt;""),"Готово","Нужно дополнить"))</x:f>
      </x:c>
      <x:c r="M68" s="32"/>
    </x:row>
    <x:row r="69" ht="42" customHeight="1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 t="str">
        <x:f>IF(B69="","",IFERROR(INDEX('Проблемы клиентов'!$K$5:$K$104,MATCH(B69,'Проблемы клиентов'!$A$5:$A$104,0)),0))</x:f>
      </x:c>
      <x:c r="L69" s="32" t="str">
        <x:f>IF(A69="","",IF(AND(B69&lt;&gt;"",F69&lt;&gt;"",G69&lt;&gt;"",H69&lt;&gt;"",I69&lt;&gt;"",J69&lt;&gt;""),"Готово","Нужно дополнить"))</x:f>
      </x:c>
      <x:c r="M69" s="32"/>
    </x:row>
    <x:row r="70" ht="42" customHeight="1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 t="str">
        <x:f>IF(B70="","",IFERROR(INDEX('Проблемы клиентов'!$K$5:$K$104,MATCH(B70,'Проблемы клиентов'!$A$5:$A$104,0)),0))</x:f>
      </x:c>
      <x:c r="L70" s="32" t="str">
        <x:f>IF(A70="","",IF(AND(B70&lt;&gt;"",F70&lt;&gt;"",G70&lt;&gt;"",H70&lt;&gt;"",I70&lt;&gt;"",J70&lt;&gt;""),"Готово","Нужно дополнить"))</x:f>
      </x:c>
      <x:c r="M70" s="32"/>
    </x:row>
    <x:row r="71" ht="42" customHeight="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 t="str">
        <x:f>IF(B71="","",IFERROR(INDEX('Проблемы клиентов'!$K$5:$K$104,MATCH(B71,'Проблемы клиентов'!$A$5:$A$104,0)),0))</x:f>
      </x:c>
      <x:c r="L71" s="32" t="str">
        <x:f>IF(A71="","",IF(AND(B71&lt;&gt;"",F71&lt;&gt;"",G71&lt;&gt;"",H71&lt;&gt;"",I71&lt;&gt;"",J71&lt;&gt;""),"Готово","Нужно дополнить"))</x:f>
      </x:c>
      <x:c r="M71" s="32"/>
    </x:row>
    <x:row r="72" ht="42" customHeight="1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 t="str">
        <x:f>IF(B72="","",IFERROR(INDEX('Проблемы клиентов'!$K$5:$K$104,MATCH(B72,'Проблемы клиентов'!$A$5:$A$104,0)),0))</x:f>
      </x:c>
      <x:c r="L72" s="32" t="str">
        <x:f>IF(A72="","",IF(AND(B72&lt;&gt;"",F72&lt;&gt;"",G72&lt;&gt;"",H72&lt;&gt;"",I72&lt;&gt;"",J72&lt;&gt;""),"Готово","Нужно дополнить"))</x:f>
      </x:c>
      <x:c r="M72" s="32"/>
    </x:row>
    <x:row r="73" ht="42" customHeight="1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 t="str">
        <x:f>IF(B73="","",IFERROR(INDEX('Проблемы клиентов'!$K$5:$K$104,MATCH(B73,'Проблемы клиентов'!$A$5:$A$104,0)),0))</x:f>
      </x:c>
      <x:c r="L73" s="32" t="str">
        <x:f>IF(A73="","",IF(AND(B73&lt;&gt;"",F73&lt;&gt;"",G73&lt;&gt;"",H73&lt;&gt;"",I73&lt;&gt;"",J73&lt;&gt;""),"Готово","Нужно дополнить"))</x:f>
      </x:c>
      <x:c r="M73" s="32"/>
    </x:row>
    <x:row r="74" ht="42" customHeight="1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 t="str">
        <x:f>IF(B74="","",IFERROR(INDEX('Проблемы клиентов'!$K$5:$K$104,MATCH(B74,'Проблемы клиентов'!$A$5:$A$104,0)),0))</x:f>
      </x:c>
      <x:c r="L74" s="32" t="str">
        <x:f>IF(A74="","",IF(AND(B74&lt;&gt;"",F74&lt;&gt;"",G74&lt;&gt;"",H74&lt;&gt;"",I74&lt;&gt;"",J74&lt;&gt;""),"Готово","Нужно дополнить"))</x:f>
      </x:c>
      <x:c r="M74" s="32"/>
    </x:row>
    <x:row r="75" ht="42" customHeight="1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 t="str">
        <x:f>IF(B75="","",IFERROR(INDEX('Проблемы клиентов'!$K$5:$K$104,MATCH(B75,'Проблемы клиентов'!$A$5:$A$104,0)),0))</x:f>
      </x:c>
      <x:c r="L75" s="32" t="str">
        <x:f>IF(A75="","",IF(AND(B75&lt;&gt;"",F75&lt;&gt;"",G75&lt;&gt;"",H75&lt;&gt;"",I75&lt;&gt;"",J75&lt;&gt;""),"Готово","Нужно дополнить"))</x:f>
      </x:c>
      <x:c r="M75" s="32"/>
    </x:row>
    <x:row r="76" ht="42" customHeight="1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 t="str">
        <x:f>IF(B76="","",IFERROR(INDEX('Проблемы клиентов'!$K$5:$K$104,MATCH(B76,'Проблемы клиентов'!$A$5:$A$104,0)),0))</x:f>
      </x:c>
      <x:c r="L76" s="32" t="str">
        <x:f>IF(A76="","",IF(AND(B76&lt;&gt;"",F76&lt;&gt;"",G76&lt;&gt;"",H76&lt;&gt;"",I76&lt;&gt;"",J76&lt;&gt;""),"Готово","Нужно дополнить"))</x:f>
      </x:c>
      <x:c r="M76" s="32"/>
    </x:row>
    <x:row r="77" ht="42" customHeight="1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 t="str">
        <x:f>IF(B77="","",IFERROR(INDEX('Проблемы клиентов'!$K$5:$K$104,MATCH(B77,'Проблемы клиентов'!$A$5:$A$104,0)),0))</x:f>
      </x:c>
      <x:c r="L77" s="32" t="str">
        <x:f>IF(A77="","",IF(AND(B77&lt;&gt;"",F77&lt;&gt;"",G77&lt;&gt;"",H77&lt;&gt;"",I77&lt;&gt;"",J77&lt;&gt;""),"Готово","Нужно дополнить"))</x:f>
      </x:c>
      <x:c r="M77" s="32"/>
    </x:row>
    <x:row r="78" ht="42" customHeight="1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 t="str">
        <x:f>IF(B78="","",IFERROR(INDEX('Проблемы клиентов'!$K$5:$K$104,MATCH(B78,'Проблемы клиентов'!$A$5:$A$104,0)),0))</x:f>
      </x:c>
      <x:c r="L78" s="32" t="str">
        <x:f>IF(A78="","",IF(AND(B78&lt;&gt;"",F78&lt;&gt;"",G78&lt;&gt;"",H78&lt;&gt;"",I78&lt;&gt;"",J78&lt;&gt;""),"Готово","Нужно дополнить"))</x:f>
      </x:c>
      <x:c r="M78" s="32"/>
    </x:row>
    <x:row r="79" ht="42" customHeight="1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 t="str">
        <x:f>IF(B79="","",IFERROR(INDEX('Проблемы клиентов'!$K$5:$K$104,MATCH(B79,'Проблемы клиентов'!$A$5:$A$104,0)),0))</x:f>
      </x:c>
      <x:c r="L79" s="32" t="str">
        <x:f>IF(A79="","",IF(AND(B79&lt;&gt;"",F79&lt;&gt;"",G79&lt;&gt;"",H79&lt;&gt;"",I79&lt;&gt;"",J79&lt;&gt;""),"Готово","Нужно дополнить"))</x:f>
      </x:c>
      <x:c r="M79" s="32"/>
    </x:row>
    <x:row r="80" ht="42" customHeight="1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 t="str">
        <x:f>IF(B80="","",IFERROR(INDEX('Проблемы клиентов'!$K$5:$K$104,MATCH(B80,'Проблемы клиентов'!$A$5:$A$104,0)),0))</x:f>
      </x:c>
      <x:c r="L80" s="32" t="str">
        <x:f>IF(A80="","",IF(AND(B80&lt;&gt;"",F80&lt;&gt;"",G80&lt;&gt;"",H80&lt;&gt;"",I80&lt;&gt;"",J80&lt;&gt;""),"Готово","Нужно дополнить"))</x:f>
      </x:c>
      <x:c r="M80" s="32"/>
    </x:row>
    <x:row r="81" ht="42" customHeight="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 t="str">
        <x:f>IF(B81="","",IFERROR(INDEX('Проблемы клиентов'!$K$5:$K$104,MATCH(B81,'Проблемы клиентов'!$A$5:$A$104,0)),0))</x:f>
      </x:c>
      <x:c r="L81" s="32" t="str">
        <x:f>IF(A81="","",IF(AND(B81&lt;&gt;"",F81&lt;&gt;"",G81&lt;&gt;"",H81&lt;&gt;"",I81&lt;&gt;"",J81&lt;&gt;""),"Готово","Нужно дополнить"))</x:f>
      </x:c>
      <x:c r="M81" s="32"/>
    </x:row>
    <x:row r="82" ht="42" customHeight="1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 t="str">
        <x:f>IF(B82="","",IFERROR(INDEX('Проблемы клиентов'!$K$5:$K$104,MATCH(B82,'Проблемы клиентов'!$A$5:$A$104,0)),0))</x:f>
      </x:c>
      <x:c r="L82" s="32" t="str">
        <x:f>IF(A82="","",IF(AND(B82&lt;&gt;"",F82&lt;&gt;"",G82&lt;&gt;"",H82&lt;&gt;"",I82&lt;&gt;"",J82&lt;&gt;""),"Готово","Нужно дополнить"))</x:f>
      </x:c>
      <x:c r="M82" s="32"/>
    </x:row>
    <x:row r="83" ht="42" customHeight="1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 t="str">
        <x:f>IF(B83="","",IFERROR(INDEX('Проблемы клиентов'!$K$5:$K$104,MATCH(B83,'Проблемы клиентов'!$A$5:$A$104,0)),0))</x:f>
      </x:c>
      <x:c r="L83" s="32" t="str">
        <x:f>IF(A83="","",IF(AND(B83&lt;&gt;"",F83&lt;&gt;"",G83&lt;&gt;"",H83&lt;&gt;"",I83&lt;&gt;"",J83&lt;&gt;""),"Готово","Нужно дополнить"))</x:f>
      </x:c>
      <x:c r="M83" s="32"/>
    </x:row>
    <x:row r="84" ht="42" customHeight="1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 t="str">
        <x:f>IF(B84="","",IFERROR(INDEX('Проблемы клиентов'!$K$5:$K$104,MATCH(B84,'Проблемы клиентов'!$A$5:$A$104,0)),0))</x:f>
      </x:c>
      <x:c r="L84" s="32" t="str">
        <x:f>IF(A84="","",IF(AND(B84&lt;&gt;"",F84&lt;&gt;"",G84&lt;&gt;"",H84&lt;&gt;"",I84&lt;&gt;"",J84&lt;&gt;""),"Готово","Нужно дополнить"))</x:f>
      </x:c>
      <x:c r="M84" s="32"/>
    </x:row>
    <x:row r="85" ht="42" customHeight="1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 t="str">
        <x:f>IF(B85="","",IFERROR(INDEX('Проблемы клиентов'!$K$5:$K$104,MATCH(B85,'Проблемы клиентов'!$A$5:$A$104,0)),0))</x:f>
      </x:c>
      <x:c r="L85" s="32" t="str">
        <x:f>IF(A85="","",IF(AND(B85&lt;&gt;"",F85&lt;&gt;"",G85&lt;&gt;"",H85&lt;&gt;"",I85&lt;&gt;"",J85&lt;&gt;""),"Готово","Нужно дополнить"))</x:f>
      </x:c>
      <x:c r="M85" s="32"/>
    </x:row>
    <x:row r="86" ht="42" customHeight="1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 t="str">
        <x:f>IF(B86="","",IFERROR(INDEX('Проблемы клиентов'!$K$5:$K$104,MATCH(B86,'Проблемы клиентов'!$A$5:$A$104,0)),0))</x:f>
      </x:c>
      <x:c r="L86" s="32" t="str">
        <x:f>IF(A86="","",IF(AND(B86&lt;&gt;"",F86&lt;&gt;"",G86&lt;&gt;"",H86&lt;&gt;"",I86&lt;&gt;"",J86&lt;&gt;""),"Готово","Нужно дополнить"))</x:f>
      </x:c>
      <x:c r="M86" s="32"/>
    </x:row>
    <x:row r="87" ht="42" customHeight="1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 t="str">
        <x:f>IF(B87="","",IFERROR(INDEX('Проблемы клиентов'!$K$5:$K$104,MATCH(B87,'Проблемы клиентов'!$A$5:$A$104,0)),0))</x:f>
      </x:c>
      <x:c r="L87" s="32" t="str">
        <x:f>IF(A87="","",IF(AND(B87&lt;&gt;"",F87&lt;&gt;"",G87&lt;&gt;"",H87&lt;&gt;"",I87&lt;&gt;"",J87&lt;&gt;""),"Готово","Нужно дополнить"))</x:f>
      </x:c>
      <x:c r="M87" s="32"/>
    </x:row>
    <x:row r="88" ht="42" customHeight="1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 t="str">
        <x:f>IF(B88="","",IFERROR(INDEX('Проблемы клиентов'!$K$5:$K$104,MATCH(B88,'Проблемы клиентов'!$A$5:$A$104,0)),0))</x:f>
      </x:c>
      <x:c r="L88" s="32" t="str">
        <x:f>IF(A88="","",IF(AND(B88&lt;&gt;"",F88&lt;&gt;"",G88&lt;&gt;"",H88&lt;&gt;"",I88&lt;&gt;"",J88&lt;&gt;""),"Готово","Нужно дополнить"))</x:f>
      </x:c>
      <x:c r="M88" s="32"/>
    </x:row>
    <x:row r="89" ht="42" customHeight="1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 t="str">
        <x:f>IF(B89="","",IFERROR(INDEX('Проблемы клиентов'!$K$5:$K$104,MATCH(B89,'Проблемы клиентов'!$A$5:$A$104,0)),0))</x:f>
      </x:c>
      <x:c r="L89" s="32" t="str">
        <x:f>IF(A89="","",IF(AND(B89&lt;&gt;"",F89&lt;&gt;"",G89&lt;&gt;"",H89&lt;&gt;"",I89&lt;&gt;"",J89&lt;&gt;""),"Готово","Нужно дополнить"))</x:f>
      </x:c>
      <x:c r="M89" s="32"/>
    </x:row>
    <x:row r="90" ht="42" customHeight="1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 t="str">
        <x:f>IF(B90="","",IFERROR(INDEX('Проблемы клиентов'!$K$5:$K$104,MATCH(B90,'Проблемы клиентов'!$A$5:$A$104,0)),0))</x:f>
      </x:c>
      <x:c r="L90" s="32" t="str">
        <x:f>IF(A90="","",IF(AND(B90&lt;&gt;"",F90&lt;&gt;"",G90&lt;&gt;"",H90&lt;&gt;"",I90&lt;&gt;"",J90&lt;&gt;""),"Готово","Нужно дополнить"))</x:f>
      </x:c>
      <x:c r="M90" s="32"/>
    </x:row>
    <x:row r="91" ht="42" customHeight="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 t="str">
        <x:f>IF(B91="","",IFERROR(INDEX('Проблемы клиентов'!$K$5:$K$104,MATCH(B91,'Проблемы клиентов'!$A$5:$A$104,0)),0))</x:f>
      </x:c>
      <x:c r="L91" s="32" t="str">
        <x:f>IF(A91="","",IF(AND(B91&lt;&gt;"",F91&lt;&gt;"",G91&lt;&gt;"",H91&lt;&gt;"",I91&lt;&gt;"",J91&lt;&gt;""),"Готово","Нужно дополнить"))</x:f>
      </x:c>
      <x:c r="M91" s="32"/>
    </x:row>
    <x:row r="92" ht="42" customHeight="1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 t="str">
        <x:f>IF(B92="","",IFERROR(INDEX('Проблемы клиентов'!$K$5:$K$104,MATCH(B92,'Проблемы клиентов'!$A$5:$A$104,0)),0))</x:f>
      </x:c>
      <x:c r="L92" s="32" t="str">
        <x:f>IF(A92="","",IF(AND(B92&lt;&gt;"",F92&lt;&gt;"",G92&lt;&gt;"",H92&lt;&gt;"",I92&lt;&gt;"",J92&lt;&gt;""),"Готово","Нужно дополнить"))</x:f>
      </x:c>
      <x:c r="M92" s="32"/>
    </x:row>
    <x:row r="93" ht="42" customHeight="1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 t="str">
        <x:f>IF(B93="","",IFERROR(INDEX('Проблемы клиентов'!$K$5:$K$104,MATCH(B93,'Проблемы клиентов'!$A$5:$A$104,0)),0))</x:f>
      </x:c>
      <x:c r="L93" s="32" t="str">
        <x:f>IF(A93="","",IF(AND(B93&lt;&gt;"",F93&lt;&gt;"",G93&lt;&gt;"",H93&lt;&gt;"",I93&lt;&gt;"",J93&lt;&gt;""),"Готово","Нужно дополнить"))</x:f>
      </x:c>
      <x:c r="M93" s="32"/>
    </x:row>
    <x:row r="94" ht="42" customHeight="1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 t="str">
        <x:f>IF(B94="","",IFERROR(INDEX('Проблемы клиентов'!$K$5:$K$104,MATCH(B94,'Проблемы клиентов'!$A$5:$A$104,0)),0))</x:f>
      </x:c>
      <x:c r="L94" s="32" t="str">
        <x:f>IF(A94="","",IF(AND(B94&lt;&gt;"",F94&lt;&gt;"",G94&lt;&gt;"",H94&lt;&gt;"",I94&lt;&gt;"",J94&lt;&gt;""),"Готово","Нужно дополнить"))</x:f>
      </x:c>
      <x:c r="M94" s="32"/>
    </x:row>
    <x:row r="95" ht="42" customHeight="1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 t="str">
        <x:f>IF(B95="","",IFERROR(INDEX('Проблемы клиентов'!$K$5:$K$104,MATCH(B95,'Проблемы клиентов'!$A$5:$A$104,0)),0))</x:f>
      </x:c>
      <x:c r="L95" s="32" t="str">
        <x:f>IF(A95="","",IF(AND(B95&lt;&gt;"",F95&lt;&gt;"",G95&lt;&gt;"",H95&lt;&gt;"",I95&lt;&gt;"",J95&lt;&gt;""),"Готово","Нужно дополнить"))</x:f>
      </x:c>
      <x:c r="M95" s="32"/>
    </x:row>
    <x:row r="96" ht="42" customHeight="1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 t="str">
        <x:f>IF(B96="","",IFERROR(INDEX('Проблемы клиентов'!$K$5:$K$104,MATCH(B96,'Проблемы клиентов'!$A$5:$A$104,0)),0))</x:f>
      </x:c>
      <x:c r="L96" s="32" t="str">
        <x:f>IF(A96="","",IF(AND(B96&lt;&gt;"",F96&lt;&gt;"",G96&lt;&gt;"",H96&lt;&gt;"",I96&lt;&gt;"",J96&lt;&gt;""),"Готово","Нужно дополнить"))</x:f>
      </x:c>
      <x:c r="M96" s="32"/>
    </x:row>
    <x:row r="97" ht="42" customHeight="1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 t="str">
        <x:f>IF(B97="","",IFERROR(INDEX('Проблемы клиентов'!$K$5:$K$104,MATCH(B97,'Проблемы клиентов'!$A$5:$A$104,0)),0))</x:f>
      </x:c>
      <x:c r="L97" s="32" t="str">
        <x:f>IF(A97="","",IF(AND(B97&lt;&gt;"",F97&lt;&gt;"",G97&lt;&gt;"",H97&lt;&gt;"",I97&lt;&gt;"",J97&lt;&gt;""),"Готово","Нужно дополнить"))</x:f>
      </x:c>
      <x:c r="M97" s="32"/>
    </x:row>
    <x:row r="98" ht="42" customHeight="1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 t="str">
        <x:f>IF(B98="","",IFERROR(INDEX('Проблемы клиентов'!$K$5:$K$104,MATCH(B98,'Проблемы клиентов'!$A$5:$A$104,0)),0))</x:f>
      </x:c>
      <x:c r="L98" s="32" t="str">
        <x:f>IF(A98="","",IF(AND(B98&lt;&gt;"",F98&lt;&gt;"",G98&lt;&gt;"",H98&lt;&gt;"",I98&lt;&gt;"",J98&lt;&gt;""),"Готово","Нужно дополнить"))</x:f>
      </x:c>
      <x:c r="M98" s="32"/>
    </x:row>
    <x:row r="99" ht="42" customHeight="1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 t="str">
        <x:f>IF(B99="","",IFERROR(INDEX('Проблемы клиентов'!$K$5:$K$104,MATCH(B99,'Проблемы клиентов'!$A$5:$A$104,0)),0))</x:f>
      </x:c>
      <x:c r="L99" s="32" t="str">
        <x:f>IF(A99="","",IF(AND(B99&lt;&gt;"",F99&lt;&gt;"",G99&lt;&gt;"",H99&lt;&gt;"",I99&lt;&gt;"",J99&lt;&gt;""),"Готово","Нужно дополнить"))</x:f>
      </x:c>
      <x:c r="M99" s="32"/>
    </x:row>
    <x:row r="100" ht="42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 t="str">
        <x:f>IF(B100="","",IFERROR(INDEX('Проблемы клиентов'!$K$5:$K$104,MATCH(B100,'Проблемы клиентов'!$A$5:$A$104,0)),0))</x:f>
      </x:c>
      <x:c r="L100" s="32" t="str">
        <x:f>IF(A100="","",IF(AND(B100&lt;&gt;"",F100&lt;&gt;"",G100&lt;&gt;"",H100&lt;&gt;"",I100&lt;&gt;"",J100&lt;&gt;""),"Готово","Нужно дополнить"))</x:f>
      </x:c>
      <x:c r="M100" s="32"/>
    </x:row>
    <x:row r="101" ht="42" customHeight="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 t="str">
        <x:f>IF(B101="","",IFERROR(INDEX('Проблемы клиентов'!$K$5:$K$104,MATCH(B101,'Проблемы клиентов'!$A$5:$A$104,0)),0))</x:f>
      </x:c>
      <x:c r="L101" s="32" t="str">
        <x:f>IF(A101="","",IF(AND(B101&lt;&gt;"",F101&lt;&gt;"",G101&lt;&gt;"",H101&lt;&gt;"",I101&lt;&gt;"",J101&lt;&gt;""),"Готово","Нужно дополнить"))</x:f>
      </x:c>
      <x:c r="M101" s="32"/>
    </x:row>
    <x:row r="102" ht="42" customHeight="1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 t="str">
        <x:f>IF(B102="","",IFERROR(INDEX('Проблемы клиентов'!$K$5:$K$104,MATCH(B102,'Проблемы клиентов'!$A$5:$A$104,0)),0))</x:f>
      </x:c>
      <x:c r="L102" s="32" t="str">
        <x:f>IF(A102="","",IF(AND(B102&lt;&gt;"",F102&lt;&gt;"",G102&lt;&gt;"",H102&lt;&gt;"",I102&lt;&gt;"",J102&lt;&gt;""),"Готово","Нужно дополнить"))</x:f>
      </x:c>
      <x:c r="M102" s="32"/>
    </x:row>
    <x:row r="103" ht="42" customHeight="1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 t="str">
        <x:f>IF(B103="","",IFERROR(INDEX('Проблемы клиентов'!$K$5:$K$104,MATCH(B103,'Проблемы клиентов'!$A$5:$A$104,0)),0))</x:f>
      </x:c>
      <x:c r="L103" s="32" t="str">
        <x:f>IF(A103="","",IF(AND(B103&lt;&gt;"",F103&lt;&gt;"",G103&lt;&gt;"",H103&lt;&gt;"",I103&lt;&gt;"",J103&lt;&gt;""),"Готово","Нужно дополнить"))</x:f>
      </x:c>
      <x:c r="M103" s="32"/>
    </x:row>
    <x:row r="104" ht="42" customHeight="1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 t="str">
        <x:f>IF(B104="","",IFERROR(INDEX('Проблемы клиентов'!$K$5:$K$104,MATCH(B104,'Проблемы клиентов'!$A$5:$A$104,0)),0))</x:f>
      </x:c>
      <x:c r="L104" s="32" t="str">
        <x:f>IF(A104="","",IF(AND(B104&lt;&gt;"",F104&lt;&gt;"",G104&lt;&gt;"",H104&lt;&gt;"",I104&lt;&gt;"",J104&lt;&gt;""),"Готово","Нужно дополнить"))</x:f>
      </x:c>
      <x:c r="M104" s="32"/>
    </x:row>
  </x:sheetData>
  <x:mergeCells>
    <x:mergeCell ref="A1:M1"/>
    <x:mergeCell ref="A2:M2"/>
  </x:mergeCells>
  <x:conditionalFormatting sqref="K5:K104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dataValidations count="3">
    <x:dataValidation type="list" sqref="C5:C104">
      <x:formula1>'Справочники'!$B$4:$B$8</x:formula1>
    </x:dataValidation>
    <x:dataValidation type="list" sqref="I5:I104">
      <x:formula1>'Справочники'!$E$4:$E$9</x:formula1>
    </x:dataValidation>
    <x:dataValidation type="list" sqref="J5:J104">
      <x:formula1>'Справочники'!$D$4:$D$12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be95e850454e4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24" hidden="0" customWidth="1"/>
    <x:col min="5" max="5" width="40" hidden="0" customWidth="1"/>
    <x:col min="6" max="6" width="38" hidden="0" customWidth="1"/>
    <x:col min="7" max="7" width="42" hidden="0" customWidth="1"/>
    <x:col min="8" max="8" width="42" hidden="0" customWidth="1"/>
    <x:col min="9" max="9" width="38" hidden="0" customWidth="1"/>
    <x:col min="10" max="10" width="17" hidden="0" customWidth="1"/>
    <x:col min="11" max="11" width="20" hidden="0" customWidth="1"/>
    <x:col min="12" max="12" width="18" hidden="0" customWidth="1"/>
    <x:col min="13" max="13" width="28" hidden="0" customWidth="1"/>
  </x:cols>
  <x:sheetData>
    <x:row r="1" ht="28" customHeight="1">
      <x:c r="A1" s="6" t="str">
        <x:v>Описание цифрового товара как носителя ценности</x:v>
      </x:c>
    </x:row>
    <x:row r="2" ht="34" customHeight="1">
      <x:c r="A2" s="16" t="str">
        <x:v>На листе ценностное предложение переводится в состав цифрового товара, функции, пользовательский сценарий и условия доступа.</x:v>
      </x:c>
    </x:row>
    <x:row r="4" ht="34" customHeight="1">
      <x:c r="A4" s="25" t="str">
        <x:v>ID товара</x:v>
      </x:c>
      <x:c r="B4" s="25" t="str">
        <x:v>ID ЦП</x:v>
      </x:c>
      <x:c r="C4" s="25" t="str">
        <x:v>Название цифрового товара</x:v>
      </x:c>
      <x:c r="D4" s="25" t="str">
        <x:v>Тип цифрового товара</x:v>
      </x:c>
      <x:c r="E4" s="25" t="str">
        <x:v>Клиентская задача</x:v>
      </x:c>
      <x:c r="F4" s="25" t="str">
        <x:v>Базовая функция</x:v>
      </x:c>
      <x:c r="G4" s="25" t="str">
        <x:v>Расширенные функции</x:v>
      </x:c>
      <x:c r="H4" s="25" t="str">
        <x:v>Данные/алгоритмы как часть ценности</x:v>
      </x:c>
      <x:c r="I4" s="25" t="str">
        <x:v>Условия доступа и использования</x:v>
      </x:c>
      <x:c r="J4" s="25" t="str">
        <x:v>Носитель ценности</x:v>
      </x:c>
      <x:c r="K4" s="25" t="str">
        <x:v>Индекс товарной оформленности</x:v>
      </x:c>
      <x:c r="L4" s="25" t="str">
        <x:v>Статус</x:v>
      </x:c>
      <x:c r="M4" s="25" t="str">
        <x:v>Комментарий</x:v>
      </x:c>
    </x:row>
    <x:row r="5" ht="42" customHeight="1">
      <x:c r="A5" s="32" t="str">
        <x:v>PR-001</x:v>
      </x:c>
      <x:c r="B5" s="32" t="str">
        <x:v>VP-001</x:v>
      </x:c>
      <x:c r="C5" s="32" t="str">
        <x:v>Сервис быстрого запуска процесса</x:v>
      </x:c>
      <x:c r="D5" s="32" t="str">
        <x:v>Веб-сервис</x:v>
      </x:c>
      <x:c r="E5" s="32" t="str">
        <x:v>Быстро получить первый рабочий результат.</x:v>
      </x:c>
      <x:c r="F5" s="32" t="str">
        <x:v>Автоматическая первичная настройка.</x:v>
      </x:c>
      <x:c r="G5" s="32" t="str">
        <x:v>Шаблоны, подсказки, проверка полноты данных.</x:v>
      </x:c>
      <x:c r="H5" s="32" t="str">
        <x:v>Алгоритм подбора сценария и проверка ошибок настройки.</x:v>
      </x:c>
      <x:c r="I5" s="32" t="str">
        <x:v>Доступ по подписке, запуск через личный кабинет.</x:v>
      </x:c>
      <x:c r="J5" s="32" t="str">
        <x:f>IF(A5="","",IF(AND(E5&lt;&gt;"",F5&lt;&gt;"",H5&lt;&gt;"",I5&lt;&gt;""),"Да","Нет"))</x:f>
        <x:v>Да</x:v>
      </x:c>
      <x:c r="K5" s="32" t="n">
        <x:f>IF(A5="","",ROUND((COUNTA(E5:I5)/5)*100,0))</x:f>
        <x:v>100</x:v>
      </x:c>
      <x:c r="L5" s="32" t="str">
        <x:f>IF(A5="","",IF(K5&gt;=80,"Готово",IF(K5&gt;=50,"Нужно дополнить","Черновик")))</x:f>
        <x:v>Готово</x:v>
      </x:c>
      <x:c r="M5" s="32" t="str">
        <x:v>Пример.</x:v>
      </x:c>
    </x:row>
    <x:row r="6" ht="42" customHeight="1">
      <x:c r="A6" s="32"/>
      <x:c r="B6" s="32"/>
      <x:c r="C6" s="32"/>
      <x:c r="D6" s="32"/>
      <x:c r="E6" s="32"/>
      <x:c r="F6" s="32"/>
      <x:c r="G6" s="32"/>
      <x:c r="H6" s="32"/>
      <x:c r="I6" s="32"/>
      <x:c r="J6" s="32" t="str">
        <x:f>IF(A6="","",IF(AND(E6&lt;&gt;"",F6&lt;&gt;"",H6&lt;&gt;"",I6&lt;&gt;""),"Да","Нет"))</x:f>
      </x:c>
      <x:c r="K6" s="32" t="str">
        <x:f>IF(A6="","",ROUND((COUNTA(E6:I6)/5)*100,0))</x:f>
      </x:c>
      <x:c r="L6" s="32" t="str">
        <x:f>IF(A6="","",IF(K6&gt;=80,"Готово",IF(K6&gt;=50,"Нужно дополнить","Черновик")))</x:f>
      </x:c>
      <x:c r="M6" s="32"/>
    </x:row>
    <x:row r="7" ht="42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 t="str">
        <x:f>IF(A7="","",IF(AND(E7&lt;&gt;"",F7&lt;&gt;"",H7&lt;&gt;"",I7&lt;&gt;""),"Да","Нет"))</x:f>
      </x:c>
      <x:c r="K7" s="32" t="str">
        <x:f>IF(A7="","",ROUND((COUNTA(E7:I7)/5)*100,0))</x:f>
      </x:c>
      <x:c r="L7" s="32" t="str">
        <x:f>IF(A7="","",IF(K7&gt;=80,"Готово",IF(K7&gt;=50,"Нужно дополнить","Черновик")))</x:f>
      </x:c>
      <x:c r="M7" s="32"/>
    </x:row>
    <x:row r="8" ht="42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 t="str">
        <x:f>IF(A8="","",IF(AND(E8&lt;&gt;"",F8&lt;&gt;"",H8&lt;&gt;"",I8&lt;&gt;""),"Да","Нет"))</x:f>
      </x:c>
      <x:c r="K8" s="32" t="str">
        <x:f>IF(A8="","",ROUND((COUNTA(E8:I8)/5)*100,0))</x:f>
      </x:c>
      <x:c r="L8" s="32" t="str">
        <x:f>IF(A8="","",IF(K8&gt;=80,"Готово",IF(K8&gt;=50,"Нужно дополнить","Черновик")))</x:f>
      </x:c>
      <x:c r="M8" s="32"/>
    </x:row>
    <x:row r="9" ht="42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 t="str">
        <x:f>IF(A9="","",IF(AND(E9&lt;&gt;"",F9&lt;&gt;"",H9&lt;&gt;"",I9&lt;&gt;""),"Да","Нет"))</x:f>
      </x:c>
      <x:c r="K9" s="32" t="str">
        <x:f>IF(A9="","",ROUND((COUNTA(E9:I9)/5)*100,0))</x:f>
      </x:c>
      <x:c r="L9" s="32" t="str">
        <x:f>IF(A9="","",IF(K9&gt;=80,"Готово",IF(K9&gt;=50,"Нужно дополнить","Черновик")))</x:f>
      </x:c>
      <x:c r="M9" s="32"/>
    </x:row>
    <x:row r="10" ht="42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 t="str">
        <x:f>IF(A10="","",IF(AND(E10&lt;&gt;"",F10&lt;&gt;"",H10&lt;&gt;"",I10&lt;&gt;""),"Да","Нет"))</x:f>
      </x:c>
      <x:c r="K10" s="32" t="str">
        <x:f>IF(A10="","",ROUND((COUNTA(E10:I10)/5)*100,0))</x:f>
      </x:c>
      <x:c r="L10" s="32" t="str">
        <x:f>IF(A10="","",IF(K10&gt;=80,"Готово",IF(K10&gt;=50,"Нужно дополнить","Черновик")))</x:f>
      </x:c>
      <x:c r="M10" s="32"/>
    </x:row>
    <x:row r="11" ht="42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 t="str">
        <x:f>IF(A11="","",IF(AND(E11&lt;&gt;"",F11&lt;&gt;"",H11&lt;&gt;"",I11&lt;&gt;""),"Да","Нет"))</x:f>
      </x:c>
      <x:c r="K11" s="32" t="str">
        <x:f>IF(A11="","",ROUND((COUNTA(E11:I11)/5)*100,0))</x:f>
      </x:c>
      <x:c r="L11" s="32" t="str">
        <x:f>IF(A11="","",IF(K11&gt;=80,"Готово",IF(K11&gt;=50,"Нужно дополнить","Черновик")))</x:f>
      </x:c>
      <x:c r="M11" s="32"/>
    </x:row>
    <x:row r="12" ht="42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 t="str">
        <x:f>IF(A12="","",IF(AND(E12&lt;&gt;"",F12&lt;&gt;"",H12&lt;&gt;"",I12&lt;&gt;""),"Да","Нет"))</x:f>
      </x:c>
      <x:c r="K12" s="32" t="str">
        <x:f>IF(A12="","",ROUND((COUNTA(E12:I12)/5)*100,0))</x:f>
      </x:c>
      <x:c r="L12" s="32" t="str">
        <x:f>IF(A12="","",IF(K12&gt;=80,"Готово",IF(K12&gt;=50,"Нужно дополнить","Черновик")))</x:f>
      </x:c>
      <x:c r="M12" s="32"/>
    </x:row>
    <x:row r="13" ht="42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 t="str">
        <x:f>IF(A13="","",IF(AND(E13&lt;&gt;"",F13&lt;&gt;"",H13&lt;&gt;"",I13&lt;&gt;""),"Да","Нет"))</x:f>
      </x:c>
      <x:c r="K13" s="32" t="str">
        <x:f>IF(A13="","",ROUND((COUNTA(E13:I13)/5)*100,0))</x:f>
      </x:c>
      <x:c r="L13" s="32" t="str">
        <x:f>IF(A13="","",IF(K13&gt;=80,"Готово",IF(K13&gt;=50,"Нужно дополнить","Черновик")))</x:f>
      </x:c>
      <x:c r="M13" s="32"/>
    </x:row>
    <x:row r="14" ht="42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 t="str">
        <x:f>IF(A14="","",IF(AND(E14&lt;&gt;"",F14&lt;&gt;"",H14&lt;&gt;"",I14&lt;&gt;""),"Да","Нет"))</x:f>
      </x:c>
      <x:c r="K14" s="32" t="str">
        <x:f>IF(A14="","",ROUND((COUNTA(E14:I14)/5)*100,0))</x:f>
      </x:c>
      <x:c r="L14" s="32" t="str">
        <x:f>IF(A14="","",IF(K14&gt;=80,"Готово",IF(K14&gt;=50,"Нужно дополнить","Черновик")))</x:f>
      </x:c>
      <x:c r="M14" s="32"/>
    </x:row>
    <x:row r="15" ht="42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 t="str">
        <x:f>IF(A15="","",IF(AND(E15&lt;&gt;"",F15&lt;&gt;"",H15&lt;&gt;"",I15&lt;&gt;""),"Да","Нет"))</x:f>
      </x:c>
      <x:c r="K15" s="32" t="str">
        <x:f>IF(A15="","",ROUND((COUNTA(E15:I15)/5)*100,0))</x:f>
      </x:c>
      <x:c r="L15" s="32" t="str">
        <x:f>IF(A15="","",IF(K15&gt;=80,"Готово",IF(K15&gt;=50,"Нужно дополнить","Черновик")))</x:f>
      </x:c>
      <x:c r="M15" s="32"/>
    </x:row>
    <x:row r="16" ht="42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 t="str">
        <x:f>IF(A16="","",IF(AND(E16&lt;&gt;"",F16&lt;&gt;"",H16&lt;&gt;"",I16&lt;&gt;""),"Да","Нет"))</x:f>
      </x:c>
      <x:c r="K16" s="32" t="str">
        <x:f>IF(A16="","",ROUND((COUNTA(E16:I16)/5)*100,0))</x:f>
      </x:c>
      <x:c r="L16" s="32" t="str">
        <x:f>IF(A16="","",IF(K16&gt;=80,"Готово",IF(K16&gt;=50,"Нужно дополнить","Черновик")))</x:f>
      </x:c>
      <x:c r="M16" s="32"/>
    </x:row>
    <x:row r="17" ht="42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 t="str">
        <x:f>IF(A17="","",IF(AND(E17&lt;&gt;"",F17&lt;&gt;"",H17&lt;&gt;"",I17&lt;&gt;""),"Да","Нет"))</x:f>
      </x:c>
      <x:c r="K17" s="32" t="str">
        <x:f>IF(A17="","",ROUND((COUNTA(E17:I17)/5)*100,0))</x:f>
      </x:c>
      <x:c r="L17" s="32" t="str">
        <x:f>IF(A17="","",IF(K17&gt;=80,"Готово",IF(K17&gt;=50,"Нужно дополнить","Черновик")))</x:f>
      </x:c>
      <x:c r="M17" s="32"/>
    </x:row>
    <x:row r="18" ht="42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 t="str">
        <x:f>IF(A18="","",IF(AND(E18&lt;&gt;"",F18&lt;&gt;"",H18&lt;&gt;"",I18&lt;&gt;""),"Да","Нет"))</x:f>
      </x:c>
      <x:c r="K18" s="32" t="str">
        <x:f>IF(A18="","",ROUND((COUNTA(E18:I18)/5)*100,0))</x:f>
      </x:c>
      <x:c r="L18" s="32" t="str">
        <x:f>IF(A18="","",IF(K18&gt;=80,"Готово",IF(K18&gt;=50,"Нужно дополнить","Черновик")))</x:f>
      </x:c>
      <x:c r="M18" s="32"/>
    </x:row>
    <x:row r="19" ht="42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 t="str">
        <x:f>IF(A19="","",IF(AND(E19&lt;&gt;"",F19&lt;&gt;"",H19&lt;&gt;"",I19&lt;&gt;""),"Да","Нет"))</x:f>
      </x:c>
      <x:c r="K19" s="32" t="str">
        <x:f>IF(A19="","",ROUND((COUNTA(E19:I19)/5)*100,0))</x:f>
      </x:c>
      <x:c r="L19" s="32" t="str">
        <x:f>IF(A19="","",IF(K19&gt;=80,"Готово",IF(K19&gt;=50,"Нужно дополнить","Черновик")))</x:f>
      </x:c>
      <x:c r="M19" s="32"/>
    </x:row>
    <x:row r="20" ht="42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 t="str">
        <x:f>IF(A20="","",IF(AND(E20&lt;&gt;"",F20&lt;&gt;"",H20&lt;&gt;"",I20&lt;&gt;""),"Да","Нет"))</x:f>
      </x:c>
      <x:c r="K20" s="32" t="str">
        <x:f>IF(A20="","",ROUND((COUNTA(E20:I20)/5)*100,0))</x:f>
      </x:c>
      <x:c r="L20" s="32" t="str">
        <x:f>IF(A20="","",IF(K20&gt;=80,"Готово",IF(K20&gt;=50,"Нужно дополнить","Черновик")))</x:f>
      </x:c>
      <x:c r="M20" s="32"/>
    </x:row>
    <x:row r="21" ht="42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 t="str">
        <x:f>IF(A21="","",IF(AND(E21&lt;&gt;"",F21&lt;&gt;"",H21&lt;&gt;"",I21&lt;&gt;""),"Да","Нет"))</x:f>
      </x:c>
      <x:c r="K21" s="32" t="str">
        <x:f>IF(A21="","",ROUND((COUNTA(E21:I21)/5)*100,0))</x:f>
      </x:c>
      <x:c r="L21" s="32" t="str">
        <x:f>IF(A21="","",IF(K21&gt;=80,"Готово",IF(K21&gt;=50,"Нужно дополнить","Черновик")))</x:f>
      </x:c>
      <x:c r="M21" s="32"/>
    </x:row>
    <x:row r="22" ht="42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 t="str">
        <x:f>IF(A22="","",IF(AND(E22&lt;&gt;"",F22&lt;&gt;"",H22&lt;&gt;"",I22&lt;&gt;""),"Да","Нет"))</x:f>
      </x:c>
      <x:c r="K22" s="32" t="str">
        <x:f>IF(A22="","",ROUND((COUNTA(E22:I22)/5)*100,0))</x:f>
      </x:c>
      <x:c r="L22" s="32" t="str">
        <x:f>IF(A22="","",IF(K22&gt;=80,"Готово",IF(K22&gt;=50,"Нужно дополнить","Черновик")))</x:f>
      </x:c>
      <x:c r="M22" s="32"/>
    </x:row>
    <x:row r="23" ht="42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 t="str">
        <x:f>IF(A23="","",IF(AND(E23&lt;&gt;"",F23&lt;&gt;"",H23&lt;&gt;"",I23&lt;&gt;""),"Да","Нет"))</x:f>
      </x:c>
      <x:c r="K23" s="32" t="str">
        <x:f>IF(A23="","",ROUND((COUNTA(E23:I23)/5)*100,0))</x:f>
      </x:c>
      <x:c r="L23" s="32" t="str">
        <x:f>IF(A23="","",IF(K23&gt;=80,"Готово",IF(K23&gt;=50,"Нужно дополнить","Черновик")))</x:f>
      </x:c>
      <x:c r="M23" s="32"/>
    </x:row>
    <x:row r="24" ht="42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 t="str">
        <x:f>IF(A24="","",IF(AND(E24&lt;&gt;"",F24&lt;&gt;"",H24&lt;&gt;"",I24&lt;&gt;""),"Да","Нет"))</x:f>
      </x:c>
      <x:c r="K24" s="32" t="str">
        <x:f>IF(A24="","",ROUND((COUNTA(E24:I24)/5)*100,0))</x:f>
      </x:c>
      <x:c r="L24" s="32" t="str">
        <x:f>IF(A24="","",IF(K24&gt;=80,"Готово",IF(K24&gt;=50,"Нужно дополнить","Черновик")))</x:f>
      </x:c>
      <x:c r="M24" s="32"/>
    </x:row>
    <x:row r="25" ht="42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 t="str">
        <x:f>IF(A25="","",IF(AND(E25&lt;&gt;"",F25&lt;&gt;"",H25&lt;&gt;"",I25&lt;&gt;""),"Да","Нет"))</x:f>
      </x:c>
      <x:c r="K25" s="32" t="str">
        <x:f>IF(A25="","",ROUND((COUNTA(E25:I25)/5)*100,0))</x:f>
      </x:c>
      <x:c r="L25" s="32" t="str">
        <x:f>IF(A25="","",IF(K25&gt;=80,"Готово",IF(K25&gt;=50,"Нужно дополнить","Черновик")))</x:f>
      </x:c>
      <x:c r="M25" s="32"/>
    </x:row>
    <x:row r="26" ht="42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 t="str">
        <x:f>IF(A26="","",IF(AND(E26&lt;&gt;"",F26&lt;&gt;"",H26&lt;&gt;"",I26&lt;&gt;""),"Да","Нет"))</x:f>
      </x:c>
      <x:c r="K26" s="32" t="str">
        <x:f>IF(A26="","",ROUND((COUNTA(E26:I26)/5)*100,0))</x:f>
      </x:c>
      <x:c r="L26" s="32" t="str">
        <x:f>IF(A26="","",IF(K26&gt;=80,"Готово",IF(K26&gt;=50,"Нужно дополнить","Черновик")))</x:f>
      </x:c>
      <x:c r="M26" s="32"/>
    </x:row>
    <x:row r="27" ht="42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 t="str">
        <x:f>IF(A27="","",IF(AND(E27&lt;&gt;"",F27&lt;&gt;"",H27&lt;&gt;"",I27&lt;&gt;""),"Да","Нет"))</x:f>
      </x:c>
      <x:c r="K27" s="32" t="str">
        <x:f>IF(A27="","",ROUND((COUNTA(E27:I27)/5)*100,0))</x:f>
      </x:c>
      <x:c r="L27" s="32" t="str">
        <x:f>IF(A27="","",IF(K27&gt;=80,"Готово",IF(K27&gt;=50,"Нужно дополнить","Черновик")))</x:f>
      </x:c>
      <x:c r="M27" s="32"/>
    </x:row>
    <x:row r="28" ht="42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 t="str">
        <x:f>IF(A28="","",IF(AND(E28&lt;&gt;"",F28&lt;&gt;"",H28&lt;&gt;"",I28&lt;&gt;""),"Да","Нет"))</x:f>
      </x:c>
      <x:c r="K28" s="32" t="str">
        <x:f>IF(A28="","",ROUND((COUNTA(E28:I28)/5)*100,0))</x:f>
      </x:c>
      <x:c r="L28" s="32" t="str">
        <x:f>IF(A28="","",IF(K28&gt;=80,"Готово",IF(K28&gt;=50,"Нужно дополнить","Черновик")))</x:f>
      </x:c>
      <x:c r="M28" s="32"/>
    </x:row>
    <x:row r="29" ht="42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 t="str">
        <x:f>IF(A29="","",IF(AND(E29&lt;&gt;"",F29&lt;&gt;"",H29&lt;&gt;"",I29&lt;&gt;""),"Да","Нет"))</x:f>
      </x:c>
      <x:c r="K29" s="32" t="str">
        <x:f>IF(A29="","",ROUND((COUNTA(E29:I29)/5)*100,0))</x:f>
      </x:c>
      <x:c r="L29" s="32" t="str">
        <x:f>IF(A29="","",IF(K29&gt;=80,"Готово",IF(K29&gt;=50,"Нужно дополнить","Черновик")))</x:f>
      </x:c>
      <x:c r="M29" s="32"/>
    </x:row>
    <x:row r="30" ht="42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 t="str">
        <x:f>IF(A30="","",IF(AND(E30&lt;&gt;"",F30&lt;&gt;"",H30&lt;&gt;"",I30&lt;&gt;""),"Да","Нет"))</x:f>
      </x:c>
      <x:c r="K30" s="32" t="str">
        <x:f>IF(A30="","",ROUND((COUNTA(E30:I30)/5)*100,0))</x:f>
      </x:c>
      <x:c r="L30" s="32" t="str">
        <x:f>IF(A30="","",IF(K30&gt;=80,"Готово",IF(K30&gt;=50,"Нужно дополнить","Черновик")))</x:f>
      </x:c>
      <x:c r="M30" s="32"/>
    </x:row>
    <x:row r="31" ht="42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 t="str">
        <x:f>IF(A31="","",IF(AND(E31&lt;&gt;"",F31&lt;&gt;"",H31&lt;&gt;"",I31&lt;&gt;""),"Да","Нет"))</x:f>
      </x:c>
      <x:c r="K31" s="32" t="str">
        <x:f>IF(A31="","",ROUND((COUNTA(E31:I31)/5)*100,0))</x:f>
      </x:c>
      <x:c r="L31" s="32" t="str">
        <x:f>IF(A31="","",IF(K31&gt;=80,"Готово",IF(K31&gt;=50,"Нужно дополнить","Черновик")))</x:f>
      </x:c>
      <x:c r="M31" s="32"/>
    </x:row>
    <x:row r="32" ht="42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 t="str">
        <x:f>IF(A32="","",IF(AND(E32&lt;&gt;"",F32&lt;&gt;"",H32&lt;&gt;"",I32&lt;&gt;""),"Да","Нет"))</x:f>
      </x:c>
      <x:c r="K32" s="32" t="str">
        <x:f>IF(A32="","",ROUND((COUNTA(E32:I32)/5)*100,0))</x:f>
      </x:c>
      <x:c r="L32" s="32" t="str">
        <x:f>IF(A32="","",IF(K32&gt;=80,"Готово",IF(K32&gt;=50,"Нужно дополнить","Черновик")))</x:f>
      </x:c>
      <x:c r="M32" s="32"/>
    </x:row>
    <x:row r="33" ht="42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 t="str">
        <x:f>IF(A33="","",IF(AND(E33&lt;&gt;"",F33&lt;&gt;"",H33&lt;&gt;"",I33&lt;&gt;""),"Да","Нет"))</x:f>
      </x:c>
      <x:c r="K33" s="32" t="str">
        <x:f>IF(A33="","",ROUND((COUNTA(E33:I33)/5)*100,0))</x:f>
      </x:c>
      <x:c r="L33" s="32" t="str">
        <x:f>IF(A33="","",IF(K33&gt;=80,"Готово",IF(K33&gt;=50,"Нужно дополнить","Черновик")))</x:f>
      </x:c>
      <x:c r="M33" s="32"/>
    </x:row>
    <x:row r="34" ht="42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 t="str">
        <x:f>IF(A34="","",IF(AND(E34&lt;&gt;"",F34&lt;&gt;"",H34&lt;&gt;"",I34&lt;&gt;""),"Да","Нет"))</x:f>
      </x:c>
      <x:c r="K34" s="32" t="str">
        <x:f>IF(A34="","",ROUND((COUNTA(E34:I34)/5)*100,0))</x:f>
      </x:c>
      <x:c r="L34" s="32" t="str">
        <x:f>IF(A34="","",IF(K34&gt;=80,"Готово",IF(K34&gt;=50,"Нужно дополнить","Черновик")))</x:f>
      </x:c>
      <x:c r="M34" s="32"/>
    </x:row>
    <x:row r="35" ht="42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 t="str">
        <x:f>IF(A35="","",IF(AND(E35&lt;&gt;"",F35&lt;&gt;"",H35&lt;&gt;"",I35&lt;&gt;""),"Да","Нет"))</x:f>
      </x:c>
      <x:c r="K35" s="32" t="str">
        <x:f>IF(A35="","",ROUND((COUNTA(E35:I35)/5)*100,0))</x:f>
      </x:c>
      <x:c r="L35" s="32" t="str">
        <x:f>IF(A35="","",IF(K35&gt;=80,"Готово",IF(K35&gt;=50,"Нужно дополнить","Черновик")))</x:f>
      </x:c>
      <x:c r="M35" s="32"/>
    </x:row>
    <x:row r="36" ht="42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 t="str">
        <x:f>IF(A36="","",IF(AND(E36&lt;&gt;"",F36&lt;&gt;"",H36&lt;&gt;"",I36&lt;&gt;""),"Да","Нет"))</x:f>
      </x:c>
      <x:c r="K36" s="32" t="str">
        <x:f>IF(A36="","",ROUND((COUNTA(E36:I36)/5)*100,0))</x:f>
      </x:c>
      <x:c r="L36" s="32" t="str">
        <x:f>IF(A36="","",IF(K36&gt;=80,"Готово",IF(K36&gt;=50,"Нужно дополнить","Черновик")))</x:f>
      </x:c>
      <x:c r="M36" s="32"/>
    </x:row>
    <x:row r="37" ht="42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 t="str">
        <x:f>IF(A37="","",IF(AND(E37&lt;&gt;"",F37&lt;&gt;"",H37&lt;&gt;"",I37&lt;&gt;""),"Да","Нет"))</x:f>
      </x:c>
      <x:c r="K37" s="32" t="str">
        <x:f>IF(A37="","",ROUND((COUNTA(E37:I37)/5)*100,0))</x:f>
      </x:c>
      <x:c r="L37" s="32" t="str">
        <x:f>IF(A37="","",IF(K37&gt;=80,"Готово",IF(K37&gt;=50,"Нужно дополнить","Черновик")))</x:f>
      </x:c>
      <x:c r="M37" s="32"/>
    </x:row>
    <x:row r="38" ht="42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 t="str">
        <x:f>IF(A38="","",IF(AND(E38&lt;&gt;"",F38&lt;&gt;"",H38&lt;&gt;"",I38&lt;&gt;""),"Да","Нет"))</x:f>
      </x:c>
      <x:c r="K38" s="32" t="str">
        <x:f>IF(A38="","",ROUND((COUNTA(E38:I38)/5)*100,0))</x:f>
      </x:c>
      <x:c r="L38" s="32" t="str">
        <x:f>IF(A38="","",IF(K38&gt;=80,"Готово",IF(K38&gt;=50,"Нужно дополнить","Черновик")))</x:f>
      </x:c>
      <x:c r="M38" s="32"/>
    </x:row>
    <x:row r="39" ht="42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 t="str">
        <x:f>IF(A39="","",IF(AND(E39&lt;&gt;"",F39&lt;&gt;"",H39&lt;&gt;"",I39&lt;&gt;""),"Да","Нет"))</x:f>
      </x:c>
      <x:c r="K39" s="32" t="str">
        <x:f>IF(A39="","",ROUND((COUNTA(E39:I39)/5)*100,0))</x:f>
      </x:c>
      <x:c r="L39" s="32" t="str">
        <x:f>IF(A39="","",IF(K39&gt;=80,"Готово",IF(K39&gt;=50,"Нужно дополнить","Черновик")))</x:f>
      </x:c>
      <x:c r="M39" s="32"/>
    </x:row>
    <x:row r="40" ht="42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 t="str">
        <x:f>IF(A40="","",IF(AND(E40&lt;&gt;"",F40&lt;&gt;"",H40&lt;&gt;"",I40&lt;&gt;""),"Да","Нет"))</x:f>
      </x:c>
      <x:c r="K40" s="32" t="str">
        <x:f>IF(A40="","",ROUND((COUNTA(E40:I40)/5)*100,0))</x:f>
      </x:c>
      <x:c r="L40" s="32" t="str">
        <x:f>IF(A40="","",IF(K40&gt;=80,"Готово",IF(K40&gt;=50,"Нужно дополнить","Черновик")))</x:f>
      </x:c>
      <x:c r="M40" s="32"/>
    </x:row>
    <x:row r="41" ht="42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 t="str">
        <x:f>IF(A41="","",IF(AND(E41&lt;&gt;"",F41&lt;&gt;"",H41&lt;&gt;"",I41&lt;&gt;""),"Да","Нет"))</x:f>
      </x:c>
      <x:c r="K41" s="32" t="str">
        <x:f>IF(A41="","",ROUND((COUNTA(E41:I41)/5)*100,0))</x:f>
      </x:c>
      <x:c r="L41" s="32" t="str">
        <x:f>IF(A41="","",IF(K41&gt;=80,"Готово",IF(K41&gt;=50,"Нужно дополнить","Черновик")))</x:f>
      </x:c>
      <x:c r="M41" s="32"/>
    </x:row>
    <x:row r="42" ht="42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 t="str">
        <x:f>IF(A42="","",IF(AND(E42&lt;&gt;"",F42&lt;&gt;"",H42&lt;&gt;"",I42&lt;&gt;""),"Да","Нет"))</x:f>
      </x:c>
      <x:c r="K42" s="32" t="str">
        <x:f>IF(A42="","",ROUND((COUNTA(E42:I42)/5)*100,0))</x:f>
      </x:c>
      <x:c r="L42" s="32" t="str">
        <x:f>IF(A42="","",IF(K42&gt;=80,"Готово",IF(K42&gt;=50,"Нужно дополнить","Черновик")))</x:f>
      </x:c>
      <x:c r="M42" s="32"/>
    </x:row>
    <x:row r="43" ht="42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 t="str">
        <x:f>IF(A43="","",IF(AND(E43&lt;&gt;"",F43&lt;&gt;"",H43&lt;&gt;"",I43&lt;&gt;""),"Да","Нет"))</x:f>
      </x:c>
      <x:c r="K43" s="32" t="str">
        <x:f>IF(A43="","",ROUND((COUNTA(E43:I43)/5)*100,0))</x:f>
      </x:c>
      <x:c r="L43" s="32" t="str">
        <x:f>IF(A43="","",IF(K43&gt;=80,"Готово",IF(K43&gt;=50,"Нужно дополнить","Черновик")))</x:f>
      </x:c>
      <x:c r="M43" s="32"/>
    </x:row>
    <x:row r="44" ht="42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 t="str">
        <x:f>IF(A44="","",IF(AND(E44&lt;&gt;"",F44&lt;&gt;"",H44&lt;&gt;"",I44&lt;&gt;""),"Да","Нет"))</x:f>
      </x:c>
      <x:c r="K44" s="32" t="str">
        <x:f>IF(A44="","",ROUND((COUNTA(E44:I44)/5)*100,0))</x:f>
      </x:c>
      <x:c r="L44" s="32" t="str">
        <x:f>IF(A44="","",IF(K44&gt;=80,"Готово",IF(K44&gt;=50,"Нужно дополнить","Черновик")))</x:f>
      </x:c>
      <x:c r="M44" s="32"/>
    </x:row>
    <x:row r="45" ht="42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 t="str">
        <x:f>IF(A45="","",IF(AND(E45&lt;&gt;"",F45&lt;&gt;"",H45&lt;&gt;"",I45&lt;&gt;""),"Да","Нет"))</x:f>
      </x:c>
      <x:c r="K45" s="32" t="str">
        <x:f>IF(A45="","",ROUND((COUNTA(E45:I45)/5)*100,0))</x:f>
      </x:c>
      <x:c r="L45" s="32" t="str">
        <x:f>IF(A45="","",IF(K45&gt;=80,"Готово",IF(K45&gt;=50,"Нужно дополнить","Черновик")))</x:f>
      </x:c>
      <x:c r="M45" s="32"/>
    </x:row>
    <x:row r="46" ht="42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 t="str">
        <x:f>IF(A46="","",IF(AND(E46&lt;&gt;"",F46&lt;&gt;"",H46&lt;&gt;"",I46&lt;&gt;""),"Да","Нет"))</x:f>
      </x:c>
      <x:c r="K46" s="32" t="str">
        <x:f>IF(A46="","",ROUND((COUNTA(E46:I46)/5)*100,0))</x:f>
      </x:c>
      <x:c r="L46" s="32" t="str">
        <x:f>IF(A46="","",IF(K46&gt;=80,"Готово",IF(K46&gt;=50,"Нужно дополнить","Черновик")))</x:f>
      </x:c>
      <x:c r="M46" s="32"/>
    </x:row>
    <x:row r="47" ht="42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 t="str">
        <x:f>IF(A47="","",IF(AND(E47&lt;&gt;"",F47&lt;&gt;"",H47&lt;&gt;"",I47&lt;&gt;""),"Да","Нет"))</x:f>
      </x:c>
      <x:c r="K47" s="32" t="str">
        <x:f>IF(A47="","",ROUND((COUNTA(E47:I47)/5)*100,0))</x:f>
      </x:c>
      <x:c r="L47" s="32" t="str">
        <x:f>IF(A47="","",IF(K47&gt;=80,"Готово",IF(K47&gt;=50,"Нужно дополнить","Черновик")))</x:f>
      </x:c>
      <x:c r="M47" s="32"/>
    </x:row>
    <x:row r="48" ht="42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 t="str">
        <x:f>IF(A48="","",IF(AND(E48&lt;&gt;"",F48&lt;&gt;"",H48&lt;&gt;"",I48&lt;&gt;""),"Да","Нет"))</x:f>
      </x:c>
      <x:c r="K48" s="32" t="str">
        <x:f>IF(A48="","",ROUND((COUNTA(E48:I48)/5)*100,0))</x:f>
      </x:c>
      <x:c r="L48" s="32" t="str">
        <x:f>IF(A48="","",IF(K48&gt;=80,"Готово",IF(K48&gt;=50,"Нужно дополнить","Черновик")))</x:f>
      </x:c>
      <x:c r="M48" s="32"/>
    </x:row>
    <x:row r="49" ht="42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 t="str">
        <x:f>IF(A49="","",IF(AND(E49&lt;&gt;"",F49&lt;&gt;"",H49&lt;&gt;"",I49&lt;&gt;""),"Да","Нет"))</x:f>
      </x:c>
      <x:c r="K49" s="32" t="str">
        <x:f>IF(A49="","",ROUND((COUNTA(E49:I49)/5)*100,0))</x:f>
      </x:c>
      <x:c r="L49" s="32" t="str">
        <x:f>IF(A49="","",IF(K49&gt;=80,"Готово",IF(K49&gt;=50,"Нужно дополнить","Черновик")))</x:f>
      </x:c>
      <x:c r="M49" s="32"/>
    </x:row>
    <x:row r="50" ht="42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 t="str">
        <x:f>IF(A50="","",IF(AND(E50&lt;&gt;"",F50&lt;&gt;"",H50&lt;&gt;"",I50&lt;&gt;""),"Да","Нет"))</x:f>
      </x:c>
      <x:c r="K50" s="32" t="str">
        <x:f>IF(A50="","",ROUND((COUNTA(E50:I50)/5)*100,0))</x:f>
      </x:c>
      <x:c r="L50" s="32" t="str">
        <x:f>IF(A50="","",IF(K50&gt;=80,"Готово",IF(K50&gt;=50,"Нужно дополнить","Черновик")))</x:f>
      </x:c>
      <x:c r="M50" s="32"/>
    </x:row>
    <x:row r="51" ht="42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 t="str">
        <x:f>IF(A51="","",IF(AND(E51&lt;&gt;"",F51&lt;&gt;"",H51&lt;&gt;"",I51&lt;&gt;""),"Да","Нет"))</x:f>
      </x:c>
      <x:c r="K51" s="32" t="str">
        <x:f>IF(A51="","",ROUND((COUNTA(E51:I51)/5)*100,0))</x:f>
      </x:c>
      <x:c r="L51" s="32" t="str">
        <x:f>IF(A51="","",IF(K51&gt;=80,"Готово",IF(K51&gt;=50,"Нужно дополнить","Черновик")))</x:f>
      </x:c>
      <x:c r="M51" s="32"/>
    </x:row>
    <x:row r="52" ht="42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 t="str">
        <x:f>IF(A52="","",IF(AND(E52&lt;&gt;"",F52&lt;&gt;"",H52&lt;&gt;"",I52&lt;&gt;""),"Да","Нет"))</x:f>
      </x:c>
      <x:c r="K52" s="32" t="str">
        <x:f>IF(A52="","",ROUND((COUNTA(E52:I52)/5)*100,0))</x:f>
      </x:c>
      <x:c r="L52" s="32" t="str">
        <x:f>IF(A52="","",IF(K52&gt;=80,"Готово",IF(K52&gt;=50,"Нужно дополнить","Черновик")))</x:f>
      </x:c>
      <x:c r="M52" s="32"/>
    </x:row>
    <x:row r="53" ht="42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 t="str">
        <x:f>IF(A53="","",IF(AND(E53&lt;&gt;"",F53&lt;&gt;"",H53&lt;&gt;"",I53&lt;&gt;""),"Да","Нет"))</x:f>
      </x:c>
      <x:c r="K53" s="32" t="str">
        <x:f>IF(A53="","",ROUND((COUNTA(E53:I53)/5)*100,0))</x:f>
      </x:c>
      <x:c r="L53" s="32" t="str">
        <x:f>IF(A53="","",IF(K53&gt;=80,"Готово",IF(K53&gt;=50,"Нужно дополнить","Черновик")))</x:f>
      </x:c>
      <x:c r="M53" s="32"/>
    </x:row>
    <x:row r="54" ht="42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 t="str">
        <x:f>IF(A54="","",IF(AND(E54&lt;&gt;"",F54&lt;&gt;"",H54&lt;&gt;"",I54&lt;&gt;""),"Да","Нет"))</x:f>
      </x:c>
      <x:c r="K54" s="32" t="str">
        <x:f>IF(A54="","",ROUND((COUNTA(E54:I54)/5)*100,0))</x:f>
      </x:c>
      <x:c r="L54" s="32" t="str">
        <x:f>IF(A54="","",IF(K54&gt;=80,"Готово",IF(K54&gt;=50,"Нужно дополнить","Черновик")))</x:f>
      </x:c>
      <x:c r="M54" s="32"/>
    </x:row>
    <x:row r="55" ht="42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 t="str">
        <x:f>IF(A55="","",IF(AND(E55&lt;&gt;"",F55&lt;&gt;"",H55&lt;&gt;"",I55&lt;&gt;""),"Да","Нет"))</x:f>
      </x:c>
      <x:c r="K55" s="32" t="str">
        <x:f>IF(A55="","",ROUND((COUNTA(E55:I55)/5)*100,0))</x:f>
      </x:c>
      <x:c r="L55" s="32" t="str">
        <x:f>IF(A55="","",IF(K55&gt;=80,"Готово",IF(K55&gt;=50,"Нужно дополнить","Черновик")))</x:f>
      </x:c>
      <x:c r="M55" s="32"/>
    </x:row>
    <x:row r="56" ht="42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 t="str">
        <x:f>IF(A56="","",IF(AND(E56&lt;&gt;"",F56&lt;&gt;"",H56&lt;&gt;"",I56&lt;&gt;""),"Да","Нет"))</x:f>
      </x:c>
      <x:c r="K56" s="32" t="str">
        <x:f>IF(A56="","",ROUND((COUNTA(E56:I56)/5)*100,0))</x:f>
      </x:c>
      <x:c r="L56" s="32" t="str">
        <x:f>IF(A56="","",IF(K56&gt;=80,"Готово",IF(K56&gt;=50,"Нужно дополнить","Черновик")))</x:f>
      </x:c>
      <x:c r="M56" s="32"/>
    </x:row>
    <x:row r="57" ht="42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 t="str">
        <x:f>IF(A57="","",IF(AND(E57&lt;&gt;"",F57&lt;&gt;"",H57&lt;&gt;"",I57&lt;&gt;""),"Да","Нет"))</x:f>
      </x:c>
      <x:c r="K57" s="32" t="str">
        <x:f>IF(A57="","",ROUND((COUNTA(E57:I57)/5)*100,0))</x:f>
      </x:c>
      <x:c r="L57" s="32" t="str">
        <x:f>IF(A57="","",IF(K57&gt;=80,"Готово",IF(K57&gt;=50,"Нужно дополнить","Черновик")))</x:f>
      </x:c>
      <x:c r="M57" s="32"/>
    </x:row>
    <x:row r="58" ht="42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 t="str">
        <x:f>IF(A58="","",IF(AND(E58&lt;&gt;"",F58&lt;&gt;"",H58&lt;&gt;"",I58&lt;&gt;""),"Да","Нет"))</x:f>
      </x:c>
      <x:c r="K58" s="32" t="str">
        <x:f>IF(A58="","",ROUND((COUNTA(E58:I58)/5)*100,0))</x:f>
      </x:c>
      <x:c r="L58" s="32" t="str">
        <x:f>IF(A58="","",IF(K58&gt;=80,"Готово",IF(K58&gt;=50,"Нужно дополнить","Черновик")))</x:f>
      </x:c>
      <x:c r="M58" s="32"/>
    </x:row>
    <x:row r="59" ht="42" customHeight="1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 t="str">
        <x:f>IF(A59="","",IF(AND(E59&lt;&gt;"",F59&lt;&gt;"",H59&lt;&gt;"",I59&lt;&gt;""),"Да","Нет"))</x:f>
      </x:c>
      <x:c r="K59" s="32" t="str">
        <x:f>IF(A59="","",ROUND((COUNTA(E59:I59)/5)*100,0))</x:f>
      </x:c>
      <x:c r="L59" s="32" t="str">
        <x:f>IF(A59="","",IF(K59&gt;=80,"Готово",IF(K59&gt;=50,"Нужно дополнить","Черновик")))</x:f>
      </x:c>
      <x:c r="M59" s="32"/>
    </x:row>
    <x:row r="60" ht="42" customHeight="1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 t="str">
        <x:f>IF(A60="","",IF(AND(E60&lt;&gt;"",F60&lt;&gt;"",H60&lt;&gt;"",I60&lt;&gt;""),"Да","Нет"))</x:f>
      </x:c>
      <x:c r="K60" s="32" t="str">
        <x:f>IF(A60="","",ROUND((COUNTA(E60:I60)/5)*100,0))</x:f>
      </x:c>
      <x:c r="L60" s="32" t="str">
        <x:f>IF(A60="","",IF(K60&gt;=80,"Готово",IF(K60&gt;=50,"Нужно дополнить","Черновик")))</x:f>
      </x:c>
      <x:c r="M60" s="32"/>
    </x:row>
    <x:row r="61" ht="42" customHeight="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 t="str">
        <x:f>IF(A61="","",IF(AND(E61&lt;&gt;"",F61&lt;&gt;"",H61&lt;&gt;"",I61&lt;&gt;""),"Да","Нет"))</x:f>
      </x:c>
      <x:c r="K61" s="32" t="str">
        <x:f>IF(A61="","",ROUND((COUNTA(E61:I61)/5)*100,0))</x:f>
      </x:c>
      <x:c r="L61" s="32" t="str">
        <x:f>IF(A61="","",IF(K61&gt;=80,"Готово",IF(K61&gt;=50,"Нужно дополнить","Черновик")))</x:f>
      </x:c>
      <x:c r="M61" s="32"/>
    </x:row>
    <x:row r="62" ht="42" customHeight="1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 t="str">
        <x:f>IF(A62="","",IF(AND(E62&lt;&gt;"",F62&lt;&gt;"",H62&lt;&gt;"",I62&lt;&gt;""),"Да","Нет"))</x:f>
      </x:c>
      <x:c r="K62" s="32" t="str">
        <x:f>IF(A62="","",ROUND((COUNTA(E62:I62)/5)*100,0))</x:f>
      </x:c>
      <x:c r="L62" s="32" t="str">
        <x:f>IF(A62="","",IF(K62&gt;=80,"Готово",IF(K62&gt;=50,"Нужно дополнить","Черновик")))</x:f>
      </x:c>
      <x:c r="M62" s="32"/>
    </x:row>
    <x:row r="63" ht="42" customHeight="1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 t="str">
        <x:f>IF(A63="","",IF(AND(E63&lt;&gt;"",F63&lt;&gt;"",H63&lt;&gt;"",I63&lt;&gt;""),"Да","Нет"))</x:f>
      </x:c>
      <x:c r="K63" s="32" t="str">
        <x:f>IF(A63="","",ROUND((COUNTA(E63:I63)/5)*100,0))</x:f>
      </x:c>
      <x:c r="L63" s="32" t="str">
        <x:f>IF(A63="","",IF(K63&gt;=80,"Готово",IF(K63&gt;=50,"Нужно дополнить","Черновик")))</x:f>
      </x:c>
      <x:c r="M63" s="32"/>
    </x:row>
    <x:row r="64" ht="42" customHeight="1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 t="str">
        <x:f>IF(A64="","",IF(AND(E64&lt;&gt;"",F64&lt;&gt;"",H64&lt;&gt;"",I64&lt;&gt;""),"Да","Нет"))</x:f>
      </x:c>
      <x:c r="K64" s="32" t="str">
        <x:f>IF(A64="","",ROUND((COUNTA(E64:I64)/5)*100,0))</x:f>
      </x:c>
      <x:c r="L64" s="32" t="str">
        <x:f>IF(A64="","",IF(K64&gt;=80,"Готово",IF(K64&gt;=50,"Нужно дополнить","Черновик")))</x:f>
      </x:c>
      <x:c r="M64" s="32"/>
    </x:row>
    <x:row r="65" ht="42" customHeight="1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 t="str">
        <x:f>IF(A65="","",IF(AND(E65&lt;&gt;"",F65&lt;&gt;"",H65&lt;&gt;"",I65&lt;&gt;""),"Да","Нет"))</x:f>
      </x:c>
      <x:c r="K65" s="32" t="str">
        <x:f>IF(A65="","",ROUND((COUNTA(E65:I65)/5)*100,0))</x:f>
      </x:c>
      <x:c r="L65" s="32" t="str">
        <x:f>IF(A65="","",IF(K65&gt;=80,"Готово",IF(K65&gt;=50,"Нужно дополнить","Черновик")))</x:f>
      </x:c>
      <x:c r="M65" s="32"/>
    </x:row>
    <x:row r="66" ht="42" customHeight="1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 t="str">
        <x:f>IF(A66="","",IF(AND(E66&lt;&gt;"",F66&lt;&gt;"",H66&lt;&gt;"",I66&lt;&gt;""),"Да","Нет"))</x:f>
      </x:c>
      <x:c r="K66" s="32" t="str">
        <x:f>IF(A66="","",ROUND((COUNTA(E66:I66)/5)*100,0))</x:f>
      </x:c>
      <x:c r="L66" s="32" t="str">
        <x:f>IF(A66="","",IF(K66&gt;=80,"Готово",IF(K66&gt;=50,"Нужно дополнить","Черновик")))</x:f>
      </x:c>
      <x:c r="M66" s="32"/>
    </x:row>
    <x:row r="67" ht="42" customHeight="1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 t="str">
        <x:f>IF(A67="","",IF(AND(E67&lt;&gt;"",F67&lt;&gt;"",H67&lt;&gt;"",I67&lt;&gt;""),"Да","Нет"))</x:f>
      </x:c>
      <x:c r="K67" s="32" t="str">
        <x:f>IF(A67="","",ROUND((COUNTA(E67:I67)/5)*100,0))</x:f>
      </x:c>
      <x:c r="L67" s="32" t="str">
        <x:f>IF(A67="","",IF(K67&gt;=80,"Готово",IF(K67&gt;=50,"Нужно дополнить","Черновик")))</x:f>
      </x:c>
      <x:c r="M67" s="32"/>
    </x:row>
    <x:row r="68" ht="42" customHeight="1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 t="str">
        <x:f>IF(A68="","",IF(AND(E68&lt;&gt;"",F68&lt;&gt;"",H68&lt;&gt;"",I68&lt;&gt;""),"Да","Нет"))</x:f>
      </x:c>
      <x:c r="K68" s="32" t="str">
        <x:f>IF(A68="","",ROUND((COUNTA(E68:I68)/5)*100,0))</x:f>
      </x:c>
      <x:c r="L68" s="32" t="str">
        <x:f>IF(A68="","",IF(K68&gt;=80,"Готово",IF(K68&gt;=50,"Нужно дополнить","Черновик")))</x:f>
      </x:c>
      <x:c r="M68" s="32"/>
    </x:row>
    <x:row r="69" ht="42" customHeight="1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 t="str">
        <x:f>IF(A69="","",IF(AND(E69&lt;&gt;"",F69&lt;&gt;"",H69&lt;&gt;"",I69&lt;&gt;""),"Да","Нет"))</x:f>
      </x:c>
      <x:c r="K69" s="32" t="str">
        <x:f>IF(A69="","",ROUND((COUNTA(E69:I69)/5)*100,0))</x:f>
      </x:c>
      <x:c r="L69" s="32" t="str">
        <x:f>IF(A69="","",IF(K69&gt;=80,"Готово",IF(K69&gt;=50,"Нужно дополнить","Черновик")))</x:f>
      </x:c>
      <x:c r="M69" s="32"/>
    </x:row>
    <x:row r="70" ht="42" customHeight="1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 t="str">
        <x:f>IF(A70="","",IF(AND(E70&lt;&gt;"",F70&lt;&gt;"",H70&lt;&gt;"",I70&lt;&gt;""),"Да","Нет"))</x:f>
      </x:c>
      <x:c r="K70" s="32" t="str">
        <x:f>IF(A70="","",ROUND((COUNTA(E70:I70)/5)*100,0))</x:f>
      </x:c>
      <x:c r="L70" s="32" t="str">
        <x:f>IF(A70="","",IF(K70&gt;=80,"Готово",IF(K70&gt;=50,"Нужно дополнить","Черновик")))</x:f>
      </x:c>
      <x:c r="M70" s="32"/>
    </x:row>
    <x:row r="71" ht="42" customHeight="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 t="str">
        <x:f>IF(A71="","",IF(AND(E71&lt;&gt;"",F71&lt;&gt;"",H71&lt;&gt;"",I71&lt;&gt;""),"Да","Нет"))</x:f>
      </x:c>
      <x:c r="K71" s="32" t="str">
        <x:f>IF(A71="","",ROUND((COUNTA(E71:I71)/5)*100,0))</x:f>
      </x:c>
      <x:c r="L71" s="32" t="str">
        <x:f>IF(A71="","",IF(K71&gt;=80,"Готово",IF(K71&gt;=50,"Нужно дополнить","Черновик")))</x:f>
      </x:c>
      <x:c r="M71" s="32"/>
    </x:row>
    <x:row r="72" ht="42" customHeight="1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 t="str">
        <x:f>IF(A72="","",IF(AND(E72&lt;&gt;"",F72&lt;&gt;"",H72&lt;&gt;"",I72&lt;&gt;""),"Да","Нет"))</x:f>
      </x:c>
      <x:c r="K72" s="32" t="str">
        <x:f>IF(A72="","",ROUND((COUNTA(E72:I72)/5)*100,0))</x:f>
      </x:c>
      <x:c r="L72" s="32" t="str">
        <x:f>IF(A72="","",IF(K72&gt;=80,"Готово",IF(K72&gt;=50,"Нужно дополнить","Черновик")))</x:f>
      </x:c>
      <x:c r="M72" s="32"/>
    </x:row>
    <x:row r="73" ht="42" customHeight="1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 t="str">
        <x:f>IF(A73="","",IF(AND(E73&lt;&gt;"",F73&lt;&gt;"",H73&lt;&gt;"",I73&lt;&gt;""),"Да","Нет"))</x:f>
      </x:c>
      <x:c r="K73" s="32" t="str">
        <x:f>IF(A73="","",ROUND((COUNTA(E73:I73)/5)*100,0))</x:f>
      </x:c>
      <x:c r="L73" s="32" t="str">
        <x:f>IF(A73="","",IF(K73&gt;=80,"Готово",IF(K73&gt;=50,"Нужно дополнить","Черновик")))</x:f>
      </x:c>
      <x:c r="M73" s="32"/>
    </x:row>
    <x:row r="74" ht="42" customHeight="1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 t="str">
        <x:f>IF(A74="","",IF(AND(E74&lt;&gt;"",F74&lt;&gt;"",H74&lt;&gt;"",I74&lt;&gt;""),"Да","Нет"))</x:f>
      </x:c>
      <x:c r="K74" s="32" t="str">
        <x:f>IF(A74="","",ROUND((COUNTA(E74:I74)/5)*100,0))</x:f>
      </x:c>
      <x:c r="L74" s="32" t="str">
        <x:f>IF(A74="","",IF(K74&gt;=80,"Готово",IF(K74&gt;=50,"Нужно дополнить","Черновик")))</x:f>
      </x:c>
      <x:c r="M74" s="32"/>
    </x:row>
    <x:row r="75" ht="42" customHeight="1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 t="str">
        <x:f>IF(A75="","",IF(AND(E75&lt;&gt;"",F75&lt;&gt;"",H75&lt;&gt;"",I75&lt;&gt;""),"Да","Нет"))</x:f>
      </x:c>
      <x:c r="K75" s="32" t="str">
        <x:f>IF(A75="","",ROUND((COUNTA(E75:I75)/5)*100,0))</x:f>
      </x:c>
      <x:c r="L75" s="32" t="str">
        <x:f>IF(A75="","",IF(K75&gt;=80,"Готово",IF(K75&gt;=50,"Нужно дополнить","Черновик")))</x:f>
      </x:c>
      <x:c r="M75" s="32"/>
    </x:row>
    <x:row r="76" ht="42" customHeight="1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 t="str">
        <x:f>IF(A76="","",IF(AND(E76&lt;&gt;"",F76&lt;&gt;"",H76&lt;&gt;"",I76&lt;&gt;""),"Да","Нет"))</x:f>
      </x:c>
      <x:c r="K76" s="32" t="str">
        <x:f>IF(A76="","",ROUND((COUNTA(E76:I76)/5)*100,0))</x:f>
      </x:c>
      <x:c r="L76" s="32" t="str">
        <x:f>IF(A76="","",IF(K76&gt;=80,"Готово",IF(K76&gt;=50,"Нужно дополнить","Черновик")))</x:f>
      </x:c>
      <x:c r="M76" s="32"/>
    </x:row>
    <x:row r="77" ht="42" customHeight="1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 t="str">
        <x:f>IF(A77="","",IF(AND(E77&lt;&gt;"",F77&lt;&gt;"",H77&lt;&gt;"",I77&lt;&gt;""),"Да","Нет"))</x:f>
      </x:c>
      <x:c r="K77" s="32" t="str">
        <x:f>IF(A77="","",ROUND((COUNTA(E77:I77)/5)*100,0))</x:f>
      </x:c>
      <x:c r="L77" s="32" t="str">
        <x:f>IF(A77="","",IF(K77&gt;=80,"Готово",IF(K77&gt;=50,"Нужно дополнить","Черновик")))</x:f>
      </x:c>
      <x:c r="M77" s="32"/>
    </x:row>
    <x:row r="78" ht="42" customHeight="1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 t="str">
        <x:f>IF(A78="","",IF(AND(E78&lt;&gt;"",F78&lt;&gt;"",H78&lt;&gt;"",I78&lt;&gt;""),"Да","Нет"))</x:f>
      </x:c>
      <x:c r="K78" s="32" t="str">
        <x:f>IF(A78="","",ROUND((COUNTA(E78:I78)/5)*100,0))</x:f>
      </x:c>
      <x:c r="L78" s="32" t="str">
        <x:f>IF(A78="","",IF(K78&gt;=80,"Готово",IF(K78&gt;=50,"Нужно дополнить","Черновик")))</x:f>
      </x:c>
      <x:c r="M78" s="32"/>
    </x:row>
    <x:row r="79" ht="42" customHeight="1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 t="str">
        <x:f>IF(A79="","",IF(AND(E79&lt;&gt;"",F79&lt;&gt;"",H79&lt;&gt;"",I79&lt;&gt;""),"Да","Нет"))</x:f>
      </x:c>
      <x:c r="K79" s="32" t="str">
        <x:f>IF(A79="","",ROUND((COUNTA(E79:I79)/5)*100,0))</x:f>
      </x:c>
      <x:c r="L79" s="32" t="str">
        <x:f>IF(A79="","",IF(K79&gt;=80,"Готово",IF(K79&gt;=50,"Нужно дополнить","Черновик")))</x:f>
      </x:c>
      <x:c r="M79" s="32"/>
    </x:row>
    <x:row r="80" ht="42" customHeight="1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 t="str">
        <x:f>IF(A80="","",IF(AND(E80&lt;&gt;"",F80&lt;&gt;"",H80&lt;&gt;"",I80&lt;&gt;""),"Да","Нет"))</x:f>
      </x:c>
      <x:c r="K80" s="32" t="str">
        <x:f>IF(A80="","",ROUND((COUNTA(E80:I80)/5)*100,0))</x:f>
      </x:c>
      <x:c r="L80" s="32" t="str">
        <x:f>IF(A80="","",IF(K80&gt;=80,"Готово",IF(K80&gt;=50,"Нужно дополнить","Черновик")))</x:f>
      </x:c>
      <x:c r="M80" s="32"/>
    </x:row>
    <x:row r="81" ht="42" customHeight="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 t="str">
        <x:f>IF(A81="","",IF(AND(E81&lt;&gt;"",F81&lt;&gt;"",H81&lt;&gt;"",I81&lt;&gt;""),"Да","Нет"))</x:f>
      </x:c>
      <x:c r="K81" s="32" t="str">
        <x:f>IF(A81="","",ROUND((COUNTA(E81:I81)/5)*100,0))</x:f>
      </x:c>
      <x:c r="L81" s="32" t="str">
        <x:f>IF(A81="","",IF(K81&gt;=80,"Готово",IF(K81&gt;=50,"Нужно дополнить","Черновик")))</x:f>
      </x:c>
      <x:c r="M81" s="32"/>
    </x:row>
    <x:row r="82" ht="42" customHeight="1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 t="str">
        <x:f>IF(A82="","",IF(AND(E82&lt;&gt;"",F82&lt;&gt;"",H82&lt;&gt;"",I82&lt;&gt;""),"Да","Нет"))</x:f>
      </x:c>
      <x:c r="K82" s="32" t="str">
        <x:f>IF(A82="","",ROUND((COUNTA(E82:I82)/5)*100,0))</x:f>
      </x:c>
      <x:c r="L82" s="32" t="str">
        <x:f>IF(A82="","",IF(K82&gt;=80,"Готово",IF(K82&gt;=50,"Нужно дополнить","Черновик")))</x:f>
      </x:c>
      <x:c r="M82" s="32"/>
    </x:row>
    <x:row r="83" ht="42" customHeight="1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 t="str">
        <x:f>IF(A83="","",IF(AND(E83&lt;&gt;"",F83&lt;&gt;"",H83&lt;&gt;"",I83&lt;&gt;""),"Да","Нет"))</x:f>
      </x:c>
      <x:c r="K83" s="32" t="str">
        <x:f>IF(A83="","",ROUND((COUNTA(E83:I83)/5)*100,0))</x:f>
      </x:c>
      <x:c r="L83" s="32" t="str">
        <x:f>IF(A83="","",IF(K83&gt;=80,"Готово",IF(K83&gt;=50,"Нужно дополнить","Черновик")))</x:f>
      </x:c>
      <x:c r="M83" s="32"/>
    </x:row>
    <x:row r="84" ht="42" customHeight="1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 t="str">
        <x:f>IF(A84="","",IF(AND(E84&lt;&gt;"",F84&lt;&gt;"",H84&lt;&gt;"",I84&lt;&gt;""),"Да","Нет"))</x:f>
      </x:c>
      <x:c r="K84" s="32" t="str">
        <x:f>IF(A84="","",ROUND((COUNTA(E84:I84)/5)*100,0))</x:f>
      </x:c>
      <x:c r="L84" s="32" t="str">
        <x:f>IF(A84="","",IF(K84&gt;=80,"Готово",IF(K84&gt;=50,"Нужно дополнить","Черновик")))</x:f>
      </x:c>
      <x:c r="M84" s="32"/>
    </x:row>
    <x:row r="85" ht="42" customHeight="1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 t="str">
        <x:f>IF(A85="","",IF(AND(E85&lt;&gt;"",F85&lt;&gt;"",H85&lt;&gt;"",I85&lt;&gt;""),"Да","Нет"))</x:f>
      </x:c>
      <x:c r="K85" s="32" t="str">
        <x:f>IF(A85="","",ROUND((COUNTA(E85:I85)/5)*100,0))</x:f>
      </x:c>
      <x:c r="L85" s="32" t="str">
        <x:f>IF(A85="","",IF(K85&gt;=80,"Готово",IF(K85&gt;=50,"Нужно дополнить","Черновик")))</x:f>
      </x:c>
      <x:c r="M85" s="32"/>
    </x:row>
    <x:row r="86" ht="42" customHeight="1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 t="str">
        <x:f>IF(A86="","",IF(AND(E86&lt;&gt;"",F86&lt;&gt;"",H86&lt;&gt;"",I86&lt;&gt;""),"Да","Нет"))</x:f>
      </x:c>
      <x:c r="K86" s="32" t="str">
        <x:f>IF(A86="","",ROUND((COUNTA(E86:I86)/5)*100,0))</x:f>
      </x:c>
      <x:c r="L86" s="32" t="str">
        <x:f>IF(A86="","",IF(K86&gt;=80,"Готово",IF(K86&gt;=50,"Нужно дополнить","Черновик")))</x:f>
      </x:c>
      <x:c r="M86" s="32"/>
    </x:row>
    <x:row r="87" ht="42" customHeight="1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 t="str">
        <x:f>IF(A87="","",IF(AND(E87&lt;&gt;"",F87&lt;&gt;"",H87&lt;&gt;"",I87&lt;&gt;""),"Да","Нет"))</x:f>
      </x:c>
      <x:c r="K87" s="32" t="str">
        <x:f>IF(A87="","",ROUND((COUNTA(E87:I87)/5)*100,0))</x:f>
      </x:c>
      <x:c r="L87" s="32" t="str">
        <x:f>IF(A87="","",IF(K87&gt;=80,"Готово",IF(K87&gt;=50,"Нужно дополнить","Черновик")))</x:f>
      </x:c>
      <x:c r="M87" s="32"/>
    </x:row>
    <x:row r="88" ht="42" customHeight="1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 t="str">
        <x:f>IF(A88="","",IF(AND(E88&lt;&gt;"",F88&lt;&gt;"",H88&lt;&gt;"",I88&lt;&gt;""),"Да","Нет"))</x:f>
      </x:c>
      <x:c r="K88" s="32" t="str">
        <x:f>IF(A88="","",ROUND((COUNTA(E88:I88)/5)*100,0))</x:f>
      </x:c>
      <x:c r="L88" s="32" t="str">
        <x:f>IF(A88="","",IF(K88&gt;=80,"Готово",IF(K88&gt;=50,"Нужно дополнить","Черновик")))</x:f>
      </x:c>
      <x:c r="M88" s="32"/>
    </x:row>
    <x:row r="89" ht="42" customHeight="1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 t="str">
        <x:f>IF(A89="","",IF(AND(E89&lt;&gt;"",F89&lt;&gt;"",H89&lt;&gt;"",I89&lt;&gt;""),"Да","Нет"))</x:f>
      </x:c>
      <x:c r="K89" s="32" t="str">
        <x:f>IF(A89="","",ROUND((COUNTA(E89:I89)/5)*100,0))</x:f>
      </x:c>
      <x:c r="L89" s="32" t="str">
        <x:f>IF(A89="","",IF(K89&gt;=80,"Готово",IF(K89&gt;=50,"Нужно дополнить","Черновик")))</x:f>
      </x:c>
      <x:c r="M89" s="32"/>
    </x:row>
    <x:row r="90" ht="42" customHeight="1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 t="str">
        <x:f>IF(A90="","",IF(AND(E90&lt;&gt;"",F90&lt;&gt;"",H90&lt;&gt;"",I90&lt;&gt;""),"Да","Нет"))</x:f>
      </x:c>
      <x:c r="K90" s="32" t="str">
        <x:f>IF(A90="","",ROUND((COUNTA(E90:I90)/5)*100,0))</x:f>
      </x:c>
      <x:c r="L90" s="32" t="str">
        <x:f>IF(A90="","",IF(K90&gt;=80,"Готово",IF(K90&gt;=50,"Нужно дополнить","Черновик")))</x:f>
      </x:c>
      <x:c r="M90" s="32"/>
    </x:row>
    <x:row r="91" ht="42" customHeight="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 t="str">
        <x:f>IF(A91="","",IF(AND(E91&lt;&gt;"",F91&lt;&gt;"",H91&lt;&gt;"",I91&lt;&gt;""),"Да","Нет"))</x:f>
      </x:c>
      <x:c r="K91" s="32" t="str">
        <x:f>IF(A91="","",ROUND((COUNTA(E91:I91)/5)*100,0))</x:f>
      </x:c>
      <x:c r="L91" s="32" t="str">
        <x:f>IF(A91="","",IF(K91&gt;=80,"Готово",IF(K91&gt;=50,"Нужно дополнить","Черновик")))</x:f>
      </x:c>
      <x:c r="M91" s="32"/>
    </x:row>
    <x:row r="92" ht="42" customHeight="1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 t="str">
        <x:f>IF(A92="","",IF(AND(E92&lt;&gt;"",F92&lt;&gt;"",H92&lt;&gt;"",I92&lt;&gt;""),"Да","Нет"))</x:f>
      </x:c>
      <x:c r="K92" s="32" t="str">
        <x:f>IF(A92="","",ROUND((COUNTA(E92:I92)/5)*100,0))</x:f>
      </x:c>
      <x:c r="L92" s="32" t="str">
        <x:f>IF(A92="","",IF(K92&gt;=80,"Готово",IF(K92&gt;=50,"Нужно дополнить","Черновик")))</x:f>
      </x:c>
      <x:c r="M92" s="32"/>
    </x:row>
    <x:row r="93" ht="42" customHeight="1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 t="str">
        <x:f>IF(A93="","",IF(AND(E93&lt;&gt;"",F93&lt;&gt;"",H93&lt;&gt;"",I93&lt;&gt;""),"Да","Нет"))</x:f>
      </x:c>
      <x:c r="K93" s="32" t="str">
        <x:f>IF(A93="","",ROUND((COUNTA(E93:I93)/5)*100,0))</x:f>
      </x:c>
      <x:c r="L93" s="32" t="str">
        <x:f>IF(A93="","",IF(K93&gt;=80,"Готово",IF(K93&gt;=50,"Нужно дополнить","Черновик")))</x:f>
      </x:c>
      <x:c r="M93" s="32"/>
    </x:row>
    <x:row r="94" ht="42" customHeight="1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 t="str">
        <x:f>IF(A94="","",IF(AND(E94&lt;&gt;"",F94&lt;&gt;"",H94&lt;&gt;"",I94&lt;&gt;""),"Да","Нет"))</x:f>
      </x:c>
      <x:c r="K94" s="32" t="str">
        <x:f>IF(A94="","",ROUND((COUNTA(E94:I94)/5)*100,0))</x:f>
      </x:c>
      <x:c r="L94" s="32" t="str">
        <x:f>IF(A94="","",IF(K94&gt;=80,"Готово",IF(K94&gt;=50,"Нужно дополнить","Черновик")))</x:f>
      </x:c>
      <x:c r="M94" s="32"/>
    </x:row>
    <x:row r="95" ht="42" customHeight="1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 t="str">
        <x:f>IF(A95="","",IF(AND(E95&lt;&gt;"",F95&lt;&gt;"",H95&lt;&gt;"",I95&lt;&gt;""),"Да","Нет"))</x:f>
      </x:c>
      <x:c r="K95" s="32" t="str">
        <x:f>IF(A95="","",ROUND((COUNTA(E95:I95)/5)*100,0))</x:f>
      </x:c>
      <x:c r="L95" s="32" t="str">
        <x:f>IF(A95="","",IF(K95&gt;=80,"Готово",IF(K95&gt;=50,"Нужно дополнить","Черновик")))</x:f>
      </x:c>
      <x:c r="M95" s="32"/>
    </x:row>
    <x:row r="96" ht="42" customHeight="1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 t="str">
        <x:f>IF(A96="","",IF(AND(E96&lt;&gt;"",F96&lt;&gt;"",H96&lt;&gt;"",I96&lt;&gt;""),"Да","Нет"))</x:f>
      </x:c>
      <x:c r="K96" s="32" t="str">
        <x:f>IF(A96="","",ROUND((COUNTA(E96:I96)/5)*100,0))</x:f>
      </x:c>
      <x:c r="L96" s="32" t="str">
        <x:f>IF(A96="","",IF(K96&gt;=80,"Готово",IF(K96&gt;=50,"Нужно дополнить","Черновик")))</x:f>
      </x:c>
      <x:c r="M96" s="32"/>
    </x:row>
    <x:row r="97" ht="42" customHeight="1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 t="str">
        <x:f>IF(A97="","",IF(AND(E97&lt;&gt;"",F97&lt;&gt;"",H97&lt;&gt;"",I97&lt;&gt;""),"Да","Нет"))</x:f>
      </x:c>
      <x:c r="K97" s="32" t="str">
        <x:f>IF(A97="","",ROUND((COUNTA(E97:I97)/5)*100,0))</x:f>
      </x:c>
      <x:c r="L97" s="32" t="str">
        <x:f>IF(A97="","",IF(K97&gt;=80,"Готово",IF(K97&gt;=50,"Нужно дополнить","Черновик")))</x:f>
      </x:c>
      <x:c r="M97" s="32"/>
    </x:row>
    <x:row r="98" ht="42" customHeight="1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 t="str">
        <x:f>IF(A98="","",IF(AND(E98&lt;&gt;"",F98&lt;&gt;"",H98&lt;&gt;"",I98&lt;&gt;""),"Да","Нет"))</x:f>
      </x:c>
      <x:c r="K98" s="32" t="str">
        <x:f>IF(A98="","",ROUND((COUNTA(E98:I98)/5)*100,0))</x:f>
      </x:c>
      <x:c r="L98" s="32" t="str">
        <x:f>IF(A98="","",IF(K98&gt;=80,"Готово",IF(K98&gt;=50,"Нужно дополнить","Черновик")))</x:f>
      </x:c>
      <x:c r="M98" s="32"/>
    </x:row>
    <x:row r="99" ht="42" customHeight="1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 t="str">
        <x:f>IF(A99="","",IF(AND(E99&lt;&gt;"",F99&lt;&gt;"",H99&lt;&gt;"",I99&lt;&gt;""),"Да","Нет"))</x:f>
      </x:c>
      <x:c r="K99" s="32" t="str">
        <x:f>IF(A99="","",ROUND((COUNTA(E99:I99)/5)*100,0))</x:f>
      </x:c>
      <x:c r="L99" s="32" t="str">
        <x:f>IF(A99="","",IF(K99&gt;=80,"Готово",IF(K99&gt;=50,"Нужно дополнить","Черновик")))</x:f>
      </x:c>
      <x:c r="M99" s="32"/>
    </x:row>
    <x:row r="100" ht="42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 t="str">
        <x:f>IF(A100="","",IF(AND(E100&lt;&gt;"",F100&lt;&gt;"",H100&lt;&gt;"",I100&lt;&gt;""),"Да","Нет"))</x:f>
      </x:c>
      <x:c r="K100" s="32" t="str">
        <x:f>IF(A100="","",ROUND((COUNTA(E100:I100)/5)*100,0))</x:f>
      </x:c>
      <x:c r="L100" s="32" t="str">
        <x:f>IF(A100="","",IF(K100&gt;=80,"Готово",IF(K100&gt;=50,"Нужно дополнить","Черновик")))</x:f>
      </x:c>
      <x:c r="M100" s="32"/>
    </x:row>
    <x:row r="101" ht="42" customHeight="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 t="str">
        <x:f>IF(A101="","",IF(AND(E101&lt;&gt;"",F101&lt;&gt;"",H101&lt;&gt;"",I101&lt;&gt;""),"Да","Нет"))</x:f>
      </x:c>
      <x:c r="K101" s="32" t="str">
        <x:f>IF(A101="","",ROUND((COUNTA(E101:I101)/5)*100,0))</x:f>
      </x:c>
      <x:c r="L101" s="32" t="str">
        <x:f>IF(A101="","",IF(K101&gt;=80,"Готово",IF(K101&gt;=50,"Нужно дополнить","Черновик")))</x:f>
      </x:c>
      <x:c r="M101" s="32"/>
    </x:row>
    <x:row r="102" ht="42" customHeight="1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 t="str">
        <x:f>IF(A102="","",IF(AND(E102&lt;&gt;"",F102&lt;&gt;"",H102&lt;&gt;"",I102&lt;&gt;""),"Да","Нет"))</x:f>
      </x:c>
      <x:c r="K102" s="32" t="str">
        <x:f>IF(A102="","",ROUND((COUNTA(E102:I102)/5)*100,0))</x:f>
      </x:c>
      <x:c r="L102" s="32" t="str">
        <x:f>IF(A102="","",IF(K102&gt;=80,"Готово",IF(K102&gt;=50,"Нужно дополнить","Черновик")))</x:f>
      </x:c>
      <x:c r="M102" s="32"/>
    </x:row>
    <x:row r="103" ht="42" customHeight="1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 t="str">
        <x:f>IF(A103="","",IF(AND(E103&lt;&gt;"",F103&lt;&gt;"",H103&lt;&gt;"",I103&lt;&gt;""),"Да","Нет"))</x:f>
      </x:c>
      <x:c r="K103" s="32" t="str">
        <x:f>IF(A103="","",ROUND((COUNTA(E103:I103)/5)*100,0))</x:f>
      </x:c>
      <x:c r="L103" s="32" t="str">
        <x:f>IF(A103="","",IF(K103&gt;=80,"Готово",IF(K103&gt;=50,"Нужно дополнить","Черновик")))</x:f>
      </x:c>
      <x:c r="M103" s="32"/>
    </x:row>
    <x:row r="104" ht="42" customHeight="1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 t="str">
        <x:f>IF(A104="","",IF(AND(E104&lt;&gt;"",F104&lt;&gt;"",H104&lt;&gt;"",I104&lt;&gt;""),"Да","Нет"))</x:f>
      </x:c>
      <x:c r="K104" s="32" t="str">
        <x:f>IF(A104="","",ROUND((COUNTA(E104:I104)/5)*100,0))</x:f>
      </x:c>
      <x:c r="L104" s="32" t="str">
        <x:f>IF(A104="","",IF(K104&gt;=80,"Готово",IF(K104&gt;=50,"Нужно дополнить","Черновик")))</x:f>
      </x:c>
      <x:c r="M104" s="32"/>
    </x:row>
  </x:sheetData>
  <x:mergeCells>
    <x:mergeCell ref="A1:M1"/>
    <x:mergeCell ref="A2:M2"/>
  </x:mergeCells>
  <x:conditionalFormatting sqref="K5:K104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{69F079BF-2A0E-0724-4F29-786D436DF1E4}</x14:id>
        </x:ext>
      </x:extLst>
    </x:cfRule>
  </x:conditionalFormatting>
  <x:dataValidations count="1">
    <x:dataValidation type="list" sqref="D5:D104">
      <x:formula1>'Справочники'!$F$4:$F$12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778ef4d8ab469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F079BF-2A0E-0724-4F29-786D436DF1E4}">
            <x14:dataBar gradient="1">
              <x14:cfvo type="min"/>
              <x14:cfvo type="max"/>
              <x14:fillColor rgb="70AD47"/>
            </x14:dataBar>
          </x14:cfRule>
          <xm:sqref>K5:K104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44" hidden="0" customWidth="1"/>
    <x:col min="5" max="5" width="18" hidden="0" customWidth="1"/>
    <x:col min="6" max="6" width="14" hidden="0" customWidth="1"/>
    <x:col min="7" max="7" width="18" hidden="0" customWidth="1"/>
    <x:col min="8" max="8" width="17" hidden="0" customWidth="1"/>
    <x:col min="9" max="9" width="42" hidden="0" customWidth="1"/>
    <x:col min="10" max="10" width="18" hidden="0" customWidth="1"/>
    <x:col min="11" max="11" width="18" hidden="0" customWidth="1"/>
    <x:col min="12" max="12" width="17" hidden="0" customWidth="1"/>
    <x:col min="13" max="13" width="20" hidden="0" customWidth="1"/>
    <x:col min="14" max="14" width="18" hidden="0" customWidth="1"/>
  </x:cols>
  <x:sheetData>
    <x:row r="1" ht="28" customHeight="1">
      <x:c r="A1" s="6" t="str">
        <x:v>Определение единицы монетизации</x:v>
      </x:c>
    </x:row>
    <x:row r="2" ht="34" customHeight="1">
      <x:c r="A2" s="16" t="str">
        <x:v>Единица монетизации показывает, за что именно платит клиент и как цифровой товар становится источником выручки.</x:v>
      </x:c>
    </x:row>
    <x:row r="4" ht="34" customHeight="1">
      <x:c r="A4" s="25" t="str">
        <x:v>ID монетизации</x:v>
      </x:c>
      <x:c r="B4" s="25" t="str">
        <x:v>ID товара</x:v>
      </x:c>
      <x:c r="C4" s="25" t="str">
        <x:v>Единица монетизации</x:v>
      </x:c>
      <x:c r="D4" s="25" t="str">
        <x:v>Что покупает клиент</x:v>
      </x:c>
      <x:c r="E4" s="25" t="str">
        <x:v>Периодичность</x:v>
      </x:c>
      <x:c r="F4" s="25" t="str">
        <x:v>Базовая цена</x:v>
      </x:c>
      <x:c r="G4" s="25" t="str">
        <x:v>Кол-во единиц в месяц</x:v>
      </x:c>
      <x:c r="H4" s="25" t="str">
        <x:v>Расчетная выручка</x:v>
      </x:c>
      <x:c r="I4" s="25" t="str">
        <x:v>Обоснование готовности платить</x:v>
      </x:c>
      <x:c r="J4" s="25" t="str">
        <x:v>Связь с ценностью 1–5</x:v>
      </x:c>
      <x:c r="K4" s="25" t="str">
        <x:v>Простота тарификации 1–5</x:v>
      </x:c>
      <x:c r="L4" s="25" t="str">
        <x:v>Повторяемость 1–5</x:v>
      </x:c>
      <x:c r="M4" s="25" t="str">
        <x:v>Монетизационный потенциал</x:v>
      </x:c>
      <x:c r="N4" s="25" t="str">
        <x:v>Статус</x:v>
      </x:c>
    </x:row>
    <x:row r="5" ht="42" customHeight="1">
      <x:c r="A5" s="32" t="str">
        <x:v>M-001</x:v>
      </x:c>
      <x:c r="B5" s="32" t="str">
        <x:v>PR-001</x:v>
      </x:c>
      <x:c r="C5" s="32" t="str">
        <x:v>Пользователь</x:v>
      </x:c>
      <x:c r="D5" s="32" t="str">
        <x:v>Доступ к сервису быстрого запуска и регулярному использованию функций.</x:v>
      </x:c>
      <x:c r="E5" s="32" t="str">
        <x:v>Ежемесячно</x:v>
      </x:c>
      <x:c r="F5" s="56" t="n">
        <x:v>100</x:v>
      </x:c>
      <x:c r="G5" s="56" t="n">
        <x:v>25</x:v>
      </x:c>
      <x:c r="H5" s="56" t="n">
        <x:f>IF(OR(F5="",G5=""),"",F5*G5)</x:f>
        <x:v>2500</x:v>
      </x:c>
      <x:c r="I5" s="32" t="str">
        <x:v>Проблема регулярная, есть выраженная экономия времени.</x:v>
      </x:c>
      <x:c r="J5" s="32" t="n">
        <x:v>4</x:v>
      </x:c>
      <x:c r="K5" s="32" t="n">
        <x:v>4</x:v>
      </x:c>
      <x:c r="L5" s="32" t="n">
        <x:v>4</x:v>
      </x:c>
      <x:c r="M5" s="32" t="n">
        <x:f>IF(COUNTA(J5:L5)=0,"",ROUND(((J5*0.40)+(K5*0.30)+(L5*0.30))*20,0))</x:f>
        <x:v>80</x:v>
      </x:c>
      <x:c r="N5" s="32" t="str">
        <x:f>IF(A5="","",IF(M5&gt;=80,"Готово",IF(M5&gt;=60,"Нужно дополнить",IF(M5&gt;=40,"Черновик","Отклонить"))))</x:f>
        <x:v>Готово</x:v>
      </x:c>
    </x:row>
    <x:row r="6" ht="42" customHeight="1">
      <x:c r="A6" s="32"/>
      <x:c r="B6" s="32"/>
      <x:c r="C6" s="32"/>
      <x:c r="D6" s="32"/>
      <x:c r="E6" s="32"/>
      <x:c r="F6" s="56"/>
      <x:c r="G6" s="56"/>
      <x:c r="H6" s="56" t="str">
        <x:f>IF(OR(F6="",G6=""),"",F6*G6)</x:f>
      </x:c>
      <x:c r="I6" s="32"/>
      <x:c r="J6" s="32"/>
      <x:c r="K6" s="32"/>
      <x:c r="L6" s="32"/>
      <x:c r="M6" s="32" t="str">
        <x:f>IF(COUNTA(J6:L6)=0,"",ROUND(((J6*0.40)+(K6*0.30)+(L6*0.30))*20,0))</x:f>
      </x:c>
      <x:c r="N6" s="32" t="str">
        <x:f>IF(A6="","",IF(M6&gt;=80,"Готово",IF(M6&gt;=60,"Нужно дополнить",IF(M6&gt;=40,"Черновик","Отклонить"))))</x:f>
      </x:c>
    </x:row>
    <x:row r="7" ht="42" customHeight="1">
      <x:c r="A7" s="32"/>
      <x:c r="B7" s="32"/>
      <x:c r="C7" s="32"/>
      <x:c r="D7" s="32"/>
      <x:c r="E7" s="32"/>
      <x:c r="F7" s="56"/>
      <x:c r="G7" s="56"/>
      <x:c r="H7" s="56" t="str">
        <x:f>IF(OR(F7="",G7=""),"",F7*G7)</x:f>
      </x:c>
      <x:c r="I7" s="32"/>
      <x:c r="J7" s="32"/>
      <x:c r="K7" s="32"/>
      <x:c r="L7" s="32"/>
      <x:c r="M7" s="32" t="str">
        <x:f>IF(COUNTA(J7:L7)=0,"",ROUND(((J7*0.40)+(K7*0.30)+(L7*0.30))*20,0))</x:f>
      </x:c>
      <x:c r="N7" s="32" t="str">
        <x:f>IF(A7="","",IF(M7&gt;=80,"Готово",IF(M7&gt;=60,"Нужно дополнить",IF(M7&gt;=40,"Черновик","Отклонить"))))</x:f>
      </x:c>
    </x:row>
    <x:row r="8" ht="42" customHeight="1">
      <x:c r="A8" s="32"/>
      <x:c r="B8" s="32"/>
      <x:c r="C8" s="32"/>
      <x:c r="D8" s="32"/>
      <x:c r="E8" s="32"/>
      <x:c r="F8" s="56"/>
      <x:c r="G8" s="56"/>
      <x:c r="H8" s="56" t="str">
        <x:f>IF(OR(F8="",G8=""),"",F8*G8)</x:f>
      </x:c>
      <x:c r="I8" s="32"/>
      <x:c r="J8" s="32"/>
      <x:c r="K8" s="32"/>
      <x:c r="L8" s="32"/>
      <x:c r="M8" s="32" t="str">
        <x:f>IF(COUNTA(J8:L8)=0,"",ROUND(((J8*0.40)+(K8*0.30)+(L8*0.30))*20,0))</x:f>
      </x:c>
      <x:c r="N8" s="32" t="str">
        <x:f>IF(A8="","",IF(M8&gt;=80,"Готово",IF(M8&gt;=60,"Нужно дополнить",IF(M8&gt;=40,"Черновик","Отклонить"))))</x:f>
      </x:c>
    </x:row>
    <x:row r="9" ht="42" customHeight="1">
      <x:c r="A9" s="32"/>
      <x:c r="B9" s="32"/>
      <x:c r="C9" s="32"/>
      <x:c r="D9" s="32"/>
      <x:c r="E9" s="32"/>
      <x:c r="F9" s="56"/>
      <x:c r="G9" s="56"/>
      <x:c r="H9" s="56" t="str">
        <x:f>IF(OR(F9="",G9=""),"",F9*G9)</x:f>
      </x:c>
      <x:c r="I9" s="32"/>
      <x:c r="J9" s="32"/>
      <x:c r="K9" s="32"/>
      <x:c r="L9" s="32"/>
      <x:c r="M9" s="32" t="str">
        <x:f>IF(COUNTA(J9:L9)=0,"",ROUND(((J9*0.40)+(K9*0.30)+(L9*0.30))*20,0))</x:f>
      </x:c>
      <x:c r="N9" s="32" t="str">
        <x:f>IF(A9="","",IF(M9&gt;=80,"Готово",IF(M9&gt;=60,"Нужно дополнить",IF(M9&gt;=40,"Черновик","Отклонить"))))</x:f>
      </x:c>
    </x:row>
    <x:row r="10" ht="42" customHeight="1">
      <x:c r="A10" s="32"/>
      <x:c r="B10" s="32"/>
      <x:c r="C10" s="32"/>
      <x:c r="D10" s="32"/>
      <x:c r="E10" s="32"/>
      <x:c r="F10" s="56"/>
      <x:c r="G10" s="56"/>
      <x:c r="H10" s="56" t="str">
        <x:f>IF(OR(F10="",G10=""),"",F10*G10)</x:f>
      </x:c>
      <x:c r="I10" s="32"/>
      <x:c r="J10" s="32"/>
      <x:c r="K10" s="32"/>
      <x:c r="L10" s="32"/>
      <x:c r="M10" s="32" t="str">
        <x:f>IF(COUNTA(J10:L10)=0,"",ROUND(((J10*0.40)+(K10*0.30)+(L10*0.30))*20,0))</x:f>
      </x:c>
      <x:c r="N10" s="32" t="str">
        <x:f>IF(A10="","",IF(M10&gt;=80,"Готово",IF(M10&gt;=60,"Нужно дополнить",IF(M10&gt;=40,"Черновик","Отклонить"))))</x:f>
      </x:c>
    </x:row>
    <x:row r="11" ht="42" customHeight="1">
      <x:c r="A11" s="32"/>
      <x:c r="B11" s="32"/>
      <x:c r="C11" s="32"/>
      <x:c r="D11" s="32"/>
      <x:c r="E11" s="32"/>
      <x:c r="F11" s="56"/>
      <x:c r="G11" s="56"/>
      <x:c r="H11" s="56" t="str">
        <x:f>IF(OR(F11="",G11=""),"",F11*G11)</x:f>
      </x:c>
      <x:c r="I11" s="32"/>
      <x:c r="J11" s="32"/>
      <x:c r="K11" s="32"/>
      <x:c r="L11" s="32"/>
      <x:c r="M11" s="32" t="str">
        <x:f>IF(COUNTA(J11:L11)=0,"",ROUND(((J11*0.40)+(K11*0.30)+(L11*0.30))*20,0))</x:f>
      </x:c>
      <x:c r="N11" s="32" t="str">
        <x:f>IF(A11="","",IF(M11&gt;=80,"Готово",IF(M11&gt;=60,"Нужно дополнить",IF(M11&gt;=40,"Черновик","Отклонить"))))</x:f>
      </x:c>
    </x:row>
    <x:row r="12" ht="42" customHeight="1">
      <x:c r="A12" s="32"/>
      <x:c r="B12" s="32"/>
      <x:c r="C12" s="32"/>
      <x:c r="D12" s="32"/>
      <x:c r="E12" s="32"/>
      <x:c r="F12" s="56"/>
      <x:c r="G12" s="56"/>
      <x:c r="H12" s="56" t="str">
        <x:f>IF(OR(F12="",G12=""),"",F12*G12)</x:f>
      </x:c>
      <x:c r="I12" s="32"/>
      <x:c r="J12" s="32"/>
      <x:c r="K12" s="32"/>
      <x:c r="L12" s="32"/>
      <x:c r="M12" s="32" t="str">
        <x:f>IF(COUNTA(J12:L12)=0,"",ROUND(((J12*0.40)+(K12*0.30)+(L12*0.30))*20,0))</x:f>
      </x:c>
      <x:c r="N12" s="32" t="str">
        <x:f>IF(A12="","",IF(M12&gt;=80,"Готово",IF(M12&gt;=60,"Нужно дополнить",IF(M12&gt;=40,"Черновик","Отклонить"))))</x:f>
      </x:c>
    </x:row>
    <x:row r="13" ht="42" customHeight="1">
      <x:c r="A13" s="32"/>
      <x:c r="B13" s="32"/>
      <x:c r="C13" s="32"/>
      <x:c r="D13" s="32"/>
      <x:c r="E13" s="32"/>
      <x:c r="F13" s="56"/>
      <x:c r="G13" s="56"/>
      <x:c r="H13" s="56" t="str">
        <x:f>IF(OR(F13="",G13=""),"",F13*G13)</x:f>
      </x:c>
      <x:c r="I13" s="32"/>
      <x:c r="J13" s="32"/>
      <x:c r="K13" s="32"/>
      <x:c r="L13" s="32"/>
      <x:c r="M13" s="32" t="str">
        <x:f>IF(COUNTA(J13:L13)=0,"",ROUND(((J13*0.40)+(K13*0.30)+(L13*0.30))*20,0))</x:f>
      </x:c>
      <x:c r="N13" s="32" t="str">
        <x:f>IF(A13="","",IF(M13&gt;=80,"Готово",IF(M13&gt;=60,"Нужно дополнить",IF(M13&gt;=40,"Черновик","Отклонить"))))</x:f>
      </x:c>
    </x:row>
    <x:row r="14" ht="42" customHeight="1">
      <x:c r="A14" s="32"/>
      <x:c r="B14" s="32"/>
      <x:c r="C14" s="32"/>
      <x:c r="D14" s="32"/>
      <x:c r="E14" s="32"/>
      <x:c r="F14" s="56"/>
      <x:c r="G14" s="56"/>
      <x:c r="H14" s="56" t="str">
        <x:f>IF(OR(F14="",G14=""),"",F14*G14)</x:f>
      </x:c>
      <x:c r="I14" s="32"/>
      <x:c r="J14" s="32"/>
      <x:c r="K14" s="32"/>
      <x:c r="L14" s="32"/>
      <x:c r="M14" s="32" t="str">
        <x:f>IF(COUNTA(J14:L14)=0,"",ROUND(((J14*0.40)+(K14*0.30)+(L14*0.30))*20,0))</x:f>
      </x:c>
      <x:c r="N14" s="32" t="str">
        <x:f>IF(A14="","",IF(M14&gt;=80,"Готово",IF(M14&gt;=60,"Нужно дополнить",IF(M14&gt;=40,"Черновик","Отклонить"))))</x:f>
      </x:c>
    </x:row>
    <x:row r="15" ht="42" customHeight="1">
      <x:c r="A15" s="32"/>
      <x:c r="B15" s="32"/>
      <x:c r="C15" s="32"/>
      <x:c r="D15" s="32"/>
      <x:c r="E15" s="32"/>
      <x:c r="F15" s="56"/>
      <x:c r="G15" s="56"/>
      <x:c r="H15" s="56" t="str">
        <x:f>IF(OR(F15="",G15=""),"",F15*G15)</x:f>
      </x:c>
      <x:c r="I15" s="32"/>
      <x:c r="J15" s="32"/>
      <x:c r="K15" s="32"/>
      <x:c r="L15" s="32"/>
      <x:c r="M15" s="32" t="str">
        <x:f>IF(COUNTA(J15:L15)=0,"",ROUND(((J15*0.40)+(K15*0.30)+(L15*0.30))*20,0))</x:f>
      </x:c>
      <x:c r="N15" s="32" t="str">
        <x:f>IF(A15="","",IF(M15&gt;=80,"Готово",IF(M15&gt;=60,"Нужно дополнить",IF(M15&gt;=40,"Черновик","Отклонить"))))</x:f>
      </x:c>
    </x:row>
    <x:row r="16" ht="42" customHeight="1">
      <x:c r="A16" s="32"/>
      <x:c r="B16" s="32"/>
      <x:c r="C16" s="32"/>
      <x:c r="D16" s="32"/>
      <x:c r="E16" s="32"/>
      <x:c r="F16" s="56"/>
      <x:c r="G16" s="56"/>
      <x:c r="H16" s="56" t="str">
        <x:f>IF(OR(F16="",G16=""),"",F16*G16)</x:f>
      </x:c>
      <x:c r="I16" s="32"/>
      <x:c r="J16" s="32"/>
      <x:c r="K16" s="32"/>
      <x:c r="L16" s="32"/>
      <x:c r="M16" s="32" t="str">
        <x:f>IF(COUNTA(J16:L16)=0,"",ROUND(((J16*0.40)+(K16*0.30)+(L16*0.30))*20,0))</x:f>
      </x:c>
      <x:c r="N16" s="32" t="str">
        <x:f>IF(A16="","",IF(M16&gt;=80,"Готово",IF(M16&gt;=60,"Нужно дополнить",IF(M16&gt;=40,"Черновик","Отклонить"))))</x:f>
      </x:c>
    </x:row>
    <x:row r="17" ht="42" customHeight="1">
      <x:c r="A17" s="32"/>
      <x:c r="B17" s="32"/>
      <x:c r="C17" s="32"/>
      <x:c r="D17" s="32"/>
      <x:c r="E17" s="32"/>
      <x:c r="F17" s="56"/>
      <x:c r="G17" s="56"/>
      <x:c r="H17" s="56" t="str">
        <x:f>IF(OR(F17="",G17=""),"",F17*G17)</x:f>
      </x:c>
      <x:c r="I17" s="32"/>
      <x:c r="J17" s="32"/>
      <x:c r="K17" s="32"/>
      <x:c r="L17" s="32"/>
      <x:c r="M17" s="32" t="str">
        <x:f>IF(COUNTA(J17:L17)=0,"",ROUND(((J17*0.40)+(K17*0.30)+(L17*0.30))*20,0))</x:f>
      </x:c>
      <x:c r="N17" s="32" t="str">
        <x:f>IF(A17="","",IF(M17&gt;=80,"Готово",IF(M17&gt;=60,"Нужно дополнить",IF(M17&gt;=40,"Черновик","Отклонить"))))</x:f>
      </x:c>
    </x:row>
    <x:row r="18" ht="42" customHeight="1">
      <x:c r="A18" s="32"/>
      <x:c r="B18" s="32"/>
      <x:c r="C18" s="32"/>
      <x:c r="D18" s="32"/>
      <x:c r="E18" s="32"/>
      <x:c r="F18" s="56"/>
      <x:c r="G18" s="56"/>
      <x:c r="H18" s="56" t="str">
        <x:f>IF(OR(F18="",G18=""),"",F18*G18)</x:f>
      </x:c>
      <x:c r="I18" s="32"/>
      <x:c r="J18" s="32"/>
      <x:c r="K18" s="32"/>
      <x:c r="L18" s="32"/>
      <x:c r="M18" s="32" t="str">
        <x:f>IF(COUNTA(J18:L18)=0,"",ROUND(((J18*0.40)+(K18*0.30)+(L18*0.30))*20,0))</x:f>
      </x:c>
      <x:c r="N18" s="32" t="str">
        <x:f>IF(A18="","",IF(M18&gt;=80,"Готово",IF(M18&gt;=60,"Нужно дополнить",IF(M18&gt;=40,"Черновик","Отклонить"))))</x:f>
      </x:c>
    </x:row>
    <x:row r="19" ht="42" customHeight="1">
      <x:c r="A19" s="32"/>
      <x:c r="B19" s="32"/>
      <x:c r="C19" s="32"/>
      <x:c r="D19" s="32"/>
      <x:c r="E19" s="32"/>
      <x:c r="F19" s="56"/>
      <x:c r="G19" s="56"/>
      <x:c r="H19" s="56" t="str">
        <x:f>IF(OR(F19="",G19=""),"",F19*G19)</x:f>
      </x:c>
      <x:c r="I19" s="32"/>
      <x:c r="J19" s="32"/>
      <x:c r="K19" s="32"/>
      <x:c r="L19" s="32"/>
      <x:c r="M19" s="32" t="str">
        <x:f>IF(COUNTA(J19:L19)=0,"",ROUND(((J19*0.40)+(K19*0.30)+(L19*0.30))*20,0))</x:f>
      </x:c>
      <x:c r="N19" s="32" t="str">
        <x:f>IF(A19="","",IF(M19&gt;=80,"Готово",IF(M19&gt;=60,"Нужно дополнить",IF(M19&gt;=40,"Черновик","Отклонить"))))</x:f>
      </x:c>
    </x:row>
    <x:row r="20" ht="42" customHeight="1">
      <x:c r="A20" s="32"/>
      <x:c r="B20" s="32"/>
      <x:c r="C20" s="32"/>
      <x:c r="D20" s="32"/>
      <x:c r="E20" s="32"/>
      <x:c r="F20" s="56"/>
      <x:c r="G20" s="56"/>
      <x:c r="H20" s="56" t="str">
        <x:f>IF(OR(F20="",G20=""),"",F20*G20)</x:f>
      </x:c>
      <x:c r="I20" s="32"/>
      <x:c r="J20" s="32"/>
      <x:c r="K20" s="32"/>
      <x:c r="L20" s="32"/>
      <x:c r="M20" s="32" t="str">
        <x:f>IF(COUNTA(J20:L20)=0,"",ROUND(((J20*0.40)+(K20*0.30)+(L20*0.30))*20,0))</x:f>
      </x:c>
      <x:c r="N20" s="32" t="str">
        <x:f>IF(A20="","",IF(M20&gt;=80,"Готово",IF(M20&gt;=60,"Нужно дополнить",IF(M20&gt;=40,"Черновик","Отклонить"))))</x:f>
      </x:c>
    </x:row>
    <x:row r="21" ht="42" customHeight="1">
      <x:c r="A21" s="32"/>
      <x:c r="B21" s="32"/>
      <x:c r="C21" s="32"/>
      <x:c r="D21" s="32"/>
      <x:c r="E21" s="32"/>
      <x:c r="F21" s="56"/>
      <x:c r="G21" s="56"/>
      <x:c r="H21" s="56" t="str">
        <x:f>IF(OR(F21="",G21=""),"",F21*G21)</x:f>
      </x:c>
      <x:c r="I21" s="32"/>
      <x:c r="J21" s="32"/>
      <x:c r="K21" s="32"/>
      <x:c r="L21" s="32"/>
      <x:c r="M21" s="32" t="str">
        <x:f>IF(COUNTA(J21:L21)=0,"",ROUND(((J21*0.40)+(K21*0.30)+(L21*0.30))*20,0))</x:f>
      </x:c>
      <x:c r="N21" s="32" t="str">
        <x:f>IF(A21="","",IF(M21&gt;=80,"Готово",IF(M21&gt;=60,"Нужно дополнить",IF(M21&gt;=40,"Черновик","Отклонить"))))</x:f>
      </x:c>
    </x:row>
    <x:row r="22" ht="42" customHeight="1">
      <x:c r="A22" s="32"/>
      <x:c r="B22" s="32"/>
      <x:c r="C22" s="32"/>
      <x:c r="D22" s="32"/>
      <x:c r="E22" s="32"/>
      <x:c r="F22" s="56"/>
      <x:c r="G22" s="56"/>
      <x:c r="H22" s="56" t="str">
        <x:f>IF(OR(F22="",G22=""),"",F22*G22)</x:f>
      </x:c>
      <x:c r="I22" s="32"/>
      <x:c r="J22" s="32"/>
      <x:c r="K22" s="32"/>
      <x:c r="L22" s="32"/>
      <x:c r="M22" s="32" t="str">
        <x:f>IF(COUNTA(J22:L22)=0,"",ROUND(((J22*0.40)+(K22*0.30)+(L22*0.30))*20,0))</x:f>
      </x:c>
      <x:c r="N22" s="32" t="str">
        <x:f>IF(A22="","",IF(M22&gt;=80,"Готово",IF(M22&gt;=60,"Нужно дополнить",IF(M22&gt;=40,"Черновик","Отклонить"))))</x:f>
      </x:c>
    </x:row>
    <x:row r="23" ht="42" customHeight="1">
      <x:c r="A23" s="32"/>
      <x:c r="B23" s="32"/>
      <x:c r="C23" s="32"/>
      <x:c r="D23" s="32"/>
      <x:c r="E23" s="32"/>
      <x:c r="F23" s="56"/>
      <x:c r="G23" s="56"/>
      <x:c r="H23" s="56" t="str">
        <x:f>IF(OR(F23="",G23=""),"",F23*G23)</x:f>
      </x:c>
      <x:c r="I23" s="32"/>
      <x:c r="J23" s="32"/>
      <x:c r="K23" s="32"/>
      <x:c r="L23" s="32"/>
      <x:c r="M23" s="32" t="str">
        <x:f>IF(COUNTA(J23:L23)=0,"",ROUND(((J23*0.40)+(K23*0.30)+(L23*0.30))*20,0))</x:f>
      </x:c>
      <x:c r="N23" s="32" t="str">
        <x:f>IF(A23="","",IF(M23&gt;=80,"Готово",IF(M23&gt;=60,"Нужно дополнить",IF(M23&gt;=40,"Черновик","Отклонить"))))</x:f>
      </x:c>
    </x:row>
    <x:row r="24" ht="42" customHeight="1">
      <x:c r="A24" s="32"/>
      <x:c r="B24" s="32"/>
      <x:c r="C24" s="32"/>
      <x:c r="D24" s="32"/>
      <x:c r="E24" s="32"/>
      <x:c r="F24" s="56"/>
      <x:c r="G24" s="56"/>
      <x:c r="H24" s="56" t="str">
        <x:f>IF(OR(F24="",G24=""),"",F24*G24)</x:f>
      </x:c>
      <x:c r="I24" s="32"/>
      <x:c r="J24" s="32"/>
      <x:c r="K24" s="32"/>
      <x:c r="L24" s="32"/>
      <x:c r="M24" s="32" t="str">
        <x:f>IF(COUNTA(J24:L24)=0,"",ROUND(((J24*0.40)+(K24*0.30)+(L24*0.30))*20,0))</x:f>
      </x:c>
      <x:c r="N24" s="32" t="str">
        <x:f>IF(A24="","",IF(M24&gt;=80,"Готово",IF(M24&gt;=60,"Нужно дополнить",IF(M24&gt;=40,"Черновик","Отклонить"))))</x:f>
      </x:c>
    </x:row>
    <x:row r="25" ht="42" customHeight="1">
      <x:c r="A25" s="32"/>
      <x:c r="B25" s="32"/>
      <x:c r="C25" s="32"/>
      <x:c r="D25" s="32"/>
      <x:c r="E25" s="32"/>
      <x:c r="F25" s="56"/>
      <x:c r="G25" s="56"/>
      <x:c r="H25" s="56" t="str">
        <x:f>IF(OR(F25="",G25=""),"",F25*G25)</x:f>
      </x:c>
      <x:c r="I25" s="32"/>
      <x:c r="J25" s="32"/>
      <x:c r="K25" s="32"/>
      <x:c r="L25" s="32"/>
      <x:c r="M25" s="32" t="str">
        <x:f>IF(COUNTA(J25:L25)=0,"",ROUND(((J25*0.40)+(K25*0.30)+(L25*0.30))*20,0))</x:f>
      </x:c>
      <x:c r="N25" s="32" t="str">
        <x:f>IF(A25="","",IF(M25&gt;=80,"Готово",IF(M25&gt;=60,"Нужно дополнить",IF(M25&gt;=40,"Черновик","Отклонить"))))</x:f>
      </x:c>
    </x:row>
    <x:row r="26" ht="42" customHeight="1">
      <x:c r="A26" s="32"/>
      <x:c r="B26" s="32"/>
      <x:c r="C26" s="32"/>
      <x:c r="D26" s="32"/>
      <x:c r="E26" s="32"/>
      <x:c r="F26" s="56"/>
      <x:c r="G26" s="56"/>
      <x:c r="H26" s="56" t="str">
        <x:f>IF(OR(F26="",G26=""),"",F26*G26)</x:f>
      </x:c>
      <x:c r="I26" s="32"/>
      <x:c r="J26" s="32"/>
      <x:c r="K26" s="32"/>
      <x:c r="L26" s="32"/>
      <x:c r="M26" s="32" t="str">
        <x:f>IF(COUNTA(J26:L26)=0,"",ROUND(((J26*0.40)+(K26*0.30)+(L26*0.30))*20,0))</x:f>
      </x:c>
      <x:c r="N26" s="32" t="str">
        <x:f>IF(A26="","",IF(M26&gt;=80,"Готово",IF(M26&gt;=60,"Нужно дополнить",IF(M26&gt;=40,"Черновик","Отклонить"))))</x:f>
      </x:c>
    </x:row>
    <x:row r="27" ht="42" customHeight="1">
      <x:c r="A27" s="32"/>
      <x:c r="B27" s="32"/>
      <x:c r="C27" s="32"/>
      <x:c r="D27" s="32"/>
      <x:c r="E27" s="32"/>
      <x:c r="F27" s="56"/>
      <x:c r="G27" s="56"/>
      <x:c r="H27" s="56" t="str">
        <x:f>IF(OR(F27="",G27=""),"",F27*G27)</x:f>
      </x:c>
      <x:c r="I27" s="32"/>
      <x:c r="J27" s="32"/>
      <x:c r="K27" s="32"/>
      <x:c r="L27" s="32"/>
      <x:c r="M27" s="32" t="str">
        <x:f>IF(COUNTA(J27:L27)=0,"",ROUND(((J27*0.40)+(K27*0.30)+(L27*0.30))*20,0))</x:f>
      </x:c>
      <x:c r="N27" s="32" t="str">
        <x:f>IF(A27="","",IF(M27&gt;=80,"Готово",IF(M27&gt;=60,"Нужно дополнить",IF(M27&gt;=40,"Черновик","Отклонить"))))</x:f>
      </x:c>
    </x:row>
    <x:row r="28" ht="42" customHeight="1">
      <x:c r="A28" s="32"/>
      <x:c r="B28" s="32"/>
      <x:c r="C28" s="32"/>
      <x:c r="D28" s="32"/>
      <x:c r="E28" s="32"/>
      <x:c r="F28" s="56"/>
      <x:c r="G28" s="56"/>
      <x:c r="H28" s="56" t="str">
        <x:f>IF(OR(F28="",G28=""),"",F28*G28)</x:f>
      </x:c>
      <x:c r="I28" s="32"/>
      <x:c r="J28" s="32"/>
      <x:c r="K28" s="32"/>
      <x:c r="L28" s="32"/>
      <x:c r="M28" s="32" t="str">
        <x:f>IF(COUNTA(J28:L28)=0,"",ROUND(((J28*0.40)+(K28*0.30)+(L28*0.30))*20,0))</x:f>
      </x:c>
      <x:c r="N28" s="32" t="str">
        <x:f>IF(A28="","",IF(M28&gt;=80,"Готово",IF(M28&gt;=60,"Нужно дополнить",IF(M28&gt;=40,"Черновик","Отклонить"))))</x:f>
      </x:c>
    </x:row>
    <x:row r="29" ht="42" customHeight="1">
      <x:c r="A29" s="32"/>
      <x:c r="B29" s="32"/>
      <x:c r="C29" s="32"/>
      <x:c r="D29" s="32"/>
      <x:c r="E29" s="32"/>
      <x:c r="F29" s="56"/>
      <x:c r="G29" s="56"/>
      <x:c r="H29" s="56" t="str">
        <x:f>IF(OR(F29="",G29=""),"",F29*G29)</x:f>
      </x:c>
      <x:c r="I29" s="32"/>
      <x:c r="J29" s="32"/>
      <x:c r="K29" s="32"/>
      <x:c r="L29" s="32"/>
      <x:c r="M29" s="32" t="str">
        <x:f>IF(COUNTA(J29:L29)=0,"",ROUND(((J29*0.40)+(K29*0.30)+(L29*0.30))*20,0))</x:f>
      </x:c>
      <x:c r="N29" s="32" t="str">
        <x:f>IF(A29="","",IF(M29&gt;=80,"Готово",IF(M29&gt;=60,"Нужно дополнить",IF(M29&gt;=40,"Черновик","Отклонить"))))</x:f>
      </x:c>
    </x:row>
    <x:row r="30" ht="42" customHeight="1">
      <x:c r="A30" s="32"/>
      <x:c r="B30" s="32"/>
      <x:c r="C30" s="32"/>
      <x:c r="D30" s="32"/>
      <x:c r="E30" s="32"/>
      <x:c r="F30" s="56"/>
      <x:c r="G30" s="56"/>
      <x:c r="H30" s="56" t="str">
        <x:f>IF(OR(F30="",G30=""),"",F30*G30)</x:f>
      </x:c>
      <x:c r="I30" s="32"/>
      <x:c r="J30" s="32"/>
      <x:c r="K30" s="32"/>
      <x:c r="L30" s="32"/>
      <x:c r="M30" s="32" t="str">
        <x:f>IF(COUNTA(J30:L30)=0,"",ROUND(((J30*0.40)+(K30*0.30)+(L30*0.30))*20,0))</x:f>
      </x:c>
      <x:c r="N30" s="32" t="str">
        <x:f>IF(A30="","",IF(M30&gt;=80,"Готово",IF(M30&gt;=60,"Нужно дополнить",IF(M30&gt;=40,"Черновик","Отклонить"))))</x:f>
      </x:c>
    </x:row>
    <x:row r="31" ht="42" customHeight="1">
      <x:c r="A31" s="32"/>
      <x:c r="B31" s="32"/>
      <x:c r="C31" s="32"/>
      <x:c r="D31" s="32"/>
      <x:c r="E31" s="32"/>
      <x:c r="F31" s="56"/>
      <x:c r="G31" s="56"/>
      <x:c r="H31" s="56" t="str">
        <x:f>IF(OR(F31="",G31=""),"",F31*G31)</x:f>
      </x:c>
      <x:c r="I31" s="32"/>
      <x:c r="J31" s="32"/>
      <x:c r="K31" s="32"/>
      <x:c r="L31" s="32"/>
      <x:c r="M31" s="32" t="str">
        <x:f>IF(COUNTA(J31:L31)=0,"",ROUND(((J31*0.40)+(K31*0.30)+(L31*0.30))*20,0))</x:f>
      </x:c>
      <x:c r="N31" s="32" t="str">
        <x:f>IF(A31="","",IF(M31&gt;=80,"Готово",IF(M31&gt;=60,"Нужно дополнить",IF(M31&gt;=40,"Черновик","Отклонить"))))</x:f>
      </x:c>
    </x:row>
    <x:row r="32" ht="42" customHeight="1">
      <x:c r="A32" s="32"/>
      <x:c r="B32" s="32"/>
      <x:c r="C32" s="32"/>
      <x:c r="D32" s="32"/>
      <x:c r="E32" s="32"/>
      <x:c r="F32" s="56"/>
      <x:c r="G32" s="56"/>
      <x:c r="H32" s="56" t="str">
        <x:f>IF(OR(F32="",G32=""),"",F32*G32)</x:f>
      </x:c>
      <x:c r="I32" s="32"/>
      <x:c r="J32" s="32"/>
      <x:c r="K32" s="32"/>
      <x:c r="L32" s="32"/>
      <x:c r="M32" s="32" t="str">
        <x:f>IF(COUNTA(J32:L32)=0,"",ROUND(((J32*0.40)+(K32*0.30)+(L32*0.30))*20,0))</x:f>
      </x:c>
      <x:c r="N32" s="32" t="str">
        <x:f>IF(A32="","",IF(M32&gt;=80,"Готово",IF(M32&gt;=60,"Нужно дополнить",IF(M32&gt;=40,"Черновик","Отклонить"))))</x:f>
      </x:c>
    </x:row>
    <x:row r="33" ht="42" customHeight="1">
      <x:c r="A33" s="32"/>
      <x:c r="B33" s="32"/>
      <x:c r="C33" s="32"/>
      <x:c r="D33" s="32"/>
      <x:c r="E33" s="32"/>
      <x:c r="F33" s="56"/>
      <x:c r="G33" s="56"/>
      <x:c r="H33" s="56" t="str">
        <x:f>IF(OR(F33="",G33=""),"",F33*G33)</x:f>
      </x:c>
      <x:c r="I33" s="32"/>
      <x:c r="J33" s="32"/>
      <x:c r="K33" s="32"/>
      <x:c r="L33" s="32"/>
      <x:c r="M33" s="32" t="str">
        <x:f>IF(COUNTA(J33:L33)=0,"",ROUND(((J33*0.40)+(K33*0.30)+(L33*0.30))*20,0))</x:f>
      </x:c>
      <x:c r="N33" s="32" t="str">
        <x:f>IF(A33="","",IF(M33&gt;=80,"Готово",IF(M33&gt;=60,"Нужно дополнить",IF(M33&gt;=40,"Черновик","Отклонить"))))</x:f>
      </x:c>
    </x:row>
    <x:row r="34" ht="42" customHeight="1">
      <x:c r="A34" s="32"/>
      <x:c r="B34" s="32"/>
      <x:c r="C34" s="32"/>
      <x:c r="D34" s="32"/>
      <x:c r="E34" s="32"/>
      <x:c r="F34" s="56"/>
      <x:c r="G34" s="56"/>
      <x:c r="H34" s="56" t="str">
        <x:f>IF(OR(F34="",G34=""),"",F34*G34)</x:f>
      </x:c>
      <x:c r="I34" s="32"/>
      <x:c r="J34" s="32"/>
      <x:c r="K34" s="32"/>
      <x:c r="L34" s="32"/>
      <x:c r="M34" s="32" t="str">
        <x:f>IF(COUNTA(J34:L34)=0,"",ROUND(((J34*0.40)+(K34*0.30)+(L34*0.30))*20,0))</x:f>
      </x:c>
      <x:c r="N34" s="32" t="str">
        <x:f>IF(A34="","",IF(M34&gt;=80,"Готово",IF(M34&gt;=60,"Нужно дополнить",IF(M34&gt;=40,"Черновик","Отклонить"))))</x:f>
      </x:c>
    </x:row>
    <x:row r="35" ht="42" customHeight="1">
      <x:c r="A35" s="32"/>
      <x:c r="B35" s="32"/>
      <x:c r="C35" s="32"/>
      <x:c r="D35" s="32"/>
      <x:c r="E35" s="32"/>
      <x:c r="F35" s="56"/>
      <x:c r="G35" s="56"/>
      <x:c r="H35" s="56" t="str">
        <x:f>IF(OR(F35="",G35=""),"",F35*G35)</x:f>
      </x:c>
      <x:c r="I35" s="32"/>
      <x:c r="J35" s="32"/>
      <x:c r="K35" s="32"/>
      <x:c r="L35" s="32"/>
      <x:c r="M35" s="32" t="str">
        <x:f>IF(COUNTA(J35:L35)=0,"",ROUND(((J35*0.40)+(K35*0.30)+(L35*0.30))*20,0))</x:f>
      </x:c>
      <x:c r="N35" s="32" t="str">
        <x:f>IF(A35="","",IF(M35&gt;=80,"Готово",IF(M35&gt;=60,"Нужно дополнить",IF(M35&gt;=40,"Черновик","Отклонить"))))</x:f>
      </x:c>
    </x:row>
    <x:row r="36" ht="42" customHeight="1">
      <x:c r="A36" s="32"/>
      <x:c r="B36" s="32"/>
      <x:c r="C36" s="32"/>
      <x:c r="D36" s="32"/>
      <x:c r="E36" s="32"/>
      <x:c r="F36" s="56"/>
      <x:c r="G36" s="56"/>
      <x:c r="H36" s="56" t="str">
        <x:f>IF(OR(F36="",G36=""),"",F36*G36)</x:f>
      </x:c>
      <x:c r="I36" s="32"/>
      <x:c r="J36" s="32"/>
      <x:c r="K36" s="32"/>
      <x:c r="L36" s="32"/>
      <x:c r="M36" s="32" t="str">
        <x:f>IF(COUNTA(J36:L36)=0,"",ROUND(((J36*0.40)+(K36*0.30)+(L36*0.30))*20,0))</x:f>
      </x:c>
      <x:c r="N36" s="32" t="str">
        <x:f>IF(A36="","",IF(M36&gt;=80,"Готово",IF(M36&gt;=60,"Нужно дополнить",IF(M36&gt;=40,"Черновик","Отклонить"))))</x:f>
      </x:c>
    </x:row>
    <x:row r="37" ht="42" customHeight="1">
      <x:c r="A37" s="32"/>
      <x:c r="B37" s="32"/>
      <x:c r="C37" s="32"/>
      <x:c r="D37" s="32"/>
      <x:c r="E37" s="32"/>
      <x:c r="F37" s="56"/>
      <x:c r="G37" s="56"/>
      <x:c r="H37" s="56" t="str">
        <x:f>IF(OR(F37="",G37=""),"",F37*G37)</x:f>
      </x:c>
      <x:c r="I37" s="32"/>
      <x:c r="J37" s="32"/>
      <x:c r="K37" s="32"/>
      <x:c r="L37" s="32"/>
      <x:c r="M37" s="32" t="str">
        <x:f>IF(COUNTA(J37:L37)=0,"",ROUND(((J37*0.40)+(K37*0.30)+(L37*0.30))*20,0))</x:f>
      </x:c>
      <x:c r="N37" s="32" t="str">
        <x:f>IF(A37="","",IF(M37&gt;=80,"Готово",IF(M37&gt;=60,"Нужно дополнить",IF(M37&gt;=40,"Черновик","Отклонить"))))</x:f>
      </x:c>
    </x:row>
    <x:row r="38" ht="42" customHeight="1">
      <x:c r="A38" s="32"/>
      <x:c r="B38" s="32"/>
      <x:c r="C38" s="32"/>
      <x:c r="D38" s="32"/>
      <x:c r="E38" s="32"/>
      <x:c r="F38" s="56"/>
      <x:c r="G38" s="56"/>
      <x:c r="H38" s="56" t="str">
        <x:f>IF(OR(F38="",G38=""),"",F38*G38)</x:f>
      </x:c>
      <x:c r="I38" s="32"/>
      <x:c r="J38" s="32"/>
      <x:c r="K38" s="32"/>
      <x:c r="L38" s="32"/>
      <x:c r="M38" s="32" t="str">
        <x:f>IF(COUNTA(J38:L38)=0,"",ROUND(((J38*0.40)+(K38*0.30)+(L38*0.30))*20,0))</x:f>
      </x:c>
      <x:c r="N38" s="32" t="str">
        <x:f>IF(A38="","",IF(M38&gt;=80,"Готово",IF(M38&gt;=60,"Нужно дополнить",IF(M38&gt;=40,"Черновик","Отклонить"))))</x:f>
      </x:c>
    </x:row>
    <x:row r="39" ht="42" customHeight="1">
      <x:c r="A39" s="32"/>
      <x:c r="B39" s="32"/>
      <x:c r="C39" s="32"/>
      <x:c r="D39" s="32"/>
      <x:c r="E39" s="32"/>
      <x:c r="F39" s="56"/>
      <x:c r="G39" s="56"/>
      <x:c r="H39" s="56" t="str">
        <x:f>IF(OR(F39="",G39=""),"",F39*G39)</x:f>
      </x:c>
      <x:c r="I39" s="32"/>
      <x:c r="J39" s="32"/>
      <x:c r="K39" s="32"/>
      <x:c r="L39" s="32"/>
      <x:c r="M39" s="32" t="str">
        <x:f>IF(COUNTA(J39:L39)=0,"",ROUND(((J39*0.40)+(K39*0.30)+(L39*0.30))*20,0))</x:f>
      </x:c>
      <x:c r="N39" s="32" t="str">
        <x:f>IF(A39="","",IF(M39&gt;=80,"Готово",IF(M39&gt;=60,"Нужно дополнить",IF(M39&gt;=40,"Черновик","Отклонить"))))</x:f>
      </x:c>
    </x:row>
    <x:row r="40" ht="42" customHeight="1">
      <x:c r="A40" s="32"/>
      <x:c r="B40" s="32"/>
      <x:c r="C40" s="32"/>
      <x:c r="D40" s="32"/>
      <x:c r="E40" s="32"/>
      <x:c r="F40" s="56"/>
      <x:c r="G40" s="56"/>
      <x:c r="H40" s="56" t="str">
        <x:f>IF(OR(F40="",G40=""),"",F40*G40)</x:f>
      </x:c>
      <x:c r="I40" s="32"/>
      <x:c r="J40" s="32"/>
      <x:c r="K40" s="32"/>
      <x:c r="L40" s="32"/>
      <x:c r="M40" s="32" t="str">
        <x:f>IF(COUNTA(J40:L40)=0,"",ROUND(((J40*0.40)+(K40*0.30)+(L40*0.30))*20,0))</x:f>
      </x:c>
      <x:c r="N40" s="32" t="str">
        <x:f>IF(A40="","",IF(M40&gt;=80,"Готово",IF(M40&gt;=60,"Нужно дополнить",IF(M40&gt;=40,"Черновик","Отклонить"))))</x:f>
      </x:c>
    </x:row>
    <x:row r="41" ht="42" customHeight="1">
      <x:c r="A41" s="32"/>
      <x:c r="B41" s="32"/>
      <x:c r="C41" s="32"/>
      <x:c r="D41" s="32"/>
      <x:c r="E41" s="32"/>
      <x:c r="F41" s="56"/>
      <x:c r="G41" s="56"/>
      <x:c r="H41" s="56" t="str">
        <x:f>IF(OR(F41="",G41=""),"",F41*G41)</x:f>
      </x:c>
      <x:c r="I41" s="32"/>
      <x:c r="J41" s="32"/>
      <x:c r="K41" s="32"/>
      <x:c r="L41" s="32"/>
      <x:c r="M41" s="32" t="str">
        <x:f>IF(COUNTA(J41:L41)=0,"",ROUND(((J41*0.40)+(K41*0.30)+(L41*0.30))*20,0))</x:f>
      </x:c>
      <x:c r="N41" s="32" t="str">
        <x:f>IF(A41="","",IF(M41&gt;=80,"Готово",IF(M41&gt;=60,"Нужно дополнить",IF(M41&gt;=40,"Черновик","Отклонить"))))</x:f>
      </x:c>
    </x:row>
    <x:row r="42" ht="42" customHeight="1">
      <x:c r="A42" s="32"/>
      <x:c r="B42" s="32"/>
      <x:c r="C42" s="32"/>
      <x:c r="D42" s="32"/>
      <x:c r="E42" s="32"/>
      <x:c r="F42" s="56"/>
      <x:c r="G42" s="56"/>
      <x:c r="H42" s="56" t="str">
        <x:f>IF(OR(F42="",G42=""),"",F42*G42)</x:f>
      </x:c>
      <x:c r="I42" s="32"/>
      <x:c r="J42" s="32"/>
      <x:c r="K42" s="32"/>
      <x:c r="L42" s="32"/>
      <x:c r="M42" s="32" t="str">
        <x:f>IF(COUNTA(J42:L42)=0,"",ROUND(((J42*0.40)+(K42*0.30)+(L42*0.30))*20,0))</x:f>
      </x:c>
      <x:c r="N42" s="32" t="str">
        <x:f>IF(A42="","",IF(M42&gt;=80,"Готово",IF(M42&gt;=60,"Нужно дополнить",IF(M42&gt;=40,"Черновик","Отклонить"))))</x:f>
      </x:c>
    </x:row>
    <x:row r="43" ht="42" customHeight="1">
      <x:c r="A43" s="32"/>
      <x:c r="B43" s="32"/>
      <x:c r="C43" s="32"/>
      <x:c r="D43" s="32"/>
      <x:c r="E43" s="32"/>
      <x:c r="F43" s="56"/>
      <x:c r="G43" s="56"/>
      <x:c r="H43" s="56" t="str">
        <x:f>IF(OR(F43="",G43=""),"",F43*G43)</x:f>
      </x:c>
      <x:c r="I43" s="32"/>
      <x:c r="J43" s="32"/>
      <x:c r="K43" s="32"/>
      <x:c r="L43" s="32"/>
      <x:c r="M43" s="32" t="str">
        <x:f>IF(COUNTA(J43:L43)=0,"",ROUND(((J43*0.40)+(K43*0.30)+(L43*0.30))*20,0))</x:f>
      </x:c>
      <x:c r="N43" s="32" t="str">
        <x:f>IF(A43="","",IF(M43&gt;=80,"Готово",IF(M43&gt;=60,"Нужно дополнить",IF(M43&gt;=40,"Черновик","Отклонить"))))</x:f>
      </x:c>
    </x:row>
    <x:row r="44" ht="42" customHeight="1">
      <x:c r="A44" s="32"/>
      <x:c r="B44" s="32"/>
      <x:c r="C44" s="32"/>
      <x:c r="D44" s="32"/>
      <x:c r="E44" s="32"/>
      <x:c r="F44" s="56"/>
      <x:c r="G44" s="56"/>
      <x:c r="H44" s="56" t="str">
        <x:f>IF(OR(F44="",G44=""),"",F44*G44)</x:f>
      </x:c>
      <x:c r="I44" s="32"/>
      <x:c r="J44" s="32"/>
      <x:c r="K44" s="32"/>
      <x:c r="L44" s="32"/>
      <x:c r="M44" s="32" t="str">
        <x:f>IF(COUNTA(J44:L44)=0,"",ROUND(((J44*0.40)+(K44*0.30)+(L44*0.30))*20,0))</x:f>
      </x:c>
      <x:c r="N44" s="32" t="str">
        <x:f>IF(A44="","",IF(M44&gt;=80,"Готово",IF(M44&gt;=60,"Нужно дополнить",IF(M44&gt;=40,"Черновик","Отклонить"))))</x:f>
      </x:c>
    </x:row>
    <x:row r="45" ht="42" customHeight="1">
      <x:c r="A45" s="32"/>
      <x:c r="B45" s="32"/>
      <x:c r="C45" s="32"/>
      <x:c r="D45" s="32"/>
      <x:c r="E45" s="32"/>
      <x:c r="F45" s="56"/>
      <x:c r="G45" s="56"/>
      <x:c r="H45" s="56" t="str">
        <x:f>IF(OR(F45="",G45=""),"",F45*G45)</x:f>
      </x:c>
      <x:c r="I45" s="32"/>
      <x:c r="J45" s="32"/>
      <x:c r="K45" s="32"/>
      <x:c r="L45" s="32"/>
      <x:c r="M45" s="32" t="str">
        <x:f>IF(COUNTA(J45:L45)=0,"",ROUND(((J45*0.40)+(K45*0.30)+(L45*0.30))*20,0))</x:f>
      </x:c>
      <x:c r="N45" s="32" t="str">
        <x:f>IF(A45="","",IF(M45&gt;=80,"Готово",IF(M45&gt;=60,"Нужно дополнить",IF(M45&gt;=40,"Черновик","Отклонить"))))</x:f>
      </x:c>
    </x:row>
    <x:row r="46" ht="42" customHeight="1">
      <x:c r="A46" s="32"/>
      <x:c r="B46" s="32"/>
      <x:c r="C46" s="32"/>
      <x:c r="D46" s="32"/>
      <x:c r="E46" s="32"/>
      <x:c r="F46" s="56"/>
      <x:c r="G46" s="56"/>
      <x:c r="H46" s="56" t="str">
        <x:f>IF(OR(F46="",G46=""),"",F46*G46)</x:f>
      </x:c>
      <x:c r="I46" s="32"/>
      <x:c r="J46" s="32"/>
      <x:c r="K46" s="32"/>
      <x:c r="L46" s="32"/>
      <x:c r="M46" s="32" t="str">
        <x:f>IF(COUNTA(J46:L46)=0,"",ROUND(((J46*0.40)+(K46*0.30)+(L46*0.30))*20,0))</x:f>
      </x:c>
      <x:c r="N46" s="32" t="str">
        <x:f>IF(A46="","",IF(M46&gt;=80,"Готово",IF(M46&gt;=60,"Нужно дополнить",IF(M46&gt;=40,"Черновик","Отклонить"))))</x:f>
      </x:c>
    </x:row>
    <x:row r="47" ht="42" customHeight="1">
      <x:c r="A47" s="32"/>
      <x:c r="B47" s="32"/>
      <x:c r="C47" s="32"/>
      <x:c r="D47" s="32"/>
      <x:c r="E47" s="32"/>
      <x:c r="F47" s="56"/>
      <x:c r="G47" s="56"/>
      <x:c r="H47" s="56" t="str">
        <x:f>IF(OR(F47="",G47=""),"",F47*G47)</x:f>
      </x:c>
      <x:c r="I47" s="32"/>
      <x:c r="J47" s="32"/>
      <x:c r="K47" s="32"/>
      <x:c r="L47" s="32"/>
      <x:c r="M47" s="32" t="str">
        <x:f>IF(COUNTA(J47:L47)=0,"",ROUND(((J47*0.40)+(K47*0.30)+(L47*0.30))*20,0))</x:f>
      </x:c>
      <x:c r="N47" s="32" t="str">
        <x:f>IF(A47="","",IF(M47&gt;=80,"Готово",IF(M47&gt;=60,"Нужно дополнить",IF(M47&gt;=40,"Черновик","Отклонить"))))</x:f>
      </x:c>
    </x:row>
    <x:row r="48" ht="42" customHeight="1">
      <x:c r="A48" s="32"/>
      <x:c r="B48" s="32"/>
      <x:c r="C48" s="32"/>
      <x:c r="D48" s="32"/>
      <x:c r="E48" s="32"/>
      <x:c r="F48" s="56"/>
      <x:c r="G48" s="56"/>
      <x:c r="H48" s="56" t="str">
        <x:f>IF(OR(F48="",G48=""),"",F48*G48)</x:f>
      </x:c>
      <x:c r="I48" s="32"/>
      <x:c r="J48" s="32"/>
      <x:c r="K48" s="32"/>
      <x:c r="L48" s="32"/>
      <x:c r="M48" s="32" t="str">
        <x:f>IF(COUNTA(J48:L48)=0,"",ROUND(((J48*0.40)+(K48*0.30)+(L48*0.30))*20,0))</x:f>
      </x:c>
      <x:c r="N48" s="32" t="str">
        <x:f>IF(A48="","",IF(M48&gt;=80,"Готово",IF(M48&gt;=60,"Нужно дополнить",IF(M48&gt;=40,"Черновик","Отклонить"))))</x:f>
      </x:c>
    </x:row>
    <x:row r="49" ht="42" customHeight="1">
      <x:c r="A49" s="32"/>
      <x:c r="B49" s="32"/>
      <x:c r="C49" s="32"/>
      <x:c r="D49" s="32"/>
      <x:c r="E49" s="32"/>
      <x:c r="F49" s="56"/>
      <x:c r="G49" s="56"/>
      <x:c r="H49" s="56" t="str">
        <x:f>IF(OR(F49="",G49=""),"",F49*G49)</x:f>
      </x:c>
      <x:c r="I49" s="32"/>
      <x:c r="J49" s="32"/>
      <x:c r="K49" s="32"/>
      <x:c r="L49" s="32"/>
      <x:c r="M49" s="32" t="str">
        <x:f>IF(COUNTA(J49:L49)=0,"",ROUND(((J49*0.40)+(K49*0.30)+(L49*0.30))*20,0))</x:f>
      </x:c>
      <x:c r="N49" s="32" t="str">
        <x:f>IF(A49="","",IF(M49&gt;=80,"Готово",IF(M49&gt;=60,"Нужно дополнить",IF(M49&gt;=40,"Черновик","Отклонить"))))</x:f>
      </x:c>
    </x:row>
    <x:row r="50" ht="42" customHeight="1">
      <x:c r="A50" s="32"/>
      <x:c r="B50" s="32"/>
      <x:c r="C50" s="32"/>
      <x:c r="D50" s="32"/>
      <x:c r="E50" s="32"/>
      <x:c r="F50" s="56"/>
      <x:c r="G50" s="56"/>
      <x:c r="H50" s="56" t="str">
        <x:f>IF(OR(F50="",G50=""),"",F50*G50)</x:f>
      </x:c>
      <x:c r="I50" s="32"/>
      <x:c r="J50" s="32"/>
      <x:c r="K50" s="32"/>
      <x:c r="L50" s="32"/>
      <x:c r="M50" s="32" t="str">
        <x:f>IF(COUNTA(J50:L50)=0,"",ROUND(((J50*0.40)+(K50*0.30)+(L50*0.30))*20,0))</x:f>
      </x:c>
      <x:c r="N50" s="32" t="str">
        <x:f>IF(A50="","",IF(M50&gt;=80,"Готово",IF(M50&gt;=60,"Нужно дополнить",IF(M50&gt;=40,"Черновик","Отклонить"))))</x:f>
      </x:c>
    </x:row>
    <x:row r="51" ht="42" customHeight="1">
      <x:c r="A51" s="32"/>
      <x:c r="B51" s="32"/>
      <x:c r="C51" s="32"/>
      <x:c r="D51" s="32"/>
      <x:c r="E51" s="32"/>
      <x:c r="F51" s="56"/>
      <x:c r="G51" s="56"/>
      <x:c r="H51" s="56" t="str">
        <x:f>IF(OR(F51="",G51=""),"",F51*G51)</x:f>
      </x:c>
      <x:c r="I51" s="32"/>
      <x:c r="J51" s="32"/>
      <x:c r="K51" s="32"/>
      <x:c r="L51" s="32"/>
      <x:c r="M51" s="32" t="str">
        <x:f>IF(COUNTA(J51:L51)=0,"",ROUND(((J51*0.40)+(K51*0.30)+(L51*0.30))*20,0))</x:f>
      </x:c>
      <x:c r="N51" s="32" t="str">
        <x:f>IF(A51="","",IF(M51&gt;=80,"Готово",IF(M51&gt;=60,"Нужно дополнить",IF(M51&gt;=40,"Черновик","Отклонить"))))</x:f>
      </x:c>
    </x:row>
    <x:row r="52" ht="42" customHeight="1">
      <x:c r="A52" s="32"/>
      <x:c r="B52" s="32"/>
      <x:c r="C52" s="32"/>
      <x:c r="D52" s="32"/>
      <x:c r="E52" s="32"/>
      <x:c r="F52" s="56"/>
      <x:c r="G52" s="56"/>
      <x:c r="H52" s="56" t="str">
        <x:f>IF(OR(F52="",G52=""),"",F52*G52)</x:f>
      </x:c>
      <x:c r="I52" s="32"/>
      <x:c r="J52" s="32"/>
      <x:c r="K52" s="32"/>
      <x:c r="L52" s="32"/>
      <x:c r="M52" s="32" t="str">
        <x:f>IF(COUNTA(J52:L52)=0,"",ROUND(((J52*0.40)+(K52*0.30)+(L52*0.30))*20,0))</x:f>
      </x:c>
      <x:c r="N52" s="32" t="str">
        <x:f>IF(A52="","",IF(M52&gt;=80,"Готово",IF(M52&gt;=60,"Нужно дополнить",IF(M52&gt;=40,"Черновик","Отклонить"))))</x:f>
      </x:c>
    </x:row>
    <x:row r="53" ht="42" customHeight="1">
      <x:c r="A53" s="32"/>
      <x:c r="B53" s="32"/>
      <x:c r="C53" s="32"/>
      <x:c r="D53" s="32"/>
      <x:c r="E53" s="32"/>
      <x:c r="F53" s="56"/>
      <x:c r="G53" s="56"/>
      <x:c r="H53" s="56" t="str">
        <x:f>IF(OR(F53="",G53=""),"",F53*G53)</x:f>
      </x:c>
      <x:c r="I53" s="32"/>
      <x:c r="J53" s="32"/>
      <x:c r="K53" s="32"/>
      <x:c r="L53" s="32"/>
      <x:c r="M53" s="32" t="str">
        <x:f>IF(COUNTA(J53:L53)=0,"",ROUND(((J53*0.40)+(K53*0.30)+(L53*0.30))*20,0))</x:f>
      </x:c>
      <x:c r="N53" s="32" t="str">
        <x:f>IF(A53="","",IF(M53&gt;=80,"Готово",IF(M53&gt;=60,"Нужно дополнить",IF(M53&gt;=40,"Черновик","Отклонить"))))</x:f>
      </x:c>
    </x:row>
    <x:row r="54" ht="42" customHeight="1">
      <x:c r="A54" s="32"/>
      <x:c r="B54" s="32"/>
      <x:c r="C54" s="32"/>
      <x:c r="D54" s="32"/>
      <x:c r="E54" s="32"/>
      <x:c r="F54" s="56"/>
      <x:c r="G54" s="56"/>
      <x:c r="H54" s="56" t="str">
        <x:f>IF(OR(F54="",G54=""),"",F54*G54)</x:f>
      </x:c>
      <x:c r="I54" s="32"/>
      <x:c r="J54" s="32"/>
      <x:c r="K54" s="32"/>
      <x:c r="L54" s="32"/>
      <x:c r="M54" s="32" t="str">
        <x:f>IF(COUNTA(J54:L54)=0,"",ROUND(((J54*0.40)+(K54*0.30)+(L54*0.30))*20,0))</x:f>
      </x:c>
      <x:c r="N54" s="32" t="str">
        <x:f>IF(A54="","",IF(M54&gt;=80,"Готово",IF(M54&gt;=60,"Нужно дополнить",IF(M54&gt;=40,"Черновик","Отклонить"))))</x:f>
      </x:c>
    </x:row>
    <x:row r="55" ht="42" customHeight="1">
      <x:c r="A55" s="32"/>
      <x:c r="B55" s="32"/>
      <x:c r="C55" s="32"/>
      <x:c r="D55" s="32"/>
      <x:c r="E55" s="32"/>
      <x:c r="F55" s="56"/>
      <x:c r="G55" s="56"/>
      <x:c r="H55" s="56" t="str">
        <x:f>IF(OR(F55="",G55=""),"",F55*G55)</x:f>
      </x:c>
      <x:c r="I55" s="32"/>
      <x:c r="J55" s="32"/>
      <x:c r="K55" s="32"/>
      <x:c r="L55" s="32"/>
      <x:c r="M55" s="32" t="str">
        <x:f>IF(COUNTA(J55:L55)=0,"",ROUND(((J55*0.40)+(K55*0.30)+(L55*0.30))*20,0))</x:f>
      </x:c>
      <x:c r="N55" s="32" t="str">
        <x:f>IF(A55="","",IF(M55&gt;=80,"Готово",IF(M55&gt;=60,"Нужно дополнить",IF(M55&gt;=40,"Черновик","Отклонить"))))</x:f>
      </x:c>
    </x:row>
    <x:row r="56" ht="42" customHeight="1">
      <x:c r="A56" s="32"/>
      <x:c r="B56" s="32"/>
      <x:c r="C56" s="32"/>
      <x:c r="D56" s="32"/>
      <x:c r="E56" s="32"/>
      <x:c r="F56" s="56"/>
      <x:c r="G56" s="56"/>
      <x:c r="H56" s="56" t="str">
        <x:f>IF(OR(F56="",G56=""),"",F56*G56)</x:f>
      </x:c>
      <x:c r="I56" s="32"/>
      <x:c r="J56" s="32"/>
      <x:c r="K56" s="32"/>
      <x:c r="L56" s="32"/>
      <x:c r="M56" s="32" t="str">
        <x:f>IF(COUNTA(J56:L56)=0,"",ROUND(((J56*0.40)+(K56*0.30)+(L56*0.30))*20,0))</x:f>
      </x:c>
      <x:c r="N56" s="32" t="str">
        <x:f>IF(A56="","",IF(M56&gt;=80,"Готово",IF(M56&gt;=60,"Нужно дополнить",IF(M56&gt;=40,"Черновик","Отклонить"))))</x:f>
      </x:c>
    </x:row>
    <x:row r="57" ht="42" customHeight="1">
      <x:c r="A57" s="32"/>
      <x:c r="B57" s="32"/>
      <x:c r="C57" s="32"/>
      <x:c r="D57" s="32"/>
      <x:c r="E57" s="32"/>
      <x:c r="F57" s="56"/>
      <x:c r="G57" s="56"/>
      <x:c r="H57" s="56" t="str">
        <x:f>IF(OR(F57="",G57=""),"",F57*G57)</x:f>
      </x:c>
      <x:c r="I57" s="32"/>
      <x:c r="J57" s="32"/>
      <x:c r="K57" s="32"/>
      <x:c r="L57" s="32"/>
      <x:c r="M57" s="32" t="str">
        <x:f>IF(COUNTA(J57:L57)=0,"",ROUND(((J57*0.40)+(K57*0.30)+(L57*0.30))*20,0))</x:f>
      </x:c>
      <x:c r="N57" s="32" t="str">
        <x:f>IF(A57="","",IF(M57&gt;=80,"Готово",IF(M57&gt;=60,"Нужно дополнить",IF(M57&gt;=40,"Черновик","Отклонить"))))</x:f>
      </x:c>
    </x:row>
    <x:row r="58" ht="42" customHeight="1">
      <x:c r="A58" s="32"/>
      <x:c r="B58" s="32"/>
      <x:c r="C58" s="32"/>
      <x:c r="D58" s="32"/>
      <x:c r="E58" s="32"/>
      <x:c r="F58" s="56"/>
      <x:c r="G58" s="56"/>
      <x:c r="H58" s="56" t="str">
        <x:f>IF(OR(F58="",G58=""),"",F58*G58)</x:f>
      </x:c>
      <x:c r="I58" s="32"/>
      <x:c r="J58" s="32"/>
      <x:c r="K58" s="32"/>
      <x:c r="L58" s="32"/>
      <x:c r="M58" s="32" t="str">
        <x:f>IF(COUNTA(J58:L58)=0,"",ROUND(((J58*0.40)+(K58*0.30)+(L58*0.30))*20,0))</x:f>
      </x:c>
      <x:c r="N58" s="32" t="str">
        <x:f>IF(A58="","",IF(M58&gt;=80,"Готово",IF(M58&gt;=60,"Нужно дополнить",IF(M58&gt;=40,"Черновик","Отклонить"))))</x:f>
      </x:c>
    </x:row>
    <x:row r="59" ht="42" customHeight="1">
      <x:c r="A59" s="32"/>
      <x:c r="B59" s="32"/>
      <x:c r="C59" s="32"/>
      <x:c r="D59" s="32"/>
      <x:c r="E59" s="32"/>
      <x:c r="F59" s="56"/>
      <x:c r="G59" s="56"/>
      <x:c r="H59" s="56" t="str">
        <x:f>IF(OR(F59="",G59=""),"",F59*G59)</x:f>
      </x:c>
      <x:c r="I59" s="32"/>
      <x:c r="J59" s="32"/>
      <x:c r="K59" s="32"/>
      <x:c r="L59" s="32"/>
      <x:c r="M59" s="32" t="str">
        <x:f>IF(COUNTA(J59:L59)=0,"",ROUND(((J59*0.40)+(K59*0.30)+(L59*0.30))*20,0))</x:f>
      </x:c>
      <x:c r="N59" s="32" t="str">
        <x:f>IF(A59="","",IF(M59&gt;=80,"Готово",IF(M59&gt;=60,"Нужно дополнить",IF(M59&gt;=40,"Черновик","Отклонить"))))</x:f>
      </x:c>
    </x:row>
    <x:row r="60" ht="42" customHeight="1">
      <x:c r="A60" s="32"/>
      <x:c r="B60" s="32"/>
      <x:c r="C60" s="32"/>
      <x:c r="D60" s="32"/>
      <x:c r="E60" s="32"/>
      <x:c r="F60" s="56"/>
      <x:c r="G60" s="56"/>
      <x:c r="H60" s="56" t="str">
        <x:f>IF(OR(F60="",G60=""),"",F60*G60)</x:f>
      </x:c>
      <x:c r="I60" s="32"/>
      <x:c r="J60" s="32"/>
      <x:c r="K60" s="32"/>
      <x:c r="L60" s="32"/>
      <x:c r="M60" s="32" t="str">
        <x:f>IF(COUNTA(J60:L60)=0,"",ROUND(((J60*0.40)+(K60*0.30)+(L60*0.30))*20,0))</x:f>
      </x:c>
      <x:c r="N60" s="32" t="str">
        <x:f>IF(A60="","",IF(M60&gt;=80,"Готово",IF(M60&gt;=60,"Нужно дополнить",IF(M60&gt;=40,"Черновик","Отклонить"))))</x:f>
      </x:c>
    </x:row>
    <x:row r="61" ht="42" customHeight="1">
      <x:c r="A61" s="32"/>
      <x:c r="B61" s="32"/>
      <x:c r="C61" s="32"/>
      <x:c r="D61" s="32"/>
      <x:c r="E61" s="32"/>
      <x:c r="F61" s="56"/>
      <x:c r="G61" s="56"/>
      <x:c r="H61" s="56" t="str">
        <x:f>IF(OR(F61="",G61=""),"",F61*G61)</x:f>
      </x:c>
      <x:c r="I61" s="32"/>
      <x:c r="J61" s="32"/>
      <x:c r="K61" s="32"/>
      <x:c r="L61" s="32"/>
      <x:c r="M61" s="32" t="str">
        <x:f>IF(COUNTA(J61:L61)=0,"",ROUND(((J61*0.40)+(K61*0.30)+(L61*0.30))*20,0))</x:f>
      </x:c>
      <x:c r="N61" s="32" t="str">
        <x:f>IF(A61="","",IF(M61&gt;=80,"Готово",IF(M61&gt;=60,"Нужно дополнить",IF(M61&gt;=40,"Черновик","Отклонить"))))</x:f>
      </x:c>
    </x:row>
    <x:row r="62" ht="42" customHeight="1">
      <x:c r="A62" s="32"/>
      <x:c r="B62" s="32"/>
      <x:c r="C62" s="32"/>
      <x:c r="D62" s="32"/>
      <x:c r="E62" s="32"/>
      <x:c r="F62" s="56"/>
      <x:c r="G62" s="56"/>
      <x:c r="H62" s="56" t="str">
        <x:f>IF(OR(F62="",G62=""),"",F62*G62)</x:f>
      </x:c>
      <x:c r="I62" s="32"/>
      <x:c r="J62" s="32"/>
      <x:c r="K62" s="32"/>
      <x:c r="L62" s="32"/>
      <x:c r="M62" s="32" t="str">
        <x:f>IF(COUNTA(J62:L62)=0,"",ROUND(((J62*0.40)+(K62*0.30)+(L62*0.30))*20,0))</x:f>
      </x:c>
      <x:c r="N62" s="32" t="str">
        <x:f>IF(A62="","",IF(M62&gt;=80,"Готово",IF(M62&gt;=60,"Нужно дополнить",IF(M62&gt;=40,"Черновик","Отклонить"))))</x:f>
      </x:c>
    </x:row>
    <x:row r="63" ht="42" customHeight="1">
      <x:c r="A63" s="32"/>
      <x:c r="B63" s="32"/>
      <x:c r="C63" s="32"/>
      <x:c r="D63" s="32"/>
      <x:c r="E63" s="32"/>
      <x:c r="F63" s="56"/>
      <x:c r="G63" s="56"/>
      <x:c r="H63" s="56" t="str">
        <x:f>IF(OR(F63="",G63=""),"",F63*G63)</x:f>
      </x:c>
      <x:c r="I63" s="32"/>
      <x:c r="J63" s="32"/>
      <x:c r="K63" s="32"/>
      <x:c r="L63" s="32"/>
      <x:c r="M63" s="32" t="str">
        <x:f>IF(COUNTA(J63:L63)=0,"",ROUND(((J63*0.40)+(K63*0.30)+(L63*0.30))*20,0))</x:f>
      </x:c>
      <x:c r="N63" s="32" t="str">
        <x:f>IF(A63="","",IF(M63&gt;=80,"Готово",IF(M63&gt;=60,"Нужно дополнить",IF(M63&gt;=40,"Черновик","Отклонить"))))</x:f>
      </x:c>
    </x:row>
    <x:row r="64" ht="42" customHeight="1">
      <x:c r="A64" s="32"/>
      <x:c r="B64" s="32"/>
      <x:c r="C64" s="32"/>
      <x:c r="D64" s="32"/>
      <x:c r="E64" s="32"/>
      <x:c r="F64" s="56"/>
      <x:c r="G64" s="56"/>
      <x:c r="H64" s="56" t="str">
        <x:f>IF(OR(F64="",G64=""),"",F64*G64)</x:f>
      </x:c>
      <x:c r="I64" s="32"/>
      <x:c r="J64" s="32"/>
      <x:c r="K64" s="32"/>
      <x:c r="L64" s="32"/>
      <x:c r="M64" s="32" t="str">
        <x:f>IF(COUNTA(J64:L64)=0,"",ROUND(((J64*0.40)+(K64*0.30)+(L64*0.30))*20,0))</x:f>
      </x:c>
      <x:c r="N64" s="32" t="str">
        <x:f>IF(A64="","",IF(M64&gt;=80,"Готово",IF(M64&gt;=60,"Нужно дополнить",IF(M64&gt;=40,"Черновик","Отклонить"))))</x:f>
      </x:c>
    </x:row>
    <x:row r="65" ht="42" customHeight="1">
      <x:c r="A65" s="32"/>
      <x:c r="B65" s="32"/>
      <x:c r="C65" s="32"/>
      <x:c r="D65" s="32"/>
      <x:c r="E65" s="32"/>
      <x:c r="F65" s="56"/>
      <x:c r="G65" s="56"/>
      <x:c r="H65" s="56" t="str">
        <x:f>IF(OR(F65="",G65=""),"",F65*G65)</x:f>
      </x:c>
      <x:c r="I65" s="32"/>
      <x:c r="J65" s="32"/>
      <x:c r="K65" s="32"/>
      <x:c r="L65" s="32"/>
      <x:c r="M65" s="32" t="str">
        <x:f>IF(COUNTA(J65:L65)=0,"",ROUND(((J65*0.40)+(K65*0.30)+(L65*0.30))*20,0))</x:f>
      </x:c>
      <x:c r="N65" s="32" t="str">
        <x:f>IF(A65="","",IF(M65&gt;=80,"Готово",IF(M65&gt;=60,"Нужно дополнить",IF(M65&gt;=40,"Черновик","Отклонить"))))</x:f>
      </x:c>
    </x:row>
    <x:row r="66" ht="42" customHeight="1">
      <x:c r="A66" s="32"/>
      <x:c r="B66" s="32"/>
      <x:c r="C66" s="32"/>
      <x:c r="D66" s="32"/>
      <x:c r="E66" s="32"/>
      <x:c r="F66" s="56"/>
      <x:c r="G66" s="56"/>
      <x:c r="H66" s="56" t="str">
        <x:f>IF(OR(F66="",G66=""),"",F66*G66)</x:f>
      </x:c>
      <x:c r="I66" s="32"/>
      <x:c r="J66" s="32"/>
      <x:c r="K66" s="32"/>
      <x:c r="L66" s="32"/>
      <x:c r="M66" s="32" t="str">
        <x:f>IF(COUNTA(J66:L66)=0,"",ROUND(((J66*0.40)+(K66*0.30)+(L66*0.30))*20,0))</x:f>
      </x:c>
      <x:c r="N66" s="32" t="str">
        <x:f>IF(A66="","",IF(M66&gt;=80,"Готово",IF(M66&gt;=60,"Нужно дополнить",IF(M66&gt;=40,"Черновик","Отклонить"))))</x:f>
      </x:c>
    </x:row>
    <x:row r="67" ht="42" customHeight="1">
      <x:c r="A67" s="32"/>
      <x:c r="B67" s="32"/>
      <x:c r="C67" s="32"/>
      <x:c r="D67" s="32"/>
      <x:c r="E67" s="32"/>
      <x:c r="F67" s="56"/>
      <x:c r="G67" s="56"/>
      <x:c r="H67" s="56" t="str">
        <x:f>IF(OR(F67="",G67=""),"",F67*G67)</x:f>
      </x:c>
      <x:c r="I67" s="32"/>
      <x:c r="J67" s="32"/>
      <x:c r="K67" s="32"/>
      <x:c r="L67" s="32"/>
      <x:c r="M67" s="32" t="str">
        <x:f>IF(COUNTA(J67:L67)=0,"",ROUND(((J67*0.40)+(K67*0.30)+(L67*0.30))*20,0))</x:f>
      </x:c>
      <x:c r="N67" s="32" t="str">
        <x:f>IF(A67="","",IF(M67&gt;=80,"Готово",IF(M67&gt;=60,"Нужно дополнить",IF(M67&gt;=40,"Черновик","Отклонить"))))</x:f>
      </x:c>
    </x:row>
    <x:row r="68" ht="42" customHeight="1">
      <x:c r="A68" s="32"/>
      <x:c r="B68" s="32"/>
      <x:c r="C68" s="32"/>
      <x:c r="D68" s="32"/>
      <x:c r="E68" s="32"/>
      <x:c r="F68" s="56"/>
      <x:c r="G68" s="56"/>
      <x:c r="H68" s="56" t="str">
        <x:f>IF(OR(F68="",G68=""),"",F68*G68)</x:f>
      </x:c>
      <x:c r="I68" s="32"/>
      <x:c r="J68" s="32"/>
      <x:c r="K68" s="32"/>
      <x:c r="L68" s="32"/>
      <x:c r="M68" s="32" t="str">
        <x:f>IF(COUNTA(J68:L68)=0,"",ROUND(((J68*0.40)+(K68*0.30)+(L68*0.30))*20,0))</x:f>
      </x:c>
      <x:c r="N68" s="32" t="str">
        <x:f>IF(A68="","",IF(M68&gt;=80,"Готово",IF(M68&gt;=60,"Нужно дополнить",IF(M68&gt;=40,"Черновик","Отклонить"))))</x:f>
      </x:c>
    </x:row>
    <x:row r="69" ht="42" customHeight="1">
      <x:c r="A69" s="32"/>
      <x:c r="B69" s="32"/>
      <x:c r="C69" s="32"/>
      <x:c r="D69" s="32"/>
      <x:c r="E69" s="32"/>
      <x:c r="F69" s="56"/>
      <x:c r="G69" s="56"/>
      <x:c r="H69" s="56" t="str">
        <x:f>IF(OR(F69="",G69=""),"",F69*G69)</x:f>
      </x:c>
      <x:c r="I69" s="32"/>
      <x:c r="J69" s="32"/>
      <x:c r="K69" s="32"/>
      <x:c r="L69" s="32"/>
      <x:c r="M69" s="32" t="str">
        <x:f>IF(COUNTA(J69:L69)=0,"",ROUND(((J69*0.40)+(K69*0.30)+(L69*0.30))*20,0))</x:f>
      </x:c>
      <x:c r="N69" s="32" t="str">
        <x:f>IF(A69="","",IF(M69&gt;=80,"Готово",IF(M69&gt;=60,"Нужно дополнить",IF(M69&gt;=40,"Черновик","Отклонить"))))</x:f>
      </x:c>
    </x:row>
    <x:row r="70" ht="42" customHeight="1">
      <x:c r="A70" s="32"/>
      <x:c r="B70" s="32"/>
      <x:c r="C70" s="32"/>
      <x:c r="D70" s="32"/>
      <x:c r="E70" s="32"/>
      <x:c r="F70" s="56"/>
      <x:c r="G70" s="56"/>
      <x:c r="H70" s="56" t="str">
        <x:f>IF(OR(F70="",G70=""),"",F70*G70)</x:f>
      </x:c>
      <x:c r="I70" s="32"/>
      <x:c r="J70" s="32"/>
      <x:c r="K70" s="32"/>
      <x:c r="L70" s="32"/>
      <x:c r="M70" s="32" t="str">
        <x:f>IF(COUNTA(J70:L70)=0,"",ROUND(((J70*0.40)+(K70*0.30)+(L70*0.30))*20,0))</x:f>
      </x:c>
      <x:c r="N70" s="32" t="str">
        <x:f>IF(A70="","",IF(M70&gt;=80,"Готово",IF(M70&gt;=60,"Нужно дополнить",IF(M70&gt;=40,"Черновик","Отклонить"))))</x:f>
      </x:c>
    </x:row>
    <x:row r="71" ht="42" customHeight="1">
      <x:c r="A71" s="32"/>
      <x:c r="B71" s="32"/>
      <x:c r="C71" s="32"/>
      <x:c r="D71" s="32"/>
      <x:c r="E71" s="32"/>
      <x:c r="F71" s="56"/>
      <x:c r="G71" s="56"/>
      <x:c r="H71" s="56" t="str">
        <x:f>IF(OR(F71="",G71=""),"",F71*G71)</x:f>
      </x:c>
      <x:c r="I71" s="32"/>
      <x:c r="J71" s="32"/>
      <x:c r="K71" s="32"/>
      <x:c r="L71" s="32"/>
      <x:c r="M71" s="32" t="str">
        <x:f>IF(COUNTA(J71:L71)=0,"",ROUND(((J71*0.40)+(K71*0.30)+(L71*0.30))*20,0))</x:f>
      </x:c>
      <x:c r="N71" s="32" t="str">
        <x:f>IF(A71="","",IF(M71&gt;=80,"Готово",IF(M71&gt;=60,"Нужно дополнить",IF(M71&gt;=40,"Черновик","Отклонить"))))</x:f>
      </x:c>
    </x:row>
    <x:row r="72" ht="42" customHeight="1">
      <x:c r="A72" s="32"/>
      <x:c r="B72" s="32"/>
      <x:c r="C72" s="32"/>
      <x:c r="D72" s="32"/>
      <x:c r="E72" s="32"/>
      <x:c r="F72" s="56"/>
      <x:c r="G72" s="56"/>
      <x:c r="H72" s="56" t="str">
        <x:f>IF(OR(F72="",G72=""),"",F72*G72)</x:f>
      </x:c>
      <x:c r="I72" s="32"/>
      <x:c r="J72" s="32"/>
      <x:c r="K72" s="32"/>
      <x:c r="L72" s="32"/>
      <x:c r="M72" s="32" t="str">
        <x:f>IF(COUNTA(J72:L72)=0,"",ROUND(((J72*0.40)+(K72*0.30)+(L72*0.30))*20,0))</x:f>
      </x:c>
      <x:c r="N72" s="32" t="str">
        <x:f>IF(A72="","",IF(M72&gt;=80,"Готово",IF(M72&gt;=60,"Нужно дополнить",IF(M72&gt;=40,"Черновик","Отклонить"))))</x:f>
      </x:c>
    </x:row>
    <x:row r="73" ht="42" customHeight="1">
      <x:c r="A73" s="32"/>
      <x:c r="B73" s="32"/>
      <x:c r="C73" s="32"/>
      <x:c r="D73" s="32"/>
      <x:c r="E73" s="32"/>
      <x:c r="F73" s="56"/>
      <x:c r="G73" s="56"/>
      <x:c r="H73" s="56" t="str">
        <x:f>IF(OR(F73="",G73=""),"",F73*G73)</x:f>
      </x:c>
      <x:c r="I73" s="32"/>
      <x:c r="J73" s="32"/>
      <x:c r="K73" s="32"/>
      <x:c r="L73" s="32"/>
      <x:c r="M73" s="32" t="str">
        <x:f>IF(COUNTA(J73:L73)=0,"",ROUND(((J73*0.40)+(K73*0.30)+(L73*0.30))*20,0))</x:f>
      </x:c>
      <x:c r="N73" s="32" t="str">
        <x:f>IF(A73="","",IF(M73&gt;=80,"Готово",IF(M73&gt;=60,"Нужно дополнить",IF(M73&gt;=40,"Черновик","Отклонить"))))</x:f>
      </x:c>
    </x:row>
    <x:row r="74" ht="42" customHeight="1">
      <x:c r="A74" s="32"/>
      <x:c r="B74" s="32"/>
      <x:c r="C74" s="32"/>
      <x:c r="D74" s="32"/>
      <x:c r="E74" s="32"/>
      <x:c r="F74" s="56"/>
      <x:c r="G74" s="56"/>
      <x:c r="H74" s="56" t="str">
        <x:f>IF(OR(F74="",G74=""),"",F74*G74)</x:f>
      </x:c>
      <x:c r="I74" s="32"/>
      <x:c r="J74" s="32"/>
      <x:c r="K74" s="32"/>
      <x:c r="L74" s="32"/>
      <x:c r="M74" s="32" t="str">
        <x:f>IF(COUNTA(J74:L74)=0,"",ROUND(((J74*0.40)+(K74*0.30)+(L74*0.30))*20,0))</x:f>
      </x:c>
      <x:c r="N74" s="32" t="str">
        <x:f>IF(A74="","",IF(M74&gt;=80,"Готово",IF(M74&gt;=60,"Нужно дополнить",IF(M74&gt;=40,"Черновик","Отклонить"))))</x:f>
      </x:c>
    </x:row>
    <x:row r="75" ht="42" customHeight="1">
      <x:c r="A75" s="32"/>
      <x:c r="B75" s="32"/>
      <x:c r="C75" s="32"/>
      <x:c r="D75" s="32"/>
      <x:c r="E75" s="32"/>
      <x:c r="F75" s="56"/>
      <x:c r="G75" s="56"/>
      <x:c r="H75" s="56" t="str">
        <x:f>IF(OR(F75="",G75=""),"",F75*G75)</x:f>
      </x:c>
      <x:c r="I75" s="32"/>
      <x:c r="J75" s="32"/>
      <x:c r="K75" s="32"/>
      <x:c r="L75" s="32"/>
      <x:c r="M75" s="32" t="str">
        <x:f>IF(COUNTA(J75:L75)=0,"",ROUND(((J75*0.40)+(K75*0.30)+(L75*0.30))*20,0))</x:f>
      </x:c>
      <x:c r="N75" s="32" t="str">
        <x:f>IF(A75="","",IF(M75&gt;=80,"Готово",IF(M75&gt;=60,"Нужно дополнить",IF(M75&gt;=40,"Черновик","Отклонить"))))</x:f>
      </x:c>
    </x:row>
    <x:row r="76" ht="42" customHeight="1">
      <x:c r="A76" s="32"/>
      <x:c r="B76" s="32"/>
      <x:c r="C76" s="32"/>
      <x:c r="D76" s="32"/>
      <x:c r="E76" s="32"/>
      <x:c r="F76" s="56"/>
      <x:c r="G76" s="56"/>
      <x:c r="H76" s="56" t="str">
        <x:f>IF(OR(F76="",G76=""),"",F76*G76)</x:f>
      </x:c>
      <x:c r="I76" s="32"/>
      <x:c r="J76" s="32"/>
      <x:c r="K76" s="32"/>
      <x:c r="L76" s="32"/>
      <x:c r="M76" s="32" t="str">
        <x:f>IF(COUNTA(J76:L76)=0,"",ROUND(((J76*0.40)+(K76*0.30)+(L76*0.30))*20,0))</x:f>
      </x:c>
      <x:c r="N76" s="32" t="str">
        <x:f>IF(A76="","",IF(M76&gt;=80,"Готово",IF(M76&gt;=60,"Нужно дополнить",IF(M76&gt;=40,"Черновик","Отклонить"))))</x:f>
      </x:c>
    </x:row>
    <x:row r="77" ht="42" customHeight="1">
      <x:c r="A77" s="32"/>
      <x:c r="B77" s="32"/>
      <x:c r="C77" s="32"/>
      <x:c r="D77" s="32"/>
      <x:c r="E77" s="32"/>
      <x:c r="F77" s="56"/>
      <x:c r="G77" s="56"/>
      <x:c r="H77" s="56" t="str">
        <x:f>IF(OR(F77="",G77=""),"",F77*G77)</x:f>
      </x:c>
      <x:c r="I77" s="32"/>
      <x:c r="J77" s="32"/>
      <x:c r="K77" s="32"/>
      <x:c r="L77" s="32"/>
      <x:c r="M77" s="32" t="str">
        <x:f>IF(COUNTA(J77:L77)=0,"",ROUND(((J77*0.40)+(K77*0.30)+(L77*0.30))*20,0))</x:f>
      </x:c>
      <x:c r="N77" s="32" t="str">
        <x:f>IF(A77="","",IF(M77&gt;=80,"Готово",IF(M77&gt;=60,"Нужно дополнить",IF(M77&gt;=40,"Черновик","Отклонить"))))</x:f>
      </x:c>
    </x:row>
    <x:row r="78" ht="42" customHeight="1">
      <x:c r="A78" s="32"/>
      <x:c r="B78" s="32"/>
      <x:c r="C78" s="32"/>
      <x:c r="D78" s="32"/>
      <x:c r="E78" s="32"/>
      <x:c r="F78" s="56"/>
      <x:c r="G78" s="56"/>
      <x:c r="H78" s="56" t="str">
        <x:f>IF(OR(F78="",G78=""),"",F78*G78)</x:f>
      </x:c>
      <x:c r="I78" s="32"/>
      <x:c r="J78" s="32"/>
      <x:c r="K78" s="32"/>
      <x:c r="L78" s="32"/>
      <x:c r="M78" s="32" t="str">
        <x:f>IF(COUNTA(J78:L78)=0,"",ROUND(((J78*0.40)+(K78*0.30)+(L78*0.30))*20,0))</x:f>
      </x:c>
      <x:c r="N78" s="32" t="str">
        <x:f>IF(A78="","",IF(M78&gt;=80,"Готово",IF(M78&gt;=60,"Нужно дополнить",IF(M78&gt;=40,"Черновик","Отклонить"))))</x:f>
      </x:c>
    </x:row>
    <x:row r="79" ht="42" customHeight="1">
      <x:c r="A79" s="32"/>
      <x:c r="B79" s="32"/>
      <x:c r="C79" s="32"/>
      <x:c r="D79" s="32"/>
      <x:c r="E79" s="32"/>
      <x:c r="F79" s="56"/>
      <x:c r="G79" s="56"/>
      <x:c r="H79" s="56" t="str">
        <x:f>IF(OR(F79="",G79=""),"",F79*G79)</x:f>
      </x:c>
      <x:c r="I79" s="32"/>
      <x:c r="J79" s="32"/>
      <x:c r="K79" s="32"/>
      <x:c r="L79" s="32"/>
      <x:c r="M79" s="32" t="str">
        <x:f>IF(COUNTA(J79:L79)=0,"",ROUND(((J79*0.40)+(K79*0.30)+(L79*0.30))*20,0))</x:f>
      </x:c>
      <x:c r="N79" s="32" t="str">
        <x:f>IF(A79="","",IF(M79&gt;=80,"Готово",IF(M79&gt;=60,"Нужно дополнить",IF(M79&gt;=40,"Черновик","Отклонить"))))</x:f>
      </x:c>
    </x:row>
    <x:row r="80" ht="42" customHeight="1">
      <x:c r="A80" s="32"/>
      <x:c r="B80" s="32"/>
      <x:c r="C80" s="32"/>
      <x:c r="D80" s="32"/>
      <x:c r="E80" s="32"/>
      <x:c r="F80" s="56"/>
      <x:c r="G80" s="56"/>
      <x:c r="H80" s="56" t="str">
        <x:f>IF(OR(F80="",G80=""),"",F80*G80)</x:f>
      </x:c>
      <x:c r="I80" s="32"/>
      <x:c r="J80" s="32"/>
      <x:c r="K80" s="32"/>
      <x:c r="L80" s="32"/>
      <x:c r="M80" s="32" t="str">
        <x:f>IF(COUNTA(J80:L80)=0,"",ROUND(((J80*0.40)+(K80*0.30)+(L80*0.30))*20,0))</x:f>
      </x:c>
      <x:c r="N80" s="32" t="str">
        <x:f>IF(A80="","",IF(M80&gt;=80,"Готово",IF(M80&gt;=60,"Нужно дополнить",IF(M80&gt;=40,"Черновик","Отклонить"))))</x:f>
      </x:c>
    </x:row>
    <x:row r="81" ht="42" customHeight="1">
      <x:c r="A81" s="32"/>
      <x:c r="B81" s="32"/>
      <x:c r="C81" s="32"/>
      <x:c r="D81" s="32"/>
      <x:c r="E81" s="32"/>
      <x:c r="F81" s="56"/>
      <x:c r="G81" s="56"/>
      <x:c r="H81" s="56" t="str">
        <x:f>IF(OR(F81="",G81=""),"",F81*G81)</x:f>
      </x:c>
      <x:c r="I81" s="32"/>
      <x:c r="J81" s="32"/>
      <x:c r="K81" s="32"/>
      <x:c r="L81" s="32"/>
      <x:c r="M81" s="32" t="str">
        <x:f>IF(COUNTA(J81:L81)=0,"",ROUND(((J81*0.40)+(K81*0.30)+(L81*0.30))*20,0))</x:f>
      </x:c>
      <x:c r="N81" s="32" t="str">
        <x:f>IF(A81="","",IF(M81&gt;=80,"Готово",IF(M81&gt;=60,"Нужно дополнить",IF(M81&gt;=40,"Черновик","Отклонить"))))</x:f>
      </x:c>
    </x:row>
    <x:row r="82" ht="42" customHeight="1">
      <x:c r="A82" s="32"/>
      <x:c r="B82" s="32"/>
      <x:c r="C82" s="32"/>
      <x:c r="D82" s="32"/>
      <x:c r="E82" s="32"/>
      <x:c r="F82" s="56"/>
      <x:c r="G82" s="56"/>
      <x:c r="H82" s="56" t="str">
        <x:f>IF(OR(F82="",G82=""),"",F82*G82)</x:f>
      </x:c>
      <x:c r="I82" s="32"/>
      <x:c r="J82" s="32"/>
      <x:c r="K82" s="32"/>
      <x:c r="L82" s="32"/>
      <x:c r="M82" s="32" t="str">
        <x:f>IF(COUNTA(J82:L82)=0,"",ROUND(((J82*0.40)+(K82*0.30)+(L82*0.30))*20,0))</x:f>
      </x:c>
      <x:c r="N82" s="32" t="str">
        <x:f>IF(A82="","",IF(M82&gt;=80,"Готово",IF(M82&gt;=60,"Нужно дополнить",IF(M82&gt;=40,"Черновик","Отклонить"))))</x:f>
      </x:c>
    </x:row>
    <x:row r="83" ht="42" customHeight="1">
      <x:c r="A83" s="32"/>
      <x:c r="B83" s="32"/>
      <x:c r="C83" s="32"/>
      <x:c r="D83" s="32"/>
      <x:c r="E83" s="32"/>
      <x:c r="F83" s="56"/>
      <x:c r="G83" s="56"/>
      <x:c r="H83" s="56" t="str">
        <x:f>IF(OR(F83="",G83=""),"",F83*G83)</x:f>
      </x:c>
      <x:c r="I83" s="32"/>
      <x:c r="J83" s="32"/>
      <x:c r="K83" s="32"/>
      <x:c r="L83" s="32"/>
      <x:c r="M83" s="32" t="str">
        <x:f>IF(COUNTA(J83:L83)=0,"",ROUND(((J83*0.40)+(K83*0.30)+(L83*0.30))*20,0))</x:f>
      </x:c>
      <x:c r="N83" s="32" t="str">
        <x:f>IF(A83="","",IF(M83&gt;=80,"Готово",IF(M83&gt;=60,"Нужно дополнить",IF(M83&gt;=40,"Черновик","Отклонить"))))</x:f>
      </x:c>
    </x:row>
    <x:row r="84" ht="42" customHeight="1">
      <x:c r="A84" s="32"/>
      <x:c r="B84" s="32"/>
      <x:c r="C84" s="32"/>
      <x:c r="D84" s="32"/>
      <x:c r="E84" s="32"/>
      <x:c r="F84" s="56"/>
      <x:c r="G84" s="56"/>
      <x:c r="H84" s="56" t="str">
        <x:f>IF(OR(F84="",G84=""),"",F84*G84)</x:f>
      </x:c>
      <x:c r="I84" s="32"/>
      <x:c r="J84" s="32"/>
      <x:c r="K84" s="32"/>
      <x:c r="L84" s="32"/>
      <x:c r="M84" s="32" t="str">
        <x:f>IF(COUNTA(J84:L84)=0,"",ROUND(((J84*0.40)+(K84*0.30)+(L84*0.30))*20,0))</x:f>
      </x:c>
      <x:c r="N84" s="32" t="str">
        <x:f>IF(A84="","",IF(M84&gt;=80,"Готово",IF(M84&gt;=60,"Нужно дополнить",IF(M84&gt;=40,"Черновик","Отклонить"))))</x:f>
      </x:c>
    </x:row>
    <x:row r="85" ht="42" customHeight="1">
      <x:c r="A85" s="32"/>
      <x:c r="B85" s="32"/>
      <x:c r="C85" s="32"/>
      <x:c r="D85" s="32"/>
      <x:c r="E85" s="32"/>
      <x:c r="F85" s="56"/>
      <x:c r="G85" s="56"/>
      <x:c r="H85" s="56" t="str">
        <x:f>IF(OR(F85="",G85=""),"",F85*G85)</x:f>
      </x:c>
      <x:c r="I85" s="32"/>
      <x:c r="J85" s="32"/>
      <x:c r="K85" s="32"/>
      <x:c r="L85" s="32"/>
      <x:c r="M85" s="32" t="str">
        <x:f>IF(COUNTA(J85:L85)=0,"",ROUND(((J85*0.40)+(K85*0.30)+(L85*0.30))*20,0))</x:f>
      </x:c>
      <x:c r="N85" s="32" t="str">
        <x:f>IF(A85="","",IF(M85&gt;=80,"Готово",IF(M85&gt;=60,"Нужно дополнить",IF(M85&gt;=40,"Черновик","Отклонить"))))</x:f>
      </x:c>
    </x:row>
    <x:row r="86" ht="42" customHeight="1">
      <x:c r="A86" s="32"/>
      <x:c r="B86" s="32"/>
      <x:c r="C86" s="32"/>
      <x:c r="D86" s="32"/>
      <x:c r="E86" s="32"/>
      <x:c r="F86" s="56"/>
      <x:c r="G86" s="56"/>
      <x:c r="H86" s="56" t="str">
        <x:f>IF(OR(F86="",G86=""),"",F86*G86)</x:f>
      </x:c>
      <x:c r="I86" s="32"/>
      <x:c r="J86" s="32"/>
      <x:c r="K86" s="32"/>
      <x:c r="L86" s="32"/>
      <x:c r="M86" s="32" t="str">
        <x:f>IF(COUNTA(J86:L86)=0,"",ROUND(((J86*0.40)+(K86*0.30)+(L86*0.30))*20,0))</x:f>
      </x:c>
      <x:c r="N86" s="32" t="str">
        <x:f>IF(A86="","",IF(M86&gt;=80,"Готово",IF(M86&gt;=60,"Нужно дополнить",IF(M86&gt;=40,"Черновик","Отклонить"))))</x:f>
      </x:c>
    </x:row>
    <x:row r="87" ht="42" customHeight="1">
      <x:c r="A87" s="32"/>
      <x:c r="B87" s="32"/>
      <x:c r="C87" s="32"/>
      <x:c r="D87" s="32"/>
      <x:c r="E87" s="32"/>
      <x:c r="F87" s="56"/>
      <x:c r="G87" s="56"/>
      <x:c r="H87" s="56" t="str">
        <x:f>IF(OR(F87="",G87=""),"",F87*G87)</x:f>
      </x:c>
      <x:c r="I87" s="32"/>
      <x:c r="J87" s="32"/>
      <x:c r="K87" s="32"/>
      <x:c r="L87" s="32"/>
      <x:c r="M87" s="32" t="str">
        <x:f>IF(COUNTA(J87:L87)=0,"",ROUND(((J87*0.40)+(K87*0.30)+(L87*0.30))*20,0))</x:f>
      </x:c>
      <x:c r="N87" s="32" t="str">
        <x:f>IF(A87="","",IF(M87&gt;=80,"Готово",IF(M87&gt;=60,"Нужно дополнить",IF(M87&gt;=40,"Черновик","Отклонить"))))</x:f>
      </x:c>
    </x:row>
    <x:row r="88" ht="42" customHeight="1">
      <x:c r="A88" s="32"/>
      <x:c r="B88" s="32"/>
      <x:c r="C88" s="32"/>
      <x:c r="D88" s="32"/>
      <x:c r="E88" s="32"/>
      <x:c r="F88" s="56"/>
      <x:c r="G88" s="56"/>
      <x:c r="H88" s="56" t="str">
        <x:f>IF(OR(F88="",G88=""),"",F88*G88)</x:f>
      </x:c>
      <x:c r="I88" s="32"/>
      <x:c r="J88" s="32"/>
      <x:c r="K88" s="32"/>
      <x:c r="L88" s="32"/>
      <x:c r="M88" s="32" t="str">
        <x:f>IF(COUNTA(J88:L88)=0,"",ROUND(((J88*0.40)+(K88*0.30)+(L88*0.30))*20,0))</x:f>
      </x:c>
      <x:c r="N88" s="32" t="str">
        <x:f>IF(A88="","",IF(M88&gt;=80,"Готово",IF(M88&gt;=60,"Нужно дополнить",IF(M88&gt;=40,"Черновик","Отклонить"))))</x:f>
      </x:c>
    </x:row>
    <x:row r="89" ht="42" customHeight="1">
      <x:c r="A89" s="32"/>
      <x:c r="B89" s="32"/>
      <x:c r="C89" s="32"/>
      <x:c r="D89" s="32"/>
      <x:c r="E89" s="32"/>
      <x:c r="F89" s="56"/>
      <x:c r="G89" s="56"/>
      <x:c r="H89" s="56" t="str">
        <x:f>IF(OR(F89="",G89=""),"",F89*G89)</x:f>
      </x:c>
      <x:c r="I89" s="32"/>
      <x:c r="J89" s="32"/>
      <x:c r="K89" s="32"/>
      <x:c r="L89" s="32"/>
      <x:c r="M89" s="32" t="str">
        <x:f>IF(COUNTA(J89:L89)=0,"",ROUND(((J89*0.40)+(K89*0.30)+(L89*0.30))*20,0))</x:f>
      </x:c>
      <x:c r="N89" s="32" t="str">
        <x:f>IF(A89="","",IF(M89&gt;=80,"Готово",IF(M89&gt;=60,"Нужно дополнить",IF(M89&gt;=40,"Черновик","Отклонить"))))</x:f>
      </x:c>
    </x:row>
    <x:row r="90" ht="42" customHeight="1">
      <x:c r="A90" s="32"/>
      <x:c r="B90" s="32"/>
      <x:c r="C90" s="32"/>
      <x:c r="D90" s="32"/>
      <x:c r="E90" s="32"/>
      <x:c r="F90" s="56"/>
      <x:c r="G90" s="56"/>
      <x:c r="H90" s="56" t="str">
        <x:f>IF(OR(F90="",G90=""),"",F90*G90)</x:f>
      </x:c>
      <x:c r="I90" s="32"/>
      <x:c r="J90" s="32"/>
      <x:c r="K90" s="32"/>
      <x:c r="L90" s="32"/>
      <x:c r="M90" s="32" t="str">
        <x:f>IF(COUNTA(J90:L90)=0,"",ROUND(((J90*0.40)+(K90*0.30)+(L90*0.30))*20,0))</x:f>
      </x:c>
      <x:c r="N90" s="32" t="str">
        <x:f>IF(A90="","",IF(M90&gt;=80,"Готово",IF(M90&gt;=60,"Нужно дополнить",IF(M90&gt;=40,"Черновик","Отклонить"))))</x:f>
      </x:c>
    </x:row>
    <x:row r="91" ht="42" customHeight="1">
      <x:c r="A91" s="32"/>
      <x:c r="B91" s="32"/>
      <x:c r="C91" s="32"/>
      <x:c r="D91" s="32"/>
      <x:c r="E91" s="32"/>
      <x:c r="F91" s="56"/>
      <x:c r="G91" s="56"/>
      <x:c r="H91" s="56" t="str">
        <x:f>IF(OR(F91="",G91=""),"",F91*G91)</x:f>
      </x:c>
      <x:c r="I91" s="32"/>
      <x:c r="J91" s="32"/>
      <x:c r="K91" s="32"/>
      <x:c r="L91" s="32"/>
      <x:c r="M91" s="32" t="str">
        <x:f>IF(COUNTA(J91:L91)=0,"",ROUND(((J91*0.40)+(K91*0.30)+(L91*0.30))*20,0))</x:f>
      </x:c>
      <x:c r="N91" s="32" t="str">
        <x:f>IF(A91="","",IF(M91&gt;=80,"Готово",IF(M91&gt;=60,"Нужно дополнить",IF(M91&gt;=40,"Черновик","Отклонить"))))</x:f>
      </x:c>
    </x:row>
    <x:row r="92" ht="42" customHeight="1">
      <x:c r="A92" s="32"/>
      <x:c r="B92" s="32"/>
      <x:c r="C92" s="32"/>
      <x:c r="D92" s="32"/>
      <x:c r="E92" s="32"/>
      <x:c r="F92" s="56"/>
      <x:c r="G92" s="56"/>
      <x:c r="H92" s="56" t="str">
        <x:f>IF(OR(F92="",G92=""),"",F92*G92)</x:f>
      </x:c>
      <x:c r="I92" s="32"/>
      <x:c r="J92" s="32"/>
      <x:c r="K92" s="32"/>
      <x:c r="L92" s="32"/>
      <x:c r="M92" s="32" t="str">
        <x:f>IF(COUNTA(J92:L92)=0,"",ROUND(((J92*0.40)+(K92*0.30)+(L92*0.30))*20,0))</x:f>
      </x:c>
      <x:c r="N92" s="32" t="str">
        <x:f>IF(A92="","",IF(M92&gt;=80,"Готово",IF(M92&gt;=60,"Нужно дополнить",IF(M92&gt;=40,"Черновик","Отклонить"))))</x:f>
      </x:c>
    </x:row>
    <x:row r="93" ht="42" customHeight="1">
      <x:c r="A93" s="32"/>
      <x:c r="B93" s="32"/>
      <x:c r="C93" s="32"/>
      <x:c r="D93" s="32"/>
      <x:c r="E93" s="32"/>
      <x:c r="F93" s="56"/>
      <x:c r="G93" s="56"/>
      <x:c r="H93" s="56" t="str">
        <x:f>IF(OR(F93="",G93=""),"",F93*G93)</x:f>
      </x:c>
      <x:c r="I93" s="32"/>
      <x:c r="J93" s="32"/>
      <x:c r="K93" s="32"/>
      <x:c r="L93" s="32"/>
      <x:c r="M93" s="32" t="str">
        <x:f>IF(COUNTA(J93:L93)=0,"",ROUND(((J93*0.40)+(K93*0.30)+(L93*0.30))*20,0))</x:f>
      </x:c>
      <x:c r="N93" s="32" t="str">
        <x:f>IF(A93="","",IF(M93&gt;=80,"Готово",IF(M93&gt;=60,"Нужно дополнить",IF(M93&gt;=40,"Черновик","Отклонить"))))</x:f>
      </x:c>
    </x:row>
    <x:row r="94" ht="42" customHeight="1">
      <x:c r="A94" s="32"/>
      <x:c r="B94" s="32"/>
      <x:c r="C94" s="32"/>
      <x:c r="D94" s="32"/>
      <x:c r="E94" s="32"/>
      <x:c r="F94" s="56"/>
      <x:c r="G94" s="56"/>
      <x:c r="H94" s="56" t="str">
        <x:f>IF(OR(F94="",G94=""),"",F94*G94)</x:f>
      </x:c>
      <x:c r="I94" s="32"/>
      <x:c r="J94" s="32"/>
      <x:c r="K94" s="32"/>
      <x:c r="L94" s="32"/>
      <x:c r="M94" s="32" t="str">
        <x:f>IF(COUNTA(J94:L94)=0,"",ROUND(((J94*0.40)+(K94*0.30)+(L94*0.30))*20,0))</x:f>
      </x:c>
      <x:c r="N94" s="32" t="str">
        <x:f>IF(A94="","",IF(M94&gt;=80,"Готово",IF(M94&gt;=60,"Нужно дополнить",IF(M94&gt;=40,"Черновик","Отклонить"))))</x:f>
      </x:c>
    </x:row>
    <x:row r="95" ht="42" customHeight="1">
      <x:c r="A95" s="32"/>
      <x:c r="B95" s="32"/>
      <x:c r="C95" s="32"/>
      <x:c r="D95" s="32"/>
      <x:c r="E95" s="32"/>
      <x:c r="F95" s="56"/>
      <x:c r="G95" s="56"/>
      <x:c r="H95" s="56" t="str">
        <x:f>IF(OR(F95="",G95=""),"",F95*G95)</x:f>
      </x:c>
      <x:c r="I95" s="32"/>
      <x:c r="J95" s="32"/>
      <x:c r="K95" s="32"/>
      <x:c r="L95" s="32"/>
      <x:c r="M95" s="32" t="str">
        <x:f>IF(COUNTA(J95:L95)=0,"",ROUND(((J95*0.40)+(K95*0.30)+(L95*0.30))*20,0))</x:f>
      </x:c>
      <x:c r="N95" s="32" t="str">
        <x:f>IF(A95="","",IF(M95&gt;=80,"Готово",IF(M95&gt;=60,"Нужно дополнить",IF(M95&gt;=40,"Черновик","Отклонить"))))</x:f>
      </x:c>
    </x:row>
    <x:row r="96" ht="42" customHeight="1">
      <x:c r="A96" s="32"/>
      <x:c r="B96" s="32"/>
      <x:c r="C96" s="32"/>
      <x:c r="D96" s="32"/>
      <x:c r="E96" s="32"/>
      <x:c r="F96" s="56"/>
      <x:c r="G96" s="56"/>
      <x:c r="H96" s="56" t="str">
        <x:f>IF(OR(F96="",G96=""),"",F96*G96)</x:f>
      </x:c>
      <x:c r="I96" s="32"/>
      <x:c r="J96" s="32"/>
      <x:c r="K96" s="32"/>
      <x:c r="L96" s="32"/>
      <x:c r="M96" s="32" t="str">
        <x:f>IF(COUNTA(J96:L96)=0,"",ROUND(((J96*0.40)+(K96*0.30)+(L96*0.30))*20,0))</x:f>
      </x:c>
      <x:c r="N96" s="32" t="str">
        <x:f>IF(A96="","",IF(M96&gt;=80,"Готово",IF(M96&gt;=60,"Нужно дополнить",IF(M96&gt;=40,"Черновик","Отклонить"))))</x:f>
      </x:c>
    </x:row>
    <x:row r="97" ht="42" customHeight="1">
      <x:c r="A97" s="32"/>
      <x:c r="B97" s="32"/>
      <x:c r="C97" s="32"/>
      <x:c r="D97" s="32"/>
      <x:c r="E97" s="32"/>
      <x:c r="F97" s="56"/>
      <x:c r="G97" s="56"/>
      <x:c r="H97" s="56" t="str">
        <x:f>IF(OR(F97="",G97=""),"",F97*G97)</x:f>
      </x:c>
      <x:c r="I97" s="32"/>
      <x:c r="J97" s="32"/>
      <x:c r="K97" s="32"/>
      <x:c r="L97" s="32"/>
      <x:c r="M97" s="32" t="str">
        <x:f>IF(COUNTA(J97:L97)=0,"",ROUND(((J97*0.40)+(K97*0.30)+(L97*0.30))*20,0))</x:f>
      </x:c>
      <x:c r="N97" s="32" t="str">
        <x:f>IF(A97="","",IF(M97&gt;=80,"Готово",IF(M97&gt;=60,"Нужно дополнить",IF(M97&gt;=40,"Черновик","Отклонить"))))</x:f>
      </x:c>
    </x:row>
    <x:row r="98" ht="42" customHeight="1">
      <x:c r="A98" s="32"/>
      <x:c r="B98" s="32"/>
      <x:c r="C98" s="32"/>
      <x:c r="D98" s="32"/>
      <x:c r="E98" s="32"/>
      <x:c r="F98" s="56"/>
      <x:c r="G98" s="56"/>
      <x:c r="H98" s="56" t="str">
        <x:f>IF(OR(F98="",G98=""),"",F98*G98)</x:f>
      </x:c>
      <x:c r="I98" s="32"/>
      <x:c r="J98" s="32"/>
      <x:c r="K98" s="32"/>
      <x:c r="L98" s="32"/>
      <x:c r="M98" s="32" t="str">
        <x:f>IF(COUNTA(J98:L98)=0,"",ROUND(((J98*0.40)+(K98*0.30)+(L98*0.30))*20,0))</x:f>
      </x:c>
      <x:c r="N98" s="32" t="str">
        <x:f>IF(A98="","",IF(M98&gt;=80,"Готово",IF(M98&gt;=60,"Нужно дополнить",IF(M98&gt;=40,"Черновик","Отклонить"))))</x:f>
      </x:c>
    </x:row>
    <x:row r="99" ht="42" customHeight="1">
      <x:c r="A99" s="32"/>
      <x:c r="B99" s="32"/>
      <x:c r="C99" s="32"/>
      <x:c r="D99" s="32"/>
      <x:c r="E99" s="32"/>
      <x:c r="F99" s="56"/>
      <x:c r="G99" s="56"/>
      <x:c r="H99" s="56" t="str">
        <x:f>IF(OR(F99="",G99=""),"",F99*G99)</x:f>
      </x:c>
      <x:c r="I99" s="32"/>
      <x:c r="J99" s="32"/>
      <x:c r="K99" s="32"/>
      <x:c r="L99" s="32"/>
      <x:c r="M99" s="32" t="str">
        <x:f>IF(COUNTA(J99:L99)=0,"",ROUND(((J99*0.40)+(K99*0.30)+(L99*0.30))*20,0))</x:f>
      </x:c>
      <x:c r="N99" s="32" t="str">
        <x:f>IF(A99="","",IF(M99&gt;=80,"Готово",IF(M99&gt;=60,"Нужно дополнить",IF(M99&gt;=40,"Черновик","Отклонить"))))</x:f>
      </x:c>
    </x:row>
    <x:row r="100" ht="42" customHeight="1">
      <x:c r="A100" s="32"/>
      <x:c r="B100" s="32"/>
      <x:c r="C100" s="32"/>
      <x:c r="D100" s="32"/>
      <x:c r="E100" s="32"/>
      <x:c r="F100" s="56"/>
      <x:c r="G100" s="56"/>
      <x:c r="H100" s="56" t="str">
        <x:f>IF(OR(F100="",G100=""),"",F100*G100)</x:f>
      </x:c>
      <x:c r="I100" s="32"/>
      <x:c r="J100" s="32"/>
      <x:c r="K100" s="32"/>
      <x:c r="L100" s="32"/>
      <x:c r="M100" s="32" t="str">
        <x:f>IF(COUNTA(J100:L100)=0,"",ROUND(((J100*0.40)+(K100*0.30)+(L100*0.30))*20,0))</x:f>
      </x:c>
      <x:c r="N100" s="32" t="str">
        <x:f>IF(A100="","",IF(M100&gt;=80,"Готово",IF(M100&gt;=60,"Нужно дополнить",IF(M100&gt;=40,"Черновик","Отклонить"))))</x:f>
      </x:c>
    </x:row>
    <x:row r="101" ht="42" customHeight="1">
      <x:c r="A101" s="32"/>
      <x:c r="B101" s="32"/>
      <x:c r="C101" s="32"/>
      <x:c r="D101" s="32"/>
      <x:c r="E101" s="32"/>
      <x:c r="F101" s="56"/>
      <x:c r="G101" s="56"/>
      <x:c r="H101" s="56" t="str">
        <x:f>IF(OR(F101="",G101=""),"",F101*G101)</x:f>
      </x:c>
      <x:c r="I101" s="32"/>
      <x:c r="J101" s="32"/>
      <x:c r="K101" s="32"/>
      <x:c r="L101" s="32"/>
      <x:c r="M101" s="32" t="str">
        <x:f>IF(COUNTA(J101:L101)=0,"",ROUND(((J101*0.40)+(K101*0.30)+(L101*0.30))*20,0))</x:f>
      </x:c>
      <x:c r="N101" s="32" t="str">
        <x:f>IF(A101="","",IF(M101&gt;=80,"Готово",IF(M101&gt;=60,"Нужно дополнить",IF(M101&gt;=40,"Черновик","Отклонить"))))</x:f>
      </x:c>
    </x:row>
    <x:row r="102" ht="42" customHeight="1">
      <x:c r="A102" s="32"/>
      <x:c r="B102" s="32"/>
      <x:c r="C102" s="32"/>
      <x:c r="D102" s="32"/>
      <x:c r="E102" s="32"/>
      <x:c r="F102" s="56"/>
      <x:c r="G102" s="56"/>
      <x:c r="H102" s="56" t="str">
        <x:f>IF(OR(F102="",G102=""),"",F102*G102)</x:f>
      </x:c>
      <x:c r="I102" s="32"/>
      <x:c r="J102" s="32"/>
      <x:c r="K102" s="32"/>
      <x:c r="L102" s="32"/>
      <x:c r="M102" s="32" t="str">
        <x:f>IF(COUNTA(J102:L102)=0,"",ROUND(((J102*0.40)+(K102*0.30)+(L102*0.30))*20,0))</x:f>
      </x:c>
      <x:c r="N102" s="32" t="str">
        <x:f>IF(A102="","",IF(M102&gt;=80,"Готово",IF(M102&gt;=60,"Нужно дополнить",IF(M102&gt;=40,"Черновик","Отклонить"))))</x:f>
      </x:c>
    </x:row>
    <x:row r="103" ht="42" customHeight="1">
      <x:c r="A103" s="32"/>
      <x:c r="B103" s="32"/>
      <x:c r="C103" s="32"/>
      <x:c r="D103" s="32"/>
      <x:c r="E103" s="32"/>
      <x:c r="F103" s="56"/>
      <x:c r="G103" s="56"/>
      <x:c r="H103" s="56" t="str">
        <x:f>IF(OR(F103="",G103=""),"",F103*G103)</x:f>
      </x:c>
      <x:c r="I103" s="32"/>
      <x:c r="J103" s="32"/>
      <x:c r="K103" s="32"/>
      <x:c r="L103" s="32"/>
      <x:c r="M103" s="32" t="str">
        <x:f>IF(COUNTA(J103:L103)=0,"",ROUND(((J103*0.40)+(K103*0.30)+(L103*0.30))*20,0))</x:f>
      </x:c>
      <x:c r="N103" s="32" t="str">
        <x:f>IF(A103="","",IF(M103&gt;=80,"Готово",IF(M103&gt;=60,"Нужно дополнить",IF(M103&gt;=40,"Черновик","Отклонить"))))</x:f>
      </x:c>
    </x:row>
    <x:row r="104" ht="42" customHeight="1">
      <x:c r="A104" s="32"/>
      <x:c r="B104" s="32"/>
      <x:c r="C104" s="32"/>
      <x:c r="D104" s="32"/>
      <x:c r="E104" s="32"/>
      <x:c r="F104" s="56"/>
      <x:c r="G104" s="56"/>
      <x:c r="H104" s="56" t="str">
        <x:f>IF(OR(F104="",G104=""),"",F104*G104)</x:f>
      </x:c>
      <x:c r="I104" s="32"/>
      <x:c r="J104" s="32"/>
      <x:c r="K104" s="32"/>
      <x:c r="L104" s="32"/>
      <x:c r="M104" s="32" t="str">
        <x:f>IF(COUNTA(J104:L104)=0,"",ROUND(((J104*0.40)+(K104*0.30)+(L104*0.30))*20,0))</x:f>
      </x:c>
      <x:c r="N104" s="32" t="str">
        <x:f>IF(A104="","",IF(M104&gt;=80,"Готово",IF(M104&gt;=60,"Нужно дополнить",IF(M104&gt;=40,"Черновик","Отклонить"))))</x:f>
      </x:c>
    </x:row>
  </x:sheetData>
  <x:mergeCells>
    <x:mergeCell ref="A1:N1"/>
    <x:mergeCell ref="A2:N2"/>
  </x:mergeCells>
  <x:conditionalFormatting sqref="M5:M104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dataValidations count="5">
    <x:dataValidation type="list" sqref="C5:C104">
      <x:formula1>'Справочники'!$G$4:$G$12</x:formula1>
    </x:dataValidation>
    <x:dataValidation type="list" sqref="E5:E104">
      <x:formula1>'Справочники'!$H$4:$H$12</x:formula1>
    </x:dataValidation>
    <x:dataValidation type="list" sqref="J5:J104">
      <x:formula1>'Справочники'!$A$4:$A$8</x:formula1>
    </x:dataValidation>
    <x:dataValidation type="list" sqref="K5:K104">
      <x:formula1>'Справочники'!$A$4:$A$8</x:formula1>
    </x:dataValidation>
    <x:dataValidation type="list" sqref="L5:L104">
      <x:formula1>'Справочники'!$A$4:$A$8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d97fdd5f56488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46" hidden="0" customWidth="1"/>
    <x:col min="5" max="5" width="30" hidden="0" customWidth="1"/>
    <x:col min="6" max="6" width="36" hidden="0" customWidth="1"/>
    <x:col min="7" max="7" width="34" hidden="0" customWidth="1"/>
    <x:col min="8" max="8" width="40" hidden="0" customWidth="1"/>
    <x:col min="9" max="9" width="38" hidden="0" customWidth="1"/>
    <x:col min="10" max="10" width="32" hidden="0" customWidth="1"/>
    <x:col min="11" max="11" width="34" hidden="0" customWidth="1"/>
    <x:col min="12" max="12" width="20" hidden="0" customWidth="1"/>
    <x:col min="13" max="13" width="28" hidden="0" customWidth="1"/>
  </x:cols>
  <x:sheetData>
    <x:row r="1" ht="28" customHeight="1">
      <x:c r="A1" s="6" t="str">
        <x:v>Связь цифрового товара с бизнес-моделью</x:v>
      </x:c>
    </x:row>
    <x:row r="2" ht="34" customHeight="1">
      <x:c r="A2" s="16" t="str">
        <x:v>Лист фиксирует, как ценностное предложение, цифровой товар и монетизация превращаются в элементы бизнес-модели.</x:v>
      </x:c>
    </x:row>
    <x:row r="4" ht="34" customHeight="1">
      <x:c r="A4" s="25" t="str">
        <x:v>ID модели</x:v>
      </x:c>
      <x:c r="B4" s="25" t="str">
        <x:v>ID товара</x:v>
      </x:c>
      <x:c r="C4" s="25" t="str">
        <x:v>Клиентские сегменты</x:v>
      </x:c>
      <x:c r="D4" s="25" t="str">
        <x:v>Ценностное предложение</x:v>
      </x:c>
      <x:c r="E4" s="25" t="str">
        <x:v>Каналы</x:v>
      </x:c>
      <x:c r="F4" s="25" t="str">
        <x:v>Отношения с клиентами</x:v>
      </x:c>
      <x:c r="G4" s="25" t="str">
        <x:v>Потоки доходов</x:v>
      </x:c>
      <x:c r="H4" s="25" t="str">
        <x:v>Ключевые ресурсы</x:v>
      </x:c>
      <x:c r="I4" s="25" t="str">
        <x:v>Ключевые виды деятельности</x:v>
      </x:c>
      <x:c r="J4" s="25" t="str">
        <x:v>Ключевые партнеры</x:v>
      </x:c>
      <x:c r="K4" s="25" t="str">
        <x:v>Структура затрат</x:v>
      </x:c>
      <x:c r="L4" s="25" t="str">
        <x:v>Индекс полноты бизнес-модели</x:v>
      </x:c>
      <x:c r="M4" s="25" t="str">
        <x:v>Комментарий</x:v>
      </x:c>
    </x:row>
    <x:row r="5" ht="42" customHeight="1">
      <x:c r="A5" s="32" t="str">
        <x:v>BM-001</x:v>
      </x:c>
      <x:c r="B5" s="32" t="str">
        <x:v>PR-001</x:v>
      </x:c>
      <x:c r="C5" s="32" t="str">
        <x:v>B2B-команды, которым нужен быстрый запуск процесса.</x:v>
      </x:c>
      <x:c r="D5" s="32" t="str">
        <x:v>Быстрое достижение первого результата за счет автоматической настройки.</x:v>
      </x:c>
      <x:c r="E5" s="32" t="str">
        <x:v>Сайт, демонстрация, пробный доступ.</x:v>
      </x:c>
      <x:c r="F5" s="32" t="str">
        <x:v>Самостоятельное подключение с поддержкой.</x:v>
      </x:c>
      <x:c r="G5" s="32" t="str">
        <x:v>Ежемесячная подписка за пользователя.</x:v>
      </x:c>
      <x:c r="H5" s="32" t="str">
        <x:v>Программная платформа, данные шаблонов, алгоритм настройки.</x:v>
      </x:c>
      <x:c r="I5" s="32" t="str">
        <x:v>Разработка, поддержка, обновление шаблонов.</x:v>
      </x:c>
      <x:c r="J5" s="32" t="str">
        <x:v>Интеграторы, поставщики данных.</x:v>
      </x:c>
      <x:c r="K5" s="32" t="str">
        <x:v>Разработка, инфраструктура, поддержка.</x:v>
      </x:c>
      <x:c r="L5" s="32" t="n">
        <x:f>IF(A5="","",ROUND((COUNTA(C5:K5)/9)*100,0))</x:f>
        <x:v>100</x:v>
      </x:c>
      <x:c r="M5" s="32" t="str">
        <x:v>Пример.</x:v>
      </x:c>
    </x:row>
    <x:row r="6" ht="42" customHeight="1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 t="str">
        <x:f>IF(A6="","",ROUND((COUNTA(C6:K6)/9)*100,0))</x:f>
      </x:c>
      <x:c r="M6" s="32"/>
    </x:row>
    <x:row r="7" ht="42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 t="str">
        <x:f>IF(A7="","",ROUND((COUNTA(C7:K7)/9)*100,0))</x:f>
      </x:c>
      <x:c r="M7" s="32"/>
    </x:row>
    <x:row r="8" ht="42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 t="str">
        <x:f>IF(A8="","",ROUND((COUNTA(C8:K8)/9)*100,0))</x:f>
      </x:c>
      <x:c r="M8" s="32"/>
    </x:row>
    <x:row r="9" ht="42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 t="str">
        <x:f>IF(A9="","",ROUND((COUNTA(C9:K9)/9)*100,0))</x:f>
      </x:c>
      <x:c r="M9" s="32"/>
    </x:row>
    <x:row r="10" ht="42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 t="str">
        <x:f>IF(A10="","",ROUND((COUNTA(C10:K10)/9)*100,0))</x:f>
      </x:c>
      <x:c r="M10" s="32"/>
    </x:row>
    <x:row r="11" ht="42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 t="str">
        <x:f>IF(A11="","",ROUND((COUNTA(C11:K11)/9)*100,0))</x:f>
      </x:c>
      <x:c r="M11" s="32"/>
    </x:row>
    <x:row r="12" ht="42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 t="str">
        <x:f>IF(A12="","",ROUND((COUNTA(C12:K12)/9)*100,0))</x:f>
      </x:c>
      <x:c r="M12" s="32"/>
    </x:row>
    <x:row r="13" ht="42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 t="str">
        <x:f>IF(A13="","",ROUND((COUNTA(C13:K13)/9)*100,0))</x:f>
      </x:c>
      <x:c r="M13" s="32"/>
    </x:row>
    <x:row r="14" ht="42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 t="str">
        <x:f>IF(A14="","",ROUND((COUNTA(C14:K14)/9)*100,0))</x:f>
      </x:c>
      <x:c r="M14" s="32"/>
    </x:row>
    <x:row r="15" ht="42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 t="str">
        <x:f>IF(A15="","",ROUND((COUNTA(C15:K15)/9)*100,0))</x:f>
      </x:c>
      <x:c r="M15" s="32"/>
    </x:row>
    <x:row r="16" ht="42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 t="str">
        <x:f>IF(A16="","",ROUND((COUNTA(C16:K16)/9)*100,0))</x:f>
      </x:c>
      <x:c r="M16" s="32"/>
    </x:row>
    <x:row r="17" ht="42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 t="str">
        <x:f>IF(A17="","",ROUND((COUNTA(C17:K17)/9)*100,0))</x:f>
      </x:c>
      <x:c r="M17" s="32"/>
    </x:row>
    <x:row r="18" ht="42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 t="str">
        <x:f>IF(A18="","",ROUND((COUNTA(C18:K18)/9)*100,0))</x:f>
      </x:c>
      <x:c r="M18" s="32"/>
    </x:row>
    <x:row r="19" ht="42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 t="str">
        <x:f>IF(A19="","",ROUND((COUNTA(C19:K19)/9)*100,0))</x:f>
      </x:c>
      <x:c r="M19" s="32"/>
    </x:row>
    <x:row r="20" ht="42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 t="str">
        <x:f>IF(A20="","",ROUND((COUNTA(C20:K20)/9)*100,0))</x:f>
      </x:c>
      <x:c r="M20" s="32"/>
    </x:row>
    <x:row r="21" ht="42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 t="str">
        <x:f>IF(A21="","",ROUND((COUNTA(C21:K21)/9)*100,0))</x:f>
      </x:c>
      <x:c r="M21" s="32"/>
    </x:row>
    <x:row r="22" ht="42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 t="str">
        <x:f>IF(A22="","",ROUND((COUNTA(C22:K22)/9)*100,0))</x:f>
      </x:c>
      <x:c r="M22" s="32"/>
    </x:row>
    <x:row r="23" ht="42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 t="str">
        <x:f>IF(A23="","",ROUND((COUNTA(C23:K23)/9)*100,0))</x:f>
      </x:c>
      <x:c r="M23" s="32"/>
    </x:row>
    <x:row r="24" ht="42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 t="str">
        <x:f>IF(A24="","",ROUND((COUNTA(C24:K24)/9)*100,0))</x:f>
      </x:c>
      <x:c r="M24" s="32"/>
    </x:row>
    <x:row r="25" ht="42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 t="str">
        <x:f>IF(A25="","",ROUND((COUNTA(C25:K25)/9)*100,0))</x:f>
      </x:c>
      <x:c r="M25" s="32"/>
    </x:row>
    <x:row r="26" ht="42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 t="str">
        <x:f>IF(A26="","",ROUND((COUNTA(C26:K26)/9)*100,0))</x:f>
      </x:c>
      <x:c r="M26" s="32"/>
    </x:row>
    <x:row r="27" ht="42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 t="str">
        <x:f>IF(A27="","",ROUND((COUNTA(C27:K27)/9)*100,0))</x:f>
      </x:c>
      <x:c r="M27" s="32"/>
    </x:row>
    <x:row r="28" ht="42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 t="str">
        <x:f>IF(A28="","",ROUND((COUNTA(C28:K28)/9)*100,0))</x:f>
      </x:c>
      <x:c r="M28" s="32"/>
    </x:row>
    <x:row r="29" ht="42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 t="str">
        <x:f>IF(A29="","",ROUND((COUNTA(C29:K29)/9)*100,0))</x:f>
      </x:c>
      <x:c r="M29" s="32"/>
    </x:row>
    <x:row r="30" ht="42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 t="str">
        <x:f>IF(A30="","",ROUND((COUNTA(C30:K30)/9)*100,0))</x:f>
      </x:c>
      <x:c r="M30" s="32"/>
    </x:row>
    <x:row r="31" ht="42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 t="str">
        <x:f>IF(A31="","",ROUND((COUNTA(C31:K31)/9)*100,0))</x:f>
      </x:c>
      <x:c r="M31" s="32"/>
    </x:row>
    <x:row r="32" ht="42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 t="str">
        <x:f>IF(A32="","",ROUND((COUNTA(C32:K32)/9)*100,0))</x:f>
      </x:c>
      <x:c r="M32" s="32"/>
    </x:row>
    <x:row r="33" ht="42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 t="str">
        <x:f>IF(A33="","",ROUND((COUNTA(C33:K33)/9)*100,0))</x:f>
      </x:c>
      <x:c r="M33" s="32"/>
    </x:row>
    <x:row r="34" ht="42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 t="str">
        <x:f>IF(A34="","",ROUND((COUNTA(C34:K34)/9)*100,0))</x:f>
      </x:c>
      <x:c r="M34" s="32"/>
    </x:row>
    <x:row r="35" ht="42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 t="str">
        <x:f>IF(A35="","",ROUND((COUNTA(C35:K35)/9)*100,0))</x:f>
      </x:c>
      <x:c r="M35" s="32"/>
    </x:row>
    <x:row r="36" ht="42" customHeight="1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 t="str">
        <x:f>IF(A36="","",ROUND((COUNTA(C36:K36)/9)*100,0))</x:f>
      </x:c>
      <x:c r="M36" s="32"/>
    </x:row>
    <x:row r="37" ht="42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 t="str">
        <x:f>IF(A37="","",ROUND((COUNTA(C37:K37)/9)*100,0))</x:f>
      </x:c>
      <x:c r="M37" s="32"/>
    </x:row>
    <x:row r="38" ht="42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 t="str">
        <x:f>IF(A38="","",ROUND((COUNTA(C38:K38)/9)*100,0))</x:f>
      </x:c>
      <x:c r="M38" s="32"/>
    </x:row>
    <x:row r="39" ht="42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 t="str">
        <x:f>IF(A39="","",ROUND((COUNTA(C39:K39)/9)*100,0))</x:f>
      </x:c>
      <x:c r="M39" s="32"/>
    </x:row>
    <x:row r="40" ht="42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 t="str">
        <x:f>IF(A40="","",ROUND((COUNTA(C40:K40)/9)*100,0))</x:f>
      </x:c>
      <x:c r="M40" s="32"/>
    </x:row>
    <x:row r="41" ht="42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 t="str">
        <x:f>IF(A41="","",ROUND((COUNTA(C41:K41)/9)*100,0))</x:f>
      </x:c>
      <x:c r="M41" s="32"/>
    </x:row>
    <x:row r="42" ht="42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 t="str">
        <x:f>IF(A42="","",ROUND((COUNTA(C42:K42)/9)*100,0))</x:f>
      </x:c>
      <x:c r="M42" s="32"/>
    </x:row>
    <x:row r="43" ht="42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 t="str">
        <x:f>IF(A43="","",ROUND((COUNTA(C43:K43)/9)*100,0))</x:f>
      </x:c>
      <x:c r="M43" s="32"/>
    </x:row>
    <x:row r="44" ht="42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 t="str">
        <x:f>IF(A44="","",ROUND((COUNTA(C44:K44)/9)*100,0))</x:f>
      </x:c>
      <x:c r="M44" s="32"/>
    </x:row>
    <x:row r="45" ht="42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 t="str">
        <x:f>IF(A45="","",ROUND((COUNTA(C45:K45)/9)*100,0))</x:f>
      </x:c>
      <x:c r="M45" s="32"/>
    </x:row>
    <x:row r="46" ht="42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 t="str">
        <x:f>IF(A46="","",ROUND((COUNTA(C46:K46)/9)*100,0))</x:f>
      </x:c>
      <x:c r="M46" s="32"/>
    </x:row>
    <x:row r="47" ht="42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 t="str">
        <x:f>IF(A47="","",ROUND((COUNTA(C47:K47)/9)*100,0))</x:f>
      </x:c>
      <x:c r="M47" s="32"/>
    </x:row>
    <x:row r="48" ht="42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 t="str">
        <x:f>IF(A48="","",ROUND((COUNTA(C48:K48)/9)*100,0))</x:f>
      </x:c>
      <x:c r="M48" s="32"/>
    </x:row>
    <x:row r="49" ht="42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 t="str">
        <x:f>IF(A49="","",ROUND((COUNTA(C49:K49)/9)*100,0))</x:f>
      </x:c>
      <x:c r="M49" s="32"/>
    </x:row>
    <x:row r="50" ht="42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 t="str">
        <x:f>IF(A50="","",ROUND((COUNTA(C50:K50)/9)*100,0))</x:f>
      </x:c>
      <x:c r="M50" s="32"/>
    </x:row>
    <x:row r="51" ht="42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 t="str">
        <x:f>IF(A51="","",ROUND((COUNTA(C51:K51)/9)*100,0))</x:f>
      </x:c>
      <x:c r="M51" s="32"/>
    </x:row>
    <x:row r="52" ht="42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 t="str">
        <x:f>IF(A52="","",ROUND((COUNTA(C52:K52)/9)*100,0))</x:f>
      </x:c>
      <x:c r="M52" s="32"/>
    </x:row>
    <x:row r="53" ht="42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 t="str">
        <x:f>IF(A53="","",ROUND((COUNTA(C53:K53)/9)*100,0))</x:f>
      </x:c>
      <x:c r="M53" s="32"/>
    </x:row>
    <x:row r="54" ht="42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 t="str">
        <x:f>IF(A54="","",ROUND((COUNTA(C54:K54)/9)*100,0))</x:f>
      </x:c>
      <x:c r="M54" s="32"/>
    </x:row>
    <x:row r="55" ht="42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 t="str">
        <x:f>IF(A55="","",ROUND((COUNTA(C55:K55)/9)*100,0))</x:f>
      </x:c>
      <x:c r="M55" s="32"/>
    </x:row>
    <x:row r="56" ht="42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 t="str">
        <x:f>IF(A56="","",ROUND((COUNTA(C56:K56)/9)*100,0))</x:f>
      </x:c>
      <x:c r="M56" s="32"/>
    </x:row>
    <x:row r="57" ht="42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 t="str">
        <x:f>IF(A57="","",ROUND((COUNTA(C57:K57)/9)*100,0))</x:f>
      </x:c>
      <x:c r="M57" s="32"/>
    </x:row>
    <x:row r="58" ht="42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 t="str">
        <x:f>IF(A58="","",ROUND((COUNTA(C58:K58)/9)*100,0))</x:f>
      </x:c>
      <x:c r="M58" s="32"/>
    </x:row>
    <x:row r="59" ht="42" customHeight="1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 t="str">
        <x:f>IF(A59="","",ROUND((COUNTA(C59:K59)/9)*100,0))</x:f>
      </x:c>
      <x:c r="M59" s="32"/>
    </x:row>
    <x:row r="60" ht="42" customHeight="1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 t="str">
        <x:f>IF(A60="","",ROUND((COUNTA(C60:K60)/9)*100,0))</x:f>
      </x:c>
      <x:c r="M60" s="32"/>
    </x:row>
    <x:row r="61" ht="42" customHeight="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 t="str">
        <x:f>IF(A61="","",ROUND((COUNTA(C61:K61)/9)*100,0))</x:f>
      </x:c>
      <x:c r="M61" s="32"/>
    </x:row>
    <x:row r="62" ht="42" customHeight="1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 t="str">
        <x:f>IF(A62="","",ROUND((COUNTA(C62:K62)/9)*100,0))</x:f>
      </x:c>
      <x:c r="M62" s="32"/>
    </x:row>
    <x:row r="63" ht="42" customHeight="1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 t="str">
        <x:f>IF(A63="","",ROUND((COUNTA(C63:K63)/9)*100,0))</x:f>
      </x:c>
      <x:c r="M63" s="32"/>
    </x:row>
    <x:row r="64" ht="42" customHeight="1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 t="str">
        <x:f>IF(A64="","",ROUND((COUNTA(C64:K64)/9)*100,0))</x:f>
      </x:c>
      <x:c r="M64" s="32"/>
    </x:row>
    <x:row r="65" ht="42" customHeight="1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 t="str">
        <x:f>IF(A65="","",ROUND((COUNTA(C65:K65)/9)*100,0))</x:f>
      </x:c>
      <x:c r="M65" s="32"/>
    </x:row>
    <x:row r="66" ht="42" customHeight="1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 t="str">
        <x:f>IF(A66="","",ROUND((COUNTA(C66:K66)/9)*100,0))</x:f>
      </x:c>
      <x:c r="M66" s="32"/>
    </x:row>
    <x:row r="67" ht="42" customHeight="1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 t="str">
        <x:f>IF(A67="","",ROUND((COUNTA(C67:K67)/9)*100,0))</x:f>
      </x:c>
      <x:c r="M67" s="32"/>
    </x:row>
    <x:row r="68" ht="42" customHeight="1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 t="str">
        <x:f>IF(A68="","",ROUND((COUNTA(C68:K68)/9)*100,0))</x:f>
      </x:c>
      <x:c r="M68" s="32"/>
    </x:row>
    <x:row r="69" ht="42" customHeight="1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 t="str">
        <x:f>IF(A69="","",ROUND((COUNTA(C69:K69)/9)*100,0))</x:f>
      </x:c>
      <x:c r="M69" s="32"/>
    </x:row>
    <x:row r="70" ht="42" customHeight="1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 t="str">
        <x:f>IF(A70="","",ROUND((COUNTA(C70:K70)/9)*100,0))</x:f>
      </x:c>
      <x:c r="M70" s="32"/>
    </x:row>
    <x:row r="71" ht="42" customHeight="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 t="str">
        <x:f>IF(A71="","",ROUND((COUNTA(C71:K71)/9)*100,0))</x:f>
      </x:c>
      <x:c r="M71" s="32"/>
    </x:row>
    <x:row r="72" ht="42" customHeight="1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 t="str">
        <x:f>IF(A72="","",ROUND((COUNTA(C72:K72)/9)*100,0))</x:f>
      </x:c>
      <x:c r="M72" s="32"/>
    </x:row>
    <x:row r="73" ht="42" customHeight="1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 t="str">
        <x:f>IF(A73="","",ROUND((COUNTA(C73:K73)/9)*100,0))</x:f>
      </x:c>
      <x:c r="M73" s="32"/>
    </x:row>
    <x:row r="74" ht="42" customHeight="1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 t="str">
        <x:f>IF(A74="","",ROUND((COUNTA(C74:K74)/9)*100,0))</x:f>
      </x:c>
      <x:c r="M74" s="32"/>
    </x:row>
    <x:row r="75" ht="42" customHeight="1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 t="str">
        <x:f>IF(A75="","",ROUND((COUNTA(C75:K75)/9)*100,0))</x:f>
      </x:c>
      <x:c r="M75" s="32"/>
    </x:row>
    <x:row r="76" ht="42" customHeight="1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 t="str">
        <x:f>IF(A76="","",ROUND((COUNTA(C76:K76)/9)*100,0))</x:f>
      </x:c>
      <x:c r="M76" s="32"/>
    </x:row>
    <x:row r="77" ht="42" customHeight="1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 t="str">
        <x:f>IF(A77="","",ROUND((COUNTA(C77:K77)/9)*100,0))</x:f>
      </x:c>
      <x:c r="M77" s="32"/>
    </x:row>
    <x:row r="78" ht="42" customHeight="1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 t="str">
        <x:f>IF(A78="","",ROUND((COUNTA(C78:K78)/9)*100,0))</x:f>
      </x:c>
      <x:c r="M78" s="32"/>
    </x:row>
    <x:row r="79" ht="42" customHeight="1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 t="str">
        <x:f>IF(A79="","",ROUND((COUNTA(C79:K79)/9)*100,0))</x:f>
      </x:c>
      <x:c r="M79" s="32"/>
    </x:row>
    <x:row r="80" ht="42" customHeight="1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 t="str">
        <x:f>IF(A80="","",ROUND((COUNTA(C80:K80)/9)*100,0))</x:f>
      </x:c>
      <x:c r="M80" s="32"/>
    </x:row>
    <x:row r="81" ht="42" customHeight="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 t="str">
        <x:f>IF(A81="","",ROUND((COUNTA(C81:K81)/9)*100,0))</x:f>
      </x:c>
      <x:c r="M81" s="32"/>
    </x:row>
    <x:row r="82" ht="42" customHeight="1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 t="str">
        <x:f>IF(A82="","",ROUND((COUNTA(C82:K82)/9)*100,0))</x:f>
      </x:c>
      <x:c r="M82" s="32"/>
    </x:row>
    <x:row r="83" ht="42" customHeight="1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 t="str">
        <x:f>IF(A83="","",ROUND((COUNTA(C83:K83)/9)*100,0))</x:f>
      </x:c>
      <x:c r="M83" s="32"/>
    </x:row>
    <x:row r="84" ht="42" customHeight="1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 t="str">
        <x:f>IF(A84="","",ROUND((COUNTA(C84:K84)/9)*100,0))</x:f>
      </x:c>
      <x:c r="M84" s="32"/>
    </x:row>
    <x:row r="85" ht="42" customHeight="1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 t="str">
        <x:f>IF(A85="","",ROUND((COUNTA(C85:K85)/9)*100,0))</x:f>
      </x:c>
      <x:c r="M85" s="32"/>
    </x:row>
    <x:row r="86" ht="42" customHeight="1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 t="str">
        <x:f>IF(A86="","",ROUND((COUNTA(C86:K86)/9)*100,0))</x:f>
      </x:c>
      <x:c r="M86" s="32"/>
    </x:row>
    <x:row r="87" ht="42" customHeight="1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 t="str">
        <x:f>IF(A87="","",ROUND((COUNTA(C87:K87)/9)*100,0))</x:f>
      </x:c>
      <x:c r="M87" s="32"/>
    </x:row>
    <x:row r="88" ht="42" customHeight="1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 t="str">
        <x:f>IF(A88="","",ROUND((COUNTA(C88:K88)/9)*100,0))</x:f>
      </x:c>
      <x:c r="M88" s="32"/>
    </x:row>
    <x:row r="89" ht="42" customHeight="1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 t="str">
        <x:f>IF(A89="","",ROUND((COUNTA(C89:K89)/9)*100,0))</x:f>
      </x:c>
      <x:c r="M89" s="32"/>
    </x:row>
    <x:row r="90" ht="42" customHeight="1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 t="str">
        <x:f>IF(A90="","",ROUND((COUNTA(C90:K90)/9)*100,0))</x:f>
      </x:c>
      <x:c r="M90" s="32"/>
    </x:row>
    <x:row r="91" ht="42" customHeight="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 t="str">
        <x:f>IF(A91="","",ROUND((COUNTA(C91:K91)/9)*100,0))</x:f>
      </x:c>
      <x:c r="M91" s="32"/>
    </x:row>
    <x:row r="92" ht="42" customHeight="1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 t="str">
        <x:f>IF(A92="","",ROUND((COUNTA(C92:K92)/9)*100,0))</x:f>
      </x:c>
      <x:c r="M92" s="32"/>
    </x:row>
    <x:row r="93" ht="42" customHeight="1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 t="str">
        <x:f>IF(A93="","",ROUND((COUNTA(C93:K93)/9)*100,0))</x:f>
      </x:c>
      <x:c r="M93" s="32"/>
    </x:row>
    <x:row r="94" ht="42" customHeight="1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 t="str">
        <x:f>IF(A94="","",ROUND((COUNTA(C94:K94)/9)*100,0))</x:f>
      </x:c>
      <x:c r="M94" s="32"/>
    </x:row>
    <x:row r="95" ht="42" customHeight="1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 t="str">
        <x:f>IF(A95="","",ROUND((COUNTA(C95:K95)/9)*100,0))</x:f>
      </x:c>
      <x:c r="M95" s="32"/>
    </x:row>
    <x:row r="96" ht="42" customHeight="1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 t="str">
        <x:f>IF(A96="","",ROUND((COUNTA(C96:K96)/9)*100,0))</x:f>
      </x:c>
      <x:c r="M96" s="32"/>
    </x:row>
    <x:row r="97" ht="42" customHeight="1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 t="str">
        <x:f>IF(A97="","",ROUND((COUNTA(C97:K97)/9)*100,0))</x:f>
      </x:c>
      <x:c r="M97" s="32"/>
    </x:row>
    <x:row r="98" ht="42" customHeight="1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 t="str">
        <x:f>IF(A98="","",ROUND((COUNTA(C98:K98)/9)*100,0))</x:f>
      </x:c>
      <x:c r="M98" s="32"/>
    </x:row>
    <x:row r="99" ht="42" customHeight="1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 t="str">
        <x:f>IF(A99="","",ROUND((COUNTA(C99:K99)/9)*100,0))</x:f>
      </x:c>
      <x:c r="M99" s="32"/>
    </x:row>
    <x:row r="100" ht="42" customHeight="1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 t="str">
        <x:f>IF(A100="","",ROUND((COUNTA(C100:K100)/9)*100,0))</x:f>
      </x:c>
      <x:c r="M100" s="32"/>
    </x:row>
    <x:row r="101" ht="42" customHeight="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 t="str">
        <x:f>IF(A101="","",ROUND((COUNTA(C101:K101)/9)*100,0))</x:f>
      </x:c>
      <x:c r="M101" s="32"/>
    </x:row>
    <x:row r="102" ht="42" customHeight="1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 t="str">
        <x:f>IF(A102="","",ROUND((COUNTA(C102:K102)/9)*100,0))</x:f>
      </x:c>
      <x:c r="M102" s="32"/>
    </x:row>
    <x:row r="103" ht="42" customHeight="1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 t="str">
        <x:f>IF(A103="","",ROUND((COUNTA(C103:K103)/9)*100,0))</x:f>
      </x:c>
      <x:c r="M103" s="32"/>
    </x:row>
    <x:row r="104" ht="42" customHeight="1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 t="str">
        <x:f>IF(A104="","",ROUND((COUNTA(C104:K104)/9)*100,0))</x:f>
      </x:c>
      <x:c r="M104" s="32"/>
    </x:row>
  </x:sheetData>
  <x:mergeCells>
    <x:mergeCell ref="A1:M1"/>
    <x:mergeCell ref="A2:M2"/>
  </x:mergeCells>
  <x:conditionalFormatting sqref="L5:L104">
    <x:cfRule type="dataBar" priority="1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{49A8C370-6F2E-7FF1-DF4C-64DB7C7D2111}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b87455df70b48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A8C370-6F2E-7FF1-DF4C-64DB7C7D2111}">
            <x14:dataBar gradient="1">
              <x14:cfvo type="min"/>
              <x14:cfvo type="max"/>
              <x14:fillColor rgb="4472C4"/>
            </x14:dataBar>
          </x14:cfRule>
          <xm:sqref>L5:L104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2" hidden="0" customWidth="1"/>
    <x:col min="7" max="7" width="16" hidden="0" customWidth="1"/>
    <x:col min="8" max="8" width="22" hidden="0" customWidth="1"/>
    <x:col min="9" max="9" width="38" hidden="0" customWidth="1"/>
    <x:col min="10" max="10" width="42" hidden="0" customWidth="1"/>
  </x:cols>
  <x:sheetData>
    <x:row r="1" ht="28" customHeight="1">
      <x:c r="A1" s="6" t="str">
        <x:v>Проверка связности: проблема → ценность → товар → монетизация → бизнес-модель</x:v>
      </x:c>
    </x:row>
    <x:row r="2" ht="34" customHeight="1">
      <x:c r="A2" s="16" t="str">
        <x:v>Итоговая проверка нужна для выявления разрывов между выбранной проблемой, обещанной ценностью, цифровым товаром и экономикой бизнес-модели.</x:v>
      </x:c>
    </x:row>
    <x:row r="4" ht="34" customHeight="1">
      <x:c r="A4" s="25" t="str">
        <x:v>ID проверки</x:v>
      </x:c>
      <x:c r="B4" s="25" t="str">
        <x:v>ID проблемы</x:v>
      </x:c>
      <x:c r="C4" s="25" t="str">
        <x:v>ID ЦП</x:v>
      </x:c>
      <x:c r="D4" s="25" t="str">
        <x:v>ID товара</x:v>
      </x:c>
      <x:c r="E4" s="25" t="str">
        <x:v>ID монетизации</x:v>
      </x:c>
      <x:c r="F4" s="25" t="str">
        <x:v>ID модели</x:v>
      </x:c>
      <x:c r="G4" s="25" t="str">
        <x:v>Индекс связности</x:v>
      </x:c>
      <x:c r="H4" s="25" t="str">
        <x:v>Решение</x:v>
      </x:c>
      <x:c r="I4" s="25" t="str">
        <x:v>Главный разрыв</x:v>
      </x:c>
      <x:c r="J4" s="25" t="str">
        <x:v>Что доработать</x:v>
      </x:c>
    </x:row>
    <x:row r="5" ht="42" customHeight="1">
      <x:c r="A5" s="32" t="str">
        <x:v>CHK-001</x:v>
      </x:c>
      <x:c r="B5" s="32" t="str">
        <x:v>P-001</x:v>
      </x:c>
      <x:c r="C5" s="32" t="str">
        <x:v>VP-001</x:v>
      </x:c>
      <x:c r="D5" s="32" t="str">
        <x:v>PR-001</x:v>
      </x:c>
      <x:c r="E5" s="32" t="str">
        <x:v>M-001</x:v>
      </x:c>
      <x:c r="F5" s="32" t="str">
        <x:v>BM-001</x:v>
      </x:c>
      <x:c r="G5" s="32" t="n">
        <x:f>IF(A5="","",ROUND((IFERROR(INDEX('Проблемы клиентов'!$K$5:$K$104,MATCH(B5,'Проблемы клиентов'!$A$5:$A$104,0)),0)*0.30+IFERROR(INDEX('Ценностные предложения'!$K$5:$K$104,MATCH(C5,'Ценностные предложения'!$A$5:$A$104,0)),0)*0.15+IFERROR(INDEX('Цифровой товар'!$K$5:$K$104,MATCH(D5,'Цифровой товар'!$A$5:$A$104,0)),0)*0.20+IFERROR(INDEX('Единица монетизации'!$M$5:$M$104,MATCH(E5,'Единица монетизации'!$A$5:$A$104,0)),0)*0.20+IFERROR(INDEX('Бизнес-модель'!$L$5:$L$104,MATCH(F5,'Бизнес-модель'!$A$5:$A$104,0)),0)*0.15),0))</x:f>
        <x:v>89</x:v>
      </x:c>
      <x:c r="H5" s="32" t="str">
        <x:f>IF(G5="","",IF(G5&gt;=75,"Проходят проверку",IF(G5&gt;=55,"Требуется доработка","Недостаточно данных")))</x:f>
        <x:v>Проходят проверку</x:v>
      </x:c>
      <x:c r="I5" s="32" t="str">
        <x:v>Нет критического разрыва.</x:v>
      </x:c>
      <x:c r="J5" s="32" t="str">
        <x:v>Проверить цену на реальных клиентах.</x:v>
      </x:c>
    </x:row>
    <x:row r="6" ht="42" customHeight="1">
      <x:c r="A6" s="32"/>
      <x:c r="B6" s="32"/>
      <x:c r="C6" s="32"/>
      <x:c r="D6" s="32"/>
      <x:c r="E6" s="32"/>
      <x:c r="F6" s="32"/>
      <x:c r="G6" s="32" t="str">
        <x:f>IF(A6="","",ROUND((IFERROR(INDEX('Проблемы клиентов'!$K$5:$K$104,MATCH(B6,'Проблемы клиентов'!$A$5:$A$104,0)),0)*0.30+IFERROR(INDEX('Ценностные предложения'!$K$5:$K$104,MATCH(C6,'Ценностные предложения'!$A$5:$A$104,0)),0)*0.15+IFERROR(INDEX('Цифровой товар'!$K$5:$K$104,MATCH(D6,'Цифровой товар'!$A$5:$A$104,0)),0)*0.20+IFERROR(INDEX('Единица монетизации'!$M$5:$M$104,MATCH(E6,'Единица монетизации'!$A$5:$A$104,0)),0)*0.20+IFERROR(INDEX('Бизнес-модель'!$L$5:$L$104,MATCH(F6,'Бизнес-модель'!$A$5:$A$104,0)),0)*0.15),0))</x:f>
      </x:c>
      <x:c r="H6" s="32" t="str">
        <x:f>IF(G6="","",IF(G6&gt;=75,"Проходят проверку",IF(G6&gt;=55,"Требуется доработка","Недостаточно данных")))</x:f>
      </x:c>
      <x:c r="I6" s="32"/>
      <x:c r="J6" s="32"/>
    </x:row>
    <x:row r="7" ht="42" customHeight="1">
      <x:c r="A7" s="32"/>
      <x:c r="B7" s="32"/>
      <x:c r="C7" s="32"/>
      <x:c r="D7" s="32"/>
      <x:c r="E7" s="32"/>
      <x:c r="F7" s="32"/>
      <x:c r="G7" s="32" t="str">
        <x:f>IF(A7="","",ROUND((IFERROR(INDEX('Проблемы клиентов'!$K$5:$K$104,MATCH(B7,'Проблемы клиентов'!$A$5:$A$104,0)),0)*0.30+IFERROR(INDEX('Ценностные предложения'!$K$5:$K$104,MATCH(C7,'Ценностные предложения'!$A$5:$A$104,0)),0)*0.15+IFERROR(INDEX('Цифровой товар'!$K$5:$K$104,MATCH(D7,'Цифровой товар'!$A$5:$A$104,0)),0)*0.20+IFERROR(INDEX('Единица монетизации'!$M$5:$M$104,MATCH(E7,'Единица монетизации'!$A$5:$A$104,0)),0)*0.20+IFERROR(INDEX('Бизнес-модель'!$L$5:$L$104,MATCH(F7,'Бизнес-модель'!$A$5:$A$104,0)),0)*0.15),0))</x:f>
      </x:c>
      <x:c r="H7" s="32" t="str">
        <x:f>IF(G7="","",IF(G7&gt;=75,"Проходят проверку",IF(G7&gt;=55,"Требуется доработка","Недостаточно данных")))</x:f>
      </x:c>
      <x:c r="I7" s="32"/>
      <x:c r="J7" s="32"/>
    </x:row>
    <x:row r="8" ht="42" customHeight="1">
      <x:c r="A8" s="32"/>
      <x:c r="B8" s="32"/>
      <x:c r="C8" s="32"/>
      <x:c r="D8" s="32"/>
      <x:c r="E8" s="32"/>
      <x:c r="F8" s="32"/>
      <x:c r="G8" s="32" t="str">
        <x:f>IF(A8="","",ROUND((IFERROR(INDEX('Проблемы клиентов'!$K$5:$K$104,MATCH(B8,'Проблемы клиентов'!$A$5:$A$104,0)),0)*0.30+IFERROR(INDEX('Ценностные предложения'!$K$5:$K$104,MATCH(C8,'Ценностные предложения'!$A$5:$A$104,0)),0)*0.15+IFERROR(INDEX('Цифровой товар'!$K$5:$K$104,MATCH(D8,'Цифровой товар'!$A$5:$A$104,0)),0)*0.20+IFERROR(INDEX('Единица монетизации'!$M$5:$M$104,MATCH(E8,'Единица монетизации'!$A$5:$A$104,0)),0)*0.20+IFERROR(INDEX('Бизнес-модель'!$L$5:$L$104,MATCH(F8,'Бизнес-модель'!$A$5:$A$104,0)),0)*0.15),0))</x:f>
      </x:c>
      <x:c r="H8" s="32" t="str">
        <x:f>IF(G8="","",IF(G8&gt;=75,"Проходят проверку",IF(G8&gt;=55,"Требуется доработка","Недостаточно данных")))</x:f>
      </x:c>
      <x:c r="I8" s="32"/>
      <x:c r="J8" s="32"/>
    </x:row>
    <x:row r="9" ht="42" customHeight="1">
      <x:c r="A9" s="32"/>
      <x:c r="B9" s="32"/>
      <x:c r="C9" s="32"/>
      <x:c r="D9" s="32"/>
      <x:c r="E9" s="32"/>
      <x:c r="F9" s="32"/>
      <x:c r="G9" s="32" t="str">
        <x:f>IF(A9="","",ROUND((IFERROR(INDEX('Проблемы клиентов'!$K$5:$K$104,MATCH(B9,'Проблемы клиентов'!$A$5:$A$104,0)),0)*0.30+IFERROR(INDEX('Ценностные предложения'!$K$5:$K$104,MATCH(C9,'Ценностные предложения'!$A$5:$A$104,0)),0)*0.15+IFERROR(INDEX('Цифровой товар'!$K$5:$K$104,MATCH(D9,'Цифровой товар'!$A$5:$A$104,0)),0)*0.20+IFERROR(INDEX('Единица монетизации'!$M$5:$M$104,MATCH(E9,'Единица монетизации'!$A$5:$A$104,0)),0)*0.20+IFERROR(INDEX('Бизнес-модель'!$L$5:$L$104,MATCH(F9,'Бизнес-модель'!$A$5:$A$104,0)),0)*0.15),0))</x:f>
      </x:c>
      <x:c r="H9" s="32" t="str">
        <x:f>IF(G9="","",IF(G9&gt;=75,"Проходят проверку",IF(G9&gt;=55,"Требуется доработка","Недостаточно данных")))</x:f>
      </x:c>
      <x:c r="I9" s="32"/>
      <x:c r="J9" s="32"/>
    </x:row>
    <x:row r="10" ht="42" customHeight="1">
      <x:c r="A10" s="32"/>
      <x:c r="B10" s="32"/>
      <x:c r="C10" s="32"/>
      <x:c r="D10" s="32"/>
      <x:c r="E10" s="32"/>
      <x:c r="F10" s="32"/>
      <x:c r="G10" s="32" t="str">
        <x:f>IF(A10="","",ROUND((IFERROR(INDEX('Проблемы клиентов'!$K$5:$K$104,MATCH(B10,'Проблемы клиентов'!$A$5:$A$104,0)),0)*0.30+IFERROR(INDEX('Ценностные предложения'!$K$5:$K$104,MATCH(C10,'Ценностные предложения'!$A$5:$A$104,0)),0)*0.15+IFERROR(INDEX('Цифровой товар'!$K$5:$K$104,MATCH(D10,'Цифровой товар'!$A$5:$A$104,0)),0)*0.20+IFERROR(INDEX('Единица монетизации'!$M$5:$M$104,MATCH(E10,'Единица монетизации'!$A$5:$A$104,0)),0)*0.20+IFERROR(INDEX('Бизнес-модель'!$L$5:$L$104,MATCH(F10,'Бизнес-модель'!$A$5:$A$104,0)),0)*0.15),0))</x:f>
      </x:c>
      <x:c r="H10" s="32" t="str">
        <x:f>IF(G10="","",IF(G10&gt;=75,"Проходят проверку",IF(G10&gt;=55,"Требуется доработка","Недостаточно данных")))</x:f>
      </x:c>
      <x:c r="I10" s="32"/>
      <x:c r="J10" s="32"/>
    </x:row>
    <x:row r="11" ht="42" customHeight="1">
      <x:c r="A11" s="32"/>
      <x:c r="B11" s="32"/>
      <x:c r="C11" s="32"/>
      <x:c r="D11" s="32"/>
      <x:c r="E11" s="32"/>
      <x:c r="F11" s="32"/>
      <x:c r="G11" s="32" t="str">
        <x:f>IF(A11="","",ROUND((IFERROR(INDEX('Проблемы клиентов'!$K$5:$K$104,MATCH(B11,'Проблемы клиентов'!$A$5:$A$104,0)),0)*0.30+IFERROR(INDEX('Ценностные предложения'!$K$5:$K$104,MATCH(C11,'Ценностные предложения'!$A$5:$A$104,0)),0)*0.15+IFERROR(INDEX('Цифровой товар'!$K$5:$K$104,MATCH(D11,'Цифровой товар'!$A$5:$A$104,0)),0)*0.20+IFERROR(INDEX('Единица монетизации'!$M$5:$M$104,MATCH(E11,'Единица монетизации'!$A$5:$A$104,0)),0)*0.20+IFERROR(INDEX('Бизнес-модель'!$L$5:$L$104,MATCH(F11,'Бизнес-модель'!$A$5:$A$104,0)),0)*0.15),0))</x:f>
      </x:c>
      <x:c r="H11" s="32" t="str">
        <x:f>IF(G11="","",IF(G11&gt;=75,"Проходят проверку",IF(G11&gt;=55,"Требуется доработка","Недостаточно данных")))</x:f>
      </x:c>
      <x:c r="I11" s="32"/>
      <x:c r="J11" s="32"/>
    </x:row>
    <x:row r="12" ht="42" customHeight="1">
      <x:c r="A12" s="32"/>
      <x:c r="B12" s="32"/>
      <x:c r="C12" s="32"/>
      <x:c r="D12" s="32"/>
      <x:c r="E12" s="32"/>
      <x:c r="F12" s="32"/>
      <x:c r="G12" s="32" t="str">
        <x:f>IF(A12="","",ROUND((IFERROR(INDEX('Проблемы клиентов'!$K$5:$K$104,MATCH(B12,'Проблемы клиентов'!$A$5:$A$104,0)),0)*0.30+IFERROR(INDEX('Ценностные предложения'!$K$5:$K$104,MATCH(C12,'Ценностные предложения'!$A$5:$A$104,0)),0)*0.15+IFERROR(INDEX('Цифровой товар'!$K$5:$K$104,MATCH(D12,'Цифровой товар'!$A$5:$A$104,0)),0)*0.20+IFERROR(INDEX('Единица монетизации'!$M$5:$M$104,MATCH(E12,'Единица монетизации'!$A$5:$A$104,0)),0)*0.20+IFERROR(INDEX('Бизнес-модель'!$L$5:$L$104,MATCH(F12,'Бизнес-модель'!$A$5:$A$104,0)),0)*0.15),0))</x:f>
      </x:c>
      <x:c r="H12" s="32" t="str">
        <x:f>IF(G12="","",IF(G12&gt;=75,"Проходят проверку",IF(G12&gt;=55,"Требуется доработка","Недостаточно данных")))</x:f>
      </x:c>
      <x:c r="I12" s="32"/>
      <x:c r="J12" s="32"/>
    </x:row>
    <x:row r="13" ht="42" customHeight="1">
      <x:c r="A13" s="32"/>
      <x:c r="B13" s="32"/>
      <x:c r="C13" s="32"/>
      <x:c r="D13" s="32"/>
      <x:c r="E13" s="32"/>
      <x:c r="F13" s="32"/>
      <x:c r="G13" s="32" t="str">
        <x:f>IF(A13="","",ROUND((IFERROR(INDEX('Проблемы клиентов'!$K$5:$K$104,MATCH(B13,'Проблемы клиентов'!$A$5:$A$104,0)),0)*0.30+IFERROR(INDEX('Ценностные предложения'!$K$5:$K$104,MATCH(C13,'Ценностные предложения'!$A$5:$A$104,0)),0)*0.15+IFERROR(INDEX('Цифровой товар'!$K$5:$K$104,MATCH(D13,'Цифровой товар'!$A$5:$A$104,0)),0)*0.20+IFERROR(INDEX('Единица монетизации'!$M$5:$M$104,MATCH(E13,'Единица монетизации'!$A$5:$A$104,0)),0)*0.20+IFERROR(INDEX('Бизнес-модель'!$L$5:$L$104,MATCH(F13,'Бизнес-модель'!$A$5:$A$104,0)),0)*0.15),0))</x:f>
      </x:c>
      <x:c r="H13" s="32" t="str">
        <x:f>IF(G13="","",IF(G13&gt;=75,"Проходят проверку",IF(G13&gt;=55,"Требуется доработка","Недостаточно данных")))</x:f>
      </x:c>
      <x:c r="I13" s="32"/>
      <x:c r="J13" s="32"/>
    </x:row>
    <x:row r="14" ht="42" customHeight="1">
      <x:c r="A14" s="32"/>
      <x:c r="B14" s="32"/>
      <x:c r="C14" s="32"/>
      <x:c r="D14" s="32"/>
      <x:c r="E14" s="32"/>
      <x:c r="F14" s="32"/>
      <x:c r="G14" s="32" t="str">
        <x:f>IF(A14="","",ROUND((IFERROR(INDEX('Проблемы клиентов'!$K$5:$K$104,MATCH(B14,'Проблемы клиентов'!$A$5:$A$104,0)),0)*0.30+IFERROR(INDEX('Ценностные предложения'!$K$5:$K$104,MATCH(C14,'Ценностные предложения'!$A$5:$A$104,0)),0)*0.15+IFERROR(INDEX('Цифровой товар'!$K$5:$K$104,MATCH(D14,'Цифровой товар'!$A$5:$A$104,0)),0)*0.20+IFERROR(INDEX('Единица монетизации'!$M$5:$M$104,MATCH(E14,'Единица монетизации'!$A$5:$A$104,0)),0)*0.20+IFERROR(INDEX('Бизнес-модель'!$L$5:$L$104,MATCH(F14,'Бизнес-модель'!$A$5:$A$104,0)),0)*0.15),0))</x:f>
      </x:c>
      <x:c r="H14" s="32" t="str">
        <x:f>IF(G14="","",IF(G14&gt;=75,"Проходят проверку",IF(G14&gt;=55,"Требуется доработка","Недостаточно данных")))</x:f>
      </x:c>
      <x:c r="I14" s="32"/>
      <x:c r="J14" s="32"/>
    </x:row>
    <x:row r="15" ht="42" customHeight="1">
      <x:c r="A15" s="32"/>
      <x:c r="B15" s="32"/>
      <x:c r="C15" s="32"/>
      <x:c r="D15" s="32"/>
      <x:c r="E15" s="32"/>
      <x:c r="F15" s="32"/>
      <x:c r="G15" s="32" t="str">
        <x:f>IF(A15="","",ROUND((IFERROR(INDEX('Проблемы клиентов'!$K$5:$K$104,MATCH(B15,'Проблемы клиентов'!$A$5:$A$104,0)),0)*0.30+IFERROR(INDEX('Ценностные предложения'!$K$5:$K$104,MATCH(C15,'Ценностные предложения'!$A$5:$A$104,0)),0)*0.15+IFERROR(INDEX('Цифровой товар'!$K$5:$K$104,MATCH(D15,'Цифровой товар'!$A$5:$A$104,0)),0)*0.20+IFERROR(INDEX('Единица монетизации'!$M$5:$M$104,MATCH(E15,'Единица монетизации'!$A$5:$A$104,0)),0)*0.20+IFERROR(INDEX('Бизнес-модель'!$L$5:$L$104,MATCH(F15,'Бизнес-модель'!$A$5:$A$104,0)),0)*0.15),0))</x:f>
      </x:c>
      <x:c r="H15" s="32" t="str">
        <x:f>IF(G15="","",IF(G15&gt;=75,"Проходят проверку",IF(G15&gt;=55,"Требуется доработка","Недостаточно данных")))</x:f>
      </x:c>
      <x:c r="I15" s="32"/>
      <x:c r="J15" s="32"/>
    </x:row>
    <x:row r="16" ht="42" customHeight="1">
      <x:c r="A16" s="32"/>
      <x:c r="B16" s="32"/>
      <x:c r="C16" s="32"/>
      <x:c r="D16" s="32"/>
      <x:c r="E16" s="32"/>
      <x:c r="F16" s="32"/>
      <x:c r="G16" s="32" t="str">
        <x:f>IF(A16="","",ROUND((IFERROR(INDEX('Проблемы клиентов'!$K$5:$K$104,MATCH(B16,'Проблемы клиентов'!$A$5:$A$104,0)),0)*0.30+IFERROR(INDEX('Ценностные предложения'!$K$5:$K$104,MATCH(C16,'Ценностные предложения'!$A$5:$A$104,0)),0)*0.15+IFERROR(INDEX('Цифровой товар'!$K$5:$K$104,MATCH(D16,'Цифровой товар'!$A$5:$A$104,0)),0)*0.20+IFERROR(INDEX('Единица монетизации'!$M$5:$M$104,MATCH(E16,'Единица монетизации'!$A$5:$A$104,0)),0)*0.20+IFERROR(INDEX('Бизнес-модель'!$L$5:$L$104,MATCH(F16,'Бизнес-модель'!$A$5:$A$104,0)),0)*0.15),0))</x:f>
      </x:c>
      <x:c r="H16" s="32" t="str">
        <x:f>IF(G16="","",IF(G16&gt;=75,"Проходят проверку",IF(G16&gt;=55,"Требуется доработка","Недостаточно данных")))</x:f>
      </x:c>
      <x:c r="I16" s="32"/>
      <x:c r="J16" s="32"/>
    </x:row>
    <x:row r="17" ht="42" customHeight="1">
      <x:c r="A17" s="32"/>
      <x:c r="B17" s="32"/>
      <x:c r="C17" s="32"/>
      <x:c r="D17" s="32"/>
      <x:c r="E17" s="32"/>
      <x:c r="F17" s="32"/>
      <x:c r="G17" s="32" t="str">
        <x:f>IF(A17="","",ROUND((IFERROR(INDEX('Проблемы клиентов'!$K$5:$K$104,MATCH(B17,'Проблемы клиентов'!$A$5:$A$104,0)),0)*0.30+IFERROR(INDEX('Ценностные предложения'!$K$5:$K$104,MATCH(C17,'Ценностные предложения'!$A$5:$A$104,0)),0)*0.15+IFERROR(INDEX('Цифровой товар'!$K$5:$K$104,MATCH(D17,'Цифровой товар'!$A$5:$A$104,0)),0)*0.20+IFERROR(INDEX('Единица монетизации'!$M$5:$M$104,MATCH(E17,'Единица монетизации'!$A$5:$A$104,0)),0)*0.20+IFERROR(INDEX('Бизнес-модель'!$L$5:$L$104,MATCH(F17,'Бизнес-модель'!$A$5:$A$104,0)),0)*0.15),0))</x:f>
      </x:c>
      <x:c r="H17" s="32" t="str">
        <x:f>IF(G17="","",IF(G17&gt;=75,"Проходят проверку",IF(G17&gt;=55,"Требуется доработка","Недостаточно данных")))</x:f>
      </x:c>
      <x:c r="I17" s="32"/>
      <x:c r="J17" s="32"/>
    </x:row>
    <x:row r="18" ht="42" customHeight="1">
      <x:c r="A18" s="32"/>
      <x:c r="B18" s="32"/>
      <x:c r="C18" s="32"/>
      <x:c r="D18" s="32"/>
      <x:c r="E18" s="32"/>
      <x:c r="F18" s="32"/>
      <x:c r="G18" s="32" t="str">
        <x:f>IF(A18="","",ROUND((IFERROR(INDEX('Проблемы клиентов'!$K$5:$K$104,MATCH(B18,'Проблемы клиентов'!$A$5:$A$104,0)),0)*0.30+IFERROR(INDEX('Ценностные предложения'!$K$5:$K$104,MATCH(C18,'Ценностные предложения'!$A$5:$A$104,0)),0)*0.15+IFERROR(INDEX('Цифровой товар'!$K$5:$K$104,MATCH(D18,'Цифровой товар'!$A$5:$A$104,0)),0)*0.20+IFERROR(INDEX('Единица монетизации'!$M$5:$M$104,MATCH(E18,'Единица монетизации'!$A$5:$A$104,0)),0)*0.20+IFERROR(INDEX('Бизнес-модель'!$L$5:$L$104,MATCH(F18,'Бизнес-модель'!$A$5:$A$104,0)),0)*0.15),0))</x:f>
      </x:c>
      <x:c r="H18" s="32" t="str">
        <x:f>IF(G18="","",IF(G18&gt;=75,"Проходят проверку",IF(G18&gt;=55,"Требуется доработка","Недостаточно данных")))</x:f>
      </x:c>
      <x:c r="I18" s="32"/>
      <x:c r="J18" s="32"/>
    </x:row>
    <x:row r="19" ht="42" customHeight="1">
      <x:c r="A19" s="32"/>
      <x:c r="B19" s="32"/>
      <x:c r="C19" s="32"/>
      <x:c r="D19" s="32"/>
      <x:c r="E19" s="32"/>
      <x:c r="F19" s="32"/>
      <x:c r="G19" s="32" t="str">
        <x:f>IF(A19="","",ROUND((IFERROR(INDEX('Проблемы клиентов'!$K$5:$K$104,MATCH(B19,'Проблемы клиентов'!$A$5:$A$104,0)),0)*0.30+IFERROR(INDEX('Ценностные предложения'!$K$5:$K$104,MATCH(C19,'Ценностные предложения'!$A$5:$A$104,0)),0)*0.15+IFERROR(INDEX('Цифровой товар'!$K$5:$K$104,MATCH(D19,'Цифровой товар'!$A$5:$A$104,0)),0)*0.20+IFERROR(INDEX('Единица монетизации'!$M$5:$M$104,MATCH(E19,'Единица монетизации'!$A$5:$A$104,0)),0)*0.20+IFERROR(INDEX('Бизнес-модель'!$L$5:$L$104,MATCH(F19,'Бизнес-модель'!$A$5:$A$104,0)),0)*0.15),0))</x:f>
      </x:c>
      <x:c r="H19" s="32" t="str">
        <x:f>IF(G19="","",IF(G19&gt;=75,"Проходят проверку",IF(G19&gt;=55,"Требуется доработка","Недостаточно данных")))</x:f>
      </x:c>
      <x:c r="I19" s="32"/>
      <x:c r="J19" s="32"/>
    </x:row>
    <x:row r="20" ht="42" customHeight="1">
      <x:c r="A20" s="32"/>
      <x:c r="B20" s="32"/>
      <x:c r="C20" s="32"/>
      <x:c r="D20" s="32"/>
      <x:c r="E20" s="32"/>
      <x:c r="F20" s="32"/>
      <x:c r="G20" s="32" t="str">
        <x:f>IF(A20="","",ROUND((IFERROR(INDEX('Проблемы клиентов'!$K$5:$K$104,MATCH(B20,'Проблемы клиентов'!$A$5:$A$104,0)),0)*0.30+IFERROR(INDEX('Ценностные предложения'!$K$5:$K$104,MATCH(C20,'Ценностные предложения'!$A$5:$A$104,0)),0)*0.15+IFERROR(INDEX('Цифровой товар'!$K$5:$K$104,MATCH(D20,'Цифровой товар'!$A$5:$A$104,0)),0)*0.20+IFERROR(INDEX('Единица монетизации'!$M$5:$M$104,MATCH(E20,'Единица монетизации'!$A$5:$A$104,0)),0)*0.20+IFERROR(INDEX('Бизнес-модель'!$L$5:$L$104,MATCH(F20,'Бизнес-модель'!$A$5:$A$104,0)),0)*0.15),0))</x:f>
      </x:c>
      <x:c r="H20" s="32" t="str">
        <x:f>IF(G20="","",IF(G20&gt;=75,"Проходят проверку",IF(G20&gt;=55,"Требуется доработка","Недостаточно данных")))</x:f>
      </x:c>
      <x:c r="I20" s="32"/>
      <x:c r="J20" s="32"/>
    </x:row>
    <x:row r="21" ht="42" customHeight="1">
      <x:c r="A21" s="32"/>
      <x:c r="B21" s="32"/>
      <x:c r="C21" s="32"/>
      <x:c r="D21" s="32"/>
      <x:c r="E21" s="32"/>
      <x:c r="F21" s="32"/>
      <x:c r="G21" s="32" t="str">
        <x:f>IF(A21="","",ROUND((IFERROR(INDEX('Проблемы клиентов'!$K$5:$K$104,MATCH(B21,'Проблемы клиентов'!$A$5:$A$104,0)),0)*0.30+IFERROR(INDEX('Ценностные предложения'!$K$5:$K$104,MATCH(C21,'Ценностные предложения'!$A$5:$A$104,0)),0)*0.15+IFERROR(INDEX('Цифровой товар'!$K$5:$K$104,MATCH(D21,'Цифровой товар'!$A$5:$A$104,0)),0)*0.20+IFERROR(INDEX('Единица монетизации'!$M$5:$M$104,MATCH(E21,'Единица монетизации'!$A$5:$A$104,0)),0)*0.20+IFERROR(INDEX('Бизнес-модель'!$L$5:$L$104,MATCH(F21,'Бизнес-модель'!$A$5:$A$104,0)),0)*0.15),0))</x:f>
      </x:c>
      <x:c r="H21" s="32" t="str">
        <x:f>IF(G21="","",IF(G21&gt;=75,"Проходят проверку",IF(G21&gt;=55,"Требуется доработка","Недостаточно данных")))</x:f>
      </x:c>
      <x:c r="I21" s="32"/>
      <x:c r="J21" s="32"/>
    </x:row>
    <x:row r="22" ht="42" customHeight="1">
      <x:c r="A22" s="32"/>
      <x:c r="B22" s="32"/>
      <x:c r="C22" s="32"/>
      <x:c r="D22" s="32"/>
      <x:c r="E22" s="32"/>
      <x:c r="F22" s="32"/>
      <x:c r="G22" s="32" t="str">
        <x:f>IF(A22="","",ROUND((IFERROR(INDEX('Проблемы клиентов'!$K$5:$K$104,MATCH(B22,'Проблемы клиентов'!$A$5:$A$104,0)),0)*0.30+IFERROR(INDEX('Ценностные предложения'!$K$5:$K$104,MATCH(C22,'Ценностные предложения'!$A$5:$A$104,0)),0)*0.15+IFERROR(INDEX('Цифровой товар'!$K$5:$K$104,MATCH(D22,'Цифровой товар'!$A$5:$A$104,0)),0)*0.20+IFERROR(INDEX('Единица монетизации'!$M$5:$M$104,MATCH(E22,'Единица монетизации'!$A$5:$A$104,0)),0)*0.20+IFERROR(INDEX('Бизнес-модель'!$L$5:$L$104,MATCH(F22,'Бизнес-модель'!$A$5:$A$104,0)),0)*0.15),0))</x:f>
      </x:c>
      <x:c r="H22" s="32" t="str">
        <x:f>IF(G22="","",IF(G22&gt;=75,"Проходят проверку",IF(G22&gt;=55,"Требуется доработка","Недостаточно данных")))</x:f>
      </x:c>
      <x:c r="I22" s="32"/>
      <x:c r="J22" s="32"/>
    </x:row>
    <x:row r="23" ht="42" customHeight="1">
      <x:c r="A23" s="32"/>
      <x:c r="B23" s="32"/>
      <x:c r="C23" s="32"/>
      <x:c r="D23" s="32"/>
      <x:c r="E23" s="32"/>
      <x:c r="F23" s="32"/>
      <x:c r="G23" s="32" t="str">
        <x:f>IF(A23="","",ROUND((IFERROR(INDEX('Проблемы клиентов'!$K$5:$K$104,MATCH(B23,'Проблемы клиентов'!$A$5:$A$104,0)),0)*0.30+IFERROR(INDEX('Ценностные предложения'!$K$5:$K$104,MATCH(C23,'Ценностные предложения'!$A$5:$A$104,0)),0)*0.15+IFERROR(INDEX('Цифровой товар'!$K$5:$K$104,MATCH(D23,'Цифровой товар'!$A$5:$A$104,0)),0)*0.20+IFERROR(INDEX('Единица монетизации'!$M$5:$M$104,MATCH(E23,'Единица монетизации'!$A$5:$A$104,0)),0)*0.20+IFERROR(INDEX('Бизнес-модель'!$L$5:$L$104,MATCH(F23,'Бизнес-модель'!$A$5:$A$104,0)),0)*0.15),0))</x:f>
      </x:c>
      <x:c r="H23" s="32" t="str">
        <x:f>IF(G23="","",IF(G23&gt;=75,"Проходят проверку",IF(G23&gt;=55,"Требуется доработка","Недостаточно данных")))</x:f>
      </x:c>
      <x:c r="I23" s="32"/>
      <x:c r="J23" s="32"/>
    </x:row>
    <x:row r="24" ht="42" customHeight="1">
      <x:c r="A24" s="32"/>
      <x:c r="B24" s="32"/>
      <x:c r="C24" s="32"/>
      <x:c r="D24" s="32"/>
      <x:c r="E24" s="32"/>
      <x:c r="F24" s="32"/>
      <x:c r="G24" s="32" t="str">
        <x:f>IF(A24="","",ROUND((IFERROR(INDEX('Проблемы клиентов'!$K$5:$K$104,MATCH(B24,'Проблемы клиентов'!$A$5:$A$104,0)),0)*0.30+IFERROR(INDEX('Ценностные предложения'!$K$5:$K$104,MATCH(C24,'Ценностные предложения'!$A$5:$A$104,0)),0)*0.15+IFERROR(INDEX('Цифровой товар'!$K$5:$K$104,MATCH(D24,'Цифровой товар'!$A$5:$A$104,0)),0)*0.20+IFERROR(INDEX('Единица монетизации'!$M$5:$M$104,MATCH(E24,'Единица монетизации'!$A$5:$A$104,0)),0)*0.20+IFERROR(INDEX('Бизнес-модель'!$L$5:$L$104,MATCH(F24,'Бизнес-модель'!$A$5:$A$104,0)),0)*0.15),0))</x:f>
      </x:c>
      <x:c r="H24" s="32" t="str">
        <x:f>IF(G24="","",IF(G24&gt;=75,"Проходят проверку",IF(G24&gt;=55,"Требуется доработка","Недостаточно данных")))</x:f>
      </x:c>
      <x:c r="I24" s="32"/>
      <x:c r="J24" s="32"/>
    </x:row>
    <x:row r="25" ht="42" customHeight="1">
      <x:c r="A25" s="32"/>
      <x:c r="B25" s="32"/>
      <x:c r="C25" s="32"/>
      <x:c r="D25" s="32"/>
      <x:c r="E25" s="32"/>
      <x:c r="F25" s="32"/>
      <x:c r="G25" s="32" t="str">
        <x:f>IF(A25="","",ROUND((IFERROR(INDEX('Проблемы клиентов'!$K$5:$K$104,MATCH(B25,'Проблемы клиентов'!$A$5:$A$104,0)),0)*0.30+IFERROR(INDEX('Ценностные предложения'!$K$5:$K$104,MATCH(C25,'Ценностные предложения'!$A$5:$A$104,0)),0)*0.15+IFERROR(INDEX('Цифровой товар'!$K$5:$K$104,MATCH(D25,'Цифровой товар'!$A$5:$A$104,0)),0)*0.20+IFERROR(INDEX('Единица монетизации'!$M$5:$M$104,MATCH(E25,'Единица монетизации'!$A$5:$A$104,0)),0)*0.20+IFERROR(INDEX('Бизнес-модель'!$L$5:$L$104,MATCH(F25,'Бизнес-модель'!$A$5:$A$104,0)),0)*0.15),0))</x:f>
      </x:c>
      <x:c r="H25" s="32" t="str">
        <x:f>IF(G25="","",IF(G25&gt;=75,"Проходят проверку",IF(G25&gt;=55,"Требуется доработка","Недостаточно данных")))</x:f>
      </x:c>
      <x:c r="I25" s="32"/>
      <x:c r="J25" s="32"/>
    </x:row>
    <x:row r="26" ht="42" customHeight="1">
      <x:c r="A26" s="32"/>
      <x:c r="B26" s="32"/>
      <x:c r="C26" s="32"/>
      <x:c r="D26" s="32"/>
      <x:c r="E26" s="32"/>
      <x:c r="F26" s="32"/>
      <x:c r="G26" s="32" t="str">
        <x:f>IF(A26="","",ROUND((IFERROR(INDEX('Проблемы клиентов'!$K$5:$K$104,MATCH(B26,'Проблемы клиентов'!$A$5:$A$104,0)),0)*0.30+IFERROR(INDEX('Ценностные предложения'!$K$5:$K$104,MATCH(C26,'Ценностные предложения'!$A$5:$A$104,0)),0)*0.15+IFERROR(INDEX('Цифровой товар'!$K$5:$K$104,MATCH(D26,'Цифровой товар'!$A$5:$A$104,0)),0)*0.20+IFERROR(INDEX('Единица монетизации'!$M$5:$M$104,MATCH(E26,'Единица монетизации'!$A$5:$A$104,0)),0)*0.20+IFERROR(INDEX('Бизнес-модель'!$L$5:$L$104,MATCH(F26,'Бизнес-модель'!$A$5:$A$104,0)),0)*0.15),0))</x:f>
      </x:c>
      <x:c r="H26" s="32" t="str">
        <x:f>IF(G26="","",IF(G26&gt;=75,"Проходят проверку",IF(G26&gt;=55,"Требуется доработка","Недостаточно данных")))</x:f>
      </x:c>
      <x:c r="I26" s="32"/>
      <x:c r="J26" s="32"/>
    </x:row>
    <x:row r="27" ht="42" customHeight="1">
      <x:c r="A27" s="32"/>
      <x:c r="B27" s="32"/>
      <x:c r="C27" s="32"/>
      <x:c r="D27" s="32"/>
      <x:c r="E27" s="32"/>
      <x:c r="F27" s="32"/>
      <x:c r="G27" s="32" t="str">
        <x:f>IF(A27="","",ROUND((IFERROR(INDEX('Проблемы клиентов'!$K$5:$K$104,MATCH(B27,'Проблемы клиентов'!$A$5:$A$104,0)),0)*0.30+IFERROR(INDEX('Ценностные предложения'!$K$5:$K$104,MATCH(C27,'Ценностные предложения'!$A$5:$A$104,0)),0)*0.15+IFERROR(INDEX('Цифровой товар'!$K$5:$K$104,MATCH(D27,'Цифровой товар'!$A$5:$A$104,0)),0)*0.20+IFERROR(INDEX('Единица монетизации'!$M$5:$M$104,MATCH(E27,'Единица монетизации'!$A$5:$A$104,0)),0)*0.20+IFERROR(INDEX('Бизнес-модель'!$L$5:$L$104,MATCH(F27,'Бизнес-модель'!$A$5:$A$104,0)),0)*0.15),0))</x:f>
      </x:c>
      <x:c r="H27" s="32" t="str">
        <x:f>IF(G27="","",IF(G27&gt;=75,"Проходят проверку",IF(G27&gt;=55,"Требуется доработка","Недостаточно данных")))</x:f>
      </x:c>
      <x:c r="I27" s="32"/>
      <x:c r="J27" s="32"/>
    </x:row>
    <x:row r="28" ht="42" customHeight="1">
      <x:c r="A28" s="32"/>
      <x:c r="B28" s="32"/>
      <x:c r="C28" s="32"/>
      <x:c r="D28" s="32"/>
      <x:c r="E28" s="32"/>
      <x:c r="F28" s="32"/>
      <x:c r="G28" s="32" t="str">
        <x:f>IF(A28="","",ROUND((IFERROR(INDEX('Проблемы клиентов'!$K$5:$K$104,MATCH(B28,'Проблемы клиентов'!$A$5:$A$104,0)),0)*0.30+IFERROR(INDEX('Ценностные предложения'!$K$5:$K$104,MATCH(C28,'Ценностные предложения'!$A$5:$A$104,0)),0)*0.15+IFERROR(INDEX('Цифровой товар'!$K$5:$K$104,MATCH(D28,'Цифровой товар'!$A$5:$A$104,0)),0)*0.20+IFERROR(INDEX('Единица монетизации'!$M$5:$M$104,MATCH(E28,'Единица монетизации'!$A$5:$A$104,0)),0)*0.20+IFERROR(INDEX('Бизнес-модель'!$L$5:$L$104,MATCH(F28,'Бизнес-модель'!$A$5:$A$104,0)),0)*0.15),0))</x:f>
      </x:c>
      <x:c r="H28" s="32" t="str">
        <x:f>IF(G28="","",IF(G28&gt;=75,"Проходят проверку",IF(G28&gt;=55,"Требуется доработка","Недостаточно данных")))</x:f>
      </x:c>
      <x:c r="I28" s="32"/>
      <x:c r="J28" s="32"/>
    </x:row>
    <x:row r="29" ht="42" customHeight="1">
      <x:c r="A29" s="32"/>
      <x:c r="B29" s="32"/>
      <x:c r="C29" s="32"/>
      <x:c r="D29" s="32"/>
      <x:c r="E29" s="32"/>
      <x:c r="F29" s="32"/>
      <x:c r="G29" s="32" t="str">
        <x:f>IF(A29="","",ROUND((IFERROR(INDEX('Проблемы клиентов'!$K$5:$K$104,MATCH(B29,'Проблемы клиентов'!$A$5:$A$104,0)),0)*0.30+IFERROR(INDEX('Ценностные предложения'!$K$5:$K$104,MATCH(C29,'Ценностные предложения'!$A$5:$A$104,0)),0)*0.15+IFERROR(INDEX('Цифровой товар'!$K$5:$K$104,MATCH(D29,'Цифровой товар'!$A$5:$A$104,0)),0)*0.20+IFERROR(INDEX('Единица монетизации'!$M$5:$M$104,MATCH(E29,'Единица монетизации'!$A$5:$A$104,0)),0)*0.20+IFERROR(INDEX('Бизнес-модель'!$L$5:$L$104,MATCH(F29,'Бизнес-модель'!$A$5:$A$104,0)),0)*0.15),0))</x:f>
      </x:c>
      <x:c r="H29" s="32" t="str">
        <x:f>IF(G29="","",IF(G29&gt;=75,"Проходят проверку",IF(G29&gt;=55,"Требуется доработка","Недостаточно данных")))</x:f>
      </x:c>
      <x:c r="I29" s="32"/>
      <x:c r="J29" s="32"/>
    </x:row>
    <x:row r="30" ht="42" customHeight="1">
      <x:c r="A30" s="32"/>
      <x:c r="B30" s="32"/>
      <x:c r="C30" s="32"/>
      <x:c r="D30" s="32"/>
      <x:c r="E30" s="32"/>
      <x:c r="F30" s="32"/>
      <x:c r="G30" s="32" t="str">
        <x:f>IF(A30="","",ROUND((IFERROR(INDEX('Проблемы клиентов'!$K$5:$K$104,MATCH(B30,'Проблемы клиентов'!$A$5:$A$104,0)),0)*0.30+IFERROR(INDEX('Ценностные предложения'!$K$5:$K$104,MATCH(C30,'Ценностные предложения'!$A$5:$A$104,0)),0)*0.15+IFERROR(INDEX('Цифровой товар'!$K$5:$K$104,MATCH(D30,'Цифровой товар'!$A$5:$A$104,0)),0)*0.20+IFERROR(INDEX('Единица монетизации'!$M$5:$M$104,MATCH(E30,'Единица монетизации'!$A$5:$A$104,0)),0)*0.20+IFERROR(INDEX('Бизнес-модель'!$L$5:$L$104,MATCH(F30,'Бизнес-модель'!$A$5:$A$104,0)),0)*0.15),0))</x:f>
      </x:c>
      <x:c r="H30" s="32" t="str">
        <x:f>IF(G30="","",IF(G30&gt;=75,"Проходят проверку",IF(G30&gt;=55,"Требуется доработка","Недостаточно данных")))</x:f>
      </x:c>
      <x:c r="I30" s="32"/>
      <x:c r="J30" s="32"/>
    </x:row>
    <x:row r="31" ht="42" customHeight="1">
      <x:c r="A31" s="32"/>
      <x:c r="B31" s="32"/>
      <x:c r="C31" s="32"/>
      <x:c r="D31" s="32"/>
      <x:c r="E31" s="32"/>
      <x:c r="F31" s="32"/>
      <x:c r="G31" s="32" t="str">
        <x:f>IF(A31="","",ROUND((IFERROR(INDEX('Проблемы клиентов'!$K$5:$K$104,MATCH(B31,'Проблемы клиентов'!$A$5:$A$104,0)),0)*0.30+IFERROR(INDEX('Ценностные предложения'!$K$5:$K$104,MATCH(C31,'Ценностные предложения'!$A$5:$A$104,0)),0)*0.15+IFERROR(INDEX('Цифровой товар'!$K$5:$K$104,MATCH(D31,'Цифровой товар'!$A$5:$A$104,0)),0)*0.20+IFERROR(INDEX('Единица монетизации'!$M$5:$M$104,MATCH(E31,'Единица монетизации'!$A$5:$A$104,0)),0)*0.20+IFERROR(INDEX('Бизнес-модель'!$L$5:$L$104,MATCH(F31,'Бизнес-модель'!$A$5:$A$104,0)),0)*0.15),0))</x:f>
      </x:c>
      <x:c r="H31" s="32" t="str">
        <x:f>IF(G31="","",IF(G31&gt;=75,"Проходят проверку",IF(G31&gt;=55,"Требуется доработка","Недостаточно данных")))</x:f>
      </x:c>
      <x:c r="I31" s="32"/>
      <x:c r="J31" s="32"/>
    </x:row>
    <x:row r="32" ht="42" customHeight="1">
      <x:c r="A32" s="32"/>
      <x:c r="B32" s="32"/>
      <x:c r="C32" s="32"/>
      <x:c r="D32" s="32"/>
      <x:c r="E32" s="32"/>
      <x:c r="F32" s="32"/>
      <x:c r="G32" s="32" t="str">
        <x:f>IF(A32="","",ROUND((IFERROR(INDEX('Проблемы клиентов'!$K$5:$K$104,MATCH(B32,'Проблемы клиентов'!$A$5:$A$104,0)),0)*0.30+IFERROR(INDEX('Ценностные предложения'!$K$5:$K$104,MATCH(C32,'Ценностные предложения'!$A$5:$A$104,0)),0)*0.15+IFERROR(INDEX('Цифровой товар'!$K$5:$K$104,MATCH(D32,'Цифровой товар'!$A$5:$A$104,0)),0)*0.20+IFERROR(INDEX('Единица монетизации'!$M$5:$M$104,MATCH(E32,'Единица монетизации'!$A$5:$A$104,0)),0)*0.20+IFERROR(INDEX('Бизнес-модель'!$L$5:$L$104,MATCH(F32,'Бизнес-модель'!$A$5:$A$104,0)),0)*0.15),0))</x:f>
      </x:c>
      <x:c r="H32" s="32" t="str">
        <x:f>IF(G32="","",IF(G32&gt;=75,"Проходят проверку",IF(G32&gt;=55,"Требуется доработка","Недостаточно данных")))</x:f>
      </x:c>
      <x:c r="I32" s="32"/>
      <x:c r="J32" s="32"/>
    </x:row>
    <x:row r="33" ht="42" customHeight="1">
      <x:c r="A33" s="32"/>
      <x:c r="B33" s="32"/>
      <x:c r="C33" s="32"/>
      <x:c r="D33" s="32"/>
      <x:c r="E33" s="32"/>
      <x:c r="F33" s="32"/>
      <x:c r="G33" s="32" t="str">
        <x:f>IF(A33="","",ROUND((IFERROR(INDEX('Проблемы клиентов'!$K$5:$K$104,MATCH(B33,'Проблемы клиентов'!$A$5:$A$104,0)),0)*0.30+IFERROR(INDEX('Ценностные предложения'!$K$5:$K$104,MATCH(C33,'Ценностные предложения'!$A$5:$A$104,0)),0)*0.15+IFERROR(INDEX('Цифровой товар'!$K$5:$K$104,MATCH(D33,'Цифровой товар'!$A$5:$A$104,0)),0)*0.20+IFERROR(INDEX('Единица монетизации'!$M$5:$M$104,MATCH(E33,'Единица монетизации'!$A$5:$A$104,0)),0)*0.20+IFERROR(INDEX('Бизнес-модель'!$L$5:$L$104,MATCH(F33,'Бизнес-модель'!$A$5:$A$104,0)),0)*0.15),0))</x:f>
      </x:c>
      <x:c r="H33" s="32" t="str">
        <x:f>IF(G33="","",IF(G33&gt;=75,"Проходят проверку",IF(G33&gt;=55,"Требуется доработка","Недостаточно данных")))</x:f>
      </x:c>
      <x:c r="I33" s="32"/>
      <x:c r="J33" s="32"/>
    </x:row>
    <x:row r="34" ht="42" customHeight="1">
      <x:c r="A34" s="32"/>
      <x:c r="B34" s="32"/>
      <x:c r="C34" s="32"/>
      <x:c r="D34" s="32"/>
      <x:c r="E34" s="32"/>
      <x:c r="F34" s="32"/>
      <x:c r="G34" s="32" t="str">
        <x:f>IF(A34="","",ROUND((IFERROR(INDEX('Проблемы клиентов'!$K$5:$K$104,MATCH(B34,'Проблемы клиентов'!$A$5:$A$104,0)),0)*0.30+IFERROR(INDEX('Ценностные предложения'!$K$5:$K$104,MATCH(C34,'Ценностные предложения'!$A$5:$A$104,0)),0)*0.15+IFERROR(INDEX('Цифровой товар'!$K$5:$K$104,MATCH(D34,'Цифровой товар'!$A$5:$A$104,0)),0)*0.20+IFERROR(INDEX('Единица монетизации'!$M$5:$M$104,MATCH(E34,'Единица монетизации'!$A$5:$A$104,0)),0)*0.20+IFERROR(INDEX('Бизнес-модель'!$L$5:$L$104,MATCH(F34,'Бизнес-модель'!$A$5:$A$104,0)),0)*0.15),0))</x:f>
      </x:c>
      <x:c r="H34" s="32" t="str">
        <x:f>IF(G34="","",IF(G34&gt;=75,"Проходят проверку",IF(G34&gt;=55,"Требуется доработка","Недостаточно данных")))</x:f>
      </x:c>
      <x:c r="I34" s="32"/>
      <x:c r="J34" s="32"/>
    </x:row>
    <x:row r="35" ht="42" customHeight="1">
      <x:c r="A35" s="32"/>
      <x:c r="B35" s="32"/>
      <x:c r="C35" s="32"/>
      <x:c r="D35" s="32"/>
      <x:c r="E35" s="32"/>
      <x:c r="F35" s="32"/>
      <x:c r="G35" s="32" t="str">
        <x:f>IF(A35="","",ROUND((IFERROR(INDEX('Проблемы клиентов'!$K$5:$K$104,MATCH(B35,'Проблемы клиентов'!$A$5:$A$104,0)),0)*0.30+IFERROR(INDEX('Ценностные предложения'!$K$5:$K$104,MATCH(C35,'Ценностные предложения'!$A$5:$A$104,0)),0)*0.15+IFERROR(INDEX('Цифровой товар'!$K$5:$K$104,MATCH(D35,'Цифровой товар'!$A$5:$A$104,0)),0)*0.20+IFERROR(INDEX('Единица монетизации'!$M$5:$M$104,MATCH(E35,'Единица монетизации'!$A$5:$A$104,0)),0)*0.20+IFERROR(INDEX('Бизнес-модель'!$L$5:$L$104,MATCH(F35,'Бизнес-модель'!$A$5:$A$104,0)),0)*0.15),0))</x:f>
      </x:c>
      <x:c r="H35" s="32" t="str">
        <x:f>IF(G35="","",IF(G35&gt;=75,"Проходят проверку",IF(G35&gt;=55,"Требуется доработка","Недостаточно данных")))</x:f>
      </x:c>
      <x:c r="I35" s="32"/>
      <x:c r="J35" s="32"/>
    </x:row>
    <x:row r="36" ht="42" customHeight="1">
      <x:c r="A36" s="32"/>
      <x:c r="B36" s="32"/>
      <x:c r="C36" s="32"/>
      <x:c r="D36" s="32"/>
      <x:c r="E36" s="32"/>
      <x:c r="F36" s="32"/>
      <x:c r="G36" s="32" t="str">
        <x:f>IF(A36="","",ROUND((IFERROR(INDEX('Проблемы клиентов'!$K$5:$K$104,MATCH(B36,'Проблемы клиентов'!$A$5:$A$104,0)),0)*0.30+IFERROR(INDEX('Ценностные предложения'!$K$5:$K$104,MATCH(C36,'Ценностные предложения'!$A$5:$A$104,0)),0)*0.15+IFERROR(INDEX('Цифровой товар'!$K$5:$K$104,MATCH(D36,'Цифровой товар'!$A$5:$A$104,0)),0)*0.20+IFERROR(INDEX('Единица монетизации'!$M$5:$M$104,MATCH(E36,'Единица монетизации'!$A$5:$A$104,0)),0)*0.20+IFERROR(INDEX('Бизнес-модель'!$L$5:$L$104,MATCH(F36,'Бизнес-модель'!$A$5:$A$104,0)),0)*0.15),0))</x:f>
      </x:c>
      <x:c r="H36" s="32" t="str">
        <x:f>IF(G36="","",IF(G36&gt;=75,"Проходят проверку",IF(G36&gt;=55,"Требуется доработка","Недостаточно данных")))</x:f>
      </x:c>
      <x:c r="I36" s="32"/>
      <x:c r="J36" s="32"/>
    </x:row>
    <x:row r="37" ht="42" customHeight="1">
      <x:c r="A37" s="32"/>
      <x:c r="B37" s="32"/>
      <x:c r="C37" s="32"/>
      <x:c r="D37" s="32"/>
      <x:c r="E37" s="32"/>
      <x:c r="F37" s="32"/>
      <x:c r="G37" s="32" t="str">
        <x:f>IF(A37="","",ROUND((IFERROR(INDEX('Проблемы клиентов'!$K$5:$K$104,MATCH(B37,'Проблемы клиентов'!$A$5:$A$104,0)),0)*0.30+IFERROR(INDEX('Ценностные предложения'!$K$5:$K$104,MATCH(C37,'Ценностные предложения'!$A$5:$A$104,0)),0)*0.15+IFERROR(INDEX('Цифровой товар'!$K$5:$K$104,MATCH(D37,'Цифровой товар'!$A$5:$A$104,0)),0)*0.20+IFERROR(INDEX('Единица монетизации'!$M$5:$M$104,MATCH(E37,'Единица монетизации'!$A$5:$A$104,0)),0)*0.20+IFERROR(INDEX('Бизнес-модель'!$L$5:$L$104,MATCH(F37,'Бизнес-модель'!$A$5:$A$104,0)),0)*0.15),0))</x:f>
      </x:c>
      <x:c r="H37" s="32" t="str">
        <x:f>IF(G37="","",IF(G37&gt;=75,"Проходят проверку",IF(G37&gt;=55,"Требуется доработка","Недостаточно данных")))</x:f>
      </x:c>
      <x:c r="I37" s="32"/>
      <x:c r="J37" s="32"/>
    </x:row>
    <x:row r="38" ht="42" customHeight="1">
      <x:c r="A38" s="32"/>
      <x:c r="B38" s="32"/>
      <x:c r="C38" s="32"/>
      <x:c r="D38" s="32"/>
      <x:c r="E38" s="32"/>
      <x:c r="F38" s="32"/>
      <x:c r="G38" s="32" t="str">
        <x:f>IF(A38="","",ROUND((IFERROR(INDEX('Проблемы клиентов'!$K$5:$K$104,MATCH(B38,'Проблемы клиентов'!$A$5:$A$104,0)),0)*0.30+IFERROR(INDEX('Ценностные предложения'!$K$5:$K$104,MATCH(C38,'Ценностные предложения'!$A$5:$A$104,0)),0)*0.15+IFERROR(INDEX('Цифровой товар'!$K$5:$K$104,MATCH(D38,'Цифровой товар'!$A$5:$A$104,0)),0)*0.20+IFERROR(INDEX('Единица монетизации'!$M$5:$M$104,MATCH(E38,'Единица монетизации'!$A$5:$A$104,0)),0)*0.20+IFERROR(INDEX('Бизнес-модель'!$L$5:$L$104,MATCH(F38,'Бизнес-модель'!$A$5:$A$104,0)),0)*0.15),0))</x:f>
      </x:c>
      <x:c r="H38" s="32" t="str">
        <x:f>IF(G38="","",IF(G38&gt;=75,"Проходят проверку",IF(G38&gt;=55,"Требуется доработка","Недостаточно данных")))</x:f>
      </x:c>
      <x:c r="I38" s="32"/>
      <x:c r="J38" s="32"/>
    </x:row>
    <x:row r="39" ht="42" customHeight="1">
      <x:c r="A39" s="32"/>
      <x:c r="B39" s="32"/>
      <x:c r="C39" s="32"/>
      <x:c r="D39" s="32"/>
      <x:c r="E39" s="32"/>
      <x:c r="F39" s="32"/>
      <x:c r="G39" s="32" t="str">
        <x:f>IF(A39="","",ROUND((IFERROR(INDEX('Проблемы клиентов'!$K$5:$K$104,MATCH(B39,'Проблемы клиентов'!$A$5:$A$104,0)),0)*0.30+IFERROR(INDEX('Ценностные предложения'!$K$5:$K$104,MATCH(C39,'Ценностные предложения'!$A$5:$A$104,0)),0)*0.15+IFERROR(INDEX('Цифровой товар'!$K$5:$K$104,MATCH(D39,'Цифровой товар'!$A$5:$A$104,0)),0)*0.20+IFERROR(INDEX('Единица монетизации'!$M$5:$M$104,MATCH(E39,'Единица монетизации'!$A$5:$A$104,0)),0)*0.20+IFERROR(INDEX('Бизнес-модель'!$L$5:$L$104,MATCH(F39,'Бизнес-модель'!$A$5:$A$104,0)),0)*0.15),0))</x:f>
      </x:c>
      <x:c r="H39" s="32" t="str">
        <x:f>IF(G39="","",IF(G39&gt;=75,"Проходят проверку",IF(G39&gt;=55,"Требуется доработка","Недостаточно данных")))</x:f>
      </x:c>
      <x:c r="I39" s="32"/>
      <x:c r="J39" s="32"/>
    </x:row>
    <x:row r="40" ht="42" customHeight="1">
      <x:c r="A40" s="32"/>
      <x:c r="B40" s="32"/>
      <x:c r="C40" s="32"/>
      <x:c r="D40" s="32"/>
      <x:c r="E40" s="32"/>
      <x:c r="F40" s="32"/>
      <x:c r="G40" s="32" t="str">
        <x:f>IF(A40="","",ROUND((IFERROR(INDEX('Проблемы клиентов'!$K$5:$K$104,MATCH(B40,'Проблемы клиентов'!$A$5:$A$104,0)),0)*0.30+IFERROR(INDEX('Ценностные предложения'!$K$5:$K$104,MATCH(C40,'Ценностные предложения'!$A$5:$A$104,0)),0)*0.15+IFERROR(INDEX('Цифровой товар'!$K$5:$K$104,MATCH(D40,'Цифровой товар'!$A$5:$A$104,0)),0)*0.20+IFERROR(INDEX('Единица монетизации'!$M$5:$M$104,MATCH(E40,'Единица монетизации'!$A$5:$A$104,0)),0)*0.20+IFERROR(INDEX('Бизнес-модель'!$L$5:$L$104,MATCH(F40,'Бизнес-модель'!$A$5:$A$104,0)),0)*0.15),0))</x:f>
      </x:c>
      <x:c r="H40" s="32" t="str">
        <x:f>IF(G40="","",IF(G40&gt;=75,"Проходят проверку",IF(G40&gt;=55,"Требуется доработка","Недостаточно данных")))</x:f>
      </x:c>
      <x:c r="I40" s="32"/>
      <x:c r="J40" s="32"/>
    </x:row>
    <x:row r="41" ht="42" customHeight="1">
      <x:c r="A41" s="32"/>
      <x:c r="B41" s="32"/>
      <x:c r="C41" s="32"/>
      <x:c r="D41" s="32"/>
      <x:c r="E41" s="32"/>
      <x:c r="F41" s="32"/>
      <x:c r="G41" s="32" t="str">
        <x:f>IF(A41="","",ROUND((IFERROR(INDEX('Проблемы клиентов'!$K$5:$K$104,MATCH(B41,'Проблемы клиентов'!$A$5:$A$104,0)),0)*0.30+IFERROR(INDEX('Ценностные предложения'!$K$5:$K$104,MATCH(C41,'Ценностные предложения'!$A$5:$A$104,0)),0)*0.15+IFERROR(INDEX('Цифровой товар'!$K$5:$K$104,MATCH(D41,'Цифровой товар'!$A$5:$A$104,0)),0)*0.20+IFERROR(INDEX('Единица монетизации'!$M$5:$M$104,MATCH(E41,'Единица монетизации'!$A$5:$A$104,0)),0)*0.20+IFERROR(INDEX('Бизнес-модель'!$L$5:$L$104,MATCH(F41,'Бизнес-модель'!$A$5:$A$104,0)),0)*0.15),0))</x:f>
      </x:c>
      <x:c r="H41" s="32" t="str">
        <x:f>IF(G41="","",IF(G41&gt;=75,"Проходят проверку",IF(G41&gt;=55,"Требуется доработка","Недостаточно данных")))</x:f>
      </x:c>
      <x:c r="I41" s="32"/>
      <x:c r="J41" s="32"/>
    </x:row>
    <x:row r="42" ht="42" customHeight="1">
      <x:c r="A42" s="32"/>
      <x:c r="B42" s="32"/>
      <x:c r="C42" s="32"/>
      <x:c r="D42" s="32"/>
      <x:c r="E42" s="32"/>
      <x:c r="F42" s="32"/>
      <x:c r="G42" s="32" t="str">
        <x:f>IF(A42="","",ROUND((IFERROR(INDEX('Проблемы клиентов'!$K$5:$K$104,MATCH(B42,'Проблемы клиентов'!$A$5:$A$104,0)),0)*0.30+IFERROR(INDEX('Ценностные предложения'!$K$5:$K$104,MATCH(C42,'Ценностные предложения'!$A$5:$A$104,0)),0)*0.15+IFERROR(INDEX('Цифровой товар'!$K$5:$K$104,MATCH(D42,'Цифровой товар'!$A$5:$A$104,0)),0)*0.20+IFERROR(INDEX('Единица монетизации'!$M$5:$M$104,MATCH(E42,'Единица монетизации'!$A$5:$A$104,0)),0)*0.20+IFERROR(INDEX('Бизнес-модель'!$L$5:$L$104,MATCH(F42,'Бизнес-модель'!$A$5:$A$104,0)),0)*0.15),0))</x:f>
      </x:c>
      <x:c r="H42" s="32" t="str">
        <x:f>IF(G42="","",IF(G42&gt;=75,"Проходят проверку",IF(G42&gt;=55,"Требуется доработка","Недостаточно данных")))</x:f>
      </x:c>
      <x:c r="I42" s="32"/>
      <x:c r="J42" s="32"/>
    </x:row>
    <x:row r="43" ht="42" customHeight="1">
      <x:c r="A43" s="32"/>
      <x:c r="B43" s="32"/>
      <x:c r="C43" s="32"/>
      <x:c r="D43" s="32"/>
      <x:c r="E43" s="32"/>
      <x:c r="F43" s="32"/>
      <x:c r="G43" s="32" t="str">
        <x:f>IF(A43="","",ROUND((IFERROR(INDEX('Проблемы клиентов'!$K$5:$K$104,MATCH(B43,'Проблемы клиентов'!$A$5:$A$104,0)),0)*0.30+IFERROR(INDEX('Ценностные предложения'!$K$5:$K$104,MATCH(C43,'Ценностные предложения'!$A$5:$A$104,0)),0)*0.15+IFERROR(INDEX('Цифровой товар'!$K$5:$K$104,MATCH(D43,'Цифровой товар'!$A$5:$A$104,0)),0)*0.20+IFERROR(INDEX('Единица монетизации'!$M$5:$M$104,MATCH(E43,'Единица монетизации'!$A$5:$A$104,0)),0)*0.20+IFERROR(INDEX('Бизнес-модель'!$L$5:$L$104,MATCH(F43,'Бизнес-модель'!$A$5:$A$104,0)),0)*0.15),0))</x:f>
      </x:c>
      <x:c r="H43" s="32" t="str">
        <x:f>IF(G43="","",IF(G43&gt;=75,"Проходят проверку",IF(G43&gt;=55,"Требуется доработка","Недостаточно данных")))</x:f>
      </x:c>
      <x:c r="I43" s="32"/>
      <x:c r="J43" s="32"/>
    </x:row>
    <x:row r="44" ht="42" customHeight="1">
      <x:c r="A44" s="32"/>
      <x:c r="B44" s="32"/>
      <x:c r="C44" s="32"/>
      <x:c r="D44" s="32"/>
      <x:c r="E44" s="32"/>
      <x:c r="F44" s="32"/>
      <x:c r="G44" s="32" t="str">
        <x:f>IF(A44="","",ROUND((IFERROR(INDEX('Проблемы клиентов'!$K$5:$K$104,MATCH(B44,'Проблемы клиентов'!$A$5:$A$104,0)),0)*0.30+IFERROR(INDEX('Ценностные предложения'!$K$5:$K$104,MATCH(C44,'Ценностные предложения'!$A$5:$A$104,0)),0)*0.15+IFERROR(INDEX('Цифровой товар'!$K$5:$K$104,MATCH(D44,'Цифровой товар'!$A$5:$A$104,0)),0)*0.20+IFERROR(INDEX('Единица монетизации'!$M$5:$M$104,MATCH(E44,'Единица монетизации'!$A$5:$A$104,0)),0)*0.20+IFERROR(INDEX('Бизнес-модель'!$L$5:$L$104,MATCH(F44,'Бизнес-модель'!$A$5:$A$104,0)),0)*0.15),0))</x:f>
      </x:c>
      <x:c r="H44" s="32" t="str">
        <x:f>IF(G44="","",IF(G44&gt;=75,"Проходят проверку",IF(G44&gt;=55,"Требуется доработка","Недостаточно данных")))</x:f>
      </x:c>
      <x:c r="I44" s="32"/>
      <x:c r="J44" s="32"/>
    </x:row>
    <x:row r="45" ht="42" customHeight="1">
      <x:c r="A45" s="32"/>
      <x:c r="B45" s="32"/>
      <x:c r="C45" s="32"/>
      <x:c r="D45" s="32"/>
      <x:c r="E45" s="32"/>
      <x:c r="F45" s="32"/>
      <x:c r="G45" s="32" t="str">
        <x:f>IF(A45="","",ROUND((IFERROR(INDEX('Проблемы клиентов'!$K$5:$K$104,MATCH(B45,'Проблемы клиентов'!$A$5:$A$104,0)),0)*0.30+IFERROR(INDEX('Ценностные предложения'!$K$5:$K$104,MATCH(C45,'Ценностные предложения'!$A$5:$A$104,0)),0)*0.15+IFERROR(INDEX('Цифровой товар'!$K$5:$K$104,MATCH(D45,'Цифровой товар'!$A$5:$A$104,0)),0)*0.20+IFERROR(INDEX('Единица монетизации'!$M$5:$M$104,MATCH(E45,'Единица монетизации'!$A$5:$A$104,0)),0)*0.20+IFERROR(INDEX('Бизнес-модель'!$L$5:$L$104,MATCH(F45,'Бизнес-модель'!$A$5:$A$104,0)),0)*0.15),0))</x:f>
      </x:c>
      <x:c r="H45" s="32" t="str">
        <x:f>IF(G45="","",IF(G45&gt;=75,"Проходят проверку",IF(G45&gt;=55,"Требуется доработка","Недостаточно данных")))</x:f>
      </x:c>
      <x:c r="I45" s="32"/>
      <x:c r="J45" s="32"/>
    </x:row>
    <x:row r="46" ht="42" customHeight="1">
      <x:c r="A46" s="32"/>
      <x:c r="B46" s="32"/>
      <x:c r="C46" s="32"/>
      <x:c r="D46" s="32"/>
      <x:c r="E46" s="32"/>
      <x:c r="F46" s="32"/>
      <x:c r="G46" s="32" t="str">
        <x:f>IF(A46="","",ROUND((IFERROR(INDEX('Проблемы клиентов'!$K$5:$K$104,MATCH(B46,'Проблемы клиентов'!$A$5:$A$104,0)),0)*0.30+IFERROR(INDEX('Ценностные предложения'!$K$5:$K$104,MATCH(C46,'Ценностные предложения'!$A$5:$A$104,0)),0)*0.15+IFERROR(INDEX('Цифровой товар'!$K$5:$K$104,MATCH(D46,'Цифровой товар'!$A$5:$A$104,0)),0)*0.20+IFERROR(INDEX('Единица монетизации'!$M$5:$M$104,MATCH(E46,'Единица монетизации'!$A$5:$A$104,0)),0)*0.20+IFERROR(INDEX('Бизнес-модель'!$L$5:$L$104,MATCH(F46,'Бизнес-модель'!$A$5:$A$104,0)),0)*0.15),0))</x:f>
      </x:c>
      <x:c r="H46" s="32" t="str">
        <x:f>IF(G46="","",IF(G46&gt;=75,"Проходят проверку",IF(G46&gt;=55,"Требуется доработка","Недостаточно данных")))</x:f>
      </x:c>
      <x:c r="I46" s="32"/>
      <x:c r="J46" s="32"/>
    </x:row>
    <x:row r="47" ht="42" customHeight="1">
      <x:c r="A47" s="32"/>
      <x:c r="B47" s="32"/>
      <x:c r="C47" s="32"/>
      <x:c r="D47" s="32"/>
      <x:c r="E47" s="32"/>
      <x:c r="F47" s="32"/>
      <x:c r="G47" s="32" t="str">
        <x:f>IF(A47="","",ROUND((IFERROR(INDEX('Проблемы клиентов'!$K$5:$K$104,MATCH(B47,'Проблемы клиентов'!$A$5:$A$104,0)),0)*0.30+IFERROR(INDEX('Ценностные предложения'!$K$5:$K$104,MATCH(C47,'Ценностные предложения'!$A$5:$A$104,0)),0)*0.15+IFERROR(INDEX('Цифровой товар'!$K$5:$K$104,MATCH(D47,'Цифровой товар'!$A$5:$A$104,0)),0)*0.20+IFERROR(INDEX('Единица монетизации'!$M$5:$M$104,MATCH(E47,'Единица монетизации'!$A$5:$A$104,0)),0)*0.20+IFERROR(INDEX('Бизнес-модель'!$L$5:$L$104,MATCH(F47,'Бизнес-модель'!$A$5:$A$104,0)),0)*0.15),0))</x:f>
      </x:c>
      <x:c r="H47" s="32" t="str">
        <x:f>IF(G47="","",IF(G47&gt;=75,"Проходят проверку",IF(G47&gt;=55,"Требуется доработка","Недостаточно данных")))</x:f>
      </x:c>
      <x:c r="I47" s="32"/>
      <x:c r="J47" s="32"/>
    </x:row>
    <x:row r="48" ht="42" customHeight="1">
      <x:c r="A48" s="32"/>
      <x:c r="B48" s="32"/>
      <x:c r="C48" s="32"/>
      <x:c r="D48" s="32"/>
      <x:c r="E48" s="32"/>
      <x:c r="F48" s="32"/>
      <x:c r="G48" s="32" t="str">
        <x:f>IF(A48="","",ROUND((IFERROR(INDEX('Проблемы клиентов'!$K$5:$K$104,MATCH(B48,'Проблемы клиентов'!$A$5:$A$104,0)),0)*0.30+IFERROR(INDEX('Ценностные предложения'!$K$5:$K$104,MATCH(C48,'Ценностные предложения'!$A$5:$A$104,0)),0)*0.15+IFERROR(INDEX('Цифровой товар'!$K$5:$K$104,MATCH(D48,'Цифровой товар'!$A$5:$A$104,0)),0)*0.20+IFERROR(INDEX('Единица монетизации'!$M$5:$M$104,MATCH(E48,'Единица монетизации'!$A$5:$A$104,0)),0)*0.20+IFERROR(INDEX('Бизнес-модель'!$L$5:$L$104,MATCH(F48,'Бизнес-модель'!$A$5:$A$104,0)),0)*0.15),0))</x:f>
      </x:c>
      <x:c r="H48" s="32" t="str">
        <x:f>IF(G48="","",IF(G48&gt;=75,"Проходят проверку",IF(G48&gt;=55,"Требуется доработка","Недостаточно данных")))</x:f>
      </x:c>
      <x:c r="I48" s="32"/>
      <x:c r="J48" s="32"/>
    </x:row>
    <x:row r="49" ht="42" customHeight="1">
      <x:c r="A49" s="32"/>
      <x:c r="B49" s="32"/>
      <x:c r="C49" s="32"/>
      <x:c r="D49" s="32"/>
      <x:c r="E49" s="32"/>
      <x:c r="F49" s="32"/>
      <x:c r="G49" s="32" t="str">
        <x:f>IF(A49="","",ROUND((IFERROR(INDEX('Проблемы клиентов'!$K$5:$K$104,MATCH(B49,'Проблемы клиентов'!$A$5:$A$104,0)),0)*0.30+IFERROR(INDEX('Ценностные предложения'!$K$5:$K$104,MATCH(C49,'Ценностные предложения'!$A$5:$A$104,0)),0)*0.15+IFERROR(INDEX('Цифровой товар'!$K$5:$K$104,MATCH(D49,'Цифровой товар'!$A$5:$A$104,0)),0)*0.20+IFERROR(INDEX('Единица монетизации'!$M$5:$M$104,MATCH(E49,'Единица монетизации'!$A$5:$A$104,0)),0)*0.20+IFERROR(INDEX('Бизнес-модель'!$L$5:$L$104,MATCH(F49,'Бизнес-модель'!$A$5:$A$104,0)),0)*0.15),0))</x:f>
      </x:c>
      <x:c r="H49" s="32" t="str">
        <x:f>IF(G49="","",IF(G49&gt;=75,"Проходят проверку",IF(G49&gt;=55,"Требуется доработка","Недостаточно данных")))</x:f>
      </x:c>
      <x:c r="I49" s="32"/>
      <x:c r="J49" s="32"/>
    </x:row>
    <x:row r="50" ht="42" customHeight="1">
      <x:c r="A50" s="32"/>
      <x:c r="B50" s="32"/>
      <x:c r="C50" s="32"/>
      <x:c r="D50" s="32"/>
      <x:c r="E50" s="32"/>
      <x:c r="F50" s="32"/>
      <x:c r="G50" s="32" t="str">
        <x:f>IF(A50="","",ROUND((IFERROR(INDEX('Проблемы клиентов'!$K$5:$K$104,MATCH(B50,'Проблемы клиентов'!$A$5:$A$104,0)),0)*0.30+IFERROR(INDEX('Ценностные предложения'!$K$5:$K$104,MATCH(C50,'Ценностные предложения'!$A$5:$A$104,0)),0)*0.15+IFERROR(INDEX('Цифровой товар'!$K$5:$K$104,MATCH(D50,'Цифровой товар'!$A$5:$A$104,0)),0)*0.20+IFERROR(INDEX('Единица монетизации'!$M$5:$M$104,MATCH(E50,'Единица монетизации'!$A$5:$A$104,0)),0)*0.20+IFERROR(INDEX('Бизнес-модель'!$L$5:$L$104,MATCH(F50,'Бизнес-модель'!$A$5:$A$104,0)),0)*0.15),0))</x:f>
      </x:c>
      <x:c r="H50" s="32" t="str">
        <x:f>IF(G50="","",IF(G50&gt;=75,"Проходят проверку",IF(G50&gt;=55,"Требуется доработка","Недостаточно данных")))</x:f>
      </x:c>
      <x:c r="I50" s="32"/>
      <x:c r="J50" s="32"/>
    </x:row>
    <x:row r="51" ht="42" customHeight="1">
      <x:c r="A51" s="32"/>
      <x:c r="B51" s="32"/>
      <x:c r="C51" s="32"/>
      <x:c r="D51" s="32"/>
      <x:c r="E51" s="32"/>
      <x:c r="F51" s="32"/>
      <x:c r="G51" s="32" t="str">
        <x:f>IF(A51="","",ROUND((IFERROR(INDEX('Проблемы клиентов'!$K$5:$K$104,MATCH(B51,'Проблемы клиентов'!$A$5:$A$104,0)),0)*0.30+IFERROR(INDEX('Ценностные предложения'!$K$5:$K$104,MATCH(C51,'Ценностные предложения'!$A$5:$A$104,0)),0)*0.15+IFERROR(INDEX('Цифровой товар'!$K$5:$K$104,MATCH(D51,'Цифровой товар'!$A$5:$A$104,0)),0)*0.20+IFERROR(INDEX('Единица монетизации'!$M$5:$M$104,MATCH(E51,'Единица монетизации'!$A$5:$A$104,0)),0)*0.20+IFERROR(INDEX('Бизнес-модель'!$L$5:$L$104,MATCH(F51,'Бизнес-модель'!$A$5:$A$104,0)),0)*0.15),0))</x:f>
      </x:c>
      <x:c r="H51" s="32" t="str">
        <x:f>IF(G51="","",IF(G51&gt;=75,"Проходят проверку",IF(G51&gt;=55,"Требуется доработка","Недостаточно данных")))</x:f>
      </x:c>
      <x:c r="I51" s="32"/>
      <x:c r="J51" s="32"/>
    </x:row>
    <x:row r="52" ht="42" customHeight="1">
      <x:c r="A52" s="32"/>
      <x:c r="B52" s="32"/>
      <x:c r="C52" s="32"/>
      <x:c r="D52" s="32"/>
      <x:c r="E52" s="32"/>
      <x:c r="F52" s="32"/>
      <x:c r="G52" s="32" t="str">
        <x:f>IF(A52="","",ROUND((IFERROR(INDEX('Проблемы клиентов'!$K$5:$K$104,MATCH(B52,'Проблемы клиентов'!$A$5:$A$104,0)),0)*0.30+IFERROR(INDEX('Ценностные предложения'!$K$5:$K$104,MATCH(C52,'Ценностные предложения'!$A$5:$A$104,0)),0)*0.15+IFERROR(INDEX('Цифровой товар'!$K$5:$K$104,MATCH(D52,'Цифровой товар'!$A$5:$A$104,0)),0)*0.20+IFERROR(INDEX('Единица монетизации'!$M$5:$M$104,MATCH(E52,'Единица монетизации'!$A$5:$A$104,0)),0)*0.20+IFERROR(INDEX('Бизнес-модель'!$L$5:$L$104,MATCH(F52,'Бизнес-модель'!$A$5:$A$104,0)),0)*0.15),0))</x:f>
      </x:c>
      <x:c r="H52" s="32" t="str">
        <x:f>IF(G52="","",IF(G52&gt;=75,"Проходят проверку",IF(G52&gt;=55,"Требуется доработка","Недостаточно данных")))</x:f>
      </x:c>
      <x:c r="I52" s="32"/>
      <x:c r="J52" s="32"/>
    </x:row>
    <x:row r="53" ht="42" customHeight="1">
      <x:c r="A53" s="32"/>
      <x:c r="B53" s="32"/>
      <x:c r="C53" s="32"/>
      <x:c r="D53" s="32"/>
      <x:c r="E53" s="32"/>
      <x:c r="F53" s="32"/>
      <x:c r="G53" s="32" t="str">
        <x:f>IF(A53="","",ROUND((IFERROR(INDEX('Проблемы клиентов'!$K$5:$K$104,MATCH(B53,'Проблемы клиентов'!$A$5:$A$104,0)),0)*0.30+IFERROR(INDEX('Ценностные предложения'!$K$5:$K$104,MATCH(C53,'Ценностные предложения'!$A$5:$A$104,0)),0)*0.15+IFERROR(INDEX('Цифровой товар'!$K$5:$K$104,MATCH(D53,'Цифровой товар'!$A$5:$A$104,0)),0)*0.20+IFERROR(INDEX('Единица монетизации'!$M$5:$M$104,MATCH(E53,'Единица монетизации'!$A$5:$A$104,0)),0)*0.20+IFERROR(INDEX('Бизнес-модель'!$L$5:$L$104,MATCH(F53,'Бизнес-модель'!$A$5:$A$104,0)),0)*0.15),0))</x:f>
      </x:c>
      <x:c r="H53" s="32" t="str">
        <x:f>IF(G53="","",IF(G53&gt;=75,"Проходят проверку",IF(G53&gt;=55,"Требуется доработка","Недостаточно данных")))</x:f>
      </x:c>
      <x:c r="I53" s="32"/>
      <x:c r="J53" s="32"/>
    </x:row>
    <x:row r="54" ht="42" customHeight="1">
      <x:c r="A54" s="32"/>
      <x:c r="B54" s="32"/>
      <x:c r="C54" s="32"/>
      <x:c r="D54" s="32"/>
      <x:c r="E54" s="32"/>
      <x:c r="F54" s="32"/>
      <x:c r="G54" s="32" t="str">
        <x:f>IF(A54="","",ROUND((IFERROR(INDEX('Проблемы клиентов'!$K$5:$K$104,MATCH(B54,'Проблемы клиентов'!$A$5:$A$104,0)),0)*0.30+IFERROR(INDEX('Ценностные предложения'!$K$5:$K$104,MATCH(C54,'Ценностные предложения'!$A$5:$A$104,0)),0)*0.15+IFERROR(INDEX('Цифровой товар'!$K$5:$K$104,MATCH(D54,'Цифровой товар'!$A$5:$A$104,0)),0)*0.20+IFERROR(INDEX('Единица монетизации'!$M$5:$M$104,MATCH(E54,'Единица монетизации'!$A$5:$A$104,0)),0)*0.20+IFERROR(INDEX('Бизнес-модель'!$L$5:$L$104,MATCH(F54,'Бизнес-модель'!$A$5:$A$104,0)),0)*0.15),0))</x:f>
      </x:c>
      <x:c r="H54" s="32" t="str">
        <x:f>IF(G54="","",IF(G54&gt;=75,"Проходят проверку",IF(G54&gt;=55,"Требуется доработка","Недостаточно данных")))</x:f>
      </x:c>
      <x:c r="I54" s="32"/>
      <x:c r="J54" s="32"/>
    </x:row>
    <x:row r="55" ht="42" customHeight="1">
      <x:c r="A55" s="32"/>
      <x:c r="B55" s="32"/>
      <x:c r="C55" s="32"/>
      <x:c r="D55" s="32"/>
      <x:c r="E55" s="32"/>
      <x:c r="F55" s="32"/>
      <x:c r="G55" s="32" t="str">
        <x:f>IF(A55="","",ROUND((IFERROR(INDEX('Проблемы клиентов'!$K$5:$K$104,MATCH(B55,'Проблемы клиентов'!$A$5:$A$104,0)),0)*0.30+IFERROR(INDEX('Ценностные предложения'!$K$5:$K$104,MATCH(C55,'Ценностные предложения'!$A$5:$A$104,0)),0)*0.15+IFERROR(INDEX('Цифровой товар'!$K$5:$K$104,MATCH(D55,'Цифровой товар'!$A$5:$A$104,0)),0)*0.20+IFERROR(INDEX('Единица монетизации'!$M$5:$M$104,MATCH(E55,'Единица монетизации'!$A$5:$A$104,0)),0)*0.20+IFERROR(INDEX('Бизнес-модель'!$L$5:$L$104,MATCH(F55,'Бизнес-модель'!$A$5:$A$104,0)),0)*0.15),0))</x:f>
      </x:c>
      <x:c r="H55" s="32" t="str">
        <x:f>IF(G55="","",IF(G55&gt;=75,"Проходят проверку",IF(G55&gt;=55,"Требуется доработка","Недостаточно данных")))</x:f>
      </x:c>
      <x:c r="I55" s="32"/>
      <x:c r="J55" s="32"/>
    </x:row>
    <x:row r="56" ht="42" customHeight="1">
      <x:c r="A56" s="32"/>
      <x:c r="B56" s="32"/>
      <x:c r="C56" s="32"/>
      <x:c r="D56" s="32"/>
      <x:c r="E56" s="32"/>
      <x:c r="F56" s="32"/>
      <x:c r="G56" s="32" t="str">
        <x:f>IF(A56="","",ROUND((IFERROR(INDEX('Проблемы клиентов'!$K$5:$K$104,MATCH(B56,'Проблемы клиентов'!$A$5:$A$104,0)),0)*0.30+IFERROR(INDEX('Ценностные предложения'!$K$5:$K$104,MATCH(C56,'Ценностные предложения'!$A$5:$A$104,0)),0)*0.15+IFERROR(INDEX('Цифровой товар'!$K$5:$K$104,MATCH(D56,'Цифровой товар'!$A$5:$A$104,0)),0)*0.20+IFERROR(INDEX('Единица монетизации'!$M$5:$M$104,MATCH(E56,'Единица монетизации'!$A$5:$A$104,0)),0)*0.20+IFERROR(INDEX('Бизнес-модель'!$L$5:$L$104,MATCH(F56,'Бизнес-модель'!$A$5:$A$104,0)),0)*0.15),0))</x:f>
      </x:c>
      <x:c r="H56" s="32" t="str">
        <x:f>IF(G56="","",IF(G56&gt;=75,"Проходят проверку",IF(G56&gt;=55,"Требуется доработка","Недостаточно данных")))</x:f>
      </x:c>
      <x:c r="I56" s="32"/>
      <x:c r="J56" s="32"/>
    </x:row>
    <x:row r="57" ht="42" customHeight="1">
      <x:c r="A57" s="32"/>
      <x:c r="B57" s="32"/>
      <x:c r="C57" s="32"/>
      <x:c r="D57" s="32"/>
      <x:c r="E57" s="32"/>
      <x:c r="F57" s="32"/>
      <x:c r="G57" s="32" t="str">
        <x:f>IF(A57="","",ROUND((IFERROR(INDEX('Проблемы клиентов'!$K$5:$K$104,MATCH(B57,'Проблемы клиентов'!$A$5:$A$104,0)),0)*0.30+IFERROR(INDEX('Ценностные предложения'!$K$5:$K$104,MATCH(C57,'Ценностные предложения'!$A$5:$A$104,0)),0)*0.15+IFERROR(INDEX('Цифровой товар'!$K$5:$K$104,MATCH(D57,'Цифровой товар'!$A$5:$A$104,0)),0)*0.20+IFERROR(INDEX('Единица монетизации'!$M$5:$M$104,MATCH(E57,'Единица монетизации'!$A$5:$A$104,0)),0)*0.20+IFERROR(INDEX('Бизнес-модель'!$L$5:$L$104,MATCH(F57,'Бизнес-модель'!$A$5:$A$104,0)),0)*0.15),0))</x:f>
      </x:c>
      <x:c r="H57" s="32" t="str">
        <x:f>IF(G57="","",IF(G57&gt;=75,"Проходят проверку",IF(G57&gt;=55,"Требуется доработка","Недостаточно данных")))</x:f>
      </x:c>
      <x:c r="I57" s="32"/>
      <x:c r="J57" s="32"/>
    </x:row>
    <x:row r="58" ht="42" customHeight="1">
      <x:c r="A58" s="32"/>
      <x:c r="B58" s="32"/>
      <x:c r="C58" s="32"/>
      <x:c r="D58" s="32"/>
      <x:c r="E58" s="32"/>
      <x:c r="F58" s="32"/>
      <x:c r="G58" s="32" t="str">
        <x:f>IF(A58="","",ROUND((IFERROR(INDEX('Проблемы клиентов'!$K$5:$K$104,MATCH(B58,'Проблемы клиентов'!$A$5:$A$104,0)),0)*0.30+IFERROR(INDEX('Ценностные предложения'!$K$5:$K$104,MATCH(C58,'Ценностные предложения'!$A$5:$A$104,0)),0)*0.15+IFERROR(INDEX('Цифровой товар'!$K$5:$K$104,MATCH(D58,'Цифровой товар'!$A$5:$A$104,0)),0)*0.20+IFERROR(INDEX('Единица монетизации'!$M$5:$M$104,MATCH(E58,'Единица монетизации'!$A$5:$A$104,0)),0)*0.20+IFERROR(INDEX('Бизнес-модель'!$L$5:$L$104,MATCH(F58,'Бизнес-модель'!$A$5:$A$104,0)),0)*0.15),0))</x:f>
      </x:c>
      <x:c r="H58" s="32" t="str">
        <x:f>IF(G58="","",IF(G58&gt;=75,"Проходят проверку",IF(G58&gt;=55,"Требуется доработка","Недостаточно данных")))</x:f>
      </x:c>
      <x:c r="I58" s="32"/>
      <x:c r="J58" s="32"/>
    </x:row>
    <x:row r="59" ht="42" customHeight="1">
      <x:c r="A59" s="32"/>
      <x:c r="B59" s="32"/>
      <x:c r="C59" s="32"/>
      <x:c r="D59" s="32"/>
      <x:c r="E59" s="32"/>
      <x:c r="F59" s="32"/>
      <x:c r="G59" s="32" t="str">
        <x:f>IF(A59="","",ROUND((IFERROR(INDEX('Проблемы клиентов'!$K$5:$K$104,MATCH(B59,'Проблемы клиентов'!$A$5:$A$104,0)),0)*0.30+IFERROR(INDEX('Ценностные предложения'!$K$5:$K$104,MATCH(C59,'Ценностные предложения'!$A$5:$A$104,0)),0)*0.15+IFERROR(INDEX('Цифровой товар'!$K$5:$K$104,MATCH(D59,'Цифровой товар'!$A$5:$A$104,0)),0)*0.20+IFERROR(INDEX('Единица монетизации'!$M$5:$M$104,MATCH(E59,'Единица монетизации'!$A$5:$A$104,0)),0)*0.20+IFERROR(INDEX('Бизнес-модель'!$L$5:$L$104,MATCH(F59,'Бизнес-модель'!$A$5:$A$104,0)),0)*0.15),0))</x:f>
      </x:c>
      <x:c r="H59" s="32" t="str">
        <x:f>IF(G59="","",IF(G59&gt;=75,"Проходят проверку",IF(G59&gt;=55,"Требуется доработка","Недостаточно данных")))</x:f>
      </x:c>
      <x:c r="I59" s="32"/>
      <x:c r="J59" s="32"/>
    </x:row>
    <x:row r="60" ht="42" customHeight="1">
      <x:c r="A60" s="32"/>
      <x:c r="B60" s="32"/>
      <x:c r="C60" s="32"/>
      <x:c r="D60" s="32"/>
      <x:c r="E60" s="32"/>
      <x:c r="F60" s="32"/>
      <x:c r="G60" s="32" t="str">
        <x:f>IF(A60="","",ROUND((IFERROR(INDEX('Проблемы клиентов'!$K$5:$K$104,MATCH(B60,'Проблемы клиентов'!$A$5:$A$104,0)),0)*0.30+IFERROR(INDEX('Ценностные предложения'!$K$5:$K$104,MATCH(C60,'Ценностные предложения'!$A$5:$A$104,0)),0)*0.15+IFERROR(INDEX('Цифровой товар'!$K$5:$K$104,MATCH(D60,'Цифровой товар'!$A$5:$A$104,0)),0)*0.20+IFERROR(INDEX('Единица монетизации'!$M$5:$M$104,MATCH(E60,'Единица монетизации'!$A$5:$A$104,0)),0)*0.20+IFERROR(INDEX('Бизнес-модель'!$L$5:$L$104,MATCH(F60,'Бизнес-модель'!$A$5:$A$104,0)),0)*0.15),0))</x:f>
      </x:c>
      <x:c r="H60" s="32" t="str">
        <x:f>IF(G60="","",IF(G60&gt;=75,"Проходят проверку",IF(G60&gt;=55,"Требуется доработка","Недостаточно данных")))</x:f>
      </x:c>
      <x:c r="I60" s="32"/>
      <x:c r="J60" s="32"/>
    </x:row>
    <x:row r="61" ht="42" customHeight="1">
      <x:c r="A61" s="32"/>
      <x:c r="B61" s="32"/>
      <x:c r="C61" s="32"/>
      <x:c r="D61" s="32"/>
      <x:c r="E61" s="32"/>
      <x:c r="F61" s="32"/>
      <x:c r="G61" s="32" t="str">
        <x:f>IF(A61="","",ROUND((IFERROR(INDEX('Проблемы клиентов'!$K$5:$K$104,MATCH(B61,'Проблемы клиентов'!$A$5:$A$104,0)),0)*0.30+IFERROR(INDEX('Ценностные предложения'!$K$5:$K$104,MATCH(C61,'Ценностные предложения'!$A$5:$A$104,0)),0)*0.15+IFERROR(INDEX('Цифровой товар'!$K$5:$K$104,MATCH(D61,'Цифровой товар'!$A$5:$A$104,0)),0)*0.20+IFERROR(INDEX('Единица монетизации'!$M$5:$M$104,MATCH(E61,'Единица монетизации'!$A$5:$A$104,0)),0)*0.20+IFERROR(INDEX('Бизнес-модель'!$L$5:$L$104,MATCH(F61,'Бизнес-модель'!$A$5:$A$104,0)),0)*0.15),0))</x:f>
      </x:c>
      <x:c r="H61" s="32" t="str">
        <x:f>IF(G61="","",IF(G61&gt;=75,"Проходят проверку",IF(G61&gt;=55,"Требуется доработка","Недостаточно данных")))</x:f>
      </x:c>
      <x:c r="I61" s="32"/>
      <x:c r="J61" s="32"/>
    </x:row>
    <x:row r="62" ht="42" customHeight="1">
      <x:c r="A62" s="32"/>
      <x:c r="B62" s="32"/>
      <x:c r="C62" s="32"/>
      <x:c r="D62" s="32"/>
      <x:c r="E62" s="32"/>
      <x:c r="F62" s="32"/>
      <x:c r="G62" s="32" t="str">
        <x:f>IF(A62="","",ROUND((IFERROR(INDEX('Проблемы клиентов'!$K$5:$K$104,MATCH(B62,'Проблемы клиентов'!$A$5:$A$104,0)),0)*0.30+IFERROR(INDEX('Ценностные предложения'!$K$5:$K$104,MATCH(C62,'Ценностные предложения'!$A$5:$A$104,0)),0)*0.15+IFERROR(INDEX('Цифровой товар'!$K$5:$K$104,MATCH(D62,'Цифровой товар'!$A$5:$A$104,0)),0)*0.20+IFERROR(INDEX('Единица монетизации'!$M$5:$M$104,MATCH(E62,'Единица монетизации'!$A$5:$A$104,0)),0)*0.20+IFERROR(INDEX('Бизнес-модель'!$L$5:$L$104,MATCH(F62,'Бизнес-модель'!$A$5:$A$104,0)),0)*0.15),0))</x:f>
      </x:c>
      <x:c r="H62" s="32" t="str">
        <x:f>IF(G62="","",IF(G62&gt;=75,"Проходят проверку",IF(G62&gt;=55,"Требуется доработка","Недостаточно данных")))</x:f>
      </x:c>
      <x:c r="I62" s="32"/>
      <x:c r="J62" s="32"/>
    </x:row>
    <x:row r="63" ht="42" customHeight="1">
      <x:c r="A63" s="32"/>
      <x:c r="B63" s="32"/>
      <x:c r="C63" s="32"/>
      <x:c r="D63" s="32"/>
      <x:c r="E63" s="32"/>
      <x:c r="F63" s="32"/>
      <x:c r="G63" s="32" t="str">
        <x:f>IF(A63="","",ROUND((IFERROR(INDEX('Проблемы клиентов'!$K$5:$K$104,MATCH(B63,'Проблемы клиентов'!$A$5:$A$104,0)),0)*0.30+IFERROR(INDEX('Ценностные предложения'!$K$5:$K$104,MATCH(C63,'Ценностные предложения'!$A$5:$A$104,0)),0)*0.15+IFERROR(INDEX('Цифровой товар'!$K$5:$K$104,MATCH(D63,'Цифровой товар'!$A$5:$A$104,0)),0)*0.20+IFERROR(INDEX('Единица монетизации'!$M$5:$M$104,MATCH(E63,'Единица монетизации'!$A$5:$A$104,0)),0)*0.20+IFERROR(INDEX('Бизнес-модель'!$L$5:$L$104,MATCH(F63,'Бизнес-модель'!$A$5:$A$104,0)),0)*0.15),0))</x:f>
      </x:c>
      <x:c r="H63" s="32" t="str">
        <x:f>IF(G63="","",IF(G63&gt;=75,"Проходят проверку",IF(G63&gt;=55,"Требуется доработка","Недостаточно данных")))</x:f>
      </x:c>
      <x:c r="I63" s="32"/>
      <x:c r="J63" s="32"/>
    </x:row>
    <x:row r="64" ht="42" customHeight="1">
      <x:c r="A64" s="32"/>
      <x:c r="B64" s="32"/>
      <x:c r="C64" s="32"/>
      <x:c r="D64" s="32"/>
      <x:c r="E64" s="32"/>
      <x:c r="F64" s="32"/>
      <x:c r="G64" s="32" t="str">
        <x:f>IF(A64="","",ROUND((IFERROR(INDEX('Проблемы клиентов'!$K$5:$K$104,MATCH(B64,'Проблемы клиентов'!$A$5:$A$104,0)),0)*0.30+IFERROR(INDEX('Ценностные предложения'!$K$5:$K$104,MATCH(C64,'Ценностные предложения'!$A$5:$A$104,0)),0)*0.15+IFERROR(INDEX('Цифровой товар'!$K$5:$K$104,MATCH(D64,'Цифровой товар'!$A$5:$A$104,0)),0)*0.20+IFERROR(INDEX('Единица монетизации'!$M$5:$M$104,MATCH(E64,'Единица монетизации'!$A$5:$A$104,0)),0)*0.20+IFERROR(INDEX('Бизнес-модель'!$L$5:$L$104,MATCH(F64,'Бизнес-модель'!$A$5:$A$104,0)),0)*0.15),0))</x:f>
      </x:c>
      <x:c r="H64" s="32" t="str">
        <x:f>IF(G64="","",IF(G64&gt;=75,"Проходят проверку",IF(G64&gt;=55,"Требуется доработка","Недостаточно данных")))</x:f>
      </x:c>
      <x:c r="I64" s="32"/>
      <x:c r="J64" s="32"/>
    </x:row>
    <x:row r="65" ht="42" customHeight="1">
      <x:c r="A65" s="32"/>
      <x:c r="B65" s="32"/>
      <x:c r="C65" s="32"/>
      <x:c r="D65" s="32"/>
      <x:c r="E65" s="32"/>
      <x:c r="F65" s="32"/>
      <x:c r="G65" s="32" t="str">
        <x:f>IF(A65="","",ROUND((IFERROR(INDEX('Проблемы клиентов'!$K$5:$K$104,MATCH(B65,'Проблемы клиентов'!$A$5:$A$104,0)),0)*0.30+IFERROR(INDEX('Ценностные предложения'!$K$5:$K$104,MATCH(C65,'Ценностные предложения'!$A$5:$A$104,0)),0)*0.15+IFERROR(INDEX('Цифровой товар'!$K$5:$K$104,MATCH(D65,'Цифровой товар'!$A$5:$A$104,0)),0)*0.20+IFERROR(INDEX('Единица монетизации'!$M$5:$M$104,MATCH(E65,'Единица монетизации'!$A$5:$A$104,0)),0)*0.20+IFERROR(INDEX('Бизнес-модель'!$L$5:$L$104,MATCH(F65,'Бизнес-модель'!$A$5:$A$104,0)),0)*0.15),0))</x:f>
      </x:c>
      <x:c r="H65" s="32" t="str">
        <x:f>IF(G65="","",IF(G65&gt;=75,"Проходят проверку",IF(G65&gt;=55,"Требуется доработка","Недостаточно данных")))</x:f>
      </x:c>
      <x:c r="I65" s="32"/>
      <x:c r="J65" s="32"/>
    </x:row>
    <x:row r="66" ht="42" customHeight="1">
      <x:c r="A66" s="32"/>
      <x:c r="B66" s="32"/>
      <x:c r="C66" s="32"/>
      <x:c r="D66" s="32"/>
      <x:c r="E66" s="32"/>
      <x:c r="F66" s="32"/>
      <x:c r="G66" s="32" t="str">
        <x:f>IF(A66="","",ROUND((IFERROR(INDEX('Проблемы клиентов'!$K$5:$K$104,MATCH(B66,'Проблемы клиентов'!$A$5:$A$104,0)),0)*0.30+IFERROR(INDEX('Ценностные предложения'!$K$5:$K$104,MATCH(C66,'Ценностные предложения'!$A$5:$A$104,0)),0)*0.15+IFERROR(INDEX('Цифровой товар'!$K$5:$K$104,MATCH(D66,'Цифровой товар'!$A$5:$A$104,0)),0)*0.20+IFERROR(INDEX('Единица монетизации'!$M$5:$M$104,MATCH(E66,'Единица монетизации'!$A$5:$A$104,0)),0)*0.20+IFERROR(INDEX('Бизнес-модель'!$L$5:$L$104,MATCH(F66,'Бизнес-модель'!$A$5:$A$104,0)),0)*0.15),0))</x:f>
      </x:c>
      <x:c r="H66" s="32" t="str">
        <x:f>IF(G66="","",IF(G66&gt;=75,"Проходят проверку",IF(G66&gt;=55,"Требуется доработка","Недостаточно данных")))</x:f>
      </x:c>
      <x:c r="I66" s="32"/>
      <x:c r="J66" s="32"/>
    </x:row>
    <x:row r="67" ht="42" customHeight="1">
      <x:c r="A67" s="32"/>
      <x:c r="B67" s="32"/>
      <x:c r="C67" s="32"/>
      <x:c r="D67" s="32"/>
      <x:c r="E67" s="32"/>
      <x:c r="F67" s="32"/>
      <x:c r="G67" s="32" t="str">
        <x:f>IF(A67="","",ROUND((IFERROR(INDEX('Проблемы клиентов'!$K$5:$K$104,MATCH(B67,'Проблемы клиентов'!$A$5:$A$104,0)),0)*0.30+IFERROR(INDEX('Ценностные предложения'!$K$5:$K$104,MATCH(C67,'Ценностные предложения'!$A$5:$A$104,0)),0)*0.15+IFERROR(INDEX('Цифровой товар'!$K$5:$K$104,MATCH(D67,'Цифровой товар'!$A$5:$A$104,0)),0)*0.20+IFERROR(INDEX('Единица монетизации'!$M$5:$M$104,MATCH(E67,'Единица монетизации'!$A$5:$A$104,0)),0)*0.20+IFERROR(INDEX('Бизнес-модель'!$L$5:$L$104,MATCH(F67,'Бизнес-модель'!$A$5:$A$104,0)),0)*0.15),0))</x:f>
      </x:c>
      <x:c r="H67" s="32" t="str">
        <x:f>IF(G67="","",IF(G67&gt;=75,"Проходят проверку",IF(G67&gt;=55,"Требуется доработка","Недостаточно данных")))</x:f>
      </x:c>
      <x:c r="I67" s="32"/>
      <x:c r="J67" s="32"/>
    </x:row>
    <x:row r="68" ht="42" customHeight="1">
      <x:c r="A68" s="32"/>
      <x:c r="B68" s="32"/>
      <x:c r="C68" s="32"/>
      <x:c r="D68" s="32"/>
      <x:c r="E68" s="32"/>
      <x:c r="F68" s="32"/>
      <x:c r="G68" s="32" t="str">
        <x:f>IF(A68="","",ROUND((IFERROR(INDEX('Проблемы клиентов'!$K$5:$K$104,MATCH(B68,'Проблемы клиентов'!$A$5:$A$104,0)),0)*0.30+IFERROR(INDEX('Ценностные предложения'!$K$5:$K$104,MATCH(C68,'Ценностные предложения'!$A$5:$A$104,0)),0)*0.15+IFERROR(INDEX('Цифровой товар'!$K$5:$K$104,MATCH(D68,'Цифровой товар'!$A$5:$A$104,0)),0)*0.20+IFERROR(INDEX('Единица монетизации'!$M$5:$M$104,MATCH(E68,'Единица монетизации'!$A$5:$A$104,0)),0)*0.20+IFERROR(INDEX('Бизнес-модель'!$L$5:$L$104,MATCH(F68,'Бизнес-модель'!$A$5:$A$104,0)),0)*0.15),0))</x:f>
      </x:c>
      <x:c r="H68" s="32" t="str">
        <x:f>IF(G68="","",IF(G68&gt;=75,"Проходят проверку",IF(G68&gt;=55,"Требуется доработка","Недостаточно данных")))</x:f>
      </x:c>
      <x:c r="I68" s="32"/>
      <x:c r="J68" s="32"/>
    </x:row>
    <x:row r="69" ht="42" customHeight="1">
      <x:c r="A69" s="32"/>
      <x:c r="B69" s="32"/>
      <x:c r="C69" s="32"/>
      <x:c r="D69" s="32"/>
      <x:c r="E69" s="32"/>
      <x:c r="F69" s="32"/>
      <x:c r="G69" s="32" t="str">
        <x:f>IF(A69="","",ROUND((IFERROR(INDEX('Проблемы клиентов'!$K$5:$K$104,MATCH(B69,'Проблемы клиентов'!$A$5:$A$104,0)),0)*0.30+IFERROR(INDEX('Ценностные предложения'!$K$5:$K$104,MATCH(C69,'Ценностные предложения'!$A$5:$A$104,0)),0)*0.15+IFERROR(INDEX('Цифровой товар'!$K$5:$K$104,MATCH(D69,'Цифровой товар'!$A$5:$A$104,0)),0)*0.20+IFERROR(INDEX('Единица монетизации'!$M$5:$M$104,MATCH(E69,'Единица монетизации'!$A$5:$A$104,0)),0)*0.20+IFERROR(INDEX('Бизнес-модель'!$L$5:$L$104,MATCH(F69,'Бизнес-модель'!$A$5:$A$104,0)),0)*0.15),0))</x:f>
      </x:c>
      <x:c r="H69" s="32" t="str">
        <x:f>IF(G69="","",IF(G69&gt;=75,"Проходят проверку",IF(G69&gt;=55,"Требуется доработка","Недостаточно данных")))</x:f>
      </x:c>
      <x:c r="I69" s="32"/>
      <x:c r="J69" s="32"/>
    </x:row>
    <x:row r="70" ht="42" customHeight="1">
      <x:c r="A70" s="32"/>
      <x:c r="B70" s="32"/>
      <x:c r="C70" s="32"/>
      <x:c r="D70" s="32"/>
      <x:c r="E70" s="32"/>
      <x:c r="F70" s="32"/>
      <x:c r="G70" s="32" t="str">
        <x:f>IF(A70="","",ROUND((IFERROR(INDEX('Проблемы клиентов'!$K$5:$K$104,MATCH(B70,'Проблемы клиентов'!$A$5:$A$104,0)),0)*0.30+IFERROR(INDEX('Ценностные предложения'!$K$5:$K$104,MATCH(C70,'Ценностные предложения'!$A$5:$A$104,0)),0)*0.15+IFERROR(INDEX('Цифровой товар'!$K$5:$K$104,MATCH(D70,'Цифровой товар'!$A$5:$A$104,0)),0)*0.20+IFERROR(INDEX('Единица монетизации'!$M$5:$M$104,MATCH(E70,'Единица монетизации'!$A$5:$A$104,0)),0)*0.20+IFERROR(INDEX('Бизнес-модель'!$L$5:$L$104,MATCH(F70,'Бизнес-модель'!$A$5:$A$104,0)),0)*0.15),0))</x:f>
      </x:c>
      <x:c r="H70" s="32" t="str">
        <x:f>IF(G70="","",IF(G70&gt;=75,"Проходят проверку",IF(G70&gt;=55,"Требуется доработка","Недостаточно данных")))</x:f>
      </x:c>
      <x:c r="I70" s="32"/>
      <x:c r="J70" s="32"/>
    </x:row>
    <x:row r="71" ht="42" customHeight="1">
      <x:c r="A71" s="32"/>
      <x:c r="B71" s="32"/>
      <x:c r="C71" s="32"/>
      <x:c r="D71" s="32"/>
      <x:c r="E71" s="32"/>
      <x:c r="F71" s="32"/>
      <x:c r="G71" s="32" t="str">
        <x:f>IF(A71="","",ROUND((IFERROR(INDEX('Проблемы клиентов'!$K$5:$K$104,MATCH(B71,'Проблемы клиентов'!$A$5:$A$104,0)),0)*0.30+IFERROR(INDEX('Ценностные предложения'!$K$5:$K$104,MATCH(C71,'Ценностные предложения'!$A$5:$A$104,0)),0)*0.15+IFERROR(INDEX('Цифровой товар'!$K$5:$K$104,MATCH(D71,'Цифровой товар'!$A$5:$A$104,0)),0)*0.20+IFERROR(INDEX('Единица монетизации'!$M$5:$M$104,MATCH(E71,'Единица монетизации'!$A$5:$A$104,0)),0)*0.20+IFERROR(INDEX('Бизнес-модель'!$L$5:$L$104,MATCH(F71,'Бизнес-модель'!$A$5:$A$104,0)),0)*0.15),0))</x:f>
      </x:c>
      <x:c r="H71" s="32" t="str">
        <x:f>IF(G71="","",IF(G71&gt;=75,"Проходят проверку",IF(G71&gt;=55,"Требуется доработка","Недостаточно данных")))</x:f>
      </x:c>
      <x:c r="I71" s="32"/>
      <x:c r="J71" s="32"/>
    </x:row>
    <x:row r="72" ht="42" customHeight="1">
      <x:c r="A72" s="32"/>
      <x:c r="B72" s="32"/>
      <x:c r="C72" s="32"/>
      <x:c r="D72" s="32"/>
      <x:c r="E72" s="32"/>
      <x:c r="F72" s="32"/>
      <x:c r="G72" s="32" t="str">
        <x:f>IF(A72="","",ROUND((IFERROR(INDEX('Проблемы клиентов'!$K$5:$K$104,MATCH(B72,'Проблемы клиентов'!$A$5:$A$104,0)),0)*0.30+IFERROR(INDEX('Ценностные предложения'!$K$5:$K$104,MATCH(C72,'Ценностные предложения'!$A$5:$A$104,0)),0)*0.15+IFERROR(INDEX('Цифровой товар'!$K$5:$K$104,MATCH(D72,'Цифровой товар'!$A$5:$A$104,0)),0)*0.20+IFERROR(INDEX('Единица монетизации'!$M$5:$M$104,MATCH(E72,'Единица монетизации'!$A$5:$A$104,0)),0)*0.20+IFERROR(INDEX('Бизнес-модель'!$L$5:$L$104,MATCH(F72,'Бизнес-модель'!$A$5:$A$104,0)),0)*0.15),0))</x:f>
      </x:c>
      <x:c r="H72" s="32" t="str">
        <x:f>IF(G72="","",IF(G72&gt;=75,"Проходят проверку",IF(G72&gt;=55,"Требуется доработка","Недостаточно данных")))</x:f>
      </x:c>
      <x:c r="I72" s="32"/>
      <x:c r="J72" s="32"/>
    </x:row>
    <x:row r="73" ht="42" customHeight="1">
      <x:c r="A73" s="32"/>
      <x:c r="B73" s="32"/>
      <x:c r="C73" s="32"/>
      <x:c r="D73" s="32"/>
      <x:c r="E73" s="32"/>
      <x:c r="F73" s="32"/>
      <x:c r="G73" s="32" t="str">
        <x:f>IF(A73="","",ROUND((IFERROR(INDEX('Проблемы клиентов'!$K$5:$K$104,MATCH(B73,'Проблемы клиентов'!$A$5:$A$104,0)),0)*0.30+IFERROR(INDEX('Ценностные предложения'!$K$5:$K$104,MATCH(C73,'Ценностные предложения'!$A$5:$A$104,0)),0)*0.15+IFERROR(INDEX('Цифровой товар'!$K$5:$K$104,MATCH(D73,'Цифровой товар'!$A$5:$A$104,0)),0)*0.20+IFERROR(INDEX('Единица монетизации'!$M$5:$M$104,MATCH(E73,'Единица монетизации'!$A$5:$A$104,0)),0)*0.20+IFERROR(INDEX('Бизнес-модель'!$L$5:$L$104,MATCH(F73,'Бизнес-модель'!$A$5:$A$104,0)),0)*0.15),0))</x:f>
      </x:c>
      <x:c r="H73" s="32" t="str">
        <x:f>IF(G73="","",IF(G73&gt;=75,"Проходят проверку",IF(G73&gt;=55,"Требуется доработка","Недостаточно данных")))</x:f>
      </x:c>
      <x:c r="I73" s="32"/>
      <x:c r="J73" s="32"/>
    </x:row>
    <x:row r="74" ht="42" customHeight="1">
      <x:c r="A74" s="32"/>
      <x:c r="B74" s="32"/>
      <x:c r="C74" s="32"/>
      <x:c r="D74" s="32"/>
      <x:c r="E74" s="32"/>
      <x:c r="F74" s="32"/>
      <x:c r="G74" s="32" t="str">
        <x:f>IF(A74="","",ROUND((IFERROR(INDEX('Проблемы клиентов'!$K$5:$K$104,MATCH(B74,'Проблемы клиентов'!$A$5:$A$104,0)),0)*0.30+IFERROR(INDEX('Ценностные предложения'!$K$5:$K$104,MATCH(C74,'Ценностные предложения'!$A$5:$A$104,0)),0)*0.15+IFERROR(INDEX('Цифровой товар'!$K$5:$K$104,MATCH(D74,'Цифровой товар'!$A$5:$A$104,0)),0)*0.20+IFERROR(INDEX('Единица монетизации'!$M$5:$M$104,MATCH(E74,'Единица монетизации'!$A$5:$A$104,0)),0)*0.20+IFERROR(INDEX('Бизнес-модель'!$L$5:$L$104,MATCH(F74,'Бизнес-модель'!$A$5:$A$104,0)),0)*0.15),0))</x:f>
      </x:c>
      <x:c r="H74" s="32" t="str">
        <x:f>IF(G74="","",IF(G74&gt;=75,"Проходят проверку",IF(G74&gt;=55,"Требуется доработка","Недостаточно данных")))</x:f>
      </x:c>
      <x:c r="I74" s="32"/>
      <x:c r="J74" s="32"/>
    </x:row>
    <x:row r="75" ht="42" customHeight="1">
      <x:c r="A75" s="32"/>
      <x:c r="B75" s="32"/>
      <x:c r="C75" s="32"/>
      <x:c r="D75" s="32"/>
      <x:c r="E75" s="32"/>
      <x:c r="F75" s="32"/>
      <x:c r="G75" s="32" t="str">
        <x:f>IF(A75="","",ROUND((IFERROR(INDEX('Проблемы клиентов'!$K$5:$K$104,MATCH(B75,'Проблемы клиентов'!$A$5:$A$104,0)),0)*0.30+IFERROR(INDEX('Ценностные предложения'!$K$5:$K$104,MATCH(C75,'Ценностные предложения'!$A$5:$A$104,0)),0)*0.15+IFERROR(INDEX('Цифровой товар'!$K$5:$K$104,MATCH(D75,'Цифровой товар'!$A$5:$A$104,0)),0)*0.20+IFERROR(INDEX('Единица монетизации'!$M$5:$M$104,MATCH(E75,'Единица монетизации'!$A$5:$A$104,0)),0)*0.20+IFERROR(INDEX('Бизнес-модель'!$L$5:$L$104,MATCH(F75,'Бизнес-модель'!$A$5:$A$104,0)),0)*0.15),0))</x:f>
      </x:c>
      <x:c r="H75" s="32" t="str">
        <x:f>IF(G75="","",IF(G75&gt;=75,"Проходят проверку",IF(G75&gt;=55,"Требуется доработка","Недостаточно данных")))</x:f>
      </x:c>
      <x:c r="I75" s="32"/>
      <x:c r="J75" s="32"/>
    </x:row>
    <x:row r="76" ht="42" customHeight="1">
      <x:c r="A76" s="32"/>
      <x:c r="B76" s="32"/>
      <x:c r="C76" s="32"/>
      <x:c r="D76" s="32"/>
      <x:c r="E76" s="32"/>
      <x:c r="F76" s="32"/>
      <x:c r="G76" s="32" t="str">
        <x:f>IF(A76="","",ROUND((IFERROR(INDEX('Проблемы клиентов'!$K$5:$K$104,MATCH(B76,'Проблемы клиентов'!$A$5:$A$104,0)),0)*0.30+IFERROR(INDEX('Ценностные предложения'!$K$5:$K$104,MATCH(C76,'Ценностные предложения'!$A$5:$A$104,0)),0)*0.15+IFERROR(INDEX('Цифровой товар'!$K$5:$K$104,MATCH(D76,'Цифровой товар'!$A$5:$A$104,0)),0)*0.20+IFERROR(INDEX('Единица монетизации'!$M$5:$M$104,MATCH(E76,'Единица монетизации'!$A$5:$A$104,0)),0)*0.20+IFERROR(INDEX('Бизнес-модель'!$L$5:$L$104,MATCH(F76,'Бизнес-модель'!$A$5:$A$104,0)),0)*0.15),0))</x:f>
      </x:c>
      <x:c r="H76" s="32" t="str">
        <x:f>IF(G76="","",IF(G76&gt;=75,"Проходят проверку",IF(G76&gt;=55,"Требуется доработка","Недостаточно данных")))</x:f>
      </x:c>
      <x:c r="I76" s="32"/>
      <x:c r="J76" s="32"/>
    </x:row>
    <x:row r="77" ht="42" customHeight="1">
      <x:c r="A77" s="32"/>
      <x:c r="B77" s="32"/>
      <x:c r="C77" s="32"/>
      <x:c r="D77" s="32"/>
      <x:c r="E77" s="32"/>
      <x:c r="F77" s="32"/>
      <x:c r="G77" s="32" t="str">
        <x:f>IF(A77="","",ROUND((IFERROR(INDEX('Проблемы клиентов'!$K$5:$K$104,MATCH(B77,'Проблемы клиентов'!$A$5:$A$104,0)),0)*0.30+IFERROR(INDEX('Ценностные предложения'!$K$5:$K$104,MATCH(C77,'Ценностные предложения'!$A$5:$A$104,0)),0)*0.15+IFERROR(INDEX('Цифровой товар'!$K$5:$K$104,MATCH(D77,'Цифровой товар'!$A$5:$A$104,0)),0)*0.20+IFERROR(INDEX('Единица монетизации'!$M$5:$M$104,MATCH(E77,'Единица монетизации'!$A$5:$A$104,0)),0)*0.20+IFERROR(INDEX('Бизнес-модель'!$L$5:$L$104,MATCH(F77,'Бизнес-модель'!$A$5:$A$104,0)),0)*0.15),0))</x:f>
      </x:c>
      <x:c r="H77" s="32" t="str">
        <x:f>IF(G77="","",IF(G77&gt;=75,"Проходят проверку",IF(G77&gt;=55,"Требуется доработка","Недостаточно данных")))</x:f>
      </x:c>
      <x:c r="I77" s="32"/>
      <x:c r="J77" s="32"/>
    </x:row>
    <x:row r="78" ht="42" customHeight="1">
      <x:c r="A78" s="32"/>
      <x:c r="B78" s="32"/>
      <x:c r="C78" s="32"/>
      <x:c r="D78" s="32"/>
      <x:c r="E78" s="32"/>
      <x:c r="F78" s="32"/>
      <x:c r="G78" s="32" t="str">
        <x:f>IF(A78="","",ROUND((IFERROR(INDEX('Проблемы клиентов'!$K$5:$K$104,MATCH(B78,'Проблемы клиентов'!$A$5:$A$104,0)),0)*0.30+IFERROR(INDEX('Ценностные предложения'!$K$5:$K$104,MATCH(C78,'Ценностные предложения'!$A$5:$A$104,0)),0)*0.15+IFERROR(INDEX('Цифровой товар'!$K$5:$K$104,MATCH(D78,'Цифровой товар'!$A$5:$A$104,0)),0)*0.20+IFERROR(INDEX('Единица монетизации'!$M$5:$M$104,MATCH(E78,'Единица монетизации'!$A$5:$A$104,0)),0)*0.20+IFERROR(INDEX('Бизнес-модель'!$L$5:$L$104,MATCH(F78,'Бизнес-модель'!$A$5:$A$104,0)),0)*0.15),0))</x:f>
      </x:c>
      <x:c r="H78" s="32" t="str">
        <x:f>IF(G78="","",IF(G78&gt;=75,"Проходят проверку",IF(G78&gt;=55,"Требуется доработка","Недостаточно данных")))</x:f>
      </x:c>
      <x:c r="I78" s="32"/>
      <x:c r="J78" s="32"/>
    </x:row>
    <x:row r="79" ht="42" customHeight="1">
      <x:c r="A79" s="32"/>
      <x:c r="B79" s="32"/>
      <x:c r="C79" s="32"/>
      <x:c r="D79" s="32"/>
      <x:c r="E79" s="32"/>
      <x:c r="F79" s="32"/>
      <x:c r="G79" s="32" t="str">
        <x:f>IF(A79="","",ROUND((IFERROR(INDEX('Проблемы клиентов'!$K$5:$K$104,MATCH(B79,'Проблемы клиентов'!$A$5:$A$104,0)),0)*0.30+IFERROR(INDEX('Ценностные предложения'!$K$5:$K$104,MATCH(C79,'Ценностные предложения'!$A$5:$A$104,0)),0)*0.15+IFERROR(INDEX('Цифровой товар'!$K$5:$K$104,MATCH(D79,'Цифровой товар'!$A$5:$A$104,0)),0)*0.20+IFERROR(INDEX('Единица монетизации'!$M$5:$M$104,MATCH(E79,'Единица монетизации'!$A$5:$A$104,0)),0)*0.20+IFERROR(INDEX('Бизнес-модель'!$L$5:$L$104,MATCH(F79,'Бизнес-модель'!$A$5:$A$104,0)),0)*0.15),0))</x:f>
      </x:c>
      <x:c r="H79" s="32" t="str">
        <x:f>IF(G79="","",IF(G79&gt;=75,"Проходят проверку",IF(G79&gt;=55,"Требуется доработка","Недостаточно данных")))</x:f>
      </x:c>
      <x:c r="I79" s="32"/>
      <x:c r="J79" s="32"/>
    </x:row>
    <x:row r="80" ht="42" customHeight="1">
      <x:c r="A80" s="32"/>
      <x:c r="B80" s="32"/>
      <x:c r="C80" s="32"/>
      <x:c r="D80" s="32"/>
      <x:c r="E80" s="32"/>
      <x:c r="F80" s="32"/>
      <x:c r="G80" s="32" t="str">
        <x:f>IF(A80="","",ROUND((IFERROR(INDEX('Проблемы клиентов'!$K$5:$K$104,MATCH(B80,'Проблемы клиентов'!$A$5:$A$104,0)),0)*0.30+IFERROR(INDEX('Ценностные предложения'!$K$5:$K$104,MATCH(C80,'Ценностные предложения'!$A$5:$A$104,0)),0)*0.15+IFERROR(INDEX('Цифровой товар'!$K$5:$K$104,MATCH(D80,'Цифровой товар'!$A$5:$A$104,0)),0)*0.20+IFERROR(INDEX('Единица монетизации'!$M$5:$M$104,MATCH(E80,'Единица монетизации'!$A$5:$A$104,0)),0)*0.20+IFERROR(INDEX('Бизнес-модель'!$L$5:$L$104,MATCH(F80,'Бизнес-модель'!$A$5:$A$104,0)),0)*0.15),0))</x:f>
      </x:c>
      <x:c r="H80" s="32" t="str">
        <x:f>IF(G80="","",IF(G80&gt;=75,"Проходят проверку",IF(G80&gt;=55,"Требуется доработка","Недостаточно данных")))</x:f>
      </x:c>
      <x:c r="I80" s="32"/>
      <x:c r="J80" s="32"/>
    </x:row>
    <x:row r="81" ht="42" customHeight="1">
      <x:c r="A81" s="32"/>
      <x:c r="B81" s="32"/>
      <x:c r="C81" s="32"/>
      <x:c r="D81" s="32"/>
      <x:c r="E81" s="32"/>
      <x:c r="F81" s="32"/>
      <x:c r="G81" s="32" t="str">
        <x:f>IF(A81="","",ROUND((IFERROR(INDEX('Проблемы клиентов'!$K$5:$K$104,MATCH(B81,'Проблемы клиентов'!$A$5:$A$104,0)),0)*0.30+IFERROR(INDEX('Ценностные предложения'!$K$5:$K$104,MATCH(C81,'Ценностные предложения'!$A$5:$A$104,0)),0)*0.15+IFERROR(INDEX('Цифровой товар'!$K$5:$K$104,MATCH(D81,'Цифровой товар'!$A$5:$A$104,0)),0)*0.20+IFERROR(INDEX('Единица монетизации'!$M$5:$M$104,MATCH(E81,'Единица монетизации'!$A$5:$A$104,0)),0)*0.20+IFERROR(INDEX('Бизнес-модель'!$L$5:$L$104,MATCH(F81,'Бизнес-модель'!$A$5:$A$104,0)),0)*0.15),0))</x:f>
      </x:c>
      <x:c r="H81" s="32" t="str">
        <x:f>IF(G81="","",IF(G81&gt;=75,"Проходят проверку",IF(G81&gt;=55,"Требуется доработка","Недостаточно данных")))</x:f>
      </x:c>
      <x:c r="I81" s="32"/>
      <x:c r="J81" s="32"/>
    </x:row>
    <x:row r="82" ht="42" customHeight="1">
      <x:c r="A82" s="32"/>
      <x:c r="B82" s="32"/>
      <x:c r="C82" s="32"/>
      <x:c r="D82" s="32"/>
      <x:c r="E82" s="32"/>
      <x:c r="F82" s="32"/>
      <x:c r="G82" s="32" t="str">
        <x:f>IF(A82="","",ROUND((IFERROR(INDEX('Проблемы клиентов'!$K$5:$K$104,MATCH(B82,'Проблемы клиентов'!$A$5:$A$104,0)),0)*0.30+IFERROR(INDEX('Ценностные предложения'!$K$5:$K$104,MATCH(C82,'Ценностные предложения'!$A$5:$A$104,0)),0)*0.15+IFERROR(INDEX('Цифровой товар'!$K$5:$K$104,MATCH(D82,'Цифровой товар'!$A$5:$A$104,0)),0)*0.20+IFERROR(INDEX('Единица монетизации'!$M$5:$M$104,MATCH(E82,'Единица монетизации'!$A$5:$A$104,0)),0)*0.20+IFERROR(INDEX('Бизнес-модель'!$L$5:$L$104,MATCH(F82,'Бизнес-модель'!$A$5:$A$104,0)),0)*0.15),0))</x:f>
      </x:c>
      <x:c r="H82" s="32" t="str">
        <x:f>IF(G82="","",IF(G82&gt;=75,"Проходят проверку",IF(G82&gt;=55,"Требуется доработка","Недостаточно данных")))</x:f>
      </x:c>
      <x:c r="I82" s="32"/>
      <x:c r="J82" s="32"/>
    </x:row>
    <x:row r="83" ht="42" customHeight="1">
      <x:c r="A83" s="32"/>
      <x:c r="B83" s="32"/>
      <x:c r="C83" s="32"/>
      <x:c r="D83" s="32"/>
      <x:c r="E83" s="32"/>
      <x:c r="F83" s="32"/>
      <x:c r="G83" s="32" t="str">
        <x:f>IF(A83="","",ROUND((IFERROR(INDEX('Проблемы клиентов'!$K$5:$K$104,MATCH(B83,'Проблемы клиентов'!$A$5:$A$104,0)),0)*0.30+IFERROR(INDEX('Ценностные предложения'!$K$5:$K$104,MATCH(C83,'Ценностные предложения'!$A$5:$A$104,0)),0)*0.15+IFERROR(INDEX('Цифровой товар'!$K$5:$K$104,MATCH(D83,'Цифровой товар'!$A$5:$A$104,0)),0)*0.20+IFERROR(INDEX('Единица монетизации'!$M$5:$M$104,MATCH(E83,'Единица монетизации'!$A$5:$A$104,0)),0)*0.20+IFERROR(INDEX('Бизнес-модель'!$L$5:$L$104,MATCH(F83,'Бизнес-модель'!$A$5:$A$104,0)),0)*0.15),0))</x:f>
      </x:c>
      <x:c r="H83" s="32" t="str">
        <x:f>IF(G83="","",IF(G83&gt;=75,"Проходят проверку",IF(G83&gt;=55,"Требуется доработка","Недостаточно данных")))</x:f>
      </x:c>
      <x:c r="I83" s="32"/>
      <x:c r="J83" s="32"/>
    </x:row>
    <x:row r="84" ht="42" customHeight="1">
      <x:c r="A84" s="32"/>
      <x:c r="B84" s="32"/>
      <x:c r="C84" s="32"/>
      <x:c r="D84" s="32"/>
      <x:c r="E84" s="32"/>
      <x:c r="F84" s="32"/>
      <x:c r="G84" s="32" t="str">
        <x:f>IF(A84="","",ROUND((IFERROR(INDEX('Проблемы клиентов'!$K$5:$K$104,MATCH(B84,'Проблемы клиентов'!$A$5:$A$104,0)),0)*0.30+IFERROR(INDEX('Ценностные предложения'!$K$5:$K$104,MATCH(C84,'Ценностные предложения'!$A$5:$A$104,0)),0)*0.15+IFERROR(INDEX('Цифровой товар'!$K$5:$K$104,MATCH(D84,'Цифровой товар'!$A$5:$A$104,0)),0)*0.20+IFERROR(INDEX('Единица монетизации'!$M$5:$M$104,MATCH(E84,'Единица монетизации'!$A$5:$A$104,0)),0)*0.20+IFERROR(INDEX('Бизнес-модель'!$L$5:$L$104,MATCH(F84,'Бизнес-модель'!$A$5:$A$104,0)),0)*0.15),0))</x:f>
      </x:c>
      <x:c r="H84" s="32" t="str">
        <x:f>IF(G84="","",IF(G84&gt;=75,"Проходят проверку",IF(G84&gt;=55,"Требуется доработка","Недостаточно данных")))</x:f>
      </x:c>
      <x:c r="I84" s="32"/>
      <x:c r="J84" s="32"/>
    </x:row>
    <x:row r="85" ht="42" customHeight="1">
      <x:c r="A85" s="32"/>
      <x:c r="B85" s="32"/>
      <x:c r="C85" s="32"/>
      <x:c r="D85" s="32"/>
      <x:c r="E85" s="32"/>
      <x:c r="F85" s="32"/>
      <x:c r="G85" s="32" t="str">
        <x:f>IF(A85="","",ROUND((IFERROR(INDEX('Проблемы клиентов'!$K$5:$K$104,MATCH(B85,'Проблемы клиентов'!$A$5:$A$104,0)),0)*0.30+IFERROR(INDEX('Ценностные предложения'!$K$5:$K$104,MATCH(C85,'Ценностные предложения'!$A$5:$A$104,0)),0)*0.15+IFERROR(INDEX('Цифровой товар'!$K$5:$K$104,MATCH(D85,'Цифровой товар'!$A$5:$A$104,0)),0)*0.20+IFERROR(INDEX('Единица монетизации'!$M$5:$M$104,MATCH(E85,'Единица монетизации'!$A$5:$A$104,0)),0)*0.20+IFERROR(INDEX('Бизнес-модель'!$L$5:$L$104,MATCH(F85,'Бизнес-модель'!$A$5:$A$104,0)),0)*0.15),0))</x:f>
      </x:c>
      <x:c r="H85" s="32" t="str">
        <x:f>IF(G85="","",IF(G85&gt;=75,"Проходят проверку",IF(G85&gt;=55,"Требуется доработка","Недостаточно данных")))</x:f>
      </x:c>
      <x:c r="I85" s="32"/>
      <x:c r="J85" s="32"/>
    </x:row>
    <x:row r="86" ht="42" customHeight="1">
      <x:c r="A86" s="32"/>
      <x:c r="B86" s="32"/>
      <x:c r="C86" s="32"/>
      <x:c r="D86" s="32"/>
      <x:c r="E86" s="32"/>
      <x:c r="F86" s="32"/>
      <x:c r="G86" s="32" t="str">
        <x:f>IF(A86="","",ROUND((IFERROR(INDEX('Проблемы клиентов'!$K$5:$K$104,MATCH(B86,'Проблемы клиентов'!$A$5:$A$104,0)),0)*0.30+IFERROR(INDEX('Ценностные предложения'!$K$5:$K$104,MATCH(C86,'Ценностные предложения'!$A$5:$A$104,0)),0)*0.15+IFERROR(INDEX('Цифровой товар'!$K$5:$K$104,MATCH(D86,'Цифровой товар'!$A$5:$A$104,0)),0)*0.20+IFERROR(INDEX('Единица монетизации'!$M$5:$M$104,MATCH(E86,'Единица монетизации'!$A$5:$A$104,0)),0)*0.20+IFERROR(INDEX('Бизнес-модель'!$L$5:$L$104,MATCH(F86,'Бизнес-модель'!$A$5:$A$104,0)),0)*0.15),0))</x:f>
      </x:c>
      <x:c r="H86" s="32" t="str">
        <x:f>IF(G86="","",IF(G86&gt;=75,"Проходят проверку",IF(G86&gt;=55,"Требуется доработка","Недостаточно данных")))</x:f>
      </x:c>
      <x:c r="I86" s="32"/>
      <x:c r="J86" s="32"/>
    </x:row>
    <x:row r="87" ht="42" customHeight="1">
      <x:c r="A87" s="32"/>
      <x:c r="B87" s="32"/>
      <x:c r="C87" s="32"/>
      <x:c r="D87" s="32"/>
      <x:c r="E87" s="32"/>
      <x:c r="F87" s="32"/>
      <x:c r="G87" s="32" t="str">
        <x:f>IF(A87="","",ROUND((IFERROR(INDEX('Проблемы клиентов'!$K$5:$K$104,MATCH(B87,'Проблемы клиентов'!$A$5:$A$104,0)),0)*0.30+IFERROR(INDEX('Ценностные предложения'!$K$5:$K$104,MATCH(C87,'Ценностные предложения'!$A$5:$A$104,0)),0)*0.15+IFERROR(INDEX('Цифровой товар'!$K$5:$K$104,MATCH(D87,'Цифровой товар'!$A$5:$A$104,0)),0)*0.20+IFERROR(INDEX('Единица монетизации'!$M$5:$M$104,MATCH(E87,'Единица монетизации'!$A$5:$A$104,0)),0)*0.20+IFERROR(INDEX('Бизнес-модель'!$L$5:$L$104,MATCH(F87,'Бизнес-модель'!$A$5:$A$104,0)),0)*0.15),0))</x:f>
      </x:c>
      <x:c r="H87" s="32" t="str">
        <x:f>IF(G87="","",IF(G87&gt;=75,"Проходят проверку",IF(G87&gt;=55,"Требуется доработка","Недостаточно данных")))</x:f>
      </x:c>
      <x:c r="I87" s="32"/>
      <x:c r="J87" s="32"/>
    </x:row>
    <x:row r="88" ht="42" customHeight="1">
      <x:c r="A88" s="32"/>
      <x:c r="B88" s="32"/>
      <x:c r="C88" s="32"/>
      <x:c r="D88" s="32"/>
      <x:c r="E88" s="32"/>
      <x:c r="F88" s="32"/>
      <x:c r="G88" s="32" t="str">
        <x:f>IF(A88="","",ROUND((IFERROR(INDEX('Проблемы клиентов'!$K$5:$K$104,MATCH(B88,'Проблемы клиентов'!$A$5:$A$104,0)),0)*0.30+IFERROR(INDEX('Ценностные предложения'!$K$5:$K$104,MATCH(C88,'Ценностные предложения'!$A$5:$A$104,0)),0)*0.15+IFERROR(INDEX('Цифровой товар'!$K$5:$K$104,MATCH(D88,'Цифровой товар'!$A$5:$A$104,0)),0)*0.20+IFERROR(INDEX('Единица монетизации'!$M$5:$M$104,MATCH(E88,'Единица монетизации'!$A$5:$A$104,0)),0)*0.20+IFERROR(INDEX('Бизнес-модель'!$L$5:$L$104,MATCH(F88,'Бизнес-модель'!$A$5:$A$104,0)),0)*0.15),0))</x:f>
      </x:c>
      <x:c r="H88" s="32" t="str">
        <x:f>IF(G88="","",IF(G88&gt;=75,"Проходят проверку",IF(G88&gt;=55,"Требуется доработка","Недостаточно данных")))</x:f>
      </x:c>
      <x:c r="I88" s="32"/>
      <x:c r="J88" s="32"/>
    </x:row>
    <x:row r="89" ht="42" customHeight="1">
      <x:c r="A89" s="32"/>
      <x:c r="B89" s="32"/>
      <x:c r="C89" s="32"/>
      <x:c r="D89" s="32"/>
      <x:c r="E89" s="32"/>
      <x:c r="F89" s="32"/>
      <x:c r="G89" s="32" t="str">
        <x:f>IF(A89="","",ROUND((IFERROR(INDEX('Проблемы клиентов'!$K$5:$K$104,MATCH(B89,'Проблемы клиентов'!$A$5:$A$104,0)),0)*0.30+IFERROR(INDEX('Ценностные предложения'!$K$5:$K$104,MATCH(C89,'Ценностные предложения'!$A$5:$A$104,0)),0)*0.15+IFERROR(INDEX('Цифровой товар'!$K$5:$K$104,MATCH(D89,'Цифровой товар'!$A$5:$A$104,0)),0)*0.20+IFERROR(INDEX('Единица монетизации'!$M$5:$M$104,MATCH(E89,'Единица монетизации'!$A$5:$A$104,0)),0)*0.20+IFERROR(INDEX('Бизнес-модель'!$L$5:$L$104,MATCH(F89,'Бизнес-модель'!$A$5:$A$104,0)),0)*0.15),0))</x:f>
      </x:c>
      <x:c r="H89" s="32" t="str">
        <x:f>IF(G89="","",IF(G89&gt;=75,"Проходят проверку",IF(G89&gt;=55,"Требуется доработка","Недостаточно данных")))</x:f>
      </x:c>
      <x:c r="I89" s="32"/>
      <x:c r="J89" s="32"/>
    </x:row>
    <x:row r="90" ht="42" customHeight="1">
      <x:c r="A90" s="32"/>
      <x:c r="B90" s="32"/>
      <x:c r="C90" s="32"/>
      <x:c r="D90" s="32"/>
      <x:c r="E90" s="32"/>
      <x:c r="F90" s="32"/>
      <x:c r="G90" s="32" t="str">
        <x:f>IF(A90="","",ROUND((IFERROR(INDEX('Проблемы клиентов'!$K$5:$K$104,MATCH(B90,'Проблемы клиентов'!$A$5:$A$104,0)),0)*0.30+IFERROR(INDEX('Ценностные предложения'!$K$5:$K$104,MATCH(C90,'Ценностные предложения'!$A$5:$A$104,0)),0)*0.15+IFERROR(INDEX('Цифровой товар'!$K$5:$K$104,MATCH(D90,'Цифровой товар'!$A$5:$A$104,0)),0)*0.20+IFERROR(INDEX('Единица монетизации'!$M$5:$M$104,MATCH(E90,'Единица монетизации'!$A$5:$A$104,0)),0)*0.20+IFERROR(INDEX('Бизнес-модель'!$L$5:$L$104,MATCH(F90,'Бизнес-модель'!$A$5:$A$104,0)),0)*0.15),0))</x:f>
      </x:c>
      <x:c r="H90" s="32" t="str">
        <x:f>IF(G90="","",IF(G90&gt;=75,"Проходят проверку",IF(G90&gt;=55,"Требуется доработка","Недостаточно данных")))</x:f>
      </x:c>
      <x:c r="I90" s="32"/>
      <x:c r="J90" s="32"/>
    </x:row>
    <x:row r="91" ht="42" customHeight="1">
      <x:c r="A91" s="32"/>
      <x:c r="B91" s="32"/>
      <x:c r="C91" s="32"/>
      <x:c r="D91" s="32"/>
      <x:c r="E91" s="32"/>
      <x:c r="F91" s="32"/>
      <x:c r="G91" s="32" t="str">
        <x:f>IF(A91="","",ROUND((IFERROR(INDEX('Проблемы клиентов'!$K$5:$K$104,MATCH(B91,'Проблемы клиентов'!$A$5:$A$104,0)),0)*0.30+IFERROR(INDEX('Ценностные предложения'!$K$5:$K$104,MATCH(C91,'Ценностные предложения'!$A$5:$A$104,0)),0)*0.15+IFERROR(INDEX('Цифровой товар'!$K$5:$K$104,MATCH(D91,'Цифровой товар'!$A$5:$A$104,0)),0)*0.20+IFERROR(INDEX('Единица монетизации'!$M$5:$M$104,MATCH(E91,'Единица монетизации'!$A$5:$A$104,0)),0)*0.20+IFERROR(INDEX('Бизнес-модель'!$L$5:$L$104,MATCH(F91,'Бизнес-модель'!$A$5:$A$104,0)),0)*0.15),0))</x:f>
      </x:c>
      <x:c r="H91" s="32" t="str">
        <x:f>IF(G91="","",IF(G91&gt;=75,"Проходят проверку",IF(G91&gt;=55,"Требуется доработка","Недостаточно данных")))</x:f>
      </x:c>
      <x:c r="I91" s="32"/>
      <x:c r="J91" s="32"/>
    </x:row>
    <x:row r="92" ht="42" customHeight="1">
      <x:c r="A92" s="32"/>
      <x:c r="B92" s="32"/>
      <x:c r="C92" s="32"/>
      <x:c r="D92" s="32"/>
      <x:c r="E92" s="32"/>
      <x:c r="F92" s="32"/>
      <x:c r="G92" s="32" t="str">
        <x:f>IF(A92="","",ROUND((IFERROR(INDEX('Проблемы клиентов'!$K$5:$K$104,MATCH(B92,'Проблемы клиентов'!$A$5:$A$104,0)),0)*0.30+IFERROR(INDEX('Ценностные предложения'!$K$5:$K$104,MATCH(C92,'Ценностные предложения'!$A$5:$A$104,0)),0)*0.15+IFERROR(INDEX('Цифровой товар'!$K$5:$K$104,MATCH(D92,'Цифровой товар'!$A$5:$A$104,0)),0)*0.20+IFERROR(INDEX('Единица монетизации'!$M$5:$M$104,MATCH(E92,'Единица монетизации'!$A$5:$A$104,0)),0)*0.20+IFERROR(INDEX('Бизнес-модель'!$L$5:$L$104,MATCH(F92,'Бизнес-модель'!$A$5:$A$104,0)),0)*0.15),0))</x:f>
      </x:c>
      <x:c r="H92" s="32" t="str">
        <x:f>IF(G92="","",IF(G92&gt;=75,"Проходят проверку",IF(G92&gt;=55,"Требуется доработка","Недостаточно данных")))</x:f>
      </x:c>
      <x:c r="I92" s="32"/>
      <x:c r="J92" s="32"/>
    </x:row>
    <x:row r="93" ht="42" customHeight="1">
      <x:c r="A93" s="32"/>
      <x:c r="B93" s="32"/>
      <x:c r="C93" s="32"/>
      <x:c r="D93" s="32"/>
      <x:c r="E93" s="32"/>
      <x:c r="F93" s="32"/>
      <x:c r="G93" s="32" t="str">
        <x:f>IF(A93="","",ROUND((IFERROR(INDEX('Проблемы клиентов'!$K$5:$K$104,MATCH(B93,'Проблемы клиентов'!$A$5:$A$104,0)),0)*0.30+IFERROR(INDEX('Ценностные предложения'!$K$5:$K$104,MATCH(C93,'Ценностные предложения'!$A$5:$A$104,0)),0)*0.15+IFERROR(INDEX('Цифровой товар'!$K$5:$K$104,MATCH(D93,'Цифровой товар'!$A$5:$A$104,0)),0)*0.20+IFERROR(INDEX('Единица монетизации'!$M$5:$M$104,MATCH(E93,'Единица монетизации'!$A$5:$A$104,0)),0)*0.20+IFERROR(INDEX('Бизнес-модель'!$L$5:$L$104,MATCH(F93,'Бизнес-модель'!$A$5:$A$104,0)),0)*0.15),0))</x:f>
      </x:c>
      <x:c r="H93" s="32" t="str">
        <x:f>IF(G93="","",IF(G93&gt;=75,"Проходят проверку",IF(G93&gt;=55,"Требуется доработка","Недостаточно данных")))</x:f>
      </x:c>
      <x:c r="I93" s="32"/>
      <x:c r="J93" s="32"/>
    </x:row>
    <x:row r="94" ht="42" customHeight="1">
      <x:c r="A94" s="32"/>
      <x:c r="B94" s="32"/>
      <x:c r="C94" s="32"/>
      <x:c r="D94" s="32"/>
      <x:c r="E94" s="32"/>
      <x:c r="F94" s="32"/>
      <x:c r="G94" s="32" t="str">
        <x:f>IF(A94="","",ROUND((IFERROR(INDEX('Проблемы клиентов'!$K$5:$K$104,MATCH(B94,'Проблемы клиентов'!$A$5:$A$104,0)),0)*0.30+IFERROR(INDEX('Ценностные предложения'!$K$5:$K$104,MATCH(C94,'Ценностные предложения'!$A$5:$A$104,0)),0)*0.15+IFERROR(INDEX('Цифровой товар'!$K$5:$K$104,MATCH(D94,'Цифровой товар'!$A$5:$A$104,0)),0)*0.20+IFERROR(INDEX('Единица монетизации'!$M$5:$M$104,MATCH(E94,'Единица монетизации'!$A$5:$A$104,0)),0)*0.20+IFERROR(INDEX('Бизнес-модель'!$L$5:$L$104,MATCH(F94,'Бизнес-модель'!$A$5:$A$104,0)),0)*0.15),0))</x:f>
      </x:c>
      <x:c r="H94" s="32" t="str">
        <x:f>IF(G94="","",IF(G94&gt;=75,"Проходят проверку",IF(G94&gt;=55,"Требуется доработка","Недостаточно данных")))</x:f>
      </x:c>
      <x:c r="I94" s="32"/>
      <x:c r="J94" s="32"/>
    </x:row>
    <x:row r="95" ht="42" customHeight="1">
      <x:c r="A95" s="32"/>
      <x:c r="B95" s="32"/>
      <x:c r="C95" s="32"/>
      <x:c r="D95" s="32"/>
      <x:c r="E95" s="32"/>
      <x:c r="F95" s="32"/>
      <x:c r="G95" s="32" t="str">
        <x:f>IF(A95="","",ROUND((IFERROR(INDEX('Проблемы клиентов'!$K$5:$K$104,MATCH(B95,'Проблемы клиентов'!$A$5:$A$104,0)),0)*0.30+IFERROR(INDEX('Ценностные предложения'!$K$5:$K$104,MATCH(C95,'Ценностные предложения'!$A$5:$A$104,0)),0)*0.15+IFERROR(INDEX('Цифровой товар'!$K$5:$K$104,MATCH(D95,'Цифровой товар'!$A$5:$A$104,0)),0)*0.20+IFERROR(INDEX('Единица монетизации'!$M$5:$M$104,MATCH(E95,'Единица монетизации'!$A$5:$A$104,0)),0)*0.20+IFERROR(INDEX('Бизнес-модель'!$L$5:$L$104,MATCH(F95,'Бизнес-модель'!$A$5:$A$104,0)),0)*0.15),0))</x:f>
      </x:c>
      <x:c r="H95" s="32" t="str">
        <x:f>IF(G95="","",IF(G95&gt;=75,"Проходят проверку",IF(G95&gt;=55,"Требуется доработка","Недостаточно данных")))</x:f>
      </x:c>
      <x:c r="I95" s="32"/>
      <x:c r="J95" s="32"/>
    </x:row>
    <x:row r="96" ht="42" customHeight="1">
      <x:c r="A96" s="32"/>
      <x:c r="B96" s="32"/>
      <x:c r="C96" s="32"/>
      <x:c r="D96" s="32"/>
      <x:c r="E96" s="32"/>
      <x:c r="F96" s="32"/>
      <x:c r="G96" s="32" t="str">
        <x:f>IF(A96="","",ROUND((IFERROR(INDEX('Проблемы клиентов'!$K$5:$K$104,MATCH(B96,'Проблемы клиентов'!$A$5:$A$104,0)),0)*0.30+IFERROR(INDEX('Ценностные предложения'!$K$5:$K$104,MATCH(C96,'Ценностные предложения'!$A$5:$A$104,0)),0)*0.15+IFERROR(INDEX('Цифровой товар'!$K$5:$K$104,MATCH(D96,'Цифровой товар'!$A$5:$A$104,0)),0)*0.20+IFERROR(INDEX('Единица монетизации'!$M$5:$M$104,MATCH(E96,'Единица монетизации'!$A$5:$A$104,0)),0)*0.20+IFERROR(INDEX('Бизнес-модель'!$L$5:$L$104,MATCH(F96,'Бизнес-модель'!$A$5:$A$104,0)),0)*0.15),0))</x:f>
      </x:c>
      <x:c r="H96" s="32" t="str">
        <x:f>IF(G96="","",IF(G96&gt;=75,"Проходят проверку",IF(G96&gt;=55,"Требуется доработка","Недостаточно данных")))</x:f>
      </x:c>
      <x:c r="I96" s="32"/>
      <x:c r="J96" s="32"/>
    </x:row>
    <x:row r="97" ht="42" customHeight="1">
      <x:c r="A97" s="32"/>
      <x:c r="B97" s="32"/>
      <x:c r="C97" s="32"/>
      <x:c r="D97" s="32"/>
      <x:c r="E97" s="32"/>
      <x:c r="F97" s="32"/>
      <x:c r="G97" s="32" t="str">
        <x:f>IF(A97="","",ROUND((IFERROR(INDEX('Проблемы клиентов'!$K$5:$K$104,MATCH(B97,'Проблемы клиентов'!$A$5:$A$104,0)),0)*0.30+IFERROR(INDEX('Ценностные предложения'!$K$5:$K$104,MATCH(C97,'Ценностные предложения'!$A$5:$A$104,0)),0)*0.15+IFERROR(INDEX('Цифровой товар'!$K$5:$K$104,MATCH(D97,'Цифровой товар'!$A$5:$A$104,0)),0)*0.20+IFERROR(INDEX('Единица монетизации'!$M$5:$M$104,MATCH(E97,'Единица монетизации'!$A$5:$A$104,0)),0)*0.20+IFERROR(INDEX('Бизнес-модель'!$L$5:$L$104,MATCH(F97,'Бизнес-модель'!$A$5:$A$104,0)),0)*0.15),0))</x:f>
      </x:c>
      <x:c r="H97" s="32" t="str">
        <x:f>IF(G97="","",IF(G97&gt;=75,"Проходят проверку",IF(G97&gt;=55,"Требуется доработка","Недостаточно данных")))</x:f>
      </x:c>
      <x:c r="I97" s="32"/>
      <x:c r="J97" s="32"/>
    </x:row>
    <x:row r="98" ht="42" customHeight="1">
      <x:c r="A98" s="32"/>
      <x:c r="B98" s="32"/>
      <x:c r="C98" s="32"/>
      <x:c r="D98" s="32"/>
      <x:c r="E98" s="32"/>
      <x:c r="F98" s="32"/>
      <x:c r="G98" s="32" t="str">
        <x:f>IF(A98="","",ROUND((IFERROR(INDEX('Проблемы клиентов'!$K$5:$K$104,MATCH(B98,'Проблемы клиентов'!$A$5:$A$104,0)),0)*0.30+IFERROR(INDEX('Ценностные предложения'!$K$5:$K$104,MATCH(C98,'Ценностные предложения'!$A$5:$A$104,0)),0)*0.15+IFERROR(INDEX('Цифровой товар'!$K$5:$K$104,MATCH(D98,'Цифровой товар'!$A$5:$A$104,0)),0)*0.20+IFERROR(INDEX('Единица монетизации'!$M$5:$M$104,MATCH(E98,'Единица монетизации'!$A$5:$A$104,0)),0)*0.20+IFERROR(INDEX('Бизнес-модель'!$L$5:$L$104,MATCH(F98,'Бизнес-модель'!$A$5:$A$104,0)),0)*0.15),0))</x:f>
      </x:c>
      <x:c r="H98" s="32" t="str">
        <x:f>IF(G98="","",IF(G98&gt;=75,"Проходят проверку",IF(G98&gt;=55,"Требуется доработка","Недостаточно данных")))</x:f>
      </x:c>
      <x:c r="I98" s="32"/>
      <x:c r="J98" s="32"/>
    </x:row>
    <x:row r="99" ht="42" customHeight="1">
      <x:c r="A99" s="32"/>
      <x:c r="B99" s="32"/>
      <x:c r="C99" s="32"/>
      <x:c r="D99" s="32"/>
      <x:c r="E99" s="32"/>
      <x:c r="F99" s="32"/>
      <x:c r="G99" s="32" t="str">
        <x:f>IF(A99="","",ROUND((IFERROR(INDEX('Проблемы клиентов'!$K$5:$K$104,MATCH(B99,'Проблемы клиентов'!$A$5:$A$104,0)),0)*0.30+IFERROR(INDEX('Ценностные предложения'!$K$5:$K$104,MATCH(C99,'Ценностные предложения'!$A$5:$A$104,0)),0)*0.15+IFERROR(INDEX('Цифровой товар'!$K$5:$K$104,MATCH(D99,'Цифровой товар'!$A$5:$A$104,0)),0)*0.20+IFERROR(INDEX('Единица монетизации'!$M$5:$M$104,MATCH(E99,'Единица монетизации'!$A$5:$A$104,0)),0)*0.20+IFERROR(INDEX('Бизнес-модель'!$L$5:$L$104,MATCH(F99,'Бизнес-модель'!$A$5:$A$104,0)),0)*0.15),0))</x:f>
      </x:c>
      <x:c r="H99" s="32" t="str">
        <x:f>IF(G99="","",IF(G99&gt;=75,"Проходят проверку",IF(G99&gt;=55,"Требуется доработка","Недостаточно данных")))</x:f>
      </x:c>
      <x:c r="I99" s="32"/>
      <x:c r="J99" s="32"/>
    </x:row>
    <x:row r="100" ht="42" customHeight="1">
      <x:c r="A100" s="32"/>
      <x:c r="B100" s="32"/>
      <x:c r="C100" s="32"/>
      <x:c r="D100" s="32"/>
      <x:c r="E100" s="32"/>
      <x:c r="F100" s="32"/>
      <x:c r="G100" s="32" t="str">
        <x:f>IF(A100="","",ROUND((IFERROR(INDEX('Проблемы клиентов'!$K$5:$K$104,MATCH(B100,'Проблемы клиентов'!$A$5:$A$104,0)),0)*0.30+IFERROR(INDEX('Ценностные предложения'!$K$5:$K$104,MATCH(C100,'Ценностные предложения'!$A$5:$A$104,0)),0)*0.15+IFERROR(INDEX('Цифровой товар'!$K$5:$K$104,MATCH(D100,'Цифровой товар'!$A$5:$A$104,0)),0)*0.20+IFERROR(INDEX('Единица монетизации'!$M$5:$M$104,MATCH(E100,'Единица монетизации'!$A$5:$A$104,0)),0)*0.20+IFERROR(INDEX('Бизнес-модель'!$L$5:$L$104,MATCH(F100,'Бизнес-модель'!$A$5:$A$104,0)),0)*0.15),0))</x:f>
      </x:c>
      <x:c r="H100" s="32" t="str">
        <x:f>IF(G100="","",IF(G100&gt;=75,"Проходят проверку",IF(G100&gt;=55,"Требуется доработка","Недостаточно данных")))</x:f>
      </x:c>
      <x:c r="I100" s="32"/>
      <x:c r="J100" s="32"/>
    </x:row>
    <x:row r="101" ht="42" customHeight="1">
      <x:c r="A101" s="32"/>
      <x:c r="B101" s="32"/>
      <x:c r="C101" s="32"/>
      <x:c r="D101" s="32"/>
      <x:c r="E101" s="32"/>
      <x:c r="F101" s="32"/>
      <x:c r="G101" s="32" t="str">
        <x:f>IF(A101="","",ROUND((IFERROR(INDEX('Проблемы клиентов'!$K$5:$K$104,MATCH(B101,'Проблемы клиентов'!$A$5:$A$104,0)),0)*0.30+IFERROR(INDEX('Ценностные предложения'!$K$5:$K$104,MATCH(C101,'Ценностные предложения'!$A$5:$A$104,0)),0)*0.15+IFERROR(INDEX('Цифровой товар'!$K$5:$K$104,MATCH(D101,'Цифровой товар'!$A$5:$A$104,0)),0)*0.20+IFERROR(INDEX('Единица монетизации'!$M$5:$M$104,MATCH(E101,'Единица монетизации'!$A$5:$A$104,0)),0)*0.20+IFERROR(INDEX('Бизнес-модель'!$L$5:$L$104,MATCH(F101,'Бизнес-модель'!$A$5:$A$104,0)),0)*0.15),0))</x:f>
      </x:c>
      <x:c r="H101" s="32" t="str">
        <x:f>IF(G101="","",IF(G101&gt;=75,"Проходят проверку",IF(G101&gt;=55,"Требуется доработка","Недостаточно данных")))</x:f>
      </x:c>
      <x:c r="I101" s="32"/>
      <x:c r="J101" s="32"/>
    </x:row>
    <x:row r="102" ht="42" customHeight="1">
      <x:c r="A102" s="32"/>
      <x:c r="B102" s="32"/>
      <x:c r="C102" s="32"/>
      <x:c r="D102" s="32"/>
      <x:c r="E102" s="32"/>
      <x:c r="F102" s="32"/>
      <x:c r="G102" s="32" t="str">
        <x:f>IF(A102="","",ROUND((IFERROR(INDEX('Проблемы клиентов'!$K$5:$K$104,MATCH(B102,'Проблемы клиентов'!$A$5:$A$104,0)),0)*0.30+IFERROR(INDEX('Ценностные предложения'!$K$5:$K$104,MATCH(C102,'Ценностные предложения'!$A$5:$A$104,0)),0)*0.15+IFERROR(INDEX('Цифровой товар'!$K$5:$K$104,MATCH(D102,'Цифровой товар'!$A$5:$A$104,0)),0)*0.20+IFERROR(INDEX('Единица монетизации'!$M$5:$M$104,MATCH(E102,'Единица монетизации'!$A$5:$A$104,0)),0)*0.20+IFERROR(INDEX('Бизнес-модель'!$L$5:$L$104,MATCH(F102,'Бизнес-модель'!$A$5:$A$104,0)),0)*0.15),0))</x:f>
      </x:c>
      <x:c r="H102" s="32" t="str">
        <x:f>IF(G102="","",IF(G102&gt;=75,"Проходят проверку",IF(G102&gt;=55,"Требуется доработка","Недостаточно данных")))</x:f>
      </x:c>
      <x:c r="I102" s="32"/>
      <x:c r="J102" s="32"/>
    </x:row>
    <x:row r="103" ht="42" customHeight="1">
      <x:c r="A103" s="32"/>
      <x:c r="B103" s="32"/>
      <x:c r="C103" s="32"/>
      <x:c r="D103" s="32"/>
      <x:c r="E103" s="32"/>
      <x:c r="F103" s="32"/>
      <x:c r="G103" s="32" t="str">
        <x:f>IF(A103="","",ROUND((IFERROR(INDEX('Проблемы клиентов'!$K$5:$K$104,MATCH(B103,'Проблемы клиентов'!$A$5:$A$104,0)),0)*0.30+IFERROR(INDEX('Ценностные предложения'!$K$5:$K$104,MATCH(C103,'Ценностные предложения'!$A$5:$A$104,0)),0)*0.15+IFERROR(INDEX('Цифровой товар'!$K$5:$K$104,MATCH(D103,'Цифровой товар'!$A$5:$A$104,0)),0)*0.20+IFERROR(INDEX('Единица монетизации'!$M$5:$M$104,MATCH(E103,'Единица монетизации'!$A$5:$A$104,0)),0)*0.20+IFERROR(INDEX('Бизнес-модель'!$L$5:$L$104,MATCH(F103,'Бизнес-модель'!$A$5:$A$104,0)),0)*0.15),0))</x:f>
      </x:c>
      <x:c r="H103" s="32" t="str">
        <x:f>IF(G103="","",IF(G103&gt;=75,"Проходят проверку",IF(G103&gt;=55,"Требуется доработка","Недостаточно данных")))</x:f>
      </x:c>
      <x:c r="I103" s="32"/>
      <x:c r="J103" s="32"/>
    </x:row>
    <x:row r="104" ht="42" customHeight="1">
      <x:c r="A104" s="32"/>
      <x:c r="B104" s="32"/>
      <x:c r="C104" s="32"/>
      <x:c r="D104" s="32"/>
      <x:c r="E104" s="32"/>
      <x:c r="F104" s="32"/>
      <x:c r="G104" s="32" t="str">
        <x:f>IF(A104="","",ROUND((IFERROR(INDEX('Проблемы клиентов'!$K$5:$K$104,MATCH(B104,'Проблемы клиентов'!$A$5:$A$104,0)),0)*0.30+IFERROR(INDEX('Ценностные предложения'!$K$5:$K$104,MATCH(C104,'Ценностные предложения'!$A$5:$A$104,0)),0)*0.15+IFERROR(INDEX('Цифровой товар'!$K$5:$K$104,MATCH(D104,'Цифровой товар'!$A$5:$A$104,0)),0)*0.20+IFERROR(INDEX('Единица монетизации'!$M$5:$M$104,MATCH(E104,'Единица монетизации'!$A$5:$A$104,0)),0)*0.20+IFERROR(INDEX('Бизнес-модель'!$L$5:$L$104,MATCH(F104,'Бизнес-модель'!$A$5:$A$104,0)),0)*0.15),0))</x:f>
      </x:c>
      <x:c r="H104" s="32" t="str">
        <x:f>IF(G104="","",IF(G104&gt;=75,"Проходят проверку",IF(G104&gt;=55,"Требуется доработка","Недостаточно данных")))</x:f>
      </x:c>
      <x:c r="I104" s="32"/>
      <x:c r="J104" s="32"/>
    </x:row>
  </x:sheetData>
  <x:mergeCells>
    <x:mergeCell ref="A1:J1"/>
    <x:mergeCell ref="A2:J2"/>
  </x:mergeCells>
  <x:conditionalFormatting sqref="G5:G104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47bccfaaf6450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58" hidden="0" customWidth="1"/>
    <x:col min="4" max="4" width="4" hidden="0" customWidth="1"/>
    <x:col min="5" max="5" width="28" hidden="0" customWidth="1"/>
    <x:col min="6" max="6" width="15" hidden="0" customWidth="1"/>
    <x:col min="7" max="7" width="15" hidden="0" customWidth="1"/>
    <x:col min="8" max="8" width="4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6" t="str">
        <x:v>Сводный дашборд разработки ценностного предложения и цифрового товара</x:v>
      </x:c>
    </x:row>
    <x:row r="2" ht="34" customHeight="1">
      <x:c r="A2" s="16" t="str">
        <x:v>Расчетные показатели обновляются после заполнения рабочих листов.</x:v>
      </x:c>
    </x:row>
    <x:row r="4" ht="34" customHeight="1">
      <x:c r="A4" s="36" t="str">
        <x:v>Показатель</x:v>
      </x:c>
      <x:c r="B4" s="37" t="str">
        <x:v>Значение</x:v>
      </x:c>
      <x:c r="C4" s="38" t="str">
        <x:v>Интерпретация</x:v>
      </x:c>
      <x:c r="E4" s="25" t="str">
        <x:v>Приоритет проблемы</x:v>
      </x:c>
      <x:c r="F4" s="25" t="str">
        <x:v>Количество</x:v>
      </x:c>
      <x:c r="G4" s="25" t="str">
        <x:v>Доля</x:v>
      </x:c>
    </x:row>
    <x:row r="5">
      <x:c r="A5" s="39" t="str">
        <x:v>Количество выявленных проблем</x:v>
      </x:c>
      <x:c r="B5" s="62" t="n">
        <x:f>COUNTIF('Проблемы клиентов'!$A$5:$A$104,"&lt;&gt;")</x:f>
        <x:v>2</x:v>
      </x:c>
      <x:c r="C5" s="41" t="str">
        <x:v>Объем базы проблем для выбора опорной проблемы.</x:v>
      </x:c>
      <x:c r="E5" s="32" t="str">
        <x:v>Критический</x:v>
      </x:c>
      <x:c r="F5" s="32" t="n">
        <x:f>COUNTIF('Проблемы клиентов'!$L$5:$L$104,E5)</x:f>
        <x:v>1</x:v>
      </x:c>
      <x:c r="G5" s="76" t="n">
        <x:f>IFERROR(F5/SUM($F$5:$F$8),0)</x:f>
        <x:v>0.5</x:v>
      </x:c>
    </x:row>
    <x:row r="6">
      <x:c r="A6" s="39" t="str">
        <x:v>Максимальный индекс проблемы</x:v>
      </x:c>
      <x:c r="B6" s="62" t="n">
        <x:f>IFERROR(MAX('Проблемы клиентов'!$K$5:$K$104),0)</x:f>
        <x:v>84</x:v>
      </x:c>
      <x:c r="C6" s="41" t="str">
        <x:v>Наиболее значимая проблема по текущей оценке.</x:v>
      </x:c>
      <x:c r="E6" s="32" t="str">
        <x:v>Высокий</x:v>
      </x:c>
      <x:c r="F6" s="32" t="n">
        <x:f>COUNTIF('Проблемы клиентов'!$L$5:$L$104,E6)</x:f>
        <x:v>1</x:v>
      </x:c>
      <x:c r="G6" s="76" t="n">
        <x:f>IFERROR(F6/SUM($F$5:$F$8),0)</x:f>
        <x:v>0.5</x:v>
      </x:c>
    </x:row>
    <x:row r="7">
      <x:c r="A7" s="39" t="str">
        <x:v>Готовых ценностных предложений</x:v>
      </x:c>
      <x:c r="B7" s="62" t="n">
        <x:f>COUNTIF('Ценностные предложения'!$L$5:$L$104,"Готово")</x:f>
        <x:v>1</x:v>
      </x:c>
      <x:c r="C7" s="41" t="str">
        <x:v>Количество формулировок, прошедших минимальную проверку полноты.</x:v>
      </x:c>
      <x:c r="E7" s="32" t="str">
        <x:v>Средний</x:v>
      </x:c>
      <x:c r="F7" s="32" t="n">
        <x:f>COUNTIF('Проблемы клиентов'!$L$5:$L$104,E7)</x:f>
        <x:v>0</x:v>
      </x:c>
      <x:c r="G7" s="76" t="n">
        <x:f>IFERROR(F7/SUM($F$5:$F$8),0)</x:f>
        <x:v>0</x:v>
      </x:c>
    </x:row>
    <x:row r="8">
      <x:c r="A8" s="39" t="str">
        <x:v>Готовых цифровых товаров</x:v>
      </x:c>
      <x:c r="B8" s="62" t="n">
        <x:f>COUNTIF('Цифровой товар'!$L$5:$L$104,"Готово")</x:f>
        <x:v>1</x:v>
      </x:c>
      <x:c r="C8" s="41" t="str">
        <x:v>Количество описаний товара с достаточной оформленностью.</x:v>
      </x:c>
      <x:c r="E8" s="32" t="str">
        <x:v>Низкий</x:v>
      </x:c>
      <x:c r="F8" s="32" t="n">
        <x:f>COUNTIF('Проблемы клиентов'!$L$5:$L$104,E8)</x:f>
        <x:v>0</x:v>
      </x:c>
      <x:c r="G8" s="76" t="n">
        <x:f>IFERROR(F8/SUM($F$5:$F$8),0)</x:f>
        <x:v>0</x:v>
      </x:c>
    </x:row>
    <x:row r="9">
      <x:c r="A9" s="39" t="str">
        <x:v>Средний индекс связности</x:v>
      </x:c>
      <x:c r="B9" s="62" t="n">
        <x:f>IFERROR(ROUND(AVERAGE('Проверка связности'!$G$5:$G$104),0),0)</x:f>
        <x:v>89</x:v>
      </x:c>
      <x:c r="C9" s="41" t="str">
        <x:v>Согласованность цепочки проблема → ценность → товар → монетизация → бизнес-модель.</x:v>
      </x:c>
    </x:row>
    <x:row r="10">
      <x:c r="A10" s="42" t="str">
        <x:v>Расчетная выручка по заполненным единицам</x:v>
      </x:c>
      <x:c r="B10" s="70" t="n">
        <x:f>IFERROR(SUM('Единица монетизации'!$H$5:$H$104),0)</x:f>
        <x:v>2500</x:v>
      </x:c>
      <x:c r="C10" s="44" t="str">
        <x:v>Сумма расчетной месячной выручки по листу монетизации.</x:v>
      </x:c>
    </x:row>
    <x:row r="11" ht="34" customHeight="1">
      <x:c r="E11" s="25" t="str">
        <x:v>Решение проверки</x:v>
      </x:c>
      <x:c r="F11" s="25" t="str">
        <x:v>Количество</x:v>
      </x:c>
      <x:c r="G11" s="25" t="str">
        <x:v>Доля</x:v>
      </x:c>
    </x:row>
    <x:row r="12">
      <x:c r="E12" s="32" t="str">
        <x:v>Проходят проверку</x:v>
      </x:c>
      <x:c r="F12" s="32" t="n">
        <x:f>COUNTIF('Проверка связности'!$H$5:$H$104,E12)</x:f>
        <x:v>1</x:v>
      </x:c>
      <x:c r="G12" s="76" t="n">
        <x:f>IFERROR(F12/SUM($F$12:$F$14),0)</x:f>
        <x:v>1</x:v>
      </x:c>
    </x:row>
    <x:row r="13">
      <x:c r="E13" s="32" t="str">
        <x:v>Требуется доработка</x:v>
      </x:c>
      <x:c r="F13" s="32" t="n">
        <x:f>COUNTIF('Проверка связности'!$H$5:$H$104,E13)</x:f>
        <x:v>0</x:v>
      </x:c>
      <x:c r="G13" s="76" t="n">
        <x:f>IFERROR(F13/SUM($F$12:$F$14),0)</x:f>
        <x:v>0</x:v>
      </x:c>
    </x:row>
    <x:row r="14">
      <x:c r="E14" s="32" t="str">
        <x:v>Недостаточно данных</x:v>
      </x:c>
      <x:c r="F14" s="32" t="n">
        <x:f>COUNTIF('Проверка связности'!$H$5:$H$104,E14)</x:f>
        <x:v>0</x:v>
      </x:c>
      <x:c r="G14" s="76" t="n">
        <x:f>IFERROR(F14/SUM($F$12:$F$14),0)</x:f>
        <x:v>0</x:v>
      </x:c>
    </x:row>
  </x:sheetData>
  <x:mergeCells>
    <x:mergeCell ref="A1:K1"/>
    <x:mergeCell ref="A2:K2"/>
  </x:mergeCells>
  <x:conditionalFormatting sqref="F5:F8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{A1CCF684-FE46-F072-271C-E65D49F46FD2}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0842e42816147d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1CCF684-FE46-F072-271C-E65D49F46FD2}">
            <x14:dataBar gradient="1">
              <x14:cfvo type="min"/>
              <x14:cfvo type="max"/>
              <x14:fillColor rgb="5B9BD5"/>
            </x14:dataBar>
          </x14:cfRule>
          <xm:sqref>F5:F8</xm:sqref>
        </x14:conditionalFormatting>
      </x14:conditionalFormattings>
    </x:ext>
  </x:extLst>
</x:worksheet>
</file>