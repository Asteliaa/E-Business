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1e305b4b024f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ca56babba27143e4"/>
    <x:sheet xmlns:r="http://schemas.openxmlformats.org/officeDocument/2006/relationships" name="Банк_выводов" sheetId="2" r:id="R2701180cbb384aad"/>
    <x:sheet xmlns:r="http://schemas.openxmlformats.org/officeDocument/2006/relationships" name="Роли_и_сегменты" sheetId="3" r:id="R55a3dc6273c44f11"/>
    <x:sheet xmlns:r="http://schemas.openxmlformats.org/officeDocument/2006/relationships" name="Пользовательские_сценарии" sheetId="4" r:id="Raf3720de921c4f0e"/>
    <x:sheet xmlns:r="http://schemas.openxmlformats.org/officeDocument/2006/relationships" name="Страницы_и_экраны" sheetId="5" r:id="R1ffe43a42b854466"/>
    <x:sheet xmlns:r="http://schemas.openxmlformats.org/officeDocument/2006/relationships" name="Матрица_сценарий_интерфейс" sheetId="6" r:id="Rd5358ea3e84b4ced"/>
    <x:sheet xmlns:r="http://schemas.openxmlformats.org/officeDocument/2006/relationships" name="Навигация_и_карта" sheetId="7" r:id="R265dfc44a0a74fa0"/>
    <x:sheet xmlns:r="http://schemas.openxmlformats.org/officeDocument/2006/relationships" name="Состояния_и_ошибки" sheetId="8" r:id="Rd639de557ff0455e"/>
    <x:sheet xmlns:r="http://schemas.openxmlformats.org/officeDocument/2006/relationships" name="Контент_и_данные" sheetId="9" r:id="Rcca83b3655814e96"/>
    <x:sheet xmlns:r="http://schemas.openxmlformats.org/officeDocument/2006/relationships" name="Паспорт_экрана" sheetId="10" r:id="R026108fbcef44d7f"/>
    <x:sheet xmlns:r="http://schemas.openxmlformats.org/officeDocument/2006/relationships" name="Приоритизация" sheetId="11" r:id="Rf2bab9becc4e4e0b"/>
    <x:sheet xmlns:r="http://schemas.openxmlformats.org/officeDocument/2006/relationships" name="Проверка_связности" sheetId="12" r:id="R26ba8b40635142e5"/>
    <x:sheet xmlns:r="http://schemas.openxmlformats.org/officeDocument/2006/relationships" name="Дашборд" sheetId="13" r:id="R85084ca5639e4d31"/>
    <x:sheet xmlns:r="http://schemas.openxmlformats.org/officeDocument/2006/relationships" name="Справочники" sheetId="14" r:id="Rcb6bf00fb5954e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6"/>
      <x:color rgb="1F4E5F"/>
      <x:name val="Carlito"/>
    </x:font>
    <x:font>
      <x:sz val="11"/>
      <x:color rgb="1F2937"/>
      <x:name val="Carlito"/>
    </x:font>
    <x:font>
      <x:b/>
      <x:sz val="11"/>
      <x:color rgb="1F2937"/>
      <x:name val="Carlito"/>
    </x:font>
    <x:font>
      <x:b/>
      <x:sz val="11"/>
      <x:color rgb="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E7F2F5"/>
      </x:patternFill>
    </x:fill>
    <x:fill>
      <x:patternFill patternType="solid">
        <x:fgColor rgb="D9EAF0"/>
      </x:patternFill>
    </x:fill>
    <x:fill>
      <x:patternFill patternType="solid">
        <x:fgColor rgb="2F6F7E"/>
      </x:patternFill>
    </x:fill>
    <x:fill>
      <x:patternFill patternType="solid">
        <x:fgColor rgb="1F4E5F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top" wrapText="1"/>
    </x:xf>
    <x:xf numFmtId="0" fontId="4" fillId="5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ill>
        <x:patternFill patternType="solid">
          <x:bgColor rgb="F4CC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d83a2c4ff4bec" /><Relationship Type="http://schemas.openxmlformats.org/officeDocument/2006/relationships/theme" Target="/xl/theme/theme1.xml" Id="R2848aaa2a0bc4f6b" /><Relationship Type="http://schemas.openxmlformats.org/officeDocument/2006/relationships/sharedStrings" Target="/xl/sharedStrings.xml" Id="R46f07bdc7d6b4b78" /><Relationship Type="http://schemas.openxmlformats.org/officeDocument/2006/relationships/worksheet" Target="/xl/worksheets/sheet1.xml" Id="Rca56babba27143e4" /><Relationship Type="http://schemas.openxmlformats.org/officeDocument/2006/relationships/worksheet" Target="/xl/worksheets/sheet2.xml" Id="R2701180cbb384aad" /><Relationship Type="http://schemas.openxmlformats.org/officeDocument/2006/relationships/worksheet" Target="/xl/worksheets/sheet3.xml" Id="R55a3dc6273c44f11" /><Relationship Type="http://schemas.openxmlformats.org/officeDocument/2006/relationships/worksheet" Target="/xl/worksheets/sheet4.xml" Id="Raf3720de921c4f0e" /><Relationship Type="http://schemas.openxmlformats.org/officeDocument/2006/relationships/worksheet" Target="/xl/worksheets/sheet5.xml" Id="R1ffe43a42b854466" /><Relationship Type="http://schemas.openxmlformats.org/officeDocument/2006/relationships/worksheet" Target="/xl/worksheets/sheet6.xml" Id="Rd5358ea3e84b4ced" /><Relationship Type="http://schemas.openxmlformats.org/officeDocument/2006/relationships/worksheet" Target="/xl/worksheets/sheet7.xml" Id="R265dfc44a0a74fa0" /><Relationship Type="http://schemas.openxmlformats.org/officeDocument/2006/relationships/worksheet" Target="/xl/worksheets/sheet8.xml" Id="Rd639de557ff0455e" /><Relationship Type="http://schemas.openxmlformats.org/officeDocument/2006/relationships/worksheet" Target="/xl/worksheets/sheet9.xml" Id="Rcca83b3655814e96" /><Relationship Type="http://schemas.openxmlformats.org/officeDocument/2006/relationships/worksheet" Target="/xl/worksheets/sheet10.xml" Id="R026108fbcef44d7f" /><Relationship Type="http://schemas.openxmlformats.org/officeDocument/2006/relationships/worksheet" Target="/xl/worksheets/sheet11.xml" Id="Rf2bab9becc4e4e0b" /><Relationship Type="http://schemas.openxmlformats.org/officeDocument/2006/relationships/worksheet" Target="/xl/worksheets/sheet12.xml" Id="R26ba8b40635142e5" /><Relationship Type="http://schemas.openxmlformats.org/officeDocument/2006/relationships/worksheet" Target="/xl/worksheets/sheet13.xml" Id="R85084ca5639e4d31" /><Relationship Type="http://schemas.openxmlformats.org/officeDocument/2006/relationships/worksheet" Target="/xl/worksheets/sheet14.xml" Id="Rcb6bf00fb5954e6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e4c8d48bd0a4d7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Готовность ключевых блоков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Готовность</c:v>
          </c:tx>
          <c:cat>
            <c:strRef>
              <c:f>'Дашборд'!$A$15:$A$18</c:f>
              <c:strCache>
                <c:ptCount val="0"/>
              </c:strCache>
            </c:strRef>
          </c:cat>
          <c:val>
            <c:numRef>
              <c:f>'Дашборд'!$B$15:$B$18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e4c8d48bd0a4d7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structionTable" displayName="InstructionTable" ref="A4:C13" headerRowCount="1">
  <x:tableColumns count="3">
    <x:tableColumn id="1" name="Шаг"/>
    <x:tableColumn id="2" name="Действие"/>
    <x:tableColumn id="3" name="Что сделать"/>
  </x:tableColumns>
  <x:tableStyleInfo name="TableStyleMedium2" showRowStripes="1"/>
</x:table>
</file>

<file path=xl/tables/table2.xml><?xml version="1.0" encoding="utf-8"?>
<x:table xmlns:x="http://schemas.openxmlformats.org/spreadsheetml/2006/main" id="2" name="FindingsTable" displayName="FindingsTable" ref="A4:K204" headerRowCount="1">
  <x:tableColumns count="11">
    <x:tableColumn id="1" name="ID вывода"/>
    <x:tableColumn id="2" name="Вид анализа"/>
    <x:tableColumn id="3" name="Объект анализа"/>
    <x:tableColumn id="4" name="Вывод / факт"/>
    <x:tableColumn id="5" name="Доказательство / ссылка"/>
    <x:tableColumn id="6" name="Надежность 1–5"/>
    <x:tableColumn id="7" name="Значимость 1–5"/>
    <x:tableColumn id="8" name="Влияние на интерфейс"/>
    <x:tableColumn id="9" name="Связанные роли"/>
    <x:tableColumn id="10" name="Связанные сценарии"/>
    <x:tableColumn id="11" name="Решение для страниц/экранов"/>
  </x:tableColumns>
  <x:tableStyleInfo name="TableStyleMedium2" showRowStripes="1"/>
</x:table>
</file>

<file path=xl/tables/table3.xml><?xml version="1.0" encoding="utf-8"?>
<x:table xmlns:x="http://schemas.openxmlformats.org/spreadsheetml/2006/main" id="3" name="RolesTable" displayName="RolesTable" ref="A4:J104" headerRowCount="1">
  <x:tableColumns count="10">
    <x:tableColumn id="1" name="Роль_ID"/>
    <x:tableColumn id="2" name="Роль / сегмент"/>
    <x:tableColumn id="3" name="Цель роли"/>
    <x:tableColumn id="4" name="Основная проблема"/>
    <x:tableColumn id="5" name="Ожидаемая ценность"/>
    <x:tableColumn id="6" name="Цифровая зрелость"/>
    <x:tableColumn id="7" name="Частота использования"/>
    <x:tableColumn id="8" name="Критичность задачи 1–5"/>
    <x:tableColumn id="9" name="Канал входа"/>
    <x:tableColumn id="10" name="Примечание"/>
  </x:tableColumns>
  <x:tableStyleInfo name="TableStyleMedium2" showRowStripes="1"/>
</x:table>
</file>

<file path=xl/tables/table4.xml><?xml version="1.0" encoding="utf-8"?>
<x:table xmlns:x="http://schemas.openxmlformats.org/spreadsheetml/2006/main" id="4" name="ScenariosTable" displayName="ScenariosTable" ref="A4:O304" headerRowCount="1">
  <x:tableColumns count="15">
    <x:tableColumn id="1" name="Сценарий_ID"/>
    <x:tableColumn id="2" name="Роль_ID"/>
    <x:tableColumn id="3" name="Этап пути"/>
    <x:tableColumn id="4" name="Пользовательская цель"/>
    <x:tableColumn id="5" name="Начальный триггер"/>
    <x:tableColumn id="6" name="Основной поток"/>
    <x:tableColumn id="7" name="Альтернативный поток"/>
    <x:tableColumn id="8" name="Данные / контент"/>
    <x:tableColumn id="9" name="Бизнес-результат"/>
    <x:tableColumn id="10" name="Критичность 1–5"/>
    <x:tableColumn id="11" name="Частота 1–5"/>
    <x:tableColumn id="12" name="Сложность 1–5"/>
    <x:tableColumn id="13" name="Кол-во страниц/экранов"/>
    <x:tableColumn id="14" name="Статус покрытия"/>
    <x:tableColumn id="15" name="Приоритет сценария"/>
  </x:tableColumns>
  <x:tableStyleInfo name="TableStyleMedium2" showRowStripes="1"/>
</x:table>
</file>

<file path=xl/tables/table5.xml><?xml version="1.0" encoding="utf-8"?>
<x:table xmlns:x="http://schemas.openxmlformats.org/spreadsheetml/2006/main" id="5" name="UnitsTable" displayName="UnitsTable" ref="A4:U304" headerRowCount="1">
  <x:tableColumns count="21">
    <x:tableColumn id="1" name="Unit_ID"/>
    <x:tableColumn id="2" name="Тип"/>
    <x:tableColumn id="3" name="Название"/>
    <x:tableColumn id="4" name="Назначение"/>
    <x:tableColumn id="5" name="Связанный сценарий_ID"/>
    <x:tableColumn id="6" name="Роль_ID"/>
    <x:tableColumn id="7" name="Этап пути"/>
    <x:tableColumn id="8" name="Главная задача пользователя"/>
    <x:tableColumn id="9" name="Ключевое действие"/>
    <x:tableColumn id="10" name="Источник требования"/>
    <x:tableColumn id="11" name="Данные / контент"/>
    <x:tableColumn id="12" name="Компоненты"/>
    <x:tableColumn id="13" name="Состояния"/>
    <x:tableColumn id="14" name="Ошибки / исключения"/>
    <x:tableColumn id="15" name="Нужна авторизация"/>
    <x:tableColumn id="16" name="Монетизационная роль"/>
    <x:tableColumn id="17" name="Оценка приоритета"/>
    <x:tableColumn id="18" name="Статус"/>
    <x:tableColumn id="19" name="Доказательность 1–5"/>
    <x:tableColumn id="20" name="Полнота описания"/>
    <x:tableColumn id="21" name="Решение"/>
  </x:tableColumns>
  <x:tableStyleInfo name="TableStyleMedium2" showRowStripes="1"/>
</x:table>
</file>

<file path=xl/tables/table6.xml><?xml version="1.0" encoding="utf-8"?>
<x:table xmlns:x="http://schemas.openxmlformats.org/spreadsheetml/2006/main" id="6" name="ScenarioInterfaceMatrix" displayName="ScenarioInterfaceMatrix" ref="A4:I304" headerRowCount="1">
  <x:tableColumns count="9">
    <x:tableColumn id="1" name="Связь_ID"/>
    <x:tableColumn id="2" name="Сценарий_ID"/>
    <x:tableColumn id="3" name="Unit_ID"/>
    <x:tableColumn id="4" name="Тип связи"/>
    <x:tableColumn id="5" name="Обязательность"/>
    <x:tableColumn id="6" name="Порядок в сценарии"/>
    <x:tableColumn id="7" name="Предыдущее Unit_ID"/>
    <x:tableColumn id="8" name="Следующее Unit_ID"/>
    <x:tableColumn id="9" name="Комментарий"/>
  </x:tableColumns>
  <x:tableStyleInfo name="TableStyleMedium2" showRowStripes="1"/>
</x:table>
</file>

<file path=xl/tables/table7.xml><?xml version="1.0" encoding="utf-8"?>
<x:table xmlns:x="http://schemas.openxmlformats.org/spreadsheetml/2006/main" id="7" name="NavigationTable" displayName="NavigationTable" ref="A4:J204" headerRowCount="1">
  <x:tableColumns count="10">
    <x:tableColumn id="1" name="Переход_ID"/>
    <x:tableColumn id="2" name="Откуда Unit_ID"/>
    <x:tableColumn id="3" name="Куда Unit_ID"/>
    <x:tableColumn id="4" name="Событие / действие"/>
    <x:tableColumn id="5" name="Условие"/>
    <x:tableColumn id="6" name="Роль_ID"/>
    <x:tableColumn id="7" name="Этап пути"/>
    <x:tableColumn id="8" name="Тип перехода"/>
    <x:tableColumn id="9" name="Риск разрыва 1–5"/>
    <x:tableColumn id="10" name="Комментарий"/>
  </x:tableColumns>
  <x:tableStyleInfo name="TableStyleMedium2" showRowStripes="1"/>
</x:table>
</file>

<file path=xl/tables/table8.xml><?xml version="1.0" encoding="utf-8"?>
<x:table xmlns:x="http://schemas.openxmlformats.org/spreadsheetml/2006/main" id="8" name="StatesTable" displayName="StatesTable" ref="A4:K204" headerRowCount="1">
  <x:tableColumns count="11">
    <x:tableColumn id="1" name="State_ID"/>
    <x:tableColumn id="2" name="Unit_ID"/>
    <x:tableColumn id="3" name="Нормальное состояние"/>
    <x:tableColumn id="4" name="Пустое состояние"/>
    <x:tableColumn id="5" name="Загрузка"/>
    <x:tableColumn id="6" name="Ошибка валидации"/>
    <x:tableColumn id="7" name="Ошибка сети/сервера"/>
    <x:tableColumn id="8" name="Нет прав"/>
    <x:tableColumn id="9" name="Успешное завершение"/>
    <x:tableColumn id="10" name="Сообщение пользователю"/>
    <x:tableColumn id="11" name="Полнота состояний"/>
  </x:tableColumns>
  <x:tableStyleInfo name="TableStyleMedium2" showRowStripes="1"/>
</x:table>
</file>

<file path=xl/tables/table9.xml><?xml version="1.0" encoding="utf-8"?>
<x:table xmlns:x="http://schemas.openxmlformats.org/spreadsheetml/2006/main" id="9" name="ContentTable" displayName="ContentTable" ref="A4:I204" headerRowCount="1">
  <x:tableColumns count="9">
    <x:tableColumn id="1" name="Unit_ID"/>
    <x:tableColumn id="2" name="Элемент контента / данных"/>
    <x:tableColumn id="3" name="Источник данных"/>
    <x:tableColumn id="4" name="Обязательность"/>
    <x:tableColumn id="5" name="Частота обновления"/>
    <x:tableColumn id="6" name="Персонализация"/>
    <x:tableColumn id="7" name="Правило отображения"/>
    <x:tableColumn id="8" name="Формат"/>
    <x:tableColumn id="9" name="Ответственный"/>
  </x:tableColumns>
  <x:tableStyleInfo name="TableStyleMedium2" showRowStripes="1"/>
</x:table>
</file>

<file path=xl/tables/table10.xml><?xml version="1.0" encoding="utf-8"?>
<x:table xmlns:x="http://schemas.openxmlformats.org/spreadsheetml/2006/main" id="10" name="PassportTable" displayName="PassportTable" ref="A4:O304" headerRowCount="1">
  <x:tableColumns count="15">
    <x:tableColumn id="1" name="Unit_ID"/>
    <x:tableColumn id="2" name="Название"/>
    <x:tableColumn id="3" name="Тип"/>
    <x:tableColumn id="4" name="Сценарий_ID"/>
    <x:tableColumn id="5" name="Роль_ID"/>
    <x:tableColumn id="6" name="Назначение"/>
    <x:tableColumn id="7" name="Главная задача"/>
    <x:tableColumn id="8" name="Основное действие"/>
    <x:tableColumn id="9" name="Состав блоков"/>
    <x:tableColumn id="10" name="Состояния"/>
    <x:tableColumn id="11" name="Навигация"/>
    <x:tableColumn id="12" name="Метрики успеха"/>
    <x:tableColumn id="13" name="Риски"/>
    <x:tableColumn id="14" name="Полнота паспорта"/>
    <x:tableColumn id="15" name="Вердикт"/>
  </x:tableColumns>
  <x:tableStyleInfo name="TableStyleMedium2" showRowStripes="1"/>
</x:table>
</file>

<file path=xl/tables/table11.xml><?xml version="1.0" encoding="utf-8"?>
<x:table xmlns:x="http://schemas.openxmlformats.org/spreadsheetml/2006/main" id="11" name="PriorityTable" displayName="PriorityTable" ref="A4:L304" headerRowCount="1">
  <x:tableColumns count="12">
    <x:tableColumn id="1" name="Unit_ID"/>
    <x:tableColumn id="2" name="Название"/>
    <x:tableColumn id="3" name="Связанный сценарий_ID"/>
    <x:tableColumn id="4" name="Ценность для пользователя 1–5"/>
    <x:tableColumn id="5" name="Влияние на бизнес 1–5"/>
    <x:tableColumn id="6" name="Частота использования 1–5"/>
    <x:tableColumn id="7" name="Риск без реализации 1–5"/>
    <x:tableColumn id="8" name="Сложность 1–5"/>
    <x:tableColumn id="9" name="Итоговый балл"/>
    <x:tableColumn id="10" name="Класс приоритета"/>
    <x:tableColumn id="11" name="Основание"/>
    <x:tableColumn id="12" name="Решение"/>
  </x:tableColumns>
  <x:tableStyleInfo name="TableStyleMedium2" showRowStripes="1"/>
</x:table>
</file>

<file path=xl/tables/table12.xml><?xml version="1.0" encoding="utf-8"?>
<x:table xmlns:x="http://schemas.openxmlformats.org/spreadsheetml/2006/main" id="12" name="ChecksTable" displayName="ChecksTable" ref="A4:F11" headerRowCount="1">
  <x:tableColumns count="6">
    <x:tableColumn id="1" name="Проверка"/>
    <x:tableColumn id="2" name="Описание"/>
    <x:tableColumn id="3" name="Расчет / критерий"/>
    <x:tableColumn id="4" name="Результат"/>
    <x:tableColumn id="5" name="Статус"/>
    <x:tableColumn id="6" name="Что исправить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fb82b04cc14c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f9124fb68c4d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bb053f777784f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03f2c906a2042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422dc42230947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0a4139c7cf541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0719eed2e3442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990128f5ea4a4c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69cfac2b84b451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aa29a5d444f47b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45f47de362e14e2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8fdeae4218b475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db03b6b44a0f4bfe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78" hidden="0" customWidth="1"/>
  </x:cols>
  <x:sheetData>
    <x:row r="1" ht="32" customHeight="1">
      <x:c r="A1" s="60" t="str">
        <x:v>Шаблон перехода от бизнес-логики и пользовательских сценариев к страницам и экранам</x:v>
      </x:c>
      <x:c r="B1" s="60"/>
      <x:c r="C1" s="60"/>
      <x:c r="D1" s="60"/>
      <x:c r="E1" s="60"/>
      <x:c r="F1" s="60"/>
      <x:c r="G1" s="60"/>
      <x:c r="H1" s="60"/>
      <x:c r="I1" s="60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</x:row>
    <x:row r="2" ht="32" customHeight="1">
      <x:c r="A2" s="9" t="str">
        <x:v>Рабочая книга предназначена для проектирования состава сайта или мобильного приложения на основе результатов анализа проблем, конкурентов, ценностного предложения, цифрового товара, бизнес-модели и пользовательских сценариев.</x:v>
      </x:c>
      <x:c r="B2" s="9"/>
      <x:c r="C2" s="9"/>
      <x:c r="D2" s="9"/>
      <x:c r="E2" s="9"/>
      <x:c r="F2" s="9"/>
      <x:c r="G2" s="9"/>
      <x:c r="H2" s="9"/>
      <x:c r="I2" s="9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 ht="38" customHeight="1">
      <x:c r="A4" s="26" t="str">
        <x:v>Шаг</x:v>
      </x:c>
      <x:c r="B4" s="26" t="str">
        <x:v>Действие</x:v>
      </x:c>
      <x:c r="C4" s="26" t="str">
        <x:v>Что сделать</x:v>
      </x:c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</x:row>
    <x:row r="5">
      <x:c r="A5" s="27" t="str">
        <x:v>1</x:v>
      </x:c>
      <x:c r="B5" s="27" t="str">
        <x:v>Собрать исходные выводы</x:v>
      </x:c>
      <x:c r="C5" s="27" t="str">
        <x:v>Перенесите ключевые выводы из анализа проблем, конкурентов, отзывов, бизнес-модели и пользовательских сценариев в лист «Банк_выводов».</x:v>
      </x:c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</x:row>
    <x:row r="6">
      <x:c r="A6" s="27" t="str">
        <x:v>2</x:v>
      </x:c>
      <x:c r="B6" s="27" t="str">
        <x:v>Зафиксировать роли</x:v>
      </x:c>
      <x:c r="C6" s="27" t="str">
        <x:v>Опишите пользовательские роли и сегменты на листе «Роли_и_сегменты». Эти роли используются дальше для сценариев, страниц и экранов.</x:v>
      </x:c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</x:row>
    <x:row r="7">
      <x:c r="A7" s="27" t="str">
        <x:v>3</x:v>
      </x:c>
      <x:c r="B7" s="27" t="str">
        <x:v>Описать сценарии</x:v>
      </x:c>
      <x:c r="C7" s="27" t="str">
        <x:v>На листе «Пользовательские_сценарии» заполните пользовательские цели, потоки, данные, критичность, частоту и сложность.</x:v>
      </x:c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</x:row>
    <x:row r="8">
      <x:c r="A8" s="27" t="str">
        <x:v>4</x:v>
      </x:c>
      <x:c r="B8" s="27" t="str">
        <x:v>Вывести страницы и экраны</x:v>
      </x:c>
      <x:c r="C8" s="27" t="str">
        <x:v>На листе «Страницы_и_экраны» каждая интерфейсная единица должна иметь связанный сценарий, задачу пользователя, действие и источник требования.</x:v>
      </x:c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</x:row>
    <x:row r="9">
      <x:c r="A9" s="27" t="str">
        <x:v>5</x:v>
      </x:c>
      <x:c r="B9" s="27" t="str">
        <x:v>Проверить покрытие</x:v>
      </x:c>
      <x:c r="C9" s="27" t="str">
        <x:v>Лист «Матрица_сценарий_интерфейс» связывает сценарии со страницами и экранами. По нему рассчитывается покрытие сценариев.</x:v>
      </x:c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</x:row>
    <x:row r="10">
      <x:c r="A10" s="27" t="str">
        <x:v>6</x:v>
      </x:c>
      <x:c r="B10" s="27" t="str">
        <x:v>Описать навигацию и состояния</x:v>
      </x:c>
      <x:c r="C10" s="27" t="str">
        <x:v>Заполните переходы, состояния, ошибки, пустые состояния и сообщения пользователю. Это снижает риск разрывов сценария.</x:v>
      </x:c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</x:row>
    <x:row r="11">
      <x:c r="A11" s="27" t="str">
        <x:v>7</x:v>
      </x:c>
      <x:c r="B11" s="27" t="str">
        <x:v>Сформировать паспорта</x:v>
      </x:c>
      <x:c r="C11" s="27" t="str">
        <x:v>На листе «Паспорт_экрана» оформите итоговое описание каждой страницы или экрана для передачи в проектирование прототипа и техническое задание.</x:v>
      </x:c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</x:row>
    <x:row r="12">
      <x:c r="A12" s="27" t="str">
        <x:v>8</x:v>
      </x:c>
      <x:c r="B12" s="27" t="str">
        <x:v>Приоритизировать</x:v>
      </x:c>
      <x:c r="C12" s="27" t="str">
        <x:v>Используйте лист «Приоритизация» для выбора первой версии, следующих выпусков и отложенных интерфейсных единиц.</x:v>
      </x:c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</x:row>
    <x:row r="13">
      <x:c r="A13" s="27" t="str">
        <x:v>9</x:v>
      </x:c>
      <x:c r="B13" s="27" t="str">
        <x:v>Проверить готовность</x:v>
      </x:c>
      <x:c r="C13" s="27" t="str">
        <x:v>Листы «Проверка_связности» и «Дашборд» показывают полноту и согласованность проектной логики.</x:v>
      </x:c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b7fb82b04cc14c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44" hidden="0" customWidth="1"/>
    <x:col min="5" max="5" width="38" hidden="0" customWidth="1"/>
    <x:col min="6" max="6" width="14" hidden="0" customWidth="1"/>
    <x:col min="7" max="7" width="14" hidden="0" customWidth="1"/>
    <x:col min="8" max="8" width="42" hidden="0" customWidth="1"/>
    <x:col min="9" max="9" width="22" hidden="0" customWidth="1"/>
    <x:col min="10" max="10" width="22" hidden="0" customWidth="1"/>
    <x:col min="11" max="11" width="38" hidden="0" customWidth="1"/>
  </x:cols>
  <x:sheetData>
    <x:row r="1" ht="32" customHeight="1">
      <x:c r="A1" s="60" t="str">
        <x:v>Банк исходных выводов из всех видов анализа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27"/>
      <x:c r="M1" s="27"/>
      <x:c r="N1" s="27"/>
      <x:c r="O1" s="27"/>
      <x:c r="P1" s="27"/>
      <x:c r="Q1" s="27"/>
      <x:c r="R1" s="27"/>
      <x:c r="S1" s="27"/>
      <x:c r="T1" s="27"/>
      <x:c r="U1" s="27"/>
    </x:row>
    <x:row r="2" ht="32" customHeight="1">
      <x:c r="A2" s="9" t="str">
        <x:v>Каждая строка — доказанный вывод, который может повлиять на состав страниц, экранов, навигации, контента или состояний.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27"/>
      <x:c r="M2" s="27"/>
      <x:c r="N2" s="27"/>
      <x:c r="O2" s="27"/>
      <x:c r="P2" s="27"/>
      <x:c r="Q2" s="27"/>
      <x:c r="R2" s="27"/>
      <x:c r="S2" s="27"/>
      <x:c r="T2" s="27"/>
      <x:c r="U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 ht="38" customHeight="1">
      <x:c r="A4" s="50" t="str">
        <x:v>ID вывода</x:v>
      </x:c>
      <x:c r="B4" s="50" t="str">
        <x:v>Вид анализа</x:v>
      </x:c>
      <x:c r="C4" s="50" t="str">
        <x:v>Объект анализа</x:v>
      </x:c>
      <x:c r="D4" s="50" t="str">
        <x:v>Вывод / факт</x:v>
      </x:c>
      <x:c r="E4" s="50" t="str">
        <x:v>Доказательство / ссылка</x:v>
      </x:c>
      <x:c r="F4" s="50" t="str">
        <x:v>Надежность 1–5</x:v>
      </x:c>
      <x:c r="G4" s="50" t="str">
        <x:v>Значимость 1–5</x:v>
      </x:c>
      <x:c r="H4" s="50" t="str">
        <x:v>Влияние на интерфейс</x:v>
      </x:c>
      <x:c r="I4" s="50" t="str">
        <x:v>Связанные роли</x:v>
      </x:c>
      <x:c r="J4" s="50" t="str">
        <x:v>Связанные сценарии</x:v>
      </x:c>
      <x:c r="K4" s="50" t="str">
        <x:v>Решение для страниц/экранов</x:v>
      </x:c>
      <x:c r="L4" s="27"/>
      <x:c r="M4" s="27"/>
      <x:c r="N4" s="27"/>
      <x:c r="O4" s="27"/>
      <x:c r="P4" s="27"/>
      <x:c r="Q4" s="27"/>
      <x:c r="R4" s="27"/>
      <x:c r="S4" s="27"/>
      <x:c r="T4" s="27"/>
      <x:c r="U4" s="27"/>
    </x:row>
    <x:row r="5">
      <x:c r="A5" s="27" t="str">
        <x:v>F-001</x:v>
      </x:c>
      <x:c r="B5" s="27" t="str">
        <x:v>Анализ отзывов</x:v>
      </x:c>
      <x:c r="C5" s="27" t="str">
        <x:v>Отзывы пользователей</x:v>
      </x:c>
      <x:c r="D5" s="27" t="str">
        <x:v>Пользователи часто не понимают, какой тариф им подходит</x:v>
      </x:c>
      <x:c r="E5" s="27" t="str">
        <x:v>URL / цитата / номер отзыва</x:v>
      </x:c>
      <x:c r="F5" s="27" t="n">
        <x:v>4</x:v>
      </x:c>
      <x:c r="G5" s="27" t="n">
        <x:v>5</x:v>
      </x:c>
      <x:c r="H5" s="27" t="str">
        <x:v>Нужен экран сравнения тарифов и пояснение различий</x:v>
      </x:c>
      <x:c r="I5" s="27" t="str">
        <x:v>ROLE-001</x:v>
      </x:c>
      <x:c r="J5" s="27" t="str">
        <x:v>SC-003</x:v>
      </x:c>
      <x:c r="K5" s="27" t="str">
        <x:v>Добавить блок выбора тарифа</x:v>
      </x:c>
      <x:c r="L5" s="27"/>
      <x:c r="M5" s="27"/>
      <x:c r="N5" s="27"/>
      <x:c r="O5" s="27"/>
      <x:c r="P5" s="27"/>
      <x:c r="Q5" s="27"/>
      <x:c r="R5" s="27"/>
      <x:c r="S5" s="27"/>
      <x:c r="T5" s="27"/>
      <x:c r="U5" s="27"/>
    </x:row>
    <x:row r="6">
      <x:c r="A6" s="27" t="str">
        <x:v>F-002</x:v>
      </x:c>
      <x:c r="B6" s="27" t="str">
        <x:v>Анализ конкурентов</x:v>
      </x:c>
      <x:c r="C6" s="27" t="str">
        <x:v>Сайты конкурентов</x:v>
      </x:c>
      <x:c r="D6" s="27" t="str">
        <x:v>У большинства конкурентов есть демонстрационный сценарий до регистрации</x:v>
      </x:c>
      <x:c r="E6" s="27" t="str">
        <x:v>URL конкурента</x:v>
      </x:c>
      <x:c r="F6" s="27" t="n">
        <x:v>3</x:v>
      </x:c>
      <x:c r="G6" s="27" t="n">
        <x:v>4</x:v>
      </x:c>
      <x:c r="H6" s="27" t="str">
        <x:v>Нужна публичная страница демонстрации ценности</x:v>
      </x:c>
      <x:c r="I6" s="27" t="str">
        <x:v>ROLE-002</x:v>
      </x:c>
      <x:c r="J6" s="27" t="str">
        <x:v>SC-001</x:v>
      </x:c>
      <x:c r="K6" s="27" t="str">
        <x:v>Добавить страницу демонстрации</x:v>
      </x:c>
      <x:c r="L6" s="27"/>
      <x:c r="M6" s="27"/>
      <x:c r="N6" s="27"/>
      <x:c r="O6" s="27"/>
      <x:c r="P6" s="27"/>
      <x:c r="Q6" s="27"/>
      <x:c r="R6" s="27"/>
      <x:c r="S6" s="27"/>
      <x:c r="T6" s="27"/>
      <x:c r="U6" s="27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/>
      <x:c r="M7" s="27"/>
      <x:c r="N7" s="27"/>
      <x:c r="O7" s="27"/>
      <x:c r="P7" s="27"/>
      <x:c r="Q7" s="27"/>
      <x:c r="R7" s="27"/>
      <x:c r="S7" s="27"/>
      <x:c r="T7" s="27"/>
      <x:c r="U7" s="27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/>
      <x:c r="K8" s="27" t="str"/>
      <x:c r="L8" s="27"/>
      <x:c r="M8" s="27"/>
      <x:c r="N8" s="27"/>
      <x:c r="O8" s="27"/>
      <x:c r="P8" s="27"/>
      <x:c r="Q8" s="27"/>
      <x:c r="R8" s="27"/>
      <x:c r="S8" s="27"/>
      <x:c r="T8" s="27"/>
      <x:c r="U8" s="27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 t="str"/>
      <x:c r="L9" s="27"/>
      <x:c r="M9" s="27"/>
      <x:c r="N9" s="27"/>
      <x:c r="O9" s="27"/>
      <x:c r="P9" s="27"/>
      <x:c r="Q9" s="27"/>
      <x:c r="R9" s="27"/>
      <x:c r="S9" s="27"/>
      <x:c r="T9" s="27"/>
      <x:c r="U9" s="27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  <x:c r="K10" s="27" t="str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7" t="str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27" t="str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27" t="str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7" t="str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27" t="str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27" t="str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7" t="str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27" t="str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7" t="str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7" t="str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7" t="str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 t="str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7" t="str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27" t="str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27" t="str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27" t="str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7" t="str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27" t="str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27" t="str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  <x:c r="K35" s="27" t="str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  <x:c r="K36" s="27" t="str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7" t="str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  <x:c r="K38" s="27" t="str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  <x:c r="K39" s="27" t="str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  <x:c r="K40" s="27" t="str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 t="str"/>
      <x:c r="K41" s="27" t="str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 t="str"/>
      <x:c r="K42" s="27" t="str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 t="str"/>
      <x:c r="K43" s="27" t="str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</x:row>
    <x:row r="44">
      <x:c r="A44" s="27" t="str"/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/>
      <x:c r="J44" s="27" t="str"/>
      <x:c r="K44" s="27" t="str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</x:row>
    <x:row r="45">
      <x:c r="A45" s="27" t="str"/>
      <x:c r="B45" s="27" t="str"/>
      <x:c r="C45" s="27" t="str"/>
      <x:c r="D45" s="27" t="str"/>
      <x:c r="E45" s="27" t="str"/>
      <x:c r="F45" s="27" t="str"/>
      <x:c r="G45" s="27" t="str"/>
      <x:c r="H45" s="27" t="str"/>
      <x:c r="I45" s="27" t="str"/>
      <x:c r="J45" s="27" t="str"/>
      <x:c r="K45" s="27" t="str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</x:row>
    <x:row r="46">
      <x:c r="A46" s="27" t="str"/>
      <x:c r="B46" s="27" t="str"/>
      <x:c r="C46" s="27" t="str"/>
      <x:c r="D46" s="27" t="str"/>
      <x:c r="E46" s="27" t="str"/>
      <x:c r="F46" s="27" t="str"/>
      <x:c r="G46" s="27" t="str"/>
      <x:c r="H46" s="27" t="str"/>
      <x:c r="I46" s="27" t="str"/>
      <x:c r="J46" s="27" t="str"/>
      <x:c r="K46" s="27" t="str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</x:row>
    <x:row r="47">
      <x:c r="A47" s="27" t="str"/>
      <x:c r="B47" s="27" t="str"/>
      <x:c r="C47" s="27" t="str"/>
      <x:c r="D47" s="27" t="str"/>
      <x:c r="E47" s="27" t="str"/>
      <x:c r="F47" s="27" t="str"/>
      <x:c r="G47" s="27" t="str"/>
      <x:c r="H47" s="27" t="str"/>
      <x:c r="I47" s="27" t="str"/>
      <x:c r="J47" s="27" t="str"/>
      <x:c r="K47" s="27" t="str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</x:row>
    <x:row r="48">
      <x:c r="A48" s="27" t="str"/>
      <x:c r="B48" s="27" t="str"/>
      <x:c r="C48" s="27" t="str"/>
      <x:c r="D48" s="27" t="str"/>
      <x:c r="E48" s="27" t="str"/>
      <x:c r="F48" s="27" t="str"/>
      <x:c r="G48" s="27" t="str"/>
      <x:c r="H48" s="27" t="str"/>
      <x:c r="I48" s="27" t="str"/>
      <x:c r="J48" s="27" t="str"/>
      <x:c r="K48" s="27" t="str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</x:row>
    <x:row r="49">
      <x:c r="A49" s="27" t="str"/>
      <x:c r="B49" s="27" t="str"/>
      <x:c r="C49" s="27" t="str"/>
      <x:c r="D49" s="27" t="str"/>
      <x:c r="E49" s="27" t="str"/>
      <x:c r="F49" s="27" t="str"/>
      <x:c r="G49" s="27" t="str"/>
      <x:c r="H49" s="27" t="str"/>
      <x:c r="I49" s="27" t="str"/>
      <x:c r="J49" s="27" t="str"/>
      <x:c r="K49" s="27" t="str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</x:row>
    <x:row r="50">
      <x:c r="A50" s="27" t="str"/>
      <x:c r="B50" s="27" t="str"/>
      <x:c r="C50" s="27" t="str"/>
      <x:c r="D50" s="27" t="str"/>
      <x:c r="E50" s="27" t="str"/>
      <x:c r="F50" s="27" t="str"/>
      <x:c r="G50" s="27" t="str"/>
      <x:c r="H50" s="27" t="str"/>
      <x:c r="I50" s="27" t="str"/>
      <x:c r="J50" s="27" t="str"/>
      <x:c r="K50" s="27" t="str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</x:row>
    <x:row r="51">
      <x:c r="A51" s="27" t="str"/>
      <x:c r="B51" s="27" t="str"/>
      <x:c r="C51" s="27" t="str"/>
      <x:c r="D51" s="27" t="str"/>
      <x:c r="E51" s="27" t="str"/>
      <x:c r="F51" s="27" t="str"/>
      <x:c r="G51" s="27" t="str"/>
      <x:c r="H51" s="27" t="str"/>
      <x:c r="I51" s="27" t="str"/>
      <x:c r="J51" s="27" t="str"/>
      <x:c r="K51" s="27" t="str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</x:row>
    <x:row r="52">
      <x:c r="A52" s="27" t="str"/>
      <x:c r="B52" s="27" t="str"/>
      <x:c r="C52" s="27" t="str"/>
      <x:c r="D52" s="27" t="str"/>
      <x:c r="E52" s="27" t="str"/>
      <x:c r="F52" s="27" t="str"/>
      <x:c r="G52" s="27" t="str"/>
      <x:c r="H52" s="27" t="str"/>
      <x:c r="I52" s="27" t="str"/>
      <x:c r="J52" s="27" t="str"/>
      <x:c r="K52" s="27" t="str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</x:row>
    <x:row r="53">
      <x:c r="A53" s="27" t="str"/>
      <x:c r="B53" s="27" t="str"/>
      <x:c r="C53" s="27" t="str"/>
      <x:c r="D53" s="27" t="str"/>
      <x:c r="E53" s="27" t="str"/>
      <x:c r="F53" s="27" t="str"/>
      <x:c r="G53" s="27" t="str"/>
      <x:c r="H53" s="27" t="str"/>
      <x:c r="I53" s="27" t="str"/>
      <x:c r="J53" s="27" t="str"/>
      <x:c r="K53" s="27" t="str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</x:row>
    <x:row r="54">
      <x:c r="A54" s="27" t="str"/>
      <x:c r="B54" s="27" t="str"/>
      <x:c r="C54" s="27" t="str"/>
      <x:c r="D54" s="27" t="str"/>
      <x:c r="E54" s="27" t="str"/>
      <x:c r="F54" s="27" t="str"/>
      <x:c r="G54" s="27" t="str"/>
      <x:c r="H54" s="27" t="str"/>
      <x:c r="I54" s="27" t="str"/>
      <x:c r="J54" s="27" t="str"/>
      <x:c r="K54" s="27" t="str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</x:row>
    <x:row r="55">
      <x:c r="A55" s="27" t="str"/>
      <x:c r="B55" s="27" t="str"/>
      <x:c r="C55" s="27" t="str"/>
      <x:c r="D55" s="27" t="str"/>
      <x:c r="E55" s="27" t="str"/>
      <x:c r="F55" s="27" t="str"/>
      <x:c r="G55" s="27" t="str"/>
      <x:c r="H55" s="27" t="str"/>
      <x:c r="I55" s="27" t="str"/>
      <x:c r="J55" s="27" t="str"/>
      <x:c r="K55" s="27" t="str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</x:row>
    <x:row r="56">
      <x:c r="A56" s="27" t="str"/>
      <x:c r="B56" s="27" t="str"/>
      <x:c r="C56" s="27" t="str"/>
      <x:c r="D56" s="27" t="str"/>
      <x:c r="E56" s="27" t="str"/>
      <x:c r="F56" s="27" t="str"/>
      <x:c r="G56" s="27" t="str"/>
      <x:c r="H56" s="27" t="str"/>
      <x:c r="I56" s="27" t="str"/>
      <x:c r="J56" s="27" t="str"/>
      <x:c r="K56" s="27" t="str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</x:row>
    <x:row r="57">
      <x:c r="A57" s="27" t="str"/>
      <x:c r="B57" s="27" t="str"/>
      <x:c r="C57" s="27" t="str"/>
      <x:c r="D57" s="27" t="str"/>
      <x:c r="E57" s="27" t="str"/>
      <x:c r="F57" s="27" t="str"/>
      <x:c r="G57" s="27" t="str"/>
      <x:c r="H57" s="27" t="str"/>
      <x:c r="I57" s="27" t="str"/>
      <x:c r="J57" s="27" t="str"/>
      <x:c r="K57" s="27" t="str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</x:row>
    <x:row r="58">
      <x:c r="A58" s="27" t="str"/>
      <x:c r="B58" s="27" t="str"/>
      <x:c r="C58" s="27" t="str"/>
      <x:c r="D58" s="27" t="str"/>
      <x:c r="E58" s="27" t="str"/>
      <x:c r="F58" s="27" t="str"/>
      <x:c r="G58" s="27" t="str"/>
      <x:c r="H58" s="27" t="str"/>
      <x:c r="I58" s="27" t="str"/>
      <x:c r="J58" s="27" t="str"/>
      <x:c r="K58" s="27" t="str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</x:row>
    <x:row r="59">
      <x:c r="A59" s="27" t="str"/>
      <x:c r="B59" s="27" t="str"/>
      <x:c r="C59" s="27" t="str"/>
      <x:c r="D59" s="27" t="str"/>
      <x:c r="E59" s="27" t="str"/>
      <x:c r="F59" s="27" t="str"/>
      <x:c r="G59" s="27" t="str"/>
      <x:c r="H59" s="27" t="str"/>
      <x:c r="I59" s="27" t="str"/>
      <x:c r="J59" s="27" t="str"/>
      <x:c r="K59" s="27" t="str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</x:row>
    <x:row r="60">
      <x:c r="A60" s="27" t="str"/>
      <x:c r="B60" s="27" t="str"/>
      <x:c r="C60" s="27" t="str"/>
      <x:c r="D60" s="27" t="str"/>
      <x:c r="E60" s="27" t="str"/>
      <x:c r="F60" s="27" t="str"/>
      <x:c r="G60" s="27" t="str"/>
      <x:c r="H60" s="27" t="str"/>
      <x:c r="I60" s="27" t="str"/>
      <x:c r="J60" s="27" t="str"/>
      <x:c r="K60" s="27" t="str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</x:row>
    <x:row r="61">
      <x:c r="A61" s="27" t="str"/>
      <x:c r="B61" s="27" t="str"/>
      <x:c r="C61" s="27" t="str"/>
      <x:c r="D61" s="27" t="str"/>
      <x:c r="E61" s="27" t="str"/>
      <x:c r="F61" s="27" t="str"/>
      <x:c r="G61" s="27" t="str"/>
      <x:c r="H61" s="27" t="str"/>
      <x:c r="I61" s="27" t="str"/>
      <x:c r="J61" s="27" t="str"/>
      <x:c r="K61" s="27" t="str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</x:row>
    <x:row r="62">
      <x:c r="A62" s="27" t="str"/>
      <x:c r="B62" s="27" t="str"/>
      <x:c r="C62" s="27" t="str"/>
      <x:c r="D62" s="27" t="str"/>
      <x:c r="E62" s="27" t="str"/>
      <x:c r="F62" s="27" t="str"/>
      <x:c r="G62" s="27" t="str"/>
      <x:c r="H62" s="27" t="str"/>
      <x:c r="I62" s="27" t="str"/>
      <x:c r="J62" s="27" t="str"/>
      <x:c r="K62" s="27" t="str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</x:row>
    <x:row r="63">
      <x:c r="A63" s="27" t="str"/>
      <x:c r="B63" s="27" t="str"/>
      <x:c r="C63" s="27" t="str"/>
      <x:c r="D63" s="27" t="str"/>
      <x:c r="E63" s="27" t="str"/>
      <x:c r="F63" s="27" t="str"/>
      <x:c r="G63" s="27" t="str"/>
      <x:c r="H63" s="27" t="str"/>
      <x:c r="I63" s="27" t="str"/>
      <x:c r="J63" s="27" t="str"/>
      <x:c r="K63" s="27" t="str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</x:row>
    <x:row r="64">
      <x:c r="A64" s="27" t="str"/>
      <x:c r="B64" s="27" t="str"/>
      <x:c r="C64" s="27" t="str"/>
      <x:c r="D64" s="27" t="str"/>
      <x:c r="E64" s="27" t="str"/>
      <x:c r="F64" s="27" t="str"/>
      <x:c r="G64" s="27" t="str"/>
      <x:c r="H64" s="27" t="str"/>
      <x:c r="I64" s="27" t="str"/>
      <x:c r="J64" s="27" t="str"/>
      <x:c r="K64" s="27" t="str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</x:row>
    <x:row r="65">
      <x:c r="A65" s="27" t="str"/>
      <x:c r="B65" s="27" t="str"/>
      <x:c r="C65" s="27" t="str"/>
      <x:c r="D65" s="27" t="str"/>
      <x:c r="E65" s="27" t="str"/>
      <x:c r="F65" s="27" t="str"/>
      <x:c r="G65" s="27" t="str"/>
      <x:c r="H65" s="27" t="str"/>
      <x:c r="I65" s="27" t="str"/>
      <x:c r="J65" s="27" t="str"/>
      <x:c r="K65" s="27" t="str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</x:row>
    <x:row r="66">
      <x:c r="A66" s="27" t="str"/>
      <x:c r="B66" s="27" t="str"/>
      <x:c r="C66" s="27" t="str"/>
      <x:c r="D66" s="27" t="str"/>
      <x:c r="E66" s="27" t="str"/>
      <x:c r="F66" s="27" t="str"/>
      <x:c r="G66" s="27" t="str"/>
      <x:c r="H66" s="27" t="str"/>
      <x:c r="I66" s="27" t="str"/>
      <x:c r="J66" s="27" t="str"/>
      <x:c r="K66" s="27" t="str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</x:row>
    <x:row r="67">
      <x:c r="A67" s="27" t="str"/>
      <x:c r="B67" s="27" t="str"/>
      <x:c r="C67" s="27" t="str"/>
      <x:c r="D67" s="27" t="str"/>
      <x:c r="E67" s="27" t="str"/>
      <x:c r="F67" s="27" t="str"/>
      <x:c r="G67" s="27" t="str"/>
      <x:c r="H67" s="27" t="str"/>
      <x:c r="I67" s="27" t="str"/>
      <x:c r="J67" s="27" t="str"/>
      <x:c r="K67" s="27" t="str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</x:row>
    <x:row r="68">
      <x:c r="A68" s="27" t="str"/>
      <x:c r="B68" s="27" t="str"/>
      <x:c r="C68" s="27" t="str"/>
      <x:c r="D68" s="27" t="str"/>
      <x:c r="E68" s="27" t="str"/>
      <x:c r="F68" s="27" t="str"/>
      <x:c r="G68" s="27" t="str"/>
      <x:c r="H68" s="27" t="str"/>
      <x:c r="I68" s="27" t="str"/>
      <x:c r="J68" s="27" t="str"/>
      <x:c r="K68" s="27" t="str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</x:row>
    <x:row r="69">
      <x:c r="A69" s="27" t="str"/>
      <x:c r="B69" s="27" t="str"/>
      <x:c r="C69" s="27" t="str"/>
      <x:c r="D69" s="27" t="str"/>
      <x:c r="E69" s="27" t="str"/>
      <x:c r="F69" s="27" t="str"/>
      <x:c r="G69" s="27" t="str"/>
      <x:c r="H69" s="27" t="str"/>
      <x:c r="I69" s="27" t="str"/>
      <x:c r="J69" s="27" t="str"/>
      <x:c r="K69" s="27" t="str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</x:row>
    <x:row r="70">
      <x:c r="A70" s="27" t="str"/>
      <x:c r="B70" s="27" t="str"/>
      <x:c r="C70" s="27" t="str"/>
      <x:c r="D70" s="27" t="str"/>
      <x:c r="E70" s="27" t="str"/>
      <x:c r="F70" s="27" t="str"/>
      <x:c r="G70" s="27" t="str"/>
      <x:c r="H70" s="27" t="str"/>
      <x:c r="I70" s="27" t="str"/>
      <x:c r="J70" s="27" t="str"/>
      <x:c r="K70" s="27" t="str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</x:row>
    <x:row r="71">
      <x:c r="A71" s="27" t="str"/>
      <x:c r="B71" s="27" t="str"/>
      <x:c r="C71" s="27" t="str"/>
      <x:c r="D71" s="27" t="str"/>
      <x:c r="E71" s="27" t="str"/>
      <x:c r="F71" s="27" t="str"/>
      <x:c r="G71" s="27" t="str"/>
      <x:c r="H71" s="27" t="str"/>
      <x:c r="I71" s="27" t="str"/>
      <x:c r="J71" s="27" t="str"/>
      <x:c r="K71" s="27" t="str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</x:row>
    <x:row r="72">
      <x:c r="A72" s="27" t="str"/>
      <x:c r="B72" s="27" t="str"/>
      <x:c r="C72" s="27" t="str"/>
      <x:c r="D72" s="27" t="str"/>
      <x:c r="E72" s="27" t="str"/>
      <x:c r="F72" s="27" t="str"/>
      <x:c r="G72" s="27" t="str"/>
      <x:c r="H72" s="27" t="str"/>
      <x:c r="I72" s="27" t="str"/>
      <x:c r="J72" s="27" t="str"/>
      <x:c r="K72" s="27" t="str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</x:row>
    <x:row r="73">
      <x:c r="A73" s="27" t="str"/>
      <x:c r="B73" s="27" t="str"/>
      <x:c r="C73" s="27" t="str"/>
      <x:c r="D73" s="27" t="str"/>
      <x:c r="E73" s="27" t="str"/>
      <x:c r="F73" s="27" t="str"/>
      <x:c r="G73" s="27" t="str"/>
      <x:c r="H73" s="27" t="str"/>
      <x:c r="I73" s="27" t="str"/>
      <x:c r="J73" s="27" t="str"/>
      <x:c r="K73" s="27" t="str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</x:row>
    <x:row r="74">
      <x:c r="A74" s="27" t="str"/>
      <x:c r="B74" s="27" t="str"/>
      <x:c r="C74" s="27" t="str"/>
      <x:c r="D74" s="27" t="str"/>
      <x:c r="E74" s="27" t="str"/>
      <x:c r="F74" s="27" t="str"/>
      <x:c r="G74" s="27" t="str"/>
      <x:c r="H74" s="27" t="str"/>
      <x:c r="I74" s="27" t="str"/>
      <x:c r="J74" s="27" t="str"/>
      <x:c r="K74" s="27" t="str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</x:row>
    <x:row r="75">
      <x:c r="A75" s="27" t="str"/>
      <x:c r="B75" s="27" t="str"/>
      <x:c r="C75" s="27" t="str"/>
      <x:c r="D75" s="27" t="str"/>
      <x:c r="E75" s="27" t="str"/>
      <x:c r="F75" s="27" t="str"/>
      <x:c r="G75" s="27" t="str"/>
      <x:c r="H75" s="27" t="str"/>
      <x:c r="I75" s="27" t="str"/>
      <x:c r="J75" s="27" t="str"/>
      <x:c r="K75" s="27" t="str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</x:row>
    <x:row r="76">
      <x:c r="A76" s="27" t="str"/>
      <x:c r="B76" s="27" t="str"/>
      <x:c r="C76" s="27" t="str"/>
      <x:c r="D76" s="27" t="str"/>
      <x:c r="E76" s="27" t="str"/>
      <x:c r="F76" s="27" t="str"/>
      <x:c r="G76" s="27" t="str"/>
      <x:c r="H76" s="27" t="str"/>
      <x:c r="I76" s="27" t="str"/>
      <x:c r="J76" s="27" t="str"/>
      <x:c r="K76" s="27" t="str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</x:row>
    <x:row r="77">
      <x:c r="A77" s="27" t="str"/>
      <x:c r="B77" s="27" t="str"/>
      <x:c r="C77" s="27" t="str"/>
      <x:c r="D77" s="27" t="str"/>
      <x:c r="E77" s="27" t="str"/>
      <x:c r="F77" s="27" t="str"/>
      <x:c r="G77" s="27" t="str"/>
      <x:c r="H77" s="27" t="str"/>
      <x:c r="I77" s="27" t="str"/>
      <x:c r="J77" s="27" t="str"/>
      <x:c r="K77" s="27" t="str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</x:row>
    <x:row r="78">
      <x:c r="A78" s="27" t="str"/>
      <x:c r="B78" s="27" t="str"/>
      <x:c r="C78" s="27" t="str"/>
      <x:c r="D78" s="27" t="str"/>
      <x:c r="E78" s="27" t="str"/>
      <x:c r="F78" s="27" t="str"/>
      <x:c r="G78" s="27" t="str"/>
      <x:c r="H78" s="27" t="str"/>
      <x:c r="I78" s="27" t="str"/>
      <x:c r="J78" s="27" t="str"/>
      <x:c r="K78" s="27" t="str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</x:row>
    <x:row r="79">
      <x:c r="A79" s="27" t="str"/>
      <x:c r="B79" s="27" t="str"/>
      <x:c r="C79" s="27" t="str"/>
      <x:c r="D79" s="27" t="str"/>
      <x:c r="E79" s="27" t="str"/>
      <x:c r="F79" s="27" t="str"/>
      <x:c r="G79" s="27" t="str"/>
      <x:c r="H79" s="27" t="str"/>
      <x:c r="I79" s="27" t="str"/>
      <x:c r="J79" s="27" t="str"/>
      <x:c r="K79" s="27" t="str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</x:row>
    <x:row r="80">
      <x:c r="A80" s="27" t="str"/>
      <x:c r="B80" s="27" t="str"/>
      <x:c r="C80" s="27" t="str"/>
      <x:c r="D80" s="27" t="str"/>
      <x:c r="E80" s="27" t="str"/>
      <x:c r="F80" s="27" t="str"/>
      <x:c r="G80" s="27" t="str"/>
      <x:c r="H80" s="27" t="str"/>
      <x:c r="I80" s="27" t="str"/>
      <x:c r="J80" s="27" t="str"/>
      <x:c r="K80" s="27" t="str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</x:row>
    <x:row r="81">
      <x:c r="A81" s="27" t="str"/>
      <x:c r="B81" s="27" t="str"/>
      <x:c r="C81" s="27" t="str"/>
      <x:c r="D81" s="27" t="str"/>
      <x:c r="E81" s="27" t="str"/>
      <x:c r="F81" s="27" t="str"/>
      <x:c r="G81" s="27" t="str"/>
      <x:c r="H81" s="27" t="str"/>
      <x:c r="I81" s="27" t="str"/>
      <x:c r="J81" s="27" t="str"/>
      <x:c r="K81" s="27" t="str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</x:row>
    <x:row r="82">
      <x:c r="A82" s="27" t="str"/>
      <x:c r="B82" s="27" t="str"/>
      <x:c r="C82" s="27" t="str"/>
      <x:c r="D82" s="27" t="str"/>
      <x:c r="E82" s="27" t="str"/>
      <x:c r="F82" s="27" t="str"/>
      <x:c r="G82" s="27" t="str"/>
      <x:c r="H82" s="27" t="str"/>
      <x:c r="I82" s="27" t="str"/>
      <x:c r="J82" s="27" t="str"/>
      <x:c r="K82" s="27" t="str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</x:row>
    <x:row r="83">
      <x:c r="A83" s="27" t="str"/>
      <x:c r="B83" s="27" t="str"/>
      <x:c r="C83" s="27" t="str"/>
      <x:c r="D83" s="27" t="str"/>
      <x:c r="E83" s="27" t="str"/>
      <x:c r="F83" s="27" t="str"/>
      <x:c r="G83" s="27" t="str"/>
      <x:c r="H83" s="27" t="str"/>
      <x:c r="I83" s="27" t="str"/>
      <x:c r="J83" s="27" t="str"/>
      <x:c r="K83" s="27" t="str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</x:row>
    <x:row r="84">
      <x:c r="A84" s="27" t="str"/>
      <x:c r="B84" s="27" t="str"/>
      <x:c r="C84" s="27" t="str"/>
      <x:c r="D84" s="27" t="str"/>
      <x:c r="E84" s="27" t="str"/>
      <x:c r="F84" s="27" t="str"/>
      <x:c r="G84" s="27" t="str"/>
      <x:c r="H84" s="27" t="str"/>
      <x:c r="I84" s="27" t="str"/>
      <x:c r="J84" s="27" t="str"/>
      <x:c r="K84" s="27" t="str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</x:row>
    <x:row r="85">
      <x:c r="A85" s="27" t="str"/>
      <x:c r="B85" s="27" t="str"/>
      <x:c r="C85" s="27" t="str"/>
      <x:c r="D85" s="27" t="str"/>
      <x:c r="E85" s="27" t="str"/>
      <x:c r="F85" s="27" t="str"/>
      <x:c r="G85" s="27" t="str"/>
      <x:c r="H85" s="27" t="str"/>
      <x:c r="I85" s="27" t="str"/>
      <x:c r="J85" s="27" t="str"/>
      <x:c r="K85" s="27" t="str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</x:row>
    <x:row r="86">
      <x:c r="A86" s="27" t="str"/>
      <x:c r="B86" s="27" t="str"/>
      <x:c r="C86" s="27" t="str"/>
      <x:c r="D86" s="27" t="str"/>
      <x:c r="E86" s="27" t="str"/>
      <x:c r="F86" s="27" t="str"/>
      <x:c r="G86" s="27" t="str"/>
      <x:c r="H86" s="27" t="str"/>
      <x:c r="I86" s="27" t="str"/>
      <x:c r="J86" s="27" t="str"/>
      <x:c r="K86" s="27" t="str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</x:row>
    <x:row r="87">
      <x:c r="A87" s="27" t="str"/>
      <x:c r="B87" s="27" t="str"/>
      <x:c r="C87" s="27" t="str"/>
      <x:c r="D87" s="27" t="str"/>
      <x:c r="E87" s="27" t="str"/>
      <x:c r="F87" s="27" t="str"/>
      <x:c r="G87" s="27" t="str"/>
      <x:c r="H87" s="27" t="str"/>
      <x:c r="I87" s="27" t="str"/>
      <x:c r="J87" s="27" t="str"/>
      <x:c r="K87" s="27" t="str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</x:row>
    <x:row r="88">
      <x:c r="A88" s="27" t="str"/>
      <x:c r="B88" s="27" t="str"/>
      <x:c r="C88" s="27" t="str"/>
      <x:c r="D88" s="27" t="str"/>
      <x:c r="E88" s="27" t="str"/>
      <x:c r="F88" s="27" t="str"/>
      <x:c r="G88" s="27" t="str"/>
      <x:c r="H88" s="27" t="str"/>
      <x:c r="I88" s="27" t="str"/>
      <x:c r="J88" s="27" t="str"/>
      <x:c r="K88" s="27" t="str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</x:row>
    <x:row r="89">
      <x:c r="A89" s="27" t="str"/>
      <x:c r="B89" s="27" t="str"/>
      <x:c r="C89" s="27" t="str"/>
      <x:c r="D89" s="27" t="str"/>
      <x:c r="E89" s="27" t="str"/>
      <x:c r="F89" s="27" t="str"/>
      <x:c r="G89" s="27" t="str"/>
      <x:c r="H89" s="27" t="str"/>
      <x:c r="I89" s="27" t="str"/>
      <x:c r="J89" s="27" t="str"/>
      <x:c r="K89" s="27" t="str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</x:row>
    <x:row r="90">
      <x:c r="A90" s="27" t="str"/>
      <x:c r="B90" s="27" t="str"/>
      <x:c r="C90" s="27" t="str"/>
      <x:c r="D90" s="27" t="str"/>
      <x:c r="E90" s="27" t="str"/>
      <x:c r="F90" s="27" t="str"/>
      <x:c r="G90" s="27" t="str"/>
      <x:c r="H90" s="27" t="str"/>
      <x:c r="I90" s="27" t="str"/>
      <x:c r="J90" s="27" t="str"/>
      <x:c r="K90" s="27" t="str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</x:row>
    <x:row r="91">
      <x:c r="A91" s="27" t="str"/>
      <x:c r="B91" s="27" t="str"/>
      <x:c r="C91" s="27" t="str"/>
      <x:c r="D91" s="27" t="str"/>
      <x:c r="E91" s="27" t="str"/>
      <x:c r="F91" s="27" t="str"/>
      <x:c r="G91" s="27" t="str"/>
      <x:c r="H91" s="27" t="str"/>
      <x:c r="I91" s="27" t="str"/>
      <x:c r="J91" s="27" t="str"/>
      <x:c r="K91" s="27" t="str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</x:row>
    <x:row r="92">
      <x:c r="A92" s="27" t="str"/>
      <x:c r="B92" s="27" t="str"/>
      <x:c r="C92" s="27" t="str"/>
      <x:c r="D92" s="27" t="str"/>
      <x:c r="E92" s="27" t="str"/>
      <x:c r="F92" s="27" t="str"/>
      <x:c r="G92" s="27" t="str"/>
      <x:c r="H92" s="27" t="str"/>
      <x:c r="I92" s="27" t="str"/>
      <x:c r="J92" s="27" t="str"/>
      <x:c r="K92" s="27" t="str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</x:row>
    <x:row r="93">
      <x:c r="A93" s="27" t="str"/>
      <x:c r="B93" s="27" t="str"/>
      <x:c r="C93" s="27" t="str"/>
      <x:c r="D93" s="27" t="str"/>
      <x:c r="E93" s="27" t="str"/>
      <x:c r="F93" s="27" t="str"/>
      <x:c r="G93" s="27" t="str"/>
      <x:c r="H93" s="27" t="str"/>
      <x:c r="I93" s="27" t="str"/>
      <x:c r="J93" s="27" t="str"/>
      <x:c r="K93" s="27" t="str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</x:row>
    <x:row r="94">
      <x:c r="A94" s="27" t="str"/>
      <x:c r="B94" s="27" t="str"/>
      <x:c r="C94" s="27" t="str"/>
      <x:c r="D94" s="27" t="str"/>
      <x:c r="E94" s="27" t="str"/>
      <x:c r="F94" s="27" t="str"/>
      <x:c r="G94" s="27" t="str"/>
      <x:c r="H94" s="27" t="str"/>
      <x:c r="I94" s="27" t="str"/>
      <x:c r="J94" s="27" t="str"/>
      <x:c r="K94" s="27" t="str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</x:row>
    <x:row r="95">
      <x:c r="A95" s="27" t="str"/>
      <x:c r="B95" s="27" t="str"/>
      <x:c r="C95" s="27" t="str"/>
      <x:c r="D95" s="27" t="str"/>
      <x:c r="E95" s="27" t="str"/>
      <x:c r="F95" s="27" t="str"/>
      <x:c r="G95" s="27" t="str"/>
      <x:c r="H95" s="27" t="str"/>
      <x:c r="I95" s="27" t="str"/>
      <x:c r="J95" s="27" t="str"/>
      <x:c r="K95" s="27" t="str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</x:row>
    <x:row r="96">
      <x:c r="A96" s="27" t="str"/>
      <x:c r="B96" s="27" t="str"/>
      <x:c r="C96" s="27" t="str"/>
      <x:c r="D96" s="27" t="str"/>
      <x:c r="E96" s="27" t="str"/>
      <x:c r="F96" s="27" t="str"/>
      <x:c r="G96" s="27" t="str"/>
      <x:c r="H96" s="27" t="str"/>
      <x:c r="I96" s="27" t="str"/>
      <x:c r="J96" s="27" t="str"/>
      <x:c r="K96" s="27" t="str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</x:row>
    <x:row r="97">
      <x:c r="A97" s="27" t="str"/>
      <x:c r="B97" s="27" t="str"/>
      <x:c r="C97" s="27" t="str"/>
      <x:c r="D97" s="27" t="str"/>
      <x:c r="E97" s="27" t="str"/>
      <x:c r="F97" s="27" t="str"/>
      <x:c r="G97" s="27" t="str"/>
      <x:c r="H97" s="27" t="str"/>
      <x:c r="I97" s="27" t="str"/>
      <x:c r="J97" s="27" t="str"/>
      <x:c r="K97" s="27" t="str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</x:row>
    <x:row r="98">
      <x:c r="A98" s="27" t="str"/>
      <x:c r="B98" s="27" t="str"/>
      <x:c r="C98" s="27" t="str"/>
      <x:c r="D98" s="27" t="str"/>
      <x:c r="E98" s="27" t="str"/>
      <x:c r="F98" s="27" t="str"/>
      <x:c r="G98" s="27" t="str"/>
      <x:c r="H98" s="27" t="str"/>
      <x:c r="I98" s="27" t="str"/>
      <x:c r="J98" s="27" t="str"/>
      <x:c r="K98" s="27" t="str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</x:row>
    <x:row r="99">
      <x:c r="A99" s="27" t="str"/>
      <x:c r="B99" s="27" t="str"/>
      <x:c r="C99" s="27" t="str"/>
      <x:c r="D99" s="27" t="str"/>
      <x:c r="E99" s="27" t="str"/>
      <x:c r="F99" s="27" t="str"/>
      <x:c r="G99" s="27" t="str"/>
      <x:c r="H99" s="27" t="str"/>
      <x:c r="I99" s="27" t="str"/>
      <x:c r="J99" s="27" t="str"/>
      <x:c r="K99" s="27" t="str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</x:row>
    <x:row r="100">
      <x:c r="A100" s="27" t="str"/>
      <x:c r="B100" s="27" t="str"/>
      <x:c r="C100" s="27" t="str"/>
      <x:c r="D100" s="27" t="str"/>
      <x:c r="E100" s="27" t="str"/>
      <x:c r="F100" s="27" t="str"/>
      <x:c r="G100" s="27" t="str"/>
      <x:c r="H100" s="27" t="str"/>
      <x:c r="I100" s="27" t="str"/>
      <x:c r="J100" s="27" t="str"/>
      <x:c r="K100" s="27" t="str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</x:row>
    <x:row r="101">
      <x:c r="A101" s="27" t="str"/>
      <x:c r="B101" s="27" t="str"/>
      <x:c r="C101" s="27" t="str"/>
      <x:c r="D101" s="27" t="str"/>
      <x:c r="E101" s="27" t="str"/>
      <x:c r="F101" s="27" t="str"/>
      <x:c r="G101" s="27" t="str"/>
      <x:c r="H101" s="27" t="str"/>
      <x:c r="I101" s="27" t="str"/>
      <x:c r="J101" s="27" t="str"/>
      <x:c r="K101" s="27" t="str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</x:row>
    <x:row r="102">
      <x:c r="A102" s="27" t="str"/>
      <x:c r="B102" s="27" t="str"/>
      <x:c r="C102" s="27" t="str"/>
      <x:c r="D102" s="27" t="str"/>
      <x:c r="E102" s="27" t="str"/>
      <x:c r="F102" s="27" t="str"/>
      <x:c r="G102" s="27" t="str"/>
      <x:c r="H102" s="27" t="str"/>
      <x:c r="I102" s="27" t="str"/>
      <x:c r="J102" s="27" t="str"/>
      <x:c r="K102" s="27" t="str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</x:row>
    <x:row r="103">
      <x:c r="A103" s="27" t="str"/>
      <x:c r="B103" s="27" t="str"/>
      <x:c r="C103" s="27" t="str"/>
      <x:c r="D103" s="27" t="str"/>
      <x:c r="E103" s="27" t="str"/>
      <x:c r="F103" s="27" t="str"/>
      <x:c r="G103" s="27" t="str"/>
      <x:c r="H103" s="27" t="str"/>
      <x:c r="I103" s="27" t="str"/>
      <x:c r="J103" s="27" t="str"/>
      <x:c r="K103" s="27" t="str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</x:row>
    <x:row r="104">
      <x:c r="A104" s="27" t="str"/>
      <x:c r="B104" s="27" t="str"/>
      <x:c r="C104" s="27" t="str"/>
      <x:c r="D104" s="27" t="str"/>
      <x:c r="E104" s="27" t="str"/>
      <x:c r="F104" s="27" t="str"/>
      <x:c r="G104" s="27" t="str"/>
      <x:c r="H104" s="27" t="str"/>
      <x:c r="I104" s="27" t="str"/>
      <x:c r="J104" s="27" t="str"/>
      <x:c r="K104" s="27" t="str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</x:row>
    <x:row r="105">
      <x:c r="A105" s="27" t="str"/>
      <x:c r="B105" s="27" t="str"/>
      <x:c r="C105" s="27" t="str"/>
      <x:c r="D105" s="27" t="str"/>
      <x:c r="E105" s="27" t="str"/>
      <x:c r="F105" s="27" t="str"/>
      <x:c r="G105" s="27" t="str"/>
      <x:c r="H105" s="27" t="str"/>
      <x:c r="I105" s="27" t="str"/>
      <x:c r="J105" s="27" t="str"/>
      <x:c r="K105" s="27" t="str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</x:row>
    <x:row r="106">
      <x:c r="A106" s="27" t="str"/>
      <x:c r="B106" s="27" t="str"/>
      <x:c r="C106" s="27" t="str"/>
      <x:c r="D106" s="27" t="str"/>
      <x:c r="E106" s="27" t="str"/>
      <x:c r="F106" s="27" t="str"/>
      <x:c r="G106" s="27" t="str"/>
      <x:c r="H106" s="27" t="str"/>
      <x:c r="I106" s="27" t="str"/>
      <x:c r="J106" s="27" t="str"/>
      <x:c r="K106" s="27" t="str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</x:row>
    <x:row r="107">
      <x:c r="A107" s="27" t="str"/>
      <x:c r="B107" s="27" t="str"/>
      <x:c r="C107" s="27" t="str"/>
      <x:c r="D107" s="27" t="str"/>
      <x:c r="E107" s="27" t="str"/>
      <x:c r="F107" s="27" t="str"/>
      <x:c r="G107" s="27" t="str"/>
      <x:c r="H107" s="27" t="str"/>
      <x:c r="I107" s="27" t="str"/>
      <x:c r="J107" s="27" t="str"/>
      <x:c r="K107" s="27" t="str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</x:row>
    <x:row r="108">
      <x:c r="A108" s="27" t="str"/>
      <x:c r="B108" s="27" t="str"/>
      <x:c r="C108" s="27" t="str"/>
      <x:c r="D108" s="27" t="str"/>
      <x:c r="E108" s="27" t="str"/>
      <x:c r="F108" s="27" t="str"/>
      <x:c r="G108" s="27" t="str"/>
      <x:c r="H108" s="27" t="str"/>
      <x:c r="I108" s="27" t="str"/>
      <x:c r="J108" s="27" t="str"/>
      <x:c r="K108" s="27" t="str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</x:row>
    <x:row r="109">
      <x:c r="A109" s="27" t="str"/>
      <x:c r="B109" s="27" t="str"/>
      <x:c r="C109" s="27" t="str"/>
      <x:c r="D109" s="27" t="str"/>
      <x:c r="E109" s="27" t="str"/>
      <x:c r="F109" s="27" t="str"/>
      <x:c r="G109" s="27" t="str"/>
      <x:c r="H109" s="27" t="str"/>
      <x:c r="I109" s="27" t="str"/>
      <x:c r="J109" s="27" t="str"/>
      <x:c r="K109" s="27" t="str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</x:row>
    <x:row r="110">
      <x:c r="A110" s="27" t="str"/>
      <x:c r="B110" s="27" t="str"/>
      <x:c r="C110" s="27" t="str"/>
      <x:c r="D110" s="27" t="str"/>
      <x:c r="E110" s="27" t="str"/>
      <x:c r="F110" s="27" t="str"/>
      <x:c r="G110" s="27" t="str"/>
      <x:c r="H110" s="27" t="str"/>
      <x:c r="I110" s="27" t="str"/>
      <x:c r="J110" s="27" t="str"/>
      <x:c r="K110" s="27" t="str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</x:row>
    <x:row r="111">
      <x:c r="A111" s="27" t="str"/>
      <x:c r="B111" s="27" t="str"/>
      <x:c r="C111" s="27" t="str"/>
      <x:c r="D111" s="27" t="str"/>
      <x:c r="E111" s="27" t="str"/>
      <x:c r="F111" s="27" t="str"/>
      <x:c r="G111" s="27" t="str"/>
      <x:c r="H111" s="27" t="str"/>
      <x:c r="I111" s="27" t="str"/>
      <x:c r="J111" s="27" t="str"/>
      <x:c r="K111" s="27" t="str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</x:row>
    <x:row r="112">
      <x:c r="A112" s="27" t="str"/>
      <x:c r="B112" s="27" t="str"/>
      <x:c r="C112" s="27" t="str"/>
      <x:c r="D112" s="27" t="str"/>
      <x:c r="E112" s="27" t="str"/>
      <x:c r="F112" s="27" t="str"/>
      <x:c r="G112" s="27" t="str"/>
      <x:c r="H112" s="27" t="str"/>
      <x:c r="I112" s="27" t="str"/>
      <x:c r="J112" s="27" t="str"/>
      <x:c r="K112" s="27" t="str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</x:row>
    <x:row r="113">
      <x:c r="A113" s="27" t="str"/>
      <x:c r="B113" s="27" t="str"/>
      <x:c r="C113" s="27" t="str"/>
      <x:c r="D113" s="27" t="str"/>
      <x:c r="E113" s="27" t="str"/>
      <x:c r="F113" s="27" t="str"/>
      <x:c r="G113" s="27" t="str"/>
      <x:c r="H113" s="27" t="str"/>
      <x:c r="I113" s="27" t="str"/>
      <x:c r="J113" s="27" t="str"/>
      <x:c r="K113" s="27" t="str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</x:row>
    <x:row r="114">
      <x:c r="A114" s="27" t="str"/>
      <x:c r="B114" s="27" t="str"/>
      <x:c r="C114" s="27" t="str"/>
      <x:c r="D114" s="27" t="str"/>
      <x:c r="E114" s="27" t="str"/>
      <x:c r="F114" s="27" t="str"/>
      <x:c r="G114" s="27" t="str"/>
      <x:c r="H114" s="27" t="str"/>
      <x:c r="I114" s="27" t="str"/>
      <x:c r="J114" s="27" t="str"/>
      <x:c r="K114" s="27" t="str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</x:row>
    <x:row r="115">
      <x:c r="A115" s="27" t="str"/>
      <x:c r="B115" s="27" t="str"/>
      <x:c r="C115" s="27" t="str"/>
      <x:c r="D115" s="27" t="str"/>
      <x:c r="E115" s="27" t="str"/>
      <x:c r="F115" s="27" t="str"/>
      <x:c r="G115" s="27" t="str"/>
      <x:c r="H115" s="27" t="str"/>
      <x:c r="I115" s="27" t="str"/>
      <x:c r="J115" s="27" t="str"/>
      <x:c r="K115" s="27" t="str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</x:row>
    <x:row r="116">
      <x:c r="A116" s="27" t="str"/>
      <x:c r="B116" s="27" t="str"/>
      <x:c r="C116" s="27" t="str"/>
      <x:c r="D116" s="27" t="str"/>
      <x:c r="E116" s="27" t="str"/>
      <x:c r="F116" s="27" t="str"/>
      <x:c r="G116" s="27" t="str"/>
      <x:c r="H116" s="27" t="str"/>
      <x:c r="I116" s="27" t="str"/>
      <x:c r="J116" s="27" t="str"/>
      <x:c r="K116" s="27" t="str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</x:row>
    <x:row r="117">
      <x:c r="A117" s="27" t="str"/>
      <x:c r="B117" s="27" t="str"/>
      <x:c r="C117" s="27" t="str"/>
      <x:c r="D117" s="27" t="str"/>
      <x:c r="E117" s="27" t="str"/>
      <x:c r="F117" s="27" t="str"/>
      <x:c r="G117" s="27" t="str"/>
      <x:c r="H117" s="27" t="str"/>
      <x:c r="I117" s="27" t="str"/>
      <x:c r="J117" s="27" t="str"/>
      <x:c r="K117" s="27" t="str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</x:row>
    <x:row r="118">
      <x:c r="A118" s="27" t="str"/>
      <x:c r="B118" s="27" t="str"/>
      <x:c r="C118" s="27" t="str"/>
      <x:c r="D118" s="27" t="str"/>
      <x:c r="E118" s="27" t="str"/>
      <x:c r="F118" s="27" t="str"/>
      <x:c r="G118" s="27" t="str"/>
      <x:c r="H118" s="27" t="str"/>
      <x:c r="I118" s="27" t="str"/>
      <x:c r="J118" s="27" t="str"/>
      <x:c r="K118" s="27" t="str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</x:row>
    <x:row r="119">
      <x:c r="A119" s="27" t="str"/>
      <x:c r="B119" s="27" t="str"/>
      <x:c r="C119" s="27" t="str"/>
      <x:c r="D119" s="27" t="str"/>
      <x:c r="E119" s="27" t="str"/>
      <x:c r="F119" s="27" t="str"/>
      <x:c r="G119" s="27" t="str"/>
      <x:c r="H119" s="27" t="str"/>
      <x:c r="I119" s="27" t="str"/>
      <x:c r="J119" s="27" t="str"/>
      <x:c r="K119" s="27" t="str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</x:row>
    <x:row r="120">
      <x:c r="A120" s="27" t="str"/>
      <x:c r="B120" s="27" t="str"/>
      <x:c r="C120" s="27" t="str"/>
      <x:c r="D120" s="27" t="str"/>
      <x:c r="E120" s="27" t="str"/>
      <x:c r="F120" s="27" t="str"/>
      <x:c r="G120" s="27" t="str"/>
      <x:c r="H120" s="27" t="str"/>
      <x:c r="I120" s="27" t="str"/>
      <x:c r="J120" s="27" t="str"/>
      <x:c r="K120" s="27" t="str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</x:row>
    <x:row r="121">
      <x:c r="A121" s="27" t="str"/>
      <x:c r="B121" s="27" t="str"/>
      <x:c r="C121" s="27" t="str"/>
      <x:c r="D121" s="27" t="str"/>
      <x:c r="E121" s="27" t="str"/>
      <x:c r="F121" s="27" t="str"/>
      <x:c r="G121" s="27" t="str"/>
      <x:c r="H121" s="27" t="str"/>
      <x:c r="I121" s="27" t="str"/>
      <x:c r="J121" s="27" t="str"/>
      <x:c r="K121" s="27" t="str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</x:row>
    <x:row r="122">
      <x:c r="A122" s="27" t="str"/>
      <x:c r="B122" s="27" t="str"/>
      <x:c r="C122" s="27" t="str"/>
      <x:c r="D122" s="27" t="str"/>
      <x:c r="E122" s="27" t="str"/>
      <x:c r="F122" s="27" t="str"/>
      <x:c r="G122" s="27" t="str"/>
      <x:c r="H122" s="27" t="str"/>
      <x:c r="I122" s="27" t="str"/>
      <x:c r="J122" s="27" t="str"/>
      <x:c r="K122" s="27" t="str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</x:row>
    <x:row r="123">
      <x:c r="A123" s="27" t="str"/>
      <x:c r="B123" s="27" t="str"/>
      <x:c r="C123" s="27" t="str"/>
      <x:c r="D123" s="27" t="str"/>
      <x:c r="E123" s="27" t="str"/>
      <x:c r="F123" s="27" t="str"/>
      <x:c r="G123" s="27" t="str"/>
      <x:c r="H123" s="27" t="str"/>
      <x:c r="I123" s="27" t="str"/>
      <x:c r="J123" s="27" t="str"/>
      <x:c r="K123" s="27" t="str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</x:row>
    <x:row r="124">
      <x:c r="A124" s="27" t="str"/>
      <x:c r="B124" s="27" t="str"/>
      <x:c r="C124" s="27" t="str"/>
      <x:c r="D124" s="27" t="str"/>
      <x:c r="E124" s="27" t="str"/>
      <x:c r="F124" s="27" t="str"/>
      <x:c r="G124" s="27" t="str"/>
      <x:c r="H124" s="27" t="str"/>
      <x:c r="I124" s="27" t="str"/>
      <x:c r="J124" s="27" t="str"/>
      <x:c r="K124" s="27" t="str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</x:row>
    <x:row r="125">
      <x:c r="A125" s="27" t="str"/>
      <x:c r="B125" s="27" t="str"/>
      <x:c r="C125" s="27" t="str"/>
      <x:c r="D125" s="27" t="str"/>
      <x:c r="E125" s="27" t="str"/>
      <x:c r="F125" s="27" t="str"/>
      <x:c r="G125" s="27" t="str"/>
      <x:c r="H125" s="27" t="str"/>
      <x:c r="I125" s="27" t="str"/>
      <x:c r="J125" s="27" t="str"/>
      <x:c r="K125" s="27" t="str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</x:row>
    <x:row r="126">
      <x:c r="A126" s="27" t="str"/>
      <x:c r="B126" s="27" t="str"/>
      <x:c r="C126" s="27" t="str"/>
      <x:c r="D126" s="27" t="str"/>
      <x:c r="E126" s="27" t="str"/>
      <x:c r="F126" s="27" t="str"/>
      <x:c r="G126" s="27" t="str"/>
      <x:c r="H126" s="27" t="str"/>
      <x:c r="I126" s="27" t="str"/>
      <x:c r="J126" s="27" t="str"/>
      <x:c r="K126" s="27" t="str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</x:row>
    <x:row r="127">
      <x:c r="A127" s="27" t="str"/>
      <x:c r="B127" s="27" t="str"/>
      <x:c r="C127" s="27" t="str"/>
      <x:c r="D127" s="27" t="str"/>
      <x:c r="E127" s="27" t="str"/>
      <x:c r="F127" s="27" t="str"/>
      <x:c r="G127" s="27" t="str"/>
      <x:c r="H127" s="27" t="str"/>
      <x:c r="I127" s="27" t="str"/>
      <x:c r="J127" s="27" t="str"/>
      <x:c r="K127" s="27" t="str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</x:row>
    <x:row r="128">
      <x:c r="A128" s="27" t="str"/>
      <x:c r="B128" s="27" t="str"/>
      <x:c r="C128" s="27" t="str"/>
      <x:c r="D128" s="27" t="str"/>
      <x:c r="E128" s="27" t="str"/>
      <x:c r="F128" s="27" t="str"/>
      <x:c r="G128" s="27" t="str"/>
      <x:c r="H128" s="27" t="str"/>
      <x:c r="I128" s="27" t="str"/>
      <x:c r="J128" s="27" t="str"/>
      <x:c r="K128" s="27" t="str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</x:row>
    <x:row r="129">
      <x:c r="A129" s="27" t="str"/>
      <x:c r="B129" s="27" t="str"/>
      <x:c r="C129" s="27" t="str"/>
      <x:c r="D129" s="27" t="str"/>
      <x:c r="E129" s="27" t="str"/>
      <x:c r="F129" s="27" t="str"/>
      <x:c r="G129" s="27" t="str"/>
      <x:c r="H129" s="27" t="str"/>
      <x:c r="I129" s="27" t="str"/>
      <x:c r="J129" s="27" t="str"/>
      <x:c r="K129" s="27" t="str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</x:row>
    <x:row r="130">
      <x:c r="A130" s="27" t="str"/>
      <x:c r="B130" s="27" t="str"/>
      <x:c r="C130" s="27" t="str"/>
      <x:c r="D130" s="27" t="str"/>
      <x:c r="E130" s="27" t="str"/>
      <x:c r="F130" s="27" t="str"/>
      <x:c r="G130" s="27" t="str"/>
      <x:c r="H130" s="27" t="str"/>
      <x:c r="I130" s="27" t="str"/>
      <x:c r="J130" s="27" t="str"/>
      <x:c r="K130" s="27" t="str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</x:row>
    <x:row r="131">
      <x:c r="A131" s="27" t="str"/>
      <x:c r="B131" s="27" t="str"/>
      <x:c r="C131" s="27" t="str"/>
      <x:c r="D131" s="27" t="str"/>
      <x:c r="E131" s="27" t="str"/>
      <x:c r="F131" s="27" t="str"/>
      <x:c r="G131" s="27" t="str"/>
      <x:c r="H131" s="27" t="str"/>
      <x:c r="I131" s="27" t="str"/>
      <x:c r="J131" s="27" t="str"/>
      <x:c r="K131" s="27" t="str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</x:row>
    <x:row r="132">
      <x:c r="A132" s="27" t="str"/>
      <x:c r="B132" s="27" t="str"/>
      <x:c r="C132" s="27" t="str"/>
      <x:c r="D132" s="27" t="str"/>
      <x:c r="E132" s="27" t="str"/>
      <x:c r="F132" s="27" t="str"/>
      <x:c r="G132" s="27" t="str"/>
      <x:c r="H132" s="27" t="str"/>
      <x:c r="I132" s="27" t="str"/>
      <x:c r="J132" s="27" t="str"/>
      <x:c r="K132" s="27" t="str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</x:row>
    <x:row r="133">
      <x:c r="A133" s="27" t="str"/>
      <x:c r="B133" s="27" t="str"/>
      <x:c r="C133" s="27" t="str"/>
      <x:c r="D133" s="27" t="str"/>
      <x:c r="E133" s="27" t="str"/>
      <x:c r="F133" s="27" t="str"/>
      <x:c r="G133" s="27" t="str"/>
      <x:c r="H133" s="27" t="str"/>
      <x:c r="I133" s="27" t="str"/>
      <x:c r="J133" s="27" t="str"/>
      <x:c r="K133" s="27" t="str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</x:row>
    <x:row r="134">
      <x:c r="A134" s="27" t="str"/>
      <x:c r="B134" s="27" t="str"/>
      <x:c r="C134" s="27" t="str"/>
      <x:c r="D134" s="27" t="str"/>
      <x:c r="E134" s="27" t="str"/>
      <x:c r="F134" s="27" t="str"/>
      <x:c r="G134" s="27" t="str"/>
      <x:c r="H134" s="27" t="str"/>
      <x:c r="I134" s="27" t="str"/>
      <x:c r="J134" s="27" t="str"/>
      <x:c r="K134" s="27" t="str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</x:row>
    <x:row r="135">
      <x:c r="A135" s="27" t="str"/>
      <x:c r="B135" s="27" t="str"/>
      <x:c r="C135" s="27" t="str"/>
      <x:c r="D135" s="27" t="str"/>
      <x:c r="E135" s="27" t="str"/>
      <x:c r="F135" s="27" t="str"/>
      <x:c r="G135" s="27" t="str"/>
      <x:c r="H135" s="27" t="str"/>
      <x:c r="I135" s="27" t="str"/>
      <x:c r="J135" s="27" t="str"/>
      <x:c r="K135" s="27" t="str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</x:row>
    <x:row r="136">
      <x:c r="A136" s="27" t="str"/>
      <x:c r="B136" s="27" t="str"/>
      <x:c r="C136" s="27" t="str"/>
      <x:c r="D136" s="27" t="str"/>
      <x:c r="E136" s="27" t="str"/>
      <x:c r="F136" s="27" t="str"/>
      <x:c r="G136" s="27" t="str"/>
      <x:c r="H136" s="27" t="str"/>
      <x:c r="I136" s="27" t="str"/>
      <x:c r="J136" s="27" t="str"/>
      <x:c r="K136" s="27" t="str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</x:row>
    <x:row r="137">
      <x:c r="A137" s="27" t="str"/>
      <x:c r="B137" s="27" t="str"/>
      <x:c r="C137" s="27" t="str"/>
      <x:c r="D137" s="27" t="str"/>
      <x:c r="E137" s="27" t="str"/>
      <x:c r="F137" s="27" t="str"/>
      <x:c r="G137" s="27" t="str"/>
      <x:c r="H137" s="27" t="str"/>
      <x:c r="I137" s="27" t="str"/>
      <x:c r="J137" s="27" t="str"/>
      <x:c r="K137" s="27" t="str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</x:row>
    <x:row r="138">
      <x:c r="A138" s="27" t="str"/>
      <x:c r="B138" s="27" t="str"/>
      <x:c r="C138" s="27" t="str"/>
      <x:c r="D138" s="27" t="str"/>
      <x:c r="E138" s="27" t="str"/>
      <x:c r="F138" s="27" t="str"/>
      <x:c r="G138" s="27" t="str"/>
      <x:c r="H138" s="27" t="str"/>
      <x:c r="I138" s="27" t="str"/>
      <x:c r="J138" s="27" t="str"/>
      <x:c r="K138" s="27" t="str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</x:row>
    <x:row r="139">
      <x:c r="A139" s="27" t="str"/>
      <x:c r="B139" s="27" t="str"/>
      <x:c r="C139" s="27" t="str"/>
      <x:c r="D139" s="27" t="str"/>
      <x:c r="E139" s="27" t="str"/>
      <x:c r="F139" s="27" t="str"/>
      <x:c r="G139" s="27" t="str"/>
      <x:c r="H139" s="27" t="str"/>
      <x:c r="I139" s="27" t="str"/>
      <x:c r="J139" s="27" t="str"/>
      <x:c r="K139" s="27" t="str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</x:row>
    <x:row r="140">
      <x:c r="A140" s="27" t="str"/>
      <x:c r="B140" s="27" t="str"/>
      <x:c r="C140" s="27" t="str"/>
      <x:c r="D140" s="27" t="str"/>
      <x:c r="E140" s="27" t="str"/>
      <x:c r="F140" s="27" t="str"/>
      <x:c r="G140" s="27" t="str"/>
      <x:c r="H140" s="27" t="str"/>
      <x:c r="I140" s="27" t="str"/>
      <x:c r="J140" s="27" t="str"/>
      <x:c r="K140" s="27" t="str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</x:row>
    <x:row r="141">
      <x:c r="A141" s="27" t="str"/>
      <x:c r="B141" s="27" t="str"/>
      <x:c r="C141" s="27" t="str"/>
      <x:c r="D141" s="27" t="str"/>
      <x:c r="E141" s="27" t="str"/>
      <x:c r="F141" s="27" t="str"/>
      <x:c r="G141" s="27" t="str"/>
      <x:c r="H141" s="27" t="str"/>
      <x:c r="I141" s="27" t="str"/>
      <x:c r="J141" s="27" t="str"/>
      <x:c r="K141" s="27" t="str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</x:row>
    <x:row r="142">
      <x:c r="A142" s="27" t="str"/>
      <x:c r="B142" s="27" t="str"/>
      <x:c r="C142" s="27" t="str"/>
      <x:c r="D142" s="27" t="str"/>
      <x:c r="E142" s="27" t="str"/>
      <x:c r="F142" s="27" t="str"/>
      <x:c r="G142" s="27" t="str"/>
      <x:c r="H142" s="27" t="str"/>
      <x:c r="I142" s="27" t="str"/>
      <x:c r="J142" s="27" t="str"/>
      <x:c r="K142" s="27" t="str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</x:row>
    <x:row r="143">
      <x:c r="A143" s="27" t="str"/>
      <x:c r="B143" s="27" t="str"/>
      <x:c r="C143" s="27" t="str"/>
      <x:c r="D143" s="27" t="str"/>
      <x:c r="E143" s="27" t="str"/>
      <x:c r="F143" s="27" t="str"/>
      <x:c r="G143" s="27" t="str"/>
      <x:c r="H143" s="27" t="str"/>
      <x:c r="I143" s="27" t="str"/>
      <x:c r="J143" s="27" t="str"/>
      <x:c r="K143" s="27" t="str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</x:row>
    <x:row r="144">
      <x:c r="A144" s="27" t="str"/>
      <x:c r="B144" s="27" t="str"/>
      <x:c r="C144" s="27" t="str"/>
      <x:c r="D144" s="27" t="str"/>
      <x:c r="E144" s="27" t="str"/>
      <x:c r="F144" s="27" t="str"/>
      <x:c r="G144" s="27" t="str"/>
      <x:c r="H144" s="27" t="str"/>
      <x:c r="I144" s="27" t="str"/>
      <x:c r="J144" s="27" t="str"/>
      <x:c r="K144" s="27" t="str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</x:row>
    <x:row r="145">
      <x:c r="A145" s="27" t="str"/>
      <x:c r="B145" s="27" t="str"/>
      <x:c r="C145" s="27" t="str"/>
      <x:c r="D145" s="27" t="str"/>
      <x:c r="E145" s="27" t="str"/>
      <x:c r="F145" s="27" t="str"/>
      <x:c r="G145" s="27" t="str"/>
      <x:c r="H145" s="27" t="str"/>
      <x:c r="I145" s="27" t="str"/>
      <x:c r="J145" s="27" t="str"/>
      <x:c r="K145" s="27" t="str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</x:row>
    <x:row r="146">
      <x:c r="A146" s="27" t="str"/>
      <x:c r="B146" s="27" t="str"/>
      <x:c r="C146" s="27" t="str"/>
      <x:c r="D146" s="27" t="str"/>
      <x:c r="E146" s="27" t="str"/>
      <x:c r="F146" s="27" t="str"/>
      <x:c r="G146" s="27" t="str"/>
      <x:c r="H146" s="27" t="str"/>
      <x:c r="I146" s="27" t="str"/>
      <x:c r="J146" s="27" t="str"/>
      <x:c r="K146" s="27" t="str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</x:row>
    <x:row r="147">
      <x:c r="A147" s="27" t="str"/>
      <x:c r="B147" s="27" t="str"/>
      <x:c r="C147" s="27" t="str"/>
      <x:c r="D147" s="27" t="str"/>
      <x:c r="E147" s="27" t="str"/>
      <x:c r="F147" s="27" t="str"/>
      <x:c r="G147" s="27" t="str"/>
      <x:c r="H147" s="27" t="str"/>
      <x:c r="I147" s="27" t="str"/>
      <x:c r="J147" s="27" t="str"/>
      <x:c r="K147" s="27" t="str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</x:row>
    <x:row r="148">
      <x:c r="A148" s="27" t="str"/>
      <x:c r="B148" s="27" t="str"/>
      <x:c r="C148" s="27" t="str"/>
      <x:c r="D148" s="27" t="str"/>
      <x:c r="E148" s="27" t="str"/>
      <x:c r="F148" s="27" t="str"/>
      <x:c r="G148" s="27" t="str"/>
      <x:c r="H148" s="27" t="str"/>
      <x:c r="I148" s="27" t="str"/>
      <x:c r="J148" s="27" t="str"/>
      <x:c r="K148" s="27" t="str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</x:row>
    <x:row r="149">
      <x:c r="A149" s="27" t="str"/>
      <x:c r="B149" s="27" t="str"/>
      <x:c r="C149" s="27" t="str"/>
      <x:c r="D149" s="27" t="str"/>
      <x:c r="E149" s="27" t="str"/>
      <x:c r="F149" s="27" t="str"/>
      <x:c r="G149" s="27" t="str"/>
      <x:c r="H149" s="27" t="str"/>
      <x:c r="I149" s="27" t="str"/>
      <x:c r="J149" s="27" t="str"/>
      <x:c r="K149" s="27" t="str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</x:row>
    <x:row r="150">
      <x:c r="A150" s="27" t="str"/>
      <x:c r="B150" s="27" t="str"/>
      <x:c r="C150" s="27" t="str"/>
      <x:c r="D150" s="27" t="str"/>
      <x:c r="E150" s="27" t="str"/>
      <x:c r="F150" s="27" t="str"/>
      <x:c r="G150" s="27" t="str"/>
      <x:c r="H150" s="27" t="str"/>
      <x:c r="I150" s="27" t="str"/>
      <x:c r="J150" s="27" t="str"/>
      <x:c r="K150" s="27" t="str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</x:row>
    <x:row r="151">
      <x:c r="A151" s="27" t="str"/>
      <x:c r="B151" s="27" t="str"/>
      <x:c r="C151" s="27" t="str"/>
      <x:c r="D151" s="27" t="str"/>
      <x:c r="E151" s="27" t="str"/>
      <x:c r="F151" s="27" t="str"/>
      <x:c r="G151" s="27" t="str"/>
      <x:c r="H151" s="27" t="str"/>
      <x:c r="I151" s="27" t="str"/>
      <x:c r="J151" s="27" t="str"/>
      <x:c r="K151" s="27" t="str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</x:row>
    <x:row r="152">
      <x:c r="A152" s="27" t="str"/>
      <x:c r="B152" s="27" t="str"/>
      <x:c r="C152" s="27" t="str"/>
      <x:c r="D152" s="27" t="str"/>
      <x:c r="E152" s="27" t="str"/>
      <x:c r="F152" s="27" t="str"/>
      <x:c r="G152" s="27" t="str"/>
      <x:c r="H152" s="27" t="str"/>
      <x:c r="I152" s="27" t="str"/>
      <x:c r="J152" s="27" t="str"/>
      <x:c r="K152" s="27" t="str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</x:row>
    <x:row r="153">
      <x:c r="A153" s="27" t="str"/>
      <x:c r="B153" s="27" t="str"/>
      <x:c r="C153" s="27" t="str"/>
      <x:c r="D153" s="27" t="str"/>
      <x:c r="E153" s="27" t="str"/>
      <x:c r="F153" s="27" t="str"/>
      <x:c r="G153" s="27" t="str"/>
      <x:c r="H153" s="27" t="str"/>
      <x:c r="I153" s="27" t="str"/>
      <x:c r="J153" s="27" t="str"/>
      <x:c r="K153" s="27" t="str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</x:row>
    <x:row r="154">
      <x:c r="A154" s="27" t="str"/>
      <x:c r="B154" s="27" t="str"/>
      <x:c r="C154" s="27" t="str"/>
      <x:c r="D154" s="27" t="str"/>
      <x:c r="E154" s="27" t="str"/>
      <x:c r="F154" s="27" t="str"/>
      <x:c r="G154" s="27" t="str"/>
      <x:c r="H154" s="27" t="str"/>
      <x:c r="I154" s="27" t="str"/>
      <x:c r="J154" s="27" t="str"/>
      <x:c r="K154" s="27" t="str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</x:row>
    <x:row r="155">
      <x:c r="A155" s="27" t="str"/>
      <x:c r="B155" s="27" t="str"/>
      <x:c r="C155" s="27" t="str"/>
      <x:c r="D155" s="27" t="str"/>
      <x:c r="E155" s="27" t="str"/>
      <x:c r="F155" s="27" t="str"/>
      <x:c r="G155" s="27" t="str"/>
      <x:c r="H155" s="27" t="str"/>
      <x:c r="I155" s="27" t="str"/>
      <x:c r="J155" s="27" t="str"/>
      <x:c r="K155" s="27" t="str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</x:row>
    <x:row r="156">
      <x:c r="A156" s="27" t="str"/>
      <x:c r="B156" s="27" t="str"/>
      <x:c r="C156" s="27" t="str"/>
      <x:c r="D156" s="27" t="str"/>
      <x:c r="E156" s="27" t="str"/>
      <x:c r="F156" s="27" t="str"/>
      <x:c r="G156" s="27" t="str"/>
      <x:c r="H156" s="27" t="str"/>
      <x:c r="I156" s="27" t="str"/>
      <x:c r="J156" s="27" t="str"/>
      <x:c r="K156" s="27" t="str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</x:row>
    <x:row r="157">
      <x:c r="A157" s="27" t="str"/>
      <x:c r="B157" s="27" t="str"/>
      <x:c r="C157" s="27" t="str"/>
      <x:c r="D157" s="27" t="str"/>
      <x:c r="E157" s="27" t="str"/>
      <x:c r="F157" s="27" t="str"/>
      <x:c r="G157" s="27" t="str"/>
      <x:c r="H157" s="27" t="str"/>
      <x:c r="I157" s="27" t="str"/>
      <x:c r="J157" s="27" t="str"/>
      <x:c r="K157" s="27" t="str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</x:row>
    <x:row r="158">
      <x:c r="A158" s="27" t="str"/>
      <x:c r="B158" s="27" t="str"/>
      <x:c r="C158" s="27" t="str"/>
      <x:c r="D158" s="27" t="str"/>
      <x:c r="E158" s="27" t="str"/>
      <x:c r="F158" s="27" t="str"/>
      <x:c r="G158" s="27" t="str"/>
      <x:c r="H158" s="27" t="str"/>
      <x:c r="I158" s="27" t="str"/>
      <x:c r="J158" s="27" t="str"/>
      <x:c r="K158" s="27" t="str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</x:row>
    <x:row r="159">
      <x:c r="A159" s="27" t="str"/>
      <x:c r="B159" s="27" t="str"/>
      <x:c r="C159" s="27" t="str"/>
      <x:c r="D159" s="27" t="str"/>
      <x:c r="E159" s="27" t="str"/>
      <x:c r="F159" s="27" t="str"/>
      <x:c r="G159" s="27" t="str"/>
      <x:c r="H159" s="27" t="str"/>
      <x:c r="I159" s="27" t="str"/>
      <x:c r="J159" s="27" t="str"/>
      <x:c r="K159" s="27" t="str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</x:row>
    <x:row r="160">
      <x:c r="A160" s="27" t="str"/>
      <x:c r="B160" s="27" t="str"/>
      <x:c r="C160" s="27" t="str"/>
      <x:c r="D160" s="27" t="str"/>
      <x:c r="E160" s="27" t="str"/>
      <x:c r="F160" s="27" t="str"/>
      <x:c r="G160" s="27" t="str"/>
      <x:c r="H160" s="27" t="str"/>
      <x:c r="I160" s="27" t="str"/>
      <x:c r="J160" s="27" t="str"/>
      <x:c r="K160" s="27" t="str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</x:row>
    <x:row r="161">
      <x:c r="A161" s="27" t="str"/>
      <x:c r="B161" s="27" t="str"/>
      <x:c r="C161" s="27" t="str"/>
      <x:c r="D161" s="27" t="str"/>
      <x:c r="E161" s="27" t="str"/>
      <x:c r="F161" s="27" t="str"/>
      <x:c r="G161" s="27" t="str"/>
      <x:c r="H161" s="27" t="str"/>
      <x:c r="I161" s="27" t="str"/>
      <x:c r="J161" s="27" t="str"/>
      <x:c r="K161" s="27" t="str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</x:row>
    <x:row r="162">
      <x:c r="A162" s="27" t="str"/>
      <x:c r="B162" s="27" t="str"/>
      <x:c r="C162" s="27" t="str"/>
      <x:c r="D162" s="27" t="str"/>
      <x:c r="E162" s="27" t="str"/>
      <x:c r="F162" s="27" t="str"/>
      <x:c r="G162" s="27" t="str"/>
      <x:c r="H162" s="27" t="str"/>
      <x:c r="I162" s="27" t="str"/>
      <x:c r="J162" s="27" t="str"/>
      <x:c r="K162" s="27" t="str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</x:row>
    <x:row r="163">
      <x:c r="A163" s="27" t="str"/>
      <x:c r="B163" s="27" t="str"/>
      <x:c r="C163" s="27" t="str"/>
      <x:c r="D163" s="27" t="str"/>
      <x:c r="E163" s="27" t="str"/>
      <x:c r="F163" s="27" t="str"/>
      <x:c r="G163" s="27" t="str"/>
      <x:c r="H163" s="27" t="str"/>
      <x:c r="I163" s="27" t="str"/>
      <x:c r="J163" s="27" t="str"/>
      <x:c r="K163" s="27" t="str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</x:row>
    <x:row r="164">
      <x:c r="A164" s="27" t="str"/>
      <x:c r="B164" s="27" t="str"/>
      <x:c r="C164" s="27" t="str"/>
      <x:c r="D164" s="27" t="str"/>
      <x:c r="E164" s="27" t="str"/>
      <x:c r="F164" s="27" t="str"/>
      <x:c r="G164" s="27" t="str"/>
      <x:c r="H164" s="27" t="str"/>
      <x:c r="I164" s="27" t="str"/>
      <x:c r="J164" s="27" t="str"/>
      <x:c r="K164" s="27" t="str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</x:row>
    <x:row r="165">
      <x:c r="A165" s="27" t="str"/>
      <x:c r="B165" s="27" t="str"/>
      <x:c r="C165" s="27" t="str"/>
      <x:c r="D165" s="27" t="str"/>
      <x:c r="E165" s="27" t="str"/>
      <x:c r="F165" s="27" t="str"/>
      <x:c r="G165" s="27" t="str"/>
      <x:c r="H165" s="27" t="str"/>
      <x:c r="I165" s="27" t="str"/>
      <x:c r="J165" s="27" t="str"/>
      <x:c r="K165" s="27" t="str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</x:row>
    <x:row r="166">
      <x:c r="A166" s="27" t="str"/>
      <x:c r="B166" s="27" t="str"/>
      <x:c r="C166" s="27" t="str"/>
      <x:c r="D166" s="27" t="str"/>
      <x:c r="E166" s="27" t="str"/>
      <x:c r="F166" s="27" t="str"/>
      <x:c r="G166" s="27" t="str"/>
      <x:c r="H166" s="27" t="str"/>
      <x:c r="I166" s="27" t="str"/>
      <x:c r="J166" s="27" t="str"/>
      <x:c r="K166" s="27" t="str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</x:row>
    <x:row r="167">
      <x:c r="A167" s="27" t="str"/>
      <x:c r="B167" s="27" t="str"/>
      <x:c r="C167" s="27" t="str"/>
      <x:c r="D167" s="27" t="str"/>
      <x:c r="E167" s="27" t="str"/>
      <x:c r="F167" s="27" t="str"/>
      <x:c r="G167" s="27" t="str"/>
      <x:c r="H167" s="27" t="str"/>
      <x:c r="I167" s="27" t="str"/>
      <x:c r="J167" s="27" t="str"/>
      <x:c r="K167" s="27" t="str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</x:row>
    <x:row r="168">
      <x:c r="A168" s="27" t="str"/>
      <x:c r="B168" s="27" t="str"/>
      <x:c r="C168" s="27" t="str"/>
      <x:c r="D168" s="27" t="str"/>
      <x:c r="E168" s="27" t="str"/>
      <x:c r="F168" s="27" t="str"/>
      <x:c r="G168" s="27" t="str"/>
      <x:c r="H168" s="27" t="str"/>
      <x:c r="I168" s="27" t="str"/>
      <x:c r="J168" s="27" t="str"/>
      <x:c r="K168" s="27" t="str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</x:row>
    <x:row r="169">
      <x:c r="A169" s="27" t="str"/>
      <x:c r="B169" s="27" t="str"/>
      <x:c r="C169" s="27" t="str"/>
      <x:c r="D169" s="27" t="str"/>
      <x:c r="E169" s="27" t="str"/>
      <x:c r="F169" s="27" t="str"/>
      <x:c r="G169" s="27" t="str"/>
      <x:c r="H169" s="27" t="str"/>
      <x:c r="I169" s="27" t="str"/>
      <x:c r="J169" s="27" t="str"/>
      <x:c r="K169" s="27" t="str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</x:row>
    <x:row r="170">
      <x:c r="A170" s="27" t="str"/>
      <x:c r="B170" s="27" t="str"/>
      <x:c r="C170" s="27" t="str"/>
      <x:c r="D170" s="27" t="str"/>
      <x:c r="E170" s="27" t="str"/>
      <x:c r="F170" s="27" t="str"/>
      <x:c r="G170" s="27" t="str"/>
      <x:c r="H170" s="27" t="str"/>
      <x:c r="I170" s="27" t="str"/>
      <x:c r="J170" s="27" t="str"/>
      <x:c r="K170" s="27" t="str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</x:row>
    <x:row r="171">
      <x:c r="A171" s="27" t="str"/>
      <x:c r="B171" s="27" t="str"/>
      <x:c r="C171" s="27" t="str"/>
      <x:c r="D171" s="27" t="str"/>
      <x:c r="E171" s="27" t="str"/>
      <x:c r="F171" s="27" t="str"/>
      <x:c r="G171" s="27" t="str"/>
      <x:c r="H171" s="27" t="str"/>
      <x:c r="I171" s="27" t="str"/>
      <x:c r="J171" s="27" t="str"/>
      <x:c r="K171" s="27" t="str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</x:row>
    <x:row r="172">
      <x:c r="A172" s="27" t="str"/>
      <x:c r="B172" s="27" t="str"/>
      <x:c r="C172" s="27" t="str"/>
      <x:c r="D172" s="27" t="str"/>
      <x:c r="E172" s="27" t="str"/>
      <x:c r="F172" s="27" t="str"/>
      <x:c r="G172" s="27" t="str"/>
      <x:c r="H172" s="27" t="str"/>
      <x:c r="I172" s="27" t="str"/>
      <x:c r="J172" s="27" t="str"/>
      <x:c r="K172" s="27" t="str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</x:row>
    <x:row r="173">
      <x:c r="A173" s="27" t="str"/>
      <x:c r="B173" s="27" t="str"/>
      <x:c r="C173" s="27" t="str"/>
      <x:c r="D173" s="27" t="str"/>
      <x:c r="E173" s="27" t="str"/>
      <x:c r="F173" s="27" t="str"/>
      <x:c r="G173" s="27" t="str"/>
      <x:c r="H173" s="27" t="str"/>
      <x:c r="I173" s="27" t="str"/>
      <x:c r="J173" s="27" t="str"/>
      <x:c r="K173" s="27" t="str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</x:row>
    <x:row r="174">
      <x:c r="A174" s="27" t="str"/>
      <x:c r="B174" s="27" t="str"/>
      <x:c r="C174" s="27" t="str"/>
      <x:c r="D174" s="27" t="str"/>
      <x:c r="E174" s="27" t="str"/>
      <x:c r="F174" s="27" t="str"/>
      <x:c r="G174" s="27" t="str"/>
      <x:c r="H174" s="27" t="str"/>
      <x:c r="I174" s="27" t="str"/>
      <x:c r="J174" s="27" t="str"/>
      <x:c r="K174" s="27" t="str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</x:row>
    <x:row r="175">
      <x:c r="A175" s="27" t="str"/>
      <x:c r="B175" s="27" t="str"/>
      <x:c r="C175" s="27" t="str"/>
      <x:c r="D175" s="27" t="str"/>
      <x:c r="E175" s="27" t="str"/>
      <x:c r="F175" s="27" t="str"/>
      <x:c r="G175" s="27" t="str"/>
      <x:c r="H175" s="27" t="str"/>
      <x:c r="I175" s="27" t="str"/>
      <x:c r="J175" s="27" t="str"/>
      <x:c r="K175" s="27" t="str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</x:row>
    <x:row r="176">
      <x:c r="A176" s="27" t="str"/>
      <x:c r="B176" s="27" t="str"/>
      <x:c r="C176" s="27" t="str"/>
      <x:c r="D176" s="27" t="str"/>
      <x:c r="E176" s="27" t="str"/>
      <x:c r="F176" s="27" t="str"/>
      <x:c r="G176" s="27" t="str"/>
      <x:c r="H176" s="27" t="str"/>
      <x:c r="I176" s="27" t="str"/>
      <x:c r="J176" s="27" t="str"/>
      <x:c r="K176" s="27" t="str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</x:row>
    <x:row r="177">
      <x:c r="A177" s="27" t="str"/>
      <x:c r="B177" s="27" t="str"/>
      <x:c r="C177" s="27" t="str"/>
      <x:c r="D177" s="27" t="str"/>
      <x:c r="E177" s="27" t="str"/>
      <x:c r="F177" s="27" t="str"/>
      <x:c r="G177" s="27" t="str"/>
      <x:c r="H177" s="27" t="str"/>
      <x:c r="I177" s="27" t="str"/>
      <x:c r="J177" s="27" t="str"/>
      <x:c r="K177" s="27" t="str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</x:row>
    <x:row r="178">
      <x:c r="A178" s="27" t="str"/>
      <x:c r="B178" s="27" t="str"/>
      <x:c r="C178" s="27" t="str"/>
      <x:c r="D178" s="27" t="str"/>
      <x:c r="E178" s="27" t="str"/>
      <x:c r="F178" s="27" t="str"/>
      <x:c r="G178" s="27" t="str"/>
      <x:c r="H178" s="27" t="str"/>
      <x:c r="I178" s="27" t="str"/>
      <x:c r="J178" s="27" t="str"/>
      <x:c r="K178" s="27" t="str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</x:row>
    <x:row r="179">
      <x:c r="A179" s="27" t="str"/>
      <x:c r="B179" s="27" t="str"/>
      <x:c r="C179" s="27" t="str"/>
      <x:c r="D179" s="27" t="str"/>
      <x:c r="E179" s="27" t="str"/>
      <x:c r="F179" s="27" t="str"/>
      <x:c r="G179" s="27" t="str"/>
      <x:c r="H179" s="27" t="str"/>
      <x:c r="I179" s="27" t="str"/>
      <x:c r="J179" s="27" t="str"/>
      <x:c r="K179" s="27" t="str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</x:row>
    <x:row r="180">
      <x:c r="A180" s="27" t="str"/>
      <x:c r="B180" s="27" t="str"/>
      <x:c r="C180" s="27" t="str"/>
      <x:c r="D180" s="27" t="str"/>
      <x:c r="E180" s="27" t="str"/>
      <x:c r="F180" s="27" t="str"/>
      <x:c r="G180" s="27" t="str"/>
      <x:c r="H180" s="27" t="str"/>
      <x:c r="I180" s="27" t="str"/>
      <x:c r="J180" s="27" t="str"/>
      <x:c r="K180" s="27" t="str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</x:row>
    <x:row r="181">
      <x:c r="A181" s="27" t="str"/>
      <x:c r="B181" s="27" t="str"/>
      <x:c r="C181" s="27" t="str"/>
      <x:c r="D181" s="27" t="str"/>
      <x:c r="E181" s="27" t="str"/>
      <x:c r="F181" s="27" t="str"/>
      <x:c r="G181" s="27" t="str"/>
      <x:c r="H181" s="27" t="str"/>
      <x:c r="I181" s="27" t="str"/>
      <x:c r="J181" s="27" t="str"/>
      <x:c r="K181" s="27" t="str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</x:row>
    <x:row r="182">
      <x:c r="A182" s="27" t="str"/>
      <x:c r="B182" s="27" t="str"/>
      <x:c r="C182" s="27" t="str"/>
      <x:c r="D182" s="27" t="str"/>
      <x:c r="E182" s="27" t="str"/>
      <x:c r="F182" s="27" t="str"/>
      <x:c r="G182" s="27" t="str"/>
      <x:c r="H182" s="27" t="str"/>
      <x:c r="I182" s="27" t="str"/>
      <x:c r="J182" s="27" t="str"/>
      <x:c r="K182" s="27" t="str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</x:row>
    <x:row r="183">
      <x:c r="A183" s="27" t="str"/>
      <x:c r="B183" s="27" t="str"/>
      <x:c r="C183" s="27" t="str"/>
      <x:c r="D183" s="27" t="str"/>
      <x:c r="E183" s="27" t="str"/>
      <x:c r="F183" s="27" t="str"/>
      <x:c r="G183" s="27" t="str"/>
      <x:c r="H183" s="27" t="str"/>
      <x:c r="I183" s="27" t="str"/>
      <x:c r="J183" s="27" t="str"/>
      <x:c r="K183" s="27" t="str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</x:row>
    <x:row r="184">
      <x:c r="A184" s="27" t="str"/>
      <x:c r="B184" s="27" t="str"/>
      <x:c r="C184" s="27" t="str"/>
      <x:c r="D184" s="27" t="str"/>
      <x:c r="E184" s="27" t="str"/>
      <x:c r="F184" s="27" t="str"/>
      <x:c r="G184" s="27" t="str"/>
      <x:c r="H184" s="27" t="str"/>
      <x:c r="I184" s="27" t="str"/>
      <x:c r="J184" s="27" t="str"/>
      <x:c r="K184" s="27" t="str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</x:row>
    <x:row r="185">
      <x:c r="A185" s="27" t="str"/>
      <x:c r="B185" s="27" t="str"/>
      <x:c r="C185" s="27" t="str"/>
      <x:c r="D185" s="27" t="str"/>
      <x:c r="E185" s="27" t="str"/>
      <x:c r="F185" s="27" t="str"/>
      <x:c r="G185" s="27" t="str"/>
      <x:c r="H185" s="27" t="str"/>
      <x:c r="I185" s="27" t="str"/>
      <x:c r="J185" s="27" t="str"/>
      <x:c r="K185" s="27" t="str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</x:row>
    <x:row r="186">
      <x:c r="A186" s="27" t="str"/>
      <x:c r="B186" s="27" t="str"/>
      <x:c r="C186" s="27" t="str"/>
      <x:c r="D186" s="27" t="str"/>
      <x:c r="E186" s="27" t="str"/>
      <x:c r="F186" s="27" t="str"/>
      <x:c r="G186" s="27" t="str"/>
      <x:c r="H186" s="27" t="str"/>
      <x:c r="I186" s="27" t="str"/>
      <x:c r="J186" s="27" t="str"/>
      <x:c r="K186" s="27" t="str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</x:row>
    <x:row r="187">
      <x:c r="A187" s="27" t="str"/>
      <x:c r="B187" s="27" t="str"/>
      <x:c r="C187" s="27" t="str"/>
      <x:c r="D187" s="27" t="str"/>
      <x:c r="E187" s="27" t="str"/>
      <x:c r="F187" s="27" t="str"/>
      <x:c r="G187" s="27" t="str"/>
      <x:c r="H187" s="27" t="str"/>
      <x:c r="I187" s="27" t="str"/>
      <x:c r="J187" s="27" t="str"/>
      <x:c r="K187" s="27" t="str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</x:row>
    <x:row r="188">
      <x:c r="A188" s="27" t="str"/>
      <x:c r="B188" s="27" t="str"/>
      <x:c r="C188" s="27" t="str"/>
      <x:c r="D188" s="27" t="str"/>
      <x:c r="E188" s="27" t="str"/>
      <x:c r="F188" s="27" t="str"/>
      <x:c r="G188" s="27" t="str"/>
      <x:c r="H188" s="27" t="str"/>
      <x:c r="I188" s="27" t="str"/>
      <x:c r="J188" s="27" t="str"/>
      <x:c r="K188" s="27" t="str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</x:row>
    <x:row r="189">
      <x:c r="A189" s="27" t="str"/>
      <x:c r="B189" s="27" t="str"/>
      <x:c r="C189" s="27" t="str"/>
      <x:c r="D189" s="27" t="str"/>
      <x:c r="E189" s="27" t="str"/>
      <x:c r="F189" s="27" t="str"/>
      <x:c r="G189" s="27" t="str"/>
      <x:c r="H189" s="27" t="str"/>
      <x:c r="I189" s="27" t="str"/>
      <x:c r="J189" s="27" t="str"/>
      <x:c r="K189" s="27" t="str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</x:row>
    <x:row r="190">
      <x:c r="A190" s="27" t="str"/>
      <x:c r="B190" s="27" t="str"/>
      <x:c r="C190" s="27" t="str"/>
      <x:c r="D190" s="27" t="str"/>
      <x:c r="E190" s="27" t="str"/>
      <x:c r="F190" s="27" t="str"/>
      <x:c r="G190" s="27" t="str"/>
      <x:c r="H190" s="27" t="str"/>
      <x:c r="I190" s="27" t="str"/>
      <x:c r="J190" s="27" t="str"/>
      <x:c r="K190" s="27" t="str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</x:row>
    <x:row r="191">
      <x:c r="A191" s="27" t="str"/>
      <x:c r="B191" s="27" t="str"/>
      <x:c r="C191" s="27" t="str"/>
      <x:c r="D191" s="27" t="str"/>
      <x:c r="E191" s="27" t="str"/>
      <x:c r="F191" s="27" t="str"/>
      <x:c r="G191" s="27" t="str"/>
      <x:c r="H191" s="27" t="str"/>
      <x:c r="I191" s="27" t="str"/>
      <x:c r="J191" s="27" t="str"/>
      <x:c r="K191" s="27" t="str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</x:row>
    <x:row r="192">
      <x:c r="A192" s="27" t="str"/>
      <x:c r="B192" s="27" t="str"/>
      <x:c r="C192" s="27" t="str"/>
      <x:c r="D192" s="27" t="str"/>
      <x:c r="E192" s="27" t="str"/>
      <x:c r="F192" s="27" t="str"/>
      <x:c r="G192" s="27" t="str"/>
      <x:c r="H192" s="27" t="str"/>
      <x:c r="I192" s="27" t="str"/>
      <x:c r="J192" s="27" t="str"/>
      <x:c r="K192" s="27" t="str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</x:row>
    <x:row r="193">
      <x:c r="A193" s="27" t="str"/>
      <x:c r="B193" s="27" t="str"/>
      <x:c r="C193" s="27" t="str"/>
      <x:c r="D193" s="27" t="str"/>
      <x:c r="E193" s="27" t="str"/>
      <x:c r="F193" s="27" t="str"/>
      <x:c r="G193" s="27" t="str"/>
      <x:c r="H193" s="27" t="str"/>
      <x:c r="I193" s="27" t="str"/>
      <x:c r="J193" s="27" t="str"/>
      <x:c r="K193" s="27" t="str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</x:row>
    <x:row r="194">
      <x:c r="A194" s="27" t="str"/>
      <x:c r="B194" s="27" t="str"/>
      <x:c r="C194" s="27" t="str"/>
      <x:c r="D194" s="27" t="str"/>
      <x:c r="E194" s="27" t="str"/>
      <x:c r="F194" s="27" t="str"/>
      <x:c r="G194" s="27" t="str"/>
      <x:c r="H194" s="27" t="str"/>
      <x:c r="I194" s="27" t="str"/>
      <x:c r="J194" s="27" t="str"/>
      <x:c r="K194" s="27" t="str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</x:row>
    <x:row r="195">
      <x:c r="A195" s="27" t="str"/>
      <x:c r="B195" s="27" t="str"/>
      <x:c r="C195" s="27" t="str"/>
      <x:c r="D195" s="27" t="str"/>
      <x:c r="E195" s="27" t="str"/>
      <x:c r="F195" s="27" t="str"/>
      <x:c r="G195" s="27" t="str"/>
      <x:c r="H195" s="27" t="str"/>
      <x:c r="I195" s="27" t="str"/>
      <x:c r="J195" s="27" t="str"/>
      <x:c r="K195" s="27" t="str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</x:row>
    <x:row r="196">
      <x:c r="A196" s="27" t="str"/>
      <x:c r="B196" s="27" t="str"/>
      <x:c r="C196" s="27" t="str"/>
      <x:c r="D196" s="27" t="str"/>
      <x:c r="E196" s="27" t="str"/>
      <x:c r="F196" s="27" t="str"/>
      <x:c r="G196" s="27" t="str"/>
      <x:c r="H196" s="27" t="str"/>
      <x:c r="I196" s="27" t="str"/>
      <x:c r="J196" s="27" t="str"/>
      <x:c r="K196" s="27" t="str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</x:row>
    <x:row r="197">
      <x:c r="A197" s="27" t="str"/>
      <x:c r="B197" s="27" t="str"/>
      <x:c r="C197" s="27" t="str"/>
      <x:c r="D197" s="27" t="str"/>
      <x:c r="E197" s="27" t="str"/>
      <x:c r="F197" s="27" t="str"/>
      <x:c r="G197" s="27" t="str"/>
      <x:c r="H197" s="27" t="str"/>
      <x:c r="I197" s="27" t="str"/>
      <x:c r="J197" s="27" t="str"/>
      <x:c r="K197" s="27" t="str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</x:row>
    <x:row r="198">
      <x:c r="A198" s="27" t="str"/>
      <x:c r="B198" s="27" t="str"/>
      <x:c r="C198" s="27" t="str"/>
      <x:c r="D198" s="27" t="str"/>
      <x:c r="E198" s="27" t="str"/>
      <x:c r="F198" s="27" t="str"/>
      <x:c r="G198" s="27" t="str"/>
      <x:c r="H198" s="27" t="str"/>
      <x:c r="I198" s="27" t="str"/>
      <x:c r="J198" s="27" t="str"/>
      <x:c r="K198" s="27" t="str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</x:row>
    <x:row r="199">
      <x:c r="A199" s="27" t="str"/>
      <x:c r="B199" s="27" t="str"/>
      <x:c r="C199" s="27" t="str"/>
      <x:c r="D199" s="27" t="str"/>
      <x:c r="E199" s="27" t="str"/>
      <x:c r="F199" s="27" t="str"/>
      <x:c r="G199" s="27" t="str"/>
      <x:c r="H199" s="27" t="str"/>
      <x:c r="I199" s="27" t="str"/>
      <x:c r="J199" s="27" t="str"/>
      <x:c r="K199" s="27" t="str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</x:row>
    <x:row r="200">
      <x:c r="A200" s="27" t="str"/>
      <x:c r="B200" s="27" t="str"/>
      <x:c r="C200" s="27" t="str"/>
      <x:c r="D200" s="27" t="str"/>
      <x:c r="E200" s="27" t="str"/>
      <x:c r="F200" s="27" t="str"/>
      <x:c r="G200" s="27" t="str"/>
      <x:c r="H200" s="27" t="str"/>
      <x:c r="I200" s="27" t="str"/>
      <x:c r="J200" s="27" t="str"/>
      <x:c r="K200" s="27" t="str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</x:row>
    <x:row r="201">
      <x:c r="A201" s="27" t="str"/>
      <x:c r="B201" s="27" t="str"/>
      <x:c r="C201" s="27" t="str"/>
      <x:c r="D201" s="27" t="str"/>
      <x:c r="E201" s="27" t="str"/>
      <x:c r="F201" s="27" t="str"/>
      <x:c r="G201" s="27" t="str"/>
      <x:c r="H201" s="27" t="str"/>
      <x:c r="I201" s="27" t="str"/>
      <x:c r="J201" s="27" t="str"/>
      <x:c r="K201" s="27" t="str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</x:row>
    <x:row r="202">
      <x:c r="A202" s="27" t="str"/>
      <x:c r="B202" s="27" t="str"/>
      <x:c r="C202" s="27" t="str"/>
      <x:c r="D202" s="27" t="str"/>
      <x:c r="E202" s="27" t="str"/>
      <x:c r="F202" s="27" t="str"/>
      <x:c r="G202" s="27" t="str"/>
      <x:c r="H202" s="27" t="str"/>
      <x:c r="I202" s="27" t="str"/>
      <x:c r="J202" s="27" t="str"/>
      <x:c r="K202" s="27" t="str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</x:row>
    <x:row r="203">
      <x:c r="A203" s="27" t="str"/>
      <x:c r="B203" s="27" t="str"/>
      <x:c r="C203" s="27" t="str"/>
      <x:c r="D203" s="27" t="str"/>
      <x:c r="E203" s="27" t="str"/>
      <x:c r="F203" s="27" t="str"/>
      <x:c r="G203" s="27" t="str"/>
      <x:c r="H203" s="27" t="str"/>
      <x:c r="I203" s="27" t="str"/>
      <x:c r="J203" s="27" t="str"/>
      <x:c r="K203" s="27" t="str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</x:row>
    <x:row r="204">
      <x:c r="A204" s="27" t="str"/>
      <x:c r="B204" s="27" t="str"/>
      <x:c r="C204" s="27" t="str"/>
      <x:c r="D204" s="27" t="str"/>
      <x:c r="E204" s="27" t="str"/>
      <x:c r="F204" s="27" t="str"/>
      <x:c r="G204" s="27" t="str"/>
      <x:c r="H204" s="27" t="str"/>
      <x:c r="I204" s="27" t="str"/>
      <x:c r="J204" s="27" t="str"/>
      <x:c r="K204" s="27" t="str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</x:row>
  </x:sheetData>
  <x:mergeCells>
    <x:mergeCell ref="A1:K1"/>
    <x:mergeCell ref="A2:K2"/>
  </x:mergeCells>
  <x:dataValidations count="3">
    <x:dataValidation type="list" sqref="B5:B204">
      <x:formula1>"Анализ проблем,Анализ отзывов,Анализ конкурентов,Анализ цифрового товара,Ценностное предложение,Бизнес-модель Канвас,Бизнес-логика,Пользовательский сценарий"</x:formula1>
    </x:dataValidation>
    <x:dataValidation type="list" sqref="F5:F204">
      <x:formula1>"1,2,3,4,5"</x:formula1>
    </x:dataValidation>
    <x:dataValidation type="list" sqref="G5:G204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f9124fb68c4d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4" hidden="0" customWidth="1"/>
    <x:col min="4" max="4" width="38" hidden="0" customWidth="1"/>
    <x:col min="5" max="5" width="34" hidden="0" customWidth="1"/>
    <x:col min="6" max="6" width="18" hidden="0" customWidth="1"/>
    <x:col min="7" max="7" width="20" hidden="0" customWidth="1"/>
    <x:col min="8" max="8" width="14" hidden="0" customWidth="1"/>
    <x:col min="9" max="9" width="22" hidden="0" customWidth="1"/>
    <x:col min="10" max="10" width="34" hidden="0" customWidth="1"/>
  </x:cols>
  <x:sheetData>
    <x:row r="1" ht="32" customHeight="1">
      <x:c r="A1" s="60" t="str">
        <x:v>Роли и пользовательские сегменты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</x:row>
    <x:row r="2" ht="32" customHeight="1">
      <x:c r="A2" s="9" t="str">
        <x:v>Роли используются как связующее звено между бизнес-логикой, сценариями, страницами и экранами.</x:v>
      </x:c>
      <x:c r="B2" s="9"/>
      <x:c r="C2" s="9"/>
      <x:c r="D2" s="9"/>
      <x:c r="E2" s="9"/>
      <x:c r="F2" s="9"/>
      <x:c r="G2" s="9"/>
      <x:c r="H2" s="9"/>
      <x:c r="I2" s="9"/>
      <x:c r="J2" s="9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 ht="38" customHeight="1">
      <x:c r="A4" s="50" t="str">
        <x:v>Роль_ID</x:v>
      </x:c>
      <x:c r="B4" s="50" t="str">
        <x:v>Роль / сегмент</x:v>
      </x:c>
      <x:c r="C4" s="50" t="str">
        <x:v>Цель роли</x:v>
      </x:c>
      <x:c r="D4" s="50" t="str">
        <x:v>Основная проблема</x:v>
      </x:c>
      <x:c r="E4" s="50" t="str">
        <x:v>Ожидаемая ценность</x:v>
      </x:c>
      <x:c r="F4" s="50" t="str">
        <x:v>Цифровая зрелость</x:v>
      </x:c>
      <x:c r="G4" s="50" t="str">
        <x:v>Частота использования</x:v>
      </x:c>
      <x:c r="H4" s="50" t="str">
        <x:v>Критичность задачи 1–5</x:v>
      </x:c>
      <x:c r="I4" s="50" t="str">
        <x:v>Канал входа</x:v>
      </x:c>
      <x:c r="J4" s="50" t="str">
        <x:v>Примечание</x:v>
      </x:c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</x:row>
    <x:row r="5">
      <x:c r="A5" s="27" t="str">
        <x:v>ROLE-001</x:v>
      </x:c>
      <x:c r="B5" s="27" t="str">
        <x:v>Потенциальный клиент</x:v>
      </x:c>
      <x:c r="C5" s="27" t="str">
        <x:v>Понять, подходит ли цифровой товар</x:v>
      </x:c>
      <x:c r="D5" s="27" t="str">
        <x:v>Недостаточно ясна ценность и отличие от конкурентов</x:v>
      </x:c>
      <x:c r="E5" s="27" t="str">
        <x:v>Быстро понять пользу и условия</x:v>
      </x:c>
      <x:c r="F5" s="27" t="str">
        <x:v>Средняя</x:v>
      </x:c>
      <x:c r="G5" s="27" t="str">
        <x:v>Разово/периодически</x:v>
      </x:c>
      <x:c r="H5" s="27" t="n">
        <x:v>5</x:v>
      </x:c>
      <x:c r="I5" s="27" t="str">
        <x:v>Поиск</x:v>
      </x:c>
      <x:c r="J5" s="27" t="str">
        <x:v>Используется для публичных страниц</x:v>
      </x:c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</x:row>
    <x:row r="6">
      <x:c r="A6" s="27" t="str">
        <x:v>ROLE-002</x:v>
      </x:c>
      <x:c r="B6" s="27" t="str">
        <x:v>Новый пользователь</x:v>
      </x:c>
      <x:c r="C6" s="27" t="str">
        <x:v>Начать пользоваться товаром без лишних действий</x:v>
      </x:c>
      <x:c r="D6" s="27" t="str">
        <x:v>Сложная регистрация и настройка</x:v>
      </x:c>
      <x:c r="E6" s="27" t="str">
        <x:v>Быстрый первый результат</x:v>
      </x:c>
      <x:c r="F6" s="27" t="str">
        <x:v>Средняя</x:v>
      </x:c>
      <x:c r="G6" s="27" t="str">
        <x:v>Первый вход</x:v>
      </x:c>
      <x:c r="H6" s="27" t="n">
        <x:v>4</x:v>
      </x:c>
      <x:c r="I6" s="27" t="str">
        <x:v>Реклама</x:v>
      </x:c>
      <x:c r="J6" s="27" t="str">
        <x:v>Используется для онбординга</x:v>
      </x:c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 t="str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 t="str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 t="str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</x:row>
    <x:row r="44">
      <x:c r="A44" s="27" t="str"/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/>
      <x:c r="J44" s="27" t="str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</x:row>
    <x:row r="45">
      <x:c r="A45" s="27" t="str"/>
      <x:c r="B45" s="27" t="str"/>
      <x:c r="C45" s="27" t="str"/>
      <x:c r="D45" s="27" t="str"/>
      <x:c r="E45" s="27" t="str"/>
      <x:c r="F45" s="27" t="str"/>
      <x:c r="G45" s="27" t="str"/>
      <x:c r="H45" s="27" t="str"/>
      <x:c r="I45" s="27" t="str"/>
      <x:c r="J45" s="27" t="str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</x:row>
    <x:row r="46">
      <x:c r="A46" s="27" t="str"/>
      <x:c r="B46" s="27" t="str"/>
      <x:c r="C46" s="27" t="str"/>
      <x:c r="D46" s="27" t="str"/>
      <x:c r="E46" s="27" t="str"/>
      <x:c r="F46" s="27" t="str"/>
      <x:c r="G46" s="27" t="str"/>
      <x:c r="H46" s="27" t="str"/>
      <x:c r="I46" s="27" t="str"/>
      <x:c r="J46" s="27" t="str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</x:row>
    <x:row r="47">
      <x:c r="A47" s="27" t="str"/>
      <x:c r="B47" s="27" t="str"/>
      <x:c r="C47" s="27" t="str"/>
      <x:c r="D47" s="27" t="str"/>
      <x:c r="E47" s="27" t="str"/>
      <x:c r="F47" s="27" t="str"/>
      <x:c r="G47" s="27" t="str"/>
      <x:c r="H47" s="27" t="str"/>
      <x:c r="I47" s="27" t="str"/>
      <x:c r="J47" s="27" t="str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</x:row>
    <x:row r="48">
      <x:c r="A48" s="27" t="str"/>
      <x:c r="B48" s="27" t="str"/>
      <x:c r="C48" s="27" t="str"/>
      <x:c r="D48" s="27" t="str"/>
      <x:c r="E48" s="27" t="str"/>
      <x:c r="F48" s="27" t="str"/>
      <x:c r="G48" s="27" t="str"/>
      <x:c r="H48" s="27" t="str"/>
      <x:c r="I48" s="27" t="str"/>
      <x:c r="J48" s="27" t="str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</x:row>
    <x:row r="49">
      <x:c r="A49" s="27" t="str"/>
      <x:c r="B49" s="27" t="str"/>
      <x:c r="C49" s="27" t="str"/>
      <x:c r="D49" s="27" t="str"/>
      <x:c r="E49" s="27" t="str"/>
      <x:c r="F49" s="27" t="str"/>
      <x:c r="G49" s="27" t="str"/>
      <x:c r="H49" s="27" t="str"/>
      <x:c r="I49" s="27" t="str"/>
      <x:c r="J49" s="27" t="str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</x:row>
    <x:row r="50">
      <x:c r="A50" s="27" t="str"/>
      <x:c r="B50" s="27" t="str"/>
      <x:c r="C50" s="27" t="str"/>
      <x:c r="D50" s="27" t="str"/>
      <x:c r="E50" s="27" t="str"/>
      <x:c r="F50" s="27" t="str"/>
      <x:c r="G50" s="27" t="str"/>
      <x:c r="H50" s="27" t="str"/>
      <x:c r="I50" s="27" t="str"/>
      <x:c r="J50" s="27" t="str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</x:row>
    <x:row r="51">
      <x:c r="A51" s="27" t="str"/>
      <x:c r="B51" s="27" t="str"/>
      <x:c r="C51" s="27" t="str"/>
      <x:c r="D51" s="27" t="str"/>
      <x:c r="E51" s="27" t="str"/>
      <x:c r="F51" s="27" t="str"/>
      <x:c r="G51" s="27" t="str"/>
      <x:c r="H51" s="27" t="str"/>
      <x:c r="I51" s="27" t="str"/>
      <x:c r="J51" s="27" t="str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</x:row>
    <x:row r="52">
      <x:c r="A52" s="27" t="str"/>
      <x:c r="B52" s="27" t="str"/>
      <x:c r="C52" s="27" t="str"/>
      <x:c r="D52" s="27" t="str"/>
      <x:c r="E52" s="27" t="str"/>
      <x:c r="F52" s="27" t="str"/>
      <x:c r="G52" s="27" t="str"/>
      <x:c r="H52" s="27" t="str"/>
      <x:c r="I52" s="27" t="str"/>
      <x:c r="J52" s="27" t="str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</x:row>
    <x:row r="53">
      <x:c r="A53" s="27" t="str"/>
      <x:c r="B53" s="27" t="str"/>
      <x:c r="C53" s="27" t="str"/>
      <x:c r="D53" s="27" t="str"/>
      <x:c r="E53" s="27" t="str"/>
      <x:c r="F53" s="27" t="str"/>
      <x:c r="G53" s="27" t="str"/>
      <x:c r="H53" s="27" t="str"/>
      <x:c r="I53" s="27" t="str"/>
      <x:c r="J53" s="27" t="str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</x:row>
    <x:row r="54">
      <x:c r="A54" s="27" t="str"/>
      <x:c r="B54" s="27" t="str"/>
      <x:c r="C54" s="27" t="str"/>
      <x:c r="D54" s="27" t="str"/>
      <x:c r="E54" s="27" t="str"/>
      <x:c r="F54" s="27" t="str"/>
      <x:c r="G54" s="27" t="str"/>
      <x:c r="H54" s="27" t="str"/>
      <x:c r="I54" s="27" t="str"/>
      <x:c r="J54" s="27" t="str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</x:row>
    <x:row r="55">
      <x:c r="A55" s="27" t="str"/>
      <x:c r="B55" s="27" t="str"/>
      <x:c r="C55" s="27" t="str"/>
      <x:c r="D55" s="27" t="str"/>
      <x:c r="E55" s="27" t="str"/>
      <x:c r="F55" s="27" t="str"/>
      <x:c r="G55" s="27" t="str"/>
      <x:c r="H55" s="27" t="str"/>
      <x:c r="I55" s="27" t="str"/>
      <x:c r="J55" s="27" t="str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</x:row>
    <x:row r="56">
      <x:c r="A56" s="27" t="str"/>
      <x:c r="B56" s="27" t="str"/>
      <x:c r="C56" s="27" t="str"/>
      <x:c r="D56" s="27" t="str"/>
      <x:c r="E56" s="27" t="str"/>
      <x:c r="F56" s="27" t="str"/>
      <x:c r="G56" s="27" t="str"/>
      <x:c r="H56" s="27" t="str"/>
      <x:c r="I56" s="27" t="str"/>
      <x:c r="J56" s="27" t="str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</x:row>
    <x:row r="57">
      <x:c r="A57" s="27" t="str"/>
      <x:c r="B57" s="27" t="str"/>
      <x:c r="C57" s="27" t="str"/>
      <x:c r="D57" s="27" t="str"/>
      <x:c r="E57" s="27" t="str"/>
      <x:c r="F57" s="27" t="str"/>
      <x:c r="G57" s="27" t="str"/>
      <x:c r="H57" s="27" t="str"/>
      <x:c r="I57" s="27" t="str"/>
      <x:c r="J57" s="27" t="str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</x:row>
    <x:row r="58">
      <x:c r="A58" s="27" t="str"/>
      <x:c r="B58" s="27" t="str"/>
      <x:c r="C58" s="27" t="str"/>
      <x:c r="D58" s="27" t="str"/>
      <x:c r="E58" s="27" t="str"/>
      <x:c r="F58" s="27" t="str"/>
      <x:c r="G58" s="27" t="str"/>
      <x:c r="H58" s="27" t="str"/>
      <x:c r="I58" s="27" t="str"/>
      <x:c r="J58" s="27" t="str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</x:row>
    <x:row r="59">
      <x:c r="A59" s="27" t="str"/>
      <x:c r="B59" s="27" t="str"/>
      <x:c r="C59" s="27" t="str"/>
      <x:c r="D59" s="27" t="str"/>
      <x:c r="E59" s="27" t="str"/>
      <x:c r="F59" s="27" t="str"/>
      <x:c r="G59" s="27" t="str"/>
      <x:c r="H59" s="27" t="str"/>
      <x:c r="I59" s="27" t="str"/>
      <x:c r="J59" s="27" t="str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</x:row>
    <x:row r="60">
      <x:c r="A60" s="27" t="str"/>
      <x:c r="B60" s="27" t="str"/>
      <x:c r="C60" s="27" t="str"/>
      <x:c r="D60" s="27" t="str"/>
      <x:c r="E60" s="27" t="str"/>
      <x:c r="F60" s="27" t="str"/>
      <x:c r="G60" s="27" t="str"/>
      <x:c r="H60" s="27" t="str"/>
      <x:c r="I60" s="27" t="str"/>
      <x:c r="J60" s="27" t="str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</x:row>
    <x:row r="61">
      <x:c r="A61" s="27" t="str"/>
      <x:c r="B61" s="27" t="str"/>
      <x:c r="C61" s="27" t="str"/>
      <x:c r="D61" s="27" t="str"/>
      <x:c r="E61" s="27" t="str"/>
      <x:c r="F61" s="27" t="str"/>
      <x:c r="G61" s="27" t="str"/>
      <x:c r="H61" s="27" t="str"/>
      <x:c r="I61" s="27" t="str"/>
      <x:c r="J61" s="27" t="str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</x:row>
    <x:row r="62">
      <x:c r="A62" s="27" t="str"/>
      <x:c r="B62" s="27" t="str"/>
      <x:c r="C62" s="27" t="str"/>
      <x:c r="D62" s="27" t="str"/>
      <x:c r="E62" s="27" t="str"/>
      <x:c r="F62" s="27" t="str"/>
      <x:c r="G62" s="27" t="str"/>
      <x:c r="H62" s="27" t="str"/>
      <x:c r="I62" s="27" t="str"/>
      <x:c r="J62" s="27" t="str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</x:row>
    <x:row r="63">
      <x:c r="A63" s="27" t="str"/>
      <x:c r="B63" s="27" t="str"/>
      <x:c r="C63" s="27" t="str"/>
      <x:c r="D63" s="27" t="str"/>
      <x:c r="E63" s="27" t="str"/>
      <x:c r="F63" s="27" t="str"/>
      <x:c r="G63" s="27" t="str"/>
      <x:c r="H63" s="27" t="str"/>
      <x:c r="I63" s="27" t="str"/>
      <x:c r="J63" s="27" t="str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</x:row>
    <x:row r="64">
      <x:c r="A64" s="27" t="str"/>
      <x:c r="B64" s="27" t="str"/>
      <x:c r="C64" s="27" t="str"/>
      <x:c r="D64" s="27" t="str"/>
      <x:c r="E64" s="27" t="str"/>
      <x:c r="F64" s="27" t="str"/>
      <x:c r="G64" s="27" t="str"/>
      <x:c r="H64" s="27" t="str"/>
      <x:c r="I64" s="27" t="str"/>
      <x:c r="J64" s="27" t="str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</x:row>
    <x:row r="65">
      <x:c r="A65" s="27" t="str"/>
      <x:c r="B65" s="27" t="str"/>
      <x:c r="C65" s="27" t="str"/>
      <x:c r="D65" s="27" t="str"/>
      <x:c r="E65" s="27" t="str"/>
      <x:c r="F65" s="27" t="str"/>
      <x:c r="G65" s="27" t="str"/>
      <x:c r="H65" s="27" t="str"/>
      <x:c r="I65" s="27" t="str"/>
      <x:c r="J65" s="27" t="str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</x:row>
    <x:row r="66">
      <x:c r="A66" s="27" t="str"/>
      <x:c r="B66" s="27" t="str"/>
      <x:c r="C66" s="27" t="str"/>
      <x:c r="D66" s="27" t="str"/>
      <x:c r="E66" s="27" t="str"/>
      <x:c r="F66" s="27" t="str"/>
      <x:c r="G66" s="27" t="str"/>
      <x:c r="H66" s="27" t="str"/>
      <x:c r="I66" s="27" t="str"/>
      <x:c r="J66" s="27" t="str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</x:row>
    <x:row r="67">
      <x:c r="A67" s="27" t="str"/>
      <x:c r="B67" s="27" t="str"/>
      <x:c r="C67" s="27" t="str"/>
      <x:c r="D67" s="27" t="str"/>
      <x:c r="E67" s="27" t="str"/>
      <x:c r="F67" s="27" t="str"/>
      <x:c r="G67" s="27" t="str"/>
      <x:c r="H67" s="27" t="str"/>
      <x:c r="I67" s="27" t="str"/>
      <x:c r="J67" s="27" t="str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</x:row>
    <x:row r="68">
      <x:c r="A68" s="27" t="str"/>
      <x:c r="B68" s="27" t="str"/>
      <x:c r="C68" s="27" t="str"/>
      <x:c r="D68" s="27" t="str"/>
      <x:c r="E68" s="27" t="str"/>
      <x:c r="F68" s="27" t="str"/>
      <x:c r="G68" s="27" t="str"/>
      <x:c r="H68" s="27" t="str"/>
      <x:c r="I68" s="27" t="str"/>
      <x:c r="J68" s="27" t="str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</x:row>
    <x:row r="69">
      <x:c r="A69" s="27" t="str"/>
      <x:c r="B69" s="27" t="str"/>
      <x:c r="C69" s="27" t="str"/>
      <x:c r="D69" s="27" t="str"/>
      <x:c r="E69" s="27" t="str"/>
      <x:c r="F69" s="27" t="str"/>
      <x:c r="G69" s="27" t="str"/>
      <x:c r="H69" s="27" t="str"/>
      <x:c r="I69" s="27" t="str"/>
      <x:c r="J69" s="27" t="str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</x:row>
    <x:row r="70">
      <x:c r="A70" s="27" t="str"/>
      <x:c r="B70" s="27" t="str"/>
      <x:c r="C70" s="27" t="str"/>
      <x:c r="D70" s="27" t="str"/>
      <x:c r="E70" s="27" t="str"/>
      <x:c r="F70" s="27" t="str"/>
      <x:c r="G70" s="27" t="str"/>
      <x:c r="H70" s="27" t="str"/>
      <x:c r="I70" s="27" t="str"/>
      <x:c r="J70" s="27" t="str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</x:row>
    <x:row r="71">
      <x:c r="A71" s="27" t="str"/>
      <x:c r="B71" s="27" t="str"/>
      <x:c r="C71" s="27" t="str"/>
      <x:c r="D71" s="27" t="str"/>
      <x:c r="E71" s="27" t="str"/>
      <x:c r="F71" s="27" t="str"/>
      <x:c r="G71" s="27" t="str"/>
      <x:c r="H71" s="27" t="str"/>
      <x:c r="I71" s="27" t="str"/>
      <x:c r="J71" s="27" t="str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</x:row>
    <x:row r="72">
      <x:c r="A72" s="27" t="str"/>
      <x:c r="B72" s="27" t="str"/>
      <x:c r="C72" s="27" t="str"/>
      <x:c r="D72" s="27" t="str"/>
      <x:c r="E72" s="27" t="str"/>
      <x:c r="F72" s="27" t="str"/>
      <x:c r="G72" s="27" t="str"/>
      <x:c r="H72" s="27" t="str"/>
      <x:c r="I72" s="27" t="str"/>
      <x:c r="J72" s="27" t="str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</x:row>
    <x:row r="73">
      <x:c r="A73" s="27" t="str"/>
      <x:c r="B73" s="27" t="str"/>
      <x:c r="C73" s="27" t="str"/>
      <x:c r="D73" s="27" t="str"/>
      <x:c r="E73" s="27" t="str"/>
      <x:c r="F73" s="27" t="str"/>
      <x:c r="G73" s="27" t="str"/>
      <x:c r="H73" s="27" t="str"/>
      <x:c r="I73" s="27" t="str"/>
      <x:c r="J73" s="27" t="str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</x:row>
    <x:row r="74">
      <x:c r="A74" s="27" t="str"/>
      <x:c r="B74" s="27" t="str"/>
      <x:c r="C74" s="27" t="str"/>
      <x:c r="D74" s="27" t="str"/>
      <x:c r="E74" s="27" t="str"/>
      <x:c r="F74" s="27" t="str"/>
      <x:c r="G74" s="27" t="str"/>
      <x:c r="H74" s="27" t="str"/>
      <x:c r="I74" s="27" t="str"/>
      <x:c r="J74" s="27" t="str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</x:row>
    <x:row r="75">
      <x:c r="A75" s="27" t="str"/>
      <x:c r="B75" s="27" t="str"/>
      <x:c r="C75" s="27" t="str"/>
      <x:c r="D75" s="27" t="str"/>
      <x:c r="E75" s="27" t="str"/>
      <x:c r="F75" s="27" t="str"/>
      <x:c r="G75" s="27" t="str"/>
      <x:c r="H75" s="27" t="str"/>
      <x:c r="I75" s="27" t="str"/>
      <x:c r="J75" s="27" t="str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</x:row>
    <x:row r="76">
      <x:c r="A76" s="27" t="str"/>
      <x:c r="B76" s="27" t="str"/>
      <x:c r="C76" s="27" t="str"/>
      <x:c r="D76" s="27" t="str"/>
      <x:c r="E76" s="27" t="str"/>
      <x:c r="F76" s="27" t="str"/>
      <x:c r="G76" s="27" t="str"/>
      <x:c r="H76" s="27" t="str"/>
      <x:c r="I76" s="27" t="str"/>
      <x:c r="J76" s="27" t="str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</x:row>
    <x:row r="77">
      <x:c r="A77" s="27" t="str"/>
      <x:c r="B77" s="27" t="str"/>
      <x:c r="C77" s="27" t="str"/>
      <x:c r="D77" s="27" t="str"/>
      <x:c r="E77" s="27" t="str"/>
      <x:c r="F77" s="27" t="str"/>
      <x:c r="G77" s="27" t="str"/>
      <x:c r="H77" s="27" t="str"/>
      <x:c r="I77" s="27" t="str"/>
      <x:c r="J77" s="27" t="str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</x:row>
    <x:row r="78">
      <x:c r="A78" s="27" t="str"/>
      <x:c r="B78" s="27" t="str"/>
      <x:c r="C78" s="27" t="str"/>
      <x:c r="D78" s="27" t="str"/>
      <x:c r="E78" s="27" t="str"/>
      <x:c r="F78" s="27" t="str"/>
      <x:c r="G78" s="27" t="str"/>
      <x:c r="H78" s="27" t="str"/>
      <x:c r="I78" s="27" t="str"/>
      <x:c r="J78" s="27" t="str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</x:row>
    <x:row r="79">
      <x:c r="A79" s="27" t="str"/>
      <x:c r="B79" s="27" t="str"/>
      <x:c r="C79" s="27" t="str"/>
      <x:c r="D79" s="27" t="str"/>
      <x:c r="E79" s="27" t="str"/>
      <x:c r="F79" s="27" t="str"/>
      <x:c r="G79" s="27" t="str"/>
      <x:c r="H79" s="27" t="str"/>
      <x:c r="I79" s="27" t="str"/>
      <x:c r="J79" s="27" t="str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</x:row>
    <x:row r="80">
      <x:c r="A80" s="27" t="str"/>
      <x:c r="B80" s="27" t="str"/>
      <x:c r="C80" s="27" t="str"/>
      <x:c r="D80" s="27" t="str"/>
      <x:c r="E80" s="27" t="str"/>
      <x:c r="F80" s="27" t="str"/>
      <x:c r="G80" s="27" t="str"/>
      <x:c r="H80" s="27" t="str"/>
      <x:c r="I80" s="27" t="str"/>
      <x:c r="J80" s="27" t="str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</x:row>
    <x:row r="81">
      <x:c r="A81" s="27" t="str"/>
      <x:c r="B81" s="27" t="str"/>
      <x:c r="C81" s="27" t="str"/>
      <x:c r="D81" s="27" t="str"/>
      <x:c r="E81" s="27" t="str"/>
      <x:c r="F81" s="27" t="str"/>
      <x:c r="G81" s="27" t="str"/>
      <x:c r="H81" s="27" t="str"/>
      <x:c r="I81" s="27" t="str"/>
      <x:c r="J81" s="27" t="str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</x:row>
    <x:row r="82">
      <x:c r="A82" s="27" t="str"/>
      <x:c r="B82" s="27" t="str"/>
      <x:c r="C82" s="27" t="str"/>
      <x:c r="D82" s="27" t="str"/>
      <x:c r="E82" s="27" t="str"/>
      <x:c r="F82" s="27" t="str"/>
      <x:c r="G82" s="27" t="str"/>
      <x:c r="H82" s="27" t="str"/>
      <x:c r="I82" s="27" t="str"/>
      <x:c r="J82" s="27" t="str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</x:row>
    <x:row r="83">
      <x:c r="A83" s="27" t="str"/>
      <x:c r="B83" s="27" t="str"/>
      <x:c r="C83" s="27" t="str"/>
      <x:c r="D83" s="27" t="str"/>
      <x:c r="E83" s="27" t="str"/>
      <x:c r="F83" s="27" t="str"/>
      <x:c r="G83" s="27" t="str"/>
      <x:c r="H83" s="27" t="str"/>
      <x:c r="I83" s="27" t="str"/>
      <x:c r="J83" s="27" t="str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</x:row>
    <x:row r="84">
      <x:c r="A84" s="27" t="str"/>
      <x:c r="B84" s="27" t="str"/>
      <x:c r="C84" s="27" t="str"/>
      <x:c r="D84" s="27" t="str"/>
      <x:c r="E84" s="27" t="str"/>
      <x:c r="F84" s="27" t="str"/>
      <x:c r="G84" s="27" t="str"/>
      <x:c r="H84" s="27" t="str"/>
      <x:c r="I84" s="27" t="str"/>
      <x:c r="J84" s="27" t="str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</x:row>
    <x:row r="85">
      <x:c r="A85" s="27" t="str"/>
      <x:c r="B85" s="27" t="str"/>
      <x:c r="C85" s="27" t="str"/>
      <x:c r="D85" s="27" t="str"/>
      <x:c r="E85" s="27" t="str"/>
      <x:c r="F85" s="27" t="str"/>
      <x:c r="G85" s="27" t="str"/>
      <x:c r="H85" s="27" t="str"/>
      <x:c r="I85" s="27" t="str"/>
      <x:c r="J85" s="27" t="str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</x:row>
    <x:row r="86">
      <x:c r="A86" s="27" t="str"/>
      <x:c r="B86" s="27" t="str"/>
      <x:c r="C86" s="27" t="str"/>
      <x:c r="D86" s="27" t="str"/>
      <x:c r="E86" s="27" t="str"/>
      <x:c r="F86" s="27" t="str"/>
      <x:c r="G86" s="27" t="str"/>
      <x:c r="H86" s="27" t="str"/>
      <x:c r="I86" s="27" t="str"/>
      <x:c r="J86" s="27" t="str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</x:row>
    <x:row r="87">
      <x:c r="A87" s="27" t="str"/>
      <x:c r="B87" s="27" t="str"/>
      <x:c r="C87" s="27" t="str"/>
      <x:c r="D87" s="27" t="str"/>
      <x:c r="E87" s="27" t="str"/>
      <x:c r="F87" s="27" t="str"/>
      <x:c r="G87" s="27" t="str"/>
      <x:c r="H87" s="27" t="str"/>
      <x:c r="I87" s="27" t="str"/>
      <x:c r="J87" s="27" t="str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</x:row>
    <x:row r="88">
      <x:c r="A88" s="27" t="str"/>
      <x:c r="B88" s="27" t="str"/>
      <x:c r="C88" s="27" t="str"/>
      <x:c r="D88" s="27" t="str"/>
      <x:c r="E88" s="27" t="str"/>
      <x:c r="F88" s="27" t="str"/>
      <x:c r="G88" s="27" t="str"/>
      <x:c r="H88" s="27" t="str"/>
      <x:c r="I88" s="27" t="str"/>
      <x:c r="J88" s="27" t="str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</x:row>
    <x:row r="89">
      <x:c r="A89" s="27" t="str"/>
      <x:c r="B89" s="27" t="str"/>
      <x:c r="C89" s="27" t="str"/>
      <x:c r="D89" s="27" t="str"/>
      <x:c r="E89" s="27" t="str"/>
      <x:c r="F89" s="27" t="str"/>
      <x:c r="G89" s="27" t="str"/>
      <x:c r="H89" s="27" t="str"/>
      <x:c r="I89" s="27" t="str"/>
      <x:c r="J89" s="27" t="str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</x:row>
    <x:row r="90">
      <x:c r="A90" s="27" t="str"/>
      <x:c r="B90" s="27" t="str"/>
      <x:c r="C90" s="27" t="str"/>
      <x:c r="D90" s="27" t="str"/>
      <x:c r="E90" s="27" t="str"/>
      <x:c r="F90" s="27" t="str"/>
      <x:c r="G90" s="27" t="str"/>
      <x:c r="H90" s="27" t="str"/>
      <x:c r="I90" s="27" t="str"/>
      <x:c r="J90" s="27" t="str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</x:row>
    <x:row r="91">
      <x:c r="A91" s="27" t="str"/>
      <x:c r="B91" s="27" t="str"/>
      <x:c r="C91" s="27" t="str"/>
      <x:c r="D91" s="27" t="str"/>
      <x:c r="E91" s="27" t="str"/>
      <x:c r="F91" s="27" t="str"/>
      <x:c r="G91" s="27" t="str"/>
      <x:c r="H91" s="27" t="str"/>
      <x:c r="I91" s="27" t="str"/>
      <x:c r="J91" s="27" t="str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</x:row>
    <x:row r="92">
      <x:c r="A92" s="27" t="str"/>
      <x:c r="B92" s="27" t="str"/>
      <x:c r="C92" s="27" t="str"/>
      <x:c r="D92" s="27" t="str"/>
      <x:c r="E92" s="27" t="str"/>
      <x:c r="F92" s="27" t="str"/>
      <x:c r="G92" s="27" t="str"/>
      <x:c r="H92" s="27" t="str"/>
      <x:c r="I92" s="27" t="str"/>
      <x:c r="J92" s="27" t="str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</x:row>
    <x:row r="93">
      <x:c r="A93" s="27" t="str"/>
      <x:c r="B93" s="27" t="str"/>
      <x:c r="C93" s="27" t="str"/>
      <x:c r="D93" s="27" t="str"/>
      <x:c r="E93" s="27" t="str"/>
      <x:c r="F93" s="27" t="str"/>
      <x:c r="G93" s="27" t="str"/>
      <x:c r="H93" s="27" t="str"/>
      <x:c r="I93" s="27" t="str"/>
      <x:c r="J93" s="27" t="str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</x:row>
    <x:row r="94">
      <x:c r="A94" s="27" t="str"/>
      <x:c r="B94" s="27" t="str"/>
      <x:c r="C94" s="27" t="str"/>
      <x:c r="D94" s="27" t="str"/>
      <x:c r="E94" s="27" t="str"/>
      <x:c r="F94" s="27" t="str"/>
      <x:c r="G94" s="27" t="str"/>
      <x:c r="H94" s="27" t="str"/>
      <x:c r="I94" s="27" t="str"/>
      <x:c r="J94" s="27" t="str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</x:row>
    <x:row r="95">
      <x:c r="A95" s="27" t="str"/>
      <x:c r="B95" s="27" t="str"/>
      <x:c r="C95" s="27" t="str"/>
      <x:c r="D95" s="27" t="str"/>
      <x:c r="E95" s="27" t="str"/>
      <x:c r="F95" s="27" t="str"/>
      <x:c r="G95" s="27" t="str"/>
      <x:c r="H95" s="27" t="str"/>
      <x:c r="I95" s="27" t="str"/>
      <x:c r="J95" s="27" t="str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</x:row>
    <x:row r="96">
      <x:c r="A96" s="27" t="str"/>
      <x:c r="B96" s="27" t="str"/>
      <x:c r="C96" s="27" t="str"/>
      <x:c r="D96" s="27" t="str"/>
      <x:c r="E96" s="27" t="str"/>
      <x:c r="F96" s="27" t="str"/>
      <x:c r="G96" s="27" t="str"/>
      <x:c r="H96" s="27" t="str"/>
      <x:c r="I96" s="27" t="str"/>
      <x:c r="J96" s="27" t="str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</x:row>
    <x:row r="97">
      <x:c r="A97" s="27" t="str"/>
      <x:c r="B97" s="27" t="str"/>
      <x:c r="C97" s="27" t="str"/>
      <x:c r="D97" s="27" t="str"/>
      <x:c r="E97" s="27" t="str"/>
      <x:c r="F97" s="27" t="str"/>
      <x:c r="G97" s="27" t="str"/>
      <x:c r="H97" s="27" t="str"/>
      <x:c r="I97" s="27" t="str"/>
      <x:c r="J97" s="27" t="str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</x:row>
    <x:row r="98">
      <x:c r="A98" s="27" t="str"/>
      <x:c r="B98" s="27" t="str"/>
      <x:c r="C98" s="27" t="str"/>
      <x:c r="D98" s="27" t="str"/>
      <x:c r="E98" s="27" t="str"/>
      <x:c r="F98" s="27" t="str"/>
      <x:c r="G98" s="27" t="str"/>
      <x:c r="H98" s="27" t="str"/>
      <x:c r="I98" s="27" t="str"/>
      <x:c r="J98" s="27" t="str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</x:row>
    <x:row r="99">
      <x:c r="A99" s="27" t="str"/>
      <x:c r="B99" s="27" t="str"/>
      <x:c r="C99" s="27" t="str"/>
      <x:c r="D99" s="27" t="str"/>
      <x:c r="E99" s="27" t="str"/>
      <x:c r="F99" s="27" t="str"/>
      <x:c r="G99" s="27" t="str"/>
      <x:c r="H99" s="27" t="str"/>
      <x:c r="I99" s="27" t="str"/>
      <x:c r="J99" s="27" t="str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</x:row>
    <x:row r="100">
      <x:c r="A100" s="27" t="str"/>
      <x:c r="B100" s="27" t="str"/>
      <x:c r="C100" s="27" t="str"/>
      <x:c r="D100" s="27" t="str"/>
      <x:c r="E100" s="27" t="str"/>
      <x:c r="F100" s="27" t="str"/>
      <x:c r="G100" s="27" t="str"/>
      <x:c r="H100" s="27" t="str"/>
      <x:c r="I100" s="27" t="str"/>
      <x:c r="J100" s="27" t="str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</x:row>
    <x:row r="101">
      <x:c r="A101" s="27" t="str"/>
      <x:c r="B101" s="27" t="str"/>
      <x:c r="C101" s="27" t="str"/>
      <x:c r="D101" s="27" t="str"/>
      <x:c r="E101" s="27" t="str"/>
      <x:c r="F101" s="27" t="str"/>
      <x:c r="G101" s="27" t="str"/>
      <x:c r="H101" s="27" t="str"/>
      <x:c r="I101" s="27" t="str"/>
      <x:c r="J101" s="27" t="str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</x:row>
    <x:row r="102">
      <x:c r="A102" s="27" t="str"/>
      <x:c r="B102" s="27" t="str"/>
      <x:c r="C102" s="27" t="str"/>
      <x:c r="D102" s="27" t="str"/>
      <x:c r="E102" s="27" t="str"/>
      <x:c r="F102" s="27" t="str"/>
      <x:c r="G102" s="27" t="str"/>
      <x:c r="H102" s="27" t="str"/>
      <x:c r="I102" s="27" t="str"/>
      <x:c r="J102" s="27" t="str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</x:row>
    <x:row r="103">
      <x:c r="A103" s="27" t="str"/>
      <x:c r="B103" s="27" t="str"/>
      <x:c r="C103" s="27" t="str"/>
      <x:c r="D103" s="27" t="str"/>
      <x:c r="E103" s="27" t="str"/>
      <x:c r="F103" s="27" t="str"/>
      <x:c r="G103" s="27" t="str"/>
      <x:c r="H103" s="27" t="str"/>
      <x:c r="I103" s="27" t="str"/>
      <x:c r="J103" s="27" t="str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</x:row>
    <x:row r="104">
      <x:c r="A104" s="27" t="str"/>
      <x:c r="B104" s="27" t="str"/>
      <x:c r="C104" s="27" t="str"/>
      <x:c r="D104" s="27" t="str"/>
      <x:c r="E104" s="27" t="str"/>
      <x:c r="F104" s="27" t="str"/>
      <x:c r="G104" s="27" t="str"/>
      <x:c r="H104" s="27" t="str"/>
      <x:c r="I104" s="27" t="str"/>
      <x:c r="J104" s="27" t="str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</x:row>
  </x:sheetData>
  <x:mergeCells>
    <x:mergeCell ref="A1:J1"/>
    <x:mergeCell ref="A2:J2"/>
  </x:mergeCells>
  <x:dataValidations count="2">
    <x:dataValidation type="list" sqref="H5:H104">
      <x:formula1>"1,2,3,4,5"</x:formula1>
    </x:dataValidation>
    <x:dataValidation type="list" sqref="I5:I104">
      <x:formula1>"Поиск,Реклама,Социальные сети,Рекомендация,Партнерский канал,Прямой вход,Уведомление,Внутренний переход"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b053f777784f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0" hidden="0" customWidth="1"/>
    <x:col min="4" max="4" width="34" hidden="0" customWidth="1"/>
    <x:col min="5" max="5" width="34" hidden="0" customWidth="1"/>
    <x:col min="6" max="6" width="48" hidden="0" customWidth="1"/>
    <x:col min="7" max="7" width="40" hidden="0" customWidth="1"/>
    <x:col min="8" max="8" width="38" hidden="0" customWidth="1"/>
    <x:col min="9" max="9" width="30" hidden="0" customWidth="1"/>
    <x:col min="10" max="10" width="14" hidden="0" customWidth="1"/>
    <x:col min="11" max="11" width="12" hidden="0" customWidth="1"/>
    <x:col min="12" max="12" width="12" hidden="0" customWidth="1"/>
    <x:col min="13" max="13" width="16" hidden="0" customWidth="1"/>
    <x:col min="14" max="14" width="20" hidden="0" customWidth="1"/>
    <x:col min="15" max="15" width="16" hidden="0" customWidth="1"/>
  </x:cols>
  <x:sheetData>
    <x:row r="1" ht="32" customHeight="1">
      <x:c r="A1" s="60" t="str">
        <x:v>Пользовательские сценарии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27"/>
      <x:c r="Q1" s="27"/>
      <x:c r="R1" s="27"/>
      <x:c r="S1" s="27"/>
      <x:c r="T1" s="27"/>
      <x:c r="U1" s="27"/>
    </x:row>
    <x:row r="2" ht="32" customHeight="1">
      <x:c r="A2" s="9" t="str">
        <x:v>Сценарий должен иметь пользовательскую цель, поток действий, бизнес-результат и связку с интерфейсными единицами.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27"/>
      <x:c r="Q2" s="27"/>
      <x:c r="R2" s="27"/>
      <x:c r="S2" s="27"/>
      <x:c r="T2" s="27"/>
      <x:c r="U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 ht="38" customHeight="1">
      <x:c r="A4" s="50" t="str">
        <x:v>Сценарий_ID</x:v>
      </x:c>
      <x:c r="B4" s="50" t="str">
        <x:v>Роль_ID</x:v>
      </x:c>
      <x:c r="C4" s="50" t="str">
        <x:v>Этап пути</x:v>
      </x:c>
      <x:c r="D4" s="50" t="str">
        <x:v>Пользовательская цель</x:v>
      </x:c>
      <x:c r="E4" s="50" t="str">
        <x:v>Начальный триггер</x:v>
      </x:c>
      <x:c r="F4" s="50" t="str">
        <x:v>Основной поток</x:v>
      </x:c>
      <x:c r="G4" s="50" t="str">
        <x:v>Альтернативный поток</x:v>
      </x:c>
      <x:c r="H4" s="50" t="str">
        <x:v>Данные / контент</x:v>
      </x:c>
      <x:c r="I4" s="50" t="str">
        <x:v>Бизнес-результат</x:v>
      </x:c>
      <x:c r="J4" s="50" t="str">
        <x:v>Критичность 1–5</x:v>
      </x:c>
      <x:c r="K4" s="50" t="str">
        <x:v>Частота 1–5</x:v>
      </x:c>
      <x:c r="L4" s="50" t="str">
        <x:v>Сложность 1–5</x:v>
      </x:c>
      <x:c r="M4" s="50" t="str">
        <x:v>Кол-во страниц/экранов</x:v>
      </x:c>
      <x:c r="N4" s="50" t="str">
        <x:v>Статус покрытия</x:v>
      </x:c>
      <x:c r="O4" s="50" t="str">
        <x:v>Приоритет сценария</x:v>
      </x:c>
      <x:c r="P4" s="27"/>
      <x:c r="Q4" s="27"/>
      <x:c r="R4" s="27"/>
      <x:c r="S4" s="27"/>
      <x:c r="T4" s="27"/>
      <x:c r="U4" s="27"/>
    </x:row>
    <x:row r="5">
      <x:c r="A5" s="27" t="str">
        <x:v>SC-001</x:v>
      </x:c>
      <x:c r="B5" s="27" t="str">
        <x:v>ROLE-001</x:v>
      </x:c>
      <x:c r="C5" s="27" t="str">
        <x:v>Первичный интерес</x:v>
      </x:c>
      <x:c r="D5" s="27" t="str">
        <x:v>Понять ценность цифрового товара</x:v>
      </x:c>
      <x:c r="E5" s="27" t="str">
        <x:v>Переход из поиска или рекламы</x:v>
      </x:c>
      <x:c r="F5" s="27" t="str">
        <x:v>Открыть страницу → изучить пользу → перейти к демонстрации</x:v>
      </x:c>
      <x:c r="G5" s="27" t="str">
        <x:v>Закрыть сайт / перейти в сравнение</x:v>
      </x:c>
      <x:c r="H5" s="27" t="str">
        <x:v>Ценностное предложение, доказательства, примеры</x:v>
      </x:c>
      <x:c r="I5" s="27" t="str">
        <x:v>Переход к регистрации или заявке</x:v>
      </x:c>
      <x:c r="J5" s="27" t="n">
        <x:v>5</x:v>
      </x:c>
      <x:c r="K5" s="27" t="n">
        <x:v>5</x:v>
      </x:c>
      <x:c r="L5" s="27" t="n">
        <x:v>3</x:v>
      </x:c>
      <x:c r="M5" s="27" t="n">
        <x:f>IF(A5="","",COUNTIF('Страницы_и_экраны'!$E$5:$E$304,A5))</x:f>
        <x:v>1</x:v>
      </x:c>
      <x:c r="N5" s="27" t="str">
        <x:f>IF(A5="","",IF(M5&gt;0,"Покрыт","Нет страницы/экрана"))</x:f>
        <x:v>Покрыт</x:v>
      </x:c>
      <x:c r="O5" s="27" t="n">
        <x:f>IF(A5="","",MAX(0,MIN(100,ROUND(((J5*0.45)+(K5*0.35)-(L5*0.20))*20,0))))</x:f>
        <x:v>68</x:v>
      </x:c>
      <x:c r="P5" s="27"/>
      <x:c r="Q5" s="27"/>
      <x:c r="R5" s="27"/>
      <x:c r="S5" s="27"/>
      <x:c r="T5" s="27"/>
      <x:c r="U5" s="27"/>
    </x:row>
    <x:row r="6">
      <x:c r="A6" s="27" t="str">
        <x:v>SC-002</x:v>
      </x:c>
      <x:c r="B6" s="27" t="str">
        <x:v>ROLE-002</x:v>
      </x:c>
      <x:c r="C6" s="27" t="str">
        <x:v>Регистрация</x:v>
      </x:c>
      <x:c r="D6" s="27" t="str">
        <x:v>Создать учетную запись и получить первый результат</x:v>
      </x:c>
      <x:c r="E6" s="27" t="str">
        <x:v>Нажатие кнопки регистрации</x:v>
      </x:c>
      <x:c r="F6" s="27" t="str">
        <x:v>Ввод данных → подтверждение → настройка</x:v>
      </x:c>
      <x:c r="G6" s="27" t="str">
        <x:v>Ошибка валидации / восстановление</x:v>
      </x:c>
      <x:c r="H6" s="27" t="str">
        <x:v>Форма, подсказки, письмо подтверждения</x:v>
      </x:c>
      <x:c r="I6" s="27" t="str">
        <x:v>Активированный пользователь</x:v>
      </x:c>
      <x:c r="J6" s="27" t="n">
        <x:v>5</x:v>
      </x:c>
      <x:c r="K6" s="27" t="n">
        <x:v>4</x:v>
      </x:c>
      <x:c r="L6" s="27" t="n">
        <x:v>4</x:v>
      </x:c>
      <x:c r="M6" s="27" t="n">
        <x:f>IF(A6="","",COUNTIF('Страницы_и_экраны'!$E$5:$E$304,A6))</x:f>
        <x:v>1</x:v>
      </x:c>
      <x:c r="N6" s="27" t="str">
        <x:f>IF(A6="","",IF(M6&gt;0,"Покрыт","Нет страницы/экрана"))</x:f>
        <x:v>Покрыт</x:v>
      </x:c>
      <x:c r="O6" s="27" t="n">
        <x:f>IF(A6="","",MAX(0,MIN(100,ROUND(((J6*0.45)+(K6*0.35)-(L6*0.20))*20,0))))</x:f>
        <x:v>57</x:v>
      </x:c>
      <x:c r="P6" s="27"/>
      <x:c r="Q6" s="27"/>
      <x:c r="R6" s="27"/>
      <x:c r="S6" s="27"/>
      <x:c r="T6" s="27"/>
      <x:c r="U6" s="27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>
        <x:f>IF(A7="","",COUNTIF('Страницы_и_экраны'!$E$5:$E$304,A7))</x:f>
      </x:c>
      <x:c r="N7" s="27" t="str">
        <x:f>IF(A7="","",IF(M7&gt;0,"Покрыт","Нет страницы/экрана"))</x:f>
      </x:c>
      <x:c r="O7" s="27" t="str">
        <x:f>IF(A7="","",MAX(0,MIN(100,ROUND(((J7*0.45)+(K7*0.35)-(L7*0.20))*20,0))))</x:f>
      </x:c>
      <x:c r="P7" s="27"/>
      <x:c r="Q7" s="27"/>
      <x:c r="R7" s="27"/>
      <x:c r="S7" s="27"/>
      <x:c r="T7" s="27"/>
      <x:c r="U7" s="27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/>
      <x:c r="K8" s="27" t="str"/>
      <x:c r="L8" s="27" t="str"/>
      <x:c r="M8" s="27" t="str">
        <x:f>IF(A8="","",COUNTIF('Страницы_и_экраны'!$E$5:$E$304,A8))</x:f>
      </x:c>
      <x:c r="N8" s="27" t="str">
        <x:f>IF(A8="","",IF(M8&gt;0,"Покрыт","Нет страницы/экрана"))</x:f>
      </x:c>
      <x:c r="O8" s="27" t="str">
        <x:f>IF(A8="","",MAX(0,MIN(100,ROUND(((J8*0.45)+(K8*0.35)-(L8*0.20))*20,0))))</x:f>
      </x:c>
      <x:c r="P8" s="27"/>
      <x:c r="Q8" s="27"/>
      <x:c r="R8" s="27"/>
      <x:c r="S8" s="27"/>
      <x:c r="T8" s="27"/>
      <x:c r="U8" s="27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 t="str"/>
      <x:c r="L9" s="27" t="str"/>
      <x:c r="M9" s="27" t="str">
        <x:f>IF(A9="","",COUNTIF('Страницы_и_экраны'!$E$5:$E$304,A9))</x:f>
      </x:c>
      <x:c r="N9" s="27" t="str">
        <x:f>IF(A9="","",IF(M9&gt;0,"Покрыт","Нет страницы/экрана"))</x:f>
      </x:c>
      <x:c r="O9" s="27" t="str">
        <x:f>IF(A9="","",MAX(0,MIN(100,ROUND(((J9*0.45)+(K9*0.35)-(L9*0.20))*20,0))))</x:f>
      </x:c>
      <x:c r="P9" s="27"/>
      <x:c r="Q9" s="27"/>
      <x:c r="R9" s="27"/>
      <x:c r="S9" s="27"/>
      <x:c r="T9" s="27"/>
      <x:c r="U9" s="27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  <x:c r="K10" s="27" t="str"/>
      <x:c r="L10" s="27" t="str"/>
      <x:c r="M10" s="27" t="str">
        <x:f>IF(A10="","",COUNTIF('Страницы_и_экраны'!$E$5:$E$304,A10))</x:f>
      </x:c>
      <x:c r="N10" s="27" t="str">
        <x:f>IF(A10="","",IF(M10&gt;0,"Покрыт","Нет страницы/экрана"))</x:f>
      </x:c>
      <x:c r="O10" s="27" t="str">
        <x:f>IF(A10="","",MAX(0,MIN(100,ROUND(((J10*0.45)+(K10*0.35)-(L10*0.20))*20,0))))</x:f>
      </x:c>
      <x:c r="P10" s="27"/>
      <x:c r="Q10" s="27"/>
      <x:c r="R10" s="27"/>
      <x:c r="S10" s="27"/>
      <x:c r="T10" s="27"/>
      <x:c r="U10" s="27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/>
      <x:c r="M11" s="27" t="str">
        <x:f>IF(A11="","",COUNTIF('Страницы_и_экраны'!$E$5:$E$304,A11))</x:f>
      </x:c>
      <x:c r="N11" s="27" t="str">
        <x:f>IF(A11="","",IF(M11&gt;0,"Покрыт","Нет страницы/экрана"))</x:f>
      </x:c>
      <x:c r="O11" s="27" t="str">
        <x:f>IF(A11="","",MAX(0,MIN(100,ROUND(((J11*0.45)+(K11*0.35)-(L11*0.20))*20,0))))</x:f>
      </x:c>
      <x:c r="P11" s="27"/>
      <x:c r="Q11" s="27"/>
      <x:c r="R11" s="27"/>
      <x:c r="S11" s="27"/>
      <x:c r="T11" s="27"/>
      <x:c r="U11" s="27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  <x:c r="M12" s="27" t="str">
        <x:f>IF(A12="","",COUNTIF('Страницы_и_экраны'!$E$5:$E$304,A12))</x:f>
      </x:c>
      <x:c r="N12" s="27" t="str">
        <x:f>IF(A12="","",IF(M12&gt;0,"Покрыт","Нет страницы/экрана"))</x:f>
      </x:c>
      <x:c r="O12" s="27" t="str">
        <x:f>IF(A12="","",MAX(0,MIN(100,ROUND(((J12*0.45)+(K12*0.35)-(L12*0.20))*20,0))))</x:f>
      </x:c>
      <x:c r="P12" s="27"/>
      <x:c r="Q12" s="27"/>
      <x:c r="R12" s="27"/>
      <x:c r="S12" s="27"/>
      <x:c r="T12" s="27"/>
      <x:c r="U12" s="27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  <x:c r="L13" s="27" t="str"/>
      <x:c r="M13" s="27" t="str">
        <x:f>IF(A13="","",COUNTIF('Страницы_и_экраны'!$E$5:$E$304,A13))</x:f>
      </x:c>
      <x:c r="N13" s="27" t="str">
        <x:f>IF(A13="","",IF(M13&gt;0,"Покрыт","Нет страницы/экрана"))</x:f>
      </x:c>
      <x:c r="O13" s="27" t="str">
        <x:f>IF(A13="","",MAX(0,MIN(100,ROUND(((J13*0.45)+(K13*0.35)-(L13*0.20))*20,0))))</x:f>
      </x:c>
      <x:c r="P13" s="27"/>
      <x:c r="Q13" s="27"/>
      <x:c r="R13" s="27"/>
      <x:c r="S13" s="27"/>
      <x:c r="T13" s="27"/>
      <x:c r="U13" s="27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7" t="str"/>
      <x:c r="L14" s="27" t="str"/>
      <x:c r="M14" s="27" t="str">
        <x:f>IF(A14="","",COUNTIF('Страницы_и_экраны'!$E$5:$E$304,A14))</x:f>
      </x:c>
      <x:c r="N14" s="27" t="str">
        <x:f>IF(A14="","",IF(M14&gt;0,"Покрыт","Нет страницы/экрана"))</x:f>
      </x:c>
      <x:c r="O14" s="27" t="str">
        <x:f>IF(A14="","",MAX(0,MIN(100,ROUND(((J14*0.45)+(K14*0.35)-(L14*0.20))*20,0))))</x:f>
      </x:c>
      <x:c r="P14" s="27"/>
      <x:c r="Q14" s="27"/>
      <x:c r="R14" s="27"/>
      <x:c r="S14" s="27"/>
      <x:c r="T14" s="27"/>
      <x:c r="U14" s="27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/>
      <x:c r="L15" s="27" t="str"/>
      <x:c r="M15" s="27" t="str">
        <x:f>IF(A15="","",COUNTIF('Страницы_и_экраны'!$E$5:$E$304,A15))</x:f>
      </x:c>
      <x:c r="N15" s="27" t="str">
        <x:f>IF(A15="","",IF(M15&gt;0,"Покрыт","Нет страницы/экрана"))</x:f>
      </x:c>
      <x:c r="O15" s="27" t="str">
        <x:f>IF(A15="","",MAX(0,MIN(100,ROUND(((J15*0.45)+(K15*0.35)-(L15*0.20))*20,0))))</x:f>
      </x:c>
      <x:c r="P15" s="27"/>
      <x:c r="Q15" s="27"/>
      <x:c r="R15" s="27"/>
      <x:c r="S15" s="27"/>
      <x:c r="T15" s="27"/>
      <x:c r="U15" s="27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27" t="str"/>
      <x:c r="L16" s="27" t="str"/>
      <x:c r="M16" s="27" t="str">
        <x:f>IF(A16="","",COUNTIF('Страницы_и_экраны'!$E$5:$E$304,A16))</x:f>
      </x:c>
      <x:c r="N16" s="27" t="str">
        <x:f>IF(A16="","",IF(M16&gt;0,"Покрыт","Нет страницы/экрана"))</x:f>
      </x:c>
      <x:c r="O16" s="27" t="str">
        <x:f>IF(A16="","",MAX(0,MIN(100,ROUND(((J16*0.45)+(K16*0.35)-(L16*0.20))*20,0))))</x:f>
      </x:c>
      <x:c r="P16" s="27"/>
      <x:c r="Q16" s="27"/>
      <x:c r="R16" s="27"/>
      <x:c r="S16" s="27"/>
      <x:c r="T16" s="27"/>
      <x:c r="U16" s="27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 t="str"/>
      <x:c r="M17" s="27" t="str">
        <x:f>IF(A17="","",COUNTIF('Страницы_и_экраны'!$E$5:$E$304,A17))</x:f>
      </x:c>
      <x:c r="N17" s="27" t="str">
        <x:f>IF(A17="","",IF(M17&gt;0,"Покрыт","Нет страницы/экрана"))</x:f>
      </x:c>
      <x:c r="O17" s="27" t="str">
        <x:f>IF(A17="","",MAX(0,MIN(100,ROUND(((J17*0.45)+(K17*0.35)-(L17*0.20))*20,0))))</x:f>
      </x:c>
      <x:c r="P17" s="27"/>
      <x:c r="Q17" s="27"/>
      <x:c r="R17" s="27"/>
      <x:c r="S17" s="27"/>
      <x:c r="T17" s="27"/>
      <x:c r="U17" s="27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27" t="str"/>
      <x:c r="L18" s="27" t="str"/>
      <x:c r="M18" s="27" t="str">
        <x:f>IF(A18="","",COUNTIF('Страницы_и_экраны'!$E$5:$E$304,A18))</x:f>
      </x:c>
      <x:c r="N18" s="27" t="str">
        <x:f>IF(A18="","",IF(M18&gt;0,"Покрыт","Нет страницы/экрана"))</x:f>
      </x:c>
      <x:c r="O18" s="27" t="str">
        <x:f>IF(A18="","",MAX(0,MIN(100,ROUND(((J18*0.45)+(K18*0.35)-(L18*0.20))*20,0))))</x:f>
      </x:c>
      <x:c r="P18" s="27"/>
      <x:c r="Q18" s="27"/>
      <x:c r="R18" s="27"/>
      <x:c r="S18" s="27"/>
      <x:c r="T18" s="27"/>
      <x:c r="U18" s="27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7" t="str"/>
      <x:c r="L19" s="27" t="str"/>
      <x:c r="M19" s="27" t="str">
        <x:f>IF(A19="","",COUNTIF('Страницы_и_экраны'!$E$5:$E$304,A19))</x:f>
      </x:c>
      <x:c r="N19" s="27" t="str">
        <x:f>IF(A19="","",IF(M19&gt;0,"Покрыт","Нет страницы/экрана"))</x:f>
      </x:c>
      <x:c r="O19" s="27" t="str">
        <x:f>IF(A19="","",MAX(0,MIN(100,ROUND(((J19*0.45)+(K19*0.35)-(L19*0.20))*20,0))))</x:f>
      </x:c>
      <x:c r="P19" s="27"/>
      <x:c r="Q19" s="27"/>
      <x:c r="R19" s="27"/>
      <x:c r="S19" s="27"/>
      <x:c r="T19" s="27"/>
      <x:c r="U19" s="27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27" t="str"/>
      <x:c r="L20" s="27" t="str"/>
      <x:c r="M20" s="27" t="str">
        <x:f>IF(A20="","",COUNTIF('Страницы_и_экраны'!$E$5:$E$304,A20))</x:f>
      </x:c>
      <x:c r="N20" s="27" t="str">
        <x:f>IF(A20="","",IF(M20&gt;0,"Покрыт","Нет страницы/экрана"))</x:f>
      </x:c>
      <x:c r="O20" s="27" t="str">
        <x:f>IF(A20="","",MAX(0,MIN(100,ROUND(((J20*0.45)+(K20*0.35)-(L20*0.20))*20,0))))</x:f>
      </x:c>
      <x:c r="P20" s="27"/>
      <x:c r="Q20" s="27"/>
      <x:c r="R20" s="27"/>
      <x:c r="S20" s="27"/>
      <x:c r="T20" s="27"/>
      <x:c r="U20" s="27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27" t="str"/>
      <x:c r="L21" s="27" t="str"/>
      <x:c r="M21" s="27" t="str">
        <x:f>IF(A21="","",COUNTIF('Страницы_и_экраны'!$E$5:$E$304,A21))</x:f>
      </x:c>
      <x:c r="N21" s="27" t="str">
        <x:f>IF(A21="","",IF(M21&gt;0,"Покрыт","Нет страницы/экрана"))</x:f>
      </x:c>
      <x:c r="O21" s="27" t="str">
        <x:f>IF(A21="","",MAX(0,MIN(100,ROUND(((J21*0.45)+(K21*0.35)-(L21*0.20))*20,0))))</x:f>
      </x:c>
      <x:c r="P21" s="27"/>
      <x:c r="Q21" s="27"/>
      <x:c r="R21" s="27"/>
      <x:c r="S21" s="27"/>
      <x:c r="T21" s="27"/>
      <x:c r="U21" s="27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7" t="str"/>
      <x:c r="L22" s="27" t="str"/>
      <x:c r="M22" s="27" t="str">
        <x:f>IF(A22="","",COUNTIF('Страницы_и_экраны'!$E$5:$E$304,A22))</x:f>
      </x:c>
      <x:c r="N22" s="27" t="str">
        <x:f>IF(A22="","",IF(M22&gt;0,"Покрыт","Нет страницы/экрана"))</x:f>
      </x:c>
      <x:c r="O22" s="27" t="str">
        <x:f>IF(A22="","",MAX(0,MIN(100,ROUND(((J22*0.45)+(K22*0.35)-(L22*0.20))*20,0))))</x:f>
      </x:c>
      <x:c r="P22" s="27"/>
      <x:c r="Q22" s="27"/>
      <x:c r="R22" s="27"/>
      <x:c r="S22" s="27"/>
      <x:c r="T22" s="27"/>
      <x:c r="U22" s="27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27" t="str"/>
      <x:c r="L23" s="27" t="str"/>
      <x:c r="M23" s="27" t="str">
        <x:f>IF(A23="","",COUNTIF('Страницы_и_экраны'!$E$5:$E$304,A23))</x:f>
      </x:c>
      <x:c r="N23" s="27" t="str">
        <x:f>IF(A23="","",IF(M23&gt;0,"Покрыт","Нет страницы/экрана"))</x:f>
      </x:c>
      <x:c r="O23" s="27" t="str">
        <x:f>IF(A23="","",MAX(0,MIN(100,ROUND(((J23*0.45)+(K23*0.35)-(L23*0.20))*20,0))))</x:f>
      </x:c>
      <x:c r="P23" s="27"/>
      <x:c r="Q23" s="27"/>
      <x:c r="R23" s="27"/>
      <x:c r="S23" s="27"/>
      <x:c r="T23" s="27"/>
      <x:c r="U23" s="27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7" t="str"/>
      <x:c r="L24" s="27" t="str"/>
      <x:c r="M24" s="27" t="str">
        <x:f>IF(A24="","",COUNTIF('Страницы_и_экраны'!$E$5:$E$304,A24))</x:f>
      </x:c>
      <x:c r="N24" s="27" t="str">
        <x:f>IF(A24="","",IF(M24&gt;0,"Покрыт","Нет страницы/экрана"))</x:f>
      </x:c>
      <x:c r="O24" s="27" t="str">
        <x:f>IF(A24="","",MAX(0,MIN(100,ROUND(((J24*0.45)+(K24*0.35)-(L24*0.20))*20,0))))</x:f>
      </x:c>
      <x:c r="P24" s="27"/>
      <x:c r="Q24" s="27"/>
      <x:c r="R24" s="27"/>
      <x:c r="S24" s="27"/>
      <x:c r="T24" s="27"/>
      <x:c r="U24" s="27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7" t="str"/>
      <x:c r="L25" s="27" t="str"/>
      <x:c r="M25" s="27" t="str">
        <x:f>IF(A25="","",COUNTIF('Страницы_и_экраны'!$E$5:$E$304,A25))</x:f>
      </x:c>
      <x:c r="N25" s="27" t="str">
        <x:f>IF(A25="","",IF(M25&gt;0,"Покрыт","Нет страницы/экрана"))</x:f>
      </x:c>
      <x:c r="O25" s="27" t="str">
        <x:f>IF(A25="","",MAX(0,MIN(100,ROUND(((J25*0.45)+(K25*0.35)-(L25*0.20))*20,0))))</x:f>
      </x:c>
      <x:c r="P25" s="27"/>
      <x:c r="Q25" s="27"/>
      <x:c r="R25" s="27"/>
      <x:c r="S25" s="27"/>
      <x:c r="T25" s="27"/>
      <x:c r="U25" s="27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7" t="str"/>
      <x:c r="L26" s="27" t="str"/>
      <x:c r="M26" s="27" t="str">
        <x:f>IF(A26="","",COUNTIF('Страницы_и_экраны'!$E$5:$E$304,A26))</x:f>
      </x:c>
      <x:c r="N26" s="27" t="str">
        <x:f>IF(A26="","",IF(M26&gt;0,"Покрыт","Нет страницы/экрана"))</x:f>
      </x:c>
      <x:c r="O26" s="27" t="str">
        <x:f>IF(A26="","",MAX(0,MIN(100,ROUND(((J26*0.45)+(K26*0.35)-(L26*0.20))*20,0))))</x:f>
      </x:c>
      <x:c r="P26" s="27"/>
      <x:c r="Q26" s="27"/>
      <x:c r="R26" s="27"/>
      <x:c r="S26" s="27"/>
      <x:c r="T26" s="27"/>
      <x:c r="U26" s="27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 t="str"/>
      <x:c r="L27" s="27" t="str"/>
      <x:c r="M27" s="27" t="str">
        <x:f>IF(A27="","",COUNTIF('Страницы_и_экраны'!$E$5:$E$304,A27))</x:f>
      </x:c>
      <x:c r="N27" s="27" t="str">
        <x:f>IF(A27="","",IF(M27&gt;0,"Покрыт","Нет страницы/экрана"))</x:f>
      </x:c>
      <x:c r="O27" s="27" t="str">
        <x:f>IF(A27="","",MAX(0,MIN(100,ROUND(((J27*0.45)+(K27*0.35)-(L27*0.20))*20,0))))</x:f>
      </x:c>
      <x:c r="P27" s="27"/>
      <x:c r="Q27" s="27"/>
      <x:c r="R27" s="27"/>
      <x:c r="S27" s="27"/>
      <x:c r="T27" s="27"/>
      <x:c r="U27" s="27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7" t="str"/>
      <x:c r="L28" s="27" t="str"/>
      <x:c r="M28" s="27" t="str">
        <x:f>IF(A28="","",COUNTIF('Страницы_и_экраны'!$E$5:$E$304,A28))</x:f>
      </x:c>
      <x:c r="N28" s="27" t="str">
        <x:f>IF(A28="","",IF(M28&gt;0,"Покрыт","Нет страницы/экрана"))</x:f>
      </x:c>
      <x:c r="O28" s="27" t="str">
        <x:f>IF(A28="","",MAX(0,MIN(100,ROUND(((J28*0.45)+(K28*0.35)-(L28*0.20))*20,0))))</x:f>
      </x:c>
      <x:c r="P28" s="27"/>
      <x:c r="Q28" s="27"/>
      <x:c r="R28" s="27"/>
      <x:c r="S28" s="27"/>
      <x:c r="T28" s="27"/>
      <x:c r="U28" s="27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27" t="str"/>
      <x:c r="L29" s="27" t="str"/>
      <x:c r="M29" s="27" t="str">
        <x:f>IF(A29="","",COUNTIF('Страницы_и_экраны'!$E$5:$E$304,A29))</x:f>
      </x:c>
      <x:c r="N29" s="27" t="str">
        <x:f>IF(A29="","",IF(M29&gt;0,"Покрыт","Нет страницы/экрана"))</x:f>
      </x:c>
      <x:c r="O29" s="27" t="str">
        <x:f>IF(A29="","",MAX(0,MIN(100,ROUND(((J29*0.45)+(K29*0.35)-(L29*0.20))*20,0))))</x:f>
      </x:c>
      <x:c r="P29" s="27"/>
      <x:c r="Q29" s="27"/>
      <x:c r="R29" s="27"/>
      <x:c r="S29" s="27"/>
      <x:c r="T29" s="27"/>
      <x:c r="U29" s="27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27" t="str"/>
      <x:c r="L30" s="27" t="str"/>
      <x:c r="M30" s="27" t="str">
        <x:f>IF(A30="","",COUNTIF('Страницы_и_экраны'!$E$5:$E$304,A30))</x:f>
      </x:c>
      <x:c r="N30" s="27" t="str">
        <x:f>IF(A30="","",IF(M30&gt;0,"Покрыт","Нет страницы/экрана"))</x:f>
      </x:c>
      <x:c r="O30" s="27" t="str">
        <x:f>IF(A30="","",MAX(0,MIN(100,ROUND(((J30*0.45)+(K30*0.35)-(L30*0.20))*20,0))))</x:f>
      </x:c>
      <x:c r="P30" s="27"/>
      <x:c r="Q30" s="27"/>
      <x:c r="R30" s="27"/>
      <x:c r="S30" s="27"/>
      <x:c r="T30" s="27"/>
      <x:c r="U30" s="27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27" t="str"/>
      <x:c r="L31" s="27" t="str"/>
      <x:c r="M31" s="27" t="str">
        <x:f>IF(A31="","",COUNTIF('Страницы_и_экраны'!$E$5:$E$304,A31))</x:f>
      </x:c>
      <x:c r="N31" s="27" t="str">
        <x:f>IF(A31="","",IF(M31&gt;0,"Покрыт","Нет страницы/экрана"))</x:f>
      </x:c>
      <x:c r="O31" s="27" t="str">
        <x:f>IF(A31="","",MAX(0,MIN(100,ROUND(((J31*0.45)+(K31*0.35)-(L31*0.20))*20,0))))</x:f>
      </x:c>
      <x:c r="P31" s="27"/>
      <x:c r="Q31" s="27"/>
      <x:c r="R31" s="27"/>
      <x:c r="S31" s="27"/>
      <x:c r="T31" s="27"/>
      <x:c r="U31" s="27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7" t="str"/>
      <x:c r="L32" s="27" t="str"/>
      <x:c r="M32" s="27" t="str">
        <x:f>IF(A32="","",COUNTIF('Страницы_и_экраны'!$E$5:$E$304,A32))</x:f>
      </x:c>
      <x:c r="N32" s="27" t="str">
        <x:f>IF(A32="","",IF(M32&gt;0,"Покрыт","Нет страницы/экрана"))</x:f>
      </x:c>
      <x:c r="O32" s="27" t="str">
        <x:f>IF(A32="","",MAX(0,MIN(100,ROUND(((J32*0.45)+(K32*0.35)-(L32*0.20))*20,0))))</x:f>
      </x:c>
      <x:c r="P32" s="27"/>
      <x:c r="Q32" s="27"/>
      <x:c r="R32" s="27"/>
      <x:c r="S32" s="27"/>
      <x:c r="T32" s="27"/>
      <x:c r="U32" s="27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27" t="str"/>
      <x:c r="L33" s="27" t="str"/>
      <x:c r="M33" s="27" t="str">
        <x:f>IF(A33="","",COUNTIF('Страницы_и_экраны'!$E$5:$E$304,A33))</x:f>
      </x:c>
      <x:c r="N33" s="27" t="str">
        <x:f>IF(A33="","",IF(M33&gt;0,"Покрыт","Нет страницы/экрана"))</x:f>
      </x:c>
      <x:c r="O33" s="27" t="str">
        <x:f>IF(A33="","",MAX(0,MIN(100,ROUND(((J33*0.45)+(K33*0.35)-(L33*0.20))*20,0))))</x:f>
      </x:c>
      <x:c r="P33" s="27"/>
      <x:c r="Q33" s="27"/>
      <x:c r="R33" s="27"/>
      <x:c r="S33" s="27"/>
      <x:c r="T33" s="27"/>
      <x:c r="U33" s="27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27" t="str"/>
      <x:c r="L34" s="27" t="str"/>
      <x:c r="M34" s="27" t="str">
        <x:f>IF(A34="","",COUNTIF('Страницы_и_экраны'!$E$5:$E$304,A34))</x:f>
      </x:c>
      <x:c r="N34" s="27" t="str">
        <x:f>IF(A34="","",IF(M34&gt;0,"Покрыт","Нет страницы/экрана"))</x:f>
      </x:c>
      <x:c r="O34" s="27" t="str">
        <x:f>IF(A34="","",MAX(0,MIN(100,ROUND(((J34*0.45)+(K34*0.35)-(L34*0.20))*20,0))))</x:f>
      </x:c>
      <x:c r="P34" s="27"/>
      <x:c r="Q34" s="27"/>
      <x:c r="R34" s="27"/>
      <x:c r="S34" s="27"/>
      <x:c r="T34" s="27"/>
      <x:c r="U34" s="27"/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  <x:c r="K35" s="27" t="str"/>
      <x:c r="L35" s="27" t="str"/>
      <x:c r="M35" s="27" t="str">
        <x:f>IF(A35="","",COUNTIF('Страницы_и_экраны'!$E$5:$E$304,A35))</x:f>
      </x:c>
      <x:c r="N35" s="27" t="str">
        <x:f>IF(A35="","",IF(M35&gt;0,"Покрыт","Нет страницы/экрана"))</x:f>
      </x:c>
      <x:c r="O35" s="27" t="str">
        <x:f>IF(A35="","",MAX(0,MIN(100,ROUND(((J35*0.45)+(K35*0.35)-(L35*0.20))*20,0))))</x:f>
      </x:c>
      <x:c r="P35" s="27"/>
      <x:c r="Q35" s="27"/>
      <x:c r="R35" s="27"/>
      <x:c r="S35" s="27"/>
      <x:c r="T35" s="27"/>
      <x:c r="U35" s="27"/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  <x:c r="K36" s="27" t="str"/>
      <x:c r="L36" s="27" t="str"/>
      <x:c r="M36" s="27" t="str">
        <x:f>IF(A36="","",COUNTIF('Страницы_и_экраны'!$E$5:$E$304,A36))</x:f>
      </x:c>
      <x:c r="N36" s="27" t="str">
        <x:f>IF(A36="","",IF(M36&gt;0,"Покрыт","Нет страницы/экрана"))</x:f>
      </x:c>
      <x:c r="O36" s="27" t="str">
        <x:f>IF(A36="","",MAX(0,MIN(100,ROUND(((J36*0.45)+(K36*0.35)-(L36*0.20))*20,0))))</x:f>
      </x:c>
      <x:c r="P36" s="27"/>
      <x:c r="Q36" s="27"/>
      <x:c r="R36" s="27"/>
      <x:c r="S36" s="27"/>
      <x:c r="T36" s="27"/>
      <x:c r="U36" s="27"/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7" t="str"/>
      <x:c r="L37" s="27" t="str"/>
      <x:c r="M37" s="27" t="str">
        <x:f>IF(A37="","",COUNTIF('Страницы_и_экраны'!$E$5:$E$304,A37))</x:f>
      </x:c>
      <x:c r="N37" s="27" t="str">
        <x:f>IF(A37="","",IF(M37&gt;0,"Покрыт","Нет страницы/экрана"))</x:f>
      </x:c>
      <x:c r="O37" s="27" t="str">
        <x:f>IF(A37="","",MAX(0,MIN(100,ROUND(((J37*0.45)+(K37*0.35)-(L37*0.20))*20,0))))</x:f>
      </x:c>
      <x:c r="P37" s="27"/>
      <x:c r="Q37" s="27"/>
      <x:c r="R37" s="27"/>
      <x:c r="S37" s="27"/>
      <x:c r="T37" s="27"/>
      <x:c r="U37" s="27"/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  <x:c r="K38" s="27" t="str"/>
      <x:c r="L38" s="27" t="str"/>
      <x:c r="M38" s="27" t="str">
        <x:f>IF(A38="","",COUNTIF('Страницы_и_экраны'!$E$5:$E$304,A38))</x:f>
      </x:c>
      <x:c r="N38" s="27" t="str">
        <x:f>IF(A38="","",IF(M38&gt;0,"Покрыт","Нет страницы/экрана"))</x:f>
      </x:c>
      <x:c r="O38" s="27" t="str">
        <x:f>IF(A38="","",MAX(0,MIN(100,ROUND(((J38*0.45)+(K38*0.35)-(L38*0.20))*20,0))))</x:f>
      </x:c>
      <x:c r="P38" s="27"/>
      <x:c r="Q38" s="27"/>
      <x:c r="R38" s="27"/>
      <x:c r="S38" s="27"/>
      <x:c r="T38" s="27"/>
      <x:c r="U38" s="27"/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  <x:c r="K39" s="27" t="str"/>
      <x:c r="L39" s="27" t="str"/>
      <x:c r="M39" s="27" t="str">
        <x:f>IF(A39="","",COUNTIF('Страницы_и_экраны'!$E$5:$E$304,A39))</x:f>
      </x:c>
      <x:c r="N39" s="27" t="str">
        <x:f>IF(A39="","",IF(M39&gt;0,"Покрыт","Нет страницы/экрана"))</x:f>
      </x:c>
      <x:c r="O39" s="27" t="str">
        <x:f>IF(A39="","",MAX(0,MIN(100,ROUND(((J39*0.45)+(K39*0.35)-(L39*0.20))*20,0))))</x:f>
      </x:c>
      <x:c r="P39" s="27"/>
      <x:c r="Q39" s="27"/>
      <x:c r="R39" s="27"/>
      <x:c r="S39" s="27"/>
      <x:c r="T39" s="27"/>
      <x:c r="U39" s="27"/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  <x:c r="K40" s="27" t="str"/>
      <x:c r="L40" s="27" t="str"/>
      <x:c r="M40" s="27" t="str">
        <x:f>IF(A40="","",COUNTIF('Страницы_и_экраны'!$E$5:$E$304,A40))</x:f>
      </x:c>
      <x:c r="N40" s="27" t="str">
        <x:f>IF(A40="","",IF(M40&gt;0,"Покрыт","Нет страницы/экрана"))</x:f>
      </x:c>
      <x:c r="O40" s="27" t="str">
        <x:f>IF(A40="","",MAX(0,MIN(100,ROUND(((J40*0.45)+(K40*0.35)-(L40*0.20))*20,0))))</x:f>
      </x:c>
      <x:c r="P40" s="27"/>
      <x:c r="Q40" s="27"/>
      <x:c r="R40" s="27"/>
      <x:c r="S40" s="27"/>
      <x:c r="T40" s="27"/>
      <x:c r="U40" s="27"/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 t="str"/>
      <x:c r="K41" s="27" t="str"/>
      <x:c r="L41" s="27" t="str"/>
      <x:c r="M41" s="27" t="str">
        <x:f>IF(A41="","",COUNTIF('Страницы_и_экраны'!$E$5:$E$304,A41))</x:f>
      </x:c>
      <x:c r="N41" s="27" t="str">
        <x:f>IF(A41="","",IF(M41&gt;0,"Покрыт","Нет страницы/экрана"))</x:f>
      </x:c>
      <x:c r="O41" s="27" t="str">
        <x:f>IF(A41="","",MAX(0,MIN(100,ROUND(((J41*0.45)+(K41*0.35)-(L41*0.20))*20,0))))</x:f>
      </x:c>
      <x:c r="P41" s="27"/>
      <x:c r="Q41" s="27"/>
      <x:c r="R41" s="27"/>
      <x:c r="S41" s="27"/>
      <x:c r="T41" s="27"/>
      <x:c r="U41" s="27"/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 t="str"/>
      <x:c r="K42" s="27" t="str"/>
      <x:c r="L42" s="27" t="str"/>
      <x:c r="M42" s="27" t="str">
        <x:f>IF(A42="","",COUNTIF('Страницы_и_экраны'!$E$5:$E$304,A42))</x:f>
      </x:c>
      <x:c r="N42" s="27" t="str">
        <x:f>IF(A42="","",IF(M42&gt;0,"Покрыт","Нет страницы/экрана"))</x:f>
      </x:c>
      <x:c r="O42" s="27" t="str">
        <x:f>IF(A42="","",MAX(0,MIN(100,ROUND(((J42*0.45)+(K42*0.35)-(L42*0.20))*20,0))))</x:f>
      </x:c>
      <x:c r="P42" s="27"/>
      <x:c r="Q42" s="27"/>
      <x:c r="R42" s="27"/>
      <x:c r="S42" s="27"/>
      <x:c r="T42" s="27"/>
      <x:c r="U42" s="27"/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 t="str"/>
      <x:c r="K43" s="27" t="str"/>
      <x:c r="L43" s="27" t="str"/>
      <x:c r="M43" s="27" t="str">
        <x:f>IF(A43="","",COUNTIF('Страницы_и_экраны'!$E$5:$E$304,A43))</x:f>
      </x:c>
      <x:c r="N43" s="27" t="str">
        <x:f>IF(A43="","",IF(M43&gt;0,"Покрыт","Нет страницы/экрана"))</x:f>
      </x:c>
      <x:c r="O43" s="27" t="str">
        <x:f>IF(A43="","",MAX(0,MIN(100,ROUND(((J43*0.45)+(K43*0.35)-(L43*0.20))*20,0))))</x:f>
      </x:c>
      <x:c r="P43" s="27"/>
      <x:c r="Q43" s="27"/>
      <x:c r="R43" s="27"/>
      <x:c r="S43" s="27"/>
      <x:c r="T43" s="27"/>
      <x:c r="U43" s="27"/>
    </x:row>
    <x:row r="44">
      <x:c r="A44" s="27" t="str"/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/>
      <x:c r="J44" s="27" t="str"/>
      <x:c r="K44" s="27" t="str"/>
      <x:c r="L44" s="27" t="str"/>
      <x:c r="M44" s="27" t="str">
        <x:f>IF(A44="","",COUNTIF('Страницы_и_экраны'!$E$5:$E$304,A44))</x:f>
      </x:c>
      <x:c r="N44" s="27" t="str">
        <x:f>IF(A44="","",IF(M44&gt;0,"Покрыт","Нет страницы/экрана"))</x:f>
      </x:c>
      <x:c r="O44" s="27" t="str">
        <x:f>IF(A44="","",MAX(0,MIN(100,ROUND(((J44*0.45)+(K44*0.35)-(L44*0.20))*20,0))))</x:f>
      </x:c>
      <x:c r="P44" s="27"/>
      <x:c r="Q44" s="27"/>
      <x:c r="R44" s="27"/>
      <x:c r="S44" s="27"/>
      <x:c r="T44" s="27"/>
      <x:c r="U44" s="27"/>
    </x:row>
    <x:row r="45">
      <x:c r="A45" s="27" t="str"/>
      <x:c r="B45" s="27" t="str"/>
      <x:c r="C45" s="27" t="str"/>
      <x:c r="D45" s="27" t="str"/>
      <x:c r="E45" s="27" t="str"/>
      <x:c r="F45" s="27" t="str"/>
      <x:c r="G45" s="27" t="str"/>
      <x:c r="H45" s="27" t="str"/>
      <x:c r="I45" s="27" t="str"/>
      <x:c r="J45" s="27" t="str"/>
      <x:c r="K45" s="27" t="str"/>
      <x:c r="L45" s="27" t="str"/>
      <x:c r="M45" s="27" t="str">
        <x:f>IF(A45="","",COUNTIF('Страницы_и_экраны'!$E$5:$E$304,A45))</x:f>
      </x:c>
      <x:c r="N45" s="27" t="str">
        <x:f>IF(A45="","",IF(M45&gt;0,"Покрыт","Нет страницы/экрана"))</x:f>
      </x:c>
      <x:c r="O45" s="27" t="str">
        <x:f>IF(A45="","",MAX(0,MIN(100,ROUND(((J45*0.45)+(K45*0.35)-(L45*0.20))*20,0))))</x:f>
      </x:c>
      <x:c r="P45" s="27"/>
      <x:c r="Q45" s="27"/>
      <x:c r="R45" s="27"/>
      <x:c r="S45" s="27"/>
      <x:c r="T45" s="27"/>
      <x:c r="U45" s="27"/>
    </x:row>
    <x:row r="46">
      <x:c r="A46" s="27" t="str"/>
      <x:c r="B46" s="27" t="str"/>
      <x:c r="C46" s="27" t="str"/>
      <x:c r="D46" s="27" t="str"/>
      <x:c r="E46" s="27" t="str"/>
      <x:c r="F46" s="27" t="str"/>
      <x:c r="G46" s="27" t="str"/>
      <x:c r="H46" s="27" t="str"/>
      <x:c r="I46" s="27" t="str"/>
      <x:c r="J46" s="27" t="str"/>
      <x:c r="K46" s="27" t="str"/>
      <x:c r="L46" s="27" t="str"/>
      <x:c r="M46" s="27" t="str">
        <x:f>IF(A46="","",COUNTIF('Страницы_и_экраны'!$E$5:$E$304,A46))</x:f>
      </x:c>
      <x:c r="N46" s="27" t="str">
        <x:f>IF(A46="","",IF(M46&gt;0,"Покрыт","Нет страницы/экрана"))</x:f>
      </x:c>
      <x:c r="O46" s="27" t="str">
        <x:f>IF(A46="","",MAX(0,MIN(100,ROUND(((J46*0.45)+(K46*0.35)-(L46*0.20))*20,0))))</x:f>
      </x:c>
      <x:c r="P46" s="27"/>
      <x:c r="Q46" s="27"/>
      <x:c r="R46" s="27"/>
      <x:c r="S46" s="27"/>
      <x:c r="T46" s="27"/>
      <x:c r="U46" s="27"/>
    </x:row>
    <x:row r="47">
      <x:c r="A47" s="27" t="str"/>
      <x:c r="B47" s="27" t="str"/>
      <x:c r="C47" s="27" t="str"/>
      <x:c r="D47" s="27" t="str"/>
      <x:c r="E47" s="27" t="str"/>
      <x:c r="F47" s="27" t="str"/>
      <x:c r="G47" s="27" t="str"/>
      <x:c r="H47" s="27" t="str"/>
      <x:c r="I47" s="27" t="str"/>
      <x:c r="J47" s="27" t="str"/>
      <x:c r="K47" s="27" t="str"/>
      <x:c r="L47" s="27" t="str"/>
      <x:c r="M47" s="27" t="str">
        <x:f>IF(A47="","",COUNTIF('Страницы_и_экраны'!$E$5:$E$304,A47))</x:f>
      </x:c>
      <x:c r="N47" s="27" t="str">
        <x:f>IF(A47="","",IF(M47&gt;0,"Покрыт","Нет страницы/экрана"))</x:f>
      </x:c>
      <x:c r="O47" s="27" t="str">
        <x:f>IF(A47="","",MAX(0,MIN(100,ROUND(((J47*0.45)+(K47*0.35)-(L47*0.20))*20,0))))</x:f>
      </x:c>
      <x:c r="P47" s="27"/>
      <x:c r="Q47" s="27"/>
      <x:c r="R47" s="27"/>
      <x:c r="S47" s="27"/>
      <x:c r="T47" s="27"/>
      <x:c r="U47" s="27"/>
    </x:row>
    <x:row r="48">
      <x:c r="A48" s="27" t="str"/>
      <x:c r="B48" s="27" t="str"/>
      <x:c r="C48" s="27" t="str"/>
      <x:c r="D48" s="27" t="str"/>
      <x:c r="E48" s="27" t="str"/>
      <x:c r="F48" s="27" t="str"/>
      <x:c r="G48" s="27" t="str"/>
      <x:c r="H48" s="27" t="str"/>
      <x:c r="I48" s="27" t="str"/>
      <x:c r="J48" s="27" t="str"/>
      <x:c r="K48" s="27" t="str"/>
      <x:c r="L48" s="27" t="str"/>
      <x:c r="M48" s="27" t="str">
        <x:f>IF(A48="","",COUNTIF('Страницы_и_экраны'!$E$5:$E$304,A48))</x:f>
      </x:c>
      <x:c r="N48" s="27" t="str">
        <x:f>IF(A48="","",IF(M48&gt;0,"Покрыт","Нет страницы/экрана"))</x:f>
      </x:c>
      <x:c r="O48" s="27" t="str">
        <x:f>IF(A48="","",MAX(0,MIN(100,ROUND(((J48*0.45)+(K48*0.35)-(L48*0.20))*20,0))))</x:f>
      </x:c>
      <x:c r="P48" s="27"/>
      <x:c r="Q48" s="27"/>
      <x:c r="R48" s="27"/>
      <x:c r="S48" s="27"/>
      <x:c r="T48" s="27"/>
      <x:c r="U48" s="27"/>
    </x:row>
    <x:row r="49">
      <x:c r="A49" s="27" t="str"/>
      <x:c r="B49" s="27" t="str"/>
      <x:c r="C49" s="27" t="str"/>
      <x:c r="D49" s="27" t="str"/>
      <x:c r="E49" s="27" t="str"/>
      <x:c r="F49" s="27" t="str"/>
      <x:c r="G49" s="27" t="str"/>
      <x:c r="H49" s="27" t="str"/>
      <x:c r="I49" s="27" t="str"/>
      <x:c r="J49" s="27" t="str"/>
      <x:c r="K49" s="27" t="str"/>
      <x:c r="L49" s="27" t="str"/>
      <x:c r="M49" s="27" t="str">
        <x:f>IF(A49="","",COUNTIF('Страницы_и_экраны'!$E$5:$E$304,A49))</x:f>
      </x:c>
      <x:c r="N49" s="27" t="str">
        <x:f>IF(A49="","",IF(M49&gt;0,"Покрыт","Нет страницы/экрана"))</x:f>
      </x:c>
      <x:c r="O49" s="27" t="str">
        <x:f>IF(A49="","",MAX(0,MIN(100,ROUND(((J49*0.45)+(K49*0.35)-(L49*0.20))*20,0))))</x:f>
      </x:c>
      <x:c r="P49" s="27"/>
      <x:c r="Q49" s="27"/>
      <x:c r="R49" s="27"/>
      <x:c r="S49" s="27"/>
      <x:c r="T49" s="27"/>
      <x:c r="U49" s="27"/>
    </x:row>
    <x:row r="50">
      <x:c r="A50" s="27" t="str"/>
      <x:c r="B50" s="27" t="str"/>
      <x:c r="C50" s="27" t="str"/>
      <x:c r="D50" s="27" t="str"/>
      <x:c r="E50" s="27" t="str"/>
      <x:c r="F50" s="27" t="str"/>
      <x:c r="G50" s="27" t="str"/>
      <x:c r="H50" s="27" t="str"/>
      <x:c r="I50" s="27" t="str"/>
      <x:c r="J50" s="27" t="str"/>
      <x:c r="K50" s="27" t="str"/>
      <x:c r="L50" s="27" t="str"/>
      <x:c r="M50" s="27" t="str">
        <x:f>IF(A50="","",COUNTIF('Страницы_и_экраны'!$E$5:$E$304,A50))</x:f>
      </x:c>
      <x:c r="N50" s="27" t="str">
        <x:f>IF(A50="","",IF(M50&gt;0,"Покрыт","Нет страницы/экрана"))</x:f>
      </x:c>
      <x:c r="O50" s="27" t="str">
        <x:f>IF(A50="","",MAX(0,MIN(100,ROUND(((J50*0.45)+(K50*0.35)-(L50*0.20))*20,0))))</x:f>
      </x:c>
      <x:c r="P50" s="27"/>
      <x:c r="Q50" s="27"/>
      <x:c r="R50" s="27"/>
      <x:c r="S50" s="27"/>
      <x:c r="T50" s="27"/>
      <x:c r="U50" s="27"/>
    </x:row>
    <x:row r="51">
      <x:c r="A51" s="27" t="str"/>
      <x:c r="B51" s="27" t="str"/>
      <x:c r="C51" s="27" t="str"/>
      <x:c r="D51" s="27" t="str"/>
      <x:c r="E51" s="27" t="str"/>
      <x:c r="F51" s="27" t="str"/>
      <x:c r="G51" s="27" t="str"/>
      <x:c r="H51" s="27" t="str"/>
      <x:c r="I51" s="27" t="str"/>
      <x:c r="J51" s="27" t="str"/>
      <x:c r="K51" s="27" t="str"/>
      <x:c r="L51" s="27" t="str"/>
      <x:c r="M51" s="27" t="str">
        <x:f>IF(A51="","",COUNTIF('Страницы_и_экраны'!$E$5:$E$304,A51))</x:f>
      </x:c>
      <x:c r="N51" s="27" t="str">
        <x:f>IF(A51="","",IF(M51&gt;0,"Покрыт","Нет страницы/экрана"))</x:f>
      </x:c>
      <x:c r="O51" s="27" t="str">
        <x:f>IF(A51="","",MAX(0,MIN(100,ROUND(((J51*0.45)+(K51*0.35)-(L51*0.20))*20,0))))</x:f>
      </x:c>
      <x:c r="P51" s="27"/>
      <x:c r="Q51" s="27"/>
      <x:c r="R51" s="27"/>
      <x:c r="S51" s="27"/>
      <x:c r="T51" s="27"/>
      <x:c r="U51" s="27"/>
    </x:row>
    <x:row r="52">
      <x:c r="A52" s="27" t="str"/>
      <x:c r="B52" s="27" t="str"/>
      <x:c r="C52" s="27" t="str"/>
      <x:c r="D52" s="27" t="str"/>
      <x:c r="E52" s="27" t="str"/>
      <x:c r="F52" s="27" t="str"/>
      <x:c r="G52" s="27" t="str"/>
      <x:c r="H52" s="27" t="str"/>
      <x:c r="I52" s="27" t="str"/>
      <x:c r="J52" s="27" t="str"/>
      <x:c r="K52" s="27" t="str"/>
      <x:c r="L52" s="27" t="str"/>
      <x:c r="M52" s="27" t="str">
        <x:f>IF(A52="","",COUNTIF('Страницы_и_экраны'!$E$5:$E$304,A52))</x:f>
      </x:c>
      <x:c r="N52" s="27" t="str">
        <x:f>IF(A52="","",IF(M52&gt;0,"Покрыт","Нет страницы/экрана"))</x:f>
      </x:c>
      <x:c r="O52" s="27" t="str">
        <x:f>IF(A52="","",MAX(0,MIN(100,ROUND(((J52*0.45)+(K52*0.35)-(L52*0.20))*20,0))))</x:f>
      </x:c>
      <x:c r="P52" s="27"/>
      <x:c r="Q52" s="27"/>
      <x:c r="R52" s="27"/>
      <x:c r="S52" s="27"/>
      <x:c r="T52" s="27"/>
      <x:c r="U52" s="27"/>
    </x:row>
    <x:row r="53">
      <x:c r="A53" s="27" t="str"/>
      <x:c r="B53" s="27" t="str"/>
      <x:c r="C53" s="27" t="str"/>
      <x:c r="D53" s="27" t="str"/>
      <x:c r="E53" s="27" t="str"/>
      <x:c r="F53" s="27" t="str"/>
      <x:c r="G53" s="27" t="str"/>
      <x:c r="H53" s="27" t="str"/>
      <x:c r="I53" s="27" t="str"/>
      <x:c r="J53" s="27" t="str"/>
      <x:c r="K53" s="27" t="str"/>
      <x:c r="L53" s="27" t="str"/>
      <x:c r="M53" s="27" t="str">
        <x:f>IF(A53="","",COUNTIF('Страницы_и_экраны'!$E$5:$E$304,A53))</x:f>
      </x:c>
      <x:c r="N53" s="27" t="str">
        <x:f>IF(A53="","",IF(M53&gt;0,"Покрыт","Нет страницы/экрана"))</x:f>
      </x:c>
      <x:c r="O53" s="27" t="str">
        <x:f>IF(A53="","",MAX(0,MIN(100,ROUND(((J53*0.45)+(K53*0.35)-(L53*0.20))*20,0))))</x:f>
      </x:c>
      <x:c r="P53" s="27"/>
      <x:c r="Q53" s="27"/>
      <x:c r="R53" s="27"/>
      <x:c r="S53" s="27"/>
      <x:c r="T53" s="27"/>
      <x:c r="U53" s="27"/>
    </x:row>
    <x:row r="54">
      <x:c r="A54" s="27" t="str"/>
      <x:c r="B54" s="27" t="str"/>
      <x:c r="C54" s="27" t="str"/>
      <x:c r="D54" s="27" t="str"/>
      <x:c r="E54" s="27" t="str"/>
      <x:c r="F54" s="27" t="str"/>
      <x:c r="G54" s="27" t="str"/>
      <x:c r="H54" s="27" t="str"/>
      <x:c r="I54" s="27" t="str"/>
      <x:c r="J54" s="27" t="str"/>
      <x:c r="K54" s="27" t="str"/>
      <x:c r="L54" s="27" t="str"/>
      <x:c r="M54" s="27" t="str">
        <x:f>IF(A54="","",COUNTIF('Страницы_и_экраны'!$E$5:$E$304,A54))</x:f>
      </x:c>
      <x:c r="N54" s="27" t="str">
        <x:f>IF(A54="","",IF(M54&gt;0,"Покрыт","Нет страницы/экрана"))</x:f>
      </x:c>
      <x:c r="O54" s="27" t="str">
        <x:f>IF(A54="","",MAX(0,MIN(100,ROUND(((J54*0.45)+(K54*0.35)-(L54*0.20))*20,0))))</x:f>
      </x:c>
      <x:c r="P54" s="27"/>
      <x:c r="Q54" s="27"/>
      <x:c r="R54" s="27"/>
      <x:c r="S54" s="27"/>
      <x:c r="T54" s="27"/>
      <x:c r="U54" s="27"/>
    </x:row>
    <x:row r="55">
      <x:c r="A55" s="27" t="str"/>
      <x:c r="B55" s="27" t="str"/>
      <x:c r="C55" s="27" t="str"/>
      <x:c r="D55" s="27" t="str"/>
      <x:c r="E55" s="27" t="str"/>
      <x:c r="F55" s="27" t="str"/>
      <x:c r="G55" s="27" t="str"/>
      <x:c r="H55" s="27" t="str"/>
      <x:c r="I55" s="27" t="str"/>
      <x:c r="J55" s="27" t="str"/>
      <x:c r="K55" s="27" t="str"/>
      <x:c r="L55" s="27" t="str"/>
      <x:c r="M55" s="27" t="str">
        <x:f>IF(A55="","",COUNTIF('Страницы_и_экраны'!$E$5:$E$304,A55))</x:f>
      </x:c>
      <x:c r="N55" s="27" t="str">
        <x:f>IF(A55="","",IF(M55&gt;0,"Покрыт","Нет страницы/экрана"))</x:f>
      </x:c>
      <x:c r="O55" s="27" t="str">
        <x:f>IF(A55="","",MAX(0,MIN(100,ROUND(((J55*0.45)+(K55*0.35)-(L55*0.20))*20,0))))</x:f>
      </x:c>
      <x:c r="P55" s="27"/>
      <x:c r="Q55" s="27"/>
      <x:c r="R55" s="27"/>
      <x:c r="S55" s="27"/>
      <x:c r="T55" s="27"/>
      <x:c r="U55" s="27"/>
    </x:row>
    <x:row r="56">
      <x:c r="A56" s="27" t="str"/>
      <x:c r="B56" s="27" t="str"/>
      <x:c r="C56" s="27" t="str"/>
      <x:c r="D56" s="27" t="str"/>
      <x:c r="E56" s="27" t="str"/>
      <x:c r="F56" s="27" t="str"/>
      <x:c r="G56" s="27" t="str"/>
      <x:c r="H56" s="27" t="str"/>
      <x:c r="I56" s="27" t="str"/>
      <x:c r="J56" s="27" t="str"/>
      <x:c r="K56" s="27" t="str"/>
      <x:c r="L56" s="27" t="str"/>
      <x:c r="M56" s="27" t="str">
        <x:f>IF(A56="","",COUNTIF('Страницы_и_экраны'!$E$5:$E$304,A56))</x:f>
      </x:c>
      <x:c r="N56" s="27" t="str">
        <x:f>IF(A56="","",IF(M56&gt;0,"Покрыт","Нет страницы/экрана"))</x:f>
      </x:c>
      <x:c r="O56" s="27" t="str">
        <x:f>IF(A56="","",MAX(0,MIN(100,ROUND(((J56*0.45)+(K56*0.35)-(L56*0.20))*20,0))))</x:f>
      </x:c>
      <x:c r="P56" s="27"/>
      <x:c r="Q56" s="27"/>
      <x:c r="R56" s="27"/>
      <x:c r="S56" s="27"/>
      <x:c r="T56" s="27"/>
      <x:c r="U56" s="27"/>
    </x:row>
    <x:row r="57">
      <x:c r="A57" s="27" t="str"/>
      <x:c r="B57" s="27" t="str"/>
      <x:c r="C57" s="27" t="str"/>
      <x:c r="D57" s="27" t="str"/>
      <x:c r="E57" s="27" t="str"/>
      <x:c r="F57" s="27" t="str"/>
      <x:c r="G57" s="27" t="str"/>
      <x:c r="H57" s="27" t="str"/>
      <x:c r="I57" s="27" t="str"/>
      <x:c r="J57" s="27" t="str"/>
      <x:c r="K57" s="27" t="str"/>
      <x:c r="L57" s="27" t="str"/>
      <x:c r="M57" s="27" t="str">
        <x:f>IF(A57="","",COUNTIF('Страницы_и_экраны'!$E$5:$E$304,A57))</x:f>
      </x:c>
      <x:c r="N57" s="27" t="str">
        <x:f>IF(A57="","",IF(M57&gt;0,"Покрыт","Нет страницы/экрана"))</x:f>
      </x:c>
      <x:c r="O57" s="27" t="str">
        <x:f>IF(A57="","",MAX(0,MIN(100,ROUND(((J57*0.45)+(K57*0.35)-(L57*0.20))*20,0))))</x:f>
      </x:c>
      <x:c r="P57" s="27"/>
      <x:c r="Q57" s="27"/>
      <x:c r="R57" s="27"/>
      <x:c r="S57" s="27"/>
      <x:c r="T57" s="27"/>
      <x:c r="U57" s="27"/>
    </x:row>
    <x:row r="58">
      <x:c r="A58" s="27" t="str"/>
      <x:c r="B58" s="27" t="str"/>
      <x:c r="C58" s="27" t="str"/>
      <x:c r="D58" s="27" t="str"/>
      <x:c r="E58" s="27" t="str"/>
      <x:c r="F58" s="27" t="str"/>
      <x:c r="G58" s="27" t="str"/>
      <x:c r="H58" s="27" t="str"/>
      <x:c r="I58" s="27" t="str"/>
      <x:c r="J58" s="27" t="str"/>
      <x:c r="K58" s="27" t="str"/>
      <x:c r="L58" s="27" t="str"/>
      <x:c r="M58" s="27" t="str">
        <x:f>IF(A58="","",COUNTIF('Страницы_и_экраны'!$E$5:$E$304,A58))</x:f>
      </x:c>
      <x:c r="N58" s="27" t="str">
        <x:f>IF(A58="","",IF(M58&gt;0,"Покрыт","Нет страницы/экрана"))</x:f>
      </x:c>
      <x:c r="O58" s="27" t="str">
        <x:f>IF(A58="","",MAX(0,MIN(100,ROUND(((J58*0.45)+(K58*0.35)-(L58*0.20))*20,0))))</x:f>
      </x:c>
      <x:c r="P58" s="27"/>
      <x:c r="Q58" s="27"/>
      <x:c r="R58" s="27"/>
      <x:c r="S58" s="27"/>
      <x:c r="T58" s="27"/>
      <x:c r="U58" s="27"/>
    </x:row>
    <x:row r="59">
      <x:c r="A59" s="27" t="str"/>
      <x:c r="B59" s="27" t="str"/>
      <x:c r="C59" s="27" t="str"/>
      <x:c r="D59" s="27" t="str"/>
      <x:c r="E59" s="27" t="str"/>
      <x:c r="F59" s="27" t="str"/>
      <x:c r="G59" s="27" t="str"/>
      <x:c r="H59" s="27" t="str"/>
      <x:c r="I59" s="27" t="str"/>
      <x:c r="J59" s="27" t="str"/>
      <x:c r="K59" s="27" t="str"/>
      <x:c r="L59" s="27" t="str"/>
      <x:c r="M59" s="27" t="str">
        <x:f>IF(A59="","",COUNTIF('Страницы_и_экраны'!$E$5:$E$304,A59))</x:f>
      </x:c>
      <x:c r="N59" s="27" t="str">
        <x:f>IF(A59="","",IF(M59&gt;0,"Покрыт","Нет страницы/экрана"))</x:f>
      </x:c>
      <x:c r="O59" s="27" t="str">
        <x:f>IF(A59="","",MAX(0,MIN(100,ROUND(((J59*0.45)+(K59*0.35)-(L59*0.20))*20,0))))</x:f>
      </x:c>
      <x:c r="P59" s="27"/>
      <x:c r="Q59" s="27"/>
      <x:c r="R59" s="27"/>
      <x:c r="S59" s="27"/>
      <x:c r="T59" s="27"/>
      <x:c r="U59" s="27"/>
    </x:row>
    <x:row r="60">
      <x:c r="A60" s="27" t="str"/>
      <x:c r="B60" s="27" t="str"/>
      <x:c r="C60" s="27" t="str"/>
      <x:c r="D60" s="27" t="str"/>
      <x:c r="E60" s="27" t="str"/>
      <x:c r="F60" s="27" t="str"/>
      <x:c r="G60" s="27" t="str"/>
      <x:c r="H60" s="27" t="str"/>
      <x:c r="I60" s="27" t="str"/>
      <x:c r="J60" s="27" t="str"/>
      <x:c r="K60" s="27" t="str"/>
      <x:c r="L60" s="27" t="str"/>
      <x:c r="M60" s="27" t="str">
        <x:f>IF(A60="","",COUNTIF('Страницы_и_экраны'!$E$5:$E$304,A60))</x:f>
      </x:c>
      <x:c r="N60" s="27" t="str">
        <x:f>IF(A60="","",IF(M60&gt;0,"Покрыт","Нет страницы/экрана"))</x:f>
      </x:c>
      <x:c r="O60" s="27" t="str">
        <x:f>IF(A60="","",MAX(0,MIN(100,ROUND(((J60*0.45)+(K60*0.35)-(L60*0.20))*20,0))))</x:f>
      </x:c>
      <x:c r="P60" s="27"/>
      <x:c r="Q60" s="27"/>
      <x:c r="R60" s="27"/>
      <x:c r="S60" s="27"/>
      <x:c r="T60" s="27"/>
      <x:c r="U60" s="27"/>
    </x:row>
    <x:row r="61">
      <x:c r="A61" s="27" t="str"/>
      <x:c r="B61" s="27" t="str"/>
      <x:c r="C61" s="27" t="str"/>
      <x:c r="D61" s="27" t="str"/>
      <x:c r="E61" s="27" t="str"/>
      <x:c r="F61" s="27" t="str"/>
      <x:c r="G61" s="27" t="str"/>
      <x:c r="H61" s="27" t="str"/>
      <x:c r="I61" s="27" t="str"/>
      <x:c r="J61" s="27" t="str"/>
      <x:c r="K61" s="27" t="str"/>
      <x:c r="L61" s="27" t="str"/>
      <x:c r="M61" s="27" t="str">
        <x:f>IF(A61="","",COUNTIF('Страницы_и_экраны'!$E$5:$E$304,A61))</x:f>
      </x:c>
      <x:c r="N61" s="27" t="str">
        <x:f>IF(A61="","",IF(M61&gt;0,"Покрыт","Нет страницы/экрана"))</x:f>
      </x:c>
      <x:c r="O61" s="27" t="str">
        <x:f>IF(A61="","",MAX(0,MIN(100,ROUND(((J61*0.45)+(K61*0.35)-(L61*0.20))*20,0))))</x:f>
      </x:c>
      <x:c r="P61" s="27"/>
      <x:c r="Q61" s="27"/>
      <x:c r="R61" s="27"/>
      <x:c r="S61" s="27"/>
      <x:c r="T61" s="27"/>
      <x:c r="U61" s="27"/>
    </x:row>
    <x:row r="62">
      <x:c r="A62" s="27" t="str"/>
      <x:c r="B62" s="27" t="str"/>
      <x:c r="C62" s="27" t="str"/>
      <x:c r="D62" s="27" t="str"/>
      <x:c r="E62" s="27" t="str"/>
      <x:c r="F62" s="27" t="str"/>
      <x:c r="G62" s="27" t="str"/>
      <x:c r="H62" s="27" t="str"/>
      <x:c r="I62" s="27" t="str"/>
      <x:c r="J62" s="27" t="str"/>
      <x:c r="K62" s="27" t="str"/>
      <x:c r="L62" s="27" t="str"/>
      <x:c r="M62" s="27" t="str">
        <x:f>IF(A62="","",COUNTIF('Страницы_и_экраны'!$E$5:$E$304,A62))</x:f>
      </x:c>
      <x:c r="N62" s="27" t="str">
        <x:f>IF(A62="","",IF(M62&gt;0,"Покрыт","Нет страницы/экрана"))</x:f>
      </x:c>
      <x:c r="O62" s="27" t="str">
        <x:f>IF(A62="","",MAX(0,MIN(100,ROUND(((J62*0.45)+(K62*0.35)-(L62*0.20))*20,0))))</x:f>
      </x:c>
      <x:c r="P62" s="27"/>
      <x:c r="Q62" s="27"/>
      <x:c r="R62" s="27"/>
      <x:c r="S62" s="27"/>
      <x:c r="T62" s="27"/>
      <x:c r="U62" s="27"/>
    </x:row>
    <x:row r="63">
      <x:c r="A63" s="27" t="str"/>
      <x:c r="B63" s="27" t="str"/>
      <x:c r="C63" s="27" t="str"/>
      <x:c r="D63" s="27" t="str"/>
      <x:c r="E63" s="27" t="str"/>
      <x:c r="F63" s="27" t="str"/>
      <x:c r="G63" s="27" t="str"/>
      <x:c r="H63" s="27" t="str"/>
      <x:c r="I63" s="27" t="str"/>
      <x:c r="J63" s="27" t="str"/>
      <x:c r="K63" s="27" t="str"/>
      <x:c r="L63" s="27" t="str"/>
      <x:c r="M63" s="27" t="str">
        <x:f>IF(A63="","",COUNTIF('Страницы_и_экраны'!$E$5:$E$304,A63))</x:f>
      </x:c>
      <x:c r="N63" s="27" t="str">
        <x:f>IF(A63="","",IF(M63&gt;0,"Покрыт","Нет страницы/экрана"))</x:f>
      </x:c>
      <x:c r="O63" s="27" t="str">
        <x:f>IF(A63="","",MAX(0,MIN(100,ROUND(((J63*0.45)+(K63*0.35)-(L63*0.20))*20,0))))</x:f>
      </x:c>
      <x:c r="P63" s="27"/>
      <x:c r="Q63" s="27"/>
      <x:c r="R63" s="27"/>
      <x:c r="S63" s="27"/>
      <x:c r="T63" s="27"/>
      <x:c r="U63" s="27"/>
    </x:row>
    <x:row r="64">
      <x:c r="A64" s="27" t="str"/>
      <x:c r="B64" s="27" t="str"/>
      <x:c r="C64" s="27" t="str"/>
      <x:c r="D64" s="27" t="str"/>
      <x:c r="E64" s="27" t="str"/>
      <x:c r="F64" s="27" t="str"/>
      <x:c r="G64" s="27" t="str"/>
      <x:c r="H64" s="27" t="str"/>
      <x:c r="I64" s="27" t="str"/>
      <x:c r="J64" s="27" t="str"/>
      <x:c r="K64" s="27" t="str"/>
      <x:c r="L64" s="27" t="str"/>
      <x:c r="M64" s="27" t="str">
        <x:f>IF(A64="","",COUNTIF('Страницы_и_экраны'!$E$5:$E$304,A64))</x:f>
      </x:c>
      <x:c r="N64" s="27" t="str">
        <x:f>IF(A64="","",IF(M64&gt;0,"Покрыт","Нет страницы/экрана"))</x:f>
      </x:c>
      <x:c r="O64" s="27" t="str">
        <x:f>IF(A64="","",MAX(0,MIN(100,ROUND(((J64*0.45)+(K64*0.35)-(L64*0.20))*20,0))))</x:f>
      </x:c>
      <x:c r="P64" s="27"/>
      <x:c r="Q64" s="27"/>
      <x:c r="R64" s="27"/>
      <x:c r="S64" s="27"/>
      <x:c r="T64" s="27"/>
      <x:c r="U64" s="27"/>
    </x:row>
    <x:row r="65">
      <x:c r="A65" s="27" t="str"/>
      <x:c r="B65" s="27" t="str"/>
      <x:c r="C65" s="27" t="str"/>
      <x:c r="D65" s="27" t="str"/>
      <x:c r="E65" s="27" t="str"/>
      <x:c r="F65" s="27" t="str"/>
      <x:c r="G65" s="27" t="str"/>
      <x:c r="H65" s="27" t="str"/>
      <x:c r="I65" s="27" t="str"/>
      <x:c r="J65" s="27" t="str"/>
      <x:c r="K65" s="27" t="str"/>
      <x:c r="L65" s="27" t="str"/>
      <x:c r="M65" s="27" t="str">
        <x:f>IF(A65="","",COUNTIF('Страницы_и_экраны'!$E$5:$E$304,A65))</x:f>
      </x:c>
      <x:c r="N65" s="27" t="str">
        <x:f>IF(A65="","",IF(M65&gt;0,"Покрыт","Нет страницы/экрана"))</x:f>
      </x:c>
      <x:c r="O65" s="27" t="str">
        <x:f>IF(A65="","",MAX(0,MIN(100,ROUND(((J65*0.45)+(K65*0.35)-(L65*0.20))*20,0))))</x:f>
      </x:c>
      <x:c r="P65" s="27"/>
      <x:c r="Q65" s="27"/>
      <x:c r="R65" s="27"/>
      <x:c r="S65" s="27"/>
      <x:c r="T65" s="27"/>
      <x:c r="U65" s="27"/>
    </x:row>
    <x:row r="66">
      <x:c r="A66" s="27" t="str"/>
      <x:c r="B66" s="27" t="str"/>
      <x:c r="C66" s="27" t="str"/>
      <x:c r="D66" s="27" t="str"/>
      <x:c r="E66" s="27" t="str"/>
      <x:c r="F66" s="27" t="str"/>
      <x:c r="G66" s="27" t="str"/>
      <x:c r="H66" s="27" t="str"/>
      <x:c r="I66" s="27" t="str"/>
      <x:c r="J66" s="27" t="str"/>
      <x:c r="K66" s="27" t="str"/>
      <x:c r="L66" s="27" t="str"/>
      <x:c r="M66" s="27" t="str">
        <x:f>IF(A66="","",COUNTIF('Страницы_и_экраны'!$E$5:$E$304,A66))</x:f>
      </x:c>
      <x:c r="N66" s="27" t="str">
        <x:f>IF(A66="","",IF(M66&gt;0,"Покрыт","Нет страницы/экрана"))</x:f>
      </x:c>
      <x:c r="O66" s="27" t="str">
        <x:f>IF(A66="","",MAX(0,MIN(100,ROUND(((J66*0.45)+(K66*0.35)-(L66*0.20))*20,0))))</x:f>
      </x:c>
      <x:c r="P66" s="27"/>
      <x:c r="Q66" s="27"/>
      <x:c r="R66" s="27"/>
      <x:c r="S66" s="27"/>
      <x:c r="T66" s="27"/>
      <x:c r="U66" s="27"/>
    </x:row>
    <x:row r="67">
      <x:c r="A67" s="27" t="str"/>
      <x:c r="B67" s="27" t="str"/>
      <x:c r="C67" s="27" t="str"/>
      <x:c r="D67" s="27" t="str"/>
      <x:c r="E67" s="27" t="str"/>
      <x:c r="F67" s="27" t="str"/>
      <x:c r="G67" s="27" t="str"/>
      <x:c r="H67" s="27" t="str"/>
      <x:c r="I67" s="27" t="str"/>
      <x:c r="J67" s="27" t="str"/>
      <x:c r="K67" s="27" t="str"/>
      <x:c r="L67" s="27" t="str"/>
      <x:c r="M67" s="27" t="str">
        <x:f>IF(A67="","",COUNTIF('Страницы_и_экраны'!$E$5:$E$304,A67))</x:f>
      </x:c>
      <x:c r="N67" s="27" t="str">
        <x:f>IF(A67="","",IF(M67&gt;0,"Покрыт","Нет страницы/экрана"))</x:f>
      </x:c>
      <x:c r="O67" s="27" t="str">
        <x:f>IF(A67="","",MAX(0,MIN(100,ROUND(((J67*0.45)+(K67*0.35)-(L67*0.20))*20,0))))</x:f>
      </x:c>
      <x:c r="P67" s="27"/>
      <x:c r="Q67" s="27"/>
      <x:c r="R67" s="27"/>
      <x:c r="S67" s="27"/>
      <x:c r="T67" s="27"/>
      <x:c r="U67" s="27"/>
    </x:row>
    <x:row r="68">
      <x:c r="A68" s="27" t="str"/>
      <x:c r="B68" s="27" t="str"/>
      <x:c r="C68" s="27" t="str"/>
      <x:c r="D68" s="27" t="str"/>
      <x:c r="E68" s="27" t="str"/>
      <x:c r="F68" s="27" t="str"/>
      <x:c r="G68" s="27" t="str"/>
      <x:c r="H68" s="27" t="str"/>
      <x:c r="I68" s="27" t="str"/>
      <x:c r="J68" s="27" t="str"/>
      <x:c r="K68" s="27" t="str"/>
      <x:c r="L68" s="27" t="str"/>
      <x:c r="M68" s="27" t="str">
        <x:f>IF(A68="","",COUNTIF('Страницы_и_экраны'!$E$5:$E$304,A68))</x:f>
      </x:c>
      <x:c r="N68" s="27" t="str">
        <x:f>IF(A68="","",IF(M68&gt;0,"Покрыт","Нет страницы/экрана"))</x:f>
      </x:c>
      <x:c r="O68" s="27" t="str">
        <x:f>IF(A68="","",MAX(0,MIN(100,ROUND(((J68*0.45)+(K68*0.35)-(L68*0.20))*20,0))))</x:f>
      </x:c>
      <x:c r="P68" s="27"/>
      <x:c r="Q68" s="27"/>
      <x:c r="R68" s="27"/>
      <x:c r="S68" s="27"/>
      <x:c r="T68" s="27"/>
      <x:c r="U68" s="27"/>
    </x:row>
    <x:row r="69">
      <x:c r="A69" s="27" t="str"/>
      <x:c r="B69" s="27" t="str"/>
      <x:c r="C69" s="27" t="str"/>
      <x:c r="D69" s="27" t="str"/>
      <x:c r="E69" s="27" t="str"/>
      <x:c r="F69" s="27" t="str"/>
      <x:c r="G69" s="27" t="str"/>
      <x:c r="H69" s="27" t="str"/>
      <x:c r="I69" s="27" t="str"/>
      <x:c r="J69" s="27" t="str"/>
      <x:c r="K69" s="27" t="str"/>
      <x:c r="L69" s="27" t="str"/>
      <x:c r="M69" s="27" t="str">
        <x:f>IF(A69="","",COUNTIF('Страницы_и_экраны'!$E$5:$E$304,A69))</x:f>
      </x:c>
      <x:c r="N69" s="27" t="str">
        <x:f>IF(A69="","",IF(M69&gt;0,"Покрыт","Нет страницы/экрана"))</x:f>
      </x:c>
      <x:c r="O69" s="27" t="str">
        <x:f>IF(A69="","",MAX(0,MIN(100,ROUND(((J69*0.45)+(K69*0.35)-(L69*0.20))*20,0))))</x:f>
      </x:c>
      <x:c r="P69" s="27"/>
      <x:c r="Q69" s="27"/>
      <x:c r="R69" s="27"/>
      <x:c r="S69" s="27"/>
      <x:c r="T69" s="27"/>
      <x:c r="U69" s="27"/>
    </x:row>
    <x:row r="70">
      <x:c r="A70" s="27" t="str"/>
      <x:c r="B70" s="27" t="str"/>
      <x:c r="C70" s="27" t="str"/>
      <x:c r="D70" s="27" t="str"/>
      <x:c r="E70" s="27" t="str"/>
      <x:c r="F70" s="27" t="str"/>
      <x:c r="G70" s="27" t="str"/>
      <x:c r="H70" s="27" t="str"/>
      <x:c r="I70" s="27" t="str"/>
      <x:c r="J70" s="27" t="str"/>
      <x:c r="K70" s="27" t="str"/>
      <x:c r="L70" s="27" t="str"/>
      <x:c r="M70" s="27" t="str">
        <x:f>IF(A70="","",COUNTIF('Страницы_и_экраны'!$E$5:$E$304,A70))</x:f>
      </x:c>
      <x:c r="N70" s="27" t="str">
        <x:f>IF(A70="","",IF(M70&gt;0,"Покрыт","Нет страницы/экрана"))</x:f>
      </x:c>
      <x:c r="O70" s="27" t="str">
        <x:f>IF(A70="","",MAX(0,MIN(100,ROUND(((J70*0.45)+(K70*0.35)-(L70*0.20))*20,0))))</x:f>
      </x:c>
      <x:c r="P70" s="27"/>
      <x:c r="Q70" s="27"/>
      <x:c r="R70" s="27"/>
      <x:c r="S70" s="27"/>
      <x:c r="T70" s="27"/>
      <x:c r="U70" s="27"/>
    </x:row>
    <x:row r="71">
      <x:c r="A71" s="27" t="str"/>
      <x:c r="B71" s="27" t="str"/>
      <x:c r="C71" s="27" t="str"/>
      <x:c r="D71" s="27" t="str"/>
      <x:c r="E71" s="27" t="str"/>
      <x:c r="F71" s="27" t="str"/>
      <x:c r="G71" s="27" t="str"/>
      <x:c r="H71" s="27" t="str"/>
      <x:c r="I71" s="27" t="str"/>
      <x:c r="J71" s="27" t="str"/>
      <x:c r="K71" s="27" t="str"/>
      <x:c r="L71" s="27" t="str"/>
      <x:c r="M71" s="27" t="str">
        <x:f>IF(A71="","",COUNTIF('Страницы_и_экраны'!$E$5:$E$304,A71))</x:f>
      </x:c>
      <x:c r="N71" s="27" t="str">
        <x:f>IF(A71="","",IF(M71&gt;0,"Покрыт","Нет страницы/экрана"))</x:f>
      </x:c>
      <x:c r="O71" s="27" t="str">
        <x:f>IF(A71="","",MAX(0,MIN(100,ROUND(((J71*0.45)+(K71*0.35)-(L71*0.20))*20,0))))</x:f>
      </x:c>
      <x:c r="P71" s="27"/>
      <x:c r="Q71" s="27"/>
      <x:c r="R71" s="27"/>
      <x:c r="S71" s="27"/>
      <x:c r="T71" s="27"/>
      <x:c r="U71" s="27"/>
    </x:row>
    <x:row r="72">
      <x:c r="A72" s="27" t="str"/>
      <x:c r="B72" s="27" t="str"/>
      <x:c r="C72" s="27" t="str"/>
      <x:c r="D72" s="27" t="str"/>
      <x:c r="E72" s="27" t="str"/>
      <x:c r="F72" s="27" t="str"/>
      <x:c r="G72" s="27" t="str"/>
      <x:c r="H72" s="27" t="str"/>
      <x:c r="I72" s="27" t="str"/>
      <x:c r="J72" s="27" t="str"/>
      <x:c r="K72" s="27" t="str"/>
      <x:c r="L72" s="27" t="str"/>
      <x:c r="M72" s="27" t="str">
        <x:f>IF(A72="","",COUNTIF('Страницы_и_экраны'!$E$5:$E$304,A72))</x:f>
      </x:c>
      <x:c r="N72" s="27" t="str">
        <x:f>IF(A72="","",IF(M72&gt;0,"Покрыт","Нет страницы/экрана"))</x:f>
      </x:c>
      <x:c r="O72" s="27" t="str">
        <x:f>IF(A72="","",MAX(0,MIN(100,ROUND(((J72*0.45)+(K72*0.35)-(L72*0.20))*20,0))))</x:f>
      </x:c>
      <x:c r="P72" s="27"/>
      <x:c r="Q72" s="27"/>
      <x:c r="R72" s="27"/>
      <x:c r="S72" s="27"/>
      <x:c r="T72" s="27"/>
      <x:c r="U72" s="27"/>
    </x:row>
    <x:row r="73">
      <x:c r="A73" s="27" t="str"/>
      <x:c r="B73" s="27" t="str"/>
      <x:c r="C73" s="27" t="str"/>
      <x:c r="D73" s="27" t="str"/>
      <x:c r="E73" s="27" t="str"/>
      <x:c r="F73" s="27" t="str"/>
      <x:c r="G73" s="27" t="str"/>
      <x:c r="H73" s="27" t="str"/>
      <x:c r="I73" s="27" t="str"/>
      <x:c r="J73" s="27" t="str"/>
      <x:c r="K73" s="27" t="str"/>
      <x:c r="L73" s="27" t="str"/>
      <x:c r="M73" s="27" t="str">
        <x:f>IF(A73="","",COUNTIF('Страницы_и_экраны'!$E$5:$E$304,A73))</x:f>
      </x:c>
      <x:c r="N73" s="27" t="str">
        <x:f>IF(A73="","",IF(M73&gt;0,"Покрыт","Нет страницы/экрана"))</x:f>
      </x:c>
      <x:c r="O73" s="27" t="str">
        <x:f>IF(A73="","",MAX(0,MIN(100,ROUND(((J73*0.45)+(K73*0.35)-(L73*0.20))*20,0))))</x:f>
      </x:c>
      <x:c r="P73" s="27"/>
      <x:c r="Q73" s="27"/>
      <x:c r="R73" s="27"/>
      <x:c r="S73" s="27"/>
      <x:c r="T73" s="27"/>
      <x:c r="U73" s="27"/>
    </x:row>
    <x:row r="74">
      <x:c r="A74" s="27" t="str"/>
      <x:c r="B74" s="27" t="str"/>
      <x:c r="C74" s="27" t="str"/>
      <x:c r="D74" s="27" t="str"/>
      <x:c r="E74" s="27" t="str"/>
      <x:c r="F74" s="27" t="str"/>
      <x:c r="G74" s="27" t="str"/>
      <x:c r="H74" s="27" t="str"/>
      <x:c r="I74" s="27" t="str"/>
      <x:c r="J74" s="27" t="str"/>
      <x:c r="K74" s="27" t="str"/>
      <x:c r="L74" s="27" t="str"/>
      <x:c r="M74" s="27" t="str">
        <x:f>IF(A74="","",COUNTIF('Страницы_и_экраны'!$E$5:$E$304,A74))</x:f>
      </x:c>
      <x:c r="N74" s="27" t="str">
        <x:f>IF(A74="","",IF(M74&gt;0,"Покрыт","Нет страницы/экрана"))</x:f>
      </x:c>
      <x:c r="O74" s="27" t="str">
        <x:f>IF(A74="","",MAX(0,MIN(100,ROUND(((J74*0.45)+(K74*0.35)-(L74*0.20))*20,0))))</x:f>
      </x:c>
      <x:c r="P74" s="27"/>
      <x:c r="Q74" s="27"/>
      <x:c r="R74" s="27"/>
      <x:c r="S74" s="27"/>
      <x:c r="T74" s="27"/>
      <x:c r="U74" s="27"/>
    </x:row>
    <x:row r="75">
      <x:c r="A75" s="27" t="str"/>
      <x:c r="B75" s="27" t="str"/>
      <x:c r="C75" s="27" t="str"/>
      <x:c r="D75" s="27" t="str"/>
      <x:c r="E75" s="27" t="str"/>
      <x:c r="F75" s="27" t="str"/>
      <x:c r="G75" s="27" t="str"/>
      <x:c r="H75" s="27" t="str"/>
      <x:c r="I75" s="27" t="str"/>
      <x:c r="J75" s="27" t="str"/>
      <x:c r="K75" s="27" t="str"/>
      <x:c r="L75" s="27" t="str"/>
      <x:c r="M75" s="27" t="str">
        <x:f>IF(A75="","",COUNTIF('Страницы_и_экраны'!$E$5:$E$304,A75))</x:f>
      </x:c>
      <x:c r="N75" s="27" t="str">
        <x:f>IF(A75="","",IF(M75&gt;0,"Покрыт","Нет страницы/экрана"))</x:f>
      </x:c>
      <x:c r="O75" s="27" t="str">
        <x:f>IF(A75="","",MAX(0,MIN(100,ROUND(((J75*0.45)+(K75*0.35)-(L75*0.20))*20,0))))</x:f>
      </x:c>
      <x:c r="P75" s="27"/>
      <x:c r="Q75" s="27"/>
      <x:c r="R75" s="27"/>
      <x:c r="S75" s="27"/>
      <x:c r="T75" s="27"/>
      <x:c r="U75" s="27"/>
    </x:row>
    <x:row r="76">
      <x:c r="A76" s="27" t="str"/>
      <x:c r="B76" s="27" t="str"/>
      <x:c r="C76" s="27" t="str"/>
      <x:c r="D76" s="27" t="str"/>
      <x:c r="E76" s="27" t="str"/>
      <x:c r="F76" s="27" t="str"/>
      <x:c r="G76" s="27" t="str"/>
      <x:c r="H76" s="27" t="str"/>
      <x:c r="I76" s="27" t="str"/>
      <x:c r="J76" s="27" t="str"/>
      <x:c r="K76" s="27" t="str"/>
      <x:c r="L76" s="27" t="str"/>
      <x:c r="M76" s="27" t="str">
        <x:f>IF(A76="","",COUNTIF('Страницы_и_экраны'!$E$5:$E$304,A76))</x:f>
      </x:c>
      <x:c r="N76" s="27" t="str">
        <x:f>IF(A76="","",IF(M76&gt;0,"Покрыт","Нет страницы/экрана"))</x:f>
      </x:c>
      <x:c r="O76" s="27" t="str">
        <x:f>IF(A76="","",MAX(0,MIN(100,ROUND(((J76*0.45)+(K76*0.35)-(L76*0.20))*20,0))))</x:f>
      </x:c>
      <x:c r="P76" s="27"/>
      <x:c r="Q76" s="27"/>
      <x:c r="R76" s="27"/>
      <x:c r="S76" s="27"/>
      <x:c r="T76" s="27"/>
      <x:c r="U76" s="27"/>
    </x:row>
    <x:row r="77">
      <x:c r="A77" s="27" t="str"/>
      <x:c r="B77" s="27" t="str"/>
      <x:c r="C77" s="27" t="str"/>
      <x:c r="D77" s="27" t="str"/>
      <x:c r="E77" s="27" t="str"/>
      <x:c r="F77" s="27" t="str"/>
      <x:c r="G77" s="27" t="str"/>
      <x:c r="H77" s="27" t="str"/>
      <x:c r="I77" s="27" t="str"/>
      <x:c r="J77" s="27" t="str"/>
      <x:c r="K77" s="27" t="str"/>
      <x:c r="L77" s="27" t="str"/>
      <x:c r="M77" s="27" t="str">
        <x:f>IF(A77="","",COUNTIF('Страницы_и_экраны'!$E$5:$E$304,A77))</x:f>
      </x:c>
      <x:c r="N77" s="27" t="str">
        <x:f>IF(A77="","",IF(M77&gt;0,"Покрыт","Нет страницы/экрана"))</x:f>
      </x:c>
      <x:c r="O77" s="27" t="str">
        <x:f>IF(A77="","",MAX(0,MIN(100,ROUND(((J77*0.45)+(K77*0.35)-(L77*0.20))*20,0))))</x:f>
      </x:c>
      <x:c r="P77" s="27"/>
      <x:c r="Q77" s="27"/>
      <x:c r="R77" s="27"/>
      <x:c r="S77" s="27"/>
      <x:c r="T77" s="27"/>
      <x:c r="U77" s="27"/>
    </x:row>
    <x:row r="78">
      <x:c r="A78" s="27" t="str"/>
      <x:c r="B78" s="27" t="str"/>
      <x:c r="C78" s="27" t="str"/>
      <x:c r="D78" s="27" t="str"/>
      <x:c r="E78" s="27" t="str"/>
      <x:c r="F78" s="27" t="str"/>
      <x:c r="G78" s="27" t="str"/>
      <x:c r="H78" s="27" t="str"/>
      <x:c r="I78" s="27" t="str"/>
      <x:c r="J78" s="27" t="str"/>
      <x:c r="K78" s="27" t="str"/>
      <x:c r="L78" s="27" t="str"/>
      <x:c r="M78" s="27" t="str">
        <x:f>IF(A78="","",COUNTIF('Страницы_и_экраны'!$E$5:$E$304,A78))</x:f>
      </x:c>
      <x:c r="N78" s="27" t="str">
        <x:f>IF(A78="","",IF(M78&gt;0,"Покрыт","Нет страницы/экрана"))</x:f>
      </x:c>
      <x:c r="O78" s="27" t="str">
        <x:f>IF(A78="","",MAX(0,MIN(100,ROUND(((J78*0.45)+(K78*0.35)-(L78*0.20))*20,0))))</x:f>
      </x:c>
      <x:c r="P78" s="27"/>
      <x:c r="Q78" s="27"/>
      <x:c r="R78" s="27"/>
      <x:c r="S78" s="27"/>
      <x:c r="T78" s="27"/>
      <x:c r="U78" s="27"/>
    </x:row>
    <x:row r="79">
      <x:c r="A79" s="27" t="str"/>
      <x:c r="B79" s="27" t="str"/>
      <x:c r="C79" s="27" t="str"/>
      <x:c r="D79" s="27" t="str"/>
      <x:c r="E79" s="27" t="str"/>
      <x:c r="F79" s="27" t="str"/>
      <x:c r="G79" s="27" t="str"/>
      <x:c r="H79" s="27" t="str"/>
      <x:c r="I79" s="27" t="str"/>
      <x:c r="J79" s="27" t="str"/>
      <x:c r="K79" s="27" t="str"/>
      <x:c r="L79" s="27" t="str"/>
      <x:c r="M79" s="27" t="str">
        <x:f>IF(A79="","",COUNTIF('Страницы_и_экраны'!$E$5:$E$304,A79))</x:f>
      </x:c>
      <x:c r="N79" s="27" t="str">
        <x:f>IF(A79="","",IF(M79&gt;0,"Покрыт","Нет страницы/экрана"))</x:f>
      </x:c>
      <x:c r="O79" s="27" t="str">
        <x:f>IF(A79="","",MAX(0,MIN(100,ROUND(((J79*0.45)+(K79*0.35)-(L79*0.20))*20,0))))</x:f>
      </x:c>
      <x:c r="P79" s="27"/>
      <x:c r="Q79" s="27"/>
      <x:c r="R79" s="27"/>
      <x:c r="S79" s="27"/>
      <x:c r="T79" s="27"/>
      <x:c r="U79" s="27"/>
    </x:row>
    <x:row r="80">
      <x:c r="A80" s="27" t="str"/>
      <x:c r="B80" s="27" t="str"/>
      <x:c r="C80" s="27" t="str"/>
      <x:c r="D80" s="27" t="str"/>
      <x:c r="E80" s="27" t="str"/>
      <x:c r="F80" s="27" t="str"/>
      <x:c r="G80" s="27" t="str"/>
      <x:c r="H80" s="27" t="str"/>
      <x:c r="I80" s="27" t="str"/>
      <x:c r="J80" s="27" t="str"/>
      <x:c r="K80" s="27" t="str"/>
      <x:c r="L80" s="27" t="str"/>
      <x:c r="M80" s="27" t="str">
        <x:f>IF(A80="","",COUNTIF('Страницы_и_экраны'!$E$5:$E$304,A80))</x:f>
      </x:c>
      <x:c r="N80" s="27" t="str">
        <x:f>IF(A80="","",IF(M80&gt;0,"Покрыт","Нет страницы/экрана"))</x:f>
      </x:c>
      <x:c r="O80" s="27" t="str">
        <x:f>IF(A80="","",MAX(0,MIN(100,ROUND(((J80*0.45)+(K80*0.35)-(L80*0.20))*20,0))))</x:f>
      </x:c>
      <x:c r="P80" s="27"/>
      <x:c r="Q80" s="27"/>
      <x:c r="R80" s="27"/>
      <x:c r="S80" s="27"/>
      <x:c r="T80" s="27"/>
      <x:c r="U80" s="27"/>
    </x:row>
    <x:row r="81">
      <x:c r="A81" s="27" t="str"/>
      <x:c r="B81" s="27" t="str"/>
      <x:c r="C81" s="27" t="str"/>
      <x:c r="D81" s="27" t="str"/>
      <x:c r="E81" s="27" t="str"/>
      <x:c r="F81" s="27" t="str"/>
      <x:c r="G81" s="27" t="str"/>
      <x:c r="H81" s="27" t="str"/>
      <x:c r="I81" s="27" t="str"/>
      <x:c r="J81" s="27" t="str"/>
      <x:c r="K81" s="27" t="str"/>
      <x:c r="L81" s="27" t="str"/>
      <x:c r="M81" s="27" t="str">
        <x:f>IF(A81="","",COUNTIF('Страницы_и_экраны'!$E$5:$E$304,A81))</x:f>
      </x:c>
      <x:c r="N81" s="27" t="str">
        <x:f>IF(A81="","",IF(M81&gt;0,"Покрыт","Нет страницы/экрана"))</x:f>
      </x:c>
      <x:c r="O81" s="27" t="str">
        <x:f>IF(A81="","",MAX(0,MIN(100,ROUND(((J81*0.45)+(K81*0.35)-(L81*0.20))*20,0))))</x:f>
      </x:c>
      <x:c r="P81" s="27"/>
      <x:c r="Q81" s="27"/>
      <x:c r="R81" s="27"/>
      <x:c r="S81" s="27"/>
      <x:c r="T81" s="27"/>
      <x:c r="U81" s="27"/>
    </x:row>
    <x:row r="82">
      <x:c r="A82" s="27" t="str"/>
      <x:c r="B82" s="27" t="str"/>
      <x:c r="C82" s="27" t="str"/>
      <x:c r="D82" s="27" t="str"/>
      <x:c r="E82" s="27" t="str"/>
      <x:c r="F82" s="27" t="str"/>
      <x:c r="G82" s="27" t="str"/>
      <x:c r="H82" s="27" t="str"/>
      <x:c r="I82" s="27" t="str"/>
      <x:c r="J82" s="27" t="str"/>
      <x:c r="K82" s="27" t="str"/>
      <x:c r="L82" s="27" t="str"/>
      <x:c r="M82" s="27" t="str">
        <x:f>IF(A82="","",COUNTIF('Страницы_и_экраны'!$E$5:$E$304,A82))</x:f>
      </x:c>
      <x:c r="N82" s="27" t="str">
        <x:f>IF(A82="","",IF(M82&gt;0,"Покрыт","Нет страницы/экрана"))</x:f>
      </x:c>
      <x:c r="O82" s="27" t="str">
        <x:f>IF(A82="","",MAX(0,MIN(100,ROUND(((J82*0.45)+(K82*0.35)-(L82*0.20))*20,0))))</x:f>
      </x:c>
      <x:c r="P82" s="27"/>
      <x:c r="Q82" s="27"/>
      <x:c r="R82" s="27"/>
      <x:c r="S82" s="27"/>
      <x:c r="T82" s="27"/>
      <x:c r="U82" s="27"/>
    </x:row>
    <x:row r="83">
      <x:c r="A83" s="27" t="str"/>
      <x:c r="B83" s="27" t="str"/>
      <x:c r="C83" s="27" t="str"/>
      <x:c r="D83" s="27" t="str"/>
      <x:c r="E83" s="27" t="str"/>
      <x:c r="F83" s="27" t="str"/>
      <x:c r="G83" s="27" t="str"/>
      <x:c r="H83" s="27" t="str"/>
      <x:c r="I83" s="27" t="str"/>
      <x:c r="J83" s="27" t="str"/>
      <x:c r="K83" s="27" t="str"/>
      <x:c r="L83" s="27" t="str"/>
      <x:c r="M83" s="27" t="str">
        <x:f>IF(A83="","",COUNTIF('Страницы_и_экраны'!$E$5:$E$304,A83))</x:f>
      </x:c>
      <x:c r="N83" s="27" t="str">
        <x:f>IF(A83="","",IF(M83&gt;0,"Покрыт","Нет страницы/экрана"))</x:f>
      </x:c>
      <x:c r="O83" s="27" t="str">
        <x:f>IF(A83="","",MAX(0,MIN(100,ROUND(((J83*0.45)+(K83*0.35)-(L83*0.20))*20,0))))</x:f>
      </x:c>
      <x:c r="P83" s="27"/>
      <x:c r="Q83" s="27"/>
      <x:c r="R83" s="27"/>
      <x:c r="S83" s="27"/>
      <x:c r="T83" s="27"/>
      <x:c r="U83" s="27"/>
    </x:row>
    <x:row r="84">
      <x:c r="A84" s="27" t="str"/>
      <x:c r="B84" s="27" t="str"/>
      <x:c r="C84" s="27" t="str"/>
      <x:c r="D84" s="27" t="str"/>
      <x:c r="E84" s="27" t="str"/>
      <x:c r="F84" s="27" t="str"/>
      <x:c r="G84" s="27" t="str"/>
      <x:c r="H84" s="27" t="str"/>
      <x:c r="I84" s="27" t="str"/>
      <x:c r="J84" s="27" t="str"/>
      <x:c r="K84" s="27" t="str"/>
      <x:c r="L84" s="27" t="str"/>
      <x:c r="M84" s="27" t="str">
        <x:f>IF(A84="","",COUNTIF('Страницы_и_экраны'!$E$5:$E$304,A84))</x:f>
      </x:c>
      <x:c r="N84" s="27" t="str">
        <x:f>IF(A84="","",IF(M84&gt;0,"Покрыт","Нет страницы/экрана"))</x:f>
      </x:c>
      <x:c r="O84" s="27" t="str">
        <x:f>IF(A84="","",MAX(0,MIN(100,ROUND(((J84*0.45)+(K84*0.35)-(L84*0.20))*20,0))))</x:f>
      </x:c>
      <x:c r="P84" s="27"/>
      <x:c r="Q84" s="27"/>
      <x:c r="R84" s="27"/>
      <x:c r="S84" s="27"/>
      <x:c r="T84" s="27"/>
      <x:c r="U84" s="27"/>
    </x:row>
    <x:row r="85">
      <x:c r="A85" s="27" t="str"/>
      <x:c r="B85" s="27" t="str"/>
      <x:c r="C85" s="27" t="str"/>
      <x:c r="D85" s="27" t="str"/>
      <x:c r="E85" s="27" t="str"/>
      <x:c r="F85" s="27" t="str"/>
      <x:c r="G85" s="27" t="str"/>
      <x:c r="H85" s="27" t="str"/>
      <x:c r="I85" s="27" t="str"/>
      <x:c r="J85" s="27" t="str"/>
      <x:c r="K85" s="27" t="str"/>
      <x:c r="L85" s="27" t="str"/>
      <x:c r="M85" s="27" t="str">
        <x:f>IF(A85="","",COUNTIF('Страницы_и_экраны'!$E$5:$E$304,A85))</x:f>
      </x:c>
      <x:c r="N85" s="27" t="str">
        <x:f>IF(A85="","",IF(M85&gt;0,"Покрыт","Нет страницы/экрана"))</x:f>
      </x:c>
      <x:c r="O85" s="27" t="str">
        <x:f>IF(A85="","",MAX(0,MIN(100,ROUND(((J85*0.45)+(K85*0.35)-(L85*0.20))*20,0))))</x:f>
      </x:c>
      <x:c r="P85" s="27"/>
      <x:c r="Q85" s="27"/>
      <x:c r="R85" s="27"/>
      <x:c r="S85" s="27"/>
      <x:c r="T85" s="27"/>
      <x:c r="U85" s="27"/>
    </x:row>
    <x:row r="86">
      <x:c r="A86" s="27" t="str"/>
      <x:c r="B86" s="27" t="str"/>
      <x:c r="C86" s="27" t="str"/>
      <x:c r="D86" s="27" t="str"/>
      <x:c r="E86" s="27" t="str"/>
      <x:c r="F86" s="27" t="str"/>
      <x:c r="G86" s="27" t="str"/>
      <x:c r="H86" s="27" t="str"/>
      <x:c r="I86" s="27" t="str"/>
      <x:c r="J86" s="27" t="str"/>
      <x:c r="K86" s="27" t="str"/>
      <x:c r="L86" s="27" t="str"/>
      <x:c r="M86" s="27" t="str">
        <x:f>IF(A86="","",COUNTIF('Страницы_и_экраны'!$E$5:$E$304,A86))</x:f>
      </x:c>
      <x:c r="N86" s="27" t="str">
        <x:f>IF(A86="","",IF(M86&gt;0,"Покрыт","Нет страницы/экрана"))</x:f>
      </x:c>
      <x:c r="O86" s="27" t="str">
        <x:f>IF(A86="","",MAX(0,MIN(100,ROUND(((J86*0.45)+(K86*0.35)-(L86*0.20))*20,0))))</x:f>
      </x:c>
      <x:c r="P86" s="27"/>
      <x:c r="Q86" s="27"/>
      <x:c r="R86" s="27"/>
      <x:c r="S86" s="27"/>
      <x:c r="T86" s="27"/>
      <x:c r="U86" s="27"/>
    </x:row>
    <x:row r="87">
      <x:c r="A87" s="27" t="str"/>
      <x:c r="B87" s="27" t="str"/>
      <x:c r="C87" s="27" t="str"/>
      <x:c r="D87" s="27" t="str"/>
      <x:c r="E87" s="27" t="str"/>
      <x:c r="F87" s="27" t="str"/>
      <x:c r="G87" s="27" t="str"/>
      <x:c r="H87" s="27" t="str"/>
      <x:c r="I87" s="27" t="str"/>
      <x:c r="J87" s="27" t="str"/>
      <x:c r="K87" s="27" t="str"/>
      <x:c r="L87" s="27" t="str"/>
      <x:c r="M87" s="27" t="str">
        <x:f>IF(A87="","",COUNTIF('Страницы_и_экраны'!$E$5:$E$304,A87))</x:f>
      </x:c>
      <x:c r="N87" s="27" t="str">
        <x:f>IF(A87="","",IF(M87&gt;0,"Покрыт","Нет страницы/экрана"))</x:f>
      </x:c>
      <x:c r="O87" s="27" t="str">
        <x:f>IF(A87="","",MAX(0,MIN(100,ROUND(((J87*0.45)+(K87*0.35)-(L87*0.20))*20,0))))</x:f>
      </x:c>
      <x:c r="P87" s="27"/>
      <x:c r="Q87" s="27"/>
      <x:c r="R87" s="27"/>
      <x:c r="S87" s="27"/>
      <x:c r="T87" s="27"/>
      <x:c r="U87" s="27"/>
    </x:row>
    <x:row r="88">
      <x:c r="A88" s="27" t="str"/>
      <x:c r="B88" s="27" t="str"/>
      <x:c r="C88" s="27" t="str"/>
      <x:c r="D88" s="27" t="str"/>
      <x:c r="E88" s="27" t="str"/>
      <x:c r="F88" s="27" t="str"/>
      <x:c r="G88" s="27" t="str"/>
      <x:c r="H88" s="27" t="str"/>
      <x:c r="I88" s="27" t="str"/>
      <x:c r="J88" s="27" t="str"/>
      <x:c r="K88" s="27" t="str"/>
      <x:c r="L88" s="27" t="str"/>
      <x:c r="M88" s="27" t="str">
        <x:f>IF(A88="","",COUNTIF('Страницы_и_экраны'!$E$5:$E$304,A88))</x:f>
      </x:c>
      <x:c r="N88" s="27" t="str">
        <x:f>IF(A88="","",IF(M88&gt;0,"Покрыт","Нет страницы/экрана"))</x:f>
      </x:c>
      <x:c r="O88" s="27" t="str">
        <x:f>IF(A88="","",MAX(0,MIN(100,ROUND(((J88*0.45)+(K88*0.35)-(L88*0.20))*20,0))))</x:f>
      </x:c>
      <x:c r="P88" s="27"/>
      <x:c r="Q88" s="27"/>
      <x:c r="R88" s="27"/>
      <x:c r="S88" s="27"/>
      <x:c r="T88" s="27"/>
      <x:c r="U88" s="27"/>
    </x:row>
    <x:row r="89">
      <x:c r="A89" s="27" t="str"/>
      <x:c r="B89" s="27" t="str"/>
      <x:c r="C89" s="27" t="str"/>
      <x:c r="D89" s="27" t="str"/>
      <x:c r="E89" s="27" t="str"/>
      <x:c r="F89" s="27" t="str"/>
      <x:c r="G89" s="27" t="str"/>
      <x:c r="H89" s="27" t="str"/>
      <x:c r="I89" s="27" t="str"/>
      <x:c r="J89" s="27" t="str"/>
      <x:c r="K89" s="27" t="str"/>
      <x:c r="L89" s="27" t="str"/>
      <x:c r="M89" s="27" t="str">
        <x:f>IF(A89="","",COUNTIF('Страницы_и_экраны'!$E$5:$E$304,A89))</x:f>
      </x:c>
      <x:c r="N89" s="27" t="str">
        <x:f>IF(A89="","",IF(M89&gt;0,"Покрыт","Нет страницы/экрана"))</x:f>
      </x:c>
      <x:c r="O89" s="27" t="str">
        <x:f>IF(A89="","",MAX(0,MIN(100,ROUND(((J89*0.45)+(K89*0.35)-(L89*0.20))*20,0))))</x:f>
      </x:c>
      <x:c r="P89" s="27"/>
      <x:c r="Q89" s="27"/>
      <x:c r="R89" s="27"/>
      <x:c r="S89" s="27"/>
      <x:c r="T89" s="27"/>
      <x:c r="U89" s="27"/>
    </x:row>
    <x:row r="90">
      <x:c r="A90" s="27" t="str"/>
      <x:c r="B90" s="27" t="str"/>
      <x:c r="C90" s="27" t="str"/>
      <x:c r="D90" s="27" t="str"/>
      <x:c r="E90" s="27" t="str"/>
      <x:c r="F90" s="27" t="str"/>
      <x:c r="G90" s="27" t="str"/>
      <x:c r="H90" s="27" t="str"/>
      <x:c r="I90" s="27" t="str"/>
      <x:c r="J90" s="27" t="str"/>
      <x:c r="K90" s="27" t="str"/>
      <x:c r="L90" s="27" t="str"/>
      <x:c r="M90" s="27" t="str">
        <x:f>IF(A90="","",COUNTIF('Страницы_и_экраны'!$E$5:$E$304,A90))</x:f>
      </x:c>
      <x:c r="N90" s="27" t="str">
        <x:f>IF(A90="","",IF(M90&gt;0,"Покрыт","Нет страницы/экрана"))</x:f>
      </x:c>
      <x:c r="O90" s="27" t="str">
        <x:f>IF(A90="","",MAX(0,MIN(100,ROUND(((J90*0.45)+(K90*0.35)-(L90*0.20))*20,0))))</x:f>
      </x:c>
      <x:c r="P90" s="27"/>
      <x:c r="Q90" s="27"/>
      <x:c r="R90" s="27"/>
      <x:c r="S90" s="27"/>
      <x:c r="T90" s="27"/>
      <x:c r="U90" s="27"/>
    </x:row>
    <x:row r="91">
      <x:c r="A91" s="27" t="str"/>
      <x:c r="B91" s="27" t="str"/>
      <x:c r="C91" s="27" t="str"/>
      <x:c r="D91" s="27" t="str"/>
      <x:c r="E91" s="27" t="str"/>
      <x:c r="F91" s="27" t="str"/>
      <x:c r="G91" s="27" t="str"/>
      <x:c r="H91" s="27" t="str"/>
      <x:c r="I91" s="27" t="str"/>
      <x:c r="J91" s="27" t="str"/>
      <x:c r="K91" s="27" t="str"/>
      <x:c r="L91" s="27" t="str"/>
      <x:c r="M91" s="27" t="str">
        <x:f>IF(A91="","",COUNTIF('Страницы_и_экраны'!$E$5:$E$304,A91))</x:f>
      </x:c>
      <x:c r="N91" s="27" t="str">
        <x:f>IF(A91="","",IF(M91&gt;0,"Покрыт","Нет страницы/экрана"))</x:f>
      </x:c>
      <x:c r="O91" s="27" t="str">
        <x:f>IF(A91="","",MAX(0,MIN(100,ROUND(((J91*0.45)+(K91*0.35)-(L91*0.20))*20,0))))</x:f>
      </x:c>
      <x:c r="P91" s="27"/>
      <x:c r="Q91" s="27"/>
      <x:c r="R91" s="27"/>
      <x:c r="S91" s="27"/>
      <x:c r="T91" s="27"/>
      <x:c r="U91" s="27"/>
    </x:row>
    <x:row r="92">
      <x:c r="A92" s="27" t="str"/>
      <x:c r="B92" s="27" t="str"/>
      <x:c r="C92" s="27" t="str"/>
      <x:c r="D92" s="27" t="str"/>
      <x:c r="E92" s="27" t="str"/>
      <x:c r="F92" s="27" t="str"/>
      <x:c r="G92" s="27" t="str"/>
      <x:c r="H92" s="27" t="str"/>
      <x:c r="I92" s="27" t="str"/>
      <x:c r="J92" s="27" t="str"/>
      <x:c r="K92" s="27" t="str"/>
      <x:c r="L92" s="27" t="str"/>
      <x:c r="M92" s="27" t="str">
        <x:f>IF(A92="","",COUNTIF('Страницы_и_экраны'!$E$5:$E$304,A92))</x:f>
      </x:c>
      <x:c r="N92" s="27" t="str">
        <x:f>IF(A92="","",IF(M92&gt;0,"Покрыт","Нет страницы/экрана"))</x:f>
      </x:c>
      <x:c r="O92" s="27" t="str">
        <x:f>IF(A92="","",MAX(0,MIN(100,ROUND(((J92*0.45)+(K92*0.35)-(L92*0.20))*20,0))))</x:f>
      </x:c>
      <x:c r="P92" s="27"/>
      <x:c r="Q92" s="27"/>
      <x:c r="R92" s="27"/>
      <x:c r="S92" s="27"/>
      <x:c r="T92" s="27"/>
      <x:c r="U92" s="27"/>
    </x:row>
    <x:row r="93">
      <x:c r="A93" s="27" t="str"/>
      <x:c r="B93" s="27" t="str"/>
      <x:c r="C93" s="27" t="str"/>
      <x:c r="D93" s="27" t="str"/>
      <x:c r="E93" s="27" t="str"/>
      <x:c r="F93" s="27" t="str"/>
      <x:c r="G93" s="27" t="str"/>
      <x:c r="H93" s="27" t="str"/>
      <x:c r="I93" s="27" t="str"/>
      <x:c r="J93" s="27" t="str"/>
      <x:c r="K93" s="27" t="str"/>
      <x:c r="L93" s="27" t="str"/>
      <x:c r="M93" s="27" t="str">
        <x:f>IF(A93="","",COUNTIF('Страницы_и_экраны'!$E$5:$E$304,A93))</x:f>
      </x:c>
      <x:c r="N93" s="27" t="str">
        <x:f>IF(A93="","",IF(M93&gt;0,"Покрыт","Нет страницы/экрана"))</x:f>
      </x:c>
      <x:c r="O93" s="27" t="str">
        <x:f>IF(A93="","",MAX(0,MIN(100,ROUND(((J93*0.45)+(K93*0.35)-(L93*0.20))*20,0))))</x:f>
      </x:c>
      <x:c r="P93" s="27"/>
      <x:c r="Q93" s="27"/>
      <x:c r="R93" s="27"/>
      <x:c r="S93" s="27"/>
      <x:c r="T93" s="27"/>
      <x:c r="U93" s="27"/>
    </x:row>
    <x:row r="94">
      <x:c r="A94" s="27" t="str"/>
      <x:c r="B94" s="27" t="str"/>
      <x:c r="C94" s="27" t="str"/>
      <x:c r="D94" s="27" t="str"/>
      <x:c r="E94" s="27" t="str"/>
      <x:c r="F94" s="27" t="str"/>
      <x:c r="G94" s="27" t="str"/>
      <x:c r="H94" s="27" t="str"/>
      <x:c r="I94" s="27" t="str"/>
      <x:c r="J94" s="27" t="str"/>
      <x:c r="K94" s="27" t="str"/>
      <x:c r="L94" s="27" t="str"/>
      <x:c r="M94" s="27" t="str">
        <x:f>IF(A94="","",COUNTIF('Страницы_и_экраны'!$E$5:$E$304,A94))</x:f>
      </x:c>
      <x:c r="N94" s="27" t="str">
        <x:f>IF(A94="","",IF(M94&gt;0,"Покрыт","Нет страницы/экрана"))</x:f>
      </x:c>
      <x:c r="O94" s="27" t="str">
        <x:f>IF(A94="","",MAX(0,MIN(100,ROUND(((J94*0.45)+(K94*0.35)-(L94*0.20))*20,0))))</x:f>
      </x:c>
      <x:c r="P94" s="27"/>
      <x:c r="Q94" s="27"/>
      <x:c r="R94" s="27"/>
      <x:c r="S94" s="27"/>
      <x:c r="T94" s="27"/>
      <x:c r="U94" s="27"/>
    </x:row>
    <x:row r="95">
      <x:c r="A95" s="27" t="str"/>
      <x:c r="B95" s="27" t="str"/>
      <x:c r="C95" s="27" t="str"/>
      <x:c r="D95" s="27" t="str"/>
      <x:c r="E95" s="27" t="str"/>
      <x:c r="F95" s="27" t="str"/>
      <x:c r="G95" s="27" t="str"/>
      <x:c r="H95" s="27" t="str"/>
      <x:c r="I95" s="27" t="str"/>
      <x:c r="J95" s="27" t="str"/>
      <x:c r="K95" s="27" t="str"/>
      <x:c r="L95" s="27" t="str"/>
      <x:c r="M95" s="27" t="str">
        <x:f>IF(A95="","",COUNTIF('Страницы_и_экраны'!$E$5:$E$304,A95))</x:f>
      </x:c>
      <x:c r="N95" s="27" t="str">
        <x:f>IF(A95="","",IF(M95&gt;0,"Покрыт","Нет страницы/экрана"))</x:f>
      </x:c>
      <x:c r="O95" s="27" t="str">
        <x:f>IF(A95="","",MAX(0,MIN(100,ROUND(((J95*0.45)+(K95*0.35)-(L95*0.20))*20,0))))</x:f>
      </x:c>
      <x:c r="P95" s="27"/>
      <x:c r="Q95" s="27"/>
      <x:c r="R95" s="27"/>
      <x:c r="S95" s="27"/>
      <x:c r="T95" s="27"/>
      <x:c r="U95" s="27"/>
    </x:row>
    <x:row r="96">
      <x:c r="A96" s="27" t="str"/>
      <x:c r="B96" s="27" t="str"/>
      <x:c r="C96" s="27" t="str"/>
      <x:c r="D96" s="27" t="str"/>
      <x:c r="E96" s="27" t="str"/>
      <x:c r="F96" s="27" t="str"/>
      <x:c r="G96" s="27" t="str"/>
      <x:c r="H96" s="27" t="str"/>
      <x:c r="I96" s="27" t="str"/>
      <x:c r="J96" s="27" t="str"/>
      <x:c r="K96" s="27" t="str"/>
      <x:c r="L96" s="27" t="str"/>
      <x:c r="M96" s="27" t="str">
        <x:f>IF(A96="","",COUNTIF('Страницы_и_экраны'!$E$5:$E$304,A96))</x:f>
      </x:c>
      <x:c r="N96" s="27" t="str">
        <x:f>IF(A96="","",IF(M96&gt;0,"Покрыт","Нет страницы/экрана"))</x:f>
      </x:c>
      <x:c r="O96" s="27" t="str">
        <x:f>IF(A96="","",MAX(0,MIN(100,ROUND(((J96*0.45)+(K96*0.35)-(L96*0.20))*20,0))))</x:f>
      </x:c>
      <x:c r="P96" s="27"/>
      <x:c r="Q96" s="27"/>
      <x:c r="R96" s="27"/>
      <x:c r="S96" s="27"/>
      <x:c r="T96" s="27"/>
      <x:c r="U96" s="27"/>
    </x:row>
    <x:row r="97">
      <x:c r="A97" s="27" t="str"/>
      <x:c r="B97" s="27" t="str"/>
      <x:c r="C97" s="27" t="str"/>
      <x:c r="D97" s="27" t="str"/>
      <x:c r="E97" s="27" t="str"/>
      <x:c r="F97" s="27" t="str"/>
      <x:c r="G97" s="27" t="str"/>
      <x:c r="H97" s="27" t="str"/>
      <x:c r="I97" s="27" t="str"/>
      <x:c r="J97" s="27" t="str"/>
      <x:c r="K97" s="27" t="str"/>
      <x:c r="L97" s="27" t="str"/>
      <x:c r="M97" s="27" t="str">
        <x:f>IF(A97="","",COUNTIF('Страницы_и_экраны'!$E$5:$E$304,A97))</x:f>
      </x:c>
      <x:c r="N97" s="27" t="str">
        <x:f>IF(A97="","",IF(M97&gt;0,"Покрыт","Нет страницы/экрана"))</x:f>
      </x:c>
      <x:c r="O97" s="27" t="str">
        <x:f>IF(A97="","",MAX(0,MIN(100,ROUND(((J97*0.45)+(K97*0.35)-(L97*0.20))*20,0))))</x:f>
      </x:c>
      <x:c r="P97" s="27"/>
      <x:c r="Q97" s="27"/>
      <x:c r="R97" s="27"/>
      <x:c r="S97" s="27"/>
      <x:c r="T97" s="27"/>
      <x:c r="U97" s="27"/>
    </x:row>
    <x:row r="98">
      <x:c r="A98" s="27" t="str"/>
      <x:c r="B98" s="27" t="str"/>
      <x:c r="C98" s="27" t="str"/>
      <x:c r="D98" s="27" t="str"/>
      <x:c r="E98" s="27" t="str"/>
      <x:c r="F98" s="27" t="str"/>
      <x:c r="G98" s="27" t="str"/>
      <x:c r="H98" s="27" t="str"/>
      <x:c r="I98" s="27" t="str"/>
      <x:c r="J98" s="27" t="str"/>
      <x:c r="K98" s="27" t="str"/>
      <x:c r="L98" s="27" t="str"/>
      <x:c r="M98" s="27" t="str">
        <x:f>IF(A98="","",COUNTIF('Страницы_и_экраны'!$E$5:$E$304,A98))</x:f>
      </x:c>
      <x:c r="N98" s="27" t="str">
        <x:f>IF(A98="","",IF(M98&gt;0,"Покрыт","Нет страницы/экрана"))</x:f>
      </x:c>
      <x:c r="O98" s="27" t="str">
        <x:f>IF(A98="","",MAX(0,MIN(100,ROUND(((J98*0.45)+(K98*0.35)-(L98*0.20))*20,0))))</x:f>
      </x:c>
      <x:c r="P98" s="27"/>
      <x:c r="Q98" s="27"/>
      <x:c r="R98" s="27"/>
      <x:c r="S98" s="27"/>
      <x:c r="T98" s="27"/>
      <x:c r="U98" s="27"/>
    </x:row>
    <x:row r="99">
      <x:c r="A99" s="27" t="str"/>
      <x:c r="B99" s="27" t="str"/>
      <x:c r="C99" s="27" t="str"/>
      <x:c r="D99" s="27" t="str"/>
      <x:c r="E99" s="27" t="str"/>
      <x:c r="F99" s="27" t="str"/>
      <x:c r="G99" s="27" t="str"/>
      <x:c r="H99" s="27" t="str"/>
      <x:c r="I99" s="27" t="str"/>
      <x:c r="J99" s="27" t="str"/>
      <x:c r="K99" s="27" t="str"/>
      <x:c r="L99" s="27" t="str"/>
      <x:c r="M99" s="27" t="str">
        <x:f>IF(A99="","",COUNTIF('Страницы_и_экраны'!$E$5:$E$304,A99))</x:f>
      </x:c>
      <x:c r="N99" s="27" t="str">
        <x:f>IF(A99="","",IF(M99&gt;0,"Покрыт","Нет страницы/экрана"))</x:f>
      </x:c>
      <x:c r="O99" s="27" t="str">
        <x:f>IF(A99="","",MAX(0,MIN(100,ROUND(((J99*0.45)+(K99*0.35)-(L99*0.20))*20,0))))</x:f>
      </x:c>
      <x:c r="P99" s="27"/>
      <x:c r="Q99" s="27"/>
      <x:c r="R99" s="27"/>
      <x:c r="S99" s="27"/>
      <x:c r="T99" s="27"/>
      <x:c r="U99" s="27"/>
    </x:row>
    <x:row r="100">
      <x:c r="A100" s="27" t="str"/>
      <x:c r="B100" s="27" t="str"/>
      <x:c r="C100" s="27" t="str"/>
      <x:c r="D100" s="27" t="str"/>
      <x:c r="E100" s="27" t="str"/>
      <x:c r="F100" s="27" t="str"/>
      <x:c r="G100" s="27" t="str"/>
      <x:c r="H100" s="27" t="str"/>
      <x:c r="I100" s="27" t="str"/>
      <x:c r="J100" s="27" t="str"/>
      <x:c r="K100" s="27" t="str"/>
      <x:c r="L100" s="27" t="str"/>
      <x:c r="M100" s="27" t="str">
        <x:f>IF(A100="","",COUNTIF('Страницы_и_экраны'!$E$5:$E$304,A100))</x:f>
      </x:c>
      <x:c r="N100" s="27" t="str">
        <x:f>IF(A100="","",IF(M100&gt;0,"Покрыт","Нет страницы/экрана"))</x:f>
      </x:c>
      <x:c r="O100" s="27" t="str">
        <x:f>IF(A100="","",MAX(0,MIN(100,ROUND(((J100*0.45)+(K100*0.35)-(L100*0.20))*20,0))))</x:f>
      </x:c>
      <x:c r="P100" s="27"/>
      <x:c r="Q100" s="27"/>
      <x:c r="R100" s="27"/>
      <x:c r="S100" s="27"/>
      <x:c r="T100" s="27"/>
      <x:c r="U100" s="27"/>
    </x:row>
    <x:row r="101">
      <x:c r="A101" s="27" t="str"/>
      <x:c r="B101" s="27" t="str"/>
      <x:c r="C101" s="27" t="str"/>
      <x:c r="D101" s="27" t="str"/>
      <x:c r="E101" s="27" t="str"/>
      <x:c r="F101" s="27" t="str"/>
      <x:c r="G101" s="27" t="str"/>
      <x:c r="H101" s="27" t="str"/>
      <x:c r="I101" s="27" t="str"/>
      <x:c r="J101" s="27" t="str"/>
      <x:c r="K101" s="27" t="str"/>
      <x:c r="L101" s="27" t="str"/>
      <x:c r="M101" s="27" t="str">
        <x:f>IF(A101="","",COUNTIF('Страницы_и_экраны'!$E$5:$E$304,A101))</x:f>
      </x:c>
      <x:c r="N101" s="27" t="str">
        <x:f>IF(A101="","",IF(M101&gt;0,"Покрыт","Нет страницы/экрана"))</x:f>
      </x:c>
      <x:c r="O101" s="27" t="str">
        <x:f>IF(A101="","",MAX(0,MIN(100,ROUND(((J101*0.45)+(K101*0.35)-(L101*0.20))*20,0))))</x:f>
      </x:c>
      <x:c r="P101" s="27"/>
      <x:c r="Q101" s="27"/>
      <x:c r="R101" s="27"/>
      <x:c r="S101" s="27"/>
      <x:c r="T101" s="27"/>
      <x:c r="U101" s="27"/>
    </x:row>
    <x:row r="102">
      <x:c r="A102" s="27" t="str"/>
      <x:c r="B102" s="27" t="str"/>
      <x:c r="C102" s="27" t="str"/>
      <x:c r="D102" s="27" t="str"/>
      <x:c r="E102" s="27" t="str"/>
      <x:c r="F102" s="27" t="str"/>
      <x:c r="G102" s="27" t="str"/>
      <x:c r="H102" s="27" t="str"/>
      <x:c r="I102" s="27" t="str"/>
      <x:c r="J102" s="27" t="str"/>
      <x:c r="K102" s="27" t="str"/>
      <x:c r="L102" s="27" t="str"/>
      <x:c r="M102" s="27" t="str">
        <x:f>IF(A102="","",COUNTIF('Страницы_и_экраны'!$E$5:$E$304,A102))</x:f>
      </x:c>
      <x:c r="N102" s="27" t="str">
        <x:f>IF(A102="","",IF(M102&gt;0,"Покрыт","Нет страницы/экрана"))</x:f>
      </x:c>
      <x:c r="O102" s="27" t="str">
        <x:f>IF(A102="","",MAX(0,MIN(100,ROUND(((J102*0.45)+(K102*0.35)-(L102*0.20))*20,0))))</x:f>
      </x:c>
      <x:c r="P102" s="27"/>
      <x:c r="Q102" s="27"/>
      <x:c r="R102" s="27"/>
      <x:c r="S102" s="27"/>
      <x:c r="T102" s="27"/>
      <x:c r="U102" s="27"/>
    </x:row>
    <x:row r="103">
      <x:c r="A103" s="27" t="str"/>
      <x:c r="B103" s="27" t="str"/>
      <x:c r="C103" s="27" t="str"/>
      <x:c r="D103" s="27" t="str"/>
      <x:c r="E103" s="27" t="str"/>
      <x:c r="F103" s="27" t="str"/>
      <x:c r="G103" s="27" t="str"/>
      <x:c r="H103" s="27" t="str"/>
      <x:c r="I103" s="27" t="str"/>
      <x:c r="J103" s="27" t="str"/>
      <x:c r="K103" s="27" t="str"/>
      <x:c r="L103" s="27" t="str"/>
      <x:c r="M103" s="27" t="str">
        <x:f>IF(A103="","",COUNTIF('Страницы_и_экраны'!$E$5:$E$304,A103))</x:f>
      </x:c>
      <x:c r="N103" s="27" t="str">
        <x:f>IF(A103="","",IF(M103&gt;0,"Покрыт","Нет страницы/экрана"))</x:f>
      </x:c>
      <x:c r="O103" s="27" t="str">
        <x:f>IF(A103="","",MAX(0,MIN(100,ROUND(((J103*0.45)+(K103*0.35)-(L103*0.20))*20,0))))</x:f>
      </x:c>
      <x:c r="P103" s="27"/>
      <x:c r="Q103" s="27"/>
      <x:c r="R103" s="27"/>
      <x:c r="S103" s="27"/>
      <x:c r="T103" s="27"/>
      <x:c r="U103" s="27"/>
    </x:row>
    <x:row r="104">
      <x:c r="A104" s="27" t="str"/>
      <x:c r="B104" s="27" t="str"/>
      <x:c r="C104" s="27" t="str"/>
      <x:c r="D104" s="27" t="str"/>
      <x:c r="E104" s="27" t="str"/>
      <x:c r="F104" s="27" t="str"/>
      <x:c r="G104" s="27" t="str"/>
      <x:c r="H104" s="27" t="str"/>
      <x:c r="I104" s="27" t="str"/>
      <x:c r="J104" s="27" t="str"/>
      <x:c r="K104" s="27" t="str"/>
      <x:c r="L104" s="27" t="str"/>
      <x:c r="M104" s="27" t="str">
        <x:f>IF(A104="","",COUNTIF('Страницы_и_экраны'!$E$5:$E$304,A104))</x:f>
      </x:c>
      <x:c r="N104" s="27" t="str">
        <x:f>IF(A104="","",IF(M104&gt;0,"Покрыт","Нет страницы/экрана"))</x:f>
      </x:c>
      <x:c r="O104" s="27" t="str">
        <x:f>IF(A104="","",MAX(0,MIN(100,ROUND(((J104*0.45)+(K104*0.35)-(L104*0.20))*20,0))))</x:f>
      </x:c>
      <x:c r="P104" s="27"/>
      <x:c r="Q104" s="27"/>
      <x:c r="R104" s="27"/>
      <x:c r="S104" s="27"/>
      <x:c r="T104" s="27"/>
      <x:c r="U104" s="27"/>
    </x:row>
    <x:row r="105">
      <x:c r="A105" s="27" t="str"/>
      <x:c r="B105" s="27" t="str"/>
      <x:c r="C105" s="27" t="str"/>
      <x:c r="D105" s="27" t="str"/>
      <x:c r="E105" s="27" t="str"/>
      <x:c r="F105" s="27" t="str"/>
      <x:c r="G105" s="27" t="str"/>
      <x:c r="H105" s="27" t="str"/>
      <x:c r="I105" s="27" t="str"/>
      <x:c r="J105" s="27" t="str"/>
      <x:c r="K105" s="27" t="str"/>
      <x:c r="L105" s="27" t="str"/>
      <x:c r="M105" s="27" t="str">
        <x:f>IF(A105="","",COUNTIF('Страницы_и_экраны'!$E$5:$E$304,A105))</x:f>
      </x:c>
      <x:c r="N105" s="27" t="str">
        <x:f>IF(A105="","",IF(M105&gt;0,"Покрыт","Нет страницы/экрана"))</x:f>
      </x:c>
      <x:c r="O105" s="27" t="str">
        <x:f>IF(A105="","",MAX(0,MIN(100,ROUND(((J105*0.45)+(K105*0.35)-(L105*0.20))*20,0))))</x:f>
      </x:c>
      <x:c r="P105" s="27"/>
      <x:c r="Q105" s="27"/>
      <x:c r="R105" s="27"/>
      <x:c r="S105" s="27"/>
      <x:c r="T105" s="27"/>
      <x:c r="U105" s="27"/>
    </x:row>
    <x:row r="106">
      <x:c r="A106" s="27" t="str"/>
      <x:c r="B106" s="27" t="str"/>
      <x:c r="C106" s="27" t="str"/>
      <x:c r="D106" s="27" t="str"/>
      <x:c r="E106" s="27" t="str"/>
      <x:c r="F106" s="27" t="str"/>
      <x:c r="G106" s="27" t="str"/>
      <x:c r="H106" s="27" t="str"/>
      <x:c r="I106" s="27" t="str"/>
      <x:c r="J106" s="27" t="str"/>
      <x:c r="K106" s="27" t="str"/>
      <x:c r="L106" s="27" t="str"/>
      <x:c r="M106" s="27" t="str">
        <x:f>IF(A106="","",COUNTIF('Страницы_и_экраны'!$E$5:$E$304,A106))</x:f>
      </x:c>
      <x:c r="N106" s="27" t="str">
        <x:f>IF(A106="","",IF(M106&gt;0,"Покрыт","Нет страницы/экрана"))</x:f>
      </x:c>
      <x:c r="O106" s="27" t="str">
        <x:f>IF(A106="","",MAX(0,MIN(100,ROUND(((J106*0.45)+(K106*0.35)-(L106*0.20))*20,0))))</x:f>
      </x:c>
      <x:c r="P106" s="27"/>
      <x:c r="Q106" s="27"/>
      <x:c r="R106" s="27"/>
      <x:c r="S106" s="27"/>
      <x:c r="T106" s="27"/>
      <x:c r="U106" s="27"/>
    </x:row>
    <x:row r="107">
      <x:c r="A107" s="27" t="str"/>
      <x:c r="B107" s="27" t="str"/>
      <x:c r="C107" s="27" t="str"/>
      <x:c r="D107" s="27" t="str"/>
      <x:c r="E107" s="27" t="str"/>
      <x:c r="F107" s="27" t="str"/>
      <x:c r="G107" s="27" t="str"/>
      <x:c r="H107" s="27" t="str"/>
      <x:c r="I107" s="27" t="str"/>
      <x:c r="J107" s="27" t="str"/>
      <x:c r="K107" s="27" t="str"/>
      <x:c r="L107" s="27" t="str"/>
      <x:c r="M107" s="27" t="str">
        <x:f>IF(A107="","",COUNTIF('Страницы_и_экраны'!$E$5:$E$304,A107))</x:f>
      </x:c>
      <x:c r="N107" s="27" t="str">
        <x:f>IF(A107="","",IF(M107&gt;0,"Покрыт","Нет страницы/экрана"))</x:f>
      </x:c>
      <x:c r="O107" s="27" t="str">
        <x:f>IF(A107="","",MAX(0,MIN(100,ROUND(((J107*0.45)+(K107*0.35)-(L107*0.20))*20,0))))</x:f>
      </x:c>
      <x:c r="P107" s="27"/>
      <x:c r="Q107" s="27"/>
      <x:c r="R107" s="27"/>
      <x:c r="S107" s="27"/>
      <x:c r="T107" s="27"/>
      <x:c r="U107" s="27"/>
    </x:row>
    <x:row r="108">
      <x:c r="A108" s="27" t="str"/>
      <x:c r="B108" s="27" t="str"/>
      <x:c r="C108" s="27" t="str"/>
      <x:c r="D108" s="27" t="str"/>
      <x:c r="E108" s="27" t="str"/>
      <x:c r="F108" s="27" t="str"/>
      <x:c r="G108" s="27" t="str"/>
      <x:c r="H108" s="27" t="str"/>
      <x:c r="I108" s="27" t="str"/>
      <x:c r="J108" s="27" t="str"/>
      <x:c r="K108" s="27" t="str"/>
      <x:c r="L108" s="27" t="str"/>
      <x:c r="M108" s="27" t="str">
        <x:f>IF(A108="","",COUNTIF('Страницы_и_экраны'!$E$5:$E$304,A108))</x:f>
      </x:c>
      <x:c r="N108" s="27" t="str">
        <x:f>IF(A108="","",IF(M108&gt;0,"Покрыт","Нет страницы/экрана"))</x:f>
      </x:c>
      <x:c r="O108" s="27" t="str">
        <x:f>IF(A108="","",MAX(0,MIN(100,ROUND(((J108*0.45)+(K108*0.35)-(L108*0.20))*20,0))))</x:f>
      </x:c>
      <x:c r="P108" s="27"/>
      <x:c r="Q108" s="27"/>
      <x:c r="R108" s="27"/>
      <x:c r="S108" s="27"/>
      <x:c r="T108" s="27"/>
      <x:c r="U108" s="27"/>
    </x:row>
    <x:row r="109">
      <x:c r="A109" s="27" t="str"/>
      <x:c r="B109" s="27" t="str"/>
      <x:c r="C109" s="27" t="str"/>
      <x:c r="D109" s="27" t="str"/>
      <x:c r="E109" s="27" t="str"/>
      <x:c r="F109" s="27" t="str"/>
      <x:c r="G109" s="27" t="str"/>
      <x:c r="H109" s="27" t="str"/>
      <x:c r="I109" s="27" t="str"/>
      <x:c r="J109" s="27" t="str"/>
      <x:c r="K109" s="27" t="str"/>
      <x:c r="L109" s="27" t="str"/>
      <x:c r="M109" s="27" t="str">
        <x:f>IF(A109="","",COUNTIF('Страницы_и_экраны'!$E$5:$E$304,A109))</x:f>
      </x:c>
      <x:c r="N109" s="27" t="str">
        <x:f>IF(A109="","",IF(M109&gt;0,"Покрыт","Нет страницы/экрана"))</x:f>
      </x:c>
      <x:c r="O109" s="27" t="str">
        <x:f>IF(A109="","",MAX(0,MIN(100,ROUND(((J109*0.45)+(K109*0.35)-(L109*0.20))*20,0))))</x:f>
      </x:c>
      <x:c r="P109" s="27"/>
      <x:c r="Q109" s="27"/>
      <x:c r="R109" s="27"/>
      <x:c r="S109" s="27"/>
      <x:c r="T109" s="27"/>
      <x:c r="U109" s="27"/>
    </x:row>
    <x:row r="110">
      <x:c r="A110" s="27" t="str"/>
      <x:c r="B110" s="27" t="str"/>
      <x:c r="C110" s="27" t="str"/>
      <x:c r="D110" s="27" t="str"/>
      <x:c r="E110" s="27" t="str"/>
      <x:c r="F110" s="27" t="str"/>
      <x:c r="G110" s="27" t="str"/>
      <x:c r="H110" s="27" t="str"/>
      <x:c r="I110" s="27" t="str"/>
      <x:c r="J110" s="27" t="str"/>
      <x:c r="K110" s="27" t="str"/>
      <x:c r="L110" s="27" t="str"/>
      <x:c r="M110" s="27" t="str">
        <x:f>IF(A110="","",COUNTIF('Страницы_и_экраны'!$E$5:$E$304,A110))</x:f>
      </x:c>
      <x:c r="N110" s="27" t="str">
        <x:f>IF(A110="","",IF(M110&gt;0,"Покрыт","Нет страницы/экрана"))</x:f>
      </x:c>
      <x:c r="O110" s="27" t="str">
        <x:f>IF(A110="","",MAX(0,MIN(100,ROUND(((J110*0.45)+(K110*0.35)-(L110*0.20))*20,0))))</x:f>
      </x:c>
      <x:c r="P110" s="27"/>
      <x:c r="Q110" s="27"/>
      <x:c r="R110" s="27"/>
      <x:c r="S110" s="27"/>
      <x:c r="T110" s="27"/>
      <x:c r="U110" s="27"/>
    </x:row>
    <x:row r="111">
      <x:c r="A111" s="27" t="str"/>
      <x:c r="B111" s="27" t="str"/>
      <x:c r="C111" s="27" t="str"/>
      <x:c r="D111" s="27" t="str"/>
      <x:c r="E111" s="27" t="str"/>
      <x:c r="F111" s="27" t="str"/>
      <x:c r="G111" s="27" t="str"/>
      <x:c r="H111" s="27" t="str"/>
      <x:c r="I111" s="27" t="str"/>
      <x:c r="J111" s="27" t="str"/>
      <x:c r="K111" s="27" t="str"/>
      <x:c r="L111" s="27" t="str"/>
      <x:c r="M111" s="27" t="str">
        <x:f>IF(A111="","",COUNTIF('Страницы_и_экраны'!$E$5:$E$304,A111))</x:f>
      </x:c>
      <x:c r="N111" s="27" t="str">
        <x:f>IF(A111="","",IF(M111&gt;0,"Покрыт","Нет страницы/экрана"))</x:f>
      </x:c>
      <x:c r="O111" s="27" t="str">
        <x:f>IF(A111="","",MAX(0,MIN(100,ROUND(((J111*0.45)+(K111*0.35)-(L111*0.20))*20,0))))</x:f>
      </x:c>
      <x:c r="P111" s="27"/>
      <x:c r="Q111" s="27"/>
      <x:c r="R111" s="27"/>
      <x:c r="S111" s="27"/>
      <x:c r="T111" s="27"/>
      <x:c r="U111" s="27"/>
    </x:row>
    <x:row r="112">
      <x:c r="A112" s="27" t="str"/>
      <x:c r="B112" s="27" t="str"/>
      <x:c r="C112" s="27" t="str"/>
      <x:c r="D112" s="27" t="str"/>
      <x:c r="E112" s="27" t="str"/>
      <x:c r="F112" s="27" t="str"/>
      <x:c r="G112" s="27" t="str"/>
      <x:c r="H112" s="27" t="str"/>
      <x:c r="I112" s="27" t="str"/>
      <x:c r="J112" s="27" t="str"/>
      <x:c r="K112" s="27" t="str"/>
      <x:c r="L112" s="27" t="str"/>
      <x:c r="M112" s="27" t="str">
        <x:f>IF(A112="","",COUNTIF('Страницы_и_экраны'!$E$5:$E$304,A112))</x:f>
      </x:c>
      <x:c r="N112" s="27" t="str">
        <x:f>IF(A112="","",IF(M112&gt;0,"Покрыт","Нет страницы/экрана"))</x:f>
      </x:c>
      <x:c r="O112" s="27" t="str">
        <x:f>IF(A112="","",MAX(0,MIN(100,ROUND(((J112*0.45)+(K112*0.35)-(L112*0.20))*20,0))))</x:f>
      </x:c>
      <x:c r="P112" s="27"/>
      <x:c r="Q112" s="27"/>
      <x:c r="R112" s="27"/>
      <x:c r="S112" s="27"/>
      <x:c r="T112" s="27"/>
      <x:c r="U112" s="27"/>
    </x:row>
    <x:row r="113">
      <x:c r="A113" s="27" t="str"/>
      <x:c r="B113" s="27" t="str"/>
      <x:c r="C113" s="27" t="str"/>
      <x:c r="D113" s="27" t="str"/>
      <x:c r="E113" s="27" t="str"/>
      <x:c r="F113" s="27" t="str"/>
      <x:c r="G113" s="27" t="str"/>
      <x:c r="H113" s="27" t="str"/>
      <x:c r="I113" s="27" t="str"/>
      <x:c r="J113" s="27" t="str"/>
      <x:c r="K113" s="27" t="str"/>
      <x:c r="L113" s="27" t="str"/>
      <x:c r="M113" s="27" t="str">
        <x:f>IF(A113="","",COUNTIF('Страницы_и_экраны'!$E$5:$E$304,A113))</x:f>
      </x:c>
      <x:c r="N113" s="27" t="str">
        <x:f>IF(A113="","",IF(M113&gt;0,"Покрыт","Нет страницы/экрана"))</x:f>
      </x:c>
      <x:c r="O113" s="27" t="str">
        <x:f>IF(A113="","",MAX(0,MIN(100,ROUND(((J113*0.45)+(K113*0.35)-(L113*0.20))*20,0))))</x:f>
      </x:c>
      <x:c r="P113" s="27"/>
      <x:c r="Q113" s="27"/>
      <x:c r="R113" s="27"/>
      <x:c r="S113" s="27"/>
      <x:c r="T113" s="27"/>
      <x:c r="U113" s="27"/>
    </x:row>
    <x:row r="114">
      <x:c r="A114" s="27" t="str"/>
      <x:c r="B114" s="27" t="str"/>
      <x:c r="C114" s="27" t="str"/>
      <x:c r="D114" s="27" t="str"/>
      <x:c r="E114" s="27" t="str"/>
      <x:c r="F114" s="27" t="str"/>
      <x:c r="G114" s="27" t="str"/>
      <x:c r="H114" s="27" t="str"/>
      <x:c r="I114" s="27" t="str"/>
      <x:c r="J114" s="27" t="str"/>
      <x:c r="K114" s="27" t="str"/>
      <x:c r="L114" s="27" t="str"/>
      <x:c r="M114" s="27" t="str">
        <x:f>IF(A114="","",COUNTIF('Страницы_и_экраны'!$E$5:$E$304,A114))</x:f>
      </x:c>
      <x:c r="N114" s="27" t="str">
        <x:f>IF(A114="","",IF(M114&gt;0,"Покрыт","Нет страницы/экрана"))</x:f>
      </x:c>
      <x:c r="O114" s="27" t="str">
        <x:f>IF(A114="","",MAX(0,MIN(100,ROUND(((J114*0.45)+(K114*0.35)-(L114*0.20))*20,0))))</x:f>
      </x:c>
      <x:c r="P114" s="27"/>
      <x:c r="Q114" s="27"/>
      <x:c r="R114" s="27"/>
      <x:c r="S114" s="27"/>
      <x:c r="T114" s="27"/>
      <x:c r="U114" s="27"/>
    </x:row>
    <x:row r="115">
      <x:c r="A115" s="27" t="str"/>
      <x:c r="B115" s="27" t="str"/>
      <x:c r="C115" s="27" t="str"/>
      <x:c r="D115" s="27" t="str"/>
      <x:c r="E115" s="27" t="str"/>
      <x:c r="F115" s="27" t="str"/>
      <x:c r="G115" s="27" t="str"/>
      <x:c r="H115" s="27" t="str"/>
      <x:c r="I115" s="27" t="str"/>
      <x:c r="J115" s="27" t="str"/>
      <x:c r="K115" s="27" t="str"/>
      <x:c r="L115" s="27" t="str"/>
      <x:c r="M115" s="27" t="str">
        <x:f>IF(A115="","",COUNTIF('Страницы_и_экраны'!$E$5:$E$304,A115))</x:f>
      </x:c>
      <x:c r="N115" s="27" t="str">
        <x:f>IF(A115="","",IF(M115&gt;0,"Покрыт","Нет страницы/экрана"))</x:f>
      </x:c>
      <x:c r="O115" s="27" t="str">
        <x:f>IF(A115="","",MAX(0,MIN(100,ROUND(((J115*0.45)+(K115*0.35)-(L115*0.20))*20,0))))</x:f>
      </x:c>
      <x:c r="P115" s="27"/>
      <x:c r="Q115" s="27"/>
      <x:c r="R115" s="27"/>
      <x:c r="S115" s="27"/>
      <x:c r="T115" s="27"/>
      <x:c r="U115" s="27"/>
    </x:row>
    <x:row r="116">
      <x:c r="A116" s="27" t="str"/>
      <x:c r="B116" s="27" t="str"/>
      <x:c r="C116" s="27" t="str"/>
      <x:c r="D116" s="27" t="str"/>
      <x:c r="E116" s="27" t="str"/>
      <x:c r="F116" s="27" t="str"/>
      <x:c r="G116" s="27" t="str"/>
      <x:c r="H116" s="27" t="str"/>
      <x:c r="I116" s="27" t="str"/>
      <x:c r="J116" s="27" t="str"/>
      <x:c r="K116" s="27" t="str"/>
      <x:c r="L116" s="27" t="str"/>
      <x:c r="M116" s="27" t="str">
        <x:f>IF(A116="","",COUNTIF('Страницы_и_экраны'!$E$5:$E$304,A116))</x:f>
      </x:c>
      <x:c r="N116" s="27" t="str">
        <x:f>IF(A116="","",IF(M116&gt;0,"Покрыт","Нет страницы/экрана"))</x:f>
      </x:c>
      <x:c r="O116" s="27" t="str">
        <x:f>IF(A116="","",MAX(0,MIN(100,ROUND(((J116*0.45)+(K116*0.35)-(L116*0.20))*20,0))))</x:f>
      </x:c>
      <x:c r="P116" s="27"/>
      <x:c r="Q116" s="27"/>
      <x:c r="R116" s="27"/>
      <x:c r="S116" s="27"/>
      <x:c r="T116" s="27"/>
      <x:c r="U116" s="27"/>
    </x:row>
    <x:row r="117">
      <x:c r="A117" s="27" t="str"/>
      <x:c r="B117" s="27" t="str"/>
      <x:c r="C117" s="27" t="str"/>
      <x:c r="D117" s="27" t="str"/>
      <x:c r="E117" s="27" t="str"/>
      <x:c r="F117" s="27" t="str"/>
      <x:c r="G117" s="27" t="str"/>
      <x:c r="H117" s="27" t="str"/>
      <x:c r="I117" s="27" t="str"/>
      <x:c r="J117" s="27" t="str"/>
      <x:c r="K117" s="27" t="str"/>
      <x:c r="L117" s="27" t="str"/>
      <x:c r="M117" s="27" t="str">
        <x:f>IF(A117="","",COUNTIF('Страницы_и_экраны'!$E$5:$E$304,A117))</x:f>
      </x:c>
      <x:c r="N117" s="27" t="str">
        <x:f>IF(A117="","",IF(M117&gt;0,"Покрыт","Нет страницы/экрана"))</x:f>
      </x:c>
      <x:c r="O117" s="27" t="str">
        <x:f>IF(A117="","",MAX(0,MIN(100,ROUND(((J117*0.45)+(K117*0.35)-(L117*0.20))*20,0))))</x:f>
      </x:c>
      <x:c r="P117" s="27"/>
      <x:c r="Q117" s="27"/>
      <x:c r="R117" s="27"/>
      <x:c r="S117" s="27"/>
      <x:c r="T117" s="27"/>
      <x:c r="U117" s="27"/>
    </x:row>
    <x:row r="118">
      <x:c r="A118" s="27" t="str"/>
      <x:c r="B118" s="27" t="str"/>
      <x:c r="C118" s="27" t="str"/>
      <x:c r="D118" s="27" t="str"/>
      <x:c r="E118" s="27" t="str"/>
      <x:c r="F118" s="27" t="str"/>
      <x:c r="G118" s="27" t="str"/>
      <x:c r="H118" s="27" t="str"/>
      <x:c r="I118" s="27" t="str"/>
      <x:c r="J118" s="27" t="str"/>
      <x:c r="K118" s="27" t="str"/>
      <x:c r="L118" s="27" t="str"/>
      <x:c r="M118" s="27" t="str">
        <x:f>IF(A118="","",COUNTIF('Страницы_и_экраны'!$E$5:$E$304,A118))</x:f>
      </x:c>
      <x:c r="N118" s="27" t="str">
        <x:f>IF(A118="","",IF(M118&gt;0,"Покрыт","Нет страницы/экрана"))</x:f>
      </x:c>
      <x:c r="O118" s="27" t="str">
        <x:f>IF(A118="","",MAX(0,MIN(100,ROUND(((J118*0.45)+(K118*0.35)-(L118*0.20))*20,0))))</x:f>
      </x:c>
      <x:c r="P118" s="27"/>
      <x:c r="Q118" s="27"/>
      <x:c r="R118" s="27"/>
      <x:c r="S118" s="27"/>
      <x:c r="T118" s="27"/>
      <x:c r="U118" s="27"/>
    </x:row>
    <x:row r="119">
      <x:c r="A119" s="27" t="str"/>
      <x:c r="B119" s="27" t="str"/>
      <x:c r="C119" s="27" t="str"/>
      <x:c r="D119" s="27" t="str"/>
      <x:c r="E119" s="27" t="str"/>
      <x:c r="F119" s="27" t="str"/>
      <x:c r="G119" s="27" t="str"/>
      <x:c r="H119" s="27" t="str"/>
      <x:c r="I119" s="27" t="str"/>
      <x:c r="J119" s="27" t="str"/>
      <x:c r="K119" s="27" t="str"/>
      <x:c r="L119" s="27" t="str"/>
      <x:c r="M119" s="27" t="str">
        <x:f>IF(A119="","",COUNTIF('Страницы_и_экраны'!$E$5:$E$304,A119))</x:f>
      </x:c>
      <x:c r="N119" s="27" t="str">
        <x:f>IF(A119="","",IF(M119&gt;0,"Покрыт","Нет страницы/экрана"))</x:f>
      </x:c>
      <x:c r="O119" s="27" t="str">
        <x:f>IF(A119="","",MAX(0,MIN(100,ROUND(((J119*0.45)+(K119*0.35)-(L119*0.20))*20,0))))</x:f>
      </x:c>
      <x:c r="P119" s="27"/>
      <x:c r="Q119" s="27"/>
      <x:c r="R119" s="27"/>
      <x:c r="S119" s="27"/>
      <x:c r="T119" s="27"/>
      <x:c r="U119" s="27"/>
    </x:row>
    <x:row r="120">
      <x:c r="A120" s="27" t="str"/>
      <x:c r="B120" s="27" t="str"/>
      <x:c r="C120" s="27" t="str"/>
      <x:c r="D120" s="27" t="str"/>
      <x:c r="E120" s="27" t="str"/>
      <x:c r="F120" s="27" t="str"/>
      <x:c r="G120" s="27" t="str"/>
      <x:c r="H120" s="27" t="str"/>
      <x:c r="I120" s="27" t="str"/>
      <x:c r="J120" s="27" t="str"/>
      <x:c r="K120" s="27" t="str"/>
      <x:c r="L120" s="27" t="str"/>
      <x:c r="M120" s="27" t="str">
        <x:f>IF(A120="","",COUNTIF('Страницы_и_экраны'!$E$5:$E$304,A120))</x:f>
      </x:c>
      <x:c r="N120" s="27" t="str">
        <x:f>IF(A120="","",IF(M120&gt;0,"Покрыт","Нет страницы/экрана"))</x:f>
      </x:c>
      <x:c r="O120" s="27" t="str">
        <x:f>IF(A120="","",MAX(0,MIN(100,ROUND(((J120*0.45)+(K120*0.35)-(L120*0.20))*20,0))))</x:f>
      </x:c>
      <x:c r="P120" s="27"/>
      <x:c r="Q120" s="27"/>
      <x:c r="R120" s="27"/>
      <x:c r="S120" s="27"/>
      <x:c r="T120" s="27"/>
      <x:c r="U120" s="27"/>
    </x:row>
    <x:row r="121">
      <x:c r="A121" s="27" t="str"/>
      <x:c r="B121" s="27" t="str"/>
      <x:c r="C121" s="27" t="str"/>
      <x:c r="D121" s="27" t="str"/>
      <x:c r="E121" s="27" t="str"/>
      <x:c r="F121" s="27" t="str"/>
      <x:c r="G121" s="27" t="str"/>
      <x:c r="H121" s="27" t="str"/>
      <x:c r="I121" s="27" t="str"/>
      <x:c r="J121" s="27" t="str"/>
      <x:c r="K121" s="27" t="str"/>
      <x:c r="L121" s="27" t="str"/>
      <x:c r="M121" s="27" t="str">
        <x:f>IF(A121="","",COUNTIF('Страницы_и_экраны'!$E$5:$E$304,A121))</x:f>
      </x:c>
      <x:c r="N121" s="27" t="str">
        <x:f>IF(A121="","",IF(M121&gt;0,"Покрыт","Нет страницы/экрана"))</x:f>
      </x:c>
      <x:c r="O121" s="27" t="str">
        <x:f>IF(A121="","",MAX(0,MIN(100,ROUND(((J121*0.45)+(K121*0.35)-(L121*0.20))*20,0))))</x:f>
      </x:c>
      <x:c r="P121" s="27"/>
      <x:c r="Q121" s="27"/>
      <x:c r="R121" s="27"/>
      <x:c r="S121" s="27"/>
      <x:c r="T121" s="27"/>
      <x:c r="U121" s="27"/>
    </x:row>
    <x:row r="122">
      <x:c r="A122" s="27" t="str"/>
      <x:c r="B122" s="27" t="str"/>
      <x:c r="C122" s="27" t="str"/>
      <x:c r="D122" s="27" t="str"/>
      <x:c r="E122" s="27" t="str"/>
      <x:c r="F122" s="27" t="str"/>
      <x:c r="G122" s="27" t="str"/>
      <x:c r="H122" s="27" t="str"/>
      <x:c r="I122" s="27" t="str"/>
      <x:c r="J122" s="27" t="str"/>
      <x:c r="K122" s="27" t="str"/>
      <x:c r="L122" s="27" t="str"/>
      <x:c r="M122" s="27" t="str">
        <x:f>IF(A122="","",COUNTIF('Страницы_и_экраны'!$E$5:$E$304,A122))</x:f>
      </x:c>
      <x:c r="N122" s="27" t="str">
        <x:f>IF(A122="","",IF(M122&gt;0,"Покрыт","Нет страницы/экрана"))</x:f>
      </x:c>
      <x:c r="O122" s="27" t="str">
        <x:f>IF(A122="","",MAX(0,MIN(100,ROUND(((J122*0.45)+(K122*0.35)-(L122*0.20))*20,0))))</x:f>
      </x:c>
      <x:c r="P122" s="27"/>
      <x:c r="Q122" s="27"/>
      <x:c r="R122" s="27"/>
      <x:c r="S122" s="27"/>
      <x:c r="T122" s="27"/>
      <x:c r="U122" s="27"/>
    </x:row>
    <x:row r="123">
      <x:c r="A123" s="27" t="str"/>
      <x:c r="B123" s="27" t="str"/>
      <x:c r="C123" s="27" t="str"/>
      <x:c r="D123" s="27" t="str"/>
      <x:c r="E123" s="27" t="str"/>
      <x:c r="F123" s="27" t="str"/>
      <x:c r="G123" s="27" t="str"/>
      <x:c r="H123" s="27" t="str"/>
      <x:c r="I123" s="27" t="str"/>
      <x:c r="J123" s="27" t="str"/>
      <x:c r="K123" s="27" t="str"/>
      <x:c r="L123" s="27" t="str"/>
      <x:c r="M123" s="27" t="str">
        <x:f>IF(A123="","",COUNTIF('Страницы_и_экраны'!$E$5:$E$304,A123))</x:f>
      </x:c>
      <x:c r="N123" s="27" t="str">
        <x:f>IF(A123="","",IF(M123&gt;0,"Покрыт","Нет страницы/экрана"))</x:f>
      </x:c>
      <x:c r="O123" s="27" t="str">
        <x:f>IF(A123="","",MAX(0,MIN(100,ROUND(((J123*0.45)+(K123*0.35)-(L123*0.20))*20,0))))</x:f>
      </x:c>
      <x:c r="P123" s="27"/>
      <x:c r="Q123" s="27"/>
      <x:c r="R123" s="27"/>
      <x:c r="S123" s="27"/>
      <x:c r="T123" s="27"/>
      <x:c r="U123" s="27"/>
    </x:row>
    <x:row r="124">
      <x:c r="A124" s="27" t="str"/>
      <x:c r="B124" s="27" t="str"/>
      <x:c r="C124" s="27" t="str"/>
      <x:c r="D124" s="27" t="str"/>
      <x:c r="E124" s="27" t="str"/>
      <x:c r="F124" s="27" t="str"/>
      <x:c r="G124" s="27" t="str"/>
      <x:c r="H124" s="27" t="str"/>
      <x:c r="I124" s="27" t="str"/>
      <x:c r="J124" s="27" t="str"/>
      <x:c r="K124" s="27" t="str"/>
      <x:c r="L124" s="27" t="str"/>
      <x:c r="M124" s="27" t="str">
        <x:f>IF(A124="","",COUNTIF('Страницы_и_экраны'!$E$5:$E$304,A124))</x:f>
      </x:c>
      <x:c r="N124" s="27" t="str">
        <x:f>IF(A124="","",IF(M124&gt;0,"Покрыт","Нет страницы/экрана"))</x:f>
      </x:c>
      <x:c r="O124" s="27" t="str">
        <x:f>IF(A124="","",MAX(0,MIN(100,ROUND(((J124*0.45)+(K124*0.35)-(L124*0.20))*20,0))))</x:f>
      </x:c>
      <x:c r="P124" s="27"/>
      <x:c r="Q124" s="27"/>
      <x:c r="R124" s="27"/>
      <x:c r="S124" s="27"/>
      <x:c r="T124" s="27"/>
      <x:c r="U124" s="27"/>
    </x:row>
    <x:row r="125">
      <x:c r="A125" s="27" t="str"/>
      <x:c r="B125" s="27" t="str"/>
      <x:c r="C125" s="27" t="str"/>
      <x:c r="D125" s="27" t="str"/>
      <x:c r="E125" s="27" t="str"/>
      <x:c r="F125" s="27" t="str"/>
      <x:c r="G125" s="27" t="str"/>
      <x:c r="H125" s="27" t="str"/>
      <x:c r="I125" s="27" t="str"/>
      <x:c r="J125" s="27" t="str"/>
      <x:c r="K125" s="27" t="str"/>
      <x:c r="L125" s="27" t="str"/>
      <x:c r="M125" s="27" t="str">
        <x:f>IF(A125="","",COUNTIF('Страницы_и_экраны'!$E$5:$E$304,A125))</x:f>
      </x:c>
      <x:c r="N125" s="27" t="str">
        <x:f>IF(A125="","",IF(M125&gt;0,"Покрыт","Нет страницы/экрана"))</x:f>
      </x:c>
      <x:c r="O125" s="27" t="str">
        <x:f>IF(A125="","",MAX(0,MIN(100,ROUND(((J125*0.45)+(K125*0.35)-(L125*0.20))*20,0))))</x:f>
      </x:c>
      <x:c r="P125" s="27"/>
      <x:c r="Q125" s="27"/>
      <x:c r="R125" s="27"/>
      <x:c r="S125" s="27"/>
      <x:c r="T125" s="27"/>
      <x:c r="U125" s="27"/>
    </x:row>
    <x:row r="126">
      <x:c r="A126" s="27" t="str"/>
      <x:c r="B126" s="27" t="str"/>
      <x:c r="C126" s="27" t="str"/>
      <x:c r="D126" s="27" t="str"/>
      <x:c r="E126" s="27" t="str"/>
      <x:c r="F126" s="27" t="str"/>
      <x:c r="G126" s="27" t="str"/>
      <x:c r="H126" s="27" t="str"/>
      <x:c r="I126" s="27" t="str"/>
      <x:c r="J126" s="27" t="str"/>
      <x:c r="K126" s="27" t="str"/>
      <x:c r="L126" s="27" t="str"/>
      <x:c r="M126" s="27" t="str">
        <x:f>IF(A126="","",COUNTIF('Страницы_и_экраны'!$E$5:$E$304,A126))</x:f>
      </x:c>
      <x:c r="N126" s="27" t="str">
        <x:f>IF(A126="","",IF(M126&gt;0,"Покрыт","Нет страницы/экрана"))</x:f>
      </x:c>
      <x:c r="O126" s="27" t="str">
        <x:f>IF(A126="","",MAX(0,MIN(100,ROUND(((J126*0.45)+(K126*0.35)-(L126*0.20))*20,0))))</x:f>
      </x:c>
      <x:c r="P126" s="27"/>
      <x:c r="Q126" s="27"/>
      <x:c r="R126" s="27"/>
      <x:c r="S126" s="27"/>
      <x:c r="T126" s="27"/>
      <x:c r="U126" s="27"/>
    </x:row>
    <x:row r="127">
      <x:c r="A127" s="27" t="str"/>
      <x:c r="B127" s="27" t="str"/>
      <x:c r="C127" s="27" t="str"/>
      <x:c r="D127" s="27" t="str"/>
      <x:c r="E127" s="27" t="str"/>
      <x:c r="F127" s="27" t="str"/>
      <x:c r="G127" s="27" t="str"/>
      <x:c r="H127" s="27" t="str"/>
      <x:c r="I127" s="27" t="str"/>
      <x:c r="J127" s="27" t="str"/>
      <x:c r="K127" s="27" t="str"/>
      <x:c r="L127" s="27" t="str"/>
      <x:c r="M127" s="27" t="str">
        <x:f>IF(A127="","",COUNTIF('Страницы_и_экраны'!$E$5:$E$304,A127))</x:f>
      </x:c>
      <x:c r="N127" s="27" t="str">
        <x:f>IF(A127="","",IF(M127&gt;0,"Покрыт","Нет страницы/экрана"))</x:f>
      </x:c>
      <x:c r="O127" s="27" t="str">
        <x:f>IF(A127="","",MAX(0,MIN(100,ROUND(((J127*0.45)+(K127*0.35)-(L127*0.20))*20,0))))</x:f>
      </x:c>
      <x:c r="P127" s="27"/>
      <x:c r="Q127" s="27"/>
      <x:c r="R127" s="27"/>
      <x:c r="S127" s="27"/>
      <x:c r="T127" s="27"/>
      <x:c r="U127" s="27"/>
    </x:row>
    <x:row r="128">
      <x:c r="A128" s="27" t="str"/>
      <x:c r="B128" s="27" t="str"/>
      <x:c r="C128" s="27" t="str"/>
      <x:c r="D128" s="27" t="str"/>
      <x:c r="E128" s="27" t="str"/>
      <x:c r="F128" s="27" t="str"/>
      <x:c r="G128" s="27" t="str"/>
      <x:c r="H128" s="27" t="str"/>
      <x:c r="I128" s="27" t="str"/>
      <x:c r="J128" s="27" t="str"/>
      <x:c r="K128" s="27" t="str"/>
      <x:c r="L128" s="27" t="str"/>
      <x:c r="M128" s="27" t="str">
        <x:f>IF(A128="","",COUNTIF('Страницы_и_экраны'!$E$5:$E$304,A128))</x:f>
      </x:c>
      <x:c r="N128" s="27" t="str">
        <x:f>IF(A128="","",IF(M128&gt;0,"Покрыт","Нет страницы/экрана"))</x:f>
      </x:c>
      <x:c r="O128" s="27" t="str">
        <x:f>IF(A128="","",MAX(0,MIN(100,ROUND(((J128*0.45)+(K128*0.35)-(L128*0.20))*20,0))))</x:f>
      </x:c>
      <x:c r="P128" s="27"/>
      <x:c r="Q128" s="27"/>
      <x:c r="R128" s="27"/>
      <x:c r="S128" s="27"/>
      <x:c r="T128" s="27"/>
      <x:c r="U128" s="27"/>
    </x:row>
    <x:row r="129">
      <x:c r="A129" s="27" t="str"/>
      <x:c r="B129" s="27" t="str"/>
      <x:c r="C129" s="27" t="str"/>
      <x:c r="D129" s="27" t="str"/>
      <x:c r="E129" s="27" t="str"/>
      <x:c r="F129" s="27" t="str"/>
      <x:c r="G129" s="27" t="str"/>
      <x:c r="H129" s="27" t="str"/>
      <x:c r="I129" s="27" t="str"/>
      <x:c r="J129" s="27" t="str"/>
      <x:c r="K129" s="27" t="str"/>
      <x:c r="L129" s="27" t="str"/>
      <x:c r="M129" s="27" t="str">
        <x:f>IF(A129="","",COUNTIF('Страницы_и_экраны'!$E$5:$E$304,A129))</x:f>
      </x:c>
      <x:c r="N129" s="27" t="str">
        <x:f>IF(A129="","",IF(M129&gt;0,"Покрыт","Нет страницы/экрана"))</x:f>
      </x:c>
      <x:c r="O129" s="27" t="str">
        <x:f>IF(A129="","",MAX(0,MIN(100,ROUND(((J129*0.45)+(K129*0.35)-(L129*0.20))*20,0))))</x:f>
      </x:c>
      <x:c r="P129" s="27"/>
      <x:c r="Q129" s="27"/>
      <x:c r="R129" s="27"/>
      <x:c r="S129" s="27"/>
      <x:c r="T129" s="27"/>
      <x:c r="U129" s="27"/>
    </x:row>
    <x:row r="130">
      <x:c r="A130" s="27" t="str"/>
      <x:c r="B130" s="27" t="str"/>
      <x:c r="C130" s="27" t="str"/>
      <x:c r="D130" s="27" t="str"/>
      <x:c r="E130" s="27" t="str"/>
      <x:c r="F130" s="27" t="str"/>
      <x:c r="G130" s="27" t="str"/>
      <x:c r="H130" s="27" t="str"/>
      <x:c r="I130" s="27" t="str"/>
      <x:c r="J130" s="27" t="str"/>
      <x:c r="K130" s="27" t="str"/>
      <x:c r="L130" s="27" t="str"/>
      <x:c r="M130" s="27" t="str">
        <x:f>IF(A130="","",COUNTIF('Страницы_и_экраны'!$E$5:$E$304,A130))</x:f>
      </x:c>
      <x:c r="N130" s="27" t="str">
        <x:f>IF(A130="","",IF(M130&gt;0,"Покрыт","Нет страницы/экрана"))</x:f>
      </x:c>
      <x:c r="O130" s="27" t="str">
        <x:f>IF(A130="","",MAX(0,MIN(100,ROUND(((J130*0.45)+(K130*0.35)-(L130*0.20))*20,0))))</x:f>
      </x:c>
      <x:c r="P130" s="27"/>
      <x:c r="Q130" s="27"/>
      <x:c r="R130" s="27"/>
      <x:c r="S130" s="27"/>
      <x:c r="T130" s="27"/>
      <x:c r="U130" s="27"/>
    </x:row>
    <x:row r="131">
      <x:c r="A131" s="27" t="str"/>
      <x:c r="B131" s="27" t="str"/>
      <x:c r="C131" s="27" t="str"/>
      <x:c r="D131" s="27" t="str"/>
      <x:c r="E131" s="27" t="str"/>
      <x:c r="F131" s="27" t="str"/>
      <x:c r="G131" s="27" t="str"/>
      <x:c r="H131" s="27" t="str"/>
      <x:c r="I131" s="27" t="str"/>
      <x:c r="J131" s="27" t="str"/>
      <x:c r="K131" s="27" t="str"/>
      <x:c r="L131" s="27" t="str"/>
      <x:c r="M131" s="27" t="str">
        <x:f>IF(A131="","",COUNTIF('Страницы_и_экраны'!$E$5:$E$304,A131))</x:f>
      </x:c>
      <x:c r="N131" s="27" t="str">
        <x:f>IF(A131="","",IF(M131&gt;0,"Покрыт","Нет страницы/экрана"))</x:f>
      </x:c>
      <x:c r="O131" s="27" t="str">
        <x:f>IF(A131="","",MAX(0,MIN(100,ROUND(((J131*0.45)+(K131*0.35)-(L131*0.20))*20,0))))</x:f>
      </x:c>
      <x:c r="P131" s="27"/>
      <x:c r="Q131" s="27"/>
      <x:c r="R131" s="27"/>
      <x:c r="S131" s="27"/>
      <x:c r="T131" s="27"/>
      <x:c r="U131" s="27"/>
    </x:row>
    <x:row r="132">
      <x:c r="A132" s="27" t="str"/>
      <x:c r="B132" s="27" t="str"/>
      <x:c r="C132" s="27" t="str"/>
      <x:c r="D132" s="27" t="str"/>
      <x:c r="E132" s="27" t="str"/>
      <x:c r="F132" s="27" t="str"/>
      <x:c r="G132" s="27" t="str"/>
      <x:c r="H132" s="27" t="str"/>
      <x:c r="I132" s="27" t="str"/>
      <x:c r="J132" s="27" t="str"/>
      <x:c r="K132" s="27" t="str"/>
      <x:c r="L132" s="27" t="str"/>
      <x:c r="M132" s="27" t="str">
        <x:f>IF(A132="","",COUNTIF('Страницы_и_экраны'!$E$5:$E$304,A132))</x:f>
      </x:c>
      <x:c r="N132" s="27" t="str">
        <x:f>IF(A132="","",IF(M132&gt;0,"Покрыт","Нет страницы/экрана"))</x:f>
      </x:c>
      <x:c r="O132" s="27" t="str">
        <x:f>IF(A132="","",MAX(0,MIN(100,ROUND(((J132*0.45)+(K132*0.35)-(L132*0.20))*20,0))))</x:f>
      </x:c>
      <x:c r="P132" s="27"/>
      <x:c r="Q132" s="27"/>
      <x:c r="R132" s="27"/>
      <x:c r="S132" s="27"/>
      <x:c r="T132" s="27"/>
      <x:c r="U132" s="27"/>
    </x:row>
    <x:row r="133">
      <x:c r="A133" s="27" t="str"/>
      <x:c r="B133" s="27" t="str"/>
      <x:c r="C133" s="27" t="str"/>
      <x:c r="D133" s="27" t="str"/>
      <x:c r="E133" s="27" t="str"/>
      <x:c r="F133" s="27" t="str"/>
      <x:c r="G133" s="27" t="str"/>
      <x:c r="H133" s="27" t="str"/>
      <x:c r="I133" s="27" t="str"/>
      <x:c r="J133" s="27" t="str"/>
      <x:c r="K133" s="27" t="str"/>
      <x:c r="L133" s="27" t="str"/>
      <x:c r="M133" s="27" t="str">
        <x:f>IF(A133="","",COUNTIF('Страницы_и_экраны'!$E$5:$E$304,A133))</x:f>
      </x:c>
      <x:c r="N133" s="27" t="str">
        <x:f>IF(A133="","",IF(M133&gt;0,"Покрыт","Нет страницы/экрана"))</x:f>
      </x:c>
      <x:c r="O133" s="27" t="str">
        <x:f>IF(A133="","",MAX(0,MIN(100,ROUND(((J133*0.45)+(K133*0.35)-(L133*0.20))*20,0))))</x:f>
      </x:c>
      <x:c r="P133" s="27"/>
      <x:c r="Q133" s="27"/>
      <x:c r="R133" s="27"/>
      <x:c r="S133" s="27"/>
      <x:c r="T133" s="27"/>
      <x:c r="U133" s="27"/>
    </x:row>
    <x:row r="134">
      <x:c r="A134" s="27" t="str"/>
      <x:c r="B134" s="27" t="str"/>
      <x:c r="C134" s="27" t="str"/>
      <x:c r="D134" s="27" t="str"/>
      <x:c r="E134" s="27" t="str"/>
      <x:c r="F134" s="27" t="str"/>
      <x:c r="G134" s="27" t="str"/>
      <x:c r="H134" s="27" t="str"/>
      <x:c r="I134" s="27" t="str"/>
      <x:c r="J134" s="27" t="str"/>
      <x:c r="K134" s="27" t="str"/>
      <x:c r="L134" s="27" t="str"/>
      <x:c r="M134" s="27" t="str">
        <x:f>IF(A134="","",COUNTIF('Страницы_и_экраны'!$E$5:$E$304,A134))</x:f>
      </x:c>
      <x:c r="N134" s="27" t="str">
        <x:f>IF(A134="","",IF(M134&gt;0,"Покрыт","Нет страницы/экрана"))</x:f>
      </x:c>
      <x:c r="O134" s="27" t="str">
        <x:f>IF(A134="","",MAX(0,MIN(100,ROUND(((J134*0.45)+(K134*0.35)-(L134*0.20))*20,0))))</x:f>
      </x:c>
      <x:c r="P134" s="27"/>
      <x:c r="Q134" s="27"/>
      <x:c r="R134" s="27"/>
      <x:c r="S134" s="27"/>
      <x:c r="T134" s="27"/>
      <x:c r="U134" s="27"/>
    </x:row>
    <x:row r="135">
      <x:c r="A135" s="27" t="str"/>
      <x:c r="B135" s="27" t="str"/>
      <x:c r="C135" s="27" t="str"/>
      <x:c r="D135" s="27" t="str"/>
      <x:c r="E135" s="27" t="str"/>
      <x:c r="F135" s="27" t="str"/>
      <x:c r="G135" s="27" t="str"/>
      <x:c r="H135" s="27" t="str"/>
      <x:c r="I135" s="27" t="str"/>
      <x:c r="J135" s="27" t="str"/>
      <x:c r="K135" s="27" t="str"/>
      <x:c r="L135" s="27" t="str"/>
      <x:c r="M135" s="27" t="str">
        <x:f>IF(A135="","",COUNTIF('Страницы_и_экраны'!$E$5:$E$304,A135))</x:f>
      </x:c>
      <x:c r="N135" s="27" t="str">
        <x:f>IF(A135="","",IF(M135&gt;0,"Покрыт","Нет страницы/экрана"))</x:f>
      </x:c>
      <x:c r="O135" s="27" t="str">
        <x:f>IF(A135="","",MAX(0,MIN(100,ROUND(((J135*0.45)+(K135*0.35)-(L135*0.20))*20,0))))</x:f>
      </x:c>
      <x:c r="P135" s="27"/>
      <x:c r="Q135" s="27"/>
      <x:c r="R135" s="27"/>
      <x:c r="S135" s="27"/>
      <x:c r="T135" s="27"/>
      <x:c r="U135" s="27"/>
    </x:row>
    <x:row r="136">
      <x:c r="A136" s="27" t="str"/>
      <x:c r="B136" s="27" t="str"/>
      <x:c r="C136" s="27" t="str"/>
      <x:c r="D136" s="27" t="str"/>
      <x:c r="E136" s="27" t="str"/>
      <x:c r="F136" s="27" t="str"/>
      <x:c r="G136" s="27" t="str"/>
      <x:c r="H136" s="27" t="str"/>
      <x:c r="I136" s="27" t="str"/>
      <x:c r="J136" s="27" t="str"/>
      <x:c r="K136" s="27" t="str"/>
      <x:c r="L136" s="27" t="str"/>
      <x:c r="M136" s="27" t="str">
        <x:f>IF(A136="","",COUNTIF('Страницы_и_экраны'!$E$5:$E$304,A136))</x:f>
      </x:c>
      <x:c r="N136" s="27" t="str">
        <x:f>IF(A136="","",IF(M136&gt;0,"Покрыт","Нет страницы/экрана"))</x:f>
      </x:c>
      <x:c r="O136" s="27" t="str">
        <x:f>IF(A136="","",MAX(0,MIN(100,ROUND(((J136*0.45)+(K136*0.35)-(L136*0.20))*20,0))))</x:f>
      </x:c>
      <x:c r="P136" s="27"/>
      <x:c r="Q136" s="27"/>
      <x:c r="R136" s="27"/>
      <x:c r="S136" s="27"/>
      <x:c r="T136" s="27"/>
      <x:c r="U136" s="27"/>
    </x:row>
    <x:row r="137">
      <x:c r="A137" s="27" t="str"/>
      <x:c r="B137" s="27" t="str"/>
      <x:c r="C137" s="27" t="str"/>
      <x:c r="D137" s="27" t="str"/>
      <x:c r="E137" s="27" t="str"/>
      <x:c r="F137" s="27" t="str"/>
      <x:c r="G137" s="27" t="str"/>
      <x:c r="H137" s="27" t="str"/>
      <x:c r="I137" s="27" t="str"/>
      <x:c r="J137" s="27" t="str"/>
      <x:c r="K137" s="27" t="str"/>
      <x:c r="L137" s="27" t="str"/>
      <x:c r="M137" s="27" t="str">
        <x:f>IF(A137="","",COUNTIF('Страницы_и_экраны'!$E$5:$E$304,A137))</x:f>
      </x:c>
      <x:c r="N137" s="27" t="str">
        <x:f>IF(A137="","",IF(M137&gt;0,"Покрыт","Нет страницы/экрана"))</x:f>
      </x:c>
      <x:c r="O137" s="27" t="str">
        <x:f>IF(A137="","",MAX(0,MIN(100,ROUND(((J137*0.45)+(K137*0.35)-(L137*0.20))*20,0))))</x:f>
      </x:c>
      <x:c r="P137" s="27"/>
      <x:c r="Q137" s="27"/>
      <x:c r="R137" s="27"/>
      <x:c r="S137" s="27"/>
      <x:c r="T137" s="27"/>
      <x:c r="U137" s="27"/>
    </x:row>
    <x:row r="138">
      <x:c r="A138" s="27" t="str"/>
      <x:c r="B138" s="27" t="str"/>
      <x:c r="C138" s="27" t="str"/>
      <x:c r="D138" s="27" t="str"/>
      <x:c r="E138" s="27" t="str"/>
      <x:c r="F138" s="27" t="str"/>
      <x:c r="G138" s="27" t="str"/>
      <x:c r="H138" s="27" t="str"/>
      <x:c r="I138" s="27" t="str"/>
      <x:c r="J138" s="27" t="str"/>
      <x:c r="K138" s="27" t="str"/>
      <x:c r="L138" s="27" t="str"/>
      <x:c r="M138" s="27" t="str">
        <x:f>IF(A138="","",COUNTIF('Страницы_и_экраны'!$E$5:$E$304,A138))</x:f>
      </x:c>
      <x:c r="N138" s="27" t="str">
        <x:f>IF(A138="","",IF(M138&gt;0,"Покрыт","Нет страницы/экрана"))</x:f>
      </x:c>
      <x:c r="O138" s="27" t="str">
        <x:f>IF(A138="","",MAX(0,MIN(100,ROUND(((J138*0.45)+(K138*0.35)-(L138*0.20))*20,0))))</x:f>
      </x:c>
      <x:c r="P138" s="27"/>
      <x:c r="Q138" s="27"/>
      <x:c r="R138" s="27"/>
      <x:c r="S138" s="27"/>
      <x:c r="T138" s="27"/>
      <x:c r="U138" s="27"/>
    </x:row>
    <x:row r="139">
      <x:c r="A139" s="27" t="str"/>
      <x:c r="B139" s="27" t="str"/>
      <x:c r="C139" s="27" t="str"/>
      <x:c r="D139" s="27" t="str"/>
      <x:c r="E139" s="27" t="str"/>
      <x:c r="F139" s="27" t="str"/>
      <x:c r="G139" s="27" t="str"/>
      <x:c r="H139" s="27" t="str"/>
      <x:c r="I139" s="27" t="str"/>
      <x:c r="J139" s="27" t="str"/>
      <x:c r="K139" s="27" t="str"/>
      <x:c r="L139" s="27" t="str"/>
      <x:c r="M139" s="27" t="str">
        <x:f>IF(A139="","",COUNTIF('Страницы_и_экраны'!$E$5:$E$304,A139))</x:f>
      </x:c>
      <x:c r="N139" s="27" t="str">
        <x:f>IF(A139="","",IF(M139&gt;0,"Покрыт","Нет страницы/экрана"))</x:f>
      </x:c>
      <x:c r="O139" s="27" t="str">
        <x:f>IF(A139="","",MAX(0,MIN(100,ROUND(((J139*0.45)+(K139*0.35)-(L139*0.20))*20,0))))</x:f>
      </x:c>
      <x:c r="P139" s="27"/>
      <x:c r="Q139" s="27"/>
      <x:c r="R139" s="27"/>
      <x:c r="S139" s="27"/>
      <x:c r="T139" s="27"/>
      <x:c r="U139" s="27"/>
    </x:row>
    <x:row r="140">
      <x:c r="A140" s="27" t="str"/>
      <x:c r="B140" s="27" t="str"/>
      <x:c r="C140" s="27" t="str"/>
      <x:c r="D140" s="27" t="str"/>
      <x:c r="E140" s="27" t="str"/>
      <x:c r="F140" s="27" t="str"/>
      <x:c r="G140" s="27" t="str"/>
      <x:c r="H140" s="27" t="str"/>
      <x:c r="I140" s="27" t="str"/>
      <x:c r="J140" s="27" t="str"/>
      <x:c r="K140" s="27" t="str"/>
      <x:c r="L140" s="27" t="str"/>
      <x:c r="M140" s="27" t="str">
        <x:f>IF(A140="","",COUNTIF('Страницы_и_экраны'!$E$5:$E$304,A140))</x:f>
      </x:c>
      <x:c r="N140" s="27" t="str">
        <x:f>IF(A140="","",IF(M140&gt;0,"Покрыт","Нет страницы/экрана"))</x:f>
      </x:c>
      <x:c r="O140" s="27" t="str">
        <x:f>IF(A140="","",MAX(0,MIN(100,ROUND(((J140*0.45)+(K140*0.35)-(L140*0.20))*20,0))))</x:f>
      </x:c>
      <x:c r="P140" s="27"/>
      <x:c r="Q140" s="27"/>
      <x:c r="R140" s="27"/>
      <x:c r="S140" s="27"/>
      <x:c r="T140" s="27"/>
      <x:c r="U140" s="27"/>
    </x:row>
    <x:row r="141">
      <x:c r="A141" s="27" t="str"/>
      <x:c r="B141" s="27" t="str"/>
      <x:c r="C141" s="27" t="str"/>
      <x:c r="D141" s="27" t="str"/>
      <x:c r="E141" s="27" t="str"/>
      <x:c r="F141" s="27" t="str"/>
      <x:c r="G141" s="27" t="str"/>
      <x:c r="H141" s="27" t="str"/>
      <x:c r="I141" s="27" t="str"/>
      <x:c r="J141" s="27" t="str"/>
      <x:c r="K141" s="27" t="str"/>
      <x:c r="L141" s="27" t="str"/>
      <x:c r="M141" s="27" t="str">
        <x:f>IF(A141="","",COUNTIF('Страницы_и_экраны'!$E$5:$E$304,A141))</x:f>
      </x:c>
      <x:c r="N141" s="27" t="str">
        <x:f>IF(A141="","",IF(M141&gt;0,"Покрыт","Нет страницы/экрана"))</x:f>
      </x:c>
      <x:c r="O141" s="27" t="str">
        <x:f>IF(A141="","",MAX(0,MIN(100,ROUND(((J141*0.45)+(K141*0.35)-(L141*0.20))*20,0))))</x:f>
      </x:c>
      <x:c r="P141" s="27"/>
      <x:c r="Q141" s="27"/>
      <x:c r="R141" s="27"/>
      <x:c r="S141" s="27"/>
      <x:c r="T141" s="27"/>
      <x:c r="U141" s="27"/>
    </x:row>
    <x:row r="142">
      <x:c r="A142" s="27" t="str"/>
      <x:c r="B142" s="27" t="str"/>
      <x:c r="C142" s="27" t="str"/>
      <x:c r="D142" s="27" t="str"/>
      <x:c r="E142" s="27" t="str"/>
      <x:c r="F142" s="27" t="str"/>
      <x:c r="G142" s="27" t="str"/>
      <x:c r="H142" s="27" t="str"/>
      <x:c r="I142" s="27" t="str"/>
      <x:c r="J142" s="27" t="str"/>
      <x:c r="K142" s="27" t="str"/>
      <x:c r="L142" s="27" t="str"/>
      <x:c r="M142" s="27" t="str">
        <x:f>IF(A142="","",COUNTIF('Страницы_и_экраны'!$E$5:$E$304,A142))</x:f>
      </x:c>
      <x:c r="N142" s="27" t="str">
        <x:f>IF(A142="","",IF(M142&gt;0,"Покрыт","Нет страницы/экрана"))</x:f>
      </x:c>
      <x:c r="O142" s="27" t="str">
        <x:f>IF(A142="","",MAX(0,MIN(100,ROUND(((J142*0.45)+(K142*0.35)-(L142*0.20))*20,0))))</x:f>
      </x:c>
      <x:c r="P142" s="27"/>
      <x:c r="Q142" s="27"/>
      <x:c r="R142" s="27"/>
      <x:c r="S142" s="27"/>
      <x:c r="T142" s="27"/>
      <x:c r="U142" s="27"/>
    </x:row>
    <x:row r="143">
      <x:c r="A143" s="27" t="str"/>
      <x:c r="B143" s="27" t="str"/>
      <x:c r="C143" s="27" t="str"/>
      <x:c r="D143" s="27" t="str"/>
      <x:c r="E143" s="27" t="str"/>
      <x:c r="F143" s="27" t="str"/>
      <x:c r="G143" s="27" t="str"/>
      <x:c r="H143" s="27" t="str"/>
      <x:c r="I143" s="27" t="str"/>
      <x:c r="J143" s="27" t="str"/>
      <x:c r="K143" s="27" t="str"/>
      <x:c r="L143" s="27" t="str"/>
      <x:c r="M143" s="27" t="str">
        <x:f>IF(A143="","",COUNTIF('Страницы_и_экраны'!$E$5:$E$304,A143))</x:f>
      </x:c>
      <x:c r="N143" s="27" t="str">
        <x:f>IF(A143="","",IF(M143&gt;0,"Покрыт","Нет страницы/экрана"))</x:f>
      </x:c>
      <x:c r="O143" s="27" t="str">
        <x:f>IF(A143="","",MAX(0,MIN(100,ROUND(((J143*0.45)+(K143*0.35)-(L143*0.20))*20,0))))</x:f>
      </x:c>
      <x:c r="P143" s="27"/>
      <x:c r="Q143" s="27"/>
      <x:c r="R143" s="27"/>
      <x:c r="S143" s="27"/>
      <x:c r="T143" s="27"/>
      <x:c r="U143" s="27"/>
    </x:row>
    <x:row r="144">
      <x:c r="A144" s="27" t="str"/>
      <x:c r="B144" s="27" t="str"/>
      <x:c r="C144" s="27" t="str"/>
      <x:c r="D144" s="27" t="str"/>
      <x:c r="E144" s="27" t="str"/>
      <x:c r="F144" s="27" t="str"/>
      <x:c r="G144" s="27" t="str"/>
      <x:c r="H144" s="27" t="str"/>
      <x:c r="I144" s="27" t="str"/>
      <x:c r="J144" s="27" t="str"/>
      <x:c r="K144" s="27" t="str"/>
      <x:c r="L144" s="27" t="str"/>
      <x:c r="M144" s="27" t="str">
        <x:f>IF(A144="","",COUNTIF('Страницы_и_экраны'!$E$5:$E$304,A144))</x:f>
      </x:c>
      <x:c r="N144" s="27" t="str">
        <x:f>IF(A144="","",IF(M144&gt;0,"Покрыт","Нет страницы/экрана"))</x:f>
      </x:c>
      <x:c r="O144" s="27" t="str">
        <x:f>IF(A144="","",MAX(0,MIN(100,ROUND(((J144*0.45)+(K144*0.35)-(L144*0.20))*20,0))))</x:f>
      </x:c>
      <x:c r="P144" s="27"/>
      <x:c r="Q144" s="27"/>
      <x:c r="R144" s="27"/>
      <x:c r="S144" s="27"/>
      <x:c r="T144" s="27"/>
      <x:c r="U144" s="27"/>
    </x:row>
    <x:row r="145">
      <x:c r="A145" s="27" t="str"/>
      <x:c r="B145" s="27" t="str"/>
      <x:c r="C145" s="27" t="str"/>
      <x:c r="D145" s="27" t="str"/>
      <x:c r="E145" s="27" t="str"/>
      <x:c r="F145" s="27" t="str"/>
      <x:c r="G145" s="27" t="str"/>
      <x:c r="H145" s="27" t="str"/>
      <x:c r="I145" s="27" t="str"/>
      <x:c r="J145" s="27" t="str"/>
      <x:c r="K145" s="27" t="str"/>
      <x:c r="L145" s="27" t="str"/>
      <x:c r="M145" s="27" t="str">
        <x:f>IF(A145="","",COUNTIF('Страницы_и_экраны'!$E$5:$E$304,A145))</x:f>
      </x:c>
      <x:c r="N145" s="27" t="str">
        <x:f>IF(A145="","",IF(M145&gt;0,"Покрыт","Нет страницы/экрана"))</x:f>
      </x:c>
      <x:c r="O145" s="27" t="str">
        <x:f>IF(A145="","",MAX(0,MIN(100,ROUND(((J145*0.45)+(K145*0.35)-(L145*0.20))*20,0))))</x:f>
      </x:c>
      <x:c r="P145" s="27"/>
      <x:c r="Q145" s="27"/>
      <x:c r="R145" s="27"/>
      <x:c r="S145" s="27"/>
      <x:c r="T145" s="27"/>
      <x:c r="U145" s="27"/>
    </x:row>
    <x:row r="146">
      <x:c r="A146" s="27" t="str"/>
      <x:c r="B146" s="27" t="str"/>
      <x:c r="C146" s="27" t="str"/>
      <x:c r="D146" s="27" t="str"/>
      <x:c r="E146" s="27" t="str"/>
      <x:c r="F146" s="27" t="str"/>
      <x:c r="G146" s="27" t="str"/>
      <x:c r="H146" s="27" t="str"/>
      <x:c r="I146" s="27" t="str"/>
      <x:c r="J146" s="27" t="str"/>
      <x:c r="K146" s="27" t="str"/>
      <x:c r="L146" s="27" t="str"/>
      <x:c r="M146" s="27" t="str">
        <x:f>IF(A146="","",COUNTIF('Страницы_и_экраны'!$E$5:$E$304,A146))</x:f>
      </x:c>
      <x:c r="N146" s="27" t="str">
        <x:f>IF(A146="","",IF(M146&gt;0,"Покрыт","Нет страницы/экрана"))</x:f>
      </x:c>
      <x:c r="O146" s="27" t="str">
        <x:f>IF(A146="","",MAX(0,MIN(100,ROUND(((J146*0.45)+(K146*0.35)-(L146*0.20))*20,0))))</x:f>
      </x:c>
      <x:c r="P146" s="27"/>
      <x:c r="Q146" s="27"/>
      <x:c r="R146" s="27"/>
      <x:c r="S146" s="27"/>
      <x:c r="T146" s="27"/>
      <x:c r="U146" s="27"/>
    </x:row>
    <x:row r="147">
      <x:c r="A147" s="27" t="str"/>
      <x:c r="B147" s="27" t="str"/>
      <x:c r="C147" s="27" t="str"/>
      <x:c r="D147" s="27" t="str"/>
      <x:c r="E147" s="27" t="str"/>
      <x:c r="F147" s="27" t="str"/>
      <x:c r="G147" s="27" t="str"/>
      <x:c r="H147" s="27" t="str"/>
      <x:c r="I147" s="27" t="str"/>
      <x:c r="J147" s="27" t="str"/>
      <x:c r="K147" s="27" t="str"/>
      <x:c r="L147" s="27" t="str"/>
      <x:c r="M147" s="27" t="str">
        <x:f>IF(A147="","",COUNTIF('Страницы_и_экраны'!$E$5:$E$304,A147))</x:f>
      </x:c>
      <x:c r="N147" s="27" t="str">
        <x:f>IF(A147="","",IF(M147&gt;0,"Покрыт","Нет страницы/экрана"))</x:f>
      </x:c>
      <x:c r="O147" s="27" t="str">
        <x:f>IF(A147="","",MAX(0,MIN(100,ROUND(((J147*0.45)+(K147*0.35)-(L147*0.20))*20,0))))</x:f>
      </x:c>
      <x:c r="P147" s="27"/>
      <x:c r="Q147" s="27"/>
      <x:c r="R147" s="27"/>
      <x:c r="S147" s="27"/>
      <x:c r="T147" s="27"/>
      <x:c r="U147" s="27"/>
    </x:row>
    <x:row r="148">
      <x:c r="A148" s="27" t="str"/>
      <x:c r="B148" s="27" t="str"/>
      <x:c r="C148" s="27" t="str"/>
      <x:c r="D148" s="27" t="str"/>
      <x:c r="E148" s="27" t="str"/>
      <x:c r="F148" s="27" t="str"/>
      <x:c r="G148" s="27" t="str"/>
      <x:c r="H148" s="27" t="str"/>
      <x:c r="I148" s="27" t="str"/>
      <x:c r="J148" s="27" t="str"/>
      <x:c r="K148" s="27" t="str"/>
      <x:c r="L148" s="27" t="str"/>
      <x:c r="M148" s="27" t="str">
        <x:f>IF(A148="","",COUNTIF('Страницы_и_экраны'!$E$5:$E$304,A148))</x:f>
      </x:c>
      <x:c r="N148" s="27" t="str">
        <x:f>IF(A148="","",IF(M148&gt;0,"Покрыт","Нет страницы/экрана"))</x:f>
      </x:c>
      <x:c r="O148" s="27" t="str">
        <x:f>IF(A148="","",MAX(0,MIN(100,ROUND(((J148*0.45)+(K148*0.35)-(L148*0.20))*20,0))))</x:f>
      </x:c>
      <x:c r="P148" s="27"/>
      <x:c r="Q148" s="27"/>
      <x:c r="R148" s="27"/>
      <x:c r="S148" s="27"/>
      <x:c r="T148" s="27"/>
      <x:c r="U148" s="27"/>
    </x:row>
    <x:row r="149">
      <x:c r="A149" s="27" t="str"/>
      <x:c r="B149" s="27" t="str"/>
      <x:c r="C149" s="27" t="str"/>
      <x:c r="D149" s="27" t="str"/>
      <x:c r="E149" s="27" t="str"/>
      <x:c r="F149" s="27" t="str"/>
      <x:c r="G149" s="27" t="str"/>
      <x:c r="H149" s="27" t="str"/>
      <x:c r="I149" s="27" t="str"/>
      <x:c r="J149" s="27" t="str"/>
      <x:c r="K149" s="27" t="str"/>
      <x:c r="L149" s="27" t="str"/>
      <x:c r="M149" s="27" t="str">
        <x:f>IF(A149="","",COUNTIF('Страницы_и_экраны'!$E$5:$E$304,A149))</x:f>
      </x:c>
      <x:c r="N149" s="27" t="str">
        <x:f>IF(A149="","",IF(M149&gt;0,"Покрыт","Нет страницы/экрана"))</x:f>
      </x:c>
      <x:c r="O149" s="27" t="str">
        <x:f>IF(A149="","",MAX(0,MIN(100,ROUND(((J149*0.45)+(K149*0.35)-(L149*0.20))*20,0))))</x:f>
      </x:c>
      <x:c r="P149" s="27"/>
      <x:c r="Q149" s="27"/>
      <x:c r="R149" s="27"/>
      <x:c r="S149" s="27"/>
      <x:c r="T149" s="27"/>
      <x:c r="U149" s="27"/>
    </x:row>
    <x:row r="150">
      <x:c r="A150" s="27" t="str"/>
      <x:c r="B150" s="27" t="str"/>
      <x:c r="C150" s="27" t="str"/>
      <x:c r="D150" s="27" t="str"/>
      <x:c r="E150" s="27" t="str"/>
      <x:c r="F150" s="27" t="str"/>
      <x:c r="G150" s="27" t="str"/>
      <x:c r="H150" s="27" t="str"/>
      <x:c r="I150" s="27" t="str"/>
      <x:c r="J150" s="27" t="str"/>
      <x:c r="K150" s="27" t="str"/>
      <x:c r="L150" s="27" t="str"/>
      <x:c r="M150" s="27" t="str">
        <x:f>IF(A150="","",COUNTIF('Страницы_и_экраны'!$E$5:$E$304,A150))</x:f>
      </x:c>
      <x:c r="N150" s="27" t="str">
        <x:f>IF(A150="","",IF(M150&gt;0,"Покрыт","Нет страницы/экрана"))</x:f>
      </x:c>
      <x:c r="O150" s="27" t="str">
        <x:f>IF(A150="","",MAX(0,MIN(100,ROUND(((J150*0.45)+(K150*0.35)-(L150*0.20))*20,0))))</x:f>
      </x:c>
      <x:c r="P150" s="27"/>
      <x:c r="Q150" s="27"/>
      <x:c r="R150" s="27"/>
      <x:c r="S150" s="27"/>
      <x:c r="T150" s="27"/>
      <x:c r="U150" s="27"/>
    </x:row>
    <x:row r="151">
      <x:c r="A151" s="27" t="str"/>
      <x:c r="B151" s="27" t="str"/>
      <x:c r="C151" s="27" t="str"/>
      <x:c r="D151" s="27" t="str"/>
      <x:c r="E151" s="27" t="str"/>
      <x:c r="F151" s="27" t="str"/>
      <x:c r="G151" s="27" t="str"/>
      <x:c r="H151" s="27" t="str"/>
      <x:c r="I151" s="27" t="str"/>
      <x:c r="J151" s="27" t="str"/>
      <x:c r="K151" s="27" t="str"/>
      <x:c r="L151" s="27" t="str"/>
      <x:c r="M151" s="27" t="str">
        <x:f>IF(A151="","",COUNTIF('Страницы_и_экраны'!$E$5:$E$304,A151))</x:f>
      </x:c>
      <x:c r="N151" s="27" t="str">
        <x:f>IF(A151="","",IF(M151&gt;0,"Покрыт","Нет страницы/экрана"))</x:f>
      </x:c>
      <x:c r="O151" s="27" t="str">
        <x:f>IF(A151="","",MAX(0,MIN(100,ROUND(((J151*0.45)+(K151*0.35)-(L151*0.20))*20,0))))</x:f>
      </x:c>
      <x:c r="P151" s="27"/>
      <x:c r="Q151" s="27"/>
      <x:c r="R151" s="27"/>
      <x:c r="S151" s="27"/>
      <x:c r="T151" s="27"/>
      <x:c r="U151" s="27"/>
    </x:row>
    <x:row r="152">
      <x:c r="A152" s="27" t="str"/>
      <x:c r="B152" s="27" t="str"/>
      <x:c r="C152" s="27" t="str"/>
      <x:c r="D152" s="27" t="str"/>
      <x:c r="E152" s="27" t="str"/>
      <x:c r="F152" s="27" t="str"/>
      <x:c r="G152" s="27" t="str"/>
      <x:c r="H152" s="27" t="str"/>
      <x:c r="I152" s="27" t="str"/>
      <x:c r="J152" s="27" t="str"/>
      <x:c r="K152" s="27" t="str"/>
      <x:c r="L152" s="27" t="str"/>
      <x:c r="M152" s="27" t="str">
        <x:f>IF(A152="","",COUNTIF('Страницы_и_экраны'!$E$5:$E$304,A152))</x:f>
      </x:c>
      <x:c r="N152" s="27" t="str">
        <x:f>IF(A152="","",IF(M152&gt;0,"Покрыт","Нет страницы/экрана"))</x:f>
      </x:c>
      <x:c r="O152" s="27" t="str">
        <x:f>IF(A152="","",MAX(0,MIN(100,ROUND(((J152*0.45)+(K152*0.35)-(L152*0.20))*20,0))))</x:f>
      </x:c>
      <x:c r="P152" s="27"/>
      <x:c r="Q152" s="27"/>
      <x:c r="R152" s="27"/>
      <x:c r="S152" s="27"/>
      <x:c r="T152" s="27"/>
      <x:c r="U152" s="27"/>
    </x:row>
    <x:row r="153">
      <x:c r="A153" s="27" t="str"/>
      <x:c r="B153" s="27" t="str"/>
      <x:c r="C153" s="27" t="str"/>
      <x:c r="D153" s="27" t="str"/>
      <x:c r="E153" s="27" t="str"/>
      <x:c r="F153" s="27" t="str"/>
      <x:c r="G153" s="27" t="str"/>
      <x:c r="H153" s="27" t="str"/>
      <x:c r="I153" s="27" t="str"/>
      <x:c r="J153" s="27" t="str"/>
      <x:c r="K153" s="27" t="str"/>
      <x:c r="L153" s="27" t="str"/>
      <x:c r="M153" s="27" t="str">
        <x:f>IF(A153="","",COUNTIF('Страницы_и_экраны'!$E$5:$E$304,A153))</x:f>
      </x:c>
      <x:c r="N153" s="27" t="str">
        <x:f>IF(A153="","",IF(M153&gt;0,"Покрыт","Нет страницы/экрана"))</x:f>
      </x:c>
      <x:c r="O153" s="27" t="str">
        <x:f>IF(A153="","",MAX(0,MIN(100,ROUND(((J153*0.45)+(K153*0.35)-(L153*0.20))*20,0))))</x:f>
      </x:c>
      <x:c r="P153" s="27"/>
      <x:c r="Q153" s="27"/>
      <x:c r="R153" s="27"/>
      <x:c r="S153" s="27"/>
      <x:c r="T153" s="27"/>
      <x:c r="U153" s="27"/>
    </x:row>
    <x:row r="154">
      <x:c r="A154" s="27" t="str"/>
      <x:c r="B154" s="27" t="str"/>
      <x:c r="C154" s="27" t="str"/>
      <x:c r="D154" s="27" t="str"/>
      <x:c r="E154" s="27" t="str"/>
      <x:c r="F154" s="27" t="str"/>
      <x:c r="G154" s="27" t="str"/>
      <x:c r="H154" s="27" t="str"/>
      <x:c r="I154" s="27" t="str"/>
      <x:c r="J154" s="27" t="str"/>
      <x:c r="K154" s="27" t="str"/>
      <x:c r="L154" s="27" t="str"/>
      <x:c r="M154" s="27" t="str">
        <x:f>IF(A154="","",COUNTIF('Страницы_и_экраны'!$E$5:$E$304,A154))</x:f>
      </x:c>
      <x:c r="N154" s="27" t="str">
        <x:f>IF(A154="","",IF(M154&gt;0,"Покрыт","Нет страницы/экрана"))</x:f>
      </x:c>
      <x:c r="O154" s="27" t="str">
        <x:f>IF(A154="","",MAX(0,MIN(100,ROUND(((J154*0.45)+(K154*0.35)-(L154*0.20))*20,0))))</x:f>
      </x:c>
      <x:c r="P154" s="27"/>
      <x:c r="Q154" s="27"/>
      <x:c r="R154" s="27"/>
      <x:c r="S154" s="27"/>
      <x:c r="T154" s="27"/>
      <x:c r="U154" s="27"/>
    </x:row>
    <x:row r="155">
      <x:c r="A155" s="27" t="str"/>
      <x:c r="B155" s="27" t="str"/>
      <x:c r="C155" s="27" t="str"/>
      <x:c r="D155" s="27" t="str"/>
      <x:c r="E155" s="27" t="str"/>
      <x:c r="F155" s="27" t="str"/>
      <x:c r="G155" s="27" t="str"/>
      <x:c r="H155" s="27" t="str"/>
      <x:c r="I155" s="27" t="str"/>
      <x:c r="J155" s="27" t="str"/>
      <x:c r="K155" s="27" t="str"/>
      <x:c r="L155" s="27" t="str"/>
      <x:c r="M155" s="27" t="str">
        <x:f>IF(A155="","",COUNTIF('Страницы_и_экраны'!$E$5:$E$304,A155))</x:f>
      </x:c>
      <x:c r="N155" s="27" t="str">
        <x:f>IF(A155="","",IF(M155&gt;0,"Покрыт","Нет страницы/экрана"))</x:f>
      </x:c>
      <x:c r="O155" s="27" t="str">
        <x:f>IF(A155="","",MAX(0,MIN(100,ROUND(((J155*0.45)+(K155*0.35)-(L155*0.20))*20,0))))</x:f>
      </x:c>
      <x:c r="P155" s="27"/>
      <x:c r="Q155" s="27"/>
      <x:c r="R155" s="27"/>
      <x:c r="S155" s="27"/>
      <x:c r="T155" s="27"/>
      <x:c r="U155" s="27"/>
    </x:row>
    <x:row r="156">
      <x:c r="A156" s="27" t="str"/>
      <x:c r="B156" s="27" t="str"/>
      <x:c r="C156" s="27" t="str"/>
      <x:c r="D156" s="27" t="str"/>
      <x:c r="E156" s="27" t="str"/>
      <x:c r="F156" s="27" t="str"/>
      <x:c r="G156" s="27" t="str"/>
      <x:c r="H156" s="27" t="str"/>
      <x:c r="I156" s="27" t="str"/>
      <x:c r="J156" s="27" t="str"/>
      <x:c r="K156" s="27" t="str"/>
      <x:c r="L156" s="27" t="str"/>
      <x:c r="M156" s="27" t="str">
        <x:f>IF(A156="","",COUNTIF('Страницы_и_экраны'!$E$5:$E$304,A156))</x:f>
      </x:c>
      <x:c r="N156" s="27" t="str">
        <x:f>IF(A156="","",IF(M156&gt;0,"Покрыт","Нет страницы/экрана"))</x:f>
      </x:c>
      <x:c r="O156" s="27" t="str">
        <x:f>IF(A156="","",MAX(0,MIN(100,ROUND(((J156*0.45)+(K156*0.35)-(L156*0.20))*20,0))))</x:f>
      </x:c>
      <x:c r="P156" s="27"/>
      <x:c r="Q156" s="27"/>
      <x:c r="R156" s="27"/>
      <x:c r="S156" s="27"/>
      <x:c r="T156" s="27"/>
      <x:c r="U156" s="27"/>
    </x:row>
    <x:row r="157">
      <x:c r="A157" s="27" t="str"/>
      <x:c r="B157" s="27" t="str"/>
      <x:c r="C157" s="27" t="str"/>
      <x:c r="D157" s="27" t="str"/>
      <x:c r="E157" s="27" t="str"/>
      <x:c r="F157" s="27" t="str"/>
      <x:c r="G157" s="27" t="str"/>
      <x:c r="H157" s="27" t="str"/>
      <x:c r="I157" s="27" t="str"/>
      <x:c r="J157" s="27" t="str"/>
      <x:c r="K157" s="27" t="str"/>
      <x:c r="L157" s="27" t="str"/>
      <x:c r="M157" s="27" t="str">
        <x:f>IF(A157="","",COUNTIF('Страницы_и_экраны'!$E$5:$E$304,A157))</x:f>
      </x:c>
      <x:c r="N157" s="27" t="str">
        <x:f>IF(A157="","",IF(M157&gt;0,"Покрыт","Нет страницы/экрана"))</x:f>
      </x:c>
      <x:c r="O157" s="27" t="str">
        <x:f>IF(A157="","",MAX(0,MIN(100,ROUND(((J157*0.45)+(K157*0.35)-(L157*0.20))*20,0))))</x:f>
      </x:c>
      <x:c r="P157" s="27"/>
      <x:c r="Q157" s="27"/>
      <x:c r="R157" s="27"/>
      <x:c r="S157" s="27"/>
      <x:c r="T157" s="27"/>
      <x:c r="U157" s="27"/>
    </x:row>
    <x:row r="158">
      <x:c r="A158" s="27" t="str"/>
      <x:c r="B158" s="27" t="str"/>
      <x:c r="C158" s="27" t="str"/>
      <x:c r="D158" s="27" t="str"/>
      <x:c r="E158" s="27" t="str"/>
      <x:c r="F158" s="27" t="str"/>
      <x:c r="G158" s="27" t="str"/>
      <x:c r="H158" s="27" t="str"/>
      <x:c r="I158" s="27" t="str"/>
      <x:c r="J158" s="27" t="str"/>
      <x:c r="K158" s="27" t="str"/>
      <x:c r="L158" s="27" t="str"/>
      <x:c r="M158" s="27" t="str">
        <x:f>IF(A158="","",COUNTIF('Страницы_и_экраны'!$E$5:$E$304,A158))</x:f>
      </x:c>
      <x:c r="N158" s="27" t="str">
        <x:f>IF(A158="","",IF(M158&gt;0,"Покрыт","Нет страницы/экрана"))</x:f>
      </x:c>
      <x:c r="O158" s="27" t="str">
        <x:f>IF(A158="","",MAX(0,MIN(100,ROUND(((J158*0.45)+(K158*0.35)-(L158*0.20))*20,0))))</x:f>
      </x:c>
      <x:c r="P158" s="27"/>
      <x:c r="Q158" s="27"/>
      <x:c r="R158" s="27"/>
      <x:c r="S158" s="27"/>
      <x:c r="T158" s="27"/>
      <x:c r="U158" s="27"/>
    </x:row>
    <x:row r="159">
      <x:c r="A159" s="27" t="str"/>
      <x:c r="B159" s="27" t="str"/>
      <x:c r="C159" s="27" t="str"/>
      <x:c r="D159" s="27" t="str"/>
      <x:c r="E159" s="27" t="str"/>
      <x:c r="F159" s="27" t="str"/>
      <x:c r="G159" s="27" t="str"/>
      <x:c r="H159" s="27" t="str"/>
      <x:c r="I159" s="27" t="str"/>
      <x:c r="J159" s="27" t="str"/>
      <x:c r="K159" s="27" t="str"/>
      <x:c r="L159" s="27" t="str"/>
      <x:c r="M159" s="27" t="str">
        <x:f>IF(A159="","",COUNTIF('Страницы_и_экраны'!$E$5:$E$304,A159))</x:f>
      </x:c>
      <x:c r="N159" s="27" t="str">
        <x:f>IF(A159="","",IF(M159&gt;0,"Покрыт","Нет страницы/экрана"))</x:f>
      </x:c>
      <x:c r="O159" s="27" t="str">
        <x:f>IF(A159="","",MAX(0,MIN(100,ROUND(((J159*0.45)+(K159*0.35)-(L159*0.20))*20,0))))</x:f>
      </x:c>
      <x:c r="P159" s="27"/>
      <x:c r="Q159" s="27"/>
      <x:c r="R159" s="27"/>
      <x:c r="S159" s="27"/>
      <x:c r="T159" s="27"/>
      <x:c r="U159" s="27"/>
    </x:row>
    <x:row r="160">
      <x:c r="A160" s="27" t="str"/>
      <x:c r="B160" s="27" t="str"/>
      <x:c r="C160" s="27" t="str"/>
      <x:c r="D160" s="27" t="str"/>
      <x:c r="E160" s="27" t="str"/>
      <x:c r="F160" s="27" t="str"/>
      <x:c r="G160" s="27" t="str"/>
      <x:c r="H160" s="27" t="str"/>
      <x:c r="I160" s="27" t="str"/>
      <x:c r="J160" s="27" t="str"/>
      <x:c r="K160" s="27" t="str"/>
      <x:c r="L160" s="27" t="str"/>
      <x:c r="M160" s="27" t="str">
        <x:f>IF(A160="","",COUNTIF('Страницы_и_экраны'!$E$5:$E$304,A160))</x:f>
      </x:c>
      <x:c r="N160" s="27" t="str">
        <x:f>IF(A160="","",IF(M160&gt;0,"Покрыт","Нет страницы/экрана"))</x:f>
      </x:c>
      <x:c r="O160" s="27" t="str">
        <x:f>IF(A160="","",MAX(0,MIN(100,ROUND(((J160*0.45)+(K160*0.35)-(L160*0.20))*20,0))))</x:f>
      </x:c>
      <x:c r="P160" s="27"/>
      <x:c r="Q160" s="27"/>
      <x:c r="R160" s="27"/>
      <x:c r="S160" s="27"/>
      <x:c r="T160" s="27"/>
      <x:c r="U160" s="27"/>
    </x:row>
    <x:row r="161">
      <x:c r="A161" s="27" t="str"/>
      <x:c r="B161" s="27" t="str"/>
      <x:c r="C161" s="27" t="str"/>
      <x:c r="D161" s="27" t="str"/>
      <x:c r="E161" s="27" t="str"/>
      <x:c r="F161" s="27" t="str"/>
      <x:c r="G161" s="27" t="str"/>
      <x:c r="H161" s="27" t="str"/>
      <x:c r="I161" s="27" t="str"/>
      <x:c r="J161" s="27" t="str"/>
      <x:c r="K161" s="27" t="str"/>
      <x:c r="L161" s="27" t="str"/>
      <x:c r="M161" s="27" t="str">
        <x:f>IF(A161="","",COUNTIF('Страницы_и_экраны'!$E$5:$E$304,A161))</x:f>
      </x:c>
      <x:c r="N161" s="27" t="str">
        <x:f>IF(A161="","",IF(M161&gt;0,"Покрыт","Нет страницы/экрана"))</x:f>
      </x:c>
      <x:c r="O161" s="27" t="str">
        <x:f>IF(A161="","",MAX(0,MIN(100,ROUND(((J161*0.45)+(K161*0.35)-(L161*0.20))*20,0))))</x:f>
      </x:c>
      <x:c r="P161" s="27"/>
      <x:c r="Q161" s="27"/>
      <x:c r="R161" s="27"/>
      <x:c r="S161" s="27"/>
      <x:c r="T161" s="27"/>
      <x:c r="U161" s="27"/>
    </x:row>
    <x:row r="162">
      <x:c r="A162" s="27" t="str"/>
      <x:c r="B162" s="27" t="str"/>
      <x:c r="C162" s="27" t="str"/>
      <x:c r="D162" s="27" t="str"/>
      <x:c r="E162" s="27" t="str"/>
      <x:c r="F162" s="27" t="str"/>
      <x:c r="G162" s="27" t="str"/>
      <x:c r="H162" s="27" t="str"/>
      <x:c r="I162" s="27" t="str"/>
      <x:c r="J162" s="27" t="str"/>
      <x:c r="K162" s="27" t="str"/>
      <x:c r="L162" s="27" t="str"/>
      <x:c r="M162" s="27" t="str">
        <x:f>IF(A162="","",COUNTIF('Страницы_и_экраны'!$E$5:$E$304,A162))</x:f>
      </x:c>
      <x:c r="N162" s="27" t="str">
        <x:f>IF(A162="","",IF(M162&gt;0,"Покрыт","Нет страницы/экрана"))</x:f>
      </x:c>
      <x:c r="O162" s="27" t="str">
        <x:f>IF(A162="","",MAX(0,MIN(100,ROUND(((J162*0.45)+(K162*0.35)-(L162*0.20))*20,0))))</x:f>
      </x:c>
      <x:c r="P162" s="27"/>
      <x:c r="Q162" s="27"/>
      <x:c r="R162" s="27"/>
      <x:c r="S162" s="27"/>
      <x:c r="T162" s="27"/>
      <x:c r="U162" s="27"/>
    </x:row>
    <x:row r="163">
      <x:c r="A163" s="27" t="str"/>
      <x:c r="B163" s="27" t="str"/>
      <x:c r="C163" s="27" t="str"/>
      <x:c r="D163" s="27" t="str"/>
      <x:c r="E163" s="27" t="str"/>
      <x:c r="F163" s="27" t="str"/>
      <x:c r="G163" s="27" t="str"/>
      <x:c r="H163" s="27" t="str"/>
      <x:c r="I163" s="27" t="str"/>
      <x:c r="J163" s="27" t="str"/>
      <x:c r="K163" s="27" t="str"/>
      <x:c r="L163" s="27" t="str"/>
      <x:c r="M163" s="27" t="str">
        <x:f>IF(A163="","",COUNTIF('Страницы_и_экраны'!$E$5:$E$304,A163))</x:f>
      </x:c>
      <x:c r="N163" s="27" t="str">
        <x:f>IF(A163="","",IF(M163&gt;0,"Покрыт","Нет страницы/экрана"))</x:f>
      </x:c>
      <x:c r="O163" s="27" t="str">
        <x:f>IF(A163="","",MAX(0,MIN(100,ROUND(((J163*0.45)+(K163*0.35)-(L163*0.20))*20,0))))</x:f>
      </x:c>
      <x:c r="P163" s="27"/>
      <x:c r="Q163" s="27"/>
      <x:c r="R163" s="27"/>
      <x:c r="S163" s="27"/>
      <x:c r="T163" s="27"/>
      <x:c r="U163" s="27"/>
    </x:row>
    <x:row r="164">
      <x:c r="A164" s="27" t="str"/>
      <x:c r="B164" s="27" t="str"/>
      <x:c r="C164" s="27" t="str"/>
      <x:c r="D164" s="27" t="str"/>
      <x:c r="E164" s="27" t="str"/>
      <x:c r="F164" s="27" t="str"/>
      <x:c r="G164" s="27" t="str"/>
      <x:c r="H164" s="27" t="str"/>
      <x:c r="I164" s="27" t="str"/>
      <x:c r="J164" s="27" t="str"/>
      <x:c r="K164" s="27" t="str"/>
      <x:c r="L164" s="27" t="str"/>
      <x:c r="M164" s="27" t="str">
        <x:f>IF(A164="","",COUNTIF('Страницы_и_экраны'!$E$5:$E$304,A164))</x:f>
      </x:c>
      <x:c r="N164" s="27" t="str">
        <x:f>IF(A164="","",IF(M164&gt;0,"Покрыт","Нет страницы/экрана"))</x:f>
      </x:c>
      <x:c r="O164" s="27" t="str">
        <x:f>IF(A164="","",MAX(0,MIN(100,ROUND(((J164*0.45)+(K164*0.35)-(L164*0.20))*20,0))))</x:f>
      </x:c>
      <x:c r="P164" s="27"/>
      <x:c r="Q164" s="27"/>
      <x:c r="R164" s="27"/>
      <x:c r="S164" s="27"/>
      <x:c r="T164" s="27"/>
      <x:c r="U164" s="27"/>
    </x:row>
    <x:row r="165">
      <x:c r="A165" s="27" t="str"/>
      <x:c r="B165" s="27" t="str"/>
      <x:c r="C165" s="27" t="str"/>
      <x:c r="D165" s="27" t="str"/>
      <x:c r="E165" s="27" t="str"/>
      <x:c r="F165" s="27" t="str"/>
      <x:c r="G165" s="27" t="str"/>
      <x:c r="H165" s="27" t="str"/>
      <x:c r="I165" s="27" t="str"/>
      <x:c r="J165" s="27" t="str"/>
      <x:c r="K165" s="27" t="str"/>
      <x:c r="L165" s="27" t="str"/>
      <x:c r="M165" s="27" t="str">
        <x:f>IF(A165="","",COUNTIF('Страницы_и_экраны'!$E$5:$E$304,A165))</x:f>
      </x:c>
      <x:c r="N165" s="27" t="str">
        <x:f>IF(A165="","",IF(M165&gt;0,"Покрыт","Нет страницы/экрана"))</x:f>
      </x:c>
      <x:c r="O165" s="27" t="str">
        <x:f>IF(A165="","",MAX(0,MIN(100,ROUND(((J165*0.45)+(K165*0.35)-(L165*0.20))*20,0))))</x:f>
      </x:c>
      <x:c r="P165" s="27"/>
      <x:c r="Q165" s="27"/>
      <x:c r="R165" s="27"/>
      <x:c r="S165" s="27"/>
      <x:c r="T165" s="27"/>
      <x:c r="U165" s="27"/>
    </x:row>
    <x:row r="166">
      <x:c r="A166" s="27" t="str"/>
      <x:c r="B166" s="27" t="str"/>
      <x:c r="C166" s="27" t="str"/>
      <x:c r="D166" s="27" t="str"/>
      <x:c r="E166" s="27" t="str"/>
      <x:c r="F166" s="27" t="str"/>
      <x:c r="G166" s="27" t="str"/>
      <x:c r="H166" s="27" t="str"/>
      <x:c r="I166" s="27" t="str"/>
      <x:c r="J166" s="27" t="str"/>
      <x:c r="K166" s="27" t="str"/>
      <x:c r="L166" s="27" t="str"/>
      <x:c r="M166" s="27" t="str">
        <x:f>IF(A166="","",COUNTIF('Страницы_и_экраны'!$E$5:$E$304,A166))</x:f>
      </x:c>
      <x:c r="N166" s="27" t="str">
        <x:f>IF(A166="","",IF(M166&gt;0,"Покрыт","Нет страницы/экрана"))</x:f>
      </x:c>
      <x:c r="O166" s="27" t="str">
        <x:f>IF(A166="","",MAX(0,MIN(100,ROUND(((J166*0.45)+(K166*0.35)-(L166*0.20))*20,0))))</x:f>
      </x:c>
      <x:c r="P166" s="27"/>
      <x:c r="Q166" s="27"/>
      <x:c r="R166" s="27"/>
      <x:c r="S166" s="27"/>
      <x:c r="T166" s="27"/>
      <x:c r="U166" s="27"/>
    </x:row>
    <x:row r="167">
      <x:c r="A167" s="27" t="str"/>
      <x:c r="B167" s="27" t="str"/>
      <x:c r="C167" s="27" t="str"/>
      <x:c r="D167" s="27" t="str"/>
      <x:c r="E167" s="27" t="str"/>
      <x:c r="F167" s="27" t="str"/>
      <x:c r="G167" s="27" t="str"/>
      <x:c r="H167" s="27" t="str"/>
      <x:c r="I167" s="27" t="str"/>
      <x:c r="J167" s="27" t="str"/>
      <x:c r="K167" s="27" t="str"/>
      <x:c r="L167" s="27" t="str"/>
      <x:c r="M167" s="27" t="str">
        <x:f>IF(A167="","",COUNTIF('Страницы_и_экраны'!$E$5:$E$304,A167))</x:f>
      </x:c>
      <x:c r="N167" s="27" t="str">
        <x:f>IF(A167="","",IF(M167&gt;0,"Покрыт","Нет страницы/экрана"))</x:f>
      </x:c>
      <x:c r="O167" s="27" t="str">
        <x:f>IF(A167="","",MAX(0,MIN(100,ROUND(((J167*0.45)+(K167*0.35)-(L167*0.20))*20,0))))</x:f>
      </x:c>
      <x:c r="P167" s="27"/>
      <x:c r="Q167" s="27"/>
      <x:c r="R167" s="27"/>
      <x:c r="S167" s="27"/>
      <x:c r="T167" s="27"/>
      <x:c r="U167" s="27"/>
    </x:row>
    <x:row r="168">
      <x:c r="A168" s="27" t="str"/>
      <x:c r="B168" s="27" t="str"/>
      <x:c r="C168" s="27" t="str"/>
      <x:c r="D168" s="27" t="str"/>
      <x:c r="E168" s="27" t="str"/>
      <x:c r="F168" s="27" t="str"/>
      <x:c r="G168" s="27" t="str"/>
      <x:c r="H168" s="27" t="str"/>
      <x:c r="I168" s="27" t="str"/>
      <x:c r="J168" s="27" t="str"/>
      <x:c r="K168" s="27" t="str"/>
      <x:c r="L168" s="27" t="str"/>
      <x:c r="M168" s="27" t="str">
        <x:f>IF(A168="","",COUNTIF('Страницы_и_экраны'!$E$5:$E$304,A168))</x:f>
      </x:c>
      <x:c r="N168" s="27" t="str">
        <x:f>IF(A168="","",IF(M168&gt;0,"Покрыт","Нет страницы/экрана"))</x:f>
      </x:c>
      <x:c r="O168" s="27" t="str">
        <x:f>IF(A168="","",MAX(0,MIN(100,ROUND(((J168*0.45)+(K168*0.35)-(L168*0.20))*20,0))))</x:f>
      </x:c>
      <x:c r="P168" s="27"/>
      <x:c r="Q168" s="27"/>
      <x:c r="R168" s="27"/>
      <x:c r="S168" s="27"/>
      <x:c r="T168" s="27"/>
      <x:c r="U168" s="27"/>
    </x:row>
    <x:row r="169">
      <x:c r="A169" s="27" t="str"/>
      <x:c r="B169" s="27" t="str"/>
      <x:c r="C169" s="27" t="str"/>
      <x:c r="D169" s="27" t="str"/>
      <x:c r="E169" s="27" t="str"/>
      <x:c r="F169" s="27" t="str"/>
      <x:c r="G169" s="27" t="str"/>
      <x:c r="H169" s="27" t="str"/>
      <x:c r="I169" s="27" t="str"/>
      <x:c r="J169" s="27" t="str"/>
      <x:c r="K169" s="27" t="str"/>
      <x:c r="L169" s="27" t="str"/>
      <x:c r="M169" s="27" t="str">
        <x:f>IF(A169="","",COUNTIF('Страницы_и_экраны'!$E$5:$E$304,A169))</x:f>
      </x:c>
      <x:c r="N169" s="27" t="str">
        <x:f>IF(A169="","",IF(M169&gt;0,"Покрыт","Нет страницы/экрана"))</x:f>
      </x:c>
      <x:c r="O169" s="27" t="str">
        <x:f>IF(A169="","",MAX(0,MIN(100,ROUND(((J169*0.45)+(K169*0.35)-(L169*0.20))*20,0))))</x:f>
      </x:c>
      <x:c r="P169" s="27"/>
      <x:c r="Q169" s="27"/>
      <x:c r="R169" s="27"/>
      <x:c r="S169" s="27"/>
      <x:c r="T169" s="27"/>
      <x:c r="U169" s="27"/>
    </x:row>
    <x:row r="170">
      <x:c r="A170" s="27" t="str"/>
      <x:c r="B170" s="27" t="str"/>
      <x:c r="C170" s="27" t="str"/>
      <x:c r="D170" s="27" t="str"/>
      <x:c r="E170" s="27" t="str"/>
      <x:c r="F170" s="27" t="str"/>
      <x:c r="G170" s="27" t="str"/>
      <x:c r="H170" s="27" t="str"/>
      <x:c r="I170" s="27" t="str"/>
      <x:c r="J170" s="27" t="str"/>
      <x:c r="K170" s="27" t="str"/>
      <x:c r="L170" s="27" t="str"/>
      <x:c r="M170" s="27" t="str">
        <x:f>IF(A170="","",COUNTIF('Страницы_и_экраны'!$E$5:$E$304,A170))</x:f>
      </x:c>
      <x:c r="N170" s="27" t="str">
        <x:f>IF(A170="","",IF(M170&gt;0,"Покрыт","Нет страницы/экрана"))</x:f>
      </x:c>
      <x:c r="O170" s="27" t="str">
        <x:f>IF(A170="","",MAX(0,MIN(100,ROUND(((J170*0.45)+(K170*0.35)-(L170*0.20))*20,0))))</x:f>
      </x:c>
      <x:c r="P170" s="27"/>
      <x:c r="Q170" s="27"/>
      <x:c r="R170" s="27"/>
      <x:c r="S170" s="27"/>
      <x:c r="T170" s="27"/>
      <x:c r="U170" s="27"/>
    </x:row>
    <x:row r="171">
      <x:c r="A171" s="27" t="str"/>
      <x:c r="B171" s="27" t="str"/>
      <x:c r="C171" s="27" t="str"/>
      <x:c r="D171" s="27" t="str"/>
      <x:c r="E171" s="27" t="str"/>
      <x:c r="F171" s="27" t="str"/>
      <x:c r="G171" s="27" t="str"/>
      <x:c r="H171" s="27" t="str"/>
      <x:c r="I171" s="27" t="str"/>
      <x:c r="J171" s="27" t="str"/>
      <x:c r="K171" s="27" t="str"/>
      <x:c r="L171" s="27" t="str"/>
      <x:c r="M171" s="27" t="str">
        <x:f>IF(A171="","",COUNTIF('Страницы_и_экраны'!$E$5:$E$304,A171))</x:f>
      </x:c>
      <x:c r="N171" s="27" t="str">
        <x:f>IF(A171="","",IF(M171&gt;0,"Покрыт","Нет страницы/экрана"))</x:f>
      </x:c>
      <x:c r="O171" s="27" t="str">
        <x:f>IF(A171="","",MAX(0,MIN(100,ROUND(((J171*0.45)+(K171*0.35)-(L171*0.20))*20,0))))</x:f>
      </x:c>
      <x:c r="P171" s="27"/>
      <x:c r="Q171" s="27"/>
      <x:c r="R171" s="27"/>
      <x:c r="S171" s="27"/>
      <x:c r="T171" s="27"/>
      <x:c r="U171" s="27"/>
    </x:row>
    <x:row r="172">
      <x:c r="A172" s="27" t="str"/>
      <x:c r="B172" s="27" t="str"/>
      <x:c r="C172" s="27" t="str"/>
      <x:c r="D172" s="27" t="str"/>
      <x:c r="E172" s="27" t="str"/>
      <x:c r="F172" s="27" t="str"/>
      <x:c r="G172" s="27" t="str"/>
      <x:c r="H172" s="27" t="str"/>
      <x:c r="I172" s="27" t="str"/>
      <x:c r="J172" s="27" t="str"/>
      <x:c r="K172" s="27" t="str"/>
      <x:c r="L172" s="27" t="str"/>
      <x:c r="M172" s="27" t="str">
        <x:f>IF(A172="","",COUNTIF('Страницы_и_экраны'!$E$5:$E$304,A172))</x:f>
      </x:c>
      <x:c r="N172" s="27" t="str">
        <x:f>IF(A172="","",IF(M172&gt;0,"Покрыт","Нет страницы/экрана"))</x:f>
      </x:c>
      <x:c r="O172" s="27" t="str">
        <x:f>IF(A172="","",MAX(0,MIN(100,ROUND(((J172*0.45)+(K172*0.35)-(L172*0.20))*20,0))))</x:f>
      </x:c>
      <x:c r="P172" s="27"/>
      <x:c r="Q172" s="27"/>
      <x:c r="R172" s="27"/>
      <x:c r="S172" s="27"/>
      <x:c r="T172" s="27"/>
      <x:c r="U172" s="27"/>
    </x:row>
    <x:row r="173">
      <x:c r="A173" s="27" t="str"/>
      <x:c r="B173" s="27" t="str"/>
      <x:c r="C173" s="27" t="str"/>
      <x:c r="D173" s="27" t="str"/>
      <x:c r="E173" s="27" t="str"/>
      <x:c r="F173" s="27" t="str"/>
      <x:c r="G173" s="27" t="str"/>
      <x:c r="H173" s="27" t="str"/>
      <x:c r="I173" s="27" t="str"/>
      <x:c r="J173" s="27" t="str"/>
      <x:c r="K173" s="27" t="str"/>
      <x:c r="L173" s="27" t="str"/>
      <x:c r="M173" s="27" t="str">
        <x:f>IF(A173="","",COUNTIF('Страницы_и_экраны'!$E$5:$E$304,A173))</x:f>
      </x:c>
      <x:c r="N173" s="27" t="str">
        <x:f>IF(A173="","",IF(M173&gt;0,"Покрыт","Нет страницы/экрана"))</x:f>
      </x:c>
      <x:c r="O173" s="27" t="str">
        <x:f>IF(A173="","",MAX(0,MIN(100,ROUND(((J173*0.45)+(K173*0.35)-(L173*0.20))*20,0))))</x:f>
      </x:c>
      <x:c r="P173" s="27"/>
      <x:c r="Q173" s="27"/>
      <x:c r="R173" s="27"/>
      <x:c r="S173" s="27"/>
      <x:c r="T173" s="27"/>
      <x:c r="U173" s="27"/>
    </x:row>
    <x:row r="174">
      <x:c r="A174" s="27" t="str"/>
      <x:c r="B174" s="27" t="str"/>
      <x:c r="C174" s="27" t="str"/>
      <x:c r="D174" s="27" t="str"/>
      <x:c r="E174" s="27" t="str"/>
      <x:c r="F174" s="27" t="str"/>
      <x:c r="G174" s="27" t="str"/>
      <x:c r="H174" s="27" t="str"/>
      <x:c r="I174" s="27" t="str"/>
      <x:c r="J174" s="27" t="str"/>
      <x:c r="K174" s="27" t="str"/>
      <x:c r="L174" s="27" t="str"/>
      <x:c r="M174" s="27" t="str">
        <x:f>IF(A174="","",COUNTIF('Страницы_и_экраны'!$E$5:$E$304,A174))</x:f>
      </x:c>
      <x:c r="N174" s="27" t="str">
        <x:f>IF(A174="","",IF(M174&gt;0,"Покрыт","Нет страницы/экрана"))</x:f>
      </x:c>
      <x:c r="O174" s="27" t="str">
        <x:f>IF(A174="","",MAX(0,MIN(100,ROUND(((J174*0.45)+(K174*0.35)-(L174*0.20))*20,0))))</x:f>
      </x:c>
      <x:c r="P174" s="27"/>
      <x:c r="Q174" s="27"/>
      <x:c r="R174" s="27"/>
      <x:c r="S174" s="27"/>
      <x:c r="T174" s="27"/>
      <x:c r="U174" s="27"/>
    </x:row>
    <x:row r="175">
      <x:c r="A175" s="27" t="str"/>
      <x:c r="B175" s="27" t="str"/>
      <x:c r="C175" s="27" t="str"/>
      <x:c r="D175" s="27" t="str"/>
      <x:c r="E175" s="27" t="str"/>
      <x:c r="F175" s="27" t="str"/>
      <x:c r="G175" s="27" t="str"/>
      <x:c r="H175" s="27" t="str"/>
      <x:c r="I175" s="27" t="str"/>
      <x:c r="J175" s="27" t="str"/>
      <x:c r="K175" s="27" t="str"/>
      <x:c r="L175" s="27" t="str"/>
      <x:c r="M175" s="27" t="str">
        <x:f>IF(A175="","",COUNTIF('Страницы_и_экраны'!$E$5:$E$304,A175))</x:f>
      </x:c>
      <x:c r="N175" s="27" t="str">
        <x:f>IF(A175="","",IF(M175&gt;0,"Покрыт","Нет страницы/экрана"))</x:f>
      </x:c>
      <x:c r="O175" s="27" t="str">
        <x:f>IF(A175="","",MAX(0,MIN(100,ROUND(((J175*0.45)+(K175*0.35)-(L175*0.20))*20,0))))</x:f>
      </x:c>
      <x:c r="P175" s="27"/>
      <x:c r="Q175" s="27"/>
      <x:c r="R175" s="27"/>
      <x:c r="S175" s="27"/>
      <x:c r="T175" s="27"/>
      <x:c r="U175" s="27"/>
    </x:row>
    <x:row r="176">
      <x:c r="A176" s="27" t="str"/>
      <x:c r="B176" s="27" t="str"/>
      <x:c r="C176" s="27" t="str"/>
      <x:c r="D176" s="27" t="str"/>
      <x:c r="E176" s="27" t="str"/>
      <x:c r="F176" s="27" t="str"/>
      <x:c r="G176" s="27" t="str"/>
      <x:c r="H176" s="27" t="str"/>
      <x:c r="I176" s="27" t="str"/>
      <x:c r="J176" s="27" t="str"/>
      <x:c r="K176" s="27" t="str"/>
      <x:c r="L176" s="27" t="str"/>
      <x:c r="M176" s="27" t="str">
        <x:f>IF(A176="","",COUNTIF('Страницы_и_экраны'!$E$5:$E$304,A176))</x:f>
      </x:c>
      <x:c r="N176" s="27" t="str">
        <x:f>IF(A176="","",IF(M176&gt;0,"Покрыт","Нет страницы/экрана"))</x:f>
      </x:c>
      <x:c r="O176" s="27" t="str">
        <x:f>IF(A176="","",MAX(0,MIN(100,ROUND(((J176*0.45)+(K176*0.35)-(L176*0.20))*20,0))))</x:f>
      </x:c>
      <x:c r="P176" s="27"/>
      <x:c r="Q176" s="27"/>
      <x:c r="R176" s="27"/>
      <x:c r="S176" s="27"/>
      <x:c r="T176" s="27"/>
      <x:c r="U176" s="27"/>
    </x:row>
    <x:row r="177">
      <x:c r="A177" s="27" t="str"/>
      <x:c r="B177" s="27" t="str"/>
      <x:c r="C177" s="27" t="str"/>
      <x:c r="D177" s="27" t="str"/>
      <x:c r="E177" s="27" t="str"/>
      <x:c r="F177" s="27" t="str"/>
      <x:c r="G177" s="27" t="str"/>
      <x:c r="H177" s="27" t="str"/>
      <x:c r="I177" s="27" t="str"/>
      <x:c r="J177" s="27" t="str"/>
      <x:c r="K177" s="27" t="str"/>
      <x:c r="L177" s="27" t="str"/>
      <x:c r="M177" s="27" t="str">
        <x:f>IF(A177="","",COUNTIF('Страницы_и_экраны'!$E$5:$E$304,A177))</x:f>
      </x:c>
      <x:c r="N177" s="27" t="str">
        <x:f>IF(A177="","",IF(M177&gt;0,"Покрыт","Нет страницы/экрана"))</x:f>
      </x:c>
      <x:c r="O177" s="27" t="str">
        <x:f>IF(A177="","",MAX(0,MIN(100,ROUND(((J177*0.45)+(K177*0.35)-(L177*0.20))*20,0))))</x:f>
      </x:c>
      <x:c r="P177" s="27"/>
      <x:c r="Q177" s="27"/>
      <x:c r="R177" s="27"/>
      <x:c r="S177" s="27"/>
      <x:c r="T177" s="27"/>
      <x:c r="U177" s="27"/>
    </x:row>
    <x:row r="178">
      <x:c r="A178" s="27" t="str"/>
      <x:c r="B178" s="27" t="str"/>
      <x:c r="C178" s="27" t="str"/>
      <x:c r="D178" s="27" t="str"/>
      <x:c r="E178" s="27" t="str"/>
      <x:c r="F178" s="27" t="str"/>
      <x:c r="G178" s="27" t="str"/>
      <x:c r="H178" s="27" t="str"/>
      <x:c r="I178" s="27" t="str"/>
      <x:c r="J178" s="27" t="str"/>
      <x:c r="K178" s="27" t="str"/>
      <x:c r="L178" s="27" t="str"/>
      <x:c r="M178" s="27" t="str">
        <x:f>IF(A178="","",COUNTIF('Страницы_и_экраны'!$E$5:$E$304,A178))</x:f>
      </x:c>
      <x:c r="N178" s="27" t="str">
        <x:f>IF(A178="","",IF(M178&gt;0,"Покрыт","Нет страницы/экрана"))</x:f>
      </x:c>
      <x:c r="O178" s="27" t="str">
        <x:f>IF(A178="","",MAX(0,MIN(100,ROUND(((J178*0.45)+(K178*0.35)-(L178*0.20))*20,0))))</x:f>
      </x:c>
      <x:c r="P178" s="27"/>
      <x:c r="Q178" s="27"/>
      <x:c r="R178" s="27"/>
      <x:c r="S178" s="27"/>
      <x:c r="T178" s="27"/>
      <x:c r="U178" s="27"/>
    </x:row>
    <x:row r="179">
      <x:c r="A179" s="27" t="str"/>
      <x:c r="B179" s="27" t="str"/>
      <x:c r="C179" s="27" t="str"/>
      <x:c r="D179" s="27" t="str"/>
      <x:c r="E179" s="27" t="str"/>
      <x:c r="F179" s="27" t="str"/>
      <x:c r="G179" s="27" t="str"/>
      <x:c r="H179" s="27" t="str"/>
      <x:c r="I179" s="27" t="str"/>
      <x:c r="J179" s="27" t="str"/>
      <x:c r="K179" s="27" t="str"/>
      <x:c r="L179" s="27" t="str"/>
      <x:c r="M179" s="27" t="str">
        <x:f>IF(A179="","",COUNTIF('Страницы_и_экраны'!$E$5:$E$304,A179))</x:f>
      </x:c>
      <x:c r="N179" s="27" t="str">
        <x:f>IF(A179="","",IF(M179&gt;0,"Покрыт","Нет страницы/экрана"))</x:f>
      </x:c>
      <x:c r="O179" s="27" t="str">
        <x:f>IF(A179="","",MAX(0,MIN(100,ROUND(((J179*0.45)+(K179*0.35)-(L179*0.20))*20,0))))</x:f>
      </x:c>
      <x:c r="P179" s="27"/>
      <x:c r="Q179" s="27"/>
      <x:c r="R179" s="27"/>
      <x:c r="S179" s="27"/>
      <x:c r="T179" s="27"/>
      <x:c r="U179" s="27"/>
    </x:row>
    <x:row r="180">
      <x:c r="A180" s="27" t="str"/>
      <x:c r="B180" s="27" t="str"/>
      <x:c r="C180" s="27" t="str"/>
      <x:c r="D180" s="27" t="str"/>
      <x:c r="E180" s="27" t="str"/>
      <x:c r="F180" s="27" t="str"/>
      <x:c r="G180" s="27" t="str"/>
      <x:c r="H180" s="27" t="str"/>
      <x:c r="I180" s="27" t="str"/>
      <x:c r="J180" s="27" t="str"/>
      <x:c r="K180" s="27" t="str"/>
      <x:c r="L180" s="27" t="str"/>
      <x:c r="M180" s="27" t="str">
        <x:f>IF(A180="","",COUNTIF('Страницы_и_экраны'!$E$5:$E$304,A180))</x:f>
      </x:c>
      <x:c r="N180" s="27" t="str">
        <x:f>IF(A180="","",IF(M180&gt;0,"Покрыт","Нет страницы/экрана"))</x:f>
      </x:c>
      <x:c r="O180" s="27" t="str">
        <x:f>IF(A180="","",MAX(0,MIN(100,ROUND(((J180*0.45)+(K180*0.35)-(L180*0.20))*20,0))))</x:f>
      </x:c>
      <x:c r="P180" s="27"/>
      <x:c r="Q180" s="27"/>
      <x:c r="R180" s="27"/>
      <x:c r="S180" s="27"/>
      <x:c r="T180" s="27"/>
      <x:c r="U180" s="27"/>
    </x:row>
    <x:row r="181">
      <x:c r="A181" s="27" t="str"/>
      <x:c r="B181" s="27" t="str"/>
      <x:c r="C181" s="27" t="str"/>
      <x:c r="D181" s="27" t="str"/>
      <x:c r="E181" s="27" t="str"/>
      <x:c r="F181" s="27" t="str"/>
      <x:c r="G181" s="27" t="str"/>
      <x:c r="H181" s="27" t="str"/>
      <x:c r="I181" s="27" t="str"/>
      <x:c r="J181" s="27" t="str"/>
      <x:c r="K181" s="27" t="str"/>
      <x:c r="L181" s="27" t="str"/>
      <x:c r="M181" s="27" t="str">
        <x:f>IF(A181="","",COUNTIF('Страницы_и_экраны'!$E$5:$E$304,A181))</x:f>
      </x:c>
      <x:c r="N181" s="27" t="str">
        <x:f>IF(A181="","",IF(M181&gt;0,"Покрыт","Нет страницы/экрана"))</x:f>
      </x:c>
      <x:c r="O181" s="27" t="str">
        <x:f>IF(A181="","",MAX(0,MIN(100,ROUND(((J181*0.45)+(K181*0.35)-(L181*0.20))*20,0))))</x:f>
      </x:c>
      <x:c r="P181" s="27"/>
      <x:c r="Q181" s="27"/>
      <x:c r="R181" s="27"/>
      <x:c r="S181" s="27"/>
      <x:c r="T181" s="27"/>
      <x:c r="U181" s="27"/>
    </x:row>
    <x:row r="182">
      <x:c r="A182" s="27" t="str"/>
      <x:c r="B182" s="27" t="str"/>
      <x:c r="C182" s="27" t="str"/>
      <x:c r="D182" s="27" t="str"/>
      <x:c r="E182" s="27" t="str"/>
      <x:c r="F182" s="27" t="str"/>
      <x:c r="G182" s="27" t="str"/>
      <x:c r="H182" s="27" t="str"/>
      <x:c r="I182" s="27" t="str"/>
      <x:c r="J182" s="27" t="str"/>
      <x:c r="K182" s="27" t="str"/>
      <x:c r="L182" s="27" t="str"/>
      <x:c r="M182" s="27" t="str">
        <x:f>IF(A182="","",COUNTIF('Страницы_и_экраны'!$E$5:$E$304,A182))</x:f>
      </x:c>
      <x:c r="N182" s="27" t="str">
        <x:f>IF(A182="","",IF(M182&gt;0,"Покрыт","Нет страницы/экрана"))</x:f>
      </x:c>
      <x:c r="O182" s="27" t="str">
        <x:f>IF(A182="","",MAX(0,MIN(100,ROUND(((J182*0.45)+(K182*0.35)-(L182*0.20))*20,0))))</x:f>
      </x:c>
      <x:c r="P182" s="27"/>
      <x:c r="Q182" s="27"/>
      <x:c r="R182" s="27"/>
      <x:c r="S182" s="27"/>
      <x:c r="T182" s="27"/>
      <x:c r="U182" s="27"/>
    </x:row>
    <x:row r="183">
      <x:c r="A183" s="27" t="str"/>
      <x:c r="B183" s="27" t="str"/>
      <x:c r="C183" s="27" t="str"/>
      <x:c r="D183" s="27" t="str"/>
      <x:c r="E183" s="27" t="str"/>
      <x:c r="F183" s="27" t="str"/>
      <x:c r="G183" s="27" t="str"/>
      <x:c r="H183" s="27" t="str"/>
      <x:c r="I183" s="27" t="str"/>
      <x:c r="J183" s="27" t="str"/>
      <x:c r="K183" s="27" t="str"/>
      <x:c r="L183" s="27" t="str"/>
      <x:c r="M183" s="27" t="str">
        <x:f>IF(A183="","",COUNTIF('Страницы_и_экраны'!$E$5:$E$304,A183))</x:f>
      </x:c>
      <x:c r="N183" s="27" t="str">
        <x:f>IF(A183="","",IF(M183&gt;0,"Покрыт","Нет страницы/экрана"))</x:f>
      </x:c>
      <x:c r="O183" s="27" t="str">
        <x:f>IF(A183="","",MAX(0,MIN(100,ROUND(((J183*0.45)+(K183*0.35)-(L183*0.20))*20,0))))</x:f>
      </x:c>
      <x:c r="P183" s="27"/>
      <x:c r="Q183" s="27"/>
      <x:c r="R183" s="27"/>
      <x:c r="S183" s="27"/>
      <x:c r="T183" s="27"/>
      <x:c r="U183" s="27"/>
    </x:row>
    <x:row r="184">
      <x:c r="A184" s="27" t="str"/>
      <x:c r="B184" s="27" t="str"/>
      <x:c r="C184" s="27" t="str"/>
      <x:c r="D184" s="27" t="str"/>
      <x:c r="E184" s="27" t="str"/>
      <x:c r="F184" s="27" t="str"/>
      <x:c r="G184" s="27" t="str"/>
      <x:c r="H184" s="27" t="str"/>
      <x:c r="I184" s="27" t="str"/>
      <x:c r="J184" s="27" t="str"/>
      <x:c r="K184" s="27" t="str"/>
      <x:c r="L184" s="27" t="str"/>
      <x:c r="M184" s="27" t="str">
        <x:f>IF(A184="","",COUNTIF('Страницы_и_экраны'!$E$5:$E$304,A184))</x:f>
      </x:c>
      <x:c r="N184" s="27" t="str">
        <x:f>IF(A184="","",IF(M184&gt;0,"Покрыт","Нет страницы/экрана"))</x:f>
      </x:c>
      <x:c r="O184" s="27" t="str">
        <x:f>IF(A184="","",MAX(0,MIN(100,ROUND(((J184*0.45)+(K184*0.35)-(L184*0.20))*20,0))))</x:f>
      </x:c>
      <x:c r="P184" s="27"/>
      <x:c r="Q184" s="27"/>
      <x:c r="R184" s="27"/>
      <x:c r="S184" s="27"/>
      <x:c r="T184" s="27"/>
      <x:c r="U184" s="27"/>
    </x:row>
    <x:row r="185">
      <x:c r="A185" s="27" t="str"/>
      <x:c r="B185" s="27" t="str"/>
      <x:c r="C185" s="27" t="str"/>
      <x:c r="D185" s="27" t="str"/>
      <x:c r="E185" s="27" t="str"/>
      <x:c r="F185" s="27" t="str"/>
      <x:c r="G185" s="27" t="str"/>
      <x:c r="H185" s="27" t="str"/>
      <x:c r="I185" s="27" t="str"/>
      <x:c r="J185" s="27" t="str"/>
      <x:c r="K185" s="27" t="str"/>
      <x:c r="L185" s="27" t="str"/>
      <x:c r="M185" s="27" t="str">
        <x:f>IF(A185="","",COUNTIF('Страницы_и_экраны'!$E$5:$E$304,A185))</x:f>
      </x:c>
      <x:c r="N185" s="27" t="str">
        <x:f>IF(A185="","",IF(M185&gt;0,"Покрыт","Нет страницы/экрана"))</x:f>
      </x:c>
      <x:c r="O185" s="27" t="str">
        <x:f>IF(A185="","",MAX(0,MIN(100,ROUND(((J185*0.45)+(K185*0.35)-(L185*0.20))*20,0))))</x:f>
      </x:c>
      <x:c r="P185" s="27"/>
      <x:c r="Q185" s="27"/>
      <x:c r="R185" s="27"/>
      <x:c r="S185" s="27"/>
      <x:c r="T185" s="27"/>
      <x:c r="U185" s="27"/>
    </x:row>
    <x:row r="186">
      <x:c r="A186" s="27" t="str"/>
      <x:c r="B186" s="27" t="str"/>
      <x:c r="C186" s="27" t="str"/>
      <x:c r="D186" s="27" t="str"/>
      <x:c r="E186" s="27" t="str"/>
      <x:c r="F186" s="27" t="str"/>
      <x:c r="G186" s="27" t="str"/>
      <x:c r="H186" s="27" t="str"/>
      <x:c r="I186" s="27" t="str"/>
      <x:c r="J186" s="27" t="str"/>
      <x:c r="K186" s="27" t="str"/>
      <x:c r="L186" s="27" t="str"/>
      <x:c r="M186" s="27" t="str">
        <x:f>IF(A186="","",COUNTIF('Страницы_и_экраны'!$E$5:$E$304,A186))</x:f>
      </x:c>
      <x:c r="N186" s="27" t="str">
        <x:f>IF(A186="","",IF(M186&gt;0,"Покрыт","Нет страницы/экрана"))</x:f>
      </x:c>
      <x:c r="O186" s="27" t="str">
        <x:f>IF(A186="","",MAX(0,MIN(100,ROUND(((J186*0.45)+(K186*0.35)-(L186*0.20))*20,0))))</x:f>
      </x:c>
      <x:c r="P186" s="27"/>
      <x:c r="Q186" s="27"/>
      <x:c r="R186" s="27"/>
      <x:c r="S186" s="27"/>
      <x:c r="T186" s="27"/>
      <x:c r="U186" s="27"/>
    </x:row>
    <x:row r="187">
      <x:c r="A187" s="27" t="str"/>
      <x:c r="B187" s="27" t="str"/>
      <x:c r="C187" s="27" t="str"/>
      <x:c r="D187" s="27" t="str"/>
      <x:c r="E187" s="27" t="str"/>
      <x:c r="F187" s="27" t="str"/>
      <x:c r="G187" s="27" t="str"/>
      <x:c r="H187" s="27" t="str"/>
      <x:c r="I187" s="27" t="str"/>
      <x:c r="J187" s="27" t="str"/>
      <x:c r="K187" s="27" t="str"/>
      <x:c r="L187" s="27" t="str"/>
      <x:c r="M187" s="27" t="str">
        <x:f>IF(A187="","",COUNTIF('Страницы_и_экраны'!$E$5:$E$304,A187))</x:f>
      </x:c>
      <x:c r="N187" s="27" t="str">
        <x:f>IF(A187="","",IF(M187&gt;0,"Покрыт","Нет страницы/экрана"))</x:f>
      </x:c>
      <x:c r="O187" s="27" t="str">
        <x:f>IF(A187="","",MAX(0,MIN(100,ROUND(((J187*0.45)+(K187*0.35)-(L187*0.20))*20,0))))</x:f>
      </x:c>
      <x:c r="P187" s="27"/>
      <x:c r="Q187" s="27"/>
      <x:c r="R187" s="27"/>
      <x:c r="S187" s="27"/>
      <x:c r="T187" s="27"/>
      <x:c r="U187" s="27"/>
    </x:row>
    <x:row r="188">
      <x:c r="A188" s="27" t="str"/>
      <x:c r="B188" s="27" t="str"/>
      <x:c r="C188" s="27" t="str"/>
      <x:c r="D188" s="27" t="str"/>
      <x:c r="E188" s="27" t="str"/>
      <x:c r="F188" s="27" t="str"/>
      <x:c r="G188" s="27" t="str"/>
      <x:c r="H188" s="27" t="str"/>
      <x:c r="I188" s="27" t="str"/>
      <x:c r="J188" s="27" t="str"/>
      <x:c r="K188" s="27" t="str"/>
      <x:c r="L188" s="27" t="str"/>
      <x:c r="M188" s="27" t="str">
        <x:f>IF(A188="","",COUNTIF('Страницы_и_экраны'!$E$5:$E$304,A188))</x:f>
      </x:c>
      <x:c r="N188" s="27" t="str">
        <x:f>IF(A188="","",IF(M188&gt;0,"Покрыт","Нет страницы/экрана"))</x:f>
      </x:c>
      <x:c r="O188" s="27" t="str">
        <x:f>IF(A188="","",MAX(0,MIN(100,ROUND(((J188*0.45)+(K188*0.35)-(L188*0.20))*20,0))))</x:f>
      </x:c>
      <x:c r="P188" s="27"/>
      <x:c r="Q188" s="27"/>
      <x:c r="R188" s="27"/>
      <x:c r="S188" s="27"/>
      <x:c r="T188" s="27"/>
      <x:c r="U188" s="27"/>
    </x:row>
    <x:row r="189">
      <x:c r="A189" s="27" t="str"/>
      <x:c r="B189" s="27" t="str"/>
      <x:c r="C189" s="27" t="str"/>
      <x:c r="D189" s="27" t="str"/>
      <x:c r="E189" s="27" t="str"/>
      <x:c r="F189" s="27" t="str"/>
      <x:c r="G189" s="27" t="str"/>
      <x:c r="H189" s="27" t="str"/>
      <x:c r="I189" s="27" t="str"/>
      <x:c r="J189" s="27" t="str"/>
      <x:c r="K189" s="27" t="str"/>
      <x:c r="L189" s="27" t="str"/>
      <x:c r="M189" s="27" t="str">
        <x:f>IF(A189="","",COUNTIF('Страницы_и_экраны'!$E$5:$E$304,A189))</x:f>
      </x:c>
      <x:c r="N189" s="27" t="str">
        <x:f>IF(A189="","",IF(M189&gt;0,"Покрыт","Нет страницы/экрана"))</x:f>
      </x:c>
      <x:c r="O189" s="27" t="str">
        <x:f>IF(A189="","",MAX(0,MIN(100,ROUND(((J189*0.45)+(K189*0.35)-(L189*0.20))*20,0))))</x:f>
      </x:c>
      <x:c r="P189" s="27"/>
      <x:c r="Q189" s="27"/>
      <x:c r="R189" s="27"/>
      <x:c r="S189" s="27"/>
      <x:c r="T189" s="27"/>
      <x:c r="U189" s="27"/>
    </x:row>
    <x:row r="190">
      <x:c r="A190" s="27" t="str"/>
      <x:c r="B190" s="27" t="str"/>
      <x:c r="C190" s="27" t="str"/>
      <x:c r="D190" s="27" t="str"/>
      <x:c r="E190" s="27" t="str"/>
      <x:c r="F190" s="27" t="str"/>
      <x:c r="G190" s="27" t="str"/>
      <x:c r="H190" s="27" t="str"/>
      <x:c r="I190" s="27" t="str"/>
      <x:c r="J190" s="27" t="str"/>
      <x:c r="K190" s="27" t="str"/>
      <x:c r="L190" s="27" t="str"/>
      <x:c r="M190" s="27" t="str">
        <x:f>IF(A190="","",COUNTIF('Страницы_и_экраны'!$E$5:$E$304,A190))</x:f>
      </x:c>
      <x:c r="N190" s="27" t="str">
        <x:f>IF(A190="","",IF(M190&gt;0,"Покрыт","Нет страницы/экрана"))</x:f>
      </x:c>
      <x:c r="O190" s="27" t="str">
        <x:f>IF(A190="","",MAX(0,MIN(100,ROUND(((J190*0.45)+(K190*0.35)-(L190*0.20))*20,0))))</x:f>
      </x:c>
      <x:c r="P190" s="27"/>
      <x:c r="Q190" s="27"/>
      <x:c r="R190" s="27"/>
      <x:c r="S190" s="27"/>
      <x:c r="T190" s="27"/>
      <x:c r="U190" s="27"/>
    </x:row>
    <x:row r="191">
      <x:c r="A191" s="27" t="str"/>
      <x:c r="B191" s="27" t="str"/>
      <x:c r="C191" s="27" t="str"/>
      <x:c r="D191" s="27" t="str"/>
      <x:c r="E191" s="27" t="str"/>
      <x:c r="F191" s="27" t="str"/>
      <x:c r="G191" s="27" t="str"/>
      <x:c r="H191" s="27" t="str"/>
      <x:c r="I191" s="27" t="str"/>
      <x:c r="J191" s="27" t="str"/>
      <x:c r="K191" s="27" t="str"/>
      <x:c r="L191" s="27" t="str"/>
      <x:c r="M191" s="27" t="str">
        <x:f>IF(A191="","",COUNTIF('Страницы_и_экраны'!$E$5:$E$304,A191))</x:f>
      </x:c>
      <x:c r="N191" s="27" t="str">
        <x:f>IF(A191="","",IF(M191&gt;0,"Покрыт","Нет страницы/экрана"))</x:f>
      </x:c>
      <x:c r="O191" s="27" t="str">
        <x:f>IF(A191="","",MAX(0,MIN(100,ROUND(((J191*0.45)+(K191*0.35)-(L191*0.20))*20,0))))</x:f>
      </x:c>
      <x:c r="P191" s="27"/>
      <x:c r="Q191" s="27"/>
      <x:c r="R191" s="27"/>
      <x:c r="S191" s="27"/>
      <x:c r="T191" s="27"/>
      <x:c r="U191" s="27"/>
    </x:row>
    <x:row r="192">
      <x:c r="A192" s="27" t="str"/>
      <x:c r="B192" s="27" t="str"/>
      <x:c r="C192" s="27" t="str"/>
      <x:c r="D192" s="27" t="str"/>
      <x:c r="E192" s="27" t="str"/>
      <x:c r="F192" s="27" t="str"/>
      <x:c r="G192" s="27" t="str"/>
      <x:c r="H192" s="27" t="str"/>
      <x:c r="I192" s="27" t="str"/>
      <x:c r="J192" s="27" t="str"/>
      <x:c r="K192" s="27" t="str"/>
      <x:c r="L192" s="27" t="str"/>
      <x:c r="M192" s="27" t="str">
        <x:f>IF(A192="","",COUNTIF('Страницы_и_экраны'!$E$5:$E$304,A192))</x:f>
      </x:c>
      <x:c r="N192" s="27" t="str">
        <x:f>IF(A192="","",IF(M192&gt;0,"Покрыт","Нет страницы/экрана"))</x:f>
      </x:c>
      <x:c r="O192" s="27" t="str">
        <x:f>IF(A192="","",MAX(0,MIN(100,ROUND(((J192*0.45)+(K192*0.35)-(L192*0.20))*20,0))))</x:f>
      </x:c>
      <x:c r="P192" s="27"/>
      <x:c r="Q192" s="27"/>
      <x:c r="R192" s="27"/>
      <x:c r="S192" s="27"/>
      <x:c r="T192" s="27"/>
      <x:c r="U192" s="27"/>
    </x:row>
    <x:row r="193">
      <x:c r="A193" s="27" t="str"/>
      <x:c r="B193" s="27" t="str"/>
      <x:c r="C193" s="27" t="str"/>
      <x:c r="D193" s="27" t="str"/>
      <x:c r="E193" s="27" t="str"/>
      <x:c r="F193" s="27" t="str"/>
      <x:c r="G193" s="27" t="str"/>
      <x:c r="H193" s="27" t="str"/>
      <x:c r="I193" s="27" t="str"/>
      <x:c r="J193" s="27" t="str"/>
      <x:c r="K193" s="27" t="str"/>
      <x:c r="L193" s="27" t="str"/>
      <x:c r="M193" s="27" t="str">
        <x:f>IF(A193="","",COUNTIF('Страницы_и_экраны'!$E$5:$E$304,A193))</x:f>
      </x:c>
      <x:c r="N193" s="27" t="str">
        <x:f>IF(A193="","",IF(M193&gt;0,"Покрыт","Нет страницы/экрана"))</x:f>
      </x:c>
      <x:c r="O193" s="27" t="str">
        <x:f>IF(A193="","",MAX(0,MIN(100,ROUND(((J193*0.45)+(K193*0.35)-(L193*0.20))*20,0))))</x:f>
      </x:c>
      <x:c r="P193" s="27"/>
      <x:c r="Q193" s="27"/>
      <x:c r="R193" s="27"/>
      <x:c r="S193" s="27"/>
      <x:c r="T193" s="27"/>
      <x:c r="U193" s="27"/>
    </x:row>
    <x:row r="194">
      <x:c r="A194" s="27" t="str"/>
      <x:c r="B194" s="27" t="str"/>
      <x:c r="C194" s="27" t="str"/>
      <x:c r="D194" s="27" t="str"/>
      <x:c r="E194" s="27" t="str"/>
      <x:c r="F194" s="27" t="str"/>
      <x:c r="G194" s="27" t="str"/>
      <x:c r="H194" s="27" t="str"/>
      <x:c r="I194" s="27" t="str"/>
      <x:c r="J194" s="27" t="str"/>
      <x:c r="K194" s="27" t="str"/>
      <x:c r="L194" s="27" t="str"/>
      <x:c r="M194" s="27" t="str">
        <x:f>IF(A194="","",COUNTIF('Страницы_и_экраны'!$E$5:$E$304,A194))</x:f>
      </x:c>
      <x:c r="N194" s="27" t="str">
        <x:f>IF(A194="","",IF(M194&gt;0,"Покрыт","Нет страницы/экрана"))</x:f>
      </x:c>
      <x:c r="O194" s="27" t="str">
        <x:f>IF(A194="","",MAX(0,MIN(100,ROUND(((J194*0.45)+(K194*0.35)-(L194*0.20))*20,0))))</x:f>
      </x:c>
      <x:c r="P194" s="27"/>
      <x:c r="Q194" s="27"/>
      <x:c r="R194" s="27"/>
      <x:c r="S194" s="27"/>
      <x:c r="T194" s="27"/>
      <x:c r="U194" s="27"/>
    </x:row>
    <x:row r="195">
      <x:c r="A195" s="27" t="str"/>
      <x:c r="B195" s="27" t="str"/>
      <x:c r="C195" s="27" t="str"/>
      <x:c r="D195" s="27" t="str"/>
      <x:c r="E195" s="27" t="str"/>
      <x:c r="F195" s="27" t="str"/>
      <x:c r="G195" s="27" t="str"/>
      <x:c r="H195" s="27" t="str"/>
      <x:c r="I195" s="27" t="str"/>
      <x:c r="J195" s="27" t="str"/>
      <x:c r="K195" s="27" t="str"/>
      <x:c r="L195" s="27" t="str"/>
      <x:c r="M195" s="27" t="str">
        <x:f>IF(A195="","",COUNTIF('Страницы_и_экраны'!$E$5:$E$304,A195))</x:f>
      </x:c>
      <x:c r="N195" s="27" t="str">
        <x:f>IF(A195="","",IF(M195&gt;0,"Покрыт","Нет страницы/экрана"))</x:f>
      </x:c>
      <x:c r="O195" s="27" t="str">
        <x:f>IF(A195="","",MAX(0,MIN(100,ROUND(((J195*0.45)+(K195*0.35)-(L195*0.20))*20,0))))</x:f>
      </x:c>
      <x:c r="P195" s="27"/>
      <x:c r="Q195" s="27"/>
      <x:c r="R195" s="27"/>
      <x:c r="S195" s="27"/>
      <x:c r="T195" s="27"/>
      <x:c r="U195" s="27"/>
    </x:row>
    <x:row r="196">
      <x:c r="A196" s="27" t="str"/>
      <x:c r="B196" s="27" t="str"/>
      <x:c r="C196" s="27" t="str"/>
      <x:c r="D196" s="27" t="str"/>
      <x:c r="E196" s="27" t="str"/>
      <x:c r="F196" s="27" t="str"/>
      <x:c r="G196" s="27" t="str"/>
      <x:c r="H196" s="27" t="str"/>
      <x:c r="I196" s="27" t="str"/>
      <x:c r="J196" s="27" t="str"/>
      <x:c r="K196" s="27" t="str"/>
      <x:c r="L196" s="27" t="str"/>
      <x:c r="M196" s="27" t="str">
        <x:f>IF(A196="","",COUNTIF('Страницы_и_экраны'!$E$5:$E$304,A196))</x:f>
      </x:c>
      <x:c r="N196" s="27" t="str">
        <x:f>IF(A196="","",IF(M196&gt;0,"Покрыт","Нет страницы/экрана"))</x:f>
      </x:c>
      <x:c r="O196" s="27" t="str">
        <x:f>IF(A196="","",MAX(0,MIN(100,ROUND(((J196*0.45)+(K196*0.35)-(L196*0.20))*20,0))))</x:f>
      </x:c>
      <x:c r="P196" s="27"/>
      <x:c r="Q196" s="27"/>
      <x:c r="R196" s="27"/>
      <x:c r="S196" s="27"/>
      <x:c r="T196" s="27"/>
      <x:c r="U196" s="27"/>
    </x:row>
    <x:row r="197">
      <x:c r="A197" s="27" t="str"/>
      <x:c r="B197" s="27" t="str"/>
      <x:c r="C197" s="27" t="str"/>
      <x:c r="D197" s="27" t="str"/>
      <x:c r="E197" s="27" t="str"/>
      <x:c r="F197" s="27" t="str"/>
      <x:c r="G197" s="27" t="str"/>
      <x:c r="H197" s="27" t="str"/>
      <x:c r="I197" s="27" t="str"/>
      <x:c r="J197" s="27" t="str"/>
      <x:c r="K197" s="27" t="str"/>
      <x:c r="L197" s="27" t="str"/>
      <x:c r="M197" s="27" t="str">
        <x:f>IF(A197="","",COUNTIF('Страницы_и_экраны'!$E$5:$E$304,A197))</x:f>
      </x:c>
      <x:c r="N197" s="27" t="str">
        <x:f>IF(A197="","",IF(M197&gt;0,"Покрыт","Нет страницы/экрана"))</x:f>
      </x:c>
      <x:c r="O197" s="27" t="str">
        <x:f>IF(A197="","",MAX(0,MIN(100,ROUND(((J197*0.45)+(K197*0.35)-(L197*0.20))*20,0))))</x:f>
      </x:c>
      <x:c r="P197" s="27"/>
      <x:c r="Q197" s="27"/>
      <x:c r="R197" s="27"/>
      <x:c r="S197" s="27"/>
      <x:c r="T197" s="27"/>
      <x:c r="U197" s="27"/>
    </x:row>
    <x:row r="198">
      <x:c r="A198" s="27" t="str"/>
      <x:c r="B198" s="27" t="str"/>
      <x:c r="C198" s="27" t="str"/>
      <x:c r="D198" s="27" t="str"/>
      <x:c r="E198" s="27" t="str"/>
      <x:c r="F198" s="27" t="str"/>
      <x:c r="G198" s="27" t="str"/>
      <x:c r="H198" s="27" t="str"/>
      <x:c r="I198" s="27" t="str"/>
      <x:c r="J198" s="27" t="str"/>
      <x:c r="K198" s="27" t="str"/>
      <x:c r="L198" s="27" t="str"/>
      <x:c r="M198" s="27" t="str">
        <x:f>IF(A198="","",COUNTIF('Страницы_и_экраны'!$E$5:$E$304,A198))</x:f>
      </x:c>
      <x:c r="N198" s="27" t="str">
        <x:f>IF(A198="","",IF(M198&gt;0,"Покрыт","Нет страницы/экрана"))</x:f>
      </x:c>
      <x:c r="O198" s="27" t="str">
        <x:f>IF(A198="","",MAX(0,MIN(100,ROUND(((J198*0.45)+(K198*0.35)-(L198*0.20))*20,0))))</x:f>
      </x:c>
      <x:c r="P198" s="27"/>
      <x:c r="Q198" s="27"/>
      <x:c r="R198" s="27"/>
      <x:c r="S198" s="27"/>
      <x:c r="T198" s="27"/>
      <x:c r="U198" s="27"/>
    </x:row>
    <x:row r="199">
      <x:c r="A199" s="27" t="str"/>
      <x:c r="B199" s="27" t="str"/>
      <x:c r="C199" s="27" t="str"/>
      <x:c r="D199" s="27" t="str"/>
      <x:c r="E199" s="27" t="str"/>
      <x:c r="F199" s="27" t="str"/>
      <x:c r="G199" s="27" t="str"/>
      <x:c r="H199" s="27" t="str"/>
      <x:c r="I199" s="27" t="str"/>
      <x:c r="J199" s="27" t="str"/>
      <x:c r="K199" s="27" t="str"/>
      <x:c r="L199" s="27" t="str"/>
      <x:c r="M199" s="27" t="str">
        <x:f>IF(A199="","",COUNTIF('Страницы_и_экраны'!$E$5:$E$304,A199))</x:f>
      </x:c>
      <x:c r="N199" s="27" t="str">
        <x:f>IF(A199="","",IF(M199&gt;0,"Покрыт","Нет страницы/экрана"))</x:f>
      </x:c>
      <x:c r="O199" s="27" t="str">
        <x:f>IF(A199="","",MAX(0,MIN(100,ROUND(((J199*0.45)+(K199*0.35)-(L199*0.20))*20,0))))</x:f>
      </x:c>
      <x:c r="P199" s="27"/>
      <x:c r="Q199" s="27"/>
      <x:c r="R199" s="27"/>
      <x:c r="S199" s="27"/>
      <x:c r="T199" s="27"/>
      <x:c r="U199" s="27"/>
    </x:row>
    <x:row r="200">
      <x:c r="A200" s="27" t="str"/>
      <x:c r="B200" s="27" t="str"/>
      <x:c r="C200" s="27" t="str"/>
      <x:c r="D200" s="27" t="str"/>
      <x:c r="E200" s="27" t="str"/>
      <x:c r="F200" s="27" t="str"/>
      <x:c r="G200" s="27" t="str"/>
      <x:c r="H200" s="27" t="str"/>
      <x:c r="I200" s="27" t="str"/>
      <x:c r="J200" s="27" t="str"/>
      <x:c r="K200" s="27" t="str"/>
      <x:c r="L200" s="27" t="str"/>
      <x:c r="M200" s="27" t="str">
        <x:f>IF(A200="","",COUNTIF('Страницы_и_экраны'!$E$5:$E$304,A200))</x:f>
      </x:c>
      <x:c r="N200" s="27" t="str">
        <x:f>IF(A200="","",IF(M200&gt;0,"Покрыт","Нет страницы/экрана"))</x:f>
      </x:c>
      <x:c r="O200" s="27" t="str">
        <x:f>IF(A200="","",MAX(0,MIN(100,ROUND(((J200*0.45)+(K200*0.35)-(L200*0.20))*20,0))))</x:f>
      </x:c>
      <x:c r="P200" s="27"/>
      <x:c r="Q200" s="27"/>
      <x:c r="R200" s="27"/>
      <x:c r="S200" s="27"/>
      <x:c r="T200" s="27"/>
      <x:c r="U200" s="27"/>
    </x:row>
    <x:row r="201">
      <x:c r="A201" s="27" t="str"/>
      <x:c r="B201" s="27" t="str"/>
      <x:c r="C201" s="27" t="str"/>
      <x:c r="D201" s="27" t="str"/>
      <x:c r="E201" s="27" t="str"/>
      <x:c r="F201" s="27" t="str"/>
      <x:c r="G201" s="27" t="str"/>
      <x:c r="H201" s="27" t="str"/>
      <x:c r="I201" s="27" t="str"/>
      <x:c r="J201" s="27" t="str"/>
      <x:c r="K201" s="27" t="str"/>
      <x:c r="L201" s="27" t="str"/>
      <x:c r="M201" s="27" t="str">
        <x:f>IF(A201="","",COUNTIF('Страницы_и_экраны'!$E$5:$E$304,A201))</x:f>
      </x:c>
      <x:c r="N201" s="27" t="str">
        <x:f>IF(A201="","",IF(M201&gt;0,"Покрыт","Нет страницы/экрана"))</x:f>
      </x:c>
      <x:c r="O201" s="27" t="str">
        <x:f>IF(A201="","",MAX(0,MIN(100,ROUND(((J201*0.45)+(K201*0.35)-(L201*0.20))*20,0))))</x:f>
      </x:c>
      <x:c r="P201" s="27"/>
      <x:c r="Q201" s="27"/>
      <x:c r="R201" s="27"/>
      <x:c r="S201" s="27"/>
      <x:c r="T201" s="27"/>
      <x:c r="U201" s="27"/>
    </x:row>
    <x:row r="202">
      <x:c r="A202" s="27" t="str"/>
      <x:c r="B202" s="27" t="str"/>
      <x:c r="C202" s="27" t="str"/>
      <x:c r="D202" s="27" t="str"/>
      <x:c r="E202" s="27" t="str"/>
      <x:c r="F202" s="27" t="str"/>
      <x:c r="G202" s="27" t="str"/>
      <x:c r="H202" s="27" t="str"/>
      <x:c r="I202" s="27" t="str"/>
      <x:c r="J202" s="27" t="str"/>
      <x:c r="K202" s="27" t="str"/>
      <x:c r="L202" s="27" t="str"/>
      <x:c r="M202" s="27" t="str">
        <x:f>IF(A202="","",COUNTIF('Страницы_и_экраны'!$E$5:$E$304,A202))</x:f>
      </x:c>
      <x:c r="N202" s="27" t="str">
        <x:f>IF(A202="","",IF(M202&gt;0,"Покрыт","Нет страницы/экрана"))</x:f>
      </x:c>
      <x:c r="O202" s="27" t="str">
        <x:f>IF(A202="","",MAX(0,MIN(100,ROUND(((J202*0.45)+(K202*0.35)-(L202*0.20))*20,0))))</x:f>
      </x:c>
      <x:c r="P202" s="27"/>
      <x:c r="Q202" s="27"/>
      <x:c r="R202" s="27"/>
      <x:c r="S202" s="27"/>
      <x:c r="T202" s="27"/>
      <x:c r="U202" s="27"/>
    </x:row>
    <x:row r="203">
      <x:c r="A203" s="27" t="str"/>
      <x:c r="B203" s="27" t="str"/>
      <x:c r="C203" s="27" t="str"/>
      <x:c r="D203" s="27" t="str"/>
      <x:c r="E203" s="27" t="str"/>
      <x:c r="F203" s="27" t="str"/>
      <x:c r="G203" s="27" t="str"/>
      <x:c r="H203" s="27" t="str"/>
      <x:c r="I203" s="27" t="str"/>
      <x:c r="J203" s="27" t="str"/>
      <x:c r="K203" s="27" t="str"/>
      <x:c r="L203" s="27" t="str"/>
      <x:c r="M203" s="27" t="str">
        <x:f>IF(A203="","",COUNTIF('Страницы_и_экраны'!$E$5:$E$304,A203))</x:f>
      </x:c>
      <x:c r="N203" s="27" t="str">
        <x:f>IF(A203="","",IF(M203&gt;0,"Покрыт","Нет страницы/экрана"))</x:f>
      </x:c>
      <x:c r="O203" s="27" t="str">
        <x:f>IF(A203="","",MAX(0,MIN(100,ROUND(((J203*0.45)+(K203*0.35)-(L203*0.20))*20,0))))</x:f>
      </x:c>
      <x:c r="P203" s="27"/>
      <x:c r="Q203" s="27"/>
      <x:c r="R203" s="27"/>
      <x:c r="S203" s="27"/>
      <x:c r="T203" s="27"/>
      <x:c r="U203" s="27"/>
    </x:row>
    <x:row r="204">
      <x:c r="A204" s="27" t="str"/>
      <x:c r="B204" s="27" t="str"/>
      <x:c r="C204" s="27" t="str"/>
      <x:c r="D204" s="27" t="str"/>
      <x:c r="E204" s="27" t="str"/>
      <x:c r="F204" s="27" t="str"/>
      <x:c r="G204" s="27" t="str"/>
      <x:c r="H204" s="27" t="str"/>
      <x:c r="I204" s="27" t="str"/>
      <x:c r="J204" s="27" t="str"/>
      <x:c r="K204" s="27" t="str"/>
      <x:c r="L204" s="27" t="str"/>
      <x:c r="M204" s="27" t="str">
        <x:f>IF(A204="","",COUNTIF('Страницы_и_экраны'!$E$5:$E$304,A204))</x:f>
      </x:c>
      <x:c r="N204" s="27" t="str">
        <x:f>IF(A204="","",IF(M204&gt;0,"Покрыт","Нет страницы/экрана"))</x:f>
      </x:c>
      <x:c r="O204" s="27" t="str">
        <x:f>IF(A204="","",MAX(0,MIN(100,ROUND(((J204*0.45)+(K204*0.35)-(L204*0.20))*20,0))))</x:f>
      </x:c>
      <x:c r="P204" s="27"/>
      <x:c r="Q204" s="27"/>
      <x:c r="R204" s="27"/>
      <x:c r="S204" s="27"/>
      <x:c r="T204" s="27"/>
      <x:c r="U204" s="27"/>
    </x:row>
    <x:row r="205">
      <x:c r="A205" s="27" t="str"/>
      <x:c r="B205" s="27" t="str"/>
      <x:c r="C205" s="27" t="str"/>
      <x:c r="D205" s="27" t="str"/>
      <x:c r="E205" s="27" t="str"/>
      <x:c r="F205" s="27" t="str"/>
      <x:c r="G205" s="27" t="str"/>
      <x:c r="H205" s="27" t="str"/>
      <x:c r="I205" s="27" t="str"/>
      <x:c r="J205" s="27" t="str"/>
      <x:c r="K205" s="27" t="str"/>
      <x:c r="L205" s="27" t="str"/>
      <x:c r="M205" s="27" t="str">
        <x:f>IF(A205="","",COUNTIF('Страницы_и_экраны'!$E$5:$E$304,A205))</x:f>
      </x:c>
      <x:c r="N205" s="27" t="str">
        <x:f>IF(A205="","",IF(M205&gt;0,"Покрыт","Нет страницы/экрана"))</x:f>
      </x:c>
      <x:c r="O205" s="27" t="str">
        <x:f>IF(A205="","",MAX(0,MIN(100,ROUND(((J205*0.45)+(K205*0.35)-(L205*0.20))*20,0))))</x:f>
      </x:c>
      <x:c r="P205" s="27"/>
      <x:c r="Q205" s="27"/>
      <x:c r="R205" s="27"/>
      <x:c r="S205" s="27"/>
      <x:c r="T205" s="27"/>
      <x:c r="U205" s="27"/>
    </x:row>
    <x:row r="206">
      <x:c r="A206" s="27" t="str"/>
      <x:c r="B206" s="27" t="str"/>
      <x:c r="C206" s="27" t="str"/>
      <x:c r="D206" s="27" t="str"/>
      <x:c r="E206" s="27" t="str"/>
      <x:c r="F206" s="27" t="str"/>
      <x:c r="G206" s="27" t="str"/>
      <x:c r="H206" s="27" t="str"/>
      <x:c r="I206" s="27" t="str"/>
      <x:c r="J206" s="27" t="str"/>
      <x:c r="K206" s="27" t="str"/>
      <x:c r="L206" s="27" t="str"/>
      <x:c r="M206" s="27" t="str">
        <x:f>IF(A206="","",COUNTIF('Страницы_и_экраны'!$E$5:$E$304,A206))</x:f>
      </x:c>
      <x:c r="N206" s="27" t="str">
        <x:f>IF(A206="","",IF(M206&gt;0,"Покрыт","Нет страницы/экрана"))</x:f>
      </x:c>
      <x:c r="O206" s="27" t="str">
        <x:f>IF(A206="","",MAX(0,MIN(100,ROUND(((J206*0.45)+(K206*0.35)-(L206*0.20))*20,0))))</x:f>
      </x:c>
      <x:c r="P206" s="27"/>
      <x:c r="Q206" s="27"/>
      <x:c r="R206" s="27"/>
      <x:c r="S206" s="27"/>
      <x:c r="T206" s="27"/>
      <x:c r="U206" s="27"/>
    </x:row>
    <x:row r="207">
      <x:c r="A207" s="27" t="str"/>
      <x:c r="B207" s="27" t="str"/>
      <x:c r="C207" s="27" t="str"/>
      <x:c r="D207" s="27" t="str"/>
      <x:c r="E207" s="27" t="str"/>
      <x:c r="F207" s="27" t="str"/>
      <x:c r="G207" s="27" t="str"/>
      <x:c r="H207" s="27" t="str"/>
      <x:c r="I207" s="27" t="str"/>
      <x:c r="J207" s="27" t="str"/>
      <x:c r="K207" s="27" t="str"/>
      <x:c r="L207" s="27" t="str"/>
      <x:c r="M207" s="27" t="str">
        <x:f>IF(A207="","",COUNTIF('Страницы_и_экраны'!$E$5:$E$304,A207))</x:f>
      </x:c>
      <x:c r="N207" s="27" t="str">
        <x:f>IF(A207="","",IF(M207&gt;0,"Покрыт","Нет страницы/экрана"))</x:f>
      </x:c>
      <x:c r="O207" s="27" t="str">
        <x:f>IF(A207="","",MAX(0,MIN(100,ROUND(((J207*0.45)+(K207*0.35)-(L207*0.20))*20,0))))</x:f>
      </x:c>
      <x:c r="P207" s="27"/>
      <x:c r="Q207" s="27"/>
      <x:c r="R207" s="27"/>
      <x:c r="S207" s="27"/>
      <x:c r="T207" s="27"/>
      <x:c r="U207" s="27"/>
    </x:row>
    <x:row r="208">
      <x:c r="A208" s="27" t="str"/>
      <x:c r="B208" s="27" t="str"/>
      <x:c r="C208" s="27" t="str"/>
      <x:c r="D208" s="27" t="str"/>
      <x:c r="E208" s="27" t="str"/>
      <x:c r="F208" s="27" t="str"/>
      <x:c r="G208" s="27" t="str"/>
      <x:c r="H208" s="27" t="str"/>
      <x:c r="I208" s="27" t="str"/>
      <x:c r="J208" s="27" t="str"/>
      <x:c r="K208" s="27" t="str"/>
      <x:c r="L208" s="27" t="str"/>
      <x:c r="M208" s="27" t="str">
        <x:f>IF(A208="","",COUNTIF('Страницы_и_экраны'!$E$5:$E$304,A208))</x:f>
      </x:c>
      <x:c r="N208" s="27" t="str">
        <x:f>IF(A208="","",IF(M208&gt;0,"Покрыт","Нет страницы/экрана"))</x:f>
      </x:c>
      <x:c r="O208" s="27" t="str">
        <x:f>IF(A208="","",MAX(0,MIN(100,ROUND(((J208*0.45)+(K208*0.35)-(L208*0.20))*20,0))))</x:f>
      </x:c>
      <x:c r="P208" s="27"/>
      <x:c r="Q208" s="27"/>
      <x:c r="R208" s="27"/>
      <x:c r="S208" s="27"/>
      <x:c r="T208" s="27"/>
      <x:c r="U208" s="27"/>
    </x:row>
    <x:row r="209">
      <x:c r="A209" s="27" t="str"/>
      <x:c r="B209" s="27" t="str"/>
      <x:c r="C209" s="27" t="str"/>
      <x:c r="D209" s="27" t="str"/>
      <x:c r="E209" s="27" t="str"/>
      <x:c r="F209" s="27" t="str"/>
      <x:c r="G209" s="27" t="str"/>
      <x:c r="H209" s="27" t="str"/>
      <x:c r="I209" s="27" t="str"/>
      <x:c r="J209" s="27" t="str"/>
      <x:c r="K209" s="27" t="str"/>
      <x:c r="L209" s="27" t="str"/>
      <x:c r="M209" s="27" t="str">
        <x:f>IF(A209="","",COUNTIF('Страницы_и_экраны'!$E$5:$E$304,A209))</x:f>
      </x:c>
      <x:c r="N209" s="27" t="str">
        <x:f>IF(A209="","",IF(M209&gt;0,"Покрыт","Нет страницы/экрана"))</x:f>
      </x:c>
      <x:c r="O209" s="27" t="str">
        <x:f>IF(A209="","",MAX(0,MIN(100,ROUND(((J209*0.45)+(K209*0.35)-(L209*0.20))*20,0))))</x:f>
      </x:c>
      <x:c r="P209" s="27"/>
      <x:c r="Q209" s="27"/>
      <x:c r="R209" s="27"/>
      <x:c r="S209" s="27"/>
      <x:c r="T209" s="27"/>
      <x:c r="U209" s="27"/>
    </x:row>
    <x:row r="210">
      <x:c r="A210" s="27" t="str"/>
      <x:c r="B210" s="27" t="str"/>
      <x:c r="C210" s="27" t="str"/>
      <x:c r="D210" s="27" t="str"/>
      <x:c r="E210" s="27" t="str"/>
      <x:c r="F210" s="27" t="str"/>
      <x:c r="G210" s="27" t="str"/>
      <x:c r="H210" s="27" t="str"/>
      <x:c r="I210" s="27" t="str"/>
      <x:c r="J210" s="27" t="str"/>
      <x:c r="K210" s="27" t="str"/>
      <x:c r="L210" s="27" t="str"/>
      <x:c r="M210" s="27" t="str">
        <x:f>IF(A210="","",COUNTIF('Страницы_и_экраны'!$E$5:$E$304,A210))</x:f>
      </x:c>
      <x:c r="N210" s="27" t="str">
        <x:f>IF(A210="","",IF(M210&gt;0,"Покрыт","Нет страницы/экрана"))</x:f>
      </x:c>
      <x:c r="O210" s="27" t="str">
        <x:f>IF(A210="","",MAX(0,MIN(100,ROUND(((J210*0.45)+(K210*0.35)-(L210*0.20))*20,0))))</x:f>
      </x:c>
      <x:c r="P210" s="27"/>
      <x:c r="Q210" s="27"/>
      <x:c r="R210" s="27"/>
      <x:c r="S210" s="27"/>
      <x:c r="T210" s="27"/>
      <x:c r="U210" s="27"/>
    </x:row>
    <x:row r="211">
      <x:c r="A211" s="27" t="str"/>
      <x:c r="B211" s="27" t="str"/>
      <x:c r="C211" s="27" t="str"/>
      <x:c r="D211" s="27" t="str"/>
      <x:c r="E211" s="27" t="str"/>
      <x:c r="F211" s="27" t="str"/>
      <x:c r="G211" s="27" t="str"/>
      <x:c r="H211" s="27" t="str"/>
      <x:c r="I211" s="27" t="str"/>
      <x:c r="J211" s="27" t="str"/>
      <x:c r="K211" s="27" t="str"/>
      <x:c r="L211" s="27" t="str"/>
      <x:c r="M211" s="27" t="str">
        <x:f>IF(A211="","",COUNTIF('Страницы_и_экраны'!$E$5:$E$304,A211))</x:f>
      </x:c>
      <x:c r="N211" s="27" t="str">
        <x:f>IF(A211="","",IF(M211&gt;0,"Покрыт","Нет страницы/экрана"))</x:f>
      </x:c>
      <x:c r="O211" s="27" t="str">
        <x:f>IF(A211="","",MAX(0,MIN(100,ROUND(((J211*0.45)+(K211*0.35)-(L211*0.20))*20,0))))</x:f>
      </x:c>
      <x:c r="P211" s="27"/>
      <x:c r="Q211" s="27"/>
      <x:c r="R211" s="27"/>
      <x:c r="S211" s="27"/>
      <x:c r="T211" s="27"/>
      <x:c r="U211" s="27"/>
    </x:row>
    <x:row r="212">
      <x:c r="A212" s="27" t="str"/>
      <x:c r="B212" s="27" t="str"/>
      <x:c r="C212" s="27" t="str"/>
      <x:c r="D212" s="27" t="str"/>
      <x:c r="E212" s="27" t="str"/>
      <x:c r="F212" s="27" t="str"/>
      <x:c r="G212" s="27" t="str"/>
      <x:c r="H212" s="27" t="str"/>
      <x:c r="I212" s="27" t="str"/>
      <x:c r="J212" s="27" t="str"/>
      <x:c r="K212" s="27" t="str"/>
      <x:c r="L212" s="27" t="str"/>
      <x:c r="M212" s="27" t="str">
        <x:f>IF(A212="","",COUNTIF('Страницы_и_экраны'!$E$5:$E$304,A212))</x:f>
      </x:c>
      <x:c r="N212" s="27" t="str">
        <x:f>IF(A212="","",IF(M212&gt;0,"Покрыт","Нет страницы/экрана"))</x:f>
      </x:c>
      <x:c r="O212" s="27" t="str">
        <x:f>IF(A212="","",MAX(0,MIN(100,ROUND(((J212*0.45)+(K212*0.35)-(L212*0.20))*20,0))))</x:f>
      </x:c>
      <x:c r="P212" s="27"/>
      <x:c r="Q212" s="27"/>
      <x:c r="R212" s="27"/>
      <x:c r="S212" s="27"/>
      <x:c r="T212" s="27"/>
      <x:c r="U212" s="27"/>
    </x:row>
    <x:row r="213">
      <x:c r="A213" s="27" t="str"/>
      <x:c r="B213" s="27" t="str"/>
      <x:c r="C213" s="27" t="str"/>
      <x:c r="D213" s="27" t="str"/>
      <x:c r="E213" s="27" t="str"/>
      <x:c r="F213" s="27" t="str"/>
      <x:c r="G213" s="27" t="str"/>
      <x:c r="H213" s="27" t="str"/>
      <x:c r="I213" s="27" t="str"/>
      <x:c r="J213" s="27" t="str"/>
      <x:c r="K213" s="27" t="str"/>
      <x:c r="L213" s="27" t="str"/>
      <x:c r="M213" s="27" t="str">
        <x:f>IF(A213="","",COUNTIF('Страницы_и_экраны'!$E$5:$E$304,A213))</x:f>
      </x:c>
      <x:c r="N213" s="27" t="str">
        <x:f>IF(A213="","",IF(M213&gt;0,"Покрыт","Нет страницы/экрана"))</x:f>
      </x:c>
      <x:c r="O213" s="27" t="str">
        <x:f>IF(A213="","",MAX(0,MIN(100,ROUND(((J213*0.45)+(K213*0.35)-(L213*0.20))*20,0))))</x:f>
      </x:c>
      <x:c r="P213" s="27"/>
      <x:c r="Q213" s="27"/>
      <x:c r="R213" s="27"/>
      <x:c r="S213" s="27"/>
      <x:c r="T213" s="27"/>
      <x:c r="U213" s="27"/>
    </x:row>
    <x:row r="214">
      <x:c r="A214" s="27" t="str"/>
      <x:c r="B214" s="27" t="str"/>
      <x:c r="C214" s="27" t="str"/>
      <x:c r="D214" s="27" t="str"/>
      <x:c r="E214" s="27" t="str"/>
      <x:c r="F214" s="27" t="str"/>
      <x:c r="G214" s="27" t="str"/>
      <x:c r="H214" s="27" t="str"/>
      <x:c r="I214" s="27" t="str"/>
      <x:c r="J214" s="27" t="str"/>
      <x:c r="K214" s="27" t="str"/>
      <x:c r="L214" s="27" t="str"/>
      <x:c r="M214" s="27" t="str">
        <x:f>IF(A214="","",COUNTIF('Страницы_и_экраны'!$E$5:$E$304,A214))</x:f>
      </x:c>
      <x:c r="N214" s="27" t="str">
        <x:f>IF(A214="","",IF(M214&gt;0,"Покрыт","Нет страницы/экрана"))</x:f>
      </x:c>
      <x:c r="O214" s="27" t="str">
        <x:f>IF(A214="","",MAX(0,MIN(100,ROUND(((J214*0.45)+(K214*0.35)-(L214*0.20))*20,0))))</x:f>
      </x:c>
      <x:c r="P214" s="27"/>
      <x:c r="Q214" s="27"/>
      <x:c r="R214" s="27"/>
      <x:c r="S214" s="27"/>
      <x:c r="T214" s="27"/>
      <x:c r="U214" s="27"/>
    </x:row>
    <x:row r="215">
      <x:c r="A215" s="27" t="str"/>
      <x:c r="B215" s="27" t="str"/>
      <x:c r="C215" s="27" t="str"/>
      <x:c r="D215" s="27" t="str"/>
      <x:c r="E215" s="27" t="str"/>
      <x:c r="F215" s="27" t="str"/>
      <x:c r="G215" s="27" t="str"/>
      <x:c r="H215" s="27" t="str"/>
      <x:c r="I215" s="27" t="str"/>
      <x:c r="J215" s="27" t="str"/>
      <x:c r="K215" s="27" t="str"/>
      <x:c r="L215" s="27" t="str"/>
      <x:c r="M215" s="27" t="str">
        <x:f>IF(A215="","",COUNTIF('Страницы_и_экраны'!$E$5:$E$304,A215))</x:f>
      </x:c>
      <x:c r="N215" s="27" t="str">
        <x:f>IF(A215="","",IF(M215&gt;0,"Покрыт","Нет страницы/экрана"))</x:f>
      </x:c>
      <x:c r="O215" s="27" t="str">
        <x:f>IF(A215="","",MAX(0,MIN(100,ROUND(((J215*0.45)+(K215*0.35)-(L215*0.20))*20,0))))</x:f>
      </x:c>
      <x:c r="P215" s="27"/>
      <x:c r="Q215" s="27"/>
      <x:c r="R215" s="27"/>
      <x:c r="S215" s="27"/>
      <x:c r="T215" s="27"/>
      <x:c r="U215" s="27"/>
    </x:row>
    <x:row r="216">
      <x:c r="A216" s="27" t="str"/>
      <x:c r="B216" s="27" t="str"/>
      <x:c r="C216" s="27" t="str"/>
      <x:c r="D216" s="27" t="str"/>
      <x:c r="E216" s="27" t="str"/>
      <x:c r="F216" s="27" t="str"/>
      <x:c r="G216" s="27" t="str"/>
      <x:c r="H216" s="27" t="str"/>
      <x:c r="I216" s="27" t="str"/>
      <x:c r="J216" s="27" t="str"/>
      <x:c r="K216" s="27" t="str"/>
      <x:c r="L216" s="27" t="str"/>
      <x:c r="M216" s="27" t="str">
        <x:f>IF(A216="","",COUNTIF('Страницы_и_экраны'!$E$5:$E$304,A216))</x:f>
      </x:c>
      <x:c r="N216" s="27" t="str">
        <x:f>IF(A216="","",IF(M216&gt;0,"Покрыт","Нет страницы/экрана"))</x:f>
      </x:c>
      <x:c r="O216" s="27" t="str">
        <x:f>IF(A216="","",MAX(0,MIN(100,ROUND(((J216*0.45)+(K216*0.35)-(L216*0.20))*20,0))))</x:f>
      </x:c>
      <x:c r="P216" s="27"/>
      <x:c r="Q216" s="27"/>
      <x:c r="R216" s="27"/>
      <x:c r="S216" s="27"/>
      <x:c r="T216" s="27"/>
      <x:c r="U216" s="27"/>
    </x:row>
    <x:row r="217">
      <x:c r="A217" s="27" t="str"/>
      <x:c r="B217" s="27" t="str"/>
      <x:c r="C217" s="27" t="str"/>
      <x:c r="D217" s="27" t="str"/>
      <x:c r="E217" s="27" t="str"/>
      <x:c r="F217" s="27" t="str"/>
      <x:c r="G217" s="27" t="str"/>
      <x:c r="H217" s="27" t="str"/>
      <x:c r="I217" s="27" t="str"/>
      <x:c r="J217" s="27" t="str"/>
      <x:c r="K217" s="27" t="str"/>
      <x:c r="L217" s="27" t="str"/>
      <x:c r="M217" s="27" t="str">
        <x:f>IF(A217="","",COUNTIF('Страницы_и_экраны'!$E$5:$E$304,A217))</x:f>
      </x:c>
      <x:c r="N217" s="27" t="str">
        <x:f>IF(A217="","",IF(M217&gt;0,"Покрыт","Нет страницы/экрана"))</x:f>
      </x:c>
      <x:c r="O217" s="27" t="str">
        <x:f>IF(A217="","",MAX(0,MIN(100,ROUND(((J217*0.45)+(K217*0.35)-(L217*0.20))*20,0))))</x:f>
      </x:c>
      <x:c r="P217" s="27"/>
      <x:c r="Q217" s="27"/>
      <x:c r="R217" s="27"/>
      <x:c r="S217" s="27"/>
      <x:c r="T217" s="27"/>
      <x:c r="U217" s="27"/>
    </x:row>
    <x:row r="218">
      <x:c r="A218" s="27" t="str"/>
      <x:c r="B218" s="27" t="str"/>
      <x:c r="C218" s="27" t="str"/>
      <x:c r="D218" s="27" t="str"/>
      <x:c r="E218" s="27" t="str"/>
      <x:c r="F218" s="27" t="str"/>
      <x:c r="G218" s="27" t="str"/>
      <x:c r="H218" s="27" t="str"/>
      <x:c r="I218" s="27" t="str"/>
      <x:c r="J218" s="27" t="str"/>
      <x:c r="K218" s="27" t="str"/>
      <x:c r="L218" s="27" t="str"/>
      <x:c r="M218" s="27" t="str">
        <x:f>IF(A218="","",COUNTIF('Страницы_и_экраны'!$E$5:$E$304,A218))</x:f>
      </x:c>
      <x:c r="N218" s="27" t="str">
        <x:f>IF(A218="","",IF(M218&gt;0,"Покрыт","Нет страницы/экрана"))</x:f>
      </x:c>
      <x:c r="O218" s="27" t="str">
        <x:f>IF(A218="","",MAX(0,MIN(100,ROUND(((J218*0.45)+(K218*0.35)-(L218*0.20))*20,0))))</x:f>
      </x:c>
      <x:c r="P218" s="27"/>
      <x:c r="Q218" s="27"/>
      <x:c r="R218" s="27"/>
      <x:c r="S218" s="27"/>
      <x:c r="T218" s="27"/>
      <x:c r="U218" s="27"/>
    </x:row>
    <x:row r="219">
      <x:c r="A219" s="27" t="str"/>
      <x:c r="B219" s="27" t="str"/>
      <x:c r="C219" s="27" t="str"/>
      <x:c r="D219" s="27" t="str"/>
      <x:c r="E219" s="27" t="str"/>
      <x:c r="F219" s="27" t="str"/>
      <x:c r="G219" s="27" t="str"/>
      <x:c r="H219" s="27" t="str"/>
      <x:c r="I219" s="27" t="str"/>
      <x:c r="J219" s="27" t="str"/>
      <x:c r="K219" s="27" t="str"/>
      <x:c r="L219" s="27" t="str"/>
      <x:c r="M219" s="27" t="str">
        <x:f>IF(A219="","",COUNTIF('Страницы_и_экраны'!$E$5:$E$304,A219))</x:f>
      </x:c>
      <x:c r="N219" s="27" t="str">
        <x:f>IF(A219="","",IF(M219&gt;0,"Покрыт","Нет страницы/экрана"))</x:f>
      </x:c>
      <x:c r="O219" s="27" t="str">
        <x:f>IF(A219="","",MAX(0,MIN(100,ROUND(((J219*0.45)+(K219*0.35)-(L219*0.20))*20,0))))</x:f>
      </x:c>
      <x:c r="P219" s="27"/>
      <x:c r="Q219" s="27"/>
      <x:c r="R219" s="27"/>
      <x:c r="S219" s="27"/>
      <x:c r="T219" s="27"/>
      <x:c r="U219" s="27"/>
    </x:row>
    <x:row r="220">
      <x:c r="A220" s="27" t="str"/>
      <x:c r="B220" s="27" t="str"/>
      <x:c r="C220" s="27" t="str"/>
      <x:c r="D220" s="27" t="str"/>
      <x:c r="E220" s="27" t="str"/>
      <x:c r="F220" s="27" t="str"/>
      <x:c r="G220" s="27" t="str"/>
      <x:c r="H220" s="27" t="str"/>
      <x:c r="I220" s="27" t="str"/>
      <x:c r="J220" s="27" t="str"/>
      <x:c r="K220" s="27" t="str"/>
      <x:c r="L220" s="27" t="str"/>
      <x:c r="M220" s="27" t="str">
        <x:f>IF(A220="","",COUNTIF('Страницы_и_экраны'!$E$5:$E$304,A220))</x:f>
      </x:c>
      <x:c r="N220" s="27" t="str">
        <x:f>IF(A220="","",IF(M220&gt;0,"Покрыт","Нет страницы/экрана"))</x:f>
      </x:c>
      <x:c r="O220" s="27" t="str">
        <x:f>IF(A220="","",MAX(0,MIN(100,ROUND(((J220*0.45)+(K220*0.35)-(L220*0.20))*20,0))))</x:f>
      </x:c>
      <x:c r="P220" s="27"/>
      <x:c r="Q220" s="27"/>
      <x:c r="R220" s="27"/>
      <x:c r="S220" s="27"/>
      <x:c r="T220" s="27"/>
      <x:c r="U220" s="27"/>
    </x:row>
    <x:row r="221">
      <x:c r="A221" s="27" t="str"/>
      <x:c r="B221" s="27" t="str"/>
      <x:c r="C221" s="27" t="str"/>
      <x:c r="D221" s="27" t="str"/>
      <x:c r="E221" s="27" t="str"/>
      <x:c r="F221" s="27" t="str"/>
      <x:c r="G221" s="27" t="str"/>
      <x:c r="H221" s="27" t="str"/>
      <x:c r="I221" s="27" t="str"/>
      <x:c r="J221" s="27" t="str"/>
      <x:c r="K221" s="27" t="str"/>
      <x:c r="L221" s="27" t="str"/>
      <x:c r="M221" s="27" t="str">
        <x:f>IF(A221="","",COUNTIF('Страницы_и_экраны'!$E$5:$E$304,A221))</x:f>
      </x:c>
      <x:c r="N221" s="27" t="str">
        <x:f>IF(A221="","",IF(M221&gt;0,"Покрыт","Нет страницы/экрана"))</x:f>
      </x:c>
      <x:c r="O221" s="27" t="str">
        <x:f>IF(A221="","",MAX(0,MIN(100,ROUND(((J221*0.45)+(K221*0.35)-(L221*0.20))*20,0))))</x:f>
      </x:c>
      <x:c r="P221" s="27"/>
      <x:c r="Q221" s="27"/>
      <x:c r="R221" s="27"/>
      <x:c r="S221" s="27"/>
      <x:c r="T221" s="27"/>
      <x:c r="U221" s="27"/>
    </x:row>
    <x:row r="222">
      <x:c r="A222" s="27" t="str"/>
      <x:c r="B222" s="27" t="str"/>
      <x:c r="C222" s="27" t="str"/>
      <x:c r="D222" s="27" t="str"/>
      <x:c r="E222" s="27" t="str"/>
      <x:c r="F222" s="27" t="str"/>
      <x:c r="G222" s="27" t="str"/>
      <x:c r="H222" s="27" t="str"/>
      <x:c r="I222" s="27" t="str"/>
      <x:c r="J222" s="27" t="str"/>
      <x:c r="K222" s="27" t="str"/>
      <x:c r="L222" s="27" t="str"/>
      <x:c r="M222" s="27" t="str">
        <x:f>IF(A222="","",COUNTIF('Страницы_и_экраны'!$E$5:$E$304,A222))</x:f>
      </x:c>
      <x:c r="N222" s="27" t="str">
        <x:f>IF(A222="","",IF(M222&gt;0,"Покрыт","Нет страницы/экрана"))</x:f>
      </x:c>
      <x:c r="O222" s="27" t="str">
        <x:f>IF(A222="","",MAX(0,MIN(100,ROUND(((J222*0.45)+(K222*0.35)-(L222*0.20))*20,0))))</x:f>
      </x:c>
      <x:c r="P222" s="27"/>
      <x:c r="Q222" s="27"/>
      <x:c r="R222" s="27"/>
      <x:c r="S222" s="27"/>
      <x:c r="T222" s="27"/>
      <x:c r="U222" s="27"/>
    </x:row>
    <x:row r="223">
      <x:c r="A223" s="27" t="str"/>
      <x:c r="B223" s="27" t="str"/>
      <x:c r="C223" s="27" t="str"/>
      <x:c r="D223" s="27" t="str"/>
      <x:c r="E223" s="27" t="str"/>
      <x:c r="F223" s="27" t="str"/>
      <x:c r="G223" s="27" t="str"/>
      <x:c r="H223" s="27" t="str"/>
      <x:c r="I223" s="27" t="str"/>
      <x:c r="J223" s="27" t="str"/>
      <x:c r="K223" s="27" t="str"/>
      <x:c r="L223" s="27" t="str"/>
      <x:c r="M223" s="27" t="str">
        <x:f>IF(A223="","",COUNTIF('Страницы_и_экраны'!$E$5:$E$304,A223))</x:f>
      </x:c>
      <x:c r="N223" s="27" t="str">
        <x:f>IF(A223="","",IF(M223&gt;0,"Покрыт","Нет страницы/экрана"))</x:f>
      </x:c>
      <x:c r="O223" s="27" t="str">
        <x:f>IF(A223="","",MAX(0,MIN(100,ROUND(((J223*0.45)+(K223*0.35)-(L223*0.20))*20,0))))</x:f>
      </x:c>
      <x:c r="P223" s="27"/>
      <x:c r="Q223" s="27"/>
      <x:c r="R223" s="27"/>
      <x:c r="S223" s="27"/>
      <x:c r="T223" s="27"/>
      <x:c r="U223" s="27"/>
    </x:row>
    <x:row r="224">
      <x:c r="A224" s="27" t="str"/>
      <x:c r="B224" s="27" t="str"/>
      <x:c r="C224" s="27" t="str"/>
      <x:c r="D224" s="27" t="str"/>
      <x:c r="E224" s="27" t="str"/>
      <x:c r="F224" s="27" t="str"/>
      <x:c r="G224" s="27" t="str"/>
      <x:c r="H224" s="27" t="str"/>
      <x:c r="I224" s="27" t="str"/>
      <x:c r="J224" s="27" t="str"/>
      <x:c r="K224" s="27" t="str"/>
      <x:c r="L224" s="27" t="str"/>
      <x:c r="M224" s="27" t="str">
        <x:f>IF(A224="","",COUNTIF('Страницы_и_экраны'!$E$5:$E$304,A224))</x:f>
      </x:c>
      <x:c r="N224" s="27" t="str">
        <x:f>IF(A224="","",IF(M224&gt;0,"Покрыт","Нет страницы/экрана"))</x:f>
      </x:c>
      <x:c r="O224" s="27" t="str">
        <x:f>IF(A224="","",MAX(0,MIN(100,ROUND(((J224*0.45)+(K224*0.35)-(L224*0.20))*20,0))))</x:f>
      </x:c>
      <x:c r="P224" s="27"/>
      <x:c r="Q224" s="27"/>
      <x:c r="R224" s="27"/>
      <x:c r="S224" s="27"/>
      <x:c r="T224" s="27"/>
      <x:c r="U224" s="27"/>
    </x:row>
    <x:row r="225">
      <x:c r="A225" s="27" t="str"/>
      <x:c r="B225" s="27" t="str"/>
      <x:c r="C225" s="27" t="str"/>
      <x:c r="D225" s="27" t="str"/>
      <x:c r="E225" s="27" t="str"/>
      <x:c r="F225" s="27" t="str"/>
      <x:c r="G225" s="27" t="str"/>
      <x:c r="H225" s="27" t="str"/>
      <x:c r="I225" s="27" t="str"/>
      <x:c r="J225" s="27" t="str"/>
      <x:c r="K225" s="27" t="str"/>
      <x:c r="L225" s="27" t="str"/>
      <x:c r="M225" s="27" t="str">
        <x:f>IF(A225="","",COUNTIF('Страницы_и_экраны'!$E$5:$E$304,A225))</x:f>
      </x:c>
      <x:c r="N225" s="27" t="str">
        <x:f>IF(A225="","",IF(M225&gt;0,"Покрыт","Нет страницы/экрана"))</x:f>
      </x:c>
      <x:c r="O225" s="27" t="str">
        <x:f>IF(A225="","",MAX(0,MIN(100,ROUND(((J225*0.45)+(K225*0.35)-(L225*0.20))*20,0))))</x:f>
      </x:c>
      <x:c r="P225" s="27"/>
      <x:c r="Q225" s="27"/>
      <x:c r="R225" s="27"/>
      <x:c r="S225" s="27"/>
      <x:c r="T225" s="27"/>
      <x:c r="U225" s="27"/>
    </x:row>
    <x:row r="226">
      <x:c r="A226" s="27" t="str"/>
      <x:c r="B226" s="27" t="str"/>
      <x:c r="C226" s="27" t="str"/>
      <x:c r="D226" s="27" t="str"/>
      <x:c r="E226" s="27" t="str"/>
      <x:c r="F226" s="27" t="str"/>
      <x:c r="G226" s="27" t="str"/>
      <x:c r="H226" s="27" t="str"/>
      <x:c r="I226" s="27" t="str"/>
      <x:c r="J226" s="27" t="str"/>
      <x:c r="K226" s="27" t="str"/>
      <x:c r="L226" s="27" t="str"/>
      <x:c r="M226" s="27" t="str">
        <x:f>IF(A226="","",COUNTIF('Страницы_и_экраны'!$E$5:$E$304,A226))</x:f>
      </x:c>
      <x:c r="N226" s="27" t="str">
        <x:f>IF(A226="","",IF(M226&gt;0,"Покрыт","Нет страницы/экрана"))</x:f>
      </x:c>
      <x:c r="O226" s="27" t="str">
        <x:f>IF(A226="","",MAX(0,MIN(100,ROUND(((J226*0.45)+(K226*0.35)-(L226*0.20))*20,0))))</x:f>
      </x:c>
      <x:c r="P226" s="27"/>
      <x:c r="Q226" s="27"/>
      <x:c r="R226" s="27"/>
      <x:c r="S226" s="27"/>
      <x:c r="T226" s="27"/>
      <x:c r="U226" s="27"/>
    </x:row>
    <x:row r="227">
      <x:c r="A227" s="27" t="str"/>
      <x:c r="B227" s="27" t="str"/>
      <x:c r="C227" s="27" t="str"/>
      <x:c r="D227" s="27" t="str"/>
      <x:c r="E227" s="27" t="str"/>
      <x:c r="F227" s="27" t="str"/>
      <x:c r="G227" s="27" t="str"/>
      <x:c r="H227" s="27" t="str"/>
      <x:c r="I227" s="27" t="str"/>
      <x:c r="J227" s="27" t="str"/>
      <x:c r="K227" s="27" t="str"/>
      <x:c r="L227" s="27" t="str"/>
      <x:c r="M227" s="27" t="str">
        <x:f>IF(A227="","",COUNTIF('Страницы_и_экраны'!$E$5:$E$304,A227))</x:f>
      </x:c>
      <x:c r="N227" s="27" t="str">
        <x:f>IF(A227="","",IF(M227&gt;0,"Покрыт","Нет страницы/экрана"))</x:f>
      </x:c>
      <x:c r="O227" s="27" t="str">
        <x:f>IF(A227="","",MAX(0,MIN(100,ROUND(((J227*0.45)+(K227*0.35)-(L227*0.20))*20,0))))</x:f>
      </x:c>
      <x:c r="P227" s="27"/>
      <x:c r="Q227" s="27"/>
      <x:c r="R227" s="27"/>
      <x:c r="S227" s="27"/>
      <x:c r="T227" s="27"/>
      <x:c r="U227" s="27"/>
    </x:row>
    <x:row r="228">
      <x:c r="A228" s="27" t="str"/>
      <x:c r="B228" s="27" t="str"/>
      <x:c r="C228" s="27" t="str"/>
      <x:c r="D228" s="27" t="str"/>
      <x:c r="E228" s="27" t="str"/>
      <x:c r="F228" s="27" t="str"/>
      <x:c r="G228" s="27" t="str"/>
      <x:c r="H228" s="27" t="str"/>
      <x:c r="I228" s="27" t="str"/>
      <x:c r="J228" s="27" t="str"/>
      <x:c r="K228" s="27" t="str"/>
      <x:c r="L228" s="27" t="str"/>
      <x:c r="M228" s="27" t="str">
        <x:f>IF(A228="","",COUNTIF('Страницы_и_экраны'!$E$5:$E$304,A228))</x:f>
      </x:c>
      <x:c r="N228" s="27" t="str">
        <x:f>IF(A228="","",IF(M228&gt;0,"Покрыт","Нет страницы/экрана"))</x:f>
      </x:c>
      <x:c r="O228" s="27" t="str">
        <x:f>IF(A228="","",MAX(0,MIN(100,ROUND(((J228*0.45)+(K228*0.35)-(L228*0.20))*20,0))))</x:f>
      </x:c>
      <x:c r="P228" s="27"/>
      <x:c r="Q228" s="27"/>
      <x:c r="R228" s="27"/>
      <x:c r="S228" s="27"/>
      <x:c r="T228" s="27"/>
      <x:c r="U228" s="27"/>
    </x:row>
    <x:row r="229">
      <x:c r="A229" s="27" t="str"/>
      <x:c r="B229" s="27" t="str"/>
      <x:c r="C229" s="27" t="str"/>
      <x:c r="D229" s="27" t="str"/>
      <x:c r="E229" s="27" t="str"/>
      <x:c r="F229" s="27" t="str"/>
      <x:c r="G229" s="27" t="str"/>
      <x:c r="H229" s="27" t="str"/>
      <x:c r="I229" s="27" t="str"/>
      <x:c r="J229" s="27" t="str"/>
      <x:c r="K229" s="27" t="str"/>
      <x:c r="L229" s="27" t="str"/>
      <x:c r="M229" s="27" t="str">
        <x:f>IF(A229="","",COUNTIF('Страницы_и_экраны'!$E$5:$E$304,A229))</x:f>
      </x:c>
      <x:c r="N229" s="27" t="str">
        <x:f>IF(A229="","",IF(M229&gt;0,"Покрыт","Нет страницы/экрана"))</x:f>
      </x:c>
      <x:c r="O229" s="27" t="str">
        <x:f>IF(A229="","",MAX(0,MIN(100,ROUND(((J229*0.45)+(K229*0.35)-(L229*0.20))*20,0))))</x:f>
      </x:c>
      <x:c r="P229" s="27"/>
      <x:c r="Q229" s="27"/>
      <x:c r="R229" s="27"/>
      <x:c r="S229" s="27"/>
      <x:c r="T229" s="27"/>
      <x:c r="U229" s="27"/>
    </x:row>
    <x:row r="230">
      <x:c r="A230" s="27" t="str"/>
      <x:c r="B230" s="27" t="str"/>
      <x:c r="C230" s="27" t="str"/>
      <x:c r="D230" s="27" t="str"/>
      <x:c r="E230" s="27" t="str"/>
      <x:c r="F230" s="27" t="str"/>
      <x:c r="G230" s="27" t="str"/>
      <x:c r="H230" s="27" t="str"/>
      <x:c r="I230" s="27" t="str"/>
      <x:c r="J230" s="27" t="str"/>
      <x:c r="K230" s="27" t="str"/>
      <x:c r="L230" s="27" t="str"/>
      <x:c r="M230" s="27" t="str">
        <x:f>IF(A230="","",COUNTIF('Страницы_и_экраны'!$E$5:$E$304,A230))</x:f>
      </x:c>
      <x:c r="N230" s="27" t="str">
        <x:f>IF(A230="","",IF(M230&gt;0,"Покрыт","Нет страницы/экрана"))</x:f>
      </x:c>
      <x:c r="O230" s="27" t="str">
        <x:f>IF(A230="","",MAX(0,MIN(100,ROUND(((J230*0.45)+(K230*0.35)-(L230*0.20))*20,0))))</x:f>
      </x:c>
      <x:c r="P230" s="27"/>
      <x:c r="Q230" s="27"/>
      <x:c r="R230" s="27"/>
      <x:c r="S230" s="27"/>
      <x:c r="T230" s="27"/>
      <x:c r="U230" s="27"/>
    </x:row>
    <x:row r="231">
      <x:c r="A231" s="27" t="str"/>
      <x:c r="B231" s="27" t="str"/>
      <x:c r="C231" s="27" t="str"/>
      <x:c r="D231" s="27" t="str"/>
      <x:c r="E231" s="27" t="str"/>
      <x:c r="F231" s="27" t="str"/>
      <x:c r="G231" s="27" t="str"/>
      <x:c r="H231" s="27" t="str"/>
      <x:c r="I231" s="27" t="str"/>
      <x:c r="J231" s="27" t="str"/>
      <x:c r="K231" s="27" t="str"/>
      <x:c r="L231" s="27" t="str"/>
      <x:c r="M231" s="27" t="str">
        <x:f>IF(A231="","",COUNTIF('Страницы_и_экраны'!$E$5:$E$304,A231))</x:f>
      </x:c>
      <x:c r="N231" s="27" t="str">
        <x:f>IF(A231="","",IF(M231&gt;0,"Покрыт","Нет страницы/экрана"))</x:f>
      </x:c>
      <x:c r="O231" s="27" t="str">
        <x:f>IF(A231="","",MAX(0,MIN(100,ROUND(((J231*0.45)+(K231*0.35)-(L231*0.20))*20,0))))</x:f>
      </x:c>
      <x:c r="P231" s="27"/>
      <x:c r="Q231" s="27"/>
      <x:c r="R231" s="27"/>
      <x:c r="S231" s="27"/>
      <x:c r="T231" s="27"/>
      <x:c r="U231" s="27"/>
    </x:row>
    <x:row r="232">
      <x:c r="A232" s="27" t="str"/>
      <x:c r="B232" s="27" t="str"/>
      <x:c r="C232" s="27" t="str"/>
      <x:c r="D232" s="27" t="str"/>
      <x:c r="E232" s="27" t="str"/>
      <x:c r="F232" s="27" t="str"/>
      <x:c r="G232" s="27" t="str"/>
      <x:c r="H232" s="27" t="str"/>
      <x:c r="I232" s="27" t="str"/>
      <x:c r="J232" s="27" t="str"/>
      <x:c r="K232" s="27" t="str"/>
      <x:c r="L232" s="27" t="str"/>
      <x:c r="M232" s="27" t="str">
        <x:f>IF(A232="","",COUNTIF('Страницы_и_экраны'!$E$5:$E$304,A232))</x:f>
      </x:c>
      <x:c r="N232" s="27" t="str">
        <x:f>IF(A232="","",IF(M232&gt;0,"Покрыт","Нет страницы/экрана"))</x:f>
      </x:c>
      <x:c r="O232" s="27" t="str">
        <x:f>IF(A232="","",MAX(0,MIN(100,ROUND(((J232*0.45)+(K232*0.35)-(L232*0.20))*20,0))))</x:f>
      </x:c>
      <x:c r="P232" s="27"/>
      <x:c r="Q232" s="27"/>
      <x:c r="R232" s="27"/>
      <x:c r="S232" s="27"/>
      <x:c r="T232" s="27"/>
      <x:c r="U232" s="27"/>
    </x:row>
    <x:row r="233">
      <x:c r="A233" s="27" t="str"/>
      <x:c r="B233" s="27" t="str"/>
      <x:c r="C233" s="27" t="str"/>
      <x:c r="D233" s="27" t="str"/>
      <x:c r="E233" s="27" t="str"/>
      <x:c r="F233" s="27" t="str"/>
      <x:c r="G233" s="27" t="str"/>
      <x:c r="H233" s="27" t="str"/>
      <x:c r="I233" s="27" t="str"/>
      <x:c r="J233" s="27" t="str"/>
      <x:c r="K233" s="27" t="str"/>
      <x:c r="L233" s="27" t="str"/>
      <x:c r="M233" s="27" t="str">
        <x:f>IF(A233="","",COUNTIF('Страницы_и_экраны'!$E$5:$E$304,A233))</x:f>
      </x:c>
      <x:c r="N233" s="27" t="str">
        <x:f>IF(A233="","",IF(M233&gt;0,"Покрыт","Нет страницы/экрана"))</x:f>
      </x:c>
      <x:c r="O233" s="27" t="str">
        <x:f>IF(A233="","",MAX(0,MIN(100,ROUND(((J233*0.45)+(K233*0.35)-(L233*0.20))*20,0))))</x:f>
      </x:c>
      <x:c r="P233" s="27"/>
      <x:c r="Q233" s="27"/>
      <x:c r="R233" s="27"/>
      <x:c r="S233" s="27"/>
      <x:c r="T233" s="27"/>
      <x:c r="U233" s="27"/>
    </x:row>
    <x:row r="234">
      <x:c r="A234" s="27" t="str"/>
      <x:c r="B234" s="27" t="str"/>
      <x:c r="C234" s="27" t="str"/>
      <x:c r="D234" s="27" t="str"/>
      <x:c r="E234" s="27" t="str"/>
      <x:c r="F234" s="27" t="str"/>
      <x:c r="G234" s="27" t="str"/>
      <x:c r="H234" s="27" t="str"/>
      <x:c r="I234" s="27" t="str"/>
      <x:c r="J234" s="27" t="str"/>
      <x:c r="K234" s="27" t="str"/>
      <x:c r="L234" s="27" t="str"/>
      <x:c r="M234" s="27" t="str">
        <x:f>IF(A234="","",COUNTIF('Страницы_и_экраны'!$E$5:$E$304,A234))</x:f>
      </x:c>
      <x:c r="N234" s="27" t="str">
        <x:f>IF(A234="","",IF(M234&gt;0,"Покрыт","Нет страницы/экрана"))</x:f>
      </x:c>
      <x:c r="O234" s="27" t="str">
        <x:f>IF(A234="","",MAX(0,MIN(100,ROUND(((J234*0.45)+(K234*0.35)-(L234*0.20))*20,0))))</x:f>
      </x:c>
      <x:c r="P234" s="27"/>
      <x:c r="Q234" s="27"/>
      <x:c r="R234" s="27"/>
      <x:c r="S234" s="27"/>
      <x:c r="T234" s="27"/>
      <x:c r="U234" s="27"/>
    </x:row>
    <x:row r="235">
      <x:c r="A235" s="27" t="str"/>
      <x:c r="B235" s="27" t="str"/>
      <x:c r="C235" s="27" t="str"/>
      <x:c r="D235" s="27" t="str"/>
      <x:c r="E235" s="27" t="str"/>
      <x:c r="F235" s="27" t="str"/>
      <x:c r="G235" s="27" t="str"/>
      <x:c r="H235" s="27" t="str"/>
      <x:c r="I235" s="27" t="str"/>
      <x:c r="J235" s="27" t="str"/>
      <x:c r="K235" s="27" t="str"/>
      <x:c r="L235" s="27" t="str"/>
      <x:c r="M235" s="27" t="str">
        <x:f>IF(A235="","",COUNTIF('Страницы_и_экраны'!$E$5:$E$304,A235))</x:f>
      </x:c>
      <x:c r="N235" s="27" t="str">
        <x:f>IF(A235="","",IF(M235&gt;0,"Покрыт","Нет страницы/экрана"))</x:f>
      </x:c>
      <x:c r="O235" s="27" t="str">
        <x:f>IF(A235="","",MAX(0,MIN(100,ROUND(((J235*0.45)+(K235*0.35)-(L235*0.20))*20,0))))</x:f>
      </x:c>
      <x:c r="P235" s="27"/>
      <x:c r="Q235" s="27"/>
      <x:c r="R235" s="27"/>
      <x:c r="S235" s="27"/>
      <x:c r="T235" s="27"/>
      <x:c r="U235" s="27"/>
    </x:row>
    <x:row r="236">
      <x:c r="A236" s="27" t="str"/>
      <x:c r="B236" s="27" t="str"/>
      <x:c r="C236" s="27" t="str"/>
      <x:c r="D236" s="27" t="str"/>
      <x:c r="E236" s="27" t="str"/>
      <x:c r="F236" s="27" t="str"/>
      <x:c r="G236" s="27" t="str"/>
      <x:c r="H236" s="27" t="str"/>
      <x:c r="I236" s="27" t="str"/>
      <x:c r="J236" s="27" t="str"/>
      <x:c r="K236" s="27" t="str"/>
      <x:c r="L236" s="27" t="str"/>
      <x:c r="M236" s="27" t="str">
        <x:f>IF(A236="","",COUNTIF('Страницы_и_экраны'!$E$5:$E$304,A236))</x:f>
      </x:c>
      <x:c r="N236" s="27" t="str">
        <x:f>IF(A236="","",IF(M236&gt;0,"Покрыт","Нет страницы/экрана"))</x:f>
      </x:c>
      <x:c r="O236" s="27" t="str">
        <x:f>IF(A236="","",MAX(0,MIN(100,ROUND(((J236*0.45)+(K236*0.35)-(L236*0.20))*20,0))))</x:f>
      </x:c>
      <x:c r="P236" s="27"/>
      <x:c r="Q236" s="27"/>
      <x:c r="R236" s="27"/>
      <x:c r="S236" s="27"/>
      <x:c r="T236" s="27"/>
      <x:c r="U236" s="27"/>
    </x:row>
    <x:row r="237">
      <x:c r="A237" s="27" t="str"/>
      <x:c r="B237" s="27" t="str"/>
      <x:c r="C237" s="27" t="str"/>
      <x:c r="D237" s="27" t="str"/>
      <x:c r="E237" s="27" t="str"/>
      <x:c r="F237" s="27" t="str"/>
      <x:c r="G237" s="27" t="str"/>
      <x:c r="H237" s="27" t="str"/>
      <x:c r="I237" s="27" t="str"/>
      <x:c r="J237" s="27" t="str"/>
      <x:c r="K237" s="27" t="str"/>
      <x:c r="L237" s="27" t="str"/>
      <x:c r="M237" s="27" t="str">
        <x:f>IF(A237="","",COUNTIF('Страницы_и_экраны'!$E$5:$E$304,A237))</x:f>
      </x:c>
      <x:c r="N237" s="27" t="str">
        <x:f>IF(A237="","",IF(M237&gt;0,"Покрыт","Нет страницы/экрана"))</x:f>
      </x:c>
      <x:c r="O237" s="27" t="str">
        <x:f>IF(A237="","",MAX(0,MIN(100,ROUND(((J237*0.45)+(K237*0.35)-(L237*0.20))*20,0))))</x:f>
      </x:c>
      <x:c r="P237" s="27"/>
      <x:c r="Q237" s="27"/>
      <x:c r="R237" s="27"/>
      <x:c r="S237" s="27"/>
      <x:c r="T237" s="27"/>
      <x:c r="U237" s="27"/>
    </x:row>
    <x:row r="238">
      <x:c r="A238" s="27" t="str"/>
      <x:c r="B238" s="27" t="str"/>
      <x:c r="C238" s="27" t="str"/>
      <x:c r="D238" s="27" t="str"/>
      <x:c r="E238" s="27" t="str"/>
      <x:c r="F238" s="27" t="str"/>
      <x:c r="G238" s="27" t="str"/>
      <x:c r="H238" s="27" t="str"/>
      <x:c r="I238" s="27" t="str"/>
      <x:c r="J238" s="27" t="str"/>
      <x:c r="K238" s="27" t="str"/>
      <x:c r="L238" s="27" t="str"/>
      <x:c r="M238" s="27" t="str">
        <x:f>IF(A238="","",COUNTIF('Страницы_и_экраны'!$E$5:$E$304,A238))</x:f>
      </x:c>
      <x:c r="N238" s="27" t="str">
        <x:f>IF(A238="","",IF(M238&gt;0,"Покрыт","Нет страницы/экрана"))</x:f>
      </x:c>
      <x:c r="O238" s="27" t="str">
        <x:f>IF(A238="","",MAX(0,MIN(100,ROUND(((J238*0.45)+(K238*0.35)-(L238*0.20))*20,0))))</x:f>
      </x:c>
      <x:c r="P238" s="27"/>
      <x:c r="Q238" s="27"/>
      <x:c r="R238" s="27"/>
      <x:c r="S238" s="27"/>
      <x:c r="T238" s="27"/>
      <x:c r="U238" s="27"/>
    </x:row>
    <x:row r="239">
      <x:c r="A239" s="27" t="str"/>
      <x:c r="B239" s="27" t="str"/>
      <x:c r="C239" s="27" t="str"/>
      <x:c r="D239" s="27" t="str"/>
      <x:c r="E239" s="27" t="str"/>
      <x:c r="F239" s="27" t="str"/>
      <x:c r="G239" s="27" t="str"/>
      <x:c r="H239" s="27" t="str"/>
      <x:c r="I239" s="27" t="str"/>
      <x:c r="J239" s="27" t="str"/>
      <x:c r="K239" s="27" t="str"/>
      <x:c r="L239" s="27" t="str"/>
      <x:c r="M239" s="27" t="str">
        <x:f>IF(A239="","",COUNTIF('Страницы_и_экраны'!$E$5:$E$304,A239))</x:f>
      </x:c>
      <x:c r="N239" s="27" t="str">
        <x:f>IF(A239="","",IF(M239&gt;0,"Покрыт","Нет страницы/экрана"))</x:f>
      </x:c>
      <x:c r="O239" s="27" t="str">
        <x:f>IF(A239="","",MAX(0,MIN(100,ROUND(((J239*0.45)+(K239*0.35)-(L239*0.20))*20,0))))</x:f>
      </x:c>
      <x:c r="P239" s="27"/>
      <x:c r="Q239" s="27"/>
      <x:c r="R239" s="27"/>
      <x:c r="S239" s="27"/>
      <x:c r="T239" s="27"/>
      <x:c r="U239" s="27"/>
    </x:row>
    <x:row r="240">
      <x:c r="A240" s="27" t="str"/>
      <x:c r="B240" s="27" t="str"/>
      <x:c r="C240" s="27" t="str"/>
      <x:c r="D240" s="27" t="str"/>
      <x:c r="E240" s="27" t="str"/>
      <x:c r="F240" s="27" t="str"/>
      <x:c r="G240" s="27" t="str"/>
      <x:c r="H240" s="27" t="str"/>
      <x:c r="I240" s="27" t="str"/>
      <x:c r="J240" s="27" t="str"/>
      <x:c r="K240" s="27" t="str"/>
      <x:c r="L240" s="27" t="str"/>
      <x:c r="M240" s="27" t="str">
        <x:f>IF(A240="","",COUNTIF('Страницы_и_экраны'!$E$5:$E$304,A240))</x:f>
      </x:c>
      <x:c r="N240" s="27" t="str">
        <x:f>IF(A240="","",IF(M240&gt;0,"Покрыт","Нет страницы/экрана"))</x:f>
      </x:c>
      <x:c r="O240" s="27" t="str">
        <x:f>IF(A240="","",MAX(0,MIN(100,ROUND(((J240*0.45)+(K240*0.35)-(L240*0.20))*20,0))))</x:f>
      </x:c>
      <x:c r="P240" s="27"/>
      <x:c r="Q240" s="27"/>
      <x:c r="R240" s="27"/>
      <x:c r="S240" s="27"/>
      <x:c r="T240" s="27"/>
      <x:c r="U240" s="27"/>
    </x:row>
    <x:row r="241">
      <x:c r="A241" s="27" t="str"/>
      <x:c r="B241" s="27" t="str"/>
      <x:c r="C241" s="27" t="str"/>
      <x:c r="D241" s="27" t="str"/>
      <x:c r="E241" s="27" t="str"/>
      <x:c r="F241" s="27" t="str"/>
      <x:c r="G241" s="27" t="str"/>
      <x:c r="H241" s="27" t="str"/>
      <x:c r="I241" s="27" t="str"/>
      <x:c r="J241" s="27" t="str"/>
      <x:c r="K241" s="27" t="str"/>
      <x:c r="L241" s="27" t="str"/>
      <x:c r="M241" s="27" t="str">
        <x:f>IF(A241="","",COUNTIF('Страницы_и_экраны'!$E$5:$E$304,A241))</x:f>
      </x:c>
      <x:c r="N241" s="27" t="str">
        <x:f>IF(A241="","",IF(M241&gt;0,"Покрыт","Нет страницы/экрана"))</x:f>
      </x:c>
      <x:c r="O241" s="27" t="str">
        <x:f>IF(A241="","",MAX(0,MIN(100,ROUND(((J241*0.45)+(K241*0.35)-(L241*0.20))*20,0))))</x:f>
      </x:c>
      <x:c r="P241" s="27"/>
      <x:c r="Q241" s="27"/>
      <x:c r="R241" s="27"/>
      <x:c r="S241" s="27"/>
      <x:c r="T241" s="27"/>
      <x:c r="U241" s="27"/>
    </x:row>
    <x:row r="242">
      <x:c r="A242" s="27" t="str"/>
      <x:c r="B242" s="27" t="str"/>
      <x:c r="C242" s="27" t="str"/>
      <x:c r="D242" s="27" t="str"/>
      <x:c r="E242" s="27" t="str"/>
      <x:c r="F242" s="27" t="str"/>
      <x:c r="G242" s="27" t="str"/>
      <x:c r="H242" s="27" t="str"/>
      <x:c r="I242" s="27" t="str"/>
      <x:c r="J242" s="27" t="str"/>
      <x:c r="K242" s="27" t="str"/>
      <x:c r="L242" s="27" t="str"/>
      <x:c r="M242" s="27" t="str">
        <x:f>IF(A242="","",COUNTIF('Страницы_и_экраны'!$E$5:$E$304,A242))</x:f>
      </x:c>
      <x:c r="N242" s="27" t="str">
        <x:f>IF(A242="","",IF(M242&gt;0,"Покрыт","Нет страницы/экрана"))</x:f>
      </x:c>
      <x:c r="O242" s="27" t="str">
        <x:f>IF(A242="","",MAX(0,MIN(100,ROUND(((J242*0.45)+(K242*0.35)-(L242*0.20))*20,0))))</x:f>
      </x:c>
      <x:c r="P242" s="27"/>
      <x:c r="Q242" s="27"/>
      <x:c r="R242" s="27"/>
      <x:c r="S242" s="27"/>
      <x:c r="T242" s="27"/>
      <x:c r="U242" s="27"/>
    </x:row>
    <x:row r="243">
      <x:c r="A243" s="27" t="str"/>
      <x:c r="B243" s="27" t="str"/>
      <x:c r="C243" s="27" t="str"/>
      <x:c r="D243" s="27" t="str"/>
      <x:c r="E243" s="27" t="str"/>
      <x:c r="F243" s="27" t="str"/>
      <x:c r="G243" s="27" t="str"/>
      <x:c r="H243" s="27" t="str"/>
      <x:c r="I243" s="27" t="str"/>
      <x:c r="J243" s="27" t="str"/>
      <x:c r="K243" s="27" t="str"/>
      <x:c r="L243" s="27" t="str"/>
      <x:c r="M243" s="27" t="str">
        <x:f>IF(A243="","",COUNTIF('Страницы_и_экраны'!$E$5:$E$304,A243))</x:f>
      </x:c>
      <x:c r="N243" s="27" t="str">
        <x:f>IF(A243="","",IF(M243&gt;0,"Покрыт","Нет страницы/экрана"))</x:f>
      </x:c>
      <x:c r="O243" s="27" t="str">
        <x:f>IF(A243="","",MAX(0,MIN(100,ROUND(((J243*0.45)+(K243*0.35)-(L243*0.20))*20,0))))</x:f>
      </x:c>
      <x:c r="P243" s="27"/>
      <x:c r="Q243" s="27"/>
      <x:c r="R243" s="27"/>
      <x:c r="S243" s="27"/>
      <x:c r="T243" s="27"/>
      <x:c r="U243" s="27"/>
    </x:row>
    <x:row r="244">
      <x:c r="A244" s="27" t="str"/>
      <x:c r="B244" s="27" t="str"/>
      <x:c r="C244" s="27" t="str"/>
      <x:c r="D244" s="27" t="str"/>
      <x:c r="E244" s="27" t="str"/>
      <x:c r="F244" s="27" t="str"/>
      <x:c r="G244" s="27" t="str"/>
      <x:c r="H244" s="27" t="str"/>
      <x:c r="I244" s="27" t="str"/>
      <x:c r="J244" s="27" t="str"/>
      <x:c r="K244" s="27" t="str"/>
      <x:c r="L244" s="27" t="str"/>
      <x:c r="M244" s="27" t="str">
        <x:f>IF(A244="","",COUNTIF('Страницы_и_экраны'!$E$5:$E$304,A244))</x:f>
      </x:c>
      <x:c r="N244" s="27" t="str">
        <x:f>IF(A244="","",IF(M244&gt;0,"Покрыт","Нет страницы/экрана"))</x:f>
      </x:c>
      <x:c r="O244" s="27" t="str">
        <x:f>IF(A244="","",MAX(0,MIN(100,ROUND(((J244*0.45)+(K244*0.35)-(L244*0.20))*20,0))))</x:f>
      </x:c>
      <x:c r="P244" s="27"/>
      <x:c r="Q244" s="27"/>
      <x:c r="R244" s="27"/>
      <x:c r="S244" s="27"/>
      <x:c r="T244" s="27"/>
      <x:c r="U244" s="27"/>
    </x:row>
    <x:row r="245">
      <x:c r="A245" s="27" t="str"/>
      <x:c r="B245" s="27" t="str"/>
      <x:c r="C245" s="27" t="str"/>
      <x:c r="D245" s="27" t="str"/>
      <x:c r="E245" s="27" t="str"/>
      <x:c r="F245" s="27" t="str"/>
      <x:c r="G245" s="27" t="str"/>
      <x:c r="H245" s="27" t="str"/>
      <x:c r="I245" s="27" t="str"/>
      <x:c r="J245" s="27" t="str"/>
      <x:c r="K245" s="27" t="str"/>
      <x:c r="L245" s="27" t="str"/>
      <x:c r="M245" s="27" t="str">
        <x:f>IF(A245="","",COUNTIF('Страницы_и_экраны'!$E$5:$E$304,A245))</x:f>
      </x:c>
      <x:c r="N245" s="27" t="str">
        <x:f>IF(A245="","",IF(M245&gt;0,"Покрыт","Нет страницы/экрана"))</x:f>
      </x:c>
      <x:c r="O245" s="27" t="str">
        <x:f>IF(A245="","",MAX(0,MIN(100,ROUND(((J245*0.45)+(K245*0.35)-(L245*0.20))*20,0))))</x:f>
      </x:c>
      <x:c r="P245" s="27"/>
      <x:c r="Q245" s="27"/>
      <x:c r="R245" s="27"/>
      <x:c r="S245" s="27"/>
      <x:c r="T245" s="27"/>
      <x:c r="U245" s="27"/>
    </x:row>
    <x:row r="246">
      <x:c r="A246" s="27" t="str"/>
      <x:c r="B246" s="27" t="str"/>
      <x:c r="C246" s="27" t="str"/>
      <x:c r="D246" s="27" t="str"/>
      <x:c r="E246" s="27" t="str"/>
      <x:c r="F246" s="27" t="str"/>
      <x:c r="G246" s="27" t="str"/>
      <x:c r="H246" s="27" t="str"/>
      <x:c r="I246" s="27" t="str"/>
      <x:c r="J246" s="27" t="str"/>
      <x:c r="K246" s="27" t="str"/>
      <x:c r="L246" s="27" t="str"/>
      <x:c r="M246" s="27" t="str">
        <x:f>IF(A246="","",COUNTIF('Страницы_и_экраны'!$E$5:$E$304,A246))</x:f>
      </x:c>
      <x:c r="N246" s="27" t="str">
        <x:f>IF(A246="","",IF(M246&gt;0,"Покрыт","Нет страницы/экрана"))</x:f>
      </x:c>
      <x:c r="O246" s="27" t="str">
        <x:f>IF(A246="","",MAX(0,MIN(100,ROUND(((J246*0.45)+(K246*0.35)-(L246*0.20))*20,0))))</x:f>
      </x:c>
      <x:c r="P246" s="27"/>
      <x:c r="Q246" s="27"/>
      <x:c r="R246" s="27"/>
      <x:c r="S246" s="27"/>
      <x:c r="T246" s="27"/>
      <x:c r="U246" s="27"/>
    </x:row>
    <x:row r="247">
      <x:c r="A247" s="27" t="str"/>
      <x:c r="B247" s="27" t="str"/>
      <x:c r="C247" s="27" t="str"/>
      <x:c r="D247" s="27" t="str"/>
      <x:c r="E247" s="27" t="str"/>
      <x:c r="F247" s="27" t="str"/>
      <x:c r="G247" s="27" t="str"/>
      <x:c r="H247" s="27" t="str"/>
      <x:c r="I247" s="27" t="str"/>
      <x:c r="J247" s="27" t="str"/>
      <x:c r="K247" s="27" t="str"/>
      <x:c r="L247" s="27" t="str"/>
      <x:c r="M247" s="27" t="str">
        <x:f>IF(A247="","",COUNTIF('Страницы_и_экраны'!$E$5:$E$304,A247))</x:f>
      </x:c>
      <x:c r="N247" s="27" t="str">
        <x:f>IF(A247="","",IF(M247&gt;0,"Покрыт","Нет страницы/экрана"))</x:f>
      </x:c>
      <x:c r="O247" s="27" t="str">
        <x:f>IF(A247="","",MAX(0,MIN(100,ROUND(((J247*0.45)+(K247*0.35)-(L247*0.20))*20,0))))</x:f>
      </x:c>
      <x:c r="P247" s="27"/>
      <x:c r="Q247" s="27"/>
      <x:c r="R247" s="27"/>
      <x:c r="S247" s="27"/>
      <x:c r="T247" s="27"/>
      <x:c r="U247" s="27"/>
    </x:row>
    <x:row r="248">
      <x:c r="A248" s="27" t="str"/>
      <x:c r="B248" s="27" t="str"/>
      <x:c r="C248" s="27" t="str"/>
      <x:c r="D248" s="27" t="str"/>
      <x:c r="E248" s="27" t="str"/>
      <x:c r="F248" s="27" t="str"/>
      <x:c r="G248" s="27" t="str"/>
      <x:c r="H248" s="27" t="str"/>
      <x:c r="I248" s="27" t="str"/>
      <x:c r="J248" s="27" t="str"/>
      <x:c r="K248" s="27" t="str"/>
      <x:c r="L248" s="27" t="str"/>
      <x:c r="M248" s="27" t="str">
        <x:f>IF(A248="","",COUNTIF('Страницы_и_экраны'!$E$5:$E$304,A248))</x:f>
      </x:c>
      <x:c r="N248" s="27" t="str">
        <x:f>IF(A248="","",IF(M248&gt;0,"Покрыт","Нет страницы/экрана"))</x:f>
      </x:c>
      <x:c r="O248" s="27" t="str">
        <x:f>IF(A248="","",MAX(0,MIN(100,ROUND(((J248*0.45)+(K248*0.35)-(L248*0.20))*20,0))))</x:f>
      </x:c>
      <x:c r="P248" s="27"/>
      <x:c r="Q248" s="27"/>
      <x:c r="R248" s="27"/>
      <x:c r="S248" s="27"/>
      <x:c r="T248" s="27"/>
      <x:c r="U248" s="27"/>
    </x:row>
    <x:row r="249">
      <x:c r="A249" s="27" t="str"/>
      <x:c r="B249" s="27" t="str"/>
      <x:c r="C249" s="27" t="str"/>
      <x:c r="D249" s="27" t="str"/>
      <x:c r="E249" s="27" t="str"/>
      <x:c r="F249" s="27" t="str"/>
      <x:c r="G249" s="27" t="str"/>
      <x:c r="H249" s="27" t="str"/>
      <x:c r="I249" s="27" t="str"/>
      <x:c r="J249" s="27" t="str"/>
      <x:c r="K249" s="27" t="str"/>
      <x:c r="L249" s="27" t="str"/>
      <x:c r="M249" s="27" t="str">
        <x:f>IF(A249="","",COUNTIF('Страницы_и_экраны'!$E$5:$E$304,A249))</x:f>
      </x:c>
      <x:c r="N249" s="27" t="str">
        <x:f>IF(A249="","",IF(M249&gt;0,"Покрыт","Нет страницы/экрана"))</x:f>
      </x:c>
      <x:c r="O249" s="27" t="str">
        <x:f>IF(A249="","",MAX(0,MIN(100,ROUND(((J249*0.45)+(K249*0.35)-(L249*0.20))*20,0))))</x:f>
      </x:c>
      <x:c r="P249" s="27"/>
      <x:c r="Q249" s="27"/>
      <x:c r="R249" s="27"/>
      <x:c r="S249" s="27"/>
      <x:c r="T249" s="27"/>
      <x:c r="U249" s="27"/>
    </x:row>
    <x:row r="250">
      <x:c r="A250" s="27" t="str"/>
      <x:c r="B250" s="27" t="str"/>
      <x:c r="C250" s="27" t="str"/>
      <x:c r="D250" s="27" t="str"/>
      <x:c r="E250" s="27" t="str"/>
      <x:c r="F250" s="27" t="str"/>
      <x:c r="G250" s="27" t="str"/>
      <x:c r="H250" s="27" t="str"/>
      <x:c r="I250" s="27" t="str"/>
      <x:c r="J250" s="27" t="str"/>
      <x:c r="K250" s="27" t="str"/>
      <x:c r="L250" s="27" t="str"/>
      <x:c r="M250" s="27" t="str">
        <x:f>IF(A250="","",COUNTIF('Страницы_и_экраны'!$E$5:$E$304,A250))</x:f>
      </x:c>
      <x:c r="N250" s="27" t="str">
        <x:f>IF(A250="","",IF(M250&gt;0,"Покрыт","Нет страницы/экрана"))</x:f>
      </x:c>
      <x:c r="O250" s="27" t="str">
        <x:f>IF(A250="","",MAX(0,MIN(100,ROUND(((J250*0.45)+(K250*0.35)-(L250*0.20))*20,0))))</x:f>
      </x:c>
      <x:c r="P250" s="27"/>
      <x:c r="Q250" s="27"/>
      <x:c r="R250" s="27"/>
      <x:c r="S250" s="27"/>
      <x:c r="T250" s="27"/>
      <x:c r="U250" s="27"/>
    </x:row>
    <x:row r="251">
      <x:c r="A251" s="27" t="str"/>
      <x:c r="B251" s="27" t="str"/>
      <x:c r="C251" s="27" t="str"/>
      <x:c r="D251" s="27" t="str"/>
      <x:c r="E251" s="27" t="str"/>
      <x:c r="F251" s="27" t="str"/>
      <x:c r="G251" s="27" t="str"/>
      <x:c r="H251" s="27" t="str"/>
      <x:c r="I251" s="27" t="str"/>
      <x:c r="J251" s="27" t="str"/>
      <x:c r="K251" s="27" t="str"/>
      <x:c r="L251" s="27" t="str"/>
      <x:c r="M251" s="27" t="str">
        <x:f>IF(A251="","",COUNTIF('Страницы_и_экраны'!$E$5:$E$304,A251))</x:f>
      </x:c>
      <x:c r="N251" s="27" t="str">
        <x:f>IF(A251="","",IF(M251&gt;0,"Покрыт","Нет страницы/экрана"))</x:f>
      </x:c>
      <x:c r="O251" s="27" t="str">
        <x:f>IF(A251="","",MAX(0,MIN(100,ROUND(((J251*0.45)+(K251*0.35)-(L251*0.20))*20,0))))</x:f>
      </x:c>
      <x:c r="P251" s="27"/>
      <x:c r="Q251" s="27"/>
      <x:c r="R251" s="27"/>
      <x:c r="S251" s="27"/>
      <x:c r="T251" s="27"/>
      <x:c r="U251" s="27"/>
    </x:row>
    <x:row r="252">
      <x:c r="A252" s="27" t="str"/>
      <x:c r="B252" s="27" t="str"/>
      <x:c r="C252" s="27" t="str"/>
      <x:c r="D252" s="27" t="str"/>
      <x:c r="E252" s="27" t="str"/>
      <x:c r="F252" s="27" t="str"/>
      <x:c r="G252" s="27" t="str"/>
      <x:c r="H252" s="27" t="str"/>
      <x:c r="I252" s="27" t="str"/>
      <x:c r="J252" s="27" t="str"/>
      <x:c r="K252" s="27" t="str"/>
      <x:c r="L252" s="27" t="str"/>
      <x:c r="M252" s="27" t="str">
        <x:f>IF(A252="","",COUNTIF('Страницы_и_экраны'!$E$5:$E$304,A252))</x:f>
      </x:c>
      <x:c r="N252" s="27" t="str">
        <x:f>IF(A252="","",IF(M252&gt;0,"Покрыт","Нет страницы/экрана"))</x:f>
      </x:c>
      <x:c r="O252" s="27" t="str">
        <x:f>IF(A252="","",MAX(0,MIN(100,ROUND(((J252*0.45)+(K252*0.35)-(L252*0.20))*20,0))))</x:f>
      </x:c>
      <x:c r="P252" s="27"/>
      <x:c r="Q252" s="27"/>
      <x:c r="R252" s="27"/>
      <x:c r="S252" s="27"/>
      <x:c r="T252" s="27"/>
      <x:c r="U252" s="27"/>
    </x:row>
    <x:row r="253">
      <x:c r="A253" s="27" t="str"/>
      <x:c r="B253" s="27" t="str"/>
      <x:c r="C253" s="27" t="str"/>
      <x:c r="D253" s="27" t="str"/>
      <x:c r="E253" s="27" t="str"/>
      <x:c r="F253" s="27" t="str"/>
      <x:c r="G253" s="27" t="str"/>
      <x:c r="H253" s="27" t="str"/>
      <x:c r="I253" s="27" t="str"/>
      <x:c r="J253" s="27" t="str"/>
      <x:c r="K253" s="27" t="str"/>
      <x:c r="L253" s="27" t="str"/>
      <x:c r="M253" s="27" t="str">
        <x:f>IF(A253="","",COUNTIF('Страницы_и_экраны'!$E$5:$E$304,A253))</x:f>
      </x:c>
      <x:c r="N253" s="27" t="str">
        <x:f>IF(A253="","",IF(M253&gt;0,"Покрыт","Нет страницы/экрана"))</x:f>
      </x:c>
      <x:c r="O253" s="27" t="str">
        <x:f>IF(A253="","",MAX(0,MIN(100,ROUND(((J253*0.45)+(K253*0.35)-(L253*0.20))*20,0))))</x:f>
      </x:c>
      <x:c r="P253" s="27"/>
      <x:c r="Q253" s="27"/>
      <x:c r="R253" s="27"/>
      <x:c r="S253" s="27"/>
      <x:c r="T253" s="27"/>
      <x:c r="U253" s="27"/>
    </x:row>
    <x:row r="254">
      <x:c r="A254" s="27" t="str"/>
      <x:c r="B254" s="27" t="str"/>
      <x:c r="C254" s="27" t="str"/>
      <x:c r="D254" s="27" t="str"/>
      <x:c r="E254" s="27" t="str"/>
      <x:c r="F254" s="27" t="str"/>
      <x:c r="G254" s="27" t="str"/>
      <x:c r="H254" s="27" t="str"/>
      <x:c r="I254" s="27" t="str"/>
      <x:c r="J254" s="27" t="str"/>
      <x:c r="K254" s="27" t="str"/>
      <x:c r="L254" s="27" t="str"/>
      <x:c r="M254" s="27" t="str">
        <x:f>IF(A254="","",COUNTIF('Страницы_и_экраны'!$E$5:$E$304,A254))</x:f>
      </x:c>
      <x:c r="N254" s="27" t="str">
        <x:f>IF(A254="","",IF(M254&gt;0,"Покрыт","Нет страницы/экрана"))</x:f>
      </x:c>
      <x:c r="O254" s="27" t="str">
        <x:f>IF(A254="","",MAX(0,MIN(100,ROUND(((J254*0.45)+(K254*0.35)-(L254*0.20))*20,0))))</x:f>
      </x:c>
      <x:c r="P254" s="27"/>
      <x:c r="Q254" s="27"/>
      <x:c r="R254" s="27"/>
      <x:c r="S254" s="27"/>
      <x:c r="T254" s="27"/>
      <x:c r="U254" s="27"/>
    </x:row>
    <x:row r="255">
      <x:c r="A255" s="27" t="str"/>
      <x:c r="B255" s="27" t="str"/>
      <x:c r="C255" s="27" t="str"/>
      <x:c r="D255" s="27" t="str"/>
      <x:c r="E255" s="27" t="str"/>
      <x:c r="F255" s="27" t="str"/>
      <x:c r="G255" s="27" t="str"/>
      <x:c r="H255" s="27" t="str"/>
      <x:c r="I255" s="27" t="str"/>
      <x:c r="J255" s="27" t="str"/>
      <x:c r="K255" s="27" t="str"/>
      <x:c r="L255" s="27" t="str"/>
      <x:c r="M255" s="27" t="str">
        <x:f>IF(A255="","",COUNTIF('Страницы_и_экраны'!$E$5:$E$304,A255))</x:f>
      </x:c>
      <x:c r="N255" s="27" t="str">
        <x:f>IF(A255="","",IF(M255&gt;0,"Покрыт","Нет страницы/экрана"))</x:f>
      </x:c>
      <x:c r="O255" s="27" t="str">
        <x:f>IF(A255="","",MAX(0,MIN(100,ROUND(((J255*0.45)+(K255*0.35)-(L255*0.20))*20,0))))</x:f>
      </x:c>
      <x:c r="P255" s="27"/>
      <x:c r="Q255" s="27"/>
      <x:c r="R255" s="27"/>
      <x:c r="S255" s="27"/>
      <x:c r="T255" s="27"/>
      <x:c r="U255" s="27"/>
    </x:row>
    <x:row r="256">
      <x:c r="A256" s="27" t="str"/>
      <x:c r="B256" s="27" t="str"/>
      <x:c r="C256" s="27" t="str"/>
      <x:c r="D256" s="27" t="str"/>
      <x:c r="E256" s="27" t="str"/>
      <x:c r="F256" s="27" t="str"/>
      <x:c r="G256" s="27" t="str"/>
      <x:c r="H256" s="27" t="str"/>
      <x:c r="I256" s="27" t="str"/>
      <x:c r="J256" s="27" t="str"/>
      <x:c r="K256" s="27" t="str"/>
      <x:c r="L256" s="27" t="str"/>
      <x:c r="M256" s="27" t="str">
        <x:f>IF(A256="","",COUNTIF('Страницы_и_экраны'!$E$5:$E$304,A256))</x:f>
      </x:c>
      <x:c r="N256" s="27" t="str">
        <x:f>IF(A256="","",IF(M256&gt;0,"Покрыт","Нет страницы/экрана"))</x:f>
      </x:c>
      <x:c r="O256" s="27" t="str">
        <x:f>IF(A256="","",MAX(0,MIN(100,ROUND(((J256*0.45)+(K256*0.35)-(L256*0.20))*20,0))))</x:f>
      </x:c>
      <x:c r="P256" s="27"/>
      <x:c r="Q256" s="27"/>
      <x:c r="R256" s="27"/>
      <x:c r="S256" s="27"/>
      <x:c r="T256" s="27"/>
      <x:c r="U256" s="27"/>
    </x:row>
    <x:row r="257">
      <x:c r="A257" s="27" t="str"/>
      <x:c r="B257" s="27" t="str"/>
      <x:c r="C257" s="27" t="str"/>
      <x:c r="D257" s="27" t="str"/>
      <x:c r="E257" s="27" t="str"/>
      <x:c r="F257" s="27" t="str"/>
      <x:c r="G257" s="27" t="str"/>
      <x:c r="H257" s="27" t="str"/>
      <x:c r="I257" s="27" t="str"/>
      <x:c r="J257" s="27" t="str"/>
      <x:c r="K257" s="27" t="str"/>
      <x:c r="L257" s="27" t="str"/>
      <x:c r="M257" s="27" t="str">
        <x:f>IF(A257="","",COUNTIF('Страницы_и_экраны'!$E$5:$E$304,A257))</x:f>
      </x:c>
      <x:c r="N257" s="27" t="str">
        <x:f>IF(A257="","",IF(M257&gt;0,"Покрыт","Нет страницы/экрана"))</x:f>
      </x:c>
      <x:c r="O257" s="27" t="str">
        <x:f>IF(A257="","",MAX(0,MIN(100,ROUND(((J257*0.45)+(K257*0.35)-(L257*0.20))*20,0))))</x:f>
      </x:c>
      <x:c r="P257" s="27"/>
      <x:c r="Q257" s="27"/>
      <x:c r="R257" s="27"/>
      <x:c r="S257" s="27"/>
      <x:c r="T257" s="27"/>
      <x:c r="U257" s="27"/>
    </x:row>
    <x:row r="258">
      <x:c r="A258" s="27" t="str"/>
      <x:c r="B258" s="27" t="str"/>
      <x:c r="C258" s="27" t="str"/>
      <x:c r="D258" s="27" t="str"/>
      <x:c r="E258" s="27" t="str"/>
      <x:c r="F258" s="27" t="str"/>
      <x:c r="G258" s="27" t="str"/>
      <x:c r="H258" s="27" t="str"/>
      <x:c r="I258" s="27" t="str"/>
      <x:c r="J258" s="27" t="str"/>
      <x:c r="K258" s="27" t="str"/>
      <x:c r="L258" s="27" t="str"/>
      <x:c r="M258" s="27" t="str">
        <x:f>IF(A258="","",COUNTIF('Страницы_и_экраны'!$E$5:$E$304,A258))</x:f>
      </x:c>
      <x:c r="N258" s="27" t="str">
        <x:f>IF(A258="","",IF(M258&gt;0,"Покрыт","Нет страницы/экрана"))</x:f>
      </x:c>
      <x:c r="O258" s="27" t="str">
        <x:f>IF(A258="","",MAX(0,MIN(100,ROUND(((J258*0.45)+(K258*0.35)-(L258*0.20))*20,0))))</x:f>
      </x:c>
      <x:c r="P258" s="27"/>
      <x:c r="Q258" s="27"/>
      <x:c r="R258" s="27"/>
      <x:c r="S258" s="27"/>
      <x:c r="T258" s="27"/>
      <x:c r="U258" s="27"/>
    </x:row>
    <x:row r="259">
      <x:c r="A259" s="27" t="str"/>
      <x:c r="B259" s="27" t="str"/>
      <x:c r="C259" s="27" t="str"/>
      <x:c r="D259" s="27" t="str"/>
      <x:c r="E259" s="27" t="str"/>
      <x:c r="F259" s="27" t="str"/>
      <x:c r="G259" s="27" t="str"/>
      <x:c r="H259" s="27" t="str"/>
      <x:c r="I259" s="27" t="str"/>
      <x:c r="J259" s="27" t="str"/>
      <x:c r="K259" s="27" t="str"/>
      <x:c r="L259" s="27" t="str"/>
      <x:c r="M259" s="27" t="str">
        <x:f>IF(A259="","",COUNTIF('Страницы_и_экраны'!$E$5:$E$304,A259))</x:f>
      </x:c>
      <x:c r="N259" s="27" t="str">
        <x:f>IF(A259="","",IF(M259&gt;0,"Покрыт","Нет страницы/экрана"))</x:f>
      </x:c>
      <x:c r="O259" s="27" t="str">
        <x:f>IF(A259="","",MAX(0,MIN(100,ROUND(((J259*0.45)+(K259*0.35)-(L259*0.20))*20,0))))</x:f>
      </x:c>
      <x:c r="P259" s="27"/>
      <x:c r="Q259" s="27"/>
      <x:c r="R259" s="27"/>
      <x:c r="S259" s="27"/>
      <x:c r="T259" s="27"/>
      <x:c r="U259" s="27"/>
    </x:row>
    <x:row r="260">
      <x:c r="A260" s="27" t="str"/>
      <x:c r="B260" s="27" t="str"/>
      <x:c r="C260" s="27" t="str"/>
      <x:c r="D260" s="27" t="str"/>
      <x:c r="E260" s="27" t="str"/>
      <x:c r="F260" s="27" t="str"/>
      <x:c r="G260" s="27" t="str"/>
      <x:c r="H260" s="27" t="str"/>
      <x:c r="I260" s="27" t="str"/>
      <x:c r="J260" s="27" t="str"/>
      <x:c r="K260" s="27" t="str"/>
      <x:c r="L260" s="27" t="str"/>
      <x:c r="M260" s="27" t="str">
        <x:f>IF(A260="","",COUNTIF('Страницы_и_экраны'!$E$5:$E$304,A260))</x:f>
      </x:c>
      <x:c r="N260" s="27" t="str">
        <x:f>IF(A260="","",IF(M260&gt;0,"Покрыт","Нет страницы/экрана"))</x:f>
      </x:c>
      <x:c r="O260" s="27" t="str">
        <x:f>IF(A260="","",MAX(0,MIN(100,ROUND(((J260*0.45)+(K260*0.35)-(L260*0.20))*20,0))))</x:f>
      </x:c>
      <x:c r="P260" s="27"/>
      <x:c r="Q260" s="27"/>
      <x:c r="R260" s="27"/>
      <x:c r="S260" s="27"/>
      <x:c r="T260" s="27"/>
      <x:c r="U260" s="27"/>
    </x:row>
    <x:row r="261">
      <x:c r="A261" s="27" t="str"/>
      <x:c r="B261" s="27" t="str"/>
      <x:c r="C261" s="27" t="str"/>
      <x:c r="D261" s="27" t="str"/>
      <x:c r="E261" s="27" t="str"/>
      <x:c r="F261" s="27" t="str"/>
      <x:c r="G261" s="27" t="str"/>
      <x:c r="H261" s="27" t="str"/>
      <x:c r="I261" s="27" t="str"/>
      <x:c r="J261" s="27" t="str"/>
      <x:c r="K261" s="27" t="str"/>
      <x:c r="L261" s="27" t="str"/>
      <x:c r="M261" s="27" t="str">
        <x:f>IF(A261="","",COUNTIF('Страницы_и_экраны'!$E$5:$E$304,A261))</x:f>
      </x:c>
      <x:c r="N261" s="27" t="str">
        <x:f>IF(A261="","",IF(M261&gt;0,"Покрыт","Нет страницы/экрана"))</x:f>
      </x:c>
      <x:c r="O261" s="27" t="str">
        <x:f>IF(A261="","",MAX(0,MIN(100,ROUND(((J261*0.45)+(K261*0.35)-(L261*0.20))*20,0))))</x:f>
      </x:c>
      <x:c r="P261" s="27"/>
      <x:c r="Q261" s="27"/>
      <x:c r="R261" s="27"/>
      <x:c r="S261" s="27"/>
      <x:c r="T261" s="27"/>
      <x:c r="U261" s="27"/>
    </x:row>
    <x:row r="262">
      <x:c r="A262" s="27" t="str"/>
      <x:c r="B262" s="27" t="str"/>
      <x:c r="C262" s="27" t="str"/>
      <x:c r="D262" s="27" t="str"/>
      <x:c r="E262" s="27" t="str"/>
      <x:c r="F262" s="27" t="str"/>
      <x:c r="G262" s="27" t="str"/>
      <x:c r="H262" s="27" t="str"/>
      <x:c r="I262" s="27" t="str"/>
      <x:c r="J262" s="27" t="str"/>
      <x:c r="K262" s="27" t="str"/>
      <x:c r="L262" s="27" t="str"/>
      <x:c r="M262" s="27" t="str">
        <x:f>IF(A262="","",COUNTIF('Страницы_и_экраны'!$E$5:$E$304,A262))</x:f>
      </x:c>
      <x:c r="N262" s="27" t="str">
        <x:f>IF(A262="","",IF(M262&gt;0,"Покрыт","Нет страницы/экрана"))</x:f>
      </x:c>
      <x:c r="O262" s="27" t="str">
        <x:f>IF(A262="","",MAX(0,MIN(100,ROUND(((J262*0.45)+(K262*0.35)-(L262*0.20))*20,0))))</x:f>
      </x:c>
      <x:c r="P262" s="27"/>
      <x:c r="Q262" s="27"/>
      <x:c r="R262" s="27"/>
      <x:c r="S262" s="27"/>
      <x:c r="T262" s="27"/>
      <x:c r="U262" s="27"/>
    </x:row>
    <x:row r="263">
      <x:c r="A263" s="27" t="str"/>
      <x:c r="B263" s="27" t="str"/>
      <x:c r="C263" s="27" t="str"/>
      <x:c r="D263" s="27" t="str"/>
      <x:c r="E263" s="27" t="str"/>
      <x:c r="F263" s="27" t="str"/>
      <x:c r="G263" s="27" t="str"/>
      <x:c r="H263" s="27" t="str"/>
      <x:c r="I263" s="27" t="str"/>
      <x:c r="J263" s="27" t="str"/>
      <x:c r="K263" s="27" t="str"/>
      <x:c r="L263" s="27" t="str"/>
      <x:c r="M263" s="27" t="str">
        <x:f>IF(A263="","",COUNTIF('Страницы_и_экраны'!$E$5:$E$304,A263))</x:f>
      </x:c>
      <x:c r="N263" s="27" t="str">
        <x:f>IF(A263="","",IF(M263&gt;0,"Покрыт","Нет страницы/экрана"))</x:f>
      </x:c>
      <x:c r="O263" s="27" t="str">
        <x:f>IF(A263="","",MAX(0,MIN(100,ROUND(((J263*0.45)+(K263*0.35)-(L263*0.20))*20,0))))</x:f>
      </x:c>
      <x:c r="P263" s="27"/>
      <x:c r="Q263" s="27"/>
      <x:c r="R263" s="27"/>
      <x:c r="S263" s="27"/>
      <x:c r="T263" s="27"/>
      <x:c r="U263" s="27"/>
    </x:row>
    <x:row r="264">
      <x:c r="A264" s="27" t="str"/>
      <x:c r="B264" s="27" t="str"/>
      <x:c r="C264" s="27" t="str"/>
      <x:c r="D264" s="27" t="str"/>
      <x:c r="E264" s="27" t="str"/>
      <x:c r="F264" s="27" t="str"/>
      <x:c r="G264" s="27" t="str"/>
      <x:c r="H264" s="27" t="str"/>
      <x:c r="I264" s="27" t="str"/>
      <x:c r="J264" s="27" t="str"/>
      <x:c r="K264" s="27" t="str"/>
      <x:c r="L264" s="27" t="str"/>
      <x:c r="M264" s="27" t="str">
        <x:f>IF(A264="","",COUNTIF('Страницы_и_экраны'!$E$5:$E$304,A264))</x:f>
      </x:c>
      <x:c r="N264" s="27" t="str">
        <x:f>IF(A264="","",IF(M264&gt;0,"Покрыт","Нет страницы/экрана"))</x:f>
      </x:c>
      <x:c r="O264" s="27" t="str">
        <x:f>IF(A264="","",MAX(0,MIN(100,ROUND(((J264*0.45)+(K264*0.35)-(L264*0.20))*20,0))))</x:f>
      </x:c>
      <x:c r="P264" s="27"/>
      <x:c r="Q264" s="27"/>
      <x:c r="R264" s="27"/>
      <x:c r="S264" s="27"/>
      <x:c r="T264" s="27"/>
      <x:c r="U264" s="27"/>
    </x:row>
    <x:row r="265">
      <x:c r="A265" s="27" t="str"/>
      <x:c r="B265" s="27" t="str"/>
      <x:c r="C265" s="27" t="str"/>
      <x:c r="D265" s="27" t="str"/>
      <x:c r="E265" s="27" t="str"/>
      <x:c r="F265" s="27" t="str"/>
      <x:c r="G265" s="27" t="str"/>
      <x:c r="H265" s="27" t="str"/>
      <x:c r="I265" s="27" t="str"/>
      <x:c r="J265" s="27" t="str"/>
      <x:c r="K265" s="27" t="str"/>
      <x:c r="L265" s="27" t="str"/>
      <x:c r="M265" s="27" t="str">
        <x:f>IF(A265="","",COUNTIF('Страницы_и_экраны'!$E$5:$E$304,A265))</x:f>
      </x:c>
      <x:c r="N265" s="27" t="str">
        <x:f>IF(A265="","",IF(M265&gt;0,"Покрыт","Нет страницы/экрана"))</x:f>
      </x:c>
      <x:c r="O265" s="27" t="str">
        <x:f>IF(A265="","",MAX(0,MIN(100,ROUND(((J265*0.45)+(K265*0.35)-(L265*0.20))*20,0))))</x:f>
      </x:c>
      <x:c r="P265" s="27"/>
      <x:c r="Q265" s="27"/>
      <x:c r="R265" s="27"/>
      <x:c r="S265" s="27"/>
      <x:c r="T265" s="27"/>
      <x:c r="U265" s="27"/>
    </x:row>
    <x:row r="266">
      <x:c r="A266" s="27" t="str"/>
      <x:c r="B266" s="27" t="str"/>
      <x:c r="C266" s="27" t="str"/>
      <x:c r="D266" s="27" t="str"/>
      <x:c r="E266" s="27" t="str"/>
      <x:c r="F266" s="27" t="str"/>
      <x:c r="G266" s="27" t="str"/>
      <x:c r="H266" s="27" t="str"/>
      <x:c r="I266" s="27" t="str"/>
      <x:c r="J266" s="27" t="str"/>
      <x:c r="K266" s="27" t="str"/>
      <x:c r="L266" s="27" t="str"/>
      <x:c r="M266" s="27" t="str">
        <x:f>IF(A266="","",COUNTIF('Страницы_и_экраны'!$E$5:$E$304,A266))</x:f>
      </x:c>
      <x:c r="N266" s="27" t="str">
        <x:f>IF(A266="","",IF(M266&gt;0,"Покрыт","Нет страницы/экрана"))</x:f>
      </x:c>
      <x:c r="O266" s="27" t="str">
        <x:f>IF(A266="","",MAX(0,MIN(100,ROUND(((J266*0.45)+(K266*0.35)-(L266*0.20))*20,0))))</x:f>
      </x:c>
      <x:c r="P266" s="27"/>
      <x:c r="Q266" s="27"/>
      <x:c r="R266" s="27"/>
      <x:c r="S266" s="27"/>
      <x:c r="T266" s="27"/>
      <x:c r="U266" s="27"/>
    </x:row>
    <x:row r="267">
      <x:c r="A267" s="27" t="str"/>
      <x:c r="B267" s="27" t="str"/>
      <x:c r="C267" s="27" t="str"/>
      <x:c r="D267" s="27" t="str"/>
      <x:c r="E267" s="27" t="str"/>
      <x:c r="F267" s="27" t="str"/>
      <x:c r="G267" s="27" t="str"/>
      <x:c r="H267" s="27" t="str"/>
      <x:c r="I267" s="27" t="str"/>
      <x:c r="J267" s="27" t="str"/>
      <x:c r="K267" s="27" t="str"/>
      <x:c r="L267" s="27" t="str"/>
      <x:c r="M267" s="27" t="str">
        <x:f>IF(A267="","",COUNTIF('Страницы_и_экраны'!$E$5:$E$304,A267))</x:f>
      </x:c>
      <x:c r="N267" s="27" t="str">
        <x:f>IF(A267="","",IF(M267&gt;0,"Покрыт","Нет страницы/экрана"))</x:f>
      </x:c>
      <x:c r="O267" s="27" t="str">
        <x:f>IF(A267="","",MAX(0,MIN(100,ROUND(((J267*0.45)+(K267*0.35)-(L267*0.20))*20,0))))</x:f>
      </x:c>
      <x:c r="P267" s="27"/>
      <x:c r="Q267" s="27"/>
      <x:c r="R267" s="27"/>
      <x:c r="S267" s="27"/>
      <x:c r="T267" s="27"/>
      <x:c r="U267" s="27"/>
    </x:row>
    <x:row r="268">
      <x:c r="A268" s="27" t="str"/>
      <x:c r="B268" s="27" t="str"/>
      <x:c r="C268" s="27" t="str"/>
      <x:c r="D268" s="27" t="str"/>
      <x:c r="E268" s="27" t="str"/>
      <x:c r="F268" s="27" t="str"/>
      <x:c r="G268" s="27" t="str"/>
      <x:c r="H268" s="27" t="str"/>
      <x:c r="I268" s="27" t="str"/>
      <x:c r="J268" s="27" t="str"/>
      <x:c r="K268" s="27" t="str"/>
      <x:c r="L268" s="27" t="str"/>
      <x:c r="M268" s="27" t="str">
        <x:f>IF(A268="","",COUNTIF('Страницы_и_экраны'!$E$5:$E$304,A268))</x:f>
      </x:c>
      <x:c r="N268" s="27" t="str">
        <x:f>IF(A268="","",IF(M268&gt;0,"Покрыт","Нет страницы/экрана"))</x:f>
      </x:c>
      <x:c r="O268" s="27" t="str">
        <x:f>IF(A268="","",MAX(0,MIN(100,ROUND(((J268*0.45)+(K268*0.35)-(L268*0.20))*20,0))))</x:f>
      </x:c>
      <x:c r="P268" s="27"/>
      <x:c r="Q268" s="27"/>
      <x:c r="R268" s="27"/>
      <x:c r="S268" s="27"/>
      <x:c r="T268" s="27"/>
      <x:c r="U268" s="27"/>
    </x:row>
    <x:row r="269">
      <x:c r="A269" s="27" t="str"/>
      <x:c r="B269" s="27" t="str"/>
      <x:c r="C269" s="27" t="str"/>
      <x:c r="D269" s="27" t="str"/>
      <x:c r="E269" s="27" t="str"/>
      <x:c r="F269" s="27" t="str"/>
      <x:c r="G269" s="27" t="str"/>
      <x:c r="H269" s="27" t="str"/>
      <x:c r="I269" s="27" t="str"/>
      <x:c r="J269" s="27" t="str"/>
      <x:c r="K269" s="27" t="str"/>
      <x:c r="L269" s="27" t="str"/>
      <x:c r="M269" s="27" t="str">
        <x:f>IF(A269="","",COUNTIF('Страницы_и_экраны'!$E$5:$E$304,A269))</x:f>
      </x:c>
      <x:c r="N269" s="27" t="str">
        <x:f>IF(A269="","",IF(M269&gt;0,"Покрыт","Нет страницы/экрана"))</x:f>
      </x:c>
      <x:c r="O269" s="27" t="str">
        <x:f>IF(A269="","",MAX(0,MIN(100,ROUND(((J269*0.45)+(K269*0.35)-(L269*0.20))*20,0))))</x:f>
      </x:c>
      <x:c r="P269" s="27"/>
      <x:c r="Q269" s="27"/>
      <x:c r="R269" s="27"/>
      <x:c r="S269" s="27"/>
      <x:c r="T269" s="27"/>
      <x:c r="U269" s="27"/>
    </x:row>
    <x:row r="270">
      <x:c r="A270" s="27" t="str"/>
      <x:c r="B270" s="27" t="str"/>
      <x:c r="C270" s="27" t="str"/>
      <x:c r="D270" s="27" t="str"/>
      <x:c r="E270" s="27" t="str"/>
      <x:c r="F270" s="27" t="str"/>
      <x:c r="G270" s="27" t="str"/>
      <x:c r="H270" s="27" t="str"/>
      <x:c r="I270" s="27" t="str"/>
      <x:c r="J270" s="27" t="str"/>
      <x:c r="K270" s="27" t="str"/>
      <x:c r="L270" s="27" t="str"/>
      <x:c r="M270" s="27" t="str">
        <x:f>IF(A270="","",COUNTIF('Страницы_и_экраны'!$E$5:$E$304,A270))</x:f>
      </x:c>
      <x:c r="N270" s="27" t="str">
        <x:f>IF(A270="","",IF(M270&gt;0,"Покрыт","Нет страницы/экрана"))</x:f>
      </x:c>
      <x:c r="O270" s="27" t="str">
        <x:f>IF(A270="","",MAX(0,MIN(100,ROUND(((J270*0.45)+(K270*0.35)-(L270*0.20))*20,0))))</x:f>
      </x:c>
      <x:c r="P270" s="27"/>
      <x:c r="Q270" s="27"/>
      <x:c r="R270" s="27"/>
      <x:c r="S270" s="27"/>
      <x:c r="T270" s="27"/>
      <x:c r="U270" s="27"/>
    </x:row>
    <x:row r="271">
      <x:c r="A271" s="27" t="str"/>
      <x:c r="B271" s="27" t="str"/>
      <x:c r="C271" s="27" t="str"/>
      <x:c r="D271" s="27" t="str"/>
      <x:c r="E271" s="27" t="str"/>
      <x:c r="F271" s="27" t="str"/>
      <x:c r="G271" s="27" t="str"/>
      <x:c r="H271" s="27" t="str"/>
      <x:c r="I271" s="27" t="str"/>
      <x:c r="J271" s="27" t="str"/>
      <x:c r="K271" s="27" t="str"/>
      <x:c r="L271" s="27" t="str"/>
      <x:c r="M271" s="27" t="str">
        <x:f>IF(A271="","",COUNTIF('Страницы_и_экраны'!$E$5:$E$304,A271))</x:f>
      </x:c>
      <x:c r="N271" s="27" t="str">
        <x:f>IF(A271="","",IF(M271&gt;0,"Покрыт","Нет страницы/экрана"))</x:f>
      </x:c>
      <x:c r="O271" s="27" t="str">
        <x:f>IF(A271="","",MAX(0,MIN(100,ROUND(((J271*0.45)+(K271*0.35)-(L271*0.20))*20,0))))</x:f>
      </x:c>
      <x:c r="P271" s="27"/>
      <x:c r="Q271" s="27"/>
      <x:c r="R271" s="27"/>
      <x:c r="S271" s="27"/>
      <x:c r="T271" s="27"/>
      <x:c r="U271" s="27"/>
    </x:row>
    <x:row r="272">
      <x:c r="A272" s="27" t="str"/>
      <x:c r="B272" s="27" t="str"/>
      <x:c r="C272" s="27" t="str"/>
      <x:c r="D272" s="27" t="str"/>
      <x:c r="E272" s="27" t="str"/>
      <x:c r="F272" s="27" t="str"/>
      <x:c r="G272" s="27" t="str"/>
      <x:c r="H272" s="27" t="str"/>
      <x:c r="I272" s="27" t="str"/>
      <x:c r="J272" s="27" t="str"/>
      <x:c r="K272" s="27" t="str"/>
      <x:c r="L272" s="27" t="str"/>
      <x:c r="M272" s="27" t="str">
        <x:f>IF(A272="","",COUNTIF('Страницы_и_экраны'!$E$5:$E$304,A272))</x:f>
      </x:c>
      <x:c r="N272" s="27" t="str">
        <x:f>IF(A272="","",IF(M272&gt;0,"Покрыт","Нет страницы/экрана"))</x:f>
      </x:c>
      <x:c r="O272" s="27" t="str">
        <x:f>IF(A272="","",MAX(0,MIN(100,ROUND(((J272*0.45)+(K272*0.35)-(L272*0.20))*20,0))))</x:f>
      </x:c>
      <x:c r="P272" s="27"/>
      <x:c r="Q272" s="27"/>
      <x:c r="R272" s="27"/>
      <x:c r="S272" s="27"/>
      <x:c r="T272" s="27"/>
      <x:c r="U272" s="27"/>
    </x:row>
    <x:row r="273">
      <x:c r="A273" s="27" t="str"/>
      <x:c r="B273" s="27" t="str"/>
      <x:c r="C273" s="27" t="str"/>
      <x:c r="D273" s="27" t="str"/>
      <x:c r="E273" s="27" t="str"/>
      <x:c r="F273" s="27" t="str"/>
      <x:c r="G273" s="27" t="str"/>
      <x:c r="H273" s="27" t="str"/>
      <x:c r="I273" s="27" t="str"/>
      <x:c r="J273" s="27" t="str"/>
      <x:c r="K273" s="27" t="str"/>
      <x:c r="L273" s="27" t="str"/>
      <x:c r="M273" s="27" t="str">
        <x:f>IF(A273="","",COUNTIF('Страницы_и_экраны'!$E$5:$E$304,A273))</x:f>
      </x:c>
      <x:c r="N273" s="27" t="str">
        <x:f>IF(A273="","",IF(M273&gt;0,"Покрыт","Нет страницы/экрана"))</x:f>
      </x:c>
      <x:c r="O273" s="27" t="str">
        <x:f>IF(A273="","",MAX(0,MIN(100,ROUND(((J273*0.45)+(K273*0.35)-(L273*0.20))*20,0))))</x:f>
      </x:c>
      <x:c r="P273" s="27"/>
      <x:c r="Q273" s="27"/>
      <x:c r="R273" s="27"/>
      <x:c r="S273" s="27"/>
      <x:c r="T273" s="27"/>
      <x:c r="U273" s="27"/>
    </x:row>
    <x:row r="274">
      <x:c r="A274" s="27" t="str"/>
      <x:c r="B274" s="27" t="str"/>
      <x:c r="C274" s="27" t="str"/>
      <x:c r="D274" s="27" t="str"/>
      <x:c r="E274" s="27" t="str"/>
      <x:c r="F274" s="27" t="str"/>
      <x:c r="G274" s="27" t="str"/>
      <x:c r="H274" s="27" t="str"/>
      <x:c r="I274" s="27" t="str"/>
      <x:c r="J274" s="27" t="str"/>
      <x:c r="K274" s="27" t="str"/>
      <x:c r="L274" s="27" t="str"/>
      <x:c r="M274" s="27" t="str">
        <x:f>IF(A274="","",COUNTIF('Страницы_и_экраны'!$E$5:$E$304,A274))</x:f>
      </x:c>
      <x:c r="N274" s="27" t="str">
        <x:f>IF(A274="","",IF(M274&gt;0,"Покрыт","Нет страницы/экрана"))</x:f>
      </x:c>
      <x:c r="O274" s="27" t="str">
        <x:f>IF(A274="","",MAX(0,MIN(100,ROUND(((J274*0.45)+(K274*0.35)-(L274*0.20))*20,0))))</x:f>
      </x:c>
      <x:c r="P274" s="27"/>
      <x:c r="Q274" s="27"/>
      <x:c r="R274" s="27"/>
      <x:c r="S274" s="27"/>
      <x:c r="T274" s="27"/>
      <x:c r="U274" s="27"/>
    </x:row>
    <x:row r="275">
      <x:c r="A275" s="27" t="str"/>
      <x:c r="B275" s="27" t="str"/>
      <x:c r="C275" s="27" t="str"/>
      <x:c r="D275" s="27" t="str"/>
      <x:c r="E275" s="27" t="str"/>
      <x:c r="F275" s="27" t="str"/>
      <x:c r="G275" s="27" t="str"/>
      <x:c r="H275" s="27" t="str"/>
      <x:c r="I275" s="27" t="str"/>
      <x:c r="J275" s="27" t="str"/>
      <x:c r="K275" s="27" t="str"/>
      <x:c r="L275" s="27" t="str"/>
      <x:c r="M275" s="27" t="str">
        <x:f>IF(A275="","",COUNTIF('Страницы_и_экраны'!$E$5:$E$304,A275))</x:f>
      </x:c>
      <x:c r="N275" s="27" t="str">
        <x:f>IF(A275="","",IF(M275&gt;0,"Покрыт","Нет страницы/экрана"))</x:f>
      </x:c>
      <x:c r="O275" s="27" t="str">
        <x:f>IF(A275="","",MAX(0,MIN(100,ROUND(((J275*0.45)+(K275*0.35)-(L275*0.20))*20,0))))</x:f>
      </x:c>
      <x:c r="P275" s="27"/>
      <x:c r="Q275" s="27"/>
      <x:c r="R275" s="27"/>
      <x:c r="S275" s="27"/>
      <x:c r="T275" s="27"/>
      <x:c r="U275" s="27"/>
    </x:row>
    <x:row r="276">
      <x:c r="A276" s="27" t="str"/>
      <x:c r="B276" s="27" t="str"/>
      <x:c r="C276" s="27" t="str"/>
      <x:c r="D276" s="27" t="str"/>
      <x:c r="E276" s="27" t="str"/>
      <x:c r="F276" s="27" t="str"/>
      <x:c r="G276" s="27" t="str"/>
      <x:c r="H276" s="27" t="str"/>
      <x:c r="I276" s="27" t="str"/>
      <x:c r="J276" s="27" t="str"/>
      <x:c r="K276" s="27" t="str"/>
      <x:c r="L276" s="27" t="str"/>
      <x:c r="M276" s="27" t="str">
        <x:f>IF(A276="","",COUNTIF('Страницы_и_экраны'!$E$5:$E$304,A276))</x:f>
      </x:c>
      <x:c r="N276" s="27" t="str">
        <x:f>IF(A276="","",IF(M276&gt;0,"Покрыт","Нет страницы/экрана"))</x:f>
      </x:c>
      <x:c r="O276" s="27" t="str">
        <x:f>IF(A276="","",MAX(0,MIN(100,ROUND(((J276*0.45)+(K276*0.35)-(L276*0.20))*20,0))))</x:f>
      </x:c>
      <x:c r="P276" s="27"/>
      <x:c r="Q276" s="27"/>
      <x:c r="R276" s="27"/>
      <x:c r="S276" s="27"/>
      <x:c r="T276" s="27"/>
      <x:c r="U276" s="27"/>
    </x:row>
    <x:row r="277">
      <x:c r="A277" s="27" t="str"/>
      <x:c r="B277" s="27" t="str"/>
      <x:c r="C277" s="27" t="str"/>
      <x:c r="D277" s="27" t="str"/>
      <x:c r="E277" s="27" t="str"/>
      <x:c r="F277" s="27" t="str"/>
      <x:c r="G277" s="27" t="str"/>
      <x:c r="H277" s="27" t="str"/>
      <x:c r="I277" s="27" t="str"/>
      <x:c r="J277" s="27" t="str"/>
      <x:c r="K277" s="27" t="str"/>
      <x:c r="L277" s="27" t="str"/>
      <x:c r="M277" s="27" t="str">
        <x:f>IF(A277="","",COUNTIF('Страницы_и_экраны'!$E$5:$E$304,A277))</x:f>
      </x:c>
      <x:c r="N277" s="27" t="str">
        <x:f>IF(A277="","",IF(M277&gt;0,"Покрыт","Нет страницы/экрана"))</x:f>
      </x:c>
      <x:c r="O277" s="27" t="str">
        <x:f>IF(A277="","",MAX(0,MIN(100,ROUND(((J277*0.45)+(K277*0.35)-(L277*0.20))*20,0))))</x:f>
      </x:c>
      <x:c r="P277" s="27"/>
      <x:c r="Q277" s="27"/>
      <x:c r="R277" s="27"/>
      <x:c r="S277" s="27"/>
      <x:c r="T277" s="27"/>
      <x:c r="U277" s="27"/>
    </x:row>
    <x:row r="278">
      <x:c r="A278" s="27" t="str"/>
      <x:c r="B278" s="27" t="str"/>
      <x:c r="C278" s="27" t="str"/>
      <x:c r="D278" s="27" t="str"/>
      <x:c r="E278" s="27" t="str"/>
      <x:c r="F278" s="27" t="str"/>
      <x:c r="G278" s="27" t="str"/>
      <x:c r="H278" s="27" t="str"/>
      <x:c r="I278" s="27" t="str"/>
      <x:c r="J278" s="27" t="str"/>
      <x:c r="K278" s="27" t="str"/>
      <x:c r="L278" s="27" t="str"/>
      <x:c r="M278" s="27" t="str">
        <x:f>IF(A278="","",COUNTIF('Страницы_и_экраны'!$E$5:$E$304,A278))</x:f>
      </x:c>
      <x:c r="N278" s="27" t="str">
        <x:f>IF(A278="","",IF(M278&gt;0,"Покрыт","Нет страницы/экрана"))</x:f>
      </x:c>
      <x:c r="O278" s="27" t="str">
        <x:f>IF(A278="","",MAX(0,MIN(100,ROUND(((J278*0.45)+(K278*0.35)-(L278*0.20))*20,0))))</x:f>
      </x:c>
      <x:c r="P278" s="27"/>
      <x:c r="Q278" s="27"/>
      <x:c r="R278" s="27"/>
      <x:c r="S278" s="27"/>
      <x:c r="T278" s="27"/>
      <x:c r="U278" s="27"/>
    </x:row>
    <x:row r="279">
      <x:c r="A279" s="27" t="str"/>
      <x:c r="B279" s="27" t="str"/>
      <x:c r="C279" s="27" t="str"/>
      <x:c r="D279" s="27" t="str"/>
      <x:c r="E279" s="27" t="str"/>
      <x:c r="F279" s="27" t="str"/>
      <x:c r="G279" s="27" t="str"/>
      <x:c r="H279" s="27" t="str"/>
      <x:c r="I279" s="27" t="str"/>
      <x:c r="J279" s="27" t="str"/>
      <x:c r="K279" s="27" t="str"/>
      <x:c r="L279" s="27" t="str"/>
      <x:c r="M279" s="27" t="str">
        <x:f>IF(A279="","",COUNTIF('Страницы_и_экраны'!$E$5:$E$304,A279))</x:f>
      </x:c>
      <x:c r="N279" s="27" t="str">
        <x:f>IF(A279="","",IF(M279&gt;0,"Покрыт","Нет страницы/экрана"))</x:f>
      </x:c>
      <x:c r="O279" s="27" t="str">
        <x:f>IF(A279="","",MAX(0,MIN(100,ROUND(((J279*0.45)+(K279*0.35)-(L279*0.20))*20,0))))</x:f>
      </x:c>
      <x:c r="P279" s="27"/>
      <x:c r="Q279" s="27"/>
      <x:c r="R279" s="27"/>
      <x:c r="S279" s="27"/>
      <x:c r="T279" s="27"/>
      <x:c r="U279" s="27"/>
    </x:row>
    <x:row r="280">
      <x:c r="A280" s="27" t="str"/>
      <x:c r="B280" s="27" t="str"/>
      <x:c r="C280" s="27" t="str"/>
      <x:c r="D280" s="27" t="str"/>
      <x:c r="E280" s="27" t="str"/>
      <x:c r="F280" s="27" t="str"/>
      <x:c r="G280" s="27" t="str"/>
      <x:c r="H280" s="27" t="str"/>
      <x:c r="I280" s="27" t="str"/>
      <x:c r="J280" s="27" t="str"/>
      <x:c r="K280" s="27" t="str"/>
      <x:c r="L280" s="27" t="str"/>
      <x:c r="M280" s="27" t="str">
        <x:f>IF(A280="","",COUNTIF('Страницы_и_экраны'!$E$5:$E$304,A280))</x:f>
      </x:c>
      <x:c r="N280" s="27" t="str">
        <x:f>IF(A280="","",IF(M280&gt;0,"Покрыт","Нет страницы/экрана"))</x:f>
      </x:c>
      <x:c r="O280" s="27" t="str">
        <x:f>IF(A280="","",MAX(0,MIN(100,ROUND(((J280*0.45)+(K280*0.35)-(L280*0.20))*20,0))))</x:f>
      </x:c>
      <x:c r="P280" s="27"/>
      <x:c r="Q280" s="27"/>
      <x:c r="R280" s="27"/>
      <x:c r="S280" s="27"/>
      <x:c r="T280" s="27"/>
      <x:c r="U280" s="27"/>
    </x:row>
    <x:row r="281">
      <x:c r="A281" s="27" t="str"/>
      <x:c r="B281" s="27" t="str"/>
      <x:c r="C281" s="27" t="str"/>
      <x:c r="D281" s="27" t="str"/>
      <x:c r="E281" s="27" t="str"/>
      <x:c r="F281" s="27" t="str"/>
      <x:c r="G281" s="27" t="str"/>
      <x:c r="H281" s="27" t="str"/>
      <x:c r="I281" s="27" t="str"/>
      <x:c r="J281" s="27" t="str"/>
      <x:c r="K281" s="27" t="str"/>
      <x:c r="L281" s="27" t="str"/>
      <x:c r="M281" s="27" t="str">
        <x:f>IF(A281="","",COUNTIF('Страницы_и_экраны'!$E$5:$E$304,A281))</x:f>
      </x:c>
      <x:c r="N281" s="27" t="str">
        <x:f>IF(A281="","",IF(M281&gt;0,"Покрыт","Нет страницы/экрана"))</x:f>
      </x:c>
      <x:c r="O281" s="27" t="str">
        <x:f>IF(A281="","",MAX(0,MIN(100,ROUND(((J281*0.45)+(K281*0.35)-(L281*0.20))*20,0))))</x:f>
      </x:c>
      <x:c r="P281" s="27"/>
      <x:c r="Q281" s="27"/>
      <x:c r="R281" s="27"/>
      <x:c r="S281" s="27"/>
      <x:c r="T281" s="27"/>
      <x:c r="U281" s="27"/>
    </x:row>
    <x:row r="282">
      <x:c r="A282" s="27" t="str"/>
      <x:c r="B282" s="27" t="str"/>
      <x:c r="C282" s="27" t="str"/>
      <x:c r="D282" s="27" t="str"/>
      <x:c r="E282" s="27" t="str"/>
      <x:c r="F282" s="27" t="str"/>
      <x:c r="G282" s="27" t="str"/>
      <x:c r="H282" s="27" t="str"/>
      <x:c r="I282" s="27" t="str"/>
      <x:c r="J282" s="27" t="str"/>
      <x:c r="K282" s="27" t="str"/>
      <x:c r="L282" s="27" t="str"/>
      <x:c r="M282" s="27" t="str">
        <x:f>IF(A282="","",COUNTIF('Страницы_и_экраны'!$E$5:$E$304,A282))</x:f>
      </x:c>
      <x:c r="N282" s="27" t="str">
        <x:f>IF(A282="","",IF(M282&gt;0,"Покрыт","Нет страницы/экрана"))</x:f>
      </x:c>
      <x:c r="O282" s="27" t="str">
        <x:f>IF(A282="","",MAX(0,MIN(100,ROUND(((J282*0.45)+(K282*0.35)-(L282*0.20))*20,0))))</x:f>
      </x:c>
      <x:c r="P282" s="27"/>
      <x:c r="Q282" s="27"/>
      <x:c r="R282" s="27"/>
      <x:c r="S282" s="27"/>
      <x:c r="T282" s="27"/>
      <x:c r="U282" s="27"/>
    </x:row>
    <x:row r="283">
      <x:c r="A283" s="27" t="str"/>
      <x:c r="B283" s="27" t="str"/>
      <x:c r="C283" s="27" t="str"/>
      <x:c r="D283" s="27" t="str"/>
      <x:c r="E283" s="27" t="str"/>
      <x:c r="F283" s="27" t="str"/>
      <x:c r="G283" s="27" t="str"/>
      <x:c r="H283" s="27" t="str"/>
      <x:c r="I283" s="27" t="str"/>
      <x:c r="J283" s="27" t="str"/>
      <x:c r="K283" s="27" t="str"/>
      <x:c r="L283" s="27" t="str"/>
      <x:c r="M283" s="27" t="str">
        <x:f>IF(A283="","",COUNTIF('Страницы_и_экраны'!$E$5:$E$304,A283))</x:f>
      </x:c>
      <x:c r="N283" s="27" t="str">
        <x:f>IF(A283="","",IF(M283&gt;0,"Покрыт","Нет страницы/экрана"))</x:f>
      </x:c>
      <x:c r="O283" s="27" t="str">
        <x:f>IF(A283="","",MAX(0,MIN(100,ROUND(((J283*0.45)+(K283*0.35)-(L283*0.20))*20,0))))</x:f>
      </x:c>
      <x:c r="P283" s="27"/>
      <x:c r="Q283" s="27"/>
      <x:c r="R283" s="27"/>
      <x:c r="S283" s="27"/>
      <x:c r="T283" s="27"/>
      <x:c r="U283" s="27"/>
    </x:row>
    <x:row r="284">
      <x:c r="A284" s="27" t="str"/>
      <x:c r="B284" s="27" t="str"/>
      <x:c r="C284" s="27" t="str"/>
      <x:c r="D284" s="27" t="str"/>
      <x:c r="E284" s="27" t="str"/>
      <x:c r="F284" s="27" t="str"/>
      <x:c r="G284" s="27" t="str"/>
      <x:c r="H284" s="27" t="str"/>
      <x:c r="I284" s="27" t="str"/>
      <x:c r="J284" s="27" t="str"/>
      <x:c r="K284" s="27" t="str"/>
      <x:c r="L284" s="27" t="str"/>
      <x:c r="M284" s="27" t="str">
        <x:f>IF(A284="","",COUNTIF('Страницы_и_экраны'!$E$5:$E$304,A284))</x:f>
      </x:c>
      <x:c r="N284" s="27" t="str">
        <x:f>IF(A284="","",IF(M284&gt;0,"Покрыт","Нет страницы/экрана"))</x:f>
      </x:c>
      <x:c r="O284" s="27" t="str">
        <x:f>IF(A284="","",MAX(0,MIN(100,ROUND(((J284*0.45)+(K284*0.35)-(L284*0.20))*20,0))))</x:f>
      </x:c>
      <x:c r="P284" s="27"/>
      <x:c r="Q284" s="27"/>
      <x:c r="R284" s="27"/>
      <x:c r="S284" s="27"/>
      <x:c r="T284" s="27"/>
      <x:c r="U284" s="27"/>
    </x:row>
    <x:row r="285">
      <x:c r="A285" s="27" t="str"/>
      <x:c r="B285" s="27" t="str"/>
      <x:c r="C285" s="27" t="str"/>
      <x:c r="D285" s="27" t="str"/>
      <x:c r="E285" s="27" t="str"/>
      <x:c r="F285" s="27" t="str"/>
      <x:c r="G285" s="27" t="str"/>
      <x:c r="H285" s="27" t="str"/>
      <x:c r="I285" s="27" t="str"/>
      <x:c r="J285" s="27" t="str"/>
      <x:c r="K285" s="27" t="str"/>
      <x:c r="L285" s="27" t="str"/>
      <x:c r="M285" s="27" t="str">
        <x:f>IF(A285="","",COUNTIF('Страницы_и_экраны'!$E$5:$E$304,A285))</x:f>
      </x:c>
      <x:c r="N285" s="27" t="str">
        <x:f>IF(A285="","",IF(M285&gt;0,"Покрыт","Нет страницы/экрана"))</x:f>
      </x:c>
      <x:c r="O285" s="27" t="str">
        <x:f>IF(A285="","",MAX(0,MIN(100,ROUND(((J285*0.45)+(K285*0.35)-(L285*0.20))*20,0))))</x:f>
      </x:c>
      <x:c r="P285" s="27"/>
      <x:c r="Q285" s="27"/>
      <x:c r="R285" s="27"/>
      <x:c r="S285" s="27"/>
      <x:c r="T285" s="27"/>
      <x:c r="U285" s="27"/>
    </x:row>
    <x:row r="286">
      <x:c r="A286" s="27" t="str"/>
      <x:c r="B286" s="27" t="str"/>
      <x:c r="C286" s="27" t="str"/>
      <x:c r="D286" s="27" t="str"/>
      <x:c r="E286" s="27" t="str"/>
      <x:c r="F286" s="27" t="str"/>
      <x:c r="G286" s="27" t="str"/>
      <x:c r="H286" s="27" t="str"/>
      <x:c r="I286" s="27" t="str"/>
      <x:c r="J286" s="27" t="str"/>
      <x:c r="K286" s="27" t="str"/>
      <x:c r="L286" s="27" t="str"/>
      <x:c r="M286" s="27" t="str">
        <x:f>IF(A286="","",COUNTIF('Страницы_и_экраны'!$E$5:$E$304,A286))</x:f>
      </x:c>
      <x:c r="N286" s="27" t="str">
        <x:f>IF(A286="","",IF(M286&gt;0,"Покрыт","Нет страницы/экрана"))</x:f>
      </x:c>
      <x:c r="O286" s="27" t="str">
        <x:f>IF(A286="","",MAX(0,MIN(100,ROUND(((J286*0.45)+(K286*0.35)-(L286*0.20))*20,0))))</x:f>
      </x:c>
      <x:c r="P286" s="27"/>
      <x:c r="Q286" s="27"/>
      <x:c r="R286" s="27"/>
      <x:c r="S286" s="27"/>
      <x:c r="T286" s="27"/>
      <x:c r="U286" s="27"/>
    </x:row>
    <x:row r="287">
      <x:c r="A287" s="27" t="str"/>
      <x:c r="B287" s="27" t="str"/>
      <x:c r="C287" s="27" t="str"/>
      <x:c r="D287" s="27" t="str"/>
      <x:c r="E287" s="27" t="str"/>
      <x:c r="F287" s="27" t="str"/>
      <x:c r="G287" s="27" t="str"/>
      <x:c r="H287" s="27" t="str"/>
      <x:c r="I287" s="27" t="str"/>
      <x:c r="J287" s="27" t="str"/>
      <x:c r="K287" s="27" t="str"/>
      <x:c r="L287" s="27" t="str"/>
      <x:c r="M287" s="27" t="str">
        <x:f>IF(A287="","",COUNTIF('Страницы_и_экраны'!$E$5:$E$304,A287))</x:f>
      </x:c>
      <x:c r="N287" s="27" t="str">
        <x:f>IF(A287="","",IF(M287&gt;0,"Покрыт","Нет страницы/экрана"))</x:f>
      </x:c>
      <x:c r="O287" s="27" t="str">
        <x:f>IF(A287="","",MAX(0,MIN(100,ROUND(((J287*0.45)+(K287*0.35)-(L287*0.20))*20,0))))</x:f>
      </x:c>
      <x:c r="P287" s="27"/>
      <x:c r="Q287" s="27"/>
      <x:c r="R287" s="27"/>
      <x:c r="S287" s="27"/>
      <x:c r="T287" s="27"/>
      <x:c r="U287" s="27"/>
    </x:row>
    <x:row r="288">
      <x:c r="A288" s="27" t="str"/>
      <x:c r="B288" s="27" t="str"/>
      <x:c r="C288" s="27" t="str"/>
      <x:c r="D288" s="27" t="str"/>
      <x:c r="E288" s="27" t="str"/>
      <x:c r="F288" s="27" t="str"/>
      <x:c r="G288" s="27" t="str"/>
      <x:c r="H288" s="27" t="str"/>
      <x:c r="I288" s="27" t="str"/>
      <x:c r="J288" s="27" t="str"/>
      <x:c r="K288" s="27" t="str"/>
      <x:c r="L288" s="27" t="str"/>
      <x:c r="M288" s="27" t="str">
        <x:f>IF(A288="","",COUNTIF('Страницы_и_экраны'!$E$5:$E$304,A288))</x:f>
      </x:c>
      <x:c r="N288" s="27" t="str">
        <x:f>IF(A288="","",IF(M288&gt;0,"Покрыт","Нет страницы/экрана"))</x:f>
      </x:c>
      <x:c r="O288" s="27" t="str">
        <x:f>IF(A288="","",MAX(0,MIN(100,ROUND(((J288*0.45)+(K288*0.35)-(L288*0.20))*20,0))))</x:f>
      </x:c>
      <x:c r="P288" s="27"/>
      <x:c r="Q288" s="27"/>
      <x:c r="R288" s="27"/>
      <x:c r="S288" s="27"/>
      <x:c r="T288" s="27"/>
      <x:c r="U288" s="27"/>
    </x:row>
    <x:row r="289">
      <x:c r="A289" s="27" t="str"/>
      <x:c r="B289" s="27" t="str"/>
      <x:c r="C289" s="27" t="str"/>
      <x:c r="D289" s="27" t="str"/>
      <x:c r="E289" s="27" t="str"/>
      <x:c r="F289" s="27" t="str"/>
      <x:c r="G289" s="27" t="str"/>
      <x:c r="H289" s="27" t="str"/>
      <x:c r="I289" s="27" t="str"/>
      <x:c r="J289" s="27" t="str"/>
      <x:c r="K289" s="27" t="str"/>
      <x:c r="L289" s="27" t="str"/>
      <x:c r="M289" s="27" t="str">
        <x:f>IF(A289="","",COUNTIF('Страницы_и_экраны'!$E$5:$E$304,A289))</x:f>
      </x:c>
      <x:c r="N289" s="27" t="str">
        <x:f>IF(A289="","",IF(M289&gt;0,"Покрыт","Нет страницы/экрана"))</x:f>
      </x:c>
      <x:c r="O289" s="27" t="str">
        <x:f>IF(A289="","",MAX(0,MIN(100,ROUND(((J289*0.45)+(K289*0.35)-(L289*0.20))*20,0))))</x:f>
      </x:c>
      <x:c r="P289" s="27"/>
      <x:c r="Q289" s="27"/>
      <x:c r="R289" s="27"/>
      <x:c r="S289" s="27"/>
      <x:c r="T289" s="27"/>
      <x:c r="U289" s="27"/>
    </x:row>
    <x:row r="290">
      <x:c r="A290" s="27" t="str"/>
      <x:c r="B290" s="27" t="str"/>
      <x:c r="C290" s="27" t="str"/>
      <x:c r="D290" s="27" t="str"/>
      <x:c r="E290" s="27" t="str"/>
      <x:c r="F290" s="27" t="str"/>
      <x:c r="G290" s="27" t="str"/>
      <x:c r="H290" s="27" t="str"/>
      <x:c r="I290" s="27" t="str"/>
      <x:c r="J290" s="27" t="str"/>
      <x:c r="K290" s="27" t="str"/>
      <x:c r="L290" s="27" t="str"/>
      <x:c r="M290" s="27" t="str">
        <x:f>IF(A290="","",COUNTIF('Страницы_и_экраны'!$E$5:$E$304,A290))</x:f>
      </x:c>
      <x:c r="N290" s="27" t="str">
        <x:f>IF(A290="","",IF(M290&gt;0,"Покрыт","Нет страницы/экрана"))</x:f>
      </x:c>
      <x:c r="O290" s="27" t="str">
        <x:f>IF(A290="","",MAX(0,MIN(100,ROUND(((J290*0.45)+(K290*0.35)-(L290*0.20))*20,0))))</x:f>
      </x:c>
      <x:c r="P290" s="27"/>
      <x:c r="Q290" s="27"/>
      <x:c r="R290" s="27"/>
      <x:c r="S290" s="27"/>
      <x:c r="T290" s="27"/>
      <x:c r="U290" s="27"/>
    </x:row>
    <x:row r="291">
      <x:c r="A291" s="27" t="str"/>
      <x:c r="B291" s="27" t="str"/>
      <x:c r="C291" s="27" t="str"/>
      <x:c r="D291" s="27" t="str"/>
      <x:c r="E291" s="27" t="str"/>
      <x:c r="F291" s="27" t="str"/>
      <x:c r="G291" s="27" t="str"/>
      <x:c r="H291" s="27" t="str"/>
      <x:c r="I291" s="27" t="str"/>
      <x:c r="J291" s="27" t="str"/>
      <x:c r="K291" s="27" t="str"/>
      <x:c r="L291" s="27" t="str"/>
      <x:c r="M291" s="27" t="str">
        <x:f>IF(A291="","",COUNTIF('Страницы_и_экраны'!$E$5:$E$304,A291))</x:f>
      </x:c>
      <x:c r="N291" s="27" t="str">
        <x:f>IF(A291="","",IF(M291&gt;0,"Покрыт","Нет страницы/экрана"))</x:f>
      </x:c>
      <x:c r="O291" s="27" t="str">
        <x:f>IF(A291="","",MAX(0,MIN(100,ROUND(((J291*0.45)+(K291*0.35)-(L291*0.20))*20,0))))</x:f>
      </x:c>
      <x:c r="P291" s="27"/>
      <x:c r="Q291" s="27"/>
      <x:c r="R291" s="27"/>
      <x:c r="S291" s="27"/>
      <x:c r="T291" s="27"/>
      <x:c r="U291" s="27"/>
    </x:row>
    <x:row r="292">
      <x:c r="A292" s="27" t="str"/>
      <x:c r="B292" s="27" t="str"/>
      <x:c r="C292" s="27" t="str"/>
      <x:c r="D292" s="27" t="str"/>
      <x:c r="E292" s="27" t="str"/>
      <x:c r="F292" s="27" t="str"/>
      <x:c r="G292" s="27" t="str"/>
      <x:c r="H292" s="27" t="str"/>
      <x:c r="I292" s="27" t="str"/>
      <x:c r="J292" s="27" t="str"/>
      <x:c r="K292" s="27" t="str"/>
      <x:c r="L292" s="27" t="str"/>
      <x:c r="M292" s="27" t="str">
        <x:f>IF(A292="","",COUNTIF('Страницы_и_экраны'!$E$5:$E$304,A292))</x:f>
      </x:c>
      <x:c r="N292" s="27" t="str">
        <x:f>IF(A292="","",IF(M292&gt;0,"Покрыт","Нет страницы/экрана"))</x:f>
      </x:c>
      <x:c r="O292" s="27" t="str">
        <x:f>IF(A292="","",MAX(0,MIN(100,ROUND(((J292*0.45)+(K292*0.35)-(L292*0.20))*20,0))))</x:f>
      </x:c>
      <x:c r="P292" s="27"/>
      <x:c r="Q292" s="27"/>
      <x:c r="R292" s="27"/>
      <x:c r="S292" s="27"/>
      <x:c r="T292" s="27"/>
      <x:c r="U292" s="27"/>
    </x:row>
    <x:row r="293">
      <x:c r="A293" s="27" t="str"/>
      <x:c r="B293" s="27" t="str"/>
      <x:c r="C293" s="27" t="str"/>
      <x:c r="D293" s="27" t="str"/>
      <x:c r="E293" s="27" t="str"/>
      <x:c r="F293" s="27" t="str"/>
      <x:c r="G293" s="27" t="str"/>
      <x:c r="H293" s="27" t="str"/>
      <x:c r="I293" s="27" t="str"/>
      <x:c r="J293" s="27" t="str"/>
      <x:c r="K293" s="27" t="str"/>
      <x:c r="L293" s="27" t="str"/>
      <x:c r="M293" s="27" t="str">
        <x:f>IF(A293="","",COUNTIF('Страницы_и_экраны'!$E$5:$E$304,A293))</x:f>
      </x:c>
      <x:c r="N293" s="27" t="str">
        <x:f>IF(A293="","",IF(M293&gt;0,"Покрыт","Нет страницы/экрана"))</x:f>
      </x:c>
      <x:c r="O293" s="27" t="str">
        <x:f>IF(A293="","",MAX(0,MIN(100,ROUND(((J293*0.45)+(K293*0.35)-(L293*0.20))*20,0))))</x:f>
      </x:c>
      <x:c r="P293" s="27"/>
      <x:c r="Q293" s="27"/>
      <x:c r="R293" s="27"/>
      <x:c r="S293" s="27"/>
      <x:c r="T293" s="27"/>
      <x:c r="U293" s="27"/>
    </x:row>
    <x:row r="294">
      <x:c r="A294" s="27" t="str"/>
      <x:c r="B294" s="27" t="str"/>
      <x:c r="C294" s="27" t="str"/>
      <x:c r="D294" s="27" t="str"/>
      <x:c r="E294" s="27" t="str"/>
      <x:c r="F294" s="27" t="str"/>
      <x:c r="G294" s="27" t="str"/>
      <x:c r="H294" s="27" t="str"/>
      <x:c r="I294" s="27" t="str"/>
      <x:c r="J294" s="27" t="str"/>
      <x:c r="K294" s="27" t="str"/>
      <x:c r="L294" s="27" t="str"/>
      <x:c r="M294" s="27" t="str">
        <x:f>IF(A294="","",COUNTIF('Страницы_и_экраны'!$E$5:$E$304,A294))</x:f>
      </x:c>
      <x:c r="N294" s="27" t="str">
        <x:f>IF(A294="","",IF(M294&gt;0,"Покрыт","Нет страницы/экрана"))</x:f>
      </x:c>
      <x:c r="O294" s="27" t="str">
        <x:f>IF(A294="","",MAX(0,MIN(100,ROUND(((J294*0.45)+(K294*0.35)-(L294*0.20))*20,0))))</x:f>
      </x:c>
      <x:c r="P294" s="27"/>
      <x:c r="Q294" s="27"/>
      <x:c r="R294" s="27"/>
      <x:c r="S294" s="27"/>
      <x:c r="T294" s="27"/>
      <x:c r="U294" s="27"/>
    </x:row>
    <x:row r="295">
      <x:c r="A295" s="27" t="str"/>
      <x:c r="B295" s="27" t="str"/>
      <x:c r="C295" s="27" t="str"/>
      <x:c r="D295" s="27" t="str"/>
      <x:c r="E295" s="27" t="str"/>
      <x:c r="F295" s="27" t="str"/>
      <x:c r="G295" s="27" t="str"/>
      <x:c r="H295" s="27" t="str"/>
      <x:c r="I295" s="27" t="str"/>
      <x:c r="J295" s="27" t="str"/>
      <x:c r="K295" s="27" t="str"/>
      <x:c r="L295" s="27" t="str"/>
      <x:c r="M295" s="27" t="str">
        <x:f>IF(A295="","",COUNTIF('Страницы_и_экраны'!$E$5:$E$304,A295))</x:f>
      </x:c>
      <x:c r="N295" s="27" t="str">
        <x:f>IF(A295="","",IF(M295&gt;0,"Покрыт","Нет страницы/экрана"))</x:f>
      </x:c>
      <x:c r="O295" s="27" t="str">
        <x:f>IF(A295="","",MAX(0,MIN(100,ROUND(((J295*0.45)+(K295*0.35)-(L295*0.20))*20,0))))</x:f>
      </x:c>
      <x:c r="P295" s="27"/>
      <x:c r="Q295" s="27"/>
      <x:c r="R295" s="27"/>
      <x:c r="S295" s="27"/>
      <x:c r="T295" s="27"/>
      <x:c r="U295" s="27"/>
    </x:row>
    <x:row r="296">
      <x:c r="A296" s="27" t="str"/>
      <x:c r="B296" s="27" t="str"/>
      <x:c r="C296" s="27" t="str"/>
      <x:c r="D296" s="27" t="str"/>
      <x:c r="E296" s="27" t="str"/>
      <x:c r="F296" s="27" t="str"/>
      <x:c r="G296" s="27" t="str"/>
      <x:c r="H296" s="27" t="str"/>
      <x:c r="I296" s="27" t="str"/>
      <x:c r="J296" s="27" t="str"/>
      <x:c r="K296" s="27" t="str"/>
      <x:c r="L296" s="27" t="str"/>
      <x:c r="M296" s="27" t="str">
        <x:f>IF(A296="","",COUNTIF('Страницы_и_экраны'!$E$5:$E$304,A296))</x:f>
      </x:c>
      <x:c r="N296" s="27" t="str">
        <x:f>IF(A296="","",IF(M296&gt;0,"Покрыт","Нет страницы/экрана"))</x:f>
      </x:c>
      <x:c r="O296" s="27" t="str">
        <x:f>IF(A296="","",MAX(0,MIN(100,ROUND(((J296*0.45)+(K296*0.35)-(L296*0.20))*20,0))))</x:f>
      </x:c>
      <x:c r="P296" s="27"/>
      <x:c r="Q296" s="27"/>
      <x:c r="R296" s="27"/>
      <x:c r="S296" s="27"/>
      <x:c r="T296" s="27"/>
      <x:c r="U296" s="27"/>
    </x:row>
    <x:row r="297">
      <x:c r="A297" s="27" t="str"/>
      <x:c r="B297" s="27" t="str"/>
      <x:c r="C297" s="27" t="str"/>
      <x:c r="D297" s="27" t="str"/>
      <x:c r="E297" s="27" t="str"/>
      <x:c r="F297" s="27" t="str"/>
      <x:c r="G297" s="27" t="str"/>
      <x:c r="H297" s="27" t="str"/>
      <x:c r="I297" s="27" t="str"/>
      <x:c r="J297" s="27" t="str"/>
      <x:c r="K297" s="27" t="str"/>
      <x:c r="L297" s="27" t="str"/>
      <x:c r="M297" s="27" t="str">
        <x:f>IF(A297="","",COUNTIF('Страницы_и_экраны'!$E$5:$E$304,A297))</x:f>
      </x:c>
      <x:c r="N297" s="27" t="str">
        <x:f>IF(A297="","",IF(M297&gt;0,"Покрыт","Нет страницы/экрана"))</x:f>
      </x:c>
      <x:c r="O297" s="27" t="str">
        <x:f>IF(A297="","",MAX(0,MIN(100,ROUND(((J297*0.45)+(K297*0.35)-(L297*0.20))*20,0))))</x:f>
      </x:c>
      <x:c r="P297" s="27"/>
      <x:c r="Q297" s="27"/>
      <x:c r="R297" s="27"/>
      <x:c r="S297" s="27"/>
      <x:c r="T297" s="27"/>
      <x:c r="U297" s="27"/>
    </x:row>
    <x:row r="298">
      <x:c r="A298" s="27" t="str"/>
      <x:c r="B298" s="27" t="str"/>
      <x:c r="C298" s="27" t="str"/>
      <x:c r="D298" s="27" t="str"/>
      <x:c r="E298" s="27" t="str"/>
      <x:c r="F298" s="27" t="str"/>
      <x:c r="G298" s="27" t="str"/>
      <x:c r="H298" s="27" t="str"/>
      <x:c r="I298" s="27" t="str"/>
      <x:c r="J298" s="27" t="str"/>
      <x:c r="K298" s="27" t="str"/>
      <x:c r="L298" s="27" t="str"/>
      <x:c r="M298" s="27" t="str">
        <x:f>IF(A298="","",COUNTIF('Страницы_и_экраны'!$E$5:$E$304,A298))</x:f>
      </x:c>
      <x:c r="N298" s="27" t="str">
        <x:f>IF(A298="","",IF(M298&gt;0,"Покрыт","Нет страницы/экрана"))</x:f>
      </x:c>
      <x:c r="O298" s="27" t="str">
        <x:f>IF(A298="","",MAX(0,MIN(100,ROUND(((J298*0.45)+(K298*0.35)-(L298*0.20))*20,0))))</x:f>
      </x:c>
      <x:c r="P298" s="27"/>
      <x:c r="Q298" s="27"/>
      <x:c r="R298" s="27"/>
      <x:c r="S298" s="27"/>
      <x:c r="T298" s="27"/>
      <x:c r="U298" s="27"/>
    </x:row>
    <x:row r="299">
      <x:c r="A299" s="27" t="str"/>
      <x:c r="B299" s="27" t="str"/>
      <x:c r="C299" s="27" t="str"/>
      <x:c r="D299" s="27" t="str"/>
      <x:c r="E299" s="27" t="str"/>
      <x:c r="F299" s="27" t="str"/>
      <x:c r="G299" s="27" t="str"/>
      <x:c r="H299" s="27" t="str"/>
      <x:c r="I299" s="27" t="str"/>
      <x:c r="J299" s="27" t="str"/>
      <x:c r="K299" s="27" t="str"/>
      <x:c r="L299" s="27" t="str"/>
      <x:c r="M299" s="27" t="str">
        <x:f>IF(A299="","",COUNTIF('Страницы_и_экраны'!$E$5:$E$304,A299))</x:f>
      </x:c>
      <x:c r="N299" s="27" t="str">
        <x:f>IF(A299="","",IF(M299&gt;0,"Покрыт","Нет страницы/экрана"))</x:f>
      </x:c>
      <x:c r="O299" s="27" t="str">
        <x:f>IF(A299="","",MAX(0,MIN(100,ROUND(((J299*0.45)+(K299*0.35)-(L299*0.20))*20,0))))</x:f>
      </x:c>
      <x:c r="P299" s="27"/>
      <x:c r="Q299" s="27"/>
      <x:c r="R299" s="27"/>
      <x:c r="S299" s="27"/>
      <x:c r="T299" s="27"/>
      <x:c r="U299" s="27"/>
    </x:row>
    <x:row r="300">
      <x:c r="A300" s="27" t="str"/>
      <x:c r="B300" s="27" t="str"/>
      <x:c r="C300" s="27" t="str"/>
      <x:c r="D300" s="27" t="str"/>
      <x:c r="E300" s="27" t="str"/>
      <x:c r="F300" s="27" t="str"/>
      <x:c r="G300" s="27" t="str"/>
      <x:c r="H300" s="27" t="str"/>
      <x:c r="I300" s="27" t="str"/>
      <x:c r="J300" s="27" t="str"/>
      <x:c r="K300" s="27" t="str"/>
      <x:c r="L300" s="27" t="str"/>
      <x:c r="M300" s="27" t="str">
        <x:f>IF(A300="","",COUNTIF('Страницы_и_экраны'!$E$5:$E$304,A300))</x:f>
      </x:c>
      <x:c r="N300" s="27" t="str">
        <x:f>IF(A300="","",IF(M300&gt;0,"Покрыт","Нет страницы/экрана"))</x:f>
      </x:c>
      <x:c r="O300" s="27" t="str">
        <x:f>IF(A300="","",MAX(0,MIN(100,ROUND(((J300*0.45)+(K300*0.35)-(L300*0.20))*20,0))))</x:f>
      </x:c>
      <x:c r="P300" s="27"/>
      <x:c r="Q300" s="27"/>
      <x:c r="R300" s="27"/>
      <x:c r="S300" s="27"/>
      <x:c r="T300" s="27"/>
      <x:c r="U300" s="27"/>
    </x:row>
    <x:row r="301">
      <x:c r="A301" s="27" t="str"/>
      <x:c r="B301" s="27" t="str"/>
      <x:c r="C301" s="27" t="str"/>
      <x:c r="D301" s="27" t="str"/>
      <x:c r="E301" s="27" t="str"/>
      <x:c r="F301" s="27" t="str"/>
      <x:c r="G301" s="27" t="str"/>
      <x:c r="H301" s="27" t="str"/>
      <x:c r="I301" s="27" t="str"/>
      <x:c r="J301" s="27" t="str"/>
      <x:c r="K301" s="27" t="str"/>
      <x:c r="L301" s="27" t="str"/>
      <x:c r="M301" s="27" t="str">
        <x:f>IF(A301="","",COUNTIF('Страницы_и_экраны'!$E$5:$E$304,A301))</x:f>
      </x:c>
      <x:c r="N301" s="27" t="str">
        <x:f>IF(A301="","",IF(M301&gt;0,"Покрыт","Нет страницы/экрана"))</x:f>
      </x:c>
      <x:c r="O301" s="27" t="str">
        <x:f>IF(A301="","",MAX(0,MIN(100,ROUND(((J301*0.45)+(K301*0.35)-(L301*0.20))*20,0))))</x:f>
      </x:c>
      <x:c r="P301" s="27"/>
      <x:c r="Q301" s="27"/>
      <x:c r="R301" s="27"/>
      <x:c r="S301" s="27"/>
      <x:c r="T301" s="27"/>
      <x:c r="U301" s="27"/>
    </x:row>
    <x:row r="302">
      <x:c r="A302" s="27" t="str"/>
      <x:c r="B302" s="27" t="str"/>
      <x:c r="C302" s="27" t="str"/>
      <x:c r="D302" s="27" t="str"/>
      <x:c r="E302" s="27" t="str"/>
      <x:c r="F302" s="27" t="str"/>
      <x:c r="G302" s="27" t="str"/>
      <x:c r="H302" s="27" t="str"/>
      <x:c r="I302" s="27" t="str"/>
      <x:c r="J302" s="27" t="str"/>
      <x:c r="K302" s="27" t="str"/>
      <x:c r="L302" s="27" t="str"/>
      <x:c r="M302" s="27" t="str">
        <x:f>IF(A302="","",COUNTIF('Страницы_и_экраны'!$E$5:$E$304,A302))</x:f>
      </x:c>
      <x:c r="N302" s="27" t="str">
        <x:f>IF(A302="","",IF(M302&gt;0,"Покрыт","Нет страницы/экрана"))</x:f>
      </x:c>
      <x:c r="O302" s="27" t="str">
        <x:f>IF(A302="","",MAX(0,MIN(100,ROUND(((J302*0.45)+(K302*0.35)-(L302*0.20))*20,0))))</x:f>
      </x:c>
      <x:c r="P302" s="27"/>
      <x:c r="Q302" s="27"/>
      <x:c r="R302" s="27"/>
      <x:c r="S302" s="27"/>
      <x:c r="T302" s="27"/>
      <x:c r="U302" s="27"/>
    </x:row>
    <x:row r="303">
      <x:c r="A303" s="27" t="str"/>
      <x:c r="B303" s="27" t="str"/>
      <x:c r="C303" s="27" t="str"/>
      <x:c r="D303" s="27" t="str"/>
      <x:c r="E303" s="27" t="str"/>
      <x:c r="F303" s="27" t="str"/>
      <x:c r="G303" s="27" t="str"/>
      <x:c r="H303" s="27" t="str"/>
      <x:c r="I303" s="27" t="str"/>
      <x:c r="J303" s="27" t="str"/>
      <x:c r="K303" s="27" t="str"/>
      <x:c r="L303" s="27" t="str"/>
      <x:c r="M303" s="27" t="str">
        <x:f>IF(A303="","",COUNTIF('Страницы_и_экраны'!$E$5:$E$304,A303))</x:f>
      </x:c>
      <x:c r="N303" s="27" t="str">
        <x:f>IF(A303="","",IF(M303&gt;0,"Покрыт","Нет страницы/экрана"))</x:f>
      </x:c>
      <x:c r="O303" s="27" t="str">
        <x:f>IF(A303="","",MAX(0,MIN(100,ROUND(((J303*0.45)+(K303*0.35)-(L303*0.20))*20,0))))</x:f>
      </x:c>
      <x:c r="P303" s="27"/>
      <x:c r="Q303" s="27"/>
      <x:c r="R303" s="27"/>
      <x:c r="S303" s="27"/>
      <x:c r="T303" s="27"/>
      <x:c r="U303" s="27"/>
    </x:row>
    <x:row r="304">
      <x:c r="A304" s="27" t="str"/>
      <x:c r="B304" s="27" t="str"/>
      <x:c r="C304" s="27" t="str"/>
      <x:c r="D304" s="27" t="str"/>
      <x:c r="E304" s="27" t="str"/>
      <x:c r="F304" s="27" t="str"/>
      <x:c r="G304" s="27" t="str"/>
      <x:c r="H304" s="27" t="str"/>
      <x:c r="I304" s="27" t="str"/>
      <x:c r="J304" s="27" t="str"/>
      <x:c r="K304" s="27" t="str"/>
      <x:c r="L304" s="27" t="str"/>
      <x:c r="M304" s="27" t="str">
        <x:f>IF(A304="","",COUNTIF('Страницы_и_экраны'!$E$5:$E$304,A304))</x:f>
      </x:c>
      <x:c r="N304" s="27" t="str">
        <x:f>IF(A304="","",IF(M304&gt;0,"Покрыт","Нет страницы/экрана"))</x:f>
      </x:c>
      <x:c r="O304" s="27" t="str">
        <x:f>IF(A304="","",MAX(0,MIN(100,ROUND(((J304*0.45)+(K304*0.35)-(L304*0.20))*20,0))))</x:f>
      </x:c>
      <x:c r="P304" s="27"/>
      <x:c r="Q304" s="27"/>
      <x:c r="R304" s="27"/>
      <x:c r="S304" s="27"/>
      <x:c r="T304" s="27"/>
      <x:c r="U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</x:row>
  </x:sheetData>
  <x:mergeCells>
    <x:mergeCell ref="A1:O1"/>
    <x:mergeCell ref="A2:O2"/>
  </x:mergeCells>
  <x:conditionalFormatting sqref="N5:N304">
    <x:cfRule type="expression" dxfId="0" priority="1">
      <x:formula>N5="Нет страницы/экрана"</x:formula>
    </x:cfRule>
    <x:cfRule type="expression" dxfId="1" priority="2">
      <x:formula>N5="Покрыт"</x:formula>
    </x:cfRule>
  </x:conditionalFormatting>
  <x:dataValidations count="4">
    <x:dataValidation type="list" sqref="C5:C304">
      <x: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x:formula1>
    </x:dataValidation>
    <x:dataValidation type="list" sqref="J5:J304">
      <x:formula1>"1,2,3,4,5"</x:formula1>
    </x:dataValidation>
    <x:dataValidation type="list" sqref="K5:K304">
      <x:formula1>"1,2,3,4,5"</x:formula1>
    </x:dataValidation>
    <x:dataValidation type="list" sqref="L5:L304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03f2c906a2042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42" hidden="0" customWidth="1"/>
    <x:col min="5" max="5" width="15" hidden="0" customWidth="1"/>
    <x:col min="6" max="6" width="12" hidden="0" customWidth="1"/>
    <x:col min="7" max="7" width="20" hidden="0" customWidth="1"/>
    <x:col min="8" max="8" width="34" hidden="0" customWidth="1"/>
    <x:col min="9" max="9" width="30" hidden="0" customWidth="1"/>
    <x:col min="10" max="10" width="28" hidden="0" customWidth="1"/>
    <x:col min="11" max="11" width="38" hidden="0" customWidth="1"/>
    <x:col min="12" max="12" width="42" hidden="0" customWidth="1"/>
    <x:col min="13" max="13" width="30" hidden="0" customWidth="1"/>
    <x:col min="14" max="14" width="32" hidden="0" customWidth="1"/>
    <x:col min="15" max="15" width="18" hidden="0" customWidth="1"/>
    <x:col min="16" max="16" width="24" hidden="0" customWidth="1"/>
    <x:col min="17" max="17" width="16" hidden="0" customWidth="1"/>
    <x:col min="18" max="18" width="22" hidden="0" customWidth="1"/>
    <x:col min="19" max="19" width="14" hidden="0" customWidth="1"/>
    <x:col min="20" max="20" width="16" hidden="0" customWidth="1"/>
    <x:col min="21" max="21" width="24" hidden="0" customWidth="1"/>
  </x:cols>
  <x:sheetData>
    <x:row r="1" ht="32" customHeight="1">
      <x:c r="A1" s="60" t="str">
        <x:v>Страницы сайта и экраны приложения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</x:row>
    <x:row r="2" ht="32" customHeight="1">
      <x:c r="A2" s="9" t="str">
        <x:v>Каждая интерфейсная единица должна выводиться из сценария, проблемы, ценностного предложения или требования бизнес-модели.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  <x:c r="U2" s="9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 ht="38" customHeight="1">
      <x:c r="A4" s="50" t="str">
        <x:v>Unit_ID</x:v>
      </x:c>
      <x:c r="B4" s="50" t="str">
        <x:v>Тип</x:v>
      </x:c>
      <x:c r="C4" s="50" t="str">
        <x:v>Название</x:v>
      </x:c>
      <x:c r="D4" s="50" t="str">
        <x:v>Назначение</x:v>
      </x:c>
      <x:c r="E4" s="50" t="str">
        <x:v>Связанный сценарий_ID</x:v>
      </x:c>
      <x:c r="F4" s="50" t="str">
        <x:v>Роль_ID</x:v>
      </x:c>
      <x:c r="G4" s="50" t="str">
        <x:v>Этап пути</x:v>
      </x:c>
      <x:c r="H4" s="50" t="str">
        <x:v>Главная задача пользователя</x:v>
      </x:c>
      <x:c r="I4" s="50" t="str">
        <x:v>Ключевое действие</x:v>
      </x:c>
      <x:c r="J4" s="50" t="str">
        <x:v>Источник требования</x:v>
      </x:c>
      <x:c r="K4" s="50" t="str">
        <x:v>Данные / контент</x:v>
      </x:c>
      <x:c r="L4" s="50" t="str">
        <x:v>Компоненты</x:v>
      </x:c>
      <x:c r="M4" s="50" t="str">
        <x:v>Состояния</x:v>
      </x:c>
      <x:c r="N4" s="50" t="str">
        <x:v>Ошибки / исключения</x:v>
      </x:c>
      <x:c r="O4" s="50" t="str">
        <x:v>Нужна авторизация</x:v>
      </x:c>
      <x:c r="P4" s="50" t="str">
        <x:v>Монетизационная роль</x:v>
      </x:c>
      <x:c r="Q4" s="50" t="str">
        <x:v>Оценка приоритета</x:v>
      </x:c>
      <x:c r="R4" s="50" t="str">
        <x:v>Статус</x:v>
      </x:c>
      <x:c r="S4" s="50" t="str">
        <x:v>Доказательность 1–5</x:v>
      </x:c>
      <x:c r="T4" s="50" t="str">
        <x:v>Полнота описания</x:v>
      </x:c>
      <x:c r="U4" s="50" t="str">
        <x:v>Решение</x:v>
      </x:c>
    </x:row>
    <x:row r="5">
      <x:c r="A5" s="27" t="str">
        <x:v>U-001</x:v>
      </x:c>
      <x:c r="B5" s="27" t="str">
        <x:v>Страница сайта</x:v>
      </x:c>
      <x:c r="C5" s="27" t="str">
        <x:v>Главная страница</x:v>
      </x:c>
      <x:c r="D5" s="27" t="str">
        <x:v>Показать ценность цифрового товара и направить к целевому действию</x:v>
      </x:c>
      <x:c r="E5" s="27" t="str">
        <x:v>SC-001</x:v>
      </x:c>
      <x:c r="F5" s="27" t="str">
        <x:v>ROLE-001</x:v>
      </x:c>
      <x:c r="G5" s="27" t="str">
        <x:v>Первичный интерес</x:v>
      </x:c>
      <x:c r="H5" s="27" t="str">
        <x:v>Понять пользу</x:v>
      </x:c>
      <x:c r="I5" s="27" t="str">
        <x:v>Перейти к демонстрации или регистрации</x:v>
      </x:c>
      <x:c r="J5" s="27" t="str">
        <x:v>F-001; F-002</x:v>
      </x:c>
      <x:c r="K5" s="27" t="str">
        <x:v>Ценностное предложение, преимущества, доказательства</x:v>
      </x:c>
      <x:c r="L5" s="27" t="str">
        <x:v>Первый экран, блок проблем, тарифный вход, призыв к действию</x:v>
      </x:c>
      <x:c r="M5" s="27" t="str">
        <x:v>обычное; загрузка; пустые данные не применимо</x:v>
      </x:c>
      <x:c r="N5" s="27" t="str">
        <x:v>битые ссылки; недоступность формы</x:v>
      </x:c>
      <x:c r="O5" s="27" t="str">
        <x:v>Нет</x:v>
      </x:c>
      <x:c r="P5" s="27" t="str">
        <x:v>Подведение к оплате</x:v>
      </x:c>
      <x:c r="Q5" s="27" t="n">
        <x:f>IF(A5="","",IFERROR(INDEX('Пользовательские_сценарии'!$O$5:$O$304,MATCH(E5,'Пользовательские_сценарии'!$A$5:$A$304,0)),0))</x:f>
        <x:v>68</x:v>
      </x:c>
      <x:c r="R5" s="27" t="str">
        <x:v>Требует уточнения</x:v>
      </x:c>
      <x:c r="S5" s="27" t="n">
        <x:v>4</x:v>
      </x:c>
      <x:c r="T5" s="52" t="n">
        <x:f>IF(A5="","",ROUND(COUNTA(D5:P5)/13,2))</x:f>
        <x:v>1</x:v>
      </x:c>
      <x:c r="U5" s="27" t="str">
        <x:v>Оставить</x:v>
      </x:c>
    </x:row>
    <x:row r="6">
      <x:c r="A6" s="27" t="str">
        <x:v>U-002</x:v>
      </x:c>
      <x:c r="B6" s="27" t="str">
        <x:v>Экран приложения</x:v>
      </x:c>
      <x:c r="C6" s="27" t="str">
        <x:v>Регистрация</x:v>
      </x:c>
      <x:c r="D6" s="27" t="str">
        <x:v>Позволить пользователю создать учетную запись</x:v>
      </x:c>
      <x:c r="E6" s="27" t="str">
        <x:v>SC-002</x:v>
      </x:c>
      <x:c r="F6" s="27" t="str">
        <x:v>ROLE-002</x:v>
      </x:c>
      <x:c r="G6" s="27" t="str">
        <x:v>Регистрация</x:v>
      </x:c>
      <x:c r="H6" s="27" t="str">
        <x:v>Начать пользоваться</x:v>
      </x:c>
      <x:c r="I6" s="27" t="str">
        <x:v>Создать учетную запись</x:v>
      </x:c>
      <x:c r="J6" s="27" t="str">
        <x:v>SC-002</x:v>
      </x:c>
      <x:c r="K6" s="27" t="str">
        <x:v>Форма, согласия, подсказки</x:v>
      </x:c>
      <x:c r="L6" s="27" t="str">
        <x:v>Поля ввода, кнопка, подсказки, валидация</x:v>
      </x:c>
      <x:c r="M6" s="27" t="str">
        <x:v>загрузка; ошибка; успех</x:v>
      </x:c>
      <x:c r="N6" s="27" t="str">
        <x:v>ошибка валидации; повторный email</x:v>
      </x:c>
      <x:c r="O6" s="27" t="str">
        <x:v>Нет</x:v>
      </x:c>
      <x:c r="P6" s="27" t="str">
        <x:v>Удержание</x:v>
      </x:c>
      <x:c r="Q6" s="27" t="n">
        <x:f>IF(A6="","",IFERROR(INDEX('Пользовательские_сценарии'!$O$5:$O$304,MATCH(E6,'Пользовательские_сценарии'!$A$5:$A$304,0)),0))</x:f>
        <x:v>57</x:v>
      </x:c>
      <x:c r="R6" s="27" t="str">
        <x:v>В проектировании</x:v>
      </x:c>
      <x:c r="S6" s="27" t="n">
        <x:v>5</x:v>
      </x:c>
      <x:c r="T6" s="52" t="n">
        <x:f>IF(A6="","",ROUND(COUNTA(D6:P6)/13,2))</x:f>
        <x:v>1</x:v>
      </x:c>
      <x:c r="U6" s="27" t="str">
        <x:v>Оставить</x:v>
      </x:c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  <x:c r="N7" s="27" t="str"/>
      <x:c r="O7" s="27" t="str"/>
      <x:c r="P7" s="27" t="str"/>
      <x:c r="Q7" s="27" t="str">
        <x:f>IF(A7="","",IFERROR(INDEX('Пользовательские_сценарии'!$O$5:$O$304,MATCH(E7,'Пользовательские_сценарии'!$A$5:$A$304,0)),0))</x:f>
      </x:c>
      <x:c r="R7" s="27" t="str"/>
      <x:c r="S7" s="27" t="str"/>
      <x:c r="T7" s="52" t="str">
        <x:f>IF(A7="","",ROUND(COUNTA(D7:P7)/13,2))</x:f>
      </x:c>
      <x:c r="U7" s="27" t="str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/>
      <x:c r="K8" s="27" t="str"/>
      <x:c r="L8" s="27" t="str"/>
      <x:c r="M8" s="27" t="str"/>
      <x:c r="N8" s="27" t="str"/>
      <x:c r="O8" s="27" t="str"/>
      <x:c r="P8" s="27" t="str"/>
      <x:c r="Q8" s="27" t="str">
        <x:f>IF(A8="","",IFERROR(INDEX('Пользовательские_сценарии'!$O$5:$O$304,MATCH(E8,'Пользовательские_сценарии'!$A$5:$A$304,0)),0))</x:f>
      </x:c>
      <x:c r="R8" s="27" t="str"/>
      <x:c r="S8" s="27" t="str"/>
      <x:c r="T8" s="52" t="str">
        <x:f>IF(A8="","",ROUND(COUNTA(D8:P8)/13,2))</x:f>
      </x:c>
      <x:c r="U8" s="27" t="str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 t="str"/>
      <x:c r="L9" s="27" t="str"/>
      <x:c r="M9" s="27" t="str"/>
      <x:c r="N9" s="27" t="str"/>
      <x:c r="O9" s="27" t="str"/>
      <x:c r="P9" s="27" t="str"/>
      <x:c r="Q9" s="27" t="str">
        <x:f>IF(A9="","",IFERROR(INDEX('Пользовательские_сценарии'!$O$5:$O$304,MATCH(E9,'Пользовательские_сценарии'!$A$5:$A$304,0)),0))</x:f>
      </x:c>
      <x:c r="R9" s="27" t="str"/>
      <x:c r="S9" s="27" t="str"/>
      <x:c r="T9" s="52" t="str">
        <x:f>IF(A9="","",ROUND(COUNTA(D9:P9)/13,2))</x:f>
      </x:c>
      <x:c r="U9" s="27" t="str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  <x:c r="K10" s="27" t="str"/>
      <x:c r="L10" s="27" t="str"/>
      <x:c r="M10" s="27" t="str"/>
      <x:c r="N10" s="27" t="str"/>
      <x:c r="O10" s="27" t="str"/>
      <x:c r="P10" s="27" t="str"/>
      <x:c r="Q10" s="27" t="str">
        <x:f>IF(A10="","",IFERROR(INDEX('Пользовательские_сценарии'!$O$5:$O$304,MATCH(E10,'Пользовательские_сценарии'!$A$5:$A$304,0)),0))</x:f>
      </x:c>
      <x:c r="R10" s="27" t="str"/>
      <x:c r="S10" s="27" t="str"/>
      <x:c r="T10" s="52" t="str">
        <x:f>IF(A10="","",ROUND(COUNTA(D10:P10)/13,2))</x:f>
      </x:c>
      <x:c r="U10" s="27" t="str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/>
      <x:c r="M11" s="27" t="str"/>
      <x:c r="N11" s="27" t="str"/>
      <x:c r="O11" s="27" t="str"/>
      <x:c r="P11" s="27" t="str"/>
      <x:c r="Q11" s="27" t="str">
        <x:f>IF(A11="","",IFERROR(INDEX('Пользовательские_сценарии'!$O$5:$O$304,MATCH(E11,'Пользовательские_сценарии'!$A$5:$A$304,0)),0))</x:f>
      </x:c>
      <x:c r="R11" s="27" t="str"/>
      <x:c r="S11" s="27" t="str"/>
      <x:c r="T11" s="52" t="str">
        <x:f>IF(A11="","",ROUND(COUNTA(D11:P11)/13,2))</x:f>
      </x:c>
      <x:c r="U11" s="27" t="str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  <x:c r="M12" s="27" t="str"/>
      <x:c r="N12" s="27" t="str"/>
      <x:c r="O12" s="27" t="str"/>
      <x:c r="P12" s="27" t="str"/>
      <x:c r="Q12" s="27" t="str">
        <x:f>IF(A12="","",IFERROR(INDEX('Пользовательские_сценарии'!$O$5:$O$304,MATCH(E12,'Пользовательские_сценарии'!$A$5:$A$304,0)),0))</x:f>
      </x:c>
      <x:c r="R12" s="27" t="str"/>
      <x:c r="S12" s="27" t="str"/>
      <x:c r="T12" s="52" t="str">
        <x:f>IF(A12="","",ROUND(COUNTA(D12:P12)/13,2))</x:f>
      </x:c>
      <x:c r="U12" s="27" t="str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  <x:c r="L13" s="27" t="str"/>
      <x:c r="M13" s="27" t="str"/>
      <x:c r="N13" s="27" t="str"/>
      <x:c r="O13" s="27" t="str"/>
      <x:c r="P13" s="27" t="str"/>
      <x:c r="Q13" s="27" t="str">
        <x:f>IF(A13="","",IFERROR(INDEX('Пользовательские_сценарии'!$O$5:$O$304,MATCH(E13,'Пользовательские_сценарии'!$A$5:$A$304,0)),0))</x:f>
      </x:c>
      <x:c r="R13" s="27" t="str"/>
      <x:c r="S13" s="27" t="str"/>
      <x:c r="T13" s="52" t="str">
        <x:f>IF(A13="","",ROUND(COUNTA(D13:P13)/13,2))</x:f>
      </x:c>
      <x:c r="U13" s="27" t="str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7" t="str"/>
      <x:c r="L14" s="27" t="str"/>
      <x:c r="M14" s="27" t="str"/>
      <x:c r="N14" s="27" t="str"/>
      <x:c r="O14" s="27" t="str"/>
      <x:c r="P14" s="27" t="str"/>
      <x:c r="Q14" s="27" t="str">
        <x:f>IF(A14="","",IFERROR(INDEX('Пользовательские_сценарии'!$O$5:$O$304,MATCH(E14,'Пользовательские_сценарии'!$A$5:$A$304,0)),0))</x:f>
      </x:c>
      <x:c r="R14" s="27" t="str"/>
      <x:c r="S14" s="27" t="str"/>
      <x:c r="T14" s="52" t="str">
        <x:f>IF(A14="","",ROUND(COUNTA(D14:P14)/13,2))</x:f>
      </x:c>
      <x:c r="U14" s="27" t="str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/>
      <x:c r="L15" s="27" t="str"/>
      <x:c r="M15" s="27" t="str"/>
      <x:c r="N15" s="27" t="str"/>
      <x:c r="O15" s="27" t="str"/>
      <x:c r="P15" s="27" t="str"/>
      <x:c r="Q15" s="27" t="str">
        <x:f>IF(A15="","",IFERROR(INDEX('Пользовательские_сценарии'!$O$5:$O$304,MATCH(E15,'Пользовательские_сценарии'!$A$5:$A$304,0)),0))</x:f>
      </x:c>
      <x:c r="R15" s="27" t="str"/>
      <x:c r="S15" s="27" t="str"/>
      <x:c r="T15" s="52" t="str">
        <x:f>IF(A15="","",ROUND(COUNTA(D15:P15)/13,2))</x:f>
      </x:c>
      <x:c r="U15" s="27" t="str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27" t="str"/>
      <x:c r="L16" s="27" t="str"/>
      <x:c r="M16" s="27" t="str"/>
      <x:c r="N16" s="27" t="str"/>
      <x:c r="O16" s="27" t="str"/>
      <x:c r="P16" s="27" t="str"/>
      <x:c r="Q16" s="27" t="str">
        <x:f>IF(A16="","",IFERROR(INDEX('Пользовательские_сценарии'!$O$5:$O$304,MATCH(E16,'Пользовательские_сценарии'!$A$5:$A$304,0)),0))</x:f>
      </x:c>
      <x:c r="R16" s="27" t="str"/>
      <x:c r="S16" s="27" t="str"/>
      <x:c r="T16" s="52" t="str">
        <x:f>IF(A16="","",ROUND(COUNTA(D16:P16)/13,2))</x:f>
      </x:c>
      <x:c r="U16" s="27" t="str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 t="str"/>
      <x:c r="M17" s="27" t="str"/>
      <x:c r="N17" s="27" t="str"/>
      <x:c r="O17" s="27" t="str"/>
      <x:c r="P17" s="27" t="str"/>
      <x:c r="Q17" s="27" t="str">
        <x:f>IF(A17="","",IFERROR(INDEX('Пользовательские_сценарии'!$O$5:$O$304,MATCH(E17,'Пользовательские_сценарии'!$A$5:$A$304,0)),0))</x:f>
      </x:c>
      <x:c r="R17" s="27" t="str"/>
      <x:c r="S17" s="27" t="str"/>
      <x:c r="T17" s="52" t="str">
        <x:f>IF(A17="","",ROUND(COUNTA(D17:P17)/13,2))</x:f>
      </x:c>
      <x:c r="U17" s="27" t="str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27" t="str"/>
      <x:c r="L18" s="27" t="str"/>
      <x:c r="M18" s="27" t="str"/>
      <x:c r="N18" s="27" t="str"/>
      <x:c r="O18" s="27" t="str"/>
      <x:c r="P18" s="27" t="str"/>
      <x:c r="Q18" s="27" t="str">
        <x:f>IF(A18="","",IFERROR(INDEX('Пользовательские_сценарии'!$O$5:$O$304,MATCH(E18,'Пользовательские_сценарии'!$A$5:$A$304,0)),0))</x:f>
      </x:c>
      <x:c r="R18" s="27" t="str"/>
      <x:c r="S18" s="27" t="str"/>
      <x:c r="T18" s="52" t="str">
        <x:f>IF(A18="","",ROUND(COUNTA(D18:P18)/13,2))</x:f>
      </x:c>
      <x:c r="U18" s="27" t="str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7" t="str"/>
      <x:c r="L19" s="27" t="str"/>
      <x:c r="M19" s="27" t="str"/>
      <x:c r="N19" s="27" t="str"/>
      <x:c r="O19" s="27" t="str"/>
      <x:c r="P19" s="27" t="str"/>
      <x:c r="Q19" s="27" t="str">
        <x:f>IF(A19="","",IFERROR(INDEX('Пользовательские_сценарии'!$O$5:$O$304,MATCH(E19,'Пользовательские_сценарии'!$A$5:$A$304,0)),0))</x:f>
      </x:c>
      <x:c r="R19" s="27" t="str"/>
      <x:c r="S19" s="27" t="str"/>
      <x:c r="T19" s="52" t="str">
        <x:f>IF(A19="","",ROUND(COUNTA(D19:P19)/13,2))</x:f>
      </x:c>
      <x:c r="U19" s="27" t="str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27" t="str"/>
      <x:c r="L20" s="27" t="str"/>
      <x:c r="M20" s="27" t="str"/>
      <x:c r="N20" s="27" t="str"/>
      <x:c r="O20" s="27" t="str"/>
      <x:c r="P20" s="27" t="str"/>
      <x:c r="Q20" s="27" t="str">
        <x:f>IF(A20="","",IFERROR(INDEX('Пользовательские_сценарии'!$O$5:$O$304,MATCH(E20,'Пользовательские_сценарии'!$A$5:$A$304,0)),0))</x:f>
      </x:c>
      <x:c r="R20" s="27" t="str"/>
      <x:c r="S20" s="27" t="str"/>
      <x:c r="T20" s="52" t="str">
        <x:f>IF(A20="","",ROUND(COUNTA(D20:P20)/13,2))</x:f>
      </x:c>
      <x:c r="U20" s="27" t="str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27" t="str"/>
      <x:c r="L21" s="27" t="str"/>
      <x:c r="M21" s="27" t="str"/>
      <x:c r="N21" s="27" t="str"/>
      <x:c r="O21" s="27" t="str"/>
      <x:c r="P21" s="27" t="str"/>
      <x:c r="Q21" s="27" t="str">
        <x:f>IF(A21="","",IFERROR(INDEX('Пользовательские_сценарии'!$O$5:$O$304,MATCH(E21,'Пользовательские_сценарии'!$A$5:$A$304,0)),0))</x:f>
      </x:c>
      <x:c r="R21" s="27" t="str"/>
      <x:c r="S21" s="27" t="str"/>
      <x:c r="T21" s="52" t="str">
        <x:f>IF(A21="","",ROUND(COUNTA(D21:P21)/13,2))</x:f>
      </x:c>
      <x:c r="U21" s="27" t="str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7" t="str"/>
      <x:c r="L22" s="27" t="str"/>
      <x:c r="M22" s="27" t="str"/>
      <x:c r="N22" s="27" t="str"/>
      <x:c r="O22" s="27" t="str"/>
      <x:c r="P22" s="27" t="str"/>
      <x:c r="Q22" s="27" t="str">
        <x:f>IF(A22="","",IFERROR(INDEX('Пользовательские_сценарии'!$O$5:$O$304,MATCH(E22,'Пользовательские_сценарии'!$A$5:$A$304,0)),0))</x:f>
      </x:c>
      <x:c r="R22" s="27" t="str"/>
      <x:c r="S22" s="27" t="str"/>
      <x:c r="T22" s="52" t="str">
        <x:f>IF(A22="","",ROUND(COUNTA(D22:P22)/13,2))</x:f>
      </x:c>
      <x:c r="U22" s="27" t="str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27" t="str"/>
      <x:c r="L23" s="27" t="str"/>
      <x:c r="M23" s="27" t="str"/>
      <x:c r="N23" s="27" t="str"/>
      <x:c r="O23" s="27" t="str"/>
      <x:c r="P23" s="27" t="str"/>
      <x:c r="Q23" s="27" t="str">
        <x:f>IF(A23="","",IFERROR(INDEX('Пользовательские_сценарии'!$O$5:$O$304,MATCH(E23,'Пользовательские_сценарии'!$A$5:$A$304,0)),0))</x:f>
      </x:c>
      <x:c r="R23" s="27" t="str"/>
      <x:c r="S23" s="27" t="str"/>
      <x:c r="T23" s="52" t="str">
        <x:f>IF(A23="","",ROUND(COUNTA(D23:P23)/13,2))</x:f>
      </x:c>
      <x:c r="U23" s="27" t="str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7" t="str"/>
      <x:c r="L24" s="27" t="str"/>
      <x:c r="M24" s="27" t="str"/>
      <x:c r="N24" s="27" t="str"/>
      <x:c r="O24" s="27" t="str"/>
      <x:c r="P24" s="27" t="str"/>
      <x:c r="Q24" s="27" t="str">
        <x:f>IF(A24="","",IFERROR(INDEX('Пользовательские_сценарии'!$O$5:$O$304,MATCH(E24,'Пользовательские_сценарии'!$A$5:$A$304,0)),0))</x:f>
      </x:c>
      <x:c r="R24" s="27" t="str"/>
      <x:c r="S24" s="27" t="str"/>
      <x:c r="T24" s="52" t="str">
        <x:f>IF(A24="","",ROUND(COUNTA(D24:P24)/13,2))</x:f>
      </x:c>
      <x:c r="U24" s="27" t="str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7" t="str"/>
      <x:c r="L25" s="27" t="str"/>
      <x:c r="M25" s="27" t="str"/>
      <x:c r="N25" s="27" t="str"/>
      <x:c r="O25" s="27" t="str"/>
      <x:c r="P25" s="27" t="str"/>
      <x:c r="Q25" s="27" t="str">
        <x:f>IF(A25="","",IFERROR(INDEX('Пользовательские_сценарии'!$O$5:$O$304,MATCH(E25,'Пользовательские_сценарии'!$A$5:$A$304,0)),0))</x:f>
      </x:c>
      <x:c r="R25" s="27" t="str"/>
      <x:c r="S25" s="27" t="str"/>
      <x:c r="T25" s="52" t="str">
        <x:f>IF(A25="","",ROUND(COUNTA(D25:P25)/13,2))</x:f>
      </x:c>
      <x:c r="U25" s="27" t="str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7" t="str"/>
      <x:c r="L26" s="27" t="str"/>
      <x:c r="M26" s="27" t="str"/>
      <x:c r="N26" s="27" t="str"/>
      <x:c r="O26" s="27" t="str"/>
      <x:c r="P26" s="27" t="str"/>
      <x:c r="Q26" s="27" t="str">
        <x:f>IF(A26="","",IFERROR(INDEX('Пользовательские_сценарии'!$O$5:$O$304,MATCH(E26,'Пользовательские_сценарии'!$A$5:$A$304,0)),0))</x:f>
      </x:c>
      <x:c r="R26" s="27" t="str"/>
      <x:c r="S26" s="27" t="str"/>
      <x:c r="T26" s="52" t="str">
        <x:f>IF(A26="","",ROUND(COUNTA(D26:P26)/13,2))</x:f>
      </x:c>
      <x:c r="U26" s="27" t="str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 t="str"/>
      <x:c r="L27" s="27" t="str"/>
      <x:c r="M27" s="27" t="str"/>
      <x:c r="N27" s="27" t="str"/>
      <x:c r="O27" s="27" t="str"/>
      <x:c r="P27" s="27" t="str"/>
      <x:c r="Q27" s="27" t="str">
        <x:f>IF(A27="","",IFERROR(INDEX('Пользовательские_сценарии'!$O$5:$O$304,MATCH(E27,'Пользовательские_сценарии'!$A$5:$A$304,0)),0))</x:f>
      </x:c>
      <x:c r="R27" s="27" t="str"/>
      <x:c r="S27" s="27" t="str"/>
      <x:c r="T27" s="52" t="str">
        <x:f>IF(A27="","",ROUND(COUNTA(D27:P27)/13,2))</x:f>
      </x:c>
      <x:c r="U27" s="27" t="str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7" t="str"/>
      <x:c r="L28" s="27" t="str"/>
      <x:c r="M28" s="27" t="str"/>
      <x:c r="N28" s="27" t="str"/>
      <x:c r="O28" s="27" t="str"/>
      <x:c r="P28" s="27" t="str"/>
      <x:c r="Q28" s="27" t="str">
        <x:f>IF(A28="","",IFERROR(INDEX('Пользовательские_сценарии'!$O$5:$O$304,MATCH(E28,'Пользовательские_сценарии'!$A$5:$A$304,0)),0))</x:f>
      </x:c>
      <x:c r="R28" s="27" t="str"/>
      <x:c r="S28" s="27" t="str"/>
      <x:c r="T28" s="52" t="str">
        <x:f>IF(A28="","",ROUND(COUNTA(D28:P28)/13,2))</x:f>
      </x:c>
      <x:c r="U28" s="27" t="str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27" t="str"/>
      <x:c r="L29" s="27" t="str"/>
      <x:c r="M29" s="27" t="str"/>
      <x:c r="N29" s="27" t="str"/>
      <x:c r="O29" s="27" t="str"/>
      <x:c r="P29" s="27" t="str"/>
      <x:c r="Q29" s="27" t="str">
        <x:f>IF(A29="","",IFERROR(INDEX('Пользовательские_сценарии'!$O$5:$O$304,MATCH(E29,'Пользовательские_сценарии'!$A$5:$A$304,0)),0))</x:f>
      </x:c>
      <x:c r="R29" s="27" t="str"/>
      <x:c r="S29" s="27" t="str"/>
      <x:c r="T29" s="52" t="str">
        <x:f>IF(A29="","",ROUND(COUNTA(D29:P29)/13,2))</x:f>
      </x:c>
      <x:c r="U29" s="27" t="str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27" t="str"/>
      <x:c r="L30" s="27" t="str"/>
      <x:c r="M30" s="27" t="str"/>
      <x:c r="N30" s="27" t="str"/>
      <x:c r="O30" s="27" t="str"/>
      <x:c r="P30" s="27" t="str"/>
      <x:c r="Q30" s="27" t="str">
        <x:f>IF(A30="","",IFERROR(INDEX('Пользовательские_сценарии'!$O$5:$O$304,MATCH(E30,'Пользовательские_сценарии'!$A$5:$A$304,0)),0))</x:f>
      </x:c>
      <x:c r="R30" s="27" t="str"/>
      <x:c r="S30" s="27" t="str"/>
      <x:c r="T30" s="52" t="str">
        <x:f>IF(A30="","",ROUND(COUNTA(D30:P30)/13,2))</x:f>
      </x:c>
      <x:c r="U30" s="27" t="str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27" t="str"/>
      <x:c r="L31" s="27" t="str"/>
      <x:c r="M31" s="27" t="str"/>
      <x:c r="N31" s="27" t="str"/>
      <x:c r="O31" s="27" t="str"/>
      <x:c r="P31" s="27" t="str"/>
      <x:c r="Q31" s="27" t="str">
        <x:f>IF(A31="","",IFERROR(INDEX('Пользовательские_сценарии'!$O$5:$O$304,MATCH(E31,'Пользовательские_сценарии'!$A$5:$A$304,0)),0))</x:f>
      </x:c>
      <x:c r="R31" s="27" t="str"/>
      <x:c r="S31" s="27" t="str"/>
      <x:c r="T31" s="52" t="str">
        <x:f>IF(A31="","",ROUND(COUNTA(D31:P31)/13,2))</x:f>
      </x:c>
      <x:c r="U31" s="27" t="str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7" t="str"/>
      <x:c r="L32" s="27" t="str"/>
      <x:c r="M32" s="27" t="str"/>
      <x:c r="N32" s="27" t="str"/>
      <x:c r="O32" s="27" t="str"/>
      <x:c r="P32" s="27" t="str"/>
      <x:c r="Q32" s="27" t="str">
        <x:f>IF(A32="","",IFERROR(INDEX('Пользовательские_сценарии'!$O$5:$O$304,MATCH(E32,'Пользовательские_сценарии'!$A$5:$A$304,0)),0))</x:f>
      </x:c>
      <x:c r="R32" s="27" t="str"/>
      <x:c r="S32" s="27" t="str"/>
      <x:c r="T32" s="52" t="str">
        <x:f>IF(A32="","",ROUND(COUNTA(D32:P32)/13,2))</x:f>
      </x:c>
      <x:c r="U32" s="27" t="str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27" t="str"/>
      <x:c r="L33" s="27" t="str"/>
      <x:c r="M33" s="27" t="str"/>
      <x:c r="N33" s="27" t="str"/>
      <x:c r="O33" s="27" t="str"/>
      <x:c r="P33" s="27" t="str"/>
      <x:c r="Q33" s="27" t="str">
        <x:f>IF(A33="","",IFERROR(INDEX('Пользовательские_сценарии'!$O$5:$O$304,MATCH(E33,'Пользовательские_сценарии'!$A$5:$A$304,0)),0))</x:f>
      </x:c>
      <x:c r="R33" s="27" t="str"/>
      <x:c r="S33" s="27" t="str"/>
      <x:c r="T33" s="52" t="str">
        <x:f>IF(A33="","",ROUND(COUNTA(D33:P33)/13,2))</x:f>
      </x:c>
      <x:c r="U33" s="27" t="str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27" t="str"/>
      <x:c r="L34" s="27" t="str"/>
      <x:c r="M34" s="27" t="str"/>
      <x:c r="N34" s="27" t="str"/>
      <x:c r="O34" s="27" t="str"/>
      <x:c r="P34" s="27" t="str"/>
      <x:c r="Q34" s="27" t="str">
        <x:f>IF(A34="","",IFERROR(INDEX('Пользовательские_сценарии'!$O$5:$O$304,MATCH(E34,'Пользовательские_сценарии'!$A$5:$A$304,0)),0))</x:f>
      </x:c>
      <x:c r="R34" s="27" t="str"/>
      <x:c r="S34" s="27" t="str"/>
      <x:c r="T34" s="52" t="str">
        <x:f>IF(A34="","",ROUND(COUNTA(D34:P34)/13,2))</x:f>
      </x:c>
      <x:c r="U34" s="27" t="str"/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  <x:c r="K35" s="27" t="str"/>
      <x:c r="L35" s="27" t="str"/>
      <x:c r="M35" s="27" t="str"/>
      <x:c r="N35" s="27" t="str"/>
      <x:c r="O35" s="27" t="str"/>
      <x:c r="P35" s="27" t="str"/>
      <x:c r="Q35" s="27" t="str">
        <x:f>IF(A35="","",IFERROR(INDEX('Пользовательские_сценарии'!$O$5:$O$304,MATCH(E35,'Пользовательские_сценарии'!$A$5:$A$304,0)),0))</x:f>
      </x:c>
      <x:c r="R35" s="27" t="str"/>
      <x:c r="S35" s="27" t="str"/>
      <x:c r="T35" s="52" t="str">
        <x:f>IF(A35="","",ROUND(COUNTA(D35:P35)/13,2))</x:f>
      </x:c>
      <x:c r="U35" s="27" t="str"/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  <x:c r="K36" s="27" t="str"/>
      <x:c r="L36" s="27" t="str"/>
      <x:c r="M36" s="27" t="str"/>
      <x:c r="N36" s="27" t="str"/>
      <x:c r="O36" s="27" t="str"/>
      <x:c r="P36" s="27" t="str"/>
      <x:c r="Q36" s="27" t="str">
        <x:f>IF(A36="","",IFERROR(INDEX('Пользовательские_сценарии'!$O$5:$O$304,MATCH(E36,'Пользовательские_сценарии'!$A$5:$A$304,0)),0))</x:f>
      </x:c>
      <x:c r="R36" s="27" t="str"/>
      <x:c r="S36" s="27" t="str"/>
      <x:c r="T36" s="52" t="str">
        <x:f>IF(A36="","",ROUND(COUNTA(D36:P36)/13,2))</x:f>
      </x:c>
      <x:c r="U36" s="27" t="str"/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7" t="str"/>
      <x:c r="L37" s="27" t="str"/>
      <x:c r="M37" s="27" t="str"/>
      <x:c r="N37" s="27" t="str"/>
      <x:c r="O37" s="27" t="str"/>
      <x:c r="P37" s="27" t="str"/>
      <x:c r="Q37" s="27" t="str">
        <x:f>IF(A37="","",IFERROR(INDEX('Пользовательские_сценарии'!$O$5:$O$304,MATCH(E37,'Пользовательские_сценарии'!$A$5:$A$304,0)),0))</x:f>
      </x:c>
      <x:c r="R37" s="27" t="str"/>
      <x:c r="S37" s="27" t="str"/>
      <x:c r="T37" s="52" t="str">
        <x:f>IF(A37="","",ROUND(COUNTA(D37:P37)/13,2))</x:f>
      </x:c>
      <x:c r="U37" s="27" t="str"/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  <x:c r="K38" s="27" t="str"/>
      <x:c r="L38" s="27" t="str"/>
      <x:c r="M38" s="27" t="str"/>
      <x:c r="N38" s="27" t="str"/>
      <x:c r="O38" s="27" t="str"/>
      <x:c r="P38" s="27" t="str"/>
      <x:c r="Q38" s="27" t="str">
        <x:f>IF(A38="","",IFERROR(INDEX('Пользовательские_сценарии'!$O$5:$O$304,MATCH(E38,'Пользовательские_сценарии'!$A$5:$A$304,0)),0))</x:f>
      </x:c>
      <x:c r="R38" s="27" t="str"/>
      <x:c r="S38" s="27" t="str"/>
      <x:c r="T38" s="52" t="str">
        <x:f>IF(A38="","",ROUND(COUNTA(D38:P38)/13,2))</x:f>
      </x:c>
      <x:c r="U38" s="27" t="str"/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  <x:c r="K39" s="27" t="str"/>
      <x:c r="L39" s="27" t="str"/>
      <x:c r="M39" s="27" t="str"/>
      <x:c r="N39" s="27" t="str"/>
      <x:c r="O39" s="27" t="str"/>
      <x:c r="P39" s="27" t="str"/>
      <x:c r="Q39" s="27" t="str">
        <x:f>IF(A39="","",IFERROR(INDEX('Пользовательские_сценарии'!$O$5:$O$304,MATCH(E39,'Пользовательские_сценарии'!$A$5:$A$304,0)),0))</x:f>
      </x:c>
      <x:c r="R39" s="27" t="str"/>
      <x:c r="S39" s="27" t="str"/>
      <x:c r="T39" s="52" t="str">
        <x:f>IF(A39="","",ROUND(COUNTA(D39:P39)/13,2))</x:f>
      </x:c>
      <x:c r="U39" s="27" t="str"/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  <x:c r="K40" s="27" t="str"/>
      <x:c r="L40" s="27" t="str"/>
      <x:c r="M40" s="27" t="str"/>
      <x:c r="N40" s="27" t="str"/>
      <x:c r="O40" s="27" t="str"/>
      <x:c r="P40" s="27" t="str"/>
      <x:c r="Q40" s="27" t="str">
        <x:f>IF(A40="","",IFERROR(INDEX('Пользовательские_сценарии'!$O$5:$O$304,MATCH(E40,'Пользовательские_сценарии'!$A$5:$A$304,0)),0))</x:f>
      </x:c>
      <x:c r="R40" s="27" t="str"/>
      <x:c r="S40" s="27" t="str"/>
      <x:c r="T40" s="52" t="str">
        <x:f>IF(A40="","",ROUND(COUNTA(D40:P40)/13,2))</x:f>
      </x:c>
      <x:c r="U40" s="27" t="str"/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 t="str"/>
      <x:c r="K41" s="27" t="str"/>
      <x:c r="L41" s="27" t="str"/>
      <x:c r="M41" s="27" t="str"/>
      <x:c r="N41" s="27" t="str"/>
      <x:c r="O41" s="27" t="str"/>
      <x:c r="P41" s="27" t="str"/>
      <x:c r="Q41" s="27" t="str">
        <x:f>IF(A41="","",IFERROR(INDEX('Пользовательские_сценарии'!$O$5:$O$304,MATCH(E41,'Пользовательские_сценарии'!$A$5:$A$304,0)),0))</x:f>
      </x:c>
      <x:c r="R41" s="27" t="str"/>
      <x:c r="S41" s="27" t="str"/>
      <x:c r="T41" s="52" t="str">
        <x:f>IF(A41="","",ROUND(COUNTA(D41:P41)/13,2))</x:f>
      </x:c>
      <x:c r="U41" s="27" t="str"/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 t="str"/>
      <x:c r="K42" s="27" t="str"/>
      <x:c r="L42" s="27" t="str"/>
      <x:c r="M42" s="27" t="str"/>
      <x:c r="N42" s="27" t="str"/>
      <x:c r="O42" s="27" t="str"/>
      <x:c r="P42" s="27" t="str"/>
      <x:c r="Q42" s="27" t="str">
        <x:f>IF(A42="","",IFERROR(INDEX('Пользовательские_сценарии'!$O$5:$O$304,MATCH(E42,'Пользовательские_сценарии'!$A$5:$A$304,0)),0))</x:f>
      </x:c>
      <x:c r="R42" s="27" t="str"/>
      <x:c r="S42" s="27" t="str"/>
      <x:c r="T42" s="52" t="str">
        <x:f>IF(A42="","",ROUND(COUNTA(D42:P42)/13,2))</x:f>
      </x:c>
      <x:c r="U42" s="27" t="str"/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 t="str"/>
      <x:c r="K43" s="27" t="str"/>
      <x:c r="L43" s="27" t="str"/>
      <x:c r="M43" s="27" t="str"/>
      <x:c r="N43" s="27" t="str"/>
      <x:c r="O43" s="27" t="str"/>
      <x:c r="P43" s="27" t="str"/>
      <x:c r="Q43" s="27" t="str">
        <x:f>IF(A43="","",IFERROR(INDEX('Пользовательские_сценарии'!$O$5:$O$304,MATCH(E43,'Пользовательские_сценарии'!$A$5:$A$304,0)),0))</x:f>
      </x:c>
      <x:c r="R43" s="27" t="str"/>
      <x:c r="S43" s="27" t="str"/>
      <x:c r="T43" s="52" t="str">
        <x:f>IF(A43="","",ROUND(COUNTA(D43:P43)/13,2))</x:f>
      </x:c>
      <x:c r="U43" s="27" t="str"/>
    </x:row>
    <x:row r="44">
      <x:c r="A44" s="27" t="str"/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/>
      <x:c r="J44" s="27" t="str"/>
      <x:c r="K44" s="27" t="str"/>
      <x:c r="L44" s="27" t="str"/>
      <x:c r="M44" s="27" t="str"/>
      <x:c r="N44" s="27" t="str"/>
      <x:c r="O44" s="27" t="str"/>
      <x:c r="P44" s="27" t="str"/>
      <x:c r="Q44" s="27" t="str">
        <x:f>IF(A44="","",IFERROR(INDEX('Пользовательские_сценарии'!$O$5:$O$304,MATCH(E44,'Пользовательские_сценарии'!$A$5:$A$304,0)),0))</x:f>
      </x:c>
      <x:c r="R44" s="27" t="str"/>
      <x:c r="S44" s="27" t="str"/>
      <x:c r="T44" s="52" t="str">
        <x:f>IF(A44="","",ROUND(COUNTA(D44:P44)/13,2))</x:f>
      </x:c>
      <x:c r="U44" s="27" t="str"/>
    </x:row>
    <x:row r="45">
      <x:c r="A45" s="27" t="str"/>
      <x:c r="B45" s="27" t="str"/>
      <x:c r="C45" s="27" t="str"/>
      <x:c r="D45" s="27" t="str"/>
      <x:c r="E45" s="27" t="str"/>
      <x:c r="F45" s="27" t="str"/>
      <x:c r="G45" s="27" t="str"/>
      <x:c r="H45" s="27" t="str"/>
      <x:c r="I45" s="27" t="str"/>
      <x:c r="J45" s="27" t="str"/>
      <x:c r="K45" s="27" t="str"/>
      <x:c r="L45" s="27" t="str"/>
      <x:c r="M45" s="27" t="str"/>
      <x:c r="N45" s="27" t="str"/>
      <x:c r="O45" s="27" t="str"/>
      <x:c r="P45" s="27" t="str"/>
      <x:c r="Q45" s="27" t="str">
        <x:f>IF(A45="","",IFERROR(INDEX('Пользовательские_сценарии'!$O$5:$O$304,MATCH(E45,'Пользовательские_сценарии'!$A$5:$A$304,0)),0))</x:f>
      </x:c>
      <x:c r="R45" s="27" t="str"/>
      <x:c r="S45" s="27" t="str"/>
      <x:c r="T45" s="52" t="str">
        <x:f>IF(A45="","",ROUND(COUNTA(D45:P45)/13,2))</x:f>
      </x:c>
      <x:c r="U45" s="27" t="str"/>
    </x:row>
    <x:row r="46">
      <x:c r="A46" s="27" t="str"/>
      <x:c r="B46" s="27" t="str"/>
      <x:c r="C46" s="27" t="str"/>
      <x:c r="D46" s="27" t="str"/>
      <x:c r="E46" s="27" t="str"/>
      <x:c r="F46" s="27" t="str"/>
      <x:c r="G46" s="27" t="str"/>
      <x:c r="H46" s="27" t="str"/>
      <x:c r="I46" s="27" t="str"/>
      <x:c r="J46" s="27" t="str"/>
      <x:c r="K46" s="27" t="str"/>
      <x:c r="L46" s="27" t="str"/>
      <x:c r="M46" s="27" t="str"/>
      <x:c r="N46" s="27" t="str"/>
      <x:c r="O46" s="27" t="str"/>
      <x:c r="P46" s="27" t="str"/>
      <x:c r="Q46" s="27" t="str">
        <x:f>IF(A46="","",IFERROR(INDEX('Пользовательские_сценарии'!$O$5:$O$304,MATCH(E46,'Пользовательские_сценарии'!$A$5:$A$304,0)),0))</x:f>
      </x:c>
      <x:c r="R46" s="27" t="str"/>
      <x:c r="S46" s="27" t="str"/>
      <x:c r="T46" s="52" t="str">
        <x:f>IF(A46="","",ROUND(COUNTA(D46:P46)/13,2))</x:f>
      </x:c>
      <x:c r="U46" s="27" t="str"/>
    </x:row>
    <x:row r="47">
      <x:c r="A47" s="27" t="str"/>
      <x:c r="B47" s="27" t="str"/>
      <x:c r="C47" s="27" t="str"/>
      <x:c r="D47" s="27" t="str"/>
      <x:c r="E47" s="27" t="str"/>
      <x:c r="F47" s="27" t="str"/>
      <x:c r="G47" s="27" t="str"/>
      <x:c r="H47" s="27" t="str"/>
      <x:c r="I47" s="27" t="str"/>
      <x:c r="J47" s="27" t="str"/>
      <x:c r="K47" s="27" t="str"/>
      <x:c r="L47" s="27" t="str"/>
      <x:c r="M47" s="27" t="str"/>
      <x:c r="N47" s="27" t="str"/>
      <x:c r="O47" s="27" t="str"/>
      <x:c r="P47" s="27" t="str"/>
      <x:c r="Q47" s="27" t="str">
        <x:f>IF(A47="","",IFERROR(INDEX('Пользовательские_сценарии'!$O$5:$O$304,MATCH(E47,'Пользовательские_сценарии'!$A$5:$A$304,0)),0))</x:f>
      </x:c>
      <x:c r="R47" s="27" t="str"/>
      <x:c r="S47" s="27" t="str"/>
      <x:c r="T47" s="52" t="str">
        <x:f>IF(A47="","",ROUND(COUNTA(D47:P47)/13,2))</x:f>
      </x:c>
      <x:c r="U47" s="27" t="str"/>
    </x:row>
    <x:row r="48">
      <x:c r="A48" s="27" t="str"/>
      <x:c r="B48" s="27" t="str"/>
      <x:c r="C48" s="27" t="str"/>
      <x:c r="D48" s="27" t="str"/>
      <x:c r="E48" s="27" t="str"/>
      <x:c r="F48" s="27" t="str"/>
      <x:c r="G48" s="27" t="str"/>
      <x:c r="H48" s="27" t="str"/>
      <x:c r="I48" s="27" t="str"/>
      <x:c r="J48" s="27" t="str"/>
      <x:c r="K48" s="27" t="str"/>
      <x:c r="L48" s="27" t="str"/>
      <x:c r="M48" s="27" t="str"/>
      <x:c r="N48" s="27" t="str"/>
      <x:c r="O48" s="27" t="str"/>
      <x:c r="P48" s="27" t="str"/>
      <x:c r="Q48" s="27" t="str">
        <x:f>IF(A48="","",IFERROR(INDEX('Пользовательские_сценарии'!$O$5:$O$304,MATCH(E48,'Пользовательские_сценарии'!$A$5:$A$304,0)),0))</x:f>
      </x:c>
      <x:c r="R48" s="27" t="str"/>
      <x:c r="S48" s="27" t="str"/>
      <x:c r="T48" s="52" t="str">
        <x:f>IF(A48="","",ROUND(COUNTA(D48:P48)/13,2))</x:f>
      </x:c>
      <x:c r="U48" s="27" t="str"/>
    </x:row>
    <x:row r="49">
      <x:c r="A49" s="27" t="str"/>
      <x:c r="B49" s="27" t="str"/>
      <x:c r="C49" s="27" t="str"/>
      <x:c r="D49" s="27" t="str"/>
      <x:c r="E49" s="27" t="str"/>
      <x:c r="F49" s="27" t="str"/>
      <x:c r="G49" s="27" t="str"/>
      <x:c r="H49" s="27" t="str"/>
      <x:c r="I49" s="27" t="str"/>
      <x:c r="J49" s="27" t="str"/>
      <x:c r="K49" s="27" t="str"/>
      <x:c r="L49" s="27" t="str"/>
      <x:c r="M49" s="27" t="str"/>
      <x:c r="N49" s="27" t="str"/>
      <x:c r="O49" s="27" t="str"/>
      <x:c r="P49" s="27" t="str"/>
      <x:c r="Q49" s="27" t="str">
        <x:f>IF(A49="","",IFERROR(INDEX('Пользовательские_сценарии'!$O$5:$O$304,MATCH(E49,'Пользовательские_сценарии'!$A$5:$A$304,0)),0))</x:f>
      </x:c>
      <x:c r="R49" s="27" t="str"/>
      <x:c r="S49" s="27" t="str"/>
      <x:c r="T49" s="52" t="str">
        <x:f>IF(A49="","",ROUND(COUNTA(D49:P49)/13,2))</x:f>
      </x:c>
      <x:c r="U49" s="27" t="str"/>
    </x:row>
    <x:row r="50">
      <x:c r="A50" s="27" t="str"/>
      <x:c r="B50" s="27" t="str"/>
      <x:c r="C50" s="27" t="str"/>
      <x:c r="D50" s="27" t="str"/>
      <x:c r="E50" s="27" t="str"/>
      <x:c r="F50" s="27" t="str"/>
      <x:c r="G50" s="27" t="str"/>
      <x:c r="H50" s="27" t="str"/>
      <x:c r="I50" s="27" t="str"/>
      <x:c r="J50" s="27" t="str"/>
      <x:c r="K50" s="27" t="str"/>
      <x:c r="L50" s="27" t="str"/>
      <x:c r="M50" s="27" t="str"/>
      <x:c r="N50" s="27" t="str"/>
      <x:c r="O50" s="27" t="str"/>
      <x:c r="P50" s="27" t="str"/>
      <x:c r="Q50" s="27" t="str">
        <x:f>IF(A50="","",IFERROR(INDEX('Пользовательские_сценарии'!$O$5:$O$304,MATCH(E50,'Пользовательские_сценарии'!$A$5:$A$304,0)),0))</x:f>
      </x:c>
      <x:c r="R50" s="27" t="str"/>
      <x:c r="S50" s="27" t="str"/>
      <x:c r="T50" s="52" t="str">
        <x:f>IF(A50="","",ROUND(COUNTA(D50:P50)/13,2))</x:f>
      </x:c>
      <x:c r="U50" s="27" t="str"/>
    </x:row>
    <x:row r="51">
      <x:c r="A51" s="27" t="str"/>
      <x:c r="B51" s="27" t="str"/>
      <x:c r="C51" s="27" t="str"/>
      <x:c r="D51" s="27" t="str"/>
      <x:c r="E51" s="27" t="str"/>
      <x:c r="F51" s="27" t="str"/>
      <x:c r="G51" s="27" t="str"/>
      <x:c r="H51" s="27" t="str"/>
      <x:c r="I51" s="27" t="str"/>
      <x:c r="J51" s="27" t="str"/>
      <x:c r="K51" s="27" t="str"/>
      <x:c r="L51" s="27" t="str"/>
      <x:c r="M51" s="27" t="str"/>
      <x:c r="N51" s="27" t="str"/>
      <x:c r="O51" s="27" t="str"/>
      <x:c r="P51" s="27" t="str"/>
      <x:c r="Q51" s="27" t="str">
        <x:f>IF(A51="","",IFERROR(INDEX('Пользовательские_сценарии'!$O$5:$O$304,MATCH(E51,'Пользовательские_сценарии'!$A$5:$A$304,0)),0))</x:f>
      </x:c>
      <x:c r="R51" s="27" t="str"/>
      <x:c r="S51" s="27" t="str"/>
      <x:c r="T51" s="52" t="str">
        <x:f>IF(A51="","",ROUND(COUNTA(D51:P51)/13,2))</x:f>
      </x:c>
      <x:c r="U51" s="27" t="str"/>
    </x:row>
    <x:row r="52">
      <x:c r="A52" s="27" t="str"/>
      <x:c r="B52" s="27" t="str"/>
      <x:c r="C52" s="27" t="str"/>
      <x:c r="D52" s="27" t="str"/>
      <x:c r="E52" s="27" t="str"/>
      <x:c r="F52" s="27" t="str"/>
      <x:c r="G52" s="27" t="str"/>
      <x:c r="H52" s="27" t="str"/>
      <x:c r="I52" s="27" t="str"/>
      <x:c r="J52" s="27" t="str"/>
      <x:c r="K52" s="27" t="str"/>
      <x:c r="L52" s="27" t="str"/>
      <x:c r="M52" s="27" t="str"/>
      <x:c r="N52" s="27" t="str"/>
      <x:c r="O52" s="27" t="str"/>
      <x:c r="P52" s="27" t="str"/>
      <x:c r="Q52" s="27" t="str">
        <x:f>IF(A52="","",IFERROR(INDEX('Пользовательские_сценарии'!$O$5:$O$304,MATCH(E52,'Пользовательские_сценарии'!$A$5:$A$304,0)),0))</x:f>
      </x:c>
      <x:c r="R52" s="27" t="str"/>
      <x:c r="S52" s="27" t="str"/>
      <x:c r="T52" s="52" t="str">
        <x:f>IF(A52="","",ROUND(COUNTA(D52:P52)/13,2))</x:f>
      </x:c>
      <x:c r="U52" s="27" t="str"/>
    </x:row>
    <x:row r="53">
      <x:c r="A53" s="27" t="str"/>
      <x:c r="B53" s="27" t="str"/>
      <x:c r="C53" s="27" t="str"/>
      <x:c r="D53" s="27" t="str"/>
      <x:c r="E53" s="27" t="str"/>
      <x:c r="F53" s="27" t="str"/>
      <x:c r="G53" s="27" t="str"/>
      <x:c r="H53" s="27" t="str"/>
      <x:c r="I53" s="27" t="str"/>
      <x:c r="J53" s="27" t="str"/>
      <x:c r="K53" s="27" t="str"/>
      <x:c r="L53" s="27" t="str"/>
      <x:c r="M53" s="27" t="str"/>
      <x:c r="N53" s="27" t="str"/>
      <x:c r="O53" s="27" t="str"/>
      <x:c r="P53" s="27" t="str"/>
      <x:c r="Q53" s="27" t="str">
        <x:f>IF(A53="","",IFERROR(INDEX('Пользовательские_сценарии'!$O$5:$O$304,MATCH(E53,'Пользовательские_сценарии'!$A$5:$A$304,0)),0))</x:f>
      </x:c>
      <x:c r="R53" s="27" t="str"/>
      <x:c r="S53" s="27" t="str"/>
      <x:c r="T53" s="52" t="str">
        <x:f>IF(A53="","",ROUND(COUNTA(D53:P53)/13,2))</x:f>
      </x:c>
      <x:c r="U53" s="27" t="str"/>
    </x:row>
    <x:row r="54">
      <x:c r="A54" s="27" t="str"/>
      <x:c r="B54" s="27" t="str"/>
      <x:c r="C54" s="27" t="str"/>
      <x:c r="D54" s="27" t="str"/>
      <x:c r="E54" s="27" t="str"/>
      <x:c r="F54" s="27" t="str"/>
      <x:c r="G54" s="27" t="str"/>
      <x:c r="H54" s="27" t="str"/>
      <x:c r="I54" s="27" t="str"/>
      <x:c r="J54" s="27" t="str"/>
      <x:c r="K54" s="27" t="str"/>
      <x:c r="L54" s="27" t="str"/>
      <x:c r="M54" s="27" t="str"/>
      <x:c r="N54" s="27" t="str"/>
      <x:c r="O54" s="27" t="str"/>
      <x:c r="P54" s="27" t="str"/>
      <x:c r="Q54" s="27" t="str">
        <x:f>IF(A54="","",IFERROR(INDEX('Пользовательские_сценарии'!$O$5:$O$304,MATCH(E54,'Пользовательские_сценарии'!$A$5:$A$304,0)),0))</x:f>
      </x:c>
      <x:c r="R54" s="27" t="str"/>
      <x:c r="S54" s="27" t="str"/>
      <x:c r="T54" s="52" t="str">
        <x:f>IF(A54="","",ROUND(COUNTA(D54:P54)/13,2))</x:f>
      </x:c>
      <x:c r="U54" s="27" t="str"/>
    </x:row>
    <x:row r="55">
      <x:c r="A55" s="27" t="str"/>
      <x:c r="B55" s="27" t="str"/>
      <x:c r="C55" s="27" t="str"/>
      <x:c r="D55" s="27" t="str"/>
      <x:c r="E55" s="27" t="str"/>
      <x:c r="F55" s="27" t="str"/>
      <x:c r="G55" s="27" t="str"/>
      <x:c r="H55" s="27" t="str"/>
      <x:c r="I55" s="27" t="str"/>
      <x:c r="J55" s="27" t="str"/>
      <x:c r="K55" s="27" t="str"/>
      <x:c r="L55" s="27" t="str"/>
      <x:c r="M55" s="27" t="str"/>
      <x:c r="N55" s="27" t="str"/>
      <x:c r="O55" s="27" t="str"/>
      <x:c r="P55" s="27" t="str"/>
      <x:c r="Q55" s="27" t="str">
        <x:f>IF(A55="","",IFERROR(INDEX('Пользовательские_сценарии'!$O$5:$O$304,MATCH(E55,'Пользовательские_сценарии'!$A$5:$A$304,0)),0))</x:f>
      </x:c>
      <x:c r="R55" s="27" t="str"/>
      <x:c r="S55" s="27" t="str"/>
      <x:c r="T55" s="52" t="str">
        <x:f>IF(A55="","",ROUND(COUNTA(D55:P55)/13,2))</x:f>
      </x:c>
      <x:c r="U55" s="27" t="str"/>
    </x:row>
    <x:row r="56">
      <x:c r="A56" s="27" t="str"/>
      <x:c r="B56" s="27" t="str"/>
      <x:c r="C56" s="27" t="str"/>
      <x:c r="D56" s="27" t="str"/>
      <x:c r="E56" s="27" t="str"/>
      <x:c r="F56" s="27" t="str"/>
      <x:c r="G56" s="27" t="str"/>
      <x:c r="H56" s="27" t="str"/>
      <x:c r="I56" s="27" t="str"/>
      <x:c r="J56" s="27" t="str"/>
      <x:c r="K56" s="27" t="str"/>
      <x:c r="L56" s="27" t="str"/>
      <x:c r="M56" s="27" t="str"/>
      <x:c r="N56" s="27" t="str"/>
      <x:c r="O56" s="27" t="str"/>
      <x:c r="P56" s="27" t="str"/>
      <x:c r="Q56" s="27" t="str">
        <x:f>IF(A56="","",IFERROR(INDEX('Пользовательские_сценарии'!$O$5:$O$304,MATCH(E56,'Пользовательские_сценарии'!$A$5:$A$304,0)),0))</x:f>
      </x:c>
      <x:c r="R56" s="27" t="str"/>
      <x:c r="S56" s="27" t="str"/>
      <x:c r="T56" s="52" t="str">
        <x:f>IF(A56="","",ROUND(COUNTA(D56:P56)/13,2))</x:f>
      </x:c>
      <x:c r="U56" s="27" t="str"/>
    </x:row>
    <x:row r="57">
      <x:c r="A57" s="27" t="str"/>
      <x:c r="B57" s="27" t="str"/>
      <x:c r="C57" s="27" t="str"/>
      <x:c r="D57" s="27" t="str"/>
      <x:c r="E57" s="27" t="str"/>
      <x:c r="F57" s="27" t="str"/>
      <x:c r="G57" s="27" t="str"/>
      <x:c r="H57" s="27" t="str"/>
      <x:c r="I57" s="27" t="str"/>
      <x:c r="J57" s="27" t="str"/>
      <x:c r="K57" s="27" t="str"/>
      <x:c r="L57" s="27" t="str"/>
      <x:c r="M57" s="27" t="str"/>
      <x:c r="N57" s="27" t="str"/>
      <x:c r="O57" s="27" t="str"/>
      <x:c r="P57" s="27" t="str"/>
      <x:c r="Q57" s="27" t="str">
        <x:f>IF(A57="","",IFERROR(INDEX('Пользовательские_сценарии'!$O$5:$O$304,MATCH(E57,'Пользовательские_сценарии'!$A$5:$A$304,0)),0))</x:f>
      </x:c>
      <x:c r="R57" s="27" t="str"/>
      <x:c r="S57" s="27" t="str"/>
      <x:c r="T57" s="52" t="str">
        <x:f>IF(A57="","",ROUND(COUNTA(D57:P57)/13,2))</x:f>
      </x:c>
      <x:c r="U57" s="27" t="str"/>
    </x:row>
    <x:row r="58">
      <x:c r="A58" s="27" t="str"/>
      <x:c r="B58" s="27" t="str"/>
      <x:c r="C58" s="27" t="str"/>
      <x:c r="D58" s="27" t="str"/>
      <x:c r="E58" s="27" t="str"/>
      <x:c r="F58" s="27" t="str"/>
      <x:c r="G58" s="27" t="str"/>
      <x:c r="H58" s="27" t="str"/>
      <x:c r="I58" s="27" t="str"/>
      <x:c r="J58" s="27" t="str"/>
      <x:c r="K58" s="27" t="str"/>
      <x:c r="L58" s="27" t="str"/>
      <x:c r="M58" s="27" t="str"/>
      <x:c r="N58" s="27" t="str"/>
      <x:c r="O58" s="27" t="str"/>
      <x:c r="P58" s="27" t="str"/>
      <x:c r="Q58" s="27" t="str">
        <x:f>IF(A58="","",IFERROR(INDEX('Пользовательские_сценарии'!$O$5:$O$304,MATCH(E58,'Пользовательские_сценарии'!$A$5:$A$304,0)),0))</x:f>
      </x:c>
      <x:c r="R58" s="27" t="str"/>
      <x:c r="S58" s="27" t="str"/>
      <x:c r="T58" s="52" t="str">
        <x:f>IF(A58="","",ROUND(COUNTA(D58:P58)/13,2))</x:f>
      </x:c>
      <x:c r="U58" s="27" t="str"/>
    </x:row>
    <x:row r="59">
      <x:c r="A59" s="27" t="str"/>
      <x:c r="B59" s="27" t="str"/>
      <x:c r="C59" s="27" t="str"/>
      <x:c r="D59" s="27" t="str"/>
      <x:c r="E59" s="27" t="str"/>
      <x:c r="F59" s="27" t="str"/>
      <x:c r="G59" s="27" t="str"/>
      <x:c r="H59" s="27" t="str"/>
      <x:c r="I59" s="27" t="str"/>
      <x:c r="J59" s="27" t="str"/>
      <x:c r="K59" s="27" t="str"/>
      <x:c r="L59" s="27" t="str"/>
      <x:c r="M59" s="27" t="str"/>
      <x:c r="N59" s="27" t="str"/>
      <x:c r="O59" s="27" t="str"/>
      <x:c r="P59" s="27" t="str"/>
      <x:c r="Q59" s="27" t="str">
        <x:f>IF(A59="","",IFERROR(INDEX('Пользовательские_сценарии'!$O$5:$O$304,MATCH(E59,'Пользовательские_сценарии'!$A$5:$A$304,0)),0))</x:f>
      </x:c>
      <x:c r="R59" s="27" t="str"/>
      <x:c r="S59" s="27" t="str"/>
      <x:c r="T59" s="52" t="str">
        <x:f>IF(A59="","",ROUND(COUNTA(D59:P59)/13,2))</x:f>
      </x:c>
      <x:c r="U59" s="27" t="str"/>
    </x:row>
    <x:row r="60">
      <x:c r="A60" s="27" t="str"/>
      <x:c r="B60" s="27" t="str"/>
      <x:c r="C60" s="27" t="str"/>
      <x:c r="D60" s="27" t="str"/>
      <x:c r="E60" s="27" t="str"/>
      <x:c r="F60" s="27" t="str"/>
      <x:c r="G60" s="27" t="str"/>
      <x:c r="H60" s="27" t="str"/>
      <x:c r="I60" s="27" t="str"/>
      <x:c r="J60" s="27" t="str"/>
      <x:c r="K60" s="27" t="str"/>
      <x:c r="L60" s="27" t="str"/>
      <x:c r="M60" s="27" t="str"/>
      <x:c r="N60" s="27" t="str"/>
      <x:c r="O60" s="27" t="str"/>
      <x:c r="P60" s="27" t="str"/>
      <x:c r="Q60" s="27" t="str">
        <x:f>IF(A60="","",IFERROR(INDEX('Пользовательские_сценарии'!$O$5:$O$304,MATCH(E60,'Пользовательские_сценарии'!$A$5:$A$304,0)),0))</x:f>
      </x:c>
      <x:c r="R60" s="27" t="str"/>
      <x:c r="S60" s="27" t="str"/>
      <x:c r="T60" s="52" t="str">
        <x:f>IF(A60="","",ROUND(COUNTA(D60:P60)/13,2))</x:f>
      </x:c>
      <x:c r="U60" s="27" t="str"/>
    </x:row>
    <x:row r="61">
      <x:c r="A61" s="27" t="str"/>
      <x:c r="B61" s="27" t="str"/>
      <x:c r="C61" s="27" t="str"/>
      <x:c r="D61" s="27" t="str"/>
      <x:c r="E61" s="27" t="str"/>
      <x:c r="F61" s="27" t="str"/>
      <x:c r="G61" s="27" t="str"/>
      <x:c r="H61" s="27" t="str"/>
      <x:c r="I61" s="27" t="str"/>
      <x:c r="J61" s="27" t="str"/>
      <x:c r="K61" s="27" t="str"/>
      <x:c r="L61" s="27" t="str"/>
      <x:c r="M61" s="27" t="str"/>
      <x:c r="N61" s="27" t="str"/>
      <x:c r="O61" s="27" t="str"/>
      <x:c r="P61" s="27" t="str"/>
      <x:c r="Q61" s="27" t="str">
        <x:f>IF(A61="","",IFERROR(INDEX('Пользовательские_сценарии'!$O$5:$O$304,MATCH(E61,'Пользовательские_сценарии'!$A$5:$A$304,0)),0))</x:f>
      </x:c>
      <x:c r="R61" s="27" t="str"/>
      <x:c r="S61" s="27" t="str"/>
      <x:c r="T61" s="52" t="str">
        <x:f>IF(A61="","",ROUND(COUNTA(D61:P61)/13,2))</x:f>
      </x:c>
      <x:c r="U61" s="27" t="str"/>
    </x:row>
    <x:row r="62">
      <x:c r="A62" s="27" t="str"/>
      <x:c r="B62" s="27" t="str"/>
      <x:c r="C62" s="27" t="str"/>
      <x:c r="D62" s="27" t="str"/>
      <x:c r="E62" s="27" t="str"/>
      <x:c r="F62" s="27" t="str"/>
      <x:c r="G62" s="27" t="str"/>
      <x:c r="H62" s="27" t="str"/>
      <x:c r="I62" s="27" t="str"/>
      <x:c r="J62" s="27" t="str"/>
      <x:c r="K62" s="27" t="str"/>
      <x:c r="L62" s="27" t="str"/>
      <x:c r="M62" s="27" t="str"/>
      <x:c r="N62" s="27" t="str"/>
      <x:c r="O62" s="27" t="str"/>
      <x:c r="P62" s="27" t="str"/>
      <x:c r="Q62" s="27" t="str">
        <x:f>IF(A62="","",IFERROR(INDEX('Пользовательские_сценарии'!$O$5:$O$304,MATCH(E62,'Пользовательские_сценарии'!$A$5:$A$304,0)),0))</x:f>
      </x:c>
      <x:c r="R62" s="27" t="str"/>
      <x:c r="S62" s="27" t="str"/>
      <x:c r="T62" s="52" t="str">
        <x:f>IF(A62="","",ROUND(COUNTA(D62:P62)/13,2))</x:f>
      </x:c>
      <x:c r="U62" s="27" t="str"/>
    </x:row>
    <x:row r="63">
      <x:c r="A63" s="27" t="str"/>
      <x:c r="B63" s="27" t="str"/>
      <x:c r="C63" s="27" t="str"/>
      <x:c r="D63" s="27" t="str"/>
      <x:c r="E63" s="27" t="str"/>
      <x:c r="F63" s="27" t="str"/>
      <x:c r="G63" s="27" t="str"/>
      <x:c r="H63" s="27" t="str"/>
      <x:c r="I63" s="27" t="str"/>
      <x:c r="J63" s="27" t="str"/>
      <x:c r="K63" s="27" t="str"/>
      <x:c r="L63" s="27" t="str"/>
      <x:c r="M63" s="27" t="str"/>
      <x:c r="N63" s="27" t="str"/>
      <x:c r="O63" s="27" t="str"/>
      <x:c r="P63" s="27" t="str"/>
      <x:c r="Q63" s="27" t="str">
        <x:f>IF(A63="","",IFERROR(INDEX('Пользовательские_сценарии'!$O$5:$O$304,MATCH(E63,'Пользовательские_сценарии'!$A$5:$A$304,0)),0))</x:f>
      </x:c>
      <x:c r="R63" s="27" t="str"/>
      <x:c r="S63" s="27" t="str"/>
      <x:c r="T63" s="52" t="str">
        <x:f>IF(A63="","",ROUND(COUNTA(D63:P63)/13,2))</x:f>
      </x:c>
      <x:c r="U63" s="27" t="str"/>
    </x:row>
    <x:row r="64">
      <x:c r="A64" s="27" t="str"/>
      <x:c r="B64" s="27" t="str"/>
      <x:c r="C64" s="27" t="str"/>
      <x:c r="D64" s="27" t="str"/>
      <x:c r="E64" s="27" t="str"/>
      <x:c r="F64" s="27" t="str"/>
      <x:c r="G64" s="27" t="str"/>
      <x:c r="H64" s="27" t="str"/>
      <x:c r="I64" s="27" t="str"/>
      <x:c r="J64" s="27" t="str"/>
      <x:c r="K64" s="27" t="str"/>
      <x:c r="L64" s="27" t="str"/>
      <x:c r="M64" s="27" t="str"/>
      <x:c r="N64" s="27" t="str"/>
      <x:c r="O64" s="27" t="str"/>
      <x:c r="P64" s="27" t="str"/>
      <x:c r="Q64" s="27" t="str">
        <x:f>IF(A64="","",IFERROR(INDEX('Пользовательские_сценарии'!$O$5:$O$304,MATCH(E64,'Пользовательские_сценарии'!$A$5:$A$304,0)),0))</x:f>
      </x:c>
      <x:c r="R64" s="27" t="str"/>
      <x:c r="S64" s="27" t="str"/>
      <x:c r="T64" s="52" t="str">
        <x:f>IF(A64="","",ROUND(COUNTA(D64:P64)/13,2))</x:f>
      </x:c>
      <x:c r="U64" s="27" t="str"/>
    </x:row>
    <x:row r="65">
      <x:c r="A65" s="27" t="str"/>
      <x:c r="B65" s="27" t="str"/>
      <x:c r="C65" s="27" t="str"/>
      <x:c r="D65" s="27" t="str"/>
      <x:c r="E65" s="27" t="str"/>
      <x:c r="F65" s="27" t="str"/>
      <x:c r="G65" s="27" t="str"/>
      <x:c r="H65" s="27" t="str"/>
      <x:c r="I65" s="27" t="str"/>
      <x:c r="J65" s="27" t="str"/>
      <x:c r="K65" s="27" t="str"/>
      <x:c r="L65" s="27" t="str"/>
      <x:c r="M65" s="27" t="str"/>
      <x:c r="N65" s="27" t="str"/>
      <x:c r="O65" s="27" t="str"/>
      <x:c r="P65" s="27" t="str"/>
      <x:c r="Q65" s="27" t="str">
        <x:f>IF(A65="","",IFERROR(INDEX('Пользовательские_сценарии'!$O$5:$O$304,MATCH(E65,'Пользовательские_сценарии'!$A$5:$A$304,0)),0))</x:f>
      </x:c>
      <x:c r="R65" s="27" t="str"/>
      <x:c r="S65" s="27" t="str"/>
      <x:c r="T65" s="52" t="str">
        <x:f>IF(A65="","",ROUND(COUNTA(D65:P65)/13,2))</x:f>
      </x:c>
      <x:c r="U65" s="27" t="str"/>
    </x:row>
    <x:row r="66">
      <x:c r="A66" s="27" t="str"/>
      <x:c r="B66" s="27" t="str"/>
      <x:c r="C66" s="27" t="str"/>
      <x:c r="D66" s="27" t="str"/>
      <x:c r="E66" s="27" t="str"/>
      <x:c r="F66" s="27" t="str"/>
      <x:c r="G66" s="27" t="str"/>
      <x:c r="H66" s="27" t="str"/>
      <x:c r="I66" s="27" t="str"/>
      <x:c r="J66" s="27" t="str"/>
      <x:c r="K66" s="27" t="str"/>
      <x:c r="L66" s="27" t="str"/>
      <x:c r="M66" s="27" t="str"/>
      <x:c r="N66" s="27" t="str"/>
      <x:c r="O66" s="27" t="str"/>
      <x:c r="P66" s="27" t="str"/>
      <x:c r="Q66" s="27" t="str">
        <x:f>IF(A66="","",IFERROR(INDEX('Пользовательские_сценарии'!$O$5:$O$304,MATCH(E66,'Пользовательские_сценарии'!$A$5:$A$304,0)),0))</x:f>
      </x:c>
      <x:c r="R66" s="27" t="str"/>
      <x:c r="S66" s="27" t="str"/>
      <x:c r="T66" s="52" t="str">
        <x:f>IF(A66="","",ROUND(COUNTA(D66:P66)/13,2))</x:f>
      </x:c>
      <x:c r="U66" s="27" t="str"/>
    </x:row>
    <x:row r="67">
      <x:c r="A67" s="27" t="str"/>
      <x:c r="B67" s="27" t="str"/>
      <x:c r="C67" s="27" t="str"/>
      <x:c r="D67" s="27" t="str"/>
      <x:c r="E67" s="27" t="str"/>
      <x:c r="F67" s="27" t="str"/>
      <x:c r="G67" s="27" t="str"/>
      <x:c r="H67" s="27" t="str"/>
      <x:c r="I67" s="27" t="str"/>
      <x:c r="J67" s="27" t="str"/>
      <x:c r="K67" s="27" t="str"/>
      <x:c r="L67" s="27" t="str"/>
      <x:c r="M67" s="27" t="str"/>
      <x:c r="N67" s="27" t="str"/>
      <x:c r="O67" s="27" t="str"/>
      <x:c r="P67" s="27" t="str"/>
      <x:c r="Q67" s="27" t="str">
        <x:f>IF(A67="","",IFERROR(INDEX('Пользовательские_сценарии'!$O$5:$O$304,MATCH(E67,'Пользовательские_сценарии'!$A$5:$A$304,0)),0))</x:f>
      </x:c>
      <x:c r="R67" s="27" t="str"/>
      <x:c r="S67" s="27" t="str"/>
      <x:c r="T67" s="52" t="str">
        <x:f>IF(A67="","",ROUND(COUNTA(D67:P67)/13,2))</x:f>
      </x:c>
      <x:c r="U67" s="27" t="str"/>
    </x:row>
    <x:row r="68">
      <x:c r="A68" s="27" t="str"/>
      <x:c r="B68" s="27" t="str"/>
      <x:c r="C68" s="27" t="str"/>
      <x:c r="D68" s="27" t="str"/>
      <x:c r="E68" s="27" t="str"/>
      <x:c r="F68" s="27" t="str"/>
      <x:c r="G68" s="27" t="str"/>
      <x:c r="H68" s="27" t="str"/>
      <x:c r="I68" s="27" t="str"/>
      <x:c r="J68" s="27" t="str"/>
      <x:c r="K68" s="27" t="str"/>
      <x:c r="L68" s="27" t="str"/>
      <x:c r="M68" s="27" t="str"/>
      <x:c r="N68" s="27" t="str"/>
      <x:c r="O68" s="27" t="str"/>
      <x:c r="P68" s="27" t="str"/>
      <x:c r="Q68" s="27" t="str">
        <x:f>IF(A68="","",IFERROR(INDEX('Пользовательские_сценарии'!$O$5:$O$304,MATCH(E68,'Пользовательские_сценарии'!$A$5:$A$304,0)),0))</x:f>
      </x:c>
      <x:c r="R68" s="27" t="str"/>
      <x:c r="S68" s="27" t="str"/>
      <x:c r="T68" s="52" t="str">
        <x:f>IF(A68="","",ROUND(COUNTA(D68:P68)/13,2))</x:f>
      </x:c>
      <x:c r="U68" s="27" t="str"/>
    </x:row>
    <x:row r="69">
      <x:c r="A69" s="27" t="str"/>
      <x:c r="B69" s="27" t="str"/>
      <x:c r="C69" s="27" t="str"/>
      <x:c r="D69" s="27" t="str"/>
      <x:c r="E69" s="27" t="str"/>
      <x:c r="F69" s="27" t="str"/>
      <x:c r="G69" s="27" t="str"/>
      <x:c r="H69" s="27" t="str"/>
      <x:c r="I69" s="27" t="str"/>
      <x:c r="J69" s="27" t="str"/>
      <x:c r="K69" s="27" t="str"/>
      <x:c r="L69" s="27" t="str"/>
      <x:c r="M69" s="27" t="str"/>
      <x:c r="N69" s="27" t="str"/>
      <x:c r="O69" s="27" t="str"/>
      <x:c r="P69" s="27" t="str"/>
      <x:c r="Q69" s="27" t="str">
        <x:f>IF(A69="","",IFERROR(INDEX('Пользовательские_сценарии'!$O$5:$O$304,MATCH(E69,'Пользовательские_сценарии'!$A$5:$A$304,0)),0))</x:f>
      </x:c>
      <x:c r="R69" s="27" t="str"/>
      <x:c r="S69" s="27" t="str"/>
      <x:c r="T69" s="52" t="str">
        <x:f>IF(A69="","",ROUND(COUNTA(D69:P69)/13,2))</x:f>
      </x:c>
      <x:c r="U69" s="27" t="str"/>
    </x:row>
    <x:row r="70">
      <x:c r="A70" s="27" t="str"/>
      <x:c r="B70" s="27" t="str"/>
      <x:c r="C70" s="27" t="str"/>
      <x:c r="D70" s="27" t="str"/>
      <x:c r="E70" s="27" t="str"/>
      <x:c r="F70" s="27" t="str"/>
      <x:c r="G70" s="27" t="str"/>
      <x:c r="H70" s="27" t="str"/>
      <x:c r="I70" s="27" t="str"/>
      <x:c r="J70" s="27" t="str"/>
      <x:c r="K70" s="27" t="str"/>
      <x:c r="L70" s="27" t="str"/>
      <x:c r="M70" s="27" t="str"/>
      <x:c r="N70" s="27" t="str"/>
      <x:c r="O70" s="27" t="str"/>
      <x:c r="P70" s="27" t="str"/>
      <x:c r="Q70" s="27" t="str">
        <x:f>IF(A70="","",IFERROR(INDEX('Пользовательские_сценарии'!$O$5:$O$304,MATCH(E70,'Пользовательские_сценарии'!$A$5:$A$304,0)),0))</x:f>
      </x:c>
      <x:c r="R70" s="27" t="str"/>
      <x:c r="S70" s="27" t="str"/>
      <x:c r="T70" s="52" t="str">
        <x:f>IF(A70="","",ROUND(COUNTA(D70:P70)/13,2))</x:f>
      </x:c>
      <x:c r="U70" s="27" t="str"/>
    </x:row>
    <x:row r="71">
      <x:c r="A71" s="27" t="str"/>
      <x:c r="B71" s="27" t="str"/>
      <x:c r="C71" s="27" t="str"/>
      <x:c r="D71" s="27" t="str"/>
      <x:c r="E71" s="27" t="str"/>
      <x:c r="F71" s="27" t="str"/>
      <x:c r="G71" s="27" t="str"/>
      <x:c r="H71" s="27" t="str"/>
      <x:c r="I71" s="27" t="str"/>
      <x:c r="J71" s="27" t="str"/>
      <x:c r="K71" s="27" t="str"/>
      <x:c r="L71" s="27" t="str"/>
      <x:c r="M71" s="27" t="str"/>
      <x:c r="N71" s="27" t="str"/>
      <x:c r="O71" s="27" t="str"/>
      <x:c r="P71" s="27" t="str"/>
      <x:c r="Q71" s="27" t="str">
        <x:f>IF(A71="","",IFERROR(INDEX('Пользовательские_сценарии'!$O$5:$O$304,MATCH(E71,'Пользовательские_сценарии'!$A$5:$A$304,0)),0))</x:f>
      </x:c>
      <x:c r="R71" s="27" t="str"/>
      <x:c r="S71" s="27" t="str"/>
      <x:c r="T71" s="52" t="str">
        <x:f>IF(A71="","",ROUND(COUNTA(D71:P71)/13,2))</x:f>
      </x:c>
      <x:c r="U71" s="27" t="str"/>
    </x:row>
    <x:row r="72">
      <x:c r="A72" s="27" t="str"/>
      <x:c r="B72" s="27" t="str"/>
      <x:c r="C72" s="27" t="str"/>
      <x:c r="D72" s="27" t="str"/>
      <x:c r="E72" s="27" t="str"/>
      <x:c r="F72" s="27" t="str"/>
      <x:c r="G72" s="27" t="str"/>
      <x:c r="H72" s="27" t="str"/>
      <x:c r="I72" s="27" t="str"/>
      <x:c r="J72" s="27" t="str"/>
      <x:c r="K72" s="27" t="str"/>
      <x:c r="L72" s="27" t="str"/>
      <x:c r="M72" s="27" t="str"/>
      <x:c r="N72" s="27" t="str"/>
      <x:c r="O72" s="27" t="str"/>
      <x:c r="P72" s="27" t="str"/>
      <x:c r="Q72" s="27" t="str">
        <x:f>IF(A72="","",IFERROR(INDEX('Пользовательские_сценарии'!$O$5:$O$304,MATCH(E72,'Пользовательские_сценарии'!$A$5:$A$304,0)),0))</x:f>
      </x:c>
      <x:c r="R72" s="27" t="str"/>
      <x:c r="S72" s="27" t="str"/>
      <x:c r="T72" s="52" t="str">
        <x:f>IF(A72="","",ROUND(COUNTA(D72:P72)/13,2))</x:f>
      </x:c>
      <x:c r="U72" s="27" t="str"/>
    </x:row>
    <x:row r="73">
      <x:c r="A73" s="27" t="str"/>
      <x:c r="B73" s="27" t="str"/>
      <x:c r="C73" s="27" t="str"/>
      <x:c r="D73" s="27" t="str"/>
      <x:c r="E73" s="27" t="str"/>
      <x:c r="F73" s="27" t="str"/>
      <x:c r="G73" s="27" t="str"/>
      <x:c r="H73" s="27" t="str"/>
      <x:c r="I73" s="27" t="str"/>
      <x:c r="J73" s="27" t="str"/>
      <x:c r="K73" s="27" t="str"/>
      <x:c r="L73" s="27" t="str"/>
      <x:c r="M73" s="27" t="str"/>
      <x:c r="N73" s="27" t="str"/>
      <x:c r="O73" s="27" t="str"/>
      <x:c r="P73" s="27" t="str"/>
      <x:c r="Q73" s="27" t="str">
        <x:f>IF(A73="","",IFERROR(INDEX('Пользовательские_сценарии'!$O$5:$O$304,MATCH(E73,'Пользовательские_сценарии'!$A$5:$A$304,0)),0))</x:f>
      </x:c>
      <x:c r="R73" s="27" t="str"/>
      <x:c r="S73" s="27" t="str"/>
      <x:c r="T73" s="52" t="str">
        <x:f>IF(A73="","",ROUND(COUNTA(D73:P73)/13,2))</x:f>
      </x:c>
      <x:c r="U73" s="27" t="str"/>
    </x:row>
    <x:row r="74">
      <x:c r="A74" s="27" t="str"/>
      <x:c r="B74" s="27" t="str"/>
      <x:c r="C74" s="27" t="str"/>
      <x:c r="D74" s="27" t="str"/>
      <x:c r="E74" s="27" t="str"/>
      <x:c r="F74" s="27" t="str"/>
      <x:c r="G74" s="27" t="str"/>
      <x:c r="H74" s="27" t="str"/>
      <x:c r="I74" s="27" t="str"/>
      <x:c r="J74" s="27" t="str"/>
      <x:c r="K74" s="27" t="str"/>
      <x:c r="L74" s="27" t="str"/>
      <x:c r="M74" s="27" t="str"/>
      <x:c r="N74" s="27" t="str"/>
      <x:c r="O74" s="27" t="str"/>
      <x:c r="P74" s="27" t="str"/>
      <x:c r="Q74" s="27" t="str">
        <x:f>IF(A74="","",IFERROR(INDEX('Пользовательские_сценарии'!$O$5:$O$304,MATCH(E74,'Пользовательские_сценарии'!$A$5:$A$304,0)),0))</x:f>
      </x:c>
      <x:c r="R74" s="27" t="str"/>
      <x:c r="S74" s="27" t="str"/>
      <x:c r="T74" s="52" t="str">
        <x:f>IF(A74="","",ROUND(COUNTA(D74:P74)/13,2))</x:f>
      </x:c>
      <x:c r="U74" s="27" t="str"/>
    </x:row>
    <x:row r="75">
      <x:c r="A75" s="27" t="str"/>
      <x:c r="B75" s="27" t="str"/>
      <x:c r="C75" s="27" t="str"/>
      <x:c r="D75" s="27" t="str"/>
      <x:c r="E75" s="27" t="str"/>
      <x:c r="F75" s="27" t="str"/>
      <x:c r="G75" s="27" t="str"/>
      <x:c r="H75" s="27" t="str"/>
      <x:c r="I75" s="27" t="str"/>
      <x:c r="J75" s="27" t="str"/>
      <x:c r="K75" s="27" t="str"/>
      <x:c r="L75" s="27" t="str"/>
      <x:c r="M75" s="27" t="str"/>
      <x:c r="N75" s="27" t="str"/>
      <x:c r="O75" s="27" t="str"/>
      <x:c r="P75" s="27" t="str"/>
      <x:c r="Q75" s="27" t="str">
        <x:f>IF(A75="","",IFERROR(INDEX('Пользовательские_сценарии'!$O$5:$O$304,MATCH(E75,'Пользовательские_сценарии'!$A$5:$A$304,0)),0))</x:f>
      </x:c>
      <x:c r="R75" s="27" t="str"/>
      <x:c r="S75" s="27" t="str"/>
      <x:c r="T75" s="52" t="str">
        <x:f>IF(A75="","",ROUND(COUNTA(D75:P75)/13,2))</x:f>
      </x:c>
      <x:c r="U75" s="27" t="str"/>
    </x:row>
    <x:row r="76">
      <x:c r="A76" s="27" t="str"/>
      <x:c r="B76" s="27" t="str"/>
      <x:c r="C76" s="27" t="str"/>
      <x:c r="D76" s="27" t="str"/>
      <x:c r="E76" s="27" t="str"/>
      <x:c r="F76" s="27" t="str"/>
      <x:c r="G76" s="27" t="str"/>
      <x:c r="H76" s="27" t="str"/>
      <x:c r="I76" s="27" t="str"/>
      <x:c r="J76" s="27" t="str"/>
      <x:c r="K76" s="27" t="str"/>
      <x:c r="L76" s="27" t="str"/>
      <x:c r="M76" s="27" t="str"/>
      <x:c r="N76" s="27" t="str"/>
      <x:c r="O76" s="27" t="str"/>
      <x:c r="P76" s="27" t="str"/>
      <x:c r="Q76" s="27" t="str">
        <x:f>IF(A76="","",IFERROR(INDEX('Пользовательские_сценарии'!$O$5:$O$304,MATCH(E76,'Пользовательские_сценарии'!$A$5:$A$304,0)),0))</x:f>
      </x:c>
      <x:c r="R76" s="27" t="str"/>
      <x:c r="S76" s="27" t="str"/>
      <x:c r="T76" s="52" t="str">
        <x:f>IF(A76="","",ROUND(COUNTA(D76:P76)/13,2))</x:f>
      </x:c>
      <x:c r="U76" s="27" t="str"/>
    </x:row>
    <x:row r="77">
      <x:c r="A77" s="27" t="str"/>
      <x:c r="B77" s="27" t="str"/>
      <x:c r="C77" s="27" t="str"/>
      <x:c r="D77" s="27" t="str"/>
      <x:c r="E77" s="27" t="str"/>
      <x:c r="F77" s="27" t="str"/>
      <x:c r="G77" s="27" t="str"/>
      <x:c r="H77" s="27" t="str"/>
      <x:c r="I77" s="27" t="str"/>
      <x:c r="J77" s="27" t="str"/>
      <x:c r="K77" s="27" t="str"/>
      <x:c r="L77" s="27" t="str"/>
      <x:c r="M77" s="27" t="str"/>
      <x:c r="N77" s="27" t="str"/>
      <x:c r="O77" s="27" t="str"/>
      <x:c r="P77" s="27" t="str"/>
      <x:c r="Q77" s="27" t="str">
        <x:f>IF(A77="","",IFERROR(INDEX('Пользовательские_сценарии'!$O$5:$O$304,MATCH(E77,'Пользовательские_сценарии'!$A$5:$A$304,0)),0))</x:f>
      </x:c>
      <x:c r="R77" s="27" t="str"/>
      <x:c r="S77" s="27" t="str"/>
      <x:c r="T77" s="52" t="str">
        <x:f>IF(A77="","",ROUND(COUNTA(D77:P77)/13,2))</x:f>
      </x:c>
      <x:c r="U77" s="27" t="str"/>
    </x:row>
    <x:row r="78">
      <x:c r="A78" s="27" t="str"/>
      <x:c r="B78" s="27" t="str"/>
      <x:c r="C78" s="27" t="str"/>
      <x:c r="D78" s="27" t="str"/>
      <x:c r="E78" s="27" t="str"/>
      <x:c r="F78" s="27" t="str"/>
      <x:c r="G78" s="27" t="str"/>
      <x:c r="H78" s="27" t="str"/>
      <x:c r="I78" s="27" t="str"/>
      <x:c r="J78" s="27" t="str"/>
      <x:c r="K78" s="27" t="str"/>
      <x:c r="L78" s="27" t="str"/>
      <x:c r="M78" s="27" t="str"/>
      <x:c r="N78" s="27" t="str"/>
      <x:c r="O78" s="27" t="str"/>
      <x:c r="P78" s="27" t="str"/>
      <x:c r="Q78" s="27" t="str">
        <x:f>IF(A78="","",IFERROR(INDEX('Пользовательские_сценарии'!$O$5:$O$304,MATCH(E78,'Пользовательские_сценарии'!$A$5:$A$304,0)),0))</x:f>
      </x:c>
      <x:c r="R78" s="27" t="str"/>
      <x:c r="S78" s="27" t="str"/>
      <x:c r="T78" s="52" t="str">
        <x:f>IF(A78="","",ROUND(COUNTA(D78:P78)/13,2))</x:f>
      </x:c>
      <x:c r="U78" s="27" t="str"/>
    </x:row>
    <x:row r="79">
      <x:c r="A79" s="27" t="str"/>
      <x:c r="B79" s="27" t="str"/>
      <x:c r="C79" s="27" t="str"/>
      <x:c r="D79" s="27" t="str"/>
      <x:c r="E79" s="27" t="str"/>
      <x:c r="F79" s="27" t="str"/>
      <x:c r="G79" s="27" t="str"/>
      <x:c r="H79" s="27" t="str"/>
      <x:c r="I79" s="27" t="str"/>
      <x:c r="J79" s="27" t="str"/>
      <x:c r="K79" s="27" t="str"/>
      <x:c r="L79" s="27" t="str"/>
      <x:c r="M79" s="27" t="str"/>
      <x:c r="N79" s="27" t="str"/>
      <x:c r="O79" s="27" t="str"/>
      <x:c r="P79" s="27" t="str"/>
      <x:c r="Q79" s="27" t="str">
        <x:f>IF(A79="","",IFERROR(INDEX('Пользовательские_сценарии'!$O$5:$O$304,MATCH(E79,'Пользовательские_сценарии'!$A$5:$A$304,0)),0))</x:f>
      </x:c>
      <x:c r="R79" s="27" t="str"/>
      <x:c r="S79" s="27" t="str"/>
      <x:c r="T79" s="52" t="str">
        <x:f>IF(A79="","",ROUND(COUNTA(D79:P79)/13,2))</x:f>
      </x:c>
      <x:c r="U79" s="27" t="str"/>
    </x:row>
    <x:row r="80">
      <x:c r="A80" s="27" t="str"/>
      <x:c r="B80" s="27" t="str"/>
      <x:c r="C80" s="27" t="str"/>
      <x:c r="D80" s="27" t="str"/>
      <x:c r="E80" s="27" t="str"/>
      <x:c r="F80" s="27" t="str"/>
      <x:c r="G80" s="27" t="str"/>
      <x:c r="H80" s="27" t="str"/>
      <x:c r="I80" s="27" t="str"/>
      <x:c r="J80" s="27" t="str"/>
      <x:c r="K80" s="27" t="str"/>
      <x:c r="L80" s="27" t="str"/>
      <x:c r="M80" s="27" t="str"/>
      <x:c r="N80" s="27" t="str"/>
      <x:c r="O80" s="27" t="str"/>
      <x:c r="P80" s="27" t="str"/>
      <x:c r="Q80" s="27" t="str">
        <x:f>IF(A80="","",IFERROR(INDEX('Пользовательские_сценарии'!$O$5:$O$304,MATCH(E80,'Пользовательские_сценарии'!$A$5:$A$304,0)),0))</x:f>
      </x:c>
      <x:c r="R80" s="27" t="str"/>
      <x:c r="S80" s="27" t="str"/>
      <x:c r="T80" s="52" t="str">
        <x:f>IF(A80="","",ROUND(COUNTA(D80:P80)/13,2))</x:f>
      </x:c>
      <x:c r="U80" s="27" t="str"/>
    </x:row>
    <x:row r="81">
      <x:c r="A81" s="27" t="str"/>
      <x:c r="B81" s="27" t="str"/>
      <x:c r="C81" s="27" t="str"/>
      <x:c r="D81" s="27" t="str"/>
      <x:c r="E81" s="27" t="str"/>
      <x:c r="F81" s="27" t="str"/>
      <x:c r="G81" s="27" t="str"/>
      <x:c r="H81" s="27" t="str"/>
      <x:c r="I81" s="27" t="str"/>
      <x:c r="J81" s="27" t="str"/>
      <x:c r="K81" s="27" t="str"/>
      <x:c r="L81" s="27" t="str"/>
      <x:c r="M81" s="27" t="str"/>
      <x:c r="N81" s="27" t="str"/>
      <x:c r="O81" s="27" t="str"/>
      <x:c r="P81" s="27" t="str"/>
      <x:c r="Q81" s="27" t="str">
        <x:f>IF(A81="","",IFERROR(INDEX('Пользовательские_сценарии'!$O$5:$O$304,MATCH(E81,'Пользовательские_сценарии'!$A$5:$A$304,0)),0))</x:f>
      </x:c>
      <x:c r="R81" s="27" t="str"/>
      <x:c r="S81" s="27" t="str"/>
      <x:c r="T81" s="52" t="str">
        <x:f>IF(A81="","",ROUND(COUNTA(D81:P81)/13,2))</x:f>
      </x:c>
      <x:c r="U81" s="27" t="str"/>
    </x:row>
    <x:row r="82">
      <x:c r="A82" s="27" t="str"/>
      <x:c r="B82" s="27" t="str"/>
      <x:c r="C82" s="27" t="str"/>
      <x:c r="D82" s="27" t="str"/>
      <x:c r="E82" s="27" t="str"/>
      <x:c r="F82" s="27" t="str"/>
      <x:c r="G82" s="27" t="str"/>
      <x:c r="H82" s="27" t="str"/>
      <x:c r="I82" s="27" t="str"/>
      <x:c r="J82" s="27" t="str"/>
      <x:c r="K82" s="27" t="str"/>
      <x:c r="L82" s="27" t="str"/>
      <x:c r="M82" s="27" t="str"/>
      <x:c r="N82" s="27" t="str"/>
      <x:c r="O82" s="27" t="str"/>
      <x:c r="P82" s="27" t="str"/>
      <x:c r="Q82" s="27" t="str">
        <x:f>IF(A82="","",IFERROR(INDEX('Пользовательские_сценарии'!$O$5:$O$304,MATCH(E82,'Пользовательские_сценарии'!$A$5:$A$304,0)),0))</x:f>
      </x:c>
      <x:c r="R82" s="27" t="str"/>
      <x:c r="S82" s="27" t="str"/>
      <x:c r="T82" s="52" t="str">
        <x:f>IF(A82="","",ROUND(COUNTA(D82:P82)/13,2))</x:f>
      </x:c>
      <x:c r="U82" s="27" t="str"/>
    </x:row>
    <x:row r="83">
      <x:c r="A83" s="27" t="str"/>
      <x:c r="B83" s="27" t="str"/>
      <x:c r="C83" s="27" t="str"/>
      <x:c r="D83" s="27" t="str"/>
      <x:c r="E83" s="27" t="str"/>
      <x:c r="F83" s="27" t="str"/>
      <x:c r="G83" s="27" t="str"/>
      <x:c r="H83" s="27" t="str"/>
      <x:c r="I83" s="27" t="str"/>
      <x:c r="J83" s="27" t="str"/>
      <x:c r="K83" s="27" t="str"/>
      <x:c r="L83" s="27" t="str"/>
      <x:c r="M83" s="27" t="str"/>
      <x:c r="N83" s="27" t="str"/>
      <x:c r="O83" s="27" t="str"/>
      <x:c r="P83" s="27" t="str"/>
      <x:c r="Q83" s="27" t="str">
        <x:f>IF(A83="","",IFERROR(INDEX('Пользовательские_сценарии'!$O$5:$O$304,MATCH(E83,'Пользовательские_сценарии'!$A$5:$A$304,0)),0))</x:f>
      </x:c>
      <x:c r="R83" s="27" t="str"/>
      <x:c r="S83" s="27" t="str"/>
      <x:c r="T83" s="52" t="str">
        <x:f>IF(A83="","",ROUND(COUNTA(D83:P83)/13,2))</x:f>
      </x:c>
      <x:c r="U83" s="27" t="str"/>
    </x:row>
    <x:row r="84">
      <x:c r="A84" s="27" t="str"/>
      <x:c r="B84" s="27" t="str"/>
      <x:c r="C84" s="27" t="str"/>
      <x:c r="D84" s="27" t="str"/>
      <x:c r="E84" s="27" t="str"/>
      <x:c r="F84" s="27" t="str"/>
      <x:c r="G84" s="27" t="str"/>
      <x:c r="H84" s="27" t="str"/>
      <x:c r="I84" s="27" t="str"/>
      <x:c r="J84" s="27" t="str"/>
      <x:c r="K84" s="27" t="str"/>
      <x:c r="L84" s="27" t="str"/>
      <x:c r="M84" s="27" t="str"/>
      <x:c r="N84" s="27" t="str"/>
      <x:c r="O84" s="27" t="str"/>
      <x:c r="P84" s="27" t="str"/>
      <x:c r="Q84" s="27" t="str">
        <x:f>IF(A84="","",IFERROR(INDEX('Пользовательские_сценарии'!$O$5:$O$304,MATCH(E84,'Пользовательские_сценарии'!$A$5:$A$304,0)),0))</x:f>
      </x:c>
      <x:c r="R84" s="27" t="str"/>
      <x:c r="S84" s="27" t="str"/>
      <x:c r="T84" s="52" t="str">
        <x:f>IF(A84="","",ROUND(COUNTA(D84:P84)/13,2))</x:f>
      </x:c>
      <x:c r="U84" s="27" t="str"/>
    </x:row>
    <x:row r="85">
      <x:c r="A85" s="27" t="str"/>
      <x:c r="B85" s="27" t="str"/>
      <x:c r="C85" s="27" t="str"/>
      <x:c r="D85" s="27" t="str"/>
      <x:c r="E85" s="27" t="str"/>
      <x:c r="F85" s="27" t="str"/>
      <x:c r="G85" s="27" t="str"/>
      <x:c r="H85" s="27" t="str"/>
      <x:c r="I85" s="27" t="str"/>
      <x:c r="J85" s="27" t="str"/>
      <x:c r="K85" s="27" t="str"/>
      <x:c r="L85" s="27" t="str"/>
      <x:c r="M85" s="27" t="str"/>
      <x:c r="N85" s="27" t="str"/>
      <x:c r="O85" s="27" t="str"/>
      <x:c r="P85" s="27" t="str"/>
      <x:c r="Q85" s="27" t="str">
        <x:f>IF(A85="","",IFERROR(INDEX('Пользовательские_сценарии'!$O$5:$O$304,MATCH(E85,'Пользовательские_сценарии'!$A$5:$A$304,0)),0))</x:f>
      </x:c>
      <x:c r="R85" s="27" t="str"/>
      <x:c r="S85" s="27" t="str"/>
      <x:c r="T85" s="52" t="str">
        <x:f>IF(A85="","",ROUND(COUNTA(D85:P85)/13,2))</x:f>
      </x:c>
      <x:c r="U85" s="27" t="str"/>
    </x:row>
    <x:row r="86">
      <x:c r="A86" s="27" t="str"/>
      <x:c r="B86" s="27" t="str"/>
      <x:c r="C86" s="27" t="str"/>
      <x:c r="D86" s="27" t="str"/>
      <x:c r="E86" s="27" t="str"/>
      <x:c r="F86" s="27" t="str"/>
      <x:c r="G86" s="27" t="str"/>
      <x:c r="H86" s="27" t="str"/>
      <x:c r="I86" s="27" t="str"/>
      <x:c r="J86" s="27" t="str"/>
      <x:c r="K86" s="27" t="str"/>
      <x:c r="L86" s="27" t="str"/>
      <x:c r="M86" s="27" t="str"/>
      <x:c r="N86" s="27" t="str"/>
      <x:c r="O86" s="27" t="str"/>
      <x:c r="P86" s="27" t="str"/>
      <x:c r="Q86" s="27" t="str">
        <x:f>IF(A86="","",IFERROR(INDEX('Пользовательские_сценарии'!$O$5:$O$304,MATCH(E86,'Пользовательские_сценарии'!$A$5:$A$304,0)),0))</x:f>
      </x:c>
      <x:c r="R86" s="27" t="str"/>
      <x:c r="S86" s="27" t="str"/>
      <x:c r="T86" s="52" t="str">
        <x:f>IF(A86="","",ROUND(COUNTA(D86:P86)/13,2))</x:f>
      </x:c>
      <x:c r="U86" s="27" t="str"/>
    </x:row>
    <x:row r="87">
      <x:c r="A87" s="27" t="str"/>
      <x:c r="B87" s="27" t="str"/>
      <x:c r="C87" s="27" t="str"/>
      <x:c r="D87" s="27" t="str"/>
      <x:c r="E87" s="27" t="str"/>
      <x:c r="F87" s="27" t="str"/>
      <x:c r="G87" s="27" t="str"/>
      <x:c r="H87" s="27" t="str"/>
      <x:c r="I87" s="27" t="str"/>
      <x:c r="J87" s="27" t="str"/>
      <x:c r="K87" s="27" t="str"/>
      <x:c r="L87" s="27" t="str"/>
      <x:c r="M87" s="27" t="str"/>
      <x:c r="N87" s="27" t="str"/>
      <x:c r="O87" s="27" t="str"/>
      <x:c r="P87" s="27" t="str"/>
      <x:c r="Q87" s="27" t="str">
        <x:f>IF(A87="","",IFERROR(INDEX('Пользовательские_сценарии'!$O$5:$O$304,MATCH(E87,'Пользовательские_сценарии'!$A$5:$A$304,0)),0))</x:f>
      </x:c>
      <x:c r="R87" s="27" t="str"/>
      <x:c r="S87" s="27" t="str"/>
      <x:c r="T87" s="52" t="str">
        <x:f>IF(A87="","",ROUND(COUNTA(D87:P87)/13,2))</x:f>
      </x:c>
      <x:c r="U87" s="27" t="str"/>
    </x:row>
    <x:row r="88">
      <x:c r="A88" s="27" t="str"/>
      <x:c r="B88" s="27" t="str"/>
      <x:c r="C88" s="27" t="str"/>
      <x:c r="D88" s="27" t="str"/>
      <x:c r="E88" s="27" t="str"/>
      <x:c r="F88" s="27" t="str"/>
      <x:c r="G88" s="27" t="str"/>
      <x:c r="H88" s="27" t="str"/>
      <x:c r="I88" s="27" t="str"/>
      <x:c r="J88" s="27" t="str"/>
      <x:c r="K88" s="27" t="str"/>
      <x:c r="L88" s="27" t="str"/>
      <x:c r="M88" s="27" t="str"/>
      <x:c r="N88" s="27" t="str"/>
      <x:c r="O88" s="27" t="str"/>
      <x:c r="P88" s="27" t="str"/>
      <x:c r="Q88" s="27" t="str">
        <x:f>IF(A88="","",IFERROR(INDEX('Пользовательские_сценарии'!$O$5:$O$304,MATCH(E88,'Пользовательские_сценарии'!$A$5:$A$304,0)),0))</x:f>
      </x:c>
      <x:c r="R88" s="27" t="str"/>
      <x:c r="S88" s="27" t="str"/>
      <x:c r="T88" s="52" t="str">
        <x:f>IF(A88="","",ROUND(COUNTA(D88:P88)/13,2))</x:f>
      </x:c>
      <x:c r="U88" s="27" t="str"/>
    </x:row>
    <x:row r="89">
      <x:c r="A89" s="27" t="str"/>
      <x:c r="B89" s="27" t="str"/>
      <x:c r="C89" s="27" t="str"/>
      <x:c r="D89" s="27" t="str"/>
      <x:c r="E89" s="27" t="str"/>
      <x:c r="F89" s="27" t="str"/>
      <x:c r="G89" s="27" t="str"/>
      <x:c r="H89" s="27" t="str"/>
      <x:c r="I89" s="27" t="str"/>
      <x:c r="J89" s="27" t="str"/>
      <x:c r="K89" s="27" t="str"/>
      <x:c r="L89" s="27" t="str"/>
      <x:c r="M89" s="27" t="str"/>
      <x:c r="N89" s="27" t="str"/>
      <x:c r="O89" s="27" t="str"/>
      <x:c r="P89" s="27" t="str"/>
      <x:c r="Q89" s="27" t="str">
        <x:f>IF(A89="","",IFERROR(INDEX('Пользовательские_сценарии'!$O$5:$O$304,MATCH(E89,'Пользовательские_сценарии'!$A$5:$A$304,0)),0))</x:f>
      </x:c>
      <x:c r="R89" s="27" t="str"/>
      <x:c r="S89" s="27" t="str"/>
      <x:c r="T89" s="52" t="str">
        <x:f>IF(A89="","",ROUND(COUNTA(D89:P89)/13,2))</x:f>
      </x:c>
      <x:c r="U89" s="27" t="str"/>
    </x:row>
    <x:row r="90">
      <x:c r="A90" s="27" t="str"/>
      <x:c r="B90" s="27" t="str"/>
      <x:c r="C90" s="27" t="str"/>
      <x:c r="D90" s="27" t="str"/>
      <x:c r="E90" s="27" t="str"/>
      <x:c r="F90" s="27" t="str"/>
      <x:c r="G90" s="27" t="str"/>
      <x:c r="H90" s="27" t="str"/>
      <x:c r="I90" s="27" t="str"/>
      <x:c r="J90" s="27" t="str"/>
      <x:c r="K90" s="27" t="str"/>
      <x:c r="L90" s="27" t="str"/>
      <x:c r="M90" s="27" t="str"/>
      <x:c r="N90" s="27" t="str"/>
      <x:c r="O90" s="27" t="str"/>
      <x:c r="P90" s="27" t="str"/>
      <x:c r="Q90" s="27" t="str">
        <x:f>IF(A90="","",IFERROR(INDEX('Пользовательские_сценарии'!$O$5:$O$304,MATCH(E90,'Пользовательские_сценарии'!$A$5:$A$304,0)),0))</x:f>
      </x:c>
      <x:c r="R90" s="27" t="str"/>
      <x:c r="S90" s="27" t="str"/>
      <x:c r="T90" s="52" t="str">
        <x:f>IF(A90="","",ROUND(COUNTA(D90:P90)/13,2))</x:f>
      </x:c>
      <x:c r="U90" s="27" t="str"/>
    </x:row>
    <x:row r="91">
      <x:c r="A91" s="27" t="str"/>
      <x:c r="B91" s="27" t="str"/>
      <x:c r="C91" s="27" t="str"/>
      <x:c r="D91" s="27" t="str"/>
      <x:c r="E91" s="27" t="str"/>
      <x:c r="F91" s="27" t="str"/>
      <x:c r="G91" s="27" t="str"/>
      <x:c r="H91" s="27" t="str"/>
      <x:c r="I91" s="27" t="str"/>
      <x:c r="J91" s="27" t="str"/>
      <x:c r="K91" s="27" t="str"/>
      <x:c r="L91" s="27" t="str"/>
      <x:c r="M91" s="27" t="str"/>
      <x:c r="N91" s="27" t="str"/>
      <x:c r="O91" s="27" t="str"/>
      <x:c r="P91" s="27" t="str"/>
      <x:c r="Q91" s="27" t="str">
        <x:f>IF(A91="","",IFERROR(INDEX('Пользовательские_сценарии'!$O$5:$O$304,MATCH(E91,'Пользовательские_сценарии'!$A$5:$A$304,0)),0))</x:f>
      </x:c>
      <x:c r="R91" s="27" t="str"/>
      <x:c r="S91" s="27" t="str"/>
      <x:c r="T91" s="52" t="str">
        <x:f>IF(A91="","",ROUND(COUNTA(D91:P91)/13,2))</x:f>
      </x:c>
      <x:c r="U91" s="27" t="str"/>
    </x:row>
    <x:row r="92">
      <x:c r="A92" s="27" t="str"/>
      <x:c r="B92" s="27" t="str"/>
      <x:c r="C92" s="27" t="str"/>
      <x:c r="D92" s="27" t="str"/>
      <x:c r="E92" s="27" t="str"/>
      <x:c r="F92" s="27" t="str"/>
      <x:c r="G92" s="27" t="str"/>
      <x:c r="H92" s="27" t="str"/>
      <x:c r="I92" s="27" t="str"/>
      <x:c r="J92" s="27" t="str"/>
      <x:c r="K92" s="27" t="str"/>
      <x:c r="L92" s="27" t="str"/>
      <x:c r="M92" s="27" t="str"/>
      <x:c r="N92" s="27" t="str"/>
      <x:c r="O92" s="27" t="str"/>
      <x:c r="P92" s="27" t="str"/>
      <x:c r="Q92" s="27" t="str">
        <x:f>IF(A92="","",IFERROR(INDEX('Пользовательские_сценарии'!$O$5:$O$304,MATCH(E92,'Пользовательские_сценарии'!$A$5:$A$304,0)),0))</x:f>
      </x:c>
      <x:c r="R92" s="27" t="str"/>
      <x:c r="S92" s="27" t="str"/>
      <x:c r="T92" s="52" t="str">
        <x:f>IF(A92="","",ROUND(COUNTA(D92:P92)/13,2))</x:f>
      </x:c>
      <x:c r="U92" s="27" t="str"/>
    </x:row>
    <x:row r="93">
      <x:c r="A93" s="27" t="str"/>
      <x:c r="B93" s="27" t="str"/>
      <x:c r="C93" s="27" t="str"/>
      <x:c r="D93" s="27" t="str"/>
      <x:c r="E93" s="27" t="str"/>
      <x:c r="F93" s="27" t="str"/>
      <x:c r="G93" s="27" t="str"/>
      <x:c r="H93" s="27" t="str"/>
      <x:c r="I93" s="27" t="str"/>
      <x:c r="J93" s="27" t="str"/>
      <x:c r="K93" s="27" t="str"/>
      <x:c r="L93" s="27" t="str"/>
      <x:c r="M93" s="27" t="str"/>
      <x:c r="N93" s="27" t="str"/>
      <x:c r="O93" s="27" t="str"/>
      <x:c r="P93" s="27" t="str"/>
      <x:c r="Q93" s="27" t="str">
        <x:f>IF(A93="","",IFERROR(INDEX('Пользовательские_сценарии'!$O$5:$O$304,MATCH(E93,'Пользовательские_сценарии'!$A$5:$A$304,0)),0))</x:f>
      </x:c>
      <x:c r="R93" s="27" t="str"/>
      <x:c r="S93" s="27" t="str"/>
      <x:c r="T93" s="52" t="str">
        <x:f>IF(A93="","",ROUND(COUNTA(D93:P93)/13,2))</x:f>
      </x:c>
      <x:c r="U93" s="27" t="str"/>
    </x:row>
    <x:row r="94">
      <x:c r="A94" s="27" t="str"/>
      <x:c r="B94" s="27" t="str"/>
      <x:c r="C94" s="27" t="str"/>
      <x:c r="D94" s="27" t="str"/>
      <x:c r="E94" s="27" t="str"/>
      <x:c r="F94" s="27" t="str"/>
      <x:c r="G94" s="27" t="str"/>
      <x:c r="H94" s="27" t="str"/>
      <x:c r="I94" s="27" t="str"/>
      <x:c r="J94" s="27" t="str"/>
      <x:c r="K94" s="27" t="str"/>
      <x:c r="L94" s="27" t="str"/>
      <x:c r="M94" s="27" t="str"/>
      <x:c r="N94" s="27" t="str"/>
      <x:c r="O94" s="27" t="str"/>
      <x:c r="P94" s="27" t="str"/>
      <x:c r="Q94" s="27" t="str">
        <x:f>IF(A94="","",IFERROR(INDEX('Пользовательские_сценарии'!$O$5:$O$304,MATCH(E94,'Пользовательские_сценарии'!$A$5:$A$304,0)),0))</x:f>
      </x:c>
      <x:c r="R94" s="27" t="str"/>
      <x:c r="S94" s="27" t="str"/>
      <x:c r="T94" s="52" t="str">
        <x:f>IF(A94="","",ROUND(COUNTA(D94:P94)/13,2))</x:f>
      </x:c>
      <x:c r="U94" s="27" t="str"/>
    </x:row>
    <x:row r="95">
      <x:c r="A95" s="27" t="str"/>
      <x:c r="B95" s="27" t="str"/>
      <x:c r="C95" s="27" t="str"/>
      <x:c r="D95" s="27" t="str"/>
      <x:c r="E95" s="27" t="str"/>
      <x:c r="F95" s="27" t="str"/>
      <x:c r="G95" s="27" t="str"/>
      <x:c r="H95" s="27" t="str"/>
      <x:c r="I95" s="27" t="str"/>
      <x:c r="J95" s="27" t="str"/>
      <x:c r="K95" s="27" t="str"/>
      <x:c r="L95" s="27" t="str"/>
      <x:c r="M95" s="27" t="str"/>
      <x:c r="N95" s="27" t="str"/>
      <x:c r="O95" s="27" t="str"/>
      <x:c r="P95" s="27" t="str"/>
      <x:c r="Q95" s="27" t="str">
        <x:f>IF(A95="","",IFERROR(INDEX('Пользовательские_сценарии'!$O$5:$O$304,MATCH(E95,'Пользовательские_сценарии'!$A$5:$A$304,0)),0))</x:f>
      </x:c>
      <x:c r="R95" s="27" t="str"/>
      <x:c r="S95" s="27" t="str"/>
      <x:c r="T95" s="52" t="str">
        <x:f>IF(A95="","",ROUND(COUNTA(D95:P95)/13,2))</x:f>
      </x:c>
      <x:c r="U95" s="27" t="str"/>
    </x:row>
    <x:row r="96">
      <x:c r="A96" s="27" t="str"/>
      <x:c r="B96" s="27" t="str"/>
      <x:c r="C96" s="27" t="str"/>
      <x:c r="D96" s="27" t="str"/>
      <x:c r="E96" s="27" t="str"/>
      <x:c r="F96" s="27" t="str"/>
      <x:c r="G96" s="27" t="str"/>
      <x:c r="H96" s="27" t="str"/>
      <x:c r="I96" s="27" t="str"/>
      <x:c r="J96" s="27" t="str"/>
      <x:c r="K96" s="27" t="str"/>
      <x:c r="L96" s="27" t="str"/>
      <x:c r="M96" s="27" t="str"/>
      <x:c r="N96" s="27" t="str"/>
      <x:c r="O96" s="27" t="str"/>
      <x:c r="P96" s="27" t="str"/>
      <x:c r="Q96" s="27" t="str">
        <x:f>IF(A96="","",IFERROR(INDEX('Пользовательские_сценарии'!$O$5:$O$304,MATCH(E96,'Пользовательские_сценарии'!$A$5:$A$304,0)),0))</x:f>
      </x:c>
      <x:c r="R96" s="27" t="str"/>
      <x:c r="S96" s="27" t="str"/>
      <x:c r="T96" s="52" t="str">
        <x:f>IF(A96="","",ROUND(COUNTA(D96:P96)/13,2))</x:f>
      </x:c>
      <x:c r="U96" s="27" t="str"/>
    </x:row>
    <x:row r="97">
      <x:c r="A97" s="27" t="str"/>
      <x:c r="B97" s="27" t="str"/>
      <x:c r="C97" s="27" t="str"/>
      <x:c r="D97" s="27" t="str"/>
      <x:c r="E97" s="27" t="str"/>
      <x:c r="F97" s="27" t="str"/>
      <x:c r="G97" s="27" t="str"/>
      <x:c r="H97" s="27" t="str"/>
      <x:c r="I97" s="27" t="str"/>
      <x:c r="J97" s="27" t="str"/>
      <x:c r="K97" s="27" t="str"/>
      <x:c r="L97" s="27" t="str"/>
      <x:c r="M97" s="27" t="str"/>
      <x:c r="N97" s="27" t="str"/>
      <x:c r="O97" s="27" t="str"/>
      <x:c r="P97" s="27" t="str"/>
      <x:c r="Q97" s="27" t="str">
        <x:f>IF(A97="","",IFERROR(INDEX('Пользовательские_сценарии'!$O$5:$O$304,MATCH(E97,'Пользовательские_сценарии'!$A$5:$A$304,0)),0))</x:f>
      </x:c>
      <x:c r="R97" s="27" t="str"/>
      <x:c r="S97" s="27" t="str"/>
      <x:c r="T97" s="52" t="str">
        <x:f>IF(A97="","",ROUND(COUNTA(D97:P97)/13,2))</x:f>
      </x:c>
      <x:c r="U97" s="27" t="str"/>
    </x:row>
    <x:row r="98">
      <x:c r="A98" s="27" t="str"/>
      <x:c r="B98" s="27" t="str"/>
      <x:c r="C98" s="27" t="str"/>
      <x:c r="D98" s="27" t="str"/>
      <x:c r="E98" s="27" t="str"/>
      <x:c r="F98" s="27" t="str"/>
      <x:c r="G98" s="27" t="str"/>
      <x:c r="H98" s="27" t="str"/>
      <x:c r="I98" s="27" t="str"/>
      <x:c r="J98" s="27" t="str"/>
      <x:c r="K98" s="27" t="str"/>
      <x:c r="L98" s="27" t="str"/>
      <x:c r="M98" s="27" t="str"/>
      <x:c r="N98" s="27" t="str"/>
      <x:c r="O98" s="27" t="str"/>
      <x:c r="P98" s="27" t="str"/>
      <x:c r="Q98" s="27" t="str">
        <x:f>IF(A98="","",IFERROR(INDEX('Пользовательские_сценарии'!$O$5:$O$304,MATCH(E98,'Пользовательские_сценарии'!$A$5:$A$304,0)),0))</x:f>
      </x:c>
      <x:c r="R98" s="27" t="str"/>
      <x:c r="S98" s="27" t="str"/>
      <x:c r="T98" s="52" t="str">
        <x:f>IF(A98="","",ROUND(COUNTA(D98:P98)/13,2))</x:f>
      </x:c>
      <x:c r="U98" s="27" t="str"/>
    </x:row>
    <x:row r="99">
      <x:c r="A99" s="27" t="str"/>
      <x:c r="B99" s="27" t="str"/>
      <x:c r="C99" s="27" t="str"/>
      <x:c r="D99" s="27" t="str"/>
      <x:c r="E99" s="27" t="str"/>
      <x:c r="F99" s="27" t="str"/>
      <x:c r="G99" s="27" t="str"/>
      <x:c r="H99" s="27" t="str"/>
      <x:c r="I99" s="27" t="str"/>
      <x:c r="J99" s="27" t="str"/>
      <x:c r="K99" s="27" t="str"/>
      <x:c r="L99" s="27" t="str"/>
      <x:c r="M99" s="27" t="str"/>
      <x:c r="N99" s="27" t="str"/>
      <x:c r="O99" s="27" t="str"/>
      <x:c r="P99" s="27" t="str"/>
      <x:c r="Q99" s="27" t="str">
        <x:f>IF(A99="","",IFERROR(INDEX('Пользовательские_сценарии'!$O$5:$O$304,MATCH(E99,'Пользовательские_сценарии'!$A$5:$A$304,0)),0))</x:f>
      </x:c>
      <x:c r="R99" s="27" t="str"/>
      <x:c r="S99" s="27" t="str"/>
      <x:c r="T99" s="52" t="str">
        <x:f>IF(A99="","",ROUND(COUNTA(D99:P99)/13,2))</x:f>
      </x:c>
      <x:c r="U99" s="27" t="str"/>
    </x:row>
    <x:row r="100">
      <x:c r="A100" s="27" t="str"/>
      <x:c r="B100" s="27" t="str"/>
      <x:c r="C100" s="27" t="str"/>
      <x:c r="D100" s="27" t="str"/>
      <x:c r="E100" s="27" t="str"/>
      <x:c r="F100" s="27" t="str"/>
      <x:c r="G100" s="27" t="str"/>
      <x:c r="H100" s="27" t="str"/>
      <x:c r="I100" s="27" t="str"/>
      <x:c r="J100" s="27" t="str"/>
      <x:c r="K100" s="27" t="str"/>
      <x:c r="L100" s="27" t="str"/>
      <x:c r="M100" s="27" t="str"/>
      <x:c r="N100" s="27" t="str"/>
      <x:c r="O100" s="27" t="str"/>
      <x:c r="P100" s="27" t="str"/>
      <x:c r="Q100" s="27" t="str">
        <x:f>IF(A100="","",IFERROR(INDEX('Пользовательские_сценарии'!$O$5:$O$304,MATCH(E100,'Пользовательские_сценарии'!$A$5:$A$304,0)),0))</x:f>
      </x:c>
      <x:c r="R100" s="27" t="str"/>
      <x:c r="S100" s="27" t="str"/>
      <x:c r="T100" s="52" t="str">
        <x:f>IF(A100="","",ROUND(COUNTA(D100:P100)/13,2))</x:f>
      </x:c>
      <x:c r="U100" s="27" t="str"/>
    </x:row>
    <x:row r="101">
      <x:c r="A101" s="27" t="str"/>
      <x:c r="B101" s="27" t="str"/>
      <x:c r="C101" s="27" t="str"/>
      <x:c r="D101" s="27" t="str"/>
      <x:c r="E101" s="27" t="str"/>
      <x:c r="F101" s="27" t="str"/>
      <x:c r="G101" s="27" t="str"/>
      <x:c r="H101" s="27" t="str"/>
      <x:c r="I101" s="27" t="str"/>
      <x:c r="J101" s="27" t="str"/>
      <x:c r="K101" s="27" t="str"/>
      <x:c r="L101" s="27" t="str"/>
      <x:c r="M101" s="27" t="str"/>
      <x:c r="N101" s="27" t="str"/>
      <x:c r="O101" s="27" t="str"/>
      <x:c r="P101" s="27" t="str"/>
      <x:c r="Q101" s="27" t="str">
        <x:f>IF(A101="","",IFERROR(INDEX('Пользовательские_сценарии'!$O$5:$O$304,MATCH(E101,'Пользовательские_сценарии'!$A$5:$A$304,0)),0))</x:f>
      </x:c>
      <x:c r="R101" s="27" t="str"/>
      <x:c r="S101" s="27" t="str"/>
      <x:c r="T101" s="52" t="str">
        <x:f>IF(A101="","",ROUND(COUNTA(D101:P101)/13,2))</x:f>
      </x:c>
      <x:c r="U101" s="27" t="str"/>
    </x:row>
    <x:row r="102">
      <x:c r="A102" s="27" t="str"/>
      <x:c r="B102" s="27" t="str"/>
      <x:c r="C102" s="27" t="str"/>
      <x:c r="D102" s="27" t="str"/>
      <x:c r="E102" s="27" t="str"/>
      <x:c r="F102" s="27" t="str"/>
      <x:c r="G102" s="27" t="str"/>
      <x:c r="H102" s="27" t="str"/>
      <x:c r="I102" s="27" t="str"/>
      <x:c r="J102" s="27" t="str"/>
      <x:c r="K102" s="27" t="str"/>
      <x:c r="L102" s="27" t="str"/>
      <x:c r="M102" s="27" t="str"/>
      <x:c r="N102" s="27" t="str"/>
      <x:c r="O102" s="27" t="str"/>
      <x:c r="P102" s="27" t="str"/>
      <x:c r="Q102" s="27" t="str">
        <x:f>IF(A102="","",IFERROR(INDEX('Пользовательские_сценарии'!$O$5:$O$304,MATCH(E102,'Пользовательские_сценарии'!$A$5:$A$304,0)),0))</x:f>
      </x:c>
      <x:c r="R102" s="27" t="str"/>
      <x:c r="S102" s="27" t="str"/>
      <x:c r="T102" s="52" t="str">
        <x:f>IF(A102="","",ROUND(COUNTA(D102:P102)/13,2))</x:f>
      </x:c>
      <x:c r="U102" s="27" t="str"/>
    </x:row>
    <x:row r="103">
      <x:c r="A103" s="27" t="str"/>
      <x:c r="B103" s="27" t="str"/>
      <x:c r="C103" s="27" t="str"/>
      <x:c r="D103" s="27" t="str"/>
      <x:c r="E103" s="27" t="str"/>
      <x:c r="F103" s="27" t="str"/>
      <x:c r="G103" s="27" t="str"/>
      <x:c r="H103" s="27" t="str"/>
      <x:c r="I103" s="27" t="str"/>
      <x:c r="J103" s="27" t="str"/>
      <x:c r="K103" s="27" t="str"/>
      <x:c r="L103" s="27" t="str"/>
      <x:c r="M103" s="27" t="str"/>
      <x:c r="N103" s="27" t="str"/>
      <x:c r="O103" s="27" t="str"/>
      <x:c r="P103" s="27" t="str"/>
      <x:c r="Q103" s="27" t="str">
        <x:f>IF(A103="","",IFERROR(INDEX('Пользовательские_сценарии'!$O$5:$O$304,MATCH(E103,'Пользовательские_сценарии'!$A$5:$A$304,0)),0))</x:f>
      </x:c>
      <x:c r="R103" s="27" t="str"/>
      <x:c r="S103" s="27" t="str"/>
      <x:c r="T103" s="52" t="str">
        <x:f>IF(A103="","",ROUND(COUNTA(D103:P103)/13,2))</x:f>
      </x:c>
      <x:c r="U103" s="27" t="str"/>
    </x:row>
    <x:row r="104">
      <x:c r="A104" s="27" t="str"/>
      <x:c r="B104" s="27" t="str"/>
      <x:c r="C104" s="27" t="str"/>
      <x:c r="D104" s="27" t="str"/>
      <x:c r="E104" s="27" t="str"/>
      <x:c r="F104" s="27" t="str"/>
      <x:c r="G104" s="27" t="str"/>
      <x:c r="H104" s="27" t="str"/>
      <x:c r="I104" s="27" t="str"/>
      <x:c r="J104" s="27" t="str"/>
      <x:c r="K104" s="27" t="str"/>
      <x:c r="L104" s="27" t="str"/>
      <x:c r="M104" s="27" t="str"/>
      <x:c r="N104" s="27" t="str"/>
      <x:c r="O104" s="27" t="str"/>
      <x:c r="P104" s="27" t="str"/>
      <x:c r="Q104" s="27" t="str">
        <x:f>IF(A104="","",IFERROR(INDEX('Пользовательские_сценарии'!$O$5:$O$304,MATCH(E104,'Пользовательские_сценарии'!$A$5:$A$304,0)),0))</x:f>
      </x:c>
      <x:c r="R104" s="27" t="str"/>
      <x:c r="S104" s="27" t="str"/>
      <x:c r="T104" s="52" t="str">
        <x:f>IF(A104="","",ROUND(COUNTA(D104:P104)/13,2))</x:f>
      </x:c>
      <x:c r="U104" s="27" t="str"/>
    </x:row>
    <x:row r="105">
      <x:c r="A105" s="27" t="str"/>
      <x:c r="B105" s="27" t="str"/>
      <x:c r="C105" s="27" t="str"/>
      <x:c r="D105" s="27" t="str"/>
      <x:c r="E105" s="27" t="str"/>
      <x:c r="F105" s="27" t="str"/>
      <x:c r="G105" s="27" t="str"/>
      <x:c r="H105" s="27" t="str"/>
      <x:c r="I105" s="27" t="str"/>
      <x:c r="J105" s="27" t="str"/>
      <x:c r="K105" s="27" t="str"/>
      <x:c r="L105" s="27" t="str"/>
      <x:c r="M105" s="27" t="str"/>
      <x:c r="N105" s="27" t="str"/>
      <x:c r="O105" s="27" t="str"/>
      <x:c r="P105" s="27" t="str"/>
      <x:c r="Q105" s="27" t="str">
        <x:f>IF(A105="","",IFERROR(INDEX('Пользовательские_сценарии'!$O$5:$O$304,MATCH(E105,'Пользовательские_сценарии'!$A$5:$A$304,0)),0))</x:f>
      </x:c>
      <x:c r="R105" s="27" t="str"/>
      <x:c r="S105" s="27" t="str"/>
      <x:c r="T105" s="52" t="str">
        <x:f>IF(A105="","",ROUND(COUNTA(D105:P105)/13,2))</x:f>
      </x:c>
      <x:c r="U105" s="27" t="str"/>
    </x:row>
    <x:row r="106">
      <x:c r="A106" s="27" t="str"/>
      <x:c r="B106" s="27" t="str"/>
      <x:c r="C106" s="27" t="str"/>
      <x:c r="D106" s="27" t="str"/>
      <x:c r="E106" s="27" t="str"/>
      <x:c r="F106" s="27" t="str"/>
      <x:c r="G106" s="27" t="str"/>
      <x:c r="H106" s="27" t="str"/>
      <x:c r="I106" s="27" t="str"/>
      <x:c r="J106" s="27" t="str"/>
      <x:c r="K106" s="27" t="str"/>
      <x:c r="L106" s="27" t="str"/>
      <x:c r="M106" s="27" t="str"/>
      <x:c r="N106" s="27" t="str"/>
      <x:c r="O106" s="27" t="str"/>
      <x:c r="P106" s="27" t="str"/>
      <x:c r="Q106" s="27" t="str">
        <x:f>IF(A106="","",IFERROR(INDEX('Пользовательские_сценарии'!$O$5:$O$304,MATCH(E106,'Пользовательские_сценарии'!$A$5:$A$304,0)),0))</x:f>
      </x:c>
      <x:c r="R106" s="27" t="str"/>
      <x:c r="S106" s="27" t="str"/>
      <x:c r="T106" s="52" t="str">
        <x:f>IF(A106="","",ROUND(COUNTA(D106:P106)/13,2))</x:f>
      </x:c>
      <x:c r="U106" s="27" t="str"/>
    </x:row>
    <x:row r="107">
      <x:c r="A107" s="27" t="str"/>
      <x:c r="B107" s="27" t="str"/>
      <x:c r="C107" s="27" t="str"/>
      <x:c r="D107" s="27" t="str"/>
      <x:c r="E107" s="27" t="str"/>
      <x:c r="F107" s="27" t="str"/>
      <x:c r="G107" s="27" t="str"/>
      <x:c r="H107" s="27" t="str"/>
      <x:c r="I107" s="27" t="str"/>
      <x:c r="J107" s="27" t="str"/>
      <x:c r="K107" s="27" t="str"/>
      <x:c r="L107" s="27" t="str"/>
      <x:c r="M107" s="27" t="str"/>
      <x:c r="N107" s="27" t="str"/>
      <x:c r="O107" s="27" t="str"/>
      <x:c r="P107" s="27" t="str"/>
      <x:c r="Q107" s="27" t="str">
        <x:f>IF(A107="","",IFERROR(INDEX('Пользовательские_сценарии'!$O$5:$O$304,MATCH(E107,'Пользовательские_сценарии'!$A$5:$A$304,0)),0))</x:f>
      </x:c>
      <x:c r="R107" s="27" t="str"/>
      <x:c r="S107" s="27" t="str"/>
      <x:c r="T107" s="52" t="str">
        <x:f>IF(A107="","",ROUND(COUNTA(D107:P107)/13,2))</x:f>
      </x:c>
      <x:c r="U107" s="27" t="str"/>
    </x:row>
    <x:row r="108">
      <x:c r="A108" s="27" t="str"/>
      <x:c r="B108" s="27" t="str"/>
      <x:c r="C108" s="27" t="str"/>
      <x:c r="D108" s="27" t="str"/>
      <x:c r="E108" s="27" t="str"/>
      <x:c r="F108" s="27" t="str"/>
      <x:c r="G108" s="27" t="str"/>
      <x:c r="H108" s="27" t="str"/>
      <x:c r="I108" s="27" t="str"/>
      <x:c r="J108" s="27" t="str"/>
      <x:c r="K108" s="27" t="str"/>
      <x:c r="L108" s="27" t="str"/>
      <x:c r="M108" s="27" t="str"/>
      <x:c r="N108" s="27" t="str"/>
      <x:c r="O108" s="27" t="str"/>
      <x:c r="P108" s="27" t="str"/>
      <x:c r="Q108" s="27" t="str">
        <x:f>IF(A108="","",IFERROR(INDEX('Пользовательские_сценарии'!$O$5:$O$304,MATCH(E108,'Пользовательские_сценарии'!$A$5:$A$304,0)),0))</x:f>
      </x:c>
      <x:c r="R108" s="27" t="str"/>
      <x:c r="S108" s="27" t="str"/>
      <x:c r="T108" s="52" t="str">
        <x:f>IF(A108="","",ROUND(COUNTA(D108:P108)/13,2))</x:f>
      </x:c>
      <x:c r="U108" s="27" t="str"/>
    </x:row>
    <x:row r="109">
      <x:c r="A109" s="27" t="str"/>
      <x:c r="B109" s="27" t="str"/>
      <x:c r="C109" s="27" t="str"/>
      <x:c r="D109" s="27" t="str"/>
      <x:c r="E109" s="27" t="str"/>
      <x:c r="F109" s="27" t="str"/>
      <x:c r="G109" s="27" t="str"/>
      <x:c r="H109" s="27" t="str"/>
      <x:c r="I109" s="27" t="str"/>
      <x:c r="J109" s="27" t="str"/>
      <x:c r="K109" s="27" t="str"/>
      <x:c r="L109" s="27" t="str"/>
      <x:c r="M109" s="27" t="str"/>
      <x:c r="N109" s="27" t="str"/>
      <x:c r="O109" s="27" t="str"/>
      <x:c r="P109" s="27" t="str"/>
      <x:c r="Q109" s="27" t="str">
        <x:f>IF(A109="","",IFERROR(INDEX('Пользовательские_сценарии'!$O$5:$O$304,MATCH(E109,'Пользовательские_сценарии'!$A$5:$A$304,0)),0))</x:f>
      </x:c>
      <x:c r="R109" s="27" t="str"/>
      <x:c r="S109" s="27" t="str"/>
      <x:c r="T109" s="52" t="str">
        <x:f>IF(A109="","",ROUND(COUNTA(D109:P109)/13,2))</x:f>
      </x:c>
      <x:c r="U109" s="27" t="str"/>
    </x:row>
    <x:row r="110">
      <x:c r="A110" s="27" t="str"/>
      <x:c r="B110" s="27" t="str"/>
      <x:c r="C110" s="27" t="str"/>
      <x:c r="D110" s="27" t="str"/>
      <x:c r="E110" s="27" t="str"/>
      <x:c r="F110" s="27" t="str"/>
      <x:c r="G110" s="27" t="str"/>
      <x:c r="H110" s="27" t="str"/>
      <x:c r="I110" s="27" t="str"/>
      <x:c r="J110" s="27" t="str"/>
      <x:c r="K110" s="27" t="str"/>
      <x:c r="L110" s="27" t="str"/>
      <x:c r="M110" s="27" t="str"/>
      <x:c r="N110" s="27" t="str"/>
      <x:c r="O110" s="27" t="str"/>
      <x:c r="P110" s="27" t="str"/>
      <x:c r="Q110" s="27" t="str">
        <x:f>IF(A110="","",IFERROR(INDEX('Пользовательские_сценарии'!$O$5:$O$304,MATCH(E110,'Пользовательские_сценарии'!$A$5:$A$304,0)),0))</x:f>
      </x:c>
      <x:c r="R110" s="27" t="str"/>
      <x:c r="S110" s="27" t="str"/>
      <x:c r="T110" s="52" t="str">
        <x:f>IF(A110="","",ROUND(COUNTA(D110:P110)/13,2))</x:f>
      </x:c>
      <x:c r="U110" s="27" t="str"/>
    </x:row>
    <x:row r="111">
      <x:c r="A111" s="27" t="str"/>
      <x:c r="B111" s="27" t="str"/>
      <x:c r="C111" s="27" t="str"/>
      <x:c r="D111" s="27" t="str"/>
      <x:c r="E111" s="27" t="str"/>
      <x:c r="F111" s="27" t="str"/>
      <x:c r="G111" s="27" t="str"/>
      <x:c r="H111" s="27" t="str"/>
      <x:c r="I111" s="27" t="str"/>
      <x:c r="J111" s="27" t="str"/>
      <x:c r="K111" s="27" t="str"/>
      <x:c r="L111" s="27" t="str"/>
      <x:c r="M111" s="27" t="str"/>
      <x:c r="N111" s="27" t="str"/>
      <x:c r="O111" s="27" t="str"/>
      <x:c r="P111" s="27" t="str"/>
      <x:c r="Q111" s="27" t="str">
        <x:f>IF(A111="","",IFERROR(INDEX('Пользовательские_сценарии'!$O$5:$O$304,MATCH(E111,'Пользовательские_сценарии'!$A$5:$A$304,0)),0))</x:f>
      </x:c>
      <x:c r="R111" s="27" t="str"/>
      <x:c r="S111" s="27" t="str"/>
      <x:c r="T111" s="52" t="str">
        <x:f>IF(A111="","",ROUND(COUNTA(D111:P111)/13,2))</x:f>
      </x:c>
      <x:c r="U111" s="27" t="str"/>
    </x:row>
    <x:row r="112">
      <x:c r="A112" s="27" t="str"/>
      <x:c r="B112" s="27" t="str"/>
      <x:c r="C112" s="27" t="str"/>
      <x:c r="D112" s="27" t="str"/>
      <x:c r="E112" s="27" t="str"/>
      <x:c r="F112" s="27" t="str"/>
      <x:c r="G112" s="27" t="str"/>
      <x:c r="H112" s="27" t="str"/>
      <x:c r="I112" s="27" t="str"/>
      <x:c r="J112" s="27" t="str"/>
      <x:c r="K112" s="27" t="str"/>
      <x:c r="L112" s="27" t="str"/>
      <x:c r="M112" s="27" t="str"/>
      <x:c r="N112" s="27" t="str"/>
      <x:c r="O112" s="27" t="str"/>
      <x:c r="P112" s="27" t="str"/>
      <x:c r="Q112" s="27" t="str">
        <x:f>IF(A112="","",IFERROR(INDEX('Пользовательские_сценарии'!$O$5:$O$304,MATCH(E112,'Пользовательские_сценарии'!$A$5:$A$304,0)),0))</x:f>
      </x:c>
      <x:c r="R112" s="27" t="str"/>
      <x:c r="S112" s="27" t="str"/>
      <x:c r="T112" s="52" t="str">
        <x:f>IF(A112="","",ROUND(COUNTA(D112:P112)/13,2))</x:f>
      </x:c>
      <x:c r="U112" s="27" t="str"/>
    </x:row>
    <x:row r="113">
      <x:c r="A113" s="27" t="str"/>
      <x:c r="B113" s="27" t="str"/>
      <x:c r="C113" s="27" t="str"/>
      <x:c r="D113" s="27" t="str"/>
      <x:c r="E113" s="27" t="str"/>
      <x:c r="F113" s="27" t="str"/>
      <x:c r="G113" s="27" t="str"/>
      <x:c r="H113" s="27" t="str"/>
      <x:c r="I113" s="27" t="str"/>
      <x:c r="J113" s="27" t="str"/>
      <x:c r="K113" s="27" t="str"/>
      <x:c r="L113" s="27" t="str"/>
      <x:c r="M113" s="27" t="str"/>
      <x:c r="N113" s="27" t="str"/>
      <x:c r="O113" s="27" t="str"/>
      <x:c r="P113" s="27" t="str"/>
      <x:c r="Q113" s="27" t="str">
        <x:f>IF(A113="","",IFERROR(INDEX('Пользовательские_сценарии'!$O$5:$O$304,MATCH(E113,'Пользовательские_сценарии'!$A$5:$A$304,0)),0))</x:f>
      </x:c>
      <x:c r="R113" s="27" t="str"/>
      <x:c r="S113" s="27" t="str"/>
      <x:c r="T113" s="52" t="str">
        <x:f>IF(A113="","",ROUND(COUNTA(D113:P113)/13,2))</x:f>
      </x:c>
      <x:c r="U113" s="27" t="str"/>
    </x:row>
    <x:row r="114">
      <x:c r="A114" s="27" t="str"/>
      <x:c r="B114" s="27" t="str"/>
      <x:c r="C114" s="27" t="str"/>
      <x:c r="D114" s="27" t="str"/>
      <x:c r="E114" s="27" t="str"/>
      <x:c r="F114" s="27" t="str"/>
      <x:c r="G114" s="27" t="str"/>
      <x:c r="H114" s="27" t="str"/>
      <x:c r="I114" s="27" t="str"/>
      <x:c r="J114" s="27" t="str"/>
      <x:c r="K114" s="27" t="str"/>
      <x:c r="L114" s="27" t="str"/>
      <x:c r="M114" s="27" t="str"/>
      <x:c r="N114" s="27" t="str"/>
      <x:c r="O114" s="27" t="str"/>
      <x:c r="P114" s="27" t="str"/>
      <x:c r="Q114" s="27" t="str">
        <x:f>IF(A114="","",IFERROR(INDEX('Пользовательские_сценарии'!$O$5:$O$304,MATCH(E114,'Пользовательские_сценарии'!$A$5:$A$304,0)),0))</x:f>
      </x:c>
      <x:c r="R114" s="27" t="str"/>
      <x:c r="S114" s="27" t="str"/>
      <x:c r="T114" s="52" t="str">
        <x:f>IF(A114="","",ROUND(COUNTA(D114:P114)/13,2))</x:f>
      </x:c>
      <x:c r="U114" s="27" t="str"/>
    </x:row>
    <x:row r="115">
      <x:c r="A115" s="27" t="str"/>
      <x:c r="B115" s="27" t="str"/>
      <x:c r="C115" s="27" t="str"/>
      <x:c r="D115" s="27" t="str"/>
      <x:c r="E115" s="27" t="str"/>
      <x:c r="F115" s="27" t="str"/>
      <x:c r="G115" s="27" t="str"/>
      <x:c r="H115" s="27" t="str"/>
      <x:c r="I115" s="27" t="str"/>
      <x:c r="J115" s="27" t="str"/>
      <x:c r="K115" s="27" t="str"/>
      <x:c r="L115" s="27" t="str"/>
      <x:c r="M115" s="27" t="str"/>
      <x:c r="N115" s="27" t="str"/>
      <x:c r="O115" s="27" t="str"/>
      <x:c r="P115" s="27" t="str"/>
      <x:c r="Q115" s="27" t="str">
        <x:f>IF(A115="","",IFERROR(INDEX('Пользовательские_сценарии'!$O$5:$O$304,MATCH(E115,'Пользовательские_сценарии'!$A$5:$A$304,0)),0))</x:f>
      </x:c>
      <x:c r="R115" s="27" t="str"/>
      <x:c r="S115" s="27" t="str"/>
      <x:c r="T115" s="52" t="str">
        <x:f>IF(A115="","",ROUND(COUNTA(D115:P115)/13,2))</x:f>
      </x:c>
      <x:c r="U115" s="27" t="str"/>
    </x:row>
    <x:row r="116">
      <x:c r="A116" s="27" t="str"/>
      <x:c r="B116" s="27" t="str"/>
      <x:c r="C116" s="27" t="str"/>
      <x:c r="D116" s="27" t="str"/>
      <x:c r="E116" s="27" t="str"/>
      <x:c r="F116" s="27" t="str"/>
      <x:c r="G116" s="27" t="str"/>
      <x:c r="H116" s="27" t="str"/>
      <x:c r="I116" s="27" t="str"/>
      <x:c r="J116" s="27" t="str"/>
      <x:c r="K116" s="27" t="str"/>
      <x:c r="L116" s="27" t="str"/>
      <x:c r="M116" s="27" t="str"/>
      <x:c r="N116" s="27" t="str"/>
      <x:c r="O116" s="27" t="str"/>
      <x:c r="P116" s="27" t="str"/>
      <x:c r="Q116" s="27" t="str">
        <x:f>IF(A116="","",IFERROR(INDEX('Пользовательские_сценарии'!$O$5:$O$304,MATCH(E116,'Пользовательские_сценарии'!$A$5:$A$304,0)),0))</x:f>
      </x:c>
      <x:c r="R116" s="27" t="str"/>
      <x:c r="S116" s="27" t="str"/>
      <x:c r="T116" s="52" t="str">
        <x:f>IF(A116="","",ROUND(COUNTA(D116:P116)/13,2))</x:f>
      </x:c>
      <x:c r="U116" s="27" t="str"/>
    </x:row>
    <x:row r="117">
      <x:c r="A117" s="27" t="str"/>
      <x:c r="B117" s="27" t="str"/>
      <x:c r="C117" s="27" t="str"/>
      <x:c r="D117" s="27" t="str"/>
      <x:c r="E117" s="27" t="str"/>
      <x:c r="F117" s="27" t="str"/>
      <x:c r="G117" s="27" t="str"/>
      <x:c r="H117" s="27" t="str"/>
      <x:c r="I117" s="27" t="str"/>
      <x:c r="J117" s="27" t="str"/>
      <x:c r="K117" s="27" t="str"/>
      <x:c r="L117" s="27" t="str"/>
      <x:c r="M117" s="27" t="str"/>
      <x:c r="N117" s="27" t="str"/>
      <x:c r="O117" s="27" t="str"/>
      <x:c r="P117" s="27" t="str"/>
      <x:c r="Q117" s="27" t="str">
        <x:f>IF(A117="","",IFERROR(INDEX('Пользовательские_сценарии'!$O$5:$O$304,MATCH(E117,'Пользовательские_сценарии'!$A$5:$A$304,0)),0))</x:f>
      </x:c>
      <x:c r="R117" s="27" t="str"/>
      <x:c r="S117" s="27" t="str"/>
      <x:c r="T117" s="52" t="str">
        <x:f>IF(A117="","",ROUND(COUNTA(D117:P117)/13,2))</x:f>
      </x:c>
      <x:c r="U117" s="27" t="str"/>
    </x:row>
    <x:row r="118">
      <x:c r="A118" s="27" t="str"/>
      <x:c r="B118" s="27" t="str"/>
      <x:c r="C118" s="27" t="str"/>
      <x:c r="D118" s="27" t="str"/>
      <x:c r="E118" s="27" t="str"/>
      <x:c r="F118" s="27" t="str"/>
      <x:c r="G118" s="27" t="str"/>
      <x:c r="H118" s="27" t="str"/>
      <x:c r="I118" s="27" t="str"/>
      <x:c r="J118" s="27" t="str"/>
      <x:c r="K118" s="27" t="str"/>
      <x:c r="L118" s="27" t="str"/>
      <x:c r="M118" s="27" t="str"/>
      <x:c r="N118" s="27" t="str"/>
      <x:c r="O118" s="27" t="str"/>
      <x:c r="P118" s="27" t="str"/>
      <x:c r="Q118" s="27" t="str">
        <x:f>IF(A118="","",IFERROR(INDEX('Пользовательские_сценарии'!$O$5:$O$304,MATCH(E118,'Пользовательские_сценарии'!$A$5:$A$304,0)),0))</x:f>
      </x:c>
      <x:c r="R118" s="27" t="str"/>
      <x:c r="S118" s="27" t="str"/>
      <x:c r="T118" s="52" t="str">
        <x:f>IF(A118="","",ROUND(COUNTA(D118:P118)/13,2))</x:f>
      </x:c>
      <x:c r="U118" s="27" t="str"/>
    </x:row>
    <x:row r="119">
      <x:c r="A119" s="27" t="str"/>
      <x:c r="B119" s="27" t="str"/>
      <x:c r="C119" s="27" t="str"/>
      <x:c r="D119" s="27" t="str"/>
      <x:c r="E119" s="27" t="str"/>
      <x:c r="F119" s="27" t="str"/>
      <x:c r="G119" s="27" t="str"/>
      <x:c r="H119" s="27" t="str"/>
      <x:c r="I119" s="27" t="str"/>
      <x:c r="J119" s="27" t="str"/>
      <x:c r="K119" s="27" t="str"/>
      <x:c r="L119" s="27" t="str"/>
      <x:c r="M119" s="27" t="str"/>
      <x:c r="N119" s="27" t="str"/>
      <x:c r="O119" s="27" t="str"/>
      <x:c r="P119" s="27" t="str"/>
      <x:c r="Q119" s="27" t="str">
        <x:f>IF(A119="","",IFERROR(INDEX('Пользовательские_сценарии'!$O$5:$O$304,MATCH(E119,'Пользовательские_сценарии'!$A$5:$A$304,0)),0))</x:f>
      </x:c>
      <x:c r="R119" s="27" t="str"/>
      <x:c r="S119" s="27" t="str"/>
      <x:c r="T119" s="52" t="str">
        <x:f>IF(A119="","",ROUND(COUNTA(D119:P119)/13,2))</x:f>
      </x:c>
      <x:c r="U119" s="27" t="str"/>
    </x:row>
    <x:row r="120">
      <x:c r="A120" s="27" t="str"/>
      <x:c r="B120" s="27" t="str"/>
      <x:c r="C120" s="27" t="str"/>
      <x:c r="D120" s="27" t="str"/>
      <x:c r="E120" s="27" t="str"/>
      <x:c r="F120" s="27" t="str"/>
      <x:c r="G120" s="27" t="str"/>
      <x:c r="H120" s="27" t="str"/>
      <x:c r="I120" s="27" t="str"/>
      <x:c r="J120" s="27" t="str"/>
      <x:c r="K120" s="27" t="str"/>
      <x:c r="L120" s="27" t="str"/>
      <x:c r="M120" s="27" t="str"/>
      <x:c r="N120" s="27" t="str"/>
      <x:c r="O120" s="27" t="str"/>
      <x:c r="P120" s="27" t="str"/>
      <x:c r="Q120" s="27" t="str">
        <x:f>IF(A120="","",IFERROR(INDEX('Пользовательские_сценарии'!$O$5:$O$304,MATCH(E120,'Пользовательские_сценарии'!$A$5:$A$304,0)),0))</x:f>
      </x:c>
      <x:c r="R120" s="27" t="str"/>
      <x:c r="S120" s="27" t="str"/>
      <x:c r="T120" s="52" t="str">
        <x:f>IF(A120="","",ROUND(COUNTA(D120:P120)/13,2))</x:f>
      </x:c>
      <x:c r="U120" s="27" t="str"/>
    </x:row>
    <x:row r="121">
      <x:c r="A121" s="27" t="str"/>
      <x:c r="B121" s="27" t="str"/>
      <x:c r="C121" s="27" t="str"/>
      <x:c r="D121" s="27" t="str"/>
      <x:c r="E121" s="27" t="str"/>
      <x:c r="F121" s="27" t="str"/>
      <x:c r="G121" s="27" t="str"/>
      <x:c r="H121" s="27" t="str"/>
      <x:c r="I121" s="27" t="str"/>
      <x:c r="J121" s="27" t="str"/>
      <x:c r="K121" s="27" t="str"/>
      <x:c r="L121" s="27" t="str"/>
      <x:c r="M121" s="27" t="str"/>
      <x:c r="N121" s="27" t="str"/>
      <x:c r="O121" s="27" t="str"/>
      <x:c r="P121" s="27" t="str"/>
      <x:c r="Q121" s="27" t="str">
        <x:f>IF(A121="","",IFERROR(INDEX('Пользовательские_сценарии'!$O$5:$O$304,MATCH(E121,'Пользовательские_сценарии'!$A$5:$A$304,0)),0))</x:f>
      </x:c>
      <x:c r="R121" s="27" t="str"/>
      <x:c r="S121" s="27" t="str"/>
      <x:c r="T121" s="52" t="str">
        <x:f>IF(A121="","",ROUND(COUNTA(D121:P121)/13,2))</x:f>
      </x:c>
      <x:c r="U121" s="27" t="str"/>
    </x:row>
    <x:row r="122">
      <x:c r="A122" s="27" t="str"/>
      <x:c r="B122" s="27" t="str"/>
      <x:c r="C122" s="27" t="str"/>
      <x:c r="D122" s="27" t="str"/>
      <x:c r="E122" s="27" t="str"/>
      <x:c r="F122" s="27" t="str"/>
      <x:c r="G122" s="27" t="str"/>
      <x:c r="H122" s="27" t="str"/>
      <x:c r="I122" s="27" t="str"/>
      <x:c r="J122" s="27" t="str"/>
      <x:c r="K122" s="27" t="str"/>
      <x:c r="L122" s="27" t="str"/>
      <x:c r="M122" s="27" t="str"/>
      <x:c r="N122" s="27" t="str"/>
      <x:c r="O122" s="27" t="str"/>
      <x:c r="P122" s="27" t="str"/>
      <x:c r="Q122" s="27" t="str">
        <x:f>IF(A122="","",IFERROR(INDEX('Пользовательские_сценарии'!$O$5:$O$304,MATCH(E122,'Пользовательские_сценарии'!$A$5:$A$304,0)),0))</x:f>
      </x:c>
      <x:c r="R122" s="27" t="str"/>
      <x:c r="S122" s="27" t="str"/>
      <x:c r="T122" s="52" t="str">
        <x:f>IF(A122="","",ROUND(COUNTA(D122:P122)/13,2))</x:f>
      </x:c>
      <x:c r="U122" s="27" t="str"/>
    </x:row>
    <x:row r="123">
      <x:c r="A123" s="27" t="str"/>
      <x:c r="B123" s="27" t="str"/>
      <x:c r="C123" s="27" t="str"/>
      <x:c r="D123" s="27" t="str"/>
      <x:c r="E123" s="27" t="str"/>
      <x:c r="F123" s="27" t="str"/>
      <x:c r="G123" s="27" t="str"/>
      <x:c r="H123" s="27" t="str"/>
      <x:c r="I123" s="27" t="str"/>
      <x:c r="J123" s="27" t="str"/>
      <x:c r="K123" s="27" t="str"/>
      <x:c r="L123" s="27" t="str"/>
      <x:c r="M123" s="27" t="str"/>
      <x:c r="N123" s="27" t="str"/>
      <x:c r="O123" s="27" t="str"/>
      <x:c r="P123" s="27" t="str"/>
      <x:c r="Q123" s="27" t="str">
        <x:f>IF(A123="","",IFERROR(INDEX('Пользовательские_сценарии'!$O$5:$O$304,MATCH(E123,'Пользовательские_сценарии'!$A$5:$A$304,0)),0))</x:f>
      </x:c>
      <x:c r="R123" s="27" t="str"/>
      <x:c r="S123" s="27" t="str"/>
      <x:c r="T123" s="52" t="str">
        <x:f>IF(A123="","",ROUND(COUNTA(D123:P123)/13,2))</x:f>
      </x:c>
      <x:c r="U123" s="27" t="str"/>
    </x:row>
    <x:row r="124">
      <x:c r="A124" s="27" t="str"/>
      <x:c r="B124" s="27" t="str"/>
      <x:c r="C124" s="27" t="str"/>
      <x:c r="D124" s="27" t="str"/>
      <x:c r="E124" s="27" t="str"/>
      <x:c r="F124" s="27" t="str"/>
      <x:c r="G124" s="27" t="str"/>
      <x:c r="H124" s="27" t="str"/>
      <x:c r="I124" s="27" t="str"/>
      <x:c r="J124" s="27" t="str"/>
      <x:c r="K124" s="27" t="str"/>
      <x:c r="L124" s="27" t="str"/>
      <x:c r="M124" s="27" t="str"/>
      <x:c r="N124" s="27" t="str"/>
      <x:c r="O124" s="27" t="str"/>
      <x:c r="P124" s="27" t="str"/>
      <x:c r="Q124" s="27" t="str">
        <x:f>IF(A124="","",IFERROR(INDEX('Пользовательские_сценарии'!$O$5:$O$304,MATCH(E124,'Пользовательские_сценарии'!$A$5:$A$304,0)),0))</x:f>
      </x:c>
      <x:c r="R124" s="27" t="str"/>
      <x:c r="S124" s="27" t="str"/>
      <x:c r="T124" s="52" t="str">
        <x:f>IF(A124="","",ROUND(COUNTA(D124:P124)/13,2))</x:f>
      </x:c>
      <x:c r="U124" s="27" t="str"/>
    </x:row>
    <x:row r="125">
      <x:c r="A125" s="27" t="str"/>
      <x:c r="B125" s="27" t="str"/>
      <x:c r="C125" s="27" t="str"/>
      <x:c r="D125" s="27" t="str"/>
      <x:c r="E125" s="27" t="str"/>
      <x:c r="F125" s="27" t="str"/>
      <x:c r="G125" s="27" t="str"/>
      <x:c r="H125" s="27" t="str"/>
      <x:c r="I125" s="27" t="str"/>
      <x:c r="J125" s="27" t="str"/>
      <x:c r="K125" s="27" t="str"/>
      <x:c r="L125" s="27" t="str"/>
      <x:c r="M125" s="27" t="str"/>
      <x:c r="N125" s="27" t="str"/>
      <x:c r="O125" s="27" t="str"/>
      <x:c r="P125" s="27" t="str"/>
      <x:c r="Q125" s="27" t="str">
        <x:f>IF(A125="","",IFERROR(INDEX('Пользовательские_сценарии'!$O$5:$O$304,MATCH(E125,'Пользовательские_сценарии'!$A$5:$A$304,0)),0))</x:f>
      </x:c>
      <x:c r="R125" s="27" t="str"/>
      <x:c r="S125" s="27" t="str"/>
      <x:c r="T125" s="52" t="str">
        <x:f>IF(A125="","",ROUND(COUNTA(D125:P125)/13,2))</x:f>
      </x:c>
      <x:c r="U125" s="27" t="str"/>
    </x:row>
    <x:row r="126">
      <x:c r="A126" s="27" t="str"/>
      <x:c r="B126" s="27" t="str"/>
      <x:c r="C126" s="27" t="str"/>
      <x:c r="D126" s="27" t="str"/>
      <x:c r="E126" s="27" t="str"/>
      <x:c r="F126" s="27" t="str"/>
      <x:c r="G126" s="27" t="str"/>
      <x:c r="H126" s="27" t="str"/>
      <x:c r="I126" s="27" t="str"/>
      <x:c r="J126" s="27" t="str"/>
      <x:c r="K126" s="27" t="str"/>
      <x:c r="L126" s="27" t="str"/>
      <x:c r="M126" s="27" t="str"/>
      <x:c r="N126" s="27" t="str"/>
      <x:c r="O126" s="27" t="str"/>
      <x:c r="P126" s="27" t="str"/>
      <x:c r="Q126" s="27" t="str">
        <x:f>IF(A126="","",IFERROR(INDEX('Пользовательские_сценарии'!$O$5:$O$304,MATCH(E126,'Пользовательские_сценарии'!$A$5:$A$304,0)),0))</x:f>
      </x:c>
      <x:c r="R126" s="27" t="str"/>
      <x:c r="S126" s="27" t="str"/>
      <x:c r="T126" s="52" t="str">
        <x:f>IF(A126="","",ROUND(COUNTA(D126:P126)/13,2))</x:f>
      </x:c>
      <x:c r="U126" s="27" t="str"/>
    </x:row>
    <x:row r="127">
      <x:c r="A127" s="27" t="str"/>
      <x:c r="B127" s="27" t="str"/>
      <x:c r="C127" s="27" t="str"/>
      <x:c r="D127" s="27" t="str"/>
      <x:c r="E127" s="27" t="str"/>
      <x:c r="F127" s="27" t="str"/>
      <x:c r="G127" s="27" t="str"/>
      <x:c r="H127" s="27" t="str"/>
      <x:c r="I127" s="27" t="str"/>
      <x:c r="J127" s="27" t="str"/>
      <x:c r="K127" s="27" t="str"/>
      <x:c r="L127" s="27" t="str"/>
      <x:c r="M127" s="27" t="str"/>
      <x:c r="N127" s="27" t="str"/>
      <x:c r="O127" s="27" t="str"/>
      <x:c r="P127" s="27" t="str"/>
      <x:c r="Q127" s="27" t="str">
        <x:f>IF(A127="","",IFERROR(INDEX('Пользовательские_сценарии'!$O$5:$O$304,MATCH(E127,'Пользовательские_сценарии'!$A$5:$A$304,0)),0))</x:f>
      </x:c>
      <x:c r="R127" s="27" t="str"/>
      <x:c r="S127" s="27" t="str"/>
      <x:c r="T127" s="52" t="str">
        <x:f>IF(A127="","",ROUND(COUNTA(D127:P127)/13,2))</x:f>
      </x:c>
      <x:c r="U127" s="27" t="str"/>
    </x:row>
    <x:row r="128">
      <x:c r="A128" s="27" t="str"/>
      <x:c r="B128" s="27" t="str"/>
      <x:c r="C128" s="27" t="str"/>
      <x:c r="D128" s="27" t="str"/>
      <x:c r="E128" s="27" t="str"/>
      <x:c r="F128" s="27" t="str"/>
      <x:c r="G128" s="27" t="str"/>
      <x:c r="H128" s="27" t="str"/>
      <x:c r="I128" s="27" t="str"/>
      <x:c r="J128" s="27" t="str"/>
      <x:c r="K128" s="27" t="str"/>
      <x:c r="L128" s="27" t="str"/>
      <x:c r="M128" s="27" t="str"/>
      <x:c r="N128" s="27" t="str"/>
      <x:c r="O128" s="27" t="str"/>
      <x:c r="P128" s="27" t="str"/>
      <x:c r="Q128" s="27" t="str">
        <x:f>IF(A128="","",IFERROR(INDEX('Пользовательские_сценарии'!$O$5:$O$304,MATCH(E128,'Пользовательские_сценарии'!$A$5:$A$304,0)),0))</x:f>
      </x:c>
      <x:c r="R128" s="27" t="str"/>
      <x:c r="S128" s="27" t="str"/>
      <x:c r="T128" s="52" t="str">
        <x:f>IF(A128="","",ROUND(COUNTA(D128:P128)/13,2))</x:f>
      </x:c>
      <x:c r="U128" s="27" t="str"/>
    </x:row>
    <x:row r="129">
      <x:c r="A129" s="27" t="str"/>
      <x:c r="B129" s="27" t="str"/>
      <x:c r="C129" s="27" t="str"/>
      <x:c r="D129" s="27" t="str"/>
      <x:c r="E129" s="27" t="str"/>
      <x:c r="F129" s="27" t="str"/>
      <x:c r="G129" s="27" t="str"/>
      <x:c r="H129" s="27" t="str"/>
      <x:c r="I129" s="27" t="str"/>
      <x:c r="J129" s="27" t="str"/>
      <x:c r="K129" s="27" t="str"/>
      <x:c r="L129" s="27" t="str"/>
      <x:c r="M129" s="27" t="str"/>
      <x:c r="N129" s="27" t="str"/>
      <x:c r="O129" s="27" t="str"/>
      <x:c r="P129" s="27" t="str"/>
      <x:c r="Q129" s="27" t="str">
        <x:f>IF(A129="","",IFERROR(INDEX('Пользовательские_сценарии'!$O$5:$O$304,MATCH(E129,'Пользовательские_сценарии'!$A$5:$A$304,0)),0))</x:f>
      </x:c>
      <x:c r="R129" s="27" t="str"/>
      <x:c r="S129" s="27" t="str"/>
      <x:c r="T129" s="52" t="str">
        <x:f>IF(A129="","",ROUND(COUNTA(D129:P129)/13,2))</x:f>
      </x:c>
      <x:c r="U129" s="27" t="str"/>
    </x:row>
    <x:row r="130">
      <x:c r="A130" s="27" t="str"/>
      <x:c r="B130" s="27" t="str"/>
      <x:c r="C130" s="27" t="str"/>
      <x:c r="D130" s="27" t="str"/>
      <x:c r="E130" s="27" t="str"/>
      <x:c r="F130" s="27" t="str"/>
      <x:c r="G130" s="27" t="str"/>
      <x:c r="H130" s="27" t="str"/>
      <x:c r="I130" s="27" t="str"/>
      <x:c r="J130" s="27" t="str"/>
      <x:c r="K130" s="27" t="str"/>
      <x:c r="L130" s="27" t="str"/>
      <x:c r="M130" s="27" t="str"/>
      <x:c r="N130" s="27" t="str"/>
      <x:c r="O130" s="27" t="str"/>
      <x:c r="P130" s="27" t="str"/>
      <x:c r="Q130" s="27" t="str">
        <x:f>IF(A130="","",IFERROR(INDEX('Пользовательские_сценарии'!$O$5:$O$304,MATCH(E130,'Пользовательские_сценарии'!$A$5:$A$304,0)),0))</x:f>
      </x:c>
      <x:c r="R130" s="27" t="str"/>
      <x:c r="S130" s="27" t="str"/>
      <x:c r="T130" s="52" t="str">
        <x:f>IF(A130="","",ROUND(COUNTA(D130:P130)/13,2))</x:f>
      </x:c>
      <x:c r="U130" s="27" t="str"/>
    </x:row>
    <x:row r="131">
      <x:c r="A131" s="27" t="str"/>
      <x:c r="B131" s="27" t="str"/>
      <x:c r="C131" s="27" t="str"/>
      <x:c r="D131" s="27" t="str"/>
      <x:c r="E131" s="27" t="str"/>
      <x:c r="F131" s="27" t="str"/>
      <x:c r="G131" s="27" t="str"/>
      <x:c r="H131" s="27" t="str"/>
      <x:c r="I131" s="27" t="str"/>
      <x:c r="J131" s="27" t="str"/>
      <x:c r="K131" s="27" t="str"/>
      <x:c r="L131" s="27" t="str"/>
      <x:c r="M131" s="27" t="str"/>
      <x:c r="N131" s="27" t="str"/>
      <x:c r="O131" s="27" t="str"/>
      <x:c r="P131" s="27" t="str"/>
      <x:c r="Q131" s="27" t="str">
        <x:f>IF(A131="","",IFERROR(INDEX('Пользовательские_сценарии'!$O$5:$O$304,MATCH(E131,'Пользовательские_сценарии'!$A$5:$A$304,0)),0))</x:f>
      </x:c>
      <x:c r="R131" s="27" t="str"/>
      <x:c r="S131" s="27" t="str"/>
      <x:c r="T131" s="52" t="str">
        <x:f>IF(A131="","",ROUND(COUNTA(D131:P131)/13,2))</x:f>
      </x:c>
      <x:c r="U131" s="27" t="str"/>
    </x:row>
    <x:row r="132">
      <x:c r="A132" s="27" t="str"/>
      <x:c r="B132" s="27" t="str"/>
      <x:c r="C132" s="27" t="str"/>
      <x:c r="D132" s="27" t="str"/>
      <x:c r="E132" s="27" t="str"/>
      <x:c r="F132" s="27" t="str"/>
      <x:c r="G132" s="27" t="str"/>
      <x:c r="H132" s="27" t="str"/>
      <x:c r="I132" s="27" t="str"/>
      <x:c r="J132" s="27" t="str"/>
      <x:c r="K132" s="27" t="str"/>
      <x:c r="L132" s="27" t="str"/>
      <x:c r="M132" s="27" t="str"/>
      <x:c r="N132" s="27" t="str"/>
      <x:c r="O132" s="27" t="str"/>
      <x:c r="P132" s="27" t="str"/>
      <x:c r="Q132" s="27" t="str">
        <x:f>IF(A132="","",IFERROR(INDEX('Пользовательские_сценарии'!$O$5:$O$304,MATCH(E132,'Пользовательские_сценарии'!$A$5:$A$304,0)),0))</x:f>
      </x:c>
      <x:c r="R132" s="27" t="str"/>
      <x:c r="S132" s="27" t="str"/>
      <x:c r="T132" s="52" t="str">
        <x:f>IF(A132="","",ROUND(COUNTA(D132:P132)/13,2))</x:f>
      </x:c>
      <x:c r="U132" s="27" t="str"/>
    </x:row>
    <x:row r="133">
      <x:c r="A133" s="27" t="str"/>
      <x:c r="B133" s="27" t="str"/>
      <x:c r="C133" s="27" t="str"/>
      <x:c r="D133" s="27" t="str"/>
      <x:c r="E133" s="27" t="str"/>
      <x:c r="F133" s="27" t="str"/>
      <x:c r="G133" s="27" t="str"/>
      <x:c r="H133" s="27" t="str"/>
      <x:c r="I133" s="27" t="str"/>
      <x:c r="J133" s="27" t="str"/>
      <x:c r="K133" s="27" t="str"/>
      <x:c r="L133" s="27" t="str"/>
      <x:c r="M133" s="27" t="str"/>
      <x:c r="N133" s="27" t="str"/>
      <x:c r="O133" s="27" t="str"/>
      <x:c r="P133" s="27" t="str"/>
      <x:c r="Q133" s="27" t="str">
        <x:f>IF(A133="","",IFERROR(INDEX('Пользовательские_сценарии'!$O$5:$O$304,MATCH(E133,'Пользовательские_сценарии'!$A$5:$A$304,0)),0))</x:f>
      </x:c>
      <x:c r="R133" s="27" t="str"/>
      <x:c r="S133" s="27" t="str"/>
      <x:c r="T133" s="52" t="str">
        <x:f>IF(A133="","",ROUND(COUNTA(D133:P133)/13,2))</x:f>
      </x:c>
      <x:c r="U133" s="27" t="str"/>
    </x:row>
    <x:row r="134">
      <x:c r="A134" s="27" t="str"/>
      <x:c r="B134" s="27" t="str"/>
      <x:c r="C134" s="27" t="str"/>
      <x:c r="D134" s="27" t="str"/>
      <x:c r="E134" s="27" t="str"/>
      <x:c r="F134" s="27" t="str"/>
      <x:c r="G134" s="27" t="str"/>
      <x:c r="H134" s="27" t="str"/>
      <x:c r="I134" s="27" t="str"/>
      <x:c r="J134" s="27" t="str"/>
      <x:c r="K134" s="27" t="str"/>
      <x:c r="L134" s="27" t="str"/>
      <x:c r="M134" s="27" t="str"/>
      <x:c r="N134" s="27" t="str"/>
      <x:c r="O134" s="27" t="str"/>
      <x:c r="P134" s="27" t="str"/>
      <x:c r="Q134" s="27" t="str">
        <x:f>IF(A134="","",IFERROR(INDEX('Пользовательские_сценарии'!$O$5:$O$304,MATCH(E134,'Пользовательские_сценарии'!$A$5:$A$304,0)),0))</x:f>
      </x:c>
      <x:c r="R134" s="27" t="str"/>
      <x:c r="S134" s="27" t="str"/>
      <x:c r="T134" s="52" t="str">
        <x:f>IF(A134="","",ROUND(COUNTA(D134:P134)/13,2))</x:f>
      </x:c>
      <x:c r="U134" s="27" t="str"/>
    </x:row>
    <x:row r="135">
      <x:c r="A135" s="27" t="str"/>
      <x:c r="B135" s="27" t="str"/>
      <x:c r="C135" s="27" t="str"/>
      <x:c r="D135" s="27" t="str"/>
      <x:c r="E135" s="27" t="str"/>
      <x:c r="F135" s="27" t="str"/>
      <x:c r="G135" s="27" t="str"/>
      <x:c r="H135" s="27" t="str"/>
      <x:c r="I135" s="27" t="str"/>
      <x:c r="J135" s="27" t="str"/>
      <x:c r="K135" s="27" t="str"/>
      <x:c r="L135" s="27" t="str"/>
      <x:c r="M135" s="27" t="str"/>
      <x:c r="N135" s="27" t="str"/>
      <x:c r="O135" s="27" t="str"/>
      <x:c r="P135" s="27" t="str"/>
      <x:c r="Q135" s="27" t="str">
        <x:f>IF(A135="","",IFERROR(INDEX('Пользовательские_сценарии'!$O$5:$O$304,MATCH(E135,'Пользовательские_сценарии'!$A$5:$A$304,0)),0))</x:f>
      </x:c>
      <x:c r="R135" s="27" t="str"/>
      <x:c r="S135" s="27" t="str"/>
      <x:c r="T135" s="52" t="str">
        <x:f>IF(A135="","",ROUND(COUNTA(D135:P135)/13,2))</x:f>
      </x:c>
      <x:c r="U135" s="27" t="str"/>
    </x:row>
    <x:row r="136">
      <x:c r="A136" s="27" t="str"/>
      <x:c r="B136" s="27" t="str"/>
      <x:c r="C136" s="27" t="str"/>
      <x:c r="D136" s="27" t="str"/>
      <x:c r="E136" s="27" t="str"/>
      <x:c r="F136" s="27" t="str"/>
      <x:c r="G136" s="27" t="str"/>
      <x:c r="H136" s="27" t="str"/>
      <x:c r="I136" s="27" t="str"/>
      <x:c r="J136" s="27" t="str"/>
      <x:c r="K136" s="27" t="str"/>
      <x:c r="L136" s="27" t="str"/>
      <x:c r="M136" s="27" t="str"/>
      <x:c r="N136" s="27" t="str"/>
      <x:c r="O136" s="27" t="str"/>
      <x:c r="P136" s="27" t="str"/>
      <x:c r="Q136" s="27" t="str">
        <x:f>IF(A136="","",IFERROR(INDEX('Пользовательские_сценарии'!$O$5:$O$304,MATCH(E136,'Пользовательские_сценарии'!$A$5:$A$304,0)),0))</x:f>
      </x:c>
      <x:c r="R136" s="27" t="str"/>
      <x:c r="S136" s="27" t="str"/>
      <x:c r="T136" s="52" t="str">
        <x:f>IF(A136="","",ROUND(COUNTA(D136:P136)/13,2))</x:f>
      </x:c>
      <x:c r="U136" s="27" t="str"/>
    </x:row>
    <x:row r="137">
      <x:c r="A137" s="27" t="str"/>
      <x:c r="B137" s="27" t="str"/>
      <x:c r="C137" s="27" t="str"/>
      <x:c r="D137" s="27" t="str"/>
      <x:c r="E137" s="27" t="str"/>
      <x:c r="F137" s="27" t="str"/>
      <x:c r="G137" s="27" t="str"/>
      <x:c r="H137" s="27" t="str"/>
      <x:c r="I137" s="27" t="str"/>
      <x:c r="J137" s="27" t="str"/>
      <x:c r="K137" s="27" t="str"/>
      <x:c r="L137" s="27" t="str"/>
      <x:c r="M137" s="27" t="str"/>
      <x:c r="N137" s="27" t="str"/>
      <x:c r="O137" s="27" t="str"/>
      <x:c r="P137" s="27" t="str"/>
      <x:c r="Q137" s="27" t="str">
        <x:f>IF(A137="","",IFERROR(INDEX('Пользовательские_сценарии'!$O$5:$O$304,MATCH(E137,'Пользовательские_сценарии'!$A$5:$A$304,0)),0))</x:f>
      </x:c>
      <x:c r="R137" s="27" t="str"/>
      <x:c r="S137" s="27" t="str"/>
      <x:c r="T137" s="52" t="str">
        <x:f>IF(A137="","",ROUND(COUNTA(D137:P137)/13,2))</x:f>
      </x:c>
      <x:c r="U137" s="27" t="str"/>
    </x:row>
    <x:row r="138">
      <x:c r="A138" s="27" t="str"/>
      <x:c r="B138" s="27" t="str"/>
      <x:c r="C138" s="27" t="str"/>
      <x:c r="D138" s="27" t="str"/>
      <x:c r="E138" s="27" t="str"/>
      <x:c r="F138" s="27" t="str"/>
      <x:c r="G138" s="27" t="str"/>
      <x:c r="H138" s="27" t="str"/>
      <x:c r="I138" s="27" t="str"/>
      <x:c r="J138" s="27" t="str"/>
      <x:c r="K138" s="27" t="str"/>
      <x:c r="L138" s="27" t="str"/>
      <x:c r="M138" s="27" t="str"/>
      <x:c r="N138" s="27" t="str"/>
      <x:c r="O138" s="27" t="str"/>
      <x:c r="P138" s="27" t="str"/>
      <x:c r="Q138" s="27" t="str">
        <x:f>IF(A138="","",IFERROR(INDEX('Пользовательские_сценарии'!$O$5:$O$304,MATCH(E138,'Пользовательские_сценарии'!$A$5:$A$304,0)),0))</x:f>
      </x:c>
      <x:c r="R138" s="27" t="str"/>
      <x:c r="S138" s="27" t="str"/>
      <x:c r="T138" s="52" t="str">
        <x:f>IF(A138="","",ROUND(COUNTA(D138:P138)/13,2))</x:f>
      </x:c>
      <x:c r="U138" s="27" t="str"/>
    </x:row>
    <x:row r="139">
      <x:c r="A139" s="27" t="str"/>
      <x:c r="B139" s="27" t="str"/>
      <x:c r="C139" s="27" t="str"/>
      <x:c r="D139" s="27" t="str"/>
      <x:c r="E139" s="27" t="str"/>
      <x:c r="F139" s="27" t="str"/>
      <x:c r="G139" s="27" t="str"/>
      <x:c r="H139" s="27" t="str"/>
      <x:c r="I139" s="27" t="str"/>
      <x:c r="J139" s="27" t="str"/>
      <x:c r="K139" s="27" t="str"/>
      <x:c r="L139" s="27" t="str"/>
      <x:c r="M139" s="27" t="str"/>
      <x:c r="N139" s="27" t="str"/>
      <x:c r="O139" s="27" t="str"/>
      <x:c r="P139" s="27" t="str"/>
      <x:c r="Q139" s="27" t="str">
        <x:f>IF(A139="","",IFERROR(INDEX('Пользовательские_сценарии'!$O$5:$O$304,MATCH(E139,'Пользовательские_сценарии'!$A$5:$A$304,0)),0))</x:f>
      </x:c>
      <x:c r="R139" s="27" t="str"/>
      <x:c r="S139" s="27" t="str"/>
      <x:c r="T139" s="52" t="str">
        <x:f>IF(A139="","",ROUND(COUNTA(D139:P139)/13,2))</x:f>
      </x:c>
      <x:c r="U139" s="27" t="str"/>
    </x:row>
    <x:row r="140">
      <x:c r="A140" s="27" t="str"/>
      <x:c r="B140" s="27" t="str"/>
      <x:c r="C140" s="27" t="str"/>
      <x:c r="D140" s="27" t="str"/>
      <x:c r="E140" s="27" t="str"/>
      <x:c r="F140" s="27" t="str"/>
      <x:c r="G140" s="27" t="str"/>
      <x:c r="H140" s="27" t="str"/>
      <x:c r="I140" s="27" t="str"/>
      <x:c r="J140" s="27" t="str"/>
      <x:c r="K140" s="27" t="str"/>
      <x:c r="L140" s="27" t="str"/>
      <x:c r="M140" s="27" t="str"/>
      <x:c r="N140" s="27" t="str"/>
      <x:c r="O140" s="27" t="str"/>
      <x:c r="P140" s="27" t="str"/>
      <x:c r="Q140" s="27" t="str">
        <x:f>IF(A140="","",IFERROR(INDEX('Пользовательские_сценарии'!$O$5:$O$304,MATCH(E140,'Пользовательские_сценарии'!$A$5:$A$304,0)),0))</x:f>
      </x:c>
      <x:c r="R140" s="27" t="str"/>
      <x:c r="S140" s="27" t="str"/>
      <x:c r="T140" s="52" t="str">
        <x:f>IF(A140="","",ROUND(COUNTA(D140:P140)/13,2))</x:f>
      </x:c>
      <x:c r="U140" s="27" t="str"/>
    </x:row>
    <x:row r="141">
      <x:c r="A141" s="27" t="str"/>
      <x:c r="B141" s="27" t="str"/>
      <x:c r="C141" s="27" t="str"/>
      <x:c r="D141" s="27" t="str"/>
      <x:c r="E141" s="27" t="str"/>
      <x:c r="F141" s="27" t="str"/>
      <x:c r="G141" s="27" t="str"/>
      <x:c r="H141" s="27" t="str"/>
      <x:c r="I141" s="27" t="str"/>
      <x:c r="J141" s="27" t="str"/>
      <x:c r="K141" s="27" t="str"/>
      <x:c r="L141" s="27" t="str"/>
      <x:c r="M141" s="27" t="str"/>
      <x:c r="N141" s="27" t="str"/>
      <x:c r="O141" s="27" t="str"/>
      <x:c r="P141" s="27" t="str"/>
      <x:c r="Q141" s="27" t="str">
        <x:f>IF(A141="","",IFERROR(INDEX('Пользовательские_сценарии'!$O$5:$O$304,MATCH(E141,'Пользовательские_сценарии'!$A$5:$A$304,0)),0))</x:f>
      </x:c>
      <x:c r="R141" s="27" t="str"/>
      <x:c r="S141" s="27" t="str"/>
      <x:c r="T141" s="52" t="str">
        <x:f>IF(A141="","",ROUND(COUNTA(D141:P141)/13,2))</x:f>
      </x:c>
      <x:c r="U141" s="27" t="str"/>
    </x:row>
    <x:row r="142">
      <x:c r="A142" s="27" t="str"/>
      <x:c r="B142" s="27" t="str"/>
      <x:c r="C142" s="27" t="str"/>
      <x:c r="D142" s="27" t="str"/>
      <x:c r="E142" s="27" t="str"/>
      <x:c r="F142" s="27" t="str"/>
      <x:c r="G142" s="27" t="str"/>
      <x:c r="H142" s="27" t="str"/>
      <x:c r="I142" s="27" t="str"/>
      <x:c r="J142" s="27" t="str"/>
      <x:c r="K142" s="27" t="str"/>
      <x:c r="L142" s="27" t="str"/>
      <x:c r="M142" s="27" t="str"/>
      <x:c r="N142" s="27" t="str"/>
      <x:c r="O142" s="27" t="str"/>
      <x:c r="P142" s="27" t="str"/>
      <x:c r="Q142" s="27" t="str">
        <x:f>IF(A142="","",IFERROR(INDEX('Пользовательские_сценарии'!$O$5:$O$304,MATCH(E142,'Пользовательские_сценарии'!$A$5:$A$304,0)),0))</x:f>
      </x:c>
      <x:c r="R142" s="27" t="str"/>
      <x:c r="S142" s="27" t="str"/>
      <x:c r="T142" s="52" t="str">
        <x:f>IF(A142="","",ROUND(COUNTA(D142:P142)/13,2))</x:f>
      </x:c>
      <x:c r="U142" s="27" t="str"/>
    </x:row>
    <x:row r="143">
      <x:c r="A143" s="27" t="str"/>
      <x:c r="B143" s="27" t="str"/>
      <x:c r="C143" s="27" t="str"/>
      <x:c r="D143" s="27" t="str"/>
      <x:c r="E143" s="27" t="str"/>
      <x:c r="F143" s="27" t="str"/>
      <x:c r="G143" s="27" t="str"/>
      <x:c r="H143" s="27" t="str"/>
      <x:c r="I143" s="27" t="str"/>
      <x:c r="J143" s="27" t="str"/>
      <x:c r="K143" s="27" t="str"/>
      <x:c r="L143" s="27" t="str"/>
      <x:c r="M143" s="27" t="str"/>
      <x:c r="N143" s="27" t="str"/>
      <x:c r="O143" s="27" t="str"/>
      <x:c r="P143" s="27" t="str"/>
      <x:c r="Q143" s="27" t="str">
        <x:f>IF(A143="","",IFERROR(INDEX('Пользовательские_сценарии'!$O$5:$O$304,MATCH(E143,'Пользовательские_сценарии'!$A$5:$A$304,0)),0))</x:f>
      </x:c>
      <x:c r="R143" s="27" t="str"/>
      <x:c r="S143" s="27" t="str"/>
      <x:c r="T143" s="52" t="str">
        <x:f>IF(A143="","",ROUND(COUNTA(D143:P143)/13,2))</x:f>
      </x:c>
      <x:c r="U143" s="27" t="str"/>
    </x:row>
    <x:row r="144">
      <x:c r="A144" s="27" t="str"/>
      <x:c r="B144" s="27" t="str"/>
      <x:c r="C144" s="27" t="str"/>
      <x:c r="D144" s="27" t="str"/>
      <x:c r="E144" s="27" t="str"/>
      <x:c r="F144" s="27" t="str"/>
      <x:c r="G144" s="27" t="str"/>
      <x:c r="H144" s="27" t="str"/>
      <x:c r="I144" s="27" t="str"/>
      <x:c r="J144" s="27" t="str"/>
      <x:c r="K144" s="27" t="str"/>
      <x:c r="L144" s="27" t="str"/>
      <x:c r="M144" s="27" t="str"/>
      <x:c r="N144" s="27" t="str"/>
      <x:c r="O144" s="27" t="str"/>
      <x:c r="P144" s="27" t="str"/>
      <x:c r="Q144" s="27" t="str">
        <x:f>IF(A144="","",IFERROR(INDEX('Пользовательские_сценарии'!$O$5:$O$304,MATCH(E144,'Пользовательские_сценарии'!$A$5:$A$304,0)),0))</x:f>
      </x:c>
      <x:c r="R144" s="27" t="str"/>
      <x:c r="S144" s="27" t="str"/>
      <x:c r="T144" s="52" t="str">
        <x:f>IF(A144="","",ROUND(COUNTA(D144:P144)/13,2))</x:f>
      </x:c>
      <x:c r="U144" s="27" t="str"/>
    </x:row>
    <x:row r="145">
      <x:c r="A145" s="27" t="str"/>
      <x:c r="B145" s="27" t="str"/>
      <x:c r="C145" s="27" t="str"/>
      <x:c r="D145" s="27" t="str"/>
      <x:c r="E145" s="27" t="str"/>
      <x:c r="F145" s="27" t="str"/>
      <x:c r="G145" s="27" t="str"/>
      <x:c r="H145" s="27" t="str"/>
      <x:c r="I145" s="27" t="str"/>
      <x:c r="J145" s="27" t="str"/>
      <x:c r="K145" s="27" t="str"/>
      <x:c r="L145" s="27" t="str"/>
      <x:c r="M145" s="27" t="str"/>
      <x:c r="N145" s="27" t="str"/>
      <x:c r="O145" s="27" t="str"/>
      <x:c r="P145" s="27" t="str"/>
      <x:c r="Q145" s="27" t="str">
        <x:f>IF(A145="","",IFERROR(INDEX('Пользовательские_сценарии'!$O$5:$O$304,MATCH(E145,'Пользовательские_сценарии'!$A$5:$A$304,0)),0))</x:f>
      </x:c>
      <x:c r="R145" s="27" t="str"/>
      <x:c r="S145" s="27" t="str"/>
      <x:c r="T145" s="52" t="str">
        <x:f>IF(A145="","",ROUND(COUNTA(D145:P145)/13,2))</x:f>
      </x:c>
      <x:c r="U145" s="27" t="str"/>
    </x:row>
    <x:row r="146">
      <x:c r="A146" s="27" t="str"/>
      <x:c r="B146" s="27" t="str"/>
      <x:c r="C146" s="27" t="str"/>
      <x:c r="D146" s="27" t="str"/>
      <x:c r="E146" s="27" t="str"/>
      <x:c r="F146" s="27" t="str"/>
      <x:c r="G146" s="27" t="str"/>
      <x:c r="H146" s="27" t="str"/>
      <x:c r="I146" s="27" t="str"/>
      <x:c r="J146" s="27" t="str"/>
      <x:c r="K146" s="27" t="str"/>
      <x:c r="L146" s="27" t="str"/>
      <x:c r="M146" s="27" t="str"/>
      <x:c r="N146" s="27" t="str"/>
      <x:c r="O146" s="27" t="str"/>
      <x:c r="P146" s="27" t="str"/>
      <x:c r="Q146" s="27" t="str">
        <x:f>IF(A146="","",IFERROR(INDEX('Пользовательские_сценарии'!$O$5:$O$304,MATCH(E146,'Пользовательские_сценарии'!$A$5:$A$304,0)),0))</x:f>
      </x:c>
      <x:c r="R146" s="27" t="str"/>
      <x:c r="S146" s="27" t="str"/>
      <x:c r="T146" s="52" t="str">
        <x:f>IF(A146="","",ROUND(COUNTA(D146:P146)/13,2))</x:f>
      </x:c>
      <x:c r="U146" s="27" t="str"/>
    </x:row>
    <x:row r="147">
      <x:c r="A147" s="27" t="str"/>
      <x:c r="B147" s="27" t="str"/>
      <x:c r="C147" s="27" t="str"/>
      <x:c r="D147" s="27" t="str"/>
      <x:c r="E147" s="27" t="str"/>
      <x:c r="F147" s="27" t="str"/>
      <x:c r="G147" s="27" t="str"/>
      <x:c r="H147" s="27" t="str"/>
      <x:c r="I147" s="27" t="str"/>
      <x:c r="J147" s="27" t="str"/>
      <x:c r="K147" s="27" t="str"/>
      <x:c r="L147" s="27" t="str"/>
      <x:c r="M147" s="27" t="str"/>
      <x:c r="N147" s="27" t="str"/>
      <x:c r="O147" s="27" t="str"/>
      <x:c r="P147" s="27" t="str"/>
      <x:c r="Q147" s="27" t="str">
        <x:f>IF(A147="","",IFERROR(INDEX('Пользовательские_сценарии'!$O$5:$O$304,MATCH(E147,'Пользовательские_сценарии'!$A$5:$A$304,0)),0))</x:f>
      </x:c>
      <x:c r="R147" s="27" t="str"/>
      <x:c r="S147" s="27" t="str"/>
      <x:c r="T147" s="52" t="str">
        <x:f>IF(A147="","",ROUND(COUNTA(D147:P147)/13,2))</x:f>
      </x:c>
      <x:c r="U147" s="27" t="str"/>
    </x:row>
    <x:row r="148">
      <x:c r="A148" s="27" t="str"/>
      <x:c r="B148" s="27" t="str"/>
      <x:c r="C148" s="27" t="str"/>
      <x:c r="D148" s="27" t="str"/>
      <x:c r="E148" s="27" t="str"/>
      <x:c r="F148" s="27" t="str"/>
      <x:c r="G148" s="27" t="str"/>
      <x:c r="H148" s="27" t="str"/>
      <x:c r="I148" s="27" t="str"/>
      <x:c r="J148" s="27" t="str"/>
      <x:c r="K148" s="27" t="str"/>
      <x:c r="L148" s="27" t="str"/>
      <x:c r="M148" s="27" t="str"/>
      <x:c r="N148" s="27" t="str"/>
      <x:c r="O148" s="27" t="str"/>
      <x:c r="P148" s="27" t="str"/>
      <x:c r="Q148" s="27" t="str">
        <x:f>IF(A148="","",IFERROR(INDEX('Пользовательские_сценарии'!$O$5:$O$304,MATCH(E148,'Пользовательские_сценарии'!$A$5:$A$304,0)),0))</x:f>
      </x:c>
      <x:c r="R148" s="27" t="str"/>
      <x:c r="S148" s="27" t="str"/>
      <x:c r="T148" s="52" t="str">
        <x:f>IF(A148="","",ROUND(COUNTA(D148:P148)/13,2))</x:f>
      </x:c>
      <x:c r="U148" s="27" t="str"/>
    </x:row>
    <x:row r="149">
      <x:c r="A149" s="27" t="str"/>
      <x:c r="B149" s="27" t="str"/>
      <x:c r="C149" s="27" t="str"/>
      <x:c r="D149" s="27" t="str"/>
      <x:c r="E149" s="27" t="str"/>
      <x:c r="F149" s="27" t="str"/>
      <x:c r="G149" s="27" t="str"/>
      <x:c r="H149" s="27" t="str"/>
      <x:c r="I149" s="27" t="str"/>
      <x:c r="J149" s="27" t="str"/>
      <x:c r="K149" s="27" t="str"/>
      <x:c r="L149" s="27" t="str"/>
      <x:c r="M149" s="27" t="str"/>
      <x:c r="N149" s="27" t="str"/>
      <x:c r="O149" s="27" t="str"/>
      <x:c r="P149" s="27" t="str"/>
      <x:c r="Q149" s="27" t="str">
        <x:f>IF(A149="","",IFERROR(INDEX('Пользовательские_сценарии'!$O$5:$O$304,MATCH(E149,'Пользовательские_сценарии'!$A$5:$A$304,0)),0))</x:f>
      </x:c>
      <x:c r="R149" s="27" t="str"/>
      <x:c r="S149" s="27" t="str"/>
      <x:c r="T149" s="52" t="str">
        <x:f>IF(A149="","",ROUND(COUNTA(D149:P149)/13,2))</x:f>
      </x:c>
      <x:c r="U149" s="27" t="str"/>
    </x:row>
    <x:row r="150">
      <x:c r="A150" s="27" t="str"/>
      <x:c r="B150" s="27" t="str"/>
      <x:c r="C150" s="27" t="str"/>
      <x:c r="D150" s="27" t="str"/>
      <x:c r="E150" s="27" t="str"/>
      <x:c r="F150" s="27" t="str"/>
      <x:c r="G150" s="27" t="str"/>
      <x:c r="H150" s="27" t="str"/>
      <x:c r="I150" s="27" t="str"/>
      <x:c r="J150" s="27" t="str"/>
      <x:c r="K150" s="27" t="str"/>
      <x:c r="L150" s="27" t="str"/>
      <x:c r="M150" s="27" t="str"/>
      <x:c r="N150" s="27" t="str"/>
      <x:c r="O150" s="27" t="str"/>
      <x:c r="P150" s="27" t="str"/>
      <x:c r="Q150" s="27" t="str">
        <x:f>IF(A150="","",IFERROR(INDEX('Пользовательские_сценарии'!$O$5:$O$304,MATCH(E150,'Пользовательские_сценарии'!$A$5:$A$304,0)),0))</x:f>
      </x:c>
      <x:c r="R150" s="27" t="str"/>
      <x:c r="S150" s="27" t="str"/>
      <x:c r="T150" s="52" t="str">
        <x:f>IF(A150="","",ROUND(COUNTA(D150:P150)/13,2))</x:f>
      </x:c>
      <x:c r="U150" s="27" t="str"/>
    </x:row>
    <x:row r="151">
      <x:c r="A151" s="27" t="str"/>
      <x:c r="B151" s="27" t="str"/>
      <x:c r="C151" s="27" t="str"/>
      <x:c r="D151" s="27" t="str"/>
      <x:c r="E151" s="27" t="str"/>
      <x:c r="F151" s="27" t="str"/>
      <x:c r="G151" s="27" t="str"/>
      <x:c r="H151" s="27" t="str"/>
      <x:c r="I151" s="27" t="str"/>
      <x:c r="J151" s="27" t="str"/>
      <x:c r="K151" s="27" t="str"/>
      <x:c r="L151" s="27" t="str"/>
      <x:c r="M151" s="27" t="str"/>
      <x:c r="N151" s="27" t="str"/>
      <x:c r="O151" s="27" t="str"/>
      <x:c r="P151" s="27" t="str"/>
      <x:c r="Q151" s="27" t="str">
        <x:f>IF(A151="","",IFERROR(INDEX('Пользовательские_сценарии'!$O$5:$O$304,MATCH(E151,'Пользовательские_сценарии'!$A$5:$A$304,0)),0))</x:f>
      </x:c>
      <x:c r="R151" s="27" t="str"/>
      <x:c r="S151" s="27" t="str"/>
      <x:c r="T151" s="52" t="str">
        <x:f>IF(A151="","",ROUND(COUNTA(D151:P151)/13,2))</x:f>
      </x:c>
      <x:c r="U151" s="27" t="str"/>
    </x:row>
    <x:row r="152">
      <x:c r="A152" s="27" t="str"/>
      <x:c r="B152" s="27" t="str"/>
      <x:c r="C152" s="27" t="str"/>
      <x:c r="D152" s="27" t="str"/>
      <x:c r="E152" s="27" t="str"/>
      <x:c r="F152" s="27" t="str"/>
      <x:c r="G152" s="27" t="str"/>
      <x:c r="H152" s="27" t="str"/>
      <x:c r="I152" s="27" t="str"/>
      <x:c r="J152" s="27" t="str"/>
      <x:c r="K152" s="27" t="str"/>
      <x:c r="L152" s="27" t="str"/>
      <x:c r="M152" s="27" t="str"/>
      <x:c r="N152" s="27" t="str"/>
      <x:c r="O152" s="27" t="str"/>
      <x:c r="P152" s="27" t="str"/>
      <x:c r="Q152" s="27" t="str">
        <x:f>IF(A152="","",IFERROR(INDEX('Пользовательские_сценарии'!$O$5:$O$304,MATCH(E152,'Пользовательские_сценарии'!$A$5:$A$304,0)),0))</x:f>
      </x:c>
      <x:c r="R152" s="27" t="str"/>
      <x:c r="S152" s="27" t="str"/>
      <x:c r="T152" s="52" t="str">
        <x:f>IF(A152="","",ROUND(COUNTA(D152:P152)/13,2))</x:f>
      </x:c>
      <x:c r="U152" s="27" t="str"/>
    </x:row>
    <x:row r="153">
      <x:c r="A153" s="27" t="str"/>
      <x:c r="B153" s="27" t="str"/>
      <x:c r="C153" s="27" t="str"/>
      <x:c r="D153" s="27" t="str"/>
      <x:c r="E153" s="27" t="str"/>
      <x:c r="F153" s="27" t="str"/>
      <x:c r="G153" s="27" t="str"/>
      <x:c r="H153" s="27" t="str"/>
      <x:c r="I153" s="27" t="str"/>
      <x:c r="J153" s="27" t="str"/>
      <x:c r="K153" s="27" t="str"/>
      <x:c r="L153" s="27" t="str"/>
      <x:c r="M153" s="27" t="str"/>
      <x:c r="N153" s="27" t="str"/>
      <x:c r="O153" s="27" t="str"/>
      <x:c r="P153" s="27" t="str"/>
      <x:c r="Q153" s="27" t="str">
        <x:f>IF(A153="","",IFERROR(INDEX('Пользовательские_сценарии'!$O$5:$O$304,MATCH(E153,'Пользовательские_сценарии'!$A$5:$A$304,0)),0))</x:f>
      </x:c>
      <x:c r="R153" s="27" t="str"/>
      <x:c r="S153" s="27" t="str"/>
      <x:c r="T153" s="52" t="str">
        <x:f>IF(A153="","",ROUND(COUNTA(D153:P153)/13,2))</x:f>
      </x:c>
      <x:c r="U153" s="27" t="str"/>
    </x:row>
    <x:row r="154">
      <x:c r="A154" s="27" t="str"/>
      <x:c r="B154" s="27" t="str"/>
      <x:c r="C154" s="27" t="str"/>
      <x:c r="D154" s="27" t="str"/>
      <x:c r="E154" s="27" t="str"/>
      <x:c r="F154" s="27" t="str"/>
      <x:c r="G154" s="27" t="str"/>
      <x:c r="H154" s="27" t="str"/>
      <x:c r="I154" s="27" t="str"/>
      <x:c r="J154" s="27" t="str"/>
      <x:c r="K154" s="27" t="str"/>
      <x:c r="L154" s="27" t="str"/>
      <x:c r="M154" s="27" t="str"/>
      <x:c r="N154" s="27" t="str"/>
      <x:c r="O154" s="27" t="str"/>
      <x:c r="P154" s="27" t="str"/>
      <x:c r="Q154" s="27" t="str">
        <x:f>IF(A154="","",IFERROR(INDEX('Пользовательские_сценарии'!$O$5:$O$304,MATCH(E154,'Пользовательские_сценарии'!$A$5:$A$304,0)),0))</x:f>
      </x:c>
      <x:c r="R154" s="27" t="str"/>
      <x:c r="S154" s="27" t="str"/>
      <x:c r="T154" s="52" t="str">
        <x:f>IF(A154="","",ROUND(COUNTA(D154:P154)/13,2))</x:f>
      </x:c>
      <x:c r="U154" s="27" t="str"/>
    </x:row>
    <x:row r="155">
      <x:c r="A155" s="27" t="str"/>
      <x:c r="B155" s="27" t="str"/>
      <x:c r="C155" s="27" t="str"/>
      <x:c r="D155" s="27" t="str"/>
      <x:c r="E155" s="27" t="str"/>
      <x:c r="F155" s="27" t="str"/>
      <x:c r="G155" s="27" t="str"/>
      <x:c r="H155" s="27" t="str"/>
      <x:c r="I155" s="27" t="str"/>
      <x:c r="J155" s="27" t="str"/>
      <x:c r="K155" s="27" t="str"/>
      <x:c r="L155" s="27" t="str"/>
      <x:c r="M155" s="27" t="str"/>
      <x:c r="N155" s="27" t="str"/>
      <x:c r="O155" s="27" t="str"/>
      <x:c r="P155" s="27" t="str"/>
      <x:c r="Q155" s="27" t="str">
        <x:f>IF(A155="","",IFERROR(INDEX('Пользовательские_сценарии'!$O$5:$O$304,MATCH(E155,'Пользовательские_сценарии'!$A$5:$A$304,0)),0))</x:f>
      </x:c>
      <x:c r="R155" s="27" t="str"/>
      <x:c r="S155" s="27" t="str"/>
      <x:c r="T155" s="52" t="str">
        <x:f>IF(A155="","",ROUND(COUNTA(D155:P155)/13,2))</x:f>
      </x:c>
      <x:c r="U155" s="27" t="str"/>
    </x:row>
    <x:row r="156">
      <x:c r="A156" s="27" t="str"/>
      <x:c r="B156" s="27" t="str"/>
      <x:c r="C156" s="27" t="str"/>
      <x:c r="D156" s="27" t="str"/>
      <x:c r="E156" s="27" t="str"/>
      <x:c r="F156" s="27" t="str"/>
      <x:c r="G156" s="27" t="str"/>
      <x:c r="H156" s="27" t="str"/>
      <x:c r="I156" s="27" t="str"/>
      <x:c r="J156" s="27" t="str"/>
      <x:c r="K156" s="27" t="str"/>
      <x:c r="L156" s="27" t="str"/>
      <x:c r="M156" s="27" t="str"/>
      <x:c r="N156" s="27" t="str"/>
      <x:c r="O156" s="27" t="str"/>
      <x:c r="P156" s="27" t="str"/>
      <x:c r="Q156" s="27" t="str">
        <x:f>IF(A156="","",IFERROR(INDEX('Пользовательские_сценарии'!$O$5:$O$304,MATCH(E156,'Пользовательские_сценарии'!$A$5:$A$304,0)),0))</x:f>
      </x:c>
      <x:c r="R156" s="27" t="str"/>
      <x:c r="S156" s="27" t="str"/>
      <x:c r="T156" s="52" t="str">
        <x:f>IF(A156="","",ROUND(COUNTA(D156:P156)/13,2))</x:f>
      </x:c>
      <x:c r="U156" s="27" t="str"/>
    </x:row>
    <x:row r="157">
      <x:c r="A157" s="27" t="str"/>
      <x:c r="B157" s="27" t="str"/>
      <x:c r="C157" s="27" t="str"/>
      <x:c r="D157" s="27" t="str"/>
      <x:c r="E157" s="27" t="str"/>
      <x:c r="F157" s="27" t="str"/>
      <x:c r="G157" s="27" t="str"/>
      <x:c r="H157" s="27" t="str"/>
      <x:c r="I157" s="27" t="str"/>
      <x:c r="J157" s="27" t="str"/>
      <x:c r="K157" s="27" t="str"/>
      <x:c r="L157" s="27" t="str"/>
      <x:c r="M157" s="27" t="str"/>
      <x:c r="N157" s="27" t="str"/>
      <x:c r="O157" s="27" t="str"/>
      <x:c r="P157" s="27" t="str"/>
      <x:c r="Q157" s="27" t="str">
        <x:f>IF(A157="","",IFERROR(INDEX('Пользовательские_сценарии'!$O$5:$O$304,MATCH(E157,'Пользовательские_сценарии'!$A$5:$A$304,0)),0))</x:f>
      </x:c>
      <x:c r="R157" s="27" t="str"/>
      <x:c r="S157" s="27" t="str"/>
      <x:c r="T157" s="52" t="str">
        <x:f>IF(A157="","",ROUND(COUNTA(D157:P157)/13,2))</x:f>
      </x:c>
      <x:c r="U157" s="27" t="str"/>
    </x:row>
    <x:row r="158">
      <x:c r="A158" s="27" t="str"/>
      <x:c r="B158" s="27" t="str"/>
      <x:c r="C158" s="27" t="str"/>
      <x:c r="D158" s="27" t="str"/>
      <x:c r="E158" s="27" t="str"/>
      <x:c r="F158" s="27" t="str"/>
      <x:c r="G158" s="27" t="str"/>
      <x:c r="H158" s="27" t="str"/>
      <x:c r="I158" s="27" t="str"/>
      <x:c r="J158" s="27" t="str"/>
      <x:c r="K158" s="27" t="str"/>
      <x:c r="L158" s="27" t="str"/>
      <x:c r="M158" s="27" t="str"/>
      <x:c r="N158" s="27" t="str"/>
      <x:c r="O158" s="27" t="str"/>
      <x:c r="P158" s="27" t="str"/>
      <x:c r="Q158" s="27" t="str">
        <x:f>IF(A158="","",IFERROR(INDEX('Пользовательские_сценарии'!$O$5:$O$304,MATCH(E158,'Пользовательские_сценарии'!$A$5:$A$304,0)),0))</x:f>
      </x:c>
      <x:c r="R158" s="27" t="str"/>
      <x:c r="S158" s="27" t="str"/>
      <x:c r="T158" s="52" t="str">
        <x:f>IF(A158="","",ROUND(COUNTA(D158:P158)/13,2))</x:f>
      </x:c>
      <x:c r="U158" s="27" t="str"/>
    </x:row>
    <x:row r="159">
      <x:c r="A159" s="27" t="str"/>
      <x:c r="B159" s="27" t="str"/>
      <x:c r="C159" s="27" t="str"/>
      <x:c r="D159" s="27" t="str"/>
      <x:c r="E159" s="27" t="str"/>
      <x:c r="F159" s="27" t="str"/>
      <x:c r="G159" s="27" t="str"/>
      <x:c r="H159" s="27" t="str"/>
      <x:c r="I159" s="27" t="str"/>
      <x:c r="J159" s="27" t="str"/>
      <x:c r="K159" s="27" t="str"/>
      <x:c r="L159" s="27" t="str"/>
      <x:c r="M159" s="27" t="str"/>
      <x:c r="N159" s="27" t="str"/>
      <x:c r="O159" s="27" t="str"/>
      <x:c r="P159" s="27" t="str"/>
      <x:c r="Q159" s="27" t="str">
        <x:f>IF(A159="","",IFERROR(INDEX('Пользовательские_сценарии'!$O$5:$O$304,MATCH(E159,'Пользовательские_сценарии'!$A$5:$A$304,0)),0))</x:f>
      </x:c>
      <x:c r="R159" s="27" t="str"/>
      <x:c r="S159" s="27" t="str"/>
      <x:c r="T159" s="52" t="str">
        <x:f>IF(A159="","",ROUND(COUNTA(D159:P159)/13,2))</x:f>
      </x:c>
      <x:c r="U159" s="27" t="str"/>
    </x:row>
    <x:row r="160">
      <x:c r="A160" s="27" t="str"/>
      <x:c r="B160" s="27" t="str"/>
      <x:c r="C160" s="27" t="str"/>
      <x:c r="D160" s="27" t="str"/>
      <x:c r="E160" s="27" t="str"/>
      <x:c r="F160" s="27" t="str"/>
      <x:c r="G160" s="27" t="str"/>
      <x:c r="H160" s="27" t="str"/>
      <x:c r="I160" s="27" t="str"/>
      <x:c r="J160" s="27" t="str"/>
      <x:c r="K160" s="27" t="str"/>
      <x:c r="L160" s="27" t="str"/>
      <x:c r="M160" s="27" t="str"/>
      <x:c r="N160" s="27" t="str"/>
      <x:c r="O160" s="27" t="str"/>
      <x:c r="P160" s="27" t="str"/>
      <x:c r="Q160" s="27" t="str">
        <x:f>IF(A160="","",IFERROR(INDEX('Пользовательские_сценарии'!$O$5:$O$304,MATCH(E160,'Пользовательские_сценарии'!$A$5:$A$304,0)),0))</x:f>
      </x:c>
      <x:c r="R160" s="27" t="str"/>
      <x:c r="S160" s="27" t="str"/>
      <x:c r="T160" s="52" t="str">
        <x:f>IF(A160="","",ROUND(COUNTA(D160:P160)/13,2))</x:f>
      </x:c>
      <x:c r="U160" s="27" t="str"/>
    </x:row>
    <x:row r="161">
      <x:c r="A161" s="27" t="str"/>
      <x:c r="B161" s="27" t="str"/>
      <x:c r="C161" s="27" t="str"/>
      <x:c r="D161" s="27" t="str"/>
      <x:c r="E161" s="27" t="str"/>
      <x:c r="F161" s="27" t="str"/>
      <x:c r="G161" s="27" t="str"/>
      <x:c r="H161" s="27" t="str"/>
      <x:c r="I161" s="27" t="str"/>
      <x:c r="J161" s="27" t="str"/>
      <x:c r="K161" s="27" t="str"/>
      <x:c r="L161" s="27" t="str"/>
      <x:c r="M161" s="27" t="str"/>
      <x:c r="N161" s="27" t="str"/>
      <x:c r="O161" s="27" t="str"/>
      <x:c r="P161" s="27" t="str"/>
      <x:c r="Q161" s="27" t="str">
        <x:f>IF(A161="","",IFERROR(INDEX('Пользовательские_сценарии'!$O$5:$O$304,MATCH(E161,'Пользовательские_сценарии'!$A$5:$A$304,0)),0))</x:f>
      </x:c>
      <x:c r="R161" s="27" t="str"/>
      <x:c r="S161" s="27" t="str"/>
      <x:c r="T161" s="52" t="str">
        <x:f>IF(A161="","",ROUND(COUNTA(D161:P161)/13,2))</x:f>
      </x:c>
      <x:c r="U161" s="27" t="str"/>
    </x:row>
    <x:row r="162">
      <x:c r="A162" s="27" t="str"/>
      <x:c r="B162" s="27" t="str"/>
      <x:c r="C162" s="27" t="str"/>
      <x:c r="D162" s="27" t="str"/>
      <x:c r="E162" s="27" t="str"/>
      <x:c r="F162" s="27" t="str"/>
      <x:c r="G162" s="27" t="str"/>
      <x:c r="H162" s="27" t="str"/>
      <x:c r="I162" s="27" t="str"/>
      <x:c r="J162" s="27" t="str"/>
      <x:c r="K162" s="27" t="str"/>
      <x:c r="L162" s="27" t="str"/>
      <x:c r="M162" s="27" t="str"/>
      <x:c r="N162" s="27" t="str"/>
      <x:c r="O162" s="27" t="str"/>
      <x:c r="P162" s="27" t="str"/>
      <x:c r="Q162" s="27" t="str">
        <x:f>IF(A162="","",IFERROR(INDEX('Пользовательские_сценарии'!$O$5:$O$304,MATCH(E162,'Пользовательские_сценарии'!$A$5:$A$304,0)),0))</x:f>
      </x:c>
      <x:c r="R162" s="27" t="str"/>
      <x:c r="S162" s="27" t="str"/>
      <x:c r="T162" s="52" t="str">
        <x:f>IF(A162="","",ROUND(COUNTA(D162:P162)/13,2))</x:f>
      </x:c>
      <x:c r="U162" s="27" t="str"/>
    </x:row>
    <x:row r="163">
      <x:c r="A163" s="27" t="str"/>
      <x:c r="B163" s="27" t="str"/>
      <x:c r="C163" s="27" t="str"/>
      <x:c r="D163" s="27" t="str"/>
      <x:c r="E163" s="27" t="str"/>
      <x:c r="F163" s="27" t="str"/>
      <x:c r="G163" s="27" t="str"/>
      <x:c r="H163" s="27" t="str"/>
      <x:c r="I163" s="27" t="str"/>
      <x:c r="J163" s="27" t="str"/>
      <x:c r="K163" s="27" t="str"/>
      <x:c r="L163" s="27" t="str"/>
      <x:c r="M163" s="27" t="str"/>
      <x:c r="N163" s="27" t="str"/>
      <x:c r="O163" s="27" t="str"/>
      <x:c r="P163" s="27" t="str"/>
      <x:c r="Q163" s="27" t="str">
        <x:f>IF(A163="","",IFERROR(INDEX('Пользовательские_сценарии'!$O$5:$O$304,MATCH(E163,'Пользовательские_сценарии'!$A$5:$A$304,0)),0))</x:f>
      </x:c>
      <x:c r="R163" s="27" t="str"/>
      <x:c r="S163" s="27" t="str"/>
      <x:c r="T163" s="52" t="str">
        <x:f>IF(A163="","",ROUND(COUNTA(D163:P163)/13,2))</x:f>
      </x:c>
      <x:c r="U163" s="27" t="str"/>
    </x:row>
    <x:row r="164">
      <x:c r="A164" s="27" t="str"/>
      <x:c r="B164" s="27" t="str"/>
      <x:c r="C164" s="27" t="str"/>
      <x:c r="D164" s="27" t="str"/>
      <x:c r="E164" s="27" t="str"/>
      <x:c r="F164" s="27" t="str"/>
      <x:c r="G164" s="27" t="str"/>
      <x:c r="H164" s="27" t="str"/>
      <x:c r="I164" s="27" t="str"/>
      <x:c r="J164" s="27" t="str"/>
      <x:c r="K164" s="27" t="str"/>
      <x:c r="L164" s="27" t="str"/>
      <x:c r="M164" s="27" t="str"/>
      <x:c r="N164" s="27" t="str"/>
      <x:c r="O164" s="27" t="str"/>
      <x:c r="P164" s="27" t="str"/>
      <x:c r="Q164" s="27" t="str">
        <x:f>IF(A164="","",IFERROR(INDEX('Пользовательские_сценарии'!$O$5:$O$304,MATCH(E164,'Пользовательские_сценарии'!$A$5:$A$304,0)),0))</x:f>
      </x:c>
      <x:c r="R164" s="27" t="str"/>
      <x:c r="S164" s="27" t="str"/>
      <x:c r="T164" s="52" t="str">
        <x:f>IF(A164="","",ROUND(COUNTA(D164:P164)/13,2))</x:f>
      </x:c>
      <x:c r="U164" s="27" t="str"/>
    </x:row>
    <x:row r="165">
      <x:c r="A165" s="27" t="str"/>
      <x:c r="B165" s="27" t="str"/>
      <x:c r="C165" s="27" t="str"/>
      <x:c r="D165" s="27" t="str"/>
      <x:c r="E165" s="27" t="str"/>
      <x:c r="F165" s="27" t="str"/>
      <x:c r="G165" s="27" t="str"/>
      <x:c r="H165" s="27" t="str"/>
      <x:c r="I165" s="27" t="str"/>
      <x:c r="J165" s="27" t="str"/>
      <x:c r="K165" s="27" t="str"/>
      <x:c r="L165" s="27" t="str"/>
      <x:c r="M165" s="27" t="str"/>
      <x:c r="N165" s="27" t="str"/>
      <x:c r="O165" s="27" t="str"/>
      <x:c r="P165" s="27" t="str"/>
      <x:c r="Q165" s="27" t="str">
        <x:f>IF(A165="","",IFERROR(INDEX('Пользовательские_сценарии'!$O$5:$O$304,MATCH(E165,'Пользовательские_сценарии'!$A$5:$A$304,0)),0))</x:f>
      </x:c>
      <x:c r="R165" s="27" t="str"/>
      <x:c r="S165" s="27" t="str"/>
      <x:c r="T165" s="52" t="str">
        <x:f>IF(A165="","",ROUND(COUNTA(D165:P165)/13,2))</x:f>
      </x:c>
      <x:c r="U165" s="27" t="str"/>
    </x:row>
    <x:row r="166">
      <x:c r="A166" s="27" t="str"/>
      <x:c r="B166" s="27" t="str"/>
      <x:c r="C166" s="27" t="str"/>
      <x:c r="D166" s="27" t="str"/>
      <x:c r="E166" s="27" t="str"/>
      <x:c r="F166" s="27" t="str"/>
      <x:c r="G166" s="27" t="str"/>
      <x:c r="H166" s="27" t="str"/>
      <x:c r="I166" s="27" t="str"/>
      <x:c r="J166" s="27" t="str"/>
      <x:c r="K166" s="27" t="str"/>
      <x:c r="L166" s="27" t="str"/>
      <x:c r="M166" s="27" t="str"/>
      <x:c r="N166" s="27" t="str"/>
      <x:c r="O166" s="27" t="str"/>
      <x:c r="P166" s="27" t="str"/>
      <x:c r="Q166" s="27" t="str">
        <x:f>IF(A166="","",IFERROR(INDEX('Пользовательские_сценарии'!$O$5:$O$304,MATCH(E166,'Пользовательские_сценарии'!$A$5:$A$304,0)),0))</x:f>
      </x:c>
      <x:c r="R166" s="27" t="str"/>
      <x:c r="S166" s="27" t="str"/>
      <x:c r="T166" s="52" t="str">
        <x:f>IF(A166="","",ROUND(COUNTA(D166:P166)/13,2))</x:f>
      </x:c>
      <x:c r="U166" s="27" t="str"/>
    </x:row>
    <x:row r="167">
      <x:c r="A167" s="27" t="str"/>
      <x:c r="B167" s="27" t="str"/>
      <x:c r="C167" s="27" t="str"/>
      <x:c r="D167" s="27" t="str"/>
      <x:c r="E167" s="27" t="str"/>
      <x:c r="F167" s="27" t="str"/>
      <x:c r="G167" s="27" t="str"/>
      <x:c r="H167" s="27" t="str"/>
      <x:c r="I167" s="27" t="str"/>
      <x:c r="J167" s="27" t="str"/>
      <x:c r="K167" s="27" t="str"/>
      <x:c r="L167" s="27" t="str"/>
      <x:c r="M167" s="27" t="str"/>
      <x:c r="N167" s="27" t="str"/>
      <x:c r="O167" s="27" t="str"/>
      <x:c r="P167" s="27" t="str"/>
      <x:c r="Q167" s="27" t="str">
        <x:f>IF(A167="","",IFERROR(INDEX('Пользовательские_сценарии'!$O$5:$O$304,MATCH(E167,'Пользовательские_сценарии'!$A$5:$A$304,0)),0))</x:f>
      </x:c>
      <x:c r="R167" s="27" t="str"/>
      <x:c r="S167" s="27" t="str"/>
      <x:c r="T167" s="52" t="str">
        <x:f>IF(A167="","",ROUND(COUNTA(D167:P167)/13,2))</x:f>
      </x:c>
      <x:c r="U167" s="27" t="str"/>
    </x:row>
    <x:row r="168">
      <x:c r="A168" s="27" t="str"/>
      <x:c r="B168" s="27" t="str"/>
      <x:c r="C168" s="27" t="str"/>
      <x:c r="D168" s="27" t="str"/>
      <x:c r="E168" s="27" t="str"/>
      <x:c r="F168" s="27" t="str"/>
      <x:c r="G168" s="27" t="str"/>
      <x:c r="H168" s="27" t="str"/>
      <x:c r="I168" s="27" t="str"/>
      <x:c r="J168" s="27" t="str"/>
      <x:c r="K168" s="27" t="str"/>
      <x:c r="L168" s="27" t="str"/>
      <x:c r="M168" s="27" t="str"/>
      <x:c r="N168" s="27" t="str"/>
      <x:c r="O168" s="27" t="str"/>
      <x:c r="P168" s="27" t="str"/>
      <x:c r="Q168" s="27" t="str">
        <x:f>IF(A168="","",IFERROR(INDEX('Пользовательские_сценарии'!$O$5:$O$304,MATCH(E168,'Пользовательские_сценарии'!$A$5:$A$304,0)),0))</x:f>
      </x:c>
      <x:c r="R168" s="27" t="str"/>
      <x:c r="S168" s="27" t="str"/>
      <x:c r="T168" s="52" t="str">
        <x:f>IF(A168="","",ROUND(COUNTA(D168:P168)/13,2))</x:f>
      </x:c>
      <x:c r="U168" s="27" t="str"/>
    </x:row>
    <x:row r="169">
      <x:c r="A169" s="27" t="str"/>
      <x:c r="B169" s="27" t="str"/>
      <x:c r="C169" s="27" t="str"/>
      <x:c r="D169" s="27" t="str"/>
      <x:c r="E169" s="27" t="str"/>
      <x:c r="F169" s="27" t="str"/>
      <x:c r="G169" s="27" t="str"/>
      <x:c r="H169" s="27" t="str"/>
      <x:c r="I169" s="27" t="str"/>
      <x:c r="J169" s="27" t="str"/>
      <x:c r="K169" s="27" t="str"/>
      <x:c r="L169" s="27" t="str"/>
      <x:c r="M169" s="27" t="str"/>
      <x:c r="N169" s="27" t="str"/>
      <x:c r="O169" s="27" t="str"/>
      <x:c r="P169" s="27" t="str"/>
      <x:c r="Q169" s="27" t="str">
        <x:f>IF(A169="","",IFERROR(INDEX('Пользовательские_сценарии'!$O$5:$O$304,MATCH(E169,'Пользовательские_сценарии'!$A$5:$A$304,0)),0))</x:f>
      </x:c>
      <x:c r="R169" s="27" t="str"/>
      <x:c r="S169" s="27" t="str"/>
      <x:c r="T169" s="52" t="str">
        <x:f>IF(A169="","",ROUND(COUNTA(D169:P169)/13,2))</x:f>
      </x:c>
      <x:c r="U169" s="27" t="str"/>
    </x:row>
    <x:row r="170">
      <x:c r="A170" s="27" t="str"/>
      <x:c r="B170" s="27" t="str"/>
      <x:c r="C170" s="27" t="str"/>
      <x:c r="D170" s="27" t="str"/>
      <x:c r="E170" s="27" t="str"/>
      <x:c r="F170" s="27" t="str"/>
      <x:c r="G170" s="27" t="str"/>
      <x:c r="H170" s="27" t="str"/>
      <x:c r="I170" s="27" t="str"/>
      <x:c r="J170" s="27" t="str"/>
      <x:c r="K170" s="27" t="str"/>
      <x:c r="L170" s="27" t="str"/>
      <x:c r="M170" s="27" t="str"/>
      <x:c r="N170" s="27" t="str"/>
      <x:c r="O170" s="27" t="str"/>
      <x:c r="P170" s="27" t="str"/>
      <x:c r="Q170" s="27" t="str">
        <x:f>IF(A170="","",IFERROR(INDEX('Пользовательские_сценарии'!$O$5:$O$304,MATCH(E170,'Пользовательские_сценарии'!$A$5:$A$304,0)),0))</x:f>
      </x:c>
      <x:c r="R170" s="27" t="str"/>
      <x:c r="S170" s="27" t="str"/>
      <x:c r="T170" s="52" t="str">
        <x:f>IF(A170="","",ROUND(COUNTA(D170:P170)/13,2))</x:f>
      </x:c>
      <x:c r="U170" s="27" t="str"/>
    </x:row>
    <x:row r="171">
      <x:c r="A171" s="27" t="str"/>
      <x:c r="B171" s="27" t="str"/>
      <x:c r="C171" s="27" t="str"/>
      <x:c r="D171" s="27" t="str"/>
      <x:c r="E171" s="27" t="str"/>
      <x:c r="F171" s="27" t="str"/>
      <x:c r="G171" s="27" t="str"/>
      <x:c r="H171" s="27" t="str"/>
      <x:c r="I171" s="27" t="str"/>
      <x:c r="J171" s="27" t="str"/>
      <x:c r="K171" s="27" t="str"/>
      <x:c r="L171" s="27" t="str"/>
      <x:c r="M171" s="27" t="str"/>
      <x:c r="N171" s="27" t="str"/>
      <x:c r="O171" s="27" t="str"/>
      <x:c r="P171" s="27" t="str"/>
      <x:c r="Q171" s="27" t="str">
        <x:f>IF(A171="","",IFERROR(INDEX('Пользовательские_сценарии'!$O$5:$O$304,MATCH(E171,'Пользовательские_сценарии'!$A$5:$A$304,0)),0))</x:f>
      </x:c>
      <x:c r="R171" s="27" t="str"/>
      <x:c r="S171" s="27" t="str"/>
      <x:c r="T171" s="52" t="str">
        <x:f>IF(A171="","",ROUND(COUNTA(D171:P171)/13,2))</x:f>
      </x:c>
      <x:c r="U171" s="27" t="str"/>
    </x:row>
    <x:row r="172">
      <x:c r="A172" s="27" t="str"/>
      <x:c r="B172" s="27" t="str"/>
      <x:c r="C172" s="27" t="str"/>
      <x:c r="D172" s="27" t="str"/>
      <x:c r="E172" s="27" t="str"/>
      <x:c r="F172" s="27" t="str"/>
      <x:c r="G172" s="27" t="str"/>
      <x:c r="H172" s="27" t="str"/>
      <x:c r="I172" s="27" t="str"/>
      <x:c r="J172" s="27" t="str"/>
      <x:c r="K172" s="27" t="str"/>
      <x:c r="L172" s="27" t="str"/>
      <x:c r="M172" s="27" t="str"/>
      <x:c r="N172" s="27" t="str"/>
      <x:c r="O172" s="27" t="str"/>
      <x:c r="P172" s="27" t="str"/>
      <x:c r="Q172" s="27" t="str">
        <x:f>IF(A172="","",IFERROR(INDEX('Пользовательские_сценарии'!$O$5:$O$304,MATCH(E172,'Пользовательские_сценарии'!$A$5:$A$304,0)),0))</x:f>
      </x:c>
      <x:c r="R172" s="27" t="str"/>
      <x:c r="S172" s="27" t="str"/>
      <x:c r="T172" s="52" t="str">
        <x:f>IF(A172="","",ROUND(COUNTA(D172:P172)/13,2))</x:f>
      </x:c>
      <x:c r="U172" s="27" t="str"/>
    </x:row>
    <x:row r="173">
      <x:c r="A173" s="27" t="str"/>
      <x:c r="B173" s="27" t="str"/>
      <x:c r="C173" s="27" t="str"/>
      <x:c r="D173" s="27" t="str"/>
      <x:c r="E173" s="27" t="str"/>
      <x:c r="F173" s="27" t="str"/>
      <x:c r="G173" s="27" t="str"/>
      <x:c r="H173" s="27" t="str"/>
      <x:c r="I173" s="27" t="str"/>
      <x:c r="J173" s="27" t="str"/>
      <x:c r="K173" s="27" t="str"/>
      <x:c r="L173" s="27" t="str"/>
      <x:c r="M173" s="27" t="str"/>
      <x:c r="N173" s="27" t="str"/>
      <x:c r="O173" s="27" t="str"/>
      <x:c r="P173" s="27" t="str"/>
      <x:c r="Q173" s="27" t="str">
        <x:f>IF(A173="","",IFERROR(INDEX('Пользовательские_сценарии'!$O$5:$O$304,MATCH(E173,'Пользовательские_сценарии'!$A$5:$A$304,0)),0))</x:f>
      </x:c>
      <x:c r="R173" s="27" t="str"/>
      <x:c r="S173" s="27" t="str"/>
      <x:c r="T173" s="52" t="str">
        <x:f>IF(A173="","",ROUND(COUNTA(D173:P173)/13,2))</x:f>
      </x:c>
      <x:c r="U173" s="27" t="str"/>
    </x:row>
    <x:row r="174">
      <x:c r="A174" s="27" t="str"/>
      <x:c r="B174" s="27" t="str"/>
      <x:c r="C174" s="27" t="str"/>
      <x:c r="D174" s="27" t="str"/>
      <x:c r="E174" s="27" t="str"/>
      <x:c r="F174" s="27" t="str"/>
      <x:c r="G174" s="27" t="str"/>
      <x:c r="H174" s="27" t="str"/>
      <x:c r="I174" s="27" t="str"/>
      <x:c r="J174" s="27" t="str"/>
      <x:c r="K174" s="27" t="str"/>
      <x:c r="L174" s="27" t="str"/>
      <x:c r="M174" s="27" t="str"/>
      <x:c r="N174" s="27" t="str"/>
      <x:c r="O174" s="27" t="str"/>
      <x:c r="P174" s="27" t="str"/>
      <x:c r="Q174" s="27" t="str">
        <x:f>IF(A174="","",IFERROR(INDEX('Пользовательские_сценарии'!$O$5:$O$304,MATCH(E174,'Пользовательские_сценарии'!$A$5:$A$304,0)),0))</x:f>
      </x:c>
      <x:c r="R174" s="27" t="str"/>
      <x:c r="S174" s="27" t="str"/>
      <x:c r="T174" s="52" t="str">
        <x:f>IF(A174="","",ROUND(COUNTA(D174:P174)/13,2))</x:f>
      </x:c>
      <x:c r="U174" s="27" t="str"/>
    </x:row>
    <x:row r="175">
      <x:c r="A175" s="27" t="str"/>
      <x:c r="B175" s="27" t="str"/>
      <x:c r="C175" s="27" t="str"/>
      <x:c r="D175" s="27" t="str"/>
      <x:c r="E175" s="27" t="str"/>
      <x:c r="F175" s="27" t="str"/>
      <x:c r="G175" s="27" t="str"/>
      <x:c r="H175" s="27" t="str"/>
      <x:c r="I175" s="27" t="str"/>
      <x:c r="J175" s="27" t="str"/>
      <x:c r="K175" s="27" t="str"/>
      <x:c r="L175" s="27" t="str"/>
      <x:c r="M175" s="27" t="str"/>
      <x:c r="N175" s="27" t="str"/>
      <x:c r="O175" s="27" t="str"/>
      <x:c r="P175" s="27" t="str"/>
      <x:c r="Q175" s="27" t="str">
        <x:f>IF(A175="","",IFERROR(INDEX('Пользовательские_сценарии'!$O$5:$O$304,MATCH(E175,'Пользовательские_сценарии'!$A$5:$A$304,0)),0))</x:f>
      </x:c>
      <x:c r="R175" s="27" t="str"/>
      <x:c r="S175" s="27" t="str"/>
      <x:c r="T175" s="52" t="str">
        <x:f>IF(A175="","",ROUND(COUNTA(D175:P175)/13,2))</x:f>
      </x:c>
      <x:c r="U175" s="27" t="str"/>
    </x:row>
    <x:row r="176">
      <x:c r="A176" s="27" t="str"/>
      <x:c r="B176" s="27" t="str"/>
      <x:c r="C176" s="27" t="str"/>
      <x:c r="D176" s="27" t="str"/>
      <x:c r="E176" s="27" t="str"/>
      <x:c r="F176" s="27" t="str"/>
      <x:c r="G176" s="27" t="str"/>
      <x:c r="H176" s="27" t="str"/>
      <x:c r="I176" s="27" t="str"/>
      <x:c r="J176" s="27" t="str"/>
      <x:c r="K176" s="27" t="str"/>
      <x:c r="L176" s="27" t="str"/>
      <x:c r="M176" s="27" t="str"/>
      <x:c r="N176" s="27" t="str"/>
      <x:c r="O176" s="27" t="str"/>
      <x:c r="P176" s="27" t="str"/>
      <x:c r="Q176" s="27" t="str">
        <x:f>IF(A176="","",IFERROR(INDEX('Пользовательские_сценарии'!$O$5:$O$304,MATCH(E176,'Пользовательские_сценарии'!$A$5:$A$304,0)),0))</x:f>
      </x:c>
      <x:c r="R176" s="27" t="str"/>
      <x:c r="S176" s="27" t="str"/>
      <x:c r="T176" s="52" t="str">
        <x:f>IF(A176="","",ROUND(COUNTA(D176:P176)/13,2))</x:f>
      </x:c>
      <x:c r="U176" s="27" t="str"/>
    </x:row>
    <x:row r="177">
      <x:c r="A177" s="27" t="str"/>
      <x:c r="B177" s="27" t="str"/>
      <x:c r="C177" s="27" t="str"/>
      <x:c r="D177" s="27" t="str"/>
      <x:c r="E177" s="27" t="str"/>
      <x:c r="F177" s="27" t="str"/>
      <x:c r="G177" s="27" t="str"/>
      <x:c r="H177" s="27" t="str"/>
      <x:c r="I177" s="27" t="str"/>
      <x:c r="J177" s="27" t="str"/>
      <x:c r="K177" s="27" t="str"/>
      <x:c r="L177" s="27" t="str"/>
      <x:c r="M177" s="27" t="str"/>
      <x:c r="N177" s="27" t="str"/>
      <x:c r="O177" s="27" t="str"/>
      <x:c r="P177" s="27" t="str"/>
      <x:c r="Q177" s="27" t="str">
        <x:f>IF(A177="","",IFERROR(INDEX('Пользовательские_сценарии'!$O$5:$O$304,MATCH(E177,'Пользовательские_сценарии'!$A$5:$A$304,0)),0))</x:f>
      </x:c>
      <x:c r="R177" s="27" t="str"/>
      <x:c r="S177" s="27" t="str"/>
      <x:c r="T177" s="52" t="str">
        <x:f>IF(A177="","",ROUND(COUNTA(D177:P177)/13,2))</x:f>
      </x:c>
      <x:c r="U177" s="27" t="str"/>
    </x:row>
    <x:row r="178">
      <x:c r="A178" s="27" t="str"/>
      <x:c r="B178" s="27" t="str"/>
      <x:c r="C178" s="27" t="str"/>
      <x:c r="D178" s="27" t="str"/>
      <x:c r="E178" s="27" t="str"/>
      <x:c r="F178" s="27" t="str"/>
      <x:c r="G178" s="27" t="str"/>
      <x:c r="H178" s="27" t="str"/>
      <x:c r="I178" s="27" t="str"/>
      <x:c r="J178" s="27" t="str"/>
      <x:c r="K178" s="27" t="str"/>
      <x:c r="L178" s="27" t="str"/>
      <x:c r="M178" s="27" t="str"/>
      <x:c r="N178" s="27" t="str"/>
      <x:c r="O178" s="27" t="str"/>
      <x:c r="P178" s="27" t="str"/>
      <x:c r="Q178" s="27" t="str">
        <x:f>IF(A178="","",IFERROR(INDEX('Пользовательские_сценарии'!$O$5:$O$304,MATCH(E178,'Пользовательские_сценарии'!$A$5:$A$304,0)),0))</x:f>
      </x:c>
      <x:c r="R178" s="27" t="str"/>
      <x:c r="S178" s="27" t="str"/>
      <x:c r="T178" s="52" t="str">
        <x:f>IF(A178="","",ROUND(COUNTA(D178:P178)/13,2))</x:f>
      </x:c>
      <x:c r="U178" s="27" t="str"/>
    </x:row>
    <x:row r="179">
      <x:c r="A179" s="27" t="str"/>
      <x:c r="B179" s="27" t="str"/>
      <x:c r="C179" s="27" t="str"/>
      <x:c r="D179" s="27" t="str"/>
      <x:c r="E179" s="27" t="str"/>
      <x:c r="F179" s="27" t="str"/>
      <x:c r="G179" s="27" t="str"/>
      <x:c r="H179" s="27" t="str"/>
      <x:c r="I179" s="27" t="str"/>
      <x:c r="J179" s="27" t="str"/>
      <x:c r="K179" s="27" t="str"/>
      <x:c r="L179" s="27" t="str"/>
      <x:c r="M179" s="27" t="str"/>
      <x:c r="N179" s="27" t="str"/>
      <x:c r="O179" s="27" t="str"/>
      <x:c r="P179" s="27" t="str"/>
      <x:c r="Q179" s="27" t="str">
        <x:f>IF(A179="","",IFERROR(INDEX('Пользовательские_сценарии'!$O$5:$O$304,MATCH(E179,'Пользовательские_сценарии'!$A$5:$A$304,0)),0))</x:f>
      </x:c>
      <x:c r="R179" s="27" t="str"/>
      <x:c r="S179" s="27" t="str"/>
      <x:c r="T179" s="52" t="str">
        <x:f>IF(A179="","",ROUND(COUNTA(D179:P179)/13,2))</x:f>
      </x:c>
      <x:c r="U179" s="27" t="str"/>
    </x:row>
    <x:row r="180">
      <x:c r="A180" s="27" t="str"/>
      <x:c r="B180" s="27" t="str"/>
      <x:c r="C180" s="27" t="str"/>
      <x:c r="D180" s="27" t="str"/>
      <x:c r="E180" s="27" t="str"/>
      <x:c r="F180" s="27" t="str"/>
      <x:c r="G180" s="27" t="str"/>
      <x:c r="H180" s="27" t="str"/>
      <x:c r="I180" s="27" t="str"/>
      <x:c r="J180" s="27" t="str"/>
      <x:c r="K180" s="27" t="str"/>
      <x:c r="L180" s="27" t="str"/>
      <x:c r="M180" s="27" t="str"/>
      <x:c r="N180" s="27" t="str"/>
      <x:c r="O180" s="27" t="str"/>
      <x:c r="P180" s="27" t="str"/>
      <x:c r="Q180" s="27" t="str">
        <x:f>IF(A180="","",IFERROR(INDEX('Пользовательские_сценарии'!$O$5:$O$304,MATCH(E180,'Пользовательские_сценарии'!$A$5:$A$304,0)),0))</x:f>
      </x:c>
      <x:c r="R180" s="27" t="str"/>
      <x:c r="S180" s="27" t="str"/>
      <x:c r="T180" s="52" t="str">
        <x:f>IF(A180="","",ROUND(COUNTA(D180:P180)/13,2))</x:f>
      </x:c>
      <x:c r="U180" s="27" t="str"/>
    </x:row>
    <x:row r="181">
      <x:c r="A181" s="27" t="str"/>
      <x:c r="B181" s="27" t="str"/>
      <x:c r="C181" s="27" t="str"/>
      <x:c r="D181" s="27" t="str"/>
      <x:c r="E181" s="27" t="str"/>
      <x:c r="F181" s="27" t="str"/>
      <x:c r="G181" s="27" t="str"/>
      <x:c r="H181" s="27" t="str"/>
      <x:c r="I181" s="27" t="str"/>
      <x:c r="J181" s="27" t="str"/>
      <x:c r="K181" s="27" t="str"/>
      <x:c r="L181" s="27" t="str"/>
      <x:c r="M181" s="27" t="str"/>
      <x:c r="N181" s="27" t="str"/>
      <x:c r="O181" s="27" t="str"/>
      <x:c r="P181" s="27" t="str"/>
      <x:c r="Q181" s="27" t="str">
        <x:f>IF(A181="","",IFERROR(INDEX('Пользовательские_сценарии'!$O$5:$O$304,MATCH(E181,'Пользовательские_сценарии'!$A$5:$A$304,0)),0))</x:f>
      </x:c>
      <x:c r="R181" s="27" t="str"/>
      <x:c r="S181" s="27" t="str"/>
      <x:c r="T181" s="52" t="str">
        <x:f>IF(A181="","",ROUND(COUNTA(D181:P181)/13,2))</x:f>
      </x:c>
      <x:c r="U181" s="27" t="str"/>
    </x:row>
    <x:row r="182">
      <x:c r="A182" s="27" t="str"/>
      <x:c r="B182" s="27" t="str"/>
      <x:c r="C182" s="27" t="str"/>
      <x:c r="D182" s="27" t="str"/>
      <x:c r="E182" s="27" t="str"/>
      <x:c r="F182" s="27" t="str"/>
      <x:c r="G182" s="27" t="str"/>
      <x:c r="H182" s="27" t="str"/>
      <x:c r="I182" s="27" t="str"/>
      <x:c r="J182" s="27" t="str"/>
      <x:c r="K182" s="27" t="str"/>
      <x:c r="L182" s="27" t="str"/>
      <x:c r="M182" s="27" t="str"/>
      <x:c r="N182" s="27" t="str"/>
      <x:c r="O182" s="27" t="str"/>
      <x:c r="P182" s="27" t="str"/>
      <x:c r="Q182" s="27" t="str">
        <x:f>IF(A182="","",IFERROR(INDEX('Пользовательские_сценарии'!$O$5:$O$304,MATCH(E182,'Пользовательские_сценарии'!$A$5:$A$304,0)),0))</x:f>
      </x:c>
      <x:c r="R182" s="27" t="str"/>
      <x:c r="S182" s="27" t="str"/>
      <x:c r="T182" s="52" t="str">
        <x:f>IF(A182="","",ROUND(COUNTA(D182:P182)/13,2))</x:f>
      </x:c>
      <x:c r="U182" s="27" t="str"/>
    </x:row>
    <x:row r="183">
      <x:c r="A183" s="27" t="str"/>
      <x:c r="B183" s="27" t="str"/>
      <x:c r="C183" s="27" t="str"/>
      <x:c r="D183" s="27" t="str"/>
      <x:c r="E183" s="27" t="str"/>
      <x:c r="F183" s="27" t="str"/>
      <x:c r="G183" s="27" t="str"/>
      <x:c r="H183" s="27" t="str"/>
      <x:c r="I183" s="27" t="str"/>
      <x:c r="J183" s="27" t="str"/>
      <x:c r="K183" s="27" t="str"/>
      <x:c r="L183" s="27" t="str"/>
      <x:c r="M183" s="27" t="str"/>
      <x:c r="N183" s="27" t="str"/>
      <x:c r="O183" s="27" t="str"/>
      <x:c r="P183" s="27" t="str"/>
      <x:c r="Q183" s="27" t="str">
        <x:f>IF(A183="","",IFERROR(INDEX('Пользовательские_сценарии'!$O$5:$O$304,MATCH(E183,'Пользовательские_сценарии'!$A$5:$A$304,0)),0))</x:f>
      </x:c>
      <x:c r="R183" s="27" t="str"/>
      <x:c r="S183" s="27" t="str"/>
      <x:c r="T183" s="52" t="str">
        <x:f>IF(A183="","",ROUND(COUNTA(D183:P183)/13,2))</x:f>
      </x:c>
      <x:c r="U183" s="27" t="str"/>
    </x:row>
    <x:row r="184">
      <x:c r="A184" s="27" t="str"/>
      <x:c r="B184" s="27" t="str"/>
      <x:c r="C184" s="27" t="str"/>
      <x:c r="D184" s="27" t="str"/>
      <x:c r="E184" s="27" t="str"/>
      <x:c r="F184" s="27" t="str"/>
      <x:c r="G184" s="27" t="str"/>
      <x:c r="H184" s="27" t="str"/>
      <x:c r="I184" s="27" t="str"/>
      <x:c r="J184" s="27" t="str"/>
      <x:c r="K184" s="27" t="str"/>
      <x:c r="L184" s="27" t="str"/>
      <x:c r="M184" s="27" t="str"/>
      <x:c r="N184" s="27" t="str"/>
      <x:c r="O184" s="27" t="str"/>
      <x:c r="P184" s="27" t="str"/>
      <x:c r="Q184" s="27" t="str">
        <x:f>IF(A184="","",IFERROR(INDEX('Пользовательские_сценарии'!$O$5:$O$304,MATCH(E184,'Пользовательские_сценарии'!$A$5:$A$304,0)),0))</x:f>
      </x:c>
      <x:c r="R184" s="27" t="str"/>
      <x:c r="S184" s="27" t="str"/>
      <x:c r="T184" s="52" t="str">
        <x:f>IF(A184="","",ROUND(COUNTA(D184:P184)/13,2))</x:f>
      </x:c>
      <x:c r="U184" s="27" t="str"/>
    </x:row>
    <x:row r="185">
      <x:c r="A185" s="27" t="str"/>
      <x:c r="B185" s="27" t="str"/>
      <x:c r="C185" s="27" t="str"/>
      <x:c r="D185" s="27" t="str"/>
      <x:c r="E185" s="27" t="str"/>
      <x:c r="F185" s="27" t="str"/>
      <x:c r="G185" s="27" t="str"/>
      <x:c r="H185" s="27" t="str"/>
      <x:c r="I185" s="27" t="str"/>
      <x:c r="J185" s="27" t="str"/>
      <x:c r="K185" s="27" t="str"/>
      <x:c r="L185" s="27" t="str"/>
      <x:c r="M185" s="27" t="str"/>
      <x:c r="N185" s="27" t="str"/>
      <x:c r="O185" s="27" t="str"/>
      <x:c r="P185" s="27" t="str"/>
      <x:c r="Q185" s="27" t="str">
        <x:f>IF(A185="","",IFERROR(INDEX('Пользовательские_сценарии'!$O$5:$O$304,MATCH(E185,'Пользовательские_сценарии'!$A$5:$A$304,0)),0))</x:f>
      </x:c>
      <x:c r="R185" s="27" t="str"/>
      <x:c r="S185" s="27" t="str"/>
      <x:c r="T185" s="52" t="str">
        <x:f>IF(A185="","",ROUND(COUNTA(D185:P185)/13,2))</x:f>
      </x:c>
      <x:c r="U185" s="27" t="str"/>
    </x:row>
    <x:row r="186">
      <x:c r="A186" s="27" t="str"/>
      <x:c r="B186" s="27" t="str"/>
      <x:c r="C186" s="27" t="str"/>
      <x:c r="D186" s="27" t="str"/>
      <x:c r="E186" s="27" t="str"/>
      <x:c r="F186" s="27" t="str"/>
      <x:c r="G186" s="27" t="str"/>
      <x:c r="H186" s="27" t="str"/>
      <x:c r="I186" s="27" t="str"/>
      <x:c r="J186" s="27" t="str"/>
      <x:c r="K186" s="27" t="str"/>
      <x:c r="L186" s="27" t="str"/>
      <x:c r="M186" s="27" t="str"/>
      <x:c r="N186" s="27" t="str"/>
      <x:c r="O186" s="27" t="str"/>
      <x:c r="P186" s="27" t="str"/>
      <x:c r="Q186" s="27" t="str">
        <x:f>IF(A186="","",IFERROR(INDEX('Пользовательские_сценарии'!$O$5:$O$304,MATCH(E186,'Пользовательские_сценарии'!$A$5:$A$304,0)),0))</x:f>
      </x:c>
      <x:c r="R186" s="27" t="str"/>
      <x:c r="S186" s="27" t="str"/>
      <x:c r="T186" s="52" t="str">
        <x:f>IF(A186="","",ROUND(COUNTA(D186:P186)/13,2))</x:f>
      </x:c>
      <x:c r="U186" s="27" t="str"/>
    </x:row>
    <x:row r="187">
      <x:c r="A187" s="27" t="str"/>
      <x:c r="B187" s="27" t="str"/>
      <x:c r="C187" s="27" t="str"/>
      <x:c r="D187" s="27" t="str"/>
      <x:c r="E187" s="27" t="str"/>
      <x:c r="F187" s="27" t="str"/>
      <x:c r="G187" s="27" t="str"/>
      <x:c r="H187" s="27" t="str"/>
      <x:c r="I187" s="27" t="str"/>
      <x:c r="J187" s="27" t="str"/>
      <x:c r="K187" s="27" t="str"/>
      <x:c r="L187" s="27" t="str"/>
      <x:c r="M187" s="27" t="str"/>
      <x:c r="N187" s="27" t="str"/>
      <x:c r="O187" s="27" t="str"/>
      <x:c r="P187" s="27" t="str"/>
      <x:c r="Q187" s="27" t="str">
        <x:f>IF(A187="","",IFERROR(INDEX('Пользовательские_сценарии'!$O$5:$O$304,MATCH(E187,'Пользовательские_сценарии'!$A$5:$A$304,0)),0))</x:f>
      </x:c>
      <x:c r="R187" s="27" t="str"/>
      <x:c r="S187" s="27" t="str"/>
      <x:c r="T187" s="52" t="str">
        <x:f>IF(A187="","",ROUND(COUNTA(D187:P187)/13,2))</x:f>
      </x:c>
      <x:c r="U187" s="27" t="str"/>
    </x:row>
    <x:row r="188">
      <x:c r="A188" s="27" t="str"/>
      <x:c r="B188" s="27" t="str"/>
      <x:c r="C188" s="27" t="str"/>
      <x:c r="D188" s="27" t="str"/>
      <x:c r="E188" s="27" t="str"/>
      <x:c r="F188" s="27" t="str"/>
      <x:c r="G188" s="27" t="str"/>
      <x:c r="H188" s="27" t="str"/>
      <x:c r="I188" s="27" t="str"/>
      <x:c r="J188" s="27" t="str"/>
      <x:c r="K188" s="27" t="str"/>
      <x:c r="L188" s="27" t="str"/>
      <x:c r="M188" s="27" t="str"/>
      <x:c r="N188" s="27" t="str"/>
      <x:c r="O188" s="27" t="str"/>
      <x:c r="P188" s="27" t="str"/>
      <x:c r="Q188" s="27" t="str">
        <x:f>IF(A188="","",IFERROR(INDEX('Пользовательские_сценарии'!$O$5:$O$304,MATCH(E188,'Пользовательские_сценарии'!$A$5:$A$304,0)),0))</x:f>
      </x:c>
      <x:c r="R188" s="27" t="str"/>
      <x:c r="S188" s="27" t="str"/>
      <x:c r="T188" s="52" t="str">
        <x:f>IF(A188="","",ROUND(COUNTA(D188:P188)/13,2))</x:f>
      </x:c>
      <x:c r="U188" s="27" t="str"/>
    </x:row>
    <x:row r="189">
      <x:c r="A189" s="27" t="str"/>
      <x:c r="B189" s="27" t="str"/>
      <x:c r="C189" s="27" t="str"/>
      <x:c r="D189" s="27" t="str"/>
      <x:c r="E189" s="27" t="str"/>
      <x:c r="F189" s="27" t="str"/>
      <x:c r="G189" s="27" t="str"/>
      <x:c r="H189" s="27" t="str"/>
      <x:c r="I189" s="27" t="str"/>
      <x:c r="J189" s="27" t="str"/>
      <x:c r="K189" s="27" t="str"/>
      <x:c r="L189" s="27" t="str"/>
      <x:c r="M189" s="27" t="str"/>
      <x:c r="N189" s="27" t="str"/>
      <x:c r="O189" s="27" t="str"/>
      <x:c r="P189" s="27" t="str"/>
      <x:c r="Q189" s="27" t="str">
        <x:f>IF(A189="","",IFERROR(INDEX('Пользовательские_сценарии'!$O$5:$O$304,MATCH(E189,'Пользовательские_сценарии'!$A$5:$A$304,0)),0))</x:f>
      </x:c>
      <x:c r="R189" s="27" t="str"/>
      <x:c r="S189" s="27" t="str"/>
      <x:c r="T189" s="52" t="str">
        <x:f>IF(A189="","",ROUND(COUNTA(D189:P189)/13,2))</x:f>
      </x:c>
      <x:c r="U189" s="27" t="str"/>
    </x:row>
    <x:row r="190">
      <x:c r="A190" s="27" t="str"/>
      <x:c r="B190" s="27" t="str"/>
      <x:c r="C190" s="27" t="str"/>
      <x:c r="D190" s="27" t="str"/>
      <x:c r="E190" s="27" t="str"/>
      <x:c r="F190" s="27" t="str"/>
      <x:c r="G190" s="27" t="str"/>
      <x:c r="H190" s="27" t="str"/>
      <x:c r="I190" s="27" t="str"/>
      <x:c r="J190" s="27" t="str"/>
      <x:c r="K190" s="27" t="str"/>
      <x:c r="L190" s="27" t="str"/>
      <x:c r="M190" s="27" t="str"/>
      <x:c r="N190" s="27" t="str"/>
      <x:c r="O190" s="27" t="str"/>
      <x:c r="P190" s="27" t="str"/>
      <x:c r="Q190" s="27" t="str">
        <x:f>IF(A190="","",IFERROR(INDEX('Пользовательские_сценарии'!$O$5:$O$304,MATCH(E190,'Пользовательские_сценарии'!$A$5:$A$304,0)),0))</x:f>
      </x:c>
      <x:c r="R190" s="27" t="str"/>
      <x:c r="S190" s="27" t="str"/>
      <x:c r="T190" s="52" t="str">
        <x:f>IF(A190="","",ROUND(COUNTA(D190:P190)/13,2))</x:f>
      </x:c>
      <x:c r="U190" s="27" t="str"/>
    </x:row>
    <x:row r="191">
      <x:c r="A191" s="27" t="str"/>
      <x:c r="B191" s="27" t="str"/>
      <x:c r="C191" s="27" t="str"/>
      <x:c r="D191" s="27" t="str"/>
      <x:c r="E191" s="27" t="str"/>
      <x:c r="F191" s="27" t="str"/>
      <x:c r="G191" s="27" t="str"/>
      <x:c r="H191" s="27" t="str"/>
      <x:c r="I191" s="27" t="str"/>
      <x:c r="J191" s="27" t="str"/>
      <x:c r="K191" s="27" t="str"/>
      <x:c r="L191" s="27" t="str"/>
      <x:c r="M191" s="27" t="str"/>
      <x:c r="N191" s="27" t="str"/>
      <x:c r="O191" s="27" t="str"/>
      <x:c r="P191" s="27" t="str"/>
      <x:c r="Q191" s="27" t="str">
        <x:f>IF(A191="","",IFERROR(INDEX('Пользовательские_сценарии'!$O$5:$O$304,MATCH(E191,'Пользовательские_сценарии'!$A$5:$A$304,0)),0))</x:f>
      </x:c>
      <x:c r="R191" s="27" t="str"/>
      <x:c r="S191" s="27" t="str"/>
      <x:c r="T191" s="52" t="str">
        <x:f>IF(A191="","",ROUND(COUNTA(D191:P191)/13,2))</x:f>
      </x:c>
      <x:c r="U191" s="27" t="str"/>
    </x:row>
    <x:row r="192">
      <x:c r="A192" s="27" t="str"/>
      <x:c r="B192" s="27" t="str"/>
      <x:c r="C192" s="27" t="str"/>
      <x:c r="D192" s="27" t="str"/>
      <x:c r="E192" s="27" t="str"/>
      <x:c r="F192" s="27" t="str"/>
      <x:c r="G192" s="27" t="str"/>
      <x:c r="H192" s="27" t="str"/>
      <x:c r="I192" s="27" t="str"/>
      <x:c r="J192" s="27" t="str"/>
      <x:c r="K192" s="27" t="str"/>
      <x:c r="L192" s="27" t="str"/>
      <x:c r="M192" s="27" t="str"/>
      <x:c r="N192" s="27" t="str"/>
      <x:c r="O192" s="27" t="str"/>
      <x:c r="P192" s="27" t="str"/>
      <x:c r="Q192" s="27" t="str">
        <x:f>IF(A192="","",IFERROR(INDEX('Пользовательские_сценарии'!$O$5:$O$304,MATCH(E192,'Пользовательские_сценарии'!$A$5:$A$304,0)),0))</x:f>
      </x:c>
      <x:c r="R192" s="27" t="str"/>
      <x:c r="S192" s="27" t="str"/>
      <x:c r="T192" s="52" t="str">
        <x:f>IF(A192="","",ROUND(COUNTA(D192:P192)/13,2))</x:f>
      </x:c>
      <x:c r="U192" s="27" t="str"/>
    </x:row>
    <x:row r="193">
      <x:c r="A193" s="27" t="str"/>
      <x:c r="B193" s="27" t="str"/>
      <x:c r="C193" s="27" t="str"/>
      <x:c r="D193" s="27" t="str"/>
      <x:c r="E193" s="27" t="str"/>
      <x:c r="F193" s="27" t="str"/>
      <x:c r="G193" s="27" t="str"/>
      <x:c r="H193" s="27" t="str"/>
      <x:c r="I193" s="27" t="str"/>
      <x:c r="J193" s="27" t="str"/>
      <x:c r="K193" s="27" t="str"/>
      <x:c r="L193" s="27" t="str"/>
      <x:c r="M193" s="27" t="str"/>
      <x:c r="N193" s="27" t="str"/>
      <x:c r="O193" s="27" t="str"/>
      <x:c r="P193" s="27" t="str"/>
      <x:c r="Q193" s="27" t="str">
        <x:f>IF(A193="","",IFERROR(INDEX('Пользовательские_сценарии'!$O$5:$O$304,MATCH(E193,'Пользовательские_сценарии'!$A$5:$A$304,0)),0))</x:f>
      </x:c>
      <x:c r="R193" s="27" t="str"/>
      <x:c r="S193" s="27" t="str"/>
      <x:c r="T193" s="52" t="str">
        <x:f>IF(A193="","",ROUND(COUNTA(D193:P193)/13,2))</x:f>
      </x:c>
      <x:c r="U193" s="27" t="str"/>
    </x:row>
    <x:row r="194">
      <x:c r="A194" s="27" t="str"/>
      <x:c r="B194" s="27" t="str"/>
      <x:c r="C194" s="27" t="str"/>
      <x:c r="D194" s="27" t="str"/>
      <x:c r="E194" s="27" t="str"/>
      <x:c r="F194" s="27" t="str"/>
      <x:c r="G194" s="27" t="str"/>
      <x:c r="H194" s="27" t="str"/>
      <x:c r="I194" s="27" t="str"/>
      <x:c r="J194" s="27" t="str"/>
      <x:c r="K194" s="27" t="str"/>
      <x:c r="L194" s="27" t="str"/>
      <x:c r="M194" s="27" t="str"/>
      <x:c r="N194" s="27" t="str"/>
      <x:c r="O194" s="27" t="str"/>
      <x:c r="P194" s="27" t="str"/>
      <x:c r="Q194" s="27" t="str">
        <x:f>IF(A194="","",IFERROR(INDEX('Пользовательские_сценарии'!$O$5:$O$304,MATCH(E194,'Пользовательские_сценарии'!$A$5:$A$304,0)),0))</x:f>
      </x:c>
      <x:c r="R194" s="27" t="str"/>
      <x:c r="S194" s="27" t="str"/>
      <x:c r="T194" s="52" t="str">
        <x:f>IF(A194="","",ROUND(COUNTA(D194:P194)/13,2))</x:f>
      </x:c>
      <x:c r="U194" s="27" t="str"/>
    </x:row>
    <x:row r="195">
      <x:c r="A195" s="27" t="str"/>
      <x:c r="B195" s="27" t="str"/>
      <x:c r="C195" s="27" t="str"/>
      <x:c r="D195" s="27" t="str"/>
      <x:c r="E195" s="27" t="str"/>
      <x:c r="F195" s="27" t="str"/>
      <x:c r="G195" s="27" t="str"/>
      <x:c r="H195" s="27" t="str"/>
      <x:c r="I195" s="27" t="str"/>
      <x:c r="J195" s="27" t="str"/>
      <x:c r="K195" s="27" t="str"/>
      <x:c r="L195" s="27" t="str"/>
      <x:c r="M195" s="27" t="str"/>
      <x:c r="N195" s="27" t="str"/>
      <x:c r="O195" s="27" t="str"/>
      <x:c r="P195" s="27" t="str"/>
      <x:c r="Q195" s="27" t="str">
        <x:f>IF(A195="","",IFERROR(INDEX('Пользовательские_сценарии'!$O$5:$O$304,MATCH(E195,'Пользовательские_сценарии'!$A$5:$A$304,0)),0))</x:f>
      </x:c>
      <x:c r="R195" s="27" t="str"/>
      <x:c r="S195" s="27" t="str"/>
      <x:c r="T195" s="52" t="str">
        <x:f>IF(A195="","",ROUND(COUNTA(D195:P195)/13,2))</x:f>
      </x:c>
      <x:c r="U195" s="27" t="str"/>
    </x:row>
    <x:row r="196">
      <x:c r="A196" s="27" t="str"/>
      <x:c r="B196" s="27" t="str"/>
      <x:c r="C196" s="27" t="str"/>
      <x:c r="D196" s="27" t="str"/>
      <x:c r="E196" s="27" t="str"/>
      <x:c r="F196" s="27" t="str"/>
      <x:c r="G196" s="27" t="str"/>
      <x:c r="H196" s="27" t="str"/>
      <x:c r="I196" s="27" t="str"/>
      <x:c r="J196" s="27" t="str"/>
      <x:c r="K196" s="27" t="str"/>
      <x:c r="L196" s="27" t="str"/>
      <x:c r="M196" s="27" t="str"/>
      <x:c r="N196" s="27" t="str"/>
      <x:c r="O196" s="27" t="str"/>
      <x:c r="P196" s="27" t="str"/>
      <x:c r="Q196" s="27" t="str">
        <x:f>IF(A196="","",IFERROR(INDEX('Пользовательские_сценарии'!$O$5:$O$304,MATCH(E196,'Пользовательские_сценарии'!$A$5:$A$304,0)),0))</x:f>
      </x:c>
      <x:c r="R196" s="27" t="str"/>
      <x:c r="S196" s="27" t="str"/>
      <x:c r="T196" s="52" t="str">
        <x:f>IF(A196="","",ROUND(COUNTA(D196:P196)/13,2))</x:f>
      </x:c>
      <x:c r="U196" s="27" t="str"/>
    </x:row>
    <x:row r="197">
      <x:c r="A197" s="27" t="str"/>
      <x:c r="B197" s="27" t="str"/>
      <x:c r="C197" s="27" t="str"/>
      <x:c r="D197" s="27" t="str"/>
      <x:c r="E197" s="27" t="str"/>
      <x:c r="F197" s="27" t="str"/>
      <x:c r="G197" s="27" t="str"/>
      <x:c r="H197" s="27" t="str"/>
      <x:c r="I197" s="27" t="str"/>
      <x:c r="J197" s="27" t="str"/>
      <x:c r="K197" s="27" t="str"/>
      <x:c r="L197" s="27" t="str"/>
      <x:c r="M197" s="27" t="str"/>
      <x:c r="N197" s="27" t="str"/>
      <x:c r="O197" s="27" t="str"/>
      <x:c r="P197" s="27" t="str"/>
      <x:c r="Q197" s="27" t="str">
        <x:f>IF(A197="","",IFERROR(INDEX('Пользовательские_сценарии'!$O$5:$O$304,MATCH(E197,'Пользовательские_сценарии'!$A$5:$A$304,0)),0))</x:f>
      </x:c>
      <x:c r="R197" s="27" t="str"/>
      <x:c r="S197" s="27" t="str"/>
      <x:c r="T197" s="52" t="str">
        <x:f>IF(A197="","",ROUND(COUNTA(D197:P197)/13,2))</x:f>
      </x:c>
      <x:c r="U197" s="27" t="str"/>
    </x:row>
    <x:row r="198">
      <x:c r="A198" s="27" t="str"/>
      <x:c r="B198" s="27" t="str"/>
      <x:c r="C198" s="27" t="str"/>
      <x:c r="D198" s="27" t="str"/>
      <x:c r="E198" s="27" t="str"/>
      <x:c r="F198" s="27" t="str"/>
      <x:c r="G198" s="27" t="str"/>
      <x:c r="H198" s="27" t="str"/>
      <x:c r="I198" s="27" t="str"/>
      <x:c r="J198" s="27" t="str"/>
      <x:c r="K198" s="27" t="str"/>
      <x:c r="L198" s="27" t="str"/>
      <x:c r="M198" s="27" t="str"/>
      <x:c r="N198" s="27" t="str"/>
      <x:c r="O198" s="27" t="str"/>
      <x:c r="P198" s="27" t="str"/>
      <x:c r="Q198" s="27" t="str">
        <x:f>IF(A198="","",IFERROR(INDEX('Пользовательские_сценарии'!$O$5:$O$304,MATCH(E198,'Пользовательские_сценарии'!$A$5:$A$304,0)),0))</x:f>
      </x:c>
      <x:c r="R198" s="27" t="str"/>
      <x:c r="S198" s="27" t="str"/>
      <x:c r="T198" s="52" t="str">
        <x:f>IF(A198="","",ROUND(COUNTA(D198:P198)/13,2))</x:f>
      </x:c>
      <x:c r="U198" s="27" t="str"/>
    </x:row>
    <x:row r="199">
      <x:c r="A199" s="27" t="str"/>
      <x:c r="B199" s="27" t="str"/>
      <x:c r="C199" s="27" t="str"/>
      <x:c r="D199" s="27" t="str"/>
      <x:c r="E199" s="27" t="str"/>
      <x:c r="F199" s="27" t="str"/>
      <x:c r="G199" s="27" t="str"/>
      <x:c r="H199" s="27" t="str"/>
      <x:c r="I199" s="27" t="str"/>
      <x:c r="J199" s="27" t="str"/>
      <x:c r="K199" s="27" t="str"/>
      <x:c r="L199" s="27" t="str"/>
      <x:c r="M199" s="27" t="str"/>
      <x:c r="N199" s="27" t="str"/>
      <x:c r="O199" s="27" t="str"/>
      <x:c r="P199" s="27" t="str"/>
      <x:c r="Q199" s="27" t="str">
        <x:f>IF(A199="","",IFERROR(INDEX('Пользовательские_сценарии'!$O$5:$O$304,MATCH(E199,'Пользовательские_сценарии'!$A$5:$A$304,0)),0))</x:f>
      </x:c>
      <x:c r="R199" s="27" t="str"/>
      <x:c r="S199" s="27" t="str"/>
      <x:c r="T199" s="52" t="str">
        <x:f>IF(A199="","",ROUND(COUNTA(D199:P199)/13,2))</x:f>
      </x:c>
      <x:c r="U199" s="27" t="str"/>
    </x:row>
    <x:row r="200">
      <x:c r="A200" s="27" t="str"/>
      <x:c r="B200" s="27" t="str"/>
      <x:c r="C200" s="27" t="str"/>
      <x:c r="D200" s="27" t="str"/>
      <x:c r="E200" s="27" t="str"/>
      <x:c r="F200" s="27" t="str"/>
      <x:c r="G200" s="27" t="str"/>
      <x:c r="H200" s="27" t="str"/>
      <x:c r="I200" s="27" t="str"/>
      <x:c r="J200" s="27" t="str"/>
      <x:c r="K200" s="27" t="str"/>
      <x:c r="L200" s="27" t="str"/>
      <x:c r="M200" s="27" t="str"/>
      <x:c r="N200" s="27" t="str"/>
      <x:c r="O200" s="27" t="str"/>
      <x:c r="P200" s="27" t="str"/>
      <x:c r="Q200" s="27" t="str">
        <x:f>IF(A200="","",IFERROR(INDEX('Пользовательские_сценарии'!$O$5:$O$304,MATCH(E200,'Пользовательские_сценарии'!$A$5:$A$304,0)),0))</x:f>
      </x:c>
      <x:c r="R200" s="27" t="str"/>
      <x:c r="S200" s="27" t="str"/>
      <x:c r="T200" s="52" t="str">
        <x:f>IF(A200="","",ROUND(COUNTA(D200:P200)/13,2))</x:f>
      </x:c>
      <x:c r="U200" s="27" t="str"/>
    </x:row>
    <x:row r="201">
      <x:c r="A201" s="27" t="str"/>
      <x:c r="B201" s="27" t="str"/>
      <x:c r="C201" s="27" t="str"/>
      <x:c r="D201" s="27" t="str"/>
      <x:c r="E201" s="27" t="str"/>
      <x:c r="F201" s="27" t="str"/>
      <x:c r="G201" s="27" t="str"/>
      <x:c r="H201" s="27" t="str"/>
      <x:c r="I201" s="27" t="str"/>
      <x:c r="J201" s="27" t="str"/>
      <x:c r="K201" s="27" t="str"/>
      <x:c r="L201" s="27" t="str"/>
      <x:c r="M201" s="27" t="str"/>
      <x:c r="N201" s="27" t="str"/>
      <x:c r="O201" s="27" t="str"/>
      <x:c r="P201" s="27" t="str"/>
      <x:c r="Q201" s="27" t="str">
        <x:f>IF(A201="","",IFERROR(INDEX('Пользовательские_сценарии'!$O$5:$O$304,MATCH(E201,'Пользовательские_сценарии'!$A$5:$A$304,0)),0))</x:f>
      </x:c>
      <x:c r="R201" s="27" t="str"/>
      <x:c r="S201" s="27" t="str"/>
      <x:c r="T201" s="52" t="str">
        <x:f>IF(A201="","",ROUND(COUNTA(D201:P201)/13,2))</x:f>
      </x:c>
      <x:c r="U201" s="27" t="str"/>
    </x:row>
    <x:row r="202">
      <x:c r="A202" s="27" t="str"/>
      <x:c r="B202" s="27" t="str"/>
      <x:c r="C202" s="27" t="str"/>
      <x:c r="D202" s="27" t="str"/>
      <x:c r="E202" s="27" t="str"/>
      <x:c r="F202" s="27" t="str"/>
      <x:c r="G202" s="27" t="str"/>
      <x:c r="H202" s="27" t="str"/>
      <x:c r="I202" s="27" t="str"/>
      <x:c r="J202" s="27" t="str"/>
      <x:c r="K202" s="27" t="str"/>
      <x:c r="L202" s="27" t="str"/>
      <x:c r="M202" s="27" t="str"/>
      <x:c r="N202" s="27" t="str"/>
      <x:c r="O202" s="27" t="str"/>
      <x:c r="P202" s="27" t="str"/>
      <x:c r="Q202" s="27" t="str">
        <x:f>IF(A202="","",IFERROR(INDEX('Пользовательские_сценарии'!$O$5:$O$304,MATCH(E202,'Пользовательские_сценарии'!$A$5:$A$304,0)),0))</x:f>
      </x:c>
      <x:c r="R202" s="27" t="str"/>
      <x:c r="S202" s="27" t="str"/>
      <x:c r="T202" s="52" t="str">
        <x:f>IF(A202="","",ROUND(COUNTA(D202:P202)/13,2))</x:f>
      </x:c>
      <x:c r="U202" s="27" t="str"/>
    </x:row>
    <x:row r="203">
      <x:c r="A203" s="27" t="str"/>
      <x:c r="B203" s="27" t="str"/>
      <x:c r="C203" s="27" t="str"/>
      <x:c r="D203" s="27" t="str"/>
      <x:c r="E203" s="27" t="str"/>
      <x:c r="F203" s="27" t="str"/>
      <x:c r="G203" s="27" t="str"/>
      <x:c r="H203" s="27" t="str"/>
      <x:c r="I203" s="27" t="str"/>
      <x:c r="J203" s="27" t="str"/>
      <x:c r="K203" s="27" t="str"/>
      <x:c r="L203" s="27" t="str"/>
      <x:c r="M203" s="27" t="str"/>
      <x:c r="N203" s="27" t="str"/>
      <x:c r="O203" s="27" t="str"/>
      <x:c r="P203" s="27" t="str"/>
      <x:c r="Q203" s="27" t="str">
        <x:f>IF(A203="","",IFERROR(INDEX('Пользовательские_сценарии'!$O$5:$O$304,MATCH(E203,'Пользовательские_сценарии'!$A$5:$A$304,0)),0))</x:f>
      </x:c>
      <x:c r="R203" s="27" t="str"/>
      <x:c r="S203" s="27" t="str"/>
      <x:c r="T203" s="52" t="str">
        <x:f>IF(A203="","",ROUND(COUNTA(D203:P203)/13,2))</x:f>
      </x:c>
      <x:c r="U203" s="27" t="str"/>
    </x:row>
    <x:row r="204">
      <x:c r="A204" s="27" t="str"/>
      <x:c r="B204" s="27" t="str"/>
      <x:c r="C204" s="27" t="str"/>
      <x:c r="D204" s="27" t="str"/>
      <x:c r="E204" s="27" t="str"/>
      <x:c r="F204" s="27" t="str"/>
      <x:c r="G204" s="27" t="str"/>
      <x:c r="H204" s="27" t="str"/>
      <x:c r="I204" s="27" t="str"/>
      <x:c r="J204" s="27" t="str"/>
      <x:c r="K204" s="27" t="str"/>
      <x:c r="L204" s="27" t="str"/>
      <x:c r="M204" s="27" t="str"/>
      <x:c r="N204" s="27" t="str"/>
      <x:c r="O204" s="27" t="str"/>
      <x:c r="P204" s="27" t="str"/>
      <x:c r="Q204" s="27" t="str">
        <x:f>IF(A204="","",IFERROR(INDEX('Пользовательские_сценарии'!$O$5:$O$304,MATCH(E204,'Пользовательские_сценарии'!$A$5:$A$304,0)),0))</x:f>
      </x:c>
      <x:c r="R204" s="27" t="str"/>
      <x:c r="S204" s="27" t="str"/>
      <x:c r="T204" s="52" t="str">
        <x:f>IF(A204="","",ROUND(COUNTA(D204:P204)/13,2))</x:f>
      </x:c>
      <x:c r="U204" s="27" t="str"/>
    </x:row>
    <x:row r="205">
      <x:c r="A205" s="27" t="str"/>
      <x:c r="B205" s="27" t="str"/>
      <x:c r="C205" s="27" t="str"/>
      <x:c r="D205" s="27" t="str"/>
      <x:c r="E205" s="27" t="str"/>
      <x:c r="F205" s="27" t="str"/>
      <x:c r="G205" s="27" t="str"/>
      <x:c r="H205" s="27" t="str"/>
      <x:c r="I205" s="27" t="str"/>
      <x:c r="J205" s="27" t="str"/>
      <x:c r="K205" s="27" t="str"/>
      <x:c r="L205" s="27" t="str"/>
      <x:c r="M205" s="27" t="str"/>
      <x:c r="N205" s="27" t="str"/>
      <x:c r="O205" s="27" t="str"/>
      <x:c r="P205" s="27" t="str"/>
      <x:c r="Q205" s="27" t="str">
        <x:f>IF(A205="","",IFERROR(INDEX('Пользовательские_сценарии'!$O$5:$O$304,MATCH(E205,'Пользовательские_сценарии'!$A$5:$A$304,0)),0))</x:f>
      </x:c>
      <x:c r="R205" s="27" t="str"/>
      <x:c r="S205" s="27" t="str"/>
      <x:c r="T205" s="52" t="str">
        <x:f>IF(A205="","",ROUND(COUNTA(D205:P205)/13,2))</x:f>
      </x:c>
      <x:c r="U205" s="27" t="str"/>
    </x:row>
    <x:row r="206">
      <x:c r="A206" s="27" t="str"/>
      <x:c r="B206" s="27" t="str"/>
      <x:c r="C206" s="27" t="str"/>
      <x:c r="D206" s="27" t="str"/>
      <x:c r="E206" s="27" t="str"/>
      <x:c r="F206" s="27" t="str"/>
      <x:c r="G206" s="27" t="str"/>
      <x:c r="H206" s="27" t="str"/>
      <x:c r="I206" s="27" t="str"/>
      <x:c r="J206" s="27" t="str"/>
      <x:c r="K206" s="27" t="str"/>
      <x:c r="L206" s="27" t="str"/>
      <x:c r="M206" s="27" t="str"/>
      <x:c r="N206" s="27" t="str"/>
      <x:c r="O206" s="27" t="str"/>
      <x:c r="P206" s="27" t="str"/>
      <x:c r="Q206" s="27" t="str">
        <x:f>IF(A206="","",IFERROR(INDEX('Пользовательские_сценарии'!$O$5:$O$304,MATCH(E206,'Пользовательские_сценарии'!$A$5:$A$304,0)),0))</x:f>
      </x:c>
      <x:c r="R206" s="27" t="str"/>
      <x:c r="S206" s="27" t="str"/>
      <x:c r="T206" s="52" t="str">
        <x:f>IF(A206="","",ROUND(COUNTA(D206:P206)/13,2))</x:f>
      </x:c>
      <x:c r="U206" s="27" t="str"/>
    </x:row>
    <x:row r="207">
      <x:c r="A207" s="27" t="str"/>
      <x:c r="B207" s="27" t="str"/>
      <x:c r="C207" s="27" t="str"/>
      <x:c r="D207" s="27" t="str"/>
      <x:c r="E207" s="27" t="str"/>
      <x:c r="F207" s="27" t="str"/>
      <x:c r="G207" s="27" t="str"/>
      <x:c r="H207" s="27" t="str"/>
      <x:c r="I207" s="27" t="str"/>
      <x:c r="J207" s="27" t="str"/>
      <x:c r="K207" s="27" t="str"/>
      <x:c r="L207" s="27" t="str"/>
      <x:c r="M207" s="27" t="str"/>
      <x:c r="N207" s="27" t="str"/>
      <x:c r="O207" s="27" t="str"/>
      <x:c r="P207" s="27" t="str"/>
      <x:c r="Q207" s="27" t="str">
        <x:f>IF(A207="","",IFERROR(INDEX('Пользовательские_сценарии'!$O$5:$O$304,MATCH(E207,'Пользовательские_сценарии'!$A$5:$A$304,0)),0))</x:f>
      </x:c>
      <x:c r="R207" s="27" t="str"/>
      <x:c r="S207" s="27" t="str"/>
      <x:c r="T207" s="52" t="str">
        <x:f>IF(A207="","",ROUND(COUNTA(D207:P207)/13,2))</x:f>
      </x:c>
      <x:c r="U207" s="27" t="str"/>
    </x:row>
    <x:row r="208">
      <x:c r="A208" s="27" t="str"/>
      <x:c r="B208" s="27" t="str"/>
      <x:c r="C208" s="27" t="str"/>
      <x:c r="D208" s="27" t="str"/>
      <x:c r="E208" s="27" t="str"/>
      <x:c r="F208" s="27" t="str"/>
      <x:c r="G208" s="27" t="str"/>
      <x:c r="H208" s="27" t="str"/>
      <x:c r="I208" s="27" t="str"/>
      <x:c r="J208" s="27" t="str"/>
      <x:c r="K208" s="27" t="str"/>
      <x:c r="L208" s="27" t="str"/>
      <x:c r="M208" s="27" t="str"/>
      <x:c r="N208" s="27" t="str"/>
      <x:c r="O208" s="27" t="str"/>
      <x:c r="P208" s="27" t="str"/>
      <x:c r="Q208" s="27" t="str">
        <x:f>IF(A208="","",IFERROR(INDEX('Пользовательские_сценарии'!$O$5:$O$304,MATCH(E208,'Пользовательские_сценарии'!$A$5:$A$304,0)),0))</x:f>
      </x:c>
      <x:c r="R208" s="27" t="str"/>
      <x:c r="S208" s="27" t="str"/>
      <x:c r="T208" s="52" t="str">
        <x:f>IF(A208="","",ROUND(COUNTA(D208:P208)/13,2))</x:f>
      </x:c>
      <x:c r="U208" s="27" t="str"/>
    </x:row>
    <x:row r="209">
      <x:c r="A209" s="27" t="str"/>
      <x:c r="B209" s="27" t="str"/>
      <x:c r="C209" s="27" t="str"/>
      <x:c r="D209" s="27" t="str"/>
      <x:c r="E209" s="27" t="str"/>
      <x:c r="F209" s="27" t="str"/>
      <x:c r="G209" s="27" t="str"/>
      <x:c r="H209" s="27" t="str"/>
      <x:c r="I209" s="27" t="str"/>
      <x:c r="J209" s="27" t="str"/>
      <x:c r="K209" s="27" t="str"/>
      <x:c r="L209" s="27" t="str"/>
      <x:c r="M209" s="27" t="str"/>
      <x:c r="N209" s="27" t="str"/>
      <x:c r="O209" s="27" t="str"/>
      <x:c r="P209" s="27" t="str"/>
      <x:c r="Q209" s="27" t="str">
        <x:f>IF(A209="","",IFERROR(INDEX('Пользовательские_сценарии'!$O$5:$O$304,MATCH(E209,'Пользовательские_сценарии'!$A$5:$A$304,0)),0))</x:f>
      </x:c>
      <x:c r="R209" s="27" t="str"/>
      <x:c r="S209" s="27" t="str"/>
      <x:c r="T209" s="52" t="str">
        <x:f>IF(A209="","",ROUND(COUNTA(D209:P209)/13,2))</x:f>
      </x:c>
      <x:c r="U209" s="27" t="str"/>
    </x:row>
    <x:row r="210">
      <x:c r="A210" s="27" t="str"/>
      <x:c r="B210" s="27" t="str"/>
      <x:c r="C210" s="27" t="str"/>
      <x:c r="D210" s="27" t="str"/>
      <x:c r="E210" s="27" t="str"/>
      <x:c r="F210" s="27" t="str"/>
      <x:c r="G210" s="27" t="str"/>
      <x:c r="H210" s="27" t="str"/>
      <x:c r="I210" s="27" t="str"/>
      <x:c r="J210" s="27" t="str"/>
      <x:c r="K210" s="27" t="str"/>
      <x:c r="L210" s="27" t="str"/>
      <x:c r="M210" s="27" t="str"/>
      <x:c r="N210" s="27" t="str"/>
      <x:c r="O210" s="27" t="str"/>
      <x:c r="P210" s="27" t="str"/>
      <x:c r="Q210" s="27" t="str">
        <x:f>IF(A210="","",IFERROR(INDEX('Пользовательские_сценарии'!$O$5:$O$304,MATCH(E210,'Пользовательские_сценарии'!$A$5:$A$304,0)),0))</x:f>
      </x:c>
      <x:c r="R210" s="27" t="str"/>
      <x:c r="S210" s="27" t="str"/>
      <x:c r="T210" s="52" t="str">
        <x:f>IF(A210="","",ROUND(COUNTA(D210:P210)/13,2))</x:f>
      </x:c>
      <x:c r="U210" s="27" t="str"/>
    </x:row>
    <x:row r="211">
      <x:c r="A211" s="27" t="str"/>
      <x:c r="B211" s="27" t="str"/>
      <x:c r="C211" s="27" t="str"/>
      <x:c r="D211" s="27" t="str"/>
      <x:c r="E211" s="27" t="str"/>
      <x:c r="F211" s="27" t="str"/>
      <x:c r="G211" s="27" t="str"/>
      <x:c r="H211" s="27" t="str"/>
      <x:c r="I211" s="27" t="str"/>
      <x:c r="J211" s="27" t="str"/>
      <x:c r="K211" s="27" t="str"/>
      <x:c r="L211" s="27" t="str"/>
      <x:c r="M211" s="27" t="str"/>
      <x:c r="N211" s="27" t="str"/>
      <x:c r="O211" s="27" t="str"/>
      <x:c r="P211" s="27" t="str"/>
      <x:c r="Q211" s="27" t="str">
        <x:f>IF(A211="","",IFERROR(INDEX('Пользовательские_сценарии'!$O$5:$O$304,MATCH(E211,'Пользовательские_сценарии'!$A$5:$A$304,0)),0))</x:f>
      </x:c>
      <x:c r="R211" s="27" t="str"/>
      <x:c r="S211" s="27" t="str"/>
      <x:c r="T211" s="52" t="str">
        <x:f>IF(A211="","",ROUND(COUNTA(D211:P211)/13,2))</x:f>
      </x:c>
      <x:c r="U211" s="27" t="str"/>
    </x:row>
    <x:row r="212">
      <x:c r="A212" s="27" t="str"/>
      <x:c r="B212" s="27" t="str"/>
      <x:c r="C212" s="27" t="str"/>
      <x:c r="D212" s="27" t="str"/>
      <x:c r="E212" s="27" t="str"/>
      <x:c r="F212" s="27" t="str"/>
      <x:c r="G212" s="27" t="str"/>
      <x:c r="H212" s="27" t="str"/>
      <x:c r="I212" s="27" t="str"/>
      <x:c r="J212" s="27" t="str"/>
      <x:c r="K212" s="27" t="str"/>
      <x:c r="L212" s="27" t="str"/>
      <x:c r="M212" s="27" t="str"/>
      <x:c r="N212" s="27" t="str"/>
      <x:c r="O212" s="27" t="str"/>
      <x:c r="P212" s="27" t="str"/>
      <x:c r="Q212" s="27" t="str">
        <x:f>IF(A212="","",IFERROR(INDEX('Пользовательские_сценарии'!$O$5:$O$304,MATCH(E212,'Пользовательские_сценарии'!$A$5:$A$304,0)),0))</x:f>
      </x:c>
      <x:c r="R212" s="27" t="str"/>
      <x:c r="S212" s="27" t="str"/>
      <x:c r="T212" s="52" t="str">
        <x:f>IF(A212="","",ROUND(COUNTA(D212:P212)/13,2))</x:f>
      </x:c>
      <x:c r="U212" s="27" t="str"/>
    </x:row>
    <x:row r="213">
      <x:c r="A213" s="27" t="str"/>
      <x:c r="B213" s="27" t="str"/>
      <x:c r="C213" s="27" t="str"/>
      <x:c r="D213" s="27" t="str"/>
      <x:c r="E213" s="27" t="str"/>
      <x:c r="F213" s="27" t="str"/>
      <x:c r="G213" s="27" t="str"/>
      <x:c r="H213" s="27" t="str"/>
      <x:c r="I213" s="27" t="str"/>
      <x:c r="J213" s="27" t="str"/>
      <x:c r="K213" s="27" t="str"/>
      <x:c r="L213" s="27" t="str"/>
      <x:c r="M213" s="27" t="str"/>
      <x:c r="N213" s="27" t="str"/>
      <x:c r="O213" s="27" t="str"/>
      <x:c r="P213" s="27" t="str"/>
      <x:c r="Q213" s="27" t="str">
        <x:f>IF(A213="","",IFERROR(INDEX('Пользовательские_сценарии'!$O$5:$O$304,MATCH(E213,'Пользовательские_сценарии'!$A$5:$A$304,0)),0))</x:f>
      </x:c>
      <x:c r="R213" s="27" t="str"/>
      <x:c r="S213" s="27" t="str"/>
      <x:c r="T213" s="52" t="str">
        <x:f>IF(A213="","",ROUND(COUNTA(D213:P213)/13,2))</x:f>
      </x:c>
      <x:c r="U213" s="27" t="str"/>
    </x:row>
    <x:row r="214">
      <x:c r="A214" s="27" t="str"/>
      <x:c r="B214" s="27" t="str"/>
      <x:c r="C214" s="27" t="str"/>
      <x:c r="D214" s="27" t="str"/>
      <x:c r="E214" s="27" t="str"/>
      <x:c r="F214" s="27" t="str"/>
      <x:c r="G214" s="27" t="str"/>
      <x:c r="H214" s="27" t="str"/>
      <x:c r="I214" s="27" t="str"/>
      <x:c r="J214" s="27" t="str"/>
      <x:c r="K214" s="27" t="str"/>
      <x:c r="L214" s="27" t="str"/>
      <x:c r="M214" s="27" t="str"/>
      <x:c r="N214" s="27" t="str"/>
      <x:c r="O214" s="27" t="str"/>
      <x:c r="P214" s="27" t="str"/>
      <x:c r="Q214" s="27" t="str">
        <x:f>IF(A214="","",IFERROR(INDEX('Пользовательские_сценарии'!$O$5:$O$304,MATCH(E214,'Пользовательские_сценарии'!$A$5:$A$304,0)),0))</x:f>
      </x:c>
      <x:c r="R214" s="27" t="str"/>
      <x:c r="S214" s="27" t="str"/>
      <x:c r="T214" s="52" t="str">
        <x:f>IF(A214="","",ROUND(COUNTA(D214:P214)/13,2))</x:f>
      </x:c>
      <x:c r="U214" s="27" t="str"/>
    </x:row>
    <x:row r="215">
      <x:c r="A215" s="27" t="str"/>
      <x:c r="B215" s="27" t="str"/>
      <x:c r="C215" s="27" t="str"/>
      <x:c r="D215" s="27" t="str"/>
      <x:c r="E215" s="27" t="str"/>
      <x:c r="F215" s="27" t="str"/>
      <x:c r="G215" s="27" t="str"/>
      <x:c r="H215" s="27" t="str"/>
      <x:c r="I215" s="27" t="str"/>
      <x:c r="J215" s="27" t="str"/>
      <x:c r="K215" s="27" t="str"/>
      <x:c r="L215" s="27" t="str"/>
      <x:c r="M215" s="27" t="str"/>
      <x:c r="N215" s="27" t="str"/>
      <x:c r="O215" s="27" t="str"/>
      <x:c r="P215" s="27" t="str"/>
      <x:c r="Q215" s="27" t="str">
        <x:f>IF(A215="","",IFERROR(INDEX('Пользовательские_сценарии'!$O$5:$O$304,MATCH(E215,'Пользовательские_сценарии'!$A$5:$A$304,0)),0))</x:f>
      </x:c>
      <x:c r="R215" s="27" t="str"/>
      <x:c r="S215" s="27" t="str"/>
      <x:c r="T215" s="52" t="str">
        <x:f>IF(A215="","",ROUND(COUNTA(D215:P215)/13,2))</x:f>
      </x:c>
      <x:c r="U215" s="27" t="str"/>
    </x:row>
    <x:row r="216">
      <x:c r="A216" s="27" t="str"/>
      <x:c r="B216" s="27" t="str"/>
      <x:c r="C216" s="27" t="str"/>
      <x:c r="D216" s="27" t="str"/>
      <x:c r="E216" s="27" t="str"/>
      <x:c r="F216" s="27" t="str"/>
      <x:c r="G216" s="27" t="str"/>
      <x:c r="H216" s="27" t="str"/>
      <x:c r="I216" s="27" t="str"/>
      <x:c r="J216" s="27" t="str"/>
      <x:c r="K216" s="27" t="str"/>
      <x:c r="L216" s="27" t="str"/>
      <x:c r="M216" s="27" t="str"/>
      <x:c r="N216" s="27" t="str"/>
      <x:c r="O216" s="27" t="str"/>
      <x:c r="P216" s="27" t="str"/>
      <x:c r="Q216" s="27" t="str">
        <x:f>IF(A216="","",IFERROR(INDEX('Пользовательские_сценарии'!$O$5:$O$304,MATCH(E216,'Пользовательские_сценарии'!$A$5:$A$304,0)),0))</x:f>
      </x:c>
      <x:c r="R216" s="27" t="str"/>
      <x:c r="S216" s="27" t="str"/>
      <x:c r="T216" s="52" t="str">
        <x:f>IF(A216="","",ROUND(COUNTA(D216:P216)/13,2))</x:f>
      </x:c>
      <x:c r="U216" s="27" t="str"/>
    </x:row>
    <x:row r="217">
      <x:c r="A217" s="27" t="str"/>
      <x:c r="B217" s="27" t="str"/>
      <x:c r="C217" s="27" t="str"/>
      <x:c r="D217" s="27" t="str"/>
      <x:c r="E217" s="27" t="str"/>
      <x:c r="F217" s="27" t="str"/>
      <x:c r="G217" s="27" t="str"/>
      <x:c r="H217" s="27" t="str"/>
      <x:c r="I217" s="27" t="str"/>
      <x:c r="J217" s="27" t="str"/>
      <x:c r="K217" s="27" t="str"/>
      <x:c r="L217" s="27" t="str"/>
      <x:c r="M217" s="27" t="str"/>
      <x:c r="N217" s="27" t="str"/>
      <x:c r="O217" s="27" t="str"/>
      <x:c r="P217" s="27" t="str"/>
      <x:c r="Q217" s="27" t="str">
        <x:f>IF(A217="","",IFERROR(INDEX('Пользовательские_сценарии'!$O$5:$O$304,MATCH(E217,'Пользовательские_сценарии'!$A$5:$A$304,0)),0))</x:f>
      </x:c>
      <x:c r="R217" s="27" t="str"/>
      <x:c r="S217" s="27" t="str"/>
      <x:c r="T217" s="52" t="str">
        <x:f>IF(A217="","",ROUND(COUNTA(D217:P217)/13,2))</x:f>
      </x:c>
      <x:c r="U217" s="27" t="str"/>
    </x:row>
    <x:row r="218">
      <x:c r="A218" s="27" t="str"/>
      <x:c r="B218" s="27" t="str"/>
      <x:c r="C218" s="27" t="str"/>
      <x:c r="D218" s="27" t="str"/>
      <x:c r="E218" s="27" t="str"/>
      <x:c r="F218" s="27" t="str"/>
      <x:c r="G218" s="27" t="str"/>
      <x:c r="H218" s="27" t="str"/>
      <x:c r="I218" s="27" t="str"/>
      <x:c r="J218" s="27" t="str"/>
      <x:c r="K218" s="27" t="str"/>
      <x:c r="L218" s="27" t="str"/>
      <x:c r="M218" s="27" t="str"/>
      <x:c r="N218" s="27" t="str"/>
      <x:c r="O218" s="27" t="str"/>
      <x:c r="P218" s="27" t="str"/>
      <x:c r="Q218" s="27" t="str">
        <x:f>IF(A218="","",IFERROR(INDEX('Пользовательские_сценарии'!$O$5:$O$304,MATCH(E218,'Пользовательские_сценарии'!$A$5:$A$304,0)),0))</x:f>
      </x:c>
      <x:c r="R218" s="27" t="str"/>
      <x:c r="S218" s="27" t="str"/>
      <x:c r="T218" s="52" t="str">
        <x:f>IF(A218="","",ROUND(COUNTA(D218:P218)/13,2))</x:f>
      </x:c>
      <x:c r="U218" s="27" t="str"/>
    </x:row>
    <x:row r="219">
      <x:c r="A219" s="27" t="str"/>
      <x:c r="B219" s="27" t="str"/>
      <x:c r="C219" s="27" t="str"/>
      <x:c r="D219" s="27" t="str"/>
      <x:c r="E219" s="27" t="str"/>
      <x:c r="F219" s="27" t="str"/>
      <x:c r="G219" s="27" t="str"/>
      <x:c r="H219" s="27" t="str"/>
      <x:c r="I219" s="27" t="str"/>
      <x:c r="J219" s="27" t="str"/>
      <x:c r="K219" s="27" t="str"/>
      <x:c r="L219" s="27" t="str"/>
      <x:c r="M219" s="27" t="str"/>
      <x:c r="N219" s="27" t="str"/>
      <x:c r="O219" s="27" t="str"/>
      <x:c r="P219" s="27" t="str"/>
      <x:c r="Q219" s="27" t="str">
        <x:f>IF(A219="","",IFERROR(INDEX('Пользовательские_сценарии'!$O$5:$O$304,MATCH(E219,'Пользовательские_сценарии'!$A$5:$A$304,0)),0))</x:f>
      </x:c>
      <x:c r="R219" s="27" t="str"/>
      <x:c r="S219" s="27" t="str"/>
      <x:c r="T219" s="52" t="str">
        <x:f>IF(A219="","",ROUND(COUNTA(D219:P219)/13,2))</x:f>
      </x:c>
      <x:c r="U219" s="27" t="str"/>
    </x:row>
    <x:row r="220">
      <x:c r="A220" s="27" t="str"/>
      <x:c r="B220" s="27" t="str"/>
      <x:c r="C220" s="27" t="str"/>
      <x:c r="D220" s="27" t="str"/>
      <x:c r="E220" s="27" t="str"/>
      <x:c r="F220" s="27" t="str"/>
      <x:c r="G220" s="27" t="str"/>
      <x:c r="H220" s="27" t="str"/>
      <x:c r="I220" s="27" t="str"/>
      <x:c r="J220" s="27" t="str"/>
      <x:c r="K220" s="27" t="str"/>
      <x:c r="L220" s="27" t="str"/>
      <x:c r="M220" s="27" t="str"/>
      <x:c r="N220" s="27" t="str"/>
      <x:c r="O220" s="27" t="str"/>
      <x:c r="P220" s="27" t="str"/>
      <x:c r="Q220" s="27" t="str">
        <x:f>IF(A220="","",IFERROR(INDEX('Пользовательские_сценарии'!$O$5:$O$304,MATCH(E220,'Пользовательские_сценарии'!$A$5:$A$304,0)),0))</x:f>
      </x:c>
      <x:c r="R220" s="27" t="str"/>
      <x:c r="S220" s="27" t="str"/>
      <x:c r="T220" s="52" t="str">
        <x:f>IF(A220="","",ROUND(COUNTA(D220:P220)/13,2))</x:f>
      </x:c>
      <x:c r="U220" s="27" t="str"/>
    </x:row>
    <x:row r="221">
      <x:c r="A221" s="27" t="str"/>
      <x:c r="B221" s="27" t="str"/>
      <x:c r="C221" s="27" t="str"/>
      <x:c r="D221" s="27" t="str"/>
      <x:c r="E221" s="27" t="str"/>
      <x:c r="F221" s="27" t="str"/>
      <x:c r="G221" s="27" t="str"/>
      <x:c r="H221" s="27" t="str"/>
      <x:c r="I221" s="27" t="str"/>
      <x:c r="J221" s="27" t="str"/>
      <x:c r="K221" s="27" t="str"/>
      <x:c r="L221" s="27" t="str"/>
      <x:c r="M221" s="27" t="str"/>
      <x:c r="N221" s="27" t="str"/>
      <x:c r="O221" s="27" t="str"/>
      <x:c r="P221" s="27" t="str"/>
      <x:c r="Q221" s="27" t="str">
        <x:f>IF(A221="","",IFERROR(INDEX('Пользовательские_сценарии'!$O$5:$O$304,MATCH(E221,'Пользовательские_сценарии'!$A$5:$A$304,0)),0))</x:f>
      </x:c>
      <x:c r="R221" s="27" t="str"/>
      <x:c r="S221" s="27" t="str"/>
      <x:c r="T221" s="52" t="str">
        <x:f>IF(A221="","",ROUND(COUNTA(D221:P221)/13,2))</x:f>
      </x:c>
      <x:c r="U221" s="27" t="str"/>
    </x:row>
    <x:row r="222">
      <x:c r="A222" s="27" t="str"/>
      <x:c r="B222" s="27" t="str"/>
      <x:c r="C222" s="27" t="str"/>
      <x:c r="D222" s="27" t="str"/>
      <x:c r="E222" s="27" t="str"/>
      <x:c r="F222" s="27" t="str"/>
      <x:c r="G222" s="27" t="str"/>
      <x:c r="H222" s="27" t="str"/>
      <x:c r="I222" s="27" t="str"/>
      <x:c r="J222" s="27" t="str"/>
      <x:c r="K222" s="27" t="str"/>
      <x:c r="L222" s="27" t="str"/>
      <x:c r="M222" s="27" t="str"/>
      <x:c r="N222" s="27" t="str"/>
      <x:c r="O222" s="27" t="str"/>
      <x:c r="P222" s="27" t="str"/>
      <x:c r="Q222" s="27" t="str">
        <x:f>IF(A222="","",IFERROR(INDEX('Пользовательские_сценарии'!$O$5:$O$304,MATCH(E222,'Пользовательские_сценарии'!$A$5:$A$304,0)),0))</x:f>
      </x:c>
      <x:c r="R222" s="27" t="str"/>
      <x:c r="S222" s="27" t="str"/>
      <x:c r="T222" s="52" t="str">
        <x:f>IF(A222="","",ROUND(COUNTA(D222:P222)/13,2))</x:f>
      </x:c>
      <x:c r="U222" s="27" t="str"/>
    </x:row>
    <x:row r="223">
      <x:c r="A223" s="27" t="str"/>
      <x:c r="B223" s="27" t="str"/>
      <x:c r="C223" s="27" t="str"/>
      <x:c r="D223" s="27" t="str"/>
      <x:c r="E223" s="27" t="str"/>
      <x:c r="F223" s="27" t="str"/>
      <x:c r="G223" s="27" t="str"/>
      <x:c r="H223" s="27" t="str"/>
      <x:c r="I223" s="27" t="str"/>
      <x:c r="J223" s="27" t="str"/>
      <x:c r="K223" s="27" t="str"/>
      <x:c r="L223" s="27" t="str"/>
      <x:c r="M223" s="27" t="str"/>
      <x:c r="N223" s="27" t="str"/>
      <x:c r="O223" s="27" t="str"/>
      <x:c r="P223" s="27" t="str"/>
      <x:c r="Q223" s="27" t="str">
        <x:f>IF(A223="","",IFERROR(INDEX('Пользовательские_сценарии'!$O$5:$O$304,MATCH(E223,'Пользовательские_сценарии'!$A$5:$A$304,0)),0))</x:f>
      </x:c>
      <x:c r="R223" s="27" t="str"/>
      <x:c r="S223" s="27" t="str"/>
      <x:c r="T223" s="52" t="str">
        <x:f>IF(A223="","",ROUND(COUNTA(D223:P223)/13,2))</x:f>
      </x:c>
      <x:c r="U223" s="27" t="str"/>
    </x:row>
    <x:row r="224">
      <x:c r="A224" s="27" t="str"/>
      <x:c r="B224" s="27" t="str"/>
      <x:c r="C224" s="27" t="str"/>
      <x:c r="D224" s="27" t="str"/>
      <x:c r="E224" s="27" t="str"/>
      <x:c r="F224" s="27" t="str"/>
      <x:c r="G224" s="27" t="str"/>
      <x:c r="H224" s="27" t="str"/>
      <x:c r="I224" s="27" t="str"/>
      <x:c r="J224" s="27" t="str"/>
      <x:c r="K224" s="27" t="str"/>
      <x:c r="L224" s="27" t="str"/>
      <x:c r="M224" s="27" t="str"/>
      <x:c r="N224" s="27" t="str"/>
      <x:c r="O224" s="27" t="str"/>
      <x:c r="P224" s="27" t="str"/>
      <x:c r="Q224" s="27" t="str">
        <x:f>IF(A224="","",IFERROR(INDEX('Пользовательские_сценарии'!$O$5:$O$304,MATCH(E224,'Пользовательские_сценарии'!$A$5:$A$304,0)),0))</x:f>
      </x:c>
      <x:c r="R224" s="27" t="str"/>
      <x:c r="S224" s="27" t="str"/>
      <x:c r="T224" s="52" t="str">
        <x:f>IF(A224="","",ROUND(COUNTA(D224:P224)/13,2))</x:f>
      </x:c>
      <x:c r="U224" s="27" t="str"/>
    </x:row>
    <x:row r="225">
      <x:c r="A225" s="27" t="str"/>
      <x:c r="B225" s="27" t="str"/>
      <x:c r="C225" s="27" t="str"/>
      <x:c r="D225" s="27" t="str"/>
      <x:c r="E225" s="27" t="str"/>
      <x:c r="F225" s="27" t="str"/>
      <x:c r="G225" s="27" t="str"/>
      <x:c r="H225" s="27" t="str"/>
      <x:c r="I225" s="27" t="str"/>
      <x:c r="J225" s="27" t="str"/>
      <x:c r="K225" s="27" t="str"/>
      <x:c r="L225" s="27" t="str"/>
      <x:c r="M225" s="27" t="str"/>
      <x:c r="N225" s="27" t="str"/>
      <x:c r="O225" s="27" t="str"/>
      <x:c r="P225" s="27" t="str"/>
      <x:c r="Q225" s="27" t="str">
        <x:f>IF(A225="","",IFERROR(INDEX('Пользовательские_сценарии'!$O$5:$O$304,MATCH(E225,'Пользовательские_сценарии'!$A$5:$A$304,0)),0))</x:f>
      </x:c>
      <x:c r="R225" s="27" t="str"/>
      <x:c r="S225" s="27" t="str"/>
      <x:c r="T225" s="52" t="str">
        <x:f>IF(A225="","",ROUND(COUNTA(D225:P225)/13,2))</x:f>
      </x:c>
      <x:c r="U225" s="27" t="str"/>
    </x:row>
    <x:row r="226">
      <x:c r="A226" s="27" t="str"/>
      <x:c r="B226" s="27" t="str"/>
      <x:c r="C226" s="27" t="str"/>
      <x:c r="D226" s="27" t="str"/>
      <x:c r="E226" s="27" t="str"/>
      <x:c r="F226" s="27" t="str"/>
      <x:c r="G226" s="27" t="str"/>
      <x:c r="H226" s="27" t="str"/>
      <x:c r="I226" s="27" t="str"/>
      <x:c r="J226" s="27" t="str"/>
      <x:c r="K226" s="27" t="str"/>
      <x:c r="L226" s="27" t="str"/>
      <x:c r="M226" s="27" t="str"/>
      <x:c r="N226" s="27" t="str"/>
      <x:c r="O226" s="27" t="str"/>
      <x:c r="P226" s="27" t="str"/>
      <x:c r="Q226" s="27" t="str">
        <x:f>IF(A226="","",IFERROR(INDEX('Пользовательские_сценарии'!$O$5:$O$304,MATCH(E226,'Пользовательские_сценарии'!$A$5:$A$304,0)),0))</x:f>
      </x:c>
      <x:c r="R226" s="27" t="str"/>
      <x:c r="S226" s="27" t="str"/>
      <x:c r="T226" s="52" t="str">
        <x:f>IF(A226="","",ROUND(COUNTA(D226:P226)/13,2))</x:f>
      </x:c>
      <x:c r="U226" s="27" t="str"/>
    </x:row>
    <x:row r="227">
      <x:c r="A227" s="27" t="str"/>
      <x:c r="B227" s="27" t="str"/>
      <x:c r="C227" s="27" t="str"/>
      <x:c r="D227" s="27" t="str"/>
      <x:c r="E227" s="27" t="str"/>
      <x:c r="F227" s="27" t="str"/>
      <x:c r="G227" s="27" t="str"/>
      <x:c r="H227" s="27" t="str"/>
      <x:c r="I227" s="27" t="str"/>
      <x:c r="J227" s="27" t="str"/>
      <x:c r="K227" s="27" t="str"/>
      <x:c r="L227" s="27" t="str"/>
      <x:c r="M227" s="27" t="str"/>
      <x:c r="N227" s="27" t="str"/>
      <x:c r="O227" s="27" t="str"/>
      <x:c r="P227" s="27" t="str"/>
      <x:c r="Q227" s="27" t="str">
        <x:f>IF(A227="","",IFERROR(INDEX('Пользовательские_сценарии'!$O$5:$O$304,MATCH(E227,'Пользовательские_сценарии'!$A$5:$A$304,0)),0))</x:f>
      </x:c>
      <x:c r="R227" s="27" t="str"/>
      <x:c r="S227" s="27" t="str"/>
      <x:c r="T227" s="52" t="str">
        <x:f>IF(A227="","",ROUND(COUNTA(D227:P227)/13,2))</x:f>
      </x:c>
      <x:c r="U227" s="27" t="str"/>
    </x:row>
    <x:row r="228">
      <x:c r="A228" s="27" t="str"/>
      <x:c r="B228" s="27" t="str"/>
      <x:c r="C228" s="27" t="str"/>
      <x:c r="D228" s="27" t="str"/>
      <x:c r="E228" s="27" t="str"/>
      <x:c r="F228" s="27" t="str"/>
      <x:c r="G228" s="27" t="str"/>
      <x:c r="H228" s="27" t="str"/>
      <x:c r="I228" s="27" t="str"/>
      <x:c r="J228" s="27" t="str"/>
      <x:c r="K228" s="27" t="str"/>
      <x:c r="L228" s="27" t="str"/>
      <x:c r="M228" s="27" t="str"/>
      <x:c r="N228" s="27" t="str"/>
      <x:c r="O228" s="27" t="str"/>
      <x:c r="P228" s="27" t="str"/>
      <x:c r="Q228" s="27" t="str">
        <x:f>IF(A228="","",IFERROR(INDEX('Пользовательские_сценарии'!$O$5:$O$304,MATCH(E228,'Пользовательские_сценарии'!$A$5:$A$304,0)),0))</x:f>
      </x:c>
      <x:c r="R228" s="27" t="str"/>
      <x:c r="S228" s="27" t="str"/>
      <x:c r="T228" s="52" t="str">
        <x:f>IF(A228="","",ROUND(COUNTA(D228:P228)/13,2))</x:f>
      </x:c>
      <x:c r="U228" s="27" t="str"/>
    </x:row>
    <x:row r="229">
      <x:c r="A229" s="27" t="str"/>
      <x:c r="B229" s="27" t="str"/>
      <x:c r="C229" s="27" t="str"/>
      <x:c r="D229" s="27" t="str"/>
      <x:c r="E229" s="27" t="str"/>
      <x:c r="F229" s="27" t="str"/>
      <x:c r="G229" s="27" t="str"/>
      <x:c r="H229" s="27" t="str"/>
      <x:c r="I229" s="27" t="str"/>
      <x:c r="J229" s="27" t="str"/>
      <x:c r="K229" s="27" t="str"/>
      <x:c r="L229" s="27" t="str"/>
      <x:c r="M229" s="27" t="str"/>
      <x:c r="N229" s="27" t="str"/>
      <x:c r="O229" s="27" t="str"/>
      <x:c r="P229" s="27" t="str"/>
      <x:c r="Q229" s="27" t="str">
        <x:f>IF(A229="","",IFERROR(INDEX('Пользовательские_сценарии'!$O$5:$O$304,MATCH(E229,'Пользовательские_сценарии'!$A$5:$A$304,0)),0))</x:f>
      </x:c>
      <x:c r="R229" s="27" t="str"/>
      <x:c r="S229" s="27" t="str"/>
      <x:c r="T229" s="52" t="str">
        <x:f>IF(A229="","",ROUND(COUNTA(D229:P229)/13,2))</x:f>
      </x:c>
      <x:c r="U229" s="27" t="str"/>
    </x:row>
    <x:row r="230">
      <x:c r="A230" s="27" t="str"/>
      <x:c r="B230" s="27" t="str"/>
      <x:c r="C230" s="27" t="str"/>
      <x:c r="D230" s="27" t="str"/>
      <x:c r="E230" s="27" t="str"/>
      <x:c r="F230" s="27" t="str"/>
      <x:c r="G230" s="27" t="str"/>
      <x:c r="H230" s="27" t="str"/>
      <x:c r="I230" s="27" t="str"/>
      <x:c r="J230" s="27" t="str"/>
      <x:c r="K230" s="27" t="str"/>
      <x:c r="L230" s="27" t="str"/>
      <x:c r="M230" s="27" t="str"/>
      <x:c r="N230" s="27" t="str"/>
      <x:c r="O230" s="27" t="str"/>
      <x:c r="P230" s="27" t="str"/>
      <x:c r="Q230" s="27" t="str">
        <x:f>IF(A230="","",IFERROR(INDEX('Пользовательские_сценарии'!$O$5:$O$304,MATCH(E230,'Пользовательские_сценарии'!$A$5:$A$304,0)),0))</x:f>
      </x:c>
      <x:c r="R230" s="27" t="str"/>
      <x:c r="S230" s="27" t="str"/>
      <x:c r="T230" s="52" t="str">
        <x:f>IF(A230="","",ROUND(COUNTA(D230:P230)/13,2))</x:f>
      </x:c>
      <x:c r="U230" s="27" t="str"/>
    </x:row>
    <x:row r="231">
      <x:c r="A231" s="27" t="str"/>
      <x:c r="B231" s="27" t="str"/>
      <x:c r="C231" s="27" t="str"/>
      <x:c r="D231" s="27" t="str"/>
      <x:c r="E231" s="27" t="str"/>
      <x:c r="F231" s="27" t="str"/>
      <x:c r="G231" s="27" t="str"/>
      <x:c r="H231" s="27" t="str"/>
      <x:c r="I231" s="27" t="str"/>
      <x:c r="J231" s="27" t="str"/>
      <x:c r="K231" s="27" t="str"/>
      <x:c r="L231" s="27" t="str"/>
      <x:c r="M231" s="27" t="str"/>
      <x:c r="N231" s="27" t="str"/>
      <x:c r="O231" s="27" t="str"/>
      <x:c r="P231" s="27" t="str"/>
      <x:c r="Q231" s="27" t="str">
        <x:f>IF(A231="","",IFERROR(INDEX('Пользовательские_сценарии'!$O$5:$O$304,MATCH(E231,'Пользовательские_сценарии'!$A$5:$A$304,0)),0))</x:f>
      </x:c>
      <x:c r="R231" s="27" t="str"/>
      <x:c r="S231" s="27" t="str"/>
      <x:c r="T231" s="52" t="str">
        <x:f>IF(A231="","",ROUND(COUNTA(D231:P231)/13,2))</x:f>
      </x:c>
      <x:c r="U231" s="27" t="str"/>
    </x:row>
    <x:row r="232">
      <x:c r="A232" s="27" t="str"/>
      <x:c r="B232" s="27" t="str"/>
      <x:c r="C232" s="27" t="str"/>
      <x:c r="D232" s="27" t="str"/>
      <x:c r="E232" s="27" t="str"/>
      <x:c r="F232" s="27" t="str"/>
      <x:c r="G232" s="27" t="str"/>
      <x:c r="H232" s="27" t="str"/>
      <x:c r="I232" s="27" t="str"/>
      <x:c r="J232" s="27" t="str"/>
      <x:c r="K232" s="27" t="str"/>
      <x:c r="L232" s="27" t="str"/>
      <x:c r="M232" s="27" t="str"/>
      <x:c r="N232" s="27" t="str"/>
      <x:c r="O232" s="27" t="str"/>
      <x:c r="P232" s="27" t="str"/>
      <x:c r="Q232" s="27" t="str">
        <x:f>IF(A232="","",IFERROR(INDEX('Пользовательские_сценарии'!$O$5:$O$304,MATCH(E232,'Пользовательские_сценарии'!$A$5:$A$304,0)),0))</x:f>
      </x:c>
      <x:c r="R232" s="27" t="str"/>
      <x:c r="S232" s="27" t="str"/>
      <x:c r="T232" s="52" t="str">
        <x:f>IF(A232="","",ROUND(COUNTA(D232:P232)/13,2))</x:f>
      </x:c>
      <x:c r="U232" s="27" t="str"/>
    </x:row>
    <x:row r="233">
      <x:c r="A233" s="27" t="str"/>
      <x:c r="B233" s="27" t="str"/>
      <x:c r="C233" s="27" t="str"/>
      <x:c r="D233" s="27" t="str"/>
      <x:c r="E233" s="27" t="str"/>
      <x:c r="F233" s="27" t="str"/>
      <x:c r="G233" s="27" t="str"/>
      <x:c r="H233" s="27" t="str"/>
      <x:c r="I233" s="27" t="str"/>
      <x:c r="J233" s="27" t="str"/>
      <x:c r="K233" s="27" t="str"/>
      <x:c r="L233" s="27" t="str"/>
      <x:c r="M233" s="27" t="str"/>
      <x:c r="N233" s="27" t="str"/>
      <x:c r="O233" s="27" t="str"/>
      <x:c r="P233" s="27" t="str"/>
      <x:c r="Q233" s="27" t="str">
        <x:f>IF(A233="","",IFERROR(INDEX('Пользовательские_сценарии'!$O$5:$O$304,MATCH(E233,'Пользовательские_сценарии'!$A$5:$A$304,0)),0))</x:f>
      </x:c>
      <x:c r="R233" s="27" t="str"/>
      <x:c r="S233" s="27" t="str"/>
      <x:c r="T233" s="52" t="str">
        <x:f>IF(A233="","",ROUND(COUNTA(D233:P233)/13,2))</x:f>
      </x:c>
      <x:c r="U233" s="27" t="str"/>
    </x:row>
    <x:row r="234">
      <x:c r="A234" s="27" t="str"/>
      <x:c r="B234" s="27" t="str"/>
      <x:c r="C234" s="27" t="str"/>
      <x:c r="D234" s="27" t="str"/>
      <x:c r="E234" s="27" t="str"/>
      <x:c r="F234" s="27" t="str"/>
      <x:c r="G234" s="27" t="str"/>
      <x:c r="H234" s="27" t="str"/>
      <x:c r="I234" s="27" t="str"/>
      <x:c r="J234" s="27" t="str"/>
      <x:c r="K234" s="27" t="str"/>
      <x:c r="L234" s="27" t="str"/>
      <x:c r="M234" s="27" t="str"/>
      <x:c r="N234" s="27" t="str"/>
      <x:c r="O234" s="27" t="str"/>
      <x:c r="P234" s="27" t="str"/>
      <x:c r="Q234" s="27" t="str">
        <x:f>IF(A234="","",IFERROR(INDEX('Пользовательские_сценарии'!$O$5:$O$304,MATCH(E234,'Пользовательские_сценарии'!$A$5:$A$304,0)),0))</x:f>
      </x:c>
      <x:c r="R234" s="27" t="str"/>
      <x:c r="S234" s="27" t="str"/>
      <x:c r="T234" s="52" t="str">
        <x:f>IF(A234="","",ROUND(COUNTA(D234:P234)/13,2))</x:f>
      </x:c>
      <x:c r="U234" s="27" t="str"/>
    </x:row>
    <x:row r="235">
      <x:c r="A235" s="27" t="str"/>
      <x:c r="B235" s="27" t="str"/>
      <x:c r="C235" s="27" t="str"/>
      <x:c r="D235" s="27" t="str"/>
      <x:c r="E235" s="27" t="str"/>
      <x:c r="F235" s="27" t="str"/>
      <x:c r="G235" s="27" t="str"/>
      <x:c r="H235" s="27" t="str"/>
      <x:c r="I235" s="27" t="str"/>
      <x:c r="J235" s="27" t="str"/>
      <x:c r="K235" s="27" t="str"/>
      <x:c r="L235" s="27" t="str"/>
      <x:c r="M235" s="27" t="str"/>
      <x:c r="N235" s="27" t="str"/>
      <x:c r="O235" s="27" t="str"/>
      <x:c r="P235" s="27" t="str"/>
      <x:c r="Q235" s="27" t="str">
        <x:f>IF(A235="","",IFERROR(INDEX('Пользовательские_сценарии'!$O$5:$O$304,MATCH(E235,'Пользовательские_сценарии'!$A$5:$A$304,0)),0))</x:f>
      </x:c>
      <x:c r="R235" s="27" t="str"/>
      <x:c r="S235" s="27" t="str"/>
      <x:c r="T235" s="52" t="str">
        <x:f>IF(A235="","",ROUND(COUNTA(D235:P235)/13,2))</x:f>
      </x:c>
      <x:c r="U235" s="27" t="str"/>
    </x:row>
    <x:row r="236">
      <x:c r="A236" s="27" t="str"/>
      <x:c r="B236" s="27" t="str"/>
      <x:c r="C236" s="27" t="str"/>
      <x:c r="D236" s="27" t="str"/>
      <x:c r="E236" s="27" t="str"/>
      <x:c r="F236" s="27" t="str"/>
      <x:c r="G236" s="27" t="str"/>
      <x:c r="H236" s="27" t="str"/>
      <x:c r="I236" s="27" t="str"/>
      <x:c r="J236" s="27" t="str"/>
      <x:c r="K236" s="27" t="str"/>
      <x:c r="L236" s="27" t="str"/>
      <x:c r="M236" s="27" t="str"/>
      <x:c r="N236" s="27" t="str"/>
      <x:c r="O236" s="27" t="str"/>
      <x:c r="P236" s="27" t="str"/>
      <x:c r="Q236" s="27" t="str">
        <x:f>IF(A236="","",IFERROR(INDEX('Пользовательские_сценарии'!$O$5:$O$304,MATCH(E236,'Пользовательские_сценарии'!$A$5:$A$304,0)),0))</x:f>
      </x:c>
      <x:c r="R236" s="27" t="str"/>
      <x:c r="S236" s="27" t="str"/>
      <x:c r="T236" s="52" t="str">
        <x:f>IF(A236="","",ROUND(COUNTA(D236:P236)/13,2))</x:f>
      </x:c>
      <x:c r="U236" s="27" t="str"/>
    </x:row>
    <x:row r="237">
      <x:c r="A237" s="27" t="str"/>
      <x:c r="B237" s="27" t="str"/>
      <x:c r="C237" s="27" t="str"/>
      <x:c r="D237" s="27" t="str"/>
      <x:c r="E237" s="27" t="str"/>
      <x:c r="F237" s="27" t="str"/>
      <x:c r="G237" s="27" t="str"/>
      <x:c r="H237" s="27" t="str"/>
      <x:c r="I237" s="27" t="str"/>
      <x:c r="J237" s="27" t="str"/>
      <x:c r="K237" s="27" t="str"/>
      <x:c r="L237" s="27" t="str"/>
      <x:c r="M237" s="27" t="str"/>
      <x:c r="N237" s="27" t="str"/>
      <x:c r="O237" s="27" t="str"/>
      <x:c r="P237" s="27" t="str"/>
      <x:c r="Q237" s="27" t="str">
        <x:f>IF(A237="","",IFERROR(INDEX('Пользовательские_сценарии'!$O$5:$O$304,MATCH(E237,'Пользовательские_сценарии'!$A$5:$A$304,0)),0))</x:f>
      </x:c>
      <x:c r="R237" s="27" t="str"/>
      <x:c r="S237" s="27" t="str"/>
      <x:c r="T237" s="52" t="str">
        <x:f>IF(A237="","",ROUND(COUNTA(D237:P237)/13,2))</x:f>
      </x:c>
      <x:c r="U237" s="27" t="str"/>
    </x:row>
    <x:row r="238">
      <x:c r="A238" s="27" t="str"/>
      <x:c r="B238" s="27" t="str"/>
      <x:c r="C238" s="27" t="str"/>
      <x:c r="D238" s="27" t="str"/>
      <x:c r="E238" s="27" t="str"/>
      <x:c r="F238" s="27" t="str"/>
      <x:c r="G238" s="27" t="str"/>
      <x:c r="H238" s="27" t="str"/>
      <x:c r="I238" s="27" t="str"/>
      <x:c r="J238" s="27" t="str"/>
      <x:c r="K238" s="27" t="str"/>
      <x:c r="L238" s="27" t="str"/>
      <x:c r="M238" s="27" t="str"/>
      <x:c r="N238" s="27" t="str"/>
      <x:c r="O238" s="27" t="str"/>
      <x:c r="P238" s="27" t="str"/>
      <x:c r="Q238" s="27" t="str">
        <x:f>IF(A238="","",IFERROR(INDEX('Пользовательские_сценарии'!$O$5:$O$304,MATCH(E238,'Пользовательские_сценарии'!$A$5:$A$304,0)),0))</x:f>
      </x:c>
      <x:c r="R238" s="27" t="str"/>
      <x:c r="S238" s="27" t="str"/>
      <x:c r="T238" s="52" t="str">
        <x:f>IF(A238="","",ROUND(COUNTA(D238:P238)/13,2))</x:f>
      </x:c>
      <x:c r="U238" s="27" t="str"/>
    </x:row>
    <x:row r="239">
      <x:c r="A239" s="27" t="str"/>
      <x:c r="B239" s="27" t="str"/>
      <x:c r="C239" s="27" t="str"/>
      <x:c r="D239" s="27" t="str"/>
      <x:c r="E239" s="27" t="str"/>
      <x:c r="F239" s="27" t="str"/>
      <x:c r="G239" s="27" t="str"/>
      <x:c r="H239" s="27" t="str"/>
      <x:c r="I239" s="27" t="str"/>
      <x:c r="J239" s="27" t="str"/>
      <x:c r="K239" s="27" t="str"/>
      <x:c r="L239" s="27" t="str"/>
      <x:c r="M239" s="27" t="str"/>
      <x:c r="N239" s="27" t="str"/>
      <x:c r="O239" s="27" t="str"/>
      <x:c r="P239" s="27" t="str"/>
      <x:c r="Q239" s="27" t="str">
        <x:f>IF(A239="","",IFERROR(INDEX('Пользовательские_сценарии'!$O$5:$O$304,MATCH(E239,'Пользовательские_сценарии'!$A$5:$A$304,0)),0))</x:f>
      </x:c>
      <x:c r="R239" s="27" t="str"/>
      <x:c r="S239" s="27" t="str"/>
      <x:c r="T239" s="52" t="str">
        <x:f>IF(A239="","",ROUND(COUNTA(D239:P239)/13,2))</x:f>
      </x:c>
      <x:c r="U239" s="27" t="str"/>
    </x:row>
    <x:row r="240">
      <x:c r="A240" s="27" t="str"/>
      <x:c r="B240" s="27" t="str"/>
      <x:c r="C240" s="27" t="str"/>
      <x:c r="D240" s="27" t="str"/>
      <x:c r="E240" s="27" t="str"/>
      <x:c r="F240" s="27" t="str"/>
      <x:c r="G240" s="27" t="str"/>
      <x:c r="H240" s="27" t="str"/>
      <x:c r="I240" s="27" t="str"/>
      <x:c r="J240" s="27" t="str"/>
      <x:c r="K240" s="27" t="str"/>
      <x:c r="L240" s="27" t="str"/>
      <x:c r="M240" s="27" t="str"/>
      <x:c r="N240" s="27" t="str"/>
      <x:c r="O240" s="27" t="str"/>
      <x:c r="P240" s="27" t="str"/>
      <x:c r="Q240" s="27" t="str">
        <x:f>IF(A240="","",IFERROR(INDEX('Пользовательские_сценарии'!$O$5:$O$304,MATCH(E240,'Пользовательские_сценарии'!$A$5:$A$304,0)),0))</x:f>
      </x:c>
      <x:c r="R240" s="27" t="str"/>
      <x:c r="S240" s="27" t="str"/>
      <x:c r="T240" s="52" t="str">
        <x:f>IF(A240="","",ROUND(COUNTA(D240:P240)/13,2))</x:f>
      </x:c>
      <x:c r="U240" s="27" t="str"/>
    </x:row>
    <x:row r="241">
      <x:c r="A241" s="27" t="str"/>
      <x:c r="B241" s="27" t="str"/>
      <x:c r="C241" s="27" t="str"/>
      <x:c r="D241" s="27" t="str"/>
      <x:c r="E241" s="27" t="str"/>
      <x:c r="F241" s="27" t="str"/>
      <x:c r="G241" s="27" t="str"/>
      <x:c r="H241" s="27" t="str"/>
      <x:c r="I241" s="27" t="str"/>
      <x:c r="J241" s="27" t="str"/>
      <x:c r="K241" s="27" t="str"/>
      <x:c r="L241" s="27" t="str"/>
      <x:c r="M241" s="27" t="str"/>
      <x:c r="N241" s="27" t="str"/>
      <x:c r="O241" s="27" t="str"/>
      <x:c r="P241" s="27" t="str"/>
      <x:c r="Q241" s="27" t="str">
        <x:f>IF(A241="","",IFERROR(INDEX('Пользовательские_сценарии'!$O$5:$O$304,MATCH(E241,'Пользовательские_сценарии'!$A$5:$A$304,0)),0))</x:f>
      </x:c>
      <x:c r="R241" s="27" t="str"/>
      <x:c r="S241" s="27" t="str"/>
      <x:c r="T241" s="52" t="str">
        <x:f>IF(A241="","",ROUND(COUNTA(D241:P241)/13,2))</x:f>
      </x:c>
      <x:c r="U241" s="27" t="str"/>
    </x:row>
    <x:row r="242">
      <x:c r="A242" s="27" t="str"/>
      <x:c r="B242" s="27" t="str"/>
      <x:c r="C242" s="27" t="str"/>
      <x:c r="D242" s="27" t="str"/>
      <x:c r="E242" s="27" t="str"/>
      <x:c r="F242" s="27" t="str"/>
      <x:c r="G242" s="27" t="str"/>
      <x:c r="H242" s="27" t="str"/>
      <x:c r="I242" s="27" t="str"/>
      <x:c r="J242" s="27" t="str"/>
      <x:c r="K242" s="27" t="str"/>
      <x:c r="L242" s="27" t="str"/>
      <x:c r="M242" s="27" t="str"/>
      <x:c r="N242" s="27" t="str"/>
      <x:c r="O242" s="27" t="str"/>
      <x:c r="P242" s="27" t="str"/>
      <x:c r="Q242" s="27" t="str">
        <x:f>IF(A242="","",IFERROR(INDEX('Пользовательские_сценарии'!$O$5:$O$304,MATCH(E242,'Пользовательские_сценарии'!$A$5:$A$304,0)),0))</x:f>
      </x:c>
      <x:c r="R242" s="27" t="str"/>
      <x:c r="S242" s="27" t="str"/>
      <x:c r="T242" s="52" t="str">
        <x:f>IF(A242="","",ROUND(COUNTA(D242:P242)/13,2))</x:f>
      </x:c>
      <x:c r="U242" s="27" t="str"/>
    </x:row>
    <x:row r="243">
      <x:c r="A243" s="27" t="str"/>
      <x:c r="B243" s="27" t="str"/>
      <x:c r="C243" s="27" t="str"/>
      <x:c r="D243" s="27" t="str"/>
      <x:c r="E243" s="27" t="str"/>
      <x:c r="F243" s="27" t="str"/>
      <x:c r="G243" s="27" t="str"/>
      <x:c r="H243" s="27" t="str"/>
      <x:c r="I243" s="27" t="str"/>
      <x:c r="J243" s="27" t="str"/>
      <x:c r="K243" s="27" t="str"/>
      <x:c r="L243" s="27" t="str"/>
      <x:c r="M243" s="27" t="str"/>
      <x:c r="N243" s="27" t="str"/>
      <x:c r="O243" s="27" t="str"/>
      <x:c r="P243" s="27" t="str"/>
      <x:c r="Q243" s="27" t="str">
        <x:f>IF(A243="","",IFERROR(INDEX('Пользовательские_сценарии'!$O$5:$O$304,MATCH(E243,'Пользовательские_сценарии'!$A$5:$A$304,0)),0))</x:f>
      </x:c>
      <x:c r="R243" s="27" t="str"/>
      <x:c r="S243" s="27" t="str"/>
      <x:c r="T243" s="52" t="str">
        <x:f>IF(A243="","",ROUND(COUNTA(D243:P243)/13,2))</x:f>
      </x:c>
      <x:c r="U243" s="27" t="str"/>
    </x:row>
    <x:row r="244">
      <x:c r="A244" s="27" t="str"/>
      <x:c r="B244" s="27" t="str"/>
      <x:c r="C244" s="27" t="str"/>
      <x:c r="D244" s="27" t="str"/>
      <x:c r="E244" s="27" t="str"/>
      <x:c r="F244" s="27" t="str"/>
      <x:c r="G244" s="27" t="str"/>
      <x:c r="H244" s="27" t="str"/>
      <x:c r="I244" s="27" t="str"/>
      <x:c r="J244" s="27" t="str"/>
      <x:c r="K244" s="27" t="str"/>
      <x:c r="L244" s="27" t="str"/>
      <x:c r="M244" s="27" t="str"/>
      <x:c r="N244" s="27" t="str"/>
      <x:c r="O244" s="27" t="str"/>
      <x:c r="P244" s="27" t="str"/>
      <x:c r="Q244" s="27" t="str">
        <x:f>IF(A244="","",IFERROR(INDEX('Пользовательские_сценарии'!$O$5:$O$304,MATCH(E244,'Пользовательские_сценарии'!$A$5:$A$304,0)),0))</x:f>
      </x:c>
      <x:c r="R244" s="27" t="str"/>
      <x:c r="S244" s="27" t="str"/>
      <x:c r="T244" s="52" t="str">
        <x:f>IF(A244="","",ROUND(COUNTA(D244:P244)/13,2))</x:f>
      </x:c>
      <x:c r="U244" s="27" t="str"/>
    </x:row>
    <x:row r="245">
      <x:c r="A245" s="27" t="str"/>
      <x:c r="B245" s="27" t="str"/>
      <x:c r="C245" s="27" t="str"/>
      <x:c r="D245" s="27" t="str"/>
      <x:c r="E245" s="27" t="str"/>
      <x:c r="F245" s="27" t="str"/>
      <x:c r="G245" s="27" t="str"/>
      <x:c r="H245" s="27" t="str"/>
      <x:c r="I245" s="27" t="str"/>
      <x:c r="J245" s="27" t="str"/>
      <x:c r="K245" s="27" t="str"/>
      <x:c r="L245" s="27" t="str"/>
      <x:c r="M245" s="27" t="str"/>
      <x:c r="N245" s="27" t="str"/>
      <x:c r="O245" s="27" t="str"/>
      <x:c r="P245" s="27" t="str"/>
      <x:c r="Q245" s="27" t="str">
        <x:f>IF(A245="","",IFERROR(INDEX('Пользовательские_сценарии'!$O$5:$O$304,MATCH(E245,'Пользовательские_сценарии'!$A$5:$A$304,0)),0))</x:f>
      </x:c>
      <x:c r="R245" s="27" t="str"/>
      <x:c r="S245" s="27" t="str"/>
      <x:c r="T245" s="52" t="str">
        <x:f>IF(A245="","",ROUND(COUNTA(D245:P245)/13,2))</x:f>
      </x:c>
      <x:c r="U245" s="27" t="str"/>
    </x:row>
    <x:row r="246">
      <x:c r="A246" s="27" t="str"/>
      <x:c r="B246" s="27" t="str"/>
      <x:c r="C246" s="27" t="str"/>
      <x:c r="D246" s="27" t="str"/>
      <x:c r="E246" s="27" t="str"/>
      <x:c r="F246" s="27" t="str"/>
      <x:c r="G246" s="27" t="str"/>
      <x:c r="H246" s="27" t="str"/>
      <x:c r="I246" s="27" t="str"/>
      <x:c r="J246" s="27" t="str"/>
      <x:c r="K246" s="27" t="str"/>
      <x:c r="L246" s="27" t="str"/>
      <x:c r="M246" s="27" t="str"/>
      <x:c r="N246" s="27" t="str"/>
      <x:c r="O246" s="27" t="str"/>
      <x:c r="P246" s="27" t="str"/>
      <x:c r="Q246" s="27" t="str">
        <x:f>IF(A246="","",IFERROR(INDEX('Пользовательские_сценарии'!$O$5:$O$304,MATCH(E246,'Пользовательские_сценарии'!$A$5:$A$304,0)),0))</x:f>
      </x:c>
      <x:c r="R246" s="27" t="str"/>
      <x:c r="S246" s="27" t="str"/>
      <x:c r="T246" s="52" t="str">
        <x:f>IF(A246="","",ROUND(COUNTA(D246:P246)/13,2))</x:f>
      </x:c>
      <x:c r="U246" s="27" t="str"/>
    </x:row>
    <x:row r="247">
      <x:c r="A247" s="27" t="str"/>
      <x:c r="B247" s="27" t="str"/>
      <x:c r="C247" s="27" t="str"/>
      <x:c r="D247" s="27" t="str"/>
      <x:c r="E247" s="27" t="str"/>
      <x:c r="F247" s="27" t="str"/>
      <x:c r="G247" s="27" t="str"/>
      <x:c r="H247" s="27" t="str"/>
      <x:c r="I247" s="27" t="str"/>
      <x:c r="J247" s="27" t="str"/>
      <x:c r="K247" s="27" t="str"/>
      <x:c r="L247" s="27" t="str"/>
      <x:c r="M247" s="27" t="str"/>
      <x:c r="N247" s="27" t="str"/>
      <x:c r="O247" s="27" t="str"/>
      <x:c r="P247" s="27" t="str"/>
      <x:c r="Q247" s="27" t="str">
        <x:f>IF(A247="","",IFERROR(INDEX('Пользовательские_сценарии'!$O$5:$O$304,MATCH(E247,'Пользовательские_сценарии'!$A$5:$A$304,0)),0))</x:f>
      </x:c>
      <x:c r="R247" s="27" t="str"/>
      <x:c r="S247" s="27" t="str"/>
      <x:c r="T247" s="52" t="str">
        <x:f>IF(A247="","",ROUND(COUNTA(D247:P247)/13,2))</x:f>
      </x:c>
      <x:c r="U247" s="27" t="str"/>
    </x:row>
    <x:row r="248">
      <x:c r="A248" s="27" t="str"/>
      <x:c r="B248" s="27" t="str"/>
      <x:c r="C248" s="27" t="str"/>
      <x:c r="D248" s="27" t="str"/>
      <x:c r="E248" s="27" t="str"/>
      <x:c r="F248" s="27" t="str"/>
      <x:c r="G248" s="27" t="str"/>
      <x:c r="H248" s="27" t="str"/>
      <x:c r="I248" s="27" t="str"/>
      <x:c r="J248" s="27" t="str"/>
      <x:c r="K248" s="27" t="str"/>
      <x:c r="L248" s="27" t="str"/>
      <x:c r="M248" s="27" t="str"/>
      <x:c r="N248" s="27" t="str"/>
      <x:c r="O248" s="27" t="str"/>
      <x:c r="P248" s="27" t="str"/>
      <x:c r="Q248" s="27" t="str">
        <x:f>IF(A248="","",IFERROR(INDEX('Пользовательские_сценарии'!$O$5:$O$304,MATCH(E248,'Пользовательские_сценарии'!$A$5:$A$304,0)),0))</x:f>
      </x:c>
      <x:c r="R248" s="27" t="str"/>
      <x:c r="S248" s="27" t="str"/>
      <x:c r="T248" s="52" t="str">
        <x:f>IF(A248="","",ROUND(COUNTA(D248:P248)/13,2))</x:f>
      </x:c>
      <x:c r="U248" s="27" t="str"/>
    </x:row>
    <x:row r="249">
      <x:c r="A249" s="27" t="str"/>
      <x:c r="B249" s="27" t="str"/>
      <x:c r="C249" s="27" t="str"/>
      <x:c r="D249" s="27" t="str"/>
      <x:c r="E249" s="27" t="str"/>
      <x:c r="F249" s="27" t="str"/>
      <x:c r="G249" s="27" t="str"/>
      <x:c r="H249" s="27" t="str"/>
      <x:c r="I249" s="27" t="str"/>
      <x:c r="J249" s="27" t="str"/>
      <x:c r="K249" s="27" t="str"/>
      <x:c r="L249" s="27" t="str"/>
      <x:c r="M249" s="27" t="str"/>
      <x:c r="N249" s="27" t="str"/>
      <x:c r="O249" s="27" t="str"/>
      <x:c r="P249" s="27" t="str"/>
      <x:c r="Q249" s="27" t="str">
        <x:f>IF(A249="","",IFERROR(INDEX('Пользовательские_сценарии'!$O$5:$O$304,MATCH(E249,'Пользовательские_сценарии'!$A$5:$A$304,0)),0))</x:f>
      </x:c>
      <x:c r="R249" s="27" t="str"/>
      <x:c r="S249" s="27" t="str"/>
      <x:c r="T249" s="52" t="str">
        <x:f>IF(A249="","",ROUND(COUNTA(D249:P249)/13,2))</x:f>
      </x:c>
      <x:c r="U249" s="27" t="str"/>
    </x:row>
    <x:row r="250">
      <x:c r="A250" s="27" t="str"/>
      <x:c r="B250" s="27" t="str"/>
      <x:c r="C250" s="27" t="str"/>
      <x:c r="D250" s="27" t="str"/>
      <x:c r="E250" s="27" t="str"/>
      <x:c r="F250" s="27" t="str"/>
      <x:c r="G250" s="27" t="str"/>
      <x:c r="H250" s="27" t="str"/>
      <x:c r="I250" s="27" t="str"/>
      <x:c r="J250" s="27" t="str"/>
      <x:c r="K250" s="27" t="str"/>
      <x:c r="L250" s="27" t="str"/>
      <x:c r="M250" s="27" t="str"/>
      <x:c r="N250" s="27" t="str"/>
      <x:c r="O250" s="27" t="str"/>
      <x:c r="P250" s="27" t="str"/>
      <x:c r="Q250" s="27" t="str">
        <x:f>IF(A250="","",IFERROR(INDEX('Пользовательские_сценарии'!$O$5:$O$304,MATCH(E250,'Пользовательские_сценарии'!$A$5:$A$304,0)),0))</x:f>
      </x:c>
      <x:c r="R250" s="27" t="str"/>
      <x:c r="S250" s="27" t="str"/>
      <x:c r="T250" s="52" t="str">
        <x:f>IF(A250="","",ROUND(COUNTA(D250:P250)/13,2))</x:f>
      </x:c>
      <x:c r="U250" s="27" t="str"/>
    </x:row>
    <x:row r="251">
      <x:c r="A251" s="27" t="str"/>
      <x:c r="B251" s="27" t="str"/>
      <x:c r="C251" s="27" t="str"/>
      <x:c r="D251" s="27" t="str"/>
      <x:c r="E251" s="27" t="str"/>
      <x:c r="F251" s="27" t="str"/>
      <x:c r="G251" s="27" t="str"/>
      <x:c r="H251" s="27" t="str"/>
      <x:c r="I251" s="27" t="str"/>
      <x:c r="J251" s="27" t="str"/>
      <x:c r="K251" s="27" t="str"/>
      <x:c r="L251" s="27" t="str"/>
      <x:c r="M251" s="27" t="str"/>
      <x:c r="N251" s="27" t="str"/>
      <x:c r="O251" s="27" t="str"/>
      <x:c r="P251" s="27" t="str"/>
      <x:c r="Q251" s="27" t="str">
        <x:f>IF(A251="","",IFERROR(INDEX('Пользовательские_сценарии'!$O$5:$O$304,MATCH(E251,'Пользовательские_сценарии'!$A$5:$A$304,0)),0))</x:f>
      </x:c>
      <x:c r="R251" s="27" t="str"/>
      <x:c r="S251" s="27" t="str"/>
      <x:c r="T251" s="52" t="str">
        <x:f>IF(A251="","",ROUND(COUNTA(D251:P251)/13,2))</x:f>
      </x:c>
      <x:c r="U251" s="27" t="str"/>
    </x:row>
    <x:row r="252">
      <x:c r="A252" s="27" t="str"/>
      <x:c r="B252" s="27" t="str"/>
      <x:c r="C252" s="27" t="str"/>
      <x:c r="D252" s="27" t="str"/>
      <x:c r="E252" s="27" t="str"/>
      <x:c r="F252" s="27" t="str"/>
      <x:c r="G252" s="27" t="str"/>
      <x:c r="H252" s="27" t="str"/>
      <x:c r="I252" s="27" t="str"/>
      <x:c r="J252" s="27" t="str"/>
      <x:c r="K252" s="27" t="str"/>
      <x:c r="L252" s="27" t="str"/>
      <x:c r="M252" s="27" t="str"/>
      <x:c r="N252" s="27" t="str"/>
      <x:c r="O252" s="27" t="str"/>
      <x:c r="P252" s="27" t="str"/>
      <x:c r="Q252" s="27" t="str">
        <x:f>IF(A252="","",IFERROR(INDEX('Пользовательские_сценарии'!$O$5:$O$304,MATCH(E252,'Пользовательские_сценарии'!$A$5:$A$304,0)),0))</x:f>
      </x:c>
      <x:c r="R252" s="27" t="str"/>
      <x:c r="S252" s="27" t="str"/>
      <x:c r="T252" s="52" t="str">
        <x:f>IF(A252="","",ROUND(COUNTA(D252:P252)/13,2))</x:f>
      </x:c>
      <x:c r="U252" s="27" t="str"/>
    </x:row>
    <x:row r="253">
      <x:c r="A253" s="27" t="str"/>
      <x:c r="B253" s="27" t="str"/>
      <x:c r="C253" s="27" t="str"/>
      <x:c r="D253" s="27" t="str"/>
      <x:c r="E253" s="27" t="str"/>
      <x:c r="F253" s="27" t="str"/>
      <x:c r="G253" s="27" t="str"/>
      <x:c r="H253" s="27" t="str"/>
      <x:c r="I253" s="27" t="str"/>
      <x:c r="J253" s="27" t="str"/>
      <x:c r="K253" s="27" t="str"/>
      <x:c r="L253" s="27" t="str"/>
      <x:c r="M253" s="27" t="str"/>
      <x:c r="N253" s="27" t="str"/>
      <x:c r="O253" s="27" t="str"/>
      <x:c r="P253" s="27" t="str"/>
      <x:c r="Q253" s="27" t="str">
        <x:f>IF(A253="","",IFERROR(INDEX('Пользовательские_сценарии'!$O$5:$O$304,MATCH(E253,'Пользовательские_сценарии'!$A$5:$A$304,0)),0))</x:f>
      </x:c>
      <x:c r="R253" s="27" t="str"/>
      <x:c r="S253" s="27" t="str"/>
      <x:c r="T253" s="52" t="str">
        <x:f>IF(A253="","",ROUND(COUNTA(D253:P253)/13,2))</x:f>
      </x:c>
      <x:c r="U253" s="27" t="str"/>
    </x:row>
    <x:row r="254">
      <x:c r="A254" s="27" t="str"/>
      <x:c r="B254" s="27" t="str"/>
      <x:c r="C254" s="27" t="str"/>
      <x:c r="D254" s="27" t="str"/>
      <x:c r="E254" s="27" t="str"/>
      <x:c r="F254" s="27" t="str"/>
      <x:c r="G254" s="27" t="str"/>
      <x:c r="H254" s="27" t="str"/>
      <x:c r="I254" s="27" t="str"/>
      <x:c r="J254" s="27" t="str"/>
      <x:c r="K254" s="27" t="str"/>
      <x:c r="L254" s="27" t="str"/>
      <x:c r="M254" s="27" t="str"/>
      <x:c r="N254" s="27" t="str"/>
      <x:c r="O254" s="27" t="str"/>
      <x:c r="P254" s="27" t="str"/>
      <x:c r="Q254" s="27" t="str">
        <x:f>IF(A254="","",IFERROR(INDEX('Пользовательские_сценарии'!$O$5:$O$304,MATCH(E254,'Пользовательские_сценарии'!$A$5:$A$304,0)),0))</x:f>
      </x:c>
      <x:c r="R254" s="27" t="str"/>
      <x:c r="S254" s="27" t="str"/>
      <x:c r="T254" s="52" t="str">
        <x:f>IF(A254="","",ROUND(COUNTA(D254:P254)/13,2))</x:f>
      </x:c>
      <x:c r="U254" s="27" t="str"/>
    </x:row>
    <x:row r="255">
      <x:c r="A255" s="27" t="str"/>
      <x:c r="B255" s="27" t="str"/>
      <x:c r="C255" s="27" t="str"/>
      <x:c r="D255" s="27" t="str"/>
      <x:c r="E255" s="27" t="str"/>
      <x:c r="F255" s="27" t="str"/>
      <x:c r="G255" s="27" t="str"/>
      <x:c r="H255" s="27" t="str"/>
      <x:c r="I255" s="27" t="str"/>
      <x:c r="J255" s="27" t="str"/>
      <x:c r="K255" s="27" t="str"/>
      <x:c r="L255" s="27" t="str"/>
      <x:c r="M255" s="27" t="str"/>
      <x:c r="N255" s="27" t="str"/>
      <x:c r="O255" s="27" t="str"/>
      <x:c r="P255" s="27" t="str"/>
      <x:c r="Q255" s="27" t="str">
        <x:f>IF(A255="","",IFERROR(INDEX('Пользовательские_сценарии'!$O$5:$O$304,MATCH(E255,'Пользовательские_сценарии'!$A$5:$A$304,0)),0))</x:f>
      </x:c>
      <x:c r="R255" s="27" t="str"/>
      <x:c r="S255" s="27" t="str"/>
      <x:c r="T255" s="52" t="str">
        <x:f>IF(A255="","",ROUND(COUNTA(D255:P255)/13,2))</x:f>
      </x:c>
      <x:c r="U255" s="27" t="str"/>
    </x:row>
    <x:row r="256">
      <x:c r="A256" s="27" t="str"/>
      <x:c r="B256" s="27" t="str"/>
      <x:c r="C256" s="27" t="str"/>
      <x:c r="D256" s="27" t="str"/>
      <x:c r="E256" s="27" t="str"/>
      <x:c r="F256" s="27" t="str"/>
      <x:c r="G256" s="27" t="str"/>
      <x:c r="H256" s="27" t="str"/>
      <x:c r="I256" s="27" t="str"/>
      <x:c r="J256" s="27" t="str"/>
      <x:c r="K256" s="27" t="str"/>
      <x:c r="L256" s="27" t="str"/>
      <x:c r="M256" s="27" t="str"/>
      <x:c r="N256" s="27" t="str"/>
      <x:c r="O256" s="27" t="str"/>
      <x:c r="P256" s="27" t="str"/>
      <x:c r="Q256" s="27" t="str">
        <x:f>IF(A256="","",IFERROR(INDEX('Пользовательские_сценарии'!$O$5:$O$304,MATCH(E256,'Пользовательские_сценарии'!$A$5:$A$304,0)),0))</x:f>
      </x:c>
      <x:c r="R256" s="27" t="str"/>
      <x:c r="S256" s="27" t="str"/>
      <x:c r="T256" s="52" t="str">
        <x:f>IF(A256="","",ROUND(COUNTA(D256:P256)/13,2))</x:f>
      </x:c>
      <x:c r="U256" s="27" t="str"/>
    </x:row>
    <x:row r="257">
      <x:c r="A257" s="27" t="str"/>
      <x:c r="B257" s="27" t="str"/>
      <x:c r="C257" s="27" t="str"/>
      <x:c r="D257" s="27" t="str"/>
      <x:c r="E257" s="27" t="str"/>
      <x:c r="F257" s="27" t="str"/>
      <x:c r="G257" s="27" t="str"/>
      <x:c r="H257" s="27" t="str"/>
      <x:c r="I257" s="27" t="str"/>
      <x:c r="J257" s="27" t="str"/>
      <x:c r="K257" s="27" t="str"/>
      <x:c r="L257" s="27" t="str"/>
      <x:c r="M257" s="27" t="str"/>
      <x:c r="N257" s="27" t="str"/>
      <x:c r="O257" s="27" t="str"/>
      <x:c r="P257" s="27" t="str"/>
      <x:c r="Q257" s="27" t="str">
        <x:f>IF(A257="","",IFERROR(INDEX('Пользовательские_сценарии'!$O$5:$O$304,MATCH(E257,'Пользовательские_сценарии'!$A$5:$A$304,0)),0))</x:f>
      </x:c>
      <x:c r="R257" s="27" t="str"/>
      <x:c r="S257" s="27" t="str"/>
      <x:c r="T257" s="52" t="str">
        <x:f>IF(A257="","",ROUND(COUNTA(D257:P257)/13,2))</x:f>
      </x:c>
      <x:c r="U257" s="27" t="str"/>
    </x:row>
    <x:row r="258">
      <x:c r="A258" s="27" t="str"/>
      <x:c r="B258" s="27" t="str"/>
      <x:c r="C258" s="27" t="str"/>
      <x:c r="D258" s="27" t="str"/>
      <x:c r="E258" s="27" t="str"/>
      <x:c r="F258" s="27" t="str"/>
      <x:c r="G258" s="27" t="str"/>
      <x:c r="H258" s="27" t="str"/>
      <x:c r="I258" s="27" t="str"/>
      <x:c r="J258" s="27" t="str"/>
      <x:c r="K258" s="27" t="str"/>
      <x:c r="L258" s="27" t="str"/>
      <x:c r="M258" s="27" t="str"/>
      <x:c r="N258" s="27" t="str"/>
      <x:c r="O258" s="27" t="str"/>
      <x:c r="P258" s="27" t="str"/>
      <x:c r="Q258" s="27" t="str">
        <x:f>IF(A258="","",IFERROR(INDEX('Пользовательские_сценарии'!$O$5:$O$304,MATCH(E258,'Пользовательские_сценарии'!$A$5:$A$304,0)),0))</x:f>
      </x:c>
      <x:c r="R258" s="27" t="str"/>
      <x:c r="S258" s="27" t="str"/>
      <x:c r="T258" s="52" t="str">
        <x:f>IF(A258="","",ROUND(COUNTA(D258:P258)/13,2))</x:f>
      </x:c>
      <x:c r="U258" s="27" t="str"/>
    </x:row>
    <x:row r="259">
      <x:c r="A259" s="27" t="str"/>
      <x:c r="B259" s="27" t="str"/>
      <x:c r="C259" s="27" t="str"/>
      <x:c r="D259" s="27" t="str"/>
      <x:c r="E259" s="27" t="str"/>
      <x:c r="F259" s="27" t="str"/>
      <x:c r="G259" s="27" t="str"/>
      <x:c r="H259" s="27" t="str"/>
      <x:c r="I259" s="27" t="str"/>
      <x:c r="J259" s="27" t="str"/>
      <x:c r="K259" s="27" t="str"/>
      <x:c r="L259" s="27" t="str"/>
      <x:c r="M259" s="27" t="str"/>
      <x:c r="N259" s="27" t="str"/>
      <x:c r="O259" s="27" t="str"/>
      <x:c r="P259" s="27" t="str"/>
      <x:c r="Q259" s="27" t="str">
        <x:f>IF(A259="","",IFERROR(INDEX('Пользовательские_сценарии'!$O$5:$O$304,MATCH(E259,'Пользовательские_сценарии'!$A$5:$A$304,0)),0))</x:f>
      </x:c>
      <x:c r="R259" s="27" t="str"/>
      <x:c r="S259" s="27" t="str"/>
      <x:c r="T259" s="52" t="str">
        <x:f>IF(A259="","",ROUND(COUNTA(D259:P259)/13,2))</x:f>
      </x:c>
      <x:c r="U259" s="27" t="str"/>
    </x:row>
    <x:row r="260">
      <x:c r="A260" s="27" t="str"/>
      <x:c r="B260" s="27" t="str"/>
      <x:c r="C260" s="27" t="str"/>
      <x:c r="D260" s="27" t="str"/>
      <x:c r="E260" s="27" t="str"/>
      <x:c r="F260" s="27" t="str"/>
      <x:c r="G260" s="27" t="str"/>
      <x:c r="H260" s="27" t="str"/>
      <x:c r="I260" s="27" t="str"/>
      <x:c r="J260" s="27" t="str"/>
      <x:c r="K260" s="27" t="str"/>
      <x:c r="L260" s="27" t="str"/>
      <x:c r="M260" s="27" t="str"/>
      <x:c r="N260" s="27" t="str"/>
      <x:c r="O260" s="27" t="str"/>
      <x:c r="P260" s="27" t="str"/>
      <x:c r="Q260" s="27" t="str">
        <x:f>IF(A260="","",IFERROR(INDEX('Пользовательские_сценарии'!$O$5:$O$304,MATCH(E260,'Пользовательские_сценарии'!$A$5:$A$304,0)),0))</x:f>
      </x:c>
      <x:c r="R260" s="27" t="str"/>
      <x:c r="S260" s="27" t="str"/>
      <x:c r="T260" s="52" t="str">
        <x:f>IF(A260="","",ROUND(COUNTA(D260:P260)/13,2))</x:f>
      </x:c>
      <x:c r="U260" s="27" t="str"/>
    </x:row>
    <x:row r="261">
      <x:c r="A261" s="27" t="str"/>
      <x:c r="B261" s="27" t="str"/>
      <x:c r="C261" s="27" t="str"/>
      <x:c r="D261" s="27" t="str"/>
      <x:c r="E261" s="27" t="str"/>
      <x:c r="F261" s="27" t="str"/>
      <x:c r="G261" s="27" t="str"/>
      <x:c r="H261" s="27" t="str"/>
      <x:c r="I261" s="27" t="str"/>
      <x:c r="J261" s="27" t="str"/>
      <x:c r="K261" s="27" t="str"/>
      <x:c r="L261" s="27" t="str"/>
      <x:c r="M261" s="27" t="str"/>
      <x:c r="N261" s="27" t="str"/>
      <x:c r="O261" s="27" t="str"/>
      <x:c r="P261" s="27" t="str"/>
      <x:c r="Q261" s="27" t="str">
        <x:f>IF(A261="","",IFERROR(INDEX('Пользовательские_сценарии'!$O$5:$O$304,MATCH(E261,'Пользовательские_сценарии'!$A$5:$A$304,0)),0))</x:f>
      </x:c>
      <x:c r="R261" s="27" t="str"/>
      <x:c r="S261" s="27" t="str"/>
      <x:c r="T261" s="52" t="str">
        <x:f>IF(A261="","",ROUND(COUNTA(D261:P261)/13,2))</x:f>
      </x:c>
      <x:c r="U261" s="27" t="str"/>
    </x:row>
    <x:row r="262">
      <x:c r="A262" s="27" t="str"/>
      <x:c r="B262" s="27" t="str"/>
      <x:c r="C262" s="27" t="str"/>
      <x:c r="D262" s="27" t="str"/>
      <x:c r="E262" s="27" t="str"/>
      <x:c r="F262" s="27" t="str"/>
      <x:c r="G262" s="27" t="str"/>
      <x:c r="H262" s="27" t="str"/>
      <x:c r="I262" s="27" t="str"/>
      <x:c r="J262" s="27" t="str"/>
      <x:c r="K262" s="27" t="str"/>
      <x:c r="L262" s="27" t="str"/>
      <x:c r="M262" s="27" t="str"/>
      <x:c r="N262" s="27" t="str"/>
      <x:c r="O262" s="27" t="str"/>
      <x:c r="P262" s="27" t="str"/>
      <x:c r="Q262" s="27" t="str">
        <x:f>IF(A262="","",IFERROR(INDEX('Пользовательские_сценарии'!$O$5:$O$304,MATCH(E262,'Пользовательские_сценарии'!$A$5:$A$304,0)),0))</x:f>
      </x:c>
      <x:c r="R262" s="27" t="str"/>
      <x:c r="S262" s="27" t="str"/>
      <x:c r="T262" s="52" t="str">
        <x:f>IF(A262="","",ROUND(COUNTA(D262:P262)/13,2))</x:f>
      </x:c>
      <x:c r="U262" s="27" t="str"/>
    </x:row>
    <x:row r="263">
      <x:c r="A263" s="27" t="str"/>
      <x:c r="B263" s="27" t="str"/>
      <x:c r="C263" s="27" t="str"/>
      <x:c r="D263" s="27" t="str"/>
      <x:c r="E263" s="27" t="str"/>
      <x:c r="F263" s="27" t="str"/>
      <x:c r="G263" s="27" t="str"/>
      <x:c r="H263" s="27" t="str"/>
      <x:c r="I263" s="27" t="str"/>
      <x:c r="J263" s="27" t="str"/>
      <x:c r="K263" s="27" t="str"/>
      <x:c r="L263" s="27" t="str"/>
      <x:c r="M263" s="27" t="str"/>
      <x:c r="N263" s="27" t="str"/>
      <x:c r="O263" s="27" t="str"/>
      <x:c r="P263" s="27" t="str"/>
      <x:c r="Q263" s="27" t="str">
        <x:f>IF(A263="","",IFERROR(INDEX('Пользовательские_сценарии'!$O$5:$O$304,MATCH(E263,'Пользовательские_сценарии'!$A$5:$A$304,0)),0))</x:f>
      </x:c>
      <x:c r="R263" s="27" t="str"/>
      <x:c r="S263" s="27" t="str"/>
      <x:c r="T263" s="52" t="str">
        <x:f>IF(A263="","",ROUND(COUNTA(D263:P263)/13,2))</x:f>
      </x:c>
      <x:c r="U263" s="27" t="str"/>
    </x:row>
    <x:row r="264">
      <x:c r="A264" s="27" t="str"/>
      <x:c r="B264" s="27" t="str"/>
      <x:c r="C264" s="27" t="str"/>
      <x:c r="D264" s="27" t="str"/>
      <x:c r="E264" s="27" t="str"/>
      <x:c r="F264" s="27" t="str"/>
      <x:c r="G264" s="27" t="str"/>
      <x:c r="H264" s="27" t="str"/>
      <x:c r="I264" s="27" t="str"/>
      <x:c r="J264" s="27" t="str"/>
      <x:c r="K264" s="27" t="str"/>
      <x:c r="L264" s="27" t="str"/>
      <x:c r="M264" s="27" t="str"/>
      <x:c r="N264" s="27" t="str"/>
      <x:c r="O264" s="27" t="str"/>
      <x:c r="P264" s="27" t="str"/>
      <x:c r="Q264" s="27" t="str">
        <x:f>IF(A264="","",IFERROR(INDEX('Пользовательские_сценарии'!$O$5:$O$304,MATCH(E264,'Пользовательские_сценарии'!$A$5:$A$304,0)),0))</x:f>
      </x:c>
      <x:c r="R264" s="27" t="str"/>
      <x:c r="S264" s="27" t="str"/>
      <x:c r="T264" s="52" t="str">
        <x:f>IF(A264="","",ROUND(COUNTA(D264:P264)/13,2))</x:f>
      </x:c>
      <x:c r="U264" s="27" t="str"/>
    </x:row>
    <x:row r="265">
      <x:c r="A265" s="27" t="str"/>
      <x:c r="B265" s="27" t="str"/>
      <x:c r="C265" s="27" t="str"/>
      <x:c r="D265" s="27" t="str"/>
      <x:c r="E265" s="27" t="str"/>
      <x:c r="F265" s="27" t="str"/>
      <x:c r="G265" s="27" t="str"/>
      <x:c r="H265" s="27" t="str"/>
      <x:c r="I265" s="27" t="str"/>
      <x:c r="J265" s="27" t="str"/>
      <x:c r="K265" s="27" t="str"/>
      <x:c r="L265" s="27" t="str"/>
      <x:c r="M265" s="27" t="str"/>
      <x:c r="N265" s="27" t="str"/>
      <x:c r="O265" s="27" t="str"/>
      <x:c r="P265" s="27" t="str"/>
      <x:c r="Q265" s="27" t="str">
        <x:f>IF(A265="","",IFERROR(INDEX('Пользовательские_сценарии'!$O$5:$O$304,MATCH(E265,'Пользовательские_сценарии'!$A$5:$A$304,0)),0))</x:f>
      </x:c>
      <x:c r="R265" s="27" t="str"/>
      <x:c r="S265" s="27" t="str"/>
      <x:c r="T265" s="52" t="str">
        <x:f>IF(A265="","",ROUND(COUNTA(D265:P265)/13,2))</x:f>
      </x:c>
      <x:c r="U265" s="27" t="str"/>
    </x:row>
    <x:row r="266">
      <x:c r="A266" s="27" t="str"/>
      <x:c r="B266" s="27" t="str"/>
      <x:c r="C266" s="27" t="str"/>
      <x:c r="D266" s="27" t="str"/>
      <x:c r="E266" s="27" t="str"/>
      <x:c r="F266" s="27" t="str"/>
      <x:c r="G266" s="27" t="str"/>
      <x:c r="H266" s="27" t="str"/>
      <x:c r="I266" s="27" t="str"/>
      <x:c r="J266" s="27" t="str"/>
      <x:c r="K266" s="27" t="str"/>
      <x:c r="L266" s="27" t="str"/>
      <x:c r="M266" s="27" t="str"/>
      <x:c r="N266" s="27" t="str"/>
      <x:c r="O266" s="27" t="str"/>
      <x:c r="P266" s="27" t="str"/>
      <x:c r="Q266" s="27" t="str">
        <x:f>IF(A266="","",IFERROR(INDEX('Пользовательские_сценарии'!$O$5:$O$304,MATCH(E266,'Пользовательские_сценарии'!$A$5:$A$304,0)),0))</x:f>
      </x:c>
      <x:c r="R266" s="27" t="str"/>
      <x:c r="S266" s="27" t="str"/>
      <x:c r="T266" s="52" t="str">
        <x:f>IF(A266="","",ROUND(COUNTA(D266:P266)/13,2))</x:f>
      </x:c>
      <x:c r="U266" s="27" t="str"/>
    </x:row>
    <x:row r="267">
      <x:c r="A267" s="27" t="str"/>
      <x:c r="B267" s="27" t="str"/>
      <x:c r="C267" s="27" t="str"/>
      <x:c r="D267" s="27" t="str"/>
      <x:c r="E267" s="27" t="str"/>
      <x:c r="F267" s="27" t="str"/>
      <x:c r="G267" s="27" t="str"/>
      <x:c r="H267" s="27" t="str"/>
      <x:c r="I267" s="27" t="str"/>
      <x:c r="J267" s="27" t="str"/>
      <x:c r="K267" s="27" t="str"/>
      <x:c r="L267" s="27" t="str"/>
      <x:c r="M267" s="27" t="str"/>
      <x:c r="N267" s="27" t="str"/>
      <x:c r="O267" s="27" t="str"/>
      <x:c r="P267" s="27" t="str"/>
      <x:c r="Q267" s="27" t="str">
        <x:f>IF(A267="","",IFERROR(INDEX('Пользовательские_сценарии'!$O$5:$O$304,MATCH(E267,'Пользовательские_сценарии'!$A$5:$A$304,0)),0))</x:f>
      </x:c>
      <x:c r="R267" s="27" t="str"/>
      <x:c r="S267" s="27" t="str"/>
      <x:c r="T267" s="52" t="str">
        <x:f>IF(A267="","",ROUND(COUNTA(D267:P267)/13,2))</x:f>
      </x:c>
      <x:c r="U267" s="27" t="str"/>
    </x:row>
    <x:row r="268">
      <x:c r="A268" s="27" t="str"/>
      <x:c r="B268" s="27" t="str"/>
      <x:c r="C268" s="27" t="str"/>
      <x:c r="D268" s="27" t="str"/>
      <x:c r="E268" s="27" t="str"/>
      <x:c r="F268" s="27" t="str"/>
      <x:c r="G268" s="27" t="str"/>
      <x:c r="H268" s="27" t="str"/>
      <x:c r="I268" s="27" t="str"/>
      <x:c r="J268" s="27" t="str"/>
      <x:c r="K268" s="27" t="str"/>
      <x:c r="L268" s="27" t="str"/>
      <x:c r="M268" s="27" t="str"/>
      <x:c r="N268" s="27" t="str"/>
      <x:c r="O268" s="27" t="str"/>
      <x:c r="P268" s="27" t="str"/>
      <x:c r="Q268" s="27" t="str">
        <x:f>IF(A268="","",IFERROR(INDEX('Пользовательские_сценарии'!$O$5:$O$304,MATCH(E268,'Пользовательские_сценарии'!$A$5:$A$304,0)),0))</x:f>
      </x:c>
      <x:c r="R268" s="27" t="str"/>
      <x:c r="S268" s="27" t="str"/>
      <x:c r="T268" s="52" t="str">
        <x:f>IF(A268="","",ROUND(COUNTA(D268:P268)/13,2))</x:f>
      </x:c>
      <x:c r="U268" s="27" t="str"/>
    </x:row>
    <x:row r="269">
      <x:c r="A269" s="27" t="str"/>
      <x:c r="B269" s="27" t="str"/>
      <x:c r="C269" s="27" t="str"/>
      <x:c r="D269" s="27" t="str"/>
      <x:c r="E269" s="27" t="str"/>
      <x:c r="F269" s="27" t="str"/>
      <x:c r="G269" s="27" t="str"/>
      <x:c r="H269" s="27" t="str"/>
      <x:c r="I269" s="27" t="str"/>
      <x:c r="J269" s="27" t="str"/>
      <x:c r="K269" s="27" t="str"/>
      <x:c r="L269" s="27" t="str"/>
      <x:c r="M269" s="27" t="str"/>
      <x:c r="N269" s="27" t="str"/>
      <x:c r="O269" s="27" t="str"/>
      <x:c r="P269" s="27" t="str"/>
      <x:c r="Q269" s="27" t="str">
        <x:f>IF(A269="","",IFERROR(INDEX('Пользовательские_сценарии'!$O$5:$O$304,MATCH(E269,'Пользовательские_сценарии'!$A$5:$A$304,0)),0))</x:f>
      </x:c>
      <x:c r="R269" s="27" t="str"/>
      <x:c r="S269" s="27" t="str"/>
      <x:c r="T269" s="52" t="str">
        <x:f>IF(A269="","",ROUND(COUNTA(D269:P269)/13,2))</x:f>
      </x:c>
      <x:c r="U269" s="27" t="str"/>
    </x:row>
    <x:row r="270">
      <x:c r="A270" s="27" t="str"/>
      <x:c r="B270" s="27" t="str"/>
      <x:c r="C270" s="27" t="str"/>
      <x:c r="D270" s="27" t="str"/>
      <x:c r="E270" s="27" t="str"/>
      <x:c r="F270" s="27" t="str"/>
      <x:c r="G270" s="27" t="str"/>
      <x:c r="H270" s="27" t="str"/>
      <x:c r="I270" s="27" t="str"/>
      <x:c r="J270" s="27" t="str"/>
      <x:c r="K270" s="27" t="str"/>
      <x:c r="L270" s="27" t="str"/>
      <x:c r="M270" s="27" t="str"/>
      <x:c r="N270" s="27" t="str"/>
      <x:c r="O270" s="27" t="str"/>
      <x:c r="P270" s="27" t="str"/>
      <x:c r="Q270" s="27" t="str">
        <x:f>IF(A270="","",IFERROR(INDEX('Пользовательские_сценарии'!$O$5:$O$304,MATCH(E270,'Пользовательские_сценарии'!$A$5:$A$304,0)),0))</x:f>
      </x:c>
      <x:c r="R270" s="27" t="str"/>
      <x:c r="S270" s="27" t="str"/>
      <x:c r="T270" s="52" t="str">
        <x:f>IF(A270="","",ROUND(COUNTA(D270:P270)/13,2))</x:f>
      </x:c>
      <x:c r="U270" s="27" t="str"/>
    </x:row>
    <x:row r="271">
      <x:c r="A271" s="27" t="str"/>
      <x:c r="B271" s="27" t="str"/>
      <x:c r="C271" s="27" t="str"/>
      <x:c r="D271" s="27" t="str"/>
      <x:c r="E271" s="27" t="str"/>
      <x:c r="F271" s="27" t="str"/>
      <x:c r="G271" s="27" t="str"/>
      <x:c r="H271" s="27" t="str"/>
      <x:c r="I271" s="27" t="str"/>
      <x:c r="J271" s="27" t="str"/>
      <x:c r="K271" s="27" t="str"/>
      <x:c r="L271" s="27" t="str"/>
      <x:c r="M271" s="27" t="str"/>
      <x:c r="N271" s="27" t="str"/>
      <x:c r="O271" s="27" t="str"/>
      <x:c r="P271" s="27" t="str"/>
      <x:c r="Q271" s="27" t="str">
        <x:f>IF(A271="","",IFERROR(INDEX('Пользовательские_сценарии'!$O$5:$O$304,MATCH(E271,'Пользовательские_сценарии'!$A$5:$A$304,0)),0))</x:f>
      </x:c>
      <x:c r="R271" s="27" t="str"/>
      <x:c r="S271" s="27" t="str"/>
      <x:c r="T271" s="52" t="str">
        <x:f>IF(A271="","",ROUND(COUNTA(D271:P271)/13,2))</x:f>
      </x:c>
      <x:c r="U271" s="27" t="str"/>
    </x:row>
    <x:row r="272">
      <x:c r="A272" s="27" t="str"/>
      <x:c r="B272" s="27" t="str"/>
      <x:c r="C272" s="27" t="str"/>
      <x:c r="D272" s="27" t="str"/>
      <x:c r="E272" s="27" t="str"/>
      <x:c r="F272" s="27" t="str"/>
      <x:c r="G272" s="27" t="str"/>
      <x:c r="H272" s="27" t="str"/>
      <x:c r="I272" s="27" t="str"/>
      <x:c r="J272" s="27" t="str"/>
      <x:c r="K272" s="27" t="str"/>
      <x:c r="L272" s="27" t="str"/>
      <x:c r="M272" s="27" t="str"/>
      <x:c r="N272" s="27" t="str"/>
      <x:c r="O272" s="27" t="str"/>
      <x:c r="P272" s="27" t="str"/>
      <x:c r="Q272" s="27" t="str">
        <x:f>IF(A272="","",IFERROR(INDEX('Пользовательские_сценарии'!$O$5:$O$304,MATCH(E272,'Пользовательские_сценарии'!$A$5:$A$304,0)),0))</x:f>
      </x:c>
      <x:c r="R272" s="27" t="str"/>
      <x:c r="S272" s="27" t="str"/>
      <x:c r="T272" s="52" t="str">
        <x:f>IF(A272="","",ROUND(COUNTA(D272:P272)/13,2))</x:f>
      </x:c>
      <x:c r="U272" s="27" t="str"/>
    </x:row>
    <x:row r="273">
      <x:c r="A273" s="27" t="str"/>
      <x:c r="B273" s="27" t="str"/>
      <x:c r="C273" s="27" t="str"/>
      <x:c r="D273" s="27" t="str"/>
      <x:c r="E273" s="27" t="str"/>
      <x:c r="F273" s="27" t="str"/>
      <x:c r="G273" s="27" t="str"/>
      <x:c r="H273" s="27" t="str"/>
      <x:c r="I273" s="27" t="str"/>
      <x:c r="J273" s="27" t="str"/>
      <x:c r="K273" s="27" t="str"/>
      <x:c r="L273" s="27" t="str"/>
      <x:c r="M273" s="27" t="str"/>
      <x:c r="N273" s="27" t="str"/>
      <x:c r="O273" s="27" t="str"/>
      <x:c r="P273" s="27" t="str"/>
      <x:c r="Q273" s="27" t="str">
        <x:f>IF(A273="","",IFERROR(INDEX('Пользовательские_сценарии'!$O$5:$O$304,MATCH(E273,'Пользовательские_сценарии'!$A$5:$A$304,0)),0))</x:f>
      </x:c>
      <x:c r="R273" s="27" t="str"/>
      <x:c r="S273" s="27" t="str"/>
      <x:c r="T273" s="52" t="str">
        <x:f>IF(A273="","",ROUND(COUNTA(D273:P273)/13,2))</x:f>
      </x:c>
      <x:c r="U273" s="27" t="str"/>
    </x:row>
    <x:row r="274">
      <x:c r="A274" s="27" t="str"/>
      <x:c r="B274" s="27" t="str"/>
      <x:c r="C274" s="27" t="str"/>
      <x:c r="D274" s="27" t="str"/>
      <x:c r="E274" s="27" t="str"/>
      <x:c r="F274" s="27" t="str"/>
      <x:c r="G274" s="27" t="str"/>
      <x:c r="H274" s="27" t="str"/>
      <x:c r="I274" s="27" t="str"/>
      <x:c r="J274" s="27" t="str"/>
      <x:c r="K274" s="27" t="str"/>
      <x:c r="L274" s="27" t="str"/>
      <x:c r="M274" s="27" t="str"/>
      <x:c r="N274" s="27" t="str"/>
      <x:c r="O274" s="27" t="str"/>
      <x:c r="P274" s="27" t="str"/>
      <x:c r="Q274" s="27" t="str">
        <x:f>IF(A274="","",IFERROR(INDEX('Пользовательские_сценарии'!$O$5:$O$304,MATCH(E274,'Пользовательские_сценарии'!$A$5:$A$304,0)),0))</x:f>
      </x:c>
      <x:c r="R274" s="27" t="str"/>
      <x:c r="S274" s="27" t="str"/>
      <x:c r="T274" s="52" t="str">
        <x:f>IF(A274="","",ROUND(COUNTA(D274:P274)/13,2))</x:f>
      </x:c>
      <x:c r="U274" s="27" t="str"/>
    </x:row>
    <x:row r="275">
      <x:c r="A275" s="27" t="str"/>
      <x:c r="B275" s="27" t="str"/>
      <x:c r="C275" s="27" t="str"/>
      <x:c r="D275" s="27" t="str"/>
      <x:c r="E275" s="27" t="str"/>
      <x:c r="F275" s="27" t="str"/>
      <x:c r="G275" s="27" t="str"/>
      <x:c r="H275" s="27" t="str"/>
      <x:c r="I275" s="27" t="str"/>
      <x:c r="J275" s="27" t="str"/>
      <x:c r="K275" s="27" t="str"/>
      <x:c r="L275" s="27" t="str"/>
      <x:c r="M275" s="27" t="str"/>
      <x:c r="N275" s="27" t="str"/>
      <x:c r="O275" s="27" t="str"/>
      <x:c r="P275" s="27" t="str"/>
      <x:c r="Q275" s="27" t="str">
        <x:f>IF(A275="","",IFERROR(INDEX('Пользовательские_сценарии'!$O$5:$O$304,MATCH(E275,'Пользовательские_сценарии'!$A$5:$A$304,0)),0))</x:f>
      </x:c>
      <x:c r="R275" s="27" t="str"/>
      <x:c r="S275" s="27" t="str"/>
      <x:c r="T275" s="52" t="str">
        <x:f>IF(A275="","",ROUND(COUNTA(D275:P275)/13,2))</x:f>
      </x:c>
      <x:c r="U275" s="27" t="str"/>
    </x:row>
    <x:row r="276">
      <x:c r="A276" s="27" t="str"/>
      <x:c r="B276" s="27" t="str"/>
      <x:c r="C276" s="27" t="str"/>
      <x:c r="D276" s="27" t="str"/>
      <x:c r="E276" s="27" t="str"/>
      <x:c r="F276" s="27" t="str"/>
      <x:c r="G276" s="27" t="str"/>
      <x:c r="H276" s="27" t="str"/>
      <x:c r="I276" s="27" t="str"/>
      <x:c r="J276" s="27" t="str"/>
      <x:c r="K276" s="27" t="str"/>
      <x:c r="L276" s="27" t="str"/>
      <x:c r="M276" s="27" t="str"/>
      <x:c r="N276" s="27" t="str"/>
      <x:c r="O276" s="27" t="str"/>
      <x:c r="P276" s="27" t="str"/>
      <x:c r="Q276" s="27" t="str">
        <x:f>IF(A276="","",IFERROR(INDEX('Пользовательские_сценарии'!$O$5:$O$304,MATCH(E276,'Пользовательские_сценарии'!$A$5:$A$304,0)),0))</x:f>
      </x:c>
      <x:c r="R276" s="27" t="str"/>
      <x:c r="S276" s="27" t="str"/>
      <x:c r="T276" s="52" t="str">
        <x:f>IF(A276="","",ROUND(COUNTA(D276:P276)/13,2))</x:f>
      </x:c>
      <x:c r="U276" s="27" t="str"/>
    </x:row>
    <x:row r="277">
      <x:c r="A277" s="27" t="str"/>
      <x:c r="B277" s="27" t="str"/>
      <x:c r="C277" s="27" t="str"/>
      <x:c r="D277" s="27" t="str"/>
      <x:c r="E277" s="27" t="str"/>
      <x:c r="F277" s="27" t="str"/>
      <x:c r="G277" s="27" t="str"/>
      <x:c r="H277" s="27" t="str"/>
      <x:c r="I277" s="27" t="str"/>
      <x:c r="J277" s="27" t="str"/>
      <x:c r="K277" s="27" t="str"/>
      <x:c r="L277" s="27" t="str"/>
      <x:c r="M277" s="27" t="str"/>
      <x:c r="N277" s="27" t="str"/>
      <x:c r="O277" s="27" t="str"/>
      <x:c r="P277" s="27" t="str"/>
      <x:c r="Q277" s="27" t="str">
        <x:f>IF(A277="","",IFERROR(INDEX('Пользовательские_сценарии'!$O$5:$O$304,MATCH(E277,'Пользовательские_сценарии'!$A$5:$A$304,0)),0))</x:f>
      </x:c>
      <x:c r="R277" s="27" t="str"/>
      <x:c r="S277" s="27" t="str"/>
      <x:c r="T277" s="52" t="str">
        <x:f>IF(A277="","",ROUND(COUNTA(D277:P277)/13,2))</x:f>
      </x:c>
      <x:c r="U277" s="27" t="str"/>
    </x:row>
    <x:row r="278">
      <x:c r="A278" s="27" t="str"/>
      <x:c r="B278" s="27" t="str"/>
      <x:c r="C278" s="27" t="str"/>
      <x:c r="D278" s="27" t="str"/>
      <x:c r="E278" s="27" t="str"/>
      <x:c r="F278" s="27" t="str"/>
      <x:c r="G278" s="27" t="str"/>
      <x:c r="H278" s="27" t="str"/>
      <x:c r="I278" s="27" t="str"/>
      <x:c r="J278" s="27" t="str"/>
      <x:c r="K278" s="27" t="str"/>
      <x:c r="L278" s="27" t="str"/>
      <x:c r="M278" s="27" t="str"/>
      <x:c r="N278" s="27" t="str"/>
      <x:c r="O278" s="27" t="str"/>
      <x:c r="P278" s="27" t="str"/>
      <x:c r="Q278" s="27" t="str">
        <x:f>IF(A278="","",IFERROR(INDEX('Пользовательские_сценарии'!$O$5:$O$304,MATCH(E278,'Пользовательские_сценарии'!$A$5:$A$304,0)),0))</x:f>
      </x:c>
      <x:c r="R278" s="27" t="str"/>
      <x:c r="S278" s="27" t="str"/>
      <x:c r="T278" s="52" t="str">
        <x:f>IF(A278="","",ROUND(COUNTA(D278:P278)/13,2))</x:f>
      </x:c>
      <x:c r="U278" s="27" t="str"/>
    </x:row>
    <x:row r="279">
      <x:c r="A279" s="27" t="str"/>
      <x:c r="B279" s="27" t="str"/>
      <x:c r="C279" s="27" t="str"/>
      <x:c r="D279" s="27" t="str"/>
      <x:c r="E279" s="27" t="str"/>
      <x:c r="F279" s="27" t="str"/>
      <x:c r="G279" s="27" t="str"/>
      <x:c r="H279" s="27" t="str"/>
      <x:c r="I279" s="27" t="str"/>
      <x:c r="J279" s="27" t="str"/>
      <x:c r="K279" s="27" t="str"/>
      <x:c r="L279" s="27" t="str"/>
      <x:c r="M279" s="27" t="str"/>
      <x:c r="N279" s="27" t="str"/>
      <x:c r="O279" s="27" t="str"/>
      <x:c r="P279" s="27" t="str"/>
      <x:c r="Q279" s="27" t="str">
        <x:f>IF(A279="","",IFERROR(INDEX('Пользовательские_сценарии'!$O$5:$O$304,MATCH(E279,'Пользовательские_сценарии'!$A$5:$A$304,0)),0))</x:f>
      </x:c>
      <x:c r="R279" s="27" t="str"/>
      <x:c r="S279" s="27" t="str"/>
      <x:c r="T279" s="52" t="str">
        <x:f>IF(A279="","",ROUND(COUNTA(D279:P279)/13,2))</x:f>
      </x:c>
      <x:c r="U279" s="27" t="str"/>
    </x:row>
    <x:row r="280">
      <x:c r="A280" s="27" t="str"/>
      <x:c r="B280" s="27" t="str"/>
      <x:c r="C280" s="27" t="str"/>
      <x:c r="D280" s="27" t="str"/>
      <x:c r="E280" s="27" t="str"/>
      <x:c r="F280" s="27" t="str"/>
      <x:c r="G280" s="27" t="str"/>
      <x:c r="H280" s="27" t="str"/>
      <x:c r="I280" s="27" t="str"/>
      <x:c r="J280" s="27" t="str"/>
      <x:c r="K280" s="27" t="str"/>
      <x:c r="L280" s="27" t="str"/>
      <x:c r="M280" s="27" t="str"/>
      <x:c r="N280" s="27" t="str"/>
      <x:c r="O280" s="27" t="str"/>
      <x:c r="P280" s="27" t="str"/>
      <x:c r="Q280" s="27" t="str">
        <x:f>IF(A280="","",IFERROR(INDEX('Пользовательские_сценарии'!$O$5:$O$304,MATCH(E280,'Пользовательские_сценарии'!$A$5:$A$304,0)),0))</x:f>
      </x:c>
      <x:c r="R280" s="27" t="str"/>
      <x:c r="S280" s="27" t="str"/>
      <x:c r="T280" s="52" t="str">
        <x:f>IF(A280="","",ROUND(COUNTA(D280:P280)/13,2))</x:f>
      </x:c>
      <x:c r="U280" s="27" t="str"/>
    </x:row>
    <x:row r="281">
      <x:c r="A281" s="27" t="str"/>
      <x:c r="B281" s="27" t="str"/>
      <x:c r="C281" s="27" t="str"/>
      <x:c r="D281" s="27" t="str"/>
      <x:c r="E281" s="27" t="str"/>
      <x:c r="F281" s="27" t="str"/>
      <x:c r="G281" s="27" t="str"/>
      <x:c r="H281" s="27" t="str"/>
      <x:c r="I281" s="27" t="str"/>
      <x:c r="J281" s="27" t="str"/>
      <x:c r="K281" s="27" t="str"/>
      <x:c r="L281" s="27" t="str"/>
      <x:c r="M281" s="27" t="str"/>
      <x:c r="N281" s="27" t="str"/>
      <x:c r="O281" s="27" t="str"/>
      <x:c r="P281" s="27" t="str"/>
      <x:c r="Q281" s="27" t="str">
        <x:f>IF(A281="","",IFERROR(INDEX('Пользовательские_сценарии'!$O$5:$O$304,MATCH(E281,'Пользовательские_сценарии'!$A$5:$A$304,0)),0))</x:f>
      </x:c>
      <x:c r="R281" s="27" t="str"/>
      <x:c r="S281" s="27" t="str"/>
      <x:c r="T281" s="52" t="str">
        <x:f>IF(A281="","",ROUND(COUNTA(D281:P281)/13,2))</x:f>
      </x:c>
      <x:c r="U281" s="27" t="str"/>
    </x:row>
    <x:row r="282">
      <x:c r="A282" s="27" t="str"/>
      <x:c r="B282" s="27" t="str"/>
      <x:c r="C282" s="27" t="str"/>
      <x:c r="D282" s="27" t="str"/>
      <x:c r="E282" s="27" t="str"/>
      <x:c r="F282" s="27" t="str"/>
      <x:c r="G282" s="27" t="str"/>
      <x:c r="H282" s="27" t="str"/>
      <x:c r="I282" s="27" t="str"/>
      <x:c r="J282" s="27" t="str"/>
      <x:c r="K282" s="27" t="str"/>
      <x:c r="L282" s="27" t="str"/>
      <x:c r="M282" s="27" t="str"/>
      <x:c r="N282" s="27" t="str"/>
      <x:c r="O282" s="27" t="str"/>
      <x:c r="P282" s="27" t="str"/>
      <x:c r="Q282" s="27" t="str">
        <x:f>IF(A282="","",IFERROR(INDEX('Пользовательские_сценарии'!$O$5:$O$304,MATCH(E282,'Пользовательские_сценарии'!$A$5:$A$304,0)),0))</x:f>
      </x:c>
      <x:c r="R282" s="27" t="str"/>
      <x:c r="S282" s="27" t="str"/>
      <x:c r="T282" s="52" t="str">
        <x:f>IF(A282="","",ROUND(COUNTA(D282:P282)/13,2))</x:f>
      </x:c>
      <x:c r="U282" s="27" t="str"/>
    </x:row>
    <x:row r="283">
      <x:c r="A283" s="27" t="str"/>
      <x:c r="B283" s="27" t="str"/>
      <x:c r="C283" s="27" t="str"/>
      <x:c r="D283" s="27" t="str"/>
      <x:c r="E283" s="27" t="str"/>
      <x:c r="F283" s="27" t="str"/>
      <x:c r="G283" s="27" t="str"/>
      <x:c r="H283" s="27" t="str"/>
      <x:c r="I283" s="27" t="str"/>
      <x:c r="J283" s="27" t="str"/>
      <x:c r="K283" s="27" t="str"/>
      <x:c r="L283" s="27" t="str"/>
      <x:c r="M283" s="27" t="str"/>
      <x:c r="N283" s="27" t="str"/>
      <x:c r="O283" s="27" t="str"/>
      <x:c r="P283" s="27" t="str"/>
      <x:c r="Q283" s="27" t="str">
        <x:f>IF(A283="","",IFERROR(INDEX('Пользовательские_сценарии'!$O$5:$O$304,MATCH(E283,'Пользовательские_сценарии'!$A$5:$A$304,0)),0))</x:f>
      </x:c>
      <x:c r="R283" s="27" t="str"/>
      <x:c r="S283" s="27" t="str"/>
      <x:c r="T283" s="52" t="str">
        <x:f>IF(A283="","",ROUND(COUNTA(D283:P283)/13,2))</x:f>
      </x:c>
      <x:c r="U283" s="27" t="str"/>
    </x:row>
    <x:row r="284">
      <x:c r="A284" s="27" t="str"/>
      <x:c r="B284" s="27" t="str"/>
      <x:c r="C284" s="27" t="str"/>
      <x:c r="D284" s="27" t="str"/>
      <x:c r="E284" s="27" t="str"/>
      <x:c r="F284" s="27" t="str"/>
      <x:c r="G284" s="27" t="str"/>
      <x:c r="H284" s="27" t="str"/>
      <x:c r="I284" s="27" t="str"/>
      <x:c r="J284" s="27" t="str"/>
      <x:c r="K284" s="27" t="str"/>
      <x:c r="L284" s="27" t="str"/>
      <x:c r="M284" s="27" t="str"/>
      <x:c r="N284" s="27" t="str"/>
      <x:c r="O284" s="27" t="str"/>
      <x:c r="P284" s="27" t="str"/>
      <x:c r="Q284" s="27" t="str">
        <x:f>IF(A284="","",IFERROR(INDEX('Пользовательские_сценарии'!$O$5:$O$304,MATCH(E284,'Пользовательские_сценарии'!$A$5:$A$304,0)),0))</x:f>
      </x:c>
      <x:c r="R284" s="27" t="str"/>
      <x:c r="S284" s="27" t="str"/>
      <x:c r="T284" s="52" t="str">
        <x:f>IF(A284="","",ROUND(COUNTA(D284:P284)/13,2))</x:f>
      </x:c>
      <x:c r="U284" s="27" t="str"/>
    </x:row>
    <x:row r="285">
      <x:c r="A285" s="27" t="str"/>
      <x:c r="B285" s="27" t="str"/>
      <x:c r="C285" s="27" t="str"/>
      <x:c r="D285" s="27" t="str"/>
      <x:c r="E285" s="27" t="str"/>
      <x:c r="F285" s="27" t="str"/>
      <x:c r="G285" s="27" t="str"/>
      <x:c r="H285" s="27" t="str"/>
      <x:c r="I285" s="27" t="str"/>
      <x:c r="J285" s="27" t="str"/>
      <x:c r="K285" s="27" t="str"/>
      <x:c r="L285" s="27" t="str"/>
      <x:c r="M285" s="27" t="str"/>
      <x:c r="N285" s="27" t="str"/>
      <x:c r="O285" s="27" t="str"/>
      <x:c r="P285" s="27" t="str"/>
      <x:c r="Q285" s="27" t="str">
        <x:f>IF(A285="","",IFERROR(INDEX('Пользовательские_сценарии'!$O$5:$O$304,MATCH(E285,'Пользовательские_сценарии'!$A$5:$A$304,0)),0))</x:f>
      </x:c>
      <x:c r="R285" s="27" t="str"/>
      <x:c r="S285" s="27" t="str"/>
      <x:c r="T285" s="52" t="str">
        <x:f>IF(A285="","",ROUND(COUNTA(D285:P285)/13,2))</x:f>
      </x:c>
      <x:c r="U285" s="27" t="str"/>
    </x:row>
    <x:row r="286">
      <x:c r="A286" s="27" t="str"/>
      <x:c r="B286" s="27" t="str"/>
      <x:c r="C286" s="27" t="str"/>
      <x:c r="D286" s="27" t="str"/>
      <x:c r="E286" s="27" t="str"/>
      <x:c r="F286" s="27" t="str"/>
      <x:c r="G286" s="27" t="str"/>
      <x:c r="H286" s="27" t="str"/>
      <x:c r="I286" s="27" t="str"/>
      <x:c r="J286" s="27" t="str"/>
      <x:c r="K286" s="27" t="str"/>
      <x:c r="L286" s="27" t="str"/>
      <x:c r="M286" s="27" t="str"/>
      <x:c r="N286" s="27" t="str"/>
      <x:c r="O286" s="27" t="str"/>
      <x:c r="P286" s="27" t="str"/>
      <x:c r="Q286" s="27" t="str">
        <x:f>IF(A286="","",IFERROR(INDEX('Пользовательские_сценарии'!$O$5:$O$304,MATCH(E286,'Пользовательские_сценарии'!$A$5:$A$304,0)),0))</x:f>
      </x:c>
      <x:c r="R286" s="27" t="str"/>
      <x:c r="S286" s="27" t="str"/>
      <x:c r="T286" s="52" t="str">
        <x:f>IF(A286="","",ROUND(COUNTA(D286:P286)/13,2))</x:f>
      </x:c>
      <x:c r="U286" s="27" t="str"/>
    </x:row>
    <x:row r="287">
      <x:c r="A287" s="27" t="str"/>
      <x:c r="B287" s="27" t="str"/>
      <x:c r="C287" s="27" t="str"/>
      <x:c r="D287" s="27" t="str"/>
      <x:c r="E287" s="27" t="str"/>
      <x:c r="F287" s="27" t="str"/>
      <x:c r="G287" s="27" t="str"/>
      <x:c r="H287" s="27" t="str"/>
      <x:c r="I287" s="27" t="str"/>
      <x:c r="J287" s="27" t="str"/>
      <x:c r="K287" s="27" t="str"/>
      <x:c r="L287" s="27" t="str"/>
      <x:c r="M287" s="27" t="str"/>
      <x:c r="N287" s="27" t="str"/>
      <x:c r="O287" s="27" t="str"/>
      <x:c r="P287" s="27" t="str"/>
      <x:c r="Q287" s="27" t="str">
        <x:f>IF(A287="","",IFERROR(INDEX('Пользовательские_сценарии'!$O$5:$O$304,MATCH(E287,'Пользовательские_сценарии'!$A$5:$A$304,0)),0))</x:f>
      </x:c>
      <x:c r="R287" s="27" t="str"/>
      <x:c r="S287" s="27" t="str"/>
      <x:c r="T287" s="52" t="str">
        <x:f>IF(A287="","",ROUND(COUNTA(D287:P287)/13,2))</x:f>
      </x:c>
      <x:c r="U287" s="27" t="str"/>
    </x:row>
    <x:row r="288">
      <x:c r="A288" s="27" t="str"/>
      <x:c r="B288" s="27" t="str"/>
      <x:c r="C288" s="27" t="str"/>
      <x:c r="D288" s="27" t="str"/>
      <x:c r="E288" s="27" t="str"/>
      <x:c r="F288" s="27" t="str"/>
      <x:c r="G288" s="27" t="str"/>
      <x:c r="H288" s="27" t="str"/>
      <x:c r="I288" s="27" t="str"/>
      <x:c r="J288" s="27" t="str"/>
      <x:c r="K288" s="27" t="str"/>
      <x:c r="L288" s="27" t="str"/>
      <x:c r="M288" s="27" t="str"/>
      <x:c r="N288" s="27" t="str"/>
      <x:c r="O288" s="27" t="str"/>
      <x:c r="P288" s="27" t="str"/>
      <x:c r="Q288" s="27" t="str">
        <x:f>IF(A288="","",IFERROR(INDEX('Пользовательские_сценарии'!$O$5:$O$304,MATCH(E288,'Пользовательские_сценарии'!$A$5:$A$304,0)),0))</x:f>
      </x:c>
      <x:c r="R288" s="27" t="str"/>
      <x:c r="S288" s="27" t="str"/>
      <x:c r="T288" s="52" t="str">
        <x:f>IF(A288="","",ROUND(COUNTA(D288:P288)/13,2))</x:f>
      </x:c>
      <x:c r="U288" s="27" t="str"/>
    </x:row>
    <x:row r="289">
      <x:c r="A289" s="27" t="str"/>
      <x:c r="B289" s="27" t="str"/>
      <x:c r="C289" s="27" t="str"/>
      <x:c r="D289" s="27" t="str"/>
      <x:c r="E289" s="27" t="str"/>
      <x:c r="F289" s="27" t="str"/>
      <x:c r="G289" s="27" t="str"/>
      <x:c r="H289" s="27" t="str"/>
      <x:c r="I289" s="27" t="str"/>
      <x:c r="J289" s="27" t="str"/>
      <x:c r="K289" s="27" t="str"/>
      <x:c r="L289" s="27" t="str"/>
      <x:c r="M289" s="27" t="str"/>
      <x:c r="N289" s="27" t="str"/>
      <x:c r="O289" s="27" t="str"/>
      <x:c r="P289" s="27" t="str"/>
      <x:c r="Q289" s="27" t="str">
        <x:f>IF(A289="","",IFERROR(INDEX('Пользовательские_сценарии'!$O$5:$O$304,MATCH(E289,'Пользовательские_сценарии'!$A$5:$A$304,0)),0))</x:f>
      </x:c>
      <x:c r="R289" s="27" t="str"/>
      <x:c r="S289" s="27" t="str"/>
      <x:c r="T289" s="52" t="str">
        <x:f>IF(A289="","",ROUND(COUNTA(D289:P289)/13,2))</x:f>
      </x:c>
      <x:c r="U289" s="27" t="str"/>
    </x:row>
    <x:row r="290">
      <x:c r="A290" s="27" t="str"/>
      <x:c r="B290" s="27" t="str"/>
      <x:c r="C290" s="27" t="str"/>
      <x:c r="D290" s="27" t="str"/>
      <x:c r="E290" s="27" t="str"/>
      <x:c r="F290" s="27" t="str"/>
      <x:c r="G290" s="27" t="str"/>
      <x:c r="H290" s="27" t="str"/>
      <x:c r="I290" s="27" t="str"/>
      <x:c r="J290" s="27" t="str"/>
      <x:c r="K290" s="27" t="str"/>
      <x:c r="L290" s="27" t="str"/>
      <x:c r="M290" s="27" t="str"/>
      <x:c r="N290" s="27" t="str"/>
      <x:c r="O290" s="27" t="str"/>
      <x:c r="P290" s="27" t="str"/>
      <x:c r="Q290" s="27" t="str">
        <x:f>IF(A290="","",IFERROR(INDEX('Пользовательские_сценарии'!$O$5:$O$304,MATCH(E290,'Пользовательские_сценарии'!$A$5:$A$304,0)),0))</x:f>
      </x:c>
      <x:c r="R290" s="27" t="str"/>
      <x:c r="S290" s="27" t="str"/>
      <x:c r="T290" s="52" t="str">
        <x:f>IF(A290="","",ROUND(COUNTA(D290:P290)/13,2))</x:f>
      </x:c>
      <x:c r="U290" s="27" t="str"/>
    </x:row>
    <x:row r="291">
      <x:c r="A291" s="27" t="str"/>
      <x:c r="B291" s="27" t="str"/>
      <x:c r="C291" s="27" t="str"/>
      <x:c r="D291" s="27" t="str"/>
      <x:c r="E291" s="27" t="str"/>
      <x:c r="F291" s="27" t="str"/>
      <x:c r="G291" s="27" t="str"/>
      <x:c r="H291" s="27" t="str"/>
      <x:c r="I291" s="27" t="str"/>
      <x:c r="J291" s="27" t="str"/>
      <x:c r="K291" s="27" t="str"/>
      <x:c r="L291" s="27" t="str"/>
      <x:c r="M291" s="27" t="str"/>
      <x:c r="N291" s="27" t="str"/>
      <x:c r="O291" s="27" t="str"/>
      <x:c r="P291" s="27" t="str"/>
      <x:c r="Q291" s="27" t="str">
        <x:f>IF(A291="","",IFERROR(INDEX('Пользовательские_сценарии'!$O$5:$O$304,MATCH(E291,'Пользовательские_сценарии'!$A$5:$A$304,0)),0))</x:f>
      </x:c>
      <x:c r="R291" s="27" t="str"/>
      <x:c r="S291" s="27" t="str"/>
      <x:c r="T291" s="52" t="str">
        <x:f>IF(A291="","",ROUND(COUNTA(D291:P291)/13,2))</x:f>
      </x:c>
      <x:c r="U291" s="27" t="str"/>
    </x:row>
    <x:row r="292">
      <x:c r="A292" s="27" t="str"/>
      <x:c r="B292" s="27" t="str"/>
      <x:c r="C292" s="27" t="str"/>
      <x:c r="D292" s="27" t="str"/>
      <x:c r="E292" s="27" t="str"/>
      <x:c r="F292" s="27" t="str"/>
      <x:c r="G292" s="27" t="str"/>
      <x:c r="H292" s="27" t="str"/>
      <x:c r="I292" s="27" t="str"/>
      <x:c r="J292" s="27" t="str"/>
      <x:c r="K292" s="27" t="str"/>
      <x:c r="L292" s="27" t="str"/>
      <x:c r="M292" s="27" t="str"/>
      <x:c r="N292" s="27" t="str"/>
      <x:c r="O292" s="27" t="str"/>
      <x:c r="P292" s="27" t="str"/>
      <x:c r="Q292" s="27" t="str">
        <x:f>IF(A292="","",IFERROR(INDEX('Пользовательские_сценарии'!$O$5:$O$304,MATCH(E292,'Пользовательские_сценарии'!$A$5:$A$304,0)),0))</x:f>
      </x:c>
      <x:c r="R292" s="27" t="str"/>
      <x:c r="S292" s="27" t="str"/>
      <x:c r="T292" s="52" t="str">
        <x:f>IF(A292="","",ROUND(COUNTA(D292:P292)/13,2))</x:f>
      </x:c>
      <x:c r="U292" s="27" t="str"/>
    </x:row>
    <x:row r="293">
      <x:c r="A293" s="27" t="str"/>
      <x:c r="B293" s="27" t="str"/>
      <x:c r="C293" s="27" t="str"/>
      <x:c r="D293" s="27" t="str"/>
      <x:c r="E293" s="27" t="str"/>
      <x:c r="F293" s="27" t="str"/>
      <x:c r="G293" s="27" t="str"/>
      <x:c r="H293" s="27" t="str"/>
      <x:c r="I293" s="27" t="str"/>
      <x:c r="J293" s="27" t="str"/>
      <x:c r="K293" s="27" t="str"/>
      <x:c r="L293" s="27" t="str"/>
      <x:c r="M293" s="27" t="str"/>
      <x:c r="N293" s="27" t="str"/>
      <x:c r="O293" s="27" t="str"/>
      <x:c r="P293" s="27" t="str"/>
      <x:c r="Q293" s="27" t="str">
        <x:f>IF(A293="","",IFERROR(INDEX('Пользовательские_сценарии'!$O$5:$O$304,MATCH(E293,'Пользовательские_сценарии'!$A$5:$A$304,0)),0))</x:f>
      </x:c>
      <x:c r="R293" s="27" t="str"/>
      <x:c r="S293" s="27" t="str"/>
      <x:c r="T293" s="52" t="str">
        <x:f>IF(A293="","",ROUND(COUNTA(D293:P293)/13,2))</x:f>
      </x:c>
      <x:c r="U293" s="27" t="str"/>
    </x:row>
    <x:row r="294">
      <x:c r="A294" s="27" t="str"/>
      <x:c r="B294" s="27" t="str"/>
      <x:c r="C294" s="27" t="str"/>
      <x:c r="D294" s="27" t="str"/>
      <x:c r="E294" s="27" t="str"/>
      <x:c r="F294" s="27" t="str"/>
      <x:c r="G294" s="27" t="str"/>
      <x:c r="H294" s="27" t="str"/>
      <x:c r="I294" s="27" t="str"/>
      <x:c r="J294" s="27" t="str"/>
      <x:c r="K294" s="27" t="str"/>
      <x:c r="L294" s="27" t="str"/>
      <x:c r="M294" s="27" t="str"/>
      <x:c r="N294" s="27" t="str"/>
      <x:c r="O294" s="27" t="str"/>
      <x:c r="P294" s="27" t="str"/>
      <x:c r="Q294" s="27" t="str">
        <x:f>IF(A294="","",IFERROR(INDEX('Пользовательские_сценарии'!$O$5:$O$304,MATCH(E294,'Пользовательские_сценарии'!$A$5:$A$304,0)),0))</x:f>
      </x:c>
      <x:c r="R294" s="27" t="str"/>
      <x:c r="S294" s="27" t="str"/>
      <x:c r="T294" s="52" t="str">
        <x:f>IF(A294="","",ROUND(COUNTA(D294:P294)/13,2))</x:f>
      </x:c>
      <x:c r="U294" s="27" t="str"/>
    </x:row>
    <x:row r="295">
      <x:c r="A295" s="27" t="str"/>
      <x:c r="B295" s="27" t="str"/>
      <x:c r="C295" s="27" t="str"/>
      <x:c r="D295" s="27" t="str"/>
      <x:c r="E295" s="27" t="str"/>
      <x:c r="F295" s="27" t="str"/>
      <x:c r="G295" s="27" t="str"/>
      <x:c r="H295" s="27" t="str"/>
      <x:c r="I295" s="27" t="str"/>
      <x:c r="J295" s="27" t="str"/>
      <x:c r="K295" s="27" t="str"/>
      <x:c r="L295" s="27" t="str"/>
      <x:c r="M295" s="27" t="str"/>
      <x:c r="N295" s="27" t="str"/>
      <x:c r="O295" s="27" t="str"/>
      <x:c r="P295" s="27" t="str"/>
      <x:c r="Q295" s="27" t="str">
        <x:f>IF(A295="","",IFERROR(INDEX('Пользовательские_сценарии'!$O$5:$O$304,MATCH(E295,'Пользовательские_сценарии'!$A$5:$A$304,0)),0))</x:f>
      </x:c>
      <x:c r="R295" s="27" t="str"/>
      <x:c r="S295" s="27" t="str"/>
      <x:c r="T295" s="52" t="str">
        <x:f>IF(A295="","",ROUND(COUNTA(D295:P295)/13,2))</x:f>
      </x:c>
      <x:c r="U295" s="27" t="str"/>
    </x:row>
    <x:row r="296">
      <x:c r="A296" s="27" t="str"/>
      <x:c r="B296" s="27" t="str"/>
      <x:c r="C296" s="27" t="str"/>
      <x:c r="D296" s="27" t="str"/>
      <x:c r="E296" s="27" t="str"/>
      <x:c r="F296" s="27" t="str"/>
      <x:c r="G296" s="27" t="str"/>
      <x:c r="H296" s="27" t="str"/>
      <x:c r="I296" s="27" t="str"/>
      <x:c r="J296" s="27" t="str"/>
      <x:c r="K296" s="27" t="str"/>
      <x:c r="L296" s="27" t="str"/>
      <x:c r="M296" s="27" t="str"/>
      <x:c r="N296" s="27" t="str"/>
      <x:c r="O296" s="27" t="str"/>
      <x:c r="P296" s="27" t="str"/>
      <x:c r="Q296" s="27" t="str">
        <x:f>IF(A296="","",IFERROR(INDEX('Пользовательские_сценарии'!$O$5:$O$304,MATCH(E296,'Пользовательские_сценарии'!$A$5:$A$304,0)),0))</x:f>
      </x:c>
      <x:c r="R296" s="27" t="str"/>
      <x:c r="S296" s="27" t="str"/>
      <x:c r="T296" s="52" t="str">
        <x:f>IF(A296="","",ROUND(COUNTA(D296:P296)/13,2))</x:f>
      </x:c>
      <x:c r="U296" s="27" t="str"/>
    </x:row>
    <x:row r="297">
      <x:c r="A297" s="27" t="str"/>
      <x:c r="B297" s="27" t="str"/>
      <x:c r="C297" s="27" t="str"/>
      <x:c r="D297" s="27" t="str"/>
      <x:c r="E297" s="27" t="str"/>
      <x:c r="F297" s="27" t="str"/>
      <x:c r="G297" s="27" t="str"/>
      <x:c r="H297" s="27" t="str"/>
      <x:c r="I297" s="27" t="str"/>
      <x:c r="J297" s="27" t="str"/>
      <x:c r="K297" s="27" t="str"/>
      <x:c r="L297" s="27" t="str"/>
      <x:c r="M297" s="27" t="str"/>
      <x:c r="N297" s="27" t="str"/>
      <x:c r="O297" s="27" t="str"/>
      <x:c r="P297" s="27" t="str"/>
      <x:c r="Q297" s="27" t="str">
        <x:f>IF(A297="","",IFERROR(INDEX('Пользовательские_сценарии'!$O$5:$O$304,MATCH(E297,'Пользовательские_сценарии'!$A$5:$A$304,0)),0))</x:f>
      </x:c>
      <x:c r="R297" s="27" t="str"/>
      <x:c r="S297" s="27" t="str"/>
      <x:c r="T297" s="52" t="str">
        <x:f>IF(A297="","",ROUND(COUNTA(D297:P297)/13,2))</x:f>
      </x:c>
      <x:c r="U297" s="27" t="str"/>
    </x:row>
    <x:row r="298">
      <x:c r="A298" s="27" t="str"/>
      <x:c r="B298" s="27" t="str"/>
      <x:c r="C298" s="27" t="str"/>
      <x:c r="D298" s="27" t="str"/>
      <x:c r="E298" s="27" t="str"/>
      <x:c r="F298" s="27" t="str"/>
      <x:c r="G298" s="27" t="str"/>
      <x:c r="H298" s="27" t="str"/>
      <x:c r="I298" s="27" t="str"/>
      <x:c r="J298" s="27" t="str"/>
      <x:c r="K298" s="27" t="str"/>
      <x:c r="L298" s="27" t="str"/>
      <x:c r="M298" s="27" t="str"/>
      <x:c r="N298" s="27" t="str"/>
      <x:c r="O298" s="27" t="str"/>
      <x:c r="P298" s="27" t="str"/>
      <x:c r="Q298" s="27" t="str">
        <x:f>IF(A298="","",IFERROR(INDEX('Пользовательские_сценарии'!$O$5:$O$304,MATCH(E298,'Пользовательские_сценарии'!$A$5:$A$304,0)),0))</x:f>
      </x:c>
      <x:c r="R298" s="27" t="str"/>
      <x:c r="S298" s="27" t="str"/>
      <x:c r="T298" s="52" t="str">
        <x:f>IF(A298="","",ROUND(COUNTA(D298:P298)/13,2))</x:f>
      </x:c>
      <x:c r="U298" s="27" t="str"/>
    </x:row>
    <x:row r="299">
      <x:c r="A299" s="27" t="str"/>
      <x:c r="B299" s="27" t="str"/>
      <x:c r="C299" s="27" t="str"/>
      <x:c r="D299" s="27" t="str"/>
      <x:c r="E299" s="27" t="str"/>
      <x:c r="F299" s="27" t="str"/>
      <x:c r="G299" s="27" t="str"/>
      <x:c r="H299" s="27" t="str"/>
      <x:c r="I299" s="27" t="str"/>
      <x:c r="J299" s="27" t="str"/>
      <x:c r="K299" s="27" t="str"/>
      <x:c r="L299" s="27" t="str"/>
      <x:c r="M299" s="27" t="str"/>
      <x:c r="N299" s="27" t="str"/>
      <x:c r="O299" s="27" t="str"/>
      <x:c r="P299" s="27" t="str"/>
      <x:c r="Q299" s="27" t="str">
        <x:f>IF(A299="","",IFERROR(INDEX('Пользовательские_сценарии'!$O$5:$O$304,MATCH(E299,'Пользовательские_сценарии'!$A$5:$A$304,0)),0))</x:f>
      </x:c>
      <x:c r="R299" s="27" t="str"/>
      <x:c r="S299" s="27" t="str"/>
      <x:c r="T299" s="52" t="str">
        <x:f>IF(A299="","",ROUND(COUNTA(D299:P299)/13,2))</x:f>
      </x:c>
      <x:c r="U299" s="27" t="str"/>
    </x:row>
    <x:row r="300">
      <x:c r="A300" s="27" t="str"/>
      <x:c r="B300" s="27" t="str"/>
      <x:c r="C300" s="27" t="str"/>
      <x:c r="D300" s="27" t="str"/>
      <x:c r="E300" s="27" t="str"/>
      <x:c r="F300" s="27" t="str"/>
      <x:c r="G300" s="27" t="str"/>
      <x:c r="H300" s="27" t="str"/>
      <x:c r="I300" s="27" t="str"/>
      <x:c r="J300" s="27" t="str"/>
      <x:c r="K300" s="27" t="str"/>
      <x:c r="L300" s="27" t="str"/>
      <x:c r="M300" s="27" t="str"/>
      <x:c r="N300" s="27" t="str"/>
      <x:c r="O300" s="27" t="str"/>
      <x:c r="P300" s="27" t="str"/>
      <x:c r="Q300" s="27" t="str">
        <x:f>IF(A300="","",IFERROR(INDEX('Пользовательские_сценарии'!$O$5:$O$304,MATCH(E300,'Пользовательские_сценарии'!$A$5:$A$304,0)),0))</x:f>
      </x:c>
      <x:c r="R300" s="27" t="str"/>
      <x:c r="S300" s="27" t="str"/>
      <x:c r="T300" s="52" t="str">
        <x:f>IF(A300="","",ROUND(COUNTA(D300:P300)/13,2))</x:f>
      </x:c>
      <x:c r="U300" s="27" t="str"/>
    </x:row>
    <x:row r="301">
      <x:c r="A301" s="27" t="str"/>
      <x:c r="B301" s="27" t="str"/>
      <x:c r="C301" s="27" t="str"/>
      <x:c r="D301" s="27" t="str"/>
      <x:c r="E301" s="27" t="str"/>
      <x:c r="F301" s="27" t="str"/>
      <x:c r="G301" s="27" t="str"/>
      <x:c r="H301" s="27" t="str"/>
      <x:c r="I301" s="27" t="str"/>
      <x:c r="J301" s="27" t="str"/>
      <x:c r="K301" s="27" t="str"/>
      <x:c r="L301" s="27" t="str"/>
      <x:c r="M301" s="27" t="str"/>
      <x:c r="N301" s="27" t="str"/>
      <x:c r="O301" s="27" t="str"/>
      <x:c r="P301" s="27" t="str"/>
      <x:c r="Q301" s="27" t="str">
        <x:f>IF(A301="","",IFERROR(INDEX('Пользовательские_сценарии'!$O$5:$O$304,MATCH(E301,'Пользовательские_сценарии'!$A$5:$A$304,0)),0))</x:f>
      </x:c>
      <x:c r="R301" s="27" t="str"/>
      <x:c r="S301" s="27" t="str"/>
      <x:c r="T301" s="52" t="str">
        <x:f>IF(A301="","",ROUND(COUNTA(D301:P301)/13,2))</x:f>
      </x:c>
      <x:c r="U301" s="27" t="str"/>
    </x:row>
    <x:row r="302">
      <x:c r="A302" s="27" t="str"/>
      <x:c r="B302" s="27" t="str"/>
      <x:c r="C302" s="27" t="str"/>
      <x:c r="D302" s="27" t="str"/>
      <x:c r="E302" s="27" t="str"/>
      <x:c r="F302" s="27" t="str"/>
      <x:c r="G302" s="27" t="str"/>
      <x:c r="H302" s="27" t="str"/>
      <x:c r="I302" s="27" t="str"/>
      <x:c r="J302" s="27" t="str"/>
      <x:c r="K302" s="27" t="str"/>
      <x:c r="L302" s="27" t="str"/>
      <x:c r="M302" s="27" t="str"/>
      <x:c r="N302" s="27" t="str"/>
      <x:c r="O302" s="27" t="str"/>
      <x:c r="P302" s="27" t="str"/>
      <x:c r="Q302" s="27" t="str">
        <x:f>IF(A302="","",IFERROR(INDEX('Пользовательские_сценарии'!$O$5:$O$304,MATCH(E302,'Пользовательские_сценарии'!$A$5:$A$304,0)),0))</x:f>
      </x:c>
      <x:c r="R302" s="27" t="str"/>
      <x:c r="S302" s="27" t="str"/>
      <x:c r="T302" s="52" t="str">
        <x:f>IF(A302="","",ROUND(COUNTA(D302:P302)/13,2))</x:f>
      </x:c>
      <x:c r="U302" s="27" t="str"/>
    </x:row>
    <x:row r="303">
      <x:c r="A303" s="27" t="str"/>
      <x:c r="B303" s="27" t="str"/>
      <x:c r="C303" s="27" t="str"/>
      <x:c r="D303" s="27" t="str"/>
      <x:c r="E303" s="27" t="str"/>
      <x:c r="F303" s="27" t="str"/>
      <x:c r="G303" s="27" t="str"/>
      <x:c r="H303" s="27" t="str"/>
      <x:c r="I303" s="27" t="str"/>
      <x:c r="J303" s="27" t="str"/>
      <x:c r="K303" s="27" t="str"/>
      <x:c r="L303" s="27" t="str"/>
      <x:c r="M303" s="27" t="str"/>
      <x:c r="N303" s="27" t="str"/>
      <x:c r="O303" s="27" t="str"/>
      <x:c r="P303" s="27" t="str"/>
      <x:c r="Q303" s="27" t="str">
        <x:f>IF(A303="","",IFERROR(INDEX('Пользовательские_сценарии'!$O$5:$O$304,MATCH(E303,'Пользовательские_сценарии'!$A$5:$A$304,0)),0))</x:f>
      </x:c>
      <x:c r="R303" s="27" t="str"/>
      <x:c r="S303" s="27" t="str"/>
      <x:c r="T303" s="52" t="str">
        <x:f>IF(A303="","",ROUND(COUNTA(D303:P303)/13,2))</x:f>
      </x:c>
      <x:c r="U303" s="27" t="str"/>
    </x:row>
    <x:row r="304">
      <x:c r="A304" s="27" t="str"/>
      <x:c r="B304" s="27" t="str"/>
      <x:c r="C304" s="27" t="str"/>
      <x:c r="D304" s="27" t="str"/>
      <x:c r="E304" s="27" t="str"/>
      <x:c r="F304" s="27" t="str"/>
      <x:c r="G304" s="27" t="str"/>
      <x:c r="H304" s="27" t="str"/>
      <x:c r="I304" s="27" t="str"/>
      <x:c r="J304" s="27" t="str"/>
      <x:c r="K304" s="27" t="str"/>
      <x:c r="L304" s="27" t="str"/>
      <x:c r="M304" s="27" t="str"/>
      <x:c r="N304" s="27" t="str"/>
      <x:c r="O304" s="27" t="str"/>
      <x:c r="P304" s="27" t="str"/>
      <x:c r="Q304" s="27" t="str">
        <x:f>IF(A304="","",IFERROR(INDEX('Пользовательские_сценарии'!$O$5:$O$304,MATCH(E304,'Пользовательские_сценарии'!$A$5:$A$304,0)),0))</x:f>
      </x:c>
      <x:c r="R304" s="27" t="str"/>
      <x:c r="S304" s="27" t="str"/>
      <x:c r="T304" s="52" t="str">
        <x:f>IF(A304="","",ROUND(COUNTA(D304:P304)/13,2))</x:f>
      </x:c>
      <x:c r="U304" s="27" t="str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</x:row>
  </x:sheetData>
  <x:mergeCells>
    <x:mergeCell ref="A1:U1"/>
    <x:mergeCell ref="A2:U2"/>
  </x:mergeCells>
  <x:conditionalFormatting sqref="Q5:Q304">
    <x:cfRule type="dataBar" priority="1">
      <x:dataBar>
        <x:cfvo type="min"/>
        <x:cfvo type="max"/>
        <x:color rgb="2F6F7E"/>
      </x:dataBar>
      <x:extLst>
        <x:ext xmlns:x14="http://schemas.microsoft.com/office/spreadsheetml/2009/9/main" uri="{B025F937-C7B1-47D3-B67F-A62EFF666E3E}">
          <x14:id>{21CE02E6-C0DD-F449-044B-0E47682D18CD}</x14:id>
        </x:ext>
      </x:extLst>
    </x:cfRule>
  </x:conditionalFormatting>
  <x:conditionalFormatting sqref="T5:T304">
    <x:cfRule type="colorScale" priority="2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dataValidations count="7">
    <x:dataValidation type="list" sqref="B5:B304">
      <x:formula1>"Страница сайта,Экран приложения,Общий модуль,Системное состояние,Форма,Личный кабинет,Платежный экран"</x:formula1>
    </x:dataValidation>
    <x:dataValidation type="list" sqref="G5:G304">
      <x: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x:formula1>
    </x:dataValidation>
    <x:dataValidation type="list" sqref="O5:O304">
      <x:formula1>"Да,Нет,Частично"</x:formula1>
    </x:dataValidation>
    <x:dataValidation type="list" sqref="P5:P304">
      <x:formula1>"Прямое получение оплаты,Подведение к оплате,Удержание,Повышение ценности тарифа,Снижение затрат,Не связана напрямую"</x:formula1>
    </x:dataValidation>
    <x:dataValidation type="list" sqref="R5:R304">
      <x:formula1>"Не начато,Требует уточнения,В проектировании,В прототипе,Готово к ТЗ,Исключено"</x:formula1>
    </x:dataValidation>
    <x:dataValidation type="list" sqref="S5:S304">
      <x:formula1>"1,2,3,4,5"</x:formula1>
    </x:dataValidation>
    <x:dataValidation type="list" sqref="U5:U304">
      <x:formula1>"Оставить,Объединить,Разделить,Уточнить,Исключить,Перенести в следующий выпуск"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22dc422309472c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1CE02E6-C0DD-F449-044B-0E47682D18CD}">
            <x14:dataBar gradient="1">
              <x14:cfvo type="min"/>
              <x14:cfvo type="max"/>
              <x14:fillColor rgb="2F6F7E"/>
            </x14:dataBar>
          </x14:cfRule>
          <xm:sqref>Q5:Q304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20" hidden="0" customWidth="1"/>
    <x:col min="5" max="5" width="26" hidden="0" customWidth="1"/>
    <x:col min="6" max="6" width="12" hidden="0" customWidth="1"/>
    <x:col min="7" max="7" width="16" hidden="0" customWidth="1"/>
    <x:col min="8" max="8" width="16" hidden="0" customWidth="1"/>
    <x:col min="9" max="9" width="44" hidden="0" customWidth="1"/>
  </x:cols>
  <x:sheetData>
    <x:row r="1" ht="32" customHeight="1">
      <x:c r="A1" s="60" t="str">
        <x:v>Матрица связи сценариев со страницами и экранами</x:v>
      </x:c>
      <x:c r="B1" s="60"/>
      <x:c r="C1" s="60"/>
      <x:c r="D1" s="60"/>
      <x:c r="E1" s="60"/>
      <x:c r="F1" s="60"/>
      <x:c r="G1" s="60"/>
      <x:c r="H1" s="60"/>
      <x:c r="I1" s="60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</x:row>
    <x:row r="2" ht="32" customHeight="1">
      <x:c r="A2" s="9" t="str">
        <x:v>Используется для проверки покрытия сценариев и исключения интерфейсных единиц без понятной задачи.</x:v>
      </x:c>
      <x:c r="B2" s="9"/>
      <x:c r="C2" s="9"/>
      <x:c r="D2" s="9"/>
      <x:c r="E2" s="9"/>
      <x:c r="F2" s="9"/>
      <x:c r="G2" s="9"/>
      <x:c r="H2" s="9"/>
      <x:c r="I2" s="9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 ht="38" customHeight="1">
      <x:c r="A4" s="50" t="str">
        <x:v>Связь_ID</x:v>
      </x:c>
      <x:c r="B4" s="50" t="str">
        <x:v>Сценарий_ID</x:v>
      </x:c>
      <x:c r="C4" s="50" t="str">
        <x:v>Unit_ID</x:v>
      </x:c>
      <x:c r="D4" s="50" t="str">
        <x:v>Тип связи</x:v>
      </x:c>
      <x:c r="E4" s="50" t="str">
        <x:v>Обязательность</x:v>
      </x:c>
      <x:c r="F4" s="50" t="str">
        <x:v>Порядок в сценарии</x:v>
      </x:c>
      <x:c r="G4" s="50" t="str">
        <x:v>Предыдущее Unit_ID</x:v>
      </x:c>
      <x:c r="H4" s="50" t="str">
        <x:v>Следующее Unit_ID</x:v>
      </x:c>
      <x:c r="I4" s="50" t="str">
        <x:v>Комментарий</x:v>
      </x:c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</x:row>
    <x:row r="5">
      <x:c r="A5" s="27" t="str">
        <x:v>M-001</x:v>
      </x:c>
      <x:c r="B5" s="27" t="str">
        <x:v>SC-001</x:v>
      </x:c>
      <x:c r="C5" s="27" t="str">
        <x:v>U-001</x:v>
      </x:c>
      <x:c r="D5" s="27" t="str">
        <x:v>Основная</x:v>
      </x:c>
      <x:c r="E5" s="27" t="str">
        <x:v>Обязательно для первой версии</x:v>
      </x:c>
      <x:c r="F5" s="27" t="n">
        <x:v>1</x:v>
      </x:c>
      <x:c r="G5" s="27" t="str"/>
      <x:c r="H5" s="27" t="str">
        <x:v>U-002</x:v>
      </x:c>
      <x:c r="I5" s="27" t="str">
        <x:v>Главная страница ведет к регистрации или демонстрации</x:v>
      </x:c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</x:row>
    <x:row r="6">
      <x:c r="A6" s="27" t="str">
        <x:v>M-002</x:v>
      </x:c>
      <x:c r="B6" s="27" t="str">
        <x:v>SC-002</x:v>
      </x:c>
      <x:c r="C6" s="27" t="str">
        <x:v>U-002</x:v>
      </x:c>
      <x:c r="D6" s="27" t="str">
        <x:v>Основная</x:v>
      </x:c>
      <x:c r="E6" s="27" t="str">
        <x:v>Обязательно для первой версии</x:v>
      </x:c>
      <x:c r="F6" s="27" t="n">
        <x:v>1</x:v>
      </x:c>
      <x:c r="G6" s="27" t="str">
        <x:v>U-001</x:v>
      </x:c>
      <x:c r="H6" s="27" t="str"/>
      <x:c r="I6" s="27" t="str">
        <x:v>Экран регистрации запускает пользовательскую работу с товаром</x:v>
      </x:c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</x:row>
    <x:row r="44">
      <x:c r="A44" s="27" t="str"/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</x:row>
    <x:row r="45">
      <x:c r="A45" s="27" t="str"/>
      <x:c r="B45" s="27" t="str"/>
      <x:c r="C45" s="27" t="str"/>
      <x:c r="D45" s="27" t="str"/>
      <x:c r="E45" s="27" t="str"/>
      <x:c r="F45" s="27" t="str"/>
      <x:c r="G45" s="27" t="str"/>
      <x:c r="H45" s="27" t="str"/>
      <x:c r="I45" s="27" t="str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</x:row>
    <x:row r="46">
      <x:c r="A46" s="27" t="str"/>
      <x:c r="B46" s="27" t="str"/>
      <x:c r="C46" s="27" t="str"/>
      <x:c r="D46" s="27" t="str"/>
      <x:c r="E46" s="27" t="str"/>
      <x:c r="F46" s="27" t="str"/>
      <x:c r="G46" s="27" t="str"/>
      <x:c r="H46" s="27" t="str"/>
      <x:c r="I46" s="27" t="str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</x:row>
    <x:row r="47">
      <x:c r="A47" s="27" t="str"/>
      <x:c r="B47" s="27" t="str"/>
      <x:c r="C47" s="27" t="str"/>
      <x:c r="D47" s="27" t="str"/>
      <x:c r="E47" s="27" t="str"/>
      <x:c r="F47" s="27" t="str"/>
      <x:c r="G47" s="27" t="str"/>
      <x:c r="H47" s="27" t="str"/>
      <x:c r="I47" s="27" t="str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</x:row>
    <x:row r="48">
      <x:c r="A48" s="27" t="str"/>
      <x:c r="B48" s="27" t="str"/>
      <x:c r="C48" s="27" t="str"/>
      <x:c r="D48" s="27" t="str"/>
      <x:c r="E48" s="27" t="str"/>
      <x:c r="F48" s="27" t="str"/>
      <x:c r="G48" s="27" t="str"/>
      <x:c r="H48" s="27" t="str"/>
      <x:c r="I48" s="27" t="str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</x:row>
    <x:row r="49">
      <x:c r="A49" s="27" t="str"/>
      <x:c r="B49" s="27" t="str"/>
      <x:c r="C49" s="27" t="str"/>
      <x:c r="D49" s="27" t="str"/>
      <x:c r="E49" s="27" t="str"/>
      <x:c r="F49" s="27" t="str"/>
      <x:c r="G49" s="27" t="str"/>
      <x:c r="H49" s="27" t="str"/>
      <x:c r="I49" s="27" t="str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</x:row>
    <x:row r="50">
      <x:c r="A50" s="27" t="str"/>
      <x:c r="B50" s="27" t="str"/>
      <x:c r="C50" s="27" t="str"/>
      <x:c r="D50" s="27" t="str"/>
      <x:c r="E50" s="27" t="str"/>
      <x:c r="F50" s="27" t="str"/>
      <x:c r="G50" s="27" t="str"/>
      <x:c r="H50" s="27" t="str"/>
      <x:c r="I50" s="27" t="str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</x:row>
    <x:row r="51">
      <x:c r="A51" s="27" t="str"/>
      <x:c r="B51" s="27" t="str"/>
      <x:c r="C51" s="27" t="str"/>
      <x:c r="D51" s="27" t="str"/>
      <x:c r="E51" s="27" t="str"/>
      <x:c r="F51" s="27" t="str"/>
      <x:c r="G51" s="27" t="str"/>
      <x:c r="H51" s="27" t="str"/>
      <x:c r="I51" s="27" t="str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</x:row>
    <x:row r="52">
      <x:c r="A52" s="27" t="str"/>
      <x:c r="B52" s="27" t="str"/>
      <x:c r="C52" s="27" t="str"/>
      <x:c r="D52" s="27" t="str"/>
      <x:c r="E52" s="27" t="str"/>
      <x:c r="F52" s="27" t="str"/>
      <x:c r="G52" s="27" t="str"/>
      <x:c r="H52" s="27" t="str"/>
      <x:c r="I52" s="27" t="str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</x:row>
    <x:row r="53">
      <x:c r="A53" s="27" t="str"/>
      <x:c r="B53" s="27" t="str"/>
      <x:c r="C53" s="27" t="str"/>
      <x:c r="D53" s="27" t="str"/>
      <x:c r="E53" s="27" t="str"/>
      <x:c r="F53" s="27" t="str"/>
      <x:c r="G53" s="27" t="str"/>
      <x:c r="H53" s="27" t="str"/>
      <x:c r="I53" s="27" t="str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</x:row>
    <x:row r="54">
      <x:c r="A54" s="27" t="str"/>
      <x:c r="B54" s="27" t="str"/>
      <x:c r="C54" s="27" t="str"/>
      <x:c r="D54" s="27" t="str"/>
      <x:c r="E54" s="27" t="str"/>
      <x:c r="F54" s="27" t="str"/>
      <x:c r="G54" s="27" t="str"/>
      <x:c r="H54" s="27" t="str"/>
      <x:c r="I54" s="27" t="str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</x:row>
    <x:row r="55">
      <x:c r="A55" s="27" t="str"/>
      <x:c r="B55" s="27" t="str"/>
      <x:c r="C55" s="27" t="str"/>
      <x:c r="D55" s="27" t="str"/>
      <x:c r="E55" s="27" t="str"/>
      <x:c r="F55" s="27" t="str"/>
      <x:c r="G55" s="27" t="str"/>
      <x:c r="H55" s="27" t="str"/>
      <x:c r="I55" s="27" t="str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</x:row>
    <x:row r="56">
      <x:c r="A56" s="27" t="str"/>
      <x:c r="B56" s="27" t="str"/>
      <x:c r="C56" s="27" t="str"/>
      <x:c r="D56" s="27" t="str"/>
      <x:c r="E56" s="27" t="str"/>
      <x:c r="F56" s="27" t="str"/>
      <x:c r="G56" s="27" t="str"/>
      <x:c r="H56" s="27" t="str"/>
      <x:c r="I56" s="27" t="str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</x:row>
    <x:row r="57">
      <x:c r="A57" s="27" t="str"/>
      <x:c r="B57" s="27" t="str"/>
      <x:c r="C57" s="27" t="str"/>
      <x:c r="D57" s="27" t="str"/>
      <x:c r="E57" s="27" t="str"/>
      <x:c r="F57" s="27" t="str"/>
      <x:c r="G57" s="27" t="str"/>
      <x:c r="H57" s="27" t="str"/>
      <x:c r="I57" s="27" t="str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</x:row>
    <x:row r="58">
      <x:c r="A58" s="27" t="str"/>
      <x:c r="B58" s="27" t="str"/>
      <x:c r="C58" s="27" t="str"/>
      <x:c r="D58" s="27" t="str"/>
      <x:c r="E58" s="27" t="str"/>
      <x:c r="F58" s="27" t="str"/>
      <x:c r="G58" s="27" t="str"/>
      <x:c r="H58" s="27" t="str"/>
      <x:c r="I58" s="27" t="str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</x:row>
    <x:row r="59">
      <x:c r="A59" s="27" t="str"/>
      <x:c r="B59" s="27" t="str"/>
      <x:c r="C59" s="27" t="str"/>
      <x:c r="D59" s="27" t="str"/>
      <x:c r="E59" s="27" t="str"/>
      <x:c r="F59" s="27" t="str"/>
      <x:c r="G59" s="27" t="str"/>
      <x:c r="H59" s="27" t="str"/>
      <x:c r="I59" s="27" t="str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</x:row>
    <x:row r="60">
      <x:c r="A60" s="27" t="str"/>
      <x:c r="B60" s="27" t="str"/>
      <x:c r="C60" s="27" t="str"/>
      <x:c r="D60" s="27" t="str"/>
      <x:c r="E60" s="27" t="str"/>
      <x:c r="F60" s="27" t="str"/>
      <x:c r="G60" s="27" t="str"/>
      <x:c r="H60" s="27" t="str"/>
      <x:c r="I60" s="27" t="str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</x:row>
    <x:row r="61">
      <x:c r="A61" s="27" t="str"/>
      <x:c r="B61" s="27" t="str"/>
      <x:c r="C61" s="27" t="str"/>
      <x:c r="D61" s="27" t="str"/>
      <x:c r="E61" s="27" t="str"/>
      <x:c r="F61" s="27" t="str"/>
      <x:c r="G61" s="27" t="str"/>
      <x:c r="H61" s="27" t="str"/>
      <x:c r="I61" s="27" t="str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</x:row>
    <x:row r="62">
      <x:c r="A62" s="27" t="str"/>
      <x:c r="B62" s="27" t="str"/>
      <x:c r="C62" s="27" t="str"/>
      <x:c r="D62" s="27" t="str"/>
      <x:c r="E62" s="27" t="str"/>
      <x:c r="F62" s="27" t="str"/>
      <x:c r="G62" s="27" t="str"/>
      <x:c r="H62" s="27" t="str"/>
      <x:c r="I62" s="27" t="str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</x:row>
    <x:row r="63">
      <x:c r="A63" s="27" t="str"/>
      <x:c r="B63" s="27" t="str"/>
      <x:c r="C63" s="27" t="str"/>
      <x:c r="D63" s="27" t="str"/>
      <x:c r="E63" s="27" t="str"/>
      <x:c r="F63" s="27" t="str"/>
      <x:c r="G63" s="27" t="str"/>
      <x:c r="H63" s="27" t="str"/>
      <x:c r="I63" s="27" t="str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</x:row>
    <x:row r="64">
      <x:c r="A64" s="27" t="str"/>
      <x:c r="B64" s="27" t="str"/>
      <x:c r="C64" s="27" t="str"/>
      <x:c r="D64" s="27" t="str"/>
      <x:c r="E64" s="27" t="str"/>
      <x:c r="F64" s="27" t="str"/>
      <x:c r="G64" s="27" t="str"/>
      <x:c r="H64" s="27" t="str"/>
      <x:c r="I64" s="27" t="str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</x:row>
    <x:row r="65">
      <x:c r="A65" s="27" t="str"/>
      <x:c r="B65" s="27" t="str"/>
      <x:c r="C65" s="27" t="str"/>
      <x:c r="D65" s="27" t="str"/>
      <x:c r="E65" s="27" t="str"/>
      <x:c r="F65" s="27" t="str"/>
      <x:c r="G65" s="27" t="str"/>
      <x:c r="H65" s="27" t="str"/>
      <x:c r="I65" s="27" t="str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</x:row>
    <x:row r="66">
      <x:c r="A66" s="27" t="str"/>
      <x:c r="B66" s="27" t="str"/>
      <x:c r="C66" s="27" t="str"/>
      <x:c r="D66" s="27" t="str"/>
      <x:c r="E66" s="27" t="str"/>
      <x:c r="F66" s="27" t="str"/>
      <x:c r="G66" s="27" t="str"/>
      <x:c r="H66" s="27" t="str"/>
      <x:c r="I66" s="27" t="str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</x:row>
    <x:row r="67">
      <x:c r="A67" s="27" t="str"/>
      <x:c r="B67" s="27" t="str"/>
      <x:c r="C67" s="27" t="str"/>
      <x:c r="D67" s="27" t="str"/>
      <x:c r="E67" s="27" t="str"/>
      <x:c r="F67" s="27" t="str"/>
      <x:c r="G67" s="27" t="str"/>
      <x:c r="H67" s="27" t="str"/>
      <x:c r="I67" s="27" t="str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</x:row>
    <x:row r="68">
      <x:c r="A68" s="27" t="str"/>
      <x:c r="B68" s="27" t="str"/>
      <x:c r="C68" s="27" t="str"/>
      <x:c r="D68" s="27" t="str"/>
      <x:c r="E68" s="27" t="str"/>
      <x:c r="F68" s="27" t="str"/>
      <x:c r="G68" s="27" t="str"/>
      <x:c r="H68" s="27" t="str"/>
      <x:c r="I68" s="27" t="str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</x:row>
    <x:row r="69">
      <x:c r="A69" s="27" t="str"/>
      <x:c r="B69" s="27" t="str"/>
      <x:c r="C69" s="27" t="str"/>
      <x:c r="D69" s="27" t="str"/>
      <x:c r="E69" s="27" t="str"/>
      <x:c r="F69" s="27" t="str"/>
      <x:c r="G69" s="27" t="str"/>
      <x:c r="H69" s="27" t="str"/>
      <x:c r="I69" s="27" t="str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</x:row>
    <x:row r="70">
      <x:c r="A70" s="27" t="str"/>
      <x:c r="B70" s="27" t="str"/>
      <x:c r="C70" s="27" t="str"/>
      <x:c r="D70" s="27" t="str"/>
      <x:c r="E70" s="27" t="str"/>
      <x:c r="F70" s="27" t="str"/>
      <x:c r="G70" s="27" t="str"/>
      <x:c r="H70" s="27" t="str"/>
      <x:c r="I70" s="27" t="str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</x:row>
    <x:row r="71">
      <x:c r="A71" s="27" t="str"/>
      <x:c r="B71" s="27" t="str"/>
      <x:c r="C71" s="27" t="str"/>
      <x:c r="D71" s="27" t="str"/>
      <x:c r="E71" s="27" t="str"/>
      <x:c r="F71" s="27" t="str"/>
      <x:c r="G71" s="27" t="str"/>
      <x:c r="H71" s="27" t="str"/>
      <x:c r="I71" s="27" t="str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</x:row>
    <x:row r="72">
      <x:c r="A72" s="27" t="str"/>
      <x:c r="B72" s="27" t="str"/>
      <x:c r="C72" s="27" t="str"/>
      <x:c r="D72" s="27" t="str"/>
      <x:c r="E72" s="27" t="str"/>
      <x:c r="F72" s="27" t="str"/>
      <x:c r="G72" s="27" t="str"/>
      <x:c r="H72" s="27" t="str"/>
      <x:c r="I72" s="27" t="str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</x:row>
    <x:row r="73">
      <x:c r="A73" s="27" t="str"/>
      <x:c r="B73" s="27" t="str"/>
      <x:c r="C73" s="27" t="str"/>
      <x:c r="D73" s="27" t="str"/>
      <x:c r="E73" s="27" t="str"/>
      <x:c r="F73" s="27" t="str"/>
      <x:c r="G73" s="27" t="str"/>
      <x:c r="H73" s="27" t="str"/>
      <x:c r="I73" s="27" t="str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</x:row>
    <x:row r="74">
      <x:c r="A74" s="27" t="str"/>
      <x:c r="B74" s="27" t="str"/>
      <x:c r="C74" s="27" t="str"/>
      <x:c r="D74" s="27" t="str"/>
      <x:c r="E74" s="27" t="str"/>
      <x:c r="F74" s="27" t="str"/>
      <x:c r="G74" s="27" t="str"/>
      <x:c r="H74" s="27" t="str"/>
      <x:c r="I74" s="27" t="str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</x:row>
    <x:row r="75">
      <x:c r="A75" s="27" t="str"/>
      <x:c r="B75" s="27" t="str"/>
      <x:c r="C75" s="27" t="str"/>
      <x:c r="D75" s="27" t="str"/>
      <x:c r="E75" s="27" t="str"/>
      <x:c r="F75" s="27" t="str"/>
      <x:c r="G75" s="27" t="str"/>
      <x:c r="H75" s="27" t="str"/>
      <x:c r="I75" s="27" t="str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</x:row>
    <x:row r="76">
      <x:c r="A76" s="27" t="str"/>
      <x:c r="B76" s="27" t="str"/>
      <x:c r="C76" s="27" t="str"/>
      <x:c r="D76" s="27" t="str"/>
      <x:c r="E76" s="27" t="str"/>
      <x:c r="F76" s="27" t="str"/>
      <x:c r="G76" s="27" t="str"/>
      <x:c r="H76" s="27" t="str"/>
      <x:c r="I76" s="27" t="str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</x:row>
    <x:row r="77">
      <x:c r="A77" s="27" t="str"/>
      <x:c r="B77" s="27" t="str"/>
      <x:c r="C77" s="27" t="str"/>
      <x:c r="D77" s="27" t="str"/>
      <x:c r="E77" s="27" t="str"/>
      <x:c r="F77" s="27" t="str"/>
      <x:c r="G77" s="27" t="str"/>
      <x:c r="H77" s="27" t="str"/>
      <x:c r="I77" s="27" t="str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</x:row>
    <x:row r="78">
      <x:c r="A78" s="27" t="str"/>
      <x:c r="B78" s="27" t="str"/>
      <x:c r="C78" s="27" t="str"/>
      <x:c r="D78" s="27" t="str"/>
      <x:c r="E78" s="27" t="str"/>
      <x:c r="F78" s="27" t="str"/>
      <x:c r="G78" s="27" t="str"/>
      <x:c r="H78" s="27" t="str"/>
      <x:c r="I78" s="27" t="str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</x:row>
    <x:row r="79">
      <x:c r="A79" s="27" t="str"/>
      <x:c r="B79" s="27" t="str"/>
      <x:c r="C79" s="27" t="str"/>
      <x:c r="D79" s="27" t="str"/>
      <x:c r="E79" s="27" t="str"/>
      <x:c r="F79" s="27" t="str"/>
      <x:c r="G79" s="27" t="str"/>
      <x:c r="H79" s="27" t="str"/>
      <x:c r="I79" s="27" t="str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</x:row>
    <x:row r="80">
      <x:c r="A80" s="27" t="str"/>
      <x:c r="B80" s="27" t="str"/>
      <x:c r="C80" s="27" t="str"/>
      <x:c r="D80" s="27" t="str"/>
      <x:c r="E80" s="27" t="str"/>
      <x:c r="F80" s="27" t="str"/>
      <x:c r="G80" s="27" t="str"/>
      <x:c r="H80" s="27" t="str"/>
      <x:c r="I80" s="27" t="str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</x:row>
    <x:row r="81">
      <x:c r="A81" s="27" t="str"/>
      <x:c r="B81" s="27" t="str"/>
      <x:c r="C81" s="27" t="str"/>
      <x:c r="D81" s="27" t="str"/>
      <x:c r="E81" s="27" t="str"/>
      <x:c r="F81" s="27" t="str"/>
      <x:c r="G81" s="27" t="str"/>
      <x:c r="H81" s="27" t="str"/>
      <x:c r="I81" s="27" t="str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</x:row>
    <x:row r="82">
      <x:c r="A82" s="27" t="str"/>
      <x:c r="B82" s="27" t="str"/>
      <x:c r="C82" s="27" t="str"/>
      <x:c r="D82" s="27" t="str"/>
      <x:c r="E82" s="27" t="str"/>
      <x:c r="F82" s="27" t="str"/>
      <x:c r="G82" s="27" t="str"/>
      <x:c r="H82" s="27" t="str"/>
      <x:c r="I82" s="27" t="str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</x:row>
    <x:row r="83">
      <x:c r="A83" s="27" t="str"/>
      <x:c r="B83" s="27" t="str"/>
      <x:c r="C83" s="27" t="str"/>
      <x:c r="D83" s="27" t="str"/>
      <x:c r="E83" s="27" t="str"/>
      <x:c r="F83" s="27" t="str"/>
      <x:c r="G83" s="27" t="str"/>
      <x:c r="H83" s="27" t="str"/>
      <x:c r="I83" s="27" t="str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</x:row>
    <x:row r="84">
      <x:c r="A84" s="27" t="str"/>
      <x:c r="B84" s="27" t="str"/>
      <x:c r="C84" s="27" t="str"/>
      <x:c r="D84" s="27" t="str"/>
      <x:c r="E84" s="27" t="str"/>
      <x:c r="F84" s="27" t="str"/>
      <x:c r="G84" s="27" t="str"/>
      <x:c r="H84" s="27" t="str"/>
      <x:c r="I84" s="27" t="str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</x:row>
    <x:row r="85">
      <x:c r="A85" s="27" t="str"/>
      <x:c r="B85" s="27" t="str"/>
      <x:c r="C85" s="27" t="str"/>
      <x:c r="D85" s="27" t="str"/>
      <x:c r="E85" s="27" t="str"/>
      <x:c r="F85" s="27" t="str"/>
      <x:c r="G85" s="27" t="str"/>
      <x:c r="H85" s="27" t="str"/>
      <x:c r="I85" s="27" t="str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</x:row>
    <x:row r="86">
      <x:c r="A86" s="27" t="str"/>
      <x:c r="B86" s="27" t="str"/>
      <x:c r="C86" s="27" t="str"/>
      <x:c r="D86" s="27" t="str"/>
      <x:c r="E86" s="27" t="str"/>
      <x:c r="F86" s="27" t="str"/>
      <x:c r="G86" s="27" t="str"/>
      <x:c r="H86" s="27" t="str"/>
      <x:c r="I86" s="27" t="str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</x:row>
    <x:row r="87">
      <x:c r="A87" s="27" t="str"/>
      <x:c r="B87" s="27" t="str"/>
      <x:c r="C87" s="27" t="str"/>
      <x:c r="D87" s="27" t="str"/>
      <x:c r="E87" s="27" t="str"/>
      <x:c r="F87" s="27" t="str"/>
      <x:c r="G87" s="27" t="str"/>
      <x:c r="H87" s="27" t="str"/>
      <x:c r="I87" s="27" t="str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</x:row>
    <x:row r="88">
      <x:c r="A88" s="27" t="str"/>
      <x:c r="B88" s="27" t="str"/>
      <x:c r="C88" s="27" t="str"/>
      <x:c r="D88" s="27" t="str"/>
      <x:c r="E88" s="27" t="str"/>
      <x:c r="F88" s="27" t="str"/>
      <x:c r="G88" s="27" t="str"/>
      <x:c r="H88" s="27" t="str"/>
      <x:c r="I88" s="27" t="str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</x:row>
    <x:row r="89">
      <x:c r="A89" s="27" t="str"/>
      <x:c r="B89" s="27" t="str"/>
      <x:c r="C89" s="27" t="str"/>
      <x:c r="D89" s="27" t="str"/>
      <x:c r="E89" s="27" t="str"/>
      <x:c r="F89" s="27" t="str"/>
      <x:c r="G89" s="27" t="str"/>
      <x:c r="H89" s="27" t="str"/>
      <x:c r="I89" s="27" t="str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</x:row>
    <x:row r="90">
      <x:c r="A90" s="27" t="str"/>
      <x:c r="B90" s="27" t="str"/>
      <x:c r="C90" s="27" t="str"/>
      <x:c r="D90" s="27" t="str"/>
      <x:c r="E90" s="27" t="str"/>
      <x:c r="F90" s="27" t="str"/>
      <x:c r="G90" s="27" t="str"/>
      <x:c r="H90" s="27" t="str"/>
      <x:c r="I90" s="27" t="str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</x:row>
    <x:row r="91">
      <x:c r="A91" s="27" t="str"/>
      <x:c r="B91" s="27" t="str"/>
      <x:c r="C91" s="27" t="str"/>
      <x:c r="D91" s="27" t="str"/>
      <x:c r="E91" s="27" t="str"/>
      <x:c r="F91" s="27" t="str"/>
      <x:c r="G91" s="27" t="str"/>
      <x:c r="H91" s="27" t="str"/>
      <x:c r="I91" s="27" t="str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</x:row>
    <x:row r="92">
      <x:c r="A92" s="27" t="str"/>
      <x:c r="B92" s="27" t="str"/>
      <x:c r="C92" s="27" t="str"/>
      <x:c r="D92" s="27" t="str"/>
      <x:c r="E92" s="27" t="str"/>
      <x:c r="F92" s="27" t="str"/>
      <x:c r="G92" s="27" t="str"/>
      <x:c r="H92" s="27" t="str"/>
      <x:c r="I92" s="27" t="str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</x:row>
    <x:row r="93">
      <x:c r="A93" s="27" t="str"/>
      <x:c r="B93" s="27" t="str"/>
      <x:c r="C93" s="27" t="str"/>
      <x:c r="D93" s="27" t="str"/>
      <x:c r="E93" s="27" t="str"/>
      <x:c r="F93" s="27" t="str"/>
      <x:c r="G93" s="27" t="str"/>
      <x:c r="H93" s="27" t="str"/>
      <x:c r="I93" s="27" t="str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</x:row>
    <x:row r="94">
      <x:c r="A94" s="27" t="str"/>
      <x:c r="B94" s="27" t="str"/>
      <x:c r="C94" s="27" t="str"/>
      <x:c r="D94" s="27" t="str"/>
      <x:c r="E94" s="27" t="str"/>
      <x:c r="F94" s="27" t="str"/>
      <x:c r="G94" s="27" t="str"/>
      <x:c r="H94" s="27" t="str"/>
      <x:c r="I94" s="27" t="str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</x:row>
    <x:row r="95">
      <x:c r="A95" s="27" t="str"/>
      <x:c r="B95" s="27" t="str"/>
      <x:c r="C95" s="27" t="str"/>
      <x:c r="D95" s="27" t="str"/>
      <x:c r="E95" s="27" t="str"/>
      <x:c r="F95" s="27" t="str"/>
      <x:c r="G95" s="27" t="str"/>
      <x:c r="H95" s="27" t="str"/>
      <x:c r="I95" s="27" t="str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</x:row>
    <x:row r="96">
      <x:c r="A96" s="27" t="str"/>
      <x:c r="B96" s="27" t="str"/>
      <x:c r="C96" s="27" t="str"/>
      <x:c r="D96" s="27" t="str"/>
      <x:c r="E96" s="27" t="str"/>
      <x:c r="F96" s="27" t="str"/>
      <x:c r="G96" s="27" t="str"/>
      <x:c r="H96" s="27" t="str"/>
      <x:c r="I96" s="27" t="str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</x:row>
    <x:row r="97">
      <x:c r="A97" s="27" t="str"/>
      <x:c r="B97" s="27" t="str"/>
      <x:c r="C97" s="27" t="str"/>
      <x:c r="D97" s="27" t="str"/>
      <x:c r="E97" s="27" t="str"/>
      <x:c r="F97" s="27" t="str"/>
      <x:c r="G97" s="27" t="str"/>
      <x:c r="H97" s="27" t="str"/>
      <x:c r="I97" s="27" t="str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</x:row>
    <x:row r="98">
      <x:c r="A98" s="27" t="str"/>
      <x:c r="B98" s="27" t="str"/>
      <x:c r="C98" s="27" t="str"/>
      <x:c r="D98" s="27" t="str"/>
      <x:c r="E98" s="27" t="str"/>
      <x:c r="F98" s="27" t="str"/>
      <x:c r="G98" s="27" t="str"/>
      <x:c r="H98" s="27" t="str"/>
      <x:c r="I98" s="27" t="str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</x:row>
    <x:row r="99">
      <x:c r="A99" s="27" t="str"/>
      <x:c r="B99" s="27" t="str"/>
      <x:c r="C99" s="27" t="str"/>
      <x:c r="D99" s="27" t="str"/>
      <x:c r="E99" s="27" t="str"/>
      <x:c r="F99" s="27" t="str"/>
      <x:c r="G99" s="27" t="str"/>
      <x:c r="H99" s="27" t="str"/>
      <x:c r="I99" s="27" t="str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</x:row>
    <x:row r="100">
      <x:c r="A100" s="27" t="str"/>
      <x:c r="B100" s="27" t="str"/>
      <x:c r="C100" s="27" t="str"/>
      <x:c r="D100" s="27" t="str"/>
      <x:c r="E100" s="27" t="str"/>
      <x:c r="F100" s="27" t="str"/>
      <x:c r="G100" s="27" t="str"/>
      <x:c r="H100" s="27" t="str"/>
      <x:c r="I100" s="27" t="str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</x:row>
    <x:row r="101">
      <x:c r="A101" s="27" t="str"/>
      <x:c r="B101" s="27" t="str"/>
      <x:c r="C101" s="27" t="str"/>
      <x:c r="D101" s="27" t="str"/>
      <x:c r="E101" s="27" t="str"/>
      <x:c r="F101" s="27" t="str"/>
      <x:c r="G101" s="27" t="str"/>
      <x:c r="H101" s="27" t="str"/>
      <x:c r="I101" s="27" t="str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</x:row>
    <x:row r="102">
      <x:c r="A102" s="27" t="str"/>
      <x:c r="B102" s="27" t="str"/>
      <x:c r="C102" s="27" t="str"/>
      <x:c r="D102" s="27" t="str"/>
      <x:c r="E102" s="27" t="str"/>
      <x:c r="F102" s="27" t="str"/>
      <x:c r="G102" s="27" t="str"/>
      <x:c r="H102" s="27" t="str"/>
      <x:c r="I102" s="27" t="str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</x:row>
    <x:row r="103">
      <x:c r="A103" s="27" t="str"/>
      <x:c r="B103" s="27" t="str"/>
      <x:c r="C103" s="27" t="str"/>
      <x:c r="D103" s="27" t="str"/>
      <x:c r="E103" s="27" t="str"/>
      <x:c r="F103" s="27" t="str"/>
      <x:c r="G103" s="27" t="str"/>
      <x:c r="H103" s="27" t="str"/>
      <x:c r="I103" s="27" t="str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</x:row>
    <x:row r="104">
      <x:c r="A104" s="27" t="str"/>
      <x:c r="B104" s="27" t="str"/>
      <x:c r="C104" s="27" t="str"/>
      <x:c r="D104" s="27" t="str"/>
      <x:c r="E104" s="27" t="str"/>
      <x:c r="F104" s="27" t="str"/>
      <x:c r="G104" s="27" t="str"/>
      <x:c r="H104" s="27" t="str"/>
      <x:c r="I104" s="27" t="str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</x:row>
    <x:row r="105">
      <x:c r="A105" s="27" t="str"/>
      <x:c r="B105" s="27" t="str"/>
      <x:c r="C105" s="27" t="str"/>
      <x:c r="D105" s="27" t="str"/>
      <x:c r="E105" s="27" t="str"/>
      <x:c r="F105" s="27" t="str"/>
      <x:c r="G105" s="27" t="str"/>
      <x:c r="H105" s="27" t="str"/>
      <x:c r="I105" s="27" t="str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</x:row>
    <x:row r="106">
      <x:c r="A106" s="27" t="str"/>
      <x:c r="B106" s="27" t="str"/>
      <x:c r="C106" s="27" t="str"/>
      <x:c r="D106" s="27" t="str"/>
      <x:c r="E106" s="27" t="str"/>
      <x:c r="F106" s="27" t="str"/>
      <x:c r="G106" s="27" t="str"/>
      <x:c r="H106" s="27" t="str"/>
      <x:c r="I106" s="27" t="str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</x:row>
    <x:row r="107">
      <x:c r="A107" s="27" t="str"/>
      <x:c r="B107" s="27" t="str"/>
      <x:c r="C107" s="27" t="str"/>
      <x:c r="D107" s="27" t="str"/>
      <x:c r="E107" s="27" t="str"/>
      <x:c r="F107" s="27" t="str"/>
      <x:c r="G107" s="27" t="str"/>
      <x:c r="H107" s="27" t="str"/>
      <x:c r="I107" s="27" t="str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</x:row>
    <x:row r="108">
      <x:c r="A108" s="27" t="str"/>
      <x:c r="B108" s="27" t="str"/>
      <x:c r="C108" s="27" t="str"/>
      <x:c r="D108" s="27" t="str"/>
      <x:c r="E108" s="27" t="str"/>
      <x:c r="F108" s="27" t="str"/>
      <x:c r="G108" s="27" t="str"/>
      <x:c r="H108" s="27" t="str"/>
      <x:c r="I108" s="27" t="str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</x:row>
    <x:row r="109">
      <x:c r="A109" s="27" t="str"/>
      <x:c r="B109" s="27" t="str"/>
      <x:c r="C109" s="27" t="str"/>
      <x:c r="D109" s="27" t="str"/>
      <x:c r="E109" s="27" t="str"/>
      <x:c r="F109" s="27" t="str"/>
      <x:c r="G109" s="27" t="str"/>
      <x:c r="H109" s="27" t="str"/>
      <x:c r="I109" s="27" t="str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</x:row>
    <x:row r="110">
      <x:c r="A110" s="27" t="str"/>
      <x:c r="B110" s="27" t="str"/>
      <x:c r="C110" s="27" t="str"/>
      <x:c r="D110" s="27" t="str"/>
      <x:c r="E110" s="27" t="str"/>
      <x:c r="F110" s="27" t="str"/>
      <x:c r="G110" s="27" t="str"/>
      <x:c r="H110" s="27" t="str"/>
      <x:c r="I110" s="27" t="str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</x:row>
    <x:row r="111">
      <x:c r="A111" s="27" t="str"/>
      <x:c r="B111" s="27" t="str"/>
      <x:c r="C111" s="27" t="str"/>
      <x:c r="D111" s="27" t="str"/>
      <x:c r="E111" s="27" t="str"/>
      <x:c r="F111" s="27" t="str"/>
      <x:c r="G111" s="27" t="str"/>
      <x:c r="H111" s="27" t="str"/>
      <x:c r="I111" s="27" t="str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</x:row>
    <x:row r="112">
      <x:c r="A112" s="27" t="str"/>
      <x:c r="B112" s="27" t="str"/>
      <x:c r="C112" s="27" t="str"/>
      <x:c r="D112" s="27" t="str"/>
      <x:c r="E112" s="27" t="str"/>
      <x:c r="F112" s="27" t="str"/>
      <x:c r="G112" s="27" t="str"/>
      <x:c r="H112" s="27" t="str"/>
      <x:c r="I112" s="27" t="str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</x:row>
    <x:row r="113">
      <x:c r="A113" s="27" t="str"/>
      <x:c r="B113" s="27" t="str"/>
      <x:c r="C113" s="27" t="str"/>
      <x:c r="D113" s="27" t="str"/>
      <x:c r="E113" s="27" t="str"/>
      <x:c r="F113" s="27" t="str"/>
      <x:c r="G113" s="27" t="str"/>
      <x:c r="H113" s="27" t="str"/>
      <x:c r="I113" s="27" t="str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</x:row>
    <x:row r="114">
      <x:c r="A114" s="27" t="str"/>
      <x:c r="B114" s="27" t="str"/>
      <x:c r="C114" s="27" t="str"/>
      <x:c r="D114" s="27" t="str"/>
      <x:c r="E114" s="27" t="str"/>
      <x:c r="F114" s="27" t="str"/>
      <x:c r="G114" s="27" t="str"/>
      <x:c r="H114" s="27" t="str"/>
      <x:c r="I114" s="27" t="str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</x:row>
    <x:row r="115">
      <x:c r="A115" s="27" t="str"/>
      <x:c r="B115" s="27" t="str"/>
      <x:c r="C115" s="27" t="str"/>
      <x:c r="D115" s="27" t="str"/>
      <x:c r="E115" s="27" t="str"/>
      <x:c r="F115" s="27" t="str"/>
      <x:c r="G115" s="27" t="str"/>
      <x:c r="H115" s="27" t="str"/>
      <x:c r="I115" s="27" t="str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</x:row>
    <x:row r="116">
      <x:c r="A116" s="27" t="str"/>
      <x:c r="B116" s="27" t="str"/>
      <x:c r="C116" s="27" t="str"/>
      <x:c r="D116" s="27" t="str"/>
      <x:c r="E116" s="27" t="str"/>
      <x:c r="F116" s="27" t="str"/>
      <x:c r="G116" s="27" t="str"/>
      <x:c r="H116" s="27" t="str"/>
      <x:c r="I116" s="27" t="str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</x:row>
    <x:row r="117">
      <x:c r="A117" s="27" t="str"/>
      <x:c r="B117" s="27" t="str"/>
      <x:c r="C117" s="27" t="str"/>
      <x:c r="D117" s="27" t="str"/>
      <x:c r="E117" s="27" t="str"/>
      <x:c r="F117" s="27" t="str"/>
      <x:c r="G117" s="27" t="str"/>
      <x:c r="H117" s="27" t="str"/>
      <x:c r="I117" s="27" t="str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</x:row>
    <x:row r="118">
      <x:c r="A118" s="27" t="str"/>
      <x:c r="B118" s="27" t="str"/>
      <x:c r="C118" s="27" t="str"/>
      <x:c r="D118" s="27" t="str"/>
      <x:c r="E118" s="27" t="str"/>
      <x:c r="F118" s="27" t="str"/>
      <x:c r="G118" s="27" t="str"/>
      <x:c r="H118" s="27" t="str"/>
      <x:c r="I118" s="27" t="str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</x:row>
    <x:row r="119">
      <x:c r="A119" s="27" t="str"/>
      <x:c r="B119" s="27" t="str"/>
      <x:c r="C119" s="27" t="str"/>
      <x:c r="D119" s="27" t="str"/>
      <x:c r="E119" s="27" t="str"/>
      <x:c r="F119" s="27" t="str"/>
      <x:c r="G119" s="27" t="str"/>
      <x:c r="H119" s="27" t="str"/>
      <x:c r="I119" s="27" t="str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</x:row>
    <x:row r="120">
      <x:c r="A120" s="27" t="str"/>
      <x:c r="B120" s="27" t="str"/>
      <x:c r="C120" s="27" t="str"/>
      <x:c r="D120" s="27" t="str"/>
      <x:c r="E120" s="27" t="str"/>
      <x:c r="F120" s="27" t="str"/>
      <x:c r="G120" s="27" t="str"/>
      <x:c r="H120" s="27" t="str"/>
      <x:c r="I120" s="27" t="str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</x:row>
    <x:row r="121">
      <x:c r="A121" s="27" t="str"/>
      <x:c r="B121" s="27" t="str"/>
      <x:c r="C121" s="27" t="str"/>
      <x:c r="D121" s="27" t="str"/>
      <x:c r="E121" s="27" t="str"/>
      <x:c r="F121" s="27" t="str"/>
      <x:c r="G121" s="27" t="str"/>
      <x:c r="H121" s="27" t="str"/>
      <x:c r="I121" s="27" t="str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</x:row>
    <x:row r="122">
      <x:c r="A122" s="27" t="str"/>
      <x:c r="B122" s="27" t="str"/>
      <x:c r="C122" s="27" t="str"/>
      <x:c r="D122" s="27" t="str"/>
      <x:c r="E122" s="27" t="str"/>
      <x:c r="F122" s="27" t="str"/>
      <x:c r="G122" s="27" t="str"/>
      <x:c r="H122" s="27" t="str"/>
      <x:c r="I122" s="27" t="str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</x:row>
    <x:row r="123">
      <x:c r="A123" s="27" t="str"/>
      <x:c r="B123" s="27" t="str"/>
      <x:c r="C123" s="27" t="str"/>
      <x:c r="D123" s="27" t="str"/>
      <x:c r="E123" s="27" t="str"/>
      <x:c r="F123" s="27" t="str"/>
      <x:c r="G123" s="27" t="str"/>
      <x:c r="H123" s="27" t="str"/>
      <x:c r="I123" s="27" t="str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</x:row>
    <x:row r="124">
      <x:c r="A124" s="27" t="str"/>
      <x:c r="B124" s="27" t="str"/>
      <x:c r="C124" s="27" t="str"/>
      <x:c r="D124" s="27" t="str"/>
      <x:c r="E124" s="27" t="str"/>
      <x:c r="F124" s="27" t="str"/>
      <x:c r="G124" s="27" t="str"/>
      <x:c r="H124" s="27" t="str"/>
      <x:c r="I124" s="27" t="str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</x:row>
    <x:row r="125">
      <x:c r="A125" s="27" t="str"/>
      <x:c r="B125" s="27" t="str"/>
      <x:c r="C125" s="27" t="str"/>
      <x:c r="D125" s="27" t="str"/>
      <x:c r="E125" s="27" t="str"/>
      <x:c r="F125" s="27" t="str"/>
      <x:c r="G125" s="27" t="str"/>
      <x:c r="H125" s="27" t="str"/>
      <x:c r="I125" s="27" t="str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</x:row>
    <x:row r="126">
      <x:c r="A126" s="27" t="str"/>
      <x:c r="B126" s="27" t="str"/>
      <x:c r="C126" s="27" t="str"/>
      <x:c r="D126" s="27" t="str"/>
      <x:c r="E126" s="27" t="str"/>
      <x:c r="F126" s="27" t="str"/>
      <x:c r="G126" s="27" t="str"/>
      <x:c r="H126" s="27" t="str"/>
      <x:c r="I126" s="27" t="str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</x:row>
    <x:row r="127">
      <x:c r="A127" s="27" t="str"/>
      <x:c r="B127" s="27" t="str"/>
      <x:c r="C127" s="27" t="str"/>
      <x:c r="D127" s="27" t="str"/>
      <x:c r="E127" s="27" t="str"/>
      <x:c r="F127" s="27" t="str"/>
      <x:c r="G127" s="27" t="str"/>
      <x:c r="H127" s="27" t="str"/>
      <x:c r="I127" s="27" t="str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</x:row>
    <x:row r="128">
      <x:c r="A128" s="27" t="str"/>
      <x:c r="B128" s="27" t="str"/>
      <x:c r="C128" s="27" t="str"/>
      <x:c r="D128" s="27" t="str"/>
      <x:c r="E128" s="27" t="str"/>
      <x:c r="F128" s="27" t="str"/>
      <x:c r="G128" s="27" t="str"/>
      <x:c r="H128" s="27" t="str"/>
      <x:c r="I128" s="27" t="str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</x:row>
    <x:row r="129">
      <x:c r="A129" s="27" t="str"/>
      <x:c r="B129" s="27" t="str"/>
      <x:c r="C129" s="27" t="str"/>
      <x:c r="D129" s="27" t="str"/>
      <x:c r="E129" s="27" t="str"/>
      <x:c r="F129" s="27" t="str"/>
      <x:c r="G129" s="27" t="str"/>
      <x:c r="H129" s="27" t="str"/>
      <x:c r="I129" s="27" t="str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</x:row>
    <x:row r="130">
      <x:c r="A130" s="27" t="str"/>
      <x:c r="B130" s="27" t="str"/>
      <x:c r="C130" s="27" t="str"/>
      <x:c r="D130" s="27" t="str"/>
      <x:c r="E130" s="27" t="str"/>
      <x:c r="F130" s="27" t="str"/>
      <x:c r="G130" s="27" t="str"/>
      <x:c r="H130" s="27" t="str"/>
      <x:c r="I130" s="27" t="str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</x:row>
    <x:row r="131">
      <x:c r="A131" s="27" t="str"/>
      <x:c r="B131" s="27" t="str"/>
      <x:c r="C131" s="27" t="str"/>
      <x:c r="D131" s="27" t="str"/>
      <x:c r="E131" s="27" t="str"/>
      <x:c r="F131" s="27" t="str"/>
      <x:c r="G131" s="27" t="str"/>
      <x:c r="H131" s="27" t="str"/>
      <x:c r="I131" s="27" t="str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</x:row>
    <x:row r="132">
      <x:c r="A132" s="27" t="str"/>
      <x:c r="B132" s="27" t="str"/>
      <x:c r="C132" s="27" t="str"/>
      <x:c r="D132" s="27" t="str"/>
      <x:c r="E132" s="27" t="str"/>
      <x:c r="F132" s="27" t="str"/>
      <x:c r="G132" s="27" t="str"/>
      <x:c r="H132" s="27" t="str"/>
      <x:c r="I132" s="27" t="str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</x:row>
    <x:row r="133">
      <x:c r="A133" s="27" t="str"/>
      <x:c r="B133" s="27" t="str"/>
      <x:c r="C133" s="27" t="str"/>
      <x:c r="D133" s="27" t="str"/>
      <x:c r="E133" s="27" t="str"/>
      <x:c r="F133" s="27" t="str"/>
      <x:c r="G133" s="27" t="str"/>
      <x:c r="H133" s="27" t="str"/>
      <x:c r="I133" s="27" t="str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</x:row>
    <x:row r="134">
      <x:c r="A134" s="27" t="str"/>
      <x:c r="B134" s="27" t="str"/>
      <x:c r="C134" s="27" t="str"/>
      <x:c r="D134" s="27" t="str"/>
      <x:c r="E134" s="27" t="str"/>
      <x:c r="F134" s="27" t="str"/>
      <x:c r="G134" s="27" t="str"/>
      <x:c r="H134" s="27" t="str"/>
      <x:c r="I134" s="27" t="str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</x:row>
    <x:row r="135">
      <x:c r="A135" s="27" t="str"/>
      <x:c r="B135" s="27" t="str"/>
      <x:c r="C135" s="27" t="str"/>
      <x:c r="D135" s="27" t="str"/>
      <x:c r="E135" s="27" t="str"/>
      <x:c r="F135" s="27" t="str"/>
      <x:c r="G135" s="27" t="str"/>
      <x:c r="H135" s="27" t="str"/>
      <x:c r="I135" s="27" t="str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</x:row>
    <x:row r="136">
      <x:c r="A136" s="27" t="str"/>
      <x:c r="B136" s="27" t="str"/>
      <x:c r="C136" s="27" t="str"/>
      <x:c r="D136" s="27" t="str"/>
      <x:c r="E136" s="27" t="str"/>
      <x:c r="F136" s="27" t="str"/>
      <x:c r="G136" s="27" t="str"/>
      <x:c r="H136" s="27" t="str"/>
      <x:c r="I136" s="27" t="str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</x:row>
    <x:row r="137">
      <x:c r="A137" s="27" t="str"/>
      <x:c r="B137" s="27" t="str"/>
      <x:c r="C137" s="27" t="str"/>
      <x:c r="D137" s="27" t="str"/>
      <x:c r="E137" s="27" t="str"/>
      <x:c r="F137" s="27" t="str"/>
      <x:c r="G137" s="27" t="str"/>
      <x:c r="H137" s="27" t="str"/>
      <x:c r="I137" s="27" t="str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</x:row>
    <x:row r="138">
      <x:c r="A138" s="27" t="str"/>
      <x:c r="B138" s="27" t="str"/>
      <x:c r="C138" s="27" t="str"/>
      <x:c r="D138" s="27" t="str"/>
      <x:c r="E138" s="27" t="str"/>
      <x:c r="F138" s="27" t="str"/>
      <x:c r="G138" s="27" t="str"/>
      <x:c r="H138" s="27" t="str"/>
      <x:c r="I138" s="27" t="str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</x:row>
    <x:row r="139">
      <x:c r="A139" s="27" t="str"/>
      <x:c r="B139" s="27" t="str"/>
      <x:c r="C139" s="27" t="str"/>
      <x:c r="D139" s="27" t="str"/>
      <x:c r="E139" s="27" t="str"/>
      <x:c r="F139" s="27" t="str"/>
      <x:c r="G139" s="27" t="str"/>
      <x:c r="H139" s="27" t="str"/>
      <x:c r="I139" s="27" t="str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</x:row>
    <x:row r="140">
      <x:c r="A140" s="27" t="str"/>
      <x:c r="B140" s="27" t="str"/>
      <x:c r="C140" s="27" t="str"/>
      <x:c r="D140" s="27" t="str"/>
      <x:c r="E140" s="27" t="str"/>
      <x:c r="F140" s="27" t="str"/>
      <x:c r="G140" s="27" t="str"/>
      <x:c r="H140" s="27" t="str"/>
      <x:c r="I140" s="27" t="str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</x:row>
    <x:row r="141">
      <x:c r="A141" s="27" t="str"/>
      <x:c r="B141" s="27" t="str"/>
      <x:c r="C141" s="27" t="str"/>
      <x:c r="D141" s="27" t="str"/>
      <x:c r="E141" s="27" t="str"/>
      <x:c r="F141" s="27" t="str"/>
      <x:c r="G141" s="27" t="str"/>
      <x:c r="H141" s="27" t="str"/>
      <x:c r="I141" s="27" t="str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</x:row>
    <x:row r="142">
      <x:c r="A142" s="27" t="str"/>
      <x:c r="B142" s="27" t="str"/>
      <x:c r="C142" s="27" t="str"/>
      <x:c r="D142" s="27" t="str"/>
      <x:c r="E142" s="27" t="str"/>
      <x:c r="F142" s="27" t="str"/>
      <x:c r="G142" s="27" t="str"/>
      <x:c r="H142" s="27" t="str"/>
      <x:c r="I142" s="27" t="str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</x:row>
    <x:row r="143">
      <x:c r="A143" s="27" t="str"/>
      <x:c r="B143" s="27" t="str"/>
      <x:c r="C143" s="27" t="str"/>
      <x:c r="D143" s="27" t="str"/>
      <x:c r="E143" s="27" t="str"/>
      <x:c r="F143" s="27" t="str"/>
      <x:c r="G143" s="27" t="str"/>
      <x:c r="H143" s="27" t="str"/>
      <x:c r="I143" s="27" t="str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</x:row>
    <x:row r="144">
      <x:c r="A144" s="27" t="str"/>
      <x:c r="B144" s="27" t="str"/>
      <x:c r="C144" s="27" t="str"/>
      <x:c r="D144" s="27" t="str"/>
      <x:c r="E144" s="27" t="str"/>
      <x:c r="F144" s="27" t="str"/>
      <x:c r="G144" s="27" t="str"/>
      <x:c r="H144" s="27" t="str"/>
      <x:c r="I144" s="27" t="str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</x:row>
    <x:row r="145">
      <x:c r="A145" s="27" t="str"/>
      <x:c r="B145" s="27" t="str"/>
      <x:c r="C145" s="27" t="str"/>
      <x:c r="D145" s="27" t="str"/>
      <x:c r="E145" s="27" t="str"/>
      <x:c r="F145" s="27" t="str"/>
      <x:c r="G145" s="27" t="str"/>
      <x:c r="H145" s="27" t="str"/>
      <x:c r="I145" s="27" t="str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</x:row>
    <x:row r="146">
      <x:c r="A146" s="27" t="str"/>
      <x:c r="B146" s="27" t="str"/>
      <x:c r="C146" s="27" t="str"/>
      <x:c r="D146" s="27" t="str"/>
      <x:c r="E146" s="27" t="str"/>
      <x:c r="F146" s="27" t="str"/>
      <x:c r="G146" s="27" t="str"/>
      <x:c r="H146" s="27" t="str"/>
      <x:c r="I146" s="27" t="str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</x:row>
    <x:row r="147">
      <x:c r="A147" s="27" t="str"/>
      <x:c r="B147" s="27" t="str"/>
      <x:c r="C147" s="27" t="str"/>
      <x:c r="D147" s="27" t="str"/>
      <x:c r="E147" s="27" t="str"/>
      <x:c r="F147" s="27" t="str"/>
      <x:c r="G147" s="27" t="str"/>
      <x:c r="H147" s="27" t="str"/>
      <x:c r="I147" s="27" t="str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</x:row>
    <x:row r="148">
      <x:c r="A148" s="27" t="str"/>
      <x:c r="B148" s="27" t="str"/>
      <x:c r="C148" s="27" t="str"/>
      <x:c r="D148" s="27" t="str"/>
      <x:c r="E148" s="27" t="str"/>
      <x:c r="F148" s="27" t="str"/>
      <x:c r="G148" s="27" t="str"/>
      <x:c r="H148" s="27" t="str"/>
      <x:c r="I148" s="27" t="str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</x:row>
    <x:row r="149">
      <x:c r="A149" s="27" t="str"/>
      <x:c r="B149" s="27" t="str"/>
      <x:c r="C149" s="27" t="str"/>
      <x:c r="D149" s="27" t="str"/>
      <x:c r="E149" s="27" t="str"/>
      <x:c r="F149" s="27" t="str"/>
      <x:c r="G149" s="27" t="str"/>
      <x:c r="H149" s="27" t="str"/>
      <x:c r="I149" s="27" t="str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</x:row>
    <x:row r="150">
      <x:c r="A150" s="27" t="str"/>
      <x:c r="B150" s="27" t="str"/>
      <x:c r="C150" s="27" t="str"/>
      <x:c r="D150" s="27" t="str"/>
      <x:c r="E150" s="27" t="str"/>
      <x:c r="F150" s="27" t="str"/>
      <x:c r="G150" s="27" t="str"/>
      <x:c r="H150" s="27" t="str"/>
      <x:c r="I150" s="27" t="str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</x:row>
    <x:row r="151">
      <x:c r="A151" s="27" t="str"/>
      <x:c r="B151" s="27" t="str"/>
      <x:c r="C151" s="27" t="str"/>
      <x:c r="D151" s="27" t="str"/>
      <x:c r="E151" s="27" t="str"/>
      <x:c r="F151" s="27" t="str"/>
      <x:c r="G151" s="27" t="str"/>
      <x:c r="H151" s="27" t="str"/>
      <x:c r="I151" s="27" t="str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</x:row>
    <x:row r="152">
      <x:c r="A152" s="27" t="str"/>
      <x:c r="B152" s="27" t="str"/>
      <x:c r="C152" s="27" t="str"/>
      <x:c r="D152" s="27" t="str"/>
      <x:c r="E152" s="27" t="str"/>
      <x:c r="F152" s="27" t="str"/>
      <x:c r="G152" s="27" t="str"/>
      <x:c r="H152" s="27" t="str"/>
      <x:c r="I152" s="27" t="str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</x:row>
    <x:row r="153">
      <x:c r="A153" s="27" t="str"/>
      <x:c r="B153" s="27" t="str"/>
      <x:c r="C153" s="27" t="str"/>
      <x:c r="D153" s="27" t="str"/>
      <x:c r="E153" s="27" t="str"/>
      <x:c r="F153" s="27" t="str"/>
      <x:c r="G153" s="27" t="str"/>
      <x:c r="H153" s="27" t="str"/>
      <x:c r="I153" s="27" t="str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</x:row>
    <x:row r="154">
      <x:c r="A154" s="27" t="str"/>
      <x:c r="B154" s="27" t="str"/>
      <x:c r="C154" s="27" t="str"/>
      <x:c r="D154" s="27" t="str"/>
      <x:c r="E154" s="27" t="str"/>
      <x:c r="F154" s="27" t="str"/>
      <x:c r="G154" s="27" t="str"/>
      <x:c r="H154" s="27" t="str"/>
      <x:c r="I154" s="27" t="str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</x:row>
    <x:row r="155">
      <x:c r="A155" s="27" t="str"/>
      <x:c r="B155" s="27" t="str"/>
      <x:c r="C155" s="27" t="str"/>
      <x:c r="D155" s="27" t="str"/>
      <x:c r="E155" s="27" t="str"/>
      <x:c r="F155" s="27" t="str"/>
      <x:c r="G155" s="27" t="str"/>
      <x:c r="H155" s="27" t="str"/>
      <x:c r="I155" s="27" t="str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</x:row>
    <x:row r="156">
      <x:c r="A156" s="27" t="str"/>
      <x:c r="B156" s="27" t="str"/>
      <x:c r="C156" s="27" t="str"/>
      <x:c r="D156" s="27" t="str"/>
      <x:c r="E156" s="27" t="str"/>
      <x:c r="F156" s="27" t="str"/>
      <x:c r="G156" s="27" t="str"/>
      <x:c r="H156" s="27" t="str"/>
      <x:c r="I156" s="27" t="str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</x:row>
    <x:row r="157">
      <x:c r="A157" s="27" t="str"/>
      <x:c r="B157" s="27" t="str"/>
      <x:c r="C157" s="27" t="str"/>
      <x:c r="D157" s="27" t="str"/>
      <x:c r="E157" s="27" t="str"/>
      <x:c r="F157" s="27" t="str"/>
      <x:c r="G157" s="27" t="str"/>
      <x:c r="H157" s="27" t="str"/>
      <x:c r="I157" s="27" t="str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</x:row>
    <x:row r="158">
      <x:c r="A158" s="27" t="str"/>
      <x:c r="B158" s="27" t="str"/>
      <x:c r="C158" s="27" t="str"/>
      <x:c r="D158" s="27" t="str"/>
      <x:c r="E158" s="27" t="str"/>
      <x:c r="F158" s="27" t="str"/>
      <x:c r="G158" s="27" t="str"/>
      <x:c r="H158" s="27" t="str"/>
      <x:c r="I158" s="27" t="str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</x:row>
    <x:row r="159">
      <x:c r="A159" s="27" t="str"/>
      <x:c r="B159" s="27" t="str"/>
      <x:c r="C159" s="27" t="str"/>
      <x:c r="D159" s="27" t="str"/>
      <x:c r="E159" s="27" t="str"/>
      <x:c r="F159" s="27" t="str"/>
      <x:c r="G159" s="27" t="str"/>
      <x:c r="H159" s="27" t="str"/>
      <x:c r="I159" s="27" t="str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</x:row>
    <x:row r="160">
      <x:c r="A160" s="27" t="str"/>
      <x:c r="B160" s="27" t="str"/>
      <x:c r="C160" s="27" t="str"/>
      <x:c r="D160" s="27" t="str"/>
      <x:c r="E160" s="27" t="str"/>
      <x:c r="F160" s="27" t="str"/>
      <x:c r="G160" s="27" t="str"/>
      <x:c r="H160" s="27" t="str"/>
      <x:c r="I160" s="27" t="str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</x:row>
    <x:row r="161">
      <x:c r="A161" s="27" t="str"/>
      <x:c r="B161" s="27" t="str"/>
      <x:c r="C161" s="27" t="str"/>
      <x:c r="D161" s="27" t="str"/>
      <x:c r="E161" s="27" t="str"/>
      <x:c r="F161" s="27" t="str"/>
      <x:c r="G161" s="27" t="str"/>
      <x:c r="H161" s="27" t="str"/>
      <x:c r="I161" s="27" t="str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</x:row>
    <x:row r="162">
      <x:c r="A162" s="27" t="str"/>
      <x:c r="B162" s="27" t="str"/>
      <x:c r="C162" s="27" t="str"/>
      <x:c r="D162" s="27" t="str"/>
      <x:c r="E162" s="27" t="str"/>
      <x:c r="F162" s="27" t="str"/>
      <x:c r="G162" s="27" t="str"/>
      <x:c r="H162" s="27" t="str"/>
      <x:c r="I162" s="27" t="str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</x:row>
    <x:row r="163">
      <x:c r="A163" s="27" t="str"/>
      <x:c r="B163" s="27" t="str"/>
      <x:c r="C163" s="27" t="str"/>
      <x:c r="D163" s="27" t="str"/>
      <x:c r="E163" s="27" t="str"/>
      <x:c r="F163" s="27" t="str"/>
      <x:c r="G163" s="27" t="str"/>
      <x:c r="H163" s="27" t="str"/>
      <x:c r="I163" s="27" t="str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</x:row>
    <x:row r="164">
      <x:c r="A164" s="27" t="str"/>
      <x:c r="B164" s="27" t="str"/>
      <x:c r="C164" s="27" t="str"/>
      <x:c r="D164" s="27" t="str"/>
      <x:c r="E164" s="27" t="str"/>
      <x:c r="F164" s="27" t="str"/>
      <x:c r="G164" s="27" t="str"/>
      <x:c r="H164" s="27" t="str"/>
      <x:c r="I164" s="27" t="str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</x:row>
    <x:row r="165">
      <x:c r="A165" s="27" t="str"/>
      <x:c r="B165" s="27" t="str"/>
      <x:c r="C165" s="27" t="str"/>
      <x:c r="D165" s="27" t="str"/>
      <x:c r="E165" s="27" t="str"/>
      <x:c r="F165" s="27" t="str"/>
      <x:c r="G165" s="27" t="str"/>
      <x:c r="H165" s="27" t="str"/>
      <x:c r="I165" s="27" t="str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</x:row>
    <x:row r="166">
      <x:c r="A166" s="27" t="str"/>
      <x:c r="B166" s="27" t="str"/>
      <x:c r="C166" s="27" t="str"/>
      <x:c r="D166" s="27" t="str"/>
      <x:c r="E166" s="27" t="str"/>
      <x:c r="F166" s="27" t="str"/>
      <x:c r="G166" s="27" t="str"/>
      <x:c r="H166" s="27" t="str"/>
      <x:c r="I166" s="27" t="str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</x:row>
    <x:row r="167">
      <x:c r="A167" s="27" t="str"/>
      <x:c r="B167" s="27" t="str"/>
      <x:c r="C167" s="27" t="str"/>
      <x:c r="D167" s="27" t="str"/>
      <x:c r="E167" s="27" t="str"/>
      <x:c r="F167" s="27" t="str"/>
      <x:c r="G167" s="27" t="str"/>
      <x:c r="H167" s="27" t="str"/>
      <x:c r="I167" s="27" t="str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</x:row>
    <x:row r="168">
      <x:c r="A168" s="27" t="str"/>
      <x:c r="B168" s="27" t="str"/>
      <x:c r="C168" s="27" t="str"/>
      <x:c r="D168" s="27" t="str"/>
      <x:c r="E168" s="27" t="str"/>
      <x:c r="F168" s="27" t="str"/>
      <x:c r="G168" s="27" t="str"/>
      <x:c r="H168" s="27" t="str"/>
      <x:c r="I168" s="27" t="str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</x:row>
    <x:row r="169">
      <x:c r="A169" s="27" t="str"/>
      <x:c r="B169" s="27" t="str"/>
      <x:c r="C169" s="27" t="str"/>
      <x:c r="D169" s="27" t="str"/>
      <x:c r="E169" s="27" t="str"/>
      <x:c r="F169" s="27" t="str"/>
      <x:c r="G169" s="27" t="str"/>
      <x:c r="H169" s="27" t="str"/>
      <x:c r="I169" s="27" t="str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</x:row>
    <x:row r="170">
      <x:c r="A170" s="27" t="str"/>
      <x:c r="B170" s="27" t="str"/>
      <x:c r="C170" s="27" t="str"/>
      <x:c r="D170" s="27" t="str"/>
      <x:c r="E170" s="27" t="str"/>
      <x:c r="F170" s="27" t="str"/>
      <x:c r="G170" s="27" t="str"/>
      <x:c r="H170" s="27" t="str"/>
      <x:c r="I170" s="27" t="str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</x:row>
    <x:row r="171">
      <x:c r="A171" s="27" t="str"/>
      <x:c r="B171" s="27" t="str"/>
      <x:c r="C171" s="27" t="str"/>
      <x:c r="D171" s="27" t="str"/>
      <x:c r="E171" s="27" t="str"/>
      <x:c r="F171" s="27" t="str"/>
      <x:c r="G171" s="27" t="str"/>
      <x:c r="H171" s="27" t="str"/>
      <x:c r="I171" s="27" t="str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</x:row>
    <x:row r="172">
      <x:c r="A172" s="27" t="str"/>
      <x:c r="B172" s="27" t="str"/>
      <x:c r="C172" s="27" t="str"/>
      <x:c r="D172" s="27" t="str"/>
      <x:c r="E172" s="27" t="str"/>
      <x:c r="F172" s="27" t="str"/>
      <x:c r="G172" s="27" t="str"/>
      <x:c r="H172" s="27" t="str"/>
      <x:c r="I172" s="27" t="str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</x:row>
    <x:row r="173">
      <x:c r="A173" s="27" t="str"/>
      <x:c r="B173" s="27" t="str"/>
      <x:c r="C173" s="27" t="str"/>
      <x:c r="D173" s="27" t="str"/>
      <x:c r="E173" s="27" t="str"/>
      <x:c r="F173" s="27" t="str"/>
      <x:c r="G173" s="27" t="str"/>
      <x:c r="H173" s="27" t="str"/>
      <x:c r="I173" s="27" t="str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</x:row>
    <x:row r="174">
      <x:c r="A174" s="27" t="str"/>
      <x:c r="B174" s="27" t="str"/>
      <x:c r="C174" s="27" t="str"/>
      <x:c r="D174" s="27" t="str"/>
      <x:c r="E174" s="27" t="str"/>
      <x:c r="F174" s="27" t="str"/>
      <x:c r="G174" s="27" t="str"/>
      <x:c r="H174" s="27" t="str"/>
      <x:c r="I174" s="27" t="str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</x:row>
    <x:row r="175">
      <x:c r="A175" s="27" t="str"/>
      <x:c r="B175" s="27" t="str"/>
      <x:c r="C175" s="27" t="str"/>
      <x:c r="D175" s="27" t="str"/>
      <x:c r="E175" s="27" t="str"/>
      <x:c r="F175" s="27" t="str"/>
      <x:c r="G175" s="27" t="str"/>
      <x:c r="H175" s="27" t="str"/>
      <x:c r="I175" s="27" t="str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</x:row>
    <x:row r="176">
      <x:c r="A176" s="27" t="str"/>
      <x:c r="B176" s="27" t="str"/>
      <x:c r="C176" s="27" t="str"/>
      <x:c r="D176" s="27" t="str"/>
      <x:c r="E176" s="27" t="str"/>
      <x:c r="F176" s="27" t="str"/>
      <x:c r="G176" s="27" t="str"/>
      <x:c r="H176" s="27" t="str"/>
      <x:c r="I176" s="27" t="str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</x:row>
    <x:row r="177">
      <x:c r="A177" s="27" t="str"/>
      <x:c r="B177" s="27" t="str"/>
      <x:c r="C177" s="27" t="str"/>
      <x:c r="D177" s="27" t="str"/>
      <x:c r="E177" s="27" t="str"/>
      <x:c r="F177" s="27" t="str"/>
      <x:c r="G177" s="27" t="str"/>
      <x:c r="H177" s="27" t="str"/>
      <x:c r="I177" s="27" t="str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</x:row>
    <x:row r="178">
      <x:c r="A178" s="27" t="str"/>
      <x:c r="B178" s="27" t="str"/>
      <x:c r="C178" s="27" t="str"/>
      <x:c r="D178" s="27" t="str"/>
      <x:c r="E178" s="27" t="str"/>
      <x:c r="F178" s="27" t="str"/>
      <x:c r="G178" s="27" t="str"/>
      <x:c r="H178" s="27" t="str"/>
      <x:c r="I178" s="27" t="str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</x:row>
    <x:row r="179">
      <x:c r="A179" s="27" t="str"/>
      <x:c r="B179" s="27" t="str"/>
      <x:c r="C179" s="27" t="str"/>
      <x:c r="D179" s="27" t="str"/>
      <x:c r="E179" s="27" t="str"/>
      <x:c r="F179" s="27" t="str"/>
      <x:c r="G179" s="27" t="str"/>
      <x:c r="H179" s="27" t="str"/>
      <x:c r="I179" s="27" t="str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</x:row>
    <x:row r="180">
      <x:c r="A180" s="27" t="str"/>
      <x:c r="B180" s="27" t="str"/>
      <x:c r="C180" s="27" t="str"/>
      <x:c r="D180" s="27" t="str"/>
      <x:c r="E180" s="27" t="str"/>
      <x:c r="F180" s="27" t="str"/>
      <x:c r="G180" s="27" t="str"/>
      <x:c r="H180" s="27" t="str"/>
      <x:c r="I180" s="27" t="str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</x:row>
    <x:row r="181">
      <x:c r="A181" s="27" t="str"/>
      <x:c r="B181" s="27" t="str"/>
      <x:c r="C181" s="27" t="str"/>
      <x:c r="D181" s="27" t="str"/>
      <x:c r="E181" s="27" t="str"/>
      <x:c r="F181" s="27" t="str"/>
      <x:c r="G181" s="27" t="str"/>
      <x:c r="H181" s="27" t="str"/>
      <x:c r="I181" s="27" t="str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</x:row>
    <x:row r="182">
      <x:c r="A182" s="27" t="str"/>
      <x:c r="B182" s="27" t="str"/>
      <x:c r="C182" s="27" t="str"/>
      <x:c r="D182" s="27" t="str"/>
      <x:c r="E182" s="27" t="str"/>
      <x:c r="F182" s="27" t="str"/>
      <x:c r="G182" s="27" t="str"/>
      <x:c r="H182" s="27" t="str"/>
      <x:c r="I182" s="27" t="str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</x:row>
    <x:row r="183">
      <x:c r="A183" s="27" t="str"/>
      <x:c r="B183" s="27" t="str"/>
      <x:c r="C183" s="27" t="str"/>
      <x:c r="D183" s="27" t="str"/>
      <x:c r="E183" s="27" t="str"/>
      <x:c r="F183" s="27" t="str"/>
      <x:c r="G183" s="27" t="str"/>
      <x:c r="H183" s="27" t="str"/>
      <x:c r="I183" s="27" t="str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</x:row>
    <x:row r="184">
      <x:c r="A184" s="27" t="str"/>
      <x:c r="B184" s="27" t="str"/>
      <x:c r="C184" s="27" t="str"/>
      <x:c r="D184" s="27" t="str"/>
      <x:c r="E184" s="27" t="str"/>
      <x:c r="F184" s="27" t="str"/>
      <x:c r="G184" s="27" t="str"/>
      <x:c r="H184" s="27" t="str"/>
      <x:c r="I184" s="27" t="str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</x:row>
    <x:row r="185">
      <x:c r="A185" s="27" t="str"/>
      <x:c r="B185" s="27" t="str"/>
      <x:c r="C185" s="27" t="str"/>
      <x:c r="D185" s="27" t="str"/>
      <x:c r="E185" s="27" t="str"/>
      <x:c r="F185" s="27" t="str"/>
      <x:c r="G185" s="27" t="str"/>
      <x:c r="H185" s="27" t="str"/>
      <x:c r="I185" s="27" t="str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</x:row>
    <x:row r="186">
      <x:c r="A186" s="27" t="str"/>
      <x:c r="B186" s="27" t="str"/>
      <x:c r="C186" s="27" t="str"/>
      <x:c r="D186" s="27" t="str"/>
      <x:c r="E186" s="27" t="str"/>
      <x:c r="F186" s="27" t="str"/>
      <x:c r="G186" s="27" t="str"/>
      <x:c r="H186" s="27" t="str"/>
      <x:c r="I186" s="27" t="str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</x:row>
    <x:row r="187">
      <x:c r="A187" s="27" t="str"/>
      <x:c r="B187" s="27" t="str"/>
      <x:c r="C187" s="27" t="str"/>
      <x:c r="D187" s="27" t="str"/>
      <x:c r="E187" s="27" t="str"/>
      <x:c r="F187" s="27" t="str"/>
      <x:c r="G187" s="27" t="str"/>
      <x:c r="H187" s="27" t="str"/>
      <x:c r="I187" s="27" t="str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</x:row>
    <x:row r="188">
      <x:c r="A188" s="27" t="str"/>
      <x:c r="B188" s="27" t="str"/>
      <x:c r="C188" s="27" t="str"/>
      <x:c r="D188" s="27" t="str"/>
      <x:c r="E188" s="27" t="str"/>
      <x:c r="F188" s="27" t="str"/>
      <x:c r="G188" s="27" t="str"/>
      <x:c r="H188" s="27" t="str"/>
      <x:c r="I188" s="27" t="str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</x:row>
    <x:row r="189">
      <x:c r="A189" s="27" t="str"/>
      <x:c r="B189" s="27" t="str"/>
      <x:c r="C189" s="27" t="str"/>
      <x:c r="D189" s="27" t="str"/>
      <x:c r="E189" s="27" t="str"/>
      <x:c r="F189" s="27" t="str"/>
      <x:c r="G189" s="27" t="str"/>
      <x:c r="H189" s="27" t="str"/>
      <x:c r="I189" s="27" t="str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</x:row>
    <x:row r="190">
      <x:c r="A190" s="27" t="str"/>
      <x:c r="B190" s="27" t="str"/>
      <x:c r="C190" s="27" t="str"/>
      <x:c r="D190" s="27" t="str"/>
      <x:c r="E190" s="27" t="str"/>
      <x:c r="F190" s="27" t="str"/>
      <x:c r="G190" s="27" t="str"/>
      <x:c r="H190" s="27" t="str"/>
      <x:c r="I190" s="27" t="str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</x:row>
    <x:row r="191">
      <x:c r="A191" s="27" t="str"/>
      <x:c r="B191" s="27" t="str"/>
      <x:c r="C191" s="27" t="str"/>
      <x:c r="D191" s="27" t="str"/>
      <x:c r="E191" s="27" t="str"/>
      <x:c r="F191" s="27" t="str"/>
      <x:c r="G191" s="27" t="str"/>
      <x:c r="H191" s="27" t="str"/>
      <x:c r="I191" s="27" t="str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</x:row>
    <x:row r="192">
      <x:c r="A192" s="27" t="str"/>
      <x:c r="B192" s="27" t="str"/>
      <x:c r="C192" s="27" t="str"/>
      <x:c r="D192" s="27" t="str"/>
      <x:c r="E192" s="27" t="str"/>
      <x:c r="F192" s="27" t="str"/>
      <x:c r="G192" s="27" t="str"/>
      <x:c r="H192" s="27" t="str"/>
      <x:c r="I192" s="27" t="str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</x:row>
    <x:row r="193">
      <x:c r="A193" s="27" t="str"/>
      <x:c r="B193" s="27" t="str"/>
      <x:c r="C193" s="27" t="str"/>
      <x:c r="D193" s="27" t="str"/>
      <x:c r="E193" s="27" t="str"/>
      <x:c r="F193" s="27" t="str"/>
      <x:c r="G193" s="27" t="str"/>
      <x:c r="H193" s="27" t="str"/>
      <x:c r="I193" s="27" t="str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</x:row>
    <x:row r="194">
      <x:c r="A194" s="27" t="str"/>
      <x:c r="B194" s="27" t="str"/>
      <x:c r="C194" s="27" t="str"/>
      <x:c r="D194" s="27" t="str"/>
      <x:c r="E194" s="27" t="str"/>
      <x:c r="F194" s="27" t="str"/>
      <x:c r="G194" s="27" t="str"/>
      <x:c r="H194" s="27" t="str"/>
      <x:c r="I194" s="27" t="str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</x:row>
    <x:row r="195">
      <x:c r="A195" s="27" t="str"/>
      <x:c r="B195" s="27" t="str"/>
      <x:c r="C195" s="27" t="str"/>
      <x:c r="D195" s="27" t="str"/>
      <x:c r="E195" s="27" t="str"/>
      <x:c r="F195" s="27" t="str"/>
      <x:c r="G195" s="27" t="str"/>
      <x:c r="H195" s="27" t="str"/>
      <x:c r="I195" s="27" t="str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</x:row>
    <x:row r="196">
      <x:c r="A196" s="27" t="str"/>
      <x:c r="B196" s="27" t="str"/>
      <x:c r="C196" s="27" t="str"/>
      <x:c r="D196" s="27" t="str"/>
      <x:c r="E196" s="27" t="str"/>
      <x:c r="F196" s="27" t="str"/>
      <x:c r="G196" s="27" t="str"/>
      <x:c r="H196" s="27" t="str"/>
      <x:c r="I196" s="27" t="str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</x:row>
    <x:row r="197">
      <x:c r="A197" s="27" t="str"/>
      <x:c r="B197" s="27" t="str"/>
      <x:c r="C197" s="27" t="str"/>
      <x:c r="D197" s="27" t="str"/>
      <x:c r="E197" s="27" t="str"/>
      <x:c r="F197" s="27" t="str"/>
      <x:c r="G197" s="27" t="str"/>
      <x:c r="H197" s="27" t="str"/>
      <x:c r="I197" s="27" t="str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</x:row>
    <x:row r="198">
      <x:c r="A198" s="27" t="str"/>
      <x:c r="B198" s="27" t="str"/>
      <x:c r="C198" s="27" t="str"/>
      <x:c r="D198" s="27" t="str"/>
      <x:c r="E198" s="27" t="str"/>
      <x:c r="F198" s="27" t="str"/>
      <x:c r="G198" s="27" t="str"/>
      <x:c r="H198" s="27" t="str"/>
      <x:c r="I198" s="27" t="str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</x:row>
    <x:row r="199">
      <x:c r="A199" s="27" t="str"/>
      <x:c r="B199" s="27" t="str"/>
      <x:c r="C199" s="27" t="str"/>
      <x:c r="D199" s="27" t="str"/>
      <x:c r="E199" s="27" t="str"/>
      <x:c r="F199" s="27" t="str"/>
      <x:c r="G199" s="27" t="str"/>
      <x:c r="H199" s="27" t="str"/>
      <x:c r="I199" s="27" t="str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</x:row>
    <x:row r="200">
      <x:c r="A200" s="27" t="str"/>
      <x:c r="B200" s="27" t="str"/>
      <x:c r="C200" s="27" t="str"/>
      <x:c r="D200" s="27" t="str"/>
      <x:c r="E200" s="27" t="str"/>
      <x:c r="F200" s="27" t="str"/>
      <x:c r="G200" s="27" t="str"/>
      <x:c r="H200" s="27" t="str"/>
      <x:c r="I200" s="27" t="str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</x:row>
    <x:row r="201">
      <x:c r="A201" s="27" t="str"/>
      <x:c r="B201" s="27" t="str"/>
      <x:c r="C201" s="27" t="str"/>
      <x:c r="D201" s="27" t="str"/>
      <x:c r="E201" s="27" t="str"/>
      <x:c r="F201" s="27" t="str"/>
      <x:c r="G201" s="27" t="str"/>
      <x:c r="H201" s="27" t="str"/>
      <x:c r="I201" s="27" t="str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</x:row>
    <x:row r="202">
      <x:c r="A202" s="27" t="str"/>
      <x:c r="B202" s="27" t="str"/>
      <x:c r="C202" s="27" t="str"/>
      <x:c r="D202" s="27" t="str"/>
      <x:c r="E202" s="27" t="str"/>
      <x:c r="F202" s="27" t="str"/>
      <x:c r="G202" s="27" t="str"/>
      <x:c r="H202" s="27" t="str"/>
      <x:c r="I202" s="27" t="str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</x:row>
    <x:row r="203">
      <x:c r="A203" s="27" t="str"/>
      <x:c r="B203" s="27" t="str"/>
      <x:c r="C203" s="27" t="str"/>
      <x:c r="D203" s="27" t="str"/>
      <x:c r="E203" s="27" t="str"/>
      <x:c r="F203" s="27" t="str"/>
      <x:c r="G203" s="27" t="str"/>
      <x:c r="H203" s="27" t="str"/>
      <x:c r="I203" s="27" t="str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</x:row>
    <x:row r="204">
      <x:c r="A204" s="27" t="str"/>
      <x:c r="B204" s="27" t="str"/>
      <x:c r="C204" s="27" t="str"/>
      <x:c r="D204" s="27" t="str"/>
      <x:c r="E204" s="27" t="str"/>
      <x:c r="F204" s="27" t="str"/>
      <x:c r="G204" s="27" t="str"/>
      <x:c r="H204" s="27" t="str"/>
      <x:c r="I204" s="27" t="str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</x:row>
    <x:row r="205">
      <x:c r="A205" s="27" t="str"/>
      <x:c r="B205" s="27" t="str"/>
      <x:c r="C205" s="27" t="str"/>
      <x:c r="D205" s="27" t="str"/>
      <x:c r="E205" s="27" t="str"/>
      <x:c r="F205" s="27" t="str"/>
      <x:c r="G205" s="27" t="str"/>
      <x:c r="H205" s="27" t="str"/>
      <x:c r="I205" s="27" t="str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</x:row>
    <x:row r="206">
      <x:c r="A206" s="27" t="str"/>
      <x:c r="B206" s="27" t="str"/>
      <x:c r="C206" s="27" t="str"/>
      <x:c r="D206" s="27" t="str"/>
      <x:c r="E206" s="27" t="str"/>
      <x:c r="F206" s="27" t="str"/>
      <x:c r="G206" s="27" t="str"/>
      <x:c r="H206" s="27" t="str"/>
      <x:c r="I206" s="27" t="str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</x:row>
    <x:row r="207">
      <x:c r="A207" s="27" t="str"/>
      <x:c r="B207" s="27" t="str"/>
      <x:c r="C207" s="27" t="str"/>
      <x:c r="D207" s="27" t="str"/>
      <x:c r="E207" s="27" t="str"/>
      <x:c r="F207" s="27" t="str"/>
      <x:c r="G207" s="27" t="str"/>
      <x:c r="H207" s="27" t="str"/>
      <x:c r="I207" s="27" t="str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</x:row>
    <x:row r="208">
      <x:c r="A208" s="27" t="str"/>
      <x:c r="B208" s="27" t="str"/>
      <x:c r="C208" s="27" t="str"/>
      <x:c r="D208" s="27" t="str"/>
      <x:c r="E208" s="27" t="str"/>
      <x:c r="F208" s="27" t="str"/>
      <x:c r="G208" s="27" t="str"/>
      <x:c r="H208" s="27" t="str"/>
      <x:c r="I208" s="27" t="str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</x:row>
    <x:row r="209">
      <x:c r="A209" s="27" t="str"/>
      <x:c r="B209" s="27" t="str"/>
      <x:c r="C209" s="27" t="str"/>
      <x:c r="D209" s="27" t="str"/>
      <x:c r="E209" s="27" t="str"/>
      <x:c r="F209" s="27" t="str"/>
      <x:c r="G209" s="27" t="str"/>
      <x:c r="H209" s="27" t="str"/>
      <x:c r="I209" s="27" t="str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</x:row>
    <x:row r="210">
      <x:c r="A210" s="27" t="str"/>
      <x:c r="B210" s="27" t="str"/>
      <x:c r="C210" s="27" t="str"/>
      <x:c r="D210" s="27" t="str"/>
      <x:c r="E210" s="27" t="str"/>
      <x:c r="F210" s="27" t="str"/>
      <x:c r="G210" s="27" t="str"/>
      <x:c r="H210" s="27" t="str"/>
      <x:c r="I210" s="27" t="str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</x:row>
    <x:row r="211">
      <x:c r="A211" s="27" t="str"/>
      <x:c r="B211" s="27" t="str"/>
      <x:c r="C211" s="27" t="str"/>
      <x:c r="D211" s="27" t="str"/>
      <x:c r="E211" s="27" t="str"/>
      <x:c r="F211" s="27" t="str"/>
      <x:c r="G211" s="27" t="str"/>
      <x:c r="H211" s="27" t="str"/>
      <x:c r="I211" s="27" t="str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</x:row>
    <x:row r="212">
      <x:c r="A212" s="27" t="str"/>
      <x:c r="B212" s="27" t="str"/>
      <x:c r="C212" s="27" t="str"/>
      <x:c r="D212" s="27" t="str"/>
      <x:c r="E212" s="27" t="str"/>
      <x:c r="F212" s="27" t="str"/>
      <x:c r="G212" s="27" t="str"/>
      <x:c r="H212" s="27" t="str"/>
      <x:c r="I212" s="27" t="str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</x:row>
    <x:row r="213">
      <x:c r="A213" s="27" t="str"/>
      <x:c r="B213" s="27" t="str"/>
      <x:c r="C213" s="27" t="str"/>
      <x:c r="D213" s="27" t="str"/>
      <x:c r="E213" s="27" t="str"/>
      <x:c r="F213" s="27" t="str"/>
      <x:c r="G213" s="27" t="str"/>
      <x:c r="H213" s="27" t="str"/>
      <x:c r="I213" s="27" t="str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</x:row>
    <x:row r="214">
      <x:c r="A214" s="27" t="str"/>
      <x:c r="B214" s="27" t="str"/>
      <x:c r="C214" s="27" t="str"/>
      <x:c r="D214" s="27" t="str"/>
      <x:c r="E214" s="27" t="str"/>
      <x:c r="F214" s="27" t="str"/>
      <x:c r="G214" s="27" t="str"/>
      <x:c r="H214" s="27" t="str"/>
      <x:c r="I214" s="27" t="str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</x:row>
    <x:row r="215">
      <x:c r="A215" s="27" t="str"/>
      <x:c r="B215" s="27" t="str"/>
      <x:c r="C215" s="27" t="str"/>
      <x:c r="D215" s="27" t="str"/>
      <x:c r="E215" s="27" t="str"/>
      <x:c r="F215" s="27" t="str"/>
      <x:c r="G215" s="27" t="str"/>
      <x:c r="H215" s="27" t="str"/>
      <x:c r="I215" s="27" t="str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</x:row>
    <x:row r="216">
      <x:c r="A216" s="27" t="str"/>
      <x:c r="B216" s="27" t="str"/>
      <x:c r="C216" s="27" t="str"/>
      <x:c r="D216" s="27" t="str"/>
      <x:c r="E216" s="27" t="str"/>
      <x:c r="F216" s="27" t="str"/>
      <x:c r="G216" s="27" t="str"/>
      <x:c r="H216" s="27" t="str"/>
      <x:c r="I216" s="27" t="str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</x:row>
    <x:row r="217">
      <x:c r="A217" s="27" t="str"/>
      <x:c r="B217" s="27" t="str"/>
      <x:c r="C217" s="27" t="str"/>
      <x:c r="D217" s="27" t="str"/>
      <x:c r="E217" s="27" t="str"/>
      <x:c r="F217" s="27" t="str"/>
      <x:c r="G217" s="27" t="str"/>
      <x:c r="H217" s="27" t="str"/>
      <x:c r="I217" s="27" t="str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</x:row>
    <x:row r="218">
      <x:c r="A218" s="27" t="str"/>
      <x:c r="B218" s="27" t="str"/>
      <x:c r="C218" s="27" t="str"/>
      <x:c r="D218" s="27" t="str"/>
      <x:c r="E218" s="27" t="str"/>
      <x:c r="F218" s="27" t="str"/>
      <x:c r="G218" s="27" t="str"/>
      <x:c r="H218" s="27" t="str"/>
      <x:c r="I218" s="27" t="str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</x:row>
    <x:row r="219">
      <x:c r="A219" s="27" t="str"/>
      <x:c r="B219" s="27" t="str"/>
      <x:c r="C219" s="27" t="str"/>
      <x:c r="D219" s="27" t="str"/>
      <x:c r="E219" s="27" t="str"/>
      <x:c r="F219" s="27" t="str"/>
      <x:c r="G219" s="27" t="str"/>
      <x:c r="H219" s="27" t="str"/>
      <x:c r="I219" s="27" t="str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</x:row>
    <x:row r="220">
      <x:c r="A220" s="27" t="str"/>
      <x:c r="B220" s="27" t="str"/>
      <x:c r="C220" s="27" t="str"/>
      <x:c r="D220" s="27" t="str"/>
      <x:c r="E220" s="27" t="str"/>
      <x:c r="F220" s="27" t="str"/>
      <x:c r="G220" s="27" t="str"/>
      <x:c r="H220" s="27" t="str"/>
      <x:c r="I220" s="27" t="str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</x:row>
    <x:row r="221">
      <x:c r="A221" s="27" t="str"/>
      <x:c r="B221" s="27" t="str"/>
      <x:c r="C221" s="27" t="str"/>
      <x:c r="D221" s="27" t="str"/>
      <x:c r="E221" s="27" t="str"/>
      <x:c r="F221" s="27" t="str"/>
      <x:c r="G221" s="27" t="str"/>
      <x:c r="H221" s="27" t="str"/>
      <x:c r="I221" s="27" t="str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</x:row>
    <x:row r="222">
      <x:c r="A222" s="27" t="str"/>
      <x:c r="B222" s="27" t="str"/>
      <x:c r="C222" s="27" t="str"/>
      <x:c r="D222" s="27" t="str"/>
      <x:c r="E222" s="27" t="str"/>
      <x:c r="F222" s="27" t="str"/>
      <x:c r="G222" s="27" t="str"/>
      <x:c r="H222" s="27" t="str"/>
      <x:c r="I222" s="27" t="str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</x:row>
    <x:row r="223">
      <x:c r="A223" s="27" t="str"/>
      <x:c r="B223" s="27" t="str"/>
      <x:c r="C223" s="27" t="str"/>
      <x:c r="D223" s="27" t="str"/>
      <x:c r="E223" s="27" t="str"/>
      <x:c r="F223" s="27" t="str"/>
      <x:c r="G223" s="27" t="str"/>
      <x:c r="H223" s="27" t="str"/>
      <x:c r="I223" s="27" t="str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</x:row>
    <x:row r="224">
      <x:c r="A224" s="27" t="str"/>
      <x:c r="B224" s="27" t="str"/>
      <x:c r="C224" s="27" t="str"/>
      <x:c r="D224" s="27" t="str"/>
      <x:c r="E224" s="27" t="str"/>
      <x:c r="F224" s="27" t="str"/>
      <x:c r="G224" s="27" t="str"/>
      <x:c r="H224" s="27" t="str"/>
      <x:c r="I224" s="27" t="str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</x:row>
    <x:row r="225">
      <x:c r="A225" s="27" t="str"/>
      <x:c r="B225" s="27" t="str"/>
      <x:c r="C225" s="27" t="str"/>
      <x:c r="D225" s="27" t="str"/>
      <x:c r="E225" s="27" t="str"/>
      <x:c r="F225" s="27" t="str"/>
      <x:c r="G225" s="27" t="str"/>
      <x:c r="H225" s="27" t="str"/>
      <x:c r="I225" s="27" t="str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</x:row>
    <x:row r="226">
      <x:c r="A226" s="27" t="str"/>
      <x:c r="B226" s="27" t="str"/>
      <x:c r="C226" s="27" t="str"/>
      <x:c r="D226" s="27" t="str"/>
      <x:c r="E226" s="27" t="str"/>
      <x:c r="F226" s="27" t="str"/>
      <x:c r="G226" s="27" t="str"/>
      <x:c r="H226" s="27" t="str"/>
      <x:c r="I226" s="27" t="str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</x:row>
    <x:row r="227">
      <x:c r="A227" s="27" t="str"/>
      <x:c r="B227" s="27" t="str"/>
      <x:c r="C227" s="27" t="str"/>
      <x:c r="D227" s="27" t="str"/>
      <x:c r="E227" s="27" t="str"/>
      <x:c r="F227" s="27" t="str"/>
      <x:c r="G227" s="27" t="str"/>
      <x:c r="H227" s="27" t="str"/>
      <x:c r="I227" s="27" t="str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</x:row>
    <x:row r="228">
      <x:c r="A228" s="27" t="str"/>
      <x:c r="B228" s="27" t="str"/>
      <x:c r="C228" s="27" t="str"/>
      <x:c r="D228" s="27" t="str"/>
      <x:c r="E228" s="27" t="str"/>
      <x:c r="F228" s="27" t="str"/>
      <x:c r="G228" s="27" t="str"/>
      <x:c r="H228" s="27" t="str"/>
      <x:c r="I228" s="27" t="str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</x:row>
    <x:row r="229">
      <x:c r="A229" s="27" t="str"/>
      <x:c r="B229" s="27" t="str"/>
      <x:c r="C229" s="27" t="str"/>
      <x:c r="D229" s="27" t="str"/>
      <x:c r="E229" s="27" t="str"/>
      <x:c r="F229" s="27" t="str"/>
      <x:c r="G229" s="27" t="str"/>
      <x:c r="H229" s="27" t="str"/>
      <x:c r="I229" s="27" t="str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</x:row>
    <x:row r="230">
      <x:c r="A230" s="27" t="str"/>
      <x:c r="B230" s="27" t="str"/>
      <x:c r="C230" s="27" t="str"/>
      <x:c r="D230" s="27" t="str"/>
      <x:c r="E230" s="27" t="str"/>
      <x:c r="F230" s="27" t="str"/>
      <x:c r="G230" s="27" t="str"/>
      <x:c r="H230" s="27" t="str"/>
      <x:c r="I230" s="27" t="str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</x:row>
    <x:row r="231">
      <x:c r="A231" s="27" t="str"/>
      <x:c r="B231" s="27" t="str"/>
      <x:c r="C231" s="27" t="str"/>
      <x:c r="D231" s="27" t="str"/>
      <x:c r="E231" s="27" t="str"/>
      <x:c r="F231" s="27" t="str"/>
      <x:c r="G231" s="27" t="str"/>
      <x:c r="H231" s="27" t="str"/>
      <x:c r="I231" s="27" t="str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</x:row>
    <x:row r="232">
      <x:c r="A232" s="27" t="str"/>
      <x:c r="B232" s="27" t="str"/>
      <x:c r="C232" s="27" t="str"/>
      <x:c r="D232" s="27" t="str"/>
      <x:c r="E232" s="27" t="str"/>
      <x:c r="F232" s="27" t="str"/>
      <x:c r="G232" s="27" t="str"/>
      <x:c r="H232" s="27" t="str"/>
      <x:c r="I232" s="27" t="str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</x:row>
    <x:row r="233">
      <x:c r="A233" s="27" t="str"/>
      <x:c r="B233" s="27" t="str"/>
      <x:c r="C233" s="27" t="str"/>
      <x:c r="D233" s="27" t="str"/>
      <x:c r="E233" s="27" t="str"/>
      <x:c r="F233" s="27" t="str"/>
      <x:c r="G233" s="27" t="str"/>
      <x:c r="H233" s="27" t="str"/>
      <x:c r="I233" s="27" t="str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</x:row>
    <x:row r="234">
      <x:c r="A234" s="27" t="str"/>
      <x:c r="B234" s="27" t="str"/>
      <x:c r="C234" s="27" t="str"/>
      <x:c r="D234" s="27" t="str"/>
      <x:c r="E234" s="27" t="str"/>
      <x:c r="F234" s="27" t="str"/>
      <x:c r="G234" s="27" t="str"/>
      <x:c r="H234" s="27" t="str"/>
      <x:c r="I234" s="27" t="str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</x:row>
    <x:row r="235">
      <x:c r="A235" s="27" t="str"/>
      <x:c r="B235" s="27" t="str"/>
      <x:c r="C235" s="27" t="str"/>
      <x:c r="D235" s="27" t="str"/>
      <x:c r="E235" s="27" t="str"/>
      <x:c r="F235" s="27" t="str"/>
      <x:c r="G235" s="27" t="str"/>
      <x:c r="H235" s="27" t="str"/>
      <x:c r="I235" s="27" t="str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</x:row>
    <x:row r="236">
      <x:c r="A236" s="27" t="str"/>
      <x:c r="B236" s="27" t="str"/>
      <x:c r="C236" s="27" t="str"/>
      <x:c r="D236" s="27" t="str"/>
      <x:c r="E236" s="27" t="str"/>
      <x:c r="F236" s="27" t="str"/>
      <x:c r="G236" s="27" t="str"/>
      <x:c r="H236" s="27" t="str"/>
      <x:c r="I236" s="27" t="str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</x:row>
    <x:row r="237">
      <x:c r="A237" s="27" t="str"/>
      <x:c r="B237" s="27" t="str"/>
      <x:c r="C237" s="27" t="str"/>
      <x:c r="D237" s="27" t="str"/>
      <x:c r="E237" s="27" t="str"/>
      <x:c r="F237" s="27" t="str"/>
      <x:c r="G237" s="27" t="str"/>
      <x:c r="H237" s="27" t="str"/>
      <x:c r="I237" s="27" t="str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</x:row>
    <x:row r="238">
      <x:c r="A238" s="27" t="str"/>
      <x:c r="B238" s="27" t="str"/>
      <x:c r="C238" s="27" t="str"/>
      <x:c r="D238" s="27" t="str"/>
      <x:c r="E238" s="27" t="str"/>
      <x:c r="F238" s="27" t="str"/>
      <x:c r="G238" s="27" t="str"/>
      <x:c r="H238" s="27" t="str"/>
      <x:c r="I238" s="27" t="str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</x:row>
    <x:row r="239">
      <x:c r="A239" s="27" t="str"/>
      <x:c r="B239" s="27" t="str"/>
      <x:c r="C239" s="27" t="str"/>
      <x:c r="D239" s="27" t="str"/>
      <x:c r="E239" s="27" t="str"/>
      <x:c r="F239" s="27" t="str"/>
      <x:c r="G239" s="27" t="str"/>
      <x:c r="H239" s="27" t="str"/>
      <x:c r="I239" s="27" t="str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</x:row>
    <x:row r="240">
      <x:c r="A240" s="27" t="str"/>
      <x:c r="B240" s="27" t="str"/>
      <x:c r="C240" s="27" t="str"/>
      <x:c r="D240" s="27" t="str"/>
      <x:c r="E240" s="27" t="str"/>
      <x:c r="F240" s="27" t="str"/>
      <x:c r="G240" s="27" t="str"/>
      <x:c r="H240" s="27" t="str"/>
      <x:c r="I240" s="27" t="str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</x:row>
    <x:row r="241">
      <x:c r="A241" s="27" t="str"/>
      <x:c r="B241" s="27" t="str"/>
      <x:c r="C241" s="27" t="str"/>
      <x:c r="D241" s="27" t="str"/>
      <x:c r="E241" s="27" t="str"/>
      <x:c r="F241" s="27" t="str"/>
      <x:c r="G241" s="27" t="str"/>
      <x:c r="H241" s="27" t="str"/>
      <x:c r="I241" s="27" t="str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</x:row>
    <x:row r="242">
      <x:c r="A242" s="27" t="str"/>
      <x:c r="B242" s="27" t="str"/>
      <x:c r="C242" s="27" t="str"/>
      <x:c r="D242" s="27" t="str"/>
      <x:c r="E242" s="27" t="str"/>
      <x:c r="F242" s="27" t="str"/>
      <x:c r="G242" s="27" t="str"/>
      <x:c r="H242" s="27" t="str"/>
      <x:c r="I242" s="27" t="str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</x:row>
    <x:row r="243">
      <x:c r="A243" s="27" t="str"/>
      <x:c r="B243" s="27" t="str"/>
      <x:c r="C243" s="27" t="str"/>
      <x:c r="D243" s="27" t="str"/>
      <x:c r="E243" s="27" t="str"/>
      <x:c r="F243" s="27" t="str"/>
      <x:c r="G243" s="27" t="str"/>
      <x:c r="H243" s="27" t="str"/>
      <x:c r="I243" s="27" t="str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</x:row>
    <x:row r="244">
      <x:c r="A244" s="27" t="str"/>
      <x:c r="B244" s="27" t="str"/>
      <x:c r="C244" s="27" t="str"/>
      <x:c r="D244" s="27" t="str"/>
      <x:c r="E244" s="27" t="str"/>
      <x:c r="F244" s="27" t="str"/>
      <x:c r="G244" s="27" t="str"/>
      <x:c r="H244" s="27" t="str"/>
      <x:c r="I244" s="27" t="str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</x:row>
    <x:row r="245">
      <x:c r="A245" s="27" t="str"/>
      <x:c r="B245" s="27" t="str"/>
      <x:c r="C245" s="27" t="str"/>
      <x:c r="D245" s="27" t="str"/>
      <x:c r="E245" s="27" t="str"/>
      <x:c r="F245" s="27" t="str"/>
      <x:c r="G245" s="27" t="str"/>
      <x:c r="H245" s="27" t="str"/>
      <x:c r="I245" s="27" t="str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</x:row>
    <x:row r="246">
      <x:c r="A246" s="27" t="str"/>
      <x:c r="B246" s="27" t="str"/>
      <x:c r="C246" s="27" t="str"/>
      <x:c r="D246" s="27" t="str"/>
      <x:c r="E246" s="27" t="str"/>
      <x:c r="F246" s="27" t="str"/>
      <x:c r="G246" s="27" t="str"/>
      <x:c r="H246" s="27" t="str"/>
      <x:c r="I246" s="27" t="str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</x:row>
    <x:row r="247">
      <x:c r="A247" s="27" t="str"/>
      <x:c r="B247" s="27" t="str"/>
      <x:c r="C247" s="27" t="str"/>
      <x:c r="D247" s="27" t="str"/>
      <x:c r="E247" s="27" t="str"/>
      <x:c r="F247" s="27" t="str"/>
      <x:c r="G247" s="27" t="str"/>
      <x:c r="H247" s="27" t="str"/>
      <x:c r="I247" s="27" t="str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</x:row>
    <x:row r="248">
      <x:c r="A248" s="27" t="str"/>
      <x:c r="B248" s="27" t="str"/>
      <x:c r="C248" s="27" t="str"/>
      <x:c r="D248" s="27" t="str"/>
      <x:c r="E248" s="27" t="str"/>
      <x:c r="F248" s="27" t="str"/>
      <x:c r="G248" s="27" t="str"/>
      <x:c r="H248" s="27" t="str"/>
      <x:c r="I248" s="27" t="str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</x:row>
    <x:row r="249">
      <x:c r="A249" s="27" t="str"/>
      <x:c r="B249" s="27" t="str"/>
      <x:c r="C249" s="27" t="str"/>
      <x:c r="D249" s="27" t="str"/>
      <x:c r="E249" s="27" t="str"/>
      <x:c r="F249" s="27" t="str"/>
      <x:c r="G249" s="27" t="str"/>
      <x:c r="H249" s="27" t="str"/>
      <x:c r="I249" s="27" t="str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</x:row>
    <x:row r="250">
      <x:c r="A250" s="27" t="str"/>
      <x:c r="B250" s="27" t="str"/>
      <x:c r="C250" s="27" t="str"/>
      <x:c r="D250" s="27" t="str"/>
      <x:c r="E250" s="27" t="str"/>
      <x:c r="F250" s="27" t="str"/>
      <x:c r="G250" s="27" t="str"/>
      <x:c r="H250" s="27" t="str"/>
      <x:c r="I250" s="27" t="str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</x:row>
    <x:row r="251">
      <x:c r="A251" s="27" t="str"/>
      <x:c r="B251" s="27" t="str"/>
      <x:c r="C251" s="27" t="str"/>
      <x:c r="D251" s="27" t="str"/>
      <x:c r="E251" s="27" t="str"/>
      <x:c r="F251" s="27" t="str"/>
      <x:c r="G251" s="27" t="str"/>
      <x:c r="H251" s="27" t="str"/>
      <x:c r="I251" s="27" t="str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</x:row>
    <x:row r="252">
      <x:c r="A252" s="27" t="str"/>
      <x:c r="B252" s="27" t="str"/>
      <x:c r="C252" s="27" t="str"/>
      <x:c r="D252" s="27" t="str"/>
      <x:c r="E252" s="27" t="str"/>
      <x:c r="F252" s="27" t="str"/>
      <x:c r="G252" s="27" t="str"/>
      <x:c r="H252" s="27" t="str"/>
      <x:c r="I252" s="27" t="str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</x:row>
    <x:row r="253">
      <x:c r="A253" s="27" t="str"/>
      <x:c r="B253" s="27" t="str"/>
      <x:c r="C253" s="27" t="str"/>
      <x:c r="D253" s="27" t="str"/>
      <x:c r="E253" s="27" t="str"/>
      <x:c r="F253" s="27" t="str"/>
      <x:c r="G253" s="27" t="str"/>
      <x:c r="H253" s="27" t="str"/>
      <x:c r="I253" s="27" t="str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</x:row>
    <x:row r="254">
      <x:c r="A254" s="27" t="str"/>
      <x:c r="B254" s="27" t="str"/>
      <x:c r="C254" s="27" t="str"/>
      <x:c r="D254" s="27" t="str"/>
      <x:c r="E254" s="27" t="str"/>
      <x:c r="F254" s="27" t="str"/>
      <x:c r="G254" s="27" t="str"/>
      <x:c r="H254" s="27" t="str"/>
      <x:c r="I254" s="27" t="str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</x:row>
    <x:row r="255">
      <x:c r="A255" s="27" t="str"/>
      <x:c r="B255" s="27" t="str"/>
      <x:c r="C255" s="27" t="str"/>
      <x:c r="D255" s="27" t="str"/>
      <x:c r="E255" s="27" t="str"/>
      <x:c r="F255" s="27" t="str"/>
      <x:c r="G255" s="27" t="str"/>
      <x:c r="H255" s="27" t="str"/>
      <x:c r="I255" s="27" t="str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</x:row>
    <x:row r="256">
      <x:c r="A256" s="27" t="str"/>
      <x:c r="B256" s="27" t="str"/>
      <x:c r="C256" s="27" t="str"/>
      <x:c r="D256" s="27" t="str"/>
      <x:c r="E256" s="27" t="str"/>
      <x:c r="F256" s="27" t="str"/>
      <x:c r="G256" s="27" t="str"/>
      <x:c r="H256" s="27" t="str"/>
      <x:c r="I256" s="27" t="str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</x:row>
    <x:row r="257">
      <x:c r="A257" s="27" t="str"/>
      <x:c r="B257" s="27" t="str"/>
      <x:c r="C257" s="27" t="str"/>
      <x:c r="D257" s="27" t="str"/>
      <x:c r="E257" s="27" t="str"/>
      <x:c r="F257" s="27" t="str"/>
      <x:c r="G257" s="27" t="str"/>
      <x:c r="H257" s="27" t="str"/>
      <x:c r="I257" s="27" t="str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</x:row>
    <x:row r="258">
      <x:c r="A258" s="27" t="str"/>
      <x:c r="B258" s="27" t="str"/>
      <x:c r="C258" s="27" t="str"/>
      <x:c r="D258" s="27" t="str"/>
      <x:c r="E258" s="27" t="str"/>
      <x:c r="F258" s="27" t="str"/>
      <x:c r="G258" s="27" t="str"/>
      <x:c r="H258" s="27" t="str"/>
      <x:c r="I258" s="27" t="str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</x:row>
    <x:row r="259">
      <x:c r="A259" s="27" t="str"/>
      <x:c r="B259" s="27" t="str"/>
      <x:c r="C259" s="27" t="str"/>
      <x:c r="D259" s="27" t="str"/>
      <x:c r="E259" s="27" t="str"/>
      <x:c r="F259" s="27" t="str"/>
      <x:c r="G259" s="27" t="str"/>
      <x:c r="H259" s="27" t="str"/>
      <x:c r="I259" s="27" t="str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</x:row>
    <x:row r="260">
      <x:c r="A260" s="27" t="str"/>
      <x:c r="B260" s="27" t="str"/>
      <x:c r="C260" s="27" t="str"/>
      <x:c r="D260" s="27" t="str"/>
      <x:c r="E260" s="27" t="str"/>
      <x:c r="F260" s="27" t="str"/>
      <x:c r="G260" s="27" t="str"/>
      <x:c r="H260" s="27" t="str"/>
      <x:c r="I260" s="27" t="str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</x:row>
    <x:row r="261">
      <x:c r="A261" s="27" t="str"/>
      <x:c r="B261" s="27" t="str"/>
      <x:c r="C261" s="27" t="str"/>
      <x:c r="D261" s="27" t="str"/>
      <x:c r="E261" s="27" t="str"/>
      <x:c r="F261" s="27" t="str"/>
      <x:c r="G261" s="27" t="str"/>
      <x:c r="H261" s="27" t="str"/>
      <x:c r="I261" s="27" t="str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</x:row>
    <x:row r="262">
      <x:c r="A262" s="27" t="str"/>
      <x:c r="B262" s="27" t="str"/>
      <x:c r="C262" s="27" t="str"/>
      <x:c r="D262" s="27" t="str"/>
      <x:c r="E262" s="27" t="str"/>
      <x:c r="F262" s="27" t="str"/>
      <x:c r="G262" s="27" t="str"/>
      <x:c r="H262" s="27" t="str"/>
      <x:c r="I262" s="27" t="str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</x:row>
    <x:row r="263">
      <x:c r="A263" s="27" t="str"/>
      <x:c r="B263" s="27" t="str"/>
      <x:c r="C263" s="27" t="str"/>
      <x:c r="D263" s="27" t="str"/>
      <x:c r="E263" s="27" t="str"/>
      <x:c r="F263" s="27" t="str"/>
      <x:c r="G263" s="27" t="str"/>
      <x:c r="H263" s="27" t="str"/>
      <x:c r="I263" s="27" t="str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</x:row>
    <x:row r="264">
      <x:c r="A264" s="27" t="str"/>
      <x:c r="B264" s="27" t="str"/>
      <x:c r="C264" s="27" t="str"/>
      <x:c r="D264" s="27" t="str"/>
      <x:c r="E264" s="27" t="str"/>
      <x:c r="F264" s="27" t="str"/>
      <x:c r="G264" s="27" t="str"/>
      <x:c r="H264" s="27" t="str"/>
      <x:c r="I264" s="27" t="str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</x:row>
    <x:row r="265">
      <x:c r="A265" s="27" t="str"/>
      <x:c r="B265" s="27" t="str"/>
      <x:c r="C265" s="27" t="str"/>
      <x:c r="D265" s="27" t="str"/>
      <x:c r="E265" s="27" t="str"/>
      <x:c r="F265" s="27" t="str"/>
      <x:c r="G265" s="27" t="str"/>
      <x:c r="H265" s="27" t="str"/>
      <x:c r="I265" s="27" t="str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</x:row>
    <x:row r="266">
      <x:c r="A266" s="27" t="str"/>
      <x:c r="B266" s="27" t="str"/>
      <x:c r="C266" s="27" t="str"/>
      <x:c r="D266" s="27" t="str"/>
      <x:c r="E266" s="27" t="str"/>
      <x:c r="F266" s="27" t="str"/>
      <x:c r="G266" s="27" t="str"/>
      <x:c r="H266" s="27" t="str"/>
      <x:c r="I266" s="27" t="str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</x:row>
    <x:row r="267">
      <x:c r="A267" s="27" t="str"/>
      <x:c r="B267" s="27" t="str"/>
      <x:c r="C267" s="27" t="str"/>
      <x:c r="D267" s="27" t="str"/>
      <x:c r="E267" s="27" t="str"/>
      <x:c r="F267" s="27" t="str"/>
      <x:c r="G267" s="27" t="str"/>
      <x:c r="H267" s="27" t="str"/>
      <x:c r="I267" s="27" t="str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</x:row>
    <x:row r="268">
      <x:c r="A268" s="27" t="str"/>
      <x:c r="B268" s="27" t="str"/>
      <x:c r="C268" s="27" t="str"/>
      <x:c r="D268" s="27" t="str"/>
      <x:c r="E268" s="27" t="str"/>
      <x:c r="F268" s="27" t="str"/>
      <x:c r="G268" s="27" t="str"/>
      <x:c r="H268" s="27" t="str"/>
      <x:c r="I268" s="27" t="str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</x:row>
    <x:row r="269">
      <x:c r="A269" s="27" t="str"/>
      <x:c r="B269" s="27" t="str"/>
      <x:c r="C269" s="27" t="str"/>
      <x:c r="D269" s="27" t="str"/>
      <x:c r="E269" s="27" t="str"/>
      <x:c r="F269" s="27" t="str"/>
      <x:c r="G269" s="27" t="str"/>
      <x:c r="H269" s="27" t="str"/>
      <x:c r="I269" s="27" t="str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</x:row>
    <x:row r="270">
      <x:c r="A270" s="27" t="str"/>
      <x:c r="B270" s="27" t="str"/>
      <x:c r="C270" s="27" t="str"/>
      <x:c r="D270" s="27" t="str"/>
      <x:c r="E270" s="27" t="str"/>
      <x:c r="F270" s="27" t="str"/>
      <x:c r="G270" s="27" t="str"/>
      <x:c r="H270" s="27" t="str"/>
      <x:c r="I270" s="27" t="str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</x:row>
    <x:row r="271">
      <x:c r="A271" s="27" t="str"/>
      <x:c r="B271" s="27" t="str"/>
      <x:c r="C271" s="27" t="str"/>
      <x:c r="D271" s="27" t="str"/>
      <x:c r="E271" s="27" t="str"/>
      <x:c r="F271" s="27" t="str"/>
      <x:c r="G271" s="27" t="str"/>
      <x:c r="H271" s="27" t="str"/>
      <x:c r="I271" s="27" t="str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</x:row>
    <x:row r="272">
      <x:c r="A272" s="27" t="str"/>
      <x:c r="B272" s="27" t="str"/>
      <x:c r="C272" s="27" t="str"/>
      <x:c r="D272" s="27" t="str"/>
      <x:c r="E272" s="27" t="str"/>
      <x:c r="F272" s="27" t="str"/>
      <x:c r="G272" s="27" t="str"/>
      <x:c r="H272" s="27" t="str"/>
      <x:c r="I272" s="27" t="str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</x:row>
    <x:row r="273">
      <x:c r="A273" s="27" t="str"/>
      <x:c r="B273" s="27" t="str"/>
      <x:c r="C273" s="27" t="str"/>
      <x:c r="D273" s="27" t="str"/>
      <x:c r="E273" s="27" t="str"/>
      <x:c r="F273" s="27" t="str"/>
      <x:c r="G273" s="27" t="str"/>
      <x:c r="H273" s="27" t="str"/>
      <x:c r="I273" s="27" t="str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</x:row>
    <x:row r="274">
      <x:c r="A274" s="27" t="str"/>
      <x:c r="B274" s="27" t="str"/>
      <x:c r="C274" s="27" t="str"/>
      <x:c r="D274" s="27" t="str"/>
      <x:c r="E274" s="27" t="str"/>
      <x:c r="F274" s="27" t="str"/>
      <x:c r="G274" s="27" t="str"/>
      <x:c r="H274" s="27" t="str"/>
      <x:c r="I274" s="27" t="str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</x:row>
    <x:row r="275">
      <x:c r="A275" s="27" t="str"/>
      <x:c r="B275" s="27" t="str"/>
      <x:c r="C275" s="27" t="str"/>
      <x:c r="D275" s="27" t="str"/>
      <x:c r="E275" s="27" t="str"/>
      <x:c r="F275" s="27" t="str"/>
      <x:c r="G275" s="27" t="str"/>
      <x:c r="H275" s="27" t="str"/>
      <x:c r="I275" s="27" t="str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</x:row>
    <x:row r="276">
      <x:c r="A276" s="27" t="str"/>
      <x:c r="B276" s="27" t="str"/>
      <x:c r="C276" s="27" t="str"/>
      <x:c r="D276" s="27" t="str"/>
      <x:c r="E276" s="27" t="str"/>
      <x:c r="F276" s="27" t="str"/>
      <x:c r="G276" s="27" t="str"/>
      <x:c r="H276" s="27" t="str"/>
      <x:c r="I276" s="27" t="str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</x:row>
    <x:row r="277">
      <x:c r="A277" s="27" t="str"/>
      <x:c r="B277" s="27" t="str"/>
      <x:c r="C277" s="27" t="str"/>
      <x:c r="D277" s="27" t="str"/>
      <x:c r="E277" s="27" t="str"/>
      <x:c r="F277" s="27" t="str"/>
      <x:c r="G277" s="27" t="str"/>
      <x:c r="H277" s="27" t="str"/>
      <x:c r="I277" s="27" t="str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</x:row>
    <x:row r="278">
      <x:c r="A278" s="27" t="str"/>
      <x:c r="B278" s="27" t="str"/>
      <x:c r="C278" s="27" t="str"/>
      <x:c r="D278" s="27" t="str"/>
      <x:c r="E278" s="27" t="str"/>
      <x:c r="F278" s="27" t="str"/>
      <x:c r="G278" s="27" t="str"/>
      <x:c r="H278" s="27" t="str"/>
      <x:c r="I278" s="27" t="str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</x:row>
    <x:row r="279">
      <x:c r="A279" s="27" t="str"/>
      <x:c r="B279" s="27" t="str"/>
      <x:c r="C279" s="27" t="str"/>
      <x:c r="D279" s="27" t="str"/>
      <x:c r="E279" s="27" t="str"/>
      <x:c r="F279" s="27" t="str"/>
      <x:c r="G279" s="27" t="str"/>
      <x:c r="H279" s="27" t="str"/>
      <x:c r="I279" s="27" t="str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</x:row>
    <x:row r="280">
      <x:c r="A280" s="27" t="str"/>
      <x:c r="B280" s="27" t="str"/>
      <x:c r="C280" s="27" t="str"/>
      <x:c r="D280" s="27" t="str"/>
      <x:c r="E280" s="27" t="str"/>
      <x:c r="F280" s="27" t="str"/>
      <x:c r="G280" s="27" t="str"/>
      <x:c r="H280" s="27" t="str"/>
      <x:c r="I280" s="27" t="str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</x:row>
    <x:row r="281">
      <x:c r="A281" s="27" t="str"/>
      <x:c r="B281" s="27" t="str"/>
      <x:c r="C281" s="27" t="str"/>
      <x:c r="D281" s="27" t="str"/>
      <x:c r="E281" s="27" t="str"/>
      <x:c r="F281" s="27" t="str"/>
      <x:c r="G281" s="27" t="str"/>
      <x:c r="H281" s="27" t="str"/>
      <x:c r="I281" s="27" t="str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</x:row>
    <x:row r="282">
      <x:c r="A282" s="27" t="str"/>
      <x:c r="B282" s="27" t="str"/>
      <x:c r="C282" s="27" t="str"/>
      <x:c r="D282" s="27" t="str"/>
      <x:c r="E282" s="27" t="str"/>
      <x:c r="F282" s="27" t="str"/>
      <x:c r="G282" s="27" t="str"/>
      <x:c r="H282" s="27" t="str"/>
      <x:c r="I282" s="27" t="str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</x:row>
    <x:row r="283">
      <x:c r="A283" s="27" t="str"/>
      <x:c r="B283" s="27" t="str"/>
      <x:c r="C283" s="27" t="str"/>
      <x:c r="D283" s="27" t="str"/>
      <x:c r="E283" s="27" t="str"/>
      <x:c r="F283" s="27" t="str"/>
      <x:c r="G283" s="27" t="str"/>
      <x:c r="H283" s="27" t="str"/>
      <x:c r="I283" s="27" t="str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</x:row>
    <x:row r="284">
      <x:c r="A284" s="27" t="str"/>
      <x:c r="B284" s="27" t="str"/>
      <x:c r="C284" s="27" t="str"/>
      <x:c r="D284" s="27" t="str"/>
      <x:c r="E284" s="27" t="str"/>
      <x:c r="F284" s="27" t="str"/>
      <x:c r="G284" s="27" t="str"/>
      <x:c r="H284" s="27" t="str"/>
      <x:c r="I284" s="27" t="str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</x:row>
    <x:row r="285">
      <x:c r="A285" s="27" t="str"/>
      <x:c r="B285" s="27" t="str"/>
      <x:c r="C285" s="27" t="str"/>
      <x:c r="D285" s="27" t="str"/>
      <x:c r="E285" s="27" t="str"/>
      <x:c r="F285" s="27" t="str"/>
      <x:c r="G285" s="27" t="str"/>
      <x:c r="H285" s="27" t="str"/>
      <x:c r="I285" s="27" t="str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</x:row>
    <x:row r="286">
      <x:c r="A286" s="27" t="str"/>
      <x:c r="B286" s="27" t="str"/>
      <x:c r="C286" s="27" t="str"/>
      <x:c r="D286" s="27" t="str"/>
      <x:c r="E286" s="27" t="str"/>
      <x:c r="F286" s="27" t="str"/>
      <x:c r="G286" s="27" t="str"/>
      <x:c r="H286" s="27" t="str"/>
      <x:c r="I286" s="27" t="str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</x:row>
    <x:row r="287">
      <x:c r="A287" s="27" t="str"/>
      <x:c r="B287" s="27" t="str"/>
      <x:c r="C287" s="27" t="str"/>
      <x:c r="D287" s="27" t="str"/>
      <x:c r="E287" s="27" t="str"/>
      <x:c r="F287" s="27" t="str"/>
      <x:c r="G287" s="27" t="str"/>
      <x:c r="H287" s="27" t="str"/>
      <x:c r="I287" s="27" t="str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</x:row>
    <x:row r="288">
      <x:c r="A288" s="27" t="str"/>
      <x:c r="B288" s="27" t="str"/>
      <x:c r="C288" s="27" t="str"/>
      <x:c r="D288" s="27" t="str"/>
      <x:c r="E288" s="27" t="str"/>
      <x:c r="F288" s="27" t="str"/>
      <x:c r="G288" s="27" t="str"/>
      <x:c r="H288" s="27" t="str"/>
      <x:c r="I288" s="27" t="str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</x:row>
    <x:row r="289">
      <x:c r="A289" s="27" t="str"/>
      <x:c r="B289" s="27" t="str"/>
      <x:c r="C289" s="27" t="str"/>
      <x:c r="D289" s="27" t="str"/>
      <x:c r="E289" s="27" t="str"/>
      <x:c r="F289" s="27" t="str"/>
      <x:c r="G289" s="27" t="str"/>
      <x:c r="H289" s="27" t="str"/>
      <x:c r="I289" s="27" t="str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</x:row>
    <x:row r="290">
      <x:c r="A290" s="27" t="str"/>
      <x:c r="B290" s="27" t="str"/>
      <x:c r="C290" s="27" t="str"/>
      <x:c r="D290" s="27" t="str"/>
      <x:c r="E290" s="27" t="str"/>
      <x:c r="F290" s="27" t="str"/>
      <x:c r="G290" s="27" t="str"/>
      <x:c r="H290" s="27" t="str"/>
      <x:c r="I290" s="27" t="str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</x:row>
    <x:row r="291">
      <x:c r="A291" s="27" t="str"/>
      <x:c r="B291" s="27" t="str"/>
      <x:c r="C291" s="27" t="str"/>
      <x:c r="D291" s="27" t="str"/>
      <x:c r="E291" s="27" t="str"/>
      <x:c r="F291" s="27" t="str"/>
      <x:c r="G291" s="27" t="str"/>
      <x:c r="H291" s="27" t="str"/>
      <x:c r="I291" s="27" t="str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</x:row>
    <x:row r="292">
      <x:c r="A292" s="27" t="str"/>
      <x:c r="B292" s="27" t="str"/>
      <x:c r="C292" s="27" t="str"/>
      <x:c r="D292" s="27" t="str"/>
      <x:c r="E292" s="27" t="str"/>
      <x:c r="F292" s="27" t="str"/>
      <x:c r="G292" s="27" t="str"/>
      <x:c r="H292" s="27" t="str"/>
      <x:c r="I292" s="27" t="str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</x:row>
    <x:row r="293">
      <x:c r="A293" s="27" t="str"/>
      <x:c r="B293" s="27" t="str"/>
      <x:c r="C293" s="27" t="str"/>
      <x:c r="D293" s="27" t="str"/>
      <x:c r="E293" s="27" t="str"/>
      <x:c r="F293" s="27" t="str"/>
      <x:c r="G293" s="27" t="str"/>
      <x:c r="H293" s="27" t="str"/>
      <x:c r="I293" s="27" t="str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</x:row>
    <x:row r="294">
      <x:c r="A294" s="27" t="str"/>
      <x:c r="B294" s="27" t="str"/>
      <x:c r="C294" s="27" t="str"/>
      <x:c r="D294" s="27" t="str"/>
      <x:c r="E294" s="27" t="str"/>
      <x:c r="F294" s="27" t="str"/>
      <x:c r="G294" s="27" t="str"/>
      <x:c r="H294" s="27" t="str"/>
      <x:c r="I294" s="27" t="str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</x:row>
    <x:row r="295">
      <x:c r="A295" s="27" t="str"/>
      <x:c r="B295" s="27" t="str"/>
      <x:c r="C295" s="27" t="str"/>
      <x:c r="D295" s="27" t="str"/>
      <x:c r="E295" s="27" t="str"/>
      <x:c r="F295" s="27" t="str"/>
      <x:c r="G295" s="27" t="str"/>
      <x:c r="H295" s="27" t="str"/>
      <x:c r="I295" s="27" t="str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</x:row>
    <x:row r="296">
      <x:c r="A296" s="27" t="str"/>
      <x:c r="B296" s="27" t="str"/>
      <x:c r="C296" s="27" t="str"/>
      <x:c r="D296" s="27" t="str"/>
      <x:c r="E296" s="27" t="str"/>
      <x:c r="F296" s="27" t="str"/>
      <x:c r="G296" s="27" t="str"/>
      <x:c r="H296" s="27" t="str"/>
      <x:c r="I296" s="27" t="str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</x:row>
    <x:row r="297">
      <x:c r="A297" s="27" t="str"/>
      <x:c r="B297" s="27" t="str"/>
      <x:c r="C297" s="27" t="str"/>
      <x:c r="D297" s="27" t="str"/>
      <x:c r="E297" s="27" t="str"/>
      <x:c r="F297" s="27" t="str"/>
      <x:c r="G297" s="27" t="str"/>
      <x:c r="H297" s="27" t="str"/>
      <x:c r="I297" s="27" t="str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</x:row>
    <x:row r="298">
      <x:c r="A298" s="27" t="str"/>
      <x:c r="B298" s="27" t="str"/>
      <x:c r="C298" s="27" t="str"/>
      <x:c r="D298" s="27" t="str"/>
      <x:c r="E298" s="27" t="str"/>
      <x:c r="F298" s="27" t="str"/>
      <x:c r="G298" s="27" t="str"/>
      <x:c r="H298" s="27" t="str"/>
      <x:c r="I298" s="27" t="str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</x:row>
    <x:row r="299">
      <x:c r="A299" s="27" t="str"/>
      <x:c r="B299" s="27" t="str"/>
      <x:c r="C299" s="27" t="str"/>
      <x:c r="D299" s="27" t="str"/>
      <x:c r="E299" s="27" t="str"/>
      <x:c r="F299" s="27" t="str"/>
      <x:c r="G299" s="27" t="str"/>
      <x:c r="H299" s="27" t="str"/>
      <x:c r="I299" s="27" t="str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</x:row>
    <x:row r="300">
      <x:c r="A300" s="27" t="str"/>
      <x:c r="B300" s="27" t="str"/>
      <x:c r="C300" s="27" t="str"/>
      <x:c r="D300" s="27" t="str"/>
      <x:c r="E300" s="27" t="str"/>
      <x:c r="F300" s="27" t="str"/>
      <x:c r="G300" s="27" t="str"/>
      <x:c r="H300" s="27" t="str"/>
      <x:c r="I300" s="27" t="str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</x:row>
    <x:row r="301">
      <x:c r="A301" s="27" t="str"/>
      <x:c r="B301" s="27" t="str"/>
      <x:c r="C301" s="27" t="str"/>
      <x:c r="D301" s="27" t="str"/>
      <x:c r="E301" s="27" t="str"/>
      <x:c r="F301" s="27" t="str"/>
      <x:c r="G301" s="27" t="str"/>
      <x:c r="H301" s="27" t="str"/>
      <x:c r="I301" s="27" t="str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</x:row>
    <x:row r="302">
      <x:c r="A302" s="27" t="str"/>
      <x:c r="B302" s="27" t="str"/>
      <x:c r="C302" s="27" t="str"/>
      <x:c r="D302" s="27" t="str"/>
      <x:c r="E302" s="27" t="str"/>
      <x:c r="F302" s="27" t="str"/>
      <x:c r="G302" s="27" t="str"/>
      <x:c r="H302" s="27" t="str"/>
      <x:c r="I302" s="27" t="str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</x:row>
    <x:row r="303">
      <x:c r="A303" s="27" t="str"/>
      <x:c r="B303" s="27" t="str"/>
      <x:c r="C303" s="27" t="str"/>
      <x:c r="D303" s="27" t="str"/>
      <x:c r="E303" s="27" t="str"/>
      <x:c r="F303" s="27" t="str"/>
      <x:c r="G303" s="27" t="str"/>
      <x:c r="H303" s="27" t="str"/>
      <x:c r="I303" s="27" t="str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</x:row>
    <x:row r="304">
      <x:c r="A304" s="27" t="str"/>
      <x:c r="B304" s="27" t="str"/>
      <x:c r="C304" s="27" t="str"/>
      <x:c r="D304" s="27" t="str"/>
      <x:c r="E304" s="27" t="str"/>
      <x:c r="F304" s="27" t="str"/>
      <x:c r="G304" s="27" t="str"/>
      <x:c r="H304" s="27" t="str"/>
      <x:c r="I304" s="27" t="str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</x:row>
  </x:sheetData>
  <x:mergeCells>
    <x:mergeCell ref="A1:I1"/>
    <x:mergeCell ref="A2:I2"/>
  </x:mergeCells>
  <x:dataValidations count="2">
    <x:dataValidation type="list" sqref="D5:D304">
      <x:formula1>"Основная,Поддерживающая,Альтернативная,Сервисная,Монетизационная,Контрольная"</x:formula1>
    </x:dataValidation>
    <x:dataValidation type="list" sqref="E5:E304">
      <x:formula1>"Обязательно для первой версии,Желательно для первой версии,Следующий выпуск,Отложить,Исключить"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0a4139c7cf541b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34" hidden="0" customWidth="1"/>
    <x:col min="5" max="5" width="34" hidden="0" customWidth="1"/>
    <x:col min="6" max="6" width="12" hidden="0" customWidth="1"/>
    <x:col min="7" max="7" width="20" hidden="0" customWidth="1"/>
    <x:col min="8" max="8" width="20" hidden="0" customWidth="1"/>
    <x:col min="9" max="9" width="14" hidden="0" customWidth="1"/>
    <x:col min="10" max="10" width="42" hidden="0" customWidth="1"/>
  </x:cols>
  <x:sheetData>
    <x:row r="1" ht="32" customHeight="1">
      <x:c r="A1" s="60" t="str">
        <x:v>Навигация и карта переходов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</x:row>
    <x:row r="2" ht="32" customHeight="1">
      <x:c r="A2" s="9" t="str">
        <x:v>Каждый переход описывает действие, условие, направление и риск разрыва пользовательского сценария.</x:v>
      </x:c>
      <x:c r="B2" s="9"/>
      <x:c r="C2" s="9"/>
      <x:c r="D2" s="9"/>
      <x:c r="E2" s="9"/>
      <x:c r="F2" s="9"/>
      <x:c r="G2" s="9"/>
      <x:c r="H2" s="9"/>
      <x:c r="I2" s="9"/>
      <x:c r="J2" s="9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 ht="38" customHeight="1">
      <x:c r="A4" s="50" t="str">
        <x:v>Переход_ID</x:v>
      </x:c>
      <x:c r="B4" s="50" t="str">
        <x:v>Откуда Unit_ID</x:v>
      </x:c>
      <x:c r="C4" s="50" t="str">
        <x:v>Куда Unit_ID</x:v>
      </x:c>
      <x:c r="D4" s="50" t="str">
        <x:v>Событие / действие</x:v>
      </x:c>
      <x:c r="E4" s="50" t="str">
        <x:v>Условие</x:v>
      </x:c>
      <x:c r="F4" s="50" t="str">
        <x:v>Роль_ID</x:v>
      </x:c>
      <x:c r="G4" s="50" t="str">
        <x:v>Этап пути</x:v>
      </x:c>
      <x:c r="H4" s="50" t="str">
        <x:v>Тип перехода</x:v>
      </x:c>
      <x:c r="I4" s="50" t="str">
        <x:v>Риск разрыва 1–5</x:v>
      </x:c>
      <x:c r="J4" s="50" t="str">
        <x:v>Комментарий</x:v>
      </x:c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</x:row>
    <x:row r="5">
      <x:c r="A5" s="27" t="str">
        <x:v>N-001</x:v>
      </x:c>
      <x:c r="B5" s="27" t="str">
        <x:v>U-001</x:v>
      </x:c>
      <x:c r="C5" s="27" t="str">
        <x:v>U-002</x:v>
      </x:c>
      <x:c r="D5" s="27" t="str">
        <x:v>Нажатие на регистрацию</x:v>
      </x:c>
      <x:c r="E5" s="27" t="str">
        <x:v>Пользователь готов попробовать товар</x:v>
      </x:c>
      <x:c r="F5" s="27" t="str">
        <x:v>ROLE-001</x:v>
      </x:c>
      <x:c r="G5" s="27" t="str">
        <x:v>Регистрация</x:v>
      </x:c>
      <x:c r="H5" s="27" t="str">
        <x:v>Основной</x:v>
      </x:c>
      <x:c r="I5" s="27" t="n">
        <x:v>2</x:v>
      </x:c>
      <x:c r="J5" s="27" t="str">
        <x:v>Должен быть видимый призыв к действию</x:v>
      </x:c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</x:row>
    <x:row r="6">
      <x:c r="A6" s="27" t="str"/>
      <x:c r="B6" s="27" t="str"/>
      <x:c r="C6" s="27" t="str"/>
      <x:c r="D6" s="27" t="str"/>
      <x:c r="E6" s="27" t="str"/>
      <x:c r="F6" s="27" t="str"/>
      <x:c r="G6" s="27" t="str"/>
      <x:c r="H6" s="27" t="str"/>
      <x:c r="I6" s="27" t="str"/>
      <x:c r="J6" s="27" t="str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 t="str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 t="str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 t="str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</x:row>
    <x:row r="44">
      <x:c r="A44" s="27" t="str"/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/>
      <x:c r="J44" s="27" t="str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</x:row>
    <x:row r="45">
      <x:c r="A45" s="27" t="str"/>
      <x:c r="B45" s="27" t="str"/>
      <x:c r="C45" s="27" t="str"/>
      <x:c r="D45" s="27" t="str"/>
      <x:c r="E45" s="27" t="str"/>
      <x:c r="F45" s="27" t="str"/>
      <x:c r="G45" s="27" t="str"/>
      <x:c r="H45" s="27" t="str"/>
      <x:c r="I45" s="27" t="str"/>
      <x:c r="J45" s="27" t="str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</x:row>
    <x:row r="46">
      <x:c r="A46" s="27" t="str"/>
      <x:c r="B46" s="27" t="str"/>
      <x:c r="C46" s="27" t="str"/>
      <x:c r="D46" s="27" t="str"/>
      <x:c r="E46" s="27" t="str"/>
      <x:c r="F46" s="27" t="str"/>
      <x:c r="G46" s="27" t="str"/>
      <x:c r="H46" s="27" t="str"/>
      <x:c r="I46" s="27" t="str"/>
      <x:c r="J46" s="27" t="str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</x:row>
    <x:row r="47">
      <x:c r="A47" s="27" t="str"/>
      <x:c r="B47" s="27" t="str"/>
      <x:c r="C47" s="27" t="str"/>
      <x:c r="D47" s="27" t="str"/>
      <x:c r="E47" s="27" t="str"/>
      <x:c r="F47" s="27" t="str"/>
      <x:c r="G47" s="27" t="str"/>
      <x:c r="H47" s="27" t="str"/>
      <x:c r="I47" s="27" t="str"/>
      <x:c r="J47" s="27" t="str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</x:row>
    <x:row r="48">
      <x:c r="A48" s="27" t="str"/>
      <x:c r="B48" s="27" t="str"/>
      <x:c r="C48" s="27" t="str"/>
      <x:c r="D48" s="27" t="str"/>
      <x:c r="E48" s="27" t="str"/>
      <x:c r="F48" s="27" t="str"/>
      <x:c r="G48" s="27" t="str"/>
      <x:c r="H48" s="27" t="str"/>
      <x:c r="I48" s="27" t="str"/>
      <x:c r="J48" s="27" t="str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</x:row>
    <x:row r="49">
      <x:c r="A49" s="27" t="str"/>
      <x:c r="B49" s="27" t="str"/>
      <x:c r="C49" s="27" t="str"/>
      <x:c r="D49" s="27" t="str"/>
      <x:c r="E49" s="27" t="str"/>
      <x:c r="F49" s="27" t="str"/>
      <x:c r="G49" s="27" t="str"/>
      <x:c r="H49" s="27" t="str"/>
      <x:c r="I49" s="27" t="str"/>
      <x:c r="J49" s="27" t="str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</x:row>
    <x:row r="50">
      <x:c r="A50" s="27" t="str"/>
      <x:c r="B50" s="27" t="str"/>
      <x:c r="C50" s="27" t="str"/>
      <x:c r="D50" s="27" t="str"/>
      <x:c r="E50" s="27" t="str"/>
      <x:c r="F50" s="27" t="str"/>
      <x:c r="G50" s="27" t="str"/>
      <x:c r="H50" s="27" t="str"/>
      <x:c r="I50" s="27" t="str"/>
      <x:c r="J50" s="27" t="str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</x:row>
    <x:row r="51">
      <x:c r="A51" s="27" t="str"/>
      <x:c r="B51" s="27" t="str"/>
      <x:c r="C51" s="27" t="str"/>
      <x:c r="D51" s="27" t="str"/>
      <x:c r="E51" s="27" t="str"/>
      <x:c r="F51" s="27" t="str"/>
      <x:c r="G51" s="27" t="str"/>
      <x:c r="H51" s="27" t="str"/>
      <x:c r="I51" s="27" t="str"/>
      <x:c r="J51" s="27" t="str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</x:row>
    <x:row r="52">
      <x:c r="A52" s="27" t="str"/>
      <x:c r="B52" s="27" t="str"/>
      <x:c r="C52" s="27" t="str"/>
      <x:c r="D52" s="27" t="str"/>
      <x:c r="E52" s="27" t="str"/>
      <x:c r="F52" s="27" t="str"/>
      <x:c r="G52" s="27" t="str"/>
      <x:c r="H52" s="27" t="str"/>
      <x:c r="I52" s="27" t="str"/>
      <x:c r="J52" s="27" t="str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</x:row>
    <x:row r="53">
      <x:c r="A53" s="27" t="str"/>
      <x:c r="B53" s="27" t="str"/>
      <x:c r="C53" s="27" t="str"/>
      <x:c r="D53" s="27" t="str"/>
      <x:c r="E53" s="27" t="str"/>
      <x:c r="F53" s="27" t="str"/>
      <x:c r="G53" s="27" t="str"/>
      <x:c r="H53" s="27" t="str"/>
      <x:c r="I53" s="27" t="str"/>
      <x:c r="J53" s="27" t="str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</x:row>
    <x:row r="54">
      <x:c r="A54" s="27" t="str"/>
      <x:c r="B54" s="27" t="str"/>
      <x:c r="C54" s="27" t="str"/>
      <x:c r="D54" s="27" t="str"/>
      <x:c r="E54" s="27" t="str"/>
      <x:c r="F54" s="27" t="str"/>
      <x:c r="G54" s="27" t="str"/>
      <x:c r="H54" s="27" t="str"/>
      <x:c r="I54" s="27" t="str"/>
      <x:c r="J54" s="27" t="str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</x:row>
    <x:row r="55">
      <x:c r="A55" s="27" t="str"/>
      <x:c r="B55" s="27" t="str"/>
      <x:c r="C55" s="27" t="str"/>
      <x:c r="D55" s="27" t="str"/>
      <x:c r="E55" s="27" t="str"/>
      <x:c r="F55" s="27" t="str"/>
      <x:c r="G55" s="27" t="str"/>
      <x:c r="H55" s="27" t="str"/>
      <x:c r="I55" s="27" t="str"/>
      <x:c r="J55" s="27" t="str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</x:row>
    <x:row r="56">
      <x:c r="A56" s="27" t="str"/>
      <x:c r="B56" s="27" t="str"/>
      <x:c r="C56" s="27" t="str"/>
      <x:c r="D56" s="27" t="str"/>
      <x:c r="E56" s="27" t="str"/>
      <x:c r="F56" s="27" t="str"/>
      <x:c r="G56" s="27" t="str"/>
      <x:c r="H56" s="27" t="str"/>
      <x:c r="I56" s="27" t="str"/>
      <x:c r="J56" s="27" t="str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</x:row>
    <x:row r="57">
      <x:c r="A57" s="27" t="str"/>
      <x:c r="B57" s="27" t="str"/>
      <x:c r="C57" s="27" t="str"/>
      <x:c r="D57" s="27" t="str"/>
      <x:c r="E57" s="27" t="str"/>
      <x:c r="F57" s="27" t="str"/>
      <x:c r="G57" s="27" t="str"/>
      <x:c r="H57" s="27" t="str"/>
      <x:c r="I57" s="27" t="str"/>
      <x:c r="J57" s="27" t="str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</x:row>
    <x:row r="58">
      <x:c r="A58" s="27" t="str"/>
      <x:c r="B58" s="27" t="str"/>
      <x:c r="C58" s="27" t="str"/>
      <x:c r="D58" s="27" t="str"/>
      <x:c r="E58" s="27" t="str"/>
      <x:c r="F58" s="27" t="str"/>
      <x:c r="G58" s="27" t="str"/>
      <x:c r="H58" s="27" t="str"/>
      <x:c r="I58" s="27" t="str"/>
      <x:c r="J58" s="27" t="str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</x:row>
    <x:row r="59">
      <x:c r="A59" s="27" t="str"/>
      <x:c r="B59" s="27" t="str"/>
      <x:c r="C59" s="27" t="str"/>
      <x:c r="D59" s="27" t="str"/>
      <x:c r="E59" s="27" t="str"/>
      <x:c r="F59" s="27" t="str"/>
      <x:c r="G59" s="27" t="str"/>
      <x:c r="H59" s="27" t="str"/>
      <x:c r="I59" s="27" t="str"/>
      <x:c r="J59" s="27" t="str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</x:row>
    <x:row r="60">
      <x:c r="A60" s="27" t="str"/>
      <x:c r="B60" s="27" t="str"/>
      <x:c r="C60" s="27" t="str"/>
      <x:c r="D60" s="27" t="str"/>
      <x:c r="E60" s="27" t="str"/>
      <x:c r="F60" s="27" t="str"/>
      <x:c r="G60" s="27" t="str"/>
      <x:c r="H60" s="27" t="str"/>
      <x:c r="I60" s="27" t="str"/>
      <x:c r="J60" s="27" t="str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</x:row>
    <x:row r="61">
      <x:c r="A61" s="27" t="str"/>
      <x:c r="B61" s="27" t="str"/>
      <x:c r="C61" s="27" t="str"/>
      <x:c r="D61" s="27" t="str"/>
      <x:c r="E61" s="27" t="str"/>
      <x:c r="F61" s="27" t="str"/>
      <x:c r="G61" s="27" t="str"/>
      <x:c r="H61" s="27" t="str"/>
      <x:c r="I61" s="27" t="str"/>
      <x:c r="J61" s="27" t="str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</x:row>
    <x:row r="62">
      <x:c r="A62" s="27" t="str"/>
      <x:c r="B62" s="27" t="str"/>
      <x:c r="C62" s="27" t="str"/>
      <x:c r="D62" s="27" t="str"/>
      <x:c r="E62" s="27" t="str"/>
      <x:c r="F62" s="27" t="str"/>
      <x:c r="G62" s="27" t="str"/>
      <x:c r="H62" s="27" t="str"/>
      <x:c r="I62" s="27" t="str"/>
      <x:c r="J62" s="27" t="str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</x:row>
    <x:row r="63">
      <x:c r="A63" s="27" t="str"/>
      <x:c r="B63" s="27" t="str"/>
      <x:c r="C63" s="27" t="str"/>
      <x:c r="D63" s="27" t="str"/>
      <x:c r="E63" s="27" t="str"/>
      <x:c r="F63" s="27" t="str"/>
      <x:c r="G63" s="27" t="str"/>
      <x:c r="H63" s="27" t="str"/>
      <x:c r="I63" s="27" t="str"/>
      <x:c r="J63" s="27" t="str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</x:row>
    <x:row r="64">
      <x:c r="A64" s="27" t="str"/>
      <x:c r="B64" s="27" t="str"/>
      <x:c r="C64" s="27" t="str"/>
      <x:c r="D64" s="27" t="str"/>
      <x:c r="E64" s="27" t="str"/>
      <x:c r="F64" s="27" t="str"/>
      <x:c r="G64" s="27" t="str"/>
      <x:c r="H64" s="27" t="str"/>
      <x:c r="I64" s="27" t="str"/>
      <x:c r="J64" s="27" t="str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</x:row>
    <x:row r="65">
      <x:c r="A65" s="27" t="str"/>
      <x:c r="B65" s="27" t="str"/>
      <x:c r="C65" s="27" t="str"/>
      <x:c r="D65" s="27" t="str"/>
      <x:c r="E65" s="27" t="str"/>
      <x:c r="F65" s="27" t="str"/>
      <x:c r="G65" s="27" t="str"/>
      <x:c r="H65" s="27" t="str"/>
      <x:c r="I65" s="27" t="str"/>
      <x:c r="J65" s="27" t="str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</x:row>
    <x:row r="66">
      <x:c r="A66" s="27" t="str"/>
      <x:c r="B66" s="27" t="str"/>
      <x:c r="C66" s="27" t="str"/>
      <x:c r="D66" s="27" t="str"/>
      <x:c r="E66" s="27" t="str"/>
      <x:c r="F66" s="27" t="str"/>
      <x:c r="G66" s="27" t="str"/>
      <x:c r="H66" s="27" t="str"/>
      <x:c r="I66" s="27" t="str"/>
      <x:c r="J66" s="27" t="str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</x:row>
    <x:row r="67">
      <x:c r="A67" s="27" t="str"/>
      <x:c r="B67" s="27" t="str"/>
      <x:c r="C67" s="27" t="str"/>
      <x:c r="D67" s="27" t="str"/>
      <x:c r="E67" s="27" t="str"/>
      <x:c r="F67" s="27" t="str"/>
      <x:c r="G67" s="27" t="str"/>
      <x:c r="H67" s="27" t="str"/>
      <x:c r="I67" s="27" t="str"/>
      <x:c r="J67" s="27" t="str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</x:row>
    <x:row r="68">
      <x:c r="A68" s="27" t="str"/>
      <x:c r="B68" s="27" t="str"/>
      <x:c r="C68" s="27" t="str"/>
      <x:c r="D68" s="27" t="str"/>
      <x:c r="E68" s="27" t="str"/>
      <x:c r="F68" s="27" t="str"/>
      <x:c r="G68" s="27" t="str"/>
      <x:c r="H68" s="27" t="str"/>
      <x:c r="I68" s="27" t="str"/>
      <x:c r="J68" s="27" t="str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</x:row>
    <x:row r="69">
      <x:c r="A69" s="27" t="str"/>
      <x:c r="B69" s="27" t="str"/>
      <x:c r="C69" s="27" t="str"/>
      <x:c r="D69" s="27" t="str"/>
      <x:c r="E69" s="27" t="str"/>
      <x:c r="F69" s="27" t="str"/>
      <x:c r="G69" s="27" t="str"/>
      <x:c r="H69" s="27" t="str"/>
      <x:c r="I69" s="27" t="str"/>
      <x:c r="J69" s="27" t="str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</x:row>
    <x:row r="70">
      <x:c r="A70" s="27" t="str"/>
      <x:c r="B70" s="27" t="str"/>
      <x:c r="C70" s="27" t="str"/>
      <x:c r="D70" s="27" t="str"/>
      <x:c r="E70" s="27" t="str"/>
      <x:c r="F70" s="27" t="str"/>
      <x:c r="G70" s="27" t="str"/>
      <x:c r="H70" s="27" t="str"/>
      <x:c r="I70" s="27" t="str"/>
      <x:c r="J70" s="27" t="str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</x:row>
    <x:row r="71">
      <x:c r="A71" s="27" t="str"/>
      <x:c r="B71" s="27" t="str"/>
      <x:c r="C71" s="27" t="str"/>
      <x:c r="D71" s="27" t="str"/>
      <x:c r="E71" s="27" t="str"/>
      <x:c r="F71" s="27" t="str"/>
      <x:c r="G71" s="27" t="str"/>
      <x:c r="H71" s="27" t="str"/>
      <x:c r="I71" s="27" t="str"/>
      <x:c r="J71" s="27" t="str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</x:row>
    <x:row r="72">
      <x:c r="A72" s="27" t="str"/>
      <x:c r="B72" s="27" t="str"/>
      <x:c r="C72" s="27" t="str"/>
      <x:c r="D72" s="27" t="str"/>
      <x:c r="E72" s="27" t="str"/>
      <x:c r="F72" s="27" t="str"/>
      <x:c r="G72" s="27" t="str"/>
      <x:c r="H72" s="27" t="str"/>
      <x:c r="I72" s="27" t="str"/>
      <x:c r="J72" s="27" t="str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</x:row>
    <x:row r="73">
      <x:c r="A73" s="27" t="str"/>
      <x:c r="B73" s="27" t="str"/>
      <x:c r="C73" s="27" t="str"/>
      <x:c r="D73" s="27" t="str"/>
      <x:c r="E73" s="27" t="str"/>
      <x:c r="F73" s="27" t="str"/>
      <x:c r="G73" s="27" t="str"/>
      <x:c r="H73" s="27" t="str"/>
      <x:c r="I73" s="27" t="str"/>
      <x:c r="J73" s="27" t="str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</x:row>
    <x:row r="74">
      <x:c r="A74" s="27" t="str"/>
      <x:c r="B74" s="27" t="str"/>
      <x:c r="C74" s="27" t="str"/>
      <x:c r="D74" s="27" t="str"/>
      <x:c r="E74" s="27" t="str"/>
      <x:c r="F74" s="27" t="str"/>
      <x:c r="G74" s="27" t="str"/>
      <x:c r="H74" s="27" t="str"/>
      <x:c r="I74" s="27" t="str"/>
      <x:c r="J74" s="27" t="str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</x:row>
    <x:row r="75">
      <x:c r="A75" s="27" t="str"/>
      <x:c r="B75" s="27" t="str"/>
      <x:c r="C75" s="27" t="str"/>
      <x:c r="D75" s="27" t="str"/>
      <x:c r="E75" s="27" t="str"/>
      <x:c r="F75" s="27" t="str"/>
      <x:c r="G75" s="27" t="str"/>
      <x:c r="H75" s="27" t="str"/>
      <x:c r="I75" s="27" t="str"/>
      <x:c r="J75" s="27" t="str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</x:row>
    <x:row r="76">
      <x:c r="A76" s="27" t="str"/>
      <x:c r="B76" s="27" t="str"/>
      <x:c r="C76" s="27" t="str"/>
      <x:c r="D76" s="27" t="str"/>
      <x:c r="E76" s="27" t="str"/>
      <x:c r="F76" s="27" t="str"/>
      <x:c r="G76" s="27" t="str"/>
      <x:c r="H76" s="27" t="str"/>
      <x:c r="I76" s="27" t="str"/>
      <x:c r="J76" s="27" t="str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</x:row>
    <x:row r="77">
      <x:c r="A77" s="27" t="str"/>
      <x:c r="B77" s="27" t="str"/>
      <x:c r="C77" s="27" t="str"/>
      <x:c r="D77" s="27" t="str"/>
      <x:c r="E77" s="27" t="str"/>
      <x:c r="F77" s="27" t="str"/>
      <x:c r="G77" s="27" t="str"/>
      <x:c r="H77" s="27" t="str"/>
      <x:c r="I77" s="27" t="str"/>
      <x:c r="J77" s="27" t="str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</x:row>
    <x:row r="78">
      <x:c r="A78" s="27" t="str"/>
      <x:c r="B78" s="27" t="str"/>
      <x:c r="C78" s="27" t="str"/>
      <x:c r="D78" s="27" t="str"/>
      <x:c r="E78" s="27" t="str"/>
      <x:c r="F78" s="27" t="str"/>
      <x:c r="G78" s="27" t="str"/>
      <x:c r="H78" s="27" t="str"/>
      <x:c r="I78" s="27" t="str"/>
      <x:c r="J78" s="27" t="str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</x:row>
    <x:row r="79">
      <x:c r="A79" s="27" t="str"/>
      <x:c r="B79" s="27" t="str"/>
      <x:c r="C79" s="27" t="str"/>
      <x:c r="D79" s="27" t="str"/>
      <x:c r="E79" s="27" t="str"/>
      <x:c r="F79" s="27" t="str"/>
      <x:c r="G79" s="27" t="str"/>
      <x:c r="H79" s="27" t="str"/>
      <x:c r="I79" s="27" t="str"/>
      <x:c r="J79" s="27" t="str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</x:row>
    <x:row r="80">
      <x:c r="A80" s="27" t="str"/>
      <x:c r="B80" s="27" t="str"/>
      <x:c r="C80" s="27" t="str"/>
      <x:c r="D80" s="27" t="str"/>
      <x:c r="E80" s="27" t="str"/>
      <x:c r="F80" s="27" t="str"/>
      <x:c r="G80" s="27" t="str"/>
      <x:c r="H80" s="27" t="str"/>
      <x:c r="I80" s="27" t="str"/>
      <x:c r="J80" s="27" t="str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</x:row>
    <x:row r="81">
      <x:c r="A81" s="27" t="str"/>
      <x:c r="B81" s="27" t="str"/>
      <x:c r="C81" s="27" t="str"/>
      <x:c r="D81" s="27" t="str"/>
      <x:c r="E81" s="27" t="str"/>
      <x:c r="F81" s="27" t="str"/>
      <x:c r="G81" s="27" t="str"/>
      <x:c r="H81" s="27" t="str"/>
      <x:c r="I81" s="27" t="str"/>
      <x:c r="J81" s="27" t="str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</x:row>
    <x:row r="82">
      <x:c r="A82" s="27" t="str"/>
      <x:c r="B82" s="27" t="str"/>
      <x:c r="C82" s="27" t="str"/>
      <x:c r="D82" s="27" t="str"/>
      <x:c r="E82" s="27" t="str"/>
      <x:c r="F82" s="27" t="str"/>
      <x:c r="G82" s="27" t="str"/>
      <x:c r="H82" s="27" t="str"/>
      <x:c r="I82" s="27" t="str"/>
      <x:c r="J82" s="27" t="str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</x:row>
    <x:row r="83">
      <x:c r="A83" s="27" t="str"/>
      <x:c r="B83" s="27" t="str"/>
      <x:c r="C83" s="27" t="str"/>
      <x:c r="D83" s="27" t="str"/>
      <x:c r="E83" s="27" t="str"/>
      <x:c r="F83" s="27" t="str"/>
      <x:c r="G83" s="27" t="str"/>
      <x:c r="H83" s="27" t="str"/>
      <x:c r="I83" s="27" t="str"/>
      <x:c r="J83" s="27" t="str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</x:row>
    <x:row r="84">
      <x:c r="A84" s="27" t="str"/>
      <x:c r="B84" s="27" t="str"/>
      <x:c r="C84" s="27" t="str"/>
      <x:c r="D84" s="27" t="str"/>
      <x:c r="E84" s="27" t="str"/>
      <x:c r="F84" s="27" t="str"/>
      <x:c r="G84" s="27" t="str"/>
      <x:c r="H84" s="27" t="str"/>
      <x:c r="I84" s="27" t="str"/>
      <x:c r="J84" s="27" t="str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</x:row>
    <x:row r="85">
      <x:c r="A85" s="27" t="str"/>
      <x:c r="B85" s="27" t="str"/>
      <x:c r="C85" s="27" t="str"/>
      <x:c r="D85" s="27" t="str"/>
      <x:c r="E85" s="27" t="str"/>
      <x:c r="F85" s="27" t="str"/>
      <x:c r="G85" s="27" t="str"/>
      <x:c r="H85" s="27" t="str"/>
      <x:c r="I85" s="27" t="str"/>
      <x:c r="J85" s="27" t="str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</x:row>
    <x:row r="86">
      <x:c r="A86" s="27" t="str"/>
      <x:c r="B86" s="27" t="str"/>
      <x:c r="C86" s="27" t="str"/>
      <x:c r="D86" s="27" t="str"/>
      <x:c r="E86" s="27" t="str"/>
      <x:c r="F86" s="27" t="str"/>
      <x:c r="G86" s="27" t="str"/>
      <x:c r="H86" s="27" t="str"/>
      <x:c r="I86" s="27" t="str"/>
      <x:c r="J86" s="27" t="str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</x:row>
    <x:row r="87">
      <x:c r="A87" s="27" t="str"/>
      <x:c r="B87" s="27" t="str"/>
      <x:c r="C87" s="27" t="str"/>
      <x:c r="D87" s="27" t="str"/>
      <x:c r="E87" s="27" t="str"/>
      <x:c r="F87" s="27" t="str"/>
      <x:c r="G87" s="27" t="str"/>
      <x:c r="H87" s="27" t="str"/>
      <x:c r="I87" s="27" t="str"/>
      <x:c r="J87" s="27" t="str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</x:row>
    <x:row r="88">
      <x:c r="A88" s="27" t="str"/>
      <x:c r="B88" s="27" t="str"/>
      <x:c r="C88" s="27" t="str"/>
      <x:c r="D88" s="27" t="str"/>
      <x:c r="E88" s="27" t="str"/>
      <x:c r="F88" s="27" t="str"/>
      <x:c r="G88" s="27" t="str"/>
      <x:c r="H88" s="27" t="str"/>
      <x:c r="I88" s="27" t="str"/>
      <x:c r="J88" s="27" t="str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</x:row>
    <x:row r="89">
      <x:c r="A89" s="27" t="str"/>
      <x:c r="B89" s="27" t="str"/>
      <x:c r="C89" s="27" t="str"/>
      <x:c r="D89" s="27" t="str"/>
      <x:c r="E89" s="27" t="str"/>
      <x:c r="F89" s="27" t="str"/>
      <x:c r="G89" s="27" t="str"/>
      <x:c r="H89" s="27" t="str"/>
      <x:c r="I89" s="27" t="str"/>
      <x:c r="J89" s="27" t="str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</x:row>
    <x:row r="90">
      <x:c r="A90" s="27" t="str"/>
      <x:c r="B90" s="27" t="str"/>
      <x:c r="C90" s="27" t="str"/>
      <x:c r="D90" s="27" t="str"/>
      <x:c r="E90" s="27" t="str"/>
      <x:c r="F90" s="27" t="str"/>
      <x:c r="G90" s="27" t="str"/>
      <x:c r="H90" s="27" t="str"/>
      <x:c r="I90" s="27" t="str"/>
      <x:c r="J90" s="27" t="str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</x:row>
    <x:row r="91">
      <x:c r="A91" s="27" t="str"/>
      <x:c r="B91" s="27" t="str"/>
      <x:c r="C91" s="27" t="str"/>
      <x:c r="D91" s="27" t="str"/>
      <x:c r="E91" s="27" t="str"/>
      <x:c r="F91" s="27" t="str"/>
      <x:c r="G91" s="27" t="str"/>
      <x:c r="H91" s="27" t="str"/>
      <x:c r="I91" s="27" t="str"/>
      <x:c r="J91" s="27" t="str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</x:row>
    <x:row r="92">
      <x:c r="A92" s="27" t="str"/>
      <x:c r="B92" s="27" t="str"/>
      <x:c r="C92" s="27" t="str"/>
      <x:c r="D92" s="27" t="str"/>
      <x:c r="E92" s="27" t="str"/>
      <x:c r="F92" s="27" t="str"/>
      <x:c r="G92" s="27" t="str"/>
      <x:c r="H92" s="27" t="str"/>
      <x:c r="I92" s="27" t="str"/>
      <x:c r="J92" s="27" t="str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</x:row>
    <x:row r="93">
      <x:c r="A93" s="27" t="str"/>
      <x:c r="B93" s="27" t="str"/>
      <x:c r="C93" s="27" t="str"/>
      <x:c r="D93" s="27" t="str"/>
      <x:c r="E93" s="27" t="str"/>
      <x:c r="F93" s="27" t="str"/>
      <x:c r="G93" s="27" t="str"/>
      <x:c r="H93" s="27" t="str"/>
      <x:c r="I93" s="27" t="str"/>
      <x:c r="J93" s="27" t="str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</x:row>
    <x:row r="94">
      <x:c r="A94" s="27" t="str"/>
      <x:c r="B94" s="27" t="str"/>
      <x:c r="C94" s="27" t="str"/>
      <x:c r="D94" s="27" t="str"/>
      <x:c r="E94" s="27" t="str"/>
      <x:c r="F94" s="27" t="str"/>
      <x:c r="G94" s="27" t="str"/>
      <x:c r="H94" s="27" t="str"/>
      <x:c r="I94" s="27" t="str"/>
      <x:c r="J94" s="27" t="str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</x:row>
    <x:row r="95">
      <x:c r="A95" s="27" t="str"/>
      <x:c r="B95" s="27" t="str"/>
      <x:c r="C95" s="27" t="str"/>
      <x:c r="D95" s="27" t="str"/>
      <x:c r="E95" s="27" t="str"/>
      <x:c r="F95" s="27" t="str"/>
      <x:c r="G95" s="27" t="str"/>
      <x:c r="H95" s="27" t="str"/>
      <x:c r="I95" s="27" t="str"/>
      <x:c r="J95" s="27" t="str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</x:row>
    <x:row r="96">
      <x:c r="A96" s="27" t="str"/>
      <x:c r="B96" s="27" t="str"/>
      <x:c r="C96" s="27" t="str"/>
      <x:c r="D96" s="27" t="str"/>
      <x:c r="E96" s="27" t="str"/>
      <x:c r="F96" s="27" t="str"/>
      <x:c r="G96" s="27" t="str"/>
      <x:c r="H96" s="27" t="str"/>
      <x:c r="I96" s="27" t="str"/>
      <x:c r="J96" s="27" t="str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</x:row>
    <x:row r="97">
      <x:c r="A97" s="27" t="str"/>
      <x:c r="B97" s="27" t="str"/>
      <x:c r="C97" s="27" t="str"/>
      <x:c r="D97" s="27" t="str"/>
      <x:c r="E97" s="27" t="str"/>
      <x:c r="F97" s="27" t="str"/>
      <x:c r="G97" s="27" t="str"/>
      <x:c r="H97" s="27" t="str"/>
      <x:c r="I97" s="27" t="str"/>
      <x:c r="J97" s="27" t="str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</x:row>
    <x:row r="98">
      <x:c r="A98" s="27" t="str"/>
      <x:c r="B98" s="27" t="str"/>
      <x:c r="C98" s="27" t="str"/>
      <x:c r="D98" s="27" t="str"/>
      <x:c r="E98" s="27" t="str"/>
      <x:c r="F98" s="27" t="str"/>
      <x:c r="G98" s="27" t="str"/>
      <x:c r="H98" s="27" t="str"/>
      <x:c r="I98" s="27" t="str"/>
      <x:c r="J98" s="27" t="str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</x:row>
    <x:row r="99">
      <x:c r="A99" s="27" t="str"/>
      <x:c r="B99" s="27" t="str"/>
      <x:c r="C99" s="27" t="str"/>
      <x:c r="D99" s="27" t="str"/>
      <x:c r="E99" s="27" t="str"/>
      <x:c r="F99" s="27" t="str"/>
      <x:c r="G99" s="27" t="str"/>
      <x:c r="H99" s="27" t="str"/>
      <x:c r="I99" s="27" t="str"/>
      <x:c r="J99" s="27" t="str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</x:row>
    <x:row r="100">
      <x:c r="A100" s="27" t="str"/>
      <x:c r="B100" s="27" t="str"/>
      <x:c r="C100" s="27" t="str"/>
      <x:c r="D100" s="27" t="str"/>
      <x:c r="E100" s="27" t="str"/>
      <x:c r="F100" s="27" t="str"/>
      <x:c r="G100" s="27" t="str"/>
      <x:c r="H100" s="27" t="str"/>
      <x:c r="I100" s="27" t="str"/>
      <x:c r="J100" s="27" t="str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</x:row>
    <x:row r="101">
      <x:c r="A101" s="27" t="str"/>
      <x:c r="B101" s="27" t="str"/>
      <x:c r="C101" s="27" t="str"/>
      <x:c r="D101" s="27" t="str"/>
      <x:c r="E101" s="27" t="str"/>
      <x:c r="F101" s="27" t="str"/>
      <x:c r="G101" s="27" t="str"/>
      <x:c r="H101" s="27" t="str"/>
      <x:c r="I101" s="27" t="str"/>
      <x:c r="J101" s="27" t="str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</x:row>
    <x:row r="102">
      <x:c r="A102" s="27" t="str"/>
      <x:c r="B102" s="27" t="str"/>
      <x:c r="C102" s="27" t="str"/>
      <x:c r="D102" s="27" t="str"/>
      <x:c r="E102" s="27" t="str"/>
      <x:c r="F102" s="27" t="str"/>
      <x:c r="G102" s="27" t="str"/>
      <x:c r="H102" s="27" t="str"/>
      <x:c r="I102" s="27" t="str"/>
      <x:c r="J102" s="27" t="str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</x:row>
    <x:row r="103">
      <x:c r="A103" s="27" t="str"/>
      <x:c r="B103" s="27" t="str"/>
      <x:c r="C103" s="27" t="str"/>
      <x:c r="D103" s="27" t="str"/>
      <x:c r="E103" s="27" t="str"/>
      <x:c r="F103" s="27" t="str"/>
      <x:c r="G103" s="27" t="str"/>
      <x:c r="H103" s="27" t="str"/>
      <x:c r="I103" s="27" t="str"/>
      <x:c r="J103" s="27" t="str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</x:row>
    <x:row r="104">
      <x:c r="A104" s="27" t="str"/>
      <x:c r="B104" s="27" t="str"/>
      <x:c r="C104" s="27" t="str"/>
      <x:c r="D104" s="27" t="str"/>
      <x:c r="E104" s="27" t="str"/>
      <x:c r="F104" s="27" t="str"/>
      <x:c r="G104" s="27" t="str"/>
      <x:c r="H104" s="27" t="str"/>
      <x:c r="I104" s="27" t="str"/>
      <x:c r="J104" s="27" t="str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</x:row>
    <x:row r="105">
      <x:c r="A105" s="27" t="str"/>
      <x:c r="B105" s="27" t="str"/>
      <x:c r="C105" s="27" t="str"/>
      <x:c r="D105" s="27" t="str"/>
      <x:c r="E105" s="27" t="str"/>
      <x:c r="F105" s="27" t="str"/>
      <x:c r="G105" s="27" t="str"/>
      <x:c r="H105" s="27" t="str"/>
      <x:c r="I105" s="27" t="str"/>
      <x:c r="J105" s="27" t="str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</x:row>
    <x:row r="106">
      <x:c r="A106" s="27" t="str"/>
      <x:c r="B106" s="27" t="str"/>
      <x:c r="C106" s="27" t="str"/>
      <x:c r="D106" s="27" t="str"/>
      <x:c r="E106" s="27" t="str"/>
      <x:c r="F106" s="27" t="str"/>
      <x:c r="G106" s="27" t="str"/>
      <x:c r="H106" s="27" t="str"/>
      <x:c r="I106" s="27" t="str"/>
      <x:c r="J106" s="27" t="str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</x:row>
    <x:row r="107">
      <x:c r="A107" s="27" t="str"/>
      <x:c r="B107" s="27" t="str"/>
      <x:c r="C107" s="27" t="str"/>
      <x:c r="D107" s="27" t="str"/>
      <x:c r="E107" s="27" t="str"/>
      <x:c r="F107" s="27" t="str"/>
      <x:c r="G107" s="27" t="str"/>
      <x:c r="H107" s="27" t="str"/>
      <x:c r="I107" s="27" t="str"/>
      <x:c r="J107" s="27" t="str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</x:row>
    <x:row r="108">
      <x:c r="A108" s="27" t="str"/>
      <x:c r="B108" s="27" t="str"/>
      <x:c r="C108" s="27" t="str"/>
      <x:c r="D108" s="27" t="str"/>
      <x:c r="E108" s="27" t="str"/>
      <x:c r="F108" s="27" t="str"/>
      <x:c r="G108" s="27" t="str"/>
      <x:c r="H108" s="27" t="str"/>
      <x:c r="I108" s="27" t="str"/>
      <x:c r="J108" s="27" t="str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</x:row>
    <x:row r="109">
      <x:c r="A109" s="27" t="str"/>
      <x:c r="B109" s="27" t="str"/>
      <x:c r="C109" s="27" t="str"/>
      <x:c r="D109" s="27" t="str"/>
      <x:c r="E109" s="27" t="str"/>
      <x:c r="F109" s="27" t="str"/>
      <x:c r="G109" s="27" t="str"/>
      <x:c r="H109" s="27" t="str"/>
      <x:c r="I109" s="27" t="str"/>
      <x:c r="J109" s="27" t="str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</x:row>
    <x:row r="110">
      <x:c r="A110" s="27" t="str"/>
      <x:c r="B110" s="27" t="str"/>
      <x:c r="C110" s="27" t="str"/>
      <x:c r="D110" s="27" t="str"/>
      <x:c r="E110" s="27" t="str"/>
      <x:c r="F110" s="27" t="str"/>
      <x:c r="G110" s="27" t="str"/>
      <x:c r="H110" s="27" t="str"/>
      <x:c r="I110" s="27" t="str"/>
      <x:c r="J110" s="27" t="str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</x:row>
    <x:row r="111">
      <x:c r="A111" s="27" t="str"/>
      <x:c r="B111" s="27" t="str"/>
      <x:c r="C111" s="27" t="str"/>
      <x:c r="D111" s="27" t="str"/>
      <x:c r="E111" s="27" t="str"/>
      <x:c r="F111" s="27" t="str"/>
      <x:c r="G111" s="27" t="str"/>
      <x:c r="H111" s="27" t="str"/>
      <x:c r="I111" s="27" t="str"/>
      <x:c r="J111" s="27" t="str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</x:row>
    <x:row r="112">
      <x:c r="A112" s="27" t="str"/>
      <x:c r="B112" s="27" t="str"/>
      <x:c r="C112" s="27" t="str"/>
      <x:c r="D112" s="27" t="str"/>
      <x:c r="E112" s="27" t="str"/>
      <x:c r="F112" s="27" t="str"/>
      <x:c r="G112" s="27" t="str"/>
      <x:c r="H112" s="27" t="str"/>
      <x:c r="I112" s="27" t="str"/>
      <x:c r="J112" s="27" t="str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</x:row>
    <x:row r="113">
      <x:c r="A113" s="27" t="str"/>
      <x:c r="B113" s="27" t="str"/>
      <x:c r="C113" s="27" t="str"/>
      <x:c r="D113" s="27" t="str"/>
      <x:c r="E113" s="27" t="str"/>
      <x:c r="F113" s="27" t="str"/>
      <x:c r="G113" s="27" t="str"/>
      <x:c r="H113" s="27" t="str"/>
      <x:c r="I113" s="27" t="str"/>
      <x:c r="J113" s="27" t="str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</x:row>
    <x:row r="114">
      <x:c r="A114" s="27" t="str"/>
      <x:c r="B114" s="27" t="str"/>
      <x:c r="C114" s="27" t="str"/>
      <x:c r="D114" s="27" t="str"/>
      <x:c r="E114" s="27" t="str"/>
      <x:c r="F114" s="27" t="str"/>
      <x:c r="G114" s="27" t="str"/>
      <x:c r="H114" s="27" t="str"/>
      <x:c r="I114" s="27" t="str"/>
      <x:c r="J114" s="27" t="str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</x:row>
    <x:row r="115">
      <x:c r="A115" s="27" t="str"/>
      <x:c r="B115" s="27" t="str"/>
      <x:c r="C115" s="27" t="str"/>
      <x:c r="D115" s="27" t="str"/>
      <x:c r="E115" s="27" t="str"/>
      <x:c r="F115" s="27" t="str"/>
      <x:c r="G115" s="27" t="str"/>
      <x:c r="H115" s="27" t="str"/>
      <x:c r="I115" s="27" t="str"/>
      <x:c r="J115" s="27" t="str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</x:row>
    <x:row r="116">
      <x:c r="A116" s="27" t="str"/>
      <x:c r="B116" s="27" t="str"/>
      <x:c r="C116" s="27" t="str"/>
      <x:c r="D116" s="27" t="str"/>
      <x:c r="E116" s="27" t="str"/>
      <x:c r="F116" s="27" t="str"/>
      <x:c r="G116" s="27" t="str"/>
      <x:c r="H116" s="27" t="str"/>
      <x:c r="I116" s="27" t="str"/>
      <x:c r="J116" s="27" t="str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</x:row>
    <x:row r="117">
      <x:c r="A117" s="27" t="str"/>
      <x:c r="B117" s="27" t="str"/>
      <x:c r="C117" s="27" t="str"/>
      <x:c r="D117" s="27" t="str"/>
      <x:c r="E117" s="27" t="str"/>
      <x:c r="F117" s="27" t="str"/>
      <x:c r="G117" s="27" t="str"/>
      <x:c r="H117" s="27" t="str"/>
      <x:c r="I117" s="27" t="str"/>
      <x:c r="J117" s="27" t="str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</x:row>
    <x:row r="118">
      <x:c r="A118" s="27" t="str"/>
      <x:c r="B118" s="27" t="str"/>
      <x:c r="C118" s="27" t="str"/>
      <x:c r="D118" s="27" t="str"/>
      <x:c r="E118" s="27" t="str"/>
      <x:c r="F118" s="27" t="str"/>
      <x:c r="G118" s="27" t="str"/>
      <x:c r="H118" s="27" t="str"/>
      <x:c r="I118" s="27" t="str"/>
      <x:c r="J118" s="27" t="str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</x:row>
    <x:row r="119">
      <x:c r="A119" s="27" t="str"/>
      <x:c r="B119" s="27" t="str"/>
      <x:c r="C119" s="27" t="str"/>
      <x:c r="D119" s="27" t="str"/>
      <x:c r="E119" s="27" t="str"/>
      <x:c r="F119" s="27" t="str"/>
      <x:c r="G119" s="27" t="str"/>
      <x:c r="H119" s="27" t="str"/>
      <x:c r="I119" s="27" t="str"/>
      <x:c r="J119" s="27" t="str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</x:row>
    <x:row r="120">
      <x:c r="A120" s="27" t="str"/>
      <x:c r="B120" s="27" t="str"/>
      <x:c r="C120" s="27" t="str"/>
      <x:c r="D120" s="27" t="str"/>
      <x:c r="E120" s="27" t="str"/>
      <x:c r="F120" s="27" t="str"/>
      <x:c r="G120" s="27" t="str"/>
      <x:c r="H120" s="27" t="str"/>
      <x:c r="I120" s="27" t="str"/>
      <x:c r="J120" s="27" t="str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</x:row>
    <x:row r="121">
      <x:c r="A121" s="27" t="str"/>
      <x:c r="B121" s="27" t="str"/>
      <x:c r="C121" s="27" t="str"/>
      <x:c r="D121" s="27" t="str"/>
      <x:c r="E121" s="27" t="str"/>
      <x:c r="F121" s="27" t="str"/>
      <x:c r="G121" s="27" t="str"/>
      <x:c r="H121" s="27" t="str"/>
      <x:c r="I121" s="27" t="str"/>
      <x:c r="J121" s="27" t="str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</x:row>
    <x:row r="122">
      <x:c r="A122" s="27" t="str"/>
      <x:c r="B122" s="27" t="str"/>
      <x:c r="C122" s="27" t="str"/>
      <x:c r="D122" s="27" t="str"/>
      <x:c r="E122" s="27" t="str"/>
      <x:c r="F122" s="27" t="str"/>
      <x:c r="G122" s="27" t="str"/>
      <x:c r="H122" s="27" t="str"/>
      <x:c r="I122" s="27" t="str"/>
      <x:c r="J122" s="27" t="str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</x:row>
    <x:row r="123">
      <x:c r="A123" s="27" t="str"/>
      <x:c r="B123" s="27" t="str"/>
      <x:c r="C123" s="27" t="str"/>
      <x:c r="D123" s="27" t="str"/>
      <x:c r="E123" s="27" t="str"/>
      <x:c r="F123" s="27" t="str"/>
      <x:c r="G123" s="27" t="str"/>
      <x:c r="H123" s="27" t="str"/>
      <x:c r="I123" s="27" t="str"/>
      <x:c r="J123" s="27" t="str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</x:row>
    <x:row r="124">
      <x:c r="A124" s="27" t="str"/>
      <x:c r="B124" s="27" t="str"/>
      <x:c r="C124" s="27" t="str"/>
      <x:c r="D124" s="27" t="str"/>
      <x:c r="E124" s="27" t="str"/>
      <x:c r="F124" s="27" t="str"/>
      <x:c r="G124" s="27" t="str"/>
      <x:c r="H124" s="27" t="str"/>
      <x:c r="I124" s="27" t="str"/>
      <x:c r="J124" s="27" t="str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</x:row>
    <x:row r="125">
      <x:c r="A125" s="27" t="str"/>
      <x:c r="B125" s="27" t="str"/>
      <x:c r="C125" s="27" t="str"/>
      <x:c r="D125" s="27" t="str"/>
      <x:c r="E125" s="27" t="str"/>
      <x:c r="F125" s="27" t="str"/>
      <x:c r="G125" s="27" t="str"/>
      <x:c r="H125" s="27" t="str"/>
      <x:c r="I125" s="27" t="str"/>
      <x:c r="J125" s="27" t="str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</x:row>
    <x:row r="126">
      <x:c r="A126" s="27" t="str"/>
      <x:c r="B126" s="27" t="str"/>
      <x:c r="C126" s="27" t="str"/>
      <x:c r="D126" s="27" t="str"/>
      <x:c r="E126" s="27" t="str"/>
      <x:c r="F126" s="27" t="str"/>
      <x:c r="G126" s="27" t="str"/>
      <x:c r="H126" s="27" t="str"/>
      <x:c r="I126" s="27" t="str"/>
      <x:c r="J126" s="27" t="str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</x:row>
    <x:row r="127">
      <x:c r="A127" s="27" t="str"/>
      <x:c r="B127" s="27" t="str"/>
      <x:c r="C127" s="27" t="str"/>
      <x:c r="D127" s="27" t="str"/>
      <x:c r="E127" s="27" t="str"/>
      <x:c r="F127" s="27" t="str"/>
      <x:c r="G127" s="27" t="str"/>
      <x:c r="H127" s="27" t="str"/>
      <x:c r="I127" s="27" t="str"/>
      <x:c r="J127" s="27" t="str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</x:row>
    <x:row r="128">
      <x:c r="A128" s="27" t="str"/>
      <x:c r="B128" s="27" t="str"/>
      <x:c r="C128" s="27" t="str"/>
      <x:c r="D128" s="27" t="str"/>
      <x:c r="E128" s="27" t="str"/>
      <x:c r="F128" s="27" t="str"/>
      <x:c r="G128" s="27" t="str"/>
      <x:c r="H128" s="27" t="str"/>
      <x:c r="I128" s="27" t="str"/>
      <x:c r="J128" s="27" t="str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</x:row>
    <x:row r="129">
      <x:c r="A129" s="27" t="str"/>
      <x:c r="B129" s="27" t="str"/>
      <x:c r="C129" s="27" t="str"/>
      <x:c r="D129" s="27" t="str"/>
      <x:c r="E129" s="27" t="str"/>
      <x:c r="F129" s="27" t="str"/>
      <x:c r="G129" s="27" t="str"/>
      <x:c r="H129" s="27" t="str"/>
      <x:c r="I129" s="27" t="str"/>
      <x:c r="J129" s="27" t="str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</x:row>
    <x:row r="130">
      <x:c r="A130" s="27" t="str"/>
      <x:c r="B130" s="27" t="str"/>
      <x:c r="C130" s="27" t="str"/>
      <x:c r="D130" s="27" t="str"/>
      <x:c r="E130" s="27" t="str"/>
      <x:c r="F130" s="27" t="str"/>
      <x:c r="G130" s="27" t="str"/>
      <x:c r="H130" s="27" t="str"/>
      <x:c r="I130" s="27" t="str"/>
      <x:c r="J130" s="27" t="str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</x:row>
    <x:row r="131">
      <x:c r="A131" s="27" t="str"/>
      <x:c r="B131" s="27" t="str"/>
      <x:c r="C131" s="27" t="str"/>
      <x:c r="D131" s="27" t="str"/>
      <x:c r="E131" s="27" t="str"/>
      <x:c r="F131" s="27" t="str"/>
      <x:c r="G131" s="27" t="str"/>
      <x:c r="H131" s="27" t="str"/>
      <x:c r="I131" s="27" t="str"/>
      <x:c r="J131" s="27" t="str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</x:row>
    <x:row r="132">
      <x:c r="A132" s="27" t="str"/>
      <x:c r="B132" s="27" t="str"/>
      <x:c r="C132" s="27" t="str"/>
      <x:c r="D132" s="27" t="str"/>
      <x:c r="E132" s="27" t="str"/>
      <x:c r="F132" s="27" t="str"/>
      <x:c r="G132" s="27" t="str"/>
      <x:c r="H132" s="27" t="str"/>
      <x:c r="I132" s="27" t="str"/>
      <x:c r="J132" s="27" t="str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</x:row>
    <x:row r="133">
      <x:c r="A133" s="27" t="str"/>
      <x:c r="B133" s="27" t="str"/>
      <x:c r="C133" s="27" t="str"/>
      <x:c r="D133" s="27" t="str"/>
      <x:c r="E133" s="27" t="str"/>
      <x:c r="F133" s="27" t="str"/>
      <x:c r="G133" s="27" t="str"/>
      <x:c r="H133" s="27" t="str"/>
      <x:c r="I133" s="27" t="str"/>
      <x:c r="J133" s="27" t="str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</x:row>
    <x:row r="134">
      <x:c r="A134" s="27" t="str"/>
      <x:c r="B134" s="27" t="str"/>
      <x:c r="C134" s="27" t="str"/>
      <x:c r="D134" s="27" t="str"/>
      <x:c r="E134" s="27" t="str"/>
      <x:c r="F134" s="27" t="str"/>
      <x:c r="G134" s="27" t="str"/>
      <x:c r="H134" s="27" t="str"/>
      <x:c r="I134" s="27" t="str"/>
      <x:c r="J134" s="27" t="str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</x:row>
    <x:row r="135">
      <x:c r="A135" s="27" t="str"/>
      <x:c r="B135" s="27" t="str"/>
      <x:c r="C135" s="27" t="str"/>
      <x:c r="D135" s="27" t="str"/>
      <x:c r="E135" s="27" t="str"/>
      <x:c r="F135" s="27" t="str"/>
      <x:c r="G135" s="27" t="str"/>
      <x:c r="H135" s="27" t="str"/>
      <x:c r="I135" s="27" t="str"/>
      <x:c r="J135" s="27" t="str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</x:row>
    <x:row r="136">
      <x:c r="A136" s="27" t="str"/>
      <x:c r="B136" s="27" t="str"/>
      <x:c r="C136" s="27" t="str"/>
      <x:c r="D136" s="27" t="str"/>
      <x:c r="E136" s="27" t="str"/>
      <x:c r="F136" s="27" t="str"/>
      <x:c r="G136" s="27" t="str"/>
      <x:c r="H136" s="27" t="str"/>
      <x:c r="I136" s="27" t="str"/>
      <x:c r="J136" s="27" t="str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</x:row>
    <x:row r="137">
      <x:c r="A137" s="27" t="str"/>
      <x:c r="B137" s="27" t="str"/>
      <x:c r="C137" s="27" t="str"/>
      <x:c r="D137" s="27" t="str"/>
      <x:c r="E137" s="27" t="str"/>
      <x:c r="F137" s="27" t="str"/>
      <x:c r="G137" s="27" t="str"/>
      <x:c r="H137" s="27" t="str"/>
      <x:c r="I137" s="27" t="str"/>
      <x:c r="J137" s="27" t="str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</x:row>
    <x:row r="138">
      <x:c r="A138" s="27" t="str"/>
      <x:c r="B138" s="27" t="str"/>
      <x:c r="C138" s="27" t="str"/>
      <x:c r="D138" s="27" t="str"/>
      <x:c r="E138" s="27" t="str"/>
      <x:c r="F138" s="27" t="str"/>
      <x:c r="G138" s="27" t="str"/>
      <x:c r="H138" s="27" t="str"/>
      <x:c r="I138" s="27" t="str"/>
      <x:c r="J138" s="27" t="str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</x:row>
    <x:row r="139">
      <x:c r="A139" s="27" t="str"/>
      <x:c r="B139" s="27" t="str"/>
      <x:c r="C139" s="27" t="str"/>
      <x:c r="D139" s="27" t="str"/>
      <x:c r="E139" s="27" t="str"/>
      <x:c r="F139" s="27" t="str"/>
      <x:c r="G139" s="27" t="str"/>
      <x:c r="H139" s="27" t="str"/>
      <x:c r="I139" s="27" t="str"/>
      <x:c r="J139" s="27" t="str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</x:row>
    <x:row r="140">
      <x:c r="A140" s="27" t="str"/>
      <x:c r="B140" s="27" t="str"/>
      <x:c r="C140" s="27" t="str"/>
      <x:c r="D140" s="27" t="str"/>
      <x:c r="E140" s="27" t="str"/>
      <x:c r="F140" s="27" t="str"/>
      <x:c r="G140" s="27" t="str"/>
      <x:c r="H140" s="27" t="str"/>
      <x:c r="I140" s="27" t="str"/>
      <x:c r="J140" s="27" t="str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</x:row>
    <x:row r="141">
      <x:c r="A141" s="27" t="str"/>
      <x:c r="B141" s="27" t="str"/>
      <x:c r="C141" s="27" t="str"/>
      <x:c r="D141" s="27" t="str"/>
      <x:c r="E141" s="27" t="str"/>
      <x:c r="F141" s="27" t="str"/>
      <x:c r="G141" s="27" t="str"/>
      <x:c r="H141" s="27" t="str"/>
      <x:c r="I141" s="27" t="str"/>
      <x:c r="J141" s="27" t="str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</x:row>
    <x:row r="142">
      <x:c r="A142" s="27" t="str"/>
      <x:c r="B142" s="27" t="str"/>
      <x:c r="C142" s="27" t="str"/>
      <x:c r="D142" s="27" t="str"/>
      <x:c r="E142" s="27" t="str"/>
      <x:c r="F142" s="27" t="str"/>
      <x:c r="G142" s="27" t="str"/>
      <x:c r="H142" s="27" t="str"/>
      <x:c r="I142" s="27" t="str"/>
      <x:c r="J142" s="27" t="str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</x:row>
    <x:row r="143">
      <x:c r="A143" s="27" t="str"/>
      <x:c r="B143" s="27" t="str"/>
      <x:c r="C143" s="27" t="str"/>
      <x:c r="D143" s="27" t="str"/>
      <x:c r="E143" s="27" t="str"/>
      <x:c r="F143" s="27" t="str"/>
      <x:c r="G143" s="27" t="str"/>
      <x:c r="H143" s="27" t="str"/>
      <x:c r="I143" s="27" t="str"/>
      <x:c r="J143" s="27" t="str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</x:row>
    <x:row r="144">
      <x:c r="A144" s="27" t="str"/>
      <x:c r="B144" s="27" t="str"/>
      <x:c r="C144" s="27" t="str"/>
      <x:c r="D144" s="27" t="str"/>
      <x:c r="E144" s="27" t="str"/>
      <x:c r="F144" s="27" t="str"/>
      <x:c r="G144" s="27" t="str"/>
      <x:c r="H144" s="27" t="str"/>
      <x:c r="I144" s="27" t="str"/>
      <x:c r="J144" s="27" t="str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</x:row>
    <x:row r="145">
      <x:c r="A145" s="27" t="str"/>
      <x:c r="B145" s="27" t="str"/>
      <x:c r="C145" s="27" t="str"/>
      <x:c r="D145" s="27" t="str"/>
      <x:c r="E145" s="27" t="str"/>
      <x:c r="F145" s="27" t="str"/>
      <x:c r="G145" s="27" t="str"/>
      <x:c r="H145" s="27" t="str"/>
      <x:c r="I145" s="27" t="str"/>
      <x:c r="J145" s="27" t="str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</x:row>
    <x:row r="146">
      <x:c r="A146" s="27" t="str"/>
      <x:c r="B146" s="27" t="str"/>
      <x:c r="C146" s="27" t="str"/>
      <x:c r="D146" s="27" t="str"/>
      <x:c r="E146" s="27" t="str"/>
      <x:c r="F146" s="27" t="str"/>
      <x:c r="G146" s="27" t="str"/>
      <x:c r="H146" s="27" t="str"/>
      <x:c r="I146" s="27" t="str"/>
      <x:c r="J146" s="27" t="str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</x:row>
    <x:row r="147">
      <x:c r="A147" s="27" t="str"/>
      <x:c r="B147" s="27" t="str"/>
      <x:c r="C147" s="27" t="str"/>
      <x:c r="D147" s="27" t="str"/>
      <x:c r="E147" s="27" t="str"/>
      <x:c r="F147" s="27" t="str"/>
      <x:c r="G147" s="27" t="str"/>
      <x:c r="H147" s="27" t="str"/>
      <x:c r="I147" s="27" t="str"/>
      <x:c r="J147" s="27" t="str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</x:row>
    <x:row r="148">
      <x:c r="A148" s="27" t="str"/>
      <x:c r="B148" s="27" t="str"/>
      <x:c r="C148" s="27" t="str"/>
      <x:c r="D148" s="27" t="str"/>
      <x:c r="E148" s="27" t="str"/>
      <x:c r="F148" s="27" t="str"/>
      <x:c r="G148" s="27" t="str"/>
      <x:c r="H148" s="27" t="str"/>
      <x:c r="I148" s="27" t="str"/>
      <x:c r="J148" s="27" t="str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</x:row>
    <x:row r="149">
      <x:c r="A149" s="27" t="str"/>
      <x:c r="B149" s="27" t="str"/>
      <x:c r="C149" s="27" t="str"/>
      <x:c r="D149" s="27" t="str"/>
      <x:c r="E149" s="27" t="str"/>
      <x:c r="F149" s="27" t="str"/>
      <x:c r="G149" s="27" t="str"/>
      <x:c r="H149" s="27" t="str"/>
      <x:c r="I149" s="27" t="str"/>
      <x:c r="J149" s="27" t="str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</x:row>
    <x:row r="150">
      <x:c r="A150" s="27" t="str"/>
      <x:c r="B150" s="27" t="str"/>
      <x:c r="C150" s="27" t="str"/>
      <x:c r="D150" s="27" t="str"/>
      <x:c r="E150" s="27" t="str"/>
      <x:c r="F150" s="27" t="str"/>
      <x:c r="G150" s="27" t="str"/>
      <x:c r="H150" s="27" t="str"/>
      <x:c r="I150" s="27" t="str"/>
      <x:c r="J150" s="27" t="str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</x:row>
    <x:row r="151">
      <x:c r="A151" s="27" t="str"/>
      <x:c r="B151" s="27" t="str"/>
      <x:c r="C151" s="27" t="str"/>
      <x:c r="D151" s="27" t="str"/>
      <x:c r="E151" s="27" t="str"/>
      <x:c r="F151" s="27" t="str"/>
      <x:c r="G151" s="27" t="str"/>
      <x:c r="H151" s="27" t="str"/>
      <x:c r="I151" s="27" t="str"/>
      <x:c r="J151" s="27" t="str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</x:row>
    <x:row r="152">
      <x:c r="A152" s="27" t="str"/>
      <x:c r="B152" s="27" t="str"/>
      <x:c r="C152" s="27" t="str"/>
      <x:c r="D152" s="27" t="str"/>
      <x:c r="E152" s="27" t="str"/>
      <x:c r="F152" s="27" t="str"/>
      <x:c r="G152" s="27" t="str"/>
      <x:c r="H152" s="27" t="str"/>
      <x:c r="I152" s="27" t="str"/>
      <x:c r="J152" s="27" t="str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</x:row>
    <x:row r="153">
      <x:c r="A153" s="27" t="str"/>
      <x:c r="B153" s="27" t="str"/>
      <x:c r="C153" s="27" t="str"/>
      <x:c r="D153" s="27" t="str"/>
      <x:c r="E153" s="27" t="str"/>
      <x:c r="F153" s="27" t="str"/>
      <x:c r="G153" s="27" t="str"/>
      <x:c r="H153" s="27" t="str"/>
      <x:c r="I153" s="27" t="str"/>
      <x:c r="J153" s="27" t="str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</x:row>
    <x:row r="154">
      <x:c r="A154" s="27" t="str"/>
      <x:c r="B154" s="27" t="str"/>
      <x:c r="C154" s="27" t="str"/>
      <x:c r="D154" s="27" t="str"/>
      <x:c r="E154" s="27" t="str"/>
      <x:c r="F154" s="27" t="str"/>
      <x:c r="G154" s="27" t="str"/>
      <x:c r="H154" s="27" t="str"/>
      <x:c r="I154" s="27" t="str"/>
      <x:c r="J154" s="27" t="str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</x:row>
    <x:row r="155">
      <x:c r="A155" s="27" t="str"/>
      <x:c r="B155" s="27" t="str"/>
      <x:c r="C155" s="27" t="str"/>
      <x:c r="D155" s="27" t="str"/>
      <x:c r="E155" s="27" t="str"/>
      <x:c r="F155" s="27" t="str"/>
      <x:c r="G155" s="27" t="str"/>
      <x:c r="H155" s="27" t="str"/>
      <x:c r="I155" s="27" t="str"/>
      <x:c r="J155" s="27" t="str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</x:row>
    <x:row r="156">
      <x:c r="A156" s="27" t="str"/>
      <x:c r="B156" s="27" t="str"/>
      <x:c r="C156" s="27" t="str"/>
      <x:c r="D156" s="27" t="str"/>
      <x:c r="E156" s="27" t="str"/>
      <x:c r="F156" s="27" t="str"/>
      <x:c r="G156" s="27" t="str"/>
      <x:c r="H156" s="27" t="str"/>
      <x:c r="I156" s="27" t="str"/>
      <x:c r="J156" s="27" t="str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</x:row>
    <x:row r="157">
      <x:c r="A157" s="27" t="str"/>
      <x:c r="B157" s="27" t="str"/>
      <x:c r="C157" s="27" t="str"/>
      <x:c r="D157" s="27" t="str"/>
      <x:c r="E157" s="27" t="str"/>
      <x:c r="F157" s="27" t="str"/>
      <x:c r="G157" s="27" t="str"/>
      <x:c r="H157" s="27" t="str"/>
      <x:c r="I157" s="27" t="str"/>
      <x:c r="J157" s="27" t="str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</x:row>
    <x:row r="158">
      <x:c r="A158" s="27" t="str"/>
      <x:c r="B158" s="27" t="str"/>
      <x:c r="C158" s="27" t="str"/>
      <x:c r="D158" s="27" t="str"/>
      <x:c r="E158" s="27" t="str"/>
      <x:c r="F158" s="27" t="str"/>
      <x:c r="G158" s="27" t="str"/>
      <x:c r="H158" s="27" t="str"/>
      <x:c r="I158" s="27" t="str"/>
      <x:c r="J158" s="27" t="str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</x:row>
    <x:row r="159">
      <x:c r="A159" s="27" t="str"/>
      <x:c r="B159" s="27" t="str"/>
      <x:c r="C159" s="27" t="str"/>
      <x:c r="D159" s="27" t="str"/>
      <x:c r="E159" s="27" t="str"/>
      <x:c r="F159" s="27" t="str"/>
      <x:c r="G159" s="27" t="str"/>
      <x:c r="H159" s="27" t="str"/>
      <x:c r="I159" s="27" t="str"/>
      <x:c r="J159" s="27" t="str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</x:row>
    <x:row r="160">
      <x:c r="A160" s="27" t="str"/>
      <x:c r="B160" s="27" t="str"/>
      <x:c r="C160" s="27" t="str"/>
      <x:c r="D160" s="27" t="str"/>
      <x:c r="E160" s="27" t="str"/>
      <x:c r="F160" s="27" t="str"/>
      <x:c r="G160" s="27" t="str"/>
      <x:c r="H160" s="27" t="str"/>
      <x:c r="I160" s="27" t="str"/>
      <x:c r="J160" s="27" t="str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</x:row>
    <x:row r="161">
      <x:c r="A161" s="27" t="str"/>
      <x:c r="B161" s="27" t="str"/>
      <x:c r="C161" s="27" t="str"/>
      <x:c r="D161" s="27" t="str"/>
      <x:c r="E161" s="27" t="str"/>
      <x:c r="F161" s="27" t="str"/>
      <x:c r="G161" s="27" t="str"/>
      <x:c r="H161" s="27" t="str"/>
      <x:c r="I161" s="27" t="str"/>
      <x:c r="J161" s="27" t="str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</x:row>
    <x:row r="162">
      <x:c r="A162" s="27" t="str"/>
      <x:c r="B162" s="27" t="str"/>
      <x:c r="C162" s="27" t="str"/>
      <x:c r="D162" s="27" t="str"/>
      <x:c r="E162" s="27" t="str"/>
      <x:c r="F162" s="27" t="str"/>
      <x:c r="G162" s="27" t="str"/>
      <x:c r="H162" s="27" t="str"/>
      <x:c r="I162" s="27" t="str"/>
      <x:c r="J162" s="27" t="str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</x:row>
    <x:row r="163">
      <x:c r="A163" s="27" t="str"/>
      <x:c r="B163" s="27" t="str"/>
      <x:c r="C163" s="27" t="str"/>
      <x:c r="D163" s="27" t="str"/>
      <x:c r="E163" s="27" t="str"/>
      <x:c r="F163" s="27" t="str"/>
      <x:c r="G163" s="27" t="str"/>
      <x:c r="H163" s="27" t="str"/>
      <x:c r="I163" s="27" t="str"/>
      <x:c r="J163" s="27" t="str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</x:row>
    <x:row r="164">
      <x:c r="A164" s="27" t="str"/>
      <x:c r="B164" s="27" t="str"/>
      <x:c r="C164" s="27" t="str"/>
      <x:c r="D164" s="27" t="str"/>
      <x:c r="E164" s="27" t="str"/>
      <x:c r="F164" s="27" t="str"/>
      <x:c r="G164" s="27" t="str"/>
      <x:c r="H164" s="27" t="str"/>
      <x:c r="I164" s="27" t="str"/>
      <x:c r="J164" s="27" t="str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</x:row>
    <x:row r="165">
      <x:c r="A165" s="27" t="str"/>
      <x:c r="B165" s="27" t="str"/>
      <x:c r="C165" s="27" t="str"/>
      <x:c r="D165" s="27" t="str"/>
      <x:c r="E165" s="27" t="str"/>
      <x:c r="F165" s="27" t="str"/>
      <x:c r="G165" s="27" t="str"/>
      <x:c r="H165" s="27" t="str"/>
      <x:c r="I165" s="27" t="str"/>
      <x:c r="J165" s="27" t="str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</x:row>
    <x:row r="166">
      <x:c r="A166" s="27" t="str"/>
      <x:c r="B166" s="27" t="str"/>
      <x:c r="C166" s="27" t="str"/>
      <x:c r="D166" s="27" t="str"/>
      <x:c r="E166" s="27" t="str"/>
      <x:c r="F166" s="27" t="str"/>
      <x:c r="G166" s="27" t="str"/>
      <x:c r="H166" s="27" t="str"/>
      <x:c r="I166" s="27" t="str"/>
      <x:c r="J166" s="27" t="str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</x:row>
    <x:row r="167">
      <x:c r="A167" s="27" t="str"/>
      <x:c r="B167" s="27" t="str"/>
      <x:c r="C167" s="27" t="str"/>
      <x:c r="D167" s="27" t="str"/>
      <x:c r="E167" s="27" t="str"/>
      <x:c r="F167" s="27" t="str"/>
      <x:c r="G167" s="27" t="str"/>
      <x:c r="H167" s="27" t="str"/>
      <x:c r="I167" s="27" t="str"/>
      <x:c r="J167" s="27" t="str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</x:row>
    <x:row r="168">
      <x:c r="A168" s="27" t="str"/>
      <x:c r="B168" s="27" t="str"/>
      <x:c r="C168" s="27" t="str"/>
      <x:c r="D168" s="27" t="str"/>
      <x:c r="E168" s="27" t="str"/>
      <x:c r="F168" s="27" t="str"/>
      <x:c r="G168" s="27" t="str"/>
      <x:c r="H168" s="27" t="str"/>
      <x:c r="I168" s="27" t="str"/>
      <x:c r="J168" s="27" t="str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</x:row>
    <x:row r="169">
      <x:c r="A169" s="27" t="str"/>
      <x:c r="B169" s="27" t="str"/>
      <x:c r="C169" s="27" t="str"/>
      <x:c r="D169" s="27" t="str"/>
      <x:c r="E169" s="27" t="str"/>
      <x:c r="F169" s="27" t="str"/>
      <x:c r="G169" s="27" t="str"/>
      <x:c r="H169" s="27" t="str"/>
      <x:c r="I169" s="27" t="str"/>
      <x:c r="J169" s="27" t="str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</x:row>
    <x:row r="170">
      <x:c r="A170" s="27" t="str"/>
      <x:c r="B170" s="27" t="str"/>
      <x:c r="C170" s="27" t="str"/>
      <x:c r="D170" s="27" t="str"/>
      <x:c r="E170" s="27" t="str"/>
      <x:c r="F170" s="27" t="str"/>
      <x:c r="G170" s="27" t="str"/>
      <x:c r="H170" s="27" t="str"/>
      <x:c r="I170" s="27" t="str"/>
      <x:c r="J170" s="27" t="str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</x:row>
    <x:row r="171">
      <x:c r="A171" s="27" t="str"/>
      <x:c r="B171" s="27" t="str"/>
      <x:c r="C171" s="27" t="str"/>
      <x:c r="D171" s="27" t="str"/>
      <x:c r="E171" s="27" t="str"/>
      <x:c r="F171" s="27" t="str"/>
      <x:c r="G171" s="27" t="str"/>
      <x:c r="H171" s="27" t="str"/>
      <x:c r="I171" s="27" t="str"/>
      <x:c r="J171" s="27" t="str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</x:row>
    <x:row r="172">
      <x:c r="A172" s="27" t="str"/>
      <x:c r="B172" s="27" t="str"/>
      <x:c r="C172" s="27" t="str"/>
      <x:c r="D172" s="27" t="str"/>
      <x:c r="E172" s="27" t="str"/>
      <x:c r="F172" s="27" t="str"/>
      <x:c r="G172" s="27" t="str"/>
      <x:c r="H172" s="27" t="str"/>
      <x:c r="I172" s="27" t="str"/>
      <x:c r="J172" s="27" t="str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</x:row>
    <x:row r="173">
      <x:c r="A173" s="27" t="str"/>
      <x:c r="B173" s="27" t="str"/>
      <x:c r="C173" s="27" t="str"/>
      <x:c r="D173" s="27" t="str"/>
      <x:c r="E173" s="27" t="str"/>
      <x:c r="F173" s="27" t="str"/>
      <x:c r="G173" s="27" t="str"/>
      <x:c r="H173" s="27" t="str"/>
      <x:c r="I173" s="27" t="str"/>
      <x:c r="J173" s="27" t="str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</x:row>
    <x:row r="174">
      <x:c r="A174" s="27" t="str"/>
      <x:c r="B174" s="27" t="str"/>
      <x:c r="C174" s="27" t="str"/>
      <x:c r="D174" s="27" t="str"/>
      <x:c r="E174" s="27" t="str"/>
      <x:c r="F174" s="27" t="str"/>
      <x:c r="G174" s="27" t="str"/>
      <x:c r="H174" s="27" t="str"/>
      <x:c r="I174" s="27" t="str"/>
      <x:c r="J174" s="27" t="str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</x:row>
    <x:row r="175">
      <x:c r="A175" s="27" t="str"/>
      <x:c r="B175" s="27" t="str"/>
      <x:c r="C175" s="27" t="str"/>
      <x:c r="D175" s="27" t="str"/>
      <x:c r="E175" s="27" t="str"/>
      <x:c r="F175" s="27" t="str"/>
      <x:c r="G175" s="27" t="str"/>
      <x:c r="H175" s="27" t="str"/>
      <x:c r="I175" s="27" t="str"/>
      <x:c r="J175" s="27" t="str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</x:row>
    <x:row r="176">
      <x:c r="A176" s="27" t="str"/>
      <x:c r="B176" s="27" t="str"/>
      <x:c r="C176" s="27" t="str"/>
      <x:c r="D176" s="27" t="str"/>
      <x:c r="E176" s="27" t="str"/>
      <x:c r="F176" s="27" t="str"/>
      <x:c r="G176" s="27" t="str"/>
      <x:c r="H176" s="27" t="str"/>
      <x:c r="I176" s="27" t="str"/>
      <x:c r="J176" s="27" t="str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</x:row>
    <x:row r="177">
      <x:c r="A177" s="27" t="str"/>
      <x:c r="B177" s="27" t="str"/>
      <x:c r="C177" s="27" t="str"/>
      <x:c r="D177" s="27" t="str"/>
      <x:c r="E177" s="27" t="str"/>
      <x:c r="F177" s="27" t="str"/>
      <x:c r="G177" s="27" t="str"/>
      <x:c r="H177" s="27" t="str"/>
      <x:c r="I177" s="27" t="str"/>
      <x:c r="J177" s="27" t="str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</x:row>
    <x:row r="178">
      <x:c r="A178" s="27" t="str"/>
      <x:c r="B178" s="27" t="str"/>
      <x:c r="C178" s="27" t="str"/>
      <x:c r="D178" s="27" t="str"/>
      <x:c r="E178" s="27" t="str"/>
      <x:c r="F178" s="27" t="str"/>
      <x:c r="G178" s="27" t="str"/>
      <x:c r="H178" s="27" t="str"/>
      <x:c r="I178" s="27" t="str"/>
      <x:c r="J178" s="27" t="str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</x:row>
    <x:row r="179">
      <x:c r="A179" s="27" t="str"/>
      <x:c r="B179" s="27" t="str"/>
      <x:c r="C179" s="27" t="str"/>
      <x:c r="D179" s="27" t="str"/>
      <x:c r="E179" s="27" t="str"/>
      <x:c r="F179" s="27" t="str"/>
      <x:c r="G179" s="27" t="str"/>
      <x:c r="H179" s="27" t="str"/>
      <x:c r="I179" s="27" t="str"/>
      <x:c r="J179" s="27" t="str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</x:row>
    <x:row r="180">
      <x:c r="A180" s="27" t="str"/>
      <x:c r="B180" s="27" t="str"/>
      <x:c r="C180" s="27" t="str"/>
      <x:c r="D180" s="27" t="str"/>
      <x:c r="E180" s="27" t="str"/>
      <x:c r="F180" s="27" t="str"/>
      <x:c r="G180" s="27" t="str"/>
      <x:c r="H180" s="27" t="str"/>
      <x:c r="I180" s="27" t="str"/>
      <x:c r="J180" s="27" t="str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</x:row>
    <x:row r="181">
      <x:c r="A181" s="27" t="str"/>
      <x:c r="B181" s="27" t="str"/>
      <x:c r="C181" s="27" t="str"/>
      <x:c r="D181" s="27" t="str"/>
      <x:c r="E181" s="27" t="str"/>
      <x:c r="F181" s="27" t="str"/>
      <x:c r="G181" s="27" t="str"/>
      <x:c r="H181" s="27" t="str"/>
      <x:c r="I181" s="27" t="str"/>
      <x:c r="J181" s="27" t="str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</x:row>
    <x:row r="182">
      <x:c r="A182" s="27" t="str"/>
      <x:c r="B182" s="27" t="str"/>
      <x:c r="C182" s="27" t="str"/>
      <x:c r="D182" s="27" t="str"/>
      <x:c r="E182" s="27" t="str"/>
      <x:c r="F182" s="27" t="str"/>
      <x:c r="G182" s="27" t="str"/>
      <x:c r="H182" s="27" t="str"/>
      <x:c r="I182" s="27" t="str"/>
      <x:c r="J182" s="27" t="str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</x:row>
    <x:row r="183">
      <x:c r="A183" s="27" t="str"/>
      <x:c r="B183" s="27" t="str"/>
      <x:c r="C183" s="27" t="str"/>
      <x:c r="D183" s="27" t="str"/>
      <x:c r="E183" s="27" t="str"/>
      <x:c r="F183" s="27" t="str"/>
      <x:c r="G183" s="27" t="str"/>
      <x:c r="H183" s="27" t="str"/>
      <x:c r="I183" s="27" t="str"/>
      <x:c r="J183" s="27" t="str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</x:row>
    <x:row r="184">
      <x:c r="A184" s="27" t="str"/>
      <x:c r="B184" s="27" t="str"/>
      <x:c r="C184" s="27" t="str"/>
      <x:c r="D184" s="27" t="str"/>
      <x:c r="E184" s="27" t="str"/>
      <x:c r="F184" s="27" t="str"/>
      <x:c r="G184" s="27" t="str"/>
      <x:c r="H184" s="27" t="str"/>
      <x:c r="I184" s="27" t="str"/>
      <x:c r="J184" s="27" t="str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</x:row>
    <x:row r="185">
      <x:c r="A185" s="27" t="str"/>
      <x:c r="B185" s="27" t="str"/>
      <x:c r="C185" s="27" t="str"/>
      <x:c r="D185" s="27" t="str"/>
      <x:c r="E185" s="27" t="str"/>
      <x:c r="F185" s="27" t="str"/>
      <x:c r="G185" s="27" t="str"/>
      <x:c r="H185" s="27" t="str"/>
      <x:c r="I185" s="27" t="str"/>
      <x:c r="J185" s="27" t="str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</x:row>
    <x:row r="186">
      <x:c r="A186" s="27" t="str"/>
      <x:c r="B186" s="27" t="str"/>
      <x:c r="C186" s="27" t="str"/>
      <x:c r="D186" s="27" t="str"/>
      <x:c r="E186" s="27" t="str"/>
      <x:c r="F186" s="27" t="str"/>
      <x:c r="G186" s="27" t="str"/>
      <x:c r="H186" s="27" t="str"/>
      <x:c r="I186" s="27" t="str"/>
      <x:c r="J186" s="27" t="str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</x:row>
    <x:row r="187">
      <x:c r="A187" s="27" t="str"/>
      <x:c r="B187" s="27" t="str"/>
      <x:c r="C187" s="27" t="str"/>
      <x:c r="D187" s="27" t="str"/>
      <x:c r="E187" s="27" t="str"/>
      <x:c r="F187" s="27" t="str"/>
      <x:c r="G187" s="27" t="str"/>
      <x:c r="H187" s="27" t="str"/>
      <x:c r="I187" s="27" t="str"/>
      <x:c r="J187" s="27" t="str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</x:row>
    <x:row r="188">
      <x:c r="A188" s="27" t="str"/>
      <x:c r="B188" s="27" t="str"/>
      <x:c r="C188" s="27" t="str"/>
      <x:c r="D188" s="27" t="str"/>
      <x:c r="E188" s="27" t="str"/>
      <x:c r="F188" s="27" t="str"/>
      <x:c r="G188" s="27" t="str"/>
      <x:c r="H188" s="27" t="str"/>
      <x:c r="I188" s="27" t="str"/>
      <x:c r="J188" s="27" t="str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</x:row>
    <x:row r="189">
      <x:c r="A189" s="27" t="str"/>
      <x:c r="B189" s="27" t="str"/>
      <x:c r="C189" s="27" t="str"/>
      <x:c r="D189" s="27" t="str"/>
      <x:c r="E189" s="27" t="str"/>
      <x:c r="F189" s="27" t="str"/>
      <x:c r="G189" s="27" t="str"/>
      <x:c r="H189" s="27" t="str"/>
      <x:c r="I189" s="27" t="str"/>
      <x:c r="J189" s="27" t="str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</x:row>
    <x:row r="190">
      <x:c r="A190" s="27" t="str"/>
      <x:c r="B190" s="27" t="str"/>
      <x:c r="C190" s="27" t="str"/>
      <x:c r="D190" s="27" t="str"/>
      <x:c r="E190" s="27" t="str"/>
      <x:c r="F190" s="27" t="str"/>
      <x:c r="G190" s="27" t="str"/>
      <x:c r="H190" s="27" t="str"/>
      <x:c r="I190" s="27" t="str"/>
      <x:c r="J190" s="27" t="str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</x:row>
    <x:row r="191">
      <x:c r="A191" s="27" t="str"/>
      <x:c r="B191" s="27" t="str"/>
      <x:c r="C191" s="27" t="str"/>
      <x:c r="D191" s="27" t="str"/>
      <x:c r="E191" s="27" t="str"/>
      <x:c r="F191" s="27" t="str"/>
      <x:c r="G191" s="27" t="str"/>
      <x:c r="H191" s="27" t="str"/>
      <x:c r="I191" s="27" t="str"/>
      <x:c r="J191" s="27" t="str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</x:row>
    <x:row r="192">
      <x:c r="A192" s="27" t="str"/>
      <x:c r="B192" s="27" t="str"/>
      <x:c r="C192" s="27" t="str"/>
      <x:c r="D192" s="27" t="str"/>
      <x:c r="E192" s="27" t="str"/>
      <x:c r="F192" s="27" t="str"/>
      <x:c r="G192" s="27" t="str"/>
      <x:c r="H192" s="27" t="str"/>
      <x:c r="I192" s="27" t="str"/>
      <x:c r="J192" s="27" t="str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</x:row>
    <x:row r="193">
      <x:c r="A193" s="27" t="str"/>
      <x:c r="B193" s="27" t="str"/>
      <x:c r="C193" s="27" t="str"/>
      <x:c r="D193" s="27" t="str"/>
      <x:c r="E193" s="27" t="str"/>
      <x:c r="F193" s="27" t="str"/>
      <x:c r="G193" s="27" t="str"/>
      <x:c r="H193" s="27" t="str"/>
      <x:c r="I193" s="27" t="str"/>
      <x:c r="J193" s="27" t="str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</x:row>
    <x:row r="194">
      <x:c r="A194" s="27" t="str"/>
      <x:c r="B194" s="27" t="str"/>
      <x:c r="C194" s="27" t="str"/>
      <x:c r="D194" s="27" t="str"/>
      <x:c r="E194" s="27" t="str"/>
      <x:c r="F194" s="27" t="str"/>
      <x:c r="G194" s="27" t="str"/>
      <x:c r="H194" s="27" t="str"/>
      <x:c r="I194" s="27" t="str"/>
      <x:c r="J194" s="27" t="str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</x:row>
    <x:row r="195">
      <x:c r="A195" s="27" t="str"/>
      <x:c r="B195" s="27" t="str"/>
      <x:c r="C195" s="27" t="str"/>
      <x:c r="D195" s="27" t="str"/>
      <x:c r="E195" s="27" t="str"/>
      <x:c r="F195" s="27" t="str"/>
      <x:c r="G195" s="27" t="str"/>
      <x:c r="H195" s="27" t="str"/>
      <x:c r="I195" s="27" t="str"/>
      <x:c r="J195" s="27" t="str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</x:row>
    <x:row r="196">
      <x:c r="A196" s="27" t="str"/>
      <x:c r="B196" s="27" t="str"/>
      <x:c r="C196" s="27" t="str"/>
      <x:c r="D196" s="27" t="str"/>
      <x:c r="E196" s="27" t="str"/>
      <x:c r="F196" s="27" t="str"/>
      <x:c r="G196" s="27" t="str"/>
      <x:c r="H196" s="27" t="str"/>
      <x:c r="I196" s="27" t="str"/>
      <x:c r="J196" s="27" t="str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</x:row>
    <x:row r="197">
      <x:c r="A197" s="27" t="str"/>
      <x:c r="B197" s="27" t="str"/>
      <x:c r="C197" s="27" t="str"/>
      <x:c r="D197" s="27" t="str"/>
      <x:c r="E197" s="27" t="str"/>
      <x:c r="F197" s="27" t="str"/>
      <x:c r="G197" s="27" t="str"/>
      <x:c r="H197" s="27" t="str"/>
      <x:c r="I197" s="27" t="str"/>
      <x:c r="J197" s="27" t="str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</x:row>
    <x:row r="198">
      <x:c r="A198" s="27" t="str"/>
      <x:c r="B198" s="27" t="str"/>
      <x:c r="C198" s="27" t="str"/>
      <x:c r="D198" s="27" t="str"/>
      <x:c r="E198" s="27" t="str"/>
      <x:c r="F198" s="27" t="str"/>
      <x:c r="G198" s="27" t="str"/>
      <x:c r="H198" s="27" t="str"/>
      <x:c r="I198" s="27" t="str"/>
      <x:c r="J198" s="27" t="str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</x:row>
    <x:row r="199">
      <x:c r="A199" s="27" t="str"/>
      <x:c r="B199" s="27" t="str"/>
      <x:c r="C199" s="27" t="str"/>
      <x:c r="D199" s="27" t="str"/>
      <x:c r="E199" s="27" t="str"/>
      <x:c r="F199" s="27" t="str"/>
      <x:c r="G199" s="27" t="str"/>
      <x:c r="H199" s="27" t="str"/>
      <x:c r="I199" s="27" t="str"/>
      <x:c r="J199" s="27" t="str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</x:row>
    <x:row r="200">
      <x:c r="A200" s="27" t="str"/>
      <x:c r="B200" s="27" t="str"/>
      <x:c r="C200" s="27" t="str"/>
      <x:c r="D200" s="27" t="str"/>
      <x:c r="E200" s="27" t="str"/>
      <x:c r="F200" s="27" t="str"/>
      <x:c r="G200" s="27" t="str"/>
      <x:c r="H200" s="27" t="str"/>
      <x:c r="I200" s="27" t="str"/>
      <x:c r="J200" s="27" t="str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</x:row>
    <x:row r="201">
      <x:c r="A201" s="27" t="str"/>
      <x:c r="B201" s="27" t="str"/>
      <x:c r="C201" s="27" t="str"/>
      <x:c r="D201" s="27" t="str"/>
      <x:c r="E201" s="27" t="str"/>
      <x:c r="F201" s="27" t="str"/>
      <x:c r="G201" s="27" t="str"/>
      <x:c r="H201" s="27" t="str"/>
      <x:c r="I201" s="27" t="str"/>
      <x:c r="J201" s="27" t="str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</x:row>
    <x:row r="202">
      <x:c r="A202" s="27" t="str"/>
      <x:c r="B202" s="27" t="str"/>
      <x:c r="C202" s="27" t="str"/>
      <x:c r="D202" s="27" t="str"/>
      <x:c r="E202" s="27" t="str"/>
      <x:c r="F202" s="27" t="str"/>
      <x:c r="G202" s="27" t="str"/>
      <x:c r="H202" s="27" t="str"/>
      <x:c r="I202" s="27" t="str"/>
      <x:c r="J202" s="27" t="str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</x:row>
    <x:row r="203">
      <x:c r="A203" s="27" t="str"/>
      <x:c r="B203" s="27" t="str"/>
      <x:c r="C203" s="27" t="str"/>
      <x:c r="D203" s="27" t="str"/>
      <x:c r="E203" s="27" t="str"/>
      <x:c r="F203" s="27" t="str"/>
      <x:c r="G203" s="27" t="str"/>
      <x:c r="H203" s="27" t="str"/>
      <x:c r="I203" s="27" t="str"/>
      <x:c r="J203" s="27" t="str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</x:row>
    <x:row r="204">
      <x:c r="A204" s="27" t="str"/>
      <x:c r="B204" s="27" t="str"/>
      <x:c r="C204" s="27" t="str"/>
      <x:c r="D204" s="27" t="str"/>
      <x:c r="E204" s="27" t="str"/>
      <x:c r="F204" s="27" t="str"/>
      <x:c r="G204" s="27" t="str"/>
      <x:c r="H204" s="27" t="str"/>
      <x:c r="I204" s="27" t="str"/>
      <x:c r="J204" s="27" t="str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</x:row>
  </x:sheetData>
  <x:mergeCells>
    <x:mergeCell ref="A1:J1"/>
    <x:mergeCell ref="A2:J2"/>
  </x:mergeCells>
  <x:dataValidations count="3">
    <x:dataValidation type="list" sqref="G5:G204">
      <x:formula1>"Осведомление,Первичный интерес,Оценка решения,Регистрация,Настройка,Основное использование,Оплата,Поддержка,Повторное использование,Отток/возврат"</x:formula1>
    </x:dataValidation>
    <x:dataValidation type="list" sqref="H5:H204">
      <x:formula1>"Основной,Возврат,Ветвление,Переход после ошибки,Переход после оплаты,Внешний переход,Системный переход"</x:formula1>
    </x:dataValidation>
    <x:dataValidation type="list" sqref="I5:I204">
      <x:formula1>"1,2,3,4,5"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0719eed2e3442b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28" hidden="0" customWidth="1"/>
    <x:col min="4" max="4" width="28" hidden="0" customWidth="1"/>
    <x:col min="5" max="5" width="24" hidden="0" customWidth="1"/>
    <x:col min="6" max="6" width="30" hidden="0" customWidth="1"/>
    <x:col min="7" max="7" width="30" hidden="0" customWidth="1"/>
    <x:col min="8" max="8" width="22" hidden="0" customWidth="1"/>
    <x:col min="9" max="9" width="26" hidden="0" customWidth="1"/>
    <x:col min="10" max="10" width="36" hidden="0" customWidth="1"/>
    <x:col min="11" max="11" width="16" hidden="0" customWidth="1"/>
  </x:cols>
  <x:sheetData>
    <x:row r="1" ht="32" customHeight="1">
      <x:c r="A1" s="60" t="str">
        <x:v>Состояния, ошибки и исключения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27"/>
      <x:c r="M1" s="27"/>
      <x:c r="N1" s="27"/>
      <x:c r="O1" s="27"/>
      <x:c r="P1" s="27"/>
      <x:c r="Q1" s="27"/>
      <x:c r="R1" s="27"/>
      <x:c r="S1" s="27"/>
      <x:c r="T1" s="27"/>
      <x:c r="U1" s="27"/>
    </x:row>
    <x:row r="2" ht="32" customHeight="1">
      <x:c r="A2" s="9" t="str">
        <x:v>Для каждой ключевой страницы или экрана фиксируются нормальные, пустые, загрузочные, ошибочные и успешные состояния.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27"/>
      <x:c r="M2" s="27"/>
      <x:c r="N2" s="27"/>
      <x:c r="O2" s="27"/>
      <x:c r="P2" s="27"/>
      <x:c r="Q2" s="27"/>
      <x:c r="R2" s="27"/>
      <x:c r="S2" s="27"/>
      <x:c r="T2" s="27"/>
      <x:c r="U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 ht="38" customHeight="1">
      <x:c r="A4" s="50" t="str">
        <x:v>State_ID</x:v>
      </x:c>
      <x:c r="B4" s="50" t="str">
        <x:v>Unit_ID</x:v>
      </x:c>
      <x:c r="C4" s="50" t="str">
        <x:v>Нормальное состояние</x:v>
      </x:c>
      <x:c r="D4" s="50" t="str">
        <x:v>Пустое состояние</x:v>
      </x:c>
      <x:c r="E4" s="50" t="str">
        <x:v>Загрузка</x:v>
      </x:c>
      <x:c r="F4" s="50" t="str">
        <x:v>Ошибка валидации</x:v>
      </x:c>
      <x:c r="G4" s="50" t="str">
        <x:v>Ошибка сети/сервера</x:v>
      </x:c>
      <x:c r="H4" s="50" t="str">
        <x:v>Нет прав</x:v>
      </x:c>
      <x:c r="I4" s="50" t="str">
        <x:v>Успешное завершение</x:v>
      </x:c>
      <x:c r="J4" s="50" t="str">
        <x:v>Сообщение пользователю</x:v>
      </x:c>
      <x:c r="K4" s="50" t="str">
        <x:v>Полнота состояний</x:v>
      </x:c>
      <x:c r="L4" s="27"/>
      <x:c r="M4" s="27"/>
      <x:c r="N4" s="27"/>
      <x:c r="O4" s="27"/>
      <x:c r="P4" s="27"/>
      <x:c r="Q4" s="27"/>
      <x:c r="R4" s="27"/>
      <x:c r="S4" s="27"/>
      <x:c r="T4" s="27"/>
      <x:c r="U4" s="27"/>
    </x:row>
    <x:row r="5">
      <x:c r="A5" s="27" t="str">
        <x:v>S-001</x:v>
      </x:c>
      <x:c r="B5" s="27" t="str">
        <x:v>U-001</x:v>
      </x:c>
      <x:c r="C5" s="27" t="str">
        <x:v>Контент отображается</x:v>
      </x:c>
      <x:c r="D5" s="27" t="str">
        <x:v>Не применимо</x:v>
      </x:c>
      <x:c r="E5" s="27" t="str">
        <x:v>Показывается индикатор</x:v>
      </x:c>
      <x:c r="F5" s="27" t="str">
        <x:v>Не применимо</x:v>
      </x:c>
      <x:c r="G5" s="27" t="str">
        <x:v>Сообщение о недоступности</x:v>
      </x:c>
      <x:c r="H5" s="27" t="str">
        <x:v>Не применимо</x:v>
      </x:c>
      <x:c r="I5" s="27" t="str">
        <x:v>Переход выполнен</x:v>
      </x:c>
      <x:c r="J5" s="27" t="str">
        <x:v>Повторите попытку или перейдите позже</x:v>
      </x:c>
      <x:c r="K5" s="52" t="n">
        <x:f>IF(A5="","",ROUND(COUNTA(C5:J5)/8,2))</x:f>
        <x:v>1</x:v>
      </x:c>
      <x:c r="L5" s="27"/>
      <x:c r="M5" s="27"/>
      <x:c r="N5" s="27"/>
      <x:c r="O5" s="27"/>
      <x:c r="P5" s="27"/>
      <x:c r="Q5" s="27"/>
      <x:c r="R5" s="27"/>
      <x:c r="S5" s="27"/>
      <x:c r="T5" s="27"/>
      <x:c r="U5" s="27"/>
    </x:row>
    <x:row r="6">
      <x:c r="A6" s="27" t="str">
        <x:v>S-002</x:v>
      </x:c>
      <x:c r="B6" s="27" t="str">
        <x:v>U-002</x:v>
      </x:c>
      <x:c r="C6" s="27" t="str">
        <x:v>Форма доступна</x:v>
      </x:c>
      <x:c r="D6" s="27" t="str">
        <x:v>Не применимо</x:v>
      </x:c>
      <x:c r="E6" s="27" t="str">
        <x:v>Кнопка заблокирована</x:v>
      </x:c>
      <x:c r="F6" s="27" t="str">
        <x:v>Подсказка под полем</x:v>
      </x:c>
      <x:c r="G6" s="27" t="str">
        <x:v>Сообщение о недоступности сервера</x:v>
      </x:c>
      <x:c r="H6" s="27" t="str">
        <x:v>Не применимо</x:v>
      </x:c>
      <x:c r="I6" s="27" t="str">
        <x:v>Учетная запись создана</x:v>
      </x:c>
      <x:c r="J6" s="27" t="str">
        <x:v>Проверьте поля и повторите попытку</x:v>
      </x:c>
      <x:c r="K6" s="52" t="n">
        <x:f>IF(A6="","",ROUND(COUNTA(C6:J6)/8,2))</x:f>
        <x:v>1</x:v>
      </x:c>
      <x:c r="L6" s="27"/>
      <x:c r="M6" s="27"/>
      <x:c r="N6" s="27"/>
      <x:c r="O6" s="27"/>
      <x:c r="P6" s="27"/>
      <x:c r="Q6" s="27"/>
      <x:c r="R6" s="27"/>
      <x:c r="S6" s="27"/>
      <x:c r="T6" s="27"/>
      <x:c r="U6" s="27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52" t="str">
        <x:f>IF(A7="","",ROUND(COUNTA(C7:J7)/8,2))</x:f>
      </x:c>
      <x:c r="L7" s="27"/>
      <x:c r="M7" s="27"/>
      <x:c r="N7" s="27"/>
      <x:c r="O7" s="27"/>
      <x:c r="P7" s="27"/>
      <x:c r="Q7" s="27"/>
      <x:c r="R7" s="27"/>
      <x:c r="S7" s="27"/>
      <x:c r="T7" s="27"/>
      <x:c r="U7" s="27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/>
      <x:c r="K8" s="52" t="str">
        <x:f>IF(A8="","",ROUND(COUNTA(C8:J8)/8,2))</x:f>
      </x:c>
      <x:c r="L8" s="27"/>
      <x:c r="M8" s="27"/>
      <x:c r="N8" s="27"/>
      <x:c r="O8" s="27"/>
      <x:c r="P8" s="27"/>
      <x:c r="Q8" s="27"/>
      <x:c r="R8" s="27"/>
      <x:c r="S8" s="27"/>
      <x:c r="T8" s="27"/>
      <x:c r="U8" s="27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52" t="str">
        <x:f>IF(A9="","",ROUND(COUNTA(C9:J9)/8,2))</x:f>
      </x:c>
      <x:c r="L9" s="27"/>
      <x:c r="M9" s="27"/>
      <x:c r="N9" s="27"/>
      <x:c r="O9" s="27"/>
      <x:c r="P9" s="27"/>
      <x:c r="Q9" s="27"/>
      <x:c r="R9" s="27"/>
      <x:c r="S9" s="27"/>
      <x:c r="T9" s="27"/>
      <x:c r="U9" s="27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  <x:c r="K10" s="52" t="str">
        <x:f>IF(A10="","",ROUND(COUNTA(C10:J10)/8,2))</x:f>
      </x:c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52" t="str">
        <x:f>IF(A11="","",ROUND(COUNTA(C11:J11)/8,2))</x:f>
      </x:c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52" t="str">
        <x:f>IF(A12="","",ROUND(COUNTA(C12:J12)/8,2))</x:f>
      </x:c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52" t="str">
        <x:f>IF(A13="","",ROUND(COUNTA(C13:J13)/8,2))</x:f>
      </x:c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52" t="str">
        <x:f>IF(A14="","",ROUND(COUNTA(C14:J14)/8,2))</x:f>
      </x:c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52" t="str">
        <x:f>IF(A15="","",ROUND(COUNTA(C15:J15)/8,2))</x:f>
      </x:c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52" t="str">
        <x:f>IF(A16="","",ROUND(COUNTA(C16:J16)/8,2))</x:f>
      </x:c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52" t="str">
        <x:f>IF(A17="","",ROUND(COUNTA(C17:J17)/8,2))</x:f>
      </x:c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52" t="str">
        <x:f>IF(A18="","",ROUND(COUNTA(C18:J18)/8,2))</x:f>
      </x:c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52" t="str">
        <x:f>IF(A19="","",ROUND(COUNTA(C19:J19)/8,2))</x:f>
      </x:c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52" t="str">
        <x:f>IF(A20="","",ROUND(COUNTA(C20:J20)/8,2))</x:f>
      </x:c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52" t="str">
        <x:f>IF(A21="","",ROUND(COUNTA(C21:J21)/8,2))</x:f>
      </x:c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52" t="str">
        <x:f>IF(A22="","",ROUND(COUNTA(C22:J22)/8,2))</x:f>
      </x:c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52" t="str">
        <x:f>IF(A23="","",ROUND(COUNTA(C23:J23)/8,2))</x:f>
      </x:c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52" t="str">
        <x:f>IF(A24="","",ROUND(COUNTA(C24:J24)/8,2))</x:f>
      </x:c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52" t="str">
        <x:f>IF(A25="","",ROUND(COUNTA(C25:J25)/8,2))</x:f>
      </x:c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52" t="str">
        <x:f>IF(A26="","",ROUND(COUNTA(C26:J26)/8,2))</x:f>
      </x:c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52" t="str">
        <x:f>IF(A27="","",ROUND(COUNTA(C27:J27)/8,2))</x:f>
      </x:c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52" t="str">
        <x:f>IF(A28="","",ROUND(COUNTA(C28:J28)/8,2))</x:f>
      </x:c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52" t="str">
        <x:f>IF(A29="","",ROUND(COUNTA(C29:J29)/8,2))</x:f>
      </x:c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52" t="str">
        <x:f>IF(A30="","",ROUND(COUNTA(C30:J30)/8,2))</x:f>
      </x:c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52" t="str">
        <x:f>IF(A31="","",ROUND(COUNTA(C31:J31)/8,2))</x:f>
      </x:c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52" t="str">
        <x:f>IF(A32="","",ROUND(COUNTA(C32:J32)/8,2))</x:f>
      </x:c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52" t="str">
        <x:f>IF(A33="","",ROUND(COUNTA(C33:J33)/8,2))</x:f>
      </x:c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52" t="str">
        <x:f>IF(A34="","",ROUND(COUNTA(C34:J34)/8,2))</x:f>
      </x:c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  <x:c r="K35" s="52" t="str">
        <x:f>IF(A35="","",ROUND(COUNTA(C35:J35)/8,2))</x:f>
      </x:c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  <x:c r="K36" s="52" t="str">
        <x:f>IF(A36="","",ROUND(COUNTA(C36:J36)/8,2))</x:f>
      </x:c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52" t="str">
        <x:f>IF(A37="","",ROUND(COUNTA(C37:J37)/8,2))</x:f>
      </x:c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  <x:c r="K38" s="52" t="str">
        <x:f>IF(A38="","",ROUND(COUNTA(C38:J38)/8,2))</x:f>
      </x:c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  <x:c r="K39" s="52" t="str">
        <x:f>IF(A39="","",ROUND(COUNTA(C39:J39)/8,2))</x:f>
      </x:c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  <x:c r="K40" s="52" t="str">
        <x:f>IF(A40="","",ROUND(COUNTA(C40:J40)/8,2))</x:f>
      </x:c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 t="str"/>
      <x:c r="K41" s="52" t="str">
        <x:f>IF(A41="","",ROUND(COUNTA(C41:J41)/8,2))</x:f>
      </x:c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 t="str"/>
      <x:c r="K42" s="52" t="str">
        <x:f>IF(A42="","",ROUND(COUNTA(C42:J42)/8,2))</x:f>
      </x:c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 t="str"/>
      <x:c r="K43" s="52" t="str">
        <x:f>IF(A43="","",ROUND(COUNTA(C43:J43)/8,2))</x:f>
      </x:c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</x:row>
    <x:row r="44">
      <x:c r="A44" s="27" t="str"/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/>
      <x:c r="J44" s="27" t="str"/>
      <x:c r="K44" s="52" t="str">
        <x:f>IF(A44="","",ROUND(COUNTA(C44:J44)/8,2))</x:f>
      </x:c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</x:row>
    <x:row r="45">
      <x:c r="A45" s="27" t="str"/>
      <x:c r="B45" s="27" t="str"/>
      <x:c r="C45" s="27" t="str"/>
      <x:c r="D45" s="27" t="str"/>
      <x:c r="E45" s="27" t="str"/>
      <x:c r="F45" s="27" t="str"/>
      <x:c r="G45" s="27" t="str"/>
      <x:c r="H45" s="27" t="str"/>
      <x:c r="I45" s="27" t="str"/>
      <x:c r="J45" s="27" t="str"/>
      <x:c r="K45" s="52" t="str">
        <x:f>IF(A45="","",ROUND(COUNTA(C45:J45)/8,2))</x:f>
      </x:c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</x:row>
    <x:row r="46">
      <x:c r="A46" s="27" t="str"/>
      <x:c r="B46" s="27" t="str"/>
      <x:c r="C46" s="27" t="str"/>
      <x:c r="D46" s="27" t="str"/>
      <x:c r="E46" s="27" t="str"/>
      <x:c r="F46" s="27" t="str"/>
      <x:c r="G46" s="27" t="str"/>
      <x:c r="H46" s="27" t="str"/>
      <x:c r="I46" s="27" t="str"/>
      <x:c r="J46" s="27" t="str"/>
      <x:c r="K46" s="52" t="str">
        <x:f>IF(A46="","",ROUND(COUNTA(C46:J46)/8,2))</x:f>
      </x:c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</x:row>
    <x:row r="47">
      <x:c r="A47" s="27" t="str"/>
      <x:c r="B47" s="27" t="str"/>
      <x:c r="C47" s="27" t="str"/>
      <x:c r="D47" s="27" t="str"/>
      <x:c r="E47" s="27" t="str"/>
      <x:c r="F47" s="27" t="str"/>
      <x:c r="G47" s="27" t="str"/>
      <x:c r="H47" s="27" t="str"/>
      <x:c r="I47" s="27" t="str"/>
      <x:c r="J47" s="27" t="str"/>
      <x:c r="K47" s="52" t="str">
        <x:f>IF(A47="","",ROUND(COUNTA(C47:J47)/8,2))</x:f>
      </x:c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</x:row>
    <x:row r="48">
      <x:c r="A48" s="27" t="str"/>
      <x:c r="B48" s="27" t="str"/>
      <x:c r="C48" s="27" t="str"/>
      <x:c r="D48" s="27" t="str"/>
      <x:c r="E48" s="27" t="str"/>
      <x:c r="F48" s="27" t="str"/>
      <x:c r="G48" s="27" t="str"/>
      <x:c r="H48" s="27" t="str"/>
      <x:c r="I48" s="27" t="str"/>
      <x:c r="J48" s="27" t="str"/>
      <x:c r="K48" s="52" t="str">
        <x:f>IF(A48="","",ROUND(COUNTA(C48:J48)/8,2))</x:f>
      </x:c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</x:row>
    <x:row r="49">
      <x:c r="A49" s="27" t="str"/>
      <x:c r="B49" s="27" t="str"/>
      <x:c r="C49" s="27" t="str"/>
      <x:c r="D49" s="27" t="str"/>
      <x:c r="E49" s="27" t="str"/>
      <x:c r="F49" s="27" t="str"/>
      <x:c r="G49" s="27" t="str"/>
      <x:c r="H49" s="27" t="str"/>
      <x:c r="I49" s="27" t="str"/>
      <x:c r="J49" s="27" t="str"/>
      <x:c r="K49" s="52" t="str">
        <x:f>IF(A49="","",ROUND(COUNTA(C49:J49)/8,2))</x:f>
      </x:c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</x:row>
    <x:row r="50">
      <x:c r="A50" s="27" t="str"/>
      <x:c r="B50" s="27" t="str"/>
      <x:c r="C50" s="27" t="str"/>
      <x:c r="D50" s="27" t="str"/>
      <x:c r="E50" s="27" t="str"/>
      <x:c r="F50" s="27" t="str"/>
      <x:c r="G50" s="27" t="str"/>
      <x:c r="H50" s="27" t="str"/>
      <x:c r="I50" s="27" t="str"/>
      <x:c r="J50" s="27" t="str"/>
      <x:c r="K50" s="52" t="str">
        <x:f>IF(A50="","",ROUND(COUNTA(C50:J50)/8,2))</x:f>
      </x:c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</x:row>
    <x:row r="51">
      <x:c r="A51" s="27" t="str"/>
      <x:c r="B51" s="27" t="str"/>
      <x:c r="C51" s="27" t="str"/>
      <x:c r="D51" s="27" t="str"/>
      <x:c r="E51" s="27" t="str"/>
      <x:c r="F51" s="27" t="str"/>
      <x:c r="G51" s="27" t="str"/>
      <x:c r="H51" s="27" t="str"/>
      <x:c r="I51" s="27" t="str"/>
      <x:c r="J51" s="27" t="str"/>
      <x:c r="K51" s="52" t="str">
        <x:f>IF(A51="","",ROUND(COUNTA(C51:J51)/8,2))</x:f>
      </x:c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</x:row>
    <x:row r="52">
      <x:c r="A52" s="27" t="str"/>
      <x:c r="B52" s="27" t="str"/>
      <x:c r="C52" s="27" t="str"/>
      <x:c r="D52" s="27" t="str"/>
      <x:c r="E52" s="27" t="str"/>
      <x:c r="F52" s="27" t="str"/>
      <x:c r="G52" s="27" t="str"/>
      <x:c r="H52" s="27" t="str"/>
      <x:c r="I52" s="27" t="str"/>
      <x:c r="J52" s="27" t="str"/>
      <x:c r="K52" s="52" t="str">
        <x:f>IF(A52="","",ROUND(COUNTA(C52:J52)/8,2))</x:f>
      </x:c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</x:row>
    <x:row r="53">
      <x:c r="A53" s="27" t="str"/>
      <x:c r="B53" s="27" t="str"/>
      <x:c r="C53" s="27" t="str"/>
      <x:c r="D53" s="27" t="str"/>
      <x:c r="E53" s="27" t="str"/>
      <x:c r="F53" s="27" t="str"/>
      <x:c r="G53" s="27" t="str"/>
      <x:c r="H53" s="27" t="str"/>
      <x:c r="I53" s="27" t="str"/>
      <x:c r="J53" s="27" t="str"/>
      <x:c r="K53" s="52" t="str">
        <x:f>IF(A53="","",ROUND(COUNTA(C53:J53)/8,2))</x:f>
      </x:c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</x:row>
    <x:row r="54">
      <x:c r="A54" s="27" t="str"/>
      <x:c r="B54" s="27" t="str"/>
      <x:c r="C54" s="27" t="str"/>
      <x:c r="D54" s="27" t="str"/>
      <x:c r="E54" s="27" t="str"/>
      <x:c r="F54" s="27" t="str"/>
      <x:c r="G54" s="27" t="str"/>
      <x:c r="H54" s="27" t="str"/>
      <x:c r="I54" s="27" t="str"/>
      <x:c r="J54" s="27" t="str"/>
      <x:c r="K54" s="52" t="str">
        <x:f>IF(A54="","",ROUND(COUNTA(C54:J54)/8,2))</x:f>
      </x:c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</x:row>
    <x:row r="55">
      <x:c r="A55" s="27" t="str"/>
      <x:c r="B55" s="27" t="str"/>
      <x:c r="C55" s="27" t="str"/>
      <x:c r="D55" s="27" t="str"/>
      <x:c r="E55" s="27" t="str"/>
      <x:c r="F55" s="27" t="str"/>
      <x:c r="G55" s="27" t="str"/>
      <x:c r="H55" s="27" t="str"/>
      <x:c r="I55" s="27" t="str"/>
      <x:c r="J55" s="27" t="str"/>
      <x:c r="K55" s="52" t="str">
        <x:f>IF(A55="","",ROUND(COUNTA(C55:J55)/8,2))</x:f>
      </x:c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</x:row>
    <x:row r="56">
      <x:c r="A56" s="27" t="str"/>
      <x:c r="B56" s="27" t="str"/>
      <x:c r="C56" s="27" t="str"/>
      <x:c r="D56" s="27" t="str"/>
      <x:c r="E56" s="27" t="str"/>
      <x:c r="F56" s="27" t="str"/>
      <x:c r="G56" s="27" t="str"/>
      <x:c r="H56" s="27" t="str"/>
      <x:c r="I56" s="27" t="str"/>
      <x:c r="J56" s="27" t="str"/>
      <x:c r="K56" s="52" t="str">
        <x:f>IF(A56="","",ROUND(COUNTA(C56:J56)/8,2))</x:f>
      </x:c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</x:row>
    <x:row r="57">
      <x:c r="A57" s="27" t="str"/>
      <x:c r="B57" s="27" t="str"/>
      <x:c r="C57" s="27" t="str"/>
      <x:c r="D57" s="27" t="str"/>
      <x:c r="E57" s="27" t="str"/>
      <x:c r="F57" s="27" t="str"/>
      <x:c r="G57" s="27" t="str"/>
      <x:c r="H57" s="27" t="str"/>
      <x:c r="I57" s="27" t="str"/>
      <x:c r="J57" s="27" t="str"/>
      <x:c r="K57" s="52" t="str">
        <x:f>IF(A57="","",ROUND(COUNTA(C57:J57)/8,2))</x:f>
      </x:c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</x:row>
    <x:row r="58">
      <x:c r="A58" s="27" t="str"/>
      <x:c r="B58" s="27" t="str"/>
      <x:c r="C58" s="27" t="str"/>
      <x:c r="D58" s="27" t="str"/>
      <x:c r="E58" s="27" t="str"/>
      <x:c r="F58" s="27" t="str"/>
      <x:c r="G58" s="27" t="str"/>
      <x:c r="H58" s="27" t="str"/>
      <x:c r="I58" s="27" t="str"/>
      <x:c r="J58" s="27" t="str"/>
      <x:c r="K58" s="52" t="str">
        <x:f>IF(A58="","",ROUND(COUNTA(C58:J58)/8,2))</x:f>
      </x:c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</x:row>
    <x:row r="59">
      <x:c r="A59" s="27" t="str"/>
      <x:c r="B59" s="27" t="str"/>
      <x:c r="C59" s="27" t="str"/>
      <x:c r="D59" s="27" t="str"/>
      <x:c r="E59" s="27" t="str"/>
      <x:c r="F59" s="27" t="str"/>
      <x:c r="G59" s="27" t="str"/>
      <x:c r="H59" s="27" t="str"/>
      <x:c r="I59" s="27" t="str"/>
      <x:c r="J59" s="27" t="str"/>
      <x:c r="K59" s="52" t="str">
        <x:f>IF(A59="","",ROUND(COUNTA(C59:J59)/8,2))</x:f>
      </x:c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</x:row>
    <x:row r="60">
      <x:c r="A60" s="27" t="str"/>
      <x:c r="B60" s="27" t="str"/>
      <x:c r="C60" s="27" t="str"/>
      <x:c r="D60" s="27" t="str"/>
      <x:c r="E60" s="27" t="str"/>
      <x:c r="F60" s="27" t="str"/>
      <x:c r="G60" s="27" t="str"/>
      <x:c r="H60" s="27" t="str"/>
      <x:c r="I60" s="27" t="str"/>
      <x:c r="J60" s="27" t="str"/>
      <x:c r="K60" s="52" t="str">
        <x:f>IF(A60="","",ROUND(COUNTA(C60:J60)/8,2))</x:f>
      </x:c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</x:row>
    <x:row r="61">
      <x:c r="A61" s="27" t="str"/>
      <x:c r="B61" s="27" t="str"/>
      <x:c r="C61" s="27" t="str"/>
      <x:c r="D61" s="27" t="str"/>
      <x:c r="E61" s="27" t="str"/>
      <x:c r="F61" s="27" t="str"/>
      <x:c r="G61" s="27" t="str"/>
      <x:c r="H61" s="27" t="str"/>
      <x:c r="I61" s="27" t="str"/>
      <x:c r="J61" s="27" t="str"/>
      <x:c r="K61" s="52" t="str">
        <x:f>IF(A61="","",ROUND(COUNTA(C61:J61)/8,2))</x:f>
      </x:c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</x:row>
    <x:row r="62">
      <x:c r="A62" s="27" t="str"/>
      <x:c r="B62" s="27" t="str"/>
      <x:c r="C62" s="27" t="str"/>
      <x:c r="D62" s="27" t="str"/>
      <x:c r="E62" s="27" t="str"/>
      <x:c r="F62" s="27" t="str"/>
      <x:c r="G62" s="27" t="str"/>
      <x:c r="H62" s="27" t="str"/>
      <x:c r="I62" s="27" t="str"/>
      <x:c r="J62" s="27" t="str"/>
      <x:c r="K62" s="52" t="str">
        <x:f>IF(A62="","",ROUND(COUNTA(C62:J62)/8,2))</x:f>
      </x:c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</x:row>
    <x:row r="63">
      <x:c r="A63" s="27" t="str"/>
      <x:c r="B63" s="27" t="str"/>
      <x:c r="C63" s="27" t="str"/>
      <x:c r="D63" s="27" t="str"/>
      <x:c r="E63" s="27" t="str"/>
      <x:c r="F63" s="27" t="str"/>
      <x:c r="G63" s="27" t="str"/>
      <x:c r="H63" s="27" t="str"/>
      <x:c r="I63" s="27" t="str"/>
      <x:c r="J63" s="27" t="str"/>
      <x:c r="K63" s="52" t="str">
        <x:f>IF(A63="","",ROUND(COUNTA(C63:J63)/8,2))</x:f>
      </x:c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</x:row>
    <x:row r="64">
      <x:c r="A64" s="27" t="str"/>
      <x:c r="B64" s="27" t="str"/>
      <x:c r="C64" s="27" t="str"/>
      <x:c r="D64" s="27" t="str"/>
      <x:c r="E64" s="27" t="str"/>
      <x:c r="F64" s="27" t="str"/>
      <x:c r="G64" s="27" t="str"/>
      <x:c r="H64" s="27" t="str"/>
      <x:c r="I64" s="27" t="str"/>
      <x:c r="J64" s="27" t="str"/>
      <x:c r="K64" s="52" t="str">
        <x:f>IF(A64="","",ROUND(COUNTA(C64:J64)/8,2))</x:f>
      </x:c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</x:row>
    <x:row r="65">
      <x:c r="A65" s="27" t="str"/>
      <x:c r="B65" s="27" t="str"/>
      <x:c r="C65" s="27" t="str"/>
      <x:c r="D65" s="27" t="str"/>
      <x:c r="E65" s="27" t="str"/>
      <x:c r="F65" s="27" t="str"/>
      <x:c r="G65" s="27" t="str"/>
      <x:c r="H65" s="27" t="str"/>
      <x:c r="I65" s="27" t="str"/>
      <x:c r="J65" s="27" t="str"/>
      <x:c r="K65" s="52" t="str">
        <x:f>IF(A65="","",ROUND(COUNTA(C65:J65)/8,2))</x:f>
      </x:c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</x:row>
    <x:row r="66">
      <x:c r="A66" s="27" t="str"/>
      <x:c r="B66" s="27" t="str"/>
      <x:c r="C66" s="27" t="str"/>
      <x:c r="D66" s="27" t="str"/>
      <x:c r="E66" s="27" t="str"/>
      <x:c r="F66" s="27" t="str"/>
      <x:c r="G66" s="27" t="str"/>
      <x:c r="H66" s="27" t="str"/>
      <x:c r="I66" s="27" t="str"/>
      <x:c r="J66" s="27" t="str"/>
      <x:c r="K66" s="52" t="str">
        <x:f>IF(A66="","",ROUND(COUNTA(C66:J66)/8,2))</x:f>
      </x:c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</x:row>
    <x:row r="67">
      <x:c r="A67" s="27" t="str"/>
      <x:c r="B67" s="27" t="str"/>
      <x:c r="C67" s="27" t="str"/>
      <x:c r="D67" s="27" t="str"/>
      <x:c r="E67" s="27" t="str"/>
      <x:c r="F67" s="27" t="str"/>
      <x:c r="G67" s="27" t="str"/>
      <x:c r="H67" s="27" t="str"/>
      <x:c r="I67" s="27" t="str"/>
      <x:c r="J67" s="27" t="str"/>
      <x:c r="K67" s="52" t="str">
        <x:f>IF(A67="","",ROUND(COUNTA(C67:J67)/8,2))</x:f>
      </x:c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</x:row>
    <x:row r="68">
      <x:c r="A68" s="27" t="str"/>
      <x:c r="B68" s="27" t="str"/>
      <x:c r="C68" s="27" t="str"/>
      <x:c r="D68" s="27" t="str"/>
      <x:c r="E68" s="27" t="str"/>
      <x:c r="F68" s="27" t="str"/>
      <x:c r="G68" s="27" t="str"/>
      <x:c r="H68" s="27" t="str"/>
      <x:c r="I68" s="27" t="str"/>
      <x:c r="J68" s="27" t="str"/>
      <x:c r="K68" s="52" t="str">
        <x:f>IF(A68="","",ROUND(COUNTA(C68:J68)/8,2))</x:f>
      </x:c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</x:row>
    <x:row r="69">
      <x:c r="A69" s="27" t="str"/>
      <x:c r="B69" s="27" t="str"/>
      <x:c r="C69" s="27" t="str"/>
      <x:c r="D69" s="27" t="str"/>
      <x:c r="E69" s="27" t="str"/>
      <x:c r="F69" s="27" t="str"/>
      <x:c r="G69" s="27" t="str"/>
      <x:c r="H69" s="27" t="str"/>
      <x:c r="I69" s="27" t="str"/>
      <x:c r="J69" s="27" t="str"/>
      <x:c r="K69" s="52" t="str">
        <x:f>IF(A69="","",ROUND(COUNTA(C69:J69)/8,2))</x:f>
      </x:c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</x:row>
    <x:row r="70">
      <x:c r="A70" s="27" t="str"/>
      <x:c r="B70" s="27" t="str"/>
      <x:c r="C70" s="27" t="str"/>
      <x:c r="D70" s="27" t="str"/>
      <x:c r="E70" s="27" t="str"/>
      <x:c r="F70" s="27" t="str"/>
      <x:c r="G70" s="27" t="str"/>
      <x:c r="H70" s="27" t="str"/>
      <x:c r="I70" s="27" t="str"/>
      <x:c r="J70" s="27" t="str"/>
      <x:c r="K70" s="52" t="str">
        <x:f>IF(A70="","",ROUND(COUNTA(C70:J70)/8,2))</x:f>
      </x:c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</x:row>
    <x:row r="71">
      <x:c r="A71" s="27" t="str"/>
      <x:c r="B71" s="27" t="str"/>
      <x:c r="C71" s="27" t="str"/>
      <x:c r="D71" s="27" t="str"/>
      <x:c r="E71" s="27" t="str"/>
      <x:c r="F71" s="27" t="str"/>
      <x:c r="G71" s="27" t="str"/>
      <x:c r="H71" s="27" t="str"/>
      <x:c r="I71" s="27" t="str"/>
      <x:c r="J71" s="27" t="str"/>
      <x:c r="K71" s="52" t="str">
        <x:f>IF(A71="","",ROUND(COUNTA(C71:J71)/8,2))</x:f>
      </x:c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</x:row>
    <x:row r="72">
      <x:c r="A72" s="27" t="str"/>
      <x:c r="B72" s="27" t="str"/>
      <x:c r="C72" s="27" t="str"/>
      <x:c r="D72" s="27" t="str"/>
      <x:c r="E72" s="27" t="str"/>
      <x:c r="F72" s="27" t="str"/>
      <x:c r="G72" s="27" t="str"/>
      <x:c r="H72" s="27" t="str"/>
      <x:c r="I72" s="27" t="str"/>
      <x:c r="J72" s="27" t="str"/>
      <x:c r="K72" s="52" t="str">
        <x:f>IF(A72="","",ROUND(COUNTA(C72:J72)/8,2))</x:f>
      </x:c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</x:row>
    <x:row r="73">
      <x:c r="A73" s="27" t="str"/>
      <x:c r="B73" s="27" t="str"/>
      <x:c r="C73" s="27" t="str"/>
      <x:c r="D73" s="27" t="str"/>
      <x:c r="E73" s="27" t="str"/>
      <x:c r="F73" s="27" t="str"/>
      <x:c r="G73" s="27" t="str"/>
      <x:c r="H73" s="27" t="str"/>
      <x:c r="I73" s="27" t="str"/>
      <x:c r="J73" s="27" t="str"/>
      <x:c r="K73" s="52" t="str">
        <x:f>IF(A73="","",ROUND(COUNTA(C73:J73)/8,2))</x:f>
      </x:c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</x:row>
    <x:row r="74">
      <x:c r="A74" s="27" t="str"/>
      <x:c r="B74" s="27" t="str"/>
      <x:c r="C74" s="27" t="str"/>
      <x:c r="D74" s="27" t="str"/>
      <x:c r="E74" s="27" t="str"/>
      <x:c r="F74" s="27" t="str"/>
      <x:c r="G74" s="27" t="str"/>
      <x:c r="H74" s="27" t="str"/>
      <x:c r="I74" s="27" t="str"/>
      <x:c r="J74" s="27" t="str"/>
      <x:c r="K74" s="52" t="str">
        <x:f>IF(A74="","",ROUND(COUNTA(C74:J74)/8,2))</x:f>
      </x:c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</x:row>
    <x:row r="75">
      <x:c r="A75" s="27" t="str"/>
      <x:c r="B75" s="27" t="str"/>
      <x:c r="C75" s="27" t="str"/>
      <x:c r="D75" s="27" t="str"/>
      <x:c r="E75" s="27" t="str"/>
      <x:c r="F75" s="27" t="str"/>
      <x:c r="G75" s="27" t="str"/>
      <x:c r="H75" s="27" t="str"/>
      <x:c r="I75" s="27" t="str"/>
      <x:c r="J75" s="27" t="str"/>
      <x:c r="K75" s="52" t="str">
        <x:f>IF(A75="","",ROUND(COUNTA(C75:J75)/8,2))</x:f>
      </x:c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</x:row>
    <x:row r="76">
      <x:c r="A76" s="27" t="str"/>
      <x:c r="B76" s="27" t="str"/>
      <x:c r="C76" s="27" t="str"/>
      <x:c r="D76" s="27" t="str"/>
      <x:c r="E76" s="27" t="str"/>
      <x:c r="F76" s="27" t="str"/>
      <x:c r="G76" s="27" t="str"/>
      <x:c r="H76" s="27" t="str"/>
      <x:c r="I76" s="27" t="str"/>
      <x:c r="J76" s="27" t="str"/>
      <x:c r="K76" s="52" t="str">
        <x:f>IF(A76="","",ROUND(COUNTA(C76:J76)/8,2))</x:f>
      </x:c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</x:row>
    <x:row r="77">
      <x:c r="A77" s="27" t="str"/>
      <x:c r="B77" s="27" t="str"/>
      <x:c r="C77" s="27" t="str"/>
      <x:c r="D77" s="27" t="str"/>
      <x:c r="E77" s="27" t="str"/>
      <x:c r="F77" s="27" t="str"/>
      <x:c r="G77" s="27" t="str"/>
      <x:c r="H77" s="27" t="str"/>
      <x:c r="I77" s="27" t="str"/>
      <x:c r="J77" s="27" t="str"/>
      <x:c r="K77" s="52" t="str">
        <x:f>IF(A77="","",ROUND(COUNTA(C77:J77)/8,2))</x:f>
      </x:c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</x:row>
    <x:row r="78">
      <x:c r="A78" s="27" t="str"/>
      <x:c r="B78" s="27" t="str"/>
      <x:c r="C78" s="27" t="str"/>
      <x:c r="D78" s="27" t="str"/>
      <x:c r="E78" s="27" t="str"/>
      <x:c r="F78" s="27" t="str"/>
      <x:c r="G78" s="27" t="str"/>
      <x:c r="H78" s="27" t="str"/>
      <x:c r="I78" s="27" t="str"/>
      <x:c r="J78" s="27" t="str"/>
      <x:c r="K78" s="52" t="str">
        <x:f>IF(A78="","",ROUND(COUNTA(C78:J78)/8,2))</x:f>
      </x:c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</x:row>
    <x:row r="79">
      <x:c r="A79" s="27" t="str"/>
      <x:c r="B79" s="27" t="str"/>
      <x:c r="C79" s="27" t="str"/>
      <x:c r="D79" s="27" t="str"/>
      <x:c r="E79" s="27" t="str"/>
      <x:c r="F79" s="27" t="str"/>
      <x:c r="G79" s="27" t="str"/>
      <x:c r="H79" s="27" t="str"/>
      <x:c r="I79" s="27" t="str"/>
      <x:c r="J79" s="27" t="str"/>
      <x:c r="K79" s="52" t="str">
        <x:f>IF(A79="","",ROUND(COUNTA(C79:J79)/8,2))</x:f>
      </x:c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</x:row>
    <x:row r="80">
      <x:c r="A80" s="27" t="str"/>
      <x:c r="B80" s="27" t="str"/>
      <x:c r="C80" s="27" t="str"/>
      <x:c r="D80" s="27" t="str"/>
      <x:c r="E80" s="27" t="str"/>
      <x:c r="F80" s="27" t="str"/>
      <x:c r="G80" s="27" t="str"/>
      <x:c r="H80" s="27" t="str"/>
      <x:c r="I80" s="27" t="str"/>
      <x:c r="J80" s="27" t="str"/>
      <x:c r="K80" s="52" t="str">
        <x:f>IF(A80="","",ROUND(COUNTA(C80:J80)/8,2))</x:f>
      </x:c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</x:row>
    <x:row r="81">
      <x:c r="A81" s="27" t="str"/>
      <x:c r="B81" s="27" t="str"/>
      <x:c r="C81" s="27" t="str"/>
      <x:c r="D81" s="27" t="str"/>
      <x:c r="E81" s="27" t="str"/>
      <x:c r="F81" s="27" t="str"/>
      <x:c r="G81" s="27" t="str"/>
      <x:c r="H81" s="27" t="str"/>
      <x:c r="I81" s="27" t="str"/>
      <x:c r="J81" s="27" t="str"/>
      <x:c r="K81" s="52" t="str">
        <x:f>IF(A81="","",ROUND(COUNTA(C81:J81)/8,2))</x:f>
      </x:c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</x:row>
    <x:row r="82">
      <x:c r="A82" s="27" t="str"/>
      <x:c r="B82" s="27" t="str"/>
      <x:c r="C82" s="27" t="str"/>
      <x:c r="D82" s="27" t="str"/>
      <x:c r="E82" s="27" t="str"/>
      <x:c r="F82" s="27" t="str"/>
      <x:c r="G82" s="27" t="str"/>
      <x:c r="H82" s="27" t="str"/>
      <x:c r="I82" s="27" t="str"/>
      <x:c r="J82" s="27" t="str"/>
      <x:c r="K82" s="52" t="str">
        <x:f>IF(A82="","",ROUND(COUNTA(C82:J82)/8,2))</x:f>
      </x:c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</x:row>
    <x:row r="83">
      <x:c r="A83" s="27" t="str"/>
      <x:c r="B83" s="27" t="str"/>
      <x:c r="C83" s="27" t="str"/>
      <x:c r="D83" s="27" t="str"/>
      <x:c r="E83" s="27" t="str"/>
      <x:c r="F83" s="27" t="str"/>
      <x:c r="G83" s="27" t="str"/>
      <x:c r="H83" s="27" t="str"/>
      <x:c r="I83" s="27" t="str"/>
      <x:c r="J83" s="27" t="str"/>
      <x:c r="K83" s="52" t="str">
        <x:f>IF(A83="","",ROUND(COUNTA(C83:J83)/8,2))</x:f>
      </x:c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</x:row>
    <x:row r="84">
      <x:c r="A84" s="27" t="str"/>
      <x:c r="B84" s="27" t="str"/>
      <x:c r="C84" s="27" t="str"/>
      <x:c r="D84" s="27" t="str"/>
      <x:c r="E84" s="27" t="str"/>
      <x:c r="F84" s="27" t="str"/>
      <x:c r="G84" s="27" t="str"/>
      <x:c r="H84" s="27" t="str"/>
      <x:c r="I84" s="27" t="str"/>
      <x:c r="J84" s="27" t="str"/>
      <x:c r="K84" s="52" t="str">
        <x:f>IF(A84="","",ROUND(COUNTA(C84:J84)/8,2))</x:f>
      </x:c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</x:row>
    <x:row r="85">
      <x:c r="A85" s="27" t="str"/>
      <x:c r="B85" s="27" t="str"/>
      <x:c r="C85" s="27" t="str"/>
      <x:c r="D85" s="27" t="str"/>
      <x:c r="E85" s="27" t="str"/>
      <x:c r="F85" s="27" t="str"/>
      <x:c r="G85" s="27" t="str"/>
      <x:c r="H85" s="27" t="str"/>
      <x:c r="I85" s="27" t="str"/>
      <x:c r="J85" s="27" t="str"/>
      <x:c r="K85" s="52" t="str">
        <x:f>IF(A85="","",ROUND(COUNTA(C85:J85)/8,2))</x:f>
      </x:c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</x:row>
    <x:row r="86">
      <x:c r="A86" s="27" t="str"/>
      <x:c r="B86" s="27" t="str"/>
      <x:c r="C86" s="27" t="str"/>
      <x:c r="D86" s="27" t="str"/>
      <x:c r="E86" s="27" t="str"/>
      <x:c r="F86" s="27" t="str"/>
      <x:c r="G86" s="27" t="str"/>
      <x:c r="H86" s="27" t="str"/>
      <x:c r="I86" s="27" t="str"/>
      <x:c r="J86" s="27" t="str"/>
      <x:c r="K86" s="52" t="str">
        <x:f>IF(A86="","",ROUND(COUNTA(C86:J86)/8,2))</x:f>
      </x:c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</x:row>
    <x:row r="87">
      <x:c r="A87" s="27" t="str"/>
      <x:c r="B87" s="27" t="str"/>
      <x:c r="C87" s="27" t="str"/>
      <x:c r="D87" s="27" t="str"/>
      <x:c r="E87" s="27" t="str"/>
      <x:c r="F87" s="27" t="str"/>
      <x:c r="G87" s="27" t="str"/>
      <x:c r="H87" s="27" t="str"/>
      <x:c r="I87" s="27" t="str"/>
      <x:c r="J87" s="27" t="str"/>
      <x:c r="K87" s="52" t="str">
        <x:f>IF(A87="","",ROUND(COUNTA(C87:J87)/8,2))</x:f>
      </x:c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</x:row>
    <x:row r="88">
      <x:c r="A88" s="27" t="str"/>
      <x:c r="B88" s="27" t="str"/>
      <x:c r="C88" s="27" t="str"/>
      <x:c r="D88" s="27" t="str"/>
      <x:c r="E88" s="27" t="str"/>
      <x:c r="F88" s="27" t="str"/>
      <x:c r="G88" s="27" t="str"/>
      <x:c r="H88" s="27" t="str"/>
      <x:c r="I88" s="27" t="str"/>
      <x:c r="J88" s="27" t="str"/>
      <x:c r="K88" s="52" t="str">
        <x:f>IF(A88="","",ROUND(COUNTA(C88:J88)/8,2))</x:f>
      </x:c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</x:row>
    <x:row r="89">
      <x:c r="A89" s="27" t="str"/>
      <x:c r="B89" s="27" t="str"/>
      <x:c r="C89" s="27" t="str"/>
      <x:c r="D89" s="27" t="str"/>
      <x:c r="E89" s="27" t="str"/>
      <x:c r="F89" s="27" t="str"/>
      <x:c r="G89" s="27" t="str"/>
      <x:c r="H89" s="27" t="str"/>
      <x:c r="I89" s="27" t="str"/>
      <x:c r="J89" s="27" t="str"/>
      <x:c r="K89" s="52" t="str">
        <x:f>IF(A89="","",ROUND(COUNTA(C89:J89)/8,2))</x:f>
      </x:c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</x:row>
    <x:row r="90">
      <x:c r="A90" s="27" t="str"/>
      <x:c r="B90" s="27" t="str"/>
      <x:c r="C90" s="27" t="str"/>
      <x:c r="D90" s="27" t="str"/>
      <x:c r="E90" s="27" t="str"/>
      <x:c r="F90" s="27" t="str"/>
      <x:c r="G90" s="27" t="str"/>
      <x:c r="H90" s="27" t="str"/>
      <x:c r="I90" s="27" t="str"/>
      <x:c r="J90" s="27" t="str"/>
      <x:c r="K90" s="52" t="str">
        <x:f>IF(A90="","",ROUND(COUNTA(C90:J90)/8,2))</x:f>
      </x:c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</x:row>
    <x:row r="91">
      <x:c r="A91" s="27" t="str"/>
      <x:c r="B91" s="27" t="str"/>
      <x:c r="C91" s="27" t="str"/>
      <x:c r="D91" s="27" t="str"/>
      <x:c r="E91" s="27" t="str"/>
      <x:c r="F91" s="27" t="str"/>
      <x:c r="G91" s="27" t="str"/>
      <x:c r="H91" s="27" t="str"/>
      <x:c r="I91" s="27" t="str"/>
      <x:c r="J91" s="27" t="str"/>
      <x:c r="K91" s="52" t="str">
        <x:f>IF(A91="","",ROUND(COUNTA(C91:J91)/8,2))</x:f>
      </x:c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</x:row>
    <x:row r="92">
      <x:c r="A92" s="27" t="str"/>
      <x:c r="B92" s="27" t="str"/>
      <x:c r="C92" s="27" t="str"/>
      <x:c r="D92" s="27" t="str"/>
      <x:c r="E92" s="27" t="str"/>
      <x:c r="F92" s="27" t="str"/>
      <x:c r="G92" s="27" t="str"/>
      <x:c r="H92" s="27" t="str"/>
      <x:c r="I92" s="27" t="str"/>
      <x:c r="J92" s="27" t="str"/>
      <x:c r="K92" s="52" t="str">
        <x:f>IF(A92="","",ROUND(COUNTA(C92:J92)/8,2))</x:f>
      </x:c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</x:row>
    <x:row r="93">
      <x:c r="A93" s="27" t="str"/>
      <x:c r="B93" s="27" t="str"/>
      <x:c r="C93" s="27" t="str"/>
      <x:c r="D93" s="27" t="str"/>
      <x:c r="E93" s="27" t="str"/>
      <x:c r="F93" s="27" t="str"/>
      <x:c r="G93" s="27" t="str"/>
      <x:c r="H93" s="27" t="str"/>
      <x:c r="I93" s="27" t="str"/>
      <x:c r="J93" s="27" t="str"/>
      <x:c r="K93" s="52" t="str">
        <x:f>IF(A93="","",ROUND(COUNTA(C93:J93)/8,2))</x:f>
      </x:c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</x:row>
    <x:row r="94">
      <x:c r="A94" s="27" t="str"/>
      <x:c r="B94" s="27" t="str"/>
      <x:c r="C94" s="27" t="str"/>
      <x:c r="D94" s="27" t="str"/>
      <x:c r="E94" s="27" t="str"/>
      <x:c r="F94" s="27" t="str"/>
      <x:c r="G94" s="27" t="str"/>
      <x:c r="H94" s="27" t="str"/>
      <x:c r="I94" s="27" t="str"/>
      <x:c r="J94" s="27" t="str"/>
      <x:c r="K94" s="52" t="str">
        <x:f>IF(A94="","",ROUND(COUNTA(C94:J94)/8,2))</x:f>
      </x:c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</x:row>
    <x:row r="95">
      <x:c r="A95" s="27" t="str"/>
      <x:c r="B95" s="27" t="str"/>
      <x:c r="C95" s="27" t="str"/>
      <x:c r="D95" s="27" t="str"/>
      <x:c r="E95" s="27" t="str"/>
      <x:c r="F95" s="27" t="str"/>
      <x:c r="G95" s="27" t="str"/>
      <x:c r="H95" s="27" t="str"/>
      <x:c r="I95" s="27" t="str"/>
      <x:c r="J95" s="27" t="str"/>
      <x:c r="K95" s="52" t="str">
        <x:f>IF(A95="","",ROUND(COUNTA(C95:J95)/8,2))</x:f>
      </x:c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</x:row>
    <x:row r="96">
      <x:c r="A96" s="27" t="str"/>
      <x:c r="B96" s="27" t="str"/>
      <x:c r="C96" s="27" t="str"/>
      <x:c r="D96" s="27" t="str"/>
      <x:c r="E96" s="27" t="str"/>
      <x:c r="F96" s="27" t="str"/>
      <x:c r="G96" s="27" t="str"/>
      <x:c r="H96" s="27" t="str"/>
      <x:c r="I96" s="27" t="str"/>
      <x:c r="J96" s="27" t="str"/>
      <x:c r="K96" s="52" t="str">
        <x:f>IF(A96="","",ROUND(COUNTA(C96:J96)/8,2))</x:f>
      </x:c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</x:row>
    <x:row r="97">
      <x:c r="A97" s="27" t="str"/>
      <x:c r="B97" s="27" t="str"/>
      <x:c r="C97" s="27" t="str"/>
      <x:c r="D97" s="27" t="str"/>
      <x:c r="E97" s="27" t="str"/>
      <x:c r="F97" s="27" t="str"/>
      <x:c r="G97" s="27" t="str"/>
      <x:c r="H97" s="27" t="str"/>
      <x:c r="I97" s="27" t="str"/>
      <x:c r="J97" s="27" t="str"/>
      <x:c r="K97" s="52" t="str">
        <x:f>IF(A97="","",ROUND(COUNTA(C97:J97)/8,2))</x:f>
      </x:c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</x:row>
    <x:row r="98">
      <x:c r="A98" s="27" t="str"/>
      <x:c r="B98" s="27" t="str"/>
      <x:c r="C98" s="27" t="str"/>
      <x:c r="D98" s="27" t="str"/>
      <x:c r="E98" s="27" t="str"/>
      <x:c r="F98" s="27" t="str"/>
      <x:c r="G98" s="27" t="str"/>
      <x:c r="H98" s="27" t="str"/>
      <x:c r="I98" s="27" t="str"/>
      <x:c r="J98" s="27" t="str"/>
      <x:c r="K98" s="52" t="str">
        <x:f>IF(A98="","",ROUND(COUNTA(C98:J98)/8,2))</x:f>
      </x:c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</x:row>
    <x:row r="99">
      <x:c r="A99" s="27" t="str"/>
      <x:c r="B99" s="27" t="str"/>
      <x:c r="C99" s="27" t="str"/>
      <x:c r="D99" s="27" t="str"/>
      <x:c r="E99" s="27" t="str"/>
      <x:c r="F99" s="27" t="str"/>
      <x:c r="G99" s="27" t="str"/>
      <x:c r="H99" s="27" t="str"/>
      <x:c r="I99" s="27" t="str"/>
      <x:c r="J99" s="27" t="str"/>
      <x:c r="K99" s="52" t="str">
        <x:f>IF(A99="","",ROUND(COUNTA(C99:J99)/8,2))</x:f>
      </x:c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</x:row>
    <x:row r="100">
      <x:c r="A100" s="27" t="str"/>
      <x:c r="B100" s="27" t="str"/>
      <x:c r="C100" s="27" t="str"/>
      <x:c r="D100" s="27" t="str"/>
      <x:c r="E100" s="27" t="str"/>
      <x:c r="F100" s="27" t="str"/>
      <x:c r="G100" s="27" t="str"/>
      <x:c r="H100" s="27" t="str"/>
      <x:c r="I100" s="27" t="str"/>
      <x:c r="J100" s="27" t="str"/>
      <x:c r="K100" s="52" t="str">
        <x:f>IF(A100="","",ROUND(COUNTA(C100:J100)/8,2))</x:f>
      </x:c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</x:row>
    <x:row r="101">
      <x:c r="A101" s="27" t="str"/>
      <x:c r="B101" s="27" t="str"/>
      <x:c r="C101" s="27" t="str"/>
      <x:c r="D101" s="27" t="str"/>
      <x:c r="E101" s="27" t="str"/>
      <x:c r="F101" s="27" t="str"/>
      <x:c r="G101" s="27" t="str"/>
      <x:c r="H101" s="27" t="str"/>
      <x:c r="I101" s="27" t="str"/>
      <x:c r="J101" s="27" t="str"/>
      <x:c r="K101" s="52" t="str">
        <x:f>IF(A101="","",ROUND(COUNTA(C101:J101)/8,2))</x:f>
      </x:c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</x:row>
    <x:row r="102">
      <x:c r="A102" s="27" t="str"/>
      <x:c r="B102" s="27" t="str"/>
      <x:c r="C102" s="27" t="str"/>
      <x:c r="D102" s="27" t="str"/>
      <x:c r="E102" s="27" t="str"/>
      <x:c r="F102" s="27" t="str"/>
      <x:c r="G102" s="27" t="str"/>
      <x:c r="H102" s="27" t="str"/>
      <x:c r="I102" s="27" t="str"/>
      <x:c r="J102" s="27" t="str"/>
      <x:c r="K102" s="52" t="str">
        <x:f>IF(A102="","",ROUND(COUNTA(C102:J102)/8,2))</x:f>
      </x:c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</x:row>
    <x:row r="103">
      <x:c r="A103" s="27" t="str"/>
      <x:c r="B103" s="27" t="str"/>
      <x:c r="C103" s="27" t="str"/>
      <x:c r="D103" s="27" t="str"/>
      <x:c r="E103" s="27" t="str"/>
      <x:c r="F103" s="27" t="str"/>
      <x:c r="G103" s="27" t="str"/>
      <x:c r="H103" s="27" t="str"/>
      <x:c r="I103" s="27" t="str"/>
      <x:c r="J103" s="27" t="str"/>
      <x:c r="K103" s="52" t="str">
        <x:f>IF(A103="","",ROUND(COUNTA(C103:J103)/8,2))</x:f>
      </x:c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</x:row>
    <x:row r="104">
      <x:c r="A104" s="27" t="str"/>
      <x:c r="B104" s="27" t="str"/>
      <x:c r="C104" s="27" t="str"/>
      <x:c r="D104" s="27" t="str"/>
      <x:c r="E104" s="27" t="str"/>
      <x:c r="F104" s="27" t="str"/>
      <x:c r="G104" s="27" t="str"/>
      <x:c r="H104" s="27" t="str"/>
      <x:c r="I104" s="27" t="str"/>
      <x:c r="J104" s="27" t="str"/>
      <x:c r="K104" s="52" t="str">
        <x:f>IF(A104="","",ROUND(COUNTA(C104:J104)/8,2))</x:f>
      </x:c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</x:row>
    <x:row r="105">
      <x:c r="A105" s="27" t="str"/>
      <x:c r="B105" s="27" t="str"/>
      <x:c r="C105" s="27" t="str"/>
      <x:c r="D105" s="27" t="str"/>
      <x:c r="E105" s="27" t="str"/>
      <x:c r="F105" s="27" t="str"/>
      <x:c r="G105" s="27" t="str"/>
      <x:c r="H105" s="27" t="str"/>
      <x:c r="I105" s="27" t="str"/>
      <x:c r="J105" s="27" t="str"/>
      <x:c r="K105" s="52" t="str">
        <x:f>IF(A105="","",ROUND(COUNTA(C105:J105)/8,2))</x:f>
      </x:c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</x:row>
    <x:row r="106">
      <x:c r="A106" s="27" t="str"/>
      <x:c r="B106" s="27" t="str"/>
      <x:c r="C106" s="27" t="str"/>
      <x:c r="D106" s="27" t="str"/>
      <x:c r="E106" s="27" t="str"/>
      <x:c r="F106" s="27" t="str"/>
      <x:c r="G106" s="27" t="str"/>
      <x:c r="H106" s="27" t="str"/>
      <x:c r="I106" s="27" t="str"/>
      <x:c r="J106" s="27" t="str"/>
      <x:c r="K106" s="52" t="str">
        <x:f>IF(A106="","",ROUND(COUNTA(C106:J106)/8,2))</x:f>
      </x:c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</x:row>
    <x:row r="107">
      <x:c r="A107" s="27" t="str"/>
      <x:c r="B107" s="27" t="str"/>
      <x:c r="C107" s="27" t="str"/>
      <x:c r="D107" s="27" t="str"/>
      <x:c r="E107" s="27" t="str"/>
      <x:c r="F107" s="27" t="str"/>
      <x:c r="G107" s="27" t="str"/>
      <x:c r="H107" s="27" t="str"/>
      <x:c r="I107" s="27" t="str"/>
      <x:c r="J107" s="27" t="str"/>
      <x:c r="K107" s="52" t="str">
        <x:f>IF(A107="","",ROUND(COUNTA(C107:J107)/8,2))</x:f>
      </x:c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</x:row>
    <x:row r="108">
      <x:c r="A108" s="27" t="str"/>
      <x:c r="B108" s="27" t="str"/>
      <x:c r="C108" s="27" t="str"/>
      <x:c r="D108" s="27" t="str"/>
      <x:c r="E108" s="27" t="str"/>
      <x:c r="F108" s="27" t="str"/>
      <x:c r="G108" s="27" t="str"/>
      <x:c r="H108" s="27" t="str"/>
      <x:c r="I108" s="27" t="str"/>
      <x:c r="J108" s="27" t="str"/>
      <x:c r="K108" s="52" t="str">
        <x:f>IF(A108="","",ROUND(COUNTA(C108:J108)/8,2))</x:f>
      </x:c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</x:row>
    <x:row r="109">
      <x:c r="A109" s="27" t="str"/>
      <x:c r="B109" s="27" t="str"/>
      <x:c r="C109" s="27" t="str"/>
      <x:c r="D109" s="27" t="str"/>
      <x:c r="E109" s="27" t="str"/>
      <x:c r="F109" s="27" t="str"/>
      <x:c r="G109" s="27" t="str"/>
      <x:c r="H109" s="27" t="str"/>
      <x:c r="I109" s="27" t="str"/>
      <x:c r="J109" s="27" t="str"/>
      <x:c r="K109" s="52" t="str">
        <x:f>IF(A109="","",ROUND(COUNTA(C109:J109)/8,2))</x:f>
      </x:c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</x:row>
    <x:row r="110">
      <x:c r="A110" s="27" t="str"/>
      <x:c r="B110" s="27" t="str"/>
      <x:c r="C110" s="27" t="str"/>
      <x:c r="D110" s="27" t="str"/>
      <x:c r="E110" s="27" t="str"/>
      <x:c r="F110" s="27" t="str"/>
      <x:c r="G110" s="27" t="str"/>
      <x:c r="H110" s="27" t="str"/>
      <x:c r="I110" s="27" t="str"/>
      <x:c r="J110" s="27" t="str"/>
      <x:c r="K110" s="52" t="str">
        <x:f>IF(A110="","",ROUND(COUNTA(C110:J110)/8,2))</x:f>
      </x:c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</x:row>
    <x:row r="111">
      <x:c r="A111" s="27" t="str"/>
      <x:c r="B111" s="27" t="str"/>
      <x:c r="C111" s="27" t="str"/>
      <x:c r="D111" s="27" t="str"/>
      <x:c r="E111" s="27" t="str"/>
      <x:c r="F111" s="27" t="str"/>
      <x:c r="G111" s="27" t="str"/>
      <x:c r="H111" s="27" t="str"/>
      <x:c r="I111" s="27" t="str"/>
      <x:c r="J111" s="27" t="str"/>
      <x:c r="K111" s="52" t="str">
        <x:f>IF(A111="","",ROUND(COUNTA(C111:J111)/8,2))</x:f>
      </x:c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</x:row>
    <x:row r="112">
      <x:c r="A112" s="27" t="str"/>
      <x:c r="B112" s="27" t="str"/>
      <x:c r="C112" s="27" t="str"/>
      <x:c r="D112" s="27" t="str"/>
      <x:c r="E112" s="27" t="str"/>
      <x:c r="F112" s="27" t="str"/>
      <x:c r="G112" s="27" t="str"/>
      <x:c r="H112" s="27" t="str"/>
      <x:c r="I112" s="27" t="str"/>
      <x:c r="J112" s="27" t="str"/>
      <x:c r="K112" s="52" t="str">
        <x:f>IF(A112="","",ROUND(COUNTA(C112:J112)/8,2))</x:f>
      </x:c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</x:row>
    <x:row r="113">
      <x:c r="A113" s="27" t="str"/>
      <x:c r="B113" s="27" t="str"/>
      <x:c r="C113" s="27" t="str"/>
      <x:c r="D113" s="27" t="str"/>
      <x:c r="E113" s="27" t="str"/>
      <x:c r="F113" s="27" t="str"/>
      <x:c r="G113" s="27" t="str"/>
      <x:c r="H113" s="27" t="str"/>
      <x:c r="I113" s="27" t="str"/>
      <x:c r="J113" s="27" t="str"/>
      <x:c r="K113" s="52" t="str">
        <x:f>IF(A113="","",ROUND(COUNTA(C113:J113)/8,2))</x:f>
      </x:c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</x:row>
    <x:row r="114">
      <x:c r="A114" s="27" t="str"/>
      <x:c r="B114" s="27" t="str"/>
      <x:c r="C114" s="27" t="str"/>
      <x:c r="D114" s="27" t="str"/>
      <x:c r="E114" s="27" t="str"/>
      <x:c r="F114" s="27" t="str"/>
      <x:c r="G114" s="27" t="str"/>
      <x:c r="H114" s="27" t="str"/>
      <x:c r="I114" s="27" t="str"/>
      <x:c r="J114" s="27" t="str"/>
      <x:c r="K114" s="52" t="str">
        <x:f>IF(A114="","",ROUND(COUNTA(C114:J114)/8,2))</x:f>
      </x:c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</x:row>
    <x:row r="115">
      <x:c r="A115" s="27" t="str"/>
      <x:c r="B115" s="27" t="str"/>
      <x:c r="C115" s="27" t="str"/>
      <x:c r="D115" s="27" t="str"/>
      <x:c r="E115" s="27" t="str"/>
      <x:c r="F115" s="27" t="str"/>
      <x:c r="G115" s="27" t="str"/>
      <x:c r="H115" s="27" t="str"/>
      <x:c r="I115" s="27" t="str"/>
      <x:c r="J115" s="27" t="str"/>
      <x:c r="K115" s="52" t="str">
        <x:f>IF(A115="","",ROUND(COUNTA(C115:J115)/8,2))</x:f>
      </x:c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</x:row>
    <x:row r="116">
      <x:c r="A116" s="27" t="str"/>
      <x:c r="B116" s="27" t="str"/>
      <x:c r="C116" s="27" t="str"/>
      <x:c r="D116" s="27" t="str"/>
      <x:c r="E116" s="27" t="str"/>
      <x:c r="F116" s="27" t="str"/>
      <x:c r="G116" s="27" t="str"/>
      <x:c r="H116" s="27" t="str"/>
      <x:c r="I116" s="27" t="str"/>
      <x:c r="J116" s="27" t="str"/>
      <x:c r="K116" s="52" t="str">
        <x:f>IF(A116="","",ROUND(COUNTA(C116:J116)/8,2))</x:f>
      </x:c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</x:row>
    <x:row r="117">
      <x:c r="A117" s="27" t="str"/>
      <x:c r="B117" s="27" t="str"/>
      <x:c r="C117" s="27" t="str"/>
      <x:c r="D117" s="27" t="str"/>
      <x:c r="E117" s="27" t="str"/>
      <x:c r="F117" s="27" t="str"/>
      <x:c r="G117" s="27" t="str"/>
      <x:c r="H117" s="27" t="str"/>
      <x:c r="I117" s="27" t="str"/>
      <x:c r="J117" s="27" t="str"/>
      <x:c r="K117" s="52" t="str">
        <x:f>IF(A117="","",ROUND(COUNTA(C117:J117)/8,2))</x:f>
      </x:c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</x:row>
    <x:row r="118">
      <x:c r="A118" s="27" t="str"/>
      <x:c r="B118" s="27" t="str"/>
      <x:c r="C118" s="27" t="str"/>
      <x:c r="D118" s="27" t="str"/>
      <x:c r="E118" s="27" t="str"/>
      <x:c r="F118" s="27" t="str"/>
      <x:c r="G118" s="27" t="str"/>
      <x:c r="H118" s="27" t="str"/>
      <x:c r="I118" s="27" t="str"/>
      <x:c r="J118" s="27" t="str"/>
      <x:c r="K118" s="52" t="str">
        <x:f>IF(A118="","",ROUND(COUNTA(C118:J118)/8,2))</x:f>
      </x:c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</x:row>
    <x:row r="119">
      <x:c r="A119" s="27" t="str"/>
      <x:c r="B119" s="27" t="str"/>
      <x:c r="C119" s="27" t="str"/>
      <x:c r="D119" s="27" t="str"/>
      <x:c r="E119" s="27" t="str"/>
      <x:c r="F119" s="27" t="str"/>
      <x:c r="G119" s="27" t="str"/>
      <x:c r="H119" s="27" t="str"/>
      <x:c r="I119" s="27" t="str"/>
      <x:c r="J119" s="27" t="str"/>
      <x:c r="K119" s="52" t="str">
        <x:f>IF(A119="","",ROUND(COUNTA(C119:J119)/8,2))</x:f>
      </x:c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</x:row>
    <x:row r="120">
      <x:c r="A120" s="27" t="str"/>
      <x:c r="B120" s="27" t="str"/>
      <x:c r="C120" s="27" t="str"/>
      <x:c r="D120" s="27" t="str"/>
      <x:c r="E120" s="27" t="str"/>
      <x:c r="F120" s="27" t="str"/>
      <x:c r="G120" s="27" t="str"/>
      <x:c r="H120" s="27" t="str"/>
      <x:c r="I120" s="27" t="str"/>
      <x:c r="J120" s="27" t="str"/>
      <x:c r="K120" s="52" t="str">
        <x:f>IF(A120="","",ROUND(COUNTA(C120:J120)/8,2))</x:f>
      </x:c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</x:row>
    <x:row r="121">
      <x:c r="A121" s="27" t="str"/>
      <x:c r="B121" s="27" t="str"/>
      <x:c r="C121" s="27" t="str"/>
      <x:c r="D121" s="27" t="str"/>
      <x:c r="E121" s="27" t="str"/>
      <x:c r="F121" s="27" t="str"/>
      <x:c r="G121" s="27" t="str"/>
      <x:c r="H121" s="27" t="str"/>
      <x:c r="I121" s="27" t="str"/>
      <x:c r="J121" s="27" t="str"/>
      <x:c r="K121" s="52" t="str">
        <x:f>IF(A121="","",ROUND(COUNTA(C121:J121)/8,2))</x:f>
      </x:c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</x:row>
    <x:row r="122">
      <x:c r="A122" s="27" t="str"/>
      <x:c r="B122" s="27" t="str"/>
      <x:c r="C122" s="27" t="str"/>
      <x:c r="D122" s="27" t="str"/>
      <x:c r="E122" s="27" t="str"/>
      <x:c r="F122" s="27" t="str"/>
      <x:c r="G122" s="27" t="str"/>
      <x:c r="H122" s="27" t="str"/>
      <x:c r="I122" s="27" t="str"/>
      <x:c r="J122" s="27" t="str"/>
      <x:c r="K122" s="52" t="str">
        <x:f>IF(A122="","",ROUND(COUNTA(C122:J122)/8,2))</x:f>
      </x:c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</x:row>
    <x:row r="123">
      <x:c r="A123" s="27" t="str"/>
      <x:c r="B123" s="27" t="str"/>
      <x:c r="C123" s="27" t="str"/>
      <x:c r="D123" s="27" t="str"/>
      <x:c r="E123" s="27" t="str"/>
      <x:c r="F123" s="27" t="str"/>
      <x:c r="G123" s="27" t="str"/>
      <x:c r="H123" s="27" t="str"/>
      <x:c r="I123" s="27" t="str"/>
      <x:c r="J123" s="27" t="str"/>
      <x:c r="K123" s="52" t="str">
        <x:f>IF(A123="","",ROUND(COUNTA(C123:J123)/8,2))</x:f>
      </x:c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</x:row>
    <x:row r="124">
      <x:c r="A124" s="27" t="str"/>
      <x:c r="B124" s="27" t="str"/>
      <x:c r="C124" s="27" t="str"/>
      <x:c r="D124" s="27" t="str"/>
      <x:c r="E124" s="27" t="str"/>
      <x:c r="F124" s="27" t="str"/>
      <x:c r="G124" s="27" t="str"/>
      <x:c r="H124" s="27" t="str"/>
      <x:c r="I124" s="27" t="str"/>
      <x:c r="J124" s="27" t="str"/>
      <x:c r="K124" s="52" t="str">
        <x:f>IF(A124="","",ROUND(COUNTA(C124:J124)/8,2))</x:f>
      </x:c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</x:row>
    <x:row r="125">
      <x:c r="A125" s="27" t="str"/>
      <x:c r="B125" s="27" t="str"/>
      <x:c r="C125" s="27" t="str"/>
      <x:c r="D125" s="27" t="str"/>
      <x:c r="E125" s="27" t="str"/>
      <x:c r="F125" s="27" t="str"/>
      <x:c r="G125" s="27" t="str"/>
      <x:c r="H125" s="27" t="str"/>
      <x:c r="I125" s="27" t="str"/>
      <x:c r="J125" s="27" t="str"/>
      <x:c r="K125" s="52" t="str">
        <x:f>IF(A125="","",ROUND(COUNTA(C125:J125)/8,2))</x:f>
      </x:c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</x:row>
    <x:row r="126">
      <x:c r="A126" s="27" t="str"/>
      <x:c r="B126" s="27" t="str"/>
      <x:c r="C126" s="27" t="str"/>
      <x:c r="D126" s="27" t="str"/>
      <x:c r="E126" s="27" t="str"/>
      <x:c r="F126" s="27" t="str"/>
      <x:c r="G126" s="27" t="str"/>
      <x:c r="H126" s="27" t="str"/>
      <x:c r="I126" s="27" t="str"/>
      <x:c r="J126" s="27" t="str"/>
      <x:c r="K126" s="52" t="str">
        <x:f>IF(A126="","",ROUND(COUNTA(C126:J126)/8,2))</x:f>
      </x:c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</x:row>
    <x:row r="127">
      <x:c r="A127" s="27" t="str"/>
      <x:c r="B127" s="27" t="str"/>
      <x:c r="C127" s="27" t="str"/>
      <x:c r="D127" s="27" t="str"/>
      <x:c r="E127" s="27" t="str"/>
      <x:c r="F127" s="27" t="str"/>
      <x:c r="G127" s="27" t="str"/>
      <x:c r="H127" s="27" t="str"/>
      <x:c r="I127" s="27" t="str"/>
      <x:c r="J127" s="27" t="str"/>
      <x:c r="K127" s="52" t="str">
        <x:f>IF(A127="","",ROUND(COUNTA(C127:J127)/8,2))</x:f>
      </x:c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</x:row>
    <x:row r="128">
      <x:c r="A128" s="27" t="str"/>
      <x:c r="B128" s="27" t="str"/>
      <x:c r="C128" s="27" t="str"/>
      <x:c r="D128" s="27" t="str"/>
      <x:c r="E128" s="27" t="str"/>
      <x:c r="F128" s="27" t="str"/>
      <x:c r="G128" s="27" t="str"/>
      <x:c r="H128" s="27" t="str"/>
      <x:c r="I128" s="27" t="str"/>
      <x:c r="J128" s="27" t="str"/>
      <x:c r="K128" s="52" t="str">
        <x:f>IF(A128="","",ROUND(COUNTA(C128:J128)/8,2))</x:f>
      </x:c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</x:row>
    <x:row r="129">
      <x:c r="A129" s="27" t="str"/>
      <x:c r="B129" s="27" t="str"/>
      <x:c r="C129" s="27" t="str"/>
      <x:c r="D129" s="27" t="str"/>
      <x:c r="E129" s="27" t="str"/>
      <x:c r="F129" s="27" t="str"/>
      <x:c r="G129" s="27" t="str"/>
      <x:c r="H129" s="27" t="str"/>
      <x:c r="I129" s="27" t="str"/>
      <x:c r="J129" s="27" t="str"/>
      <x:c r="K129" s="52" t="str">
        <x:f>IF(A129="","",ROUND(COUNTA(C129:J129)/8,2))</x:f>
      </x:c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</x:row>
    <x:row r="130">
      <x:c r="A130" s="27" t="str"/>
      <x:c r="B130" s="27" t="str"/>
      <x:c r="C130" s="27" t="str"/>
      <x:c r="D130" s="27" t="str"/>
      <x:c r="E130" s="27" t="str"/>
      <x:c r="F130" s="27" t="str"/>
      <x:c r="G130" s="27" t="str"/>
      <x:c r="H130" s="27" t="str"/>
      <x:c r="I130" s="27" t="str"/>
      <x:c r="J130" s="27" t="str"/>
      <x:c r="K130" s="52" t="str">
        <x:f>IF(A130="","",ROUND(COUNTA(C130:J130)/8,2))</x:f>
      </x:c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</x:row>
    <x:row r="131">
      <x:c r="A131" s="27" t="str"/>
      <x:c r="B131" s="27" t="str"/>
      <x:c r="C131" s="27" t="str"/>
      <x:c r="D131" s="27" t="str"/>
      <x:c r="E131" s="27" t="str"/>
      <x:c r="F131" s="27" t="str"/>
      <x:c r="G131" s="27" t="str"/>
      <x:c r="H131" s="27" t="str"/>
      <x:c r="I131" s="27" t="str"/>
      <x:c r="J131" s="27" t="str"/>
      <x:c r="K131" s="52" t="str">
        <x:f>IF(A131="","",ROUND(COUNTA(C131:J131)/8,2))</x:f>
      </x:c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</x:row>
    <x:row r="132">
      <x:c r="A132" s="27" t="str"/>
      <x:c r="B132" s="27" t="str"/>
      <x:c r="C132" s="27" t="str"/>
      <x:c r="D132" s="27" t="str"/>
      <x:c r="E132" s="27" t="str"/>
      <x:c r="F132" s="27" t="str"/>
      <x:c r="G132" s="27" t="str"/>
      <x:c r="H132" s="27" t="str"/>
      <x:c r="I132" s="27" t="str"/>
      <x:c r="J132" s="27" t="str"/>
      <x:c r="K132" s="52" t="str">
        <x:f>IF(A132="","",ROUND(COUNTA(C132:J132)/8,2))</x:f>
      </x:c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</x:row>
    <x:row r="133">
      <x:c r="A133" s="27" t="str"/>
      <x:c r="B133" s="27" t="str"/>
      <x:c r="C133" s="27" t="str"/>
      <x:c r="D133" s="27" t="str"/>
      <x:c r="E133" s="27" t="str"/>
      <x:c r="F133" s="27" t="str"/>
      <x:c r="G133" s="27" t="str"/>
      <x:c r="H133" s="27" t="str"/>
      <x:c r="I133" s="27" t="str"/>
      <x:c r="J133" s="27" t="str"/>
      <x:c r="K133" s="52" t="str">
        <x:f>IF(A133="","",ROUND(COUNTA(C133:J133)/8,2))</x:f>
      </x:c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</x:row>
    <x:row r="134">
      <x:c r="A134" s="27" t="str"/>
      <x:c r="B134" s="27" t="str"/>
      <x:c r="C134" s="27" t="str"/>
      <x:c r="D134" s="27" t="str"/>
      <x:c r="E134" s="27" t="str"/>
      <x:c r="F134" s="27" t="str"/>
      <x:c r="G134" s="27" t="str"/>
      <x:c r="H134" s="27" t="str"/>
      <x:c r="I134" s="27" t="str"/>
      <x:c r="J134" s="27" t="str"/>
      <x:c r="K134" s="52" t="str">
        <x:f>IF(A134="","",ROUND(COUNTA(C134:J134)/8,2))</x:f>
      </x:c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</x:row>
    <x:row r="135">
      <x:c r="A135" s="27" t="str"/>
      <x:c r="B135" s="27" t="str"/>
      <x:c r="C135" s="27" t="str"/>
      <x:c r="D135" s="27" t="str"/>
      <x:c r="E135" s="27" t="str"/>
      <x:c r="F135" s="27" t="str"/>
      <x:c r="G135" s="27" t="str"/>
      <x:c r="H135" s="27" t="str"/>
      <x:c r="I135" s="27" t="str"/>
      <x:c r="J135" s="27" t="str"/>
      <x:c r="K135" s="52" t="str">
        <x:f>IF(A135="","",ROUND(COUNTA(C135:J135)/8,2))</x:f>
      </x:c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</x:row>
    <x:row r="136">
      <x:c r="A136" s="27" t="str"/>
      <x:c r="B136" s="27" t="str"/>
      <x:c r="C136" s="27" t="str"/>
      <x:c r="D136" s="27" t="str"/>
      <x:c r="E136" s="27" t="str"/>
      <x:c r="F136" s="27" t="str"/>
      <x:c r="G136" s="27" t="str"/>
      <x:c r="H136" s="27" t="str"/>
      <x:c r="I136" s="27" t="str"/>
      <x:c r="J136" s="27" t="str"/>
      <x:c r="K136" s="52" t="str">
        <x:f>IF(A136="","",ROUND(COUNTA(C136:J136)/8,2))</x:f>
      </x:c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</x:row>
    <x:row r="137">
      <x:c r="A137" s="27" t="str"/>
      <x:c r="B137" s="27" t="str"/>
      <x:c r="C137" s="27" t="str"/>
      <x:c r="D137" s="27" t="str"/>
      <x:c r="E137" s="27" t="str"/>
      <x:c r="F137" s="27" t="str"/>
      <x:c r="G137" s="27" t="str"/>
      <x:c r="H137" s="27" t="str"/>
      <x:c r="I137" s="27" t="str"/>
      <x:c r="J137" s="27" t="str"/>
      <x:c r="K137" s="52" t="str">
        <x:f>IF(A137="","",ROUND(COUNTA(C137:J137)/8,2))</x:f>
      </x:c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</x:row>
    <x:row r="138">
      <x:c r="A138" s="27" t="str"/>
      <x:c r="B138" s="27" t="str"/>
      <x:c r="C138" s="27" t="str"/>
      <x:c r="D138" s="27" t="str"/>
      <x:c r="E138" s="27" t="str"/>
      <x:c r="F138" s="27" t="str"/>
      <x:c r="G138" s="27" t="str"/>
      <x:c r="H138" s="27" t="str"/>
      <x:c r="I138" s="27" t="str"/>
      <x:c r="J138" s="27" t="str"/>
      <x:c r="K138" s="52" t="str">
        <x:f>IF(A138="","",ROUND(COUNTA(C138:J138)/8,2))</x:f>
      </x:c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</x:row>
    <x:row r="139">
      <x:c r="A139" s="27" t="str"/>
      <x:c r="B139" s="27" t="str"/>
      <x:c r="C139" s="27" t="str"/>
      <x:c r="D139" s="27" t="str"/>
      <x:c r="E139" s="27" t="str"/>
      <x:c r="F139" s="27" t="str"/>
      <x:c r="G139" s="27" t="str"/>
      <x:c r="H139" s="27" t="str"/>
      <x:c r="I139" s="27" t="str"/>
      <x:c r="J139" s="27" t="str"/>
      <x:c r="K139" s="52" t="str">
        <x:f>IF(A139="","",ROUND(COUNTA(C139:J139)/8,2))</x:f>
      </x:c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</x:row>
    <x:row r="140">
      <x:c r="A140" s="27" t="str"/>
      <x:c r="B140" s="27" t="str"/>
      <x:c r="C140" s="27" t="str"/>
      <x:c r="D140" s="27" t="str"/>
      <x:c r="E140" s="27" t="str"/>
      <x:c r="F140" s="27" t="str"/>
      <x:c r="G140" s="27" t="str"/>
      <x:c r="H140" s="27" t="str"/>
      <x:c r="I140" s="27" t="str"/>
      <x:c r="J140" s="27" t="str"/>
      <x:c r="K140" s="52" t="str">
        <x:f>IF(A140="","",ROUND(COUNTA(C140:J140)/8,2))</x:f>
      </x:c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</x:row>
    <x:row r="141">
      <x:c r="A141" s="27" t="str"/>
      <x:c r="B141" s="27" t="str"/>
      <x:c r="C141" s="27" t="str"/>
      <x:c r="D141" s="27" t="str"/>
      <x:c r="E141" s="27" t="str"/>
      <x:c r="F141" s="27" t="str"/>
      <x:c r="G141" s="27" t="str"/>
      <x:c r="H141" s="27" t="str"/>
      <x:c r="I141" s="27" t="str"/>
      <x:c r="J141" s="27" t="str"/>
      <x:c r="K141" s="52" t="str">
        <x:f>IF(A141="","",ROUND(COUNTA(C141:J141)/8,2))</x:f>
      </x:c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</x:row>
    <x:row r="142">
      <x:c r="A142" s="27" t="str"/>
      <x:c r="B142" s="27" t="str"/>
      <x:c r="C142" s="27" t="str"/>
      <x:c r="D142" s="27" t="str"/>
      <x:c r="E142" s="27" t="str"/>
      <x:c r="F142" s="27" t="str"/>
      <x:c r="G142" s="27" t="str"/>
      <x:c r="H142" s="27" t="str"/>
      <x:c r="I142" s="27" t="str"/>
      <x:c r="J142" s="27" t="str"/>
      <x:c r="K142" s="52" t="str">
        <x:f>IF(A142="","",ROUND(COUNTA(C142:J142)/8,2))</x:f>
      </x:c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</x:row>
    <x:row r="143">
      <x:c r="A143" s="27" t="str"/>
      <x:c r="B143" s="27" t="str"/>
      <x:c r="C143" s="27" t="str"/>
      <x:c r="D143" s="27" t="str"/>
      <x:c r="E143" s="27" t="str"/>
      <x:c r="F143" s="27" t="str"/>
      <x:c r="G143" s="27" t="str"/>
      <x:c r="H143" s="27" t="str"/>
      <x:c r="I143" s="27" t="str"/>
      <x:c r="J143" s="27" t="str"/>
      <x:c r="K143" s="52" t="str">
        <x:f>IF(A143="","",ROUND(COUNTA(C143:J143)/8,2))</x:f>
      </x:c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</x:row>
    <x:row r="144">
      <x:c r="A144" s="27" t="str"/>
      <x:c r="B144" s="27" t="str"/>
      <x:c r="C144" s="27" t="str"/>
      <x:c r="D144" s="27" t="str"/>
      <x:c r="E144" s="27" t="str"/>
      <x:c r="F144" s="27" t="str"/>
      <x:c r="G144" s="27" t="str"/>
      <x:c r="H144" s="27" t="str"/>
      <x:c r="I144" s="27" t="str"/>
      <x:c r="J144" s="27" t="str"/>
      <x:c r="K144" s="52" t="str">
        <x:f>IF(A144="","",ROUND(COUNTA(C144:J144)/8,2))</x:f>
      </x:c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</x:row>
    <x:row r="145">
      <x:c r="A145" s="27" t="str"/>
      <x:c r="B145" s="27" t="str"/>
      <x:c r="C145" s="27" t="str"/>
      <x:c r="D145" s="27" t="str"/>
      <x:c r="E145" s="27" t="str"/>
      <x:c r="F145" s="27" t="str"/>
      <x:c r="G145" s="27" t="str"/>
      <x:c r="H145" s="27" t="str"/>
      <x:c r="I145" s="27" t="str"/>
      <x:c r="J145" s="27" t="str"/>
      <x:c r="K145" s="52" t="str">
        <x:f>IF(A145="","",ROUND(COUNTA(C145:J145)/8,2))</x:f>
      </x:c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</x:row>
    <x:row r="146">
      <x:c r="A146" s="27" t="str"/>
      <x:c r="B146" s="27" t="str"/>
      <x:c r="C146" s="27" t="str"/>
      <x:c r="D146" s="27" t="str"/>
      <x:c r="E146" s="27" t="str"/>
      <x:c r="F146" s="27" t="str"/>
      <x:c r="G146" s="27" t="str"/>
      <x:c r="H146" s="27" t="str"/>
      <x:c r="I146" s="27" t="str"/>
      <x:c r="J146" s="27" t="str"/>
      <x:c r="K146" s="52" t="str">
        <x:f>IF(A146="","",ROUND(COUNTA(C146:J146)/8,2))</x:f>
      </x:c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</x:row>
    <x:row r="147">
      <x:c r="A147" s="27" t="str"/>
      <x:c r="B147" s="27" t="str"/>
      <x:c r="C147" s="27" t="str"/>
      <x:c r="D147" s="27" t="str"/>
      <x:c r="E147" s="27" t="str"/>
      <x:c r="F147" s="27" t="str"/>
      <x:c r="G147" s="27" t="str"/>
      <x:c r="H147" s="27" t="str"/>
      <x:c r="I147" s="27" t="str"/>
      <x:c r="J147" s="27" t="str"/>
      <x:c r="K147" s="52" t="str">
        <x:f>IF(A147="","",ROUND(COUNTA(C147:J147)/8,2))</x:f>
      </x:c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</x:row>
    <x:row r="148">
      <x:c r="A148" s="27" t="str"/>
      <x:c r="B148" s="27" t="str"/>
      <x:c r="C148" s="27" t="str"/>
      <x:c r="D148" s="27" t="str"/>
      <x:c r="E148" s="27" t="str"/>
      <x:c r="F148" s="27" t="str"/>
      <x:c r="G148" s="27" t="str"/>
      <x:c r="H148" s="27" t="str"/>
      <x:c r="I148" s="27" t="str"/>
      <x:c r="J148" s="27" t="str"/>
      <x:c r="K148" s="52" t="str">
        <x:f>IF(A148="","",ROUND(COUNTA(C148:J148)/8,2))</x:f>
      </x:c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</x:row>
    <x:row r="149">
      <x:c r="A149" s="27" t="str"/>
      <x:c r="B149" s="27" t="str"/>
      <x:c r="C149" s="27" t="str"/>
      <x:c r="D149" s="27" t="str"/>
      <x:c r="E149" s="27" t="str"/>
      <x:c r="F149" s="27" t="str"/>
      <x:c r="G149" s="27" t="str"/>
      <x:c r="H149" s="27" t="str"/>
      <x:c r="I149" s="27" t="str"/>
      <x:c r="J149" s="27" t="str"/>
      <x:c r="K149" s="52" t="str">
        <x:f>IF(A149="","",ROUND(COUNTA(C149:J149)/8,2))</x:f>
      </x:c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</x:row>
    <x:row r="150">
      <x:c r="A150" s="27" t="str"/>
      <x:c r="B150" s="27" t="str"/>
      <x:c r="C150" s="27" t="str"/>
      <x:c r="D150" s="27" t="str"/>
      <x:c r="E150" s="27" t="str"/>
      <x:c r="F150" s="27" t="str"/>
      <x:c r="G150" s="27" t="str"/>
      <x:c r="H150" s="27" t="str"/>
      <x:c r="I150" s="27" t="str"/>
      <x:c r="J150" s="27" t="str"/>
      <x:c r="K150" s="52" t="str">
        <x:f>IF(A150="","",ROUND(COUNTA(C150:J150)/8,2))</x:f>
      </x:c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</x:row>
    <x:row r="151">
      <x:c r="A151" s="27" t="str"/>
      <x:c r="B151" s="27" t="str"/>
      <x:c r="C151" s="27" t="str"/>
      <x:c r="D151" s="27" t="str"/>
      <x:c r="E151" s="27" t="str"/>
      <x:c r="F151" s="27" t="str"/>
      <x:c r="G151" s="27" t="str"/>
      <x:c r="H151" s="27" t="str"/>
      <x:c r="I151" s="27" t="str"/>
      <x:c r="J151" s="27" t="str"/>
      <x:c r="K151" s="52" t="str">
        <x:f>IF(A151="","",ROUND(COUNTA(C151:J151)/8,2))</x:f>
      </x:c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</x:row>
    <x:row r="152">
      <x:c r="A152" s="27" t="str"/>
      <x:c r="B152" s="27" t="str"/>
      <x:c r="C152" s="27" t="str"/>
      <x:c r="D152" s="27" t="str"/>
      <x:c r="E152" s="27" t="str"/>
      <x:c r="F152" s="27" t="str"/>
      <x:c r="G152" s="27" t="str"/>
      <x:c r="H152" s="27" t="str"/>
      <x:c r="I152" s="27" t="str"/>
      <x:c r="J152" s="27" t="str"/>
      <x:c r="K152" s="52" t="str">
        <x:f>IF(A152="","",ROUND(COUNTA(C152:J152)/8,2))</x:f>
      </x:c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</x:row>
    <x:row r="153">
      <x:c r="A153" s="27" t="str"/>
      <x:c r="B153" s="27" t="str"/>
      <x:c r="C153" s="27" t="str"/>
      <x:c r="D153" s="27" t="str"/>
      <x:c r="E153" s="27" t="str"/>
      <x:c r="F153" s="27" t="str"/>
      <x:c r="G153" s="27" t="str"/>
      <x:c r="H153" s="27" t="str"/>
      <x:c r="I153" s="27" t="str"/>
      <x:c r="J153" s="27" t="str"/>
      <x:c r="K153" s="52" t="str">
        <x:f>IF(A153="","",ROUND(COUNTA(C153:J153)/8,2))</x:f>
      </x:c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</x:row>
    <x:row r="154">
      <x:c r="A154" s="27" t="str"/>
      <x:c r="B154" s="27" t="str"/>
      <x:c r="C154" s="27" t="str"/>
      <x:c r="D154" s="27" t="str"/>
      <x:c r="E154" s="27" t="str"/>
      <x:c r="F154" s="27" t="str"/>
      <x:c r="G154" s="27" t="str"/>
      <x:c r="H154" s="27" t="str"/>
      <x:c r="I154" s="27" t="str"/>
      <x:c r="J154" s="27" t="str"/>
      <x:c r="K154" s="52" t="str">
        <x:f>IF(A154="","",ROUND(COUNTA(C154:J154)/8,2))</x:f>
      </x:c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</x:row>
    <x:row r="155">
      <x:c r="A155" s="27" t="str"/>
      <x:c r="B155" s="27" t="str"/>
      <x:c r="C155" s="27" t="str"/>
      <x:c r="D155" s="27" t="str"/>
      <x:c r="E155" s="27" t="str"/>
      <x:c r="F155" s="27" t="str"/>
      <x:c r="G155" s="27" t="str"/>
      <x:c r="H155" s="27" t="str"/>
      <x:c r="I155" s="27" t="str"/>
      <x:c r="J155" s="27" t="str"/>
      <x:c r="K155" s="52" t="str">
        <x:f>IF(A155="","",ROUND(COUNTA(C155:J155)/8,2))</x:f>
      </x:c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</x:row>
    <x:row r="156">
      <x:c r="A156" s="27" t="str"/>
      <x:c r="B156" s="27" t="str"/>
      <x:c r="C156" s="27" t="str"/>
      <x:c r="D156" s="27" t="str"/>
      <x:c r="E156" s="27" t="str"/>
      <x:c r="F156" s="27" t="str"/>
      <x:c r="G156" s="27" t="str"/>
      <x:c r="H156" s="27" t="str"/>
      <x:c r="I156" s="27" t="str"/>
      <x:c r="J156" s="27" t="str"/>
      <x:c r="K156" s="52" t="str">
        <x:f>IF(A156="","",ROUND(COUNTA(C156:J156)/8,2))</x:f>
      </x:c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</x:row>
    <x:row r="157">
      <x:c r="A157" s="27" t="str"/>
      <x:c r="B157" s="27" t="str"/>
      <x:c r="C157" s="27" t="str"/>
      <x:c r="D157" s="27" t="str"/>
      <x:c r="E157" s="27" t="str"/>
      <x:c r="F157" s="27" t="str"/>
      <x:c r="G157" s="27" t="str"/>
      <x:c r="H157" s="27" t="str"/>
      <x:c r="I157" s="27" t="str"/>
      <x:c r="J157" s="27" t="str"/>
      <x:c r="K157" s="52" t="str">
        <x:f>IF(A157="","",ROUND(COUNTA(C157:J157)/8,2))</x:f>
      </x:c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</x:row>
    <x:row r="158">
      <x:c r="A158" s="27" t="str"/>
      <x:c r="B158" s="27" t="str"/>
      <x:c r="C158" s="27" t="str"/>
      <x:c r="D158" s="27" t="str"/>
      <x:c r="E158" s="27" t="str"/>
      <x:c r="F158" s="27" t="str"/>
      <x:c r="G158" s="27" t="str"/>
      <x:c r="H158" s="27" t="str"/>
      <x:c r="I158" s="27" t="str"/>
      <x:c r="J158" s="27" t="str"/>
      <x:c r="K158" s="52" t="str">
        <x:f>IF(A158="","",ROUND(COUNTA(C158:J158)/8,2))</x:f>
      </x:c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</x:row>
    <x:row r="159">
      <x:c r="A159" s="27" t="str"/>
      <x:c r="B159" s="27" t="str"/>
      <x:c r="C159" s="27" t="str"/>
      <x:c r="D159" s="27" t="str"/>
      <x:c r="E159" s="27" t="str"/>
      <x:c r="F159" s="27" t="str"/>
      <x:c r="G159" s="27" t="str"/>
      <x:c r="H159" s="27" t="str"/>
      <x:c r="I159" s="27" t="str"/>
      <x:c r="J159" s="27" t="str"/>
      <x:c r="K159" s="52" t="str">
        <x:f>IF(A159="","",ROUND(COUNTA(C159:J159)/8,2))</x:f>
      </x:c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</x:row>
    <x:row r="160">
      <x:c r="A160" s="27" t="str"/>
      <x:c r="B160" s="27" t="str"/>
      <x:c r="C160" s="27" t="str"/>
      <x:c r="D160" s="27" t="str"/>
      <x:c r="E160" s="27" t="str"/>
      <x:c r="F160" s="27" t="str"/>
      <x:c r="G160" s="27" t="str"/>
      <x:c r="H160" s="27" t="str"/>
      <x:c r="I160" s="27" t="str"/>
      <x:c r="J160" s="27" t="str"/>
      <x:c r="K160" s="52" t="str">
        <x:f>IF(A160="","",ROUND(COUNTA(C160:J160)/8,2))</x:f>
      </x:c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</x:row>
    <x:row r="161">
      <x:c r="A161" s="27" t="str"/>
      <x:c r="B161" s="27" t="str"/>
      <x:c r="C161" s="27" t="str"/>
      <x:c r="D161" s="27" t="str"/>
      <x:c r="E161" s="27" t="str"/>
      <x:c r="F161" s="27" t="str"/>
      <x:c r="G161" s="27" t="str"/>
      <x:c r="H161" s="27" t="str"/>
      <x:c r="I161" s="27" t="str"/>
      <x:c r="J161" s="27" t="str"/>
      <x:c r="K161" s="52" t="str">
        <x:f>IF(A161="","",ROUND(COUNTA(C161:J161)/8,2))</x:f>
      </x:c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</x:row>
    <x:row r="162">
      <x:c r="A162" s="27" t="str"/>
      <x:c r="B162" s="27" t="str"/>
      <x:c r="C162" s="27" t="str"/>
      <x:c r="D162" s="27" t="str"/>
      <x:c r="E162" s="27" t="str"/>
      <x:c r="F162" s="27" t="str"/>
      <x:c r="G162" s="27" t="str"/>
      <x:c r="H162" s="27" t="str"/>
      <x:c r="I162" s="27" t="str"/>
      <x:c r="J162" s="27" t="str"/>
      <x:c r="K162" s="52" t="str">
        <x:f>IF(A162="","",ROUND(COUNTA(C162:J162)/8,2))</x:f>
      </x:c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</x:row>
    <x:row r="163">
      <x:c r="A163" s="27" t="str"/>
      <x:c r="B163" s="27" t="str"/>
      <x:c r="C163" s="27" t="str"/>
      <x:c r="D163" s="27" t="str"/>
      <x:c r="E163" s="27" t="str"/>
      <x:c r="F163" s="27" t="str"/>
      <x:c r="G163" s="27" t="str"/>
      <x:c r="H163" s="27" t="str"/>
      <x:c r="I163" s="27" t="str"/>
      <x:c r="J163" s="27" t="str"/>
      <x:c r="K163" s="52" t="str">
        <x:f>IF(A163="","",ROUND(COUNTA(C163:J163)/8,2))</x:f>
      </x:c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</x:row>
    <x:row r="164">
      <x:c r="A164" s="27" t="str"/>
      <x:c r="B164" s="27" t="str"/>
      <x:c r="C164" s="27" t="str"/>
      <x:c r="D164" s="27" t="str"/>
      <x:c r="E164" s="27" t="str"/>
      <x:c r="F164" s="27" t="str"/>
      <x:c r="G164" s="27" t="str"/>
      <x:c r="H164" s="27" t="str"/>
      <x:c r="I164" s="27" t="str"/>
      <x:c r="J164" s="27" t="str"/>
      <x:c r="K164" s="52" t="str">
        <x:f>IF(A164="","",ROUND(COUNTA(C164:J164)/8,2))</x:f>
      </x:c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</x:row>
    <x:row r="165">
      <x:c r="A165" s="27" t="str"/>
      <x:c r="B165" s="27" t="str"/>
      <x:c r="C165" s="27" t="str"/>
      <x:c r="D165" s="27" t="str"/>
      <x:c r="E165" s="27" t="str"/>
      <x:c r="F165" s="27" t="str"/>
      <x:c r="G165" s="27" t="str"/>
      <x:c r="H165" s="27" t="str"/>
      <x:c r="I165" s="27" t="str"/>
      <x:c r="J165" s="27" t="str"/>
      <x:c r="K165" s="52" t="str">
        <x:f>IF(A165="","",ROUND(COUNTA(C165:J165)/8,2))</x:f>
      </x:c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</x:row>
    <x:row r="166">
      <x:c r="A166" s="27" t="str"/>
      <x:c r="B166" s="27" t="str"/>
      <x:c r="C166" s="27" t="str"/>
      <x:c r="D166" s="27" t="str"/>
      <x:c r="E166" s="27" t="str"/>
      <x:c r="F166" s="27" t="str"/>
      <x:c r="G166" s="27" t="str"/>
      <x:c r="H166" s="27" t="str"/>
      <x:c r="I166" s="27" t="str"/>
      <x:c r="J166" s="27" t="str"/>
      <x:c r="K166" s="52" t="str">
        <x:f>IF(A166="","",ROUND(COUNTA(C166:J166)/8,2))</x:f>
      </x:c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</x:row>
    <x:row r="167">
      <x:c r="A167" s="27" t="str"/>
      <x:c r="B167" s="27" t="str"/>
      <x:c r="C167" s="27" t="str"/>
      <x:c r="D167" s="27" t="str"/>
      <x:c r="E167" s="27" t="str"/>
      <x:c r="F167" s="27" t="str"/>
      <x:c r="G167" s="27" t="str"/>
      <x:c r="H167" s="27" t="str"/>
      <x:c r="I167" s="27" t="str"/>
      <x:c r="J167" s="27" t="str"/>
      <x:c r="K167" s="52" t="str">
        <x:f>IF(A167="","",ROUND(COUNTA(C167:J167)/8,2))</x:f>
      </x:c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</x:row>
    <x:row r="168">
      <x:c r="A168" s="27" t="str"/>
      <x:c r="B168" s="27" t="str"/>
      <x:c r="C168" s="27" t="str"/>
      <x:c r="D168" s="27" t="str"/>
      <x:c r="E168" s="27" t="str"/>
      <x:c r="F168" s="27" t="str"/>
      <x:c r="G168" s="27" t="str"/>
      <x:c r="H168" s="27" t="str"/>
      <x:c r="I168" s="27" t="str"/>
      <x:c r="J168" s="27" t="str"/>
      <x:c r="K168" s="52" t="str">
        <x:f>IF(A168="","",ROUND(COUNTA(C168:J168)/8,2))</x:f>
      </x:c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</x:row>
    <x:row r="169">
      <x:c r="A169" s="27" t="str"/>
      <x:c r="B169" s="27" t="str"/>
      <x:c r="C169" s="27" t="str"/>
      <x:c r="D169" s="27" t="str"/>
      <x:c r="E169" s="27" t="str"/>
      <x:c r="F169" s="27" t="str"/>
      <x:c r="G169" s="27" t="str"/>
      <x:c r="H169" s="27" t="str"/>
      <x:c r="I169" s="27" t="str"/>
      <x:c r="J169" s="27" t="str"/>
      <x:c r="K169" s="52" t="str">
        <x:f>IF(A169="","",ROUND(COUNTA(C169:J169)/8,2))</x:f>
      </x:c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</x:row>
    <x:row r="170">
      <x:c r="A170" s="27" t="str"/>
      <x:c r="B170" s="27" t="str"/>
      <x:c r="C170" s="27" t="str"/>
      <x:c r="D170" s="27" t="str"/>
      <x:c r="E170" s="27" t="str"/>
      <x:c r="F170" s="27" t="str"/>
      <x:c r="G170" s="27" t="str"/>
      <x:c r="H170" s="27" t="str"/>
      <x:c r="I170" s="27" t="str"/>
      <x:c r="J170" s="27" t="str"/>
      <x:c r="K170" s="52" t="str">
        <x:f>IF(A170="","",ROUND(COUNTA(C170:J170)/8,2))</x:f>
      </x:c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</x:row>
    <x:row r="171">
      <x:c r="A171" s="27" t="str"/>
      <x:c r="B171" s="27" t="str"/>
      <x:c r="C171" s="27" t="str"/>
      <x:c r="D171" s="27" t="str"/>
      <x:c r="E171" s="27" t="str"/>
      <x:c r="F171" s="27" t="str"/>
      <x:c r="G171" s="27" t="str"/>
      <x:c r="H171" s="27" t="str"/>
      <x:c r="I171" s="27" t="str"/>
      <x:c r="J171" s="27" t="str"/>
      <x:c r="K171" s="52" t="str">
        <x:f>IF(A171="","",ROUND(COUNTA(C171:J171)/8,2))</x:f>
      </x:c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</x:row>
    <x:row r="172">
      <x:c r="A172" s="27" t="str"/>
      <x:c r="B172" s="27" t="str"/>
      <x:c r="C172" s="27" t="str"/>
      <x:c r="D172" s="27" t="str"/>
      <x:c r="E172" s="27" t="str"/>
      <x:c r="F172" s="27" t="str"/>
      <x:c r="G172" s="27" t="str"/>
      <x:c r="H172" s="27" t="str"/>
      <x:c r="I172" s="27" t="str"/>
      <x:c r="J172" s="27" t="str"/>
      <x:c r="K172" s="52" t="str">
        <x:f>IF(A172="","",ROUND(COUNTA(C172:J172)/8,2))</x:f>
      </x:c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</x:row>
    <x:row r="173">
      <x:c r="A173" s="27" t="str"/>
      <x:c r="B173" s="27" t="str"/>
      <x:c r="C173" s="27" t="str"/>
      <x:c r="D173" s="27" t="str"/>
      <x:c r="E173" s="27" t="str"/>
      <x:c r="F173" s="27" t="str"/>
      <x:c r="G173" s="27" t="str"/>
      <x:c r="H173" s="27" t="str"/>
      <x:c r="I173" s="27" t="str"/>
      <x:c r="J173" s="27" t="str"/>
      <x:c r="K173" s="52" t="str">
        <x:f>IF(A173="","",ROUND(COUNTA(C173:J173)/8,2))</x:f>
      </x:c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</x:row>
    <x:row r="174">
      <x:c r="A174" s="27" t="str"/>
      <x:c r="B174" s="27" t="str"/>
      <x:c r="C174" s="27" t="str"/>
      <x:c r="D174" s="27" t="str"/>
      <x:c r="E174" s="27" t="str"/>
      <x:c r="F174" s="27" t="str"/>
      <x:c r="G174" s="27" t="str"/>
      <x:c r="H174" s="27" t="str"/>
      <x:c r="I174" s="27" t="str"/>
      <x:c r="J174" s="27" t="str"/>
      <x:c r="K174" s="52" t="str">
        <x:f>IF(A174="","",ROUND(COUNTA(C174:J174)/8,2))</x:f>
      </x:c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</x:row>
    <x:row r="175">
      <x:c r="A175" s="27" t="str"/>
      <x:c r="B175" s="27" t="str"/>
      <x:c r="C175" s="27" t="str"/>
      <x:c r="D175" s="27" t="str"/>
      <x:c r="E175" s="27" t="str"/>
      <x:c r="F175" s="27" t="str"/>
      <x:c r="G175" s="27" t="str"/>
      <x:c r="H175" s="27" t="str"/>
      <x:c r="I175" s="27" t="str"/>
      <x:c r="J175" s="27" t="str"/>
      <x:c r="K175" s="52" t="str">
        <x:f>IF(A175="","",ROUND(COUNTA(C175:J175)/8,2))</x:f>
      </x:c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</x:row>
    <x:row r="176">
      <x:c r="A176" s="27" t="str"/>
      <x:c r="B176" s="27" t="str"/>
      <x:c r="C176" s="27" t="str"/>
      <x:c r="D176" s="27" t="str"/>
      <x:c r="E176" s="27" t="str"/>
      <x:c r="F176" s="27" t="str"/>
      <x:c r="G176" s="27" t="str"/>
      <x:c r="H176" s="27" t="str"/>
      <x:c r="I176" s="27" t="str"/>
      <x:c r="J176" s="27" t="str"/>
      <x:c r="K176" s="52" t="str">
        <x:f>IF(A176="","",ROUND(COUNTA(C176:J176)/8,2))</x:f>
      </x:c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</x:row>
    <x:row r="177">
      <x:c r="A177" s="27" t="str"/>
      <x:c r="B177" s="27" t="str"/>
      <x:c r="C177" s="27" t="str"/>
      <x:c r="D177" s="27" t="str"/>
      <x:c r="E177" s="27" t="str"/>
      <x:c r="F177" s="27" t="str"/>
      <x:c r="G177" s="27" t="str"/>
      <x:c r="H177" s="27" t="str"/>
      <x:c r="I177" s="27" t="str"/>
      <x:c r="J177" s="27" t="str"/>
      <x:c r="K177" s="52" t="str">
        <x:f>IF(A177="","",ROUND(COUNTA(C177:J177)/8,2))</x:f>
      </x:c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</x:row>
    <x:row r="178">
      <x:c r="A178" s="27" t="str"/>
      <x:c r="B178" s="27" t="str"/>
      <x:c r="C178" s="27" t="str"/>
      <x:c r="D178" s="27" t="str"/>
      <x:c r="E178" s="27" t="str"/>
      <x:c r="F178" s="27" t="str"/>
      <x:c r="G178" s="27" t="str"/>
      <x:c r="H178" s="27" t="str"/>
      <x:c r="I178" s="27" t="str"/>
      <x:c r="J178" s="27" t="str"/>
      <x:c r="K178" s="52" t="str">
        <x:f>IF(A178="","",ROUND(COUNTA(C178:J178)/8,2))</x:f>
      </x:c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</x:row>
    <x:row r="179">
      <x:c r="A179" s="27" t="str"/>
      <x:c r="B179" s="27" t="str"/>
      <x:c r="C179" s="27" t="str"/>
      <x:c r="D179" s="27" t="str"/>
      <x:c r="E179" s="27" t="str"/>
      <x:c r="F179" s="27" t="str"/>
      <x:c r="G179" s="27" t="str"/>
      <x:c r="H179" s="27" t="str"/>
      <x:c r="I179" s="27" t="str"/>
      <x:c r="J179" s="27" t="str"/>
      <x:c r="K179" s="52" t="str">
        <x:f>IF(A179="","",ROUND(COUNTA(C179:J179)/8,2))</x:f>
      </x:c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</x:row>
    <x:row r="180">
      <x:c r="A180" s="27" t="str"/>
      <x:c r="B180" s="27" t="str"/>
      <x:c r="C180" s="27" t="str"/>
      <x:c r="D180" s="27" t="str"/>
      <x:c r="E180" s="27" t="str"/>
      <x:c r="F180" s="27" t="str"/>
      <x:c r="G180" s="27" t="str"/>
      <x:c r="H180" s="27" t="str"/>
      <x:c r="I180" s="27" t="str"/>
      <x:c r="J180" s="27" t="str"/>
      <x:c r="K180" s="52" t="str">
        <x:f>IF(A180="","",ROUND(COUNTA(C180:J180)/8,2))</x:f>
      </x:c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</x:row>
    <x:row r="181">
      <x:c r="A181" s="27" t="str"/>
      <x:c r="B181" s="27" t="str"/>
      <x:c r="C181" s="27" t="str"/>
      <x:c r="D181" s="27" t="str"/>
      <x:c r="E181" s="27" t="str"/>
      <x:c r="F181" s="27" t="str"/>
      <x:c r="G181" s="27" t="str"/>
      <x:c r="H181" s="27" t="str"/>
      <x:c r="I181" s="27" t="str"/>
      <x:c r="J181" s="27" t="str"/>
      <x:c r="K181" s="52" t="str">
        <x:f>IF(A181="","",ROUND(COUNTA(C181:J181)/8,2))</x:f>
      </x:c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</x:row>
    <x:row r="182">
      <x:c r="A182" s="27" t="str"/>
      <x:c r="B182" s="27" t="str"/>
      <x:c r="C182" s="27" t="str"/>
      <x:c r="D182" s="27" t="str"/>
      <x:c r="E182" s="27" t="str"/>
      <x:c r="F182" s="27" t="str"/>
      <x:c r="G182" s="27" t="str"/>
      <x:c r="H182" s="27" t="str"/>
      <x:c r="I182" s="27" t="str"/>
      <x:c r="J182" s="27" t="str"/>
      <x:c r="K182" s="52" t="str">
        <x:f>IF(A182="","",ROUND(COUNTA(C182:J182)/8,2))</x:f>
      </x:c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</x:row>
    <x:row r="183">
      <x:c r="A183" s="27" t="str"/>
      <x:c r="B183" s="27" t="str"/>
      <x:c r="C183" s="27" t="str"/>
      <x:c r="D183" s="27" t="str"/>
      <x:c r="E183" s="27" t="str"/>
      <x:c r="F183" s="27" t="str"/>
      <x:c r="G183" s="27" t="str"/>
      <x:c r="H183" s="27" t="str"/>
      <x:c r="I183" s="27" t="str"/>
      <x:c r="J183" s="27" t="str"/>
      <x:c r="K183" s="52" t="str">
        <x:f>IF(A183="","",ROUND(COUNTA(C183:J183)/8,2))</x:f>
      </x:c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</x:row>
    <x:row r="184">
      <x:c r="A184" s="27" t="str"/>
      <x:c r="B184" s="27" t="str"/>
      <x:c r="C184" s="27" t="str"/>
      <x:c r="D184" s="27" t="str"/>
      <x:c r="E184" s="27" t="str"/>
      <x:c r="F184" s="27" t="str"/>
      <x:c r="G184" s="27" t="str"/>
      <x:c r="H184" s="27" t="str"/>
      <x:c r="I184" s="27" t="str"/>
      <x:c r="J184" s="27" t="str"/>
      <x:c r="K184" s="52" t="str">
        <x:f>IF(A184="","",ROUND(COUNTA(C184:J184)/8,2))</x:f>
      </x:c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</x:row>
    <x:row r="185">
      <x:c r="A185" s="27" t="str"/>
      <x:c r="B185" s="27" t="str"/>
      <x:c r="C185" s="27" t="str"/>
      <x:c r="D185" s="27" t="str"/>
      <x:c r="E185" s="27" t="str"/>
      <x:c r="F185" s="27" t="str"/>
      <x:c r="G185" s="27" t="str"/>
      <x:c r="H185" s="27" t="str"/>
      <x:c r="I185" s="27" t="str"/>
      <x:c r="J185" s="27" t="str"/>
      <x:c r="K185" s="52" t="str">
        <x:f>IF(A185="","",ROUND(COUNTA(C185:J185)/8,2))</x:f>
      </x:c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</x:row>
    <x:row r="186">
      <x:c r="A186" s="27" t="str"/>
      <x:c r="B186" s="27" t="str"/>
      <x:c r="C186" s="27" t="str"/>
      <x:c r="D186" s="27" t="str"/>
      <x:c r="E186" s="27" t="str"/>
      <x:c r="F186" s="27" t="str"/>
      <x:c r="G186" s="27" t="str"/>
      <x:c r="H186" s="27" t="str"/>
      <x:c r="I186" s="27" t="str"/>
      <x:c r="J186" s="27" t="str"/>
      <x:c r="K186" s="52" t="str">
        <x:f>IF(A186="","",ROUND(COUNTA(C186:J186)/8,2))</x:f>
      </x:c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</x:row>
    <x:row r="187">
      <x:c r="A187" s="27" t="str"/>
      <x:c r="B187" s="27" t="str"/>
      <x:c r="C187" s="27" t="str"/>
      <x:c r="D187" s="27" t="str"/>
      <x:c r="E187" s="27" t="str"/>
      <x:c r="F187" s="27" t="str"/>
      <x:c r="G187" s="27" t="str"/>
      <x:c r="H187" s="27" t="str"/>
      <x:c r="I187" s="27" t="str"/>
      <x:c r="J187" s="27" t="str"/>
      <x:c r="K187" s="52" t="str">
        <x:f>IF(A187="","",ROUND(COUNTA(C187:J187)/8,2))</x:f>
      </x:c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</x:row>
    <x:row r="188">
      <x:c r="A188" s="27" t="str"/>
      <x:c r="B188" s="27" t="str"/>
      <x:c r="C188" s="27" t="str"/>
      <x:c r="D188" s="27" t="str"/>
      <x:c r="E188" s="27" t="str"/>
      <x:c r="F188" s="27" t="str"/>
      <x:c r="G188" s="27" t="str"/>
      <x:c r="H188" s="27" t="str"/>
      <x:c r="I188" s="27" t="str"/>
      <x:c r="J188" s="27" t="str"/>
      <x:c r="K188" s="52" t="str">
        <x:f>IF(A188="","",ROUND(COUNTA(C188:J188)/8,2))</x:f>
      </x:c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</x:row>
    <x:row r="189">
      <x:c r="A189" s="27" t="str"/>
      <x:c r="B189" s="27" t="str"/>
      <x:c r="C189" s="27" t="str"/>
      <x:c r="D189" s="27" t="str"/>
      <x:c r="E189" s="27" t="str"/>
      <x:c r="F189" s="27" t="str"/>
      <x:c r="G189" s="27" t="str"/>
      <x:c r="H189" s="27" t="str"/>
      <x:c r="I189" s="27" t="str"/>
      <x:c r="J189" s="27" t="str"/>
      <x:c r="K189" s="52" t="str">
        <x:f>IF(A189="","",ROUND(COUNTA(C189:J189)/8,2))</x:f>
      </x:c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</x:row>
    <x:row r="190">
      <x:c r="A190" s="27" t="str"/>
      <x:c r="B190" s="27" t="str"/>
      <x:c r="C190" s="27" t="str"/>
      <x:c r="D190" s="27" t="str"/>
      <x:c r="E190" s="27" t="str"/>
      <x:c r="F190" s="27" t="str"/>
      <x:c r="G190" s="27" t="str"/>
      <x:c r="H190" s="27" t="str"/>
      <x:c r="I190" s="27" t="str"/>
      <x:c r="J190" s="27" t="str"/>
      <x:c r="K190" s="52" t="str">
        <x:f>IF(A190="","",ROUND(COUNTA(C190:J190)/8,2))</x:f>
      </x:c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</x:row>
    <x:row r="191">
      <x:c r="A191" s="27" t="str"/>
      <x:c r="B191" s="27" t="str"/>
      <x:c r="C191" s="27" t="str"/>
      <x:c r="D191" s="27" t="str"/>
      <x:c r="E191" s="27" t="str"/>
      <x:c r="F191" s="27" t="str"/>
      <x:c r="G191" s="27" t="str"/>
      <x:c r="H191" s="27" t="str"/>
      <x:c r="I191" s="27" t="str"/>
      <x:c r="J191" s="27" t="str"/>
      <x:c r="K191" s="52" t="str">
        <x:f>IF(A191="","",ROUND(COUNTA(C191:J191)/8,2))</x:f>
      </x:c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</x:row>
    <x:row r="192">
      <x:c r="A192" s="27" t="str"/>
      <x:c r="B192" s="27" t="str"/>
      <x:c r="C192" s="27" t="str"/>
      <x:c r="D192" s="27" t="str"/>
      <x:c r="E192" s="27" t="str"/>
      <x:c r="F192" s="27" t="str"/>
      <x:c r="G192" s="27" t="str"/>
      <x:c r="H192" s="27" t="str"/>
      <x:c r="I192" s="27" t="str"/>
      <x:c r="J192" s="27" t="str"/>
      <x:c r="K192" s="52" t="str">
        <x:f>IF(A192="","",ROUND(COUNTA(C192:J192)/8,2))</x:f>
      </x:c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</x:row>
    <x:row r="193">
      <x:c r="A193" s="27" t="str"/>
      <x:c r="B193" s="27" t="str"/>
      <x:c r="C193" s="27" t="str"/>
      <x:c r="D193" s="27" t="str"/>
      <x:c r="E193" s="27" t="str"/>
      <x:c r="F193" s="27" t="str"/>
      <x:c r="G193" s="27" t="str"/>
      <x:c r="H193" s="27" t="str"/>
      <x:c r="I193" s="27" t="str"/>
      <x:c r="J193" s="27" t="str"/>
      <x:c r="K193" s="52" t="str">
        <x:f>IF(A193="","",ROUND(COUNTA(C193:J193)/8,2))</x:f>
      </x:c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</x:row>
    <x:row r="194">
      <x:c r="A194" s="27" t="str"/>
      <x:c r="B194" s="27" t="str"/>
      <x:c r="C194" s="27" t="str"/>
      <x:c r="D194" s="27" t="str"/>
      <x:c r="E194" s="27" t="str"/>
      <x:c r="F194" s="27" t="str"/>
      <x:c r="G194" s="27" t="str"/>
      <x:c r="H194" s="27" t="str"/>
      <x:c r="I194" s="27" t="str"/>
      <x:c r="J194" s="27" t="str"/>
      <x:c r="K194" s="52" t="str">
        <x:f>IF(A194="","",ROUND(COUNTA(C194:J194)/8,2))</x:f>
      </x:c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</x:row>
    <x:row r="195">
      <x:c r="A195" s="27" t="str"/>
      <x:c r="B195" s="27" t="str"/>
      <x:c r="C195" s="27" t="str"/>
      <x:c r="D195" s="27" t="str"/>
      <x:c r="E195" s="27" t="str"/>
      <x:c r="F195" s="27" t="str"/>
      <x:c r="G195" s="27" t="str"/>
      <x:c r="H195" s="27" t="str"/>
      <x:c r="I195" s="27" t="str"/>
      <x:c r="J195" s="27" t="str"/>
      <x:c r="K195" s="52" t="str">
        <x:f>IF(A195="","",ROUND(COUNTA(C195:J195)/8,2))</x:f>
      </x:c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</x:row>
    <x:row r="196">
      <x:c r="A196" s="27" t="str"/>
      <x:c r="B196" s="27" t="str"/>
      <x:c r="C196" s="27" t="str"/>
      <x:c r="D196" s="27" t="str"/>
      <x:c r="E196" s="27" t="str"/>
      <x:c r="F196" s="27" t="str"/>
      <x:c r="G196" s="27" t="str"/>
      <x:c r="H196" s="27" t="str"/>
      <x:c r="I196" s="27" t="str"/>
      <x:c r="J196" s="27" t="str"/>
      <x:c r="K196" s="52" t="str">
        <x:f>IF(A196="","",ROUND(COUNTA(C196:J196)/8,2))</x:f>
      </x:c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</x:row>
    <x:row r="197">
      <x:c r="A197" s="27" t="str"/>
      <x:c r="B197" s="27" t="str"/>
      <x:c r="C197" s="27" t="str"/>
      <x:c r="D197" s="27" t="str"/>
      <x:c r="E197" s="27" t="str"/>
      <x:c r="F197" s="27" t="str"/>
      <x:c r="G197" s="27" t="str"/>
      <x:c r="H197" s="27" t="str"/>
      <x:c r="I197" s="27" t="str"/>
      <x:c r="J197" s="27" t="str"/>
      <x:c r="K197" s="52" t="str">
        <x:f>IF(A197="","",ROUND(COUNTA(C197:J197)/8,2))</x:f>
      </x:c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</x:row>
    <x:row r="198">
      <x:c r="A198" s="27" t="str"/>
      <x:c r="B198" s="27" t="str"/>
      <x:c r="C198" s="27" t="str"/>
      <x:c r="D198" s="27" t="str"/>
      <x:c r="E198" s="27" t="str"/>
      <x:c r="F198" s="27" t="str"/>
      <x:c r="G198" s="27" t="str"/>
      <x:c r="H198" s="27" t="str"/>
      <x:c r="I198" s="27" t="str"/>
      <x:c r="J198" s="27" t="str"/>
      <x:c r="K198" s="52" t="str">
        <x:f>IF(A198="","",ROUND(COUNTA(C198:J198)/8,2))</x:f>
      </x:c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</x:row>
    <x:row r="199">
      <x:c r="A199" s="27" t="str"/>
      <x:c r="B199" s="27" t="str"/>
      <x:c r="C199" s="27" t="str"/>
      <x:c r="D199" s="27" t="str"/>
      <x:c r="E199" s="27" t="str"/>
      <x:c r="F199" s="27" t="str"/>
      <x:c r="G199" s="27" t="str"/>
      <x:c r="H199" s="27" t="str"/>
      <x:c r="I199" s="27" t="str"/>
      <x:c r="J199" s="27" t="str"/>
      <x:c r="K199" s="52" t="str">
        <x:f>IF(A199="","",ROUND(COUNTA(C199:J199)/8,2))</x:f>
      </x:c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</x:row>
    <x:row r="200">
      <x:c r="A200" s="27" t="str"/>
      <x:c r="B200" s="27" t="str"/>
      <x:c r="C200" s="27" t="str"/>
      <x:c r="D200" s="27" t="str"/>
      <x:c r="E200" s="27" t="str"/>
      <x:c r="F200" s="27" t="str"/>
      <x:c r="G200" s="27" t="str"/>
      <x:c r="H200" s="27" t="str"/>
      <x:c r="I200" s="27" t="str"/>
      <x:c r="J200" s="27" t="str"/>
      <x:c r="K200" s="52" t="str">
        <x:f>IF(A200="","",ROUND(COUNTA(C200:J200)/8,2))</x:f>
      </x:c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</x:row>
    <x:row r="201">
      <x:c r="A201" s="27" t="str"/>
      <x:c r="B201" s="27" t="str"/>
      <x:c r="C201" s="27" t="str"/>
      <x:c r="D201" s="27" t="str"/>
      <x:c r="E201" s="27" t="str"/>
      <x:c r="F201" s="27" t="str"/>
      <x:c r="G201" s="27" t="str"/>
      <x:c r="H201" s="27" t="str"/>
      <x:c r="I201" s="27" t="str"/>
      <x:c r="J201" s="27" t="str"/>
      <x:c r="K201" s="52" t="str">
        <x:f>IF(A201="","",ROUND(COUNTA(C201:J201)/8,2))</x:f>
      </x:c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</x:row>
    <x:row r="202">
      <x:c r="A202" s="27" t="str"/>
      <x:c r="B202" s="27" t="str"/>
      <x:c r="C202" s="27" t="str"/>
      <x:c r="D202" s="27" t="str"/>
      <x:c r="E202" s="27" t="str"/>
      <x:c r="F202" s="27" t="str"/>
      <x:c r="G202" s="27" t="str"/>
      <x:c r="H202" s="27" t="str"/>
      <x:c r="I202" s="27" t="str"/>
      <x:c r="J202" s="27" t="str"/>
      <x:c r="K202" s="52" t="str">
        <x:f>IF(A202="","",ROUND(COUNTA(C202:J202)/8,2))</x:f>
      </x:c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</x:row>
    <x:row r="203">
      <x:c r="A203" s="27" t="str"/>
      <x:c r="B203" s="27" t="str"/>
      <x:c r="C203" s="27" t="str"/>
      <x:c r="D203" s="27" t="str"/>
      <x:c r="E203" s="27" t="str"/>
      <x:c r="F203" s="27" t="str"/>
      <x:c r="G203" s="27" t="str"/>
      <x:c r="H203" s="27" t="str"/>
      <x:c r="I203" s="27" t="str"/>
      <x:c r="J203" s="27" t="str"/>
      <x:c r="K203" s="52" t="str">
        <x:f>IF(A203="","",ROUND(COUNTA(C203:J203)/8,2))</x:f>
      </x:c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</x:row>
    <x:row r="204">
      <x:c r="A204" s="27" t="str"/>
      <x:c r="B204" s="27" t="str"/>
      <x:c r="C204" s="27" t="str"/>
      <x:c r="D204" s="27" t="str"/>
      <x:c r="E204" s="27" t="str"/>
      <x:c r="F204" s="27" t="str"/>
      <x:c r="G204" s="27" t="str"/>
      <x:c r="H204" s="27" t="str"/>
      <x:c r="I204" s="27" t="str"/>
      <x:c r="J204" s="27" t="str"/>
      <x:c r="K204" s="52" t="str">
        <x:f>IF(A204="","",ROUND(COUNTA(C204:J204)/8,2))</x:f>
      </x:c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</x:row>
  </x:sheetData>
  <x:mergeCells>
    <x:mergeCell ref="A1:K1"/>
    <x:mergeCell ref="A2:K2"/>
  </x:mergeCells>
  <x:conditionalFormatting sqref="K5:K204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90128f5ea4a4c8d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0" hidden="0" customWidth="1"/>
    <x:col min="4" max="4" width="28" hidden="0" customWidth="1"/>
    <x:col min="5" max="5" width="22" hidden="0" customWidth="1"/>
    <x:col min="6" max="6" width="18" hidden="0" customWidth="1"/>
    <x:col min="7" max="7" width="34" hidden="0" customWidth="1"/>
    <x:col min="8" max="8" width="22" hidden="0" customWidth="1"/>
    <x:col min="9" max="9" width="22" hidden="0" customWidth="1"/>
  </x:cols>
  <x:sheetData>
    <x:row r="1" ht="32" customHeight="1">
      <x:c r="A1" s="60" t="str">
        <x:v>Контент и данные для страниц и экранов</x:v>
      </x:c>
      <x:c r="B1" s="60"/>
      <x:c r="C1" s="60"/>
      <x:c r="D1" s="60"/>
      <x:c r="E1" s="60"/>
      <x:c r="F1" s="60"/>
      <x:c r="G1" s="60"/>
      <x:c r="H1" s="60"/>
      <x:c r="I1" s="60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</x:row>
    <x:row r="2" ht="32" customHeight="1">
      <x:c r="A2" s="9" t="str">
        <x:v>Лист нужен для перевода сценариев в состав данных, текстов, полей, правил отображения и источников информации.</x:v>
      </x:c>
      <x:c r="B2" s="9"/>
      <x:c r="C2" s="9"/>
      <x:c r="D2" s="9"/>
      <x:c r="E2" s="9"/>
      <x:c r="F2" s="9"/>
      <x:c r="G2" s="9"/>
      <x:c r="H2" s="9"/>
      <x:c r="I2" s="9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 ht="38" customHeight="1">
      <x:c r="A4" s="50" t="str">
        <x:v>Unit_ID</x:v>
      </x:c>
      <x:c r="B4" s="50" t="str">
        <x:v>Элемент контента / данных</x:v>
      </x:c>
      <x:c r="C4" s="50" t="str">
        <x:v>Источник данных</x:v>
      </x:c>
      <x:c r="D4" s="50" t="str">
        <x:v>Обязательность</x:v>
      </x:c>
      <x:c r="E4" s="50" t="str">
        <x:v>Частота обновления</x:v>
      </x:c>
      <x:c r="F4" s="50" t="str">
        <x:v>Персонализация</x:v>
      </x:c>
      <x:c r="G4" s="50" t="str">
        <x:v>Правило отображения</x:v>
      </x:c>
      <x:c r="H4" s="50" t="str">
        <x:v>Формат</x:v>
      </x:c>
      <x:c r="I4" s="50" t="str">
        <x:v>Ответственный</x:v>
      </x:c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</x:row>
    <x:row r="5">
      <x:c r="A5" s="27" t="str">
        <x:v>U-001</x:v>
      </x:c>
      <x:c r="B5" s="27" t="str">
        <x:v>Ценностное предложение</x:v>
      </x:c>
      <x:c r="C5" s="27" t="str">
        <x:v>Методика ценностного предложения</x:v>
      </x:c>
      <x:c r="D5" s="27" t="str">
        <x:v>Обязательно для первой версии</x:v>
      </x:c>
      <x:c r="E5" s="27" t="str">
        <x:v>По мере изменения товара</x:v>
      </x:c>
      <x:c r="F5" s="27" t="str">
        <x:v>Нет</x:v>
      </x:c>
      <x:c r="G5" s="27" t="str">
        <x:v>Показывать всем</x:v>
      </x:c>
      <x:c r="H5" s="27" t="str">
        <x:v>Текст + визуальный блок</x:v>
      </x:c>
      <x:c r="I5" s="27" t="str">
        <x:v>Продукт / маркетинг</x:v>
      </x:c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</x:row>
    <x:row r="6">
      <x:c r="A6" s="27" t="str">
        <x:v>U-002</x:v>
      </x:c>
      <x:c r="B6" s="27" t="str">
        <x:v>Поля регистрации</x:v>
      </x:c>
      <x:c r="C6" s="27" t="str">
        <x:v>Бизнес-логика и требования доступа</x:v>
      </x:c>
      <x:c r="D6" s="27" t="str">
        <x:v>Обязательно для первой версии</x:v>
      </x:c>
      <x:c r="E6" s="27" t="str">
        <x:v>Редко</x:v>
      </x:c>
      <x:c r="F6" s="27" t="str">
        <x:v>Нет</x:v>
      </x:c>
      <x:c r="G6" s="27" t="str">
        <x:v>Показывать всем новым пользователям</x:v>
      </x:c>
      <x:c r="H6" s="27" t="str">
        <x:v>Форма</x:v>
      </x:c>
      <x:c r="I6" s="27" t="str">
        <x:v>Продукт / разработка</x:v>
      </x:c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</x:row>
    <x:row r="44">
      <x:c r="A44" s="27" t="str"/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</x:row>
    <x:row r="45">
      <x:c r="A45" s="27" t="str"/>
      <x:c r="B45" s="27" t="str"/>
      <x:c r="C45" s="27" t="str"/>
      <x:c r="D45" s="27" t="str"/>
      <x:c r="E45" s="27" t="str"/>
      <x:c r="F45" s="27" t="str"/>
      <x:c r="G45" s="27" t="str"/>
      <x:c r="H45" s="27" t="str"/>
      <x:c r="I45" s="27" t="str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</x:row>
    <x:row r="46">
      <x:c r="A46" s="27" t="str"/>
      <x:c r="B46" s="27" t="str"/>
      <x:c r="C46" s="27" t="str"/>
      <x:c r="D46" s="27" t="str"/>
      <x:c r="E46" s="27" t="str"/>
      <x:c r="F46" s="27" t="str"/>
      <x:c r="G46" s="27" t="str"/>
      <x:c r="H46" s="27" t="str"/>
      <x:c r="I46" s="27" t="str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</x:row>
    <x:row r="47">
      <x:c r="A47" s="27" t="str"/>
      <x:c r="B47" s="27" t="str"/>
      <x:c r="C47" s="27" t="str"/>
      <x:c r="D47" s="27" t="str"/>
      <x:c r="E47" s="27" t="str"/>
      <x:c r="F47" s="27" t="str"/>
      <x:c r="G47" s="27" t="str"/>
      <x:c r="H47" s="27" t="str"/>
      <x:c r="I47" s="27" t="str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</x:row>
    <x:row r="48">
      <x:c r="A48" s="27" t="str"/>
      <x:c r="B48" s="27" t="str"/>
      <x:c r="C48" s="27" t="str"/>
      <x:c r="D48" s="27" t="str"/>
      <x:c r="E48" s="27" t="str"/>
      <x:c r="F48" s="27" t="str"/>
      <x:c r="G48" s="27" t="str"/>
      <x:c r="H48" s="27" t="str"/>
      <x:c r="I48" s="27" t="str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</x:row>
    <x:row r="49">
      <x:c r="A49" s="27" t="str"/>
      <x:c r="B49" s="27" t="str"/>
      <x:c r="C49" s="27" t="str"/>
      <x:c r="D49" s="27" t="str"/>
      <x:c r="E49" s="27" t="str"/>
      <x:c r="F49" s="27" t="str"/>
      <x:c r="G49" s="27" t="str"/>
      <x:c r="H49" s="27" t="str"/>
      <x:c r="I49" s="27" t="str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</x:row>
    <x:row r="50">
      <x:c r="A50" s="27" t="str"/>
      <x:c r="B50" s="27" t="str"/>
      <x:c r="C50" s="27" t="str"/>
      <x:c r="D50" s="27" t="str"/>
      <x:c r="E50" s="27" t="str"/>
      <x:c r="F50" s="27" t="str"/>
      <x:c r="G50" s="27" t="str"/>
      <x:c r="H50" s="27" t="str"/>
      <x:c r="I50" s="27" t="str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</x:row>
    <x:row r="51">
      <x:c r="A51" s="27" t="str"/>
      <x:c r="B51" s="27" t="str"/>
      <x:c r="C51" s="27" t="str"/>
      <x:c r="D51" s="27" t="str"/>
      <x:c r="E51" s="27" t="str"/>
      <x:c r="F51" s="27" t="str"/>
      <x:c r="G51" s="27" t="str"/>
      <x:c r="H51" s="27" t="str"/>
      <x:c r="I51" s="27" t="str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</x:row>
    <x:row r="52">
      <x:c r="A52" s="27" t="str"/>
      <x:c r="B52" s="27" t="str"/>
      <x:c r="C52" s="27" t="str"/>
      <x:c r="D52" s="27" t="str"/>
      <x:c r="E52" s="27" t="str"/>
      <x:c r="F52" s="27" t="str"/>
      <x:c r="G52" s="27" t="str"/>
      <x:c r="H52" s="27" t="str"/>
      <x:c r="I52" s="27" t="str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</x:row>
    <x:row r="53">
      <x:c r="A53" s="27" t="str"/>
      <x:c r="B53" s="27" t="str"/>
      <x:c r="C53" s="27" t="str"/>
      <x:c r="D53" s="27" t="str"/>
      <x:c r="E53" s="27" t="str"/>
      <x:c r="F53" s="27" t="str"/>
      <x:c r="G53" s="27" t="str"/>
      <x:c r="H53" s="27" t="str"/>
      <x:c r="I53" s="27" t="str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</x:row>
    <x:row r="54">
      <x:c r="A54" s="27" t="str"/>
      <x:c r="B54" s="27" t="str"/>
      <x:c r="C54" s="27" t="str"/>
      <x:c r="D54" s="27" t="str"/>
      <x:c r="E54" s="27" t="str"/>
      <x:c r="F54" s="27" t="str"/>
      <x:c r="G54" s="27" t="str"/>
      <x:c r="H54" s="27" t="str"/>
      <x:c r="I54" s="27" t="str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</x:row>
    <x:row r="55">
      <x:c r="A55" s="27" t="str"/>
      <x:c r="B55" s="27" t="str"/>
      <x:c r="C55" s="27" t="str"/>
      <x:c r="D55" s="27" t="str"/>
      <x:c r="E55" s="27" t="str"/>
      <x:c r="F55" s="27" t="str"/>
      <x:c r="G55" s="27" t="str"/>
      <x:c r="H55" s="27" t="str"/>
      <x:c r="I55" s="27" t="str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</x:row>
    <x:row r="56">
      <x:c r="A56" s="27" t="str"/>
      <x:c r="B56" s="27" t="str"/>
      <x:c r="C56" s="27" t="str"/>
      <x:c r="D56" s="27" t="str"/>
      <x:c r="E56" s="27" t="str"/>
      <x:c r="F56" s="27" t="str"/>
      <x:c r="G56" s="27" t="str"/>
      <x:c r="H56" s="27" t="str"/>
      <x:c r="I56" s="27" t="str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</x:row>
    <x:row r="57">
      <x:c r="A57" s="27" t="str"/>
      <x:c r="B57" s="27" t="str"/>
      <x:c r="C57" s="27" t="str"/>
      <x:c r="D57" s="27" t="str"/>
      <x:c r="E57" s="27" t="str"/>
      <x:c r="F57" s="27" t="str"/>
      <x:c r="G57" s="27" t="str"/>
      <x:c r="H57" s="27" t="str"/>
      <x:c r="I57" s="27" t="str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</x:row>
    <x:row r="58">
      <x:c r="A58" s="27" t="str"/>
      <x:c r="B58" s="27" t="str"/>
      <x:c r="C58" s="27" t="str"/>
      <x:c r="D58" s="27" t="str"/>
      <x:c r="E58" s="27" t="str"/>
      <x:c r="F58" s="27" t="str"/>
      <x:c r="G58" s="27" t="str"/>
      <x:c r="H58" s="27" t="str"/>
      <x:c r="I58" s="27" t="str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</x:row>
    <x:row r="59">
      <x:c r="A59" s="27" t="str"/>
      <x:c r="B59" s="27" t="str"/>
      <x:c r="C59" s="27" t="str"/>
      <x:c r="D59" s="27" t="str"/>
      <x:c r="E59" s="27" t="str"/>
      <x:c r="F59" s="27" t="str"/>
      <x:c r="G59" s="27" t="str"/>
      <x:c r="H59" s="27" t="str"/>
      <x:c r="I59" s="27" t="str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</x:row>
    <x:row r="60">
      <x:c r="A60" s="27" t="str"/>
      <x:c r="B60" s="27" t="str"/>
      <x:c r="C60" s="27" t="str"/>
      <x:c r="D60" s="27" t="str"/>
      <x:c r="E60" s="27" t="str"/>
      <x:c r="F60" s="27" t="str"/>
      <x:c r="G60" s="27" t="str"/>
      <x:c r="H60" s="27" t="str"/>
      <x:c r="I60" s="27" t="str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</x:row>
    <x:row r="61">
      <x:c r="A61" s="27" t="str"/>
      <x:c r="B61" s="27" t="str"/>
      <x:c r="C61" s="27" t="str"/>
      <x:c r="D61" s="27" t="str"/>
      <x:c r="E61" s="27" t="str"/>
      <x:c r="F61" s="27" t="str"/>
      <x:c r="G61" s="27" t="str"/>
      <x:c r="H61" s="27" t="str"/>
      <x:c r="I61" s="27" t="str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</x:row>
    <x:row r="62">
      <x:c r="A62" s="27" t="str"/>
      <x:c r="B62" s="27" t="str"/>
      <x:c r="C62" s="27" t="str"/>
      <x:c r="D62" s="27" t="str"/>
      <x:c r="E62" s="27" t="str"/>
      <x:c r="F62" s="27" t="str"/>
      <x:c r="G62" s="27" t="str"/>
      <x:c r="H62" s="27" t="str"/>
      <x:c r="I62" s="27" t="str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</x:row>
    <x:row r="63">
      <x:c r="A63" s="27" t="str"/>
      <x:c r="B63" s="27" t="str"/>
      <x:c r="C63" s="27" t="str"/>
      <x:c r="D63" s="27" t="str"/>
      <x:c r="E63" s="27" t="str"/>
      <x:c r="F63" s="27" t="str"/>
      <x:c r="G63" s="27" t="str"/>
      <x:c r="H63" s="27" t="str"/>
      <x:c r="I63" s="27" t="str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</x:row>
    <x:row r="64">
      <x:c r="A64" s="27" t="str"/>
      <x:c r="B64" s="27" t="str"/>
      <x:c r="C64" s="27" t="str"/>
      <x:c r="D64" s="27" t="str"/>
      <x:c r="E64" s="27" t="str"/>
      <x:c r="F64" s="27" t="str"/>
      <x:c r="G64" s="27" t="str"/>
      <x:c r="H64" s="27" t="str"/>
      <x:c r="I64" s="27" t="str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</x:row>
    <x:row r="65">
      <x:c r="A65" s="27" t="str"/>
      <x:c r="B65" s="27" t="str"/>
      <x:c r="C65" s="27" t="str"/>
      <x:c r="D65" s="27" t="str"/>
      <x:c r="E65" s="27" t="str"/>
      <x:c r="F65" s="27" t="str"/>
      <x:c r="G65" s="27" t="str"/>
      <x:c r="H65" s="27" t="str"/>
      <x:c r="I65" s="27" t="str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</x:row>
    <x:row r="66">
      <x:c r="A66" s="27" t="str"/>
      <x:c r="B66" s="27" t="str"/>
      <x:c r="C66" s="27" t="str"/>
      <x:c r="D66" s="27" t="str"/>
      <x:c r="E66" s="27" t="str"/>
      <x:c r="F66" s="27" t="str"/>
      <x:c r="G66" s="27" t="str"/>
      <x:c r="H66" s="27" t="str"/>
      <x:c r="I66" s="27" t="str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</x:row>
    <x:row r="67">
      <x:c r="A67" s="27" t="str"/>
      <x:c r="B67" s="27" t="str"/>
      <x:c r="C67" s="27" t="str"/>
      <x:c r="D67" s="27" t="str"/>
      <x:c r="E67" s="27" t="str"/>
      <x:c r="F67" s="27" t="str"/>
      <x:c r="G67" s="27" t="str"/>
      <x:c r="H67" s="27" t="str"/>
      <x:c r="I67" s="27" t="str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</x:row>
    <x:row r="68">
      <x:c r="A68" s="27" t="str"/>
      <x:c r="B68" s="27" t="str"/>
      <x:c r="C68" s="27" t="str"/>
      <x:c r="D68" s="27" t="str"/>
      <x:c r="E68" s="27" t="str"/>
      <x:c r="F68" s="27" t="str"/>
      <x:c r="G68" s="27" t="str"/>
      <x:c r="H68" s="27" t="str"/>
      <x:c r="I68" s="27" t="str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</x:row>
    <x:row r="69">
      <x:c r="A69" s="27" t="str"/>
      <x:c r="B69" s="27" t="str"/>
      <x:c r="C69" s="27" t="str"/>
      <x:c r="D69" s="27" t="str"/>
      <x:c r="E69" s="27" t="str"/>
      <x:c r="F69" s="27" t="str"/>
      <x:c r="G69" s="27" t="str"/>
      <x:c r="H69" s="27" t="str"/>
      <x:c r="I69" s="27" t="str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</x:row>
    <x:row r="70">
      <x:c r="A70" s="27" t="str"/>
      <x:c r="B70" s="27" t="str"/>
      <x:c r="C70" s="27" t="str"/>
      <x:c r="D70" s="27" t="str"/>
      <x:c r="E70" s="27" t="str"/>
      <x:c r="F70" s="27" t="str"/>
      <x:c r="G70" s="27" t="str"/>
      <x:c r="H70" s="27" t="str"/>
      <x:c r="I70" s="27" t="str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</x:row>
    <x:row r="71">
      <x:c r="A71" s="27" t="str"/>
      <x:c r="B71" s="27" t="str"/>
      <x:c r="C71" s="27" t="str"/>
      <x:c r="D71" s="27" t="str"/>
      <x:c r="E71" s="27" t="str"/>
      <x:c r="F71" s="27" t="str"/>
      <x:c r="G71" s="27" t="str"/>
      <x:c r="H71" s="27" t="str"/>
      <x:c r="I71" s="27" t="str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</x:row>
    <x:row r="72">
      <x:c r="A72" s="27" t="str"/>
      <x:c r="B72" s="27" t="str"/>
      <x:c r="C72" s="27" t="str"/>
      <x:c r="D72" s="27" t="str"/>
      <x:c r="E72" s="27" t="str"/>
      <x:c r="F72" s="27" t="str"/>
      <x:c r="G72" s="27" t="str"/>
      <x:c r="H72" s="27" t="str"/>
      <x:c r="I72" s="27" t="str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</x:row>
    <x:row r="73">
      <x:c r="A73" s="27" t="str"/>
      <x:c r="B73" s="27" t="str"/>
      <x:c r="C73" s="27" t="str"/>
      <x:c r="D73" s="27" t="str"/>
      <x:c r="E73" s="27" t="str"/>
      <x:c r="F73" s="27" t="str"/>
      <x:c r="G73" s="27" t="str"/>
      <x:c r="H73" s="27" t="str"/>
      <x:c r="I73" s="27" t="str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</x:row>
    <x:row r="74">
      <x:c r="A74" s="27" t="str"/>
      <x:c r="B74" s="27" t="str"/>
      <x:c r="C74" s="27" t="str"/>
      <x:c r="D74" s="27" t="str"/>
      <x:c r="E74" s="27" t="str"/>
      <x:c r="F74" s="27" t="str"/>
      <x:c r="G74" s="27" t="str"/>
      <x:c r="H74" s="27" t="str"/>
      <x:c r="I74" s="27" t="str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</x:row>
    <x:row r="75">
      <x:c r="A75" s="27" t="str"/>
      <x:c r="B75" s="27" t="str"/>
      <x:c r="C75" s="27" t="str"/>
      <x:c r="D75" s="27" t="str"/>
      <x:c r="E75" s="27" t="str"/>
      <x:c r="F75" s="27" t="str"/>
      <x:c r="G75" s="27" t="str"/>
      <x:c r="H75" s="27" t="str"/>
      <x:c r="I75" s="27" t="str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</x:row>
    <x:row r="76">
      <x:c r="A76" s="27" t="str"/>
      <x:c r="B76" s="27" t="str"/>
      <x:c r="C76" s="27" t="str"/>
      <x:c r="D76" s="27" t="str"/>
      <x:c r="E76" s="27" t="str"/>
      <x:c r="F76" s="27" t="str"/>
      <x:c r="G76" s="27" t="str"/>
      <x:c r="H76" s="27" t="str"/>
      <x:c r="I76" s="27" t="str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</x:row>
    <x:row r="77">
      <x:c r="A77" s="27" t="str"/>
      <x:c r="B77" s="27" t="str"/>
      <x:c r="C77" s="27" t="str"/>
      <x:c r="D77" s="27" t="str"/>
      <x:c r="E77" s="27" t="str"/>
      <x:c r="F77" s="27" t="str"/>
      <x:c r="G77" s="27" t="str"/>
      <x:c r="H77" s="27" t="str"/>
      <x:c r="I77" s="27" t="str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</x:row>
    <x:row r="78">
      <x:c r="A78" s="27" t="str"/>
      <x:c r="B78" s="27" t="str"/>
      <x:c r="C78" s="27" t="str"/>
      <x:c r="D78" s="27" t="str"/>
      <x:c r="E78" s="27" t="str"/>
      <x:c r="F78" s="27" t="str"/>
      <x:c r="G78" s="27" t="str"/>
      <x:c r="H78" s="27" t="str"/>
      <x:c r="I78" s="27" t="str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</x:row>
    <x:row r="79">
      <x:c r="A79" s="27" t="str"/>
      <x:c r="B79" s="27" t="str"/>
      <x:c r="C79" s="27" t="str"/>
      <x:c r="D79" s="27" t="str"/>
      <x:c r="E79" s="27" t="str"/>
      <x:c r="F79" s="27" t="str"/>
      <x:c r="G79" s="27" t="str"/>
      <x:c r="H79" s="27" t="str"/>
      <x:c r="I79" s="27" t="str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</x:row>
    <x:row r="80">
      <x:c r="A80" s="27" t="str"/>
      <x:c r="B80" s="27" t="str"/>
      <x:c r="C80" s="27" t="str"/>
      <x:c r="D80" s="27" t="str"/>
      <x:c r="E80" s="27" t="str"/>
      <x:c r="F80" s="27" t="str"/>
      <x:c r="G80" s="27" t="str"/>
      <x:c r="H80" s="27" t="str"/>
      <x:c r="I80" s="27" t="str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</x:row>
    <x:row r="81">
      <x:c r="A81" s="27" t="str"/>
      <x:c r="B81" s="27" t="str"/>
      <x:c r="C81" s="27" t="str"/>
      <x:c r="D81" s="27" t="str"/>
      <x:c r="E81" s="27" t="str"/>
      <x:c r="F81" s="27" t="str"/>
      <x:c r="G81" s="27" t="str"/>
      <x:c r="H81" s="27" t="str"/>
      <x:c r="I81" s="27" t="str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</x:row>
    <x:row r="82">
      <x:c r="A82" s="27" t="str"/>
      <x:c r="B82" s="27" t="str"/>
      <x:c r="C82" s="27" t="str"/>
      <x:c r="D82" s="27" t="str"/>
      <x:c r="E82" s="27" t="str"/>
      <x:c r="F82" s="27" t="str"/>
      <x:c r="G82" s="27" t="str"/>
      <x:c r="H82" s="27" t="str"/>
      <x:c r="I82" s="27" t="str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</x:row>
    <x:row r="83">
      <x:c r="A83" s="27" t="str"/>
      <x:c r="B83" s="27" t="str"/>
      <x:c r="C83" s="27" t="str"/>
      <x:c r="D83" s="27" t="str"/>
      <x:c r="E83" s="27" t="str"/>
      <x:c r="F83" s="27" t="str"/>
      <x:c r="G83" s="27" t="str"/>
      <x:c r="H83" s="27" t="str"/>
      <x:c r="I83" s="27" t="str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</x:row>
    <x:row r="84">
      <x:c r="A84" s="27" t="str"/>
      <x:c r="B84" s="27" t="str"/>
      <x:c r="C84" s="27" t="str"/>
      <x:c r="D84" s="27" t="str"/>
      <x:c r="E84" s="27" t="str"/>
      <x:c r="F84" s="27" t="str"/>
      <x:c r="G84" s="27" t="str"/>
      <x:c r="H84" s="27" t="str"/>
      <x:c r="I84" s="27" t="str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</x:row>
    <x:row r="85">
      <x:c r="A85" s="27" t="str"/>
      <x:c r="B85" s="27" t="str"/>
      <x:c r="C85" s="27" t="str"/>
      <x:c r="D85" s="27" t="str"/>
      <x:c r="E85" s="27" t="str"/>
      <x:c r="F85" s="27" t="str"/>
      <x:c r="G85" s="27" t="str"/>
      <x:c r="H85" s="27" t="str"/>
      <x:c r="I85" s="27" t="str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</x:row>
    <x:row r="86">
      <x:c r="A86" s="27" t="str"/>
      <x:c r="B86" s="27" t="str"/>
      <x:c r="C86" s="27" t="str"/>
      <x:c r="D86" s="27" t="str"/>
      <x:c r="E86" s="27" t="str"/>
      <x:c r="F86" s="27" t="str"/>
      <x:c r="G86" s="27" t="str"/>
      <x:c r="H86" s="27" t="str"/>
      <x:c r="I86" s="27" t="str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</x:row>
    <x:row r="87">
      <x:c r="A87" s="27" t="str"/>
      <x:c r="B87" s="27" t="str"/>
      <x:c r="C87" s="27" t="str"/>
      <x:c r="D87" s="27" t="str"/>
      <x:c r="E87" s="27" t="str"/>
      <x:c r="F87" s="27" t="str"/>
      <x:c r="G87" s="27" t="str"/>
      <x:c r="H87" s="27" t="str"/>
      <x:c r="I87" s="27" t="str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</x:row>
    <x:row r="88">
      <x:c r="A88" s="27" t="str"/>
      <x:c r="B88" s="27" t="str"/>
      <x:c r="C88" s="27" t="str"/>
      <x:c r="D88" s="27" t="str"/>
      <x:c r="E88" s="27" t="str"/>
      <x:c r="F88" s="27" t="str"/>
      <x:c r="G88" s="27" t="str"/>
      <x:c r="H88" s="27" t="str"/>
      <x:c r="I88" s="27" t="str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</x:row>
    <x:row r="89">
      <x:c r="A89" s="27" t="str"/>
      <x:c r="B89" s="27" t="str"/>
      <x:c r="C89" s="27" t="str"/>
      <x:c r="D89" s="27" t="str"/>
      <x:c r="E89" s="27" t="str"/>
      <x:c r="F89" s="27" t="str"/>
      <x:c r="G89" s="27" t="str"/>
      <x:c r="H89" s="27" t="str"/>
      <x:c r="I89" s="27" t="str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</x:row>
    <x:row r="90">
      <x:c r="A90" s="27" t="str"/>
      <x:c r="B90" s="27" t="str"/>
      <x:c r="C90" s="27" t="str"/>
      <x:c r="D90" s="27" t="str"/>
      <x:c r="E90" s="27" t="str"/>
      <x:c r="F90" s="27" t="str"/>
      <x:c r="G90" s="27" t="str"/>
      <x:c r="H90" s="27" t="str"/>
      <x:c r="I90" s="27" t="str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</x:row>
    <x:row r="91">
      <x:c r="A91" s="27" t="str"/>
      <x:c r="B91" s="27" t="str"/>
      <x:c r="C91" s="27" t="str"/>
      <x:c r="D91" s="27" t="str"/>
      <x:c r="E91" s="27" t="str"/>
      <x:c r="F91" s="27" t="str"/>
      <x:c r="G91" s="27" t="str"/>
      <x:c r="H91" s="27" t="str"/>
      <x:c r="I91" s="27" t="str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</x:row>
    <x:row r="92">
      <x:c r="A92" s="27" t="str"/>
      <x:c r="B92" s="27" t="str"/>
      <x:c r="C92" s="27" t="str"/>
      <x:c r="D92" s="27" t="str"/>
      <x:c r="E92" s="27" t="str"/>
      <x:c r="F92" s="27" t="str"/>
      <x:c r="G92" s="27" t="str"/>
      <x:c r="H92" s="27" t="str"/>
      <x:c r="I92" s="27" t="str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</x:row>
    <x:row r="93">
      <x:c r="A93" s="27" t="str"/>
      <x:c r="B93" s="27" t="str"/>
      <x:c r="C93" s="27" t="str"/>
      <x:c r="D93" s="27" t="str"/>
      <x:c r="E93" s="27" t="str"/>
      <x:c r="F93" s="27" t="str"/>
      <x:c r="G93" s="27" t="str"/>
      <x:c r="H93" s="27" t="str"/>
      <x:c r="I93" s="27" t="str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</x:row>
    <x:row r="94">
      <x:c r="A94" s="27" t="str"/>
      <x:c r="B94" s="27" t="str"/>
      <x:c r="C94" s="27" t="str"/>
      <x:c r="D94" s="27" t="str"/>
      <x:c r="E94" s="27" t="str"/>
      <x:c r="F94" s="27" t="str"/>
      <x:c r="G94" s="27" t="str"/>
      <x:c r="H94" s="27" t="str"/>
      <x:c r="I94" s="27" t="str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</x:row>
    <x:row r="95">
      <x:c r="A95" s="27" t="str"/>
      <x:c r="B95" s="27" t="str"/>
      <x:c r="C95" s="27" t="str"/>
      <x:c r="D95" s="27" t="str"/>
      <x:c r="E95" s="27" t="str"/>
      <x:c r="F95" s="27" t="str"/>
      <x:c r="G95" s="27" t="str"/>
      <x:c r="H95" s="27" t="str"/>
      <x:c r="I95" s="27" t="str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</x:row>
    <x:row r="96">
      <x:c r="A96" s="27" t="str"/>
      <x:c r="B96" s="27" t="str"/>
      <x:c r="C96" s="27" t="str"/>
      <x:c r="D96" s="27" t="str"/>
      <x:c r="E96" s="27" t="str"/>
      <x:c r="F96" s="27" t="str"/>
      <x:c r="G96" s="27" t="str"/>
      <x:c r="H96" s="27" t="str"/>
      <x:c r="I96" s="27" t="str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</x:row>
    <x:row r="97">
      <x:c r="A97" s="27" t="str"/>
      <x:c r="B97" s="27" t="str"/>
      <x:c r="C97" s="27" t="str"/>
      <x:c r="D97" s="27" t="str"/>
      <x:c r="E97" s="27" t="str"/>
      <x:c r="F97" s="27" t="str"/>
      <x:c r="G97" s="27" t="str"/>
      <x:c r="H97" s="27" t="str"/>
      <x:c r="I97" s="27" t="str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</x:row>
    <x:row r="98">
      <x:c r="A98" s="27" t="str"/>
      <x:c r="B98" s="27" t="str"/>
      <x:c r="C98" s="27" t="str"/>
      <x:c r="D98" s="27" t="str"/>
      <x:c r="E98" s="27" t="str"/>
      <x:c r="F98" s="27" t="str"/>
      <x:c r="G98" s="27" t="str"/>
      <x:c r="H98" s="27" t="str"/>
      <x:c r="I98" s="27" t="str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</x:row>
    <x:row r="99">
      <x:c r="A99" s="27" t="str"/>
      <x:c r="B99" s="27" t="str"/>
      <x:c r="C99" s="27" t="str"/>
      <x:c r="D99" s="27" t="str"/>
      <x:c r="E99" s="27" t="str"/>
      <x:c r="F99" s="27" t="str"/>
      <x:c r="G99" s="27" t="str"/>
      <x:c r="H99" s="27" t="str"/>
      <x:c r="I99" s="27" t="str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</x:row>
    <x:row r="100">
      <x:c r="A100" s="27" t="str"/>
      <x:c r="B100" s="27" t="str"/>
      <x:c r="C100" s="27" t="str"/>
      <x:c r="D100" s="27" t="str"/>
      <x:c r="E100" s="27" t="str"/>
      <x:c r="F100" s="27" t="str"/>
      <x:c r="G100" s="27" t="str"/>
      <x:c r="H100" s="27" t="str"/>
      <x:c r="I100" s="27" t="str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</x:row>
    <x:row r="101">
      <x:c r="A101" s="27" t="str"/>
      <x:c r="B101" s="27" t="str"/>
      <x:c r="C101" s="27" t="str"/>
      <x:c r="D101" s="27" t="str"/>
      <x:c r="E101" s="27" t="str"/>
      <x:c r="F101" s="27" t="str"/>
      <x:c r="G101" s="27" t="str"/>
      <x:c r="H101" s="27" t="str"/>
      <x:c r="I101" s="27" t="str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</x:row>
    <x:row r="102">
      <x:c r="A102" s="27" t="str"/>
      <x:c r="B102" s="27" t="str"/>
      <x:c r="C102" s="27" t="str"/>
      <x:c r="D102" s="27" t="str"/>
      <x:c r="E102" s="27" t="str"/>
      <x:c r="F102" s="27" t="str"/>
      <x:c r="G102" s="27" t="str"/>
      <x:c r="H102" s="27" t="str"/>
      <x:c r="I102" s="27" t="str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</x:row>
    <x:row r="103">
      <x:c r="A103" s="27" t="str"/>
      <x:c r="B103" s="27" t="str"/>
      <x:c r="C103" s="27" t="str"/>
      <x:c r="D103" s="27" t="str"/>
      <x:c r="E103" s="27" t="str"/>
      <x:c r="F103" s="27" t="str"/>
      <x:c r="G103" s="27" t="str"/>
      <x:c r="H103" s="27" t="str"/>
      <x:c r="I103" s="27" t="str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</x:row>
    <x:row r="104">
      <x:c r="A104" s="27" t="str"/>
      <x:c r="B104" s="27" t="str"/>
      <x:c r="C104" s="27" t="str"/>
      <x:c r="D104" s="27" t="str"/>
      <x:c r="E104" s="27" t="str"/>
      <x:c r="F104" s="27" t="str"/>
      <x:c r="G104" s="27" t="str"/>
      <x:c r="H104" s="27" t="str"/>
      <x:c r="I104" s="27" t="str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</x:row>
    <x:row r="105">
      <x:c r="A105" s="27" t="str"/>
      <x:c r="B105" s="27" t="str"/>
      <x:c r="C105" s="27" t="str"/>
      <x:c r="D105" s="27" t="str"/>
      <x:c r="E105" s="27" t="str"/>
      <x:c r="F105" s="27" t="str"/>
      <x:c r="G105" s="27" t="str"/>
      <x:c r="H105" s="27" t="str"/>
      <x:c r="I105" s="27" t="str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</x:row>
    <x:row r="106">
      <x:c r="A106" s="27" t="str"/>
      <x:c r="B106" s="27" t="str"/>
      <x:c r="C106" s="27" t="str"/>
      <x:c r="D106" s="27" t="str"/>
      <x:c r="E106" s="27" t="str"/>
      <x:c r="F106" s="27" t="str"/>
      <x:c r="G106" s="27" t="str"/>
      <x:c r="H106" s="27" t="str"/>
      <x:c r="I106" s="27" t="str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</x:row>
    <x:row r="107">
      <x:c r="A107" s="27" t="str"/>
      <x:c r="B107" s="27" t="str"/>
      <x:c r="C107" s="27" t="str"/>
      <x:c r="D107" s="27" t="str"/>
      <x:c r="E107" s="27" t="str"/>
      <x:c r="F107" s="27" t="str"/>
      <x:c r="G107" s="27" t="str"/>
      <x:c r="H107" s="27" t="str"/>
      <x:c r="I107" s="27" t="str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</x:row>
    <x:row r="108">
      <x:c r="A108" s="27" t="str"/>
      <x:c r="B108" s="27" t="str"/>
      <x:c r="C108" s="27" t="str"/>
      <x:c r="D108" s="27" t="str"/>
      <x:c r="E108" s="27" t="str"/>
      <x:c r="F108" s="27" t="str"/>
      <x:c r="G108" s="27" t="str"/>
      <x:c r="H108" s="27" t="str"/>
      <x:c r="I108" s="27" t="str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</x:row>
    <x:row r="109">
      <x:c r="A109" s="27" t="str"/>
      <x:c r="B109" s="27" t="str"/>
      <x:c r="C109" s="27" t="str"/>
      <x:c r="D109" s="27" t="str"/>
      <x:c r="E109" s="27" t="str"/>
      <x:c r="F109" s="27" t="str"/>
      <x:c r="G109" s="27" t="str"/>
      <x:c r="H109" s="27" t="str"/>
      <x:c r="I109" s="27" t="str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</x:row>
    <x:row r="110">
      <x:c r="A110" s="27" t="str"/>
      <x:c r="B110" s="27" t="str"/>
      <x:c r="C110" s="27" t="str"/>
      <x:c r="D110" s="27" t="str"/>
      <x:c r="E110" s="27" t="str"/>
      <x:c r="F110" s="27" t="str"/>
      <x:c r="G110" s="27" t="str"/>
      <x:c r="H110" s="27" t="str"/>
      <x:c r="I110" s="27" t="str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</x:row>
    <x:row r="111">
      <x:c r="A111" s="27" t="str"/>
      <x:c r="B111" s="27" t="str"/>
      <x:c r="C111" s="27" t="str"/>
      <x:c r="D111" s="27" t="str"/>
      <x:c r="E111" s="27" t="str"/>
      <x:c r="F111" s="27" t="str"/>
      <x:c r="G111" s="27" t="str"/>
      <x:c r="H111" s="27" t="str"/>
      <x:c r="I111" s="27" t="str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</x:row>
    <x:row r="112">
      <x:c r="A112" s="27" t="str"/>
      <x:c r="B112" s="27" t="str"/>
      <x:c r="C112" s="27" t="str"/>
      <x:c r="D112" s="27" t="str"/>
      <x:c r="E112" s="27" t="str"/>
      <x:c r="F112" s="27" t="str"/>
      <x:c r="G112" s="27" t="str"/>
      <x:c r="H112" s="27" t="str"/>
      <x:c r="I112" s="27" t="str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</x:row>
    <x:row r="113">
      <x:c r="A113" s="27" t="str"/>
      <x:c r="B113" s="27" t="str"/>
      <x:c r="C113" s="27" t="str"/>
      <x:c r="D113" s="27" t="str"/>
      <x:c r="E113" s="27" t="str"/>
      <x:c r="F113" s="27" t="str"/>
      <x:c r="G113" s="27" t="str"/>
      <x:c r="H113" s="27" t="str"/>
      <x:c r="I113" s="27" t="str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</x:row>
    <x:row r="114">
      <x:c r="A114" s="27" t="str"/>
      <x:c r="B114" s="27" t="str"/>
      <x:c r="C114" s="27" t="str"/>
      <x:c r="D114" s="27" t="str"/>
      <x:c r="E114" s="27" t="str"/>
      <x:c r="F114" s="27" t="str"/>
      <x:c r="G114" s="27" t="str"/>
      <x:c r="H114" s="27" t="str"/>
      <x:c r="I114" s="27" t="str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</x:row>
    <x:row r="115">
      <x:c r="A115" s="27" t="str"/>
      <x:c r="B115" s="27" t="str"/>
      <x:c r="C115" s="27" t="str"/>
      <x:c r="D115" s="27" t="str"/>
      <x:c r="E115" s="27" t="str"/>
      <x:c r="F115" s="27" t="str"/>
      <x:c r="G115" s="27" t="str"/>
      <x:c r="H115" s="27" t="str"/>
      <x:c r="I115" s="27" t="str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</x:row>
    <x:row r="116">
      <x:c r="A116" s="27" t="str"/>
      <x:c r="B116" s="27" t="str"/>
      <x:c r="C116" s="27" t="str"/>
      <x:c r="D116" s="27" t="str"/>
      <x:c r="E116" s="27" t="str"/>
      <x:c r="F116" s="27" t="str"/>
      <x:c r="G116" s="27" t="str"/>
      <x:c r="H116" s="27" t="str"/>
      <x:c r="I116" s="27" t="str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</x:row>
    <x:row r="117">
      <x:c r="A117" s="27" t="str"/>
      <x:c r="B117" s="27" t="str"/>
      <x:c r="C117" s="27" t="str"/>
      <x:c r="D117" s="27" t="str"/>
      <x:c r="E117" s="27" t="str"/>
      <x:c r="F117" s="27" t="str"/>
      <x:c r="G117" s="27" t="str"/>
      <x:c r="H117" s="27" t="str"/>
      <x:c r="I117" s="27" t="str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</x:row>
    <x:row r="118">
      <x:c r="A118" s="27" t="str"/>
      <x:c r="B118" s="27" t="str"/>
      <x:c r="C118" s="27" t="str"/>
      <x:c r="D118" s="27" t="str"/>
      <x:c r="E118" s="27" t="str"/>
      <x:c r="F118" s="27" t="str"/>
      <x:c r="G118" s="27" t="str"/>
      <x:c r="H118" s="27" t="str"/>
      <x:c r="I118" s="27" t="str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</x:row>
    <x:row r="119">
      <x:c r="A119" s="27" t="str"/>
      <x:c r="B119" s="27" t="str"/>
      <x:c r="C119" s="27" t="str"/>
      <x:c r="D119" s="27" t="str"/>
      <x:c r="E119" s="27" t="str"/>
      <x:c r="F119" s="27" t="str"/>
      <x:c r="G119" s="27" t="str"/>
      <x:c r="H119" s="27" t="str"/>
      <x:c r="I119" s="27" t="str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</x:row>
    <x:row r="120">
      <x:c r="A120" s="27" t="str"/>
      <x:c r="B120" s="27" t="str"/>
      <x:c r="C120" s="27" t="str"/>
      <x:c r="D120" s="27" t="str"/>
      <x:c r="E120" s="27" t="str"/>
      <x:c r="F120" s="27" t="str"/>
      <x:c r="G120" s="27" t="str"/>
      <x:c r="H120" s="27" t="str"/>
      <x:c r="I120" s="27" t="str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</x:row>
    <x:row r="121">
      <x:c r="A121" s="27" t="str"/>
      <x:c r="B121" s="27" t="str"/>
      <x:c r="C121" s="27" t="str"/>
      <x:c r="D121" s="27" t="str"/>
      <x:c r="E121" s="27" t="str"/>
      <x:c r="F121" s="27" t="str"/>
      <x:c r="G121" s="27" t="str"/>
      <x:c r="H121" s="27" t="str"/>
      <x:c r="I121" s="27" t="str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</x:row>
    <x:row r="122">
      <x:c r="A122" s="27" t="str"/>
      <x:c r="B122" s="27" t="str"/>
      <x:c r="C122" s="27" t="str"/>
      <x:c r="D122" s="27" t="str"/>
      <x:c r="E122" s="27" t="str"/>
      <x:c r="F122" s="27" t="str"/>
      <x:c r="G122" s="27" t="str"/>
      <x:c r="H122" s="27" t="str"/>
      <x:c r="I122" s="27" t="str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</x:row>
    <x:row r="123">
      <x:c r="A123" s="27" t="str"/>
      <x:c r="B123" s="27" t="str"/>
      <x:c r="C123" s="27" t="str"/>
      <x:c r="D123" s="27" t="str"/>
      <x:c r="E123" s="27" t="str"/>
      <x:c r="F123" s="27" t="str"/>
      <x:c r="G123" s="27" t="str"/>
      <x:c r="H123" s="27" t="str"/>
      <x:c r="I123" s="27" t="str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</x:row>
    <x:row r="124">
      <x:c r="A124" s="27" t="str"/>
      <x:c r="B124" s="27" t="str"/>
      <x:c r="C124" s="27" t="str"/>
      <x:c r="D124" s="27" t="str"/>
      <x:c r="E124" s="27" t="str"/>
      <x:c r="F124" s="27" t="str"/>
      <x:c r="G124" s="27" t="str"/>
      <x:c r="H124" s="27" t="str"/>
      <x:c r="I124" s="27" t="str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</x:row>
    <x:row r="125">
      <x:c r="A125" s="27" t="str"/>
      <x:c r="B125" s="27" t="str"/>
      <x:c r="C125" s="27" t="str"/>
      <x:c r="D125" s="27" t="str"/>
      <x:c r="E125" s="27" t="str"/>
      <x:c r="F125" s="27" t="str"/>
      <x:c r="G125" s="27" t="str"/>
      <x:c r="H125" s="27" t="str"/>
      <x:c r="I125" s="27" t="str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</x:row>
    <x:row r="126">
      <x:c r="A126" s="27" t="str"/>
      <x:c r="B126" s="27" t="str"/>
      <x:c r="C126" s="27" t="str"/>
      <x:c r="D126" s="27" t="str"/>
      <x:c r="E126" s="27" t="str"/>
      <x:c r="F126" s="27" t="str"/>
      <x:c r="G126" s="27" t="str"/>
      <x:c r="H126" s="27" t="str"/>
      <x:c r="I126" s="27" t="str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</x:row>
    <x:row r="127">
      <x:c r="A127" s="27" t="str"/>
      <x:c r="B127" s="27" t="str"/>
      <x:c r="C127" s="27" t="str"/>
      <x:c r="D127" s="27" t="str"/>
      <x:c r="E127" s="27" t="str"/>
      <x:c r="F127" s="27" t="str"/>
      <x:c r="G127" s="27" t="str"/>
      <x:c r="H127" s="27" t="str"/>
      <x:c r="I127" s="27" t="str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</x:row>
    <x:row r="128">
      <x:c r="A128" s="27" t="str"/>
      <x:c r="B128" s="27" t="str"/>
      <x:c r="C128" s="27" t="str"/>
      <x:c r="D128" s="27" t="str"/>
      <x:c r="E128" s="27" t="str"/>
      <x:c r="F128" s="27" t="str"/>
      <x:c r="G128" s="27" t="str"/>
      <x:c r="H128" s="27" t="str"/>
      <x:c r="I128" s="27" t="str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</x:row>
    <x:row r="129">
      <x:c r="A129" s="27" t="str"/>
      <x:c r="B129" s="27" t="str"/>
      <x:c r="C129" s="27" t="str"/>
      <x:c r="D129" s="27" t="str"/>
      <x:c r="E129" s="27" t="str"/>
      <x:c r="F129" s="27" t="str"/>
      <x:c r="G129" s="27" t="str"/>
      <x:c r="H129" s="27" t="str"/>
      <x:c r="I129" s="27" t="str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</x:row>
    <x:row r="130">
      <x:c r="A130" s="27" t="str"/>
      <x:c r="B130" s="27" t="str"/>
      <x:c r="C130" s="27" t="str"/>
      <x:c r="D130" s="27" t="str"/>
      <x:c r="E130" s="27" t="str"/>
      <x:c r="F130" s="27" t="str"/>
      <x:c r="G130" s="27" t="str"/>
      <x:c r="H130" s="27" t="str"/>
      <x:c r="I130" s="27" t="str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</x:row>
    <x:row r="131">
      <x:c r="A131" s="27" t="str"/>
      <x:c r="B131" s="27" t="str"/>
      <x:c r="C131" s="27" t="str"/>
      <x:c r="D131" s="27" t="str"/>
      <x:c r="E131" s="27" t="str"/>
      <x:c r="F131" s="27" t="str"/>
      <x:c r="G131" s="27" t="str"/>
      <x:c r="H131" s="27" t="str"/>
      <x:c r="I131" s="27" t="str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</x:row>
    <x:row r="132">
      <x:c r="A132" s="27" t="str"/>
      <x:c r="B132" s="27" t="str"/>
      <x:c r="C132" s="27" t="str"/>
      <x:c r="D132" s="27" t="str"/>
      <x:c r="E132" s="27" t="str"/>
      <x:c r="F132" s="27" t="str"/>
      <x:c r="G132" s="27" t="str"/>
      <x:c r="H132" s="27" t="str"/>
      <x:c r="I132" s="27" t="str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</x:row>
    <x:row r="133">
      <x:c r="A133" s="27" t="str"/>
      <x:c r="B133" s="27" t="str"/>
      <x:c r="C133" s="27" t="str"/>
      <x:c r="D133" s="27" t="str"/>
      <x:c r="E133" s="27" t="str"/>
      <x:c r="F133" s="27" t="str"/>
      <x:c r="G133" s="27" t="str"/>
      <x:c r="H133" s="27" t="str"/>
      <x:c r="I133" s="27" t="str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</x:row>
    <x:row r="134">
      <x:c r="A134" s="27" t="str"/>
      <x:c r="B134" s="27" t="str"/>
      <x:c r="C134" s="27" t="str"/>
      <x:c r="D134" s="27" t="str"/>
      <x:c r="E134" s="27" t="str"/>
      <x:c r="F134" s="27" t="str"/>
      <x:c r="G134" s="27" t="str"/>
      <x:c r="H134" s="27" t="str"/>
      <x:c r="I134" s="27" t="str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</x:row>
    <x:row r="135">
      <x:c r="A135" s="27" t="str"/>
      <x:c r="B135" s="27" t="str"/>
      <x:c r="C135" s="27" t="str"/>
      <x:c r="D135" s="27" t="str"/>
      <x:c r="E135" s="27" t="str"/>
      <x:c r="F135" s="27" t="str"/>
      <x:c r="G135" s="27" t="str"/>
      <x:c r="H135" s="27" t="str"/>
      <x:c r="I135" s="27" t="str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</x:row>
    <x:row r="136">
      <x:c r="A136" s="27" t="str"/>
      <x:c r="B136" s="27" t="str"/>
      <x:c r="C136" s="27" t="str"/>
      <x:c r="D136" s="27" t="str"/>
      <x:c r="E136" s="27" t="str"/>
      <x:c r="F136" s="27" t="str"/>
      <x:c r="G136" s="27" t="str"/>
      <x:c r="H136" s="27" t="str"/>
      <x:c r="I136" s="27" t="str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</x:row>
    <x:row r="137">
      <x:c r="A137" s="27" t="str"/>
      <x:c r="B137" s="27" t="str"/>
      <x:c r="C137" s="27" t="str"/>
      <x:c r="D137" s="27" t="str"/>
      <x:c r="E137" s="27" t="str"/>
      <x:c r="F137" s="27" t="str"/>
      <x:c r="G137" s="27" t="str"/>
      <x:c r="H137" s="27" t="str"/>
      <x:c r="I137" s="27" t="str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</x:row>
    <x:row r="138">
      <x:c r="A138" s="27" t="str"/>
      <x:c r="B138" s="27" t="str"/>
      <x:c r="C138" s="27" t="str"/>
      <x:c r="D138" s="27" t="str"/>
      <x:c r="E138" s="27" t="str"/>
      <x:c r="F138" s="27" t="str"/>
      <x:c r="G138" s="27" t="str"/>
      <x:c r="H138" s="27" t="str"/>
      <x:c r="I138" s="27" t="str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</x:row>
    <x:row r="139">
      <x:c r="A139" s="27" t="str"/>
      <x:c r="B139" s="27" t="str"/>
      <x:c r="C139" s="27" t="str"/>
      <x:c r="D139" s="27" t="str"/>
      <x:c r="E139" s="27" t="str"/>
      <x:c r="F139" s="27" t="str"/>
      <x:c r="G139" s="27" t="str"/>
      <x:c r="H139" s="27" t="str"/>
      <x:c r="I139" s="27" t="str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</x:row>
    <x:row r="140">
      <x:c r="A140" s="27" t="str"/>
      <x:c r="B140" s="27" t="str"/>
      <x:c r="C140" s="27" t="str"/>
      <x:c r="D140" s="27" t="str"/>
      <x:c r="E140" s="27" t="str"/>
      <x:c r="F140" s="27" t="str"/>
      <x:c r="G140" s="27" t="str"/>
      <x:c r="H140" s="27" t="str"/>
      <x:c r="I140" s="27" t="str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</x:row>
    <x:row r="141">
      <x:c r="A141" s="27" t="str"/>
      <x:c r="B141" s="27" t="str"/>
      <x:c r="C141" s="27" t="str"/>
      <x:c r="D141" s="27" t="str"/>
      <x:c r="E141" s="27" t="str"/>
      <x:c r="F141" s="27" t="str"/>
      <x:c r="G141" s="27" t="str"/>
      <x:c r="H141" s="27" t="str"/>
      <x:c r="I141" s="27" t="str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</x:row>
    <x:row r="142">
      <x:c r="A142" s="27" t="str"/>
      <x:c r="B142" s="27" t="str"/>
      <x:c r="C142" s="27" t="str"/>
      <x:c r="D142" s="27" t="str"/>
      <x:c r="E142" s="27" t="str"/>
      <x:c r="F142" s="27" t="str"/>
      <x:c r="G142" s="27" t="str"/>
      <x:c r="H142" s="27" t="str"/>
      <x:c r="I142" s="27" t="str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</x:row>
    <x:row r="143">
      <x:c r="A143" s="27" t="str"/>
      <x:c r="B143" s="27" t="str"/>
      <x:c r="C143" s="27" t="str"/>
      <x:c r="D143" s="27" t="str"/>
      <x:c r="E143" s="27" t="str"/>
      <x:c r="F143" s="27" t="str"/>
      <x:c r="G143" s="27" t="str"/>
      <x:c r="H143" s="27" t="str"/>
      <x:c r="I143" s="27" t="str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</x:row>
    <x:row r="144">
      <x:c r="A144" s="27" t="str"/>
      <x:c r="B144" s="27" t="str"/>
      <x:c r="C144" s="27" t="str"/>
      <x:c r="D144" s="27" t="str"/>
      <x:c r="E144" s="27" t="str"/>
      <x:c r="F144" s="27" t="str"/>
      <x:c r="G144" s="27" t="str"/>
      <x:c r="H144" s="27" t="str"/>
      <x:c r="I144" s="27" t="str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</x:row>
    <x:row r="145">
      <x:c r="A145" s="27" t="str"/>
      <x:c r="B145" s="27" t="str"/>
      <x:c r="C145" s="27" t="str"/>
      <x:c r="D145" s="27" t="str"/>
      <x:c r="E145" s="27" t="str"/>
      <x:c r="F145" s="27" t="str"/>
      <x:c r="G145" s="27" t="str"/>
      <x:c r="H145" s="27" t="str"/>
      <x:c r="I145" s="27" t="str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</x:row>
    <x:row r="146">
      <x:c r="A146" s="27" t="str"/>
      <x:c r="B146" s="27" t="str"/>
      <x:c r="C146" s="27" t="str"/>
      <x:c r="D146" s="27" t="str"/>
      <x:c r="E146" s="27" t="str"/>
      <x:c r="F146" s="27" t="str"/>
      <x:c r="G146" s="27" t="str"/>
      <x:c r="H146" s="27" t="str"/>
      <x:c r="I146" s="27" t="str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</x:row>
    <x:row r="147">
      <x:c r="A147" s="27" t="str"/>
      <x:c r="B147" s="27" t="str"/>
      <x:c r="C147" s="27" t="str"/>
      <x:c r="D147" s="27" t="str"/>
      <x:c r="E147" s="27" t="str"/>
      <x:c r="F147" s="27" t="str"/>
      <x:c r="G147" s="27" t="str"/>
      <x:c r="H147" s="27" t="str"/>
      <x:c r="I147" s="27" t="str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</x:row>
    <x:row r="148">
      <x:c r="A148" s="27" t="str"/>
      <x:c r="B148" s="27" t="str"/>
      <x:c r="C148" s="27" t="str"/>
      <x:c r="D148" s="27" t="str"/>
      <x:c r="E148" s="27" t="str"/>
      <x:c r="F148" s="27" t="str"/>
      <x:c r="G148" s="27" t="str"/>
      <x:c r="H148" s="27" t="str"/>
      <x:c r="I148" s="27" t="str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</x:row>
    <x:row r="149">
      <x:c r="A149" s="27" t="str"/>
      <x:c r="B149" s="27" t="str"/>
      <x:c r="C149" s="27" t="str"/>
      <x:c r="D149" s="27" t="str"/>
      <x:c r="E149" s="27" t="str"/>
      <x:c r="F149" s="27" t="str"/>
      <x:c r="G149" s="27" t="str"/>
      <x:c r="H149" s="27" t="str"/>
      <x:c r="I149" s="27" t="str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</x:row>
    <x:row r="150">
      <x:c r="A150" s="27" t="str"/>
      <x:c r="B150" s="27" t="str"/>
      <x:c r="C150" s="27" t="str"/>
      <x:c r="D150" s="27" t="str"/>
      <x:c r="E150" s="27" t="str"/>
      <x:c r="F150" s="27" t="str"/>
      <x:c r="G150" s="27" t="str"/>
      <x:c r="H150" s="27" t="str"/>
      <x:c r="I150" s="27" t="str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</x:row>
    <x:row r="151">
      <x:c r="A151" s="27" t="str"/>
      <x:c r="B151" s="27" t="str"/>
      <x:c r="C151" s="27" t="str"/>
      <x:c r="D151" s="27" t="str"/>
      <x:c r="E151" s="27" t="str"/>
      <x:c r="F151" s="27" t="str"/>
      <x:c r="G151" s="27" t="str"/>
      <x:c r="H151" s="27" t="str"/>
      <x:c r="I151" s="27" t="str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</x:row>
    <x:row r="152">
      <x:c r="A152" s="27" t="str"/>
      <x:c r="B152" s="27" t="str"/>
      <x:c r="C152" s="27" t="str"/>
      <x:c r="D152" s="27" t="str"/>
      <x:c r="E152" s="27" t="str"/>
      <x:c r="F152" s="27" t="str"/>
      <x:c r="G152" s="27" t="str"/>
      <x:c r="H152" s="27" t="str"/>
      <x:c r="I152" s="27" t="str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</x:row>
    <x:row r="153">
      <x:c r="A153" s="27" t="str"/>
      <x:c r="B153" s="27" t="str"/>
      <x:c r="C153" s="27" t="str"/>
      <x:c r="D153" s="27" t="str"/>
      <x:c r="E153" s="27" t="str"/>
      <x:c r="F153" s="27" t="str"/>
      <x:c r="G153" s="27" t="str"/>
      <x:c r="H153" s="27" t="str"/>
      <x:c r="I153" s="27" t="str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</x:row>
    <x:row r="154">
      <x:c r="A154" s="27" t="str"/>
      <x:c r="B154" s="27" t="str"/>
      <x:c r="C154" s="27" t="str"/>
      <x:c r="D154" s="27" t="str"/>
      <x:c r="E154" s="27" t="str"/>
      <x:c r="F154" s="27" t="str"/>
      <x:c r="G154" s="27" t="str"/>
      <x:c r="H154" s="27" t="str"/>
      <x:c r="I154" s="27" t="str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</x:row>
    <x:row r="155">
      <x:c r="A155" s="27" t="str"/>
      <x:c r="B155" s="27" t="str"/>
      <x:c r="C155" s="27" t="str"/>
      <x:c r="D155" s="27" t="str"/>
      <x:c r="E155" s="27" t="str"/>
      <x:c r="F155" s="27" t="str"/>
      <x:c r="G155" s="27" t="str"/>
      <x:c r="H155" s="27" t="str"/>
      <x:c r="I155" s="27" t="str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</x:row>
    <x:row r="156">
      <x:c r="A156" s="27" t="str"/>
      <x:c r="B156" s="27" t="str"/>
      <x:c r="C156" s="27" t="str"/>
      <x:c r="D156" s="27" t="str"/>
      <x:c r="E156" s="27" t="str"/>
      <x:c r="F156" s="27" t="str"/>
      <x:c r="G156" s="27" t="str"/>
      <x:c r="H156" s="27" t="str"/>
      <x:c r="I156" s="27" t="str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</x:row>
    <x:row r="157">
      <x:c r="A157" s="27" t="str"/>
      <x:c r="B157" s="27" t="str"/>
      <x:c r="C157" s="27" t="str"/>
      <x:c r="D157" s="27" t="str"/>
      <x:c r="E157" s="27" t="str"/>
      <x:c r="F157" s="27" t="str"/>
      <x:c r="G157" s="27" t="str"/>
      <x:c r="H157" s="27" t="str"/>
      <x:c r="I157" s="27" t="str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</x:row>
    <x:row r="158">
      <x:c r="A158" s="27" t="str"/>
      <x:c r="B158" s="27" t="str"/>
      <x:c r="C158" s="27" t="str"/>
      <x:c r="D158" s="27" t="str"/>
      <x:c r="E158" s="27" t="str"/>
      <x:c r="F158" s="27" t="str"/>
      <x:c r="G158" s="27" t="str"/>
      <x:c r="H158" s="27" t="str"/>
      <x:c r="I158" s="27" t="str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</x:row>
    <x:row r="159">
      <x:c r="A159" s="27" t="str"/>
      <x:c r="B159" s="27" t="str"/>
      <x:c r="C159" s="27" t="str"/>
      <x:c r="D159" s="27" t="str"/>
      <x:c r="E159" s="27" t="str"/>
      <x:c r="F159" s="27" t="str"/>
      <x:c r="G159" s="27" t="str"/>
      <x:c r="H159" s="27" t="str"/>
      <x:c r="I159" s="27" t="str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</x:row>
    <x:row r="160">
      <x:c r="A160" s="27" t="str"/>
      <x:c r="B160" s="27" t="str"/>
      <x:c r="C160" s="27" t="str"/>
      <x:c r="D160" s="27" t="str"/>
      <x:c r="E160" s="27" t="str"/>
      <x:c r="F160" s="27" t="str"/>
      <x:c r="G160" s="27" t="str"/>
      <x:c r="H160" s="27" t="str"/>
      <x:c r="I160" s="27" t="str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</x:row>
    <x:row r="161">
      <x:c r="A161" s="27" t="str"/>
      <x:c r="B161" s="27" t="str"/>
      <x:c r="C161" s="27" t="str"/>
      <x:c r="D161" s="27" t="str"/>
      <x:c r="E161" s="27" t="str"/>
      <x:c r="F161" s="27" t="str"/>
      <x:c r="G161" s="27" t="str"/>
      <x:c r="H161" s="27" t="str"/>
      <x:c r="I161" s="27" t="str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</x:row>
    <x:row r="162">
      <x:c r="A162" s="27" t="str"/>
      <x:c r="B162" s="27" t="str"/>
      <x:c r="C162" s="27" t="str"/>
      <x:c r="D162" s="27" t="str"/>
      <x:c r="E162" s="27" t="str"/>
      <x:c r="F162" s="27" t="str"/>
      <x:c r="G162" s="27" t="str"/>
      <x:c r="H162" s="27" t="str"/>
      <x:c r="I162" s="27" t="str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</x:row>
    <x:row r="163">
      <x:c r="A163" s="27" t="str"/>
      <x:c r="B163" s="27" t="str"/>
      <x:c r="C163" s="27" t="str"/>
      <x:c r="D163" s="27" t="str"/>
      <x:c r="E163" s="27" t="str"/>
      <x:c r="F163" s="27" t="str"/>
      <x:c r="G163" s="27" t="str"/>
      <x:c r="H163" s="27" t="str"/>
      <x:c r="I163" s="27" t="str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</x:row>
    <x:row r="164">
      <x:c r="A164" s="27" t="str"/>
      <x:c r="B164" s="27" t="str"/>
      <x:c r="C164" s="27" t="str"/>
      <x:c r="D164" s="27" t="str"/>
      <x:c r="E164" s="27" t="str"/>
      <x:c r="F164" s="27" t="str"/>
      <x:c r="G164" s="27" t="str"/>
      <x:c r="H164" s="27" t="str"/>
      <x:c r="I164" s="27" t="str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</x:row>
    <x:row r="165">
      <x:c r="A165" s="27" t="str"/>
      <x:c r="B165" s="27" t="str"/>
      <x:c r="C165" s="27" t="str"/>
      <x:c r="D165" s="27" t="str"/>
      <x:c r="E165" s="27" t="str"/>
      <x:c r="F165" s="27" t="str"/>
      <x:c r="G165" s="27" t="str"/>
      <x:c r="H165" s="27" t="str"/>
      <x:c r="I165" s="27" t="str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</x:row>
    <x:row r="166">
      <x:c r="A166" s="27" t="str"/>
      <x:c r="B166" s="27" t="str"/>
      <x:c r="C166" s="27" t="str"/>
      <x:c r="D166" s="27" t="str"/>
      <x:c r="E166" s="27" t="str"/>
      <x:c r="F166" s="27" t="str"/>
      <x:c r="G166" s="27" t="str"/>
      <x:c r="H166" s="27" t="str"/>
      <x:c r="I166" s="27" t="str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</x:row>
    <x:row r="167">
      <x:c r="A167" s="27" t="str"/>
      <x:c r="B167" s="27" t="str"/>
      <x:c r="C167" s="27" t="str"/>
      <x:c r="D167" s="27" t="str"/>
      <x:c r="E167" s="27" t="str"/>
      <x:c r="F167" s="27" t="str"/>
      <x:c r="G167" s="27" t="str"/>
      <x:c r="H167" s="27" t="str"/>
      <x:c r="I167" s="27" t="str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</x:row>
    <x:row r="168">
      <x:c r="A168" s="27" t="str"/>
      <x:c r="B168" s="27" t="str"/>
      <x:c r="C168" s="27" t="str"/>
      <x:c r="D168" s="27" t="str"/>
      <x:c r="E168" s="27" t="str"/>
      <x:c r="F168" s="27" t="str"/>
      <x:c r="G168" s="27" t="str"/>
      <x:c r="H168" s="27" t="str"/>
      <x:c r="I168" s="27" t="str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</x:row>
    <x:row r="169">
      <x:c r="A169" s="27" t="str"/>
      <x:c r="B169" s="27" t="str"/>
      <x:c r="C169" s="27" t="str"/>
      <x:c r="D169" s="27" t="str"/>
      <x:c r="E169" s="27" t="str"/>
      <x:c r="F169" s="27" t="str"/>
      <x:c r="G169" s="27" t="str"/>
      <x:c r="H169" s="27" t="str"/>
      <x:c r="I169" s="27" t="str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</x:row>
    <x:row r="170">
      <x:c r="A170" s="27" t="str"/>
      <x:c r="B170" s="27" t="str"/>
      <x:c r="C170" s="27" t="str"/>
      <x:c r="D170" s="27" t="str"/>
      <x:c r="E170" s="27" t="str"/>
      <x:c r="F170" s="27" t="str"/>
      <x:c r="G170" s="27" t="str"/>
      <x:c r="H170" s="27" t="str"/>
      <x:c r="I170" s="27" t="str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</x:row>
    <x:row r="171">
      <x:c r="A171" s="27" t="str"/>
      <x:c r="B171" s="27" t="str"/>
      <x:c r="C171" s="27" t="str"/>
      <x:c r="D171" s="27" t="str"/>
      <x:c r="E171" s="27" t="str"/>
      <x:c r="F171" s="27" t="str"/>
      <x:c r="G171" s="27" t="str"/>
      <x:c r="H171" s="27" t="str"/>
      <x:c r="I171" s="27" t="str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</x:row>
    <x:row r="172">
      <x:c r="A172" s="27" t="str"/>
      <x:c r="B172" s="27" t="str"/>
      <x:c r="C172" s="27" t="str"/>
      <x:c r="D172" s="27" t="str"/>
      <x:c r="E172" s="27" t="str"/>
      <x:c r="F172" s="27" t="str"/>
      <x:c r="G172" s="27" t="str"/>
      <x:c r="H172" s="27" t="str"/>
      <x:c r="I172" s="27" t="str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</x:row>
    <x:row r="173">
      <x:c r="A173" s="27" t="str"/>
      <x:c r="B173" s="27" t="str"/>
      <x:c r="C173" s="27" t="str"/>
      <x:c r="D173" s="27" t="str"/>
      <x:c r="E173" s="27" t="str"/>
      <x:c r="F173" s="27" t="str"/>
      <x:c r="G173" s="27" t="str"/>
      <x:c r="H173" s="27" t="str"/>
      <x:c r="I173" s="27" t="str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</x:row>
    <x:row r="174">
      <x:c r="A174" s="27" t="str"/>
      <x:c r="B174" s="27" t="str"/>
      <x:c r="C174" s="27" t="str"/>
      <x:c r="D174" s="27" t="str"/>
      <x:c r="E174" s="27" t="str"/>
      <x:c r="F174" s="27" t="str"/>
      <x:c r="G174" s="27" t="str"/>
      <x:c r="H174" s="27" t="str"/>
      <x:c r="I174" s="27" t="str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</x:row>
    <x:row r="175">
      <x:c r="A175" s="27" t="str"/>
      <x:c r="B175" s="27" t="str"/>
      <x:c r="C175" s="27" t="str"/>
      <x:c r="D175" s="27" t="str"/>
      <x:c r="E175" s="27" t="str"/>
      <x:c r="F175" s="27" t="str"/>
      <x:c r="G175" s="27" t="str"/>
      <x:c r="H175" s="27" t="str"/>
      <x:c r="I175" s="27" t="str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</x:row>
    <x:row r="176">
      <x:c r="A176" s="27" t="str"/>
      <x:c r="B176" s="27" t="str"/>
      <x:c r="C176" s="27" t="str"/>
      <x:c r="D176" s="27" t="str"/>
      <x:c r="E176" s="27" t="str"/>
      <x:c r="F176" s="27" t="str"/>
      <x:c r="G176" s="27" t="str"/>
      <x:c r="H176" s="27" t="str"/>
      <x:c r="I176" s="27" t="str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</x:row>
    <x:row r="177">
      <x:c r="A177" s="27" t="str"/>
      <x:c r="B177" s="27" t="str"/>
      <x:c r="C177" s="27" t="str"/>
      <x:c r="D177" s="27" t="str"/>
      <x:c r="E177" s="27" t="str"/>
      <x:c r="F177" s="27" t="str"/>
      <x:c r="G177" s="27" t="str"/>
      <x:c r="H177" s="27" t="str"/>
      <x:c r="I177" s="27" t="str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</x:row>
    <x:row r="178">
      <x:c r="A178" s="27" t="str"/>
      <x:c r="B178" s="27" t="str"/>
      <x:c r="C178" s="27" t="str"/>
      <x:c r="D178" s="27" t="str"/>
      <x:c r="E178" s="27" t="str"/>
      <x:c r="F178" s="27" t="str"/>
      <x:c r="G178" s="27" t="str"/>
      <x:c r="H178" s="27" t="str"/>
      <x:c r="I178" s="27" t="str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</x:row>
    <x:row r="179">
      <x:c r="A179" s="27" t="str"/>
      <x:c r="B179" s="27" t="str"/>
      <x:c r="C179" s="27" t="str"/>
      <x:c r="D179" s="27" t="str"/>
      <x:c r="E179" s="27" t="str"/>
      <x:c r="F179" s="27" t="str"/>
      <x:c r="G179" s="27" t="str"/>
      <x:c r="H179" s="27" t="str"/>
      <x:c r="I179" s="27" t="str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</x:row>
    <x:row r="180">
      <x:c r="A180" s="27" t="str"/>
      <x:c r="B180" s="27" t="str"/>
      <x:c r="C180" s="27" t="str"/>
      <x:c r="D180" s="27" t="str"/>
      <x:c r="E180" s="27" t="str"/>
      <x:c r="F180" s="27" t="str"/>
      <x:c r="G180" s="27" t="str"/>
      <x:c r="H180" s="27" t="str"/>
      <x:c r="I180" s="27" t="str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</x:row>
    <x:row r="181">
      <x:c r="A181" s="27" t="str"/>
      <x:c r="B181" s="27" t="str"/>
      <x:c r="C181" s="27" t="str"/>
      <x:c r="D181" s="27" t="str"/>
      <x:c r="E181" s="27" t="str"/>
      <x:c r="F181" s="27" t="str"/>
      <x:c r="G181" s="27" t="str"/>
      <x:c r="H181" s="27" t="str"/>
      <x:c r="I181" s="27" t="str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</x:row>
    <x:row r="182">
      <x:c r="A182" s="27" t="str"/>
      <x:c r="B182" s="27" t="str"/>
      <x:c r="C182" s="27" t="str"/>
      <x:c r="D182" s="27" t="str"/>
      <x:c r="E182" s="27" t="str"/>
      <x:c r="F182" s="27" t="str"/>
      <x:c r="G182" s="27" t="str"/>
      <x:c r="H182" s="27" t="str"/>
      <x:c r="I182" s="27" t="str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</x:row>
    <x:row r="183">
      <x:c r="A183" s="27" t="str"/>
      <x:c r="B183" s="27" t="str"/>
      <x:c r="C183" s="27" t="str"/>
      <x:c r="D183" s="27" t="str"/>
      <x:c r="E183" s="27" t="str"/>
      <x:c r="F183" s="27" t="str"/>
      <x:c r="G183" s="27" t="str"/>
      <x:c r="H183" s="27" t="str"/>
      <x:c r="I183" s="27" t="str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</x:row>
    <x:row r="184">
      <x:c r="A184" s="27" t="str"/>
      <x:c r="B184" s="27" t="str"/>
      <x:c r="C184" s="27" t="str"/>
      <x:c r="D184" s="27" t="str"/>
      <x:c r="E184" s="27" t="str"/>
      <x:c r="F184" s="27" t="str"/>
      <x:c r="G184" s="27" t="str"/>
      <x:c r="H184" s="27" t="str"/>
      <x:c r="I184" s="27" t="str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</x:row>
    <x:row r="185">
      <x:c r="A185" s="27" t="str"/>
      <x:c r="B185" s="27" t="str"/>
      <x:c r="C185" s="27" t="str"/>
      <x:c r="D185" s="27" t="str"/>
      <x:c r="E185" s="27" t="str"/>
      <x:c r="F185" s="27" t="str"/>
      <x:c r="G185" s="27" t="str"/>
      <x:c r="H185" s="27" t="str"/>
      <x:c r="I185" s="27" t="str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</x:row>
    <x:row r="186">
      <x:c r="A186" s="27" t="str"/>
      <x:c r="B186" s="27" t="str"/>
      <x:c r="C186" s="27" t="str"/>
      <x:c r="D186" s="27" t="str"/>
      <x:c r="E186" s="27" t="str"/>
      <x:c r="F186" s="27" t="str"/>
      <x:c r="G186" s="27" t="str"/>
      <x:c r="H186" s="27" t="str"/>
      <x:c r="I186" s="27" t="str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</x:row>
    <x:row r="187">
      <x:c r="A187" s="27" t="str"/>
      <x:c r="B187" s="27" t="str"/>
      <x:c r="C187" s="27" t="str"/>
      <x:c r="D187" s="27" t="str"/>
      <x:c r="E187" s="27" t="str"/>
      <x:c r="F187" s="27" t="str"/>
      <x:c r="G187" s="27" t="str"/>
      <x:c r="H187" s="27" t="str"/>
      <x:c r="I187" s="27" t="str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</x:row>
    <x:row r="188">
      <x:c r="A188" s="27" t="str"/>
      <x:c r="B188" s="27" t="str"/>
      <x:c r="C188" s="27" t="str"/>
      <x:c r="D188" s="27" t="str"/>
      <x:c r="E188" s="27" t="str"/>
      <x:c r="F188" s="27" t="str"/>
      <x:c r="G188" s="27" t="str"/>
      <x:c r="H188" s="27" t="str"/>
      <x:c r="I188" s="27" t="str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</x:row>
    <x:row r="189">
      <x:c r="A189" s="27" t="str"/>
      <x:c r="B189" s="27" t="str"/>
      <x:c r="C189" s="27" t="str"/>
      <x:c r="D189" s="27" t="str"/>
      <x:c r="E189" s="27" t="str"/>
      <x:c r="F189" s="27" t="str"/>
      <x:c r="G189" s="27" t="str"/>
      <x:c r="H189" s="27" t="str"/>
      <x:c r="I189" s="27" t="str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</x:row>
    <x:row r="190">
      <x:c r="A190" s="27" t="str"/>
      <x:c r="B190" s="27" t="str"/>
      <x:c r="C190" s="27" t="str"/>
      <x:c r="D190" s="27" t="str"/>
      <x:c r="E190" s="27" t="str"/>
      <x:c r="F190" s="27" t="str"/>
      <x:c r="G190" s="27" t="str"/>
      <x:c r="H190" s="27" t="str"/>
      <x:c r="I190" s="27" t="str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</x:row>
    <x:row r="191">
      <x:c r="A191" s="27" t="str"/>
      <x:c r="B191" s="27" t="str"/>
      <x:c r="C191" s="27" t="str"/>
      <x:c r="D191" s="27" t="str"/>
      <x:c r="E191" s="27" t="str"/>
      <x:c r="F191" s="27" t="str"/>
      <x:c r="G191" s="27" t="str"/>
      <x:c r="H191" s="27" t="str"/>
      <x:c r="I191" s="27" t="str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</x:row>
    <x:row r="192">
      <x:c r="A192" s="27" t="str"/>
      <x:c r="B192" s="27" t="str"/>
      <x:c r="C192" s="27" t="str"/>
      <x:c r="D192" s="27" t="str"/>
      <x:c r="E192" s="27" t="str"/>
      <x:c r="F192" s="27" t="str"/>
      <x:c r="G192" s="27" t="str"/>
      <x:c r="H192" s="27" t="str"/>
      <x:c r="I192" s="27" t="str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</x:row>
    <x:row r="193">
      <x:c r="A193" s="27" t="str"/>
      <x:c r="B193" s="27" t="str"/>
      <x:c r="C193" s="27" t="str"/>
      <x:c r="D193" s="27" t="str"/>
      <x:c r="E193" s="27" t="str"/>
      <x:c r="F193" s="27" t="str"/>
      <x:c r="G193" s="27" t="str"/>
      <x:c r="H193" s="27" t="str"/>
      <x:c r="I193" s="27" t="str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</x:row>
    <x:row r="194">
      <x:c r="A194" s="27" t="str"/>
      <x:c r="B194" s="27" t="str"/>
      <x:c r="C194" s="27" t="str"/>
      <x:c r="D194" s="27" t="str"/>
      <x:c r="E194" s="27" t="str"/>
      <x:c r="F194" s="27" t="str"/>
      <x:c r="G194" s="27" t="str"/>
      <x:c r="H194" s="27" t="str"/>
      <x:c r="I194" s="27" t="str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</x:row>
    <x:row r="195">
      <x:c r="A195" s="27" t="str"/>
      <x:c r="B195" s="27" t="str"/>
      <x:c r="C195" s="27" t="str"/>
      <x:c r="D195" s="27" t="str"/>
      <x:c r="E195" s="27" t="str"/>
      <x:c r="F195" s="27" t="str"/>
      <x:c r="G195" s="27" t="str"/>
      <x:c r="H195" s="27" t="str"/>
      <x:c r="I195" s="27" t="str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</x:row>
    <x:row r="196">
      <x:c r="A196" s="27" t="str"/>
      <x:c r="B196" s="27" t="str"/>
      <x:c r="C196" s="27" t="str"/>
      <x:c r="D196" s="27" t="str"/>
      <x:c r="E196" s="27" t="str"/>
      <x:c r="F196" s="27" t="str"/>
      <x:c r="G196" s="27" t="str"/>
      <x:c r="H196" s="27" t="str"/>
      <x:c r="I196" s="27" t="str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</x:row>
    <x:row r="197">
      <x:c r="A197" s="27" t="str"/>
      <x:c r="B197" s="27" t="str"/>
      <x:c r="C197" s="27" t="str"/>
      <x:c r="D197" s="27" t="str"/>
      <x:c r="E197" s="27" t="str"/>
      <x:c r="F197" s="27" t="str"/>
      <x:c r="G197" s="27" t="str"/>
      <x:c r="H197" s="27" t="str"/>
      <x:c r="I197" s="27" t="str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</x:row>
    <x:row r="198">
      <x:c r="A198" s="27" t="str"/>
      <x:c r="B198" s="27" t="str"/>
      <x:c r="C198" s="27" t="str"/>
      <x:c r="D198" s="27" t="str"/>
      <x:c r="E198" s="27" t="str"/>
      <x:c r="F198" s="27" t="str"/>
      <x:c r="G198" s="27" t="str"/>
      <x:c r="H198" s="27" t="str"/>
      <x:c r="I198" s="27" t="str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</x:row>
    <x:row r="199">
      <x:c r="A199" s="27" t="str"/>
      <x:c r="B199" s="27" t="str"/>
      <x:c r="C199" s="27" t="str"/>
      <x:c r="D199" s="27" t="str"/>
      <x:c r="E199" s="27" t="str"/>
      <x:c r="F199" s="27" t="str"/>
      <x:c r="G199" s="27" t="str"/>
      <x:c r="H199" s="27" t="str"/>
      <x:c r="I199" s="27" t="str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</x:row>
    <x:row r="200">
      <x:c r="A200" s="27" t="str"/>
      <x:c r="B200" s="27" t="str"/>
      <x:c r="C200" s="27" t="str"/>
      <x:c r="D200" s="27" t="str"/>
      <x:c r="E200" s="27" t="str"/>
      <x:c r="F200" s="27" t="str"/>
      <x:c r="G200" s="27" t="str"/>
      <x:c r="H200" s="27" t="str"/>
      <x:c r="I200" s="27" t="str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</x:row>
    <x:row r="201">
      <x:c r="A201" s="27" t="str"/>
      <x:c r="B201" s="27" t="str"/>
      <x:c r="C201" s="27" t="str"/>
      <x:c r="D201" s="27" t="str"/>
      <x:c r="E201" s="27" t="str"/>
      <x:c r="F201" s="27" t="str"/>
      <x:c r="G201" s="27" t="str"/>
      <x:c r="H201" s="27" t="str"/>
      <x:c r="I201" s="27" t="str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</x:row>
    <x:row r="202">
      <x:c r="A202" s="27" t="str"/>
      <x:c r="B202" s="27" t="str"/>
      <x:c r="C202" s="27" t="str"/>
      <x:c r="D202" s="27" t="str"/>
      <x:c r="E202" s="27" t="str"/>
      <x:c r="F202" s="27" t="str"/>
      <x:c r="G202" s="27" t="str"/>
      <x:c r="H202" s="27" t="str"/>
      <x:c r="I202" s="27" t="str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</x:row>
    <x:row r="203">
      <x:c r="A203" s="27" t="str"/>
      <x:c r="B203" s="27" t="str"/>
      <x:c r="C203" s="27" t="str"/>
      <x:c r="D203" s="27" t="str"/>
      <x:c r="E203" s="27" t="str"/>
      <x:c r="F203" s="27" t="str"/>
      <x:c r="G203" s="27" t="str"/>
      <x:c r="H203" s="27" t="str"/>
      <x:c r="I203" s="27" t="str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</x:row>
    <x:row r="204">
      <x:c r="A204" s="27" t="str"/>
      <x:c r="B204" s="27" t="str"/>
      <x:c r="C204" s="27" t="str"/>
      <x:c r="D204" s="27" t="str"/>
      <x:c r="E204" s="27" t="str"/>
      <x:c r="F204" s="27" t="str"/>
      <x:c r="G204" s="27" t="str"/>
      <x:c r="H204" s="27" t="str"/>
      <x:c r="I204" s="27" t="str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</x:row>
  </x:sheetData>
  <x:mergeCells>
    <x:mergeCell ref="A1:I1"/>
    <x:mergeCell ref="A2:I2"/>
  </x:mergeCells>
  <x:dataValidations count="1">
    <x:dataValidation type="list" sqref="D5:D204">
      <x:formula1>"Обязательно для первой версии,Желательно для первой версии,Следующий выпуск,Отложить,Исключить"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9cfac2b84b451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14" hidden="0" customWidth="1"/>
    <x:col min="5" max="5" width="12" hidden="0" customWidth="1"/>
    <x:col min="6" max="6" width="40" hidden="0" customWidth="1"/>
    <x:col min="7" max="7" width="32" hidden="0" customWidth="1"/>
    <x:col min="8" max="8" width="30" hidden="0" customWidth="1"/>
    <x:col min="9" max="9" width="42" hidden="0" customWidth="1"/>
    <x:col min="10" max="10" width="28" hidden="0" customWidth="1"/>
    <x:col min="11" max="11" width="30" hidden="0" customWidth="1"/>
    <x:col min="12" max="12" width="34" hidden="0" customWidth="1"/>
    <x:col min="13" max="13" width="30" hidden="0" customWidth="1"/>
    <x:col min="14" max="14" width="16" hidden="0" customWidth="1"/>
    <x:col min="15" max="15" width="22" hidden="0" customWidth="1"/>
  </x:cols>
  <x:sheetData>
    <x:row r="1" ht="32" customHeight="1">
      <x:c r="A1" s="60" t="str">
        <x:v>Паспорт страницы или экрана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27"/>
      <x:c r="Q1" s="27"/>
      <x:c r="R1" s="27"/>
      <x:c r="S1" s="27"/>
      <x:c r="T1" s="27"/>
      <x:c r="U1" s="27"/>
    </x:row>
    <x:row r="2" ht="32" customHeight="1">
      <x:c r="A2" s="9" t="str">
        <x:v>Итоговая форма описания интерфейсной единицы для прототипирования, постановки задачи и проверки связности.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27"/>
      <x:c r="Q2" s="27"/>
      <x:c r="R2" s="27"/>
      <x:c r="S2" s="27"/>
      <x:c r="T2" s="27"/>
      <x:c r="U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 ht="38" customHeight="1">
      <x:c r="A4" s="50" t="str">
        <x:v>Unit_ID</x:v>
      </x:c>
      <x:c r="B4" s="50" t="str">
        <x:v>Название</x:v>
      </x:c>
      <x:c r="C4" s="50" t="str">
        <x:v>Тип</x:v>
      </x:c>
      <x:c r="D4" s="50" t="str">
        <x:v>Сценарий_ID</x:v>
      </x:c>
      <x:c r="E4" s="50" t="str">
        <x:v>Роль_ID</x:v>
      </x:c>
      <x:c r="F4" s="50" t="str">
        <x:v>Назначение</x:v>
      </x:c>
      <x:c r="G4" s="50" t="str">
        <x:v>Главная задача</x:v>
      </x:c>
      <x:c r="H4" s="50" t="str">
        <x:v>Основное действие</x:v>
      </x:c>
      <x:c r="I4" s="50" t="str">
        <x:v>Состав блоков</x:v>
      </x:c>
      <x:c r="J4" s="50" t="str">
        <x:v>Состояния</x:v>
      </x:c>
      <x:c r="K4" s="50" t="str">
        <x:v>Навигация</x:v>
      </x:c>
      <x:c r="L4" s="50" t="str">
        <x:v>Метрики успеха</x:v>
      </x:c>
      <x:c r="M4" s="50" t="str">
        <x:v>Риски</x:v>
      </x:c>
      <x:c r="N4" s="50" t="str">
        <x:v>Полнота паспорта</x:v>
      </x:c>
      <x:c r="O4" s="50" t="str">
        <x:v>Вердикт</x:v>
      </x:c>
      <x:c r="P4" s="27"/>
      <x:c r="Q4" s="27"/>
      <x:c r="R4" s="27"/>
      <x:c r="S4" s="27"/>
      <x:c r="T4" s="27"/>
      <x:c r="U4" s="27"/>
    </x:row>
    <x:row r="5">
      <x:c r="A5" s="27" t="str">
        <x:v>U-001</x:v>
      </x:c>
      <x:c r="B5" s="27" t="str">
        <x:v>Главная страница</x:v>
      </x:c>
      <x:c r="C5" s="27" t="str">
        <x:v>Страница сайта</x:v>
      </x:c>
      <x:c r="D5" s="27" t="str">
        <x:v>SC-001</x:v>
      </x:c>
      <x:c r="E5" s="27" t="str">
        <x:v>ROLE-001</x:v>
      </x:c>
      <x:c r="F5" s="27" t="str">
        <x:v>Показать ценность и направить к целевому действию</x:v>
      </x:c>
      <x:c r="G5" s="27" t="str">
        <x:v>Понять пользу</x:v>
      </x:c>
      <x:c r="H5" s="27" t="str">
        <x:v>Перейти к регистрации/демонстрации</x:v>
      </x:c>
      <x:c r="I5" s="27" t="str">
        <x:v>Первый экран; проблемы; преимущества; доказательства; призыв</x:v>
      </x:c>
      <x:c r="J5" s="27" t="str">
        <x:v>Нормальное; загрузка; ошибка</x:v>
      </x:c>
      <x:c r="K5" s="27" t="str">
        <x:v>Переход к регистрации</x:v>
      </x:c>
      <x:c r="L5" s="27" t="str">
        <x:v>Клики по целевому действию; конверсия в регистрацию</x:v>
      </x:c>
      <x:c r="M5" s="27" t="str">
        <x:v>Непонятная ценность; перегруженность</x:v>
      </x:c>
      <x:c r="N5" s="52" t="n">
        <x:f>IF(A5="","",ROUND(COUNTA(B5:M5)/12,2))</x:f>
        <x:v>1</x:v>
      </x:c>
      <x:c r="O5" s="27" t="str">
        <x:f>IF(A5="","",IF(N5&gt;=0.85,"Готов к прототипу",IF(N5&gt;=0.6,"Требует доработки","Недостаточно данных")))</x:f>
        <x:v>Готов к прототипу</x:v>
      </x:c>
      <x:c r="P5" s="27"/>
      <x:c r="Q5" s="27"/>
      <x:c r="R5" s="27"/>
      <x:c r="S5" s="27"/>
      <x:c r="T5" s="27"/>
      <x:c r="U5" s="27"/>
    </x:row>
    <x:row r="6">
      <x:c r="A6" s="27" t="str">
        <x:v>U-002</x:v>
      </x:c>
      <x:c r="B6" s="27" t="str">
        <x:v>Регистрация</x:v>
      </x:c>
      <x:c r="C6" s="27" t="str">
        <x:v>Экран приложения</x:v>
      </x:c>
      <x:c r="D6" s="27" t="str">
        <x:v>SC-002</x:v>
      </x:c>
      <x:c r="E6" s="27" t="str">
        <x:v>ROLE-002</x:v>
      </x:c>
      <x:c r="F6" s="27" t="str">
        <x:v>Создание учетной записи</x:v>
      </x:c>
      <x:c r="G6" s="27" t="str">
        <x:v>Начать пользоваться</x:v>
      </x:c>
      <x:c r="H6" s="27" t="str">
        <x:v>Создать учетную запись</x:v>
      </x:c>
      <x:c r="I6" s="27" t="str">
        <x:v>Поля; согласия; кнопка; подсказки</x:v>
      </x:c>
      <x:c r="J6" s="27" t="str">
        <x:v>Нормальное; ошибка; успех</x:v>
      </x:c>
      <x:c r="K6" s="27" t="str">
        <x:v>Переход из главной/демо</x:v>
      </x:c>
      <x:c r="L6" s="27" t="str">
        <x:v>Завершение регистрации; ошибки формы</x:v>
      </x:c>
      <x:c r="M6" s="27" t="str">
        <x:v>Слишком длинная форма</x:v>
      </x:c>
      <x:c r="N6" s="52" t="n">
        <x:f>IF(A6="","",ROUND(COUNTA(B6:M6)/12,2))</x:f>
        <x:v>1</x:v>
      </x:c>
      <x:c r="O6" s="27" t="str">
        <x:f>IF(A6="","",IF(N6&gt;=0.85,"Готов к прототипу",IF(N6&gt;=0.6,"Требует доработки","Недостаточно данных")))</x:f>
        <x:v>Готов к прототипу</x:v>
      </x:c>
      <x:c r="P6" s="27"/>
      <x:c r="Q6" s="27"/>
      <x:c r="R6" s="27"/>
      <x:c r="S6" s="27"/>
      <x:c r="T6" s="27"/>
      <x:c r="U6" s="27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/>
      <x:c r="J7" s="27" t="str"/>
      <x:c r="K7" s="27" t="str"/>
      <x:c r="L7" s="27" t="str"/>
      <x:c r="M7" s="27" t="str"/>
      <x:c r="N7" s="52" t="str">
        <x:f>IF(A7="","",ROUND(COUNTA(B7:M7)/12,2))</x:f>
      </x:c>
      <x:c r="O7" s="27" t="str">
        <x:f>IF(A7="","",IF(N7&gt;=0.85,"Готов к прототипу",IF(N7&gt;=0.6,"Требует доработки","Недостаточно данных")))</x:f>
      </x:c>
      <x:c r="P7" s="27"/>
      <x:c r="Q7" s="27"/>
      <x:c r="R7" s="27"/>
      <x:c r="S7" s="27"/>
      <x:c r="T7" s="27"/>
      <x:c r="U7" s="27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/>
      <x:c r="J8" s="27" t="str"/>
      <x:c r="K8" s="27" t="str"/>
      <x:c r="L8" s="27" t="str"/>
      <x:c r="M8" s="27" t="str"/>
      <x:c r="N8" s="52" t="str">
        <x:f>IF(A8="","",ROUND(COUNTA(B8:M8)/12,2))</x:f>
      </x:c>
      <x:c r="O8" s="27" t="str">
        <x:f>IF(A8="","",IF(N8&gt;=0.85,"Готов к прототипу",IF(N8&gt;=0.6,"Требует доработки","Недостаточно данных")))</x:f>
      </x:c>
      <x:c r="P8" s="27"/>
      <x:c r="Q8" s="27"/>
      <x:c r="R8" s="27"/>
      <x:c r="S8" s="27"/>
      <x:c r="T8" s="27"/>
      <x:c r="U8" s="27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/>
      <x:c r="J9" s="27" t="str"/>
      <x:c r="K9" s="27" t="str"/>
      <x:c r="L9" s="27" t="str"/>
      <x:c r="M9" s="27" t="str"/>
      <x:c r="N9" s="52" t="str">
        <x:f>IF(A9="","",ROUND(COUNTA(B9:M9)/12,2))</x:f>
      </x:c>
      <x:c r="O9" s="27" t="str">
        <x:f>IF(A9="","",IF(N9&gt;=0.85,"Готов к прототипу",IF(N9&gt;=0.6,"Требует доработки","Недостаточно данных")))</x:f>
      </x:c>
      <x:c r="P9" s="27"/>
      <x:c r="Q9" s="27"/>
      <x:c r="R9" s="27"/>
      <x:c r="S9" s="27"/>
      <x:c r="T9" s="27"/>
      <x:c r="U9" s="27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/>
      <x:c r="J10" s="27" t="str"/>
      <x:c r="K10" s="27" t="str"/>
      <x:c r="L10" s="27" t="str"/>
      <x:c r="M10" s="27" t="str"/>
      <x:c r="N10" s="52" t="str">
        <x:f>IF(A10="","",ROUND(COUNTA(B10:M10)/12,2))</x:f>
      </x:c>
      <x:c r="O10" s="27" t="str">
        <x:f>IF(A10="","",IF(N10&gt;=0.85,"Готов к прототипу",IF(N10&gt;=0.6,"Требует доработки","Недостаточно данных")))</x:f>
      </x:c>
      <x:c r="P10" s="27"/>
      <x:c r="Q10" s="27"/>
      <x:c r="R10" s="27"/>
      <x:c r="S10" s="27"/>
      <x:c r="T10" s="27"/>
      <x:c r="U10" s="27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/>
      <x:c r="J11" s="27" t="str"/>
      <x:c r="K11" s="27" t="str"/>
      <x:c r="L11" s="27" t="str"/>
      <x:c r="M11" s="27" t="str"/>
      <x:c r="N11" s="52" t="str">
        <x:f>IF(A11="","",ROUND(COUNTA(B11:M11)/12,2))</x:f>
      </x:c>
      <x:c r="O11" s="27" t="str">
        <x:f>IF(A11="","",IF(N11&gt;=0.85,"Готов к прототипу",IF(N11&gt;=0.6,"Требует доработки","Недостаточно данных")))</x:f>
      </x:c>
      <x:c r="P11" s="27"/>
      <x:c r="Q11" s="27"/>
      <x:c r="R11" s="27"/>
      <x:c r="S11" s="27"/>
      <x:c r="T11" s="27"/>
      <x:c r="U11" s="27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/>
      <x:c r="J12" s="27" t="str"/>
      <x:c r="K12" s="27" t="str"/>
      <x:c r="L12" s="27" t="str"/>
      <x:c r="M12" s="27" t="str"/>
      <x:c r="N12" s="52" t="str">
        <x:f>IF(A12="","",ROUND(COUNTA(B12:M12)/12,2))</x:f>
      </x:c>
      <x:c r="O12" s="27" t="str">
        <x:f>IF(A12="","",IF(N12&gt;=0.85,"Готов к прототипу",IF(N12&gt;=0.6,"Требует доработки","Недостаточно данных")))</x:f>
      </x:c>
      <x:c r="P12" s="27"/>
      <x:c r="Q12" s="27"/>
      <x:c r="R12" s="27"/>
      <x:c r="S12" s="27"/>
      <x:c r="T12" s="27"/>
      <x:c r="U12" s="27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/>
      <x:c r="J13" s="27" t="str"/>
      <x:c r="K13" s="27" t="str"/>
      <x:c r="L13" s="27" t="str"/>
      <x:c r="M13" s="27" t="str"/>
      <x:c r="N13" s="52" t="str">
        <x:f>IF(A13="","",ROUND(COUNTA(B13:M13)/12,2))</x:f>
      </x:c>
      <x:c r="O13" s="27" t="str">
        <x:f>IF(A13="","",IF(N13&gt;=0.85,"Готов к прототипу",IF(N13&gt;=0.6,"Требует доработки","Недостаточно данных")))</x:f>
      </x:c>
      <x:c r="P13" s="27"/>
      <x:c r="Q13" s="27"/>
      <x:c r="R13" s="27"/>
      <x:c r="S13" s="27"/>
      <x:c r="T13" s="27"/>
      <x:c r="U13" s="27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/>
      <x:c r="J14" s="27" t="str"/>
      <x:c r="K14" s="27" t="str"/>
      <x:c r="L14" s="27" t="str"/>
      <x:c r="M14" s="27" t="str"/>
      <x:c r="N14" s="52" t="str">
        <x:f>IF(A14="","",ROUND(COUNTA(B14:M14)/12,2))</x:f>
      </x:c>
      <x:c r="O14" s="27" t="str">
        <x:f>IF(A14="","",IF(N14&gt;=0.85,"Готов к прототипу",IF(N14&gt;=0.6,"Требует доработки","Недостаточно данных")))</x:f>
      </x:c>
      <x:c r="P14" s="27"/>
      <x:c r="Q14" s="27"/>
      <x:c r="R14" s="27"/>
      <x:c r="S14" s="27"/>
      <x:c r="T14" s="27"/>
      <x:c r="U14" s="27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/>
      <x:c r="J15" s="27" t="str"/>
      <x:c r="K15" s="27" t="str"/>
      <x:c r="L15" s="27" t="str"/>
      <x:c r="M15" s="27" t="str"/>
      <x:c r="N15" s="52" t="str">
        <x:f>IF(A15="","",ROUND(COUNTA(B15:M15)/12,2))</x:f>
      </x:c>
      <x:c r="O15" s="27" t="str">
        <x:f>IF(A15="","",IF(N15&gt;=0.85,"Готов к прототипу",IF(N15&gt;=0.6,"Требует доработки","Недостаточно данных")))</x:f>
      </x:c>
      <x:c r="P15" s="27"/>
      <x:c r="Q15" s="27"/>
      <x:c r="R15" s="27"/>
      <x:c r="S15" s="27"/>
      <x:c r="T15" s="27"/>
      <x:c r="U15" s="27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/>
      <x:c r="J16" s="27" t="str"/>
      <x:c r="K16" s="27" t="str"/>
      <x:c r="L16" s="27" t="str"/>
      <x:c r="M16" s="27" t="str"/>
      <x:c r="N16" s="52" t="str">
        <x:f>IF(A16="","",ROUND(COUNTA(B16:M16)/12,2))</x:f>
      </x:c>
      <x:c r="O16" s="27" t="str">
        <x:f>IF(A16="","",IF(N16&gt;=0.85,"Готов к прототипу",IF(N16&gt;=0.6,"Требует доработки","Недостаточно данных")))</x:f>
      </x:c>
      <x:c r="P16" s="27"/>
      <x:c r="Q16" s="27"/>
      <x:c r="R16" s="27"/>
      <x:c r="S16" s="27"/>
      <x:c r="T16" s="27"/>
      <x:c r="U16" s="27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/>
      <x:c r="J17" s="27" t="str"/>
      <x:c r="K17" s="27" t="str"/>
      <x:c r="L17" s="27" t="str"/>
      <x:c r="M17" s="27" t="str"/>
      <x:c r="N17" s="52" t="str">
        <x:f>IF(A17="","",ROUND(COUNTA(B17:M17)/12,2))</x:f>
      </x:c>
      <x:c r="O17" s="27" t="str">
        <x:f>IF(A17="","",IF(N17&gt;=0.85,"Готов к прототипу",IF(N17&gt;=0.6,"Требует доработки","Недостаточно данных")))</x:f>
      </x:c>
      <x:c r="P17" s="27"/>
      <x:c r="Q17" s="27"/>
      <x:c r="R17" s="27"/>
      <x:c r="S17" s="27"/>
      <x:c r="T17" s="27"/>
      <x:c r="U17" s="27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/>
      <x:c r="J18" s="27" t="str"/>
      <x:c r="K18" s="27" t="str"/>
      <x:c r="L18" s="27" t="str"/>
      <x:c r="M18" s="27" t="str"/>
      <x:c r="N18" s="52" t="str">
        <x:f>IF(A18="","",ROUND(COUNTA(B18:M18)/12,2))</x:f>
      </x:c>
      <x:c r="O18" s="27" t="str">
        <x:f>IF(A18="","",IF(N18&gt;=0.85,"Готов к прототипу",IF(N18&gt;=0.6,"Требует доработки","Недостаточно данных")))</x:f>
      </x:c>
      <x:c r="P18" s="27"/>
      <x:c r="Q18" s="27"/>
      <x:c r="R18" s="27"/>
      <x:c r="S18" s="27"/>
      <x:c r="T18" s="27"/>
      <x:c r="U18" s="27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/>
      <x:c r="J19" s="27" t="str"/>
      <x:c r="K19" s="27" t="str"/>
      <x:c r="L19" s="27" t="str"/>
      <x:c r="M19" s="27" t="str"/>
      <x:c r="N19" s="52" t="str">
        <x:f>IF(A19="","",ROUND(COUNTA(B19:M19)/12,2))</x:f>
      </x:c>
      <x:c r="O19" s="27" t="str">
        <x:f>IF(A19="","",IF(N19&gt;=0.85,"Готов к прототипу",IF(N19&gt;=0.6,"Требует доработки","Недостаточно данных")))</x:f>
      </x:c>
      <x:c r="P19" s="27"/>
      <x:c r="Q19" s="27"/>
      <x:c r="R19" s="27"/>
      <x:c r="S19" s="27"/>
      <x:c r="T19" s="27"/>
      <x:c r="U19" s="27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/>
      <x:c r="J20" s="27" t="str"/>
      <x:c r="K20" s="27" t="str"/>
      <x:c r="L20" s="27" t="str"/>
      <x:c r="M20" s="27" t="str"/>
      <x:c r="N20" s="52" t="str">
        <x:f>IF(A20="","",ROUND(COUNTA(B20:M20)/12,2))</x:f>
      </x:c>
      <x:c r="O20" s="27" t="str">
        <x:f>IF(A20="","",IF(N20&gt;=0.85,"Готов к прототипу",IF(N20&gt;=0.6,"Требует доработки","Недостаточно данных")))</x:f>
      </x:c>
      <x:c r="P20" s="27"/>
      <x:c r="Q20" s="27"/>
      <x:c r="R20" s="27"/>
      <x:c r="S20" s="27"/>
      <x:c r="T20" s="27"/>
      <x:c r="U20" s="27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/>
      <x:c r="J21" s="27" t="str"/>
      <x:c r="K21" s="27" t="str"/>
      <x:c r="L21" s="27" t="str"/>
      <x:c r="M21" s="27" t="str"/>
      <x:c r="N21" s="52" t="str">
        <x:f>IF(A21="","",ROUND(COUNTA(B21:M21)/12,2))</x:f>
      </x:c>
      <x:c r="O21" s="27" t="str">
        <x:f>IF(A21="","",IF(N21&gt;=0.85,"Готов к прототипу",IF(N21&gt;=0.6,"Требует доработки","Недостаточно данных")))</x:f>
      </x:c>
      <x:c r="P21" s="27"/>
      <x:c r="Q21" s="27"/>
      <x:c r="R21" s="27"/>
      <x:c r="S21" s="27"/>
      <x:c r="T21" s="27"/>
      <x:c r="U21" s="27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/>
      <x:c r="J22" s="27" t="str"/>
      <x:c r="K22" s="27" t="str"/>
      <x:c r="L22" s="27" t="str"/>
      <x:c r="M22" s="27" t="str"/>
      <x:c r="N22" s="52" t="str">
        <x:f>IF(A22="","",ROUND(COUNTA(B22:M22)/12,2))</x:f>
      </x:c>
      <x:c r="O22" s="27" t="str">
        <x:f>IF(A22="","",IF(N22&gt;=0.85,"Готов к прототипу",IF(N22&gt;=0.6,"Требует доработки","Недостаточно данных")))</x:f>
      </x:c>
      <x:c r="P22" s="27"/>
      <x:c r="Q22" s="27"/>
      <x:c r="R22" s="27"/>
      <x:c r="S22" s="27"/>
      <x:c r="T22" s="27"/>
      <x:c r="U22" s="27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/>
      <x:c r="J23" s="27" t="str"/>
      <x:c r="K23" s="27" t="str"/>
      <x:c r="L23" s="27" t="str"/>
      <x:c r="M23" s="27" t="str"/>
      <x:c r="N23" s="52" t="str">
        <x:f>IF(A23="","",ROUND(COUNTA(B23:M23)/12,2))</x:f>
      </x:c>
      <x:c r="O23" s="27" t="str">
        <x:f>IF(A23="","",IF(N23&gt;=0.85,"Готов к прототипу",IF(N23&gt;=0.6,"Требует доработки","Недостаточно данных")))</x:f>
      </x:c>
      <x:c r="P23" s="27"/>
      <x:c r="Q23" s="27"/>
      <x:c r="R23" s="27"/>
      <x:c r="S23" s="27"/>
      <x:c r="T23" s="27"/>
      <x:c r="U23" s="27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/>
      <x:c r="J24" s="27" t="str"/>
      <x:c r="K24" s="27" t="str"/>
      <x:c r="L24" s="27" t="str"/>
      <x:c r="M24" s="27" t="str"/>
      <x:c r="N24" s="52" t="str">
        <x:f>IF(A24="","",ROUND(COUNTA(B24:M24)/12,2))</x:f>
      </x:c>
      <x:c r="O24" s="27" t="str">
        <x:f>IF(A24="","",IF(N24&gt;=0.85,"Готов к прототипу",IF(N24&gt;=0.6,"Требует доработки","Недостаточно данных")))</x:f>
      </x:c>
      <x:c r="P24" s="27"/>
      <x:c r="Q24" s="27"/>
      <x:c r="R24" s="27"/>
      <x:c r="S24" s="27"/>
      <x:c r="T24" s="27"/>
      <x:c r="U24" s="27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/>
      <x:c r="J25" s="27" t="str"/>
      <x:c r="K25" s="27" t="str"/>
      <x:c r="L25" s="27" t="str"/>
      <x:c r="M25" s="27" t="str"/>
      <x:c r="N25" s="52" t="str">
        <x:f>IF(A25="","",ROUND(COUNTA(B25:M25)/12,2))</x:f>
      </x:c>
      <x:c r="O25" s="27" t="str">
        <x:f>IF(A25="","",IF(N25&gt;=0.85,"Готов к прототипу",IF(N25&gt;=0.6,"Требует доработки","Недостаточно данных")))</x:f>
      </x:c>
      <x:c r="P25" s="27"/>
      <x:c r="Q25" s="27"/>
      <x:c r="R25" s="27"/>
      <x:c r="S25" s="27"/>
      <x:c r="T25" s="27"/>
      <x:c r="U25" s="27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/>
      <x:c r="J26" s="27" t="str"/>
      <x:c r="K26" s="27" t="str"/>
      <x:c r="L26" s="27" t="str"/>
      <x:c r="M26" s="27" t="str"/>
      <x:c r="N26" s="52" t="str">
        <x:f>IF(A26="","",ROUND(COUNTA(B26:M26)/12,2))</x:f>
      </x:c>
      <x:c r="O26" s="27" t="str">
        <x:f>IF(A26="","",IF(N26&gt;=0.85,"Готов к прототипу",IF(N26&gt;=0.6,"Требует доработки","Недостаточно данных")))</x:f>
      </x:c>
      <x:c r="P26" s="27"/>
      <x:c r="Q26" s="27"/>
      <x:c r="R26" s="27"/>
      <x:c r="S26" s="27"/>
      <x:c r="T26" s="27"/>
      <x:c r="U26" s="27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/>
      <x:c r="J27" s="27" t="str"/>
      <x:c r="K27" s="27" t="str"/>
      <x:c r="L27" s="27" t="str"/>
      <x:c r="M27" s="27" t="str"/>
      <x:c r="N27" s="52" t="str">
        <x:f>IF(A27="","",ROUND(COUNTA(B27:M27)/12,2))</x:f>
      </x:c>
      <x:c r="O27" s="27" t="str">
        <x:f>IF(A27="","",IF(N27&gt;=0.85,"Готов к прототипу",IF(N27&gt;=0.6,"Требует доработки","Недостаточно данных")))</x:f>
      </x:c>
      <x:c r="P27" s="27"/>
      <x:c r="Q27" s="27"/>
      <x:c r="R27" s="27"/>
      <x:c r="S27" s="27"/>
      <x:c r="T27" s="27"/>
      <x:c r="U27" s="27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/>
      <x:c r="J28" s="27" t="str"/>
      <x:c r="K28" s="27" t="str"/>
      <x:c r="L28" s="27" t="str"/>
      <x:c r="M28" s="27" t="str"/>
      <x:c r="N28" s="52" t="str">
        <x:f>IF(A28="","",ROUND(COUNTA(B28:M28)/12,2))</x:f>
      </x:c>
      <x:c r="O28" s="27" t="str">
        <x:f>IF(A28="","",IF(N28&gt;=0.85,"Готов к прототипу",IF(N28&gt;=0.6,"Требует доработки","Недостаточно данных")))</x:f>
      </x:c>
      <x:c r="P28" s="27"/>
      <x:c r="Q28" s="27"/>
      <x:c r="R28" s="27"/>
      <x:c r="S28" s="27"/>
      <x:c r="T28" s="27"/>
      <x:c r="U28" s="27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/>
      <x:c r="J29" s="27" t="str"/>
      <x:c r="K29" s="27" t="str"/>
      <x:c r="L29" s="27" t="str"/>
      <x:c r="M29" s="27" t="str"/>
      <x:c r="N29" s="52" t="str">
        <x:f>IF(A29="","",ROUND(COUNTA(B29:M29)/12,2))</x:f>
      </x:c>
      <x:c r="O29" s="27" t="str">
        <x:f>IF(A29="","",IF(N29&gt;=0.85,"Готов к прототипу",IF(N29&gt;=0.6,"Требует доработки","Недостаточно данных")))</x:f>
      </x:c>
      <x:c r="P29" s="27"/>
      <x:c r="Q29" s="27"/>
      <x:c r="R29" s="27"/>
      <x:c r="S29" s="27"/>
      <x:c r="T29" s="27"/>
      <x:c r="U29" s="27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/>
      <x:c r="J30" s="27" t="str"/>
      <x:c r="K30" s="27" t="str"/>
      <x:c r="L30" s="27" t="str"/>
      <x:c r="M30" s="27" t="str"/>
      <x:c r="N30" s="52" t="str">
        <x:f>IF(A30="","",ROUND(COUNTA(B30:M30)/12,2))</x:f>
      </x:c>
      <x:c r="O30" s="27" t="str">
        <x:f>IF(A30="","",IF(N30&gt;=0.85,"Готов к прототипу",IF(N30&gt;=0.6,"Требует доработки","Недостаточно данных")))</x:f>
      </x:c>
      <x:c r="P30" s="27"/>
      <x:c r="Q30" s="27"/>
      <x:c r="R30" s="27"/>
      <x:c r="S30" s="27"/>
      <x:c r="T30" s="27"/>
      <x:c r="U30" s="27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/>
      <x:c r="J31" s="27" t="str"/>
      <x:c r="K31" s="27" t="str"/>
      <x:c r="L31" s="27" t="str"/>
      <x:c r="M31" s="27" t="str"/>
      <x:c r="N31" s="52" t="str">
        <x:f>IF(A31="","",ROUND(COUNTA(B31:M31)/12,2))</x:f>
      </x:c>
      <x:c r="O31" s="27" t="str">
        <x:f>IF(A31="","",IF(N31&gt;=0.85,"Готов к прототипу",IF(N31&gt;=0.6,"Требует доработки","Недостаточно данных")))</x:f>
      </x:c>
      <x:c r="P31" s="27"/>
      <x:c r="Q31" s="27"/>
      <x:c r="R31" s="27"/>
      <x:c r="S31" s="27"/>
      <x:c r="T31" s="27"/>
      <x:c r="U31" s="27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/>
      <x:c r="J32" s="27" t="str"/>
      <x:c r="K32" s="27" t="str"/>
      <x:c r="L32" s="27" t="str"/>
      <x:c r="M32" s="27" t="str"/>
      <x:c r="N32" s="52" t="str">
        <x:f>IF(A32="","",ROUND(COUNTA(B32:M32)/12,2))</x:f>
      </x:c>
      <x:c r="O32" s="27" t="str">
        <x:f>IF(A32="","",IF(N32&gt;=0.85,"Готов к прототипу",IF(N32&gt;=0.6,"Требует доработки","Недостаточно данных")))</x:f>
      </x:c>
      <x:c r="P32" s="27"/>
      <x:c r="Q32" s="27"/>
      <x:c r="R32" s="27"/>
      <x:c r="S32" s="27"/>
      <x:c r="T32" s="27"/>
      <x:c r="U32" s="27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/>
      <x:c r="J33" s="27" t="str"/>
      <x:c r="K33" s="27" t="str"/>
      <x:c r="L33" s="27" t="str"/>
      <x:c r="M33" s="27" t="str"/>
      <x:c r="N33" s="52" t="str">
        <x:f>IF(A33="","",ROUND(COUNTA(B33:M33)/12,2))</x:f>
      </x:c>
      <x:c r="O33" s="27" t="str">
        <x:f>IF(A33="","",IF(N33&gt;=0.85,"Готов к прототипу",IF(N33&gt;=0.6,"Требует доработки","Недостаточно данных")))</x:f>
      </x:c>
      <x:c r="P33" s="27"/>
      <x:c r="Q33" s="27"/>
      <x:c r="R33" s="27"/>
      <x:c r="S33" s="27"/>
      <x:c r="T33" s="27"/>
      <x:c r="U33" s="27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/>
      <x:c r="J34" s="27" t="str"/>
      <x:c r="K34" s="27" t="str"/>
      <x:c r="L34" s="27" t="str"/>
      <x:c r="M34" s="27" t="str"/>
      <x:c r="N34" s="52" t="str">
        <x:f>IF(A34="","",ROUND(COUNTA(B34:M34)/12,2))</x:f>
      </x:c>
      <x:c r="O34" s="27" t="str">
        <x:f>IF(A34="","",IF(N34&gt;=0.85,"Готов к прототипу",IF(N34&gt;=0.6,"Требует доработки","Недостаточно данных")))</x:f>
      </x:c>
      <x:c r="P34" s="27"/>
      <x:c r="Q34" s="27"/>
      <x:c r="R34" s="27"/>
      <x:c r="S34" s="27"/>
      <x:c r="T34" s="27"/>
      <x:c r="U34" s="27"/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/>
      <x:c r="J35" s="27" t="str"/>
      <x:c r="K35" s="27" t="str"/>
      <x:c r="L35" s="27" t="str"/>
      <x:c r="M35" s="27" t="str"/>
      <x:c r="N35" s="52" t="str">
        <x:f>IF(A35="","",ROUND(COUNTA(B35:M35)/12,2))</x:f>
      </x:c>
      <x:c r="O35" s="27" t="str">
        <x:f>IF(A35="","",IF(N35&gt;=0.85,"Готов к прототипу",IF(N35&gt;=0.6,"Требует доработки","Недостаточно данных")))</x:f>
      </x:c>
      <x:c r="P35" s="27"/>
      <x:c r="Q35" s="27"/>
      <x:c r="R35" s="27"/>
      <x:c r="S35" s="27"/>
      <x:c r="T35" s="27"/>
      <x:c r="U35" s="27"/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/>
      <x:c r="J36" s="27" t="str"/>
      <x:c r="K36" s="27" t="str"/>
      <x:c r="L36" s="27" t="str"/>
      <x:c r="M36" s="27" t="str"/>
      <x:c r="N36" s="52" t="str">
        <x:f>IF(A36="","",ROUND(COUNTA(B36:M36)/12,2))</x:f>
      </x:c>
      <x:c r="O36" s="27" t="str">
        <x:f>IF(A36="","",IF(N36&gt;=0.85,"Готов к прототипу",IF(N36&gt;=0.6,"Требует доработки","Недостаточно данных")))</x:f>
      </x:c>
      <x:c r="P36" s="27"/>
      <x:c r="Q36" s="27"/>
      <x:c r="R36" s="27"/>
      <x:c r="S36" s="27"/>
      <x:c r="T36" s="27"/>
      <x:c r="U36" s="27"/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/>
      <x:c r="J37" s="27" t="str"/>
      <x:c r="K37" s="27" t="str"/>
      <x:c r="L37" s="27" t="str"/>
      <x:c r="M37" s="27" t="str"/>
      <x:c r="N37" s="52" t="str">
        <x:f>IF(A37="","",ROUND(COUNTA(B37:M37)/12,2))</x:f>
      </x:c>
      <x:c r="O37" s="27" t="str">
        <x:f>IF(A37="","",IF(N37&gt;=0.85,"Готов к прототипу",IF(N37&gt;=0.6,"Требует доработки","Недостаточно данных")))</x:f>
      </x:c>
      <x:c r="P37" s="27"/>
      <x:c r="Q37" s="27"/>
      <x:c r="R37" s="27"/>
      <x:c r="S37" s="27"/>
      <x:c r="T37" s="27"/>
      <x:c r="U37" s="27"/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/>
      <x:c r="J38" s="27" t="str"/>
      <x:c r="K38" s="27" t="str"/>
      <x:c r="L38" s="27" t="str"/>
      <x:c r="M38" s="27" t="str"/>
      <x:c r="N38" s="52" t="str">
        <x:f>IF(A38="","",ROUND(COUNTA(B38:M38)/12,2))</x:f>
      </x:c>
      <x:c r="O38" s="27" t="str">
        <x:f>IF(A38="","",IF(N38&gt;=0.85,"Готов к прототипу",IF(N38&gt;=0.6,"Требует доработки","Недостаточно данных")))</x:f>
      </x:c>
      <x:c r="P38" s="27"/>
      <x:c r="Q38" s="27"/>
      <x:c r="R38" s="27"/>
      <x:c r="S38" s="27"/>
      <x:c r="T38" s="27"/>
      <x:c r="U38" s="27"/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/>
      <x:c r="J39" s="27" t="str"/>
      <x:c r="K39" s="27" t="str"/>
      <x:c r="L39" s="27" t="str"/>
      <x:c r="M39" s="27" t="str"/>
      <x:c r="N39" s="52" t="str">
        <x:f>IF(A39="","",ROUND(COUNTA(B39:M39)/12,2))</x:f>
      </x:c>
      <x:c r="O39" s="27" t="str">
        <x:f>IF(A39="","",IF(N39&gt;=0.85,"Готов к прототипу",IF(N39&gt;=0.6,"Требует доработки","Недостаточно данных")))</x:f>
      </x:c>
      <x:c r="P39" s="27"/>
      <x:c r="Q39" s="27"/>
      <x:c r="R39" s="27"/>
      <x:c r="S39" s="27"/>
      <x:c r="T39" s="27"/>
      <x:c r="U39" s="27"/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/>
      <x:c r="J40" s="27" t="str"/>
      <x:c r="K40" s="27" t="str"/>
      <x:c r="L40" s="27" t="str"/>
      <x:c r="M40" s="27" t="str"/>
      <x:c r="N40" s="52" t="str">
        <x:f>IF(A40="","",ROUND(COUNTA(B40:M40)/12,2))</x:f>
      </x:c>
      <x:c r="O40" s="27" t="str">
        <x:f>IF(A40="","",IF(N40&gt;=0.85,"Готов к прототипу",IF(N40&gt;=0.6,"Требует доработки","Недостаточно данных")))</x:f>
      </x:c>
      <x:c r="P40" s="27"/>
      <x:c r="Q40" s="27"/>
      <x:c r="R40" s="27"/>
      <x:c r="S40" s="27"/>
      <x:c r="T40" s="27"/>
      <x:c r="U40" s="27"/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/>
      <x:c r="J41" s="27" t="str"/>
      <x:c r="K41" s="27" t="str"/>
      <x:c r="L41" s="27" t="str"/>
      <x:c r="M41" s="27" t="str"/>
      <x:c r="N41" s="52" t="str">
        <x:f>IF(A41="","",ROUND(COUNTA(B41:M41)/12,2))</x:f>
      </x:c>
      <x:c r="O41" s="27" t="str">
        <x:f>IF(A41="","",IF(N41&gt;=0.85,"Готов к прототипу",IF(N41&gt;=0.6,"Требует доработки","Недостаточно данных")))</x:f>
      </x:c>
      <x:c r="P41" s="27"/>
      <x:c r="Q41" s="27"/>
      <x:c r="R41" s="27"/>
      <x:c r="S41" s="27"/>
      <x:c r="T41" s="27"/>
      <x:c r="U41" s="27"/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/>
      <x:c r="J42" s="27" t="str"/>
      <x:c r="K42" s="27" t="str"/>
      <x:c r="L42" s="27" t="str"/>
      <x:c r="M42" s="27" t="str"/>
      <x:c r="N42" s="52" t="str">
        <x:f>IF(A42="","",ROUND(COUNTA(B42:M42)/12,2))</x:f>
      </x:c>
      <x:c r="O42" s="27" t="str">
        <x:f>IF(A42="","",IF(N42&gt;=0.85,"Готов к прототипу",IF(N42&gt;=0.6,"Требует доработки","Недостаточно данных")))</x:f>
      </x:c>
      <x:c r="P42" s="27"/>
      <x:c r="Q42" s="27"/>
      <x:c r="R42" s="27"/>
      <x:c r="S42" s="27"/>
      <x:c r="T42" s="27"/>
      <x:c r="U42" s="27"/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/>
      <x:c r="J43" s="27" t="str"/>
      <x:c r="K43" s="27" t="str"/>
      <x:c r="L43" s="27" t="str"/>
      <x:c r="M43" s="27" t="str"/>
      <x:c r="N43" s="52" t="str">
        <x:f>IF(A43="","",ROUND(COUNTA(B43:M43)/12,2))</x:f>
      </x:c>
      <x:c r="O43" s="27" t="str">
        <x:f>IF(A43="","",IF(N43&gt;=0.85,"Готов к прототипу",IF(N43&gt;=0.6,"Требует доработки","Недостаточно данных")))</x:f>
      </x:c>
      <x:c r="P43" s="27"/>
      <x:c r="Q43" s="27"/>
      <x:c r="R43" s="27"/>
      <x:c r="S43" s="27"/>
      <x:c r="T43" s="27"/>
      <x:c r="U43" s="27"/>
    </x:row>
    <x:row r="44">
      <x:c r="A44" s="27" t="str"/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/>
      <x:c r="J44" s="27" t="str"/>
      <x:c r="K44" s="27" t="str"/>
      <x:c r="L44" s="27" t="str"/>
      <x:c r="M44" s="27" t="str"/>
      <x:c r="N44" s="52" t="str">
        <x:f>IF(A44="","",ROUND(COUNTA(B44:M44)/12,2))</x:f>
      </x:c>
      <x:c r="O44" s="27" t="str">
        <x:f>IF(A44="","",IF(N44&gt;=0.85,"Готов к прототипу",IF(N44&gt;=0.6,"Требует доработки","Недостаточно данных")))</x:f>
      </x:c>
      <x:c r="P44" s="27"/>
      <x:c r="Q44" s="27"/>
      <x:c r="R44" s="27"/>
      <x:c r="S44" s="27"/>
      <x:c r="T44" s="27"/>
      <x:c r="U44" s="27"/>
    </x:row>
    <x:row r="45">
      <x:c r="A45" s="27" t="str"/>
      <x:c r="B45" s="27" t="str"/>
      <x:c r="C45" s="27" t="str"/>
      <x:c r="D45" s="27" t="str"/>
      <x:c r="E45" s="27" t="str"/>
      <x:c r="F45" s="27" t="str"/>
      <x:c r="G45" s="27" t="str"/>
      <x:c r="H45" s="27" t="str"/>
      <x:c r="I45" s="27" t="str"/>
      <x:c r="J45" s="27" t="str"/>
      <x:c r="K45" s="27" t="str"/>
      <x:c r="L45" s="27" t="str"/>
      <x:c r="M45" s="27" t="str"/>
      <x:c r="N45" s="52" t="str">
        <x:f>IF(A45="","",ROUND(COUNTA(B45:M45)/12,2))</x:f>
      </x:c>
      <x:c r="O45" s="27" t="str">
        <x:f>IF(A45="","",IF(N45&gt;=0.85,"Готов к прототипу",IF(N45&gt;=0.6,"Требует доработки","Недостаточно данных")))</x:f>
      </x:c>
      <x:c r="P45" s="27"/>
      <x:c r="Q45" s="27"/>
      <x:c r="R45" s="27"/>
      <x:c r="S45" s="27"/>
      <x:c r="T45" s="27"/>
      <x:c r="U45" s="27"/>
    </x:row>
    <x:row r="46">
      <x:c r="A46" s="27" t="str"/>
      <x:c r="B46" s="27" t="str"/>
      <x:c r="C46" s="27" t="str"/>
      <x:c r="D46" s="27" t="str"/>
      <x:c r="E46" s="27" t="str"/>
      <x:c r="F46" s="27" t="str"/>
      <x:c r="G46" s="27" t="str"/>
      <x:c r="H46" s="27" t="str"/>
      <x:c r="I46" s="27" t="str"/>
      <x:c r="J46" s="27" t="str"/>
      <x:c r="K46" s="27" t="str"/>
      <x:c r="L46" s="27" t="str"/>
      <x:c r="M46" s="27" t="str"/>
      <x:c r="N46" s="52" t="str">
        <x:f>IF(A46="","",ROUND(COUNTA(B46:M46)/12,2))</x:f>
      </x:c>
      <x:c r="O46" s="27" t="str">
        <x:f>IF(A46="","",IF(N46&gt;=0.85,"Готов к прототипу",IF(N46&gt;=0.6,"Требует доработки","Недостаточно данных")))</x:f>
      </x:c>
      <x:c r="P46" s="27"/>
      <x:c r="Q46" s="27"/>
      <x:c r="R46" s="27"/>
      <x:c r="S46" s="27"/>
      <x:c r="T46" s="27"/>
      <x:c r="U46" s="27"/>
    </x:row>
    <x:row r="47">
      <x:c r="A47" s="27" t="str"/>
      <x:c r="B47" s="27" t="str"/>
      <x:c r="C47" s="27" t="str"/>
      <x:c r="D47" s="27" t="str"/>
      <x:c r="E47" s="27" t="str"/>
      <x:c r="F47" s="27" t="str"/>
      <x:c r="G47" s="27" t="str"/>
      <x:c r="H47" s="27" t="str"/>
      <x:c r="I47" s="27" t="str"/>
      <x:c r="J47" s="27" t="str"/>
      <x:c r="K47" s="27" t="str"/>
      <x:c r="L47" s="27" t="str"/>
      <x:c r="M47" s="27" t="str"/>
      <x:c r="N47" s="52" t="str">
        <x:f>IF(A47="","",ROUND(COUNTA(B47:M47)/12,2))</x:f>
      </x:c>
      <x:c r="O47" s="27" t="str">
        <x:f>IF(A47="","",IF(N47&gt;=0.85,"Готов к прототипу",IF(N47&gt;=0.6,"Требует доработки","Недостаточно данных")))</x:f>
      </x:c>
      <x:c r="P47" s="27"/>
      <x:c r="Q47" s="27"/>
      <x:c r="R47" s="27"/>
      <x:c r="S47" s="27"/>
      <x:c r="T47" s="27"/>
      <x:c r="U47" s="27"/>
    </x:row>
    <x:row r="48">
      <x:c r="A48" s="27" t="str"/>
      <x:c r="B48" s="27" t="str"/>
      <x:c r="C48" s="27" t="str"/>
      <x:c r="D48" s="27" t="str"/>
      <x:c r="E48" s="27" t="str"/>
      <x:c r="F48" s="27" t="str"/>
      <x:c r="G48" s="27" t="str"/>
      <x:c r="H48" s="27" t="str"/>
      <x:c r="I48" s="27" t="str"/>
      <x:c r="J48" s="27" t="str"/>
      <x:c r="K48" s="27" t="str"/>
      <x:c r="L48" s="27" t="str"/>
      <x:c r="M48" s="27" t="str"/>
      <x:c r="N48" s="52" t="str">
        <x:f>IF(A48="","",ROUND(COUNTA(B48:M48)/12,2))</x:f>
      </x:c>
      <x:c r="O48" s="27" t="str">
        <x:f>IF(A48="","",IF(N48&gt;=0.85,"Готов к прототипу",IF(N48&gt;=0.6,"Требует доработки","Недостаточно данных")))</x:f>
      </x:c>
      <x:c r="P48" s="27"/>
      <x:c r="Q48" s="27"/>
      <x:c r="R48" s="27"/>
      <x:c r="S48" s="27"/>
      <x:c r="T48" s="27"/>
      <x:c r="U48" s="27"/>
    </x:row>
    <x:row r="49">
      <x:c r="A49" s="27" t="str"/>
      <x:c r="B49" s="27" t="str"/>
      <x:c r="C49" s="27" t="str"/>
      <x:c r="D49" s="27" t="str"/>
      <x:c r="E49" s="27" t="str"/>
      <x:c r="F49" s="27" t="str"/>
      <x:c r="G49" s="27" t="str"/>
      <x:c r="H49" s="27" t="str"/>
      <x:c r="I49" s="27" t="str"/>
      <x:c r="J49" s="27" t="str"/>
      <x:c r="K49" s="27" t="str"/>
      <x:c r="L49" s="27" t="str"/>
      <x:c r="M49" s="27" t="str"/>
      <x:c r="N49" s="52" t="str">
        <x:f>IF(A49="","",ROUND(COUNTA(B49:M49)/12,2))</x:f>
      </x:c>
      <x:c r="O49" s="27" t="str">
        <x:f>IF(A49="","",IF(N49&gt;=0.85,"Готов к прототипу",IF(N49&gt;=0.6,"Требует доработки","Недостаточно данных")))</x:f>
      </x:c>
      <x:c r="P49" s="27"/>
      <x:c r="Q49" s="27"/>
      <x:c r="R49" s="27"/>
      <x:c r="S49" s="27"/>
      <x:c r="T49" s="27"/>
      <x:c r="U49" s="27"/>
    </x:row>
    <x:row r="50">
      <x:c r="A50" s="27" t="str"/>
      <x:c r="B50" s="27" t="str"/>
      <x:c r="C50" s="27" t="str"/>
      <x:c r="D50" s="27" t="str"/>
      <x:c r="E50" s="27" t="str"/>
      <x:c r="F50" s="27" t="str"/>
      <x:c r="G50" s="27" t="str"/>
      <x:c r="H50" s="27" t="str"/>
      <x:c r="I50" s="27" t="str"/>
      <x:c r="J50" s="27" t="str"/>
      <x:c r="K50" s="27" t="str"/>
      <x:c r="L50" s="27" t="str"/>
      <x:c r="M50" s="27" t="str"/>
      <x:c r="N50" s="52" t="str">
        <x:f>IF(A50="","",ROUND(COUNTA(B50:M50)/12,2))</x:f>
      </x:c>
      <x:c r="O50" s="27" t="str">
        <x:f>IF(A50="","",IF(N50&gt;=0.85,"Готов к прототипу",IF(N50&gt;=0.6,"Требует доработки","Недостаточно данных")))</x:f>
      </x:c>
      <x:c r="P50" s="27"/>
      <x:c r="Q50" s="27"/>
      <x:c r="R50" s="27"/>
      <x:c r="S50" s="27"/>
      <x:c r="T50" s="27"/>
      <x:c r="U50" s="27"/>
    </x:row>
    <x:row r="51">
      <x:c r="A51" s="27" t="str"/>
      <x:c r="B51" s="27" t="str"/>
      <x:c r="C51" s="27" t="str"/>
      <x:c r="D51" s="27" t="str"/>
      <x:c r="E51" s="27" t="str"/>
      <x:c r="F51" s="27" t="str"/>
      <x:c r="G51" s="27" t="str"/>
      <x:c r="H51" s="27" t="str"/>
      <x:c r="I51" s="27" t="str"/>
      <x:c r="J51" s="27" t="str"/>
      <x:c r="K51" s="27" t="str"/>
      <x:c r="L51" s="27" t="str"/>
      <x:c r="M51" s="27" t="str"/>
      <x:c r="N51" s="52" t="str">
        <x:f>IF(A51="","",ROUND(COUNTA(B51:M51)/12,2))</x:f>
      </x:c>
      <x:c r="O51" s="27" t="str">
        <x:f>IF(A51="","",IF(N51&gt;=0.85,"Готов к прототипу",IF(N51&gt;=0.6,"Требует доработки","Недостаточно данных")))</x:f>
      </x:c>
      <x:c r="P51" s="27"/>
      <x:c r="Q51" s="27"/>
      <x:c r="R51" s="27"/>
      <x:c r="S51" s="27"/>
      <x:c r="T51" s="27"/>
      <x:c r="U51" s="27"/>
    </x:row>
    <x:row r="52">
      <x:c r="A52" s="27" t="str"/>
      <x:c r="B52" s="27" t="str"/>
      <x:c r="C52" s="27" t="str"/>
      <x:c r="D52" s="27" t="str"/>
      <x:c r="E52" s="27" t="str"/>
      <x:c r="F52" s="27" t="str"/>
      <x:c r="G52" s="27" t="str"/>
      <x:c r="H52" s="27" t="str"/>
      <x:c r="I52" s="27" t="str"/>
      <x:c r="J52" s="27" t="str"/>
      <x:c r="K52" s="27" t="str"/>
      <x:c r="L52" s="27" t="str"/>
      <x:c r="M52" s="27" t="str"/>
      <x:c r="N52" s="52" t="str">
        <x:f>IF(A52="","",ROUND(COUNTA(B52:M52)/12,2))</x:f>
      </x:c>
      <x:c r="O52" s="27" t="str">
        <x:f>IF(A52="","",IF(N52&gt;=0.85,"Готов к прототипу",IF(N52&gt;=0.6,"Требует доработки","Недостаточно данных")))</x:f>
      </x:c>
      <x:c r="P52" s="27"/>
      <x:c r="Q52" s="27"/>
      <x:c r="R52" s="27"/>
      <x:c r="S52" s="27"/>
      <x:c r="T52" s="27"/>
      <x:c r="U52" s="27"/>
    </x:row>
    <x:row r="53">
      <x:c r="A53" s="27" t="str"/>
      <x:c r="B53" s="27" t="str"/>
      <x:c r="C53" s="27" t="str"/>
      <x:c r="D53" s="27" t="str"/>
      <x:c r="E53" s="27" t="str"/>
      <x:c r="F53" s="27" t="str"/>
      <x:c r="G53" s="27" t="str"/>
      <x:c r="H53" s="27" t="str"/>
      <x:c r="I53" s="27" t="str"/>
      <x:c r="J53" s="27" t="str"/>
      <x:c r="K53" s="27" t="str"/>
      <x:c r="L53" s="27" t="str"/>
      <x:c r="M53" s="27" t="str"/>
      <x:c r="N53" s="52" t="str">
        <x:f>IF(A53="","",ROUND(COUNTA(B53:M53)/12,2))</x:f>
      </x:c>
      <x:c r="O53" s="27" t="str">
        <x:f>IF(A53="","",IF(N53&gt;=0.85,"Готов к прототипу",IF(N53&gt;=0.6,"Требует доработки","Недостаточно данных")))</x:f>
      </x:c>
      <x:c r="P53" s="27"/>
      <x:c r="Q53" s="27"/>
      <x:c r="R53" s="27"/>
      <x:c r="S53" s="27"/>
      <x:c r="T53" s="27"/>
      <x:c r="U53" s="27"/>
    </x:row>
    <x:row r="54">
      <x:c r="A54" s="27" t="str"/>
      <x:c r="B54" s="27" t="str"/>
      <x:c r="C54" s="27" t="str"/>
      <x:c r="D54" s="27" t="str"/>
      <x:c r="E54" s="27" t="str"/>
      <x:c r="F54" s="27" t="str"/>
      <x:c r="G54" s="27" t="str"/>
      <x:c r="H54" s="27" t="str"/>
      <x:c r="I54" s="27" t="str"/>
      <x:c r="J54" s="27" t="str"/>
      <x:c r="K54" s="27" t="str"/>
      <x:c r="L54" s="27" t="str"/>
      <x:c r="M54" s="27" t="str"/>
      <x:c r="N54" s="52" t="str">
        <x:f>IF(A54="","",ROUND(COUNTA(B54:M54)/12,2))</x:f>
      </x:c>
      <x:c r="O54" s="27" t="str">
        <x:f>IF(A54="","",IF(N54&gt;=0.85,"Готов к прототипу",IF(N54&gt;=0.6,"Требует доработки","Недостаточно данных")))</x:f>
      </x:c>
      <x:c r="P54" s="27"/>
      <x:c r="Q54" s="27"/>
      <x:c r="R54" s="27"/>
      <x:c r="S54" s="27"/>
      <x:c r="T54" s="27"/>
      <x:c r="U54" s="27"/>
    </x:row>
    <x:row r="55">
      <x:c r="A55" s="27" t="str"/>
      <x:c r="B55" s="27" t="str"/>
      <x:c r="C55" s="27" t="str"/>
      <x:c r="D55" s="27" t="str"/>
      <x:c r="E55" s="27" t="str"/>
      <x:c r="F55" s="27" t="str"/>
      <x:c r="G55" s="27" t="str"/>
      <x:c r="H55" s="27" t="str"/>
      <x:c r="I55" s="27" t="str"/>
      <x:c r="J55" s="27" t="str"/>
      <x:c r="K55" s="27" t="str"/>
      <x:c r="L55" s="27" t="str"/>
      <x:c r="M55" s="27" t="str"/>
      <x:c r="N55" s="52" t="str">
        <x:f>IF(A55="","",ROUND(COUNTA(B55:M55)/12,2))</x:f>
      </x:c>
      <x:c r="O55" s="27" t="str">
        <x:f>IF(A55="","",IF(N55&gt;=0.85,"Готов к прототипу",IF(N55&gt;=0.6,"Требует доработки","Недостаточно данных")))</x:f>
      </x:c>
      <x:c r="P55" s="27"/>
      <x:c r="Q55" s="27"/>
      <x:c r="R55" s="27"/>
      <x:c r="S55" s="27"/>
      <x:c r="T55" s="27"/>
      <x:c r="U55" s="27"/>
    </x:row>
    <x:row r="56">
      <x:c r="A56" s="27" t="str"/>
      <x:c r="B56" s="27" t="str"/>
      <x:c r="C56" s="27" t="str"/>
      <x:c r="D56" s="27" t="str"/>
      <x:c r="E56" s="27" t="str"/>
      <x:c r="F56" s="27" t="str"/>
      <x:c r="G56" s="27" t="str"/>
      <x:c r="H56" s="27" t="str"/>
      <x:c r="I56" s="27" t="str"/>
      <x:c r="J56" s="27" t="str"/>
      <x:c r="K56" s="27" t="str"/>
      <x:c r="L56" s="27" t="str"/>
      <x:c r="M56" s="27" t="str"/>
      <x:c r="N56" s="52" t="str">
        <x:f>IF(A56="","",ROUND(COUNTA(B56:M56)/12,2))</x:f>
      </x:c>
      <x:c r="O56" s="27" t="str">
        <x:f>IF(A56="","",IF(N56&gt;=0.85,"Готов к прототипу",IF(N56&gt;=0.6,"Требует доработки","Недостаточно данных")))</x:f>
      </x:c>
      <x:c r="P56" s="27"/>
      <x:c r="Q56" s="27"/>
      <x:c r="R56" s="27"/>
      <x:c r="S56" s="27"/>
      <x:c r="T56" s="27"/>
      <x:c r="U56" s="27"/>
    </x:row>
    <x:row r="57">
      <x:c r="A57" s="27" t="str"/>
      <x:c r="B57" s="27" t="str"/>
      <x:c r="C57" s="27" t="str"/>
      <x:c r="D57" s="27" t="str"/>
      <x:c r="E57" s="27" t="str"/>
      <x:c r="F57" s="27" t="str"/>
      <x:c r="G57" s="27" t="str"/>
      <x:c r="H57" s="27" t="str"/>
      <x:c r="I57" s="27" t="str"/>
      <x:c r="J57" s="27" t="str"/>
      <x:c r="K57" s="27" t="str"/>
      <x:c r="L57" s="27" t="str"/>
      <x:c r="M57" s="27" t="str"/>
      <x:c r="N57" s="52" t="str">
        <x:f>IF(A57="","",ROUND(COUNTA(B57:M57)/12,2))</x:f>
      </x:c>
      <x:c r="O57" s="27" t="str">
        <x:f>IF(A57="","",IF(N57&gt;=0.85,"Готов к прототипу",IF(N57&gt;=0.6,"Требует доработки","Недостаточно данных")))</x:f>
      </x:c>
      <x:c r="P57" s="27"/>
      <x:c r="Q57" s="27"/>
      <x:c r="R57" s="27"/>
      <x:c r="S57" s="27"/>
      <x:c r="T57" s="27"/>
      <x:c r="U57" s="27"/>
    </x:row>
    <x:row r="58">
      <x:c r="A58" s="27" t="str"/>
      <x:c r="B58" s="27" t="str"/>
      <x:c r="C58" s="27" t="str"/>
      <x:c r="D58" s="27" t="str"/>
      <x:c r="E58" s="27" t="str"/>
      <x:c r="F58" s="27" t="str"/>
      <x:c r="G58" s="27" t="str"/>
      <x:c r="H58" s="27" t="str"/>
      <x:c r="I58" s="27" t="str"/>
      <x:c r="J58" s="27" t="str"/>
      <x:c r="K58" s="27" t="str"/>
      <x:c r="L58" s="27" t="str"/>
      <x:c r="M58" s="27" t="str"/>
      <x:c r="N58" s="52" t="str">
        <x:f>IF(A58="","",ROUND(COUNTA(B58:M58)/12,2))</x:f>
      </x:c>
      <x:c r="O58" s="27" t="str">
        <x:f>IF(A58="","",IF(N58&gt;=0.85,"Готов к прототипу",IF(N58&gt;=0.6,"Требует доработки","Недостаточно данных")))</x:f>
      </x:c>
      <x:c r="P58" s="27"/>
      <x:c r="Q58" s="27"/>
      <x:c r="R58" s="27"/>
      <x:c r="S58" s="27"/>
      <x:c r="T58" s="27"/>
      <x:c r="U58" s="27"/>
    </x:row>
    <x:row r="59">
      <x:c r="A59" s="27" t="str"/>
      <x:c r="B59" s="27" t="str"/>
      <x:c r="C59" s="27" t="str"/>
      <x:c r="D59" s="27" t="str"/>
      <x:c r="E59" s="27" t="str"/>
      <x:c r="F59" s="27" t="str"/>
      <x:c r="G59" s="27" t="str"/>
      <x:c r="H59" s="27" t="str"/>
      <x:c r="I59" s="27" t="str"/>
      <x:c r="J59" s="27" t="str"/>
      <x:c r="K59" s="27" t="str"/>
      <x:c r="L59" s="27" t="str"/>
      <x:c r="M59" s="27" t="str"/>
      <x:c r="N59" s="52" t="str">
        <x:f>IF(A59="","",ROUND(COUNTA(B59:M59)/12,2))</x:f>
      </x:c>
      <x:c r="O59" s="27" t="str">
        <x:f>IF(A59="","",IF(N59&gt;=0.85,"Готов к прототипу",IF(N59&gt;=0.6,"Требует доработки","Недостаточно данных")))</x:f>
      </x:c>
      <x:c r="P59" s="27"/>
      <x:c r="Q59" s="27"/>
      <x:c r="R59" s="27"/>
      <x:c r="S59" s="27"/>
      <x:c r="T59" s="27"/>
      <x:c r="U59" s="27"/>
    </x:row>
    <x:row r="60">
      <x:c r="A60" s="27" t="str"/>
      <x:c r="B60" s="27" t="str"/>
      <x:c r="C60" s="27" t="str"/>
      <x:c r="D60" s="27" t="str"/>
      <x:c r="E60" s="27" t="str"/>
      <x:c r="F60" s="27" t="str"/>
      <x:c r="G60" s="27" t="str"/>
      <x:c r="H60" s="27" t="str"/>
      <x:c r="I60" s="27" t="str"/>
      <x:c r="J60" s="27" t="str"/>
      <x:c r="K60" s="27" t="str"/>
      <x:c r="L60" s="27" t="str"/>
      <x:c r="M60" s="27" t="str"/>
      <x:c r="N60" s="52" t="str">
        <x:f>IF(A60="","",ROUND(COUNTA(B60:M60)/12,2))</x:f>
      </x:c>
      <x:c r="O60" s="27" t="str">
        <x:f>IF(A60="","",IF(N60&gt;=0.85,"Готов к прототипу",IF(N60&gt;=0.6,"Требует доработки","Недостаточно данных")))</x:f>
      </x:c>
      <x:c r="P60" s="27"/>
      <x:c r="Q60" s="27"/>
      <x:c r="R60" s="27"/>
      <x:c r="S60" s="27"/>
      <x:c r="T60" s="27"/>
      <x:c r="U60" s="27"/>
    </x:row>
    <x:row r="61">
      <x:c r="A61" s="27" t="str"/>
      <x:c r="B61" s="27" t="str"/>
      <x:c r="C61" s="27" t="str"/>
      <x:c r="D61" s="27" t="str"/>
      <x:c r="E61" s="27" t="str"/>
      <x:c r="F61" s="27" t="str"/>
      <x:c r="G61" s="27" t="str"/>
      <x:c r="H61" s="27" t="str"/>
      <x:c r="I61" s="27" t="str"/>
      <x:c r="J61" s="27" t="str"/>
      <x:c r="K61" s="27" t="str"/>
      <x:c r="L61" s="27" t="str"/>
      <x:c r="M61" s="27" t="str"/>
      <x:c r="N61" s="52" t="str">
        <x:f>IF(A61="","",ROUND(COUNTA(B61:M61)/12,2))</x:f>
      </x:c>
      <x:c r="O61" s="27" t="str">
        <x:f>IF(A61="","",IF(N61&gt;=0.85,"Готов к прототипу",IF(N61&gt;=0.6,"Требует доработки","Недостаточно данных")))</x:f>
      </x:c>
      <x:c r="P61" s="27"/>
      <x:c r="Q61" s="27"/>
      <x:c r="R61" s="27"/>
      <x:c r="S61" s="27"/>
      <x:c r="T61" s="27"/>
      <x:c r="U61" s="27"/>
    </x:row>
    <x:row r="62">
      <x:c r="A62" s="27" t="str"/>
      <x:c r="B62" s="27" t="str"/>
      <x:c r="C62" s="27" t="str"/>
      <x:c r="D62" s="27" t="str"/>
      <x:c r="E62" s="27" t="str"/>
      <x:c r="F62" s="27" t="str"/>
      <x:c r="G62" s="27" t="str"/>
      <x:c r="H62" s="27" t="str"/>
      <x:c r="I62" s="27" t="str"/>
      <x:c r="J62" s="27" t="str"/>
      <x:c r="K62" s="27" t="str"/>
      <x:c r="L62" s="27" t="str"/>
      <x:c r="M62" s="27" t="str"/>
      <x:c r="N62" s="52" t="str">
        <x:f>IF(A62="","",ROUND(COUNTA(B62:M62)/12,2))</x:f>
      </x:c>
      <x:c r="O62" s="27" t="str">
        <x:f>IF(A62="","",IF(N62&gt;=0.85,"Готов к прототипу",IF(N62&gt;=0.6,"Требует доработки","Недостаточно данных")))</x:f>
      </x:c>
      <x:c r="P62" s="27"/>
      <x:c r="Q62" s="27"/>
      <x:c r="R62" s="27"/>
      <x:c r="S62" s="27"/>
      <x:c r="T62" s="27"/>
      <x:c r="U62" s="27"/>
    </x:row>
    <x:row r="63">
      <x:c r="A63" s="27" t="str"/>
      <x:c r="B63" s="27" t="str"/>
      <x:c r="C63" s="27" t="str"/>
      <x:c r="D63" s="27" t="str"/>
      <x:c r="E63" s="27" t="str"/>
      <x:c r="F63" s="27" t="str"/>
      <x:c r="G63" s="27" t="str"/>
      <x:c r="H63" s="27" t="str"/>
      <x:c r="I63" s="27" t="str"/>
      <x:c r="J63" s="27" t="str"/>
      <x:c r="K63" s="27" t="str"/>
      <x:c r="L63" s="27" t="str"/>
      <x:c r="M63" s="27" t="str"/>
      <x:c r="N63" s="52" t="str">
        <x:f>IF(A63="","",ROUND(COUNTA(B63:M63)/12,2))</x:f>
      </x:c>
      <x:c r="O63" s="27" t="str">
        <x:f>IF(A63="","",IF(N63&gt;=0.85,"Готов к прототипу",IF(N63&gt;=0.6,"Требует доработки","Недостаточно данных")))</x:f>
      </x:c>
      <x:c r="P63" s="27"/>
      <x:c r="Q63" s="27"/>
      <x:c r="R63" s="27"/>
      <x:c r="S63" s="27"/>
      <x:c r="T63" s="27"/>
      <x:c r="U63" s="27"/>
    </x:row>
    <x:row r="64">
      <x:c r="A64" s="27" t="str"/>
      <x:c r="B64" s="27" t="str"/>
      <x:c r="C64" s="27" t="str"/>
      <x:c r="D64" s="27" t="str"/>
      <x:c r="E64" s="27" t="str"/>
      <x:c r="F64" s="27" t="str"/>
      <x:c r="G64" s="27" t="str"/>
      <x:c r="H64" s="27" t="str"/>
      <x:c r="I64" s="27" t="str"/>
      <x:c r="J64" s="27" t="str"/>
      <x:c r="K64" s="27" t="str"/>
      <x:c r="L64" s="27" t="str"/>
      <x:c r="M64" s="27" t="str"/>
      <x:c r="N64" s="52" t="str">
        <x:f>IF(A64="","",ROUND(COUNTA(B64:M64)/12,2))</x:f>
      </x:c>
      <x:c r="O64" s="27" t="str">
        <x:f>IF(A64="","",IF(N64&gt;=0.85,"Готов к прототипу",IF(N64&gt;=0.6,"Требует доработки","Недостаточно данных")))</x:f>
      </x:c>
      <x:c r="P64" s="27"/>
      <x:c r="Q64" s="27"/>
      <x:c r="R64" s="27"/>
      <x:c r="S64" s="27"/>
      <x:c r="T64" s="27"/>
      <x:c r="U64" s="27"/>
    </x:row>
    <x:row r="65">
      <x:c r="A65" s="27" t="str"/>
      <x:c r="B65" s="27" t="str"/>
      <x:c r="C65" s="27" t="str"/>
      <x:c r="D65" s="27" t="str"/>
      <x:c r="E65" s="27" t="str"/>
      <x:c r="F65" s="27" t="str"/>
      <x:c r="G65" s="27" t="str"/>
      <x:c r="H65" s="27" t="str"/>
      <x:c r="I65" s="27" t="str"/>
      <x:c r="J65" s="27" t="str"/>
      <x:c r="K65" s="27" t="str"/>
      <x:c r="L65" s="27" t="str"/>
      <x:c r="M65" s="27" t="str"/>
      <x:c r="N65" s="52" t="str">
        <x:f>IF(A65="","",ROUND(COUNTA(B65:M65)/12,2))</x:f>
      </x:c>
      <x:c r="O65" s="27" t="str">
        <x:f>IF(A65="","",IF(N65&gt;=0.85,"Готов к прототипу",IF(N65&gt;=0.6,"Требует доработки","Недостаточно данных")))</x:f>
      </x:c>
      <x:c r="P65" s="27"/>
      <x:c r="Q65" s="27"/>
      <x:c r="R65" s="27"/>
      <x:c r="S65" s="27"/>
      <x:c r="T65" s="27"/>
      <x:c r="U65" s="27"/>
    </x:row>
    <x:row r="66">
      <x:c r="A66" s="27" t="str"/>
      <x:c r="B66" s="27" t="str"/>
      <x:c r="C66" s="27" t="str"/>
      <x:c r="D66" s="27" t="str"/>
      <x:c r="E66" s="27" t="str"/>
      <x:c r="F66" s="27" t="str"/>
      <x:c r="G66" s="27" t="str"/>
      <x:c r="H66" s="27" t="str"/>
      <x:c r="I66" s="27" t="str"/>
      <x:c r="J66" s="27" t="str"/>
      <x:c r="K66" s="27" t="str"/>
      <x:c r="L66" s="27" t="str"/>
      <x:c r="M66" s="27" t="str"/>
      <x:c r="N66" s="52" t="str">
        <x:f>IF(A66="","",ROUND(COUNTA(B66:M66)/12,2))</x:f>
      </x:c>
      <x:c r="O66" s="27" t="str">
        <x:f>IF(A66="","",IF(N66&gt;=0.85,"Готов к прототипу",IF(N66&gt;=0.6,"Требует доработки","Недостаточно данных")))</x:f>
      </x:c>
      <x:c r="P66" s="27"/>
      <x:c r="Q66" s="27"/>
      <x:c r="R66" s="27"/>
      <x:c r="S66" s="27"/>
      <x:c r="T66" s="27"/>
      <x:c r="U66" s="27"/>
    </x:row>
    <x:row r="67">
      <x:c r="A67" s="27" t="str"/>
      <x:c r="B67" s="27" t="str"/>
      <x:c r="C67" s="27" t="str"/>
      <x:c r="D67" s="27" t="str"/>
      <x:c r="E67" s="27" t="str"/>
      <x:c r="F67" s="27" t="str"/>
      <x:c r="G67" s="27" t="str"/>
      <x:c r="H67" s="27" t="str"/>
      <x:c r="I67" s="27" t="str"/>
      <x:c r="J67" s="27" t="str"/>
      <x:c r="K67" s="27" t="str"/>
      <x:c r="L67" s="27" t="str"/>
      <x:c r="M67" s="27" t="str"/>
      <x:c r="N67" s="52" t="str">
        <x:f>IF(A67="","",ROUND(COUNTA(B67:M67)/12,2))</x:f>
      </x:c>
      <x:c r="O67" s="27" t="str">
        <x:f>IF(A67="","",IF(N67&gt;=0.85,"Готов к прототипу",IF(N67&gt;=0.6,"Требует доработки","Недостаточно данных")))</x:f>
      </x:c>
      <x:c r="P67" s="27"/>
      <x:c r="Q67" s="27"/>
      <x:c r="R67" s="27"/>
      <x:c r="S67" s="27"/>
      <x:c r="T67" s="27"/>
      <x:c r="U67" s="27"/>
    </x:row>
    <x:row r="68">
      <x:c r="A68" s="27" t="str"/>
      <x:c r="B68" s="27" t="str"/>
      <x:c r="C68" s="27" t="str"/>
      <x:c r="D68" s="27" t="str"/>
      <x:c r="E68" s="27" t="str"/>
      <x:c r="F68" s="27" t="str"/>
      <x:c r="G68" s="27" t="str"/>
      <x:c r="H68" s="27" t="str"/>
      <x:c r="I68" s="27" t="str"/>
      <x:c r="J68" s="27" t="str"/>
      <x:c r="K68" s="27" t="str"/>
      <x:c r="L68" s="27" t="str"/>
      <x:c r="M68" s="27" t="str"/>
      <x:c r="N68" s="52" t="str">
        <x:f>IF(A68="","",ROUND(COUNTA(B68:M68)/12,2))</x:f>
      </x:c>
      <x:c r="O68" s="27" t="str">
        <x:f>IF(A68="","",IF(N68&gt;=0.85,"Готов к прототипу",IF(N68&gt;=0.6,"Требует доработки","Недостаточно данных")))</x:f>
      </x:c>
      <x:c r="P68" s="27"/>
      <x:c r="Q68" s="27"/>
      <x:c r="R68" s="27"/>
      <x:c r="S68" s="27"/>
      <x:c r="T68" s="27"/>
      <x:c r="U68" s="27"/>
    </x:row>
    <x:row r="69">
      <x:c r="A69" s="27" t="str"/>
      <x:c r="B69" s="27" t="str"/>
      <x:c r="C69" s="27" t="str"/>
      <x:c r="D69" s="27" t="str"/>
      <x:c r="E69" s="27" t="str"/>
      <x:c r="F69" s="27" t="str"/>
      <x:c r="G69" s="27" t="str"/>
      <x:c r="H69" s="27" t="str"/>
      <x:c r="I69" s="27" t="str"/>
      <x:c r="J69" s="27" t="str"/>
      <x:c r="K69" s="27" t="str"/>
      <x:c r="L69" s="27" t="str"/>
      <x:c r="M69" s="27" t="str"/>
      <x:c r="N69" s="52" t="str">
        <x:f>IF(A69="","",ROUND(COUNTA(B69:M69)/12,2))</x:f>
      </x:c>
      <x:c r="O69" s="27" t="str">
        <x:f>IF(A69="","",IF(N69&gt;=0.85,"Готов к прототипу",IF(N69&gt;=0.6,"Требует доработки","Недостаточно данных")))</x:f>
      </x:c>
      <x:c r="P69" s="27"/>
      <x:c r="Q69" s="27"/>
      <x:c r="R69" s="27"/>
      <x:c r="S69" s="27"/>
      <x:c r="T69" s="27"/>
      <x:c r="U69" s="27"/>
    </x:row>
    <x:row r="70">
      <x:c r="A70" s="27" t="str"/>
      <x:c r="B70" s="27" t="str"/>
      <x:c r="C70" s="27" t="str"/>
      <x:c r="D70" s="27" t="str"/>
      <x:c r="E70" s="27" t="str"/>
      <x:c r="F70" s="27" t="str"/>
      <x:c r="G70" s="27" t="str"/>
      <x:c r="H70" s="27" t="str"/>
      <x:c r="I70" s="27" t="str"/>
      <x:c r="J70" s="27" t="str"/>
      <x:c r="K70" s="27" t="str"/>
      <x:c r="L70" s="27" t="str"/>
      <x:c r="M70" s="27" t="str"/>
      <x:c r="N70" s="52" t="str">
        <x:f>IF(A70="","",ROUND(COUNTA(B70:M70)/12,2))</x:f>
      </x:c>
      <x:c r="O70" s="27" t="str">
        <x:f>IF(A70="","",IF(N70&gt;=0.85,"Готов к прототипу",IF(N70&gt;=0.6,"Требует доработки","Недостаточно данных")))</x:f>
      </x:c>
      <x:c r="P70" s="27"/>
      <x:c r="Q70" s="27"/>
      <x:c r="R70" s="27"/>
      <x:c r="S70" s="27"/>
      <x:c r="T70" s="27"/>
      <x:c r="U70" s="27"/>
    </x:row>
    <x:row r="71">
      <x:c r="A71" s="27" t="str"/>
      <x:c r="B71" s="27" t="str"/>
      <x:c r="C71" s="27" t="str"/>
      <x:c r="D71" s="27" t="str"/>
      <x:c r="E71" s="27" t="str"/>
      <x:c r="F71" s="27" t="str"/>
      <x:c r="G71" s="27" t="str"/>
      <x:c r="H71" s="27" t="str"/>
      <x:c r="I71" s="27" t="str"/>
      <x:c r="J71" s="27" t="str"/>
      <x:c r="K71" s="27" t="str"/>
      <x:c r="L71" s="27" t="str"/>
      <x:c r="M71" s="27" t="str"/>
      <x:c r="N71" s="52" t="str">
        <x:f>IF(A71="","",ROUND(COUNTA(B71:M71)/12,2))</x:f>
      </x:c>
      <x:c r="O71" s="27" t="str">
        <x:f>IF(A71="","",IF(N71&gt;=0.85,"Готов к прототипу",IF(N71&gt;=0.6,"Требует доработки","Недостаточно данных")))</x:f>
      </x:c>
      <x:c r="P71" s="27"/>
      <x:c r="Q71" s="27"/>
      <x:c r="R71" s="27"/>
      <x:c r="S71" s="27"/>
      <x:c r="T71" s="27"/>
      <x:c r="U71" s="27"/>
    </x:row>
    <x:row r="72">
      <x:c r="A72" s="27" t="str"/>
      <x:c r="B72" s="27" t="str"/>
      <x:c r="C72" s="27" t="str"/>
      <x:c r="D72" s="27" t="str"/>
      <x:c r="E72" s="27" t="str"/>
      <x:c r="F72" s="27" t="str"/>
      <x:c r="G72" s="27" t="str"/>
      <x:c r="H72" s="27" t="str"/>
      <x:c r="I72" s="27" t="str"/>
      <x:c r="J72" s="27" t="str"/>
      <x:c r="K72" s="27" t="str"/>
      <x:c r="L72" s="27" t="str"/>
      <x:c r="M72" s="27" t="str"/>
      <x:c r="N72" s="52" t="str">
        <x:f>IF(A72="","",ROUND(COUNTA(B72:M72)/12,2))</x:f>
      </x:c>
      <x:c r="O72" s="27" t="str">
        <x:f>IF(A72="","",IF(N72&gt;=0.85,"Готов к прототипу",IF(N72&gt;=0.6,"Требует доработки","Недостаточно данных")))</x:f>
      </x:c>
      <x:c r="P72" s="27"/>
      <x:c r="Q72" s="27"/>
      <x:c r="R72" s="27"/>
      <x:c r="S72" s="27"/>
      <x:c r="T72" s="27"/>
      <x:c r="U72" s="27"/>
    </x:row>
    <x:row r="73">
      <x:c r="A73" s="27" t="str"/>
      <x:c r="B73" s="27" t="str"/>
      <x:c r="C73" s="27" t="str"/>
      <x:c r="D73" s="27" t="str"/>
      <x:c r="E73" s="27" t="str"/>
      <x:c r="F73" s="27" t="str"/>
      <x:c r="G73" s="27" t="str"/>
      <x:c r="H73" s="27" t="str"/>
      <x:c r="I73" s="27" t="str"/>
      <x:c r="J73" s="27" t="str"/>
      <x:c r="K73" s="27" t="str"/>
      <x:c r="L73" s="27" t="str"/>
      <x:c r="M73" s="27" t="str"/>
      <x:c r="N73" s="52" t="str">
        <x:f>IF(A73="","",ROUND(COUNTA(B73:M73)/12,2))</x:f>
      </x:c>
      <x:c r="O73" s="27" t="str">
        <x:f>IF(A73="","",IF(N73&gt;=0.85,"Готов к прототипу",IF(N73&gt;=0.6,"Требует доработки","Недостаточно данных")))</x:f>
      </x:c>
      <x:c r="P73" s="27"/>
      <x:c r="Q73" s="27"/>
      <x:c r="R73" s="27"/>
      <x:c r="S73" s="27"/>
      <x:c r="T73" s="27"/>
      <x:c r="U73" s="27"/>
    </x:row>
    <x:row r="74">
      <x:c r="A74" s="27" t="str"/>
      <x:c r="B74" s="27" t="str"/>
      <x:c r="C74" s="27" t="str"/>
      <x:c r="D74" s="27" t="str"/>
      <x:c r="E74" s="27" t="str"/>
      <x:c r="F74" s="27" t="str"/>
      <x:c r="G74" s="27" t="str"/>
      <x:c r="H74" s="27" t="str"/>
      <x:c r="I74" s="27" t="str"/>
      <x:c r="J74" s="27" t="str"/>
      <x:c r="K74" s="27" t="str"/>
      <x:c r="L74" s="27" t="str"/>
      <x:c r="M74" s="27" t="str"/>
      <x:c r="N74" s="52" t="str">
        <x:f>IF(A74="","",ROUND(COUNTA(B74:M74)/12,2))</x:f>
      </x:c>
      <x:c r="O74" s="27" t="str">
        <x:f>IF(A74="","",IF(N74&gt;=0.85,"Готов к прототипу",IF(N74&gt;=0.6,"Требует доработки","Недостаточно данных")))</x:f>
      </x:c>
      <x:c r="P74" s="27"/>
      <x:c r="Q74" s="27"/>
      <x:c r="R74" s="27"/>
      <x:c r="S74" s="27"/>
      <x:c r="T74" s="27"/>
      <x:c r="U74" s="27"/>
    </x:row>
    <x:row r="75">
      <x:c r="A75" s="27" t="str"/>
      <x:c r="B75" s="27" t="str"/>
      <x:c r="C75" s="27" t="str"/>
      <x:c r="D75" s="27" t="str"/>
      <x:c r="E75" s="27" t="str"/>
      <x:c r="F75" s="27" t="str"/>
      <x:c r="G75" s="27" t="str"/>
      <x:c r="H75" s="27" t="str"/>
      <x:c r="I75" s="27" t="str"/>
      <x:c r="J75" s="27" t="str"/>
      <x:c r="K75" s="27" t="str"/>
      <x:c r="L75" s="27" t="str"/>
      <x:c r="M75" s="27" t="str"/>
      <x:c r="N75" s="52" t="str">
        <x:f>IF(A75="","",ROUND(COUNTA(B75:M75)/12,2))</x:f>
      </x:c>
      <x:c r="O75" s="27" t="str">
        <x:f>IF(A75="","",IF(N75&gt;=0.85,"Готов к прототипу",IF(N75&gt;=0.6,"Требует доработки","Недостаточно данных")))</x:f>
      </x:c>
      <x:c r="P75" s="27"/>
      <x:c r="Q75" s="27"/>
      <x:c r="R75" s="27"/>
      <x:c r="S75" s="27"/>
      <x:c r="T75" s="27"/>
      <x:c r="U75" s="27"/>
    </x:row>
    <x:row r="76">
      <x:c r="A76" s="27" t="str"/>
      <x:c r="B76" s="27" t="str"/>
      <x:c r="C76" s="27" t="str"/>
      <x:c r="D76" s="27" t="str"/>
      <x:c r="E76" s="27" t="str"/>
      <x:c r="F76" s="27" t="str"/>
      <x:c r="G76" s="27" t="str"/>
      <x:c r="H76" s="27" t="str"/>
      <x:c r="I76" s="27" t="str"/>
      <x:c r="J76" s="27" t="str"/>
      <x:c r="K76" s="27" t="str"/>
      <x:c r="L76" s="27" t="str"/>
      <x:c r="M76" s="27" t="str"/>
      <x:c r="N76" s="52" t="str">
        <x:f>IF(A76="","",ROUND(COUNTA(B76:M76)/12,2))</x:f>
      </x:c>
      <x:c r="O76" s="27" t="str">
        <x:f>IF(A76="","",IF(N76&gt;=0.85,"Готов к прототипу",IF(N76&gt;=0.6,"Требует доработки","Недостаточно данных")))</x:f>
      </x:c>
      <x:c r="P76" s="27"/>
      <x:c r="Q76" s="27"/>
      <x:c r="R76" s="27"/>
      <x:c r="S76" s="27"/>
      <x:c r="T76" s="27"/>
      <x:c r="U76" s="27"/>
    </x:row>
    <x:row r="77">
      <x:c r="A77" s="27" t="str"/>
      <x:c r="B77" s="27" t="str"/>
      <x:c r="C77" s="27" t="str"/>
      <x:c r="D77" s="27" t="str"/>
      <x:c r="E77" s="27" t="str"/>
      <x:c r="F77" s="27" t="str"/>
      <x:c r="G77" s="27" t="str"/>
      <x:c r="H77" s="27" t="str"/>
      <x:c r="I77" s="27" t="str"/>
      <x:c r="J77" s="27" t="str"/>
      <x:c r="K77" s="27" t="str"/>
      <x:c r="L77" s="27" t="str"/>
      <x:c r="M77" s="27" t="str"/>
      <x:c r="N77" s="52" t="str">
        <x:f>IF(A77="","",ROUND(COUNTA(B77:M77)/12,2))</x:f>
      </x:c>
      <x:c r="O77" s="27" t="str">
        <x:f>IF(A77="","",IF(N77&gt;=0.85,"Готов к прототипу",IF(N77&gt;=0.6,"Требует доработки","Недостаточно данных")))</x:f>
      </x:c>
      <x:c r="P77" s="27"/>
      <x:c r="Q77" s="27"/>
      <x:c r="R77" s="27"/>
      <x:c r="S77" s="27"/>
      <x:c r="T77" s="27"/>
      <x:c r="U77" s="27"/>
    </x:row>
    <x:row r="78">
      <x:c r="A78" s="27" t="str"/>
      <x:c r="B78" s="27" t="str"/>
      <x:c r="C78" s="27" t="str"/>
      <x:c r="D78" s="27" t="str"/>
      <x:c r="E78" s="27" t="str"/>
      <x:c r="F78" s="27" t="str"/>
      <x:c r="G78" s="27" t="str"/>
      <x:c r="H78" s="27" t="str"/>
      <x:c r="I78" s="27" t="str"/>
      <x:c r="J78" s="27" t="str"/>
      <x:c r="K78" s="27" t="str"/>
      <x:c r="L78" s="27" t="str"/>
      <x:c r="M78" s="27" t="str"/>
      <x:c r="N78" s="52" t="str">
        <x:f>IF(A78="","",ROUND(COUNTA(B78:M78)/12,2))</x:f>
      </x:c>
      <x:c r="O78" s="27" t="str">
        <x:f>IF(A78="","",IF(N78&gt;=0.85,"Готов к прототипу",IF(N78&gt;=0.6,"Требует доработки","Недостаточно данных")))</x:f>
      </x:c>
      <x:c r="P78" s="27"/>
      <x:c r="Q78" s="27"/>
      <x:c r="R78" s="27"/>
      <x:c r="S78" s="27"/>
      <x:c r="T78" s="27"/>
      <x:c r="U78" s="27"/>
    </x:row>
    <x:row r="79">
      <x:c r="A79" s="27" t="str"/>
      <x:c r="B79" s="27" t="str"/>
      <x:c r="C79" s="27" t="str"/>
      <x:c r="D79" s="27" t="str"/>
      <x:c r="E79" s="27" t="str"/>
      <x:c r="F79" s="27" t="str"/>
      <x:c r="G79" s="27" t="str"/>
      <x:c r="H79" s="27" t="str"/>
      <x:c r="I79" s="27" t="str"/>
      <x:c r="J79" s="27" t="str"/>
      <x:c r="K79" s="27" t="str"/>
      <x:c r="L79" s="27" t="str"/>
      <x:c r="M79" s="27" t="str"/>
      <x:c r="N79" s="52" t="str">
        <x:f>IF(A79="","",ROUND(COUNTA(B79:M79)/12,2))</x:f>
      </x:c>
      <x:c r="O79" s="27" t="str">
        <x:f>IF(A79="","",IF(N79&gt;=0.85,"Готов к прототипу",IF(N79&gt;=0.6,"Требует доработки","Недостаточно данных")))</x:f>
      </x:c>
      <x:c r="P79" s="27"/>
      <x:c r="Q79" s="27"/>
      <x:c r="R79" s="27"/>
      <x:c r="S79" s="27"/>
      <x:c r="T79" s="27"/>
      <x:c r="U79" s="27"/>
    </x:row>
    <x:row r="80">
      <x:c r="A80" s="27" t="str"/>
      <x:c r="B80" s="27" t="str"/>
      <x:c r="C80" s="27" t="str"/>
      <x:c r="D80" s="27" t="str"/>
      <x:c r="E80" s="27" t="str"/>
      <x:c r="F80" s="27" t="str"/>
      <x:c r="G80" s="27" t="str"/>
      <x:c r="H80" s="27" t="str"/>
      <x:c r="I80" s="27" t="str"/>
      <x:c r="J80" s="27" t="str"/>
      <x:c r="K80" s="27" t="str"/>
      <x:c r="L80" s="27" t="str"/>
      <x:c r="M80" s="27" t="str"/>
      <x:c r="N80" s="52" t="str">
        <x:f>IF(A80="","",ROUND(COUNTA(B80:M80)/12,2))</x:f>
      </x:c>
      <x:c r="O80" s="27" t="str">
        <x:f>IF(A80="","",IF(N80&gt;=0.85,"Готов к прототипу",IF(N80&gt;=0.6,"Требует доработки","Недостаточно данных")))</x:f>
      </x:c>
      <x:c r="P80" s="27"/>
      <x:c r="Q80" s="27"/>
      <x:c r="R80" s="27"/>
      <x:c r="S80" s="27"/>
      <x:c r="T80" s="27"/>
      <x:c r="U80" s="27"/>
    </x:row>
    <x:row r="81">
      <x:c r="A81" s="27" t="str"/>
      <x:c r="B81" s="27" t="str"/>
      <x:c r="C81" s="27" t="str"/>
      <x:c r="D81" s="27" t="str"/>
      <x:c r="E81" s="27" t="str"/>
      <x:c r="F81" s="27" t="str"/>
      <x:c r="G81" s="27" t="str"/>
      <x:c r="H81" s="27" t="str"/>
      <x:c r="I81" s="27" t="str"/>
      <x:c r="J81" s="27" t="str"/>
      <x:c r="K81" s="27" t="str"/>
      <x:c r="L81" s="27" t="str"/>
      <x:c r="M81" s="27" t="str"/>
      <x:c r="N81" s="52" t="str">
        <x:f>IF(A81="","",ROUND(COUNTA(B81:M81)/12,2))</x:f>
      </x:c>
      <x:c r="O81" s="27" t="str">
        <x:f>IF(A81="","",IF(N81&gt;=0.85,"Готов к прототипу",IF(N81&gt;=0.6,"Требует доработки","Недостаточно данных")))</x:f>
      </x:c>
      <x:c r="P81" s="27"/>
      <x:c r="Q81" s="27"/>
      <x:c r="R81" s="27"/>
      <x:c r="S81" s="27"/>
      <x:c r="T81" s="27"/>
      <x:c r="U81" s="27"/>
    </x:row>
    <x:row r="82">
      <x:c r="A82" s="27" t="str"/>
      <x:c r="B82" s="27" t="str"/>
      <x:c r="C82" s="27" t="str"/>
      <x:c r="D82" s="27" t="str"/>
      <x:c r="E82" s="27" t="str"/>
      <x:c r="F82" s="27" t="str"/>
      <x:c r="G82" s="27" t="str"/>
      <x:c r="H82" s="27" t="str"/>
      <x:c r="I82" s="27" t="str"/>
      <x:c r="J82" s="27" t="str"/>
      <x:c r="K82" s="27" t="str"/>
      <x:c r="L82" s="27" t="str"/>
      <x:c r="M82" s="27" t="str"/>
      <x:c r="N82" s="52" t="str">
        <x:f>IF(A82="","",ROUND(COUNTA(B82:M82)/12,2))</x:f>
      </x:c>
      <x:c r="O82" s="27" t="str">
        <x:f>IF(A82="","",IF(N82&gt;=0.85,"Готов к прототипу",IF(N82&gt;=0.6,"Требует доработки","Недостаточно данных")))</x:f>
      </x:c>
      <x:c r="P82" s="27"/>
      <x:c r="Q82" s="27"/>
      <x:c r="R82" s="27"/>
      <x:c r="S82" s="27"/>
      <x:c r="T82" s="27"/>
      <x:c r="U82" s="27"/>
    </x:row>
    <x:row r="83">
      <x:c r="A83" s="27" t="str"/>
      <x:c r="B83" s="27" t="str"/>
      <x:c r="C83" s="27" t="str"/>
      <x:c r="D83" s="27" t="str"/>
      <x:c r="E83" s="27" t="str"/>
      <x:c r="F83" s="27" t="str"/>
      <x:c r="G83" s="27" t="str"/>
      <x:c r="H83" s="27" t="str"/>
      <x:c r="I83" s="27" t="str"/>
      <x:c r="J83" s="27" t="str"/>
      <x:c r="K83" s="27" t="str"/>
      <x:c r="L83" s="27" t="str"/>
      <x:c r="M83" s="27" t="str"/>
      <x:c r="N83" s="52" t="str">
        <x:f>IF(A83="","",ROUND(COUNTA(B83:M83)/12,2))</x:f>
      </x:c>
      <x:c r="O83" s="27" t="str">
        <x:f>IF(A83="","",IF(N83&gt;=0.85,"Готов к прототипу",IF(N83&gt;=0.6,"Требует доработки","Недостаточно данных")))</x:f>
      </x:c>
      <x:c r="P83" s="27"/>
      <x:c r="Q83" s="27"/>
      <x:c r="R83" s="27"/>
      <x:c r="S83" s="27"/>
      <x:c r="T83" s="27"/>
      <x:c r="U83" s="27"/>
    </x:row>
    <x:row r="84">
      <x:c r="A84" s="27" t="str"/>
      <x:c r="B84" s="27" t="str"/>
      <x:c r="C84" s="27" t="str"/>
      <x:c r="D84" s="27" t="str"/>
      <x:c r="E84" s="27" t="str"/>
      <x:c r="F84" s="27" t="str"/>
      <x:c r="G84" s="27" t="str"/>
      <x:c r="H84" s="27" t="str"/>
      <x:c r="I84" s="27" t="str"/>
      <x:c r="J84" s="27" t="str"/>
      <x:c r="K84" s="27" t="str"/>
      <x:c r="L84" s="27" t="str"/>
      <x:c r="M84" s="27" t="str"/>
      <x:c r="N84" s="52" t="str">
        <x:f>IF(A84="","",ROUND(COUNTA(B84:M84)/12,2))</x:f>
      </x:c>
      <x:c r="O84" s="27" t="str">
        <x:f>IF(A84="","",IF(N84&gt;=0.85,"Готов к прототипу",IF(N84&gt;=0.6,"Требует доработки","Недостаточно данных")))</x:f>
      </x:c>
      <x:c r="P84" s="27"/>
      <x:c r="Q84" s="27"/>
      <x:c r="R84" s="27"/>
      <x:c r="S84" s="27"/>
      <x:c r="T84" s="27"/>
      <x:c r="U84" s="27"/>
    </x:row>
    <x:row r="85">
      <x:c r="A85" s="27" t="str"/>
      <x:c r="B85" s="27" t="str"/>
      <x:c r="C85" s="27" t="str"/>
      <x:c r="D85" s="27" t="str"/>
      <x:c r="E85" s="27" t="str"/>
      <x:c r="F85" s="27" t="str"/>
      <x:c r="G85" s="27" t="str"/>
      <x:c r="H85" s="27" t="str"/>
      <x:c r="I85" s="27" t="str"/>
      <x:c r="J85" s="27" t="str"/>
      <x:c r="K85" s="27" t="str"/>
      <x:c r="L85" s="27" t="str"/>
      <x:c r="M85" s="27" t="str"/>
      <x:c r="N85" s="52" t="str">
        <x:f>IF(A85="","",ROUND(COUNTA(B85:M85)/12,2))</x:f>
      </x:c>
      <x:c r="O85" s="27" t="str">
        <x:f>IF(A85="","",IF(N85&gt;=0.85,"Готов к прототипу",IF(N85&gt;=0.6,"Требует доработки","Недостаточно данных")))</x:f>
      </x:c>
      <x:c r="P85" s="27"/>
      <x:c r="Q85" s="27"/>
      <x:c r="R85" s="27"/>
      <x:c r="S85" s="27"/>
      <x:c r="T85" s="27"/>
      <x:c r="U85" s="27"/>
    </x:row>
    <x:row r="86">
      <x:c r="A86" s="27" t="str"/>
      <x:c r="B86" s="27" t="str"/>
      <x:c r="C86" s="27" t="str"/>
      <x:c r="D86" s="27" t="str"/>
      <x:c r="E86" s="27" t="str"/>
      <x:c r="F86" s="27" t="str"/>
      <x:c r="G86" s="27" t="str"/>
      <x:c r="H86" s="27" t="str"/>
      <x:c r="I86" s="27" t="str"/>
      <x:c r="J86" s="27" t="str"/>
      <x:c r="K86" s="27" t="str"/>
      <x:c r="L86" s="27" t="str"/>
      <x:c r="M86" s="27" t="str"/>
      <x:c r="N86" s="52" t="str">
        <x:f>IF(A86="","",ROUND(COUNTA(B86:M86)/12,2))</x:f>
      </x:c>
      <x:c r="O86" s="27" t="str">
        <x:f>IF(A86="","",IF(N86&gt;=0.85,"Готов к прототипу",IF(N86&gt;=0.6,"Требует доработки","Недостаточно данных")))</x:f>
      </x:c>
      <x:c r="P86" s="27"/>
      <x:c r="Q86" s="27"/>
      <x:c r="R86" s="27"/>
      <x:c r="S86" s="27"/>
      <x:c r="T86" s="27"/>
      <x:c r="U86" s="27"/>
    </x:row>
    <x:row r="87">
      <x:c r="A87" s="27" t="str"/>
      <x:c r="B87" s="27" t="str"/>
      <x:c r="C87" s="27" t="str"/>
      <x:c r="D87" s="27" t="str"/>
      <x:c r="E87" s="27" t="str"/>
      <x:c r="F87" s="27" t="str"/>
      <x:c r="G87" s="27" t="str"/>
      <x:c r="H87" s="27" t="str"/>
      <x:c r="I87" s="27" t="str"/>
      <x:c r="J87" s="27" t="str"/>
      <x:c r="K87" s="27" t="str"/>
      <x:c r="L87" s="27" t="str"/>
      <x:c r="M87" s="27" t="str"/>
      <x:c r="N87" s="52" t="str">
        <x:f>IF(A87="","",ROUND(COUNTA(B87:M87)/12,2))</x:f>
      </x:c>
      <x:c r="O87" s="27" t="str">
        <x:f>IF(A87="","",IF(N87&gt;=0.85,"Готов к прототипу",IF(N87&gt;=0.6,"Требует доработки","Недостаточно данных")))</x:f>
      </x:c>
      <x:c r="P87" s="27"/>
      <x:c r="Q87" s="27"/>
      <x:c r="R87" s="27"/>
      <x:c r="S87" s="27"/>
      <x:c r="T87" s="27"/>
      <x:c r="U87" s="27"/>
    </x:row>
    <x:row r="88">
      <x:c r="A88" s="27" t="str"/>
      <x:c r="B88" s="27" t="str"/>
      <x:c r="C88" s="27" t="str"/>
      <x:c r="D88" s="27" t="str"/>
      <x:c r="E88" s="27" t="str"/>
      <x:c r="F88" s="27" t="str"/>
      <x:c r="G88" s="27" t="str"/>
      <x:c r="H88" s="27" t="str"/>
      <x:c r="I88" s="27" t="str"/>
      <x:c r="J88" s="27" t="str"/>
      <x:c r="K88" s="27" t="str"/>
      <x:c r="L88" s="27" t="str"/>
      <x:c r="M88" s="27" t="str"/>
      <x:c r="N88" s="52" t="str">
        <x:f>IF(A88="","",ROUND(COUNTA(B88:M88)/12,2))</x:f>
      </x:c>
      <x:c r="O88" s="27" t="str">
        <x:f>IF(A88="","",IF(N88&gt;=0.85,"Готов к прототипу",IF(N88&gt;=0.6,"Требует доработки","Недостаточно данных")))</x:f>
      </x:c>
      <x:c r="P88" s="27"/>
      <x:c r="Q88" s="27"/>
      <x:c r="R88" s="27"/>
      <x:c r="S88" s="27"/>
      <x:c r="T88" s="27"/>
      <x:c r="U88" s="27"/>
    </x:row>
    <x:row r="89">
      <x:c r="A89" s="27" t="str"/>
      <x:c r="B89" s="27" t="str"/>
      <x:c r="C89" s="27" t="str"/>
      <x:c r="D89" s="27" t="str"/>
      <x:c r="E89" s="27" t="str"/>
      <x:c r="F89" s="27" t="str"/>
      <x:c r="G89" s="27" t="str"/>
      <x:c r="H89" s="27" t="str"/>
      <x:c r="I89" s="27" t="str"/>
      <x:c r="J89" s="27" t="str"/>
      <x:c r="K89" s="27" t="str"/>
      <x:c r="L89" s="27" t="str"/>
      <x:c r="M89" s="27" t="str"/>
      <x:c r="N89" s="52" t="str">
        <x:f>IF(A89="","",ROUND(COUNTA(B89:M89)/12,2))</x:f>
      </x:c>
      <x:c r="O89" s="27" t="str">
        <x:f>IF(A89="","",IF(N89&gt;=0.85,"Готов к прототипу",IF(N89&gt;=0.6,"Требует доработки","Недостаточно данных")))</x:f>
      </x:c>
      <x:c r="P89" s="27"/>
      <x:c r="Q89" s="27"/>
      <x:c r="R89" s="27"/>
      <x:c r="S89" s="27"/>
      <x:c r="T89" s="27"/>
      <x:c r="U89" s="27"/>
    </x:row>
    <x:row r="90">
      <x:c r="A90" s="27" t="str"/>
      <x:c r="B90" s="27" t="str"/>
      <x:c r="C90" s="27" t="str"/>
      <x:c r="D90" s="27" t="str"/>
      <x:c r="E90" s="27" t="str"/>
      <x:c r="F90" s="27" t="str"/>
      <x:c r="G90" s="27" t="str"/>
      <x:c r="H90" s="27" t="str"/>
      <x:c r="I90" s="27" t="str"/>
      <x:c r="J90" s="27" t="str"/>
      <x:c r="K90" s="27" t="str"/>
      <x:c r="L90" s="27" t="str"/>
      <x:c r="M90" s="27" t="str"/>
      <x:c r="N90" s="52" t="str">
        <x:f>IF(A90="","",ROUND(COUNTA(B90:M90)/12,2))</x:f>
      </x:c>
      <x:c r="O90" s="27" t="str">
        <x:f>IF(A90="","",IF(N90&gt;=0.85,"Готов к прототипу",IF(N90&gt;=0.6,"Требует доработки","Недостаточно данных")))</x:f>
      </x:c>
      <x:c r="P90" s="27"/>
      <x:c r="Q90" s="27"/>
      <x:c r="R90" s="27"/>
      <x:c r="S90" s="27"/>
      <x:c r="T90" s="27"/>
      <x:c r="U90" s="27"/>
    </x:row>
    <x:row r="91">
      <x:c r="A91" s="27" t="str"/>
      <x:c r="B91" s="27" t="str"/>
      <x:c r="C91" s="27" t="str"/>
      <x:c r="D91" s="27" t="str"/>
      <x:c r="E91" s="27" t="str"/>
      <x:c r="F91" s="27" t="str"/>
      <x:c r="G91" s="27" t="str"/>
      <x:c r="H91" s="27" t="str"/>
      <x:c r="I91" s="27" t="str"/>
      <x:c r="J91" s="27" t="str"/>
      <x:c r="K91" s="27" t="str"/>
      <x:c r="L91" s="27" t="str"/>
      <x:c r="M91" s="27" t="str"/>
      <x:c r="N91" s="52" t="str">
        <x:f>IF(A91="","",ROUND(COUNTA(B91:M91)/12,2))</x:f>
      </x:c>
      <x:c r="O91" s="27" t="str">
        <x:f>IF(A91="","",IF(N91&gt;=0.85,"Готов к прототипу",IF(N91&gt;=0.6,"Требует доработки","Недостаточно данных")))</x:f>
      </x:c>
      <x:c r="P91" s="27"/>
      <x:c r="Q91" s="27"/>
      <x:c r="R91" s="27"/>
      <x:c r="S91" s="27"/>
      <x:c r="T91" s="27"/>
      <x:c r="U91" s="27"/>
    </x:row>
    <x:row r="92">
      <x:c r="A92" s="27" t="str"/>
      <x:c r="B92" s="27" t="str"/>
      <x:c r="C92" s="27" t="str"/>
      <x:c r="D92" s="27" t="str"/>
      <x:c r="E92" s="27" t="str"/>
      <x:c r="F92" s="27" t="str"/>
      <x:c r="G92" s="27" t="str"/>
      <x:c r="H92" s="27" t="str"/>
      <x:c r="I92" s="27" t="str"/>
      <x:c r="J92" s="27" t="str"/>
      <x:c r="K92" s="27" t="str"/>
      <x:c r="L92" s="27" t="str"/>
      <x:c r="M92" s="27" t="str"/>
      <x:c r="N92" s="52" t="str">
        <x:f>IF(A92="","",ROUND(COUNTA(B92:M92)/12,2))</x:f>
      </x:c>
      <x:c r="O92" s="27" t="str">
        <x:f>IF(A92="","",IF(N92&gt;=0.85,"Готов к прототипу",IF(N92&gt;=0.6,"Требует доработки","Недостаточно данных")))</x:f>
      </x:c>
      <x:c r="P92" s="27"/>
      <x:c r="Q92" s="27"/>
      <x:c r="R92" s="27"/>
      <x:c r="S92" s="27"/>
      <x:c r="T92" s="27"/>
      <x:c r="U92" s="27"/>
    </x:row>
    <x:row r="93">
      <x:c r="A93" s="27" t="str"/>
      <x:c r="B93" s="27" t="str"/>
      <x:c r="C93" s="27" t="str"/>
      <x:c r="D93" s="27" t="str"/>
      <x:c r="E93" s="27" t="str"/>
      <x:c r="F93" s="27" t="str"/>
      <x:c r="G93" s="27" t="str"/>
      <x:c r="H93" s="27" t="str"/>
      <x:c r="I93" s="27" t="str"/>
      <x:c r="J93" s="27" t="str"/>
      <x:c r="K93" s="27" t="str"/>
      <x:c r="L93" s="27" t="str"/>
      <x:c r="M93" s="27" t="str"/>
      <x:c r="N93" s="52" t="str">
        <x:f>IF(A93="","",ROUND(COUNTA(B93:M93)/12,2))</x:f>
      </x:c>
      <x:c r="O93" s="27" t="str">
        <x:f>IF(A93="","",IF(N93&gt;=0.85,"Готов к прототипу",IF(N93&gt;=0.6,"Требует доработки","Недостаточно данных")))</x:f>
      </x:c>
      <x:c r="P93" s="27"/>
      <x:c r="Q93" s="27"/>
      <x:c r="R93" s="27"/>
      <x:c r="S93" s="27"/>
      <x:c r="T93" s="27"/>
      <x:c r="U93" s="27"/>
    </x:row>
    <x:row r="94">
      <x:c r="A94" s="27" t="str"/>
      <x:c r="B94" s="27" t="str"/>
      <x:c r="C94" s="27" t="str"/>
      <x:c r="D94" s="27" t="str"/>
      <x:c r="E94" s="27" t="str"/>
      <x:c r="F94" s="27" t="str"/>
      <x:c r="G94" s="27" t="str"/>
      <x:c r="H94" s="27" t="str"/>
      <x:c r="I94" s="27" t="str"/>
      <x:c r="J94" s="27" t="str"/>
      <x:c r="K94" s="27" t="str"/>
      <x:c r="L94" s="27" t="str"/>
      <x:c r="M94" s="27" t="str"/>
      <x:c r="N94" s="52" t="str">
        <x:f>IF(A94="","",ROUND(COUNTA(B94:M94)/12,2))</x:f>
      </x:c>
      <x:c r="O94" s="27" t="str">
        <x:f>IF(A94="","",IF(N94&gt;=0.85,"Готов к прототипу",IF(N94&gt;=0.6,"Требует доработки","Недостаточно данных")))</x:f>
      </x:c>
      <x:c r="P94" s="27"/>
      <x:c r="Q94" s="27"/>
      <x:c r="R94" s="27"/>
      <x:c r="S94" s="27"/>
      <x:c r="T94" s="27"/>
      <x:c r="U94" s="27"/>
    </x:row>
    <x:row r="95">
      <x:c r="A95" s="27" t="str"/>
      <x:c r="B95" s="27" t="str"/>
      <x:c r="C95" s="27" t="str"/>
      <x:c r="D95" s="27" t="str"/>
      <x:c r="E95" s="27" t="str"/>
      <x:c r="F95" s="27" t="str"/>
      <x:c r="G95" s="27" t="str"/>
      <x:c r="H95" s="27" t="str"/>
      <x:c r="I95" s="27" t="str"/>
      <x:c r="J95" s="27" t="str"/>
      <x:c r="K95" s="27" t="str"/>
      <x:c r="L95" s="27" t="str"/>
      <x:c r="M95" s="27" t="str"/>
      <x:c r="N95" s="52" t="str">
        <x:f>IF(A95="","",ROUND(COUNTA(B95:M95)/12,2))</x:f>
      </x:c>
      <x:c r="O95" s="27" t="str">
        <x:f>IF(A95="","",IF(N95&gt;=0.85,"Готов к прототипу",IF(N95&gt;=0.6,"Требует доработки","Недостаточно данных")))</x:f>
      </x:c>
      <x:c r="P95" s="27"/>
      <x:c r="Q95" s="27"/>
      <x:c r="R95" s="27"/>
      <x:c r="S95" s="27"/>
      <x:c r="T95" s="27"/>
      <x:c r="U95" s="27"/>
    </x:row>
    <x:row r="96">
      <x:c r="A96" s="27" t="str"/>
      <x:c r="B96" s="27" t="str"/>
      <x:c r="C96" s="27" t="str"/>
      <x:c r="D96" s="27" t="str"/>
      <x:c r="E96" s="27" t="str"/>
      <x:c r="F96" s="27" t="str"/>
      <x:c r="G96" s="27" t="str"/>
      <x:c r="H96" s="27" t="str"/>
      <x:c r="I96" s="27" t="str"/>
      <x:c r="J96" s="27" t="str"/>
      <x:c r="K96" s="27" t="str"/>
      <x:c r="L96" s="27" t="str"/>
      <x:c r="M96" s="27" t="str"/>
      <x:c r="N96" s="52" t="str">
        <x:f>IF(A96="","",ROUND(COUNTA(B96:M96)/12,2))</x:f>
      </x:c>
      <x:c r="O96" s="27" t="str">
        <x:f>IF(A96="","",IF(N96&gt;=0.85,"Готов к прототипу",IF(N96&gt;=0.6,"Требует доработки","Недостаточно данных")))</x:f>
      </x:c>
      <x:c r="P96" s="27"/>
      <x:c r="Q96" s="27"/>
      <x:c r="R96" s="27"/>
      <x:c r="S96" s="27"/>
      <x:c r="T96" s="27"/>
      <x:c r="U96" s="27"/>
    </x:row>
    <x:row r="97">
      <x:c r="A97" s="27" t="str"/>
      <x:c r="B97" s="27" t="str"/>
      <x:c r="C97" s="27" t="str"/>
      <x:c r="D97" s="27" t="str"/>
      <x:c r="E97" s="27" t="str"/>
      <x:c r="F97" s="27" t="str"/>
      <x:c r="G97" s="27" t="str"/>
      <x:c r="H97" s="27" t="str"/>
      <x:c r="I97" s="27" t="str"/>
      <x:c r="J97" s="27" t="str"/>
      <x:c r="K97" s="27" t="str"/>
      <x:c r="L97" s="27" t="str"/>
      <x:c r="M97" s="27" t="str"/>
      <x:c r="N97" s="52" t="str">
        <x:f>IF(A97="","",ROUND(COUNTA(B97:M97)/12,2))</x:f>
      </x:c>
      <x:c r="O97" s="27" t="str">
        <x:f>IF(A97="","",IF(N97&gt;=0.85,"Готов к прототипу",IF(N97&gt;=0.6,"Требует доработки","Недостаточно данных")))</x:f>
      </x:c>
      <x:c r="P97" s="27"/>
      <x:c r="Q97" s="27"/>
      <x:c r="R97" s="27"/>
      <x:c r="S97" s="27"/>
      <x:c r="T97" s="27"/>
      <x:c r="U97" s="27"/>
    </x:row>
    <x:row r="98">
      <x:c r="A98" s="27" t="str"/>
      <x:c r="B98" s="27" t="str"/>
      <x:c r="C98" s="27" t="str"/>
      <x:c r="D98" s="27" t="str"/>
      <x:c r="E98" s="27" t="str"/>
      <x:c r="F98" s="27" t="str"/>
      <x:c r="G98" s="27" t="str"/>
      <x:c r="H98" s="27" t="str"/>
      <x:c r="I98" s="27" t="str"/>
      <x:c r="J98" s="27" t="str"/>
      <x:c r="K98" s="27" t="str"/>
      <x:c r="L98" s="27" t="str"/>
      <x:c r="M98" s="27" t="str"/>
      <x:c r="N98" s="52" t="str">
        <x:f>IF(A98="","",ROUND(COUNTA(B98:M98)/12,2))</x:f>
      </x:c>
      <x:c r="O98" s="27" t="str">
        <x:f>IF(A98="","",IF(N98&gt;=0.85,"Готов к прототипу",IF(N98&gt;=0.6,"Требует доработки","Недостаточно данных")))</x:f>
      </x:c>
      <x:c r="P98" s="27"/>
      <x:c r="Q98" s="27"/>
      <x:c r="R98" s="27"/>
      <x:c r="S98" s="27"/>
      <x:c r="T98" s="27"/>
      <x:c r="U98" s="27"/>
    </x:row>
    <x:row r="99">
      <x:c r="A99" s="27" t="str"/>
      <x:c r="B99" s="27" t="str"/>
      <x:c r="C99" s="27" t="str"/>
      <x:c r="D99" s="27" t="str"/>
      <x:c r="E99" s="27" t="str"/>
      <x:c r="F99" s="27" t="str"/>
      <x:c r="G99" s="27" t="str"/>
      <x:c r="H99" s="27" t="str"/>
      <x:c r="I99" s="27" t="str"/>
      <x:c r="J99" s="27" t="str"/>
      <x:c r="K99" s="27" t="str"/>
      <x:c r="L99" s="27" t="str"/>
      <x:c r="M99" s="27" t="str"/>
      <x:c r="N99" s="52" t="str">
        <x:f>IF(A99="","",ROUND(COUNTA(B99:M99)/12,2))</x:f>
      </x:c>
      <x:c r="O99" s="27" t="str">
        <x:f>IF(A99="","",IF(N99&gt;=0.85,"Готов к прототипу",IF(N99&gt;=0.6,"Требует доработки","Недостаточно данных")))</x:f>
      </x:c>
      <x:c r="P99" s="27"/>
      <x:c r="Q99" s="27"/>
      <x:c r="R99" s="27"/>
      <x:c r="S99" s="27"/>
      <x:c r="T99" s="27"/>
      <x:c r="U99" s="27"/>
    </x:row>
    <x:row r="100">
      <x:c r="A100" s="27" t="str"/>
      <x:c r="B100" s="27" t="str"/>
      <x:c r="C100" s="27" t="str"/>
      <x:c r="D100" s="27" t="str"/>
      <x:c r="E100" s="27" t="str"/>
      <x:c r="F100" s="27" t="str"/>
      <x:c r="G100" s="27" t="str"/>
      <x:c r="H100" s="27" t="str"/>
      <x:c r="I100" s="27" t="str"/>
      <x:c r="J100" s="27" t="str"/>
      <x:c r="K100" s="27" t="str"/>
      <x:c r="L100" s="27" t="str"/>
      <x:c r="M100" s="27" t="str"/>
      <x:c r="N100" s="52" t="str">
        <x:f>IF(A100="","",ROUND(COUNTA(B100:M100)/12,2))</x:f>
      </x:c>
      <x:c r="O100" s="27" t="str">
        <x:f>IF(A100="","",IF(N100&gt;=0.85,"Готов к прототипу",IF(N100&gt;=0.6,"Требует доработки","Недостаточно данных")))</x:f>
      </x:c>
      <x:c r="P100" s="27"/>
      <x:c r="Q100" s="27"/>
      <x:c r="R100" s="27"/>
      <x:c r="S100" s="27"/>
      <x:c r="T100" s="27"/>
      <x:c r="U100" s="27"/>
    </x:row>
    <x:row r="101">
      <x:c r="A101" s="27" t="str"/>
      <x:c r="B101" s="27" t="str"/>
      <x:c r="C101" s="27" t="str"/>
      <x:c r="D101" s="27" t="str"/>
      <x:c r="E101" s="27" t="str"/>
      <x:c r="F101" s="27" t="str"/>
      <x:c r="G101" s="27" t="str"/>
      <x:c r="H101" s="27" t="str"/>
      <x:c r="I101" s="27" t="str"/>
      <x:c r="J101" s="27" t="str"/>
      <x:c r="K101" s="27" t="str"/>
      <x:c r="L101" s="27" t="str"/>
      <x:c r="M101" s="27" t="str"/>
      <x:c r="N101" s="52" t="str">
        <x:f>IF(A101="","",ROUND(COUNTA(B101:M101)/12,2))</x:f>
      </x:c>
      <x:c r="O101" s="27" t="str">
        <x:f>IF(A101="","",IF(N101&gt;=0.85,"Готов к прототипу",IF(N101&gt;=0.6,"Требует доработки","Недостаточно данных")))</x:f>
      </x:c>
      <x:c r="P101" s="27"/>
      <x:c r="Q101" s="27"/>
      <x:c r="R101" s="27"/>
      <x:c r="S101" s="27"/>
      <x:c r="T101" s="27"/>
      <x:c r="U101" s="27"/>
    </x:row>
    <x:row r="102">
      <x:c r="A102" s="27" t="str"/>
      <x:c r="B102" s="27" t="str"/>
      <x:c r="C102" s="27" t="str"/>
      <x:c r="D102" s="27" t="str"/>
      <x:c r="E102" s="27" t="str"/>
      <x:c r="F102" s="27" t="str"/>
      <x:c r="G102" s="27" t="str"/>
      <x:c r="H102" s="27" t="str"/>
      <x:c r="I102" s="27" t="str"/>
      <x:c r="J102" s="27" t="str"/>
      <x:c r="K102" s="27" t="str"/>
      <x:c r="L102" s="27" t="str"/>
      <x:c r="M102" s="27" t="str"/>
      <x:c r="N102" s="52" t="str">
        <x:f>IF(A102="","",ROUND(COUNTA(B102:M102)/12,2))</x:f>
      </x:c>
      <x:c r="O102" s="27" t="str">
        <x:f>IF(A102="","",IF(N102&gt;=0.85,"Готов к прототипу",IF(N102&gt;=0.6,"Требует доработки","Недостаточно данных")))</x:f>
      </x:c>
      <x:c r="P102" s="27"/>
      <x:c r="Q102" s="27"/>
      <x:c r="R102" s="27"/>
      <x:c r="S102" s="27"/>
      <x:c r="T102" s="27"/>
      <x:c r="U102" s="27"/>
    </x:row>
    <x:row r="103">
      <x:c r="A103" s="27" t="str"/>
      <x:c r="B103" s="27" t="str"/>
      <x:c r="C103" s="27" t="str"/>
      <x:c r="D103" s="27" t="str"/>
      <x:c r="E103" s="27" t="str"/>
      <x:c r="F103" s="27" t="str"/>
      <x:c r="G103" s="27" t="str"/>
      <x:c r="H103" s="27" t="str"/>
      <x:c r="I103" s="27" t="str"/>
      <x:c r="J103" s="27" t="str"/>
      <x:c r="K103" s="27" t="str"/>
      <x:c r="L103" s="27" t="str"/>
      <x:c r="M103" s="27" t="str"/>
      <x:c r="N103" s="52" t="str">
        <x:f>IF(A103="","",ROUND(COUNTA(B103:M103)/12,2))</x:f>
      </x:c>
      <x:c r="O103" s="27" t="str">
        <x:f>IF(A103="","",IF(N103&gt;=0.85,"Готов к прототипу",IF(N103&gt;=0.6,"Требует доработки","Недостаточно данных")))</x:f>
      </x:c>
      <x:c r="P103" s="27"/>
      <x:c r="Q103" s="27"/>
      <x:c r="R103" s="27"/>
      <x:c r="S103" s="27"/>
      <x:c r="T103" s="27"/>
      <x:c r="U103" s="27"/>
    </x:row>
    <x:row r="104">
      <x:c r="A104" s="27" t="str"/>
      <x:c r="B104" s="27" t="str"/>
      <x:c r="C104" s="27" t="str"/>
      <x:c r="D104" s="27" t="str"/>
      <x:c r="E104" s="27" t="str"/>
      <x:c r="F104" s="27" t="str"/>
      <x:c r="G104" s="27" t="str"/>
      <x:c r="H104" s="27" t="str"/>
      <x:c r="I104" s="27" t="str"/>
      <x:c r="J104" s="27" t="str"/>
      <x:c r="K104" s="27" t="str"/>
      <x:c r="L104" s="27" t="str"/>
      <x:c r="M104" s="27" t="str"/>
      <x:c r="N104" s="52" t="str">
        <x:f>IF(A104="","",ROUND(COUNTA(B104:M104)/12,2))</x:f>
      </x:c>
      <x:c r="O104" s="27" t="str">
        <x:f>IF(A104="","",IF(N104&gt;=0.85,"Готов к прототипу",IF(N104&gt;=0.6,"Требует доработки","Недостаточно данных")))</x:f>
      </x:c>
      <x:c r="P104" s="27"/>
      <x:c r="Q104" s="27"/>
      <x:c r="R104" s="27"/>
      <x:c r="S104" s="27"/>
      <x:c r="T104" s="27"/>
      <x:c r="U104" s="27"/>
    </x:row>
    <x:row r="105">
      <x:c r="A105" s="27" t="str"/>
      <x:c r="B105" s="27" t="str"/>
      <x:c r="C105" s="27" t="str"/>
      <x:c r="D105" s="27" t="str"/>
      <x:c r="E105" s="27" t="str"/>
      <x:c r="F105" s="27" t="str"/>
      <x:c r="G105" s="27" t="str"/>
      <x:c r="H105" s="27" t="str"/>
      <x:c r="I105" s="27" t="str"/>
      <x:c r="J105" s="27" t="str"/>
      <x:c r="K105" s="27" t="str"/>
      <x:c r="L105" s="27" t="str"/>
      <x:c r="M105" s="27" t="str"/>
      <x:c r="N105" s="52" t="str">
        <x:f>IF(A105="","",ROUND(COUNTA(B105:M105)/12,2))</x:f>
      </x:c>
      <x:c r="O105" s="27" t="str">
        <x:f>IF(A105="","",IF(N105&gt;=0.85,"Готов к прототипу",IF(N105&gt;=0.6,"Требует доработки","Недостаточно данных")))</x:f>
      </x:c>
      <x:c r="P105" s="27"/>
      <x:c r="Q105" s="27"/>
      <x:c r="R105" s="27"/>
      <x:c r="S105" s="27"/>
      <x:c r="T105" s="27"/>
      <x:c r="U105" s="27"/>
    </x:row>
    <x:row r="106">
      <x:c r="A106" s="27" t="str"/>
      <x:c r="B106" s="27" t="str"/>
      <x:c r="C106" s="27" t="str"/>
      <x:c r="D106" s="27" t="str"/>
      <x:c r="E106" s="27" t="str"/>
      <x:c r="F106" s="27" t="str"/>
      <x:c r="G106" s="27" t="str"/>
      <x:c r="H106" s="27" t="str"/>
      <x:c r="I106" s="27" t="str"/>
      <x:c r="J106" s="27" t="str"/>
      <x:c r="K106" s="27" t="str"/>
      <x:c r="L106" s="27" t="str"/>
      <x:c r="M106" s="27" t="str"/>
      <x:c r="N106" s="52" t="str">
        <x:f>IF(A106="","",ROUND(COUNTA(B106:M106)/12,2))</x:f>
      </x:c>
      <x:c r="O106" s="27" t="str">
        <x:f>IF(A106="","",IF(N106&gt;=0.85,"Готов к прототипу",IF(N106&gt;=0.6,"Требует доработки","Недостаточно данных")))</x:f>
      </x:c>
      <x:c r="P106" s="27"/>
      <x:c r="Q106" s="27"/>
      <x:c r="R106" s="27"/>
      <x:c r="S106" s="27"/>
      <x:c r="T106" s="27"/>
      <x:c r="U106" s="27"/>
    </x:row>
    <x:row r="107">
      <x:c r="A107" s="27" t="str"/>
      <x:c r="B107" s="27" t="str"/>
      <x:c r="C107" s="27" t="str"/>
      <x:c r="D107" s="27" t="str"/>
      <x:c r="E107" s="27" t="str"/>
      <x:c r="F107" s="27" t="str"/>
      <x:c r="G107" s="27" t="str"/>
      <x:c r="H107" s="27" t="str"/>
      <x:c r="I107" s="27" t="str"/>
      <x:c r="J107" s="27" t="str"/>
      <x:c r="K107" s="27" t="str"/>
      <x:c r="L107" s="27" t="str"/>
      <x:c r="M107" s="27" t="str"/>
      <x:c r="N107" s="52" t="str">
        <x:f>IF(A107="","",ROUND(COUNTA(B107:M107)/12,2))</x:f>
      </x:c>
      <x:c r="O107" s="27" t="str">
        <x:f>IF(A107="","",IF(N107&gt;=0.85,"Готов к прототипу",IF(N107&gt;=0.6,"Требует доработки","Недостаточно данных")))</x:f>
      </x:c>
      <x:c r="P107" s="27"/>
      <x:c r="Q107" s="27"/>
      <x:c r="R107" s="27"/>
      <x:c r="S107" s="27"/>
      <x:c r="T107" s="27"/>
      <x:c r="U107" s="27"/>
    </x:row>
    <x:row r="108">
      <x:c r="A108" s="27" t="str"/>
      <x:c r="B108" s="27" t="str"/>
      <x:c r="C108" s="27" t="str"/>
      <x:c r="D108" s="27" t="str"/>
      <x:c r="E108" s="27" t="str"/>
      <x:c r="F108" s="27" t="str"/>
      <x:c r="G108" s="27" t="str"/>
      <x:c r="H108" s="27" t="str"/>
      <x:c r="I108" s="27" t="str"/>
      <x:c r="J108" s="27" t="str"/>
      <x:c r="K108" s="27" t="str"/>
      <x:c r="L108" s="27" t="str"/>
      <x:c r="M108" s="27" t="str"/>
      <x:c r="N108" s="52" t="str">
        <x:f>IF(A108="","",ROUND(COUNTA(B108:M108)/12,2))</x:f>
      </x:c>
      <x:c r="O108" s="27" t="str">
        <x:f>IF(A108="","",IF(N108&gt;=0.85,"Готов к прототипу",IF(N108&gt;=0.6,"Требует доработки","Недостаточно данных")))</x:f>
      </x:c>
      <x:c r="P108" s="27"/>
      <x:c r="Q108" s="27"/>
      <x:c r="R108" s="27"/>
      <x:c r="S108" s="27"/>
      <x:c r="T108" s="27"/>
      <x:c r="U108" s="27"/>
    </x:row>
    <x:row r="109">
      <x:c r="A109" s="27" t="str"/>
      <x:c r="B109" s="27" t="str"/>
      <x:c r="C109" s="27" t="str"/>
      <x:c r="D109" s="27" t="str"/>
      <x:c r="E109" s="27" t="str"/>
      <x:c r="F109" s="27" t="str"/>
      <x:c r="G109" s="27" t="str"/>
      <x:c r="H109" s="27" t="str"/>
      <x:c r="I109" s="27" t="str"/>
      <x:c r="J109" s="27" t="str"/>
      <x:c r="K109" s="27" t="str"/>
      <x:c r="L109" s="27" t="str"/>
      <x:c r="M109" s="27" t="str"/>
      <x:c r="N109" s="52" t="str">
        <x:f>IF(A109="","",ROUND(COUNTA(B109:M109)/12,2))</x:f>
      </x:c>
      <x:c r="O109" s="27" t="str">
        <x:f>IF(A109="","",IF(N109&gt;=0.85,"Готов к прототипу",IF(N109&gt;=0.6,"Требует доработки","Недостаточно данных")))</x:f>
      </x:c>
      <x:c r="P109" s="27"/>
      <x:c r="Q109" s="27"/>
      <x:c r="R109" s="27"/>
      <x:c r="S109" s="27"/>
      <x:c r="T109" s="27"/>
      <x:c r="U109" s="27"/>
    </x:row>
    <x:row r="110">
      <x:c r="A110" s="27" t="str"/>
      <x:c r="B110" s="27" t="str"/>
      <x:c r="C110" s="27" t="str"/>
      <x:c r="D110" s="27" t="str"/>
      <x:c r="E110" s="27" t="str"/>
      <x:c r="F110" s="27" t="str"/>
      <x:c r="G110" s="27" t="str"/>
      <x:c r="H110" s="27" t="str"/>
      <x:c r="I110" s="27" t="str"/>
      <x:c r="J110" s="27" t="str"/>
      <x:c r="K110" s="27" t="str"/>
      <x:c r="L110" s="27" t="str"/>
      <x:c r="M110" s="27" t="str"/>
      <x:c r="N110" s="52" t="str">
        <x:f>IF(A110="","",ROUND(COUNTA(B110:M110)/12,2))</x:f>
      </x:c>
      <x:c r="O110" s="27" t="str">
        <x:f>IF(A110="","",IF(N110&gt;=0.85,"Готов к прототипу",IF(N110&gt;=0.6,"Требует доработки","Недостаточно данных")))</x:f>
      </x:c>
      <x:c r="P110" s="27"/>
      <x:c r="Q110" s="27"/>
      <x:c r="R110" s="27"/>
      <x:c r="S110" s="27"/>
      <x:c r="T110" s="27"/>
      <x:c r="U110" s="27"/>
    </x:row>
    <x:row r="111">
      <x:c r="A111" s="27" t="str"/>
      <x:c r="B111" s="27" t="str"/>
      <x:c r="C111" s="27" t="str"/>
      <x:c r="D111" s="27" t="str"/>
      <x:c r="E111" s="27" t="str"/>
      <x:c r="F111" s="27" t="str"/>
      <x:c r="G111" s="27" t="str"/>
      <x:c r="H111" s="27" t="str"/>
      <x:c r="I111" s="27" t="str"/>
      <x:c r="J111" s="27" t="str"/>
      <x:c r="K111" s="27" t="str"/>
      <x:c r="L111" s="27" t="str"/>
      <x:c r="M111" s="27" t="str"/>
      <x:c r="N111" s="52" t="str">
        <x:f>IF(A111="","",ROUND(COUNTA(B111:M111)/12,2))</x:f>
      </x:c>
      <x:c r="O111" s="27" t="str">
        <x:f>IF(A111="","",IF(N111&gt;=0.85,"Готов к прототипу",IF(N111&gt;=0.6,"Требует доработки","Недостаточно данных")))</x:f>
      </x:c>
      <x:c r="P111" s="27"/>
      <x:c r="Q111" s="27"/>
      <x:c r="R111" s="27"/>
      <x:c r="S111" s="27"/>
      <x:c r="T111" s="27"/>
      <x:c r="U111" s="27"/>
    </x:row>
    <x:row r="112">
      <x:c r="A112" s="27" t="str"/>
      <x:c r="B112" s="27" t="str"/>
      <x:c r="C112" s="27" t="str"/>
      <x:c r="D112" s="27" t="str"/>
      <x:c r="E112" s="27" t="str"/>
      <x:c r="F112" s="27" t="str"/>
      <x:c r="G112" s="27" t="str"/>
      <x:c r="H112" s="27" t="str"/>
      <x:c r="I112" s="27" t="str"/>
      <x:c r="J112" s="27" t="str"/>
      <x:c r="K112" s="27" t="str"/>
      <x:c r="L112" s="27" t="str"/>
      <x:c r="M112" s="27" t="str"/>
      <x:c r="N112" s="52" t="str">
        <x:f>IF(A112="","",ROUND(COUNTA(B112:M112)/12,2))</x:f>
      </x:c>
      <x:c r="O112" s="27" t="str">
        <x:f>IF(A112="","",IF(N112&gt;=0.85,"Готов к прототипу",IF(N112&gt;=0.6,"Требует доработки","Недостаточно данных")))</x:f>
      </x:c>
      <x:c r="P112" s="27"/>
      <x:c r="Q112" s="27"/>
      <x:c r="R112" s="27"/>
      <x:c r="S112" s="27"/>
      <x:c r="T112" s="27"/>
      <x:c r="U112" s="27"/>
    </x:row>
    <x:row r="113">
      <x:c r="A113" s="27" t="str"/>
      <x:c r="B113" s="27" t="str"/>
      <x:c r="C113" s="27" t="str"/>
      <x:c r="D113" s="27" t="str"/>
      <x:c r="E113" s="27" t="str"/>
      <x:c r="F113" s="27" t="str"/>
      <x:c r="G113" s="27" t="str"/>
      <x:c r="H113" s="27" t="str"/>
      <x:c r="I113" s="27" t="str"/>
      <x:c r="J113" s="27" t="str"/>
      <x:c r="K113" s="27" t="str"/>
      <x:c r="L113" s="27" t="str"/>
      <x:c r="M113" s="27" t="str"/>
      <x:c r="N113" s="52" t="str">
        <x:f>IF(A113="","",ROUND(COUNTA(B113:M113)/12,2))</x:f>
      </x:c>
      <x:c r="O113" s="27" t="str">
        <x:f>IF(A113="","",IF(N113&gt;=0.85,"Готов к прототипу",IF(N113&gt;=0.6,"Требует доработки","Недостаточно данных")))</x:f>
      </x:c>
      <x:c r="P113" s="27"/>
      <x:c r="Q113" s="27"/>
      <x:c r="R113" s="27"/>
      <x:c r="S113" s="27"/>
      <x:c r="T113" s="27"/>
      <x:c r="U113" s="27"/>
    </x:row>
    <x:row r="114">
      <x:c r="A114" s="27" t="str"/>
      <x:c r="B114" s="27" t="str"/>
      <x:c r="C114" s="27" t="str"/>
      <x:c r="D114" s="27" t="str"/>
      <x:c r="E114" s="27" t="str"/>
      <x:c r="F114" s="27" t="str"/>
      <x:c r="G114" s="27" t="str"/>
      <x:c r="H114" s="27" t="str"/>
      <x:c r="I114" s="27" t="str"/>
      <x:c r="J114" s="27" t="str"/>
      <x:c r="K114" s="27" t="str"/>
      <x:c r="L114" s="27" t="str"/>
      <x:c r="M114" s="27" t="str"/>
      <x:c r="N114" s="52" t="str">
        <x:f>IF(A114="","",ROUND(COUNTA(B114:M114)/12,2))</x:f>
      </x:c>
      <x:c r="O114" s="27" t="str">
        <x:f>IF(A114="","",IF(N114&gt;=0.85,"Готов к прототипу",IF(N114&gt;=0.6,"Требует доработки","Недостаточно данных")))</x:f>
      </x:c>
      <x:c r="P114" s="27"/>
      <x:c r="Q114" s="27"/>
      <x:c r="R114" s="27"/>
      <x:c r="S114" s="27"/>
      <x:c r="T114" s="27"/>
      <x:c r="U114" s="27"/>
    </x:row>
    <x:row r="115">
      <x:c r="A115" s="27" t="str"/>
      <x:c r="B115" s="27" t="str"/>
      <x:c r="C115" s="27" t="str"/>
      <x:c r="D115" s="27" t="str"/>
      <x:c r="E115" s="27" t="str"/>
      <x:c r="F115" s="27" t="str"/>
      <x:c r="G115" s="27" t="str"/>
      <x:c r="H115" s="27" t="str"/>
      <x:c r="I115" s="27" t="str"/>
      <x:c r="J115" s="27" t="str"/>
      <x:c r="K115" s="27" t="str"/>
      <x:c r="L115" s="27" t="str"/>
      <x:c r="M115" s="27" t="str"/>
      <x:c r="N115" s="52" t="str">
        <x:f>IF(A115="","",ROUND(COUNTA(B115:M115)/12,2))</x:f>
      </x:c>
      <x:c r="O115" s="27" t="str">
        <x:f>IF(A115="","",IF(N115&gt;=0.85,"Готов к прототипу",IF(N115&gt;=0.6,"Требует доработки","Недостаточно данных")))</x:f>
      </x:c>
      <x:c r="P115" s="27"/>
      <x:c r="Q115" s="27"/>
      <x:c r="R115" s="27"/>
      <x:c r="S115" s="27"/>
      <x:c r="T115" s="27"/>
      <x:c r="U115" s="27"/>
    </x:row>
    <x:row r="116">
      <x:c r="A116" s="27" t="str"/>
      <x:c r="B116" s="27" t="str"/>
      <x:c r="C116" s="27" t="str"/>
      <x:c r="D116" s="27" t="str"/>
      <x:c r="E116" s="27" t="str"/>
      <x:c r="F116" s="27" t="str"/>
      <x:c r="G116" s="27" t="str"/>
      <x:c r="H116" s="27" t="str"/>
      <x:c r="I116" s="27" t="str"/>
      <x:c r="J116" s="27" t="str"/>
      <x:c r="K116" s="27" t="str"/>
      <x:c r="L116" s="27" t="str"/>
      <x:c r="M116" s="27" t="str"/>
      <x:c r="N116" s="52" t="str">
        <x:f>IF(A116="","",ROUND(COUNTA(B116:M116)/12,2))</x:f>
      </x:c>
      <x:c r="O116" s="27" t="str">
        <x:f>IF(A116="","",IF(N116&gt;=0.85,"Готов к прототипу",IF(N116&gt;=0.6,"Требует доработки","Недостаточно данных")))</x:f>
      </x:c>
      <x:c r="P116" s="27"/>
      <x:c r="Q116" s="27"/>
      <x:c r="R116" s="27"/>
      <x:c r="S116" s="27"/>
      <x:c r="T116" s="27"/>
      <x:c r="U116" s="27"/>
    </x:row>
    <x:row r="117">
      <x:c r="A117" s="27" t="str"/>
      <x:c r="B117" s="27" t="str"/>
      <x:c r="C117" s="27" t="str"/>
      <x:c r="D117" s="27" t="str"/>
      <x:c r="E117" s="27" t="str"/>
      <x:c r="F117" s="27" t="str"/>
      <x:c r="G117" s="27" t="str"/>
      <x:c r="H117" s="27" t="str"/>
      <x:c r="I117" s="27" t="str"/>
      <x:c r="J117" s="27" t="str"/>
      <x:c r="K117" s="27" t="str"/>
      <x:c r="L117" s="27" t="str"/>
      <x:c r="M117" s="27" t="str"/>
      <x:c r="N117" s="52" t="str">
        <x:f>IF(A117="","",ROUND(COUNTA(B117:M117)/12,2))</x:f>
      </x:c>
      <x:c r="O117" s="27" t="str">
        <x:f>IF(A117="","",IF(N117&gt;=0.85,"Готов к прототипу",IF(N117&gt;=0.6,"Требует доработки","Недостаточно данных")))</x:f>
      </x:c>
      <x:c r="P117" s="27"/>
      <x:c r="Q117" s="27"/>
      <x:c r="R117" s="27"/>
      <x:c r="S117" s="27"/>
      <x:c r="T117" s="27"/>
      <x:c r="U117" s="27"/>
    </x:row>
    <x:row r="118">
      <x:c r="A118" s="27" t="str"/>
      <x:c r="B118" s="27" t="str"/>
      <x:c r="C118" s="27" t="str"/>
      <x:c r="D118" s="27" t="str"/>
      <x:c r="E118" s="27" t="str"/>
      <x:c r="F118" s="27" t="str"/>
      <x:c r="G118" s="27" t="str"/>
      <x:c r="H118" s="27" t="str"/>
      <x:c r="I118" s="27" t="str"/>
      <x:c r="J118" s="27" t="str"/>
      <x:c r="K118" s="27" t="str"/>
      <x:c r="L118" s="27" t="str"/>
      <x:c r="M118" s="27" t="str"/>
      <x:c r="N118" s="52" t="str">
        <x:f>IF(A118="","",ROUND(COUNTA(B118:M118)/12,2))</x:f>
      </x:c>
      <x:c r="O118" s="27" t="str">
        <x:f>IF(A118="","",IF(N118&gt;=0.85,"Готов к прототипу",IF(N118&gt;=0.6,"Требует доработки","Недостаточно данных")))</x:f>
      </x:c>
      <x:c r="P118" s="27"/>
      <x:c r="Q118" s="27"/>
      <x:c r="R118" s="27"/>
      <x:c r="S118" s="27"/>
      <x:c r="T118" s="27"/>
      <x:c r="U118" s="27"/>
    </x:row>
    <x:row r="119">
      <x:c r="A119" s="27" t="str"/>
      <x:c r="B119" s="27" t="str"/>
      <x:c r="C119" s="27" t="str"/>
      <x:c r="D119" s="27" t="str"/>
      <x:c r="E119" s="27" t="str"/>
      <x:c r="F119" s="27" t="str"/>
      <x:c r="G119" s="27" t="str"/>
      <x:c r="H119" s="27" t="str"/>
      <x:c r="I119" s="27" t="str"/>
      <x:c r="J119" s="27" t="str"/>
      <x:c r="K119" s="27" t="str"/>
      <x:c r="L119" s="27" t="str"/>
      <x:c r="M119" s="27" t="str"/>
      <x:c r="N119" s="52" t="str">
        <x:f>IF(A119="","",ROUND(COUNTA(B119:M119)/12,2))</x:f>
      </x:c>
      <x:c r="O119" s="27" t="str">
        <x:f>IF(A119="","",IF(N119&gt;=0.85,"Готов к прототипу",IF(N119&gt;=0.6,"Требует доработки","Недостаточно данных")))</x:f>
      </x:c>
      <x:c r="P119" s="27"/>
      <x:c r="Q119" s="27"/>
      <x:c r="R119" s="27"/>
      <x:c r="S119" s="27"/>
      <x:c r="T119" s="27"/>
      <x:c r="U119" s="27"/>
    </x:row>
    <x:row r="120">
      <x:c r="A120" s="27" t="str"/>
      <x:c r="B120" s="27" t="str"/>
      <x:c r="C120" s="27" t="str"/>
      <x:c r="D120" s="27" t="str"/>
      <x:c r="E120" s="27" t="str"/>
      <x:c r="F120" s="27" t="str"/>
      <x:c r="G120" s="27" t="str"/>
      <x:c r="H120" s="27" t="str"/>
      <x:c r="I120" s="27" t="str"/>
      <x:c r="J120" s="27" t="str"/>
      <x:c r="K120" s="27" t="str"/>
      <x:c r="L120" s="27" t="str"/>
      <x:c r="M120" s="27" t="str"/>
      <x:c r="N120" s="52" t="str">
        <x:f>IF(A120="","",ROUND(COUNTA(B120:M120)/12,2))</x:f>
      </x:c>
      <x:c r="O120" s="27" t="str">
        <x:f>IF(A120="","",IF(N120&gt;=0.85,"Готов к прототипу",IF(N120&gt;=0.6,"Требует доработки","Недостаточно данных")))</x:f>
      </x:c>
      <x:c r="P120" s="27"/>
      <x:c r="Q120" s="27"/>
      <x:c r="R120" s="27"/>
      <x:c r="S120" s="27"/>
      <x:c r="T120" s="27"/>
      <x:c r="U120" s="27"/>
    </x:row>
    <x:row r="121">
      <x:c r="A121" s="27" t="str"/>
      <x:c r="B121" s="27" t="str"/>
      <x:c r="C121" s="27" t="str"/>
      <x:c r="D121" s="27" t="str"/>
      <x:c r="E121" s="27" t="str"/>
      <x:c r="F121" s="27" t="str"/>
      <x:c r="G121" s="27" t="str"/>
      <x:c r="H121" s="27" t="str"/>
      <x:c r="I121" s="27" t="str"/>
      <x:c r="J121" s="27" t="str"/>
      <x:c r="K121" s="27" t="str"/>
      <x:c r="L121" s="27" t="str"/>
      <x:c r="M121" s="27" t="str"/>
      <x:c r="N121" s="52" t="str">
        <x:f>IF(A121="","",ROUND(COUNTA(B121:M121)/12,2))</x:f>
      </x:c>
      <x:c r="O121" s="27" t="str">
        <x:f>IF(A121="","",IF(N121&gt;=0.85,"Готов к прототипу",IF(N121&gt;=0.6,"Требует доработки","Недостаточно данных")))</x:f>
      </x:c>
      <x:c r="P121" s="27"/>
      <x:c r="Q121" s="27"/>
      <x:c r="R121" s="27"/>
      <x:c r="S121" s="27"/>
      <x:c r="T121" s="27"/>
      <x:c r="U121" s="27"/>
    </x:row>
    <x:row r="122">
      <x:c r="A122" s="27" t="str"/>
      <x:c r="B122" s="27" t="str"/>
      <x:c r="C122" s="27" t="str"/>
      <x:c r="D122" s="27" t="str"/>
      <x:c r="E122" s="27" t="str"/>
      <x:c r="F122" s="27" t="str"/>
      <x:c r="G122" s="27" t="str"/>
      <x:c r="H122" s="27" t="str"/>
      <x:c r="I122" s="27" t="str"/>
      <x:c r="J122" s="27" t="str"/>
      <x:c r="K122" s="27" t="str"/>
      <x:c r="L122" s="27" t="str"/>
      <x:c r="M122" s="27" t="str"/>
      <x:c r="N122" s="52" t="str">
        <x:f>IF(A122="","",ROUND(COUNTA(B122:M122)/12,2))</x:f>
      </x:c>
      <x:c r="O122" s="27" t="str">
        <x:f>IF(A122="","",IF(N122&gt;=0.85,"Готов к прототипу",IF(N122&gt;=0.6,"Требует доработки","Недостаточно данных")))</x:f>
      </x:c>
      <x:c r="P122" s="27"/>
      <x:c r="Q122" s="27"/>
      <x:c r="R122" s="27"/>
      <x:c r="S122" s="27"/>
      <x:c r="T122" s="27"/>
      <x:c r="U122" s="27"/>
    </x:row>
    <x:row r="123">
      <x:c r="A123" s="27" t="str"/>
      <x:c r="B123" s="27" t="str"/>
      <x:c r="C123" s="27" t="str"/>
      <x:c r="D123" s="27" t="str"/>
      <x:c r="E123" s="27" t="str"/>
      <x:c r="F123" s="27" t="str"/>
      <x:c r="G123" s="27" t="str"/>
      <x:c r="H123" s="27" t="str"/>
      <x:c r="I123" s="27" t="str"/>
      <x:c r="J123" s="27" t="str"/>
      <x:c r="K123" s="27" t="str"/>
      <x:c r="L123" s="27" t="str"/>
      <x:c r="M123" s="27" t="str"/>
      <x:c r="N123" s="52" t="str">
        <x:f>IF(A123="","",ROUND(COUNTA(B123:M123)/12,2))</x:f>
      </x:c>
      <x:c r="O123" s="27" t="str">
        <x:f>IF(A123="","",IF(N123&gt;=0.85,"Готов к прототипу",IF(N123&gt;=0.6,"Требует доработки","Недостаточно данных")))</x:f>
      </x:c>
      <x:c r="P123" s="27"/>
      <x:c r="Q123" s="27"/>
      <x:c r="R123" s="27"/>
      <x:c r="S123" s="27"/>
      <x:c r="T123" s="27"/>
      <x:c r="U123" s="27"/>
    </x:row>
    <x:row r="124">
      <x:c r="A124" s="27" t="str"/>
      <x:c r="B124" s="27" t="str"/>
      <x:c r="C124" s="27" t="str"/>
      <x:c r="D124" s="27" t="str"/>
      <x:c r="E124" s="27" t="str"/>
      <x:c r="F124" s="27" t="str"/>
      <x:c r="G124" s="27" t="str"/>
      <x:c r="H124" s="27" t="str"/>
      <x:c r="I124" s="27" t="str"/>
      <x:c r="J124" s="27" t="str"/>
      <x:c r="K124" s="27" t="str"/>
      <x:c r="L124" s="27" t="str"/>
      <x:c r="M124" s="27" t="str"/>
      <x:c r="N124" s="52" t="str">
        <x:f>IF(A124="","",ROUND(COUNTA(B124:M124)/12,2))</x:f>
      </x:c>
      <x:c r="O124" s="27" t="str">
        <x:f>IF(A124="","",IF(N124&gt;=0.85,"Готов к прототипу",IF(N124&gt;=0.6,"Требует доработки","Недостаточно данных")))</x:f>
      </x:c>
      <x:c r="P124" s="27"/>
      <x:c r="Q124" s="27"/>
      <x:c r="R124" s="27"/>
      <x:c r="S124" s="27"/>
      <x:c r="T124" s="27"/>
      <x:c r="U124" s="27"/>
    </x:row>
    <x:row r="125">
      <x:c r="A125" s="27" t="str"/>
      <x:c r="B125" s="27" t="str"/>
      <x:c r="C125" s="27" t="str"/>
      <x:c r="D125" s="27" t="str"/>
      <x:c r="E125" s="27" t="str"/>
      <x:c r="F125" s="27" t="str"/>
      <x:c r="G125" s="27" t="str"/>
      <x:c r="H125" s="27" t="str"/>
      <x:c r="I125" s="27" t="str"/>
      <x:c r="J125" s="27" t="str"/>
      <x:c r="K125" s="27" t="str"/>
      <x:c r="L125" s="27" t="str"/>
      <x:c r="M125" s="27" t="str"/>
      <x:c r="N125" s="52" t="str">
        <x:f>IF(A125="","",ROUND(COUNTA(B125:M125)/12,2))</x:f>
      </x:c>
      <x:c r="O125" s="27" t="str">
        <x:f>IF(A125="","",IF(N125&gt;=0.85,"Готов к прототипу",IF(N125&gt;=0.6,"Требует доработки","Недостаточно данных")))</x:f>
      </x:c>
      <x:c r="P125" s="27"/>
      <x:c r="Q125" s="27"/>
      <x:c r="R125" s="27"/>
      <x:c r="S125" s="27"/>
      <x:c r="T125" s="27"/>
      <x:c r="U125" s="27"/>
    </x:row>
    <x:row r="126">
      <x:c r="A126" s="27" t="str"/>
      <x:c r="B126" s="27" t="str"/>
      <x:c r="C126" s="27" t="str"/>
      <x:c r="D126" s="27" t="str"/>
      <x:c r="E126" s="27" t="str"/>
      <x:c r="F126" s="27" t="str"/>
      <x:c r="G126" s="27" t="str"/>
      <x:c r="H126" s="27" t="str"/>
      <x:c r="I126" s="27" t="str"/>
      <x:c r="J126" s="27" t="str"/>
      <x:c r="K126" s="27" t="str"/>
      <x:c r="L126" s="27" t="str"/>
      <x:c r="M126" s="27" t="str"/>
      <x:c r="N126" s="52" t="str">
        <x:f>IF(A126="","",ROUND(COUNTA(B126:M126)/12,2))</x:f>
      </x:c>
      <x:c r="O126" s="27" t="str">
        <x:f>IF(A126="","",IF(N126&gt;=0.85,"Готов к прототипу",IF(N126&gt;=0.6,"Требует доработки","Недостаточно данных")))</x:f>
      </x:c>
      <x:c r="P126" s="27"/>
      <x:c r="Q126" s="27"/>
      <x:c r="R126" s="27"/>
      <x:c r="S126" s="27"/>
      <x:c r="T126" s="27"/>
      <x:c r="U126" s="27"/>
    </x:row>
    <x:row r="127">
      <x:c r="A127" s="27" t="str"/>
      <x:c r="B127" s="27" t="str"/>
      <x:c r="C127" s="27" t="str"/>
      <x:c r="D127" s="27" t="str"/>
      <x:c r="E127" s="27" t="str"/>
      <x:c r="F127" s="27" t="str"/>
      <x:c r="G127" s="27" t="str"/>
      <x:c r="H127" s="27" t="str"/>
      <x:c r="I127" s="27" t="str"/>
      <x:c r="J127" s="27" t="str"/>
      <x:c r="K127" s="27" t="str"/>
      <x:c r="L127" s="27" t="str"/>
      <x:c r="M127" s="27" t="str"/>
      <x:c r="N127" s="52" t="str">
        <x:f>IF(A127="","",ROUND(COUNTA(B127:M127)/12,2))</x:f>
      </x:c>
      <x:c r="O127" s="27" t="str">
        <x:f>IF(A127="","",IF(N127&gt;=0.85,"Готов к прототипу",IF(N127&gt;=0.6,"Требует доработки","Недостаточно данных")))</x:f>
      </x:c>
      <x:c r="P127" s="27"/>
      <x:c r="Q127" s="27"/>
      <x:c r="R127" s="27"/>
      <x:c r="S127" s="27"/>
      <x:c r="T127" s="27"/>
      <x:c r="U127" s="27"/>
    </x:row>
    <x:row r="128">
      <x:c r="A128" s="27" t="str"/>
      <x:c r="B128" s="27" t="str"/>
      <x:c r="C128" s="27" t="str"/>
      <x:c r="D128" s="27" t="str"/>
      <x:c r="E128" s="27" t="str"/>
      <x:c r="F128" s="27" t="str"/>
      <x:c r="G128" s="27" t="str"/>
      <x:c r="H128" s="27" t="str"/>
      <x:c r="I128" s="27" t="str"/>
      <x:c r="J128" s="27" t="str"/>
      <x:c r="K128" s="27" t="str"/>
      <x:c r="L128" s="27" t="str"/>
      <x:c r="M128" s="27" t="str"/>
      <x:c r="N128" s="52" t="str">
        <x:f>IF(A128="","",ROUND(COUNTA(B128:M128)/12,2))</x:f>
      </x:c>
      <x:c r="O128" s="27" t="str">
        <x:f>IF(A128="","",IF(N128&gt;=0.85,"Готов к прототипу",IF(N128&gt;=0.6,"Требует доработки","Недостаточно данных")))</x:f>
      </x:c>
      <x:c r="P128" s="27"/>
      <x:c r="Q128" s="27"/>
      <x:c r="R128" s="27"/>
      <x:c r="S128" s="27"/>
      <x:c r="T128" s="27"/>
      <x:c r="U128" s="27"/>
    </x:row>
    <x:row r="129">
      <x:c r="A129" s="27" t="str"/>
      <x:c r="B129" s="27" t="str"/>
      <x:c r="C129" s="27" t="str"/>
      <x:c r="D129" s="27" t="str"/>
      <x:c r="E129" s="27" t="str"/>
      <x:c r="F129" s="27" t="str"/>
      <x:c r="G129" s="27" t="str"/>
      <x:c r="H129" s="27" t="str"/>
      <x:c r="I129" s="27" t="str"/>
      <x:c r="J129" s="27" t="str"/>
      <x:c r="K129" s="27" t="str"/>
      <x:c r="L129" s="27" t="str"/>
      <x:c r="M129" s="27" t="str"/>
      <x:c r="N129" s="52" t="str">
        <x:f>IF(A129="","",ROUND(COUNTA(B129:M129)/12,2))</x:f>
      </x:c>
      <x:c r="O129" s="27" t="str">
        <x:f>IF(A129="","",IF(N129&gt;=0.85,"Готов к прототипу",IF(N129&gt;=0.6,"Требует доработки","Недостаточно данных")))</x:f>
      </x:c>
      <x:c r="P129" s="27"/>
      <x:c r="Q129" s="27"/>
      <x:c r="R129" s="27"/>
      <x:c r="S129" s="27"/>
      <x:c r="T129" s="27"/>
      <x:c r="U129" s="27"/>
    </x:row>
    <x:row r="130">
      <x:c r="A130" s="27" t="str"/>
      <x:c r="B130" s="27" t="str"/>
      <x:c r="C130" s="27" t="str"/>
      <x:c r="D130" s="27" t="str"/>
      <x:c r="E130" s="27" t="str"/>
      <x:c r="F130" s="27" t="str"/>
      <x:c r="G130" s="27" t="str"/>
      <x:c r="H130" s="27" t="str"/>
      <x:c r="I130" s="27" t="str"/>
      <x:c r="J130" s="27" t="str"/>
      <x:c r="K130" s="27" t="str"/>
      <x:c r="L130" s="27" t="str"/>
      <x:c r="M130" s="27" t="str"/>
      <x:c r="N130" s="52" t="str">
        <x:f>IF(A130="","",ROUND(COUNTA(B130:M130)/12,2))</x:f>
      </x:c>
      <x:c r="O130" s="27" t="str">
        <x:f>IF(A130="","",IF(N130&gt;=0.85,"Готов к прототипу",IF(N130&gt;=0.6,"Требует доработки","Недостаточно данных")))</x:f>
      </x:c>
      <x:c r="P130" s="27"/>
      <x:c r="Q130" s="27"/>
      <x:c r="R130" s="27"/>
      <x:c r="S130" s="27"/>
      <x:c r="T130" s="27"/>
      <x:c r="U130" s="27"/>
    </x:row>
    <x:row r="131">
      <x:c r="A131" s="27" t="str"/>
      <x:c r="B131" s="27" t="str"/>
      <x:c r="C131" s="27" t="str"/>
      <x:c r="D131" s="27" t="str"/>
      <x:c r="E131" s="27" t="str"/>
      <x:c r="F131" s="27" t="str"/>
      <x:c r="G131" s="27" t="str"/>
      <x:c r="H131" s="27" t="str"/>
      <x:c r="I131" s="27" t="str"/>
      <x:c r="J131" s="27" t="str"/>
      <x:c r="K131" s="27" t="str"/>
      <x:c r="L131" s="27" t="str"/>
      <x:c r="M131" s="27" t="str"/>
      <x:c r="N131" s="52" t="str">
        <x:f>IF(A131="","",ROUND(COUNTA(B131:M131)/12,2))</x:f>
      </x:c>
      <x:c r="O131" s="27" t="str">
        <x:f>IF(A131="","",IF(N131&gt;=0.85,"Готов к прототипу",IF(N131&gt;=0.6,"Требует доработки","Недостаточно данных")))</x:f>
      </x:c>
      <x:c r="P131" s="27"/>
      <x:c r="Q131" s="27"/>
      <x:c r="R131" s="27"/>
      <x:c r="S131" s="27"/>
      <x:c r="T131" s="27"/>
      <x:c r="U131" s="27"/>
    </x:row>
    <x:row r="132">
      <x:c r="A132" s="27" t="str"/>
      <x:c r="B132" s="27" t="str"/>
      <x:c r="C132" s="27" t="str"/>
      <x:c r="D132" s="27" t="str"/>
      <x:c r="E132" s="27" t="str"/>
      <x:c r="F132" s="27" t="str"/>
      <x:c r="G132" s="27" t="str"/>
      <x:c r="H132" s="27" t="str"/>
      <x:c r="I132" s="27" t="str"/>
      <x:c r="J132" s="27" t="str"/>
      <x:c r="K132" s="27" t="str"/>
      <x:c r="L132" s="27" t="str"/>
      <x:c r="M132" s="27" t="str"/>
      <x:c r="N132" s="52" t="str">
        <x:f>IF(A132="","",ROUND(COUNTA(B132:M132)/12,2))</x:f>
      </x:c>
      <x:c r="O132" s="27" t="str">
        <x:f>IF(A132="","",IF(N132&gt;=0.85,"Готов к прототипу",IF(N132&gt;=0.6,"Требует доработки","Недостаточно данных")))</x:f>
      </x:c>
      <x:c r="P132" s="27"/>
      <x:c r="Q132" s="27"/>
      <x:c r="R132" s="27"/>
      <x:c r="S132" s="27"/>
      <x:c r="T132" s="27"/>
      <x:c r="U132" s="27"/>
    </x:row>
    <x:row r="133">
      <x:c r="A133" s="27" t="str"/>
      <x:c r="B133" s="27" t="str"/>
      <x:c r="C133" s="27" t="str"/>
      <x:c r="D133" s="27" t="str"/>
      <x:c r="E133" s="27" t="str"/>
      <x:c r="F133" s="27" t="str"/>
      <x:c r="G133" s="27" t="str"/>
      <x:c r="H133" s="27" t="str"/>
      <x:c r="I133" s="27" t="str"/>
      <x:c r="J133" s="27" t="str"/>
      <x:c r="K133" s="27" t="str"/>
      <x:c r="L133" s="27" t="str"/>
      <x:c r="M133" s="27" t="str"/>
      <x:c r="N133" s="52" t="str">
        <x:f>IF(A133="","",ROUND(COUNTA(B133:M133)/12,2))</x:f>
      </x:c>
      <x:c r="O133" s="27" t="str">
        <x:f>IF(A133="","",IF(N133&gt;=0.85,"Готов к прототипу",IF(N133&gt;=0.6,"Требует доработки","Недостаточно данных")))</x:f>
      </x:c>
      <x:c r="P133" s="27"/>
      <x:c r="Q133" s="27"/>
      <x:c r="R133" s="27"/>
      <x:c r="S133" s="27"/>
      <x:c r="T133" s="27"/>
      <x:c r="U133" s="27"/>
    </x:row>
    <x:row r="134">
      <x:c r="A134" s="27" t="str"/>
      <x:c r="B134" s="27" t="str"/>
      <x:c r="C134" s="27" t="str"/>
      <x:c r="D134" s="27" t="str"/>
      <x:c r="E134" s="27" t="str"/>
      <x:c r="F134" s="27" t="str"/>
      <x:c r="G134" s="27" t="str"/>
      <x:c r="H134" s="27" t="str"/>
      <x:c r="I134" s="27" t="str"/>
      <x:c r="J134" s="27" t="str"/>
      <x:c r="K134" s="27" t="str"/>
      <x:c r="L134" s="27" t="str"/>
      <x:c r="M134" s="27" t="str"/>
      <x:c r="N134" s="52" t="str">
        <x:f>IF(A134="","",ROUND(COUNTA(B134:M134)/12,2))</x:f>
      </x:c>
      <x:c r="O134" s="27" t="str">
        <x:f>IF(A134="","",IF(N134&gt;=0.85,"Готов к прототипу",IF(N134&gt;=0.6,"Требует доработки","Недостаточно данных")))</x:f>
      </x:c>
      <x:c r="P134" s="27"/>
      <x:c r="Q134" s="27"/>
      <x:c r="R134" s="27"/>
      <x:c r="S134" s="27"/>
      <x:c r="T134" s="27"/>
      <x:c r="U134" s="27"/>
    </x:row>
    <x:row r="135">
      <x:c r="A135" s="27" t="str"/>
      <x:c r="B135" s="27" t="str"/>
      <x:c r="C135" s="27" t="str"/>
      <x:c r="D135" s="27" t="str"/>
      <x:c r="E135" s="27" t="str"/>
      <x:c r="F135" s="27" t="str"/>
      <x:c r="G135" s="27" t="str"/>
      <x:c r="H135" s="27" t="str"/>
      <x:c r="I135" s="27" t="str"/>
      <x:c r="J135" s="27" t="str"/>
      <x:c r="K135" s="27" t="str"/>
      <x:c r="L135" s="27" t="str"/>
      <x:c r="M135" s="27" t="str"/>
      <x:c r="N135" s="52" t="str">
        <x:f>IF(A135="","",ROUND(COUNTA(B135:M135)/12,2))</x:f>
      </x:c>
      <x:c r="O135" s="27" t="str">
        <x:f>IF(A135="","",IF(N135&gt;=0.85,"Готов к прототипу",IF(N135&gt;=0.6,"Требует доработки","Недостаточно данных")))</x:f>
      </x:c>
      <x:c r="P135" s="27"/>
      <x:c r="Q135" s="27"/>
      <x:c r="R135" s="27"/>
      <x:c r="S135" s="27"/>
      <x:c r="T135" s="27"/>
      <x:c r="U135" s="27"/>
    </x:row>
    <x:row r="136">
      <x:c r="A136" s="27" t="str"/>
      <x:c r="B136" s="27" t="str"/>
      <x:c r="C136" s="27" t="str"/>
      <x:c r="D136" s="27" t="str"/>
      <x:c r="E136" s="27" t="str"/>
      <x:c r="F136" s="27" t="str"/>
      <x:c r="G136" s="27" t="str"/>
      <x:c r="H136" s="27" t="str"/>
      <x:c r="I136" s="27" t="str"/>
      <x:c r="J136" s="27" t="str"/>
      <x:c r="K136" s="27" t="str"/>
      <x:c r="L136" s="27" t="str"/>
      <x:c r="M136" s="27" t="str"/>
      <x:c r="N136" s="52" t="str">
        <x:f>IF(A136="","",ROUND(COUNTA(B136:M136)/12,2))</x:f>
      </x:c>
      <x:c r="O136" s="27" t="str">
        <x:f>IF(A136="","",IF(N136&gt;=0.85,"Готов к прототипу",IF(N136&gt;=0.6,"Требует доработки","Недостаточно данных")))</x:f>
      </x:c>
      <x:c r="P136" s="27"/>
      <x:c r="Q136" s="27"/>
      <x:c r="R136" s="27"/>
      <x:c r="S136" s="27"/>
      <x:c r="T136" s="27"/>
      <x:c r="U136" s="27"/>
    </x:row>
    <x:row r="137">
      <x:c r="A137" s="27" t="str"/>
      <x:c r="B137" s="27" t="str"/>
      <x:c r="C137" s="27" t="str"/>
      <x:c r="D137" s="27" t="str"/>
      <x:c r="E137" s="27" t="str"/>
      <x:c r="F137" s="27" t="str"/>
      <x:c r="G137" s="27" t="str"/>
      <x:c r="H137" s="27" t="str"/>
      <x:c r="I137" s="27" t="str"/>
      <x:c r="J137" s="27" t="str"/>
      <x:c r="K137" s="27" t="str"/>
      <x:c r="L137" s="27" t="str"/>
      <x:c r="M137" s="27" t="str"/>
      <x:c r="N137" s="52" t="str">
        <x:f>IF(A137="","",ROUND(COUNTA(B137:M137)/12,2))</x:f>
      </x:c>
      <x:c r="O137" s="27" t="str">
        <x:f>IF(A137="","",IF(N137&gt;=0.85,"Готов к прототипу",IF(N137&gt;=0.6,"Требует доработки","Недостаточно данных")))</x:f>
      </x:c>
      <x:c r="P137" s="27"/>
      <x:c r="Q137" s="27"/>
      <x:c r="R137" s="27"/>
      <x:c r="S137" s="27"/>
      <x:c r="T137" s="27"/>
      <x:c r="U137" s="27"/>
    </x:row>
    <x:row r="138">
      <x:c r="A138" s="27" t="str"/>
      <x:c r="B138" s="27" t="str"/>
      <x:c r="C138" s="27" t="str"/>
      <x:c r="D138" s="27" t="str"/>
      <x:c r="E138" s="27" t="str"/>
      <x:c r="F138" s="27" t="str"/>
      <x:c r="G138" s="27" t="str"/>
      <x:c r="H138" s="27" t="str"/>
      <x:c r="I138" s="27" t="str"/>
      <x:c r="J138" s="27" t="str"/>
      <x:c r="K138" s="27" t="str"/>
      <x:c r="L138" s="27" t="str"/>
      <x:c r="M138" s="27" t="str"/>
      <x:c r="N138" s="52" t="str">
        <x:f>IF(A138="","",ROUND(COUNTA(B138:M138)/12,2))</x:f>
      </x:c>
      <x:c r="O138" s="27" t="str">
        <x:f>IF(A138="","",IF(N138&gt;=0.85,"Готов к прототипу",IF(N138&gt;=0.6,"Требует доработки","Недостаточно данных")))</x:f>
      </x:c>
      <x:c r="P138" s="27"/>
      <x:c r="Q138" s="27"/>
      <x:c r="R138" s="27"/>
      <x:c r="S138" s="27"/>
      <x:c r="T138" s="27"/>
      <x:c r="U138" s="27"/>
    </x:row>
    <x:row r="139">
      <x:c r="A139" s="27" t="str"/>
      <x:c r="B139" s="27" t="str"/>
      <x:c r="C139" s="27" t="str"/>
      <x:c r="D139" s="27" t="str"/>
      <x:c r="E139" s="27" t="str"/>
      <x:c r="F139" s="27" t="str"/>
      <x:c r="G139" s="27" t="str"/>
      <x:c r="H139" s="27" t="str"/>
      <x:c r="I139" s="27" t="str"/>
      <x:c r="J139" s="27" t="str"/>
      <x:c r="K139" s="27" t="str"/>
      <x:c r="L139" s="27" t="str"/>
      <x:c r="M139" s="27" t="str"/>
      <x:c r="N139" s="52" t="str">
        <x:f>IF(A139="","",ROUND(COUNTA(B139:M139)/12,2))</x:f>
      </x:c>
      <x:c r="O139" s="27" t="str">
        <x:f>IF(A139="","",IF(N139&gt;=0.85,"Готов к прототипу",IF(N139&gt;=0.6,"Требует доработки","Недостаточно данных")))</x:f>
      </x:c>
      <x:c r="P139" s="27"/>
      <x:c r="Q139" s="27"/>
      <x:c r="R139" s="27"/>
      <x:c r="S139" s="27"/>
      <x:c r="T139" s="27"/>
      <x:c r="U139" s="27"/>
    </x:row>
    <x:row r="140">
      <x:c r="A140" s="27" t="str"/>
      <x:c r="B140" s="27" t="str"/>
      <x:c r="C140" s="27" t="str"/>
      <x:c r="D140" s="27" t="str"/>
      <x:c r="E140" s="27" t="str"/>
      <x:c r="F140" s="27" t="str"/>
      <x:c r="G140" s="27" t="str"/>
      <x:c r="H140" s="27" t="str"/>
      <x:c r="I140" s="27" t="str"/>
      <x:c r="J140" s="27" t="str"/>
      <x:c r="K140" s="27" t="str"/>
      <x:c r="L140" s="27" t="str"/>
      <x:c r="M140" s="27" t="str"/>
      <x:c r="N140" s="52" t="str">
        <x:f>IF(A140="","",ROUND(COUNTA(B140:M140)/12,2))</x:f>
      </x:c>
      <x:c r="O140" s="27" t="str">
        <x:f>IF(A140="","",IF(N140&gt;=0.85,"Готов к прототипу",IF(N140&gt;=0.6,"Требует доработки","Недостаточно данных")))</x:f>
      </x:c>
      <x:c r="P140" s="27"/>
      <x:c r="Q140" s="27"/>
      <x:c r="R140" s="27"/>
      <x:c r="S140" s="27"/>
      <x:c r="T140" s="27"/>
      <x:c r="U140" s="27"/>
    </x:row>
    <x:row r="141">
      <x:c r="A141" s="27" t="str"/>
      <x:c r="B141" s="27" t="str"/>
      <x:c r="C141" s="27" t="str"/>
      <x:c r="D141" s="27" t="str"/>
      <x:c r="E141" s="27" t="str"/>
      <x:c r="F141" s="27" t="str"/>
      <x:c r="G141" s="27" t="str"/>
      <x:c r="H141" s="27" t="str"/>
      <x:c r="I141" s="27" t="str"/>
      <x:c r="J141" s="27" t="str"/>
      <x:c r="K141" s="27" t="str"/>
      <x:c r="L141" s="27" t="str"/>
      <x:c r="M141" s="27" t="str"/>
      <x:c r="N141" s="52" t="str">
        <x:f>IF(A141="","",ROUND(COUNTA(B141:M141)/12,2))</x:f>
      </x:c>
      <x:c r="O141" s="27" t="str">
        <x:f>IF(A141="","",IF(N141&gt;=0.85,"Готов к прототипу",IF(N141&gt;=0.6,"Требует доработки","Недостаточно данных")))</x:f>
      </x:c>
      <x:c r="P141" s="27"/>
      <x:c r="Q141" s="27"/>
      <x:c r="R141" s="27"/>
      <x:c r="S141" s="27"/>
      <x:c r="T141" s="27"/>
      <x:c r="U141" s="27"/>
    </x:row>
    <x:row r="142">
      <x:c r="A142" s="27" t="str"/>
      <x:c r="B142" s="27" t="str"/>
      <x:c r="C142" s="27" t="str"/>
      <x:c r="D142" s="27" t="str"/>
      <x:c r="E142" s="27" t="str"/>
      <x:c r="F142" s="27" t="str"/>
      <x:c r="G142" s="27" t="str"/>
      <x:c r="H142" s="27" t="str"/>
      <x:c r="I142" s="27" t="str"/>
      <x:c r="J142" s="27" t="str"/>
      <x:c r="K142" s="27" t="str"/>
      <x:c r="L142" s="27" t="str"/>
      <x:c r="M142" s="27" t="str"/>
      <x:c r="N142" s="52" t="str">
        <x:f>IF(A142="","",ROUND(COUNTA(B142:M142)/12,2))</x:f>
      </x:c>
      <x:c r="O142" s="27" t="str">
        <x:f>IF(A142="","",IF(N142&gt;=0.85,"Готов к прототипу",IF(N142&gt;=0.6,"Требует доработки","Недостаточно данных")))</x:f>
      </x:c>
      <x:c r="P142" s="27"/>
      <x:c r="Q142" s="27"/>
      <x:c r="R142" s="27"/>
      <x:c r="S142" s="27"/>
      <x:c r="T142" s="27"/>
      <x:c r="U142" s="27"/>
    </x:row>
    <x:row r="143">
      <x:c r="A143" s="27" t="str"/>
      <x:c r="B143" s="27" t="str"/>
      <x:c r="C143" s="27" t="str"/>
      <x:c r="D143" s="27" t="str"/>
      <x:c r="E143" s="27" t="str"/>
      <x:c r="F143" s="27" t="str"/>
      <x:c r="G143" s="27" t="str"/>
      <x:c r="H143" s="27" t="str"/>
      <x:c r="I143" s="27" t="str"/>
      <x:c r="J143" s="27" t="str"/>
      <x:c r="K143" s="27" t="str"/>
      <x:c r="L143" s="27" t="str"/>
      <x:c r="M143" s="27" t="str"/>
      <x:c r="N143" s="52" t="str">
        <x:f>IF(A143="","",ROUND(COUNTA(B143:M143)/12,2))</x:f>
      </x:c>
      <x:c r="O143" s="27" t="str">
        <x:f>IF(A143="","",IF(N143&gt;=0.85,"Готов к прототипу",IF(N143&gt;=0.6,"Требует доработки","Недостаточно данных")))</x:f>
      </x:c>
      <x:c r="P143" s="27"/>
      <x:c r="Q143" s="27"/>
      <x:c r="R143" s="27"/>
      <x:c r="S143" s="27"/>
      <x:c r="T143" s="27"/>
      <x:c r="U143" s="27"/>
    </x:row>
    <x:row r="144">
      <x:c r="A144" s="27" t="str"/>
      <x:c r="B144" s="27" t="str"/>
      <x:c r="C144" s="27" t="str"/>
      <x:c r="D144" s="27" t="str"/>
      <x:c r="E144" s="27" t="str"/>
      <x:c r="F144" s="27" t="str"/>
      <x:c r="G144" s="27" t="str"/>
      <x:c r="H144" s="27" t="str"/>
      <x:c r="I144" s="27" t="str"/>
      <x:c r="J144" s="27" t="str"/>
      <x:c r="K144" s="27" t="str"/>
      <x:c r="L144" s="27" t="str"/>
      <x:c r="M144" s="27" t="str"/>
      <x:c r="N144" s="52" t="str">
        <x:f>IF(A144="","",ROUND(COUNTA(B144:M144)/12,2))</x:f>
      </x:c>
      <x:c r="O144" s="27" t="str">
        <x:f>IF(A144="","",IF(N144&gt;=0.85,"Готов к прототипу",IF(N144&gt;=0.6,"Требует доработки","Недостаточно данных")))</x:f>
      </x:c>
      <x:c r="P144" s="27"/>
      <x:c r="Q144" s="27"/>
      <x:c r="R144" s="27"/>
      <x:c r="S144" s="27"/>
      <x:c r="T144" s="27"/>
      <x:c r="U144" s="27"/>
    </x:row>
    <x:row r="145">
      <x:c r="A145" s="27" t="str"/>
      <x:c r="B145" s="27" t="str"/>
      <x:c r="C145" s="27" t="str"/>
      <x:c r="D145" s="27" t="str"/>
      <x:c r="E145" s="27" t="str"/>
      <x:c r="F145" s="27" t="str"/>
      <x:c r="G145" s="27" t="str"/>
      <x:c r="H145" s="27" t="str"/>
      <x:c r="I145" s="27" t="str"/>
      <x:c r="J145" s="27" t="str"/>
      <x:c r="K145" s="27" t="str"/>
      <x:c r="L145" s="27" t="str"/>
      <x:c r="M145" s="27" t="str"/>
      <x:c r="N145" s="52" t="str">
        <x:f>IF(A145="","",ROUND(COUNTA(B145:M145)/12,2))</x:f>
      </x:c>
      <x:c r="O145" s="27" t="str">
        <x:f>IF(A145="","",IF(N145&gt;=0.85,"Готов к прототипу",IF(N145&gt;=0.6,"Требует доработки","Недостаточно данных")))</x:f>
      </x:c>
      <x:c r="P145" s="27"/>
      <x:c r="Q145" s="27"/>
      <x:c r="R145" s="27"/>
      <x:c r="S145" s="27"/>
      <x:c r="T145" s="27"/>
      <x:c r="U145" s="27"/>
    </x:row>
    <x:row r="146">
      <x:c r="A146" s="27" t="str"/>
      <x:c r="B146" s="27" t="str"/>
      <x:c r="C146" s="27" t="str"/>
      <x:c r="D146" s="27" t="str"/>
      <x:c r="E146" s="27" t="str"/>
      <x:c r="F146" s="27" t="str"/>
      <x:c r="G146" s="27" t="str"/>
      <x:c r="H146" s="27" t="str"/>
      <x:c r="I146" s="27" t="str"/>
      <x:c r="J146" s="27" t="str"/>
      <x:c r="K146" s="27" t="str"/>
      <x:c r="L146" s="27" t="str"/>
      <x:c r="M146" s="27" t="str"/>
      <x:c r="N146" s="52" t="str">
        <x:f>IF(A146="","",ROUND(COUNTA(B146:M146)/12,2))</x:f>
      </x:c>
      <x:c r="O146" s="27" t="str">
        <x:f>IF(A146="","",IF(N146&gt;=0.85,"Готов к прототипу",IF(N146&gt;=0.6,"Требует доработки","Недостаточно данных")))</x:f>
      </x:c>
      <x:c r="P146" s="27"/>
      <x:c r="Q146" s="27"/>
      <x:c r="R146" s="27"/>
      <x:c r="S146" s="27"/>
      <x:c r="T146" s="27"/>
      <x:c r="U146" s="27"/>
    </x:row>
    <x:row r="147">
      <x:c r="A147" s="27" t="str"/>
      <x:c r="B147" s="27" t="str"/>
      <x:c r="C147" s="27" t="str"/>
      <x:c r="D147" s="27" t="str"/>
      <x:c r="E147" s="27" t="str"/>
      <x:c r="F147" s="27" t="str"/>
      <x:c r="G147" s="27" t="str"/>
      <x:c r="H147" s="27" t="str"/>
      <x:c r="I147" s="27" t="str"/>
      <x:c r="J147" s="27" t="str"/>
      <x:c r="K147" s="27" t="str"/>
      <x:c r="L147" s="27" t="str"/>
      <x:c r="M147" s="27" t="str"/>
      <x:c r="N147" s="52" t="str">
        <x:f>IF(A147="","",ROUND(COUNTA(B147:M147)/12,2))</x:f>
      </x:c>
      <x:c r="O147" s="27" t="str">
        <x:f>IF(A147="","",IF(N147&gt;=0.85,"Готов к прототипу",IF(N147&gt;=0.6,"Требует доработки","Недостаточно данных")))</x:f>
      </x:c>
      <x:c r="P147" s="27"/>
      <x:c r="Q147" s="27"/>
      <x:c r="R147" s="27"/>
      <x:c r="S147" s="27"/>
      <x:c r="T147" s="27"/>
      <x:c r="U147" s="27"/>
    </x:row>
    <x:row r="148">
      <x:c r="A148" s="27" t="str"/>
      <x:c r="B148" s="27" t="str"/>
      <x:c r="C148" s="27" t="str"/>
      <x:c r="D148" s="27" t="str"/>
      <x:c r="E148" s="27" t="str"/>
      <x:c r="F148" s="27" t="str"/>
      <x:c r="G148" s="27" t="str"/>
      <x:c r="H148" s="27" t="str"/>
      <x:c r="I148" s="27" t="str"/>
      <x:c r="J148" s="27" t="str"/>
      <x:c r="K148" s="27" t="str"/>
      <x:c r="L148" s="27" t="str"/>
      <x:c r="M148" s="27" t="str"/>
      <x:c r="N148" s="52" t="str">
        <x:f>IF(A148="","",ROUND(COUNTA(B148:M148)/12,2))</x:f>
      </x:c>
      <x:c r="O148" s="27" t="str">
        <x:f>IF(A148="","",IF(N148&gt;=0.85,"Готов к прототипу",IF(N148&gt;=0.6,"Требует доработки","Недостаточно данных")))</x:f>
      </x:c>
      <x:c r="P148" s="27"/>
      <x:c r="Q148" s="27"/>
      <x:c r="R148" s="27"/>
      <x:c r="S148" s="27"/>
      <x:c r="T148" s="27"/>
      <x:c r="U148" s="27"/>
    </x:row>
    <x:row r="149">
      <x:c r="A149" s="27" t="str"/>
      <x:c r="B149" s="27" t="str"/>
      <x:c r="C149" s="27" t="str"/>
      <x:c r="D149" s="27" t="str"/>
      <x:c r="E149" s="27" t="str"/>
      <x:c r="F149" s="27" t="str"/>
      <x:c r="G149" s="27" t="str"/>
      <x:c r="H149" s="27" t="str"/>
      <x:c r="I149" s="27" t="str"/>
      <x:c r="J149" s="27" t="str"/>
      <x:c r="K149" s="27" t="str"/>
      <x:c r="L149" s="27" t="str"/>
      <x:c r="M149" s="27" t="str"/>
      <x:c r="N149" s="52" t="str">
        <x:f>IF(A149="","",ROUND(COUNTA(B149:M149)/12,2))</x:f>
      </x:c>
      <x:c r="O149" s="27" t="str">
        <x:f>IF(A149="","",IF(N149&gt;=0.85,"Готов к прототипу",IF(N149&gt;=0.6,"Требует доработки","Недостаточно данных")))</x:f>
      </x:c>
      <x:c r="P149" s="27"/>
      <x:c r="Q149" s="27"/>
      <x:c r="R149" s="27"/>
      <x:c r="S149" s="27"/>
      <x:c r="T149" s="27"/>
      <x:c r="U149" s="27"/>
    </x:row>
    <x:row r="150">
      <x:c r="A150" s="27" t="str"/>
      <x:c r="B150" s="27" t="str"/>
      <x:c r="C150" s="27" t="str"/>
      <x:c r="D150" s="27" t="str"/>
      <x:c r="E150" s="27" t="str"/>
      <x:c r="F150" s="27" t="str"/>
      <x:c r="G150" s="27" t="str"/>
      <x:c r="H150" s="27" t="str"/>
      <x:c r="I150" s="27" t="str"/>
      <x:c r="J150" s="27" t="str"/>
      <x:c r="K150" s="27" t="str"/>
      <x:c r="L150" s="27" t="str"/>
      <x:c r="M150" s="27" t="str"/>
      <x:c r="N150" s="52" t="str">
        <x:f>IF(A150="","",ROUND(COUNTA(B150:M150)/12,2))</x:f>
      </x:c>
      <x:c r="O150" s="27" t="str">
        <x:f>IF(A150="","",IF(N150&gt;=0.85,"Готов к прототипу",IF(N150&gt;=0.6,"Требует доработки","Недостаточно данных")))</x:f>
      </x:c>
      <x:c r="P150" s="27"/>
      <x:c r="Q150" s="27"/>
      <x:c r="R150" s="27"/>
      <x:c r="S150" s="27"/>
      <x:c r="T150" s="27"/>
      <x:c r="U150" s="27"/>
    </x:row>
    <x:row r="151">
      <x:c r="A151" s="27" t="str"/>
      <x:c r="B151" s="27" t="str"/>
      <x:c r="C151" s="27" t="str"/>
      <x:c r="D151" s="27" t="str"/>
      <x:c r="E151" s="27" t="str"/>
      <x:c r="F151" s="27" t="str"/>
      <x:c r="G151" s="27" t="str"/>
      <x:c r="H151" s="27" t="str"/>
      <x:c r="I151" s="27" t="str"/>
      <x:c r="J151" s="27" t="str"/>
      <x:c r="K151" s="27" t="str"/>
      <x:c r="L151" s="27" t="str"/>
      <x:c r="M151" s="27" t="str"/>
      <x:c r="N151" s="52" t="str">
        <x:f>IF(A151="","",ROUND(COUNTA(B151:M151)/12,2))</x:f>
      </x:c>
      <x:c r="O151" s="27" t="str">
        <x:f>IF(A151="","",IF(N151&gt;=0.85,"Готов к прототипу",IF(N151&gt;=0.6,"Требует доработки","Недостаточно данных")))</x:f>
      </x:c>
      <x:c r="P151" s="27"/>
      <x:c r="Q151" s="27"/>
      <x:c r="R151" s="27"/>
      <x:c r="S151" s="27"/>
      <x:c r="T151" s="27"/>
      <x:c r="U151" s="27"/>
    </x:row>
    <x:row r="152">
      <x:c r="A152" s="27" t="str"/>
      <x:c r="B152" s="27" t="str"/>
      <x:c r="C152" s="27" t="str"/>
      <x:c r="D152" s="27" t="str"/>
      <x:c r="E152" s="27" t="str"/>
      <x:c r="F152" s="27" t="str"/>
      <x:c r="G152" s="27" t="str"/>
      <x:c r="H152" s="27" t="str"/>
      <x:c r="I152" s="27" t="str"/>
      <x:c r="J152" s="27" t="str"/>
      <x:c r="K152" s="27" t="str"/>
      <x:c r="L152" s="27" t="str"/>
      <x:c r="M152" s="27" t="str"/>
      <x:c r="N152" s="52" t="str">
        <x:f>IF(A152="","",ROUND(COUNTA(B152:M152)/12,2))</x:f>
      </x:c>
      <x:c r="O152" s="27" t="str">
        <x:f>IF(A152="","",IF(N152&gt;=0.85,"Готов к прототипу",IF(N152&gt;=0.6,"Требует доработки","Недостаточно данных")))</x:f>
      </x:c>
      <x:c r="P152" s="27"/>
      <x:c r="Q152" s="27"/>
      <x:c r="R152" s="27"/>
      <x:c r="S152" s="27"/>
      <x:c r="T152" s="27"/>
      <x:c r="U152" s="27"/>
    </x:row>
    <x:row r="153">
      <x:c r="A153" s="27" t="str"/>
      <x:c r="B153" s="27" t="str"/>
      <x:c r="C153" s="27" t="str"/>
      <x:c r="D153" s="27" t="str"/>
      <x:c r="E153" s="27" t="str"/>
      <x:c r="F153" s="27" t="str"/>
      <x:c r="G153" s="27" t="str"/>
      <x:c r="H153" s="27" t="str"/>
      <x:c r="I153" s="27" t="str"/>
      <x:c r="J153" s="27" t="str"/>
      <x:c r="K153" s="27" t="str"/>
      <x:c r="L153" s="27" t="str"/>
      <x:c r="M153" s="27" t="str"/>
      <x:c r="N153" s="52" t="str">
        <x:f>IF(A153="","",ROUND(COUNTA(B153:M153)/12,2))</x:f>
      </x:c>
      <x:c r="O153" s="27" t="str">
        <x:f>IF(A153="","",IF(N153&gt;=0.85,"Готов к прототипу",IF(N153&gt;=0.6,"Требует доработки","Недостаточно данных")))</x:f>
      </x:c>
      <x:c r="P153" s="27"/>
      <x:c r="Q153" s="27"/>
      <x:c r="R153" s="27"/>
      <x:c r="S153" s="27"/>
      <x:c r="T153" s="27"/>
      <x:c r="U153" s="27"/>
    </x:row>
    <x:row r="154">
      <x:c r="A154" s="27" t="str"/>
      <x:c r="B154" s="27" t="str"/>
      <x:c r="C154" s="27" t="str"/>
      <x:c r="D154" s="27" t="str"/>
      <x:c r="E154" s="27" t="str"/>
      <x:c r="F154" s="27" t="str"/>
      <x:c r="G154" s="27" t="str"/>
      <x:c r="H154" s="27" t="str"/>
      <x:c r="I154" s="27" t="str"/>
      <x:c r="J154" s="27" t="str"/>
      <x:c r="K154" s="27" t="str"/>
      <x:c r="L154" s="27" t="str"/>
      <x:c r="M154" s="27" t="str"/>
      <x:c r="N154" s="52" t="str">
        <x:f>IF(A154="","",ROUND(COUNTA(B154:M154)/12,2))</x:f>
      </x:c>
      <x:c r="O154" s="27" t="str">
        <x:f>IF(A154="","",IF(N154&gt;=0.85,"Готов к прототипу",IF(N154&gt;=0.6,"Требует доработки","Недостаточно данных")))</x:f>
      </x:c>
      <x:c r="P154" s="27"/>
      <x:c r="Q154" s="27"/>
      <x:c r="R154" s="27"/>
      <x:c r="S154" s="27"/>
      <x:c r="T154" s="27"/>
      <x:c r="U154" s="27"/>
    </x:row>
    <x:row r="155">
      <x:c r="A155" s="27" t="str"/>
      <x:c r="B155" s="27" t="str"/>
      <x:c r="C155" s="27" t="str"/>
      <x:c r="D155" s="27" t="str"/>
      <x:c r="E155" s="27" t="str"/>
      <x:c r="F155" s="27" t="str"/>
      <x:c r="G155" s="27" t="str"/>
      <x:c r="H155" s="27" t="str"/>
      <x:c r="I155" s="27" t="str"/>
      <x:c r="J155" s="27" t="str"/>
      <x:c r="K155" s="27" t="str"/>
      <x:c r="L155" s="27" t="str"/>
      <x:c r="M155" s="27" t="str"/>
      <x:c r="N155" s="52" t="str">
        <x:f>IF(A155="","",ROUND(COUNTA(B155:M155)/12,2))</x:f>
      </x:c>
      <x:c r="O155" s="27" t="str">
        <x:f>IF(A155="","",IF(N155&gt;=0.85,"Готов к прототипу",IF(N155&gt;=0.6,"Требует доработки","Недостаточно данных")))</x:f>
      </x:c>
      <x:c r="P155" s="27"/>
      <x:c r="Q155" s="27"/>
      <x:c r="R155" s="27"/>
      <x:c r="S155" s="27"/>
      <x:c r="T155" s="27"/>
      <x:c r="U155" s="27"/>
    </x:row>
    <x:row r="156">
      <x:c r="A156" s="27" t="str"/>
      <x:c r="B156" s="27" t="str"/>
      <x:c r="C156" s="27" t="str"/>
      <x:c r="D156" s="27" t="str"/>
      <x:c r="E156" s="27" t="str"/>
      <x:c r="F156" s="27" t="str"/>
      <x:c r="G156" s="27" t="str"/>
      <x:c r="H156" s="27" t="str"/>
      <x:c r="I156" s="27" t="str"/>
      <x:c r="J156" s="27" t="str"/>
      <x:c r="K156" s="27" t="str"/>
      <x:c r="L156" s="27" t="str"/>
      <x:c r="M156" s="27" t="str"/>
      <x:c r="N156" s="52" t="str">
        <x:f>IF(A156="","",ROUND(COUNTA(B156:M156)/12,2))</x:f>
      </x:c>
      <x:c r="O156" s="27" t="str">
        <x:f>IF(A156="","",IF(N156&gt;=0.85,"Готов к прототипу",IF(N156&gt;=0.6,"Требует доработки","Недостаточно данных")))</x:f>
      </x:c>
      <x:c r="P156" s="27"/>
      <x:c r="Q156" s="27"/>
      <x:c r="R156" s="27"/>
      <x:c r="S156" s="27"/>
      <x:c r="T156" s="27"/>
      <x:c r="U156" s="27"/>
    </x:row>
    <x:row r="157">
      <x:c r="A157" s="27" t="str"/>
      <x:c r="B157" s="27" t="str"/>
      <x:c r="C157" s="27" t="str"/>
      <x:c r="D157" s="27" t="str"/>
      <x:c r="E157" s="27" t="str"/>
      <x:c r="F157" s="27" t="str"/>
      <x:c r="G157" s="27" t="str"/>
      <x:c r="H157" s="27" t="str"/>
      <x:c r="I157" s="27" t="str"/>
      <x:c r="J157" s="27" t="str"/>
      <x:c r="K157" s="27" t="str"/>
      <x:c r="L157" s="27" t="str"/>
      <x:c r="M157" s="27" t="str"/>
      <x:c r="N157" s="52" t="str">
        <x:f>IF(A157="","",ROUND(COUNTA(B157:M157)/12,2))</x:f>
      </x:c>
      <x:c r="O157" s="27" t="str">
        <x:f>IF(A157="","",IF(N157&gt;=0.85,"Готов к прототипу",IF(N157&gt;=0.6,"Требует доработки","Недостаточно данных")))</x:f>
      </x:c>
      <x:c r="P157" s="27"/>
      <x:c r="Q157" s="27"/>
      <x:c r="R157" s="27"/>
      <x:c r="S157" s="27"/>
      <x:c r="T157" s="27"/>
      <x:c r="U157" s="27"/>
    </x:row>
    <x:row r="158">
      <x:c r="A158" s="27" t="str"/>
      <x:c r="B158" s="27" t="str"/>
      <x:c r="C158" s="27" t="str"/>
      <x:c r="D158" s="27" t="str"/>
      <x:c r="E158" s="27" t="str"/>
      <x:c r="F158" s="27" t="str"/>
      <x:c r="G158" s="27" t="str"/>
      <x:c r="H158" s="27" t="str"/>
      <x:c r="I158" s="27" t="str"/>
      <x:c r="J158" s="27" t="str"/>
      <x:c r="K158" s="27" t="str"/>
      <x:c r="L158" s="27" t="str"/>
      <x:c r="M158" s="27" t="str"/>
      <x:c r="N158" s="52" t="str">
        <x:f>IF(A158="","",ROUND(COUNTA(B158:M158)/12,2))</x:f>
      </x:c>
      <x:c r="O158" s="27" t="str">
        <x:f>IF(A158="","",IF(N158&gt;=0.85,"Готов к прототипу",IF(N158&gt;=0.6,"Требует доработки","Недостаточно данных")))</x:f>
      </x:c>
      <x:c r="P158" s="27"/>
      <x:c r="Q158" s="27"/>
      <x:c r="R158" s="27"/>
      <x:c r="S158" s="27"/>
      <x:c r="T158" s="27"/>
      <x:c r="U158" s="27"/>
    </x:row>
    <x:row r="159">
      <x:c r="A159" s="27" t="str"/>
      <x:c r="B159" s="27" t="str"/>
      <x:c r="C159" s="27" t="str"/>
      <x:c r="D159" s="27" t="str"/>
      <x:c r="E159" s="27" t="str"/>
      <x:c r="F159" s="27" t="str"/>
      <x:c r="G159" s="27" t="str"/>
      <x:c r="H159" s="27" t="str"/>
      <x:c r="I159" s="27" t="str"/>
      <x:c r="J159" s="27" t="str"/>
      <x:c r="K159" s="27" t="str"/>
      <x:c r="L159" s="27" t="str"/>
      <x:c r="M159" s="27" t="str"/>
      <x:c r="N159" s="52" t="str">
        <x:f>IF(A159="","",ROUND(COUNTA(B159:M159)/12,2))</x:f>
      </x:c>
      <x:c r="O159" s="27" t="str">
        <x:f>IF(A159="","",IF(N159&gt;=0.85,"Готов к прототипу",IF(N159&gt;=0.6,"Требует доработки","Недостаточно данных")))</x:f>
      </x:c>
      <x:c r="P159" s="27"/>
      <x:c r="Q159" s="27"/>
      <x:c r="R159" s="27"/>
      <x:c r="S159" s="27"/>
      <x:c r="T159" s="27"/>
      <x:c r="U159" s="27"/>
    </x:row>
    <x:row r="160">
      <x:c r="A160" s="27" t="str"/>
      <x:c r="B160" s="27" t="str"/>
      <x:c r="C160" s="27" t="str"/>
      <x:c r="D160" s="27" t="str"/>
      <x:c r="E160" s="27" t="str"/>
      <x:c r="F160" s="27" t="str"/>
      <x:c r="G160" s="27" t="str"/>
      <x:c r="H160" s="27" t="str"/>
      <x:c r="I160" s="27" t="str"/>
      <x:c r="J160" s="27" t="str"/>
      <x:c r="K160" s="27" t="str"/>
      <x:c r="L160" s="27" t="str"/>
      <x:c r="M160" s="27" t="str"/>
      <x:c r="N160" s="52" t="str">
        <x:f>IF(A160="","",ROUND(COUNTA(B160:M160)/12,2))</x:f>
      </x:c>
      <x:c r="O160" s="27" t="str">
        <x:f>IF(A160="","",IF(N160&gt;=0.85,"Готов к прототипу",IF(N160&gt;=0.6,"Требует доработки","Недостаточно данных")))</x:f>
      </x:c>
      <x:c r="P160" s="27"/>
      <x:c r="Q160" s="27"/>
      <x:c r="R160" s="27"/>
      <x:c r="S160" s="27"/>
      <x:c r="T160" s="27"/>
      <x:c r="U160" s="27"/>
    </x:row>
    <x:row r="161">
      <x:c r="A161" s="27" t="str"/>
      <x:c r="B161" s="27" t="str"/>
      <x:c r="C161" s="27" t="str"/>
      <x:c r="D161" s="27" t="str"/>
      <x:c r="E161" s="27" t="str"/>
      <x:c r="F161" s="27" t="str"/>
      <x:c r="G161" s="27" t="str"/>
      <x:c r="H161" s="27" t="str"/>
      <x:c r="I161" s="27" t="str"/>
      <x:c r="J161" s="27" t="str"/>
      <x:c r="K161" s="27" t="str"/>
      <x:c r="L161" s="27" t="str"/>
      <x:c r="M161" s="27" t="str"/>
      <x:c r="N161" s="52" t="str">
        <x:f>IF(A161="","",ROUND(COUNTA(B161:M161)/12,2))</x:f>
      </x:c>
      <x:c r="O161" s="27" t="str">
        <x:f>IF(A161="","",IF(N161&gt;=0.85,"Готов к прототипу",IF(N161&gt;=0.6,"Требует доработки","Недостаточно данных")))</x:f>
      </x:c>
      <x:c r="P161" s="27"/>
      <x:c r="Q161" s="27"/>
      <x:c r="R161" s="27"/>
      <x:c r="S161" s="27"/>
      <x:c r="T161" s="27"/>
      <x:c r="U161" s="27"/>
    </x:row>
    <x:row r="162">
      <x:c r="A162" s="27" t="str"/>
      <x:c r="B162" s="27" t="str"/>
      <x:c r="C162" s="27" t="str"/>
      <x:c r="D162" s="27" t="str"/>
      <x:c r="E162" s="27" t="str"/>
      <x:c r="F162" s="27" t="str"/>
      <x:c r="G162" s="27" t="str"/>
      <x:c r="H162" s="27" t="str"/>
      <x:c r="I162" s="27" t="str"/>
      <x:c r="J162" s="27" t="str"/>
      <x:c r="K162" s="27" t="str"/>
      <x:c r="L162" s="27" t="str"/>
      <x:c r="M162" s="27" t="str"/>
      <x:c r="N162" s="52" t="str">
        <x:f>IF(A162="","",ROUND(COUNTA(B162:M162)/12,2))</x:f>
      </x:c>
      <x:c r="O162" s="27" t="str">
        <x:f>IF(A162="","",IF(N162&gt;=0.85,"Готов к прототипу",IF(N162&gt;=0.6,"Требует доработки","Недостаточно данных")))</x:f>
      </x:c>
      <x:c r="P162" s="27"/>
      <x:c r="Q162" s="27"/>
      <x:c r="R162" s="27"/>
      <x:c r="S162" s="27"/>
      <x:c r="T162" s="27"/>
      <x:c r="U162" s="27"/>
    </x:row>
    <x:row r="163">
      <x:c r="A163" s="27" t="str"/>
      <x:c r="B163" s="27" t="str"/>
      <x:c r="C163" s="27" t="str"/>
      <x:c r="D163" s="27" t="str"/>
      <x:c r="E163" s="27" t="str"/>
      <x:c r="F163" s="27" t="str"/>
      <x:c r="G163" s="27" t="str"/>
      <x:c r="H163" s="27" t="str"/>
      <x:c r="I163" s="27" t="str"/>
      <x:c r="J163" s="27" t="str"/>
      <x:c r="K163" s="27" t="str"/>
      <x:c r="L163" s="27" t="str"/>
      <x:c r="M163" s="27" t="str"/>
      <x:c r="N163" s="52" t="str">
        <x:f>IF(A163="","",ROUND(COUNTA(B163:M163)/12,2))</x:f>
      </x:c>
      <x:c r="O163" s="27" t="str">
        <x:f>IF(A163="","",IF(N163&gt;=0.85,"Готов к прототипу",IF(N163&gt;=0.6,"Требует доработки","Недостаточно данных")))</x:f>
      </x:c>
      <x:c r="P163" s="27"/>
      <x:c r="Q163" s="27"/>
      <x:c r="R163" s="27"/>
      <x:c r="S163" s="27"/>
      <x:c r="T163" s="27"/>
      <x:c r="U163" s="27"/>
    </x:row>
    <x:row r="164">
      <x:c r="A164" s="27" t="str"/>
      <x:c r="B164" s="27" t="str"/>
      <x:c r="C164" s="27" t="str"/>
      <x:c r="D164" s="27" t="str"/>
      <x:c r="E164" s="27" t="str"/>
      <x:c r="F164" s="27" t="str"/>
      <x:c r="G164" s="27" t="str"/>
      <x:c r="H164" s="27" t="str"/>
      <x:c r="I164" s="27" t="str"/>
      <x:c r="J164" s="27" t="str"/>
      <x:c r="K164" s="27" t="str"/>
      <x:c r="L164" s="27" t="str"/>
      <x:c r="M164" s="27" t="str"/>
      <x:c r="N164" s="52" t="str">
        <x:f>IF(A164="","",ROUND(COUNTA(B164:M164)/12,2))</x:f>
      </x:c>
      <x:c r="O164" s="27" t="str">
        <x:f>IF(A164="","",IF(N164&gt;=0.85,"Готов к прототипу",IF(N164&gt;=0.6,"Требует доработки","Недостаточно данных")))</x:f>
      </x:c>
      <x:c r="P164" s="27"/>
      <x:c r="Q164" s="27"/>
      <x:c r="R164" s="27"/>
      <x:c r="S164" s="27"/>
      <x:c r="T164" s="27"/>
      <x:c r="U164" s="27"/>
    </x:row>
    <x:row r="165">
      <x:c r="A165" s="27" t="str"/>
      <x:c r="B165" s="27" t="str"/>
      <x:c r="C165" s="27" t="str"/>
      <x:c r="D165" s="27" t="str"/>
      <x:c r="E165" s="27" t="str"/>
      <x:c r="F165" s="27" t="str"/>
      <x:c r="G165" s="27" t="str"/>
      <x:c r="H165" s="27" t="str"/>
      <x:c r="I165" s="27" t="str"/>
      <x:c r="J165" s="27" t="str"/>
      <x:c r="K165" s="27" t="str"/>
      <x:c r="L165" s="27" t="str"/>
      <x:c r="M165" s="27" t="str"/>
      <x:c r="N165" s="52" t="str">
        <x:f>IF(A165="","",ROUND(COUNTA(B165:M165)/12,2))</x:f>
      </x:c>
      <x:c r="O165" s="27" t="str">
        <x:f>IF(A165="","",IF(N165&gt;=0.85,"Готов к прототипу",IF(N165&gt;=0.6,"Требует доработки","Недостаточно данных")))</x:f>
      </x:c>
      <x:c r="P165" s="27"/>
      <x:c r="Q165" s="27"/>
      <x:c r="R165" s="27"/>
      <x:c r="S165" s="27"/>
      <x:c r="T165" s="27"/>
      <x:c r="U165" s="27"/>
    </x:row>
    <x:row r="166">
      <x:c r="A166" s="27" t="str"/>
      <x:c r="B166" s="27" t="str"/>
      <x:c r="C166" s="27" t="str"/>
      <x:c r="D166" s="27" t="str"/>
      <x:c r="E166" s="27" t="str"/>
      <x:c r="F166" s="27" t="str"/>
      <x:c r="G166" s="27" t="str"/>
      <x:c r="H166" s="27" t="str"/>
      <x:c r="I166" s="27" t="str"/>
      <x:c r="J166" s="27" t="str"/>
      <x:c r="K166" s="27" t="str"/>
      <x:c r="L166" s="27" t="str"/>
      <x:c r="M166" s="27" t="str"/>
      <x:c r="N166" s="52" t="str">
        <x:f>IF(A166="","",ROUND(COUNTA(B166:M166)/12,2))</x:f>
      </x:c>
      <x:c r="O166" s="27" t="str">
        <x:f>IF(A166="","",IF(N166&gt;=0.85,"Готов к прототипу",IF(N166&gt;=0.6,"Требует доработки","Недостаточно данных")))</x:f>
      </x:c>
      <x:c r="P166" s="27"/>
      <x:c r="Q166" s="27"/>
      <x:c r="R166" s="27"/>
      <x:c r="S166" s="27"/>
      <x:c r="T166" s="27"/>
      <x:c r="U166" s="27"/>
    </x:row>
    <x:row r="167">
      <x:c r="A167" s="27" t="str"/>
      <x:c r="B167" s="27" t="str"/>
      <x:c r="C167" s="27" t="str"/>
      <x:c r="D167" s="27" t="str"/>
      <x:c r="E167" s="27" t="str"/>
      <x:c r="F167" s="27" t="str"/>
      <x:c r="G167" s="27" t="str"/>
      <x:c r="H167" s="27" t="str"/>
      <x:c r="I167" s="27" t="str"/>
      <x:c r="J167" s="27" t="str"/>
      <x:c r="K167" s="27" t="str"/>
      <x:c r="L167" s="27" t="str"/>
      <x:c r="M167" s="27" t="str"/>
      <x:c r="N167" s="52" t="str">
        <x:f>IF(A167="","",ROUND(COUNTA(B167:M167)/12,2))</x:f>
      </x:c>
      <x:c r="O167" s="27" t="str">
        <x:f>IF(A167="","",IF(N167&gt;=0.85,"Готов к прототипу",IF(N167&gt;=0.6,"Требует доработки","Недостаточно данных")))</x:f>
      </x:c>
      <x:c r="P167" s="27"/>
      <x:c r="Q167" s="27"/>
      <x:c r="R167" s="27"/>
      <x:c r="S167" s="27"/>
      <x:c r="T167" s="27"/>
      <x:c r="U167" s="27"/>
    </x:row>
    <x:row r="168">
      <x:c r="A168" s="27" t="str"/>
      <x:c r="B168" s="27" t="str"/>
      <x:c r="C168" s="27" t="str"/>
      <x:c r="D168" s="27" t="str"/>
      <x:c r="E168" s="27" t="str"/>
      <x:c r="F168" s="27" t="str"/>
      <x:c r="G168" s="27" t="str"/>
      <x:c r="H168" s="27" t="str"/>
      <x:c r="I168" s="27" t="str"/>
      <x:c r="J168" s="27" t="str"/>
      <x:c r="K168" s="27" t="str"/>
      <x:c r="L168" s="27" t="str"/>
      <x:c r="M168" s="27" t="str"/>
      <x:c r="N168" s="52" t="str">
        <x:f>IF(A168="","",ROUND(COUNTA(B168:M168)/12,2))</x:f>
      </x:c>
      <x:c r="O168" s="27" t="str">
        <x:f>IF(A168="","",IF(N168&gt;=0.85,"Готов к прототипу",IF(N168&gt;=0.6,"Требует доработки","Недостаточно данных")))</x:f>
      </x:c>
      <x:c r="P168" s="27"/>
      <x:c r="Q168" s="27"/>
      <x:c r="R168" s="27"/>
      <x:c r="S168" s="27"/>
      <x:c r="T168" s="27"/>
      <x:c r="U168" s="27"/>
    </x:row>
    <x:row r="169">
      <x:c r="A169" s="27" t="str"/>
      <x:c r="B169" s="27" t="str"/>
      <x:c r="C169" s="27" t="str"/>
      <x:c r="D169" s="27" t="str"/>
      <x:c r="E169" s="27" t="str"/>
      <x:c r="F169" s="27" t="str"/>
      <x:c r="G169" s="27" t="str"/>
      <x:c r="H169" s="27" t="str"/>
      <x:c r="I169" s="27" t="str"/>
      <x:c r="J169" s="27" t="str"/>
      <x:c r="K169" s="27" t="str"/>
      <x:c r="L169" s="27" t="str"/>
      <x:c r="M169" s="27" t="str"/>
      <x:c r="N169" s="52" t="str">
        <x:f>IF(A169="","",ROUND(COUNTA(B169:M169)/12,2))</x:f>
      </x:c>
      <x:c r="O169" s="27" t="str">
        <x:f>IF(A169="","",IF(N169&gt;=0.85,"Готов к прототипу",IF(N169&gt;=0.6,"Требует доработки","Недостаточно данных")))</x:f>
      </x:c>
      <x:c r="P169" s="27"/>
      <x:c r="Q169" s="27"/>
      <x:c r="R169" s="27"/>
      <x:c r="S169" s="27"/>
      <x:c r="T169" s="27"/>
      <x:c r="U169" s="27"/>
    </x:row>
    <x:row r="170">
      <x:c r="A170" s="27" t="str"/>
      <x:c r="B170" s="27" t="str"/>
      <x:c r="C170" s="27" t="str"/>
      <x:c r="D170" s="27" t="str"/>
      <x:c r="E170" s="27" t="str"/>
      <x:c r="F170" s="27" t="str"/>
      <x:c r="G170" s="27" t="str"/>
      <x:c r="H170" s="27" t="str"/>
      <x:c r="I170" s="27" t="str"/>
      <x:c r="J170" s="27" t="str"/>
      <x:c r="K170" s="27" t="str"/>
      <x:c r="L170" s="27" t="str"/>
      <x:c r="M170" s="27" t="str"/>
      <x:c r="N170" s="52" t="str">
        <x:f>IF(A170="","",ROUND(COUNTA(B170:M170)/12,2))</x:f>
      </x:c>
      <x:c r="O170" s="27" t="str">
        <x:f>IF(A170="","",IF(N170&gt;=0.85,"Готов к прототипу",IF(N170&gt;=0.6,"Требует доработки","Недостаточно данных")))</x:f>
      </x:c>
      <x:c r="P170" s="27"/>
      <x:c r="Q170" s="27"/>
      <x:c r="R170" s="27"/>
      <x:c r="S170" s="27"/>
      <x:c r="T170" s="27"/>
      <x:c r="U170" s="27"/>
    </x:row>
    <x:row r="171">
      <x:c r="A171" s="27" t="str"/>
      <x:c r="B171" s="27" t="str"/>
      <x:c r="C171" s="27" t="str"/>
      <x:c r="D171" s="27" t="str"/>
      <x:c r="E171" s="27" t="str"/>
      <x:c r="F171" s="27" t="str"/>
      <x:c r="G171" s="27" t="str"/>
      <x:c r="H171" s="27" t="str"/>
      <x:c r="I171" s="27" t="str"/>
      <x:c r="J171" s="27" t="str"/>
      <x:c r="K171" s="27" t="str"/>
      <x:c r="L171" s="27" t="str"/>
      <x:c r="M171" s="27" t="str"/>
      <x:c r="N171" s="52" t="str">
        <x:f>IF(A171="","",ROUND(COUNTA(B171:M171)/12,2))</x:f>
      </x:c>
      <x:c r="O171" s="27" t="str">
        <x:f>IF(A171="","",IF(N171&gt;=0.85,"Готов к прототипу",IF(N171&gt;=0.6,"Требует доработки","Недостаточно данных")))</x:f>
      </x:c>
      <x:c r="P171" s="27"/>
      <x:c r="Q171" s="27"/>
      <x:c r="R171" s="27"/>
      <x:c r="S171" s="27"/>
      <x:c r="T171" s="27"/>
      <x:c r="U171" s="27"/>
    </x:row>
    <x:row r="172">
      <x:c r="A172" s="27" t="str"/>
      <x:c r="B172" s="27" t="str"/>
      <x:c r="C172" s="27" t="str"/>
      <x:c r="D172" s="27" t="str"/>
      <x:c r="E172" s="27" t="str"/>
      <x:c r="F172" s="27" t="str"/>
      <x:c r="G172" s="27" t="str"/>
      <x:c r="H172" s="27" t="str"/>
      <x:c r="I172" s="27" t="str"/>
      <x:c r="J172" s="27" t="str"/>
      <x:c r="K172" s="27" t="str"/>
      <x:c r="L172" s="27" t="str"/>
      <x:c r="M172" s="27" t="str"/>
      <x:c r="N172" s="52" t="str">
        <x:f>IF(A172="","",ROUND(COUNTA(B172:M172)/12,2))</x:f>
      </x:c>
      <x:c r="O172" s="27" t="str">
        <x:f>IF(A172="","",IF(N172&gt;=0.85,"Готов к прототипу",IF(N172&gt;=0.6,"Требует доработки","Недостаточно данных")))</x:f>
      </x:c>
      <x:c r="P172" s="27"/>
      <x:c r="Q172" s="27"/>
      <x:c r="R172" s="27"/>
      <x:c r="S172" s="27"/>
      <x:c r="T172" s="27"/>
      <x:c r="U172" s="27"/>
    </x:row>
    <x:row r="173">
      <x:c r="A173" s="27" t="str"/>
      <x:c r="B173" s="27" t="str"/>
      <x:c r="C173" s="27" t="str"/>
      <x:c r="D173" s="27" t="str"/>
      <x:c r="E173" s="27" t="str"/>
      <x:c r="F173" s="27" t="str"/>
      <x:c r="G173" s="27" t="str"/>
      <x:c r="H173" s="27" t="str"/>
      <x:c r="I173" s="27" t="str"/>
      <x:c r="J173" s="27" t="str"/>
      <x:c r="K173" s="27" t="str"/>
      <x:c r="L173" s="27" t="str"/>
      <x:c r="M173" s="27" t="str"/>
      <x:c r="N173" s="52" t="str">
        <x:f>IF(A173="","",ROUND(COUNTA(B173:M173)/12,2))</x:f>
      </x:c>
      <x:c r="O173" s="27" t="str">
        <x:f>IF(A173="","",IF(N173&gt;=0.85,"Готов к прототипу",IF(N173&gt;=0.6,"Требует доработки","Недостаточно данных")))</x:f>
      </x:c>
      <x:c r="P173" s="27"/>
      <x:c r="Q173" s="27"/>
      <x:c r="R173" s="27"/>
      <x:c r="S173" s="27"/>
      <x:c r="T173" s="27"/>
      <x:c r="U173" s="27"/>
    </x:row>
    <x:row r="174">
      <x:c r="A174" s="27" t="str"/>
      <x:c r="B174" s="27" t="str"/>
      <x:c r="C174" s="27" t="str"/>
      <x:c r="D174" s="27" t="str"/>
      <x:c r="E174" s="27" t="str"/>
      <x:c r="F174" s="27" t="str"/>
      <x:c r="G174" s="27" t="str"/>
      <x:c r="H174" s="27" t="str"/>
      <x:c r="I174" s="27" t="str"/>
      <x:c r="J174" s="27" t="str"/>
      <x:c r="K174" s="27" t="str"/>
      <x:c r="L174" s="27" t="str"/>
      <x:c r="M174" s="27" t="str"/>
      <x:c r="N174" s="52" t="str">
        <x:f>IF(A174="","",ROUND(COUNTA(B174:M174)/12,2))</x:f>
      </x:c>
      <x:c r="O174" s="27" t="str">
        <x:f>IF(A174="","",IF(N174&gt;=0.85,"Готов к прототипу",IF(N174&gt;=0.6,"Требует доработки","Недостаточно данных")))</x:f>
      </x:c>
      <x:c r="P174" s="27"/>
      <x:c r="Q174" s="27"/>
      <x:c r="R174" s="27"/>
      <x:c r="S174" s="27"/>
      <x:c r="T174" s="27"/>
      <x:c r="U174" s="27"/>
    </x:row>
    <x:row r="175">
      <x:c r="A175" s="27" t="str"/>
      <x:c r="B175" s="27" t="str"/>
      <x:c r="C175" s="27" t="str"/>
      <x:c r="D175" s="27" t="str"/>
      <x:c r="E175" s="27" t="str"/>
      <x:c r="F175" s="27" t="str"/>
      <x:c r="G175" s="27" t="str"/>
      <x:c r="H175" s="27" t="str"/>
      <x:c r="I175" s="27" t="str"/>
      <x:c r="J175" s="27" t="str"/>
      <x:c r="K175" s="27" t="str"/>
      <x:c r="L175" s="27" t="str"/>
      <x:c r="M175" s="27" t="str"/>
      <x:c r="N175" s="52" t="str">
        <x:f>IF(A175="","",ROUND(COUNTA(B175:M175)/12,2))</x:f>
      </x:c>
      <x:c r="O175" s="27" t="str">
        <x:f>IF(A175="","",IF(N175&gt;=0.85,"Готов к прототипу",IF(N175&gt;=0.6,"Требует доработки","Недостаточно данных")))</x:f>
      </x:c>
      <x:c r="P175" s="27"/>
      <x:c r="Q175" s="27"/>
      <x:c r="R175" s="27"/>
      <x:c r="S175" s="27"/>
      <x:c r="T175" s="27"/>
      <x:c r="U175" s="27"/>
    </x:row>
    <x:row r="176">
      <x:c r="A176" s="27" t="str"/>
      <x:c r="B176" s="27" t="str"/>
      <x:c r="C176" s="27" t="str"/>
      <x:c r="D176" s="27" t="str"/>
      <x:c r="E176" s="27" t="str"/>
      <x:c r="F176" s="27" t="str"/>
      <x:c r="G176" s="27" t="str"/>
      <x:c r="H176" s="27" t="str"/>
      <x:c r="I176" s="27" t="str"/>
      <x:c r="J176" s="27" t="str"/>
      <x:c r="K176" s="27" t="str"/>
      <x:c r="L176" s="27" t="str"/>
      <x:c r="M176" s="27" t="str"/>
      <x:c r="N176" s="52" t="str">
        <x:f>IF(A176="","",ROUND(COUNTA(B176:M176)/12,2))</x:f>
      </x:c>
      <x:c r="O176" s="27" t="str">
        <x:f>IF(A176="","",IF(N176&gt;=0.85,"Готов к прототипу",IF(N176&gt;=0.6,"Требует доработки","Недостаточно данных")))</x:f>
      </x:c>
      <x:c r="P176" s="27"/>
      <x:c r="Q176" s="27"/>
      <x:c r="R176" s="27"/>
      <x:c r="S176" s="27"/>
      <x:c r="T176" s="27"/>
      <x:c r="U176" s="27"/>
    </x:row>
    <x:row r="177">
      <x:c r="A177" s="27" t="str"/>
      <x:c r="B177" s="27" t="str"/>
      <x:c r="C177" s="27" t="str"/>
      <x:c r="D177" s="27" t="str"/>
      <x:c r="E177" s="27" t="str"/>
      <x:c r="F177" s="27" t="str"/>
      <x:c r="G177" s="27" t="str"/>
      <x:c r="H177" s="27" t="str"/>
      <x:c r="I177" s="27" t="str"/>
      <x:c r="J177" s="27" t="str"/>
      <x:c r="K177" s="27" t="str"/>
      <x:c r="L177" s="27" t="str"/>
      <x:c r="M177" s="27" t="str"/>
      <x:c r="N177" s="52" t="str">
        <x:f>IF(A177="","",ROUND(COUNTA(B177:M177)/12,2))</x:f>
      </x:c>
      <x:c r="O177" s="27" t="str">
        <x:f>IF(A177="","",IF(N177&gt;=0.85,"Готов к прототипу",IF(N177&gt;=0.6,"Требует доработки","Недостаточно данных")))</x:f>
      </x:c>
      <x:c r="P177" s="27"/>
      <x:c r="Q177" s="27"/>
      <x:c r="R177" s="27"/>
      <x:c r="S177" s="27"/>
      <x:c r="T177" s="27"/>
      <x:c r="U177" s="27"/>
    </x:row>
    <x:row r="178">
      <x:c r="A178" s="27" t="str"/>
      <x:c r="B178" s="27" t="str"/>
      <x:c r="C178" s="27" t="str"/>
      <x:c r="D178" s="27" t="str"/>
      <x:c r="E178" s="27" t="str"/>
      <x:c r="F178" s="27" t="str"/>
      <x:c r="G178" s="27" t="str"/>
      <x:c r="H178" s="27" t="str"/>
      <x:c r="I178" s="27" t="str"/>
      <x:c r="J178" s="27" t="str"/>
      <x:c r="K178" s="27" t="str"/>
      <x:c r="L178" s="27" t="str"/>
      <x:c r="M178" s="27" t="str"/>
      <x:c r="N178" s="52" t="str">
        <x:f>IF(A178="","",ROUND(COUNTA(B178:M178)/12,2))</x:f>
      </x:c>
      <x:c r="O178" s="27" t="str">
        <x:f>IF(A178="","",IF(N178&gt;=0.85,"Готов к прототипу",IF(N178&gt;=0.6,"Требует доработки","Недостаточно данных")))</x:f>
      </x:c>
      <x:c r="P178" s="27"/>
      <x:c r="Q178" s="27"/>
      <x:c r="R178" s="27"/>
      <x:c r="S178" s="27"/>
      <x:c r="T178" s="27"/>
      <x:c r="U178" s="27"/>
    </x:row>
    <x:row r="179">
      <x:c r="A179" s="27" t="str"/>
      <x:c r="B179" s="27" t="str"/>
      <x:c r="C179" s="27" t="str"/>
      <x:c r="D179" s="27" t="str"/>
      <x:c r="E179" s="27" t="str"/>
      <x:c r="F179" s="27" t="str"/>
      <x:c r="G179" s="27" t="str"/>
      <x:c r="H179" s="27" t="str"/>
      <x:c r="I179" s="27" t="str"/>
      <x:c r="J179" s="27" t="str"/>
      <x:c r="K179" s="27" t="str"/>
      <x:c r="L179" s="27" t="str"/>
      <x:c r="M179" s="27" t="str"/>
      <x:c r="N179" s="52" t="str">
        <x:f>IF(A179="","",ROUND(COUNTA(B179:M179)/12,2))</x:f>
      </x:c>
      <x:c r="O179" s="27" t="str">
        <x:f>IF(A179="","",IF(N179&gt;=0.85,"Готов к прототипу",IF(N179&gt;=0.6,"Требует доработки","Недостаточно данных")))</x:f>
      </x:c>
      <x:c r="P179" s="27"/>
      <x:c r="Q179" s="27"/>
      <x:c r="R179" s="27"/>
      <x:c r="S179" s="27"/>
      <x:c r="T179" s="27"/>
      <x:c r="U179" s="27"/>
    </x:row>
    <x:row r="180">
      <x:c r="A180" s="27" t="str"/>
      <x:c r="B180" s="27" t="str"/>
      <x:c r="C180" s="27" t="str"/>
      <x:c r="D180" s="27" t="str"/>
      <x:c r="E180" s="27" t="str"/>
      <x:c r="F180" s="27" t="str"/>
      <x:c r="G180" s="27" t="str"/>
      <x:c r="H180" s="27" t="str"/>
      <x:c r="I180" s="27" t="str"/>
      <x:c r="J180" s="27" t="str"/>
      <x:c r="K180" s="27" t="str"/>
      <x:c r="L180" s="27" t="str"/>
      <x:c r="M180" s="27" t="str"/>
      <x:c r="N180" s="52" t="str">
        <x:f>IF(A180="","",ROUND(COUNTA(B180:M180)/12,2))</x:f>
      </x:c>
      <x:c r="O180" s="27" t="str">
        <x:f>IF(A180="","",IF(N180&gt;=0.85,"Готов к прототипу",IF(N180&gt;=0.6,"Требует доработки","Недостаточно данных")))</x:f>
      </x:c>
      <x:c r="P180" s="27"/>
      <x:c r="Q180" s="27"/>
      <x:c r="R180" s="27"/>
      <x:c r="S180" s="27"/>
      <x:c r="T180" s="27"/>
      <x:c r="U180" s="27"/>
    </x:row>
    <x:row r="181">
      <x:c r="A181" s="27" t="str"/>
      <x:c r="B181" s="27" t="str"/>
      <x:c r="C181" s="27" t="str"/>
      <x:c r="D181" s="27" t="str"/>
      <x:c r="E181" s="27" t="str"/>
      <x:c r="F181" s="27" t="str"/>
      <x:c r="G181" s="27" t="str"/>
      <x:c r="H181" s="27" t="str"/>
      <x:c r="I181" s="27" t="str"/>
      <x:c r="J181" s="27" t="str"/>
      <x:c r="K181" s="27" t="str"/>
      <x:c r="L181" s="27" t="str"/>
      <x:c r="M181" s="27" t="str"/>
      <x:c r="N181" s="52" t="str">
        <x:f>IF(A181="","",ROUND(COUNTA(B181:M181)/12,2))</x:f>
      </x:c>
      <x:c r="O181" s="27" t="str">
        <x:f>IF(A181="","",IF(N181&gt;=0.85,"Готов к прототипу",IF(N181&gt;=0.6,"Требует доработки","Недостаточно данных")))</x:f>
      </x:c>
      <x:c r="P181" s="27"/>
      <x:c r="Q181" s="27"/>
      <x:c r="R181" s="27"/>
      <x:c r="S181" s="27"/>
      <x:c r="T181" s="27"/>
      <x:c r="U181" s="27"/>
    </x:row>
    <x:row r="182">
      <x:c r="A182" s="27" t="str"/>
      <x:c r="B182" s="27" t="str"/>
      <x:c r="C182" s="27" t="str"/>
      <x:c r="D182" s="27" t="str"/>
      <x:c r="E182" s="27" t="str"/>
      <x:c r="F182" s="27" t="str"/>
      <x:c r="G182" s="27" t="str"/>
      <x:c r="H182" s="27" t="str"/>
      <x:c r="I182" s="27" t="str"/>
      <x:c r="J182" s="27" t="str"/>
      <x:c r="K182" s="27" t="str"/>
      <x:c r="L182" s="27" t="str"/>
      <x:c r="M182" s="27" t="str"/>
      <x:c r="N182" s="52" t="str">
        <x:f>IF(A182="","",ROUND(COUNTA(B182:M182)/12,2))</x:f>
      </x:c>
      <x:c r="O182" s="27" t="str">
        <x:f>IF(A182="","",IF(N182&gt;=0.85,"Готов к прототипу",IF(N182&gt;=0.6,"Требует доработки","Недостаточно данных")))</x:f>
      </x:c>
      <x:c r="P182" s="27"/>
      <x:c r="Q182" s="27"/>
      <x:c r="R182" s="27"/>
      <x:c r="S182" s="27"/>
      <x:c r="T182" s="27"/>
      <x:c r="U182" s="27"/>
    </x:row>
    <x:row r="183">
      <x:c r="A183" s="27" t="str"/>
      <x:c r="B183" s="27" t="str"/>
      <x:c r="C183" s="27" t="str"/>
      <x:c r="D183" s="27" t="str"/>
      <x:c r="E183" s="27" t="str"/>
      <x:c r="F183" s="27" t="str"/>
      <x:c r="G183" s="27" t="str"/>
      <x:c r="H183" s="27" t="str"/>
      <x:c r="I183" s="27" t="str"/>
      <x:c r="J183" s="27" t="str"/>
      <x:c r="K183" s="27" t="str"/>
      <x:c r="L183" s="27" t="str"/>
      <x:c r="M183" s="27" t="str"/>
      <x:c r="N183" s="52" t="str">
        <x:f>IF(A183="","",ROUND(COUNTA(B183:M183)/12,2))</x:f>
      </x:c>
      <x:c r="O183" s="27" t="str">
        <x:f>IF(A183="","",IF(N183&gt;=0.85,"Готов к прототипу",IF(N183&gt;=0.6,"Требует доработки","Недостаточно данных")))</x:f>
      </x:c>
      <x:c r="P183" s="27"/>
      <x:c r="Q183" s="27"/>
      <x:c r="R183" s="27"/>
      <x:c r="S183" s="27"/>
      <x:c r="T183" s="27"/>
      <x:c r="U183" s="27"/>
    </x:row>
    <x:row r="184">
      <x:c r="A184" s="27" t="str"/>
      <x:c r="B184" s="27" t="str"/>
      <x:c r="C184" s="27" t="str"/>
      <x:c r="D184" s="27" t="str"/>
      <x:c r="E184" s="27" t="str"/>
      <x:c r="F184" s="27" t="str"/>
      <x:c r="G184" s="27" t="str"/>
      <x:c r="H184" s="27" t="str"/>
      <x:c r="I184" s="27" t="str"/>
      <x:c r="J184" s="27" t="str"/>
      <x:c r="K184" s="27" t="str"/>
      <x:c r="L184" s="27" t="str"/>
      <x:c r="M184" s="27" t="str"/>
      <x:c r="N184" s="52" t="str">
        <x:f>IF(A184="","",ROUND(COUNTA(B184:M184)/12,2))</x:f>
      </x:c>
      <x:c r="O184" s="27" t="str">
        <x:f>IF(A184="","",IF(N184&gt;=0.85,"Готов к прототипу",IF(N184&gt;=0.6,"Требует доработки","Недостаточно данных")))</x:f>
      </x:c>
      <x:c r="P184" s="27"/>
      <x:c r="Q184" s="27"/>
      <x:c r="R184" s="27"/>
      <x:c r="S184" s="27"/>
      <x:c r="T184" s="27"/>
      <x:c r="U184" s="27"/>
    </x:row>
    <x:row r="185">
      <x:c r="A185" s="27" t="str"/>
      <x:c r="B185" s="27" t="str"/>
      <x:c r="C185" s="27" t="str"/>
      <x:c r="D185" s="27" t="str"/>
      <x:c r="E185" s="27" t="str"/>
      <x:c r="F185" s="27" t="str"/>
      <x:c r="G185" s="27" t="str"/>
      <x:c r="H185" s="27" t="str"/>
      <x:c r="I185" s="27" t="str"/>
      <x:c r="J185" s="27" t="str"/>
      <x:c r="K185" s="27" t="str"/>
      <x:c r="L185" s="27" t="str"/>
      <x:c r="M185" s="27" t="str"/>
      <x:c r="N185" s="52" t="str">
        <x:f>IF(A185="","",ROUND(COUNTA(B185:M185)/12,2))</x:f>
      </x:c>
      <x:c r="O185" s="27" t="str">
        <x:f>IF(A185="","",IF(N185&gt;=0.85,"Готов к прототипу",IF(N185&gt;=0.6,"Требует доработки","Недостаточно данных")))</x:f>
      </x:c>
      <x:c r="P185" s="27"/>
      <x:c r="Q185" s="27"/>
      <x:c r="R185" s="27"/>
      <x:c r="S185" s="27"/>
      <x:c r="T185" s="27"/>
      <x:c r="U185" s="27"/>
    </x:row>
    <x:row r="186">
      <x:c r="A186" s="27" t="str"/>
      <x:c r="B186" s="27" t="str"/>
      <x:c r="C186" s="27" t="str"/>
      <x:c r="D186" s="27" t="str"/>
      <x:c r="E186" s="27" t="str"/>
      <x:c r="F186" s="27" t="str"/>
      <x:c r="G186" s="27" t="str"/>
      <x:c r="H186" s="27" t="str"/>
      <x:c r="I186" s="27" t="str"/>
      <x:c r="J186" s="27" t="str"/>
      <x:c r="K186" s="27" t="str"/>
      <x:c r="L186" s="27" t="str"/>
      <x:c r="M186" s="27" t="str"/>
      <x:c r="N186" s="52" t="str">
        <x:f>IF(A186="","",ROUND(COUNTA(B186:M186)/12,2))</x:f>
      </x:c>
      <x:c r="O186" s="27" t="str">
        <x:f>IF(A186="","",IF(N186&gt;=0.85,"Готов к прототипу",IF(N186&gt;=0.6,"Требует доработки","Недостаточно данных")))</x:f>
      </x:c>
      <x:c r="P186" s="27"/>
      <x:c r="Q186" s="27"/>
      <x:c r="R186" s="27"/>
      <x:c r="S186" s="27"/>
      <x:c r="T186" s="27"/>
      <x:c r="U186" s="27"/>
    </x:row>
    <x:row r="187">
      <x:c r="A187" s="27" t="str"/>
      <x:c r="B187" s="27" t="str"/>
      <x:c r="C187" s="27" t="str"/>
      <x:c r="D187" s="27" t="str"/>
      <x:c r="E187" s="27" t="str"/>
      <x:c r="F187" s="27" t="str"/>
      <x:c r="G187" s="27" t="str"/>
      <x:c r="H187" s="27" t="str"/>
      <x:c r="I187" s="27" t="str"/>
      <x:c r="J187" s="27" t="str"/>
      <x:c r="K187" s="27" t="str"/>
      <x:c r="L187" s="27" t="str"/>
      <x:c r="M187" s="27" t="str"/>
      <x:c r="N187" s="52" t="str">
        <x:f>IF(A187="","",ROUND(COUNTA(B187:M187)/12,2))</x:f>
      </x:c>
      <x:c r="O187" s="27" t="str">
        <x:f>IF(A187="","",IF(N187&gt;=0.85,"Готов к прототипу",IF(N187&gt;=0.6,"Требует доработки","Недостаточно данных")))</x:f>
      </x:c>
      <x:c r="P187" s="27"/>
      <x:c r="Q187" s="27"/>
      <x:c r="R187" s="27"/>
      <x:c r="S187" s="27"/>
      <x:c r="T187" s="27"/>
      <x:c r="U187" s="27"/>
    </x:row>
    <x:row r="188">
      <x:c r="A188" s="27" t="str"/>
      <x:c r="B188" s="27" t="str"/>
      <x:c r="C188" s="27" t="str"/>
      <x:c r="D188" s="27" t="str"/>
      <x:c r="E188" s="27" t="str"/>
      <x:c r="F188" s="27" t="str"/>
      <x:c r="G188" s="27" t="str"/>
      <x:c r="H188" s="27" t="str"/>
      <x:c r="I188" s="27" t="str"/>
      <x:c r="J188" s="27" t="str"/>
      <x:c r="K188" s="27" t="str"/>
      <x:c r="L188" s="27" t="str"/>
      <x:c r="M188" s="27" t="str"/>
      <x:c r="N188" s="52" t="str">
        <x:f>IF(A188="","",ROUND(COUNTA(B188:M188)/12,2))</x:f>
      </x:c>
      <x:c r="O188" s="27" t="str">
        <x:f>IF(A188="","",IF(N188&gt;=0.85,"Готов к прототипу",IF(N188&gt;=0.6,"Требует доработки","Недостаточно данных")))</x:f>
      </x:c>
      <x:c r="P188" s="27"/>
      <x:c r="Q188" s="27"/>
      <x:c r="R188" s="27"/>
      <x:c r="S188" s="27"/>
      <x:c r="T188" s="27"/>
      <x:c r="U188" s="27"/>
    </x:row>
    <x:row r="189">
      <x:c r="A189" s="27" t="str"/>
      <x:c r="B189" s="27" t="str"/>
      <x:c r="C189" s="27" t="str"/>
      <x:c r="D189" s="27" t="str"/>
      <x:c r="E189" s="27" t="str"/>
      <x:c r="F189" s="27" t="str"/>
      <x:c r="G189" s="27" t="str"/>
      <x:c r="H189" s="27" t="str"/>
      <x:c r="I189" s="27" t="str"/>
      <x:c r="J189" s="27" t="str"/>
      <x:c r="K189" s="27" t="str"/>
      <x:c r="L189" s="27" t="str"/>
      <x:c r="M189" s="27" t="str"/>
      <x:c r="N189" s="52" t="str">
        <x:f>IF(A189="","",ROUND(COUNTA(B189:M189)/12,2))</x:f>
      </x:c>
      <x:c r="O189" s="27" t="str">
        <x:f>IF(A189="","",IF(N189&gt;=0.85,"Готов к прототипу",IF(N189&gt;=0.6,"Требует доработки","Недостаточно данных")))</x:f>
      </x:c>
      <x:c r="P189" s="27"/>
      <x:c r="Q189" s="27"/>
      <x:c r="R189" s="27"/>
      <x:c r="S189" s="27"/>
      <x:c r="T189" s="27"/>
      <x:c r="U189" s="27"/>
    </x:row>
    <x:row r="190">
      <x:c r="A190" s="27" t="str"/>
      <x:c r="B190" s="27" t="str"/>
      <x:c r="C190" s="27" t="str"/>
      <x:c r="D190" s="27" t="str"/>
      <x:c r="E190" s="27" t="str"/>
      <x:c r="F190" s="27" t="str"/>
      <x:c r="G190" s="27" t="str"/>
      <x:c r="H190" s="27" t="str"/>
      <x:c r="I190" s="27" t="str"/>
      <x:c r="J190" s="27" t="str"/>
      <x:c r="K190" s="27" t="str"/>
      <x:c r="L190" s="27" t="str"/>
      <x:c r="M190" s="27" t="str"/>
      <x:c r="N190" s="52" t="str">
        <x:f>IF(A190="","",ROUND(COUNTA(B190:M190)/12,2))</x:f>
      </x:c>
      <x:c r="O190" s="27" t="str">
        <x:f>IF(A190="","",IF(N190&gt;=0.85,"Готов к прототипу",IF(N190&gt;=0.6,"Требует доработки","Недостаточно данных")))</x:f>
      </x:c>
      <x:c r="P190" s="27"/>
      <x:c r="Q190" s="27"/>
      <x:c r="R190" s="27"/>
      <x:c r="S190" s="27"/>
      <x:c r="T190" s="27"/>
      <x:c r="U190" s="27"/>
    </x:row>
    <x:row r="191">
      <x:c r="A191" s="27" t="str"/>
      <x:c r="B191" s="27" t="str"/>
      <x:c r="C191" s="27" t="str"/>
      <x:c r="D191" s="27" t="str"/>
      <x:c r="E191" s="27" t="str"/>
      <x:c r="F191" s="27" t="str"/>
      <x:c r="G191" s="27" t="str"/>
      <x:c r="H191" s="27" t="str"/>
      <x:c r="I191" s="27" t="str"/>
      <x:c r="J191" s="27" t="str"/>
      <x:c r="K191" s="27" t="str"/>
      <x:c r="L191" s="27" t="str"/>
      <x:c r="M191" s="27" t="str"/>
      <x:c r="N191" s="52" t="str">
        <x:f>IF(A191="","",ROUND(COUNTA(B191:M191)/12,2))</x:f>
      </x:c>
      <x:c r="O191" s="27" t="str">
        <x:f>IF(A191="","",IF(N191&gt;=0.85,"Готов к прототипу",IF(N191&gt;=0.6,"Требует доработки","Недостаточно данных")))</x:f>
      </x:c>
      <x:c r="P191" s="27"/>
      <x:c r="Q191" s="27"/>
      <x:c r="R191" s="27"/>
      <x:c r="S191" s="27"/>
      <x:c r="T191" s="27"/>
      <x:c r="U191" s="27"/>
    </x:row>
    <x:row r="192">
      <x:c r="A192" s="27" t="str"/>
      <x:c r="B192" s="27" t="str"/>
      <x:c r="C192" s="27" t="str"/>
      <x:c r="D192" s="27" t="str"/>
      <x:c r="E192" s="27" t="str"/>
      <x:c r="F192" s="27" t="str"/>
      <x:c r="G192" s="27" t="str"/>
      <x:c r="H192" s="27" t="str"/>
      <x:c r="I192" s="27" t="str"/>
      <x:c r="J192" s="27" t="str"/>
      <x:c r="K192" s="27" t="str"/>
      <x:c r="L192" s="27" t="str"/>
      <x:c r="M192" s="27" t="str"/>
      <x:c r="N192" s="52" t="str">
        <x:f>IF(A192="","",ROUND(COUNTA(B192:M192)/12,2))</x:f>
      </x:c>
      <x:c r="O192" s="27" t="str">
        <x:f>IF(A192="","",IF(N192&gt;=0.85,"Готов к прототипу",IF(N192&gt;=0.6,"Требует доработки","Недостаточно данных")))</x:f>
      </x:c>
      <x:c r="P192" s="27"/>
      <x:c r="Q192" s="27"/>
      <x:c r="R192" s="27"/>
      <x:c r="S192" s="27"/>
      <x:c r="T192" s="27"/>
      <x:c r="U192" s="27"/>
    </x:row>
    <x:row r="193">
      <x:c r="A193" s="27" t="str"/>
      <x:c r="B193" s="27" t="str"/>
      <x:c r="C193" s="27" t="str"/>
      <x:c r="D193" s="27" t="str"/>
      <x:c r="E193" s="27" t="str"/>
      <x:c r="F193" s="27" t="str"/>
      <x:c r="G193" s="27" t="str"/>
      <x:c r="H193" s="27" t="str"/>
      <x:c r="I193" s="27" t="str"/>
      <x:c r="J193" s="27" t="str"/>
      <x:c r="K193" s="27" t="str"/>
      <x:c r="L193" s="27" t="str"/>
      <x:c r="M193" s="27" t="str"/>
      <x:c r="N193" s="52" t="str">
        <x:f>IF(A193="","",ROUND(COUNTA(B193:M193)/12,2))</x:f>
      </x:c>
      <x:c r="O193" s="27" t="str">
        <x:f>IF(A193="","",IF(N193&gt;=0.85,"Готов к прототипу",IF(N193&gt;=0.6,"Требует доработки","Недостаточно данных")))</x:f>
      </x:c>
      <x:c r="P193" s="27"/>
      <x:c r="Q193" s="27"/>
      <x:c r="R193" s="27"/>
      <x:c r="S193" s="27"/>
      <x:c r="T193" s="27"/>
      <x:c r="U193" s="27"/>
    </x:row>
    <x:row r="194">
      <x:c r="A194" s="27" t="str"/>
      <x:c r="B194" s="27" t="str"/>
      <x:c r="C194" s="27" t="str"/>
      <x:c r="D194" s="27" t="str"/>
      <x:c r="E194" s="27" t="str"/>
      <x:c r="F194" s="27" t="str"/>
      <x:c r="G194" s="27" t="str"/>
      <x:c r="H194" s="27" t="str"/>
      <x:c r="I194" s="27" t="str"/>
      <x:c r="J194" s="27" t="str"/>
      <x:c r="K194" s="27" t="str"/>
      <x:c r="L194" s="27" t="str"/>
      <x:c r="M194" s="27" t="str"/>
      <x:c r="N194" s="52" t="str">
        <x:f>IF(A194="","",ROUND(COUNTA(B194:M194)/12,2))</x:f>
      </x:c>
      <x:c r="O194" s="27" t="str">
        <x:f>IF(A194="","",IF(N194&gt;=0.85,"Готов к прототипу",IF(N194&gt;=0.6,"Требует доработки","Недостаточно данных")))</x:f>
      </x:c>
      <x:c r="P194" s="27"/>
      <x:c r="Q194" s="27"/>
      <x:c r="R194" s="27"/>
      <x:c r="S194" s="27"/>
      <x:c r="T194" s="27"/>
      <x:c r="U194" s="27"/>
    </x:row>
    <x:row r="195">
      <x:c r="A195" s="27" t="str"/>
      <x:c r="B195" s="27" t="str"/>
      <x:c r="C195" s="27" t="str"/>
      <x:c r="D195" s="27" t="str"/>
      <x:c r="E195" s="27" t="str"/>
      <x:c r="F195" s="27" t="str"/>
      <x:c r="G195" s="27" t="str"/>
      <x:c r="H195" s="27" t="str"/>
      <x:c r="I195" s="27" t="str"/>
      <x:c r="J195" s="27" t="str"/>
      <x:c r="K195" s="27" t="str"/>
      <x:c r="L195" s="27" t="str"/>
      <x:c r="M195" s="27" t="str"/>
      <x:c r="N195" s="52" t="str">
        <x:f>IF(A195="","",ROUND(COUNTA(B195:M195)/12,2))</x:f>
      </x:c>
      <x:c r="O195" s="27" t="str">
        <x:f>IF(A195="","",IF(N195&gt;=0.85,"Готов к прототипу",IF(N195&gt;=0.6,"Требует доработки","Недостаточно данных")))</x:f>
      </x:c>
      <x:c r="P195" s="27"/>
      <x:c r="Q195" s="27"/>
      <x:c r="R195" s="27"/>
      <x:c r="S195" s="27"/>
      <x:c r="T195" s="27"/>
      <x:c r="U195" s="27"/>
    </x:row>
    <x:row r="196">
      <x:c r="A196" s="27" t="str"/>
      <x:c r="B196" s="27" t="str"/>
      <x:c r="C196" s="27" t="str"/>
      <x:c r="D196" s="27" t="str"/>
      <x:c r="E196" s="27" t="str"/>
      <x:c r="F196" s="27" t="str"/>
      <x:c r="G196" s="27" t="str"/>
      <x:c r="H196" s="27" t="str"/>
      <x:c r="I196" s="27" t="str"/>
      <x:c r="J196" s="27" t="str"/>
      <x:c r="K196" s="27" t="str"/>
      <x:c r="L196" s="27" t="str"/>
      <x:c r="M196" s="27" t="str"/>
      <x:c r="N196" s="52" t="str">
        <x:f>IF(A196="","",ROUND(COUNTA(B196:M196)/12,2))</x:f>
      </x:c>
      <x:c r="O196" s="27" t="str">
        <x:f>IF(A196="","",IF(N196&gt;=0.85,"Готов к прототипу",IF(N196&gt;=0.6,"Требует доработки","Недостаточно данных")))</x:f>
      </x:c>
      <x:c r="P196" s="27"/>
      <x:c r="Q196" s="27"/>
      <x:c r="R196" s="27"/>
      <x:c r="S196" s="27"/>
      <x:c r="T196" s="27"/>
      <x:c r="U196" s="27"/>
    </x:row>
    <x:row r="197">
      <x:c r="A197" s="27" t="str"/>
      <x:c r="B197" s="27" t="str"/>
      <x:c r="C197" s="27" t="str"/>
      <x:c r="D197" s="27" t="str"/>
      <x:c r="E197" s="27" t="str"/>
      <x:c r="F197" s="27" t="str"/>
      <x:c r="G197" s="27" t="str"/>
      <x:c r="H197" s="27" t="str"/>
      <x:c r="I197" s="27" t="str"/>
      <x:c r="J197" s="27" t="str"/>
      <x:c r="K197" s="27" t="str"/>
      <x:c r="L197" s="27" t="str"/>
      <x:c r="M197" s="27" t="str"/>
      <x:c r="N197" s="52" t="str">
        <x:f>IF(A197="","",ROUND(COUNTA(B197:M197)/12,2))</x:f>
      </x:c>
      <x:c r="O197" s="27" t="str">
        <x:f>IF(A197="","",IF(N197&gt;=0.85,"Готов к прототипу",IF(N197&gt;=0.6,"Требует доработки","Недостаточно данных")))</x:f>
      </x:c>
      <x:c r="P197" s="27"/>
      <x:c r="Q197" s="27"/>
      <x:c r="R197" s="27"/>
      <x:c r="S197" s="27"/>
      <x:c r="T197" s="27"/>
      <x:c r="U197" s="27"/>
    </x:row>
    <x:row r="198">
      <x:c r="A198" s="27" t="str"/>
      <x:c r="B198" s="27" t="str"/>
      <x:c r="C198" s="27" t="str"/>
      <x:c r="D198" s="27" t="str"/>
      <x:c r="E198" s="27" t="str"/>
      <x:c r="F198" s="27" t="str"/>
      <x:c r="G198" s="27" t="str"/>
      <x:c r="H198" s="27" t="str"/>
      <x:c r="I198" s="27" t="str"/>
      <x:c r="J198" s="27" t="str"/>
      <x:c r="K198" s="27" t="str"/>
      <x:c r="L198" s="27" t="str"/>
      <x:c r="M198" s="27" t="str"/>
      <x:c r="N198" s="52" t="str">
        <x:f>IF(A198="","",ROUND(COUNTA(B198:M198)/12,2))</x:f>
      </x:c>
      <x:c r="O198" s="27" t="str">
        <x:f>IF(A198="","",IF(N198&gt;=0.85,"Готов к прототипу",IF(N198&gt;=0.6,"Требует доработки","Недостаточно данных")))</x:f>
      </x:c>
      <x:c r="P198" s="27"/>
      <x:c r="Q198" s="27"/>
      <x:c r="R198" s="27"/>
      <x:c r="S198" s="27"/>
      <x:c r="T198" s="27"/>
      <x:c r="U198" s="27"/>
    </x:row>
    <x:row r="199">
      <x:c r="A199" s="27" t="str"/>
      <x:c r="B199" s="27" t="str"/>
      <x:c r="C199" s="27" t="str"/>
      <x:c r="D199" s="27" t="str"/>
      <x:c r="E199" s="27" t="str"/>
      <x:c r="F199" s="27" t="str"/>
      <x:c r="G199" s="27" t="str"/>
      <x:c r="H199" s="27" t="str"/>
      <x:c r="I199" s="27" t="str"/>
      <x:c r="J199" s="27" t="str"/>
      <x:c r="K199" s="27" t="str"/>
      <x:c r="L199" s="27" t="str"/>
      <x:c r="M199" s="27" t="str"/>
      <x:c r="N199" s="52" t="str">
        <x:f>IF(A199="","",ROUND(COUNTA(B199:M199)/12,2))</x:f>
      </x:c>
      <x:c r="O199" s="27" t="str">
        <x:f>IF(A199="","",IF(N199&gt;=0.85,"Готов к прототипу",IF(N199&gt;=0.6,"Требует доработки","Недостаточно данных")))</x:f>
      </x:c>
      <x:c r="P199" s="27"/>
      <x:c r="Q199" s="27"/>
      <x:c r="R199" s="27"/>
      <x:c r="S199" s="27"/>
      <x:c r="T199" s="27"/>
      <x:c r="U199" s="27"/>
    </x:row>
    <x:row r="200">
      <x:c r="A200" s="27" t="str"/>
      <x:c r="B200" s="27" t="str"/>
      <x:c r="C200" s="27" t="str"/>
      <x:c r="D200" s="27" t="str"/>
      <x:c r="E200" s="27" t="str"/>
      <x:c r="F200" s="27" t="str"/>
      <x:c r="G200" s="27" t="str"/>
      <x:c r="H200" s="27" t="str"/>
      <x:c r="I200" s="27" t="str"/>
      <x:c r="J200" s="27" t="str"/>
      <x:c r="K200" s="27" t="str"/>
      <x:c r="L200" s="27" t="str"/>
      <x:c r="M200" s="27" t="str"/>
      <x:c r="N200" s="52" t="str">
        <x:f>IF(A200="","",ROUND(COUNTA(B200:M200)/12,2))</x:f>
      </x:c>
      <x:c r="O200" s="27" t="str">
        <x:f>IF(A200="","",IF(N200&gt;=0.85,"Готов к прототипу",IF(N200&gt;=0.6,"Требует доработки","Недостаточно данных")))</x:f>
      </x:c>
      <x:c r="P200" s="27"/>
      <x:c r="Q200" s="27"/>
      <x:c r="R200" s="27"/>
      <x:c r="S200" s="27"/>
      <x:c r="T200" s="27"/>
      <x:c r="U200" s="27"/>
    </x:row>
    <x:row r="201">
      <x:c r="A201" s="27" t="str"/>
      <x:c r="B201" s="27" t="str"/>
      <x:c r="C201" s="27" t="str"/>
      <x:c r="D201" s="27" t="str"/>
      <x:c r="E201" s="27" t="str"/>
      <x:c r="F201" s="27" t="str"/>
      <x:c r="G201" s="27" t="str"/>
      <x:c r="H201" s="27" t="str"/>
      <x:c r="I201" s="27" t="str"/>
      <x:c r="J201" s="27" t="str"/>
      <x:c r="K201" s="27" t="str"/>
      <x:c r="L201" s="27" t="str"/>
      <x:c r="M201" s="27" t="str"/>
      <x:c r="N201" s="52" t="str">
        <x:f>IF(A201="","",ROUND(COUNTA(B201:M201)/12,2))</x:f>
      </x:c>
      <x:c r="O201" s="27" t="str">
        <x:f>IF(A201="","",IF(N201&gt;=0.85,"Готов к прототипу",IF(N201&gt;=0.6,"Требует доработки","Недостаточно данных")))</x:f>
      </x:c>
      <x:c r="P201" s="27"/>
      <x:c r="Q201" s="27"/>
      <x:c r="R201" s="27"/>
      <x:c r="S201" s="27"/>
      <x:c r="T201" s="27"/>
      <x:c r="U201" s="27"/>
    </x:row>
    <x:row r="202">
      <x:c r="A202" s="27" t="str"/>
      <x:c r="B202" s="27" t="str"/>
      <x:c r="C202" s="27" t="str"/>
      <x:c r="D202" s="27" t="str"/>
      <x:c r="E202" s="27" t="str"/>
      <x:c r="F202" s="27" t="str"/>
      <x:c r="G202" s="27" t="str"/>
      <x:c r="H202" s="27" t="str"/>
      <x:c r="I202" s="27" t="str"/>
      <x:c r="J202" s="27" t="str"/>
      <x:c r="K202" s="27" t="str"/>
      <x:c r="L202" s="27" t="str"/>
      <x:c r="M202" s="27" t="str"/>
      <x:c r="N202" s="52" t="str">
        <x:f>IF(A202="","",ROUND(COUNTA(B202:M202)/12,2))</x:f>
      </x:c>
      <x:c r="O202" s="27" t="str">
        <x:f>IF(A202="","",IF(N202&gt;=0.85,"Готов к прототипу",IF(N202&gt;=0.6,"Требует доработки","Недостаточно данных")))</x:f>
      </x:c>
      <x:c r="P202" s="27"/>
      <x:c r="Q202" s="27"/>
      <x:c r="R202" s="27"/>
      <x:c r="S202" s="27"/>
      <x:c r="T202" s="27"/>
      <x:c r="U202" s="27"/>
    </x:row>
    <x:row r="203">
      <x:c r="A203" s="27" t="str"/>
      <x:c r="B203" s="27" t="str"/>
      <x:c r="C203" s="27" t="str"/>
      <x:c r="D203" s="27" t="str"/>
      <x:c r="E203" s="27" t="str"/>
      <x:c r="F203" s="27" t="str"/>
      <x:c r="G203" s="27" t="str"/>
      <x:c r="H203" s="27" t="str"/>
      <x:c r="I203" s="27" t="str"/>
      <x:c r="J203" s="27" t="str"/>
      <x:c r="K203" s="27" t="str"/>
      <x:c r="L203" s="27" t="str"/>
      <x:c r="M203" s="27" t="str"/>
      <x:c r="N203" s="52" t="str">
        <x:f>IF(A203="","",ROUND(COUNTA(B203:M203)/12,2))</x:f>
      </x:c>
      <x:c r="O203" s="27" t="str">
        <x:f>IF(A203="","",IF(N203&gt;=0.85,"Готов к прототипу",IF(N203&gt;=0.6,"Требует доработки","Недостаточно данных")))</x:f>
      </x:c>
      <x:c r="P203" s="27"/>
      <x:c r="Q203" s="27"/>
      <x:c r="R203" s="27"/>
      <x:c r="S203" s="27"/>
      <x:c r="T203" s="27"/>
      <x:c r="U203" s="27"/>
    </x:row>
    <x:row r="204">
      <x:c r="A204" s="27" t="str"/>
      <x:c r="B204" s="27" t="str"/>
      <x:c r="C204" s="27" t="str"/>
      <x:c r="D204" s="27" t="str"/>
      <x:c r="E204" s="27" t="str"/>
      <x:c r="F204" s="27" t="str"/>
      <x:c r="G204" s="27" t="str"/>
      <x:c r="H204" s="27" t="str"/>
      <x:c r="I204" s="27" t="str"/>
      <x:c r="J204" s="27" t="str"/>
      <x:c r="K204" s="27" t="str"/>
      <x:c r="L204" s="27" t="str"/>
      <x:c r="M204" s="27" t="str"/>
      <x:c r="N204" s="52" t="str">
        <x:f>IF(A204="","",ROUND(COUNTA(B204:M204)/12,2))</x:f>
      </x:c>
      <x:c r="O204" s="27" t="str">
        <x:f>IF(A204="","",IF(N204&gt;=0.85,"Готов к прототипу",IF(N204&gt;=0.6,"Требует доработки","Недостаточно данных")))</x:f>
      </x:c>
      <x:c r="P204" s="27"/>
      <x:c r="Q204" s="27"/>
      <x:c r="R204" s="27"/>
      <x:c r="S204" s="27"/>
      <x:c r="T204" s="27"/>
      <x:c r="U204" s="27"/>
    </x:row>
    <x:row r="205">
      <x:c r="A205" s="27" t="str"/>
      <x:c r="B205" s="27" t="str"/>
      <x:c r="C205" s="27" t="str"/>
      <x:c r="D205" s="27" t="str"/>
      <x:c r="E205" s="27" t="str"/>
      <x:c r="F205" s="27" t="str"/>
      <x:c r="G205" s="27" t="str"/>
      <x:c r="H205" s="27" t="str"/>
      <x:c r="I205" s="27" t="str"/>
      <x:c r="J205" s="27" t="str"/>
      <x:c r="K205" s="27" t="str"/>
      <x:c r="L205" s="27" t="str"/>
      <x:c r="M205" s="27" t="str"/>
      <x:c r="N205" s="52" t="str">
        <x:f>IF(A205="","",ROUND(COUNTA(B205:M205)/12,2))</x:f>
      </x:c>
      <x:c r="O205" s="27" t="str">
        <x:f>IF(A205="","",IF(N205&gt;=0.85,"Готов к прототипу",IF(N205&gt;=0.6,"Требует доработки","Недостаточно данных")))</x:f>
      </x:c>
      <x:c r="P205" s="27"/>
      <x:c r="Q205" s="27"/>
      <x:c r="R205" s="27"/>
      <x:c r="S205" s="27"/>
      <x:c r="T205" s="27"/>
      <x:c r="U205" s="27"/>
    </x:row>
    <x:row r="206">
      <x:c r="A206" s="27" t="str"/>
      <x:c r="B206" s="27" t="str"/>
      <x:c r="C206" s="27" t="str"/>
      <x:c r="D206" s="27" t="str"/>
      <x:c r="E206" s="27" t="str"/>
      <x:c r="F206" s="27" t="str"/>
      <x:c r="G206" s="27" t="str"/>
      <x:c r="H206" s="27" t="str"/>
      <x:c r="I206" s="27" t="str"/>
      <x:c r="J206" s="27" t="str"/>
      <x:c r="K206" s="27" t="str"/>
      <x:c r="L206" s="27" t="str"/>
      <x:c r="M206" s="27" t="str"/>
      <x:c r="N206" s="52" t="str">
        <x:f>IF(A206="","",ROUND(COUNTA(B206:M206)/12,2))</x:f>
      </x:c>
      <x:c r="O206" s="27" t="str">
        <x:f>IF(A206="","",IF(N206&gt;=0.85,"Готов к прототипу",IF(N206&gt;=0.6,"Требует доработки","Недостаточно данных")))</x:f>
      </x:c>
      <x:c r="P206" s="27"/>
      <x:c r="Q206" s="27"/>
      <x:c r="R206" s="27"/>
      <x:c r="S206" s="27"/>
      <x:c r="T206" s="27"/>
      <x:c r="U206" s="27"/>
    </x:row>
    <x:row r="207">
      <x:c r="A207" s="27" t="str"/>
      <x:c r="B207" s="27" t="str"/>
      <x:c r="C207" s="27" t="str"/>
      <x:c r="D207" s="27" t="str"/>
      <x:c r="E207" s="27" t="str"/>
      <x:c r="F207" s="27" t="str"/>
      <x:c r="G207" s="27" t="str"/>
      <x:c r="H207" s="27" t="str"/>
      <x:c r="I207" s="27" t="str"/>
      <x:c r="J207" s="27" t="str"/>
      <x:c r="K207" s="27" t="str"/>
      <x:c r="L207" s="27" t="str"/>
      <x:c r="M207" s="27" t="str"/>
      <x:c r="N207" s="52" t="str">
        <x:f>IF(A207="","",ROUND(COUNTA(B207:M207)/12,2))</x:f>
      </x:c>
      <x:c r="O207" s="27" t="str">
        <x:f>IF(A207="","",IF(N207&gt;=0.85,"Готов к прототипу",IF(N207&gt;=0.6,"Требует доработки","Недостаточно данных")))</x:f>
      </x:c>
      <x:c r="P207" s="27"/>
      <x:c r="Q207" s="27"/>
      <x:c r="R207" s="27"/>
      <x:c r="S207" s="27"/>
      <x:c r="T207" s="27"/>
      <x:c r="U207" s="27"/>
    </x:row>
    <x:row r="208">
      <x:c r="A208" s="27" t="str"/>
      <x:c r="B208" s="27" t="str"/>
      <x:c r="C208" s="27" t="str"/>
      <x:c r="D208" s="27" t="str"/>
      <x:c r="E208" s="27" t="str"/>
      <x:c r="F208" s="27" t="str"/>
      <x:c r="G208" s="27" t="str"/>
      <x:c r="H208" s="27" t="str"/>
      <x:c r="I208" s="27" t="str"/>
      <x:c r="J208" s="27" t="str"/>
      <x:c r="K208" s="27" t="str"/>
      <x:c r="L208" s="27" t="str"/>
      <x:c r="M208" s="27" t="str"/>
      <x:c r="N208" s="52" t="str">
        <x:f>IF(A208="","",ROUND(COUNTA(B208:M208)/12,2))</x:f>
      </x:c>
      <x:c r="O208" s="27" t="str">
        <x:f>IF(A208="","",IF(N208&gt;=0.85,"Готов к прототипу",IF(N208&gt;=0.6,"Требует доработки","Недостаточно данных")))</x:f>
      </x:c>
      <x:c r="P208" s="27"/>
      <x:c r="Q208" s="27"/>
      <x:c r="R208" s="27"/>
      <x:c r="S208" s="27"/>
      <x:c r="T208" s="27"/>
      <x:c r="U208" s="27"/>
    </x:row>
    <x:row r="209">
      <x:c r="A209" s="27" t="str"/>
      <x:c r="B209" s="27" t="str"/>
      <x:c r="C209" s="27" t="str"/>
      <x:c r="D209" s="27" t="str"/>
      <x:c r="E209" s="27" t="str"/>
      <x:c r="F209" s="27" t="str"/>
      <x:c r="G209" s="27" t="str"/>
      <x:c r="H209" s="27" t="str"/>
      <x:c r="I209" s="27" t="str"/>
      <x:c r="J209" s="27" t="str"/>
      <x:c r="K209" s="27" t="str"/>
      <x:c r="L209" s="27" t="str"/>
      <x:c r="M209" s="27" t="str"/>
      <x:c r="N209" s="52" t="str">
        <x:f>IF(A209="","",ROUND(COUNTA(B209:M209)/12,2))</x:f>
      </x:c>
      <x:c r="O209" s="27" t="str">
        <x:f>IF(A209="","",IF(N209&gt;=0.85,"Готов к прототипу",IF(N209&gt;=0.6,"Требует доработки","Недостаточно данных")))</x:f>
      </x:c>
      <x:c r="P209" s="27"/>
      <x:c r="Q209" s="27"/>
      <x:c r="R209" s="27"/>
      <x:c r="S209" s="27"/>
      <x:c r="T209" s="27"/>
      <x:c r="U209" s="27"/>
    </x:row>
    <x:row r="210">
      <x:c r="A210" s="27" t="str"/>
      <x:c r="B210" s="27" t="str"/>
      <x:c r="C210" s="27" t="str"/>
      <x:c r="D210" s="27" t="str"/>
      <x:c r="E210" s="27" t="str"/>
      <x:c r="F210" s="27" t="str"/>
      <x:c r="G210" s="27" t="str"/>
      <x:c r="H210" s="27" t="str"/>
      <x:c r="I210" s="27" t="str"/>
      <x:c r="J210" s="27" t="str"/>
      <x:c r="K210" s="27" t="str"/>
      <x:c r="L210" s="27" t="str"/>
      <x:c r="M210" s="27" t="str"/>
      <x:c r="N210" s="52" t="str">
        <x:f>IF(A210="","",ROUND(COUNTA(B210:M210)/12,2))</x:f>
      </x:c>
      <x:c r="O210" s="27" t="str">
        <x:f>IF(A210="","",IF(N210&gt;=0.85,"Готов к прототипу",IF(N210&gt;=0.6,"Требует доработки","Недостаточно данных")))</x:f>
      </x:c>
      <x:c r="P210" s="27"/>
      <x:c r="Q210" s="27"/>
      <x:c r="R210" s="27"/>
      <x:c r="S210" s="27"/>
      <x:c r="T210" s="27"/>
      <x:c r="U210" s="27"/>
    </x:row>
    <x:row r="211">
      <x:c r="A211" s="27" t="str"/>
      <x:c r="B211" s="27" t="str"/>
      <x:c r="C211" s="27" t="str"/>
      <x:c r="D211" s="27" t="str"/>
      <x:c r="E211" s="27" t="str"/>
      <x:c r="F211" s="27" t="str"/>
      <x:c r="G211" s="27" t="str"/>
      <x:c r="H211" s="27" t="str"/>
      <x:c r="I211" s="27" t="str"/>
      <x:c r="J211" s="27" t="str"/>
      <x:c r="K211" s="27" t="str"/>
      <x:c r="L211" s="27" t="str"/>
      <x:c r="M211" s="27" t="str"/>
      <x:c r="N211" s="52" t="str">
        <x:f>IF(A211="","",ROUND(COUNTA(B211:M211)/12,2))</x:f>
      </x:c>
      <x:c r="O211" s="27" t="str">
        <x:f>IF(A211="","",IF(N211&gt;=0.85,"Готов к прототипу",IF(N211&gt;=0.6,"Требует доработки","Недостаточно данных")))</x:f>
      </x:c>
      <x:c r="P211" s="27"/>
      <x:c r="Q211" s="27"/>
      <x:c r="R211" s="27"/>
      <x:c r="S211" s="27"/>
      <x:c r="T211" s="27"/>
      <x:c r="U211" s="27"/>
    </x:row>
    <x:row r="212">
      <x:c r="A212" s="27" t="str"/>
      <x:c r="B212" s="27" t="str"/>
      <x:c r="C212" s="27" t="str"/>
      <x:c r="D212" s="27" t="str"/>
      <x:c r="E212" s="27" t="str"/>
      <x:c r="F212" s="27" t="str"/>
      <x:c r="G212" s="27" t="str"/>
      <x:c r="H212" s="27" t="str"/>
      <x:c r="I212" s="27" t="str"/>
      <x:c r="J212" s="27" t="str"/>
      <x:c r="K212" s="27" t="str"/>
      <x:c r="L212" s="27" t="str"/>
      <x:c r="M212" s="27" t="str"/>
      <x:c r="N212" s="52" t="str">
        <x:f>IF(A212="","",ROUND(COUNTA(B212:M212)/12,2))</x:f>
      </x:c>
      <x:c r="O212" s="27" t="str">
        <x:f>IF(A212="","",IF(N212&gt;=0.85,"Готов к прототипу",IF(N212&gt;=0.6,"Требует доработки","Недостаточно данных")))</x:f>
      </x:c>
      <x:c r="P212" s="27"/>
      <x:c r="Q212" s="27"/>
      <x:c r="R212" s="27"/>
      <x:c r="S212" s="27"/>
      <x:c r="T212" s="27"/>
      <x:c r="U212" s="27"/>
    </x:row>
    <x:row r="213">
      <x:c r="A213" s="27" t="str"/>
      <x:c r="B213" s="27" t="str"/>
      <x:c r="C213" s="27" t="str"/>
      <x:c r="D213" s="27" t="str"/>
      <x:c r="E213" s="27" t="str"/>
      <x:c r="F213" s="27" t="str"/>
      <x:c r="G213" s="27" t="str"/>
      <x:c r="H213" s="27" t="str"/>
      <x:c r="I213" s="27" t="str"/>
      <x:c r="J213" s="27" t="str"/>
      <x:c r="K213" s="27" t="str"/>
      <x:c r="L213" s="27" t="str"/>
      <x:c r="M213" s="27" t="str"/>
      <x:c r="N213" s="52" t="str">
        <x:f>IF(A213="","",ROUND(COUNTA(B213:M213)/12,2))</x:f>
      </x:c>
      <x:c r="O213" s="27" t="str">
        <x:f>IF(A213="","",IF(N213&gt;=0.85,"Готов к прототипу",IF(N213&gt;=0.6,"Требует доработки","Недостаточно данных")))</x:f>
      </x:c>
      <x:c r="P213" s="27"/>
      <x:c r="Q213" s="27"/>
      <x:c r="R213" s="27"/>
      <x:c r="S213" s="27"/>
      <x:c r="T213" s="27"/>
      <x:c r="U213" s="27"/>
    </x:row>
    <x:row r="214">
      <x:c r="A214" s="27" t="str"/>
      <x:c r="B214" s="27" t="str"/>
      <x:c r="C214" s="27" t="str"/>
      <x:c r="D214" s="27" t="str"/>
      <x:c r="E214" s="27" t="str"/>
      <x:c r="F214" s="27" t="str"/>
      <x:c r="G214" s="27" t="str"/>
      <x:c r="H214" s="27" t="str"/>
      <x:c r="I214" s="27" t="str"/>
      <x:c r="J214" s="27" t="str"/>
      <x:c r="K214" s="27" t="str"/>
      <x:c r="L214" s="27" t="str"/>
      <x:c r="M214" s="27" t="str"/>
      <x:c r="N214" s="52" t="str">
        <x:f>IF(A214="","",ROUND(COUNTA(B214:M214)/12,2))</x:f>
      </x:c>
      <x:c r="O214" s="27" t="str">
        <x:f>IF(A214="","",IF(N214&gt;=0.85,"Готов к прототипу",IF(N214&gt;=0.6,"Требует доработки","Недостаточно данных")))</x:f>
      </x:c>
      <x:c r="P214" s="27"/>
      <x:c r="Q214" s="27"/>
      <x:c r="R214" s="27"/>
      <x:c r="S214" s="27"/>
      <x:c r="T214" s="27"/>
      <x:c r="U214" s="27"/>
    </x:row>
    <x:row r="215">
      <x:c r="A215" s="27" t="str"/>
      <x:c r="B215" s="27" t="str"/>
      <x:c r="C215" s="27" t="str"/>
      <x:c r="D215" s="27" t="str"/>
      <x:c r="E215" s="27" t="str"/>
      <x:c r="F215" s="27" t="str"/>
      <x:c r="G215" s="27" t="str"/>
      <x:c r="H215" s="27" t="str"/>
      <x:c r="I215" s="27" t="str"/>
      <x:c r="J215" s="27" t="str"/>
      <x:c r="K215" s="27" t="str"/>
      <x:c r="L215" s="27" t="str"/>
      <x:c r="M215" s="27" t="str"/>
      <x:c r="N215" s="52" t="str">
        <x:f>IF(A215="","",ROUND(COUNTA(B215:M215)/12,2))</x:f>
      </x:c>
      <x:c r="O215" s="27" t="str">
        <x:f>IF(A215="","",IF(N215&gt;=0.85,"Готов к прототипу",IF(N215&gt;=0.6,"Требует доработки","Недостаточно данных")))</x:f>
      </x:c>
      <x:c r="P215" s="27"/>
      <x:c r="Q215" s="27"/>
      <x:c r="R215" s="27"/>
      <x:c r="S215" s="27"/>
      <x:c r="T215" s="27"/>
      <x:c r="U215" s="27"/>
    </x:row>
    <x:row r="216">
      <x:c r="A216" s="27" t="str"/>
      <x:c r="B216" s="27" t="str"/>
      <x:c r="C216" s="27" t="str"/>
      <x:c r="D216" s="27" t="str"/>
      <x:c r="E216" s="27" t="str"/>
      <x:c r="F216" s="27" t="str"/>
      <x:c r="G216" s="27" t="str"/>
      <x:c r="H216" s="27" t="str"/>
      <x:c r="I216" s="27" t="str"/>
      <x:c r="J216" s="27" t="str"/>
      <x:c r="K216" s="27" t="str"/>
      <x:c r="L216" s="27" t="str"/>
      <x:c r="M216" s="27" t="str"/>
      <x:c r="N216" s="52" t="str">
        <x:f>IF(A216="","",ROUND(COUNTA(B216:M216)/12,2))</x:f>
      </x:c>
      <x:c r="O216" s="27" t="str">
        <x:f>IF(A216="","",IF(N216&gt;=0.85,"Готов к прототипу",IF(N216&gt;=0.6,"Требует доработки","Недостаточно данных")))</x:f>
      </x:c>
      <x:c r="P216" s="27"/>
      <x:c r="Q216" s="27"/>
      <x:c r="R216" s="27"/>
      <x:c r="S216" s="27"/>
      <x:c r="T216" s="27"/>
      <x:c r="U216" s="27"/>
    </x:row>
    <x:row r="217">
      <x:c r="A217" s="27" t="str"/>
      <x:c r="B217" s="27" t="str"/>
      <x:c r="C217" s="27" t="str"/>
      <x:c r="D217" s="27" t="str"/>
      <x:c r="E217" s="27" t="str"/>
      <x:c r="F217" s="27" t="str"/>
      <x:c r="G217" s="27" t="str"/>
      <x:c r="H217" s="27" t="str"/>
      <x:c r="I217" s="27" t="str"/>
      <x:c r="J217" s="27" t="str"/>
      <x:c r="K217" s="27" t="str"/>
      <x:c r="L217" s="27" t="str"/>
      <x:c r="M217" s="27" t="str"/>
      <x:c r="N217" s="52" t="str">
        <x:f>IF(A217="","",ROUND(COUNTA(B217:M217)/12,2))</x:f>
      </x:c>
      <x:c r="O217" s="27" t="str">
        <x:f>IF(A217="","",IF(N217&gt;=0.85,"Готов к прототипу",IF(N217&gt;=0.6,"Требует доработки","Недостаточно данных")))</x:f>
      </x:c>
      <x:c r="P217" s="27"/>
      <x:c r="Q217" s="27"/>
      <x:c r="R217" s="27"/>
      <x:c r="S217" s="27"/>
      <x:c r="T217" s="27"/>
      <x:c r="U217" s="27"/>
    </x:row>
    <x:row r="218">
      <x:c r="A218" s="27" t="str"/>
      <x:c r="B218" s="27" t="str"/>
      <x:c r="C218" s="27" t="str"/>
      <x:c r="D218" s="27" t="str"/>
      <x:c r="E218" s="27" t="str"/>
      <x:c r="F218" s="27" t="str"/>
      <x:c r="G218" s="27" t="str"/>
      <x:c r="H218" s="27" t="str"/>
      <x:c r="I218" s="27" t="str"/>
      <x:c r="J218" s="27" t="str"/>
      <x:c r="K218" s="27" t="str"/>
      <x:c r="L218" s="27" t="str"/>
      <x:c r="M218" s="27" t="str"/>
      <x:c r="N218" s="52" t="str">
        <x:f>IF(A218="","",ROUND(COUNTA(B218:M218)/12,2))</x:f>
      </x:c>
      <x:c r="O218" s="27" t="str">
        <x:f>IF(A218="","",IF(N218&gt;=0.85,"Готов к прототипу",IF(N218&gt;=0.6,"Требует доработки","Недостаточно данных")))</x:f>
      </x:c>
      <x:c r="P218" s="27"/>
      <x:c r="Q218" s="27"/>
      <x:c r="R218" s="27"/>
      <x:c r="S218" s="27"/>
      <x:c r="T218" s="27"/>
      <x:c r="U218" s="27"/>
    </x:row>
    <x:row r="219">
      <x:c r="A219" s="27" t="str"/>
      <x:c r="B219" s="27" t="str"/>
      <x:c r="C219" s="27" t="str"/>
      <x:c r="D219" s="27" t="str"/>
      <x:c r="E219" s="27" t="str"/>
      <x:c r="F219" s="27" t="str"/>
      <x:c r="G219" s="27" t="str"/>
      <x:c r="H219" s="27" t="str"/>
      <x:c r="I219" s="27" t="str"/>
      <x:c r="J219" s="27" t="str"/>
      <x:c r="K219" s="27" t="str"/>
      <x:c r="L219" s="27" t="str"/>
      <x:c r="M219" s="27" t="str"/>
      <x:c r="N219" s="52" t="str">
        <x:f>IF(A219="","",ROUND(COUNTA(B219:M219)/12,2))</x:f>
      </x:c>
      <x:c r="O219" s="27" t="str">
        <x:f>IF(A219="","",IF(N219&gt;=0.85,"Готов к прототипу",IF(N219&gt;=0.6,"Требует доработки","Недостаточно данных")))</x:f>
      </x:c>
      <x:c r="P219" s="27"/>
      <x:c r="Q219" s="27"/>
      <x:c r="R219" s="27"/>
      <x:c r="S219" s="27"/>
      <x:c r="T219" s="27"/>
      <x:c r="U219" s="27"/>
    </x:row>
    <x:row r="220">
      <x:c r="A220" s="27" t="str"/>
      <x:c r="B220" s="27" t="str"/>
      <x:c r="C220" s="27" t="str"/>
      <x:c r="D220" s="27" t="str"/>
      <x:c r="E220" s="27" t="str"/>
      <x:c r="F220" s="27" t="str"/>
      <x:c r="G220" s="27" t="str"/>
      <x:c r="H220" s="27" t="str"/>
      <x:c r="I220" s="27" t="str"/>
      <x:c r="J220" s="27" t="str"/>
      <x:c r="K220" s="27" t="str"/>
      <x:c r="L220" s="27" t="str"/>
      <x:c r="M220" s="27" t="str"/>
      <x:c r="N220" s="52" t="str">
        <x:f>IF(A220="","",ROUND(COUNTA(B220:M220)/12,2))</x:f>
      </x:c>
      <x:c r="O220" s="27" t="str">
        <x:f>IF(A220="","",IF(N220&gt;=0.85,"Готов к прототипу",IF(N220&gt;=0.6,"Требует доработки","Недостаточно данных")))</x:f>
      </x:c>
      <x:c r="P220" s="27"/>
      <x:c r="Q220" s="27"/>
      <x:c r="R220" s="27"/>
      <x:c r="S220" s="27"/>
      <x:c r="T220" s="27"/>
      <x:c r="U220" s="27"/>
    </x:row>
    <x:row r="221">
      <x:c r="A221" s="27" t="str"/>
      <x:c r="B221" s="27" t="str"/>
      <x:c r="C221" s="27" t="str"/>
      <x:c r="D221" s="27" t="str"/>
      <x:c r="E221" s="27" t="str"/>
      <x:c r="F221" s="27" t="str"/>
      <x:c r="G221" s="27" t="str"/>
      <x:c r="H221" s="27" t="str"/>
      <x:c r="I221" s="27" t="str"/>
      <x:c r="J221" s="27" t="str"/>
      <x:c r="K221" s="27" t="str"/>
      <x:c r="L221" s="27" t="str"/>
      <x:c r="M221" s="27" t="str"/>
      <x:c r="N221" s="52" t="str">
        <x:f>IF(A221="","",ROUND(COUNTA(B221:M221)/12,2))</x:f>
      </x:c>
      <x:c r="O221" s="27" t="str">
        <x:f>IF(A221="","",IF(N221&gt;=0.85,"Готов к прототипу",IF(N221&gt;=0.6,"Требует доработки","Недостаточно данных")))</x:f>
      </x:c>
      <x:c r="P221" s="27"/>
      <x:c r="Q221" s="27"/>
      <x:c r="R221" s="27"/>
      <x:c r="S221" s="27"/>
      <x:c r="T221" s="27"/>
      <x:c r="U221" s="27"/>
    </x:row>
    <x:row r="222">
      <x:c r="A222" s="27" t="str"/>
      <x:c r="B222" s="27" t="str"/>
      <x:c r="C222" s="27" t="str"/>
      <x:c r="D222" s="27" t="str"/>
      <x:c r="E222" s="27" t="str"/>
      <x:c r="F222" s="27" t="str"/>
      <x:c r="G222" s="27" t="str"/>
      <x:c r="H222" s="27" t="str"/>
      <x:c r="I222" s="27" t="str"/>
      <x:c r="J222" s="27" t="str"/>
      <x:c r="K222" s="27" t="str"/>
      <x:c r="L222" s="27" t="str"/>
      <x:c r="M222" s="27" t="str"/>
      <x:c r="N222" s="52" t="str">
        <x:f>IF(A222="","",ROUND(COUNTA(B222:M222)/12,2))</x:f>
      </x:c>
      <x:c r="O222" s="27" t="str">
        <x:f>IF(A222="","",IF(N222&gt;=0.85,"Готов к прототипу",IF(N222&gt;=0.6,"Требует доработки","Недостаточно данных")))</x:f>
      </x:c>
      <x:c r="P222" s="27"/>
      <x:c r="Q222" s="27"/>
      <x:c r="R222" s="27"/>
      <x:c r="S222" s="27"/>
      <x:c r="T222" s="27"/>
      <x:c r="U222" s="27"/>
    </x:row>
    <x:row r="223">
      <x:c r="A223" s="27" t="str"/>
      <x:c r="B223" s="27" t="str"/>
      <x:c r="C223" s="27" t="str"/>
      <x:c r="D223" s="27" t="str"/>
      <x:c r="E223" s="27" t="str"/>
      <x:c r="F223" s="27" t="str"/>
      <x:c r="G223" s="27" t="str"/>
      <x:c r="H223" s="27" t="str"/>
      <x:c r="I223" s="27" t="str"/>
      <x:c r="J223" s="27" t="str"/>
      <x:c r="K223" s="27" t="str"/>
      <x:c r="L223" s="27" t="str"/>
      <x:c r="M223" s="27" t="str"/>
      <x:c r="N223" s="52" t="str">
        <x:f>IF(A223="","",ROUND(COUNTA(B223:M223)/12,2))</x:f>
      </x:c>
      <x:c r="O223" s="27" t="str">
        <x:f>IF(A223="","",IF(N223&gt;=0.85,"Готов к прототипу",IF(N223&gt;=0.6,"Требует доработки","Недостаточно данных")))</x:f>
      </x:c>
      <x:c r="P223" s="27"/>
      <x:c r="Q223" s="27"/>
      <x:c r="R223" s="27"/>
      <x:c r="S223" s="27"/>
      <x:c r="T223" s="27"/>
      <x:c r="U223" s="27"/>
    </x:row>
    <x:row r="224">
      <x:c r="A224" s="27" t="str"/>
      <x:c r="B224" s="27" t="str"/>
      <x:c r="C224" s="27" t="str"/>
      <x:c r="D224" s="27" t="str"/>
      <x:c r="E224" s="27" t="str"/>
      <x:c r="F224" s="27" t="str"/>
      <x:c r="G224" s="27" t="str"/>
      <x:c r="H224" s="27" t="str"/>
      <x:c r="I224" s="27" t="str"/>
      <x:c r="J224" s="27" t="str"/>
      <x:c r="K224" s="27" t="str"/>
      <x:c r="L224" s="27" t="str"/>
      <x:c r="M224" s="27" t="str"/>
      <x:c r="N224" s="52" t="str">
        <x:f>IF(A224="","",ROUND(COUNTA(B224:M224)/12,2))</x:f>
      </x:c>
      <x:c r="O224" s="27" t="str">
        <x:f>IF(A224="","",IF(N224&gt;=0.85,"Готов к прототипу",IF(N224&gt;=0.6,"Требует доработки","Недостаточно данных")))</x:f>
      </x:c>
      <x:c r="P224" s="27"/>
      <x:c r="Q224" s="27"/>
      <x:c r="R224" s="27"/>
      <x:c r="S224" s="27"/>
      <x:c r="T224" s="27"/>
      <x:c r="U224" s="27"/>
    </x:row>
    <x:row r="225">
      <x:c r="A225" s="27" t="str"/>
      <x:c r="B225" s="27" t="str"/>
      <x:c r="C225" s="27" t="str"/>
      <x:c r="D225" s="27" t="str"/>
      <x:c r="E225" s="27" t="str"/>
      <x:c r="F225" s="27" t="str"/>
      <x:c r="G225" s="27" t="str"/>
      <x:c r="H225" s="27" t="str"/>
      <x:c r="I225" s="27" t="str"/>
      <x:c r="J225" s="27" t="str"/>
      <x:c r="K225" s="27" t="str"/>
      <x:c r="L225" s="27" t="str"/>
      <x:c r="M225" s="27" t="str"/>
      <x:c r="N225" s="52" t="str">
        <x:f>IF(A225="","",ROUND(COUNTA(B225:M225)/12,2))</x:f>
      </x:c>
      <x:c r="O225" s="27" t="str">
        <x:f>IF(A225="","",IF(N225&gt;=0.85,"Готов к прототипу",IF(N225&gt;=0.6,"Требует доработки","Недостаточно данных")))</x:f>
      </x:c>
      <x:c r="P225" s="27"/>
      <x:c r="Q225" s="27"/>
      <x:c r="R225" s="27"/>
      <x:c r="S225" s="27"/>
      <x:c r="T225" s="27"/>
      <x:c r="U225" s="27"/>
    </x:row>
    <x:row r="226">
      <x:c r="A226" s="27" t="str"/>
      <x:c r="B226" s="27" t="str"/>
      <x:c r="C226" s="27" t="str"/>
      <x:c r="D226" s="27" t="str"/>
      <x:c r="E226" s="27" t="str"/>
      <x:c r="F226" s="27" t="str"/>
      <x:c r="G226" s="27" t="str"/>
      <x:c r="H226" s="27" t="str"/>
      <x:c r="I226" s="27" t="str"/>
      <x:c r="J226" s="27" t="str"/>
      <x:c r="K226" s="27" t="str"/>
      <x:c r="L226" s="27" t="str"/>
      <x:c r="M226" s="27" t="str"/>
      <x:c r="N226" s="52" t="str">
        <x:f>IF(A226="","",ROUND(COUNTA(B226:M226)/12,2))</x:f>
      </x:c>
      <x:c r="O226" s="27" t="str">
        <x:f>IF(A226="","",IF(N226&gt;=0.85,"Готов к прототипу",IF(N226&gt;=0.6,"Требует доработки","Недостаточно данных")))</x:f>
      </x:c>
      <x:c r="P226" s="27"/>
      <x:c r="Q226" s="27"/>
      <x:c r="R226" s="27"/>
      <x:c r="S226" s="27"/>
      <x:c r="T226" s="27"/>
      <x:c r="U226" s="27"/>
    </x:row>
    <x:row r="227">
      <x:c r="A227" s="27" t="str"/>
      <x:c r="B227" s="27" t="str"/>
      <x:c r="C227" s="27" t="str"/>
      <x:c r="D227" s="27" t="str"/>
      <x:c r="E227" s="27" t="str"/>
      <x:c r="F227" s="27" t="str"/>
      <x:c r="G227" s="27" t="str"/>
      <x:c r="H227" s="27" t="str"/>
      <x:c r="I227" s="27" t="str"/>
      <x:c r="J227" s="27" t="str"/>
      <x:c r="K227" s="27" t="str"/>
      <x:c r="L227" s="27" t="str"/>
      <x:c r="M227" s="27" t="str"/>
      <x:c r="N227" s="52" t="str">
        <x:f>IF(A227="","",ROUND(COUNTA(B227:M227)/12,2))</x:f>
      </x:c>
      <x:c r="O227" s="27" t="str">
        <x:f>IF(A227="","",IF(N227&gt;=0.85,"Готов к прототипу",IF(N227&gt;=0.6,"Требует доработки","Недостаточно данных")))</x:f>
      </x:c>
      <x:c r="P227" s="27"/>
      <x:c r="Q227" s="27"/>
      <x:c r="R227" s="27"/>
      <x:c r="S227" s="27"/>
      <x:c r="T227" s="27"/>
      <x:c r="U227" s="27"/>
    </x:row>
    <x:row r="228">
      <x:c r="A228" s="27" t="str"/>
      <x:c r="B228" s="27" t="str"/>
      <x:c r="C228" s="27" t="str"/>
      <x:c r="D228" s="27" t="str"/>
      <x:c r="E228" s="27" t="str"/>
      <x:c r="F228" s="27" t="str"/>
      <x:c r="G228" s="27" t="str"/>
      <x:c r="H228" s="27" t="str"/>
      <x:c r="I228" s="27" t="str"/>
      <x:c r="J228" s="27" t="str"/>
      <x:c r="K228" s="27" t="str"/>
      <x:c r="L228" s="27" t="str"/>
      <x:c r="M228" s="27" t="str"/>
      <x:c r="N228" s="52" t="str">
        <x:f>IF(A228="","",ROUND(COUNTA(B228:M228)/12,2))</x:f>
      </x:c>
      <x:c r="O228" s="27" t="str">
        <x:f>IF(A228="","",IF(N228&gt;=0.85,"Готов к прототипу",IF(N228&gt;=0.6,"Требует доработки","Недостаточно данных")))</x:f>
      </x:c>
      <x:c r="P228" s="27"/>
      <x:c r="Q228" s="27"/>
      <x:c r="R228" s="27"/>
      <x:c r="S228" s="27"/>
      <x:c r="T228" s="27"/>
      <x:c r="U228" s="27"/>
    </x:row>
    <x:row r="229">
      <x:c r="A229" s="27" t="str"/>
      <x:c r="B229" s="27" t="str"/>
      <x:c r="C229" s="27" t="str"/>
      <x:c r="D229" s="27" t="str"/>
      <x:c r="E229" s="27" t="str"/>
      <x:c r="F229" s="27" t="str"/>
      <x:c r="G229" s="27" t="str"/>
      <x:c r="H229" s="27" t="str"/>
      <x:c r="I229" s="27" t="str"/>
      <x:c r="J229" s="27" t="str"/>
      <x:c r="K229" s="27" t="str"/>
      <x:c r="L229" s="27" t="str"/>
      <x:c r="M229" s="27" t="str"/>
      <x:c r="N229" s="52" t="str">
        <x:f>IF(A229="","",ROUND(COUNTA(B229:M229)/12,2))</x:f>
      </x:c>
      <x:c r="O229" s="27" t="str">
        <x:f>IF(A229="","",IF(N229&gt;=0.85,"Готов к прототипу",IF(N229&gt;=0.6,"Требует доработки","Недостаточно данных")))</x:f>
      </x:c>
      <x:c r="P229" s="27"/>
      <x:c r="Q229" s="27"/>
      <x:c r="R229" s="27"/>
      <x:c r="S229" s="27"/>
      <x:c r="T229" s="27"/>
      <x:c r="U229" s="27"/>
    </x:row>
    <x:row r="230">
      <x:c r="A230" s="27" t="str"/>
      <x:c r="B230" s="27" t="str"/>
      <x:c r="C230" s="27" t="str"/>
      <x:c r="D230" s="27" t="str"/>
      <x:c r="E230" s="27" t="str"/>
      <x:c r="F230" s="27" t="str"/>
      <x:c r="G230" s="27" t="str"/>
      <x:c r="H230" s="27" t="str"/>
      <x:c r="I230" s="27" t="str"/>
      <x:c r="J230" s="27" t="str"/>
      <x:c r="K230" s="27" t="str"/>
      <x:c r="L230" s="27" t="str"/>
      <x:c r="M230" s="27" t="str"/>
      <x:c r="N230" s="52" t="str">
        <x:f>IF(A230="","",ROUND(COUNTA(B230:M230)/12,2))</x:f>
      </x:c>
      <x:c r="O230" s="27" t="str">
        <x:f>IF(A230="","",IF(N230&gt;=0.85,"Готов к прототипу",IF(N230&gt;=0.6,"Требует доработки","Недостаточно данных")))</x:f>
      </x:c>
      <x:c r="P230" s="27"/>
      <x:c r="Q230" s="27"/>
      <x:c r="R230" s="27"/>
      <x:c r="S230" s="27"/>
      <x:c r="T230" s="27"/>
      <x:c r="U230" s="27"/>
    </x:row>
    <x:row r="231">
      <x:c r="A231" s="27" t="str"/>
      <x:c r="B231" s="27" t="str"/>
      <x:c r="C231" s="27" t="str"/>
      <x:c r="D231" s="27" t="str"/>
      <x:c r="E231" s="27" t="str"/>
      <x:c r="F231" s="27" t="str"/>
      <x:c r="G231" s="27" t="str"/>
      <x:c r="H231" s="27" t="str"/>
      <x:c r="I231" s="27" t="str"/>
      <x:c r="J231" s="27" t="str"/>
      <x:c r="K231" s="27" t="str"/>
      <x:c r="L231" s="27" t="str"/>
      <x:c r="M231" s="27" t="str"/>
      <x:c r="N231" s="52" t="str">
        <x:f>IF(A231="","",ROUND(COUNTA(B231:M231)/12,2))</x:f>
      </x:c>
      <x:c r="O231" s="27" t="str">
        <x:f>IF(A231="","",IF(N231&gt;=0.85,"Готов к прототипу",IF(N231&gt;=0.6,"Требует доработки","Недостаточно данных")))</x:f>
      </x:c>
      <x:c r="P231" s="27"/>
      <x:c r="Q231" s="27"/>
      <x:c r="R231" s="27"/>
      <x:c r="S231" s="27"/>
      <x:c r="T231" s="27"/>
      <x:c r="U231" s="27"/>
    </x:row>
    <x:row r="232">
      <x:c r="A232" s="27" t="str"/>
      <x:c r="B232" s="27" t="str"/>
      <x:c r="C232" s="27" t="str"/>
      <x:c r="D232" s="27" t="str"/>
      <x:c r="E232" s="27" t="str"/>
      <x:c r="F232" s="27" t="str"/>
      <x:c r="G232" s="27" t="str"/>
      <x:c r="H232" s="27" t="str"/>
      <x:c r="I232" s="27" t="str"/>
      <x:c r="J232" s="27" t="str"/>
      <x:c r="K232" s="27" t="str"/>
      <x:c r="L232" s="27" t="str"/>
      <x:c r="M232" s="27" t="str"/>
      <x:c r="N232" s="52" t="str">
        <x:f>IF(A232="","",ROUND(COUNTA(B232:M232)/12,2))</x:f>
      </x:c>
      <x:c r="O232" s="27" t="str">
        <x:f>IF(A232="","",IF(N232&gt;=0.85,"Готов к прототипу",IF(N232&gt;=0.6,"Требует доработки","Недостаточно данных")))</x:f>
      </x:c>
      <x:c r="P232" s="27"/>
      <x:c r="Q232" s="27"/>
      <x:c r="R232" s="27"/>
      <x:c r="S232" s="27"/>
      <x:c r="T232" s="27"/>
      <x:c r="U232" s="27"/>
    </x:row>
    <x:row r="233">
      <x:c r="A233" s="27" t="str"/>
      <x:c r="B233" s="27" t="str"/>
      <x:c r="C233" s="27" t="str"/>
      <x:c r="D233" s="27" t="str"/>
      <x:c r="E233" s="27" t="str"/>
      <x:c r="F233" s="27" t="str"/>
      <x:c r="G233" s="27" t="str"/>
      <x:c r="H233" s="27" t="str"/>
      <x:c r="I233" s="27" t="str"/>
      <x:c r="J233" s="27" t="str"/>
      <x:c r="K233" s="27" t="str"/>
      <x:c r="L233" s="27" t="str"/>
      <x:c r="M233" s="27" t="str"/>
      <x:c r="N233" s="52" t="str">
        <x:f>IF(A233="","",ROUND(COUNTA(B233:M233)/12,2))</x:f>
      </x:c>
      <x:c r="O233" s="27" t="str">
        <x:f>IF(A233="","",IF(N233&gt;=0.85,"Готов к прототипу",IF(N233&gt;=0.6,"Требует доработки","Недостаточно данных")))</x:f>
      </x:c>
      <x:c r="P233" s="27"/>
      <x:c r="Q233" s="27"/>
      <x:c r="R233" s="27"/>
      <x:c r="S233" s="27"/>
      <x:c r="T233" s="27"/>
      <x:c r="U233" s="27"/>
    </x:row>
    <x:row r="234">
      <x:c r="A234" s="27" t="str"/>
      <x:c r="B234" s="27" t="str"/>
      <x:c r="C234" s="27" t="str"/>
      <x:c r="D234" s="27" t="str"/>
      <x:c r="E234" s="27" t="str"/>
      <x:c r="F234" s="27" t="str"/>
      <x:c r="G234" s="27" t="str"/>
      <x:c r="H234" s="27" t="str"/>
      <x:c r="I234" s="27" t="str"/>
      <x:c r="J234" s="27" t="str"/>
      <x:c r="K234" s="27" t="str"/>
      <x:c r="L234" s="27" t="str"/>
      <x:c r="M234" s="27" t="str"/>
      <x:c r="N234" s="52" t="str">
        <x:f>IF(A234="","",ROUND(COUNTA(B234:M234)/12,2))</x:f>
      </x:c>
      <x:c r="O234" s="27" t="str">
        <x:f>IF(A234="","",IF(N234&gt;=0.85,"Готов к прототипу",IF(N234&gt;=0.6,"Требует доработки","Недостаточно данных")))</x:f>
      </x:c>
      <x:c r="P234" s="27"/>
      <x:c r="Q234" s="27"/>
      <x:c r="R234" s="27"/>
      <x:c r="S234" s="27"/>
      <x:c r="T234" s="27"/>
      <x:c r="U234" s="27"/>
    </x:row>
    <x:row r="235">
      <x:c r="A235" s="27" t="str"/>
      <x:c r="B235" s="27" t="str"/>
      <x:c r="C235" s="27" t="str"/>
      <x:c r="D235" s="27" t="str"/>
      <x:c r="E235" s="27" t="str"/>
      <x:c r="F235" s="27" t="str"/>
      <x:c r="G235" s="27" t="str"/>
      <x:c r="H235" s="27" t="str"/>
      <x:c r="I235" s="27" t="str"/>
      <x:c r="J235" s="27" t="str"/>
      <x:c r="K235" s="27" t="str"/>
      <x:c r="L235" s="27" t="str"/>
      <x:c r="M235" s="27" t="str"/>
      <x:c r="N235" s="52" t="str">
        <x:f>IF(A235="","",ROUND(COUNTA(B235:M235)/12,2))</x:f>
      </x:c>
      <x:c r="O235" s="27" t="str">
        <x:f>IF(A235="","",IF(N235&gt;=0.85,"Готов к прототипу",IF(N235&gt;=0.6,"Требует доработки","Недостаточно данных")))</x:f>
      </x:c>
      <x:c r="P235" s="27"/>
      <x:c r="Q235" s="27"/>
      <x:c r="R235" s="27"/>
      <x:c r="S235" s="27"/>
      <x:c r="T235" s="27"/>
      <x:c r="U235" s="27"/>
    </x:row>
    <x:row r="236">
      <x:c r="A236" s="27" t="str"/>
      <x:c r="B236" s="27" t="str"/>
      <x:c r="C236" s="27" t="str"/>
      <x:c r="D236" s="27" t="str"/>
      <x:c r="E236" s="27" t="str"/>
      <x:c r="F236" s="27" t="str"/>
      <x:c r="G236" s="27" t="str"/>
      <x:c r="H236" s="27" t="str"/>
      <x:c r="I236" s="27" t="str"/>
      <x:c r="J236" s="27" t="str"/>
      <x:c r="K236" s="27" t="str"/>
      <x:c r="L236" s="27" t="str"/>
      <x:c r="M236" s="27" t="str"/>
      <x:c r="N236" s="52" t="str">
        <x:f>IF(A236="","",ROUND(COUNTA(B236:M236)/12,2))</x:f>
      </x:c>
      <x:c r="O236" s="27" t="str">
        <x:f>IF(A236="","",IF(N236&gt;=0.85,"Готов к прототипу",IF(N236&gt;=0.6,"Требует доработки","Недостаточно данных")))</x:f>
      </x:c>
      <x:c r="P236" s="27"/>
      <x:c r="Q236" s="27"/>
      <x:c r="R236" s="27"/>
      <x:c r="S236" s="27"/>
      <x:c r="T236" s="27"/>
      <x:c r="U236" s="27"/>
    </x:row>
    <x:row r="237">
      <x:c r="A237" s="27" t="str"/>
      <x:c r="B237" s="27" t="str"/>
      <x:c r="C237" s="27" t="str"/>
      <x:c r="D237" s="27" t="str"/>
      <x:c r="E237" s="27" t="str"/>
      <x:c r="F237" s="27" t="str"/>
      <x:c r="G237" s="27" t="str"/>
      <x:c r="H237" s="27" t="str"/>
      <x:c r="I237" s="27" t="str"/>
      <x:c r="J237" s="27" t="str"/>
      <x:c r="K237" s="27" t="str"/>
      <x:c r="L237" s="27" t="str"/>
      <x:c r="M237" s="27" t="str"/>
      <x:c r="N237" s="52" t="str">
        <x:f>IF(A237="","",ROUND(COUNTA(B237:M237)/12,2))</x:f>
      </x:c>
      <x:c r="O237" s="27" t="str">
        <x:f>IF(A237="","",IF(N237&gt;=0.85,"Готов к прототипу",IF(N237&gt;=0.6,"Требует доработки","Недостаточно данных")))</x:f>
      </x:c>
      <x:c r="P237" s="27"/>
      <x:c r="Q237" s="27"/>
      <x:c r="R237" s="27"/>
      <x:c r="S237" s="27"/>
      <x:c r="T237" s="27"/>
      <x:c r="U237" s="27"/>
    </x:row>
    <x:row r="238">
      <x:c r="A238" s="27" t="str"/>
      <x:c r="B238" s="27" t="str"/>
      <x:c r="C238" s="27" t="str"/>
      <x:c r="D238" s="27" t="str"/>
      <x:c r="E238" s="27" t="str"/>
      <x:c r="F238" s="27" t="str"/>
      <x:c r="G238" s="27" t="str"/>
      <x:c r="H238" s="27" t="str"/>
      <x:c r="I238" s="27" t="str"/>
      <x:c r="J238" s="27" t="str"/>
      <x:c r="K238" s="27" t="str"/>
      <x:c r="L238" s="27" t="str"/>
      <x:c r="M238" s="27" t="str"/>
      <x:c r="N238" s="52" t="str">
        <x:f>IF(A238="","",ROUND(COUNTA(B238:M238)/12,2))</x:f>
      </x:c>
      <x:c r="O238" s="27" t="str">
        <x:f>IF(A238="","",IF(N238&gt;=0.85,"Готов к прототипу",IF(N238&gt;=0.6,"Требует доработки","Недостаточно данных")))</x:f>
      </x:c>
      <x:c r="P238" s="27"/>
      <x:c r="Q238" s="27"/>
      <x:c r="R238" s="27"/>
      <x:c r="S238" s="27"/>
      <x:c r="T238" s="27"/>
      <x:c r="U238" s="27"/>
    </x:row>
    <x:row r="239">
      <x:c r="A239" s="27" t="str"/>
      <x:c r="B239" s="27" t="str"/>
      <x:c r="C239" s="27" t="str"/>
      <x:c r="D239" s="27" t="str"/>
      <x:c r="E239" s="27" t="str"/>
      <x:c r="F239" s="27" t="str"/>
      <x:c r="G239" s="27" t="str"/>
      <x:c r="H239" s="27" t="str"/>
      <x:c r="I239" s="27" t="str"/>
      <x:c r="J239" s="27" t="str"/>
      <x:c r="K239" s="27" t="str"/>
      <x:c r="L239" s="27" t="str"/>
      <x:c r="M239" s="27" t="str"/>
      <x:c r="N239" s="52" t="str">
        <x:f>IF(A239="","",ROUND(COUNTA(B239:M239)/12,2))</x:f>
      </x:c>
      <x:c r="O239" s="27" t="str">
        <x:f>IF(A239="","",IF(N239&gt;=0.85,"Готов к прототипу",IF(N239&gt;=0.6,"Требует доработки","Недостаточно данных")))</x:f>
      </x:c>
      <x:c r="P239" s="27"/>
      <x:c r="Q239" s="27"/>
      <x:c r="R239" s="27"/>
      <x:c r="S239" s="27"/>
      <x:c r="T239" s="27"/>
      <x:c r="U239" s="27"/>
    </x:row>
    <x:row r="240">
      <x:c r="A240" s="27" t="str"/>
      <x:c r="B240" s="27" t="str"/>
      <x:c r="C240" s="27" t="str"/>
      <x:c r="D240" s="27" t="str"/>
      <x:c r="E240" s="27" t="str"/>
      <x:c r="F240" s="27" t="str"/>
      <x:c r="G240" s="27" t="str"/>
      <x:c r="H240" s="27" t="str"/>
      <x:c r="I240" s="27" t="str"/>
      <x:c r="J240" s="27" t="str"/>
      <x:c r="K240" s="27" t="str"/>
      <x:c r="L240" s="27" t="str"/>
      <x:c r="M240" s="27" t="str"/>
      <x:c r="N240" s="52" t="str">
        <x:f>IF(A240="","",ROUND(COUNTA(B240:M240)/12,2))</x:f>
      </x:c>
      <x:c r="O240" s="27" t="str">
        <x:f>IF(A240="","",IF(N240&gt;=0.85,"Готов к прототипу",IF(N240&gt;=0.6,"Требует доработки","Недостаточно данных")))</x:f>
      </x:c>
      <x:c r="P240" s="27"/>
      <x:c r="Q240" s="27"/>
      <x:c r="R240" s="27"/>
      <x:c r="S240" s="27"/>
      <x:c r="T240" s="27"/>
      <x:c r="U240" s="27"/>
    </x:row>
    <x:row r="241">
      <x:c r="A241" s="27" t="str"/>
      <x:c r="B241" s="27" t="str"/>
      <x:c r="C241" s="27" t="str"/>
      <x:c r="D241" s="27" t="str"/>
      <x:c r="E241" s="27" t="str"/>
      <x:c r="F241" s="27" t="str"/>
      <x:c r="G241" s="27" t="str"/>
      <x:c r="H241" s="27" t="str"/>
      <x:c r="I241" s="27" t="str"/>
      <x:c r="J241" s="27" t="str"/>
      <x:c r="K241" s="27" t="str"/>
      <x:c r="L241" s="27" t="str"/>
      <x:c r="M241" s="27" t="str"/>
      <x:c r="N241" s="52" t="str">
        <x:f>IF(A241="","",ROUND(COUNTA(B241:M241)/12,2))</x:f>
      </x:c>
      <x:c r="O241" s="27" t="str">
        <x:f>IF(A241="","",IF(N241&gt;=0.85,"Готов к прототипу",IF(N241&gt;=0.6,"Требует доработки","Недостаточно данных")))</x:f>
      </x:c>
      <x:c r="P241" s="27"/>
      <x:c r="Q241" s="27"/>
      <x:c r="R241" s="27"/>
      <x:c r="S241" s="27"/>
      <x:c r="T241" s="27"/>
      <x:c r="U241" s="27"/>
    </x:row>
    <x:row r="242">
      <x:c r="A242" s="27" t="str"/>
      <x:c r="B242" s="27" t="str"/>
      <x:c r="C242" s="27" t="str"/>
      <x:c r="D242" s="27" t="str"/>
      <x:c r="E242" s="27" t="str"/>
      <x:c r="F242" s="27" t="str"/>
      <x:c r="G242" s="27" t="str"/>
      <x:c r="H242" s="27" t="str"/>
      <x:c r="I242" s="27" t="str"/>
      <x:c r="J242" s="27" t="str"/>
      <x:c r="K242" s="27" t="str"/>
      <x:c r="L242" s="27" t="str"/>
      <x:c r="M242" s="27" t="str"/>
      <x:c r="N242" s="52" t="str">
        <x:f>IF(A242="","",ROUND(COUNTA(B242:M242)/12,2))</x:f>
      </x:c>
      <x:c r="O242" s="27" t="str">
        <x:f>IF(A242="","",IF(N242&gt;=0.85,"Готов к прототипу",IF(N242&gt;=0.6,"Требует доработки","Недостаточно данных")))</x:f>
      </x:c>
      <x:c r="P242" s="27"/>
      <x:c r="Q242" s="27"/>
      <x:c r="R242" s="27"/>
      <x:c r="S242" s="27"/>
      <x:c r="T242" s="27"/>
      <x:c r="U242" s="27"/>
    </x:row>
    <x:row r="243">
      <x:c r="A243" s="27" t="str"/>
      <x:c r="B243" s="27" t="str"/>
      <x:c r="C243" s="27" t="str"/>
      <x:c r="D243" s="27" t="str"/>
      <x:c r="E243" s="27" t="str"/>
      <x:c r="F243" s="27" t="str"/>
      <x:c r="G243" s="27" t="str"/>
      <x:c r="H243" s="27" t="str"/>
      <x:c r="I243" s="27" t="str"/>
      <x:c r="J243" s="27" t="str"/>
      <x:c r="K243" s="27" t="str"/>
      <x:c r="L243" s="27" t="str"/>
      <x:c r="M243" s="27" t="str"/>
      <x:c r="N243" s="52" t="str">
        <x:f>IF(A243="","",ROUND(COUNTA(B243:M243)/12,2))</x:f>
      </x:c>
      <x:c r="O243" s="27" t="str">
        <x:f>IF(A243="","",IF(N243&gt;=0.85,"Готов к прототипу",IF(N243&gt;=0.6,"Требует доработки","Недостаточно данных")))</x:f>
      </x:c>
      <x:c r="P243" s="27"/>
      <x:c r="Q243" s="27"/>
      <x:c r="R243" s="27"/>
      <x:c r="S243" s="27"/>
      <x:c r="T243" s="27"/>
      <x:c r="U243" s="27"/>
    </x:row>
    <x:row r="244">
      <x:c r="A244" s="27" t="str"/>
      <x:c r="B244" s="27" t="str"/>
      <x:c r="C244" s="27" t="str"/>
      <x:c r="D244" s="27" t="str"/>
      <x:c r="E244" s="27" t="str"/>
      <x:c r="F244" s="27" t="str"/>
      <x:c r="G244" s="27" t="str"/>
      <x:c r="H244" s="27" t="str"/>
      <x:c r="I244" s="27" t="str"/>
      <x:c r="J244" s="27" t="str"/>
      <x:c r="K244" s="27" t="str"/>
      <x:c r="L244" s="27" t="str"/>
      <x:c r="M244" s="27" t="str"/>
      <x:c r="N244" s="52" t="str">
        <x:f>IF(A244="","",ROUND(COUNTA(B244:M244)/12,2))</x:f>
      </x:c>
      <x:c r="O244" s="27" t="str">
        <x:f>IF(A244="","",IF(N244&gt;=0.85,"Готов к прототипу",IF(N244&gt;=0.6,"Требует доработки","Недостаточно данных")))</x:f>
      </x:c>
      <x:c r="P244" s="27"/>
      <x:c r="Q244" s="27"/>
      <x:c r="R244" s="27"/>
      <x:c r="S244" s="27"/>
      <x:c r="T244" s="27"/>
      <x:c r="U244" s="27"/>
    </x:row>
    <x:row r="245">
      <x:c r="A245" s="27" t="str"/>
      <x:c r="B245" s="27" t="str"/>
      <x:c r="C245" s="27" t="str"/>
      <x:c r="D245" s="27" t="str"/>
      <x:c r="E245" s="27" t="str"/>
      <x:c r="F245" s="27" t="str"/>
      <x:c r="G245" s="27" t="str"/>
      <x:c r="H245" s="27" t="str"/>
      <x:c r="I245" s="27" t="str"/>
      <x:c r="J245" s="27" t="str"/>
      <x:c r="K245" s="27" t="str"/>
      <x:c r="L245" s="27" t="str"/>
      <x:c r="M245" s="27" t="str"/>
      <x:c r="N245" s="52" t="str">
        <x:f>IF(A245="","",ROUND(COUNTA(B245:M245)/12,2))</x:f>
      </x:c>
      <x:c r="O245" s="27" t="str">
        <x:f>IF(A245="","",IF(N245&gt;=0.85,"Готов к прототипу",IF(N245&gt;=0.6,"Требует доработки","Недостаточно данных")))</x:f>
      </x:c>
      <x:c r="P245" s="27"/>
      <x:c r="Q245" s="27"/>
      <x:c r="R245" s="27"/>
      <x:c r="S245" s="27"/>
      <x:c r="T245" s="27"/>
      <x:c r="U245" s="27"/>
    </x:row>
    <x:row r="246">
      <x:c r="A246" s="27" t="str"/>
      <x:c r="B246" s="27" t="str"/>
      <x:c r="C246" s="27" t="str"/>
      <x:c r="D246" s="27" t="str"/>
      <x:c r="E246" s="27" t="str"/>
      <x:c r="F246" s="27" t="str"/>
      <x:c r="G246" s="27" t="str"/>
      <x:c r="H246" s="27" t="str"/>
      <x:c r="I246" s="27" t="str"/>
      <x:c r="J246" s="27" t="str"/>
      <x:c r="K246" s="27" t="str"/>
      <x:c r="L246" s="27" t="str"/>
      <x:c r="M246" s="27" t="str"/>
      <x:c r="N246" s="52" t="str">
        <x:f>IF(A246="","",ROUND(COUNTA(B246:M246)/12,2))</x:f>
      </x:c>
      <x:c r="O246" s="27" t="str">
        <x:f>IF(A246="","",IF(N246&gt;=0.85,"Готов к прототипу",IF(N246&gt;=0.6,"Требует доработки","Недостаточно данных")))</x:f>
      </x:c>
      <x:c r="P246" s="27"/>
      <x:c r="Q246" s="27"/>
      <x:c r="R246" s="27"/>
      <x:c r="S246" s="27"/>
      <x:c r="T246" s="27"/>
      <x:c r="U246" s="27"/>
    </x:row>
    <x:row r="247">
      <x:c r="A247" s="27" t="str"/>
      <x:c r="B247" s="27" t="str"/>
      <x:c r="C247" s="27" t="str"/>
      <x:c r="D247" s="27" t="str"/>
      <x:c r="E247" s="27" t="str"/>
      <x:c r="F247" s="27" t="str"/>
      <x:c r="G247" s="27" t="str"/>
      <x:c r="H247" s="27" t="str"/>
      <x:c r="I247" s="27" t="str"/>
      <x:c r="J247" s="27" t="str"/>
      <x:c r="K247" s="27" t="str"/>
      <x:c r="L247" s="27" t="str"/>
      <x:c r="M247" s="27" t="str"/>
      <x:c r="N247" s="52" t="str">
        <x:f>IF(A247="","",ROUND(COUNTA(B247:M247)/12,2))</x:f>
      </x:c>
      <x:c r="O247" s="27" t="str">
        <x:f>IF(A247="","",IF(N247&gt;=0.85,"Готов к прототипу",IF(N247&gt;=0.6,"Требует доработки","Недостаточно данных")))</x:f>
      </x:c>
      <x:c r="P247" s="27"/>
      <x:c r="Q247" s="27"/>
      <x:c r="R247" s="27"/>
      <x:c r="S247" s="27"/>
      <x:c r="T247" s="27"/>
      <x:c r="U247" s="27"/>
    </x:row>
    <x:row r="248">
      <x:c r="A248" s="27" t="str"/>
      <x:c r="B248" s="27" t="str"/>
      <x:c r="C248" s="27" t="str"/>
      <x:c r="D248" s="27" t="str"/>
      <x:c r="E248" s="27" t="str"/>
      <x:c r="F248" s="27" t="str"/>
      <x:c r="G248" s="27" t="str"/>
      <x:c r="H248" s="27" t="str"/>
      <x:c r="I248" s="27" t="str"/>
      <x:c r="J248" s="27" t="str"/>
      <x:c r="K248" s="27" t="str"/>
      <x:c r="L248" s="27" t="str"/>
      <x:c r="M248" s="27" t="str"/>
      <x:c r="N248" s="52" t="str">
        <x:f>IF(A248="","",ROUND(COUNTA(B248:M248)/12,2))</x:f>
      </x:c>
      <x:c r="O248" s="27" t="str">
        <x:f>IF(A248="","",IF(N248&gt;=0.85,"Готов к прототипу",IF(N248&gt;=0.6,"Требует доработки","Недостаточно данных")))</x:f>
      </x:c>
      <x:c r="P248" s="27"/>
      <x:c r="Q248" s="27"/>
      <x:c r="R248" s="27"/>
      <x:c r="S248" s="27"/>
      <x:c r="T248" s="27"/>
      <x:c r="U248" s="27"/>
    </x:row>
    <x:row r="249">
      <x:c r="A249" s="27" t="str"/>
      <x:c r="B249" s="27" t="str"/>
      <x:c r="C249" s="27" t="str"/>
      <x:c r="D249" s="27" t="str"/>
      <x:c r="E249" s="27" t="str"/>
      <x:c r="F249" s="27" t="str"/>
      <x:c r="G249" s="27" t="str"/>
      <x:c r="H249" s="27" t="str"/>
      <x:c r="I249" s="27" t="str"/>
      <x:c r="J249" s="27" t="str"/>
      <x:c r="K249" s="27" t="str"/>
      <x:c r="L249" s="27" t="str"/>
      <x:c r="M249" s="27" t="str"/>
      <x:c r="N249" s="52" t="str">
        <x:f>IF(A249="","",ROUND(COUNTA(B249:M249)/12,2))</x:f>
      </x:c>
      <x:c r="O249" s="27" t="str">
        <x:f>IF(A249="","",IF(N249&gt;=0.85,"Готов к прототипу",IF(N249&gt;=0.6,"Требует доработки","Недостаточно данных")))</x:f>
      </x:c>
      <x:c r="P249" s="27"/>
      <x:c r="Q249" s="27"/>
      <x:c r="R249" s="27"/>
      <x:c r="S249" s="27"/>
      <x:c r="T249" s="27"/>
      <x:c r="U249" s="27"/>
    </x:row>
    <x:row r="250">
      <x:c r="A250" s="27" t="str"/>
      <x:c r="B250" s="27" t="str"/>
      <x:c r="C250" s="27" t="str"/>
      <x:c r="D250" s="27" t="str"/>
      <x:c r="E250" s="27" t="str"/>
      <x:c r="F250" s="27" t="str"/>
      <x:c r="G250" s="27" t="str"/>
      <x:c r="H250" s="27" t="str"/>
      <x:c r="I250" s="27" t="str"/>
      <x:c r="J250" s="27" t="str"/>
      <x:c r="K250" s="27" t="str"/>
      <x:c r="L250" s="27" t="str"/>
      <x:c r="M250" s="27" t="str"/>
      <x:c r="N250" s="52" t="str">
        <x:f>IF(A250="","",ROUND(COUNTA(B250:M250)/12,2))</x:f>
      </x:c>
      <x:c r="O250" s="27" t="str">
        <x:f>IF(A250="","",IF(N250&gt;=0.85,"Готов к прототипу",IF(N250&gt;=0.6,"Требует доработки","Недостаточно данных")))</x:f>
      </x:c>
      <x:c r="P250" s="27"/>
      <x:c r="Q250" s="27"/>
      <x:c r="R250" s="27"/>
      <x:c r="S250" s="27"/>
      <x:c r="T250" s="27"/>
      <x:c r="U250" s="27"/>
    </x:row>
    <x:row r="251">
      <x:c r="A251" s="27" t="str"/>
      <x:c r="B251" s="27" t="str"/>
      <x:c r="C251" s="27" t="str"/>
      <x:c r="D251" s="27" t="str"/>
      <x:c r="E251" s="27" t="str"/>
      <x:c r="F251" s="27" t="str"/>
      <x:c r="G251" s="27" t="str"/>
      <x:c r="H251" s="27" t="str"/>
      <x:c r="I251" s="27" t="str"/>
      <x:c r="J251" s="27" t="str"/>
      <x:c r="K251" s="27" t="str"/>
      <x:c r="L251" s="27" t="str"/>
      <x:c r="M251" s="27" t="str"/>
      <x:c r="N251" s="52" t="str">
        <x:f>IF(A251="","",ROUND(COUNTA(B251:M251)/12,2))</x:f>
      </x:c>
      <x:c r="O251" s="27" t="str">
        <x:f>IF(A251="","",IF(N251&gt;=0.85,"Готов к прототипу",IF(N251&gt;=0.6,"Требует доработки","Недостаточно данных")))</x:f>
      </x:c>
      <x:c r="P251" s="27"/>
      <x:c r="Q251" s="27"/>
      <x:c r="R251" s="27"/>
      <x:c r="S251" s="27"/>
      <x:c r="T251" s="27"/>
      <x:c r="U251" s="27"/>
    </x:row>
    <x:row r="252">
      <x:c r="A252" s="27" t="str"/>
      <x:c r="B252" s="27" t="str"/>
      <x:c r="C252" s="27" t="str"/>
      <x:c r="D252" s="27" t="str"/>
      <x:c r="E252" s="27" t="str"/>
      <x:c r="F252" s="27" t="str"/>
      <x:c r="G252" s="27" t="str"/>
      <x:c r="H252" s="27" t="str"/>
      <x:c r="I252" s="27" t="str"/>
      <x:c r="J252" s="27" t="str"/>
      <x:c r="K252" s="27" t="str"/>
      <x:c r="L252" s="27" t="str"/>
      <x:c r="M252" s="27" t="str"/>
      <x:c r="N252" s="52" t="str">
        <x:f>IF(A252="","",ROUND(COUNTA(B252:M252)/12,2))</x:f>
      </x:c>
      <x:c r="O252" s="27" t="str">
        <x:f>IF(A252="","",IF(N252&gt;=0.85,"Готов к прототипу",IF(N252&gt;=0.6,"Требует доработки","Недостаточно данных")))</x:f>
      </x:c>
      <x:c r="P252" s="27"/>
      <x:c r="Q252" s="27"/>
      <x:c r="R252" s="27"/>
      <x:c r="S252" s="27"/>
      <x:c r="T252" s="27"/>
      <x:c r="U252" s="27"/>
    </x:row>
    <x:row r="253">
      <x:c r="A253" s="27" t="str"/>
      <x:c r="B253" s="27" t="str"/>
      <x:c r="C253" s="27" t="str"/>
      <x:c r="D253" s="27" t="str"/>
      <x:c r="E253" s="27" t="str"/>
      <x:c r="F253" s="27" t="str"/>
      <x:c r="G253" s="27" t="str"/>
      <x:c r="H253" s="27" t="str"/>
      <x:c r="I253" s="27" t="str"/>
      <x:c r="J253" s="27" t="str"/>
      <x:c r="K253" s="27" t="str"/>
      <x:c r="L253" s="27" t="str"/>
      <x:c r="M253" s="27" t="str"/>
      <x:c r="N253" s="52" t="str">
        <x:f>IF(A253="","",ROUND(COUNTA(B253:M253)/12,2))</x:f>
      </x:c>
      <x:c r="O253" s="27" t="str">
        <x:f>IF(A253="","",IF(N253&gt;=0.85,"Готов к прототипу",IF(N253&gt;=0.6,"Требует доработки","Недостаточно данных")))</x:f>
      </x:c>
      <x:c r="P253" s="27"/>
      <x:c r="Q253" s="27"/>
      <x:c r="R253" s="27"/>
      <x:c r="S253" s="27"/>
      <x:c r="T253" s="27"/>
      <x:c r="U253" s="27"/>
    </x:row>
    <x:row r="254">
      <x:c r="A254" s="27" t="str"/>
      <x:c r="B254" s="27" t="str"/>
      <x:c r="C254" s="27" t="str"/>
      <x:c r="D254" s="27" t="str"/>
      <x:c r="E254" s="27" t="str"/>
      <x:c r="F254" s="27" t="str"/>
      <x:c r="G254" s="27" t="str"/>
      <x:c r="H254" s="27" t="str"/>
      <x:c r="I254" s="27" t="str"/>
      <x:c r="J254" s="27" t="str"/>
      <x:c r="K254" s="27" t="str"/>
      <x:c r="L254" s="27" t="str"/>
      <x:c r="M254" s="27" t="str"/>
      <x:c r="N254" s="52" t="str">
        <x:f>IF(A254="","",ROUND(COUNTA(B254:M254)/12,2))</x:f>
      </x:c>
      <x:c r="O254" s="27" t="str">
        <x:f>IF(A254="","",IF(N254&gt;=0.85,"Готов к прототипу",IF(N254&gt;=0.6,"Требует доработки","Недостаточно данных")))</x:f>
      </x:c>
      <x:c r="P254" s="27"/>
      <x:c r="Q254" s="27"/>
      <x:c r="R254" s="27"/>
      <x:c r="S254" s="27"/>
      <x:c r="T254" s="27"/>
      <x:c r="U254" s="27"/>
    </x:row>
    <x:row r="255">
      <x:c r="A255" s="27" t="str"/>
      <x:c r="B255" s="27" t="str"/>
      <x:c r="C255" s="27" t="str"/>
      <x:c r="D255" s="27" t="str"/>
      <x:c r="E255" s="27" t="str"/>
      <x:c r="F255" s="27" t="str"/>
      <x:c r="G255" s="27" t="str"/>
      <x:c r="H255" s="27" t="str"/>
      <x:c r="I255" s="27" t="str"/>
      <x:c r="J255" s="27" t="str"/>
      <x:c r="K255" s="27" t="str"/>
      <x:c r="L255" s="27" t="str"/>
      <x:c r="M255" s="27" t="str"/>
      <x:c r="N255" s="52" t="str">
        <x:f>IF(A255="","",ROUND(COUNTA(B255:M255)/12,2))</x:f>
      </x:c>
      <x:c r="O255" s="27" t="str">
        <x:f>IF(A255="","",IF(N255&gt;=0.85,"Готов к прототипу",IF(N255&gt;=0.6,"Требует доработки","Недостаточно данных")))</x:f>
      </x:c>
      <x:c r="P255" s="27"/>
      <x:c r="Q255" s="27"/>
      <x:c r="R255" s="27"/>
      <x:c r="S255" s="27"/>
      <x:c r="T255" s="27"/>
      <x:c r="U255" s="27"/>
    </x:row>
    <x:row r="256">
      <x:c r="A256" s="27" t="str"/>
      <x:c r="B256" s="27" t="str"/>
      <x:c r="C256" s="27" t="str"/>
      <x:c r="D256" s="27" t="str"/>
      <x:c r="E256" s="27" t="str"/>
      <x:c r="F256" s="27" t="str"/>
      <x:c r="G256" s="27" t="str"/>
      <x:c r="H256" s="27" t="str"/>
      <x:c r="I256" s="27" t="str"/>
      <x:c r="J256" s="27" t="str"/>
      <x:c r="K256" s="27" t="str"/>
      <x:c r="L256" s="27" t="str"/>
      <x:c r="M256" s="27" t="str"/>
      <x:c r="N256" s="52" t="str">
        <x:f>IF(A256="","",ROUND(COUNTA(B256:M256)/12,2))</x:f>
      </x:c>
      <x:c r="O256" s="27" t="str">
        <x:f>IF(A256="","",IF(N256&gt;=0.85,"Готов к прототипу",IF(N256&gt;=0.6,"Требует доработки","Недостаточно данных")))</x:f>
      </x:c>
      <x:c r="P256" s="27"/>
      <x:c r="Q256" s="27"/>
      <x:c r="R256" s="27"/>
      <x:c r="S256" s="27"/>
      <x:c r="T256" s="27"/>
      <x:c r="U256" s="27"/>
    </x:row>
    <x:row r="257">
      <x:c r="A257" s="27" t="str"/>
      <x:c r="B257" s="27" t="str"/>
      <x:c r="C257" s="27" t="str"/>
      <x:c r="D257" s="27" t="str"/>
      <x:c r="E257" s="27" t="str"/>
      <x:c r="F257" s="27" t="str"/>
      <x:c r="G257" s="27" t="str"/>
      <x:c r="H257" s="27" t="str"/>
      <x:c r="I257" s="27" t="str"/>
      <x:c r="J257" s="27" t="str"/>
      <x:c r="K257" s="27" t="str"/>
      <x:c r="L257" s="27" t="str"/>
      <x:c r="M257" s="27" t="str"/>
      <x:c r="N257" s="52" t="str">
        <x:f>IF(A257="","",ROUND(COUNTA(B257:M257)/12,2))</x:f>
      </x:c>
      <x:c r="O257" s="27" t="str">
        <x:f>IF(A257="","",IF(N257&gt;=0.85,"Готов к прототипу",IF(N257&gt;=0.6,"Требует доработки","Недостаточно данных")))</x:f>
      </x:c>
      <x:c r="P257" s="27"/>
      <x:c r="Q257" s="27"/>
      <x:c r="R257" s="27"/>
      <x:c r="S257" s="27"/>
      <x:c r="T257" s="27"/>
      <x:c r="U257" s="27"/>
    </x:row>
    <x:row r="258">
      <x:c r="A258" s="27" t="str"/>
      <x:c r="B258" s="27" t="str"/>
      <x:c r="C258" s="27" t="str"/>
      <x:c r="D258" s="27" t="str"/>
      <x:c r="E258" s="27" t="str"/>
      <x:c r="F258" s="27" t="str"/>
      <x:c r="G258" s="27" t="str"/>
      <x:c r="H258" s="27" t="str"/>
      <x:c r="I258" s="27" t="str"/>
      <x:c r="J258" s="27" t="str"/>
      <x:c r="K258" s="27" t="str"/>
      <x:c r="L258" s="27" t="str"/>
      <x:c r="M258" s="27" t="str"/>
      <x:c r="N258" s="52" t="str">
        <x:f>IF(A258="","",ROUND(COUNTA(B258:M258)/12,2))</x:f>
      </x:c>
      <x:c r="O258" s="27" t="str">
        <x:f>IF(A258="","",IF(N258&gt;=0.85,"Готов к прототипу",IF(N258&gt;=0.6,"Требует доработки","Недостаточно данных")))</x:f>
      </x:c>
      <x:c r="P258" s="27"/>
      <x:c r="Q258" s="27"/>
      <x:c r="R258" s="27"/>
      <x:c r="S258" s="27"/>
      <x:c r="T258" s="27"/>
      <x:c r="U258" s="27"/>
    </x:row>
    <x:row r="259">
      <x:c r="A259" s="27" t="str"/>
      <x:c r="B259" s="27" t="str"/>
      <x:c r="C259" s="27" t="str"/>
      <x:c r="D259" s="27" t="str"/>
      <x:c r="E259" s="27" t="str"/>
      <x:c r="F259" s="27" t="str"/>
      <x:c r="G259" s="27" t="str"/>
      <x:c r="H259" s="27" t="str"/>
      <x:c r="I259" s="27" t="str"/>
      <x:c r="J259" s="27" t="str"/>
      <x:c r="K259" s="27" t="str"/>
      <x:c r="L259" s="27" t="str"/>
      <x:c r="M259" s="27" t="str"/>
      <x:c r="N259" s="52" t="str">
        <x:f>IF(A259="","",ROUND(COUNTA(B259:M259)/12,2))</x:f>
      </x:c>
      <x:c r="O259" s="27" t="str">
        <x:f>IF(A259="","",IF(N259&gt;=0.85,"Готов к прототипу",IF(N259&gt;=0.6,"Требует доработки","Недостаточно данных")))</x:f>
      </x:c>
      <x:c r="P259" s="27"/>
      <x:c r="Q259" s="27"/>
      <x:c r="R259" s="27"/>
      <x:c r="S259" s="27"/>
      <x:c r="T259" s="27"/>
      <x:c r="U259" s="27"/>
    </x:row>
    <x:row r="260">
      <x:c r="A260" s="27" t="str"/>
      <x:c r="B260" s="27" t="str"/>
      <x:c r="C260" s="27" t="str"/>
      <x:c r="D260" s="27" t="str"/>
      <x:c r="E260" s="27" t="str"/>
      <x:c r="F260" s="27" t="str"/>
      <x:c r="G260" s="27" t="str"/>
      <x:c r="H260" s="27" t="str"/>
      <x:c r="I260" s="27" t="str"/>
      <x:c r="J260" s="27" t="str"/>
      <x:c r="K260" s="27" t="str"/>
      <x:c r="L260" s="27" t="str"/>
      <x:c r="M260" s="27" t="str"/>
      <x:c r="N260" s="52" t="str">
        <x:f>IF(A260="","",ROUND(COUNTA(B260:M260)/12,2))</x:f>
      </x:c>
      <x:c r="O260" s="27" t="str">
        <x:f>IF(A260="","",IF(N260&gt;=0.85,"Готов к прототипу",IF(N260&gt;=0.6,"Требует доработки","Недостаточно данных")))</x:f>
      </x:c>
      <x:c r="P260" s="27"/>
      <x:c r="Q260" s="27"/>
      <x:c r="R260" s="27"/>
      <x:c r="S260" s="27"/>
      <x:c r="T260" s="27"/>
      <x:c r="U260" s="27"/>
    </x:row>
    <x:row r="261">
      <x:c r="A261" s="27" t="str"/>
      <x:c r="B261" s="27" t="str"/>
      <x:c r="C261" s="27" t="str"/>
      <x:c r="D261" s="27" t="str"/>
      <x:c r="E261" s="27" t="str"/>
      <x:c r="F261" s="27" t="str"/>
      <x:c r="G261" s="27" t="str"/>
      <x:c r="H261" s="27" t="str"/>
      <x:c r="I261" s="27" t="str"/>
      <x:c r="J261" s="27" t="str"/>
      <x:c r="K261" s="27" t="str"/>
      <x:c r="L261" s="27" t="str"/>
      <x:c r="M261" s="27" t="str"/>
      <x:c r="N261" s="52" t="str">
        <x:f>IF(A261="","",ROUND(COUNTA(B261:M261)/12,2))</x:f>
      </x:c>
      <x:c r="O261" s="27" t="str">
        <x:f>IF(A261="","",IF(N261&gt;=0.85,"Готов к прототипу",IF(N261&gt;=0.6,"Требует доработки","Недостаточно данных")))</x:f>
      </x:c>
      <x:c r="P261" s="27"/>
      <x:c r="Q261" s="27"/>
      <x:c r="R261" s="27"/>
      <x:c r="S261" s="27"/>
      <x:c r="T261" s="27"/>
      <x:c r="U261" s="27"/>
    </x:row>
    <x:row r="262">
      <x:c r="A262" s="27" t="str"/>
      <x:c r="B262" s="27" t="str"/>
      <x:c r="C262" s="27" t="str"/>
      <x:c r="D262" s="27" t="str"/>
      <x:c r="E262" s="27" t="str"/>
      <x:c r="F262" s="27" t="str"/>
      <x:c r="G262" s="27" t="str"/>
      <x:c r="H262" s="27" t="str"/>
      <x:c r="I262" s="27" t="str"/>
      <x:c r="J262" s="27" t="str"/>
      <x:c r="K262" s="27" t="str"/>
      <x:c r="L262" s="27" t="str"/>
      <x:c r="M262" s="27" t="str"/>
      <x:c r="N262" s="52" t="str">
        <x:f>IF(A262="","",ROUND(COUNTA(B262:M262)/12,2))</x:f>
      </x:c>
      <x:c r="O262" s="27" t="str">
        <x:f>IF(A262="","",IF(N262&gt;=0.85,"Готов к прототипу",IF(N262&gt;=0.6,"Требует доработки","Недостаточно данных")))</x:f>
      </x:c>
      <x:c r="P262" s="27"/>
      <x:c r="Q262" s="27"/>
      <x:c r="R262" s="27"/>
      <x:c r="S262" s="27"/>
      <x:c r="T262" s="27"/>
      <x:c r="U262" s="27"/>
    </x:row>
    <x:row r="263">
      <x:c r="A263" s="27" t="str"/>
      <x:c r="B263" s="27" t="str"/>
      <x:c r="C263" s="27" t="str"/>
      <x:c r="D263" s="27" t="str"/>
      <x:c r="E263" s="27" t="str"/>
      <x:c r="F263" s="27" t="str"/>
      <x:c r="G263" s="27" t="str"/>
      <x:c r="H263" s="27" t="str"/>
      <x:c r="I263" s="27" t="str"/>
      <x:c r="J263" s="27" t="str"/>
      <x:c r="K263" s="27" t="str"/>
      <x:c r="L263" s="27" t="str"/>
      <x:c r="M263" s="27" t="str"/>
      <x:c r="N263" s="52" t="str">
        <x:f>IF(A263="","",ROUND(COUNTA(B263:M263)/12,2))</x:f>
      </x:c>
      <x:c r="O263" s="27" t="str">
        <x:f>IF(A263="","",IF(N263&gt;=0.85,"Готов к прототипу",IF(N263&gt;=0.6,"Требует доработки","Недостаточно данных")))</x:f>
      </x:c>
      <x:c r="P263" s="27"/>
      <x:c r="Q263" s="27"/>
      <x:c r="R263" s="27"/>
      <x:c r="S263" s="27"/>
      <x:c r="T263" s="27"/>
      <x:c r="U263" s="27"/>
    </x:row>
    <x:row r="264">
      <x:c r="A264" s="27" t="str"/>
      <x:c r="B264" s="27" t="str"/>
      <x:c r="C264" s="27" t="str"/>
      <x:c r="D264" s="27" t="str"/>
      <x:c r="E264" s="27" t="str"/>
      <x:c r="F264" s="27" t="str"/>
      <x:c r="G264" s="27" t="str"/>
      <x:c r="H264" s="27" t="str"/>
      <x:c r="I264" s="27" t="str"/>
      <x:c r="J264" s="27" t="str"/>
      <x:c r="K264" s="27" t="str"/>
      <x:c r="L264" s="27" t="str"/>
      <x:c r="M264" s="27" t="str"/>
      <x:c r="N264" s="52" t="str">
        <x:f>IF(A264="","",ROUND(COUNTA(B264:M264)/12,2))</x:f>
      </x:c>
      <x:c r="O264" s="27" t="str">
        <x:f>IF(A264="","",IF(N264&gt;=0.85,"Готов к прототипу",IF(N264&gt;=0.6,"Требует доработки","Недостаточно данных")))</x:f>
      </x:c>
      <x:c r="P264" s="27"/>
      <x:c r="Q264" s="27"/>
      <x:c r="R264" s="27"/>
      <x:c r="S264" s="27"/>
      <x:c r="T264" s="27"/>
      <x:c r="U264" s="27"/>
    </x:row>
    <x:row r="265">
      <x:c r="A265" s="27" t="str"/>
      <x:c r="B265" s="27" t="str"/>
      <x:c r="C265" s="27" t="str"/>
      <x:c r="D265" s="27" t="str"/>
      <x:c r="E265" s="27" t="str"/>
      <x:c r="F265" s="27" t="str"/>
      <x:c r="G265" s="27" t="str"/>
      <x:c r="H265" s="27" t="str"/>
      <x:c r="I265" s="27" t="str"/>
      <x:c r="J265" s="27" t="str"/>
      <x:c r="K265" s="27" t="str"/>
      <x:c r="L265" s="27" t="str"/>
      <x:c r="M265" s="27" t="str"/>
      <x:c r="N265" s="52" t="str">
        <x:f>IF(A265="","",ROUND(COUNTA(B265:M265)/12,2))</x:f>
      </x:c>
      <x:c r="O265" s="27" t="str">
        <x:f>IF(A265="","",IF(N265&gt;=0.85,"Готов к прототипу",IF(N265&gt;=0.6,"Требует доработки","Недостаточно данных")))</x:f>
      </x:c>
      <x:c r="P265" s="27"/>
      <x:c r="Q265" s="27"/>
      <x:c r="R265" s="27"/>
      <x:c r="S265" s="27"/>
      <x:c r="T265" s="27"/>
      <x:c r="U265" s="27"/>
    </x:row>
    <x:row r="266">
      <x:c r="A266" s="27" t="str"/>
      <x:c r="B266" s="27" t="str"/>
      <x:c r="C266" s="27" t="str"/>
      <x:c r="D266" s="27" t="str"/>
      <x:c r="E266" s="27" t="str"/>
      <x:c r="F266" s="27" t="str"/>
      <x:c r="G266" s="27" t="str"/>
      <x:c r="H266" s="27" t="str"/>
      <x:c r="I266" s="27" t="str"/>
      <x:c r="J266" s="27" t="str"/>
      <x:c r="K266" s="27" t="str"/>
      <x:c r="L266" s="27" t="str"/>
      <x:c r="M266" s="27" t="str"/>
      <x:c r="N266" s="52" t="str">
        <x:f>IF(A266="","",ROUND(COUNTA(B266:M266)/12,2))</x:f>
      </x:c>
      <x:c r="O266" s="27" t="str">
        <x:f>IF(A266="","",IF(N266&gt;=0.85,"Готов к прототипу",IF(N266&gt;=0.6,"Требует доработки","Недостаточно данных")))</x:f>
      </x:c>
      <x:c r="P266" s="27"/>
      <x:c r="Q266" s="27"/>
      <x:c r="R266" s="27"/>
      <x:c r="S266" s="27"/>
      <x:c r="T266" s="27"/>
      <x:c r="U266" s="27"/>
    </x:row>
    <x:row r="267">
      <x:c r="A267" s="27" t="str"/>
      <x:c r="B267" s="27" t="str"/>
      <x:c r="C267" s="27" t="str"/>
      <x:c r="D267" s="27" t="str"/>
      <x:c r="E267" s="27" t="str"/>
      <x:c r="F267" s="27" t="str"/>
      <x:c r="G267" s="27" t="str"/>
      <x:c r="H267" s="27" t="str"/>
      <x:c r="I267" s="27" t="str"/>
      <x:c r="J267" s="27" t="str"/>
      <x:c r="K267" s="27" t="str"/>
      <x:c r="L267" s="27" t="str"/>
      <x:c r="M267" s="27" t="str"/>
      <x:c r="N267" s="52" t="str">
        <x:f>IF(A267="","",ROUND(COUNTA(B267:M267)/12,2))</x:f>
      </x:c>
      <x:c r="O267" s="27" t="str">
        <x:f>IF(A267="","",IF(N267&gt;=0.85,"Готов к прототипу",IF(N267&gt;=0.6,"Требует доработки","Недостаточно данных")))</x:f>
      </x:c>
      <x:c r="P267" s="27"/>
      <x:c r="Q267" s="27"/>
      <x:c r="R267" s="27"/>
      <x:c r="S267" s="27"/>
      <x:c r="T267" s="27"/>
      <x:c r="U267" s="27"/>
    </x:row>
    <x:row r="268">
      <x:c r="A268" s="27" t="str"/>
      <x:c r="B268" s="27" t="str"/>
      <x:c r="C268" s="27" t="str"/>
      <x:c r="D268" s="27" t="str"/>
      <x:c r="E268" s="27" t="str"/>
      <x:c r="F268" s="27" t="str"/>
      <x:c r="G268" s="27" t="str"/>
      <x:c r="H268" s="27" t="str"/>
      <x:c r="I268" s="27" t="str"/>
      <x:c r="J268" s="27" t="str"/>
      <x:c r="K268" s="27" t="str"/>
      <x:c r="L268" s="27" t="str"/>
      <x:c r="M268" s="27" t="str"/>
      <x:c r="N268" s="52" t="str">
        <x:f>IF(A268="","",ROUND(COUNTA(B268:M268)/12,2))</x:f>
      </x:c>
      <x:c r="O268" s="27" t="str">
        <x:f>IF(A268="","",IF(N268&gt;=0.85,"Готов к прототипу",IF(N268&gt;=0.6,"Требует доработки","Недостаточно данных")))</x:f>
      </x:c>
      <x:c r="P268" s="27"/>
      <x:c r="Q268" s="27"/>
      <x:c r="R268" s="27"/>
      <x:c r="S268" s="27"/>
      <x:c r="T268" s="27"/>
      <x:c r="U268" s="27"/>
    </x:row>
    <x:row r="269">
      <x:c r="A269" s="27" t="str"/>
      <x:c r="B269" s="27" t="str"/>
      <x:c r="C269" s="27" t="str"/>
      <x:c r="D269" s="27" t="str"/>
      <x:c r="E269" s="27" t="str"/>
      <x:c r="F269" s="27" t="str"/>
      <x:c r="G269" s="27" t="str"/>
      <x:c r="H269" s="27" t="str"/>
      <x:c r="I269" s="27" t="str"/>
      <x:c r="J269" s="27" t="str"/>
      <x:c r="K269" s="27" t="str"/>
      <x:c r="L269" s="27" t="str"/>
      <x:c r="M269" s="27" t="str"/>
      <x:c r="N269" s="52" t="str">
        <x:f>IF(A269="","",ROUND(COUNTA(B269:M269)/12,2))</x:f>
      </x:c>
      <x:c r="O269" s="27" t="str">
        <x:f>IF(A269="","",IF(N269&gt;=0.85,"Готов к прототипу",IF(N269&gt;=0.6,"Требует доработки","Недостаточно данных")))</x:f>
      </x:c>
      <x:c r="P269" s="27"/>
      <x:c r="Q269" s="27"/>
      <x:c r="R269" s="27"/>
      <x:c r="S269" s="27"/>
      <x:c r="T269" s="27"/>
      <x:c r="U269" s="27"/>
    </x:row>
    <x:row r="270">
      <x:c r="A270" s="27" t="str"/>
      <x:c r="B270" s="27" t="str"/>
      <x:c r="C270" s="27" t="str"/>
      <x:c r="D270" s="27" t="str"/>
      <x:c r="E270" s="27" t="str"/>
      <x:c r="F270" s="27" t="str"/>
      <x:c r="G270" s="27" t="str"/>
      <x:c r="H270" s="27" t="str"/>
      <x:c r="I270" s="27" t="str"/>
      <x:c r="J270" s="27" t="str"/>
      <x:c r="K270" s="27" t="str"/>
      <x:c r="L270" s="27" t="str"/>
      <x:c r="M270" s="27" t="str"/>
      <x:c r="N270" s="52" t="str">
        <x:f>IF(A270="","",ROUND(COUNTA(B270:M270)/12,2))</x:f>
      </x:c>
      <x:c r="O270" s="27" t="str">
        <x:f>IF(A270="","",IF(N270&gt;=0.85,"Готов к прототипу",IF(N270&gt;=0.6,"Требует доработки","Недостаточно данных")))</x:f>
      </x:c>
      <x:c r="P270" s="27"/>
      <x:c r="Q270" s="27"/>
      <x:c r="R270" s="27"/>
      <x:c r="S270" s="27"/>
      <x:c r="T270" s="27"/>
      <x:c r="U270" s="27"/>
    </x:row>
    <x:row r="271">
      <x:c r="A271" s="27" t="str"/>
      <x:c r="B271" s="27" t="str"/>
      <x:c r="C271" s="27" t="str"/>
      <x:c r="D271" s="27" t="str"/>
      <x:c r="E271" s="27" t="str"/>
      <x:c r="F271" s="27" t="str"/>
      <x:c r="G271" s="27" t="str"/>
      <x:c r="H271" s="27" t="str"/>
      <x:c r="I271" s="27" t="str"/>
      <x:c r="J271" s="27" t="str"/>
      <x:c r="K271" s="27" t="str"/>
      <x:c r="L271" s="27" t="str"/>
      <x:c r="M271" s="27" t="str"/>
      <x:c r="N271" s="52" t="str">
        <x:f>IF(A271="","",ROUND(COUNTA(B271:M271)/12,2))</x:f>
      </x:c>
      <x:c r="O271" s="27" t="str">
        <x:f>IF(A271="","",IF(N271&gt;=0.85,"Готов к прототипу",IF(N271&gt;=0.6,"Требует доработки","Недостаточно данных")))</x:f>
      </x:c>
      <x:c r="P271" s="27"/>
      <x:c r="Q271" s="27"/>
      <x:c r="R271" s="27"/>
      <x:c r="S271" s="27"/>
      <x:c r="T271" s="27"/>
      <x:c r="U271" s="27"/>
    </x:row>
    <x:row r="272">
      <x:c r="A272" s="27" t="str"/>
      <x:c r="B272" s="27" t="str"/>
      <x:c r="C272" s="27" t="str"/>
      <x:c r="D272" s="27" t="str"/>
      <x:c r="E272" s="27" t="str"/>
      <x:c r="F272" s="27" t="str"/>
      <x:c r="G272" s="27" t="str"/>
      <x:c r="H272" s="27" t="str"/>
      <x:c r="I272" s="27" t="str"/>
      <x:c r="J272" s="27" t="str"/>
      <x:c r="K272" s="27" t="str"/>
      <x:c r="L272" s="27" t="str"/>
      <x:c r="M272" s="27" t="str"/>
      <x:c r="N272" s="52" t="str">
        <x:f>IF(A272="","",ROUND(COUNTA(B272:M272)/12,2))</x:f>
      </x:c>
      <x:c r="O272" s="27" t="str">
        <x:f>IF(A272="","",IF(N272&gt;=0.85,"Готов к прототипу",IF(N272&gt;=0.6,"Требует доработки","Недостаточно данных")))</x:f>
      </x:c>
      <x:c r="P272" s="27"/>
      <x:c r="Q272" s="27"/>
      <x:c r="R272" s="27"/>
      <x:c r="S272" s="27"/>
      <x:c r="T272" s="27"/>
      <x:c r="U272" s="27"/>
    </x:row>
    <x:row r="273">
      <x:c r="A273" s="27" t="str"/>
      <x:c r="B273" s="27" t="str"/>
      <x:c r="C273" s="27" t="str"/>
      <x:c r="D273" s="27" t="str"/>
      <x:c r="E273" s="27" t="str"/>
      <x:c r="F273" s="27" t="str"/>
      <x:c r="G273" s="27" t="str"/>
      <x:c r="H273" s="27" t="str"/>
      <x:c r="I273" s="27" t="str"/>
      <x:c r="J273" s="27" t="str"/>
      <x:c r="K273" s="27" t="str"/>
      <x:c r="L273" s="27" t="str"/>
      <x:c r="M273" s="27" t="str"/>
      <x:c r="N273" s="52" t="str">
        <x:f>IF(A273="","",ROUND(COUNTA(B273:M273)/12,2))</x:f>
      </x:c>
      <x:c r="O273" s="27" t="str">
        <x:f>IF(A273="","",IF(N273&gt;=0.85,"Готов к прототипу",IF(N273&gt;=0.6,"Требует доработки","Недостаточно данных")))</x:f>
      </x:c>
      <x:c r="P273" s="27"/>
      <x:c r="Q273" s="27"/>
      <x:c r="R273" s="27"/>
      <x:c r="S273" s="27"/>
      <x:c r="T273" s="27"/>
      <x:c r="U273" s="27"/>
    </x:row>
    <x:row r="274">
      <x:c r="A274" s="27" t="str"/>
      <x:c r="B274" s="27" t="str"/>
      <x:c r="C274" s="27" t="str"/>
      <x:c r="D274" s="27" t="str"/>
      <x:c r="E274" s="27" t="str"/>
      <x:c r="F274" s="27" t="str"/>
      <x:c r="G274" s="27" t="str"/>
      <x:c r="H274" s="27" t="str"/>
      <x:c r="I274" s="27" t="str"/>
      <x:c r="J274" s="27" t="str"/>
      <x:c r="K274" s="27" t="str"/>
      <x:c r="L274" s="27" t="str"/>
      <x:c r="M274" s="27" t="str"/>
      <x:c r="N274" s="52" t="str">
        <x:f>IF(A274="","",ROUND(COUNTA(B274:M274)/12,2))</x:f>
      </x:c>
      <x:c r="O274" s="27" t="str">
        <x:f>IF(A274="","",IF(N274&gt;=0.85,"Готов к прототипу",IF(N274&gt;=0.6,"Требует доработки","Недостаточно данных")))</x:f>
      </x:c>
      <x:c r="P274" s="27"/>
      <x:c r="Q274" s="27"/>
      <x:c r="R274" s="27"/>
      <x:c r="S274" s="27"/>
      <x:c r="T274" s="27"/>
      <x:c r="U274" s="27"/>
    </x:row>
    <x:row r="275">
      <x:c r="A275" s="27" t="str"/>
      <x:c r="B275" s="27" t="str"/>
      <x:c r="C275" s="27" t="str"/>
      <x:c r="D275" s="27" t="str"/>
      <x:c r="E275" s="27" t="str"/>
      <x:c r="F275" s="27" t="str"/>
      <x:c r="G275" s="27" t="str"/>
      <x:c r="H275" s="27" t="str"/>
      <x:c r="I275" s="27" t="str"/>
      <x:c r="J275" s="27" t="str"/>
      <x:c r="K275" s="27" t="str"/>
      <x:c r="L275" s="27" t="str"/>
      <x:c r="M275" s="27" t="str"/>
      <x:c r="N275" s="52" t="str">
        <x:f>IF(A275="","",ROUND(COUNTA(B275:M275)/12,2))</x:f>
      </x:c>
      <x:c r="O275" s="27" t="str">
        <x:f>IF(A275="","",IF(N275&gt;=0.85,"Готов к прототипу",IF(N275&gt;=0.6,"Требует доработки","Недостаточно данных")))</x:f>
      </x:c>
      <x:c r="P275" s="27"/>
      <x:c r="Q275" s="27"/>
      <x:c r="R275" s="27"/>
      <x:c r="S275" s="27"/>
      <x:c r="T275" s="27"/>
      <x:c r="U275" s="27"/>
    </x:row>
    <x:row r="276">
      <x:c r="A276" s="27" t="str"/>
      <x:c r="B276" s="27" t="str"/>
      <x:c r="C276" s="27" t="str"/>
      <x:c r="D276" s="27" t="str"/>
      <x:c r="E276" s="27" t="str"/>
      <x:c r="F276" s="27" t="str"/>
      <x:c r="G276" s="27" t="str"/>
      <x:c r="H276" s="27" t="str"/>
      <x:c r="I276" s="27" t="str"/>
      <x:c r="J276" s="27" t="str"/>
      <x:c r="K276" s="27" t="str"/>
      <x:c r="L276" s="27" t="str"/>
      <x:c r="M276" s="27" t="str"/>
      <x:c r="N276" s="52" t="str">
        <x:f>IF(A276="","",ROUND(COUNTA(B276:M276)/12,2))</x:f>
      </x:c>
      <x:c r="O276" s="27" t="str">
        <x:f>IF(A276="","",IF(N276&gt;=0.85,"Готов к прототипу",IF(N276&gt;=0.6,"Требует доработки","Недостаточно данных")))</x:f>
      </x:c>
      <x:c r="P276" s="27"/>
      <x:c r="Q276" s="27"/>
      <x:c r="R276" s="27"/>
      <x:c r="S276" s="27"/>
      <x:c r="T276" s="27"/>
      <x:c r="U276" s="27"/>
    </x:row>
    <x:row r="277">
      <x:c r="A277" s="27" t="str"/>
      <x:c r="B277" s="27" t="str"/>
      <x:c r="C277" s="27" t="str"/>
      <x:c r="D277" s="27" t="str"/>
      <x:c r="E277" s="27" t="str"/>
      <x:c r="F277" s="27" t="str"/>
      <x:c r="G277" s="27" t="str"/>
      <x:c r="H277" s="27" t="str"/>
      <x:c r="I277" s="27" t="str"/>
      <x:c r="J277" s="27" t="str"/>
      <x:c r="K277" s="27" t="str"/>
      <x:c r="L277" s="27" t="str"/>
      <x:c r="M277" s="27" t="str"/>
      <x:c r="N277" s="52" t="str">
        <x:f>IF(A277="","",ROUND(COUNTA(B277:M277)/12,2))</x:f>
      </x:c>
      <x:c r="O277" s="27" t="str">
        <x:f>IF(A277="","",IF(N277&gt;=0.85,"Готов к прототипу",IF(N277&gt;=0.6,"Требует доработки","Недостаточно данных")))</x:f>
      </x:c>
      <x:c r="P277" s="27"/>
      <x:c r="Q277" s="27"/>
      <x:c r="R277" s="27"/>
      <x:c r="S277" s="27"/>
      <x:c r="T277" s="27"/>
      <x:c r="U277" s="27"/>
    </x:row>
    <x:row r="278">
      <x:c r="A278" s="27" t="str"/>
      <x:c r="B278" s="27" t="str"/>
      <x:c r="C278" s="27" t="str"/>
      <x:c r="D278" s="27" t="str"/>
      <x:c r="E278" s="27" t="str"/>
      <x:c r="F278" s="27" t="str"/>
      <x:c r="G278" s="27" t="str"/>
      <x:c r="H278" s="27" t="str"/>
      <x:c r="I278" s="27" t="str"/>
      <x:c r="J278" s="27" t="str"/>
      <x:c r="K278" s="27" t="str"/>
      <x:c r="L278" s="27" t="str"/>
      <x:c r="M278" s="27" t="str"/>
      <x:c r="N278" s="52" t="str">
        <x:f>IF(A278="","",ROUND(COUNTA(B278:M278)/12,2))</x:f>
      </x:c>
      <x:c r="O278" s="27" t="str">
        <x:f>IF(A278="","",IF(N278&gt;=0.85,"Готов к прототипу",IF(N278&gt;=0.6,"Требует доработки","Недостаточно данных")))</x:f>
      </x:c>
      <x:c r="P278" s="27"/>
      <x:c r="Q278" s="27"/>
      <x:c r="R278" s="27"/>
      <x:c r="S278" s="27"/>
      <x:c r="T278" s="27"/>
      <x:c r="U278" s="27"/>
    </x:row>
    <x:row r="279">
      <x:c r="A279" s="27" t="str"/>
      <x:c r="B279" s="27" t="str"/>
      <x:c r="C279" s="27" t="str"/>
      <x:c r="D279" s="27" t="str"/>
      <x:c r="E279" s="27" t="str"/>
      <x:c r="F279" s="27" t="str"/>
      <x:c r="G279" s="27" t="str"/>
      <x:c r="H279" s="27" t="str"/>
      <x:c r="I279" s="27" t="str"/>
      <x:c r="J279" s="27" t="str"/>
      <x:c r="K279" s="27" t="str"/>
      <x:c r="L279" s="27" t="str"/>
      <x:c r="M279" s="27" t="str"/>
      <x:c r="N279" s="52" t="str">
        <x:f>IF(A279="","",ROUND(COUNTA(B279:M279)/12,2))</x:f>
      </x:c>
      <x:c r="O279" s="27" t="str">
        <x:f>IF(A279="","",IF(N279&gt;=0.85,"Готов к прототипу",IF(N279&gt;=0.6,"Требует доработки","Недостаточно данных")))</x:f>
      </x:c>
      <x:c r="P279" s="27"/>
      <x:c r="Q279" s="27"/>
      <x:c r="R279" s="27"/>
      <x:c r="S279" s="27"/>
      <x:c r="T279" s="27"/>
      <x:c r="U279" s="27"/>
    </x:row>
    <x:row r="280">
      <x:c r="A280" s="27" t="str"/>
      <x:c r="B280" s="27" t="str"/>
      <x:c r="C280" s="27" t="str"/>
      <x:c r="D280" s="27" t="str"/>
      <x:c r="E280" s="27" t="str"/>
      <x:c r="F280" s="27" t="str"/>
      <x:c r="G280" s="27" t="str"/>
      <x:c r="H280" s="27" t="str"/>
      <x:c r="I280" s="27" t="str"/>
      <x:c r="J280" s="27" t="str"/>
      <x:c r="K280" s="27" t="str"/>
      <x:c r="L280" s="27" t="str"/>
      <x:c r="M280" s="27" t="str"/>
      <x:c r="N280" s="52" t="str">
        <x:f>IF(A280="","",ROUND(COUNTA(B280:M280)/12,2))</x:f>
      </x:c>
      <x:c r="O280" s="27" t="str">
        <x:f>IF(A280="","",IF(N280&gt;=0.85,"Готов к прототипу",IF(N280&gt;=0.6,"Требует доработки","Недостаточно данных")))</x:f>
      </x:c>
      <x:c r="P280" s="27"/>
      <x:c r="Q280" s="27"/>
      <x:c r="R280" s="27"/>
      <x:c r="S280" s="27"/>
      <x:c r="T280" s="27"/>
      <x:c r="U280" s="27"/>
    </x:row>
    <x:row r="281">
      <x:c r="A281" s="27" t="str"/>
      <x:c r="B281" s="27" t="str"/>
      <x:c r="C281" s="27" t="str"/>
      <x:c r="D281" s="27" t="str"/>
      <x:c r="E281" s="27" t="str"/>
      <x:c r="F281" s="27" t="str"/>
      <x:c r="G281" s="27" t="str"/>
      <x:c r="H281" s="27" t="str"/>
      <x:c r="I281" s="27" t="str"/>
      <x:c r="J281" s="27" t="str"/>
      <x:c r="K281" s="27" t="str"/>
      <x:c r="L281" s="27" t="str"/>
      <x:c r="M281" s="27" t="str"/>
      <x:c r="N281" s="52" t="str">
        <x:f>IF(A281="","",ROUND(COUNTA(B281:M281)/12,2))</x:f>
      </x:c>
      <x:c r="O281" s="27" t="str">
        <x:f>IF(A281="","",IF(N281&gt;=0.85,"Готов к прототипу",IF(N281&gt;=0.6,"Требует доработки","Недостаточно данных")))</x:f>
      </x:c>
      <x:c r="P281" s="27"/>
      <x:c r="Q281" s="27"/>
      <x:c r="R281" s="27"/>
      <x:c r="S281" s="27"/>
      <x:c r="T281" s="27"/>
      <x:c r="U281" s="27"/>
    </x:row>
    <x:row r="282">
      <x:c r="A282" s="27" t="str"/>
      <x:c r="B282" s="27" t="str"/>
      <x:c r="C282" s="27" t="str"/>
      <x:c r="D282" s="27" t="str"/>
      <x:c r="E282" s="27" t="str"/>
      <x:c r="F282" s="27" t="str"/>
      <x:c r="G282" s="27" t="str"/>
      <x:c r="H282" s="27" t="str"/>
      <x:c r="I282" s="27" t="str"/>
      <x:c r="J282" s="27" t="str"/>
      <x:c r="K282" s="27" t="str"/>
      <x:c r="L282" s="27" t="str"/>
      <x:c r="M282" s="27" t="str"/>
      <x:c r="N282" s="52" t="str">
        <x:f>IF(A282="","",ROUND(COUNTA(B282:M282)/12,2))</x:f>
      </x:c>
      <x:c r="O282" s="27" t="str">
        <x:f>IF(A282="","",IF(N282&gt;=0.85,"Готов к прототипу",IF(N282&gt;=0.6,"Требует доработки","Недостаточно данных")))</x:f>
      </x:c>
      <x:c r="P282" s="27"/>
      <x:c r="Q282" s="27"/>
      <x:c r="R282" s="27"/>
      <x:c r="S282" s="27"/>
      <x:c r="T282" s="27"/>
      <x:c r="U282" s="27"/>
    </x:row>
    <x:row r="283">
      <x:c r="A283" s="27" t="str"/>
      <x:c r="B283" s="27" t="str"/>
      <x:c r="C283" s="27" t="str"/>
      <x:c r="D283" s="27" t="str"/>
      <x:c r="E283" s="27" t="str"/>
      <x:c r="F283" s="27" t="str"/>
      <x:c r="G283" s="27" t="str"/>
      <x:c r="H283" s="27" t="str"/>
      <x:c r="I283" s="27" t="str"/>
      <x:c r="J283" s="27" t="str"/>
      <x:c r="K283" s="27" t="str"/>
      <x:c r="L283" s="27" t="str"/>
      <x:c r="M283" s="27" t="str"/>
      <x:c r="N283" s="52" t="str">
        <x:f>IF(A283="","",ROUND(COUNTA(B283:M283)/12,2))</x:f>
      </x:c>
      <x:c r="O283" s="27" t="str">
        <x:f>IF(A283="","",IF(N283&gt;=0.85,"Готов к прототипу",IF(N283&gt;=0.6,"Требует доработки","Недостаточно данных")))</x:f>
      </x:c>
      <x:c r="P283" s="27"/>
      <x:c r="Q283" s="27"/>
      <x:c r="R283" s="27"/>
      <x:c r="S283" s="27"/>
      <x:c r="T283" s="27"/>
      <x:c r="U283" s="27"/>
    </x:row>
    <x:row r="284">
      <x:c r="A284" s="27" t="str"/>
      <x:c r="B284" s="27" t="str"/>
      <x:c r="C284" s="27" t="str"/>
      <x:c r="D284" s="27" t="str"/>
      <x:c r="E284" s="27" t="str"/>
      <x:c r="F284" s="27" t="str"/>
      <x:c r="G284" s="27" t="str"/>
      <x:c r="H284" s="27" t="str"/>
      <x:c r="I284" s="27" t="str"/>
      <x:c r="J284" s="27" t="str"/>
      <x:c r="K284" s="27" t="str"/>
      <x:c r="L284" s="27" t="str"/>
      <x:c r="M284" s="27" t="str"/>
      <x:c r="N284" s="52" t="str">
        <x:f>IF(A284="","",ROUND(COUNTA(B284:M284)/12,2))</x:f>
      </x:c>
      <x:c r="O284" s="27" t="str">
        <x:f>IF(A284="","",IF(N284&gt;=0.85,"Готов к прототипу",IF(N284&gt;=0.6,"Требует доработки","Недостаточно данных")))</x:f>
      </x:c>
      <x:c r="P284" s="27"/>
      <x:c r="Q284" s="27"/>
      <x:c r="R284" s="27"/>
      <x:c r="S284" s="27"/>
      <x:c r="T284" s="27"/>
      <x:c r="U284" s="27"/>
    </x:row>
    <x:row r="285">
      <x:c r="A285" s="27" t="str"/>
      <x:c r="B285" s="27" t="str"/>
      <x:c r="C285" s="27" t="str"/>
      <x:c r="D285" s="27" t="str"/>
      <x:c r="E285" s="27" t="str"/>
      <x:c r="F285" s="27" t="str"/>
      <x:c r="G285" s="27" t="str"/>
      <x:c r="H285" s="27" t="str"/>
      <x:c r="I285" s="27" t="str"/>
      <x:c r="J285" s="27" t="str"/>
      <x:c r="K285" s="27" t="str"/>
      <x:c r="L285" s="27" t="str"/>
      <x:c r="M285" s="27" t="str"/>
      <x:c r="N285" s="52" t="str">
        <x:f>IF(A285="","",ROUND(COUNTA(B285:M285)/12,2))</x:f>
      </x:c>
      <x:c r="O285" s="27" t="str">
        <x:f>IF(A285="","",IF(N285&gt;=0.85,"Готов к прототипу",IF(N285&gt;=0.6,"Требует доработки","Недостаточно данных")))</x:f>
      </x:c>
      <x:c r="P285" s="27"/>
      <x:c r="Q285" s="27"/>
      <x:c r="R285" s="27"/>
      <x:c r="S285" s="27"/>
      <x:c r="T285" s="27"/>
      <x:c r="U285" s="27"/>
    </x:row>
    <x:row r="286">
      <x:c r="A286" s="27" t="str"/>
      <x:c r="B286" s="27" t="str"/>
      <x:c r="C286" s="27" t="str"/>
      <x:c r="D286" s="27" t="str"/>
      <x:c r="E286" s="27" t="str"/>
      <x:c r="F286" s="27" t="str"/>
      <x:c r="G286" s="27" t="str"/>
      <x:c r="H286" s="27" t="str"/>
      <x:c r="I286" s="27" t="str"/>
      <x:c r="J286" s="27" t="str"/>
      <x:c r="K286" s="27" t="str"/>
      <x:c r="L286" s="27" t="str"/>
      <x:c r="M286" s="27" t="str"/>
      <x:c r="N286" s="52" t="str">
        <x:f>IF(A286="","",ROUND(COUNTA(B286:M286)/12,2))</x:f>
      </x:c>
      <x:c r="O286" s="27" t="str">
        <x:f>IF(A286="","",IF(N286&gt;=0.85,"Готов к прототипу",IF(N286&gt;=0.6,"Требует доработки","Недостаточно данных")))</x:f>
      </x:c>
      <x:c r="P286" s="27"/>
      <x:c r="Q286" s="27"/>
      <x:c r="R286" s="27"/>
      <x:c r="S286" s="27"/>
      <x:c r="T286" s="27"/>
      <x:c r="U286" s="27"/>
    </x:row>
    <x:row r="287">
      <x:c r="A287" s="27" t="str"/>
      <x:c r="B287" s="27" t="str"/>
      <x:c r="C287" s="27" t="str"/>
      <x:c r="D287" s="27" t="str"/>
      <x:c r="E287" s="27" t="str"/>
      <x:c r="F287" s="27" t="str"/>
      <x:c r="G287" s="27" t="str"/>
      <x:c r="H287" s="27" t="str"/>
      <x:c r="I287" s="27" t="str"/>
      <x:c r="J287" s="27" t="str"/>
      <x:c r="K287" s="27" t="str"/>
      <x:c r="L287" s="27" t="str"/>
      <x:c r="M287" s="27" t="str"/>
      <x:c r="N287" s="52" t="str">
        <x:f>IF(A287="","",ROUND(COUNTA(B287:M287)/12,2))</x:f>
      </x:c>
      <x:c r="O287" s="27" t="str">
        <x:f>IF(A287="","",IF(N287&gt;=0.85,"Готов к прототипу",IF(N287&gt;=0.6,"Требует доработки","Недостаточно данных")))</x:f>
      </x:c>
      <x:c r="P287" s="27"/>
      <x:c r="Q287" s="27"/>
      <x:c r="R287" s="27"/>
      <x:c r="S287" s="27"/>
      <x:c r="T287" s="27"/>
      <x:c r="U287" s="27"/>
    </x:row>
    <x:row r="288">
      <x:c r="A288" s="27" t="str"/>
      <x:c r="B288" s="27" t="str"/>
      <x:c r="C288" s="27" t="str"/>
      <x:c r="D288" s="27" t="str"/>
      <x:c r="E288" s="27" t="str"/>
      <x:c r="F288" s="27" t="str"/>
      <x:c r="G288" s="27" t="str"/>
      <x:c r="H288" s="27" t="str"/>
      <x:c r="I288" s="27" t="str"/>
      <x:c r="J288" s="27" t="str"/>
      <x:c r="K288" s="27" t="str"/>
      <x:c r="L288" s="27" t="str"/>
      <x:c r="M288" s="27" t="str"/>
      <x:c r="N288" s="52" t="str">
        <x:f>IF(A288="","",ROUND(COUNTA(B288:M288)/12,2))</x:f>
      </x:c>
      <x:c r="O288" s="27" t="str">
        <x:f>IF(A288="","",IF(N288&gt;=0.85,"Готов к прототипу",IF(N288&gt;=0.6,"Требует доработки","Недостаточно данных")))</x:f>
      </x:c>
      <x:c r="P288" s="27"/>
      <x:c r="Q288" s="27"/>
      <x:c r="R288" s="27"/>
      <x:c r="S288" s="27"/>
      <x:c r="T288" s="27"/>
      <x:c r="U288" s="27"/>
    </x:row>
    <x:row r="289">
      <x:c r="A289" s="27" t="str"/>
      <x:c r="B289" s="27" t="str"/>
      <x:c r="C289" s="27" t="str"/>
      <x:c r="D289" s="27" t="str"/>
      <x:c r="E289" s="27" t="str"/>
      <x:c r="F289" s="27" t="str"/>
      <x:c r="G289" s="27" t="str"/>
      <x:c r="H289" s="27" t="str"/>
      <x:c r="I289" s="27" t="str"/>
      <x:c r="J289" s="27" t="str"/>
      <x:c r="K289" s="27" t="str"/>
      <x:c r="L289" s="27" t="str"/>
      <x:c r="M289" s="27" t="str"/>
      <x:c r="N289" s="52" t="str">
        <x:f>IF(A289="","",ROUND(COUNTA(B289:M289)/12,2))</x:f>
      </x:c>
      <x:c r="O289" s="27" t="str">
        <x:f>IF(A289="","",IF(N289&gt;=0.85,"Готов к прототипу",IF(N289&gt;=0.6,"Требует доработки","Недостаточно данных")))</x:f>
      </x:c>
      <x:c r="P289" s="27"/>
      <x:c r="Q289" s="27"/>
      <x:c r="R289" s="27"/>
      <x:c r="S289" s="27"/>
      <x:c r="T289" s="27"/>
      <x:c r="U289" s="27"/>
    </x:row>
    <x:row r="290">
      <x:c r="A290" s="27" t="str"/>
      <x:c r="B290" s="27" t="str"/>
      <x:c r="C290" s="27" t="str"/>
      <x:c r="D290" s="27" t="str"/>
      <x:c r="E290" s="27" t="str"/>
      <x:c r="F290" s="27" t="str"/>
      <x:c r="G290" s="27" t="str"/>
      <x:c r="H290" s="27" t="str"/>
      <x:c r="I290" s="27" t="str"/>
      <x:c r="J290" s="27" t="str"/>
      <x:c r="K290" s="27" t="str"/>
      <x:c r="L290" s="27" t="str"/>
      <x:c r="M290" s="27" t="str"/>
      <x:c r="N290" s="52" t="str">
        <x:f>IF(A290="","",ROUND(COUNTA(B290:M290)/12,2))</x:f>
      </x:c>
      <x:c r="O290" s="27" t="str">
        <x:f>IF(A290="","",IF(N290&gt;=0.85,"Готов к прототипу",IF(N290&gt;=0.6,"Требует доработки","Недостаточно данных")))</x:f>
      </x:c>
      <x:c r="P290" s="27"/>
      <x:c r="Q290" s="27"/>
      <x:c r="R290" s="27"/>
      <x:c r="S290" s="27"/>
      <x:c r="T290" s="27"/>
      <x:c r="U290" s="27"/>
    </x:row>
    <x:row r="291">
      <x:c r="A291" s="27" t="str"/>
      <x:c r="B291" s="27" t="str"/>
      <x:c r="C291" s="27" t="str"/>
      <x:c r="D291" s="27" t="str"/>
      <x:c r="E291" s="27" t="str"/>
      <x:c r="F291" s="27" t="str"/>
      <x:c r="G291" s="27" t="str"/>
      <x:c r="H291" s="27" t="str"/>
      <x:c r="I291" s="27" t="str"/>
      <x:c r="J291" s="27" t="str"/>
      <x:c r="K291" s="27" t="str"/>
      <x:c r="L291" s="27" t="str"/>
      <x:c r="M291" s="27" t="str"/>
      <x:c r="N291" s="52" t="str">
        <x:f>IF(A291="","",ROUND(COUNTA(B291:M291)/12,2))</x:f>
      </x:c>
      <x:c r="O291" s="27" t="str">
        <x:f>IF(A291="","",IF(N291&gt;=0.85,"Готов к прототипу",IF(N291&gt;=0.6,"Требует доработки","Недостаточно данных")))</x:f>
      </x:c>
      <x:c r="P291" s="27"/>
      <x:c r="Q291" s="27"/>
      <x:c r="R291" s="27"/>
      <x:c r="S291" s="27"/>
      <x:c r="T291" s="27"/>
      <x:c r="U291" s="27"/>
    </x:row>
    <x:row r="292">
      <x:c r="A292" s="27" t="str"/>
      <x:c r="B292" s="27" t="str"/>
      <x:c r="C292" s="27" t="str"/>
      <x:c r="D292" s="27" t="str"/>
      <x:c r="E292" s="27" t="str"/>
      <x:c r="F292" s="27" t="str"/>
      <x:c r="G292" s="27" t="str"/>
      <x:c r="H292" s="27" t="str"/>
      <x:c r="I292" s="27" t="str"/>
      <x:c r="J292" s="27" t="str"/>
      <x:c r="K292" s="27" t="str"/>
      <x:c r="L292" s="27" t="str"/>
      <x:c r="M292" s="27" t="str"/>
      <x:c r="N292" s="52" t="str">
        <x:f>IF(A292="","",ROUND(COUNTA(B292:M292)/12,2))</x:f>
      </x:c>
      <x:c r="O292" s="27" t="str">
        <x:f>IF(A292="","",IF(N292&gt;=0.85,"Готов к прототипу",IF(N292&gt;=0.6,"Требует доработки","Недостаточно данных")))</x:f>
      </x:c>
      <x:c r="P292" s="27"/>
      <x:c r="Q292" s="27"/>
      <x:c r="R292" s="27"/>
      <x:c r="S292" s="27"/>
      <x:c r="T292" s="27"/>
      <x:c r="U292" s="27"/>
    </x:row>
    <x:row r="293">
      <x:c r="A293" s="27" t="str"/>
      <x:c r="B293" s="27" t="str"/>
      <x:c r="C293" s="27" t="str"/>
      <x:c r="D293" s="27" t="str"/>
      <x:c r="E293" s="27" t="str"/>
      <x:c r="F293" s="27" t="str"/>
      <x:c r="G293" s="27" t="str"/>
      <x:c r="H293" s="27" t="str"/>
      <x:c r="I293" s="27" t="str"/>
      <x:c r="J293" s="27" t="str"/>
      <x:c r="K293" s="27" t="str"/>
      <x:c r="L293" s="27" t="str"/>
      <x:c r="M293" s="27" t="str"/>
      <x:c r="N293" s="52" t="str">
        <x:f>IF(A293="","",ROUND(COUNTA(B293:M293)/12,2))</x:f>
      </x:c>
      <x:c r="O293" s="27" t="str">
        <x:f>IF(A293="","",IF(N293&gt;=0.85,"Готов к прототипу",IF(N293&gt;=0.6,"Требует доработки","Недостаточно данных")))</x:f>
      </x:c>
      <x:c r="P293" s="27"/>
      <x:c r="Q293" s="27"/>
      <x:c r="R293" s="27"/>
      <x:c r="S293" s="27"/>
      <x:c r="T293" s="27"/>
      <x:c r="U293" s="27"/>
    </x:row>
    <x:row r="294">
      <x:c r="A294" s="27" t="str"/>
      <x:c r="B294" s="27" t="str"/>
      <x:c r="C294" s="27" t="str"/>
      <x:c r="D294" s="27" t="str"/>
      <x:c r="E294" s="27" t="str"/>
      <x:c r="F294" s="27" t="str"/>
      <x:c r="G294" s="27" t="str"/>
      <x:c r="H294" s="27" t="str"/>
      <x:c r="I294" s="27" t="str"/>
      <x:c r="J294" s="27" t="str"/>
      <x:c r="K294" s="27" t="str"/>
      <x:c r="L294" s="27" t="str"/>
      <x:c r="M294" s="27" t="str"/>
      <x:c r="N294" s="52" t="str">
        <x:f>IF(A294="","",ROUND(COUNTA(B294:M294)/12,2))</x:f>
      </x:c>
      <x:c r="O294" s="27" t="str">
        <x:f>IF(A294="","",IF(N294&gt;=0.85,"Готов к прототипу",IF(N294&gt;=0.6,"Требует доработки","Недостаточно данных")))</x:f>
      </x:c>
      <x:c r="P294" s="27"/>
      <x:c r="Q294" s="27"/>
      <x:c r="R294" s="27"/>
      <x:c r="S294" s="27"/>
      <x:c r="T294" s="27"/>
      <x:c r="U294" s="27"/>
    </x:row>
    <x:row r="295">
      <x:c r="A295" s="27" t="str"/>
      <x:c r="B295" s="27" t="str"/>
      <x:c r="C295" s="27" t="str"/>
      <x:c r="D295" s="27" t="str"/>
      <x:c r="E295" s="27" t="str"/>
      <x:c r="F295" s="27" t="str"/>
      <x:c r="G295" s="27" t="str"/>
      <x:c r="H295" s="27" t="str"/>
      <x:c r="I295" s="27" t="str"/>
      <x:c r="J295" s="27" t="str"/>
      <x:c r="K295" s="27" t="str"/>
      <x:c r="L295" s="27" t="str"/>
      <x:c r="M295" s="27" t="str"/>
      <x:c r="N295" s="52" t="str">
        <x:f>IF(A295="","",ROUND(COUNTA(B295:M295)/12,2))</x:f>
      </x:c>
      <x:c r="O295" s="27" t="str">
        <x:f>IF(A295="","",IF(N295&gt;=0.85,"Готов к прототипу",IF(N295&gt;=0.6,"Требует доработки","Недостаточно данных")))</x:f>
      </x:c>
      <x:c r="P295" s="27"/>
      <x:c r="Q295" s="27"/>
      <x:c r="R295" s="27"/>
      <x:c r="S295" s="27"/>
      <x:c r="T295" s="27"/>
      <x:c r="U295" s="27"/>
    </x:row>
    <x:row r="296">
      <x:c r="A296" s="27" t="str"/>
      <x:c r="B296" s="27" t="str"/>
      <x:c r="C296" s="27" t="str"/>
      <x:c r="D296" s="27" t="str"/>
      <x:c r="E296" s="27" t="str"/>
      <x:c r="F296" s="27" t="str"/>
      <x:c r="G296" s="27" t="str"/>
      <x:c r="H296" s="27" t="str"/>
      <x:c r="I296" s="27" t="str"/>
      <x:c r="J296" s="27" t="str"/>
      <x:c r="K296" s="27" t="str"/>
      <x:c r="L296" s="27" t="str"/>
      <x:c r="M296" s="27" t="str"/>
      <x:c r="N296" s="52" t="str">
        <x:f>IF(A296="","",ROUND(COUNTA(B296:M296)/12,2))</x:f>
      </x:c>
      <x:c r="O296" s="27" t="str">
        <x:f>IF(A296="","",IF(N296&gt;=0.85,"Готов к прототипу",IF(N296&gt;=0.6,"Требует доработки","Недостаточно данных")))</x:f>
      </x:c>
      <x:c r="P296" s="27"/>
      <x:c r="Q296" s="27"/>
      <x:c r="R296" s="27"/>
      <x:c r="S296" s="27"/>
      <x:c r="T296" s="27"/>
      <x:c r="U296" s="27"/>
    </x:row>
    <x:row r="297">
      <x:c r="A297" s="27" t="str"/>
      <x:c r="B297" s="27" t="str"/>
      <x:c r="C297" s="27" t="str"/>
      <x:c r="D297" s="27" t="str"/>
      <x:c r="E297" s="27" t="str"/>
      <x:c r="F297" s="27" t="str"/>
      <x:c r="G297" s="27" t="str"/>
      <x:c r="H297" s="27" t="str"/>
      <x:c r="I297" s="27" t="str"/>
      <x:c r="J297" s="27" t="str"/>
      <x:c r="K297" s="27" t="str"/>
      <x:c r="L297" s="27" t="str"/>
      <x:c r="M297" s="27" t="str"/>
      <x:c r="N297" s="52" t="str">
        <x:f>IF(A297="","",ROUND(COUNTA(B297:M297)/12,2))</x:f>
      </x:c>
      <x:c r="O297" s="27" t="str">
        <x:f>IF(A297="","",IF(N297&gt;=0.85,"Готов к прототипу",IF(N297&gt;=0.6,"Требует доработки","Недостаточно данных")))</x:f>
      </x:c>
      <x:c r="P297" s="27"/>
      <x:c r="Q297" s="27"/>
      <x:c r="R297" s="27"/>
      <x:c r="S297" s="27"/>
      <x:c r="T297" s="27"/>
      <x:c r="U297" s="27"/>
    </x:row>
    <x:row r="298">
      <x:c r="A298" s="27" t="str"/>
      <x:c r="B298" s="27" t="str"/>
      <x:c r="C298" s="27" t="str"/>
      <x:c r="D298" s="27" t="str"/>
      <x:c r="E298" s="27" t="str"/>
      <x:c r="F298" s="27" t="str"/>
      <x:c r="G298" s="27" t="str"/>
      <x:c r="H298" s="27" t="str"/>
      <x:c r="I298" s="27" t="str"/>
      <x:c r="J298" s="27" t="str"/>
      <x:c r="K298" s="27" t="str"/>
      <x:c r="L298" s="27" t="str"/>
      <x:c r="M298" s="27" t="str"/>
      <x:c r="N298" s="52" t="str">
        <x:f>IF(A298="","",ROUND(COUNTA(B298:M298)/12,2))</x:f>
      </x:c>
      <x:c r="O298" s="27" t="str">
        <x:f>IF(A298="","",IF(N298&gt;=0.85,"Готов к прототипу",IF(N298&gt;=0.6,"Требует доработки","Недостаточно данных")))</x:f>
      </x:c>
      <x:c r="P298" s="27"/>
      <x:c r="Q298" s="27"/>
      <x:c r="R298" s="27"/>
      <x:c r="S298" s="27"/>
      <x:c r="T298" s="27"/>
      <x:c r="U298" s="27"/>
    </x:row>
    <x:row r="299">
      <x:c r="A299" s="27" t="str"/>
      <x:c r="B299" s="27" t="str"/>
      <x:c r="C299" s="27" t="str"/>
      <x:c r="D299" s="27" t="str"/>
      <x:c r="E299" s="27" t="str"/>
      <x:c r="F299" s="27" t="str"/>
      <x:c r="G299" s="27" t="str"/>
      <x:c r="H299" s="27" t="str"/>
      <x:c r="I299" s="27" t="str"/>
      <x:c r="J299" s="27" t="str"/>
      <x:c r="K299" s="27" t="str"/>
      <x:c r="L299" s="27" t="str"/>
      <x:c r="M299" s="27" t="str"/>
      <x:c r="N299" s="52" t="str">
        <x:f>IF(A299="","",ROUND(COUNTA(B299:M299)/12,2))</x:f>
      </x:c>
      <x:c r="O299" s="27" t="str">
        <x:f>IF(A299="","",IF(N299&gt;=0.85,"Готов к прототипу",IF(N299&gt;=0.6,"Требует доработки","Недостаточно данных")))</x:f>
      </x:c>
      <x:c r="P299" s="27"/>
      <x:c r="Q299" s="27"/>
      <x:c r="R299" s="27"/>
      <x:c r="S299" s="27"/>
      <x:c r="T299" s="27"/>
      <x:c r="U299" s="27"/>
    </x:row>
    <x:row r="300">
      <x:c r="A300" s="27" t="str"/>
      <x:c r="B300" s="27" t="str"/>
      <x:c r="C300" s="27" t="str"/>
      <x:c r="D300" s="27" t="str"/>
      <x:c r="E300" s="27" t="str"/>
      <x:c r="F300" s="27" t="str"/>
      <x:c r="G300" s="27" t="str"/>
      <x:c r="H300" s="27" t="str"/>
      <x:c r="I300" s="27" t="str"/>
      <x:c r="J300" s="27" t="str"/>
      <x:c r="K300" s="27" t="str"/>
      <x:c r="L300" s="27" t="str"/>
      <x:c r="M300" s="27" t="str"/>
      <x:c r="N300" s="52" t="str">
        <x:f>IF(A300="","",ROUND(COUNTA(B300:M300)/12,2))</x:f>
      </x:c>
      <x:c r="O300" s="27" t="str">
        <x:f>IF(A300="","",IF(N300&gt;=0.85,"Готов к прототипу",IF(N300&gt;=0.6,"Требует доработки","Недостаточно данных")))</x:f>
      </x:c>
      <x:c r="P300" s="27"/>
      <x:c r="Q300" s="27"/>
      <x:c r="R300" s="27"/>
      <x:c r="S300" s="27"/>
      <x:c r="T300" s="27"/>
      <x:c r="U300" s="27"/>
    </x:row>
    <x:row r="301">
      <x:c r="A301" s="27" t="str"/>
      <x:c r="B301" s="27" t="str"/>
      <x:c r="C301" s="27" t="str"/>
      <x:c r="D301" s="27" t="str"/>
      <x:c r="E301" s="27" t="str"/>
      <x:c r="F301" s="27" t="str"/>
      <x:c r="G301" s="27" t="str"/>
      <x:c r="H301" s="27" t="str"/>
      <x:c r="I301" s="27" t="str"/>
      <x:c r="J301" s="27" t="str"/>
      <x:c r="K301" s="27" t="str"/>
      <x:c r="L301" s="27" t="str"/>
      <x:c r="M301" s="27" t="str"/>
      <x:c r="N301" s="52" t="str">
        <x:f>IF(A301="","",ROUND(COUNTA(B301:M301)/12,2))</x:f>
      </x:c>
      <x:c r="O301" s="27" t="str">
        <x:f>IF(A301="","",IF(N301&gt;=0.85,"Готов к прототипу",IF(N301&gt;=0.6,"Требует доработки","Недостаточно данных")))</x:f>
      </x:c>
      <x:c r="P301" s="27"/>
      <x:c r="Q301" s="27"/>
      <x:c r="R301" s="27"/>
      <x:c r="S301" s="27"/>
      <x:c r="T301" s="27"/>
      <x:c r="U301" s="27"/>
    </x:row>
    <x:row r="302">
      <x:c r="A302" s="27" t="str"/>
      <x:c r="B302" s="27" t="str"/>
      <x:c r="C302" s="27" t="str"/>
      <x:c r="D302" s="27" t="str"/>
      <x:c r="E302" s="27" t="str"/>
      <x:c r="F302" s="27" t="str"/>
      <x:c r="G302" s="27" t="str"/>
      <x:c r="H302" s="27" t="str"/>
      <x:c r="I302" s="27" t="str"/>
      <x:c r="J302" s="27" t="str"/>
      <x:c r="K302" s="27" t="str"/>
      <x:c r="L302" s="27" t="str"/>
      <x:c r="M302" s="27" t="str"/>
      <x:c r="N302" s="52" t="str">
        <x:f>IF(A302="","",ROUND(COUNTA(B302:M302)/12,2))</x:f>
      </x:c>
      <x:c r="O302" s="27" t="str">
        <x:f>IF(A302="","",IF(N302&gt;=0.85,"Готов к прототипу",IF(N302&gt;=0.6,"Требует доработки","Недостаточно данных")))</x:f>
      </x:c>
      <x:c r="P302" s="27"/>
      <x:c r="Q302" s="27"/>
      <x:c r="R302" s="27"/>
      <x:c r="S302" s="27"/>
      <x:c r="T302" s="27"/>
      <x:c r="U302" s="27"/>
    </x:row>
    <x:row r="303">
      <x:c r="A303" s="27" t="str"/>
      <x:c r="B303" s="27" t="str"/>
      <x:c r="C303" s="27" t="str"/>
      <x:c r="D303" s="27" t="str"/>
      <x:c r="E303" s="27" t="str"/>
      <x:c r="F303" s="27" t="str"/>
      <x:c r="G303" s="27" t="str"/>
      <x:c r="H303" s="27" t="str"/>
      <x:c r="I303" s="27" t="str"/>
      <x:c r="J303" s="27" t="str"/>
      <x:c r="K303" s="27" t="str"/>
      <x:c r="L303" s="27" t="str"/>
      <x:c r="M303" s="27" t="str"/>
      <x:c r="N303" s="52" t="str">
        <x:f>IF(A303="","",ROUND(COUNTA(B303:M303)/12,2))</x:f>
      </x:c>
      <x:c r="O303" s="27" t="str">
        <x:f>IF(A303="","",IF(N303&gt;=0.85,"Готов к прототипу",IF(N303&gt;=0.6,"Требует доработки","Недостаточно данных")))</x:f>
      </x:c>
      <x:c r="P303" s="27"/>
      <x:c r="Q303" s="27"/>
      <x:c r="R303" s="27"/>
      <x:c r="S303" s="27"/>
      <x:c r="T303" s="27"/>
      <x:c r="U303" s="27"/>
    </x:row>
    <x:row r="304">
      <x:c r="A304" s="27" t="str"/>
      <x:c r="B304" s="27" t="str"/>
      <x:c r="C304" s="27" t="str"/>
      <x:c r="D304" s="27" t="str"/>
      <x:c r="E304" s="27" t="str"/>
      <x:c r="F304" s="27" t="str"/>
      <x:c r="G304" s="27" t="str"/>
      <x:c r="H304" s="27" t="str"/>
      <x:c r="I304" s="27" t="str"/>
      <x:c r="J304" s="27" t="str"/>
      <x:c r="K304" s="27" t="str"/>
      <x:c r="L304" s="27" t="str"/>
      <x:c r="M304" s="27" t="str"/>
      <x:c r="N304" s="52" t="str">
        <x:f>IF(A304="","",ROUND(COUNTA(B304:M304)/12,2))</x:f>
      </x:c>
      <x:c r="O304" s="27" t="str">
        <x:f>IF(A304="","",IF(N304&gt;=0.85,"Готов к прототипу",IF(N304&gt;=0.6,"Требует доработки","Недостаточно данных")))</x:f>
      </x:c>
      <x:c r="P304" s="27"/>
      <x:c r="Q304" s="27"/>
      <x:c r="R304" s="27"/>
      <x:c r="S304" s="27"/>
      <x:c r="T304" s="27"/>
      <x:c r="U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</x:row>
  </x:sheetData>
  <x:mergeCells>
    <x:mergeCell ref="A1:O1"/>
    <x:mergeCell ref="A2:O2"/>
  </x:mergeCells>
  <x:conditionalFormatting sqref="N5:N304">
    <x:cfRule type="colorScale" priority="1">
      <x:colorScale>
        <x:cfvo type="min"/>
        <x:cfvo type="percentile" val="50"/>
        <x:cfvo type="max"/>
        <x:color rgb="F4CCCC"/>
        <x:color rgb="FFF2CC"/>
        <x:color rgb="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aa29a5d444f47b2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4" hidden="0" customWidth="1"/>
    <x:col min="9" max="9" width="14" hidden="0" customWidth="1"/>
    <x:col min="10" max="10" width="24" hidden="0" customWidth="1"/>
    <x:col min="11" max="11" width="42" hidden="0" customWidth="1"/>
    <x:col min="12" max="12" width="26" hidden="0" customWidth="1"/>
  </x:cols>
  <x:sheetData>
    <x:row r="1" ht="32" customHeight="1">
      <x:c r="A1" s="60" t="str">
        <x:v>Приоритизация страниц, экранов и интерфейсных инициатив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27"/>
      <x:c r="N1" s="27"/>
      <x:c r="O1" s="27"/>
      <x:c r="P1" s="27"/>
      <x:c r="Q1" s="27"/>
      <x:c r="R1" s="27"/>
      <x:c r="S1" s="27"/>
      <x:c r="T1" s="27"/>
      <x:c r="U1" s="27"/>
    </x:row>
    <x:row r="2" ht="32" customHeight="1">
      <x:c r="A2" s="9" t="str">
        <x:v>Итоговый балл помогает определить состав первой версии и очередность следующих выпусков.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27"/>
      <x:c r="N2" s="27"/>
      <x:c r="O2" s="27"/>
      <x:c r="P2" s="27"/>
      <x:c r="Q2" s="27"/>
      <x:c r="R2" s="27"/>
      <x:c r="S2" s="27"/>
      <x:c r="T2" s="27"/>
      <x:c r="U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 ht="38" customHeight="1">
      <x:c r="A4" s="50" t="str">
        <x:v>Unit_ID</x:v>
      </x:c>
      <x:c r="B4" s="50" t="str">
        <x:v>Название</x:v>
      </x:c>
      <x:c r="C4" s="50" t="str">
        <x:v>Связанный сценарий_ID</x:v>
      </x:c>
      <x:c r="D4" s="50" t="str">
        <x:v>Ценность для пользователя 1–5</x:v>
      </x:c>
      <x:c r="E4" s="50" t="str">
        <x:v>Влияние на бизнес 1–5</x:v>
      </x:c>
      <x:c r="F4" s="50" t="str">
        <x:v>Частота использования 1–5</x:v>
      </x:c>
      <x:c r="G4" s="50" t="str">
        <x:v>Риск без реализации 1–5</x:v>
      </x:c>
      <x:c r="H4" s="50" t="str">
        <x:v>Сложность 1–5</x:v>
      </x:c>
      <x:c r="I4" s="50" t="str">
        <x:v>Итоговый балл</x:v>
      </x:c>
      <x:c r="J4" s="50" t="str">
        <x:v>Класс приоритета</x:v>
      </x:c>
      <x:c r="K4" s="50" t="str">
        <x:v>Основание</x:v>
      </x:c>
      <x:c r="L4" s="50" t="str">
        <x:v>Решение</x:v>
      </x:c>
      <x:c r="M4" s="27"/>
      <x:c r="N4" s="27"/>
      <x:c r="O4" s="27"/>
      <x:c r="P4" s="27"/>
      <x:c r="Q4" s="27"/>
      <x:c r="R4" s="27"/>
      <x:c r="S4" s="27"/>
      <x:c r="T4" s="27"/>
      <x:c r="U4" s="27"/>
    </x:row>
    <x:row r="5">
      <x:c r="A5" s="27" t="str">
        <x:v>U-001</x:v>
      </x:c>
      <x:c r="B5" s="27" t="str">
        <x:v>Главная страница</x:v>
      </x:c>
      <x:c r="C5" s="27" t="str">
        <x:v>SC-001</x:v>
      </x:c>
      <x:c r="D5" s="27" t="n">
        <x:v>5</x:v>
      </x:c>
      <x:c r="E5" s="27" t="n">
        <x:v>5</x:v>
      </x:c>
      <x:c r="F5" s="27" t="n">
        <x:v>5</x:v>
      </x:c>
      <x:c r="G5" s="27" t="n">
        <x:v>5</x:v>
      </x:c>
      <x:c r="H5" s="27" t="n">
        <x:v>3</x:v>
      </x:c>
      <x:c r="I5" s="27" t="n">
        <x:f>IF(A5="","",MAX(0,MIN(100,ROUND(((D5*0.30)+(E5*0.30)+(F5*0.15)+(G5*0.15)-(H5*0.10))*20,0))))</x:f>
        <x:v>84</x:v>
      </x:c>
      <x:c r="J5" s="27" t="str">
        <x:f>IF(A5="","",IF(I5&gt;=80,"P1 — первая версия",IF(I5&gt;=60,"P2 — следующий выпуск",IF(I5&gt;=40,"P3 — можно отложить","Не включать"))))</x:f>
        <x:v>P1 — первая версия</x:v>
      </x:c>
      <x:c r="K5" s="27" t="str">
        <x:v>Критична для первичного понимания ценности</x:v>
      </x:c>
      <x:c r="L5" s="27" t="str">
        <x:v>Оставить</x:v>
      </x:c>
      <x:c r="M5" s="27"/>
      <x:c r="N5" s="27"/>
      <x:c r="O5" s="27"/>
      <x:c r="P5" s="27"/>
      <x:c r="Q5" s="27"/>
      <x:c r="R5" s="27"/>
      <x:c r="S5" s="27"/>
      <x:c r="T5" s="27"/>
      <x:c r="U5" s="27"/>
    </x:row>
    <x:row r="6">
      <x:c r="A6" s="27" t="str">
        <x:v>U-002</x:v>
      </x:c>
      <x:c r="B6" s="27" t="str">
        <x:v>Регистрация</x:v>
      </x:c>
      <x:c r="C6" s="27" t="str">
        <x:v>SC-002</x:v>
      </x:c>
      <x:c r="D6" s="27" t="n">
        <x:v>5</x:v>
      </x:c>
      <x:c r="E6" s="27" t="n">
        <x:v>5</x:v>
      </x:c>
      <x:c r="F6" s="27" t="n">
        <x:v>4</x:v>
      </x:c>
      <x:c r="G6" s="27" t="n">
        <x:v>5</x:v>
      </x:c>
      <x:c r="H6" s="27" t="n">
        <x:v>4</x:v>
      </x:c>
      <x:c r="I6" s="27" t="n">
        <x:f>IF(A6="","",MAX(0,MIN(100,ROUND(((D6*0.30)+(E6*0.30)+(F6*0.15)+(G6*0.15)-(H6*0.10))*20,0))))</x:f>
        <x:v>79</x:v>
      </x:c>
      <x:c r="J6" s="27" t="str">
        <x:f>IF(A6="","",IF(I6&gt;=80,"P1 — первая версия",IF(I6&gt;=60,"P2 — следующий выпуск",IF(I6&gt;=40,"P3 — можно отложить","Не включать"))))</x:f>
        <x:v>P2 — следующий выпуск</x:v>
      </x:c>
      <x:c r="K6" s="27" t="str">
        <x:v>Критична для активации пользователя</x:v>
      </x:c>
      <x:c r="L6" s="27" t="str">
        <x:v>Оставить</x:v>
      </x:c>
      <x:c r="M6" s="27"/>
      <x:c r="N6" s="27"/>
      <x:c r="O6" s="27"/>
      <x:c r="P6" s="27"/>
      <x:c r="Q6" s="27"/>
      <x:c r="R6" s="27"/>
      <x:c r="S6" s="27"/>
      <x:c r="T6" s="27"/>
      <x:c r="U6" s="27"/>
    </x:row>
    <x:row r="7">
      <x:c r="A7" s="27" t="str"/>
      <x:c r="B7" s="27" t="str"/>
      <x:c r="C7" s="27" t="str"/>
      <x:c r="D7" s="27" t="str"/>
      <x:c r="E7" s="27" t="str"/>
      <x:c r="F7" s="27" t="str"/>
      <x:c r="G7" s="27" t="str"/>
      <x:c r="H7" s="27" t="str"/>
      <x:c r="I7" s="27" t="str">
        <x:f>IF(A7="","",MAX(0,MIN(100,ROUND(((D7*0.30)+(E7*0.30)+(F7*0.15)+(G7*0.15)-(H7*0.10))*20,0))))</x:f>
      </x:c>
      <x:c r="J7" s="27" t="str">
        <x:f>IF(A7="","",IF(I7&gt;=80,"P1 — первая версия",IF(I7&gt;=60,"P2 — следующий выпуск",IF(I7&gt;=40,"P3 — можно отложить","Не включать"))))</x:f>
      </x:c>
      <x:c r="K7" s="27" t="str"/>
      <x:c r="L7" s="27" t="str"/>
      <x:c r="M7" s="27"/>
      <x:c r="N7" s="27"/>
      <x:c r="O7" s="27"/>
      <x:c r="P7" s="27"/>
      <x:c r="Q7" s="27"/>
      <x:c r="R7" s="27"/>
      <x:c r="S7" s="27"/>
      <x:c r="T7" s="27"/>
      <x:c r="U7" s="27"/>
    </x:row>
    <x:row r="8">
      <x:c r="A8" s="27" t="str"/>
      <x:c r="B8" s="27" t="str"/>
      <x:c r="C8" s="27" t="str"/>
      <x:c r="D8" s="27" t="str"/>
      <x:c r="E8" s="27" t="str"/>
      <x:c r="F8" s="27" t="str"/>
      <x:c r="G8" s="27" t="str"/>
      <x:c r="H8" s="27" t="str"/>
      <x:c r="I8" s="27" t="str">
        <x:f>IF(A8="","",MAX(0,MIN(100,ROUND(((D8*0.30)+(E8*0.30)+(F8*0.15)+(G8*0.15)-(H8*0.10))*20,0))))</x:f>
      </x:c>
      <x:c r="J8" s="27" t="str">
        <x:f>IF(A8="","",IF(I8&gt;=80,"P1 — первая версия",IF(I8&gt;=60,"P2 — следующий выпуск",IF(I8&gt;=40,"P3 — можно отложить","Не включать"))))</x:f>
      </x:c>
      <x:c r="K8" s="27" t="str"/>
      <x:c r="L8" s="27" t="str"/>
      <x:c r="M8" s="27"/>
      <x:c r="N8" s="27"/>
      <x:c r="O8" s="27"/>
      <x:c r="P8" s="27"/>
      <x:c r="Q8" s="27"/>
      <x:c r="R8" s="27"/>
      <x:c r="S8" s="27"/>
      <x:c r="T8" s="27"/>
      <x:c r="U8" s="27"/>
    </x:row>
    <x:row r="9">
      <x:c r="A9" s="27" t="str"/>
      <x:c r="B9" s="27" t="str"/>
      <x:c r="C9" s="27" t="str"/>
      <x:c r="D9" s="27" t="str"/>
      <x:c r="E9" s="27" t="str"/>
      <x:c r="F9" s="27" t="str"/>
      <x:c r="G9" s="27" t="str"/>
      <x:c r="H9" s="27" t="str"/>
      <x:c r="I9" s="27" t="str">
        <x:f>IF(A9="","",MAX(0,MIN(100,ROUND(((D9*0.30)+(E9*0.30)+(F9*0.15)+(G9*0.15)-(H9*0.10))*20,0))))</x:f>
      </x:c>
      <x:c r="J9" s="27" t="str">
        <x:f>IF(A9="","",IF(I9&gt;=80,"P1 — первая версия",IF(I9&gt;=60,"P2 — следующий выпуск",IF(I9&gt;=40,"P3 — можно отложить","Не включать"))))</x:f>
      </x:c>
      <x:c r="K9" s="27" t="str"/>
      <x:c r="L9" s="27" t="str"/>
      <x:c r="M9" s="27"/>
      <x:c r="N9" s="27"/>
      <x:c r="O9" s="27"/>
      <x:c r="P9" s="27"/>
      <x:c r="Q9" s="27"/>
      <x:c r="R9" s="27"/>
      <x:c r="S9" s="27"/>
      <x:c r="T9" s="27"/>
      <x:c r="U9" s="27"/>
    </x:row>
    <x:row r="10">
      <x:c r="A10" s="27" t="str"/>
      <x:c r="B10" s="27" t="str"/>
      <x:c r="C10" s="27" t="str"/>
      <x:c r="D10" s="27" t="str"/>
      <x:c r="E10" s="27" t="str"/>
      <x:c r="F10" s="27" t="str"/>
      <x:c r="G10" s="27" t="str"/>
      <x:c r="H10" s="27" t="str"/>
      <x:c r="I10" s="27" t="str">
        <x:f>IF(A10="","",MAX(0,MIN(100,ROUND(((D10*0.30)+(E10*0.30)+(F10*0.15)+(G10*0.15)-(H10*0.10))*20,0))))</x:f>
      </x:c>
      <x:c r="J10" s="27" t="str">
        <x:f>IF(A10="","",IF(I10&gt;=80,"P1 — первая версия",IF(I10&gt;=60,"P2 — следующий выпуск",IF(I10&gt;=40,"P3 — можно отложить","Не включать"))))</x:f>
      </x:c>
      <x:c r="K10" s="27" t="str"/>
      <x:c r="L10" s="27" t="str"/>
      <x:c r="M10" s="27"/>
      <x:c r="N10" s="27"/>
      <x:c r="O10" s="27"/>
      <x:c r="P10" s="27"/>
      <x:c r="Q10" s="27"/>
      <x:c r="R10" s="27"/>
      <x:c r="S10" s="27"/>
      <x:c r="T10" s="27"/>
      <x:c r="U10" s="27"/>
    </x:row>
    <x:row r="11">
      <x:c r="A11" s="27" t="str"/>
      <x:c r="B11" s="27" t="str"/>
      <x:c r="C11" s="27" t="str"/>
      <x:c r="D11" s="27" t="str"/>
      <x:c r="E11" s="27" t="str"/>
      <x:c r="F11" s="27" t="str"/>
      <x:c r="G11" s="27" t="str"/>
      <x:c r="H11" s="27" t="str"/>
      <x:c r="I11" s="27" t="str">
        <x:f>IF(A11="","",MAX(0,MIN(100,ROUND(((D11*0.30)+(E11*0.30)+(F11*0.15)+(G11*0.15)-(H11*0.10))*20,0))))</x:f>
      </x:c>
      <x:c r="J11" s="27" t="str">
        <x:f>IF(A11="","",IF(I11&gt;=80,"P1 — первая версия",IF(I11&gt;=60,"P2 — следующий выпуск",IF(I11&gt;=40,"P3 — можно отложить","Не включать"))))</x:f>
      </x:c>
      <x:c r="K11" s="27" t="str"/>
      <x:c r="L11" s="27" t="str"/>
      <x:c r="M11" s="27"/>
      <x:c r="N11" s="27"/>
      <x:c r="O11" s="27"/>
      <x:c r="P11" s="27"/>
      <x:c r="Q11" s="27"/>
      <x:c r="R11" s="27"/>
      <x:c r="S11" s="27"/>
      <x:c r="T11" s="27"/>
      <x:c r="U11" s="27"/>
    </x:row>
    <x:row r="12">
      <x:c r="A12" s="27" t="str"/>
      <x:c r="B12" s="27" t="str"/>
      <x:c r="C12" s="27" t="str"/>
      <x:c r="D12" s="27" t="str"/>
      <x:c r="E12" s="27" t="str"/>
      <x:c r="F12" s="27" t="str"/>
      <x:c r="G12" s="27" t="str"/>
      <x:c r="H12" s="27" t="str"/>
      <x:c r="I12" s="27" t="str">
        <x:f>IF(A12="","",MAX(0,MIN(100,ROUND(((D12*0.30)+(E12*0.30)+(F12*0.15)+(G12*0.15)-(H12*0.10))*20,0))))</x:f>
      </x:c>
      <x:c r="J12" s="27" t="str">
        <x:f>IF(A12="","",IF(I12&gt;=80,"P1 — первая версия",IF(I12&gt;=60,"P2 — следующий выпуск",IF(I12&gt;=40,"P3 — можно отложить","Не включать"))))</x:f>
      </x:c>
      <x:c r="K12" s="27" t="str"/>
      <x:c r="L12" s="27" t="str"/>
      <x:c r="M12" s="27"/>
      <x:c r="N12" s="27"/>
      <x:c r="O12" s="27"/>
      <x:c r="P12" s="27"/>
      <x:c r="Q12" s="27"/>
      <x:c r="R12" s="27"/>
      <x:c r="S12" s="27"/>
      <x:c r="T12" s="27"/>
      <x:c r="U12" s="27"/>
    </x:row>
    <x:row r="13">
      <x:c r="A13" s="27" t="str"/>
      <x:c r="B13" s="27" t="str"/>
      <x:c r="C13" s="27" t="str"/>
      <x:c r="D13" s="27" t="str"/>
      <x:c r="E13" s="27" t="str"/>
      <x:c r="F13" s="27" t="str"/>
      <x:c r="G13" s="27" t="str"/>
      <x:c r="H13" s="27" t="str"/>
      <x:c r="I13" s="27" t="str">
        <x:f>IF(A13="","",MAX(0,MIN(100,ROUND(((D13*0.30)+(E13*0.30)+(F13*0.15)+(G13*0.15)-(H13*0.10))*20,0))))</x:f>
      </x:c>
      <x:c r="J13" s="27" t="str">
        <x:f>IF(A13="","",IF(I13&gt;=80,"P1 — первая версия",IF(I13&gt;=60,"P2 — следующий выпуск",IF(I13&gt;=40,"P3 — можно отложить","Не включать"))))</x:f>
      </x:c>
      <x:c r="K13" s="27" t="str"/>
      <x:c r="L13" s="27" t="str"/>
      <x:c r="M13" s="27"/>
      <x:c r="N13" s="27"/>
      <x:c r="O13" s="27"/>
      <x:c r="P13" s="27"/>
      <x:c r="Q13" s="27"/>
      <x:c r="R13" s="27"/>
      <x:c r="S13" s="27"/>
      <x:c r="T13" s="27"/>
      <x:c r="U13" s="27"/>
    </x:row>
    <x:row r="14">
      <x:c r="A14" s="27" t="str"/>
      <x:c r="B14" s="27" t="str"/>
      <x:c r="C14" s="27" t="str"/>
      <x:c r="D14" s="27" t="str"/>
      <x:c r="E14" s="27" t="str"/>
      <x:c r="F14" s="27" t="str"/>
      <x:c r="G14" s="27" t="str"/>
      <x:c r="H14" s="27" t="str"/>
      <x:c r="I14" s="27" t="str">
        <x:f>IF(A14="","",MAX(0,MIN(100,ROUND(((D14*0.30)+(E14*0.30)+(F14*0.15)+(G14*0.15)-(H14*0.10))*20,0))))</x:f>
      </x:c>
      <x:c r="J14" s="27" t="str">
        <x:f>IF(A14="","",IF(I14&gt;=80,"P1 — первая версия",IF(I14&gt;=60,"P2 — следующий выпуск",IF(I14&gt;=40,"P3 — можно отложить","Не включать"))))</x:f>
      </x:c>
      <x:c r="K14" s="27" t="str"/>
      <x:c r="L14" s="27" t="str"/>
      <x:c r="M14" s="27"/>
      <x:c r="N14" s="27"/>
      <x:c r="O14" s="27"/>
      <x:c r="P14" s="27"/>
      <x:c r="Q14" s="27"/>
      <x:c r="R14" s="27"/>
      <x:c r="S14" s="27"/>
      <x:c r="T14" s="27"/>
      <x:c r="U14" s="27"/>
    </x:row>
    <x:row r="15">
      <x:c r="A15" s="27" t="str"/>
      <x:c r="B15" s="27" t="str"/>
      <x:c r="C15" s="27" t="str"/>
      <x:c r="D15" s="27" t="str"/>
      <x:c r="E15" s="27" t="str"/>
      <x:c r="F15" s="27" t="str"/>
      <x:c r="G15" s="27" t="str"/>
      <x:c r="H15" s="27" t="str"/>
      <x:c r="I15" s="27" t="str">
        <x:f>IF(A15="","",MAX(0,MIN(100,ROUND(((D15*0.30)+(E15*0.30)+(F15*0.15)+(G15*0.15)-(H15*0.10))*20,0))))</x:f>
      </x:c>
      <x:c r="J15" s="27" t="str">
        <x:f>IF(A15="","",IF(I15&gt;=80,"P1 — первая версия",IF(I15&gt;=60,"P2 — следующий выпуск",IF(I15&gt;=40,"P3 — можно отложить","Не включать"))))</x:f>
      </x:c>
      <x:c r="K15" s="27" t="str"/>
      <x:c r="L15" s="27" t="str"/>
      <x:c r="M15" s="27"/>
      <x:c r="N15" s="27"/>
      <x:c r="O15" s="27"/>
      <x:c r="P15" s="27"/>
      <x:c r="Q15" s="27"/>
      <x:c r="R15" s="27"/>
      <x:c r="S15" s="27"/>
      <x:c r="T15" s="27"/>
      <x:c r="U15" s="27"/>
    </x:row>
    <x:row r="16">
      <x:c r="A16" s="27" t="str"/>
      <x:c r="B16" s="27" t="str"/>
      <x:c r="C16" s="27" t="str"/>
      <x:c r="D16" s="27" t="str"/>
      <x:c r="E16" s="27" t="str"/>
      <x:c r="F16" s="27" t="str"/>
      <x:c r="G16" s="27" t="str"/>
      <x:c r="H16" s="27" t="str"/>
      <x:c r="I16" s="27" t="str">
        <x:f>IF(A16="","",MAX(0,MIN(100,ROUND(((D16*0.30)+(E16*0.30)+(F16*0.15)+(G16*0.15)-(H16*0.10))*20,0))))</x:f>
      </x:c>
      <x:c r="J16" s="27" t="str">
        <x:f>IF(A16="","",IF(I16&gt;=80,"P1 — первая версия",IF(I16&gt;=60,"P2 — следующий выпуск",IF(I16&gt;=40,"P3 — можно отложить","Не включать"))))</x:f>
      </x:c>
      <x:c r="K16" s="27" t="str"/>
      <x:c r="L16" s="27" t="str"/>
      <x:c r="M16" s="27"/>
      <x:c r="N16" s="27"/>
      <x:c r="O16" s="27"/>
      <x:c r="P16" s="27"/>
      <x:c r="Q16" s="27"/>
      <x:c r="R16" s="27"/>
      <x:c r="S16" s="27"/>
      <x:c r="T16" s="27"/>
      <x:c r="U16" s="27"/>
    </x:row>
    <x:row r="17">
      <x:c r="A17" s="27" t="str"/>
      <x:c r="B17" s="27" t="str"/>
      <x:c r="C17" s="27" t="str"/>
      <x:c r="D17" s="27" t="str"/>
      <x:c r="E17" s="27" t="str"/>
      <x:c r="F17" s="27" t="str"/>
      <x:c r="G17" s="27" t="str"/>
      <x:c r="H17" s="27" t="str"/>
      <x:c r="I17" s="27" t="str">
        <x:f>IF(A17="","",MAX(0,MIN(100,ROUND(((D17*0.30)+(E17*0.30)+(F17*0.15)+(G17*0.15)-(H17*0.10))*20,0))))</x:f>
      </x:c>
      <x:c r="J17" s="27" t="str">
        <x:f>IF(A17="","",IF(I17&gt;=80,"P1 — первая версия",IF(I17&gt;=60,"P2 — следующий выпуск",IF(I17&gt;=40,"P3 — можно отложить","Не включать"))))</x:f>
      </x:c>
      <x:c r="K17" s="27" t="str"/>
      <x:c r="L17" s="27" t="str"/>
      <x:c r="M17" s="27"/>
      <x:c r="N17" s="27"/>
      <x:c r="O17" s="27"/>
      <x:c r="P17" s="27"/>
      <x:c r="Q17" s="27"/>
      <x:c r="R17" s="27"/>
      <x:c r="S17" s="27"/>
      <x:c r="T17" s="27"/>
      <x:c r="U17" s="27"/>
    </x:row>
    <x:row r="18">
      <x:c r="A18" s="27" t="str"/>
      <x:c r="B18" s="27" t="str"/>
      <x:c r="C18" s="27" t="str"/>
      <x:c r="D18" s="27" t="str"/>
      <x:c r="E18" s="27" t="str"/>
      <x:c r="F18" s="27" t="str"/>
      <x:c r="G18" s="27" t="str"/>
      <x:c r="H18" s="27" t="str"/>
      <x:c r="I18" s="27" t="str">
        <x:f>IF(A18="","",MAX(0,MIN(100,ROUND(((D18*0.30)+(E18*0.30)+(F18*0.15)+(G18*0.15)-(H18*0.10))*20,0))))</x:f>
      </x:c>
      <x:c r="J18" s="27" t="str">
        <x:f>IF(A18="","",IF(I18&gt;=80,"P1 — первая версия",IF(I18&gt;=60,"P2 — следующий выпуск",IF(I18&gt;=40,"P3 — можно отложить","Не включать"))))</x:f>
      </x:c>
      <x:c r="K18" s="27" t="str"/>
      <x:c r="L18" s="27" t="str"/>
      <x:c r="M18" s="27"/>
      <x:c r="N18" s="27"/>
      <x:c r="O18" s="27"/>
      <x:c r="P18" s="27"/>
      <x:c r="Q18" s="27"/>
      <x:c r="R18" s="27"/>
      <x:c r="S18" s="27"/>
      <x:c r="T18" s="27"/>
      <x:c r="U18" s="27"/>
    </x:row>
    <x:row r="19">
      <x:c r="A19" s="27" t="str"/>
      <x:c r="B19" s="27" t="str"/>
      <x:c r="C19" s="27" t="str"/>
      <x:c r="D19" s="27" t="str"/>
      <x:c r="E19" s="27" t="str"/>
      <x:c r="F19" s="27" t="str"/>
      <x:c r="G19" s="27" t="str"/>
      <x:c r="H19" s="27" t="str"/>
      <x:c r="I19" s="27" t="str">
        <x:f>IF(A19="","",MAX(0,MIN(100,ROUND(((D19*0.30)+(E19*0.30)+(F19*0.15)+(G19*0.15)-(H19*0.10))*20,0))))</x:f>
      </x:c>
      <x:c r="J19" s="27" t="str">
        <x:f>IF(A19="","",IF(I19&gt;=80,"P1 — первая версия",IF(I19&gt;=60,"P2 — следующий выпуск",IF(I19&gt;=40,"P3 — можно отложить","Не включать"))))</x:f>
      </x:c>
      <x:c r="K19" s="27" t="str"/>
      <x:c r="L19" s="27" t="str"/>
      <x:c r="M19" s="27"/>
      <x:c r="N19" s="27"/>
      <x:c r="O19" s="27"/>
      <x:c r="P19" s="27"/>
      <x:c r="Q19" s="27"/>
      <x:c r="R19" s="27"/>
      <x:c r="S19" s="27"/>
      <x:c r="T19" s="27"/>
      <x:c r="U19" s="27"/>
    </x:row>
    <x:row r="20">
      <x:c r="A20" s="27" t="str"/>
      <x:c r="B20" s="27" t="str"/>
      <x:c r="C20" s="27" t="str"/>
      <x:c r="D20" s="27" t="str"/>
      <x:c r="E20" s="27" t="str"/>
      <x:c r="F20" s="27" t="str"/>
      <x:c r="G20" s="27" t="str"/>
      <x:c r="H20" s="27" t="str"/>
      <x:c r="I20" s="27" t="str">
        <x:f>IF(A20="","",MAX(0,MIN(100,ROUND(((D20*0.30)+(E20*0.30)+(F20*0.15)+(G20*0.15)-(H20*0.10))*20,0))))</x:f>
      </x:c>
      <x:c r="J20" s="27" t="str">
        <x:f>IF(A20="","",IF(I20&gt;=80,"P1 — первая версия",IF(I20&gt;=60,"P2 — следующий выпуск",IF(I20&gt;=40,"P3 — можно отложить","Не включать"))))</x:f>
      </x:c>
      <x:c r="K20" s="27" t="str"/>
      <x:c r="L20" s="27" t="str"/>
      <x:c r="M20" s="27"/>
      <x:c r="N20" s="27"/>
      <x:c r="O20" s="27"/>
      <x:c r="P20" s="27"/>
      <x:c r="Q20" s="27"/>
      <x:c r="R20" s="27"/>
      <x:c r="S20" s="27"/>
      <x:c r="T20" s="27"/>
      <x:c r="U20" s="27"/>
    </x:row>
    <x:row r="21">
      <x:c r="A21" s="27" t="str"/>
      <x:c r="B21" s="27" t="str"/>
      <x:c r="C21" s="27" t="str"/>
      <x:c r="D21" s="27" t="str"/>
      <x:c r="E21" s="27" t="str"/>
      <x:c r="F21" s="27" t="str"/>
      <x:c r="G21" s="27" t="str"/>
      <x:c r="H21" s="27" t="str"/>
      <x:c r="I21" s="27" t="str">
        <x:f>IF(A21="","",MAX(0,MIN(100,ROUND(((D21*0.30)+(E21*0.30)+(F21*0.15)+(G21*0.15)-(H21*0.10))*20,0))))</x:f>
      </x:c>
      <x:c r="J21" s="27" t="str">
        <x:f>IF(A21="","",IF(I21&gt;=80,"P1 — первая версия",IF(I21&gt;=60,"P2 — следующий выпуск",IF(I21&gt;=40,"P3 — можно отложить","Не включать"))))</x:f>
      </x:c>
      <x:c r="K21" s="27" t="str"/>
      <x:c r="L21" s="27" t="str"/>
      <x:c r="M21" s="27"/>
      <x:c r="N21" s="27"/>
      <x:c r="O21" s="27"/>
      <x:c r="P21" s="27"/>
      <x:c r="Q21" s="27"/>
      <x:c r="R21" s="27"/>
      <x:c r="S21" s="27"/>
      <x:c r="T21" s="27"/>
      <x:c r="U21" s="27"/>
    </x:row>
    <x:row r="22">
      <x:c r="A22" s="27" t="str"/>
      <x:c r="B22" s="27" t="str"/>
      <x:c r="C22" s="27" t="str"/>
      <x:c r="D22" s="27" t="str"/>
      <x:c r="E22" s="27" t="str"/>
      <x:c r="F22" s="27" t="str"/>
      <x:c r="G22" s="27" t="str"/>
      <x:c r="H22" s="27" t="str"/>
      <x:c r="I22" s="27" t="str">
        <x:f>IF(A22="","",MAX(0,MIN(100,ROUND(((D22*0.30)+(E22*0.30)+(F22*0.15)+(G22*0.15)-(H22*0.10))*20,0))))</x:f>
      </x:c>
      <x:c r="J22" s="27" t="str">
        <x:f>IF(A22="","",IF(I22&gt;=80,"P1 — первая версия",IF(I22&gt;=60,"P2 — следующий выпуск",IF(I22&gt;=40,"P3 — можно отложить","Не включать"))))</x:f>
      </x:c>
      <x:c r="K22" s="27" t="str"/>
      <x:c r="L22" s="27" t="str"/>
      <x:c r="M22" s="27"/>
      <x:c r="N22" s="27"/>
      <x:c r="O22" s="27"/>
      <x:c r="P22" s="27"/>
      <x:c r="Q22" s="27"/>
      <x:c r="R22" s="27"/>
      <x:c r="S22" s="27"/>
      <x:c r="T22" s="27"/>
      <x:c r="U22" s="27"/>
    </x:row>
    <x:row r="23">
      <x:c r="A23" s="27" t="str"/>
      <x:c r="B23" s="27" t="str"/>
      <x:c r="C23" s="27" t="str"/>
      <x:c r="D23" s="27" t="str"/>
      <x:c r="E23" s="27" t="str"/>
      <x:c r="F23" s="27" t="str"/>
      <x:c r="G23" s="27" t="str"/>
      <x:c r="H23" s="27" t="str"/>
      <x:c r="I23" s="27" t="str">
        <x:f>IF(A23="","",MAX(0,MIN(100,ROUND(((D23*0.30)+(E23*0.30)+(F23*0.15)+(G23*0.15)-(H23*0.10))*20,0))))</x:f>
      </x:c>
      <x:c r="J23" s="27" t="str">
        <x:f>IF(A23="","",IF(I23&gt;=80,"P1 — первая версия",IF(I23&gt;=60,"P2 — следующий выпуск",IF(I23&gt;=40,"P3 — можно отложить","Не включать"))))</x:f>
      </x:c>
      <x:c r="K23" s="27" t="str"/>
      <x:c r="L23" s="27" t="str"/>
      <x:c r="M23" s="27"/>
      <x:c r="N23" s="27"/>
      <x:c r="O23" s="27"/>
      <x:c r="P23" s="27"/>
      <x:c r="Q23" s="27"/>
      <x:c r="R23" s="27"/>
      <x:c r="S23" s="27"/>
      <x:c r="T23" s="27"/>
      <x:c r="U23" s="27"/>
    </x:row>
    <x:row r="24">
      <x:c r="A24" s="27" t="str"/>
      <x:c r="B24" s="27" t="str"/>
      <x:c r="C24" s="27" t="str"/>
      <x:c r="D24" s="27" t="str"/>
      <x:c r="E24" s="27" t="str"/>
      <x:c r="F24" s="27" t="str"/>
      <x:c r="G24" s="27" t="str"/>
      <x:c r="H24" s="27" t="str"/>
      <x:c r="I24" s="27" t="str">
        <x:f>IF(A24="","",MAX(0,MIN(100,ROUND(((D24*0.30)+(E24*0.30)+(F24*0.15)+(G24*0.15)-(H24*0.10))*20,0))))</x:f>
      </x:c>
      <x:c r="J24" s="27" t="str">
        <x:f>IF(A24="","",IF(I24&gt;=80,"P1 — первая версия",IF(I24&gt;=60,"P2 — следующий выпуск",IF(I24&gt;=40,"P3 — можно отложить","Не включать"))))</x:f>
      </x:c>
      <x:c r="K24" s="27" t="str"/>
      <x:c r="L24" s="27" t="str"/>
      <x:c r="M24" s="27"/>
      <x:c r="N24" s="27"/>
      <x:c r="O24" s="27"/>
      <x:c r="P24" s="27"/>
      <x:c r="Q24" s="27"/>
      <x:c r="R24" s="27"/>
      <x:c r="S24" s="27"/>
      <x:c r="T24" s="27"/>
      <x:c r="U24" s="27"/>
    </x:row>
    <x:row r="25">
      <x:c r="A25" s="27" t="str"/>
      <x:c r="B25" s="27" t="str"/>
      <x:c r="C25" s="27" t="str"/>
      <x:c r="D25" s="27" t="str"/>
      <x:c r="E25" s="27" t="str"/>
      <x:c r="F25" s="27" t="str"/>
      <x:c r="G25" s="27" t="str"/>
      <x:c r="H25" s="27" t="str"/>
      <x:c r="I25" s="27" t="str">
        <x:f>IF(A25="","",MAX(0,MIN(100,ROUND(((D25*0.30)+(E25*0.30)+(F25*0.15)+(G25*0.15)-(H25*0.10))*20,0))))</x:f>
      </x:c>
      <x:c r="J25" s="27" t="str">
        <x:f>IF(A25="","",IF(I25&gt;=80,"P1 — первая версия",IF(I25&gt;=60,"P2 — следующий выпуск",IF(I25&gt;=40,"P3 — можно отложить","Не включать"))))</x:f>
      </x:c>
      <x:c r="K25" s="27" t="str"/>
      <x:c r="L25" s="27" t="str"/>
      <x:c r="M25" s="27"/>
      <x:c r="N25" s="27"/>
      <x:c r="O25" s="27"/>
      <x:c r="P25" s="27"/>
      <x:c r="Q25" s="27"/>
      <x:c r="R25" s="27"/>
      <x:c r="S25" s="27"/>
      <x:c r="T25" s="27"/>
      <x:c r="U25" s="27"/>
    </x:row>
    <x:row r="26">
      <x:c r="A26" s="27" t="str"/>
      <x:c r="B26" s="27" t="str"/>
      <x:c r="C26" s="27" t="str"/>
      <x:c r="D26" s="27" t="str"/>
      <x:c r="E26" s="27" t="str"/>
      <x:c r="F26" s="27" t="str"/>
      <x:c r="G26" s="27" t="str"/>
      <x:c r="H26" s="27" t="str"/>
      <x:c r="I26" s="27" t="str">
        <x:f>IF(A26="","",MAX(0,MIN(100,ROUND(((D26*0.30)+(E26*0.30)+(F26*0.15)+(G26*0.15)-(H26*0.10))*20,0))))</x:f>
      </x:c>
      <x:c r="J26" s="27" t="str">
        <x:f>IF(A26="","",IF(I26&gt;=80,"P1 — первая версия",IF(I26&gt;=60,"P2 — следующий выпуск",IF(I26&gt;=40,"P3 — можно отложить","Не включать"))))</x:f>
      </x:c>
      <x:c r="K26" s="27" t="str"/>
      <x:c r="L26" s="27" t="str"/>
      <x:c r="M26" s="27"/>
      <x:c r="N26" s="27"/>
      <x:c r="O26" s="27"/>
      <x:c r="P26" s="27"/>
      <x:c r="Q26" s="27"/>
      <x:c r="R26" s="27"/>
      <x:c r="S26" s="27"/>
      <x:c r="T26" s="27"/>
      <x:c r="U26" s="27"/>
    </x:row>
    <x:row r="27">
      <x:c r="A27" s="27" t="str"/>
      <x:c r="B27" s="27" t="str"/>
      <x:c r="C27" s="27" t="str"/>
      <x:c r="D27" s="27" t="str"/>
      <x:c r="E27" s="27" t="str"/>
      <x:c r="F27" s="27" t="str"/>
      <x:c r="G27" s="27" t="str"/>
      <x:c r="H27" s="27" t="str"/>
      <x:c r="I27" s="27" t="str">
        <x:f>IF(A27="","",MAX(0,MIN(100,ROUND(((D27*0.30)+(E27*0.30)+(F27*0.15)+(G27*0.15)-(H27*0.10))*20,0))))</x:f>
      </x:c>
      <x:c r="J27" s="27" t="str">
        <x:f>IF(A27="","",IF(I27&gt;=80,"P1 — первая версия",IF(I27&gt;=60,"P2 — следующий выпуск",IF(I27&gt;=40,"P3 — можно отложить","Не включать"))))</x:f>
      </x:c>
      <x:c r="K27" s="27" t="str"/>
      <x:c r="L27" s="27" t="str"/>
      <x:c r="M27" s="27"/>
      <x:c r="N27" s="27"/>
      <x:c r="O27" s="27"/>
      <x:c r="P27" s="27"/>
      <x:c r="Q27" s="27"/>
      <x:c r="R27" s="27"/>
      <x:c r="S27" s="27"/>
      <x:c r="T27" s="27"/>
      <x:c r="U27" s="27"/>
    </x:row>
    <x:row r="28">
      <x:c r="A28" s="27" t="str"/>
      <x:c r="B28" s="27" t="str"/>
      <x:c r="C28" s="27" t="str"/>
      <x:c r="D28" s="27" t="str"/>
      <x:c r="E28" s="27" t="str"/>
      <x:c r="F28" s="27" t="str"/>
      <x:c r="G28" s="27" t="str"/>
      <x:c r="H28" s="27" t="str"/>
      <x:c r="I28" s="27" t="str">
        <x:f>IF(A28="","",MAX(0,MIN(100,ROUND(((D28*0.30)+(E28*0.30)+(F28*0.15)+(G28*0.15)-(H28*0.10))*20,0))))</x:f>
      </x:c>
      <x:c r="J28" s="27" t="str">
        <x:f>IF(A28="","",IF(I28&gt;=80,"P1 — первая версия",IF(I28&gt;=60,"P2 — следующий выпуск",IF(I28&gt;=40,"P3 — можно отложить","Не включать"))))</x:f>
      </x:c>
      <x:c r="K28" s="27" t="str"/>
      <x:c r="L28" s="27" t="str"/>
      <x:c r="M28" s="27"/>
      <x:c r="N28" s="27"/>
      <x:c r="O28" s="27"/>
      <x:c r="P28" s="27"/>
      <x:c r="Q28" s="27"/>
      <x:c r="R28" s="27"/>
      <x:c r="S28" s="27"/>
      <x:c r="T28" s="27"/>
      <x:c r="U28" s="27"/>
    </x:row>
    <x:row r="29">
      <x:c r="A29" s="27" t="str"/>
      <x:c r="B29" s="27" t="str"/>
      <x:c r="C29" s="27" t="str"/>
      <x:c r="D29" s="27" t="str"/>
      <x:c r="E29" s="27" t="str"/>
      <x:c r="F29" s="27" t="str"/>
      <x:c r="G29" s="27" t="str"/>
      <x:c r="H29" s="27" t="str"/>
      <x:c r="I29" s="27" t="str">
        <x:f>IF(A29="","",MAX(0,MIN(100,ROUND(((D29*0.30)+(E29*0.30)+(F29*0.15)+(G29*0.15)-(H29*0.10))*20,0))))</x:f>
      </x:c>
      <x:c r="J29" s="27" t="str">
        <x:f>IF(A29="","",IF(I29&gt;=80,"P1 — первая версия",IF(I29&gt;=60,"P2 — следующий выпуск",IF(I29&gt;=40,"P3 — можно отложить","Не включать"))))</x:f>
      </x:c>
      <x:c r="K29" s="27" t="str"/>
      <x:c r="L29" s="27" t="str"/>
      <x:c r="M29" s="27"/>
      <x:c r="N29" s="27"/>
      <x:c r="O29" s="27"/>
      <x:c r="P29" s="27"/>
      <x:c r="Q29" s="27"/>
      <x:c r="R29" s="27"/>
      <x:c r="S29" s="27"/>
      <x:c r="T29" s="27"/>
      <x:c r="U29" s="27"/>
    </x:row>
    <x:row r="30">
      <x:c r="A30" s="27" t="str"/>
      <x:c r="B30" s="27" t="str"/>
      <x:c r="C30" s="27" t="str"/>
      <x:c r="D30" s="27" t="str"/>
      <x:c r="E30" s="27" t="str"/>
      <x:c r="F30" s="27" t="str"/>
      <x:c r="G30" s="27" t="str"/>
      <x:c r="H30" s="27" t="str"/>
      <x:c r="I30" s="27" t="str">
        <x:f>IF(A30="","",MAX(0,MIN(100,ROUND(((D30*0.30)+(E30*0.30)+(F30*0.15)+(G30*0.15)-(H30*0.10))*20,0))))</x:f>
      </x:c>
      <x:c r="J30" s="27" t="str">
        <x:f>IF(A30="","",IF(I30&gt;=80,"P1 — первая версия",IF(I30&gt;=60,"P2 — следующий выпуск",IF(I30&gt;=40,"P3 — можно отложить","Не включать"))))</x:f>
      </x:c>
      <x:c r="K30" s="27" t="str"/>
      <x:c r="L30" s="27" t="str"/>
      <x:c r="M30" s="27"/>
      <x:c r="N30" s="27"/>
      <x:c r="O30" s="27"/>
      <x:c r="P30" s="27"/>
      <x:c r="Q30" s="27"/>
      <x:c r="R30" s="27"/>
      <x:c r="S30" s="27"/>
      <x:c r="T30" s="27"/>
      <x:c r="U30" s="27"/>
    </x:row>
    <x:row r="31">
      <x:c r="A31" s="27" t="str"/>
      <x:c r="B31" s="27" t="str"/>
      <x:c r="C31" s="27" t="str"/>
      <x:c r="D31" s="27" t="str"/>
      <x:c r="E31" s="27" t="str"/>
      <x:c r="F31" s="27" t="str"/>
      <x:c r="G31" s="27" t="str"/>
      <x:c r="H31" s="27" t="str"/>
      <x:c r="I31" s="27" t="str">
        <x:f>IF(A31="","",MAX(0,MIN(100,ROUND(((D31*0.30)+(E31*0.30)+(F31*0.15)+(G31*0.15)-(H31*0.10))*20,0))))</x:f>
      </x:c>
      <x:c r="J31" s="27" t="str">
        <x:f>IF(A31="","",IF(I31&gt;=80,"P1 — первая версия",IF(I31&gt;=60,"P2 — следующий выпуск",IF(I31&gt;=40,"P3 — можно отложить","Не включать"))))</x:f>
      </x:c>
      <x:c r="K31" s="27" t="str"/>
      <x:c r="L31" s="27" t="str"/>
      <x:c r="M31" s="27"/>
      <x:c r="N31" s="27"/>
      <x:c r="O31" s="27"/>
      <x:c r="P31" s="27"/>
      <x:c r="Q31" s="27"/>
      <x:c r="R31" s="27"/>
      <x:c r="S31" s="27"/>
      <x:c r="T31" s="27"/>
      <x:c r="U31" s="27"/>
    </x:row>
    <x:row r="32">
      <x:c r="A32" s="27" t="str"/>
      <x:c r="B32" s="27" t="str"/>
      <x:c r="C32" s="27" t="str"/>
      <x:c r="D32" s="27" t="str"/>
      <x:c r="E32" s="27" t="str"/>
      <x:c r="F32" s="27" t="str"/>
      <x:c r="G32" s="27" t="str"/>
      <x:c r="H32" s="27" t="str"/>
      <x:c r="I32" s="27" t="str">
        <x:f>IF(A32="","",MAX(0,MIN(100,ROUND(((D32*0.30)+(E32*0.30)+(F32*0.15)+(G32*0.15)-(H32*0.10))*20,0))))</x:f>
      </x:c>
      <x:c r="J32" s="27" t="str">
        <x:f>IF(A32="","",IF(I32&gt;=80,"P1 — первая версия",IF(I32&gt;=60,"P2 — следующий выпуск",IF(I32&gt;=40,"P3 — можно отложить","Не включать"))))</x:f>
      </x:c>
      <x:c r="K32" s="27" t="str"/>
      <x:c r="L32" s="27" t="str"/>
      <x:c r="M32" s="27"/>
      <x:c r="N32" s="27"/>
      <x:c r="O32" s="27"/>
      <x:c r="P32" s="27"/>
      <x:c r="Q32" s="27"/>
      <x:c r="R32" s="27"/>
      <x:c r="S32" s="27"/>
      <x:c r="T32" s="27"/>
      <x:c r="U32" s="27"/>
    </x:row>
    <x:row r="33">
      <x:c r="A33" s="27" t="str"/>
      <x:c r="B33" s="27" t="str"/>
      <x:c r="C33" s="27" t="str"/>
      <x:c r="D33" s="27" t="str"/>
      <x:c r="E33" s="27" t="str"/>
      <x:c r="F33" s="27" t="str"/>
      <x:c r="G33" s="27" t="str"/>
      <x:c r="H33" s="27" t="str"/>
      <x:c r="I33" s="27" t="str">
        <x:f>IF(A33="","",MAX(0,MIN(100,ROUND(((D33*0.30)+(E33*0.30)+(F33*0.15)+(G33*0.15)-(H33*0.10))*20,0))))</x:f>
      </x:c>
      <x:c r="J33" s="27" t="str">
        <x:f>IF(A33="","",IF(I33&gt;=80,"P1 — первая версия",IF(I33&gt;=60,"P2 — следующий выпуск",IF(I33&gt;=40,"P3 — можно отложить","Не включать"))))</x:f>
      </x:c>
      <x:c r="K33" s="27" t="str"/>
      <x:c r="L33" s="27" t="str"/>
      <x:c r="M33" s="27"/>
      <x:c r="N33" s="27"/>
      <x:c r="O33" s="27"/>
      <x:c r="P33" s="27"/>
      <x:c r="Q33" s="27"/>
      <x:c r="R33" s="27"/>
      <x:c r="S33" s="27"/>
      <x:c r="T33" s="27"/>
      <x:c r="U33" s="27"/>
    </x:row>
    <x:row r="34">
      <x:c r="A34" s="27" t="str"/>
      <x:c r="B34" s="27" t="str"/>
      <x:c r="C34" s="27" t="str"/>
      <x:c r="D34" s="27" t="str"/>
      <x:c r="E34" s="27" t="str"/>
      <x:c r="F34" s="27" t="str"/>
      <x:c r="G34" s="27" t="str"/>
      <x:c r="H34" s="27" t="str"/>
      <x:c r="I34" s="27" t="str">
        <x:f>IF(A34="","",MAX(0,MIN(100,ROUND(((D34*0.30)+(E34*0.30)+(F34*0.15)+(G34*0.15)-(H34*0.10))*20,0))))</x:f>
      </x:c>
      <x:c r="J34" s="27" t="str">
        <x:f>IF(A34="","",IF(I34&gt;=80,"P1 — первая версия",IF(I34&gt;=60,"P2 — следующий выпуск",IF(I34&gt;=40,"P3 — можно отложить","Не включать"))))</x:f>
      </x:c>
      <x:c r="K34" s="27" t="str"/>
      <x:c r="L34" s="27" t="str"/>
      <x:c r="M34" s="27"/>
      <x:c r="N34" s="27"/>
      <x:c r="O34" s="27"/>
      <x:c r="P34" s="27"/>
      <x:c r="Q34" s="27"/>
      <x:c r="R34" s="27"/>
      <x:c r="S34" s="27"/>
      <x:c r="T34" s="27"/>
      <x:c r="U34" s="27"/>
    </x:row>
    <x:row r="35">
      <x:c r="A35" s="27" t="str"/>
      <x:c r="B35" s="27" t="str"/>
      <x:c r="C35" s="27" t="str"/>
      <x:c r="D35" s="27" t="str"/>
      <x:c r="E35" s="27" t="str"/>
      <x:c r="F35" s="27" t="str"/>
      <x:c r="G35" s="27" t="str"/>
      <x:c r="H35" s="27" t="str"/>
      <x:c r="I35" s="27" t="str">
        <x:f>IF(A35="","",MAX(0,MIN(100,ROUND(((D35*0.30)+(E35*0.30)+(F35*0.15)+(G35*0.15)-(H35*0.10))*20,0))))</x:f>
      </x:c>
      <x:c r="J35" s="27" t="str">
        <x:f>IF(A35="","",IF(I35&gt;=80,"P1 — первая версия",IF(I35&gt;=60,"P2 — следующий выпуск",IF(I35&gt;=40,"P3 — можно отложить","Не включать"))))</x:f>
      </x:c>
      <x:c r="K35" s="27" t="str"/>
      <x:c r="L35" s="27" t="str"/>
      <x:c r="M35" s="27"/>
      <x:c r="N35" s="27"/>
      <x:c r="O35" s="27"/>
      <x:c r="P35" s="27"/>
      <x:c r="Q35" s="27"/>
      <x:c r="R35" s="27"/>
      <x:c r="S35" s="27"/>
      <x:c r="T35" s="27"/>
      <x:c r="U35" s="27"/>
    </x:row>
    <x:row r="36">
      <x:c r="A36" s="27" t="str"/>
      <x:c r="B36" s="27" t="str"/>
      <x:c r="C36" s="27" t="str"/>
      <x:c r="D36" s="27" t="str"/>
      <x:c r="E36" s="27" t="str"/>
      <x:c r="F36" s="27" t="str"/>
      <x:c r="G36" s="27" t="str"/>
      <x:c r="H36" s="27" t="str"/>
      <x:c r="I36" s="27" t="str">
        <x:f>IF(A36="","",MAX(0,MIN(100,ROUND(((D36*0.30)+(E36*0.30)+(F36*0.15)+(G36*0.15)-(H36*0.10))*20,0))))</x:f>
      </x:c>
      <x:c r="J36" s="27" t="str">
        <x:f>IF(A36="","",IF(I36&gt;=80,"P1 — первая версия",IF(I36&gt;=60,"P2 — следующий выпуск",IF(I36&gt;=40,"P3 — можно отложить","Не включать"))))</x:f>
      </x:c>
      <x:c r="K36" s="27" t="str"/>
      <x:c r="L36" s="27" t="str"/>
      <x:c r="M36" s="27"/>
      <x:c r="N36" s="27"/>
      <x:c r="O36" s="27"/>
      <x:c r="P36" s="27"/>
      <x:c r="Q36" s="27"/>
      <x:c r="R36" s="27"/>
      <x:c r="S36" s="27"/>
      <x:c r="T36" s="27"/>
      <x:c r="U36" s="27"/>
    </x:row>
    <x:row r="37">
      <x:c r="A37" s="27" t="str"/>
      <x:c r="B37" s="27" t="str"/>
      <x:c r="C37" s="27" t="str"/>
      <x:c r="D37" s="27" t="str"/>
      <x:c r="E37" s="27" t="str"/>
      <x:c r="F37" s="27" t="str"/>
      <x:c r="G37" s="27" t="str"/>
      <x:c r="H37" s="27" t="str"/>
      <x:c r="I37" s="27" t="str">
        <x:f>IF(A37="","",MAX(0,MIN(100,ROUND(((D37*0.30)+(E37*0.30)+(F37*0.15)+(G37*0.15)-(H37*0.10))*20,0))))</x:f>
      </x:c>
      <x:c r="J37" s="27" t="str">
        <x:f>IF(A37="","",IF(I37&gt;=80,"P1 — первая версия",IF(I37&gt;=60,"P2 — следующий выпуск",IF(I37&gt;=40,"P3 — можно отложить","Не включать"))))</x:f>
      </x:c>
      <x:c r="K37" s="27" t="str"/>
      <x:c r="L37" s="27" t="str"/>
      <x:c r="M37" s="27"/>
      <x:c r="N37" s="27"/>
      <x:c r="O37" s="27"/>
      <x:c r="P37" s="27"/>
      <x:c r="Q37" s="27"/>
      <x:c r="R37" s="27"/>
      <x:c r="S37" s="27"/>
      <x:c r="T37" s="27"/>
      <x:c r="U37" s="27"/>
    </x:row>
    <x:row r="38">
      <x:c r="A38" s="27" t="str"/>
      <x:c r="B38" s="27" t="str"/>
      <x:c r="C38" s="27" t="str"/>
      <x:c r="D38" s="27" t="str"/>
      <x:c r="E38" s="27" t="str"/>
      <x:c r="F38" s="27" t="str"/>
      <x:c r="G38" s="27" t="str"/>
      <x:c r="H38" s="27" t="str"/>
      <x:c r="I38" s="27" t="str">
        <x:f>IF(A38="","",MAX(0,MIN(100,ROUND(((D38*0.30)+(E38*0.30)+(F38*0.15)+(G38*0.15)-(H38*0.10))*20,0))))</x:f>
      </x:c>
      <x:c r="J38" s="27" t="str">
        <x:f>IF(A38="","",IF(I38&gt;=80,"P1 — первая версия",IF(I38&gt;=60,"P2 — следующий выпуск",IF(I38&gt;=40,"P3 — можно отложить","Не включать"))))</x:f>
      </x:c>
      <x:c r="K38" s="27" t="str"/>
      <x:c r="L38" s="27" t="str"/>
      <x:c r="M38" s="27"/>
      <x:c r="N38" s="27"/>
      <x:c r="O38" s="27"/>
      <x:c r="P38" s="27"/>
      <x:c r="Q38" s="27"/>
      <x:c r="R38" s="27"/>
      <x:c r="S38" s="27"/>
      <x:c r="T38" s="27"/>
      <x:c r="U38" s="27"/>
    </x:row>
    <x:row r="39">
      <x:c r="A39" s="27" t="str"/>
      <x:c r="B39" s="27" t="str"/>
      <x:c r="C39" s="27" t="str"/>
      <x:c r="D39" s="27" t="str"/>
      <x:c r="E39" s="27" t="str"/>
      <x:c r="F39" s="27" t="str"/>
      <x:c r="G39" s="27" t="str"/>
      <x:c r="H39" s="27" t="str"/>
      <x:c r="I39" s="27" t="str">
        <x:f>IF(A39="","",MAX(0,MIN(100,ROUND(((D39*0.30)+(E39*0.30)+(F39*0.15)+(G39*0.15)-(H39*0.10))*20,0))))</x:f>
      </x:c>
      <x:c r="J39" s="27" t="str">
        <x:f>IF(A39="","",IF(I39&gt;=80,"P1 — первая версия",IF(I39&gt;=60,"P2 — следующий выпуск",IF(I39&gt;=40,"P3 — можно отложить","Не включать"))))</x:f>
      </x:c>
      <x:c r="K39" s="27" t="str"/>
      <x:c r="L39" s="27" t="str"/>
      <x:c r="M39" s="27"/>
      <x:c r="N39" s="27"/>
      <x:c r="O39" s="27"/>
      <x:c r="P39" s="27"/>
      <x:c r="Q39" s="27"/>
      <x:c r="R39" s="27"/>
      <x:c r="S39" s="27"/>
      <x:c r="T39" s="27"/>
      <x:c r="U39" s="27"/>
    </x:row>
    <x:row r="40">
      <x:c r="A40" s="27" t="str"/>
      <x:c r="B40" s="27" t="str"/>
      <x:c r="C40" s="27" t="str"/>
      <x:c r="D40" s="27" t="str"/>
      <x:c r="E40" s="27" t="str"/>
      <x:c r="F40" s="27" t="str"/>
      <x:c r="G40" s="27" t="str"/>
      <x:c r="H40" s="27" t="str"/>
      <x:c r="I40" s="27" t="str">
        <x:f>IF(A40="","",MAX(0,MIN(100,ROUND(((D40*0.30)+(E40*0.30)+(F40*0.15)+(G40*0.15)-(H40*0.10))*20,0))))</x:f>
      </x:c>
      <x:c r="J40" s="27" t="str">
        <x:f>IF(A40="","",IF(I40&gt;=80,"P1 — первая версия",IF(I40&gt;=60,"P2 — следующий выпуск",IF(I40&gt;=40,"P3 — можно отложить","Не включать"))))</x:f>
      </x:c>
      <x:c r="K40" s="27" t="str"/>
      <x:c r="L40" s="27" t="str"/>
      <x:c r="M40" s="27"/>
      <x:c r="N40" s="27"/>
      <x:c r="O40" s="27"/>
      <x:c r="P40" s="27"/>
      <x:c r="Q40" s="27"/>
      <x:c r="R40" s="27"/>
      <x:c r="S40" s="27"/>
      <x:c r="T40" s="27"/>
      <x:c r="U40" s="27"/>
    </x:row>
    <x:row r="41">
      <x:c r="A41" s="27" t="str"/>
      <x:c r="B41" s="27" t="str"/>
      <x:c r="C41" s="27" t="str"/>
      <x:c r="D41" s="27" t="str"/>
      <x:c r="E41" s="27" t="str"/>
      <x:c r="F41" s="27" t="str"/>
      <x:c r="G41" s="27" t="str"/>
      <x:c r="H41" s="27" t="str"/>
      <x:c r="I41" s="27" t="str">
        <x:f>IF(A41="","",MAX(0,MIN(100,ROUND(((D41*0.30)+(E41*0.30)+(F41*0.15)+(G41*0.15)-(H41*0.10))*20,0))))</x:f>
      </x:c>
      <x:c r="J41" s="27" t="str">
        <x:f>IF(A41="","",IF(I41&gt;=80,"P1 — первая версия",IF(I41&gt;=60,"P2 — следующий выпуск",IF(I41&gt;=40,"P3 — можно отложить","Не включать"))))</x:f>
      </x:c>
      <x:c r="K41" s="27" t="str"/>
      <x:c r="L41" s="27" t="str"/>
      <x:c r="M41" s="27"/>
      <x:c r="N41" s="27"/>
      <x:c r="O41" s="27"/>
      <x:c r="P41" s="27"/>
      <x:c r="Q41" s="27"/>
      <x:c r="R41" s="27"/>
      <x:c r="S41" s="27"/>
      <x:c r="T41" s="27"/>
      <x:c r="U41" s="27"/>
    </x:row>
    <x:row r="42">
      <x:c r="A42" s="27" t="str"/>
      <x:c r="B42" s="27" t="str"/>
      <x:c r="C42" s="27" t="str"/>
      <x:c r="D42" s="27" t="str"/>
      <x:c r="E42" s="27" t="str"/>
      <x:c r="F42" s="27" t="str"/>
      <x:c r="G42" s="27" t="str"/>
      <x:c r="H42" s="27" t="str"/>
      <x:c r="I42" s="27" t="str">
        <x:f>IF(A42="","",MAX(0,MIN(100,ROUND(((D42*0.30)+(E42*0.30)+(F42*0.15)+(G42*0.15)-(H42*0.10))*20,0))))</x:f>
      </x:c>
      <x:c r="J42" s="27" t="str">
        <x:f>IF(A42="","",IF(I42&gt;=80,"P1 — первая версия",IF(I42&gt;=60,"P2 — следующий выпуск",IF(I42&gt;=40,"P3 — можно отложить","Не включать"))))</x:f>
      </x:c>
      <x:c r="K42" s="27" t="str"/>
      <x:c r="L42" s="27" t="str"/>
      <x:c r="M42" s="27"/>
      <x:c r="N42" s="27"/>
      <x:c r="O42" s="27"/>
      <x:c r="P42" s="27"/>
      <x:c r="Q42" s="27"/>
      <x:c r="R42" s="27"/>
      <x:c r="S42" s="27"/>
      <x:c r="T42" s="27"/>
      <x:c r="U42" s="27"/>
    </x:row>
    <x:row r="43">
      <x:c r="A43" s="27" t="str"/>
      <x:c r="B43" s="27" t="str"/>
      <x:c r="C43" s="27" t="str"/>
      <x:c r="D43" s="27" t="str"/>
      <x:c r="E43" s="27" t="str"/>
      <x:c r="F43" s="27" t="str"/>
      <x:c r="G43" s="27" t="str"/>
      <x:c r="H43" s="27" t="str"/>
      <x:c r="I43" s="27" t="str">
        <x:f>IF(A43="","",MAX(0,MIN(100,ROUND(((D43*0.30)+(E43*0.30)+(F43*0.15)+(G43*0.15)-(H43*0.10))*20,0))))</x:f>
      </x:c>
      <x:c r="J43" s="27" t="str">
        <x:f>IF(A43="","",IF(I43&gt;=80,"P1 — первая версия",IF(I43&gt;=60,"P2 — следующий выпуск",IF(I43&gt;=40,"P3 — можно отложить","Не включать"))))</x:f>
      </x:c>
      <x:c r="K43" s="27" t="str"/>
      <x:c r="L43" s="27" t="str"/>
      <x:c r="M43" s="27"/>
      <x:c r="N43" s="27"/>
      <x:c r="O43" s="27"/>
      <x:c r="P43" s="27"/>
      <x:c r="Q43" s="27"/>
      <x:c r="R43" s="27"/>
      <x:c r="S43" s="27"/>
      <x:c r="T43" s="27"/>
      <x:c r="U43" s="27"/>
    </x:row>
    <x:row r="44">
      <x:c r="A44" s="27" t="str"/>
      <x:c r="B44" s="27" t="str"/>
      <x:c r="C44" s="27" t="str"/>
      <x:c r="D44" s="27" t="str"/>
      <x:c r="E44" s="27" t="str"/>
      <x:c r="F44" s="27" t="str"/>
      <x:c r="G44" s="27" t="str"/>
      <x:c r="H44" s="27" t="str"/>
      <x:c r="I44" s="27" t="str">
        <x:f>IF(A44="","",MAX(0,MIN(100,ROUND(((D44*0.30)+(E44*0.30)+(F44*0.15)+(G44*0.15)-(H44*0.10))*20,0))))</x:f>
      </x:c>
      <x:c r="J44" s="27" t="str">
        <x:f>IF(A44="","",IF(I44&gt;=80,"P1 — первая версия",IF(I44&gt;=60,"P2 — следующий выпуск",IF(I44&gt;=40,"P3 — можно отложить","Не включать"))))</x:f>
      </x:c>
      <x:c r="K44" s="27" t="str"/>
      <x:c r="L44" s="27" t="str"/>
      <x:c r="M44" s="27"/>
      <x:c r="N44" s="27"/>
      <x:c r="O44" s="27"/>
      <x:c r="P44" s="27"/>
      <x:c r="Q44" s="27"/>
      <x:c r="R44" s="27"/>
      <x:c r="S44" s="27"/>
      <x:c r="T44" s="27"/>
      <x:c r="U44" s="27"/>
    </x:row>
    <x:row r="45">
      <x:c r="A45" s="27" t="str"/>
      <x:c r="B45" s="27" t="str"/>
      <x:c r="C45" s="27" t="str"/>
      <x:c r="D45" s="27" t="str"/>
      <x:c r="E45" s="27" t="str"/>
      <x:c r="F45" s="27" t="str"/>
      <x:c r="G45" s="27" t="str"/>
      <x:c r="H45" s="27" t="str"/>
      <x:c r="I45" s="27" t="str">
        <x:f>IF(A45="","",MAX(0,MIN(100,ROUND(((D45*0.30)+(E45*0.30)+(F45*0.15)+(G45*0.15)-(H45*0.10))*20,0))))</x:f>
      </x:c>
      <x:c r="J45" s="27" t="str">
        <x:f>IF(A45="","",IF(I45&gt;=80,"P1 — первая версия",IF(I45&gt;=60,"P2 — следующий выпуск",IF(I45&gt;=40,"P3 — можно отложить","Не включать"))))</x:f>
      </x:c>
      <x:c r="K45" s="27" t="str"/>
      <x:c r="L45" s="27" t="str"/>
      <x:c r="M45" s="27"/>
      <x:c r="N45" s="27"/>
      <x:c r="O45" s="27"/>
      <x:c r="P45" s="27"/>
      <x:c r="Q45" s="27"/>
      <x:c r="R45" s="27"/>
      <x:c r="S45" s="27"/>
      <x:c r="T45" s="27"/>
      <x:c r="U45" s="27"/>
    </x:row>
    <x:row r="46">
      <x:c r="A46" s="27" t="str"/>
      <x:c r="B46" s="27" t="str"/>
      <x:c r="C46" s="27" t="str"/>
      <x:c r="D46" s="27" t="str"/>
      <x:c r="E46" s="27" t="str"/>
      <x:c r="F46" s="27" t="str"/>
      <x:c r="G46" s="27" t="str"/>
      <x:c r="H46" s="27" t="str"/>
      <x:c r="I46" s="27" t="str">
        <x:f>IF(A46="","",MAX(0,MIN(100,ROUND(((D46*0.30)+(E46*0.30)+(F46*0.15)+(G46*0.15)-(H46*0.10))*20,0))))</x:f>
      </x:c>
      <x:c r="J46" s="27" t="str">
        <x:f>IF(A46="","",IF(I46&gt;=80,"P1 — первая версия",IF(I46&gt;=60,"P2 — следующий выпуск",IF(I46&gt;=40,"P3 — можно отложить","Не включать"))))</x:f>
      </x:c>
      <x:c r="K46" s="27" t="str"/>
      <x:c r="L46" s="27" t="str"/>
      <x:c r="M46" s="27"/>
      <x:c r="N46" s="27"/>
      <x:c r="O46" s="27"/>
      <x:c r="P46" s="27"/>
      <x:c r="Q46" s="27"/>
      <x:c r="R46" s="27"/>
      <x:c r="S46" s="27"/>
      <x:c r="T46" s="27"/>
      <x:c r="U46" s="27"/>
    </x:row>
    <x:row r="47">
      <x:c r="A47" s="27" t="str"/>
      <x:c r="B47" s="27" t="str"/>
      <x:c r="C47" s="27" t="str"/>
      <x:c r="D47" s="27" t="str"/>
      <x:c r="E47" s="27" t="str"/>
      <x:c r="F47" s="27" t="str"/>
      <x:c r="G47" s="27" t="str"/>
      <x:c r="H47" s="27" t="str"/>
      <x:c r="I47" s="27" t="str">
        <x:f>IF(A47="","",MAX(0,MIN(100,ROUND(((D47*0.30)+(E47*0.30)+(F47*0.15)+(G47*0.15)-(H47*0.10))*20,0))))</x:f>
      </x:c>
      <x:c r="J47" s="27" t="str">
        <x:f>IF(A47="","",IF(I47&gt;=80,"P1 — первая версия",IF(I47&gt;=60,"P2 — следующий выпуск",IF(I47&gt;=40,"P3 — можно отложить","Не включать"))))</x:f>
      </x:c>
      <x:c r="K47" s="27" t="str"/>
      <x:c r="L47" s="27" t="str"/>
      <x:c r="M47" s="27"/>
      <x:c r="N47" s="27"/>
      <x:c r="O47" s="27"/>
      <x:c r="P47" s="27"/>
      <x:c r="Q47" s="27"/>
      <x:c r="R47" s="27"/>
      <x:c r="S47" s="27"/>
      <x:c r="T47" s="27"/>
      <x:c r="U47" s="27"/>
    </x:row>
    <x:row r="48">
      <x:c r="A48" s="27" t="str"/>
      <x:c r="B48" s="27" t="str"/>
      <x:c r="C48" s="27" t="str"/>
      <x:c r="D48" s="27" t="str"/>
      <x:c r="E48" s="27" t="str"/>
      <x:c r="F48" s="27" t="str"/>
      <x:c r="G48" s="27" t="str"/>
      <x:c r="H48" s="27" t="str"/>
      <x:c r="I48" s="27" t="str">
        <x:f>IF(A48="","",MAX(0,MIN(100,ROUND(((D48*0.30)+(E48*0.30)+(F48*0.15)+(G48*0.15)-(H48*0.10))*20,0))))</x:f>
      </x:c>
      <x:c r="J48" s="27" t="str">
        <x:f>IF(A48="","",IF(I48&gt;=80,"P1 — первая версия",IF(I48&gt;=60,"P2 — следующий выпуск",IF(I48&gt;=40,"P3 — можно отложить","Не включать"))))</x:f>
      </x:c>
      <x:c r="K48" s="27" t="str"/>
      <x:c r="L48" s="27" t="str"/>
      <x:c r="M48" s="27"/>
      <x:c r="N48" s="27"/>
      <x:c r="O48" s="27"/>
      <x:c r="P48" s="27"/>
      <x:c r="Q48" s="27"/>
      <x:c r="R48" s="27"/>
      <x:c r="S48" s="27"/>
      <x:c r="T48" s="27"/>
      <x:c r="U48" s="27"/>
    </x:row>
    <x:row r="49">
      <x:c r="A49" s="27" t="str"/>
      <x:c r="B49" s="27" t="str"/>
      <x:c r="C49" s="27" t="str"/>
      <x:c r="D49" s="27" t="str"/>
      <x:c r="E49" s="27" t="str"/>
      <x:c r="F49" s="27" t="str"/>
      <x:c r="G49" s="27" t="str"/>
      <x:c r="H49" s="27" t="str"/>
      <x:c r="I49" s="27" t="str">
        <x:f>IF(A49="","",MAX(0,MIN(100,ROUND(((D49*0.30)+(E49*0.30)+(F49*0.15)+(G49*0.15)-(H49*0.10))*20,0))))</x:f>
      </x:c>
      <x:c r="J49" s="27" t="str">
        <x:f>IF(A49="","",IF(I49&gt;=80,"P1 — первая версия",IF(I49&gt;=60,"P2 — следующий выпуск",IF(I49&gt;=40,"P3 — можно отложить","Не включать"))))</x:f>
      </x:c>
      <x:c r="K49" s="27" t="str"/>
      <x:c r="L49" s="27" t="str"/>
      <x:c r="M49" s="27"/>
      <x:c r="N49" s="27"/>
      <x:c r="O49" s="27"/>
      <x:c r="P49" s="27"/>
      <x:c r="Q49" s="27"/>
      <x:c r="R49" s="27"/>
      <x:c r="S49" s="27"/>
      <x:c r="T49" s="27"/>
      <x:c r="U49" s="27"/>
    </x:row>
    <x:row r="50">
      <x:c r="A50" s="27" t="str"/>
      <x:c r="B50" s="27" t="str"/>
      <x:c r="C50" s="27" t="str"/>
      <x:c r="D50" s="27" t="str"/>
      <x:c r="E50" s="27" t="str"/>
      <x:c r="F50" s="27" t="str"/>
      <x:c r="G50" s="27" t="str"/>
      <x:c r="H50" s="27" t="str"/>
      <x:c r="I50" s="27" t="str">
        <x:f>IF(A50="","",MAX(0,MIN(100,ROUND(((D50*0.30)+(E50*0.30)+(F50*0.15)+(G50*0.15)-(H50*0.10))*20,0))))</x:f>
      </x:c>
      <x:c r="J50" s="27" t="str">
        <x:f>IF(A50="","",IF(I50&gt;=80,"P1 — первая версия",IF(I50&gt;=60,"P2 — следующий выпуск",IF(I50&gt;=40,"P3 — можно отложить","Не включать"))))</x:f>
      </x:c>
      <x:c r="K50" s="27" t="str"/>
      <x:c r="L50" s="27" t="str"/>
      <x:c r="M50" s="27"/>
      <x:c r="N50" s="27"/>
      <x:c r="O50" s="27"/>
      <x:c r="P50" s="27"/>
      <x:c r="Q50" s="27"/>
      <x:c r="R50" s="27"/>
      <x:c r="S50" s="27"/>
      <x:c r="T50" s="27"/>
      <x:c r="U50" s="27"/>
    </x:row>
    <x:row r="51">
      <x:c r="A51" s="27" t="str"/>
      <x:c r="B51" s="27" t="str"/>
      <x:c r="C51" s="27" t="str"/>
      <x:c r="D51" s="27" t="str"/>
      <x:c r="E51" s="27" t="str"/>
      <x:c r="F51" s="27" t="str"/>
      <x:c r="G51" s="27" t="str"/>
      <x:c r="H51" s="27" t="str"/>
      <x:c r="I51" s="27" t="str">
        <x:f>IF(A51="","",MAX(0,MIN(100,ROUND(((D51*0.30)+(E51*0.30)+(F51*0.15)+(G51*0.15)-(H51*0.10))*20,0))))</x:f>
      </x:c>
      <x:c r="J51" s="27" t="str">
        <x:f>IF(A51="","",IF(I51&gt;=80,"P1 — первая версия",IF(I51&gt;=60,"P2 — следующий выпуск",IF(I51&gt;=40,"P3 — можно отложить","Не включать"))))</x:f>
      </x:c>
      <x:c r="K51" s="27" t="str"/>
      <x:c r="L51" s="27" t="str"/>
      <x:c r="M51" s="27"/>
      <x:c r="N51" s="27"/>
      <x:c r="O51" s="27"/>
      <x:c r="P51" s="27"/>
      <x:c r="Q51" s="27"/>
      <x:c r="R51" s="27"/>
      <x:c r="S51" s="27"/>
      <x:c r="T51" s="27"/>
      <x:c r="U51" s="27"/>
    </x:row>
    <x:row r="52">
      <x:c r="A52" s="27" t="str"/>
      <x:c r="B52" s="27" t="str"/>
      <x:c r="C52" s="27" t="str"/>
      <x:c r="D52" s="27" t="str"/>
      <x:c r="E52" s="27" t="str"/>
      <x:c r="F52" s="27" t="str"/>
      <x:c r="G52" s="27" t="str"/>
      <x:c r="H52" s="27" t="str"/>
      <x:c r="I52" s="27" t="str">
        <x:f>IF(A52="","",MAX(0,MIN(100,ROUND(((D52*0.30)+(E52*0.30)+(F52*0.15)+(G52*0.15)-(H52*0.10))*20,0))))</x:f>
      </x:c>
      <x:c r="J52" s="27" t="str">
        <x:f>IF(A52="","",IF(I52&gt;=80,"P1 — первая версия",IF(I52&gt;=60,"P2 — следующий выпуск",IF(I52&gt;=40,"P3 — можно отложить","Не включать"))))</x:f>
      </x:c>
      <x:c r="K52" s="27" t="str"/>
      <x:c r="L52" s="27" t="str"/>
      <x:c r="M52" s="27"/>
      <x:c r="N52" s="27"/>
      <x:c r="O52" s="27"/>
      <x:c r="P52" s="27"/>
      <x:c r="Q52" s="27"/>
      <x:c r="R52" s="27"/>
      <x:c r="S52" s="27"/>
      <x:c r="T52" s="27"/>
      <x:c r="U52" s="27"/>
    </x:row>
    <x:row r="53">
      <x:c r="A53" s="27" t="str"/>
      <x:c r="B53" s="27" t="str"/>
      <x:c r="C53" s="27" t="str"/>
      <x:c r="D53" s="27" t="str"/>
      <x:c r="E53" s="27" t="str"/>
      <x:c r="F53" s="27" t="str"/>
      <x:c r="G53" s="27" t="str"/>
      <x:c r="H53" s="27" t="str"/>
      <x:c r="I53" s="27" t="str">
        <x:f>IF(A53="","",MAX(0,MIN(100,ROUND(((D53*0.30)+(E53*0.30)+(F53*0.15)+(G53*0.15)-(H53*0.10))*20,0))))</x:f>
      </x:c>
      <x:c r="J53" s="27" t="str">
        <x:f>IF(A53="","",IF(I53&gt;=80,"P1 — первая версия",IF(I53&gt;=60,"P2 — следующий выпуск",IF(I53&gt;=40,"P3 — можно отложить","Не включать"))))</x:f>
      </x:c>
      <x:c r="K53" s="27" t="str"/>
      <x:c r="L53" s="27" t="str"/>
      <x:c r="M53" s="27"/>
      <x:c r="N53" s="27"/>
      <x:c r="O53" s="27"/>
      <x:c r="P53" s="27"/>
      <x:c r="Q53" s="27"/>
      <x:c r="R53" s="27"/>
      <x:c r="S53" s="27"/>
      <x:c r="T53" s="27"/>
      <x:c r="U53" s="27"/>
    </x:row>
    <x:row r="54">
      <x:c r="A54" s="27" t="str"/>
      <x:c r="B54" s="27" t="str"/>
      <x:c r="C54" s="27" t="str"/>
      <x:c r="D54" s="27" t="str"/>
      <x:c r="E54" s="27" t="str"/>
      <x:c r="F54" s="27" t="str"/>
      <x:c r="G54" s="27" t="str"/>
      <x:c r="H54" s="27" t="str"/>
      <x:c r="I54" s="27" t="str">
        <x:f>IF(A54="","",MAX(0,MIN(100,ROUND(((D54*0.30)+(E54*0.30)+(F54*0.15)+(G54*0.15)-(H54*0.10))*20,0))))</x:f>
      </x:c>
      <x:c r="J54" s="27" t="str">
        <x:f>IF(A54="","",IF(I54&gt;=80,"P1 — первая версия",IF(I54&gt;=60,"P2 — следующий выпуск",IF(I54&gt;=40,"P3 — можно отложить","Не включать"))))</x:f>
      </x:c>
      <x:c r="K54" s="27" t="str"/>
      <x:c r="L54" s="27" t="str"/>
      <x:c r="M54" s="27"/>
      <x:c r="N54" s="27"/>
      <x:c r="O54" s="27"/>
      <x:c r="P54" s="27"/>
      <x:c r="Q54" s="27"/>
      <x:c r="R54" s="27"/>
      <x:c r="S54" s="27"/>
      <x:c r="T54" s="27"/>
      <x:c r="U54" s="27"/>
    </x:row>
    <x:row r="55">
      <x:c r="A55" s="27" t="str"/>
      <x:c r="B55" s="27" t="str"/>
      <x:c r="C55" s="27" t="str"/>
      <x:c r="D55" s="27" t="str"/>
      <x:c r="E55" s="27" t="str"/>
      <x:c r="F55" s="27" t="str"/>
      <x:c r="G55" s="27" t="str"/>
      <x:c r="H55" s="27" t="str"/>
      <x:c r="I55" s="27" t="str">
        <x:f>IF(A55="","",MAX(0,MIN(100,ROUND(((D55*0.30)+(E55*0.30)+(F55*0.15)+(G55*0.15)-(H55*0.10))*20,0))))</x:f>
      </x:c>
      <x:c r="J55" s="27" t="str">
        <x:f>IF(A55="","",IF(I55&gt;=80,"P1 — первая версия",IF(I55&gt;=60,"P2 — следующий выпуск",IF(I55&gt;=40,"P3 — можно отложить","Не включать"))))</x:f>
      </x:c>
      <x:c r="K55" s="27" t="str"/>
      <x:c r="L55" s="27" t="str"/>
      <x:c r="M55" s="27"/>
      <x:c r="N55" s="27"/>
      <x:c r="O55" s="27"/>
      <x:c r="P55" s="27"/>
      <x:c r="Q55" s="27"/>
      <x:c r="R55" s="27"/>
      <x:c r="S55" s="27"/>
      <x:c r="T55" s="27"/>
      <x:c r="U55" s="27"/>
    </x:row>
    <x:row r="56">
      <x:c r="A56" s="27" t="str"/>
      <x:c r="B56" s="27" t="str"/>
      <x:c r="C56" s="27" t="str"/>
      <x:c r="D56" s="27" t="str"/>
      <x:c r="E56" s="27" t="str"/>
      <x:c r="F56" s="27" t="str"/>
      <x:c r="G56" s="27" t="str"/>
      <x:c r="H56" s="27" t="str"/>
      <x:c r="I56" s="27" t="str">
        <x:f>IF(A56="","",MAX(0,MIN(100,ROUND(((D56*0.30)+(E56*0.30)+(F56*0.15)+(G56*0.15)-(H56*0.10))*20,0))))</x:f>
      </x:c>
      <x:c r="J56" s="27" t="str">
        <x:f>IF(A56="","",IF(I56&gt;=80,"P1 — первая версия",IF(I56&gt;=60,"P2 — следующий выпуск",IF(I56&gt;=40,"P3 — можно отложить","Не включать"))))</x:f>
      </x:c>
      <x:c r="K56" s="27" t="str"/>
      <x:c r="L56" s="27" t="str"/>
      <x:c r="M56" s="27"/>
      <x:c r="N56" s="27"/>
      <x:c r="O56" s="27"/>
      <x:c r="P56" s="27"/>
      <x:c r="Q56" s="27"/>
      <x:c r="R56" s="27"/>
      <x:c r="S56" s="27"/>
      <x:c r="T56" s="27"/>
      <x:c r="U56" s="27"/>
    </x:row>
    <x:row r="57">
      <x:c r="A57" s="27" t="str"/>
      <x:c r="B57" s="27" t="str"/>
      <x:c r="C57" s="27" t="str"/>
      <x:c r="D57" s="27" t="str"/>
      <x:c r="E57" s="27" t="str"/>
      <x:c r="F57" s="27" t="str"/>
      <x:c r="G57" s="27" t="str"/>
      <x:c r="H57" s="27" t="str"/>
      <x:c r="I57" s="27" t="str">
        <x:f>IF(A57="","",MAX(0,MIN(100,ROUND(((D57*0.30)+(E57*0.30)+(F57*0.15)+(G57*0.15)-(H57*0.10))*20,0))))</x:f>
      </x:c>
      <x:c r="J57" s="27" t="str">
        <x:f>IF(A57="","",IF(I57&gt;=80,"P1 — первая версия",IF(I57&gt;=60,"P2 — следующий выпуск",IF(I57&gt;=40,"P3 — можно отложить","Не включать"))))</x:f>
      </x:c>
      <x:c r="K57" s="27" t="str"/>
      <x:c r="L57" s="27" t="str"/>
      <x:c r="M57" s="27"/>
      <x:c r="N57" s="27"/>
      <x:c r="O57" s="27"/>
      <x:c r="P57" s="27"/>
      <x:c r="Q57" s="27"/>
      <x:c r="R57" s="27"/>
      <x:c r="S57" s="27"/>
      <x:c r="T57" s="27"/>
      <x:c r="U57" s="27"/>
    </x:row>
    <x:row r="58">
      <x:c r="A58" s="27" t="str"/>
      <x:c r="B58" s="27" t="str"/>
      <x:c r="C58" s="27" t="str"/>
      <x:c r="D58" s="27" t="str"/>
      <x:c r="E58" s="27" t="str"/>
      <x:c r="F58" s="27" t="str"/>
      <x:c r="G58" s="27" t="str"/>
      <x:c r="H58" s="27" t="str"/>
      <x:c r="I58" s="27" t="str">
        <x:f>IF(A58="","",MAX(0,MIN(100,ROUND(((D58*0.30)+(E58*0.30)+(F58*0.15)+(G58*0.15)-(H58*0.10))*20,0))))</x:f>
      </x:c>
      <x:c r="J58" s="27" t="str">
        <x:f>IF(A58="","",IF(I58&gt;=80,"P1 — первая версия",IF(I58&gt;=60,"P2 — следующий выпуск",IF(I58&gt;=40,"P3 — можно отложить","Не включать"))))</x:f>
      </x:c>
      <x:c r="K58" s="27" t="str"/>
      <x:c r="L58" s="27" t="str"/>
      <x:c r="M58" s="27"/>
      <x:c r="N58" s="27"/>
      <x:c r="O58" s="27"/>
      <x:c r="P58" s="27"/>
      <x:c r="Q58" s="27"/>
      <x:c r="R58" s="27"/>
      <x:c r="S58" s="27"/>
      <x:c r="T58" s="27"/>
      <x:c r="U58" s="27"/>
    </x:row>
    <x:row r="59">
      <x:c r="A59" s="27" t="str"/>
      <x:c r="B59" s="27" t="str"/>
      <x:c r="C59" s="27" t="str"/>
      <x:c r="D59" s="27" t="str"/>
      <x:c r="E59" s="27" t="str"/>
      <x:c r="F59" s="27" t="str"/>
      <x:c r="G59" s="27" t="str"/>
      <x:c r="H59" s="27" t="str"/>
      <x:c r="I59" s="27" t="str">
        <x:f>IF(A59="","",MAX(0,MIN(100,ROUND(((D59*0.30)+(E59*0.30)+(F59*0.15)+(G59*0.15)-(H59*0.10))*20,0))))</x:f>
      </x:c>
      <x:c r="J59" s="27" t="str">
        <x:f>IF(A59="","",IF(I59&gt;=80,"P1 — первая версия",IF(I59&gt;=60,"P2 — следующий выпуск",IF(I59&gt;=40,"P3 — можно отложить","Не включать"))))</x:f>
      </x:c>
      <x:c r="K59" s="27" t="str"/>
      <x:c r="L59" s="27" t="str"/>
      <x:c r="M59" s="27"/>
      <x:c r="N59" s="27"/>
      <x:c r="O59" s="27"/>
      <x:c r="P59" s="27"/>
      <x:c r="Q59" s="27"/>
      <x:c r="R59" s="27"/>
      <x:c r="S59" s="27"/>
      <x:c r="T59" s="27"/>
      <x:c r="U59" s="27"/>
    </x:row>
    <x:row r="60">
      <x:c r="A60" s="27" t="str"/>
      <x:c r="B60" s="27" t="str"/>
      <x:c r="C60" s="27" t="str"/>
      <x:c r="D60" s="27" t="str"/>
      <x:c r="E60" s="27" t="str"/>
      <x:c r="F60" s="27" t="str"/>
      <x:c r="G60" s="27" t="str"/>
      <x:c r="H60" s="27" t="str"/>
      <x:c r="I60" s="27" t="str">
        <x:f>IF(A60="","",MAX(0,MIN(100,ROUND(((D60*0.30)+(E60*0.30)+(F60*0.15)+(G60*0.15)-(H60*0.10))*20,0))))</x:f>
      </x:c>
      <x:c r="J60" s="27" t="str">
        <x:f>IF(A60="","",IF(I60&gt;=80,"P1 — первая версия",IF(I60&gt;=60,"P2 — следующий выпуск",IF(I60&gt;=40,"P3 — можно отложить","Не включать"))))</x:f>
      </x:c>
      <x:c r="K60" s="27" t="str"/>
      <x:c r="L60" s="27" t="str"/>
      <x:c r="M60" s="27"/>
      <x:c r="N60" s="27"/>
      <x:c r="O60" s="27"/>
      <x:c r="P60" s="27"/>
      <x:c r="Q60" s="27"/>
      <x:c r="R60" s="27"/>
      <x:c r="S60" s="27"/>
      <x:c r="T60" s="27"/>
      <x:c r="U60" s="27"/>
    </x:row>
    <x:row r="61">
      <x:c r="A61" s="27" t="str"/>
      <x:c r="B61" s="27" t="str"/>
      <x:c r="C61" s="27" t="str"/>
      <x:c r="D61" s="27" t="str"/>
      <x:c r="E61" s="27" t="str"/>
      <x:c r="F61" s="27" t="str"/>
      <x:c r="G61" s="27" t="str"/>
      <x:c r="H61" s="27" t="str"/>
      <x:c r="I61" s="27" t="str">
        <x:f>IF(A61="","",MAX(0,MIN(100,ROUND(((D61*0.30)+(E61*0.30)+(F61*0.15)+(G61*0.15)-(H61*0.10))*20,0))))</x:f>
      </x:c>
      <x:c r="J61" s="27" t="str">
        <x:f>IF(A61="","",IF(I61&gt;=80,"P1 — первая версия",IF(I61&gt;=60,"P2 — следующий выпуск",IF(I61&gt;=40,"P3 — можно отложить","Не включать"))))</x:f>
      </x:c>
      <x:c r="K61" s="27" t="str"/>
      <x:c r="L61" s="27" t="str"/>
      <x:c r="M61" s="27"/>
      <x:c r="N61" s="27"/>
      <x:c r="O61" s="27"/>
      <x:c r="P61" s="27"/>
      <x:c r="Q61" s="27"/>
      <x:c r="R61" s="27"/>
      <x:c r="S61" s="27"/>
      <x:c r="T61" s="27"/>
      <x:c r="U61" s="27"/>
    </x:row>
    <x:row r="62">
      <x:c r="A62" s="27" t="str"/>
      <x:c r="B62" s="27" t="str"/>
      <x:c r="C62" s="27" t="str"/>
      <x:c r="D62" s="27" t="str"/>
      <x:c r="E62" s="27" t="str"/>
      <x:c r="F62" s="27" t="str"/>
      <x:c r="G62" s="27" t="str"/>
      <x:c r="H62" s="27" t="str"/>
      <x:c r="I62" s="27" t="str">
        <x:f>IF(A62="","",MAX(0,MIN(100,ROUND(((D62*0.30)+(E62*0.30)+(F62*0.15)+(G62*0.15)-(H62*0.10))*20,0))))</x:f>
      </x:c>
      <x:c r="J62" s="27" t="str">
        <x:f>IF(A62="","",IF(I62&gt;=80,"P1 — первая версия",IF(I62&gt;=60,"P2 — следующий выпуск",IF(I62&gt;=40,"P3 — можно отложить","Не включать"))))</x:f>
      </x:c>
      <x:c r="K62" s="27" t="str"/>
      <x:c r="L62" s="27" t="str"/>
      <x:c r="M62" s="27"/>
      <x:c r="N62" s="27"/>
      <x:c r="O62" s="27"/>
      <x:c r="P62" s="27"/>
      <x:c r="Q62" s="27"/>
      <x:c r="R62" s="27"/>
      <x:c r="S62" s="27"/>
      <x:c r="T62" s="27"/>
      <x:c r="U62" s="27"/>
    </x:row>
    <x:row r="63">
      <x:c r="A63" s="27" t="str"/>
      <x:c r="B63" s="27" t="str"/>
      <x:c r="C63" s="27" t="str"/>
      <x:c r="D63" s="27" t="str"/>
      <x:c r="E63" s="27" t="str"/>
      <x:c r="F63" s="27" t="str"/>
      <x:c r="G63" s="27" t="str"/>
      <x:c r="H63" s="27" t="str"/>
      <x:c r="I63" s="27" t="str">
        <x:f>IF(A63="","",MAX(0,MIN(100,ROUND(((D63*0.30)+(E63*0.30)+(F63*0.15)+(G63*0.15)-(H63*0.10))*20,0))))</x:f>
      </x:c>
      <x:c r="J63" s="27" t="str">
        <x:f>IF(A63="","",IF(I63&gt;=80,"P1 — первая версия",IF(I63&gt;=60,"P2 — следующий выпуск",IF(I63&gt;=40,"P3 — можно отложить","Не включать"))))</x:f>
      </x:c>
      <x:c r="K63" s="27" t="str"/>
      <x:c r="L63" s="27" t="str"/>
      <x:c r="M63" s="27"/>
      <x:c r="N63" s="27"/>
      <x:c r="O63" s="27"/>
      <x:c r="P63" s="27"/>
      <x:c r="Q63" s="27"/>
      <x:c r="R63" s="27"/>
      <x:c r="S63" s="27"/>
      <x:c r="T63" s="27"/>
      <x:c r="U63" s="27"/>
    </x:row>
    <x:row r="64">
      <x:c r="A64" s="27" t="str"/>
      <x:c r="B64" s="27" t="str"/>
      <x:c r="C64" s="27" t="str"/>
      <x:c r="D64" s="27" t="str"/>
      <x:c r="E64" s="27" t="str"/>
      <x:c r="F64" s="27" t="str"/>
      <x:c r="G64" s="27" t="str"/>
      <x:c r="H64" s="27" t="str"/>
      <x:c r="I64" s="27" t="str">
        <x:f>IF(A64="","",MAX(0,MIN(100,ROUND(((D64*0.30)+(E64*0.30)+(F64*0.15)+(G64*0.15)-(H64*0.10))*20,0))))</x:f>
      </x:c>
      <x:c r="J64" s="27" t="str">
        <x:f>IF(A64="","",IF(I64&gt;=80,"P1 — первая версия",IF(I64&gt;=60,"P2 — следующий выпуск",IF(I64&gt;=40,"P3 — можно отложить","Не включать"))))</x:f>
      </x:c>
      <x:c r="K64" s="27" t="str"/>
      <x:c r="L64" s="27" t="str"/>
      <x:c r="M64" s="27"/>
      <x:c r="N64" s="27"/>
      <x:c r="O64" s="27"/>
      <x:c r="P64" s="27"/>
      <x:c r="Q64" s="27"/>
      <x:c r="R64" s="27"/>
      <x:c r="S64" s="27"/>
      <x:c r="T64" s="27"/>
      <x:c r="U64" s="27"/>
    </x:row>
    <x:row r="65">
      <x:c r="A65" s="27" t="str"/>
      <x:c r="B65" s="27" t="str"/>
      <x:c r="C65" s="27" t="str"/>
      <x:c r="D65" s="27" t="str"/>
      <x:c r="E65" s="27" t="str"/>
      <x:c r="F65" s="27" t="str"/>
      <x:c r="G65" s="27" t="str"/>
      <x:c r="H65" s="27" t="str"/>
      <x:c r="I65" s="27" t="str">
        <x:f>IF(A65="","",MAX(0,MIN(100,ROUND(((D65*0.30)+(E65*0.30)+(F65*0.15)+(G65*0.15)-(H65*0.10))*20,0))))</x:f>
      </x:c>
      <x:c r="J65" s="27" t="str">
        <x:f>IF(A65="","",IF(I65&gt;=80,"P1 — первая версия",IF(I65&gt;=60,"P2 — следующий выпуск",IF(I65&gt;=40,"P3 — можно отложить","Не включать"))))</x:f>
      </x:c>
      <x:c r="K65" s="27" t="str"/>
      <x:c r="L65" s="27" t="str"/>
      <x:c r="M65" s="27"/>
      <x:c r="N65" s="27"/>
      <x:c r="O65" s="27"/>
      <x:c r="P65" s="27"/>
      <x:c r="Q65" s="27"/>
      <x:c r="R65" s="27"/>
      <x:c r="S65" s="27"/>
      <x:c r="T65" s="27"/>
      <x:c r="U65" s="27"/>
    </x:row>
    <x:row r="66">
      <x:c r="A66" s="27" t="str"/>
      <x:c r="B66" s="27" t="str"/>
      <x:c r="C66" s="27" t="str"/>
      <x:c r="D66" s="27" t="str"/>
      <x:c r="E66" s="27" t="str"/>
      <x:c r="F66" s="27" t="str"/>
      <x:c r="G66" s="27" t="str"/>
      <x:c r="H66" s="27" t="str"/>
      <x:c r="I66" s="27" t="str">
        <x:f>IF(A66="","",MAX(0,MIN(100,ROUND(((D66*0.30)+(E66*0.30)+(F66*0.15)+(G66*0.15)-(H66*0.10))*20,0))))</x:f>
      </x:c>
      <x:c r="J66" s="27" t="str">
        <x:f>IF(A66="","",IF(I66&gt;=80,"P1 — первая версия",IF(I66&gt;=60,"P2 — следующий выпуск",IF(I66&gt;=40,"P3 — можно отложить","Не включать"))))</x:f>
      </x:c>
      <x:c r="K66" s="27" t="str"/>
      <x:c r="L66" s="27" t="str"/>
      <x:c r="M66" s="27"/>
      <x:c r="N66" s="27"/>
      <x:c r="O66" s="27"/>
      <x:c r="P66" s="27"/>
      <x:c r="Q66" s="27"/>
      <x:c r="R66" s="27"/>
      <x:c r="S66" s="27"/>
      <x:c r="T66" s="27"/>
      <x:c r="U66" s="27"/>
    </x:row>
    <x:row r="67">
      <x:c r="A67" s="27" t="str"/>
      <x:c r="B67" s="27" t="str"/>
      <x:c r="C67" s="27" t="str"/>
      <x:c r="D67" s="27" t="str"/>
      <x:c r="E67" s="27" t="str"/>
      <x:c r="F67" s="27" t="str"/>
      <x:c r="G67" s="27" t="str"/>
      <x:c r="H67" s="27" t="str"/>
      <x:c r="I67" s="27" t="str">
        <x:f>IF(A67="","",MAX(0,MIN(100,ROUND(((D67*0.30)+(E67*0.30)+(F67*0.15)+(G67*0.15)-(H67*0.10))*20,0))))</x:f>
      </x:c>
      <x:c r="J67" s="27" t="str">
        <x:f>IF(A67="","",IF(I67&gt;=80,"P1 — первая версия",IF(I67&gt;=60,"P2 — следующий выпуск",IF(I67&gt;=40,"P3 — можно отложить","Не включать"))))</x:f>
      </x:c>
      <x:c r="K67" s="27" t="str"/>
      <x:c r="L67" s="27" t="str"/>
      <x:c r="M67" s="27"/>
      <x:c r="N67" s="27"/>
      <x:c r="O67" s="27"/>
      <x:c r="P67" s="27"/>
      <x:c r="Q67" s="27"/>
      <x:c r="R67" s="27"/>
      <x:c r="S67" s="27"/>
      <x:c r="T67" s="27"/>
      <x:c r="U67" s="27"/>
    </x:row>
    <x:row r="68">
      <x:c r="A68" s="27" t="str"/>
      <x:c r="B68" s="27" t="str"/>
      <x:c r="C68" s="27" t="str"/>
      <x:c r="D68" s="27" t="str"/>
      <x:c r="E68" s="27" t="str"/>
      <x:c r="F68" s="27" t="str"/>
      <x:c r="G68" s="27" t="str"/>
      <x:c r="H68" s="27" t="str"/>
      <x:c r="I68" s="27" t="str">
        <x:f>IF(A68="","",MAX(0,MIN(100,ROUND(((D68*0.30)+(E68*0.30)+(F68*0.15)+(G68*0.15)-(H68*0.10))*20,0))))</x:f>
      </x:c>
      <x:c r="J68" s="27" t="str">
        <x:f>IF(A68="","",IF(I68&gt;=80,"P1 — первая версия",IF(I68&gt;=60,"P2 — следующий выпуск",IF(I68&gt;=40,"P3 — можно отложить","Не включать"))))</x:f>
      </x:c>
      <x:c r="K68" s="27" t="str"/>
      <x:c r="L68" s="27" t="str"/>
      <x:c r="M68" s="27"/>
      <x:c r="N68" s="27"/>
      <x:c r="O68" s="27"/>
      <x:c r="P68" s="27"/>
      <x:c r="Q68" s="27"/>
      <x:c r="R68" s="27"/>
      <x:c r="S68" s="27"/>
      <x:c r="T68" s="27"/>
      <x:c r="U68" s="27"/>
    </x:row>
    <x:row r="69">
      <x:c r="A69" s="27" t="str"/>
      <x:c r="B69" s="27" t="str"/>
      <x:c r="C69" s="27" t="str"/>
      <x:c r="D69" s="27" t="str"/>
      <x:c r="E69" s="27" t="str"/>
      <x:c r="F69" s="27" t="str"/>
      <x:c r="G69" s="27" t="str"/>
      <x:c r="H69" s="27" t="str"/>
      <x:c r="I69" s="27" t="str">
        <x:f>IF(A69="","",MAX(0,MIN(100,ROUND(((D69*0.30)+(E69*0.30)+(F69*0.15)+(G69*0.15)-(H69*0.10))*20,0))))</x:f>
      </x:c>
      <x:c r="J69" s="27" t="str">
        <x:f>IF(A69="","",IF(I69&gt;=80,"P1 — первая версия",IF(I69&gt;=60,"P2 — следующий выпуск",IF(I69&gt;=40,"P3 — можно отложить","Не включать"))))</x:f>
      </x:c>
      <x:c r="K69" s="27" t="str"/>
      <x:c r="L69" s="27" t="str"/>
      <x:c r="M69" s="27"/>
      <x:c r="N69" s="27"/>
      <x:c r="O69" s="27"/>
      <x:c r="P69" s="27"/>
      <x:c r="Q69" s="27"/>
      <x:c r="R69" s="27"/>
      <x:c r="S69" s="27"/>
      <x:c r="T69" s="27"/>
      <x:c r="U69" s="27"/>
    </x:row>
    <x:row r="70">
      <x:c r="A70" s="27" t="str"/>
      <x:c r="B70" s="27" t="str"/>
      <x:c r="C70" s="27" t="str"/>
      <x:c r="D70" s="27" t="str"/>
      <x:c r="E70" s="27" t="str"/>
      <x:c r="F70" s="27" t="str"/>
      <x:c r="G70" s="27" t="str"/>
      <x:c r="H70" s="27" t="str"/>
      <x:c r="I70" s="27" t="str">
        <x:f>IF(A70="","",MAX(0,MIN(100,ROUND(((D70*0.30)+(E70*0.30)+(F70*0.15)+(G70*0.15)-(H70*0.10))*20,0))))</x:f>
      </x:c>
      <x:c r="J70" s="27" t="str">
        <x:f>IF(A70="","",IF(I70&gt;=80,"P1 — первая версия",IF(I70&gt;=60,"P2 — следующий выпуск",IF(I70&gt;=40,"P3 — можно отложить","Не включать"))))</x:f>
      </x:c>
      <x:c r="K70" s="27" t="str"/>
      <x:c r="L70" s="27" t="str"/>
      <x:c r="M70" s="27"/>
      <x:c r="N70" s="27"/>
      <x:c r="O70" s="27"/>
      <x:c r="P70" s="27"/>
      <x:c r="Q70" s="27"/>
      <x:c r="R70" s="27"/>
      <x:c r="S70" s="27"/>
      <x:c r="T70" s="27"/>
      <x:c r="U70" s="27"/>
    </x:row>
    <x:row r="71">
      <x:c r="A71" s="27" t="str"/>
      <x:c r="B71" s="27" t="str"/>
      <x:c r="C71" s="27" t="str"/>
      <x:c r="D71" s="27" t="str"/>
      <x:c r="E71" s="27" t="str"/>
      <x:c r="F71" s="27" t="str"/>
      <x:c r="G71" s="27" t="str"/>
      <x:c r="H71" s="27" t="str"/>
      <x:c r="I71" s="27" t="str">
        <x:f>IF(A71="","",MAX(0,MIN(100,ROUND(((D71*0.30)+(E71*0.30)+(F71*0.15)+(G71*0.15)-(H71*0.10))*20,0))))</x:f>
      </x:c>
      <x:c r="J71" s="27" t="str">
        <x:f>IF(A71="","",IF(I71&gt;=80,"P1 — первая версия",IF(I71&gt;=60,"P2 — следующий выпуск",IF(I71&gt;=40,"P3 — можно отложить","Не включать"))))</x:f>
      </x:c>
      <x:c r="K71" s="27" t="str"/>
      <x:c r="L71" s="27" t="str"/>
      <x:c r="M71" s="27"/>
      <x:c r="N71" s="27"/>
      <x:c r="O71" s="27"/>
      <x:c r="P71" s="27"/>
      <x:c r="Q71" s="27"/>
      <x:c r="R71" s="27"/>
      <x:c r="S71" s="27"/>
      <x:c r="T71" s="27"/>
      <x:c r="U71" s="27"/>
    </x:row>
    <x:row r="72">
      <x:c r="A72" s="27" t="str"/>
      <x:c r="B72" s="27" t="str"/>
      <x:c r="C72" s="27" t="str"/>
      <x:c r="D72" s="27" t="str"/>
      <x:c r="E72" s="27" t="str"/>
      <x:c r="F72" s="27" t="str"/>
      <x:c r="G72" s="27" t="str"/>
      <x:c r="H72" s="27" t="str"/>
      <x:c r="I72" s="27" t="str">
        <x:f>IF(A72="","",MAX(0,MIN(100,ROUND(((D72*0.30)+(E72*0.30)+(F72*0.15)+(G72*0.15)-(H72*0.10))*20,0))))</x:f>
      </x:c>
      <x:c r="J72" s="27" t="str">
        <x:f>IF(A72="","",IF(I72&gt;=80,"P1 — первая версия",IF(I72&gt;=60,"P2 — следующий выпуск",IF(I72&gt;=40,"P3 — можно отложить","Не включать"))))</x:f>
      </x:c>
      <x:c r="K72" s="27" t="str"/>
      <x:c r="L72" s="27" t="str"/>
      <x:c r="M72" s="27"/>
      <x:c r="N72" s="27"/>
      <x:c r="O72" s="27"/>
      <x:c r="P72" s="27"/>
      <x:c r="Q72" s="27"/>
      <x:c r="R72" s="27"/>
      <x:c r="S72" s="27"/>
      <x:c r="T72" s="27"/>
      <x:c r="U72" s="27"/>
    </x:row>
    <x:row r="73">
      <x:c r="A73" s="27" t="str"/>
      <x:c r="B73" s="27" t="str"/>
      <x:c r="C73" s="27" t="str"/>
      <x:c r="D73" s="27" t="str"/>
      <x:c r="E73" s="27" t="str"/>
      <x:c r="F73" s="27" t="str"/>
      <x:c r="G73" s="27" t="str"/>
      <x:c r="H73" s="27" t="str"/>
      <x:c r="I73" s="27" t="str">
        <x:f>IF(A73="","",MAX(0,MIN(100,ROUND(((D73*0.30)+(E73*0.30)+(F73*0.15)+(G73*0.15)-(H73*0.10))*20,0))))</x:f>
      </x:c>
      <x:c r="J73" s="27" t="str">
        <x:f>IF(A73="","",IF(I73&gt;=80,"P1 — первая версия",IF(I73&gt;=60,"P2 — следующий выпуск",IF(I73&gt;=40,"P3 — можно отложить","Не включать"))))</x:f>
      </x:c>
      <x:c r="K73" s="27" t="str"/>
      <x:c r="L73" s="27" t="str"/>
      <x:c r="M73" s="27"/>
      <x:c r="N73" s="27"/>
      <x:c r="O73" s="27"/>
      <x:c r="P73" s="27"/>
      <x:c r="Q73" s="27"/>
      <x:c r="R73" s="27"/>
      <x:c r="S73" s="27"/>
      <x:c r="T73" s="27"/>
      <x:c r="U73" s="27"/>
    </x:row>
    <x:row r="74">
      <x:c r="A74" s="27" t="str"/>
      <x:c r="B74" s="27" t="str"/>
      <x:c r="C74" s="27" t="str"/>
      <x:c r="D74" s="27" t="str"/>
      <x:c r="E74" s="27" t="str"/>
      <x:c r="F74" s="27" t="str"/>
      <x:c r="G74" s="27" t="str"/>
      <x:c r="H74" s="27" t="str"/>
      <x:c r="I74" s="27" t="str">
        <x:f>IF(A74="","",MAX(0,MIN(100,ROUND(((D74*0.30)+(E74*0.30)+(F74*0.15)+(G74*0.15)-(H74*0.10))*20,0))))</x:f>
      </x:c>
      <x:c r="J74" s="27" t="str">
        <x:f>IF(A74="","",IF(I74&gt;=80,"P1 — первая версия",IF(I74&gt;=60,"P2 — следующий выпуск",IF(I74&gt;=40,"P3 — можно отложить","Не включать"))))</x:f>
      </x:c>
      <x:c r="K74" s="27" t="str"/>
      <x:c r="L74" s="27" t="str"/>
      <x:c r="M74" s="27"/>
      <x:c r="N74" s="27"/>
      <x:c r="O74" s="27"/>
      <x:c r="P74" s="27"/>
      <x:c r="Q74" s="27"/>
      <x:c r="R74" s="27"/>
      <x:c r="S74" s="27"/>
      <x:c r="T74" s="27"/>
      <x:c r="U74" s="27"/>
    </x:row>
    <x:row r="75">
      <x:c r="A75" s="27" t="str"/>
      <x:c r="B75" s="27" t="str"/>
      <x:c r="C75" s="27" t="str"/>
      <x:c r="D75" s="27" t="str"/>
      <x:c r="E75" s="27" t="str"/>
      <x:c r="F75" s="27" t="str"/>
      <x:c r="G75" s="27" t="str"/>
      <x:c r="H75" s="27" t="str"/>
      <x:c r="I75" s="27" t="str">
        <x:f>IF(A75="","",MAX(0,MIN(100,ROUND(((D75*0.30)+(E75*0.30)+(F75*0.15)+(G75*0.15)-(H75*0.10))*20,0))))</x:f>
      </x:c>
      <x:c r="J75" s="27" t="str">
        <x:f>IF(A75="","",IF(I75&gt;=80,"P1 — первая версия",IF(I75&gt;=60,"P2 — следующий выпуск",IF(I75&gt;=40,"P3 — можно отложить","Не включать"))))</x:f>
      </x:c>
      <x:c r="K75" s="27" t="str"/>
      <x:c r="L75" s="27" t="str"/>
      <x:c r="M75" s="27"/>
      <x:c r="N75" s="27"/>
      <x:c r="O75" s="27"/>
      <x:c r="P75" s="27"/>
      <x:c r="Q75" s="27"/>
      <x:c r="R75" s="27"/>
      <x:c r="S75" s="27"/>
      <x:c r="T75" s="27"/>
      <x:c r="U75" s="27"/>
    </x:row>
    <x:row r="76">
      <x:c r="A76" s="27" t="str"/>
      <x:c r="B76" s="27" t="str"/>
      <x:c r="C76" s="27" t="str"/>
      <x:c r="D76" s="27" t="str"/>
      <x:c r="E76" s="27" t="str"/>
      <x:c r="F76" s="27" t="str"/>
      <x:c r="G76" s="27" t="str"/>
      <x:c r="H76" s="27" t="str"/>
      <x:c r="I76" s="27" t="str">
        <x:f>IF(A76="","",MAX(0,MIN(100,ROUND(((D76*0.30)+(E76*0.30)+(F76*0.15)+(G76*0.15)-(H76*0.10))*20,0))))</x:f>
      </x:c>
      <x:c r="J76" s="27" t="str">
        <x:f>IF(A76="","",IF(I76&gt;=80,"P1 — первая версия",IF(I76&gt;=60,"P2 — следующий выпуск",IF(I76&gt;=40,"P3 — можно отложить","Не включать"))))</x:f>
      </x:c>
      <x:c r="K76" s="27" t="str"/>
      <x:c r="L76" s="27" t="str"/>
      <x:c r="M76" s="27"/>
      <x:c r="N76" s="27"/>
      <x:c r="O76" s="27"/>
      <x:c r="P76" s="27"/>
      <x:c r="Q76" s="27"/>
      <x:c r="R76" s="27"/>
      <x:c r="S76" s="27"/>
      <x:c r="T76" s="27"/>
      <x:c r="U76" s="27"/>
    </x:row>
    <x:row r="77">
      <x:c r="A77" s="27" t="str"/>
      <x:c r="B77" s="27" t="str"/>
      <x:c r="C77" s="27" t="str"/>
      <x:c r="D77" s="27" t="str"/>
      <x:c r="E77" s="27" t="str"/>
      <x:c r="F77" s="27" t="str"/>
      <x:c r="G77" s="27" t="str"/>
      <x:c r="H77" s="27" t="str"/>
      <x:c r="I77" s="27" t="str">
        <x:f>IF(A77="","",MAX(0,MIN(100,ROUND(((D77*0.30)+(E77*0.30)+(F77*0.15)+(G77*0.15)-(H77*0.10))*20,0))))</x:f>
      </x:c>
      <x:c r="J77" s="27" t="str">
        <x:f>IF(A77="","",IF(I77&gt;=80,"P1 — первая версия",IF(I77&gt;=60,"P2 — следующий выпуск",IF(I77&gt;=40,"P3 — можно отложить","Не включать"))))</x:f>
      </x:c>
      <x:c r="K77" s="27" t="str"/>
      <x:c r="L77" s="27" t="str"/>
      <x:c r="M77" s="27"/>
      <x:c r="N77" s="27"/>
      <x:c r="O77" s="27"/>
      <x:c r="P77" s="27"/>
      <x:c r="Q77" s="27"/>
      <x:c r="R77" s="27"/>
      <x:c r="S77" s="27"/>
      <x:c r="T77" s="27"/>
      <x:c r="U77" s="27"/>
    </x:row>
    <x:row r="78">
      <x:c r="A78" s="27" t="str"/>
      <x:c r="B78" s="27" t="str"/>
      <x:c r="C78" s="27" t="str"/>
      <x:c r="D78" s="27" t="str"/>
      <x:c r="E78" s="27" t="str"/>
      <x:c r="F78" s="27" t="str"/>
      <x:c r="G78" s="27" t="str"/>
      <x:c r="H78" s="27" t="str"/>
      <x:c r="I78" s="27" t="str">
        <x:f>IF(A78="","",MAX(0,MIN(100,ROUND(((D78*0.30)+(E78*0.30)+(F78*0.15)+(G78*0.15)-(H78*0.10))*20,0))))</x:f>
      </x:c>
      <x:c r="J78" s="27" t="str">
        <x:f>IF(A78="","",IF(I78&gt;=80,"P1 — первая версия",IF(I78&gt;=60,"P2 — следующий выпуск",IF(I78&gt;=40,"P3 — можно отложить","Не включать"))))</x:f>
      </x:c>
      <x:c r="K78" s="27" t="str"/>
      <x:c r="L78" s="27" t="str"/>
      <x:c r="M78" s="27"/>
      <x:c r="N78" s="27"/>
      <x:c r="O78" s="27"/>
      <x:c r="P78" s="27"/>
      <x:c r="Q78" s="27"/>
      <x:c r="R78" s="27"/>
      <x:c r="S78" s="27"/>
      <x:c r="T78" s="27"/>
      <x:c r="U78" s="27"/>
    </x:row>
    <x:row r="79">
      <x:c r="A79" s="27" t="str"/>
      <x:c r="B79" s="27" t="str"/>
      <x:c r="C79" s="27" t="str"/>
      <x:c r="D79" s="27" t="str"/>
      <x:c r="E79" s="27" t="str"/>
      <x:c r="F79" s="27" t="str"/>
      <x:c r="G79" s="27" t="str"/>
      <x:c r="H79" s="27" t="str"/>
      <x:c r="I79" s="27" t="str">
        <x:f>IF(A79="","",MAX(0,MIN(100,ROUND(((D79*0.30)+(E79*0.30)+(F79*0.15)+(G79*0.15)-(H79*0.10))*20,0))))</x:f>
      </x:c>
      <x:c r="J79" s="27" t="str">
        <x:f>IF(A79="","",IF(I79&gt;=80,"P1 — первая версия",IF(I79&gt;=60,"P2 — следующий выпуск",IF(I79&gt;=40,"P3 — можно отложить","Не включать"))))</x:f>
      </x:c>
      <x:c r="K79" s="27" t="str"/>
      <x:c r="L79" s="27" t="str"/>
      <x:c r="M79" s="27"/>
      <x:c r="N79" s="27"/>
      <x:c r="O79" s="27"/>
      <x:c r="P79" s="27"/>
      <x:c r="Q79" s="27"/>
      <x:c r="R79" s="27"/>
      <x:c r="S79" s="27"/>
      <x:c r="T79" s="27"/>
      <x:c r="U79" s="27"/>
    </x:row>
    <x:row r="80">
      <x:c r="A80" s="27" t="str"/>
      <x:c r="B80" s="27" t="str"/>
      <x:c r="C80" s="27" t="str"/>
      <x:c r="D80" s="27" t="str"/>
      <x:c r="E80" s="27" t="str"/>
      <x:c r="F80" s="27" t="str"/>
      <x:c r="G80" s="27" t="str"/>
      <x:c r="H80" s="27" t="str"/>
      <x:c r="I80" s="27" t="str">
        <x:f>IF(A80="","",MAX(0,MIN(100,ROUND(((D80*0.30)+(E80*0.30)+(F80*0.15)+(G80*0.15)-(H80*0.10))*20,0))))</x:f>
      </x:c>
      <x:c r="J80" s="27" t="str">
        <x:f>IF(A80="","",IF(I80&gt;=80,"P1 — первая версия",IF(I80&gt;=60,"P2 — следующий выпуск",IF(I80&gt;=40,"P3 — можно отложить","Не включать"))))</x:f>
      </x:c>
      <x:c r="K80" s="27" t="str"/>
      <x:c r="L80" s="27" t="str"/>
      <x:c r="M80" s="27"/>
      <x:c r="N80" s="27"/>
      <x:c r="O80" s="27"/>
      <x:c r="P80" s="27"/>
      <x:c r="Q80" s="27"/>
      <x:c r="R80" s="27"/>
      <x:c r="S80" s="27"/>
      <x:c r="T80" s="27"/>
      <x:c r="U80" s="27"/>
    </x:row>
    <x:row r="81">
      <x:c r="A81" s="27" t="str"/>
      <x:c r="B81" s="27" t="str"/>
      <x:c r="C81" s="27" t="str"/>
      <x:c r="D81" s="27" t="str"/>
      <x:c r="E81" s="27" t="str"/>
      <x:c r="F81" s="27" t="str"/>
      <x:c r="G81" s="27" t="str"/>
      <x:c r="H81" s="27" t="str"/>
      <x:c r="I81" s="27" t="str">
        <x:f>IF(A81="","",MAX(0,MIN(100,ROUND(((D81*0.30)+(E81*0.30)+(F81*0.15)+(G81*0.15)-(H81*0.10))*20,0))))</x:f>
      </x:c>
      <x:c r="J81" s="27" t="str">
        <x:f>IF(A81="","",IF(I81&gt;=80,"P1 — первая версия",IF(I81&gt;=60,"P2 — следующий выпуск",IF(I81&gt;=40,"P3 — можно отложить","Не включать"))))</x:f>
      </x:c>
      <x:c r="K81" s="27" t="str"/>
      <x:c r="L81" s="27" t="str"/>
      <x:c r="M81" s="27"/>
      <x:c r="N81" s="27"/>
      <x:c r="O81" s="27"/>
      <x:c r="P81" s="27"/>
      <x:c r="Q81" s="27"/>
      <x:c r="R81" s="27"/>
      <x:c r="S81" s="27"/>
      <x:c r="T81" s="27"/>
      <x:c r="U81" s="27"/>
    </x:row>
    <x:row r="82">
      <x:c r="A82" s="27" t="str"/>
      <x:c r="B82" s="27" t="str"/>
      <x:c r="C82" s="27" t="str"/>
      <x:c r="D82" s="27" t="str"/>
      <x:c r="E82" s="27" t="str"/>
      <x:c r="F82" s="27" t="str"/>
      <x:c r="G82" s="27" t="str"/>
      <x:c r="H82" s="27" t="str"/>
      <x:c r="I82" s="27" t="str">
        <x:f>IF(A82="","",MAX(0,MIN(100,ROUND(((D82*0.30)+(E82*0.30)+(F82*0.15)+(G82*0.15)-(H82*0.10))*20,0))))</x:f>
      </x:c>
      <x:c r="J82" s="27" t="str">
        <x:f>IF(A82="","",IF(I82&gt;=80,"P1 — первая версия",IF(I82&gt;=60,"P2 — следующий выпуск",IF(I82&gt;=40,"P3 — можно отложить","Не включать"))))</x:f>
      </x:c>
      <x:c r="K82" s="27" t="str"/>
      <x:c r="L82" s="27" t="str"/>
      <x:c r="M82" s="27"/>
      <x:c r="N82" s="27"/>
      <x:c r="O82" s="27"/>
      <x:c r="P82" s="27"/>
      <x:c r="Q82" s="27"/>
      <x:c r="R82" s="27"/>
      <x:c r="S82" s="27"/>
      <x:c r="T82" s="27"/>
      <x:c r="U82" s="27"/>
    </x:row>
    <x:row r="83">
      <x:c r="A83" s="27" t="str"/>
      <x:c r="B83" s="27" t="str"/>
      <x:c r="C83" s="27" t="str"/>
      <x:c r="D83" s="27" t="str"/>
      <x:c r="E83" s="27" t="str"/>
      <x:c r="F83" s="27" t="str"/>
      <x:c r="G83" s="27" t="str"/>
      <x:c r="H83" s="27" t="str"/>
      <x:c r="I83" s="27" t="str">
        <x:f>IF(A83="","",MAX(0,MIN(100,ROUND(((D83*0.30)+(E83*0.30)+(F83*0.15)+(G83*0.15)-(H83*0.10))*20,0))))</x:f>
      </x:c>
      <x:c r="J83" s="27" t="str">
        <x:f>IF(A83="","",IF(I83&gt;=80,"P1 — первая версия",IF(I83&gt;=60,"P2 — следующий выпуск",IF(I83&gt;=40,"P3 — можно отложить","Не включать"))))</x:f>
      </x:c>
      <x:c r="K83" s="27" t="str"/>
      <x:c r="L83" s="27" t="str"/>
      <x:c r="M83" s="27"/>
      <x:c r="N83" s="27"/>
      <x:c r="O83" s="27"/>
      <x:c r="P83" s="27"/>
      <x:c r="Q83" s="27"/>
      <x:c r="R83" s="27"/>
      <x:c r="S83" s="27"/>
      <x:c r="T83" s="27"/>
      <x:c r="U83" s="27"/>
    </x:row>
    <x:row r="84">
      <x:c r="A84" s="27" t="str"/>
      <x:c r="B84" s="27" t="str"/>
      <x:c r="C84" s="27" t="str"/>
      <x:c r="D84" s="27" t="str"/>
      <x:c r="E84" s="27" t="str"/>
      <x:c r="F84" s="27" t="str"/>
      <x:c r="G84" s="27" t="str"/>
      <x:c r="H84" s="27" t="str"/>
      <x:c r="I84" s="27" t="str">
        <x:f>IF(A84="","",MAX(0,MIN(100,ROUND(((D84*0.30)+(E84*0.30)+(F84*0.15)+(G84*0.15)-(H84*0.10))*20,0))))</x:f>
      </x:c>
      <x:c r="J84" s="27" t="str">
        <x:f>IF(A84="","",IF(I84&gt;=80,"P1 — первая версия",IF(I84&gt;=60,"P2 — следующий выпуск",IF(I84&gt;=40,"P3 — можно отложить","Не включать"))))</x:f>
      </x:c>
      <x:c r="K84" s="27" t="str"/>
      <x:c r="L84" s="27" t="str"/>
      <x:c r="M84" s="27"/>
      <x:c r="N84" s="27"/>
      <x:c r="O84" s="27"/>
      <x:c r="P84" s="27"/>
      <x:c r="Q84" s="27"/>
      <x:c r="R84" s="27"/>
      <x:c r="S84" s="27"/>
      <x:c r="T84" s="27"/>
      <x:c r="U84" s="27"/>
    </x:row>
    <x:row r="85">
      <x:c r="A85" s="27" t="str"/>
      <x:c r="B85" s="27" t="str"/>
      <x:c r="C85" s="27" t="str"/>
      <x:c r="D85" s="27" t="str"/>
      <x:c r="E85" s="27" t="str"/>
      <x:c r="F85" s="27" t="str"/>
      <x:c r="G85" s="27" t="str"/>
      <x:c r="H85" s="27" t="str"/>
      <x:c r="I85" s="27" t="str">
        <x:f>IF(A85="","",MAX(0,MIN(100,ROUND(((D85*0.30)+(E85*0.30)+(F85*0.15)+(G85*0.15)-(H85*0.10))*20,0))))</x:f>
      </x:c>
      <x:c r="J85" s="27" t="str">
        <x:f>IF(A85="","",IF(I85&gt;=80,"P1 — первая версия",IF(I85&gt;=60,"P2 — следующий выпуск",IF(I85&gt;=40,"P3 — можно отложить","Не включать"))))</x:f>
      </x:c>
      <x:c r="K85" s="27" t="str"/>
      <x:c r="L85" s="27" t="str"/>
      <x:c r="M85" s="27"/>
      <x:c r="N85" s="27"/>
      <x:c r="O85" s="27"/>
      <x:c r="P85" s="27"/>
      <x:c r="Q85" s="27"/>
      <x:c r="R85" s="27"/>
      <x:c r="S85" s="27"/>
      <x:c r="T85" s="27"/>
      <x:c r="U85" s="27"/>
    </x:row>
    <x:row r="86">
      <x:c r="A86" s="27" t="str"/>
      <x:c r="B86" s="27" t="str"/>
      <x:c r="C86" s="27" t="str"/>
      <x:c r="D86" s="27" t="str"/>
      <x:c r="E86" s="27" t="str"/>
      <x:c r="F86" s="27" t="str"/>
      <x:c r="G86" s="27" t="str"/>
      <x:c r="H86" s="27" t="str"/>
      <x:c r="I86" s="27" t="str">
        <x:f>IF(A86="","",MAX(0,MIN(100,ROUND(((D86*0.30)+(E86*0.30)+(F86*0.15)+(G86*0.15)-(H86*0.10))*20,0))))</x:f>
      </x:c>
      <x:c r="J86" s="27" t="str">
        <x:f>IF(A86="","",IF(I86&gt;=80,"P1 — первая версия",IF(I86&gt;=60,"P2 — следующий выпуск",IF(I86&gt;=40,"P3 — можно отложить","Не включать"))))</x:f>
      </x:c>
      <x:c r="K86" s="27" t="str"/>
      <x:c r="L86" s="27" t="str"/>
      <x:c r="M86" s="27"/>
      <x:c r="N86" s="27"/>
      <x:c r="O86" s="27"/>
      <x:c r="P86" s="27"/>
      <x:c r="Q86" s="27"/>
      <x:c r="R86" s="27"/>
      <x:c r="S86" s="27"/>
      <x:c r="T86" s="27"/>
      <x:c r="U86" s="27"/>
    </x:row>
    <x:row r="87">
      <x:c r="A87" s="27" t="str"/>
      <x:c r="B87" s="27" t="str"/>
      <x:c r="C87" s="27" t="str"/>
      <x:c r="D87" s="27" t="str"/>
      <x:c r="E87" s="27" t="str"/>
      <x:c r="F87" s="27" t="str"/>
      <x:c r="G87" s="27" t="str"/>
      <x:c r="H87" s="27" t="str"/>
      <x:c r="I87" s="27" t="str">
        <x:f>IF(A87="","",MAX(0,MIN(100,ROUND(((D87*0.30)+(E87*0.30)+(F87*0.15)+(G87*0.15)-(H87*0.10))*20,0))))</x:f>
      </x:c>
      <x:c r="J87" s="27" t="str">
        <x:f>IF(A87="","",IF(I87&gt;=80,"P1 — первая версия",IF(I87&gt;=60,"P2 — следующий выпуск",IF(I87&gt;=40,"P3 — можно отложить","Не включать"))))</x:f>
      </x:c>
      <x:c r="K87" s="27" t="str"/>
      <x:c r="L87" s="27" t="str"/>
      <x:c r="M87" s="27"/>
      <x:c r="N87" s="27"/>
      <x:c r="O87" s="27"/>
      <x:c r="P87" s="27"/>
      <x:c r="Q87" s="27"/>
      <x:c r="R87" s="27"/>
      <x:c r="S87" s="27"/>
      <x:c r="T87" s="27"/>
      <x:c r="U87" s="27"/>
    </x:row>
    <x:row r="88">
      <x:c r="A88" s="27" t="str"/>
      <x:c r="B88" s="27" t="str"/>
      <x:c r="C88" s="27" t="str"/>
      <x:c r="D88" s="27" t="str"/>
      <x:c r="E88" s="27" t="str"/>
      <x:c r="F88" s="27" t="str"/>
      <x:c r="G88" s="27" t="str"/>
      <x:c r="H88" s="27" t="str"/>
      <x:c r="I88" s="27" t="str">
        <x:f>IF(A88="","",MAX(0,MIN(100,ROUND(((D88*0.30)+(E88*0.30)+(F88*0.15)+(G88*0.15)-(H88*0.10))*20,0))))</x:f>
      </x:c>
      <x:c r="J88" s="27" t="str">
        <x:f>IF(A88="","",IF(I88&gt;=80,"P1 — первая версия",IF(I88&gt;=60,"P2 — следующий выпуск",IF(I88&gt;=40,"P3 — можно отложить","Не включать"))))</x:f>
      </x:c>
      <x:c r="K88" s="27" t="str"/>
      <x:c r="L88" s="27" t="str"/>
      <x:c r="M88" s="27"/>
      <x:c r="N88" s="27"/>
      <x:c r="O88" s="27"/>
      <x:c r="P88" s="27"/>
      <x:c r="Q88" s="27"/>
      <x:c r="R88" s="27"/>
      <x:c r="S88" s="27"/>
      <x:c r="T88" s="27"/>
      <x:c r="U88" s="27"/>
    </x:row>
    <x:row r="89">
      <x:c r="A89" s="27" t="str"/>
      <x:c r="B89" s="27" t="str"/>
      <x:c r="C89" s="27" t="str"/>
      <x:c r="D89" s="27" t="str"/>
      <x:c r="E89" s="27" t="str"/>
      <x:c r="F89" s="27" t="str"/>
      <x:c r="G89" s="27" t="str"/>
      <x:c r="H89" s="27" t="str"/>
      <x:c r="I89" s="27" t="str">
        <x:f>IF(A89="","",MAX(0,MIN(100,ROUND(((D89*0.30)+(E89*0.30)+(F89*0.15)+(G89*0.15)-(H89*0.10))*20,0))))</x:f>
      </x:c>
      <x:c r="J89" s="27" t="str">
        <x:f>IF(A89="","",IF(I89&gt;=80,"P1 — первая версия",IF(I89&gt;=60,"P2 — следующий выпуск",IF(I89&gt;=40,"P3 — можно отложить","Не включать"))))</x:f>
      </x:c>
      <x:c r="K89" s="27" t="str"/>
      <x:c r="L89" s="27" t="str"/>
      <x:c r="M89" s="27"/>
      <x:c r="N89" s="27"/>
      <x:c r="O89" s="27"/>
      <x:c r="P89" s="27"/>
      <x:c r="Q89" s="27"/>
      <x:c r="R89" s="27"/>
      <x:c r="S89" s="27"/>
      <x:c r="T89" s="27"/>
      <x:c r="U89" s="27"/>
    </x:row>
    <x:row r="90">
      <x:c r="A90" s="27" t="str"/>
      <x:c r="B90" s="27" t="str"/>
      <x:c r="C90" s="27" t="str"/>
      <x:c r="D90" s="27" t="str"/>
      <x:c r="E90" s="27" t="str"/>
      <x:c r="F90" s="27" t="str"/>
      <x:c r="G90" s="27" t="str"/>
      <x:c r="H90" s="27" t="str"/>
      <x:c r="I90" s="27" t="str">
        <x:f>IF(A90="","",MAX(0,MIN(100,ROUND(((D90*0.30)+(E90*0.30)+(F90*0.15)+(G90*0.15)-(H90*0.10))*20,0))))</x:f>
      </x:c>
      <x:c r="J90" s="27" t="str">
        <x:f>IF(A90="","",IF(I90&gt;=80,"P1 — первая версия",IF(I90&gt;=60,"P2 — следующий выпуск",IF(I90&gt;=40,"P3 — можно отложить","Не включать"))))</x:f>
      </x:c>
      <x:c r="K90" s="27" t="str"/>
      <x:c r="L90" s="27" t="str"/>
      <x:c r="M90" s="27"/>
      <x:c r="N90" s="27"/>
      <x:c r="O90" s="27"/>
      <x:c r="P90" s="27"/>
      <x:c r="Q90" s="27"/>
      <x:c r="R90" s="27"/>
      <x:c r="S90" s="27"/>
      <x:c r="T90" s="27"/>
      <x:c r="U90" s="27"/>
    </x:row>
    <x:row r="91">
      <x:c r="A91" s="27" t="str"/>
      <x:c r="B91" s="27" t="str"/>
      <x:c r="C91" s="27" t="str"/>
      <x:c r="D91" s="27" t="str"/>
      <x:c r="E91" s="27" t="str"/>
      <x:c r="F91" s="27" t="str"/>
      <x:c r="G91" s="27" t="str"/>
      <x:c r="H91" s="27" t="str"/>
      <x:c r="I91" s="27" t="str">
        <x:f>IF(A91="","",MAX(0,MIN(100,ROUND(((D91*0.30)+(E91*0.30)+(F91*0.15)+(G91*0.15)-(H91*0.10))*20,0))))</x:f>
      </x:c>
      <x:c r="J91" s="27" t="str">
        <x:f>IF(A91="","",IF(I91&gt;=80,"P1 — первая версия",IF(I91&gt;=60,"P2 — следующий выпуск",IF(I91&gt;=40,"P3 — можно отложить","Не включать"))))</x:f>
      </x:c>
      <x:c r="K91" s="27" t="str"/>
      <x:c r="L91" s="27" t="str"/>
      <x:c r="M91" s="27"/>
      <x:c r="N91" s="27"/>
      <x:c r="O91" s="27"/>
      <x:c r="P91" s="27"/>
      <x:c r="Q91" s="27"/>
      <x:c r="R91" s="27"/>
      <x:c r="S91" s="27"/>
      <x:c r="T91" s="27"/>
      <x:c r="U91" s="27"/>
    </x:row>
    <x:row r="92">
      <x:c r="A92" s="27" t="str"/>
      <x:c r="B92" s="27" t="str"/>
      <x:c r="C92" s="27" t="str"/>
      <x:c r="D92" s="27" t="str"/>
      <x:c r="E92" s="27" t="str"/>
      <x:c r="F92" s="27" t="str"/>
      <x:c r="G92" s="27" t="str"/>
      <x:c r="H92" s="27" t="str"/>
      <x:c r="I92" s="27" t="str">
        <x:f>IF(A92="","",MAX(0,MIN(100,ROUND(((D92*0.30)+(E92*0.30)+(F92*0.15)+(G92*0.15)-(H92*0.10))*20,0))))</x:f>
      </x:c>
      <x:c r="J92" s="27" t="str">
        <x:f>IF(A92="","",IF(I92&gt;=80,"P1 — первая версия",IF(I92&gt;=60,"P2 — следующий выпуск",IF(I92&gt;=40,"P3 — можно отложить","Не включать"))))</x:f>
      </x:c>
      <x:c r="K92" s="27" t="str"/>
      <x:c r="L92" s="27" t="str"/>
      <x:c r="M92" s="27"/>
      <x:c r="N92" s="27"/>
      <x:c r="O92" s="27"/>
      <x:c r="P92" s="27"/>
      <x:c r="Q92" s="27"/>
      <x:c r="R92" s="27"/>
      <x:c r="S92" s="27"/>
      <x:c r="T92" s="27"/>
      <x:c r="U92" s="27"/>
    </x:row>
    <x:row r="93">
      <x:c r="A93" s="27" t="str"/>
      <x:c r="B93" s="27" t="str"/>
      <x:c r="C93" s="27" t="str"/>
      <x:c r="D93" s="27" t="str"/>
      <x:c r="E93" s="27" t="str"/>
      <x:c r="F93" s="27" t="str"/>
      <x:c r="G93" s="27" t="str"/>
      <x:c r="H93" s="27" t="str"/>
      <x:c r="I93" s="27" t="str">
        <x:f>IF(A93="","",MAX(0,MIN(100,ROUND(((D93*0.30)+(E93*0.30)+(F93*0.15)+(G93*0.15)-(H93*0.10))*20,0))))</x:f>
      </x:c>
      <x:c r="J93" s="27" t="str">
        <x:f>IF(A93="","",IF(I93&gt;=80,"P1 — первая версия",IF(I93&gt;=60,"P2 — следующий выпуск",IF(I93&gt;=40,"P3 — можно отложить","Не включать"))))</x:f>
      </x:c>
      <x:c r="K93" s="27" t="str"/>
      <x:c r="L93" s="27" t="str"/>
      <x:c r="M93" s="27"/>
      <x:c r="N93" s="27"/>
      <x:c r="O93" s="27"/>
      <x:c r="P93" s="27"/>
      <x:c r="Q93" s="27"/>
      <x:c r="R93" s="27"/>
      <x:c r="S93" s="27"/>
      <x:c r="T93" s="27"/>
      <x:c r="U93" s="27"/>
    </x:row>
    <x:row r="94">
      <x:c r="A94" s="27" t="str"/>
      <x:c r="B94" s="27" t="str"/>
      <x:c r="C94" s="27" t="str"/>
      <x:c r="D94" s="27" t="str"/>
      <x:c r="E94" s="27" t="str"/>
      <x:c r="F94" s="27" t="str"/>
      <x:c r="G94" s="27" t="str"/>
      <x:c r="H94" s="27" t="str"/>
      <x:c r="I94" s="27" t="str">
        <x:f>IF(A94="","",MAX(0,MIN(100,ROUND(((D94*0.30)+(E94*0.30)+(F94*0.15)+(G94*0.15)-(H94*0.10))*20,0))))</x:f>
      </x:c>
      <x:c r="J94" s="27" t="str">
        <x:f>IF(A94="","",IF(I94&gt;=80,"P1 — первая версия",IF(I94&gt;=60,"P2 — следующий выпуск",IF(I94&gt;=40,"P3 — можно отложить","Не включать"))))</x:f>
      </x:c>
      <x:c r="K94" s="27" t="str"/>
      <x:c r="L94" s="27" t="str"/>
      <x:c r="M94" s="27"/>
      <x:c r="N94" s="27"/>
      <x:c r="O94" s="27"/>
      <x:c r="P94" s="27"/>
      <x:c r="Q94" s="27"/>
      <x:c r="R94" s="27"/>
      <x:c r="S94" s="27"/>
      <x:c r="T94" s="27"/>
      <x:c r="U94" s="27"/>
    </x:row>
    <x:row r="95">
      <x:c r="A95" s="27" t="str"/>
      <x:c r="B95" s="27" t="str"/>
      <x:c r="C95" s="27" t="str"/>
      <x:c r="D95" s="27" t="str"/>
      <x:c r="E95" s="27" t="str"/>
      <x:c r="F95" s="27" t="str"/>
      <x:c r="G95" s="27" t="str"/>
      <x:c r="H95" s="27" t="str"/>
      <x:c r="I95" s="27" t="str">
        <x:f>IF(A95="","",MAX(0,MIN(100,ROUND(((D95*0.30)+(E95*0.30)+(F95*0.15)+(G95*0.15)-(H95*0.10))*20,0))))</x:f>
      </x:c>
      <x:c r="J95" s="27" t="str">
        <x:f>IF(A95="","",IF(I95&gt;=80,"P1 — первая версия",IF(I95&gt;=60,"P2 — следующий выпуск",IF(I95&gt;=40,"P3 — можно отложить","Не включать"))))</x:f>
      </x:c>
      <x:c r="K95" s="27" t="str"/>
      <x:c r="L95" s="27" t="str"/>
      <x:c r="M95" s="27"/>
      <x:c r="N95" s="27"/>
      <x:c r="O95" s="27"/>
      <x:c r="P95" s="27"/>
      <x:c r="Q95" s="27"/>
      <x:c r="R95" s="27"/>
      <x:c r="S95" s="27"/>
      <x:c r="T95" s="27"/>
      <x:c r="U95" s="27"/>
    </x:row>
    <x:row r="96">
      <x:c r="A96" s="27" t="str"/>
      <x:c r="B96" s="27" t="str"/>
      <x:c r="C96" s="27" t="str"/>
      <x:c r="D96" s="27" t="str"/>
      <x:c r="E96" s="27" t="str"/>
      <x:c r="F96" s="27" t="str"/>
      <x:c r="G96" s="27" t="str"/>
      <x:c r="H96" s="27" t="str"/>
      <x:c r="I96" s="27" t="str">
        <x:f>IF(A96="","",MAX(0,MIN(100,ROUND(((D96*0.30)+(E96*0.30)+(F96*0.15)+(G96*0.15)-(H96*0.10))*20,0))))</x:f>
      </x:c>
      <x:c r="J96" s="27" t="str">
        <x:f>IF(A96="","",IF(I96&gt;=80,"P1 — первая версия",IF(I96&gt;=60,"P2 — следующий выпуск",IF(I96&gt;=40,"P3 — можно отложить","Не включать"))))</x:f>
      </x:c>
      <x:c r="K96" s="27" t="str"/>
      <x:c r="L96" s="27" t="str"/>
      <x:c r="M96" s="27"/>
      <x:c r="N96" s="27"/>
      <x:c r="O96" s="27"/>
      <x:c r="P96" s="27"/>
      <x:c r="Q96" s="27"/>
      <x:c r="R96" s="27"/>
      <x:c r="S96" s="27"/>
      <x:c r="T96" s="27"/>
      <x:c r="U96" s="27"/>
    </x:row>
    <x:row r="97">
      <x:c r="A97" s="27" t="str"/>
      <x:c r="B97" s="27" t="str"/>
      <x:c r="C97" s="27" t="str"/>
      <x:c r="D97" s="27" t="str"/>
      <x:c r="E97" s="27" t="str"/>
      <x:c r="F97" s="27" t="str"/>
      <x:c r="G97" s="27" t="str"/>
      <x:c r="H97" s="27" t="str"/>
      <x:c r="I97" s="27" t="str">
        <x:f>IF(A97="","",MAX(0,MIN(100,ROUND(((D97*0.30)+(E97*0.30)+(F97*0.15)+(G97*0.15)-(H97*0.10))*20,0))))</x:f>
      </x:c>
      <x:c r="J97" s="27" t="str">
        <x:f>IF(A97="","",IF(I97&gt;=80,"P1 — первая версия",IF(I97&gt;=60,"P2 — следующий выпуск",IF(I97&gt;=40,"P3 — можно отложить","Не включать"))))</x:f>
      </x:c>
      <x:c r="K97" s="27" t="str"/>
      <x:c r="L97" s="27" t="str"/>
      <x:c r="M97" s="27"/>
      <x:c r="N97" s="27"/>
      <x:c r="O97" s="27"/>
      <x:c r="P97" s="27"/>
      <x:c r="Q97" s="27"/>
      <x:c r="R97" s="27"/>
      <x:c r="S97" s="27"/>
      <x:c r="T97" s="27"/>
      <x:c r="U97" s="27"/>
    </x:row>
    <x:row r="98">
      <x:c r="A98" s="27" t="str"/>
      <x:c r="B98" s="27" t="str"/>
      <x:c r="C98" s="27" t="str"/>
      <x:c r="D98" s="27" t="str"/>
      <x:c r="E98" s="27" t="str"/>
      <x:c r="F98" s="27" t="str"/>
      <x:c r="G98" s="27" t="str"/>
      <x:c r="H98" s="27" t="str"/>
      <x:c r="I98" s="27" t="str">
        <x:f>IF(A98="","",MAX(0,MIN(100,ROUND(((D98*0.30)+(E98*0.30)+(F98*0.15)+(G98*0.15)-(H98*0.10))*20,0))))</x:f>
      </x:c>
      <x:c r="J98" s="27" t="str">
        <x:f>IF(A98="","",IF(I98&gt;=80,"P1 — первая версия",IF(I98&gt;=60,"P2 — следующий выпуск",IF(I98&gt;=40,"P3 — можно отложить","Не включать"))))</x:f>
      </x:c>
      <x:c r="K98" s="27" t="str"/>
      <x:c r="L98" s="27" t="str"/>
      <x:c r="M98" s="27"/>
      <x:c r="N98" s="27"/>
      <x:c r="O98" s="27"/>
      <x:c r="P98" s="27"/>
      <x:c r="Q98" s="27"/>
      <x:c r="R98" s="27"/>
      <x:c r="S98" s="27"/>
      <x:c r="T98" s="27"/>
      <x:c r="U98" s="27"/>
    </x:row>
    <x:row r="99">
      <x:c r="A99" s="27" t="str"/>
      <x:c r="B99" s="27" t="str"/>
      <x:c r="C99" s="27" t="str"/>
      <x:c r="D99" s="27" t="str"/>
      <x:c r="E99" s="27" t="str"/>
      <x:c r="F99" s="27" t="str"/>
      <x:c r="G99" s="27" t="str"/>
      <x:c r="H99" s="27" t="str"/>
      <x:c r="I99" s="27" t="str">
        <x:f>IF(A99="","",MAX(0,MIN(100,ROUND(((D99*0.30)+(E99*0.30)+(F99*0.15)+(G99*0.15)-(H99*0.10))*20,0))))</x:f>
      </x:c>
      <x:c r="J99" s="27" t="str">
        <x:f>IF(A99="","",IF(I99&gt;=80,"P1 — первая версия",IF(I99&gt;=60,"P2 — следующий выпуск",IF(I99&gt;=40,"P3 — можно отложить","Не включать"))))</x:f>
      </x:c>
      <x:c r="K99" s="27" t="str"/>
      <x:c r="L99" s="27" t="str"/>
      <x:c r="M99" s="27"/>
      <x:c r="N99" s="27"/>
      <x:c r="O99" s="27"/>
      <x:c r="P99" s="27"/>
      <x:c r="Q99" s="27"/>
      <x:c r="R99" s="27"/>
      <x:c r="S99" s="27"/>
      <x:c r="T99" s="27"/>
      <x:c r="U99" s="27"/>
    </x:row>
    <x:row r="100">
      <x:c r="A100" s="27" t="str"/>
      <x:c r="B100" s="27" t="str"/>
      <x:c r="C100" s="27" t="str"/>
      <x:c r="D100" s="27" t="str"/>
      <x:c r="E100" s="27" t="str"/>
      <x:c r="F100" s="27" t="str"/>
      <x:c r="G100" s="27" t="str"/>
      <x:c r="H100" s="27" t="str"/>
      <x:c r="I100" s="27" t="str">
        <x:f>IF(A100="","",MAX(0,MIN(100,ROUND(((D100*0.30)+(E100*0.30)+(F100*0.15)+(G100*0.15)-(H100*0.10))*20,0))))</x:f>
      </x:c>
      <x:c r="J100" s="27" t="str">
        <x:f>IF(A100="","",IF(I100&gt;=80,"P1 — первая версия",IF(I100&gt;=60,"P2 — следующий выпуск",IF(I100&gt;=40,"P3 — можно отложить","Не включать"))))</x:f>
      </x:c>
      <x:c r="K100" s="27" t="str"/>
      <x:c r="L100" s="27" t="str"/>
      <x:c r="M100" s="27"/>
      <x:c r="N100" s="27"/>
      <x:c r="O100" s="27"/>
      <x:c r="P100" s="27"/>
      <x:c r="Q100" s="27"/>
      <x:c r="R100" s="27"/>
      <x:c r="S100" s="27"/>
      <x:c r="T100" s="27"/>
      <x:c r="U100" s="27"/>
    </x:row>
    <x:row r="101">
      <x:c r="A101" s="27" t="str"/>
      <x:c r="B101" s="27" t="str"/>
      <x:c r="C101" s="27" t="str"/>
      <x:c r="D101" s="27" t="str"/>
      <x:c r="E101" s="27" t="str"/>
      <x:c r="F101" s="27" t="str"/>
      <x:c r="G101" s="27" t="str"/>
      <x:c r="H101" s="27" t="str"/>
      <x:c r="I101" s="27" t="str">
        <x:f>IF(A101="","",MAX(0,MIN(100,ROUND(((D101*0.30)+(E101*0.30)+(F101*0.15)+(G101*0.15)-(H101*0.10))*20,0))))</x:f>
      </x:c>
      <x:c r="J101" s="27" t="str">
        <x:f>IF(A101="","",IF(I101&gt;=80,"P1 — первая версия",IF(I101&gt;=60,"P2 — следующий выпуск",IF(I101&gt;=40,"P3 — можно отложить","Не включать"))))</x:f>
      </x:c>
      <x:c r="K101" s="27" t="str"/>
      <x:c r="L101" s="27" t="str"/>
      <x:c r="M101" s="27"/>
      <x:c r="N101" s="27"/>
      <x:c r="O101" s="27"/>
      <x:c r="P101" s="27"/>
      <x:c r="Q101" s="27"/>
      <x:c r="R101" s="27"/>
      <x:c r="S101" s="27"/>
      <x:c r="T101" s="27"/>
      <x:c r="U101" s="27"/>
    </x:row>
    <x:row r="102">
      <x:c r="A102" s="27" t="str"/>
      <x:c r="B102" s="27" t="str"/>
      <x:c r="C102" s="27" t="str"/>
      <x:c r="D102" s="27" t="str"/>
      <x:c r="E102" s="27" t="str"/>
      <x:c r="F102" s="27" t="str"/>
      <x:c r="G102" s="27" t="str"/>
      <x:c r="H102" s="27" t="str"/>
      <x:c r="I102" s="27" t="str">
        <x:f>IF(A102="","",MAX(0,MIN(100,ROUND(((D102*0.30)+(E102*0.30)+(F102*0.15)+(G102*0.15)-(H102*0.10))*20,0))))</x:f>
      </x:c>
      <x:c r="J102" s="27" t="str">
        <x:f>IF(A102="","",IF(I102&gt;=80,"P1 — первая версия",IF(I102&gt;=60,"P2 — следующий выпуск",IF(I102&gt;=40,"P3 — можно отложить","Не включать"))))</x:f>
      </x:c>
      <x:c r="K102" s="27" t="str"/>
      <x:c r="L102" s="27" t="str"/>
      <x:c r="M102" s="27"/>
      <x:c r="N102" s="27"/>
      <x:c r="O102" s="27"/>
      <x:c r="P102" s="27"/>
      <x:c r="Q102" s="27"/>
      <x:c r="R102" s="27"/>
      <x:c r="S102" s="27"/>
      <x:c r="T102" s="27"/>
      <x:c r="U102" s="27"/>
    </x:row>
    <x:row r="103">
      <x:c r="A103" s="27" t="str"/>
      <x:c r="B103" s="27" t="str"/>
      <x:c r="C103" s="27" t="str"/>
      <x:c r="D103" s="27" t="str"/>
      <x:c r="E103" s="27" t="str"/>
      <x:c r="F103" s="27" t="str"/>
      <x:c r="G103" s="27" t="str"/>
      <x:c r="H103" s="27" t="str"/>
      <x:c r="I103" s="27" t="str">
        <x:f>IF(A103="","",MAX(0,MIN(100,ROUND(((D103*0.30)+(E103*0.30)+(F103*0.15)+(G103*0.15)-(H103*0.10))*20,0))))</x:f>
      </x:c>
      <x:c r="J103" s="27" t="str">
        <x:f>IF(A103="","",IF(I103&gt;=80,"P1 — первая версия",IF(I103&gt;=60,"P2 — следующий выпуск",IF(I103&gt;=40,"P3 — можно отложить","Не включать"))))</x:f>
      </x:c>
      <x:c r="K103" s="27" t="str"/>
      <x:c r="L103" s="27" t="str"/>
      <x:c r="M103" s="27"/>
      <x:c r="N103" s="27"/>
      <x:c r="O103" s="27"/>
      <x:c r="P103" s="27"/>
      <x:c r="Q103" s="27"/>
      <x:c r="R103" s="27"/>
      <x:c r="S103" s="27"/>
      <x:c r="T103" s="27"/>
      <x:c r="U103" s="27"/>
    </x:row>
    <x:row r="104">
      <x:c r="A104" s="27" t="str"/>
      <x:c r="B104" s="27" t="str"/>
      <x:c r="C104" s="27" t="str"/>
      <x:c r="D104" s="27" t="str"/>
      <x:c r="E104" s="27" t="str"/>
      <x:c r="F104" s="27" t="str"/>
      <x:c r="G104" s="27" t="str"/>
      <x:c r="H104" s="27" t="str"/>
      <x:c r="I104" s="27" t="str">
        <x:f>IF(A104="","",MAX(0,MIN(100,ROUND(((D104*0.30)+(E104*0.30)+(F104*0.15)+(G104*0.15)-(H104*0.10))*20,0))))</x:f>
      </x:c>
      <x:c r="J104" s="27" t="str">
        <x:f>IF(A104="","",IF(I104&gt;=80,"P1 — первая версия",IF(I104&gt;=60,"P2 — следующий выпуск",IF(I104&gt;=40,"P3 — можно отложить","Не включать"))))</x:f>
      </x:c>
      <x:c r="K104" s="27" t="str"/>
      <x:c r="L104" s="27" t="str"/>
      <x:c r="M104" s="27"/>
      <x:c r="N104" s="27"/>
      <x:c r="O104" s="27"/>
      <x:c r="P104" s="27"/>
      <x:c r="Q104" s="27"/>
      <x:c r="R104" s="27"/>
      <x:c r="S104" s="27"/>
      <x:c r="T104" s="27"/>
      <x:c r="U104" s="27"/>
    </x:row>
    <x:row r="105">
      <x:c r="A105" s="27" t="str"/>
      <x:c r="B105" s="27" t="str"/>
      <x:c r="C105" s="27" t="str"/>
      <x:c r="D105" s="27" t="str"/>
      <x:c r="E105" s="27" t="str"/>
      <x:c r="F105" s="27" t="str"/>
      <x:c r="G105" s="27" t="str"/>
      <x:c r="H105" s="27" t="str"/>
      <x:c r="I105" s="27" t="str">
        <x:f>IF(A105="","",MAX(0,MIN(100,ROUND(((D105*0.30)+(E105*0.30)+(F105*0.15)+(G105*0.15)-(H105*0.10))*20,0))))</x:f>
      </x:c>
      <x:c r="J105" s="27" t="str">
        <x:f>IF(A105="","",IF(I105&gt;=80,"P1 — первая версия",IF(I105&gt;=60,"P2 — следующий выпуск",IF(I105&gt;=40,"P3 — можно отложить","Не включать"))))</x:f>
      </x:c>
      <x:c r="K105" s="27" t="str"/>
      <x:c r="L105" s="27" t="str"/>
      <x:c r="M105" s="27"/>
      <x:c r="N105" s="27"/>
      <x:c r="O105" s="27"/>
      <x:c r="P105" s="27"/>
      <x:c r="Q105" s="27"/>
      <x:c r="R105" s="27"/>
      <x:c r="S105" s="27"/>
      <x:c r="T105" s="27"/>
      <x:c r="U105" s="27"/>
    </x:row>
    <x:row r="106">
      <x:c r="A106" s="27" t="str"/>
      <x:c r="B106" s="27" t="str"/>
      <x:c r="C106" s="27" t="str"/>
      <x:c r="D106" s="27" t="str"/>
      <x:c r="E106" s="27" t="str"/>
      <x:c r="F106" s="27" t="str"/>
      <x:c r="G106" s="27" t="str"/>
      <x:c r="H106" s="27" t="str"/>
      <x:c r="I106" s="27" t="str">
        <x:f>IF(A106="","",MAX(0,MIN(100,ROUND(((D106*0.30)+(E106*0.30)+(F106*0.15)+(G106*0.15)-(H106*0.10))*20,0))))</x:f>
      </x:c>
      <x:c r="J106" s="27" t="str">
        <x:f>IF(A106="","",IF(I106&gt;=80,"P1 — первая версия",IF(I106&gt;=60,"P2 — следующий выпуск",IF(I106&gt;=40,"P3 — можно отложить","Не включать"))))</x:f>
      </x:c>
      <x:c r="K106" s="27" t="str"/>
      <x:c r="L106" s="27" t="str"/>
      <x:c r="M106" s="27"/>
      <x:c r="N106" s="27"/>
      <x:c r="O106" s="27"/>
      <x:c r="P106" s="27"/>
      <x:c r="Q106" s="27"/>
      <x:c r="R106" s="27"/>
      <x:c r="S106" s="27"/>
      <x:c r="T106" s="27"/>
      <x:c r="U106" s="27"/>
    </x:row>
    <x:row r="107">
      <x:c r="A107" s="27" t="str"/>
      <x:c r="B107" s="27" t="str"/>
      <x:c r="C107" s="27" t="str"/>
      <x:c r="D107" s="27" t="str"/>
      <x:c r="E107" s="27" t="str"/>
      <x:c r="F107" s="27" t="str"/>
      <x:c r="G107" s="27" t="str"/>
      <x:c r="H107" s="27" t="str"/>
      <x:c r="I107" s="27" t="str">
        <x:f>IF(A107="","",MAX(0,MIN(100,ROUND(((D107*0.30)+(E107*0.30)+(F107*0.15)+(G107*0.15)-(H107*0.10))*20,0))))</x:f>
      </x:c>
      <x:c r="J107" s="27" t="str">
        <x:f>IF(A107="","",IF(I107&gt;=80,"P1 — первая версия",IF(I107&gt;=60,"P2 — следующий выпуск",IF(I107&gt;=40,"P3 — можно отложить","Не включать"))))</x:f>
      </x:c>
      <x:c r="K107" s="27" t="str"/>
      <x:c r="L107" s="27" t="str"/>
      <x:c r="M107" s="27"/>
      <x:c r="N107" s="27"/>
      <x:c r="O107" s="27"/>
      <x:c r="P107" s="27"/>
      <x:c r="Q107" s="27"/>
      <x:c r="R107" s="27"/>
      <x:c r="S107" s="27"/>
      <x:c r="T107" s="27"/>
      <x:c r="U107" s="27"/>
    </x:row>
    <x:row r="108">
      <x:c r="A108" s="27" t="str"/>
      <x:c r="B108" s="27" t="str"/>
      <x:c r="C108" s="27" t="str"/>
      <x:c r="D108" s="27" t="str"/>
      <x:c r="E108" s="27" t="str"/>
      <x:c r="F108" s="27" t="str"/>
      <x:c r="G108" s="27" t="str"/>
      <x:c r="H108" s="27" t="str"/>
      <x:c r="I108" s="27" t="str">
        <x:f>IF(A108="","",MAX(0,MIN(100,ROUND(((D108*0.30)+(E108*0.30)+(F108*0.15)+(G108*0.15)-(H108*0.10))*20,0))))</x:f>
      </x:c>
      <x:c r="J108" s="27" t="str">
        <x:f>IF(A108="","",IF(I108&gt;=80,"P1 — первая версия",IF(I108&gt;=60,"P2 — следующий выпуск",IF(I108&gt;=40,"P3 — можно отложить","Не включать"))))</x:f>
      </x:c>
      <x:c r="K108" s="27" t="str"/>
      <x:c r="L108" s="27" t="str"/>
      <x:c r="M108" s="27"/>
      <x:c r="N108" s="27"/>
      <x:c r="O108" s="27"/>
      <x:c r="P108" s="27"/>
      <x:c r="Q108" s="27"/>
      <x:c r="R108" s="27"/>
      <x:c r="S108" s="27"/>
      <x:c r="T108" s="27"/>
      <x:c r="U108" s="27"/>
    </x:row>
    <x:row r="109">
      <x:c r="A109" s="27" t="str"/>
      <x:c r="B109" s="27" t="str"/>
      <x:c r="C109" s="27" t="str"/>
      <x:c r="D109" s="27" t="str"/>
      <x:c r="E109" s="27" t="str"/>
      <x:c r="F109" s="27" t="str"/>
      <x:c r="G109" s="27" t="str"/>
      <x:c r="H109" s="27" t="str"/>
      <x:c r="I109" s="27" t="str">
        <x:f>IF(A109="","",MAX(0,MIN(100,ROUND(((D109*0.30)+(E109*0.30)+(F109*0.15)+(G109*0.15)-(H109*0.10))*20,0))))</x:f>
      </x:c>
      <x:c r="J109" s="27" t="str">
        <x:f>IF(A109="","",IF(I109&gt;=80,"P1 — первая версия",IF(I109&gt;=60,"P2 — следующий выпуск",IF(I109&gt;=40,"P3 — можно отложить","Не включать"))))</x:f>
      </x:c>
      <x:c r="K109" s="27" t="str"/>
      <x:c r="L109" s="27" t="str"/>
      <x:c r="M109" s="27"/>
      <x:c r="N109" s="27"/>
      <x:c r="O109" s="27"/>
      <x:c r="P109" s="27"/>
      <x:c r="Q109" s="27"/>
      <x:c r="R109" s="27"/>
      <x:c r="S109" s="27"/>
      <x:c r="T109" s="27"/>
      <x:c r="U109" s="27"/>
    </x:row>
    <x:row r="110">
      <x:c r="A110" s="27" t="str"/>
      <x:c r="B110" s="27" t="str"/>
      <x:c r="C110" s="27" t="str"/>
      <x:c r="D110" s="27" t="str"/>
      <x:c r="E110" s="27" t="str"/>
      <x:c r="F110" s="27" t="str"/>
      <x:c r="G110" s="27" t="str"/>
      <x:c r="H110" s="27" t="str"/>
      <x:c r="I110" s="27" t="str">
        <x:f>IF(A110="","",MAX(0,MIN(100,ROUND(((D110*0.30)+(E110*0.30)+(F110*0.15)+(G110*0.15)-(H110*0.10))*20,0))))</x:f>
      </x:c>
      <x:c r="J110" s="27" t="str">
        <x:f>IF(A110="","",IF(I110&gt;=80,"P1 — первая версия",IF(I110&gt;=60,"P2 — следующий выпуск",IF(I110&gt;=40,"P3 — можно отложить","Не включать"))))</x:f>
      </x:c>
      <x:c r="K110" s="27" t="str"/>
      <x:c r="L110" s="27" t="str"/>
      <x:c r="M110" s="27"/>
      <x:c r="N110" s="27"/>
      <x:c r="O110" s="27"/>
      <x:c r="P110" s="27"/>
      <x:c r="Q110" s="27"/>
      <x:c r="R110" s="27"/>
      <x:c r="S110" s="27"/>
      <x:c r="T110" s="27"/>
      <x:c r="U110" s="27"/>
    </x:row>
    <x:row r="111">
      <x:c r="A111" s="27" t="str"/>
      <x:c r="B111" s="27" t="str"/>
      <x:c r="C111" s="27" t="str"/>
      <x:c r="D111" s="27" t="str"/>
      <x:c r="E111" s="27" t="str"/>
      <x:c r="F111" s="27" t="str"/>
      <x:c r="G111" s="27" t="str"/>
      <x:c r="H111" s="27" t="str"/>
      <x:c r="I111" s="27" t="str">
        <x:f>IF(A111="","",MAX(0,MIN(100,ROUND(((D111*0.30)+(E111*0.30)+(F111*0.15)+(G111*0.15)-(H111*0.10))*20,0))))</x:f>
      </x:c>
      <x:c r="J111" s="27" t="str">
        <x:f>IF(A111="","",IF(I111&gt;=80,"P1 — первая версия",IF(I111&gt;=60,"P2 — следующий выпуск",IF(I111&gt;=40,"P3 — можно отложить","Не включать"))))</x:f>
      </x:c>
      <x:c r="K111" s="27" t="str"/>
      <x:c r="L111" s="27" t="str"/>
      <x:c r="M111" s="27"/>
      <x:c r="N111" s="27"/>
      <x:c r="O111" s="27"/>
      <x:c r="P111" s="27"/>
      <x:c r="Q111" s="27"/>
      <x:c r="R111" s="27"/>
      <x:c r="S111" s="27"/>
      <x:c r="T111" s="27"/>
      <x:c r="U111" s="27"/>
    </x:row>
    <x:row r="112">
      <x:c r="A112" s="27" t="str"/>
      <x:c r="B112" s="27" t="str"/>
      <x:c r="C112" s="27" t="str"/>
      <x:c r="D112" s="27" t="str"/>
      <x:c r="E112" s="27" t="str"/>
      <x:c r="F112" s="27" t="str"/>
      <x:c r="G112" s="27" t="str"/>
      <x:c r="H112" s="27" t="str"/>
      <x:c r="I112" s="27" t="str">
        <x:f>IF(A112="","",MAX(0,MIN(100,ROUND(((D112*0.30)+(E112*0.30)+(F112*0.15)+(G112*0.15)-(H112*0.10))*20,0))))</x:f>
      </x:c>
      <x:c r="J112" s="27" t="str">
        <x:f>IF(A112="","",IF(I112&gt;=80,"P1 — первая версия",IF(I112&gt;=60,"P2 — следующий выпуск",IF(I112&gt;=40,"P3 — можно отложить","Не включать"))))</x:f>
      </x:c>
      <x:c r="K112" s="27" t="str"/>
      <x:c r="L112" s="27" t="str"/>
      <x:c r="M112" s="27"/>
      <x:c r="N112" s="27"/>
      <x:c r="O112" s="27"/>
      <x:c r="P112" s="27"/>
      <x:c r="Q112" s="27"/>
      <x:c r="R112" s="27"/>
      <x:c r="S112" s="27"/>
      <x:c r="T112" s="27"/>
      <x:c r="U112" s="27"/>
    </x:row>
    <x:row r="113">
      <x:c r="A113" s="27" t="str"/>
      <x:c r="B113" s="27" t="str"/>
      <x:c r="C113" s="27" t="str"/>
      <x:c r="D113" s="27" t="str"/>
      <x:c r="E113" s="27" t="str"/>
      <x:c r="F113" s="27" t="str"/>
      <x:c r="G113" s="27" t="str"/>
      <x:c r="H113" s="27" t="str"/>
      <x:c r="I113" s="27" t="str">
        <x:f>IF(A113="","",MAX(0,MIN(100,ROUND(((D113*0.30)+(E113*0.30)+(F113*0.15)+(G113*0.15)-(H113*0.10))*20,0))))</x:f>
      </x:c>
      <x:c r="J113" s="27" t="str">
        <x:f>IF(A113="","",IF(I113&gt;=80,"P1 — первая версия",IF(I113&gt;=60,"P2 — следующий выпуск",IF(I113&gt;=40,"P3 — можно отложить","Не включать"))))</x:f>
      </x:c>
      <x:c r="K113" s="27" t="str"/>
      <x:c r="L113" s="27" t="str"/>
      <x:c r="M113" s="27"/>
      <x:c r="N113" s="27"/>
      <x:c r="O113" s="27"/>
      <x:c r="P113" s="27"/>
      <x:c r="Q113" s="27"/>
      <x:c r="R113" s="27"/>
      <x:c r="S113" s="27"/>
      <x:c r="T113" s="27"/>
      <x:c r="U113" s="27"/>
    </x:row>
    <x:row r="114">
      <x:c r="A114" s="27" t="str"/>
      <x:c r="B114" s="27" t="str"/>
      <x:c r="C114" s="27" t="str"/>
      <x:c r="D114" s="27" t="str"/>
      <x:c r="E114" s="27" t="str"/>
      <x:c r="F114" s="27" t="str"/>
      <x:c r="G114" s="27" t="str"/>
      <x:c r="H114" s="27" t="str"/>
      <x:c r="I114" s="27" t="str">
        <x:f>IF(A114="","",MAX(0,MIN(100,ROUND(((D114*0.30)+(E114*0.30)+(F114*0.15)+(G114*0.15)-(H114*0.10))*20,0))))</x:f>
      </x:c>
      <x:c r="J114" s="27" t="str">
        <x:f>IF(A114="","",IF(I114&gt;=80,"P1 — первая версия",IF(I114&gt;=60,"P2 — следующий выпуск",IF(I114&gt;=40,"P3 — можно отложить","Не включать"))))</x:f>
      </x:c>
      <x:c r="K114" s="27" t="str"/>
      <x:c r="L114" s="27" t="str"/>
      <x:c r="M114" s="27"/>
      <x:c r="N114" s="27"/>
      <x:c r="O114" s="27"/>
      <x:c r="P114" s="27"/>
      <x:c r="Q114" s="27"/>
      <x:c r="R114" s="27"/>
      <x:c r="S114" s="27"/>
      <x:c r="T114" s="27"/>
      <x:c r="U114" s="27"/>
    </x:row>
    <x:row r="115">
      <x:c r="A115" s="27" t="str"/>
      <x:c r="B115" s="27" t="str"/>
      <x:c r="C115" s="27" t="str"/>
      <x:c r="D115" s="27" t="str"/>
      <x:c r="E115" s="27" t="str"/>
      <x:c r="F115" s="27" t="str"/>
      <x:c r="G115" s="27" t="str"/>
      <x:c r="H115" s="27" t="str"/>
      <x:c r="I115" s="27" t="str">
        <x:f>IF(A115="","",MAX(0,MIN(100,ROUND(((D115*0.30)+(E115*0.30)+(F115*0.15)+(G115*0.15)-(H115*0.10))*20,0))))</x:f>
      </x:c>
      <x:c r="J115" s="27" t="str">
        <x:f>IF(A115="","",IF(I115&gt;=80,"P1 — первая версия",IF(I115&gt;=60,"P2 — следующий выпуск",IF(I115&gt;=40,"P3 — можно отложить","Не включать"))))</x:f>
      </x:c>
      <x:c r="K115" s="27" t="str"/>
      <x:c r="L115" s="27" t="str"/>
      <x:c r="M115" s="27"/>
      <x:c r="N115" s="27"/>
      <x:c r="O115" s="27"/>
      <x:c r="P115" s="27"/>
      <x:c r="Q115" s="27"/>
      <x:c r="R115" s="27"/>
      <x:c r="S115" s="27"/>
      <x:c r="T115" s="27"/>
      <x:c r="U115" s="27"/>
    </x:row>
    <x:row r="116">
      <x:c r="A116" s="27" t="str"/>
      <x:c r="B116" s="27" t="str"/>
      <x:c r="C116" s="27" t="str"/>
      <x:c r="D116" s="27" t="str"/>
      <x:c r="E116" s="27" t="str"/>
      <x:c r="F116" s="27" t="str"/>
      <x:c r="G116" s="27" t="str"/>
      <x:c r="H116" s="27" t="str"/>
      <x:c r="I116" s="27" t="str">
        <x:f>IF(A116="","",MAX(0,MIN(100,ROUND(((D116*0.30)+(E116*0.30)+(F116*0.15)+(G116*0.15)-(H116*0.10))*20,0))))</x:f>
      </x:c>
      <x:c r="J116" s="27" t="str">
        <x:f>IF(A116="","",IF(I116&gt;=80,"P1 — первая версия",IF(I116&gt;=60,"P2 — следующий выпуск",IF(I116&gt;=40,"P3 — можно отложить","Не включать"))))</x:f>
      </x:c>
      <x:c r="K116" s="27" t="str"/>
      <x:c r="L116" s="27" t="str"/>
      <x:c r="M116" s="27"/>
      <x:c r="N116" s="27"/>
      <x:c r="O116" s="27"/>
      <x:c r="P116" s="27"/>
      <x:c r="Q116" s="27"/>
      <x:c r="R116" s="27"/>
      <x:c r="S116" s="27"/>
      <x:c r="T116" s="27"/>
      <x:c r="U116" s="27"/>
    </x:row>
    <x:row r="117">
      <x:c r="A117" s="27" t="str"/>
      <x:c r="B117" s="27" t="str"/>
      <x:c r="C117" s="27" t="str"/>
      <x:c r="D117" s="27" t="str"/>
      <x:c r="E117" s="27" t="str"/>
      <x:c r="F117" s="27" t="str"/>
      <x:c r="G117" s="27" t="str"/>
      <x:c r="H117" s="27" t="str"/>
      <x:c r="I117" s="27" t="str">
        <x:f>IF(A117="","",MAX(0,MIN(100,ROUND(((D117*0.30)+(E117*0.30)+(F117*0.15)+(G117*0.15)-(H117*0.10))*20,0))))</x:f>
      </x:c>
      <x:c r="J117" s="27" t="str">
        <x:f>IF(A117="","",IF(I117&gt;=80,"P1 — первая версия",IF(I117&gt;=60,"P2 — следующий выпуск",IF(I117&gt;=40,"P3 — можно отложить","Не включать"))))</x:f>
      </x:c>
      <x:c r="K117" s="27" t="str"/>
      <x:c r="L117" s="27" t="str"/>
      <x:c r="M117" s="27"/>
      <x:c r="N117" s="27"/>
      <x:c r="O117" s="27"/>
      <x:c r="P117" s="27"/>
      <x:c r="Q117" s="27"/>
      <x:c r="R117" s="27"/>
      <x:c r="S117" s="27"/>
      <x:c r="T117" s="27"/>
      <x:c r="U117" s="27"/>
    </x:row>
    <x:row r="118">
      <x:c r="A118" s="27" t="str"/>
      <x:c r="B118" s="27" t="str"/>
      <x:c r="C118" s="27" t="str"/>
      <x:c r="D118" s="27" t="str"/>
      <x:c r="E118" s="27" t="str"/>
      <x:c r="F118" s="27" t="str"/>
      <x:c r="G118" s="27" t="str"/>
      <x:c r="H118" s="27" t="str"/>
      <x:c r="I118" s="27" t="str">
        <x:f>IF(A118="","",MAX(0,MIN(100,ROUND(((D118*0.30)+(E118*0.30)+(F118*0.15)+(G118*0.15)-(H118*0.10))*20,0))))</x:f>
      </x:c>
      <x:c r="J118" s="27" t="str">
        <x:f>IF(A118="","",IF(I118&gt;=80,"P1 — первая версия",IF(I118&gt;=60,"P2 — следующий выпуск",IF(I118&gt;=40,"P3 — можно отложить","Не включать"))))</x:f>
      </x:c>
      <x:c r="K118" s="27" t="str"/>
      <x:c r="L118" s="27" t="str"/>
      <x:c r="M118" s="27"/>
      <x:c r="N118" s="27"/>
      <x:c r="O118" s="27"/>
      <x:c r="P118" s="27"/>
      <x:c r="Q118" s="27"/>
      <x:c r="R118" s="27"/>
      <x:c r="S118" s="27"/>
      <x:c r="T118" s="27"/>
      <x:c r="U118" s="27"/>
    </x:row>
    <x:row r="119">
      <x:c r="A119" s="27" t="str"/>
      <x:c r="B119" s="27" t="str"/>
      <x:c r="C119" s="27" t="str"/>
      <x:c r="D119" s="27" t="str"/>
      <x:c r="E119" s="27" t="str"/>
      <x:c r="F119" s="27" t="str"/>
      <x:c r="G119" s="27" t="str"/>
      <x:c r="H119" s="27" t="str"/>
      <x:c r="I119" s="27" t="str">
        <x:f>IF(A119="","",MAX(0,MIN(100,ROUND(((D119*0.30)+(E119*0.30)+(F119*0.15)+(G119*0.15)-(H119*0.10))*20,0))))</x:f>
      </x:c>
      <x:c r="J119" s="27" t="str">
        <x:f>IF(A119="","",IF(I119&gt;=80,"P1 — первая версия",IF(I119&gt;=60,"P2 — следующий выпуск",IF(I119&gt;=40,"P3 — можно отложить","Не включать"))))</x:f>
      </x:c>
      <x:c r="K119" s="27" t="str"/>
      <x:c r="L119" s="27" t="str"/>
      <x:c r="M119" s="27"/>
      <x:c r="N119" s="27"/>
      <x:c r="O119" s="27"/>
      <x:c r="P119" s="27"/>
      <x:c r="Q119" s="27"/>
      <x:c r="R119" s="27"/>
      <x:c r="S119" s="27"/>
      <x:c r="T119" s="27"/>
      <x:c r="U119" s="27"/>
    </x:row>
    <x:row r="120">
      <x:c r="A120" s="27" t="str"/>
      <x:c r="B120" s="27" t="str"/>
      <x:c r="C120" s="27" t="str"/>
      <x:c r="D120" s="27" t="str"/>
      <x:c r="E120" s="27" t="str"/>
      <x:c r="F120" s="27" t="str"/>
      <x:c r="G120" s="27" t="str"/>
      <x:c r="H120" s="27" t="str"/>
      <x:c r="I120" s="27" t="str">
        <x:f>IF(A120="","",MAX(0,MIN(100,ROUND(((D120*0.30)+(E120*0.30)+(F120*0.15)+(G120*0.15)-(H120*0.10))*20,0))))</x:f>
      </x:c>
      <x:c r="J120" s="27" t="str">
        <x:f>IF(A120="","",IF(I120&gt;=80,"P1 — первая версия",IF(I120&gt;=60,"P2 — следующий выпуск",IF(I120&gt;=40,"P3 — можно отложить","Не включать"))))</x:f>
      </x:c>
      <x:c r="K120" s="27" t="str"/>
      <x:c r="L120" s="27" t="str"/>
      <x:c r="M120" s="27"/>
      <x:c r="N120" s="27"/>
      <x:c r="O120" s="27"/>
      <x:c r="P120" s="27"/>
      <x:c r="Q120" s="27"/>
      <x:c r="R120" s="27"/>
      <x:c r="S120" s="27"/>
      <x:c r="T120" s="27"/>
      <x:c r="U120" s="27"/>
    </x:row>
    <x:row r="121">
      <x:c r="A121" s="27" t="str"/>
      <x:c r="B121" s="27" t="str"/>
      <x:c r="C121" s="27" t="str"/>
      <x:c r="D121" s="27" t="str"/>
      <x:c r="E121" s="27" t="str"/>
      <x:c r="F121" s="27" t="str"/>
      <x:c r="G121" s="27" t="str"/>
      <x:c r="H121" s="27" t="str"/>
      <x:c r="I121" s="27" t="str">
        <x:f>IF(A121="","",MAX(0,MIN(100,ROUND(((D121*0.30)+(E121*0.30)+(F121*0.15)+(G121*0.15)-(H121*0.10))*20,0))))</x:f>
      </x:c>
      <x:c r="J121" s="27" t="str">
        <x:f>IF(A121="","",IF(I121&gt;=80,"P1 — первая версия",IF(I121&gt;=60,"P2 — следующий выпуск",IF(I121&gt;=40,"P3 — можно отложить","Не включать"))))</x:f>
      </x:c>
      <x:c r="K121" s="27" t="str"/>
      <x:c r="L121" s="27" t="str"/>
      <x:c r="M121" s="27"/>
      <x:c r="N121" s="27"/>
      <x:c r="O121" s="27"/>
      <x:c r="P121" s="27"/>
      <x:c r="Q121" s="27"/>
      <x:c r="R121" s="27"/>
      <x:c r="S121" s="27"/>
      <x:c r="T121" s="27"/>
      <x:c r="U121" s="27"/>
    </x:row>
    <x:row r="122">
      <x:c r="A122" s="27" t="str"/>
      <x:c r="B122" s="27" t="str"/>
      <x:c r="C122" s="27" t="str"/>
      <x:c r="D122" s="27" t="str"/>
      <x:c r="E122" s="27" t="str"/>
      <x:c r="F122" s="27" t="str"/>
      <x:c r="G122" s="27" t="str"/>
      <x:c r="H122" s="27" t="str"/>
      <x:c r="I122" s="27" t="str">
        <x:f>IF(A122="","",MAX(0,MIN(100,ROUND(((D122*0.30)+(E122*0.30)+(F122*0.15)+(G122*0.15)-(H122*0.10))*20,0))))</x:f>
      </x:c>
      <x:c r="J122" s="27" t="str">
        <x:f>IF(A122="","",IF(I122&gt;=80,"P1 — первая версия",IF(I122&gt;=60,"P2 — следующий выпуск",IF(I122&gt;=40,"P3 — можно отложить","Не включать"))))</x:f>
      </x:c>
      <x:c r="K122" s="27" t="str"/>
      <x:c r="L122" s="27" t="str"/>
      <x:c r="M122" s="27"/>
      <x:c r="N122" s="27"/>
      <x:c r="O122" s="27"/>
      <x:c r="P122" s="27"/>
      <x:c r="Q122" s="27"/>
      <x:c r="R122" s="27"/>
      <x:c r="S122" s="27"/>
      <x:c r="T122" s="27"/>
      <x:c r="U122" s="27"/>
    </x:row>
    <x:row r="123">
      <x:c r="A123" s="27" t="str"/>
      <x:c r="B123" s="27" t="str"/>
      <x:c r="C123" s="27" t="str"/>
      <x:c r="D123" s="27" t="str"/>
      <x:c r="E123" s="27" t="str"/>
      <x:c r="F123" s="27" t="str"/>
      <x:c r="G123" s="27" t="str"/>
      <x:c r="H123" s="27" t="str"/>
      <x:c r="I123" s="27" t="str">
        <x:f>IF(A123="","",MAX(0,MIN(100,ROUND(((D123*0.30)+(E123*0.30)+(F123*0.15)+(G123*0.15)-(H123*0.10))*20,0))))</x:f>
      </x:c>
      <x:c r="J123" s="27" t="str">
        <x:f>IF(A123="","",IF(I123&gt;=80,"P1 — первая версия",IF(I123&gt;=60,"P2 — следующий выпуск",IF(I123&gt;=40,"P3 — можно отложить","Не включать"))))</x:f>
      </x:c>
      <x:c r="K123" s="27" t="str"/>
      <x:c r="L123" s="27" t="str"/>
      <x:c r="M123" s="27"/>
      <x:c r="N123" s="27"/>
      <x:c r="O123" s="27"/>
      <x:c r="P123" s="27"/>
      <x:c r="Q123" s="27"/>
      <x:c r="R123" s="27"/>
      <x:c r="S123" s="27"/>
      <x:c r="T123" s="27"/>
      <x:c r="U123" s="27"/>
    </x:row>
    <x:row r="124">
      <x:c r="A124" s="27" t="str"/>
      <x:c r="B124" s="27" t="str"/>
      <x:c r="C124" s="27" t="str"/>
      <x:c r="D124" s="27" t="str"/>
      <x:c r="E124" s="27" t="str"/>
      <x:c r="F124" s="27" t="str"/>
      <x:c r="G124" s="27" t="str"/>
      <x:c r="H124" s="27" t="str"/>
      <x:c r="I124" s="27" t="str">
        <x:f>IF(A124="","",MAX(0,MIN(100,ROUND(((D124*0.30)+(E124*0.30)+(F124*0.15)+(G124*0.15)-(H124*0.10))*20,0))))</x:f>
      </x:c>
      <x:c r="J124" s="27" t="str">
        <x:f>IF(A124="","",IF(I124&gt;=80,"P1 — первая версия",IF(I124&gt;=60,"P2 — следующий выпуск",IF(I124&gt;=40,"P3 — можно отложить","Не включать"))))</x:f>
      </x:c>
      <x:c r="K124" s="27" t="str"/>
      <x:c r="L124" s="27" t="str"/>
      <x:c r="M124" s="27"/>
      <x:c r="N124" s="27"/>
      <x:c r="O124" s="27"/>
      <x:c r="P124" s="27"/>
      <x:c r="Q124" s="27"/>
      <x:c r="R124" s="27"/>
      <x:c r="S124" s="27"/>
      <x:c r="T124" s="27"/>
      <x:c r="U124" s="27"/>
    </x:row>
    <x:row r="125">
      <x:c r="A125" s="27" t="str"/>
      <x:c r="B125" s="27" t="str"/>
      <x:c r="C125" s="27" t="str"/>
      <x:c r="D125" s="27" t="str"/>
      <x:c r="E125" s="27" t="str"/>
      <x:c r="F125" s="27" t="str"/>
      <x:c r="G125" s="27" t="str"/>
      <x:c r="H125" s="27" t="str"/>
      <x:c r="I125" s="27" t="str">
        <x:f>IF(A125="","",MAX(0,MIN(100,ROUND(((D125*0.30)+(E125*0.30)+(F125*0.15)+(G125*0.15)-(H125*0.10))*20,0))))</x:f>
      </x:c>
      <x:c r="J125" s="27" t="str">
        <x:f>IF(A125="","",IF(I125&gt;=80,"P1 — первая версия",IF(I125&gt;=60,"P2 — следующий выпуск",IF(I125&gt;=40,"P3 — можно отложить","Не включать"))))</x:f>
      </x:c>
      <x:c r="K125" s="27" t="str"/>
      <x:c r="L125" s="27" t="str"/>
      <x:c r="M125" s="27"/>
      <x:c r="N125" s="27"/>
      <x:c r="O125" s="27"/>
      <x:c r="P125" s="27"/>
      <x:c r="Q125" s="27"/>
      <x:c r="R125" s="27"/>
      <x:c r="S125" s="27"/>
      <x:c r="T125" s="27"/>
      <x:c r="U125" s="27"/>
    </x:row>
    <x:row r="126">
      <x:c r="A126" s="27" t="str"/>
      <x:c r="B126" s="27" t="str"/>
      <x:c r="C126" s="27" t="str"/>
      <x:c r="D126" s="27" t="str"/>
      <x:c r="E126" s="27" t="str"/>
      <x:c r="F126" s="27" t="str"/>
      <x:c r="G126" s="27" t="str"/>
      <x:c r="H126" s="27" t="str"/>
      <x:c r="I126" s="27" t="str">
        <x:f>IF(A126="","",MAX(0,MIN(100,ROUND(((D126*0.30)+(E126*0.30)+(F126*0.15)+(G126*0.15)-(H126*0.10))*20,0))))</x:f>
      </x:c>
      <x:c r="J126" s="27" t="str">
        <x:f>IF(A126="","",IF(I126&gt;=80,"P1 — первая версия",IF(I126&gt;=60,"P2 — следующий выпуск",IF(I126&gt;=40,"P3 — можно отложить","Не включать"))))</x:f>
      </x:c>
      <x:c r="K126" s="27" t="str"/>
      <x:c r="L126" s="27" t="str"/>
      <x:c r="M126" s="27"/>
      <x:c r="N126" s="27"/>
      <x:c r="O126" s="27"/>
      <x:c r="P126" s="27"/>
      <x:c r="Q126" s="27"/>
      <x:c r="R126" s="27"/>
      <x:c r="S126" s="27"/>
      <x:c r="T126" s="27"/>
      <x:c r="U126" s="27"/>
    </x:row>
    <x:row r="127">
      <x:c r="A127" s="27" t="str"/>
      <x:c r="B127" s="27" t="str"/>
      <x:c r="C127" s="27" t="str"/>
      <x:c r="D127" s="27" t="str"/>
      <x:c r="E127" s="27" t="str"/>
      <x:c r="F127" s="27" t="str"/>
      <x:c r="G127" s="27" t="str"/>
      <x:c r="H127" s="27" t="str"/>
      <x:c r="I127" s="27" t="str">
        <x:f>IF(A127="","",MAX(0,MIN(100,ROUND(((D127*0.30)+(E127*0.30)+(F127*0.15)+(G127*0.15)-(H127*0.10))*20,0))))</x:f>
      </x:c>
      <x:c r="J127" s="27" t="str">
        <x:f>IF(A127="","",IF(I127&gt;=80,"P1 — первая версия",IF(I127&gt;=60,"P2 — следующий выпуск",IF(I127&gt;=40,"P3 — можно отложить","Не включать"))))</x:f>
      </x:c>
      <x:c r="K127" s="27" t="str"/>
      <x:c r="L127" s="27" t="str"/>
      <x:c r="M127" s="27"/>
      <x:c r="N127" s="27"/>
      <x:c r="O127" s="27"/>
      <x:c r="P127" s="27"/>
      <x:c r="Q127" s="27"/>
      <x:c r="R127" s="27"/>
      <x:c r="S127" s="27"/>
      <x:c r="T127" s="27"/>
      <x:c r="U127" s="27"/>
    </x:row>
    <x:row r="128">
      <x:c r="A128" s="27" t="str"/>
      <x:c r="B128" s="27" t="str"/>
      <x:c r="C128" s="27" t="str"/>
      <x:c r="D128" s="27" t="str"/>
      <x:c r="E128" s="27" t="str"/>
      <x:c r="F128" s="27" t="str"/>
      <x:c r="G128" s="27" t="str"/>
      <x:c r="H128" s="27" t="str"/>
      <x:c r="I128" s="27" t="str">
        <x:f>IF(A128="","",MAX(0,MIN(100,ROUND(((D128*0.30)+(E128*0.30)+(F128*0.15)+(G128*0.15)-(H128*0.10))*20,0))))</x:f>
      </x:c>
      <x:c r="J128" s="27" t="str">
        <x:f>IF(A128="","",IF(I128&gt;=80,"P1 — первая версия",IF(I128&gt;=60,"P2 — следующий выпуск",IF(I128&gt;=40,"P3 — можно отложить","Не включать"))))</x:f>
      </x:c>
      <x:c r="K128" s="27" t="str"/>
      <x:c r="L128" s="27" t="str"/>
      <x:c r="M128" s="27"/>
      <x:c r="N128" s="27"/>
      <x:c r="O128" s="27"/>
      <x:c r="P128" s="27"/>
      <x:c r="Q128" s="27"/>
      <x:c r="R128" s="27"/>
      <x:c r="S128" s="27"/>
      <x:c r="T128" s="27"/>
      <x:c r="U128" s="27"/>
    </x:row>
    <x:row r="129">
      <x:c r="A129" s="27" t="str"/>
      <x:c r="B129" s="27" t="str"/>
      <x:c r="C129" s="27" t="str"/>
      <x:c r="D129" s="27" t="str"/>
      <x:c r="E129" s="27" t="str"/>
      <x:c r="F129" s="27" t="str"/>
      <x:c r="G129" s="27" t="str"/>
      <x:c r="H129" s="27" t="str"/>
      <x:c r="I129" s="27" t="str">
        <x:f>IF(A129="","",MAX(0,MIN(100,ROUND(((D129*0.30)+(E129*0.30)+(F129*0.15)+(G129*0.15)-(H129*0.10))*20,0))))</x:f>
      </x:c>
      <x:c r="J129" s="27" t="str">
        <x:f>IF(A129="","",IF(I129&gt;=80,"P1 — первая версия",IF(I129&gt;=60,"P2 — следующий выпуск",IF(I129&gt;=40,"P3 — можно отложить","Не включать"))))</x:f>
      </x:c>
      <x:c r="K129" s="27" t="str"/>
      <x:c r="L129" s="27" t="str"/>
      <x:c r="M129" s="27"/>
      <x:c r="N129" s="27"/>
      <x:c r="O129" s="27"/>
      <x:c r="P129" s="27"/>
      <x:c r="Q129" s="27"/>
      <x:c r="R129" s="27"/>
      <x:c r="S129" s="27"/>
      <x:c r="T129" s="27"/>
      <x:c r="U129" s="27"/>
    </x:row>
    <x:row r="130">
      <x:c r="A130" s="27" t="str"/>
      <x:c r="B130" s="27" t="str"/>
      <x:c r="C130" s="27" t="str"/>
      <x:c r="D130" s="27" t="str"/>
      <x:c r="E130" s="27" t="str"/>
      <x:c r="F130" s="27" t="str"/>
      <x:c r="G130" s="27" t="str"/>
      <x:c r="H130" s="27" t="str"/>
      <x:c r="I130" s="27" t="str">
        <x:f>IF(A130="","",MAX(0,MIN(100,ROUND(((D130*0.30)+(E130*0.30)+(F130*0.15)+(G130*0.15)-(H130*0.10))*20,0))))</x:f>
      </x:c>
      <x:c r="J130" s="27" t="str">
        <x:f>IF(A130="","",IF(I130&gt;=80,"P1 — первая версия",IF(I130&gt;=60,"P2 — следующий выпуск",IF(I130&gt;=40,"P3 — можно отложить","Не включать"))))</x:f>
      </x:c>
      <x:c r="K130" s="27" t="str"/>
      <x:c r="L130" s="27" t="str"/>
      <x:c r="M130" s="27"/>
      <x:c r="N130" s="27"/>
      <x:c r="O130" s="27"/>
      <x:c r="P130" s="27"/>
      <x:c r="Q130" s="27"/>
      <x:c r="R130" s="27"/>
      <x:c r="S130" s="27"/>
      <x:c r="T130" s="27"/>
      <x:c r="U130" s="27"/>
    </x:row>
    <x:row r="131">
      <x:c r="A131" s="27" t="str"/>
      <x:c r="B131" s="27" t="str"/>
      <x:c r="C131" s="27" t="str"/>
      <x:c r="D131" s="27" t="str"/>
      <x:c r="E131" s="27" t="str"/>
      <x:c r="F131" s="27" t="str"/>
      <x:c r="G131" s="27" t="str"/>
      <x:c r="H131" s="27" t="str"/>
      <x:c r="I131" s="27" t="str">
        <x:f>IF(A131="","",MAX(0,MIN(100,ROUND(((D131*0.30)+(E131*0.30)+(F131*0.15)+(G131*0.15)-(H131*0.10))*20,0))))</x:f>
      </x:c>
      <x:c r="J131" s="27" t="str">
        <x:f>IF(A131="","",IF(I131&gt;=80,"P1 — первая версия",IF(I131&gt;=60,"P2 — следующий выпуск",IF(I131&gt;=40,"P3 — можно отложить","Не включать"))))</x:f>
      </x:c>
      <x:c r="K131" s="27" t="str"/>
      <x:c r="L131" s="27" t="str"/>
      <x:c r="M131" s="27"/>
      <x:c r="N131" s="27"/>
      <x:c r="O131" s="27"/>
      <x:c r="P131" s="27"/>
      <x:c r="Q131" s="27"/>
      <x:c r="R131" s="27"/>
      <x:c r="S131" s="27"/>
      <x:c r="T131" s="27"/>
      <x:c r="U131" s="27"/>
    </x:row>
    <x:row r="132">
      <x:c r="A132" s="27" t="str"/>
      <x:c r="B132" s="27" t="str"/>
      <x:c r="C132" s="27" t="str"/>
      <x:c r="D132" s="27" t="str"/>
      <x:c r="E132" s="27" t="str"/>
      <x:c r="F132" s="27" t="str"/>
      <x:c r="G132" s="27" t="str"/>
      <x:c r="H132" s="27" t="str"/>
      <x:c r="I132" s="27" t="str">
        <x:f>IF(A132="","",MAX(0,MIN(100,ROUND(((D132*0.30)+(E132*0.30)+(F132*0.15)+(G132*0.15)-(H132*0.10))*20,0))))</x:f>
      </x:c>
      <x:c r="J132" s="27" t="str">
        <x:f>IF(A132="","",IF(I132&gt;=80,"P1 — первая версия",IF(I132&gt;=60,"P2 — следующий выпуск",IF(I132&gt;=40,"P3 — можно отложить","Не включать"))))</x:f>
      </x:c>
      <x:c r="K132" s="27" t="str"/>
      <x:c r="L132" s="27" t="str"/>
      <x:c r="M132" s="27"/>
      <x:c r="N132" s="27"/>
      <x:c r="O132" s="27"/>
      <x:c r="P132" s="27"/>
      <x:c r="Q132" s="27"/>
      <x:c r="R132" s="27"/>
      <x:c r="S132" s="27"/>
      <x:c r="T132" s="27"/>
      <x:c r="U132" s="27"/>
    </x:row>
    <x:row r="133">
      <x:c r="A133" s="27" t="str"/>
      <x:c r="B133" s="27" t="str"/>
      <x:c r="C133" s="27" t="str"/>
      <x:c r="D133" s="27" t="str"/>
      <x:c r="E133" s="27" t="str"/>
      <x:c r="F133" s="27" t="str"/>
      <x:c r="G133" s="27" t="str"/>
      <x:c r="H133" s="27" t="str"/>
      <x:c r="I133" s="27" t="str">
        <x:f>IF(A133="","",MAX(0,MIN(100,ROUND(((D133*0.30)+(E133*0.30)+(F133*0.15)+(G133*0.15)-(H133*0.10))*20,0))))</x:f>
      </x:c>
      <x:c r="J133" s="27" t="str">
        <x:f>IF(A133="","",IF(I133&gt;=80,"P1 — первая версия",IF(I133&gt;=60,"P2 — следующий выпуск",IF(I133&gt;=40,"P3 — можно отложить","Не включать"))))</x:f>
      </x:c>
      <x:c r="K133" s="27" t="str"/>
      <x:c r="L133" s="27" t="str"/>
      <x:c r="M133" s="27"/>
      <x:c r="N133" s="27"/>
      <x:c r="O133" s="27"/>
      <x:c r="P133" s="27"/>
      <x:c r="Q133" s="27"/>
      <x:c r="R133" s="27"/>
      <x:c r="S133" s="27"/>
      <x:c r="T133" s="27"/>
      <x:c r="U133" s="27"/>
    </x:row>
    <x:row r="134">
      <x:c r="A134" s="27" t="str"/>
      <x:c r="B134" s="27" t="str"/>
      <x:c r="C134" s="27" t="str"/>
      <x:c r="D134" s="27" t="str"/>
      <x:c r="E134" s="27" t="str"/>
      <x:c r="F134" s="27" t="str"/>
      <x:c r="G134" s="27" t="str"/>
      <x:c r="H134" s="27" t="str"/>
      <x:c r="I134" s="27" t="str">
        <x:f>IF(A134="","",MAX(0,MIN(100,ROUND(((D134*0.30)+(E134*0.30)+(F134*0.15)+(G134*0.15)-(H134*0.10))*20,0))))</x:f>
      </x:c>
      <x:c r="J134" s="27" t="str">
        <x:f>IF(A134="","",IF(I134&gt;=80,"P1 — первая версия",IF(I134&gt;=60,"P2 — следующий выпуск",IF(I134&gt;=40,"P3 — можно отложить","Не включать"))))</x:f>
      </x:c>
      <x:c r="K134" s="27" t="str"/>
      <x:c r="L134" s="27" t="str"/>
      <x:c r="M134" s="27"/>
      <x:c r="N134" s="27"/>
      <x:c r="O134" s="27"/>
      <x:c r="P134" s="27"/>
      <x:c r="Q134" s="27"/>
      <x:c r="R134" s="27"/>
      <x:c r="S134" s="27"/>
      <x:c r="T134" s="27"/>
      <x:c r="U134" s="27"/>
    </x:row>
    <x:row r="135">
      <x:c r="A135" s="27" t="str"/>
      <x:c r="B135" s="27" t="str"/>
      <x:c r="C135" s="27" t="str"/>
      <x:c r="D135" s="27" t="str"/>
      <x:c r="E135" s="27" t="str"/>
      <x:c r="F135" s="27" t="str"/>
      <x:c r="G135" s="27" t="str"/>
      <x:c r="H135" s="27" t="str"/>
      <x:c r="I135" s="27" t="str">
        <x:f>IF(A135="","",MAX(0,MIN(100,ROUND(((D135*0.30)+(E135*0.30)+(F135*0.15)+(G135*0.15)-(H135*0.10))*20,0))))</x:f>
      </x:c>
      <x:c r="J135" s="27" t="str">
        <x:f>IF(A135="","",IF(I135&gt;=80,"P1 — первая версия",IF(I135&gt;=60,"P2 — следующий выпуск",IF(I135&gt;=40,"P3 — можно отложить","Не включать"))))</x:f>
      </x:c>
      <x:c r="K135" s="27" t="str"/>
      <x:c r="L135" s="27" t="str"/>
      <x:c r="M135" s="27"/>
      <x:c r="N135" s="27"/>
      <x:c r="O135" s="27"/>
      <x:c r="P135" s="27"/>
      <x:c r="Q135" s="27"/>
      <x:c r="R135" s="27"/>
      <x:c r="S135" s="27"/>
      <x:c r="T135" s="27"/>
      <x:c r="U135" s="27"/>
    </x:row>
    <x:row r="136">
      <x:c r="A136" s="27" t="str"/>
      <x:c r="B136" s="27" t="str"/>
      <x:c r="C136" s="27" t="str"/>
      <x:c r="D136" s="27" t="str"/>
      <x:c r="E136" s="27" t="str"/>
      <x:c r="F136" s="27" t="str"/>
      <x:c r="G136" s="27" t="str"/>
      <x:c r="H136" s="27" t="str"/>
      <x:c r="I136" s="27" t="str">
        <x:f>IF(A136="","",MAX(0,MIN(100,ROUND(((D136*0.30)+(E136*0.30)+(F136*0.15)+(G136*0.15)-(H136*0.10))*20,0))))</x:f>
      </x:c>
      <x:c r="J136" s="27" t="str">
        <x:f>IF(A136="","",IF(I136&gt;=80,"P1 — первая версия",IF(I136&gt;=60,"P2 — следующий выпуск",IF(I136&gt;=40,"P3 — можно отложить","Не включать"))))</x:f>
      </x:c>
      <x:c r="K136" s="27" t="str"/>
      <x:c r="L136" s="27" t="str"/>
      <x:c r="M136" s="27"/>
      <x:c r="N136" s="27"/>
      <x:c r="O136" s="27"/>
      <x:c r="P136" s="27"/>
      <x:c r="Q136" s="27"/>
      <x:c r="R136" s="27"/>
      <x:c r="S136" s="27"/>
      <x:c r="T136" s="27"/>
      <x:c r="U136" s="27"/>
    </x:row>
    <x:row r="137">
      <x:c r="A137" s="27" t="str"/>
      <x:c r="B137" s="27" t="str"/>
      <x:c r="C137" s="27" t="str"/>
      <x:c r="D137" s="27" t="str"/>
      <x:c r="E137" s="27" t="str"/>
      <x:c r="F137" s="27" t="str"/>
      <x:c r="G137" s="27" t="str"/>
      <x:c r="H137" s="27" t="str"/>
      <x:c r="I137" s="27" t="str">
        <x:f>IF(A137="","",MAX(0,MIN(100,ROUND(((D137*0.30)+(E137*0.30)+(F137*0.15)+(G137*0.15)-(H137*0.10))*20,0))))</x:f>
      </x:c>
      <x:c r="J137" s="27" t="str">
        <x:f>IF(A137="","",IF(I137&gt;=80,"P1 — первая версия",IF(I137&gt;=60,"P2 — следующий выпуск",IF(I137&gt;=40,"P3 — можно отложить","Не включать"))))</x:f>
      </x:c>
      <x:c r="K137" s="27" t="str"/>
      <x:c r="L137" s="27" t="str"/>
      <x:c r="M137" s="27"/>
      <x:c r="N137" s="27"/>
      <x:c r="O137" s="27"/>
      <x:c r="P137" s="27"/>
      <x:c r="Q137" s="27"/>
      <x:c r="R137" s="27"/>
      <x:c r="S137" s="27"/>
      <x:c r="T137" s="27"/>
      <x:c r="U137" s="27"/>
    </x:row>
    <x:row r="138">
      <x:c r="A138" s="27" t="str"/>
      <x:c r="B138" s="27" t="str"/>
      <x:c r="C138" s="27" t="str"/>
      <x:c r="D138" s="27" t="str"/>
      <x:c r="E138" s="27" t="str"/>
      <x:c r="F138" s="27" t="str"/>
      <x:c r="G138" s="27" t="str"/>
      <x:c r="H138" s="27" t="str"/>
      <x:c r="I138" s="27" t="str">
        <x:f>IF(A138="","",MAX(0,MIN(100,ROUND(((D138*0.30)+(E138*0.30)+(F138*0.15)+(G138*0.15)-(H138*0.10))*20,0))))</x:f>
      </x:c>
      <x:c r="J138" s="27" t="str">
        <x:f>IF(A138="","",IF(I138&gt;=80,"P1 — первая версия",IF(I138&gt;=60,"P2 — следующий выпуск",IF(I138&gt;=40,"P3 — можно отложить","Не включать"))))</x:f>
      </x:c>
      <x:c r="K138" s="27" t="str"/>
      <x:c r="L138" s="27" t="str"/>
      <x:c r="M138" s="27"/>
      <x:c r="N138" s="27"/>
      <x:c r="O138" s="27"/>
      <x:c r="P138" s="27"/>
      <x:c r="Q138" s="27"/>
      <x:c r="R138" s="27"/>
      <x:c r="S138" s="27"/>
      <x:c r="T138" s="27"/>
      <x:c r="U138" s="27"/>
    </x:row>
    <x:row r="139">
      <x:c r="A139" s="27" t="str"/>
      <x:c r="B139" s="27" t="str"/>
      <x:c r="C139" s="27" t="str"/>
      <x:c r="D139" s="27" t="str"/>
      <x:c r="E139" s="27" t="str"/>
      <x:c r="F139" s="27" t="str"/>
      <x:c r="G139" s="27" t="str"/>
      <x:c r="H139" s="27" t="str"/>
      <x:c r="I139" s="27" t="str">
        <x:f>IF(A139="","",MAX(0,MIN(100,ROUND(((D139*0.30)+(E139*0.30)+(F139*0.15)+(G139*0.15)-(H139*0.10))*20,0))))</x:f>
      </x:c>
      <x:c r="J139" s="27" t="str">
        <x:f>IF(A139="","",IF(I139&gt;=80,"P1 — первая версия",IF(I139&gt;=60,"P2 — следующий выпуск",IF(I139&gt;=40,"P3 — можно отложить","Не включать"))))</x:f>
      </x:c>
      <x:c r="K139" s="27" t="str"/>
      <x:c r="L139" s="27" t="str"/>
      <x:c r="M139" s="27"/>
      <x:c r="N139" s="27"/>
      <x:c r="O139" s="27"/>
      <x:c r="P139" s="27"/>
      <x:c r="Q139" s="27"/>
      <x:c r="R139" s="27"/>
      <x:c r="S139" s="27"/>
      <x:c r="T139" s="27"/>
      <x:c r="U139" s="27"/>
    </x:row>
    <x:row r="140">
      <x:c r="A140" s="27" t="str"/>
      <x:c r="B140" s="27" t="str"/>
      <x:c r="C140" s="27" t="str"/>
      <x:c r="D140" s="27" t="str"/>
      <x:c r="E140" s="27" t="str"/>
      <x:c r="F140" s="27" t="str"/>
      <x:c r="G140" s="27" t="str"/>
      <x:c r="H140" s="27" t="str"/>
      <x:c r="I140" s="27" t="str">
        <x:f>IF(A140="","",MAX(0,MIN(100,ROUND(((D140*0.30)+(E140*0.30)+(F140*0.15)+(G140*0.15)-(H140*0.10))*20,0))))</x:f>
      </x:c>
      <x:c r="J140" s="27" t="str">
        <x:f>IF(A140="","",IF(I140&gt;=80,"P1 — первая версия",IF(I140&gt;=60,"P2 — следующий выпуск",IF(I140&gt;=40,"P3 — можно отложить","Не включать"))))</x:f>
      </x:c>
      <x:c r="K140" s="27" t="str"/>
      <x:c r="L140" s="27" t="str"/>
      <x:c r="M140" s="27"/>
      <x:c r="N140" s="27"/>
      <x:c r="O140" s="27"/>
      <x:c r="P140" s="27"/>
      <x:c r="Q140" s="27"/>
      <x:c r="R140" s="27"/>
      <x:c r="S140" s="27"/>
      <x:c r="T140" s="27"/>
      <x:c r="U140" s="27"/>
    </x:row>
    <x:row r="141">
      <x:c r="A141" s="27" t="str"/>
      <x:c r="B141" s="27" t="str"/>
      <x:c r="C141" s="27" t="str"/>
      <x:c r="D141" s="27" t="str"/>
      <x:c r="E141" s="27" t="str"/>
      <x:c r="F141" s="27" t="str"/>
      <x:c r="G141" s="27" t="str"/>
      <x:c r="H141" s="27" t="str"/>
      <x:c r="I141" s="27" t="str">
        <x:f>IF(A141="","",MAX(0,MIN(100,ROUND(((D141*0.30)+(E141*0.30)+(F141*0.15)+(G141*0.15)-(H141*0.10))*20,0))))</x:f>
      </x:c>
      <x:c r="J141" s="27" t="str">
        <x:f>IF(A141="","",IF(I141&gt;=80,"P1 — первая версия",IF(I141&gt;=60,"P2 — следующий выпуск",IF(I141&gt;=40,"P3 — можно отложить","Не включать"))))</x:f>
      </x:c>
      <x:c r="K141" s="27" t="str"/>
      <x:c r="L141" s="27" t="str"/>
      <x:c r="M141" s="27"/>
      <x:c r="N141" s="27"/>
      <x:c r="O141" s="27"/>
      <x:c r="P141" s="27"/>
      <x:c r="Q141" s="27"/>
      <x:c r="R141" s="27"/>
      <x:c r="S141" s="27"/>
      <x:c r="T141" s="27"/>
      <x:c r="U141" s="27"/>
    </x:row>
    <x:row r="142">
      <x:c r="A142" s="27" t="str"/>
      <x:c r="B142" s="27" t="str"/>
      <x:c r="C142" s="27" t="str"/>
      <x:c r="D142" s="27" t="str"/>
      <x:c r="E142" s="27" t="str"/>
      <x:c r="F142" s="27" t="str"/>
      <x:c r="G142" s="27" t="str"/>
      <x:c r="H142" s="27" t="str"/>
      <x:c r="I142" s="27" t="str">
        <x:f>IF(A142="","",MAX(0,MIN(100,ROUND(((D142*0.30)+(E142*0.30)+(F142*0.15)+(G142*0.15)-(H142*0.10))*20,0))))</x:f>
      </x:c>
      <x:c r="J142" s="27" t="str">
        <x:f>IF(A142="","",IF(I142&gt;=80,"P1 — первая версия",IF(I142&gt;=60,"P2 — следующий выпуск",IF(I142&gt;=40,"P3 — можно отложить","Не включать"))))</x:f>
      </x:c>
      <x:c r="K142" s="27" t="str"/>
      <x:c r="L142" s="27" t="str"/>
      <x:c r="M142" s="27"/>
      <x:c r="N142" s="27"/>
      <x:c r="O142" s="27"/>
      <x:c r="P142" s="27"/>
      <x:c r="Q142" s="27"/>
      <x:c r="R142" s="27"/>
      <x:c r="S142" s="27"/>
      <x:c r="T142" s="27"/>
      <x:c r="U142" s="27"/>
    </x:row>
    <x:row r="143">
      <x:c r="A143" s="27" t="str"/>
      <x:c r="B143" s="27" t="str"/>
      <x:c r="C143" s="27" t="str"/>
      <x:c r="D143" s="27" t="str"/>
      <x:c r="E143" s="27" t="str"/>
      <x:c r="F143" s="27" t="str"/>
      <x:c r="G143" s="27" t="str"/>
      <x:c r="H143" s="27" t="str"/>
      <x:c r="I143" s="27" t="str">
        <x:f>IF(A143="","",MAX(0,MIN(100,ROUND(((D143*0.30)+(E143*0.30)+(F143*0.15)+(G143*0.15)-(H143*0.10))*20,0))))</x:f>
      </x:c>
      <x:c r="J143" s="27" t="str">
        <x:f>IF(A143="","",IF(I143&gt;=80,"P1 — первая версия",IF(I143&gt;=60,"P2 — следующий выпуск",IF(I143&gt;=40,"P3 — можно отложить","Не включать"))))</x:f>
      </x:c>
      <x:c r="K143" s="27" t="str"/>
      <x:c r="L143" s="27" t="str"/>
      <x:c r="M143" s="27"/>
      <x:c r="N143" s="27"/>
      <x:c r="O143" s="27"/>
      <x:c r="P143" s="27"/>
      <x:c r="Q143" s="27"/>
      <x:c r="R143" s="27"/>
      <x:c r="S143" s="27"/>
      <x:c r="T143" s="27"/>
      <x:c r="U143" s="27"/>
    </x:row>
    <x:row r="144">
      <x:c r="A144" s="27" t="str"/>
      <x:c r="B144" s="27" t="str"/>
      <x:c r="C144" s="27" t="str"/>
      <x:c r="D144" s="27" t="str"/>
      <x:c r="E144" s="27" t="str"/>
      <x:c r="F144" s="27" t="str"/>
      <x:c r="G144" s="27" t="str"/>
      <x:c r="H144" s="27" t="str"/>
      <x:c r="I144" s="27" t="str">
        <x:f>IF(A144="","",MAX(0,MIN(100,ROUND(((D144*0.30)+(E144*0.30)+(F144*0.15)+(G144*0.15)-(H144*0.10))*20,0))))</x:f>
      </x:c>
      <x:c r="J144" s="27" t="str">
        <x:f>IF(A144="","",IF(I144&gt;=80,"P1 — первая версия",IF(I144&gt;=60,"P2 — следующий выпуск",IF(I144&gt;=40,"P3 — можно отложить","Не включать"))))</x:f>
      </x:c>
      <x:c r="K144" s="27" t="str"/>
      <x:c r="L144" s="27" t="str"/>
      <x:c r="M144" s="27"/>
      <x:c r="N144" s="27"/>
      <x:c r="O144" s="27"/>
      <x:c r="P144" s="27"/>
      <x:c r="Q144" s="27"/>
      <x:c r="R144" s="27"/>
      <x:c r="S144" s="27"/>
      <x:c r="T144" s="27"/>
      <x:c r="U144" s="27"/>
    </x:row>
    <x:row r="145">
      <x:c r="A145" s="27" t="str"/>
      <x:c r="B145" s="27" t="str"/>
      <x:c r="C145" s="27" t="str"/>
      <x:c r="D145" s="27" t="str"/>
      <x:c r="E145" s="27" t="str"/>
      <x:c r="F145" s="27" t="str"/>
      <x:c r="G145" s="27" t="str"/>
      <x:c r="H145" s="27" t="str"/>
      <x:c r="I145" s="27" t="str">
        <x:f>IF(A145="","",MAX(0,MIN(100,ROUND(((D145*0.30)+(E145*0.30)+(F145*0.15)+(G145*0.15)-(H145*0.10))*20,0))))</x:f>
      </x:c>
      <x:c r="J145" s="27" t="str">
        <x:f>IF(A145="","",IF(I145&gt;=80,"P1 — первая версия",IF(I145&gt;=60,"P2 — следующий выпуск",IF(I145&gt;=40,"P3 — можно отложить","Не включать"))))</x:f>
      </x:c>
      <x:c r="K145" s="27" t="str"/>
      <x:c r="L145" s="27" t="str"/>
      <x:c r="M145" s="27"/>
      <x:c r="N145" s="27"/>
      <x:c r="O145" s="27"/>
      <x:c r="P145" s="27"/>
      <x:c r="Q145" s="27"/>
      <x:c r="R145" s="27"/>
      <x:c r="S145" s="27"/>
      <x:c r="T145" s="27"/>
      <x:c r="U145" s="27"/>
    </x:row>
    <x:row r="146">
      <x:c r="A146" s="27" t="str"/>
      <x:c r="B146" s="27" t="str"/>
      <x:c r="C146" s="27" t="str"/>
      <x:c r="D146" s="27" t="str"/>
      <x:c r="E146" s="27" t="str"/>
      <x:c r="F146" s="27" t="str"/>
      <x:c r="G146" s="27" t="str"/>
      <x:c r="H146" s="27" t="str"/>
      <x:c r="I146" s="27" t="str">
        <x:f>IF(A146="","",MAX(0,MIN(100,ROUND(((D146*0.30)+(E146*0.30)+(F146*0.15)+(G146*0.15)-(H146*0.10))*20,0))))</x:f>
      </x:c>
      <x:c r="J146" s="27" t="str">
        <x:f>IF(A146="","",IF(I146&gt;=80,"P1 — первая версия",IF(I146&gt;=60,"P2 — следующий выпуск",IF(I146&gt;=40,"P3 — можно отложить","Не включать"))))</x:f>
      </x:c>
      <x:c r="K146" s="27" t="str"/>
      <x:c r="L146" s="27" t="str"/>
      <x:c r="M146" s="27"/>
      <x:c r="N146" s="27"/>
      <x:c r="O146" s="27"/>
      <x:c r="P146" s="27"/>
      <x:c r="Q146" s="27"/>
      <x:c r="R146" s="27"/>
      <x:c r="S146" s="27"/>
      <x:c r="T146" s="27"/>
      <x:c r="U146" s="27"/>
    </x:row>
    <x:row r="147">
      <x:c r="A147" s="27" t="str"/>
      <x:c r="B147" s="27" t="str"/>
      <x:c r="C147" s="27" t="str"/>
      <x:c r="D147" s="27" t="str"/>
      <x:c r="E147" s="27" t="str"/>
      <x:c r="F147" s="27" t="str"/>
      <x:c r="G147" s="27" t="str"/>
      <x:c r="H147" s="27" t="str"/>
      <x:c r="I147" s="27" t="str">
        <x:f>IF(A147="","",MAX(0,MIN(100,ROUND(((D147*0.30)+(E147*0.30)+(F147*0.15)+(G147*0.15)-(H147*0.10))*20,0))))</x:f>
      </x:c>
      <x:c r="J147" s="27" t="str">
        <x:f>IF(A147="","",IF(I147&gt;=80,"P1 — первая версия",IF(I147&gt;=60,"P2 — следующий выпуск",IF(I147&gt;=40,"P3 — можно отложить","Не включать"))))</x:f>
      </x:c>
      <x:c r="K147" s="27" t="str"/>
      <x:c r="L147" s="27" t="str"/>
      <x:c r="M147" s="27"/>
      <x:c r="N147" s="27"/>
      <x:c r="O147" s="27"/>
      <x:c r="P147" s="27"/>
      <x:c r="Q147" s="27"/>
      <x:c r="R147" s="27"/>
      <x:c r="S147" s="27"/>
      <x:c r="T147" s="27"/>
      <x:c r="U147" s="27"/>
    </x:row>
    <x:row r="148">
      <x:c r="A148" s="27" t="str"/>
      <x:c r="B148" s="27" t="str"/>
      <x:c r="C148" s="27" t="str"/>
      <x:c r="D148" s="27" t="str"/>
      <x:c r="E148" s="27" t="str"/>
      <x:c r="F148" s="27" t="str"/>
      <x:c r="G148" s="27" t="str"/>
      <x:c r="H148" s="27" t="str"/>
      <x:c r="I148" s="27" t="str">
        <x:f>IF(A148="","",MAX(0,MIN(100,ROUND(((D148*0.30)+(E148*0.30)+(F148*0.15)+(G148*0.15)-(H148*0.10))*20,0))))</x:f>
      </x:c>
      <x:c r="J148" s="27" t="str">
        <x:f>IF(A148="","",IF(I148&gt;=80,"P1 — первая версия",IF(I148&gt;=60,"P2 — следующий выпуск",IF(I148&gt;=40,"P3 — можно отложить","Не включать"))))</x:f>
      </x:c>
      <x:c r="K148" s="27" t="str"/>
      <x:c r="L148" s="27" t="str"/>
      <x:c r="M148" s="27"/>
      <x:c r="N148" s="27"/>
      <x:c r="O148" s="27"/>
      <x:c r="P148" s="27"/>
      <x:c r="Q148" s="27"/>
      <x:c r="R148" s="27"/>
      <x:c r="S148" s="27"/>
      <x:c r="T148" s="27"/>
      <x:c r="U148" s="27"/>
    </x:row>
    <x:row r="149">
      <x:c r="A149" s="27" t="str"/>
      <x:c r="B149" s="27" t="str"/>
      <x:c r="C149" s="27" t="str"/>
      <x:c r="D149" s="27" t="str"/>
      <x:c r="E149" s="27" t="str"/>
      <x:c r="F149" s="27" t="str"/>
      <x:c r="G149" s="27" t="str"/>
      <x:c r="H149" s="27" t="str"/>
      <x:c r="I149" s="27" t="str">
        <x:f>IF(A149="","",MAX(0,MIN(100,ROUND(((D149*0.30)+(E149*0.30)+(F149*0.15)+(G149*0.15)-(H149*0.10))*20,0))))</x:f>
      </x:c>
      <x:c r="J149" s="27" t="str">
        <x:f>IF(A149="","",IF(I149&gt;=80,"P1 — первая версия",IF(I149&gt;=60,"P2 — следующий выпуск",IF(I149&gt;=40,"P3 — можно отложить","Не включать"))))</x:f>
      </x:c>
      <x:c r="K149" s="27" t="str"/>
      <x:c r="L149" s="27" t="str"/>
      <x:c r="M149" s="27"/>
      <x:c r="N149" s="27"/>
      <x:c r="O149" s="27"/>
      <x:c r="P149" s="27"/>
      <x:c r="Q149" s="27"/>
      <x:c r="R149" s="27"/>
      <x:c r="S149" s="27"/>
      <x:c r="T149" s="27"/>
      <x:c r="U149" s="27"/>
    </x:row>
    <x:row r="150">
      <x:c r="A150" s="27" t="str"/>
      <x:c r="B150" s="27" t="str"/>
      <x:c r="C150" s="27" t="str"/>
      <x:c r="D150" s="27" t="str"/>
      <x:c r="E150" s="27" t="str"/>
      <x:c r="F150" s="27" t="str"/>
      <x:c r="G150" s="27" t="str"/>
      <x:c r="H150" s="27" t="str"/>
      <x:c r="I150" s="27" t="str">
        <x:f>IF(A150="","",MAX(0,MIN(100,ROUND(((D150*0.30)+(E150*0.30)+(F150*0.15)+(G150*0.15)-(H150*0.10))*20,0))))</x:f>
      </x:c>
      <x:c r="J150" s="27" t="str">
        <x:f>IF(A150="","",IF(I150&gt;=80,"P1 — первая версия",IF(I150&gt;=60,"P2 — следующий выпуск",IF(I150&gt;=40,"P3 — можно отложить","Не включать"))))</x:f>
      </x:c>
      <x:c r="K150" s="27" t="str"/>
      <x:c r="L150" s="27" t="str"/>
      <x:c r="M150" s="27"/>
      <x:c r="N150" s="27"/>
      <x:c r="O150" s="27"/>
      <x:c r="P150" s="27"/>
      <x:c r="Q150" s="27"/>
      <x:c r="R150" s="27"/>
      <x:c r="S150" s="27"/>
      <x:c r="T150" s="27"/>
      <x:c r="U150" s="27"/>
    </x:row>
    <x:row r="151">
      <x:c r="A151" s="27" t="str"/>
      <x:c r="B151" s="27" t="str"/>
      <x:c r="C151" s="27" t="str"/>
      <x:c r="D151" s="27" t="str"/>
      <x:c r="E151" s="27" t="str"/>
      <x:c r="F151" s="27" t="str"/>
      <x:c r="G151" s="27" t="str"/>
      <x:c r="H151" s="27" t="str"/>
      <x:c r="I151" s="27" t="str">
        <x:f>IF(A151="","",MAX(0,MIN(100,ROUND(((D151*0.30)+(E151*0.30)+(F151*0.15)+(G151*0.15)-(H151*0.10))*20,0))))</x:f>
      </x:c>
      <x:c r="J151" s="27" t="str">
        <x:f>IF(A151="","",IF(I151&gt;=80,"P1 — первая версия",IF(I151&gt;=60,"P2 — следующий выпуск",IF(I151&gt;=40,"P3 — можно отложить","Не включать"))))</x:f>
      </x:c>
      <x:c r="K151" s="27" t="str"/>
      <x:c r="L151" s="27" t="str"/>
      <x:c r="M151" s="27"/>
      <x:c r="N151" s="27"/>
      <x:c r="O151" s="27"/>
      <x:c r="P151" s="27"/>
      <x:c r="Q151" s="27"/>
      <x:c r="R151" s="27"/>
      <x:c r="S151" s="27"/>
      <x:c r="T151" s="27"/>
      <x:c r="U151" s="27"/>
    </x:row>
    <x:row r="152">
      <x:c r="A152" s="27" t="str"/>
      <x:c r="B152" s="27" t="str"/>
      <x:c r="C152" s="27" t="str"/>
      <x:c r="D152" s="27" t="str"/>
      <x:c r="E152" s="27" t="str"/>
      <x:c r="F152" s="27" t="str"/>
      <x:c r="G152" s="27" t="str"/>
      <x:c r="H152" s="27" t="str"/>
      <x:c r="I152" s="27" t="str">
        <x:f>IF(A152="","",MAX(0,MIN(100,ROUND(((D152*0.30)+(E152*0.30)+(F152*0.15)+(G152*0.15)-(H152*0.10))*20,0))))</x:f>
      </x:c>
      <x:c r="J152" s="27" t="str">
        <x:f>IF(A152="","",IF(I152&gt;=80,"P1 — первая версия",IF(I152&gt;=60,"P2 — следующий выпуск",IF(I152&gt;=40,"P3 — можно отложить","Не включать"))))</x:f>
      </x:c>
      <x:c r="K152" s="27" t="str"/>
      <x:c r="L152" s="27" t="str"/>
      <x:c r="M152" s="27"/>
      <x:c r="N152" s="27"/>
      <x:c r="O152" s="27"/>
      <x:c r="P152" s="27"/>
      <x:c r="Q152" s="27"/>
      <x:c r="R152" s="27"/>
      <x:c r="S152" s="27"/>
      <x:c r="T152" s="27"/>
      <x:c r="U152" s="27"/>
    </x:row>
    <x:row r="153">
      <x:c r="A153" s="27" t="str"/>
      <x:c r="B153" s="27" t="str"/>
      <x:c r="C153" s="27" t="str"/>
      <x:c r="D153" s="27" t="str"/>
      <x:c r="E153" s="27" t="str"/>
      <x:c r="F153" s="27" t="str"/>
      <x:c r="G153" s="27" t="str"/>
      <x:c r="H153" s="27" t="str"/>
      <x:c r="I153" s="27" t="str">
        <x:f>IF(A153="","",MAX(0,MIN(100,ROUND(((D153*0.30)+(E153*0.30)+(F153*0.15)+(G153*0.15)-(H153*0.10))*20,0))))</x:f>
      </x:c>
      <x:c r="J153" s="27" t="str">
        <x:f>IF(A153="","",IF(I153&gt;=80,"P1 — первая версия",IF(I153&gt;=60,"P2 — следующий выпуск",IF(I153&gt;=40,"P3 — можно отложить","Не включать"))))</x:f>
      </x:c>
      <x:c r="K153" s="27" t="str"/>
      <x:c r="L153" s="27" t="str"/>
      <x:c r="M153" s="27"/>
      <x:c r="N153" s="27"/>
      <x:c r="O153" s="27"/>
      <x:c r="P153" s="27"/>
      <x:c r="Q153" s="27"/>
      <x:c r="R153" s="27"/>
      <x:c r="S153" s="27"/>
      <x:c r="T153" s="27"/>
      <x:c r="U153" s="27"/>
    </x:row>
    <x:row r="154">
      <x:c r="A154" s="27" t="str"/>
      <x:c r="B154" s="27" t="str"/>
      <x:c r="C154" s="27" t="str"/>
      <x:c r="D154" s="27" t="str"/>
      <x:c r="E154" s="27" t="str"/>
      <x:c r="F154" s="27" t="str"/>
      <x:c r="G154" s="27" t="str"/>
      <x:c r="H154" s="27" t="str"/>
      <x:c r="I154" s="27" t="str">
        <x:f>IF(A154="","",MAX(0,MIN(100,ROUND(((D154*0.30)+(E154*0.30)+(F154*0.15)+(G154*0.15)-(H154*0.10))*20,0))))</x:f>
      </x:c>
      <x:c r="J154" s="27" t="str">
        <x:f>IF(A154="","",IF(I154&gt;=80,"P1 — первая версия",IF(I154&gt;=60,"P2 — следующий выпуск",IF(I154&gt;=40,"P3 — можно отложить","Не включать"))))</x:f>
      </x:c>
      <x:c r="K154" s="27" t="str"/>
      <x:c r="L154" s="27" t="str"/>
      <x:c r="M154" s="27"/>
      <x:c r="N154" s="27"/>
      <x:c r="O154" s="27"/>
      <x:c r="P154" s="27"/>
      <x:c r="Q154" s="27"/>
      <x:c r="R154" s="27"/>
      <x:c r="S154" s="27"/>
      <x:c r="T154" s="27"/>
      <x:c r="U154" s="27"/>
    </x:row>
    <x:row r="155">
      <x:c r="A155" s="27" t="str"/>
      <x:c r="B155" s="27" t="str"/>
      <x:c r="C155" s="27" t="str"/>
      <x:c r="D155" s="27" t="str"/>
      <x:c r="E155" s="27" t="str"/>
      <x:c r="F155" s="27" t="str"/>
      <x:c r="G155" s="27" t="str"/>
      <x:c r="H155" s="27" t="str"/>
      <x:c r="I155" s="27" t="str">
        <x:f>IF(A155="","",MAX(0,MIN(100,ROUND(((D155*0.30)+(E155*0.30)+(F155*0.15)+(G155*0.15)-(H155*0.10))*20,0))))</x:f>
      </x:c>
      <x:c r="J155" s="27" t="str">
        <x:f>IF(A155="","",IF(I155&gt;=80,"P1 — первая версия",IF(I155&gt;=60,"P2 — следующий выпуск",IF(I155&gt;=40,"P3 — можно отложить","Не включать"))))</x:f>
      </x:c>
      <x:c r="K155" s="27" t="str"/>
      <x:c r="L155" s="27" t="str"/>
      <x:c r="M155" s="27"/>
      <x:c r="N155" s="27"/>
      <x:c r="O155" s="27"/>
      <x:c r="P155" s="27"/>
      <x:c r="Q155" s="27"/>
      <x:c r="R155" s="27"/>
      <x:c r="S155" s="27"/>
      <x:c r="T155" s="27"/>
      <x:c r="U155" s="27"/>
    </x:row>
    <x:row r="156">
      <x:c r="A156" s="27" t="str"/>
      <x:c r="B156" s="27" t="str"/>
      <x:c r="C156" s="27" t="str"/>
      <x:c r="D156" s="27" t="str"/>
      <x:c r="E156" s="27" t="str"/>
      <x:c r="F156" s="27" t="str"/>
      <x:c r="G156" s="27" t="str"/>
      <x:c r="H156" s="27" t="str"/>
      <x:c r="I156" s="27" t="str">
        <x:f>IF(A156="","",MAX(0,MIN(100,ROUND(((D156*0.30)+(E156*0.30)+(F156*0.15)+(G156*0.15)-(H156*0.10))*20,0))))</x:f>
      </x:c>
      <x:c r="J156" s="27" t="str">
        <x:f>IF(A156="","",IF(I156&gt;=80,"P1 — первая версия",IF(I156&gt;=60,"P2 — следующий выпуск",IF(I156&gt;=40,"P3 — можно отложить","Не включать"))))</x:f>
      </x:c>
      <x:c r="K156" s="27" t="str"/>
      <x:c r="L156" s="27" t="str"/>
      <x:c r="M156" s="27"/>
      <x:c r="N156" s="27"/>
      <x:c r="O156" s="27"/>
      <x:c r="P156" s="27"/>
      <x:c r="Q156" s="27"/>
      <x:c r="R156" s="27"/>
      <x:c r="S156" s="27"/>
      <x:c r="T156" s="27"/>
      <x:c r="U156" s="27"/>
    </x:row>
    <x:row r="157">
      <x:c r="A157" s="27" t="str"/>
      <x:c r="B157" s="27" t="str"/>
      <x:c r="C157" s="27" t="str"/>
      <x:c r="D157" s="27" t="str"/>
      <x:c r="E157" s="27" t="str"/>
      <x:c r="F157" s="27" t="str"/>
      <x:c r="G157" s="27" t="str"/>
      <x:c r="H157" s="27" t="str"/>
      <x:c r="I157" s="27" t="str">
        <x:f>IF(A157="","",MAX(0,MIN(100,ROUND(((D157*0.30)+(E157*0.30)+(F157*0.15)+(G157*0.15)-(H157*0.10))*20,0))))</x:f>
      </x:c>
      <x:c r="J157" s="27" t="str">
        <x:f>IF(A157="","",IF(I157&gt;=80,"P1 — первая версия",IF(I157&gt;=60,"P2 — следующий выпуск",IF(I157&gt;=40,"P3 — можно отложить","Не включать"))))</x:f>
      </x:c>
      <x:c r="K157" s="27" t="str"/>
      <x:c r="L157" s="27" t="str"/>
      <x:c r="M157" s="27"/>
      <x:c r="N157" s="27"/>
      <x:c r="O157" s="27"/>
      <x:c r="P157" s="27"/>
      <x:c r="Q157" s="27"/>
      <x:c r="R157" s="27"/>
      <x:c r="S157" s="27"/>
      <x:c r="T157" s="27"/>
      <x:c r="U157" s="27"/>
    </x:row>
    <x:row r="158">
      <x:c r="A158" s="27" t="str"/>
      <x:c r="B158" s="27" t="str"/>
      <x:c r="C158" s="27" t="str"/>
      <x:c r="D158" s="27" t="str"/>
      <x:c r="E158" s="27" t="str"/>
      <x:c r="F158" s="27" t="str"/>
      <x:c r="G158" s="27" t="str"/>
      <x:c r="H158" s="27" t="str"/>
      <x:c r="I158" s="27" t="str">
        <x:f>IF(A158="","",MAX(0,MIN(100,ROUND(((D158*0.30)+(E158*0.30)+(F158*0.15)+(G158*0.15)-(H158*0.10))*20,0))))</x:f>
      </x:c>
      <x:c r="J158" s="27" t="str">
        <x:f>IF(A158="","",IF(I158&gt;=80,"P1 — первая версия",IF(I158&gt;=60,"P2 — следующий выпуск",IF(I158&gt;=40,"P3 — можно отложить","Не включать"))))</x:f>
      </x:c>
      <x:c r="K158" s="27" t="str"/>
      <x:c r="L158" s="27" t="str"/>
      <x:c r="M158" s="27"/>
      <x:c r="N158" s="27"/>
      <x:c r="O158" s="27"/>
      <x:c r="P158" s="27"/>
      <x:c r="Q158" s="27"/>
      <x:c r="R158" s="27"/>
      <x:c r="S158" s="27"/>
      <x:c r="T158" s="27"/>
      <x:c r="U158" s="27"/>
    </x:row>
    <x:row r="159">
      <x:c r="A159" s="27" t="str"/>
      <x:c r="B159" s="27" t="str"/>
      <x:c r="C159" s="27" t="str"/>
      <x:c r="D159" s="27" t="str"/>
      <x:c r="E159" s="27" t="str"/>
      <x:c r="F159" s="27" t="str"/>
      <x:c r="G159" s="27" t="str"/>
      <x:c r="H159" s="27" t="str"/>
      <x:c r="I159" s="27" t="str">
        <x:f>IF(A159="","",MAX(0,MIN(100,ROUND(((D159*0.30)+(E159*0.30)+(F159*0.15)+(G159*0.15)-(H159*0.10))*20,0))))</x:f>
      </x:c>
      <x:c r="J159" s="27" t="str">
        <x:f>IF(A159="","",IF(I159&gt;=80,"P1 — первая версия",IF(I159&gt;=60,"P2 — следующий выпуск",IF(I159&gt;=40,"P3 — можно отложить","Не включать"))))</x:f>
      </x:c>
      <x:c r="K159" s="27" t="str"/>
      <x:c r="L159" s="27" t="str"/>
      <x:c r="M159" s="27"/>
      <x:c r="N159" s="27"/>
      <x:c r="O159" s="27"/>
      <x:c r="P159" s="27"/>
      <x:c r="Q159" s="27"/>
      <x:c r="R159" s="27"/>
      <x:c r="S159" s="27"/>
      <x:c r="T159" s="27"/>
      <x:c r="U159" s="27"/>
    </x:row>
    <x:row r="160">
      <x:c r="A160" s="27" t="str"/>
      <x:c r="B160" s="27" t="str"/>
      <x:c r="C160" s="27" t="str"/>
      <x:c r="D160" s="27" t="str"/>
      <x:c r="E160" s="27" t="str"/>
      <x:c r="F160" s="27" t="str"/>
      <x:c r="G160" s="27" t="str"/>
      <x:c r="H160" s="27" t="str"/>
      <x:c r="I160" s="27" t="str">
        <x:f>IF(A160="","",MAX(0,MIN(100,ROUND(((D160*0.30)+(E160*0.30)+(F160*0.15)+(G160*0.15)-(H160*0.10))*20,0))))</x:f>
      </x:c>
      <x:c r="J160" s="27" t="str">
        <x:f>IF(A160="","",IF(I160&gt;=80,"P1 — первая версия",IF(I160&gt;=60,"P2 — следующий выпуск",IF(I160&gt;=40,"P3 — можно отложить","Не включать"))))</x:f>
      </x:c>
      <x:c r="K160" s="27" t="str"/>
      <x:c r="L160" s="27" t="str"/>
      <x:c r="M160" s="27"/>
      <x:c r="N160" s="27"/>
      <x:c r="O160" s="27"/>
      <x:c r="P160" s="27"/>
      <x:c r="Q160" s="27"/>
      <x:c r="R160" s="27"/>
      <x:c r="S160" s="27"/>
      <x:c r="T160" s="27"/>
      <x:c r="U160" s="27"/>
    </x:row>
    <x:row r="161">
      <x:c r="A161" s="27" t="str"/>
      <x:c r="B161" s="27" t="str"/>
      <x:c r="C161" s="27" t="str"/>
      <x:c r="D161" s="27" t="str"/>
      <x:c r="E161" s="27" t="str"/>
      <x:c r="F161" s="27" t="str"/>
      <x:c r="G161" s="27" t="str"/>
      <x:c r="H161" s="27" t="str"/>
      <x:c r="I161" s="27" t="str">
        <x:f>IF(A161="","",MAX(0,MIN(100,ROUND(((D161*0.30)+(E161*0.30)+(F161*0.15)+(G161*0.15)-(H161*0.10))*20,0))))</x:f>
      </x:c>
      <x:c r="J161" s="27" t="str">
        <x:f>IF(A161="","",IF(I161&gt;=80,"P1 — первая версия",IF(I161&gt;=60,"P2 — следующий выпуск",IF(I161&gt;=40,"P3 — можно отложить","Не включать"))))</x:f>
      </x:c>
      <x:c r="K161" s="27" t="str"/>
      <x:c r="L161" s="27" t="str"/>
      <x:c r="M161" s="27"/>
      <x:c r="N161" s="27"/>
      <x:c r="O161" s="27"/>
      <x:c r="P161" s="27"/>
      <x:c r="Q161" s="27"/>
      <x:c r="R161" s="27"/>
      <x:c r="S161" s="27"/>
      <x:c r="T161" s="27"/>
      <x:c r="U161" s="27"/>
    </x:row>
    <x:row r="162">
      <x:c r="A162" s="27" t="str"/>
      <x:c r="B162" s="27" t="str"/>
      <x:c r="C162" s="27" t="str"/>
      <x:c r="D162" s="27" t="str"/>
      <x:c r="E162" s="27" t="str"/>
      <x:c r="F162" s="27" t="str"/>
      <x:c r="G162" s="27" t="str"/>
      <x:c r="H162" s="27" t="str"/>
      <x:c r="I162" s="27" t="str">
        <x:f>IF(A162="","",MAX(0,MIN(100,ROUND(((D162*0.30)+(E162*0.30)+(F162*0.15)+(G162*0.15)-(H162*0.10))*20,0))))</x:f>
      </x:c>
      <x:c r="J162" s="27" t="str">
        <x:f>IF(A162="","",IF(I162&gt;=80,"P1 — первая версия",IF(I162&gt;=60,"P2 — следующий выпуск",IF(I162&gt;=40,"P3 — можно отложить","Не включать"))))</x:f>
      </x:c>
      <x:c r="K162" s="27" t="str"/>
      <x:c r="L162" s="27" t="str"/>
      <x:c r="M162" s="27"/>
      <x:c r="N162" s="27"/>
      <x:c r="O162" s="27"/>
      <x:c r="P162" s="27"/>
      <x:c r="Q162" s="27"/>
      <x:c r="R162" s="27"/>
      <x:c r="S162" s="27"/>
      <x:c r="T162" s="27"/>
      <x:c r="U162" s="27"/>
    </x:row>
    <x:row r="163">
      <x:c r="A163" s="27" t="str"/>
      <x:c r="B163" s="27" t="str"/>
      <x:c r="C163" s="27" t="str"/>
      <x:c r="D163" s="27" t="str"/>
      <x:c r="E163" s="27" t="str"/>
      <x:c r="F163" s="27" t="str"/>
      <x:c r="G163" s="27" t="str"/>
      <x:c r="H163" s="27" t="str"/>
      <x:c r="I163" s="27" t="str">
        <x:f>IF(A163="","",MAX(0,MIN(100,ROUND(((D163*0.30)+(E163*0.30)+(F163*0.15)+(G163*0.15)-(H163*0.10))*20,0))))</x:f>
      </x:c>
      <x:c r="J163" s="27" t="str">
        <x:f>IF(A163="","",IF(I163&gt;=80,"P1 — первая версия",IF(I163&gt;=60,"P2 — следующий выпуск",IF(I163&gt;=40,"P3 — можно отложить","Не включать"))))</x:f>
      </x:c>
      <x:c r="K163" s="27" t="str"/>
      <x:c r="L163" s="27" t="str"/>
      <x:c r="M163" s="27"/>
      <x:c r="N163" s="27"/>
      <x:c r="O163" s="27"/>
      <x:c r="P163" s="27"/>
      <x:c r="Q163" s="27"/>
      <x:c r="R163" s="27"/>
      <x:c r="S163" s="27"/>
      <x:c r="T163" s="27"/>
      <x:c r="U163" s="27"/>
    </x:row>
    <x:row r="164">
      <x:c r="A164" s="27" t="str"/>
      <x:c r="B164" s="27" t="str"/>
      <x:c r="C164" s="27" t="str"/>
      <x:c r="D164" s="27" t="str"/>
      <x:c r="E164" s="27" t="str"/>
      <x:c r="F164" s="27" t="str"/>
      <x:c r="G164" s="27" t="str"/>
      <x:c r="H164" s="27" t="str"/>
      <x:c r="I164" s="27" t="str">
        <x:f>IF(A164="","",MAX(0,MIN(100,ROUND(((D164*0.30)+(E164*0.30)+(F164*0.15)+(G164*0.15)-(H164*0.10))*20,0))))</x:f>
      </x:c>
      <x:c r="J164" s="27" t="str">
        <x:f>IF(A164="","",IF(I164&gt;=80,"P1 — первая версия",IF(I164&gt;=60,"P2 — следующий выпуск",IF(I164&gt;=40,"P3 — можно отложить","Не включать"))))</x:f>
      </x:c>
      <x:c r="K164" s="27" t="str"/>
      <x:c r="L164" s="27" t="str"/>
      <x:c r="M164" s="27"/>
      <x:c r="N164" s="27"/>
      <x:c r="O164" s="27"/>
      <x:c r="P164" s="27"/>
      <x:c r="Q164" s="27"/>
      <x:c r="R164" s="27"/>
      <x:c r="S164" s="27"/>
      <x:c r="T164" s="27"/>
      <x:c r="U164" s="27"/>
    </x:row>
    <x:row r="165">
      <x:c r="A165" s="27" t="str"/>
      <x:c r="B165" s="27" t="str"/>
      <x:c r="C165" s="27" t="str"/>
      <x:c r="D165" s="27" t="str"/>
      <x:c r="E165" s="27" t="str"/>
      <x:c r="F165" s="27" t="str"/>
      <x:c r="G165" s="27" t="str"/>
      <x:c r="H165" s="27" t="str"/>
      <x:c r="I165" s="27" t="str">
        <x:f>IF(A165="","",MAX(0,MIN(100,ROUND(((D165*0.30)+(E165*0.30)+(F165*0.15)+(G165*0.15)-(H165*0.10))*20,0))))</x:f>
      </x:c>
      <x:c r="J165" s="27" t="str">
        <x:f>IF(A165="","",IF(I165&gt;=80,"P1 — первая версия",IF(I165&gt;=60,"P2 — следующий выпуск",IF(I165&gt;=40,"P3 — можно отложить","Не включать"))))</x:f>
      </x:c>
      <x:c r="K165" s="27" t="str"/>
      <x:c r="L165" s="27" t="str"/>
      <x:c r="M165" s="27"/>
      <x:c r="N165" s="27"/>
      <x:c r="O165" s="27"/>
      <x:c r="P165" s="27"/>
      <x:c r="Q165" s="27"/>
      <x:c r="R165" s="27"/>
      <x:c r="S165" s="27"/>
      <x:c r="T165" s="27"/>
      <x:c r="U165" s="27"/>
    </x:row>
    <x:row r="166">
      <x:c r="A166" s="27" t="str"/>
      <x:c r="B166" s="27" t="str"/>
      <x:c r="C166" s="27" t="str"/>
      <x:c r="D166" s="27" t="str"/>
      <x:c r="E166" s="27" t="str"/>
      <x:c r="F166" s="27" t="str"/>
      <x:c r="G166" s="27" t="str"/>
      <x:c r="H166" s="27" t="str"/>
      <x:c r="I166" s="27" t="str">
        <x:f>IF(A166="","",MAX(0,MIN(100,ROUND(((D166*0.30)+(E166*0.30)+(F166*0.15)+(G166*0.15)-(H166*0.10))*20,0))))</x:f>
      </x:c>
      <x:c r="J166" s="27" t="str">
        <x:f>IF(A166="","",IF(I166&gt;=80,"P1 — первая версия",IF(I166&gt;=60,"P2 — следующий выпуск",IF(I166&gt;=40,"P3 — можно отложить","Не включать"))))</x:f>
      </x:c>
      <x:c r="K166" s="27" t="str"/>
      <x:c r="L166" s="27" t="str"/>
      <x:c r="M166" s="27"/>
      <x:c r="N166" s="27"/>
      <x:c r="O166" s="27"/>
      <x:c r="P166" s="27"/>
      <x:c r="Q166" s="27"/>
      <x:c r="R166" s="27"/>
      <x:c r="S166" s="27"/>
      <x:c r="T166" s="27"/>
      <x:c r="U166" s="27"/>
    </x:row>
    <x:row r="167">
      <x:c r="A167" s="27" t="str"/>
      <x:c r="B167" s="27" t="str"/>
      <x:c r="C167" s="27" t="str"/>
      <x:c r="D167" s="27" t="str"/>
      <x:c r="E167" s="27" t="str"/>
      <x:c r="F167" s="27" t="str"/>
      <x:c r="G167" s="27" t="str"/>
      <x:c r="H167" s="27" t="str"/>
      <x:c r="I167" s="27" t="str">
        <x:f>IF(A167="","",MAX(0,MIN(100,ROUND(((D167*0.30)+(E167*0.30)+(F167*0.15)+(G167*0.15)-(H167*0.10))*20,0))))</x:f>
      </x:c>
      <x:c r="J167" s="27" t="str">
        <x:f>IF(A167="","",IF(I167&gt;=80,"P1 — первая версия",IF(I167&gt;=60,"P2 — следующий выпуск",IF(I167&gt;=40,"P3 — можно отложить","Не включать"))))</x:f>
      </x:c>
      <x:c r="K167" s="27" t="str"/>
      <x:c r="L167" s="27" t="str"/>
      <x:c r="M167" s="27"/>
      <x:c r="N167" s="27"/>
      <x:c r="O167" s="27"/>
      <x:c r="P167" s="27"/>
      <x:c r="Q167" s="27"/>
      <x:c r="R167" s="27"/>
      <x:c r="S167" s="27"/>
      <x:c r="T167" s="27"/>
      <x:c r="U167" s="27"/>
    </x:row>
    <x:row r="168">
      <x:c r="A168" s="27" t="str"/>
      <x:c r="B168" s="27" t="str"/>
      <x:c r="C168" s="27" t="str"/>
      <x:c r="D168" s="27" t="str"/>
      <x:c r="E168" s="27" t="str"/>
      <x:c r="F168" s="27" t="str"/>
      <x:c r="G168" s="27" t="str"/>
      <x:c r="H168" s="27" t="str"/>
      <x:c r="I168" s="27" t="str">
        <x:f>IF(A168="","",MAX(0,MIN(100,ROUND(((D168*0.30)+(E168*0.30)+(F168*0.15)+(G168*0.15)-(H168*0.10))*20,0))))</x:f>
      </x:c>
      <x:c r="J168" s="27" t="str">
        <x:f>IF(A168="","",IF(I168&gt;=80,"P1 — первая версия",IF(I168&gt;=60,"P2 — следующий выпуск",IF(I168&gt;=40,"P3 — можно отложить","Не включать"))))</x:f>
      </x:c>
      <x:c r="K168" s="27" t="str"/>
      <x:c r="L168" s="27" t="str"/>
      <x:c r="M168" s="27"/>
      <x:c r="N168" s="27"/>
      <x:c r="O168" s="27"/>
      <x:c r="P168" s="27"/>
      <x:c r="Q168" s="27"/>
      <x:c r="R168" s="27"/>
      <x:c r="S168" s="27"/>
      <x:c r="T168" s="27"/>
      <x:c r="U168" s="27"/>
    </x:row>
    <x:row r="169">
      <x:c r="A169" s="27" t="str"/>
      <x:c r="B169" s="27" t="str"/>
      <x:c r="C169" s="27" t="str"/>
      <x:c r="D169" s="27" t="str"/>
      <x:c r="E169" s="27" t="str"/>
      <x:c r="F169" s="27" t="str"/>
      <x:c r="G169" s="27" t="str"/>
      <x:c r="H169" s="27" t="str"/>
      <x:c r="I169" s="27" t="str">
        <x:f>IF(A169="","",MAX(0,MIN(100,ROUND(((D169*0.30)+(E169*0.30)+(F169*0.15)+(G169*0.15)-(H169*0.10))*20,0))))</x:f>
      </x:c>
      <x:c r="J169" s="27" t="str">
        <x:f>IF(A169="","",IF(I169&gt;=80,"P1 — первая версия",IF(I169&gt;=60,"P2 — следующий выпуск",IF(I169&gt;=40,"P3 — можно отложить","Не включать"))))</x:f>
      </x:c>
      <x:c r="K169" s="27" t="str"/>
      <x:c r="L169" s="27" t="str"/>
      <x:c r="M169" s="27"/>
      <x:c r="N169" s="27"/>
      <x:c r="O169" s="27"/>
      <x:c r="P169" s="27"/>
      <x:c r="Q169" s="27"/>
      <x:c r="R169" s="27"/>
      <x:c r="S169" s="27"/>
      <x:c r="T169" s="27"/>
      <x:c r="U169" s="27"/>
    </x:row>
    <x:row r="170">
      <x:c r="A170" s="27" t="str"/>
      <x:c r="B170" s="27" t="str"/>
      <x:c r="C170" s="27" t="str"/>
      <x:c r="D170" s="27" t="str"/>
      <x:c r="E170" s="27" t="str"/>
      <x:c r="F170" s="27" t="str"/>
      <x:c r="G170" s="27" t="str"/>
      <x:c r="H170" s="27" t="str"/>
      <x:c r="I170" s="27" t="str">
        <x:f>IF(A170="","",MAX(0,MIN(100,ROUND(((D170*0.30)+(E170*0.30)+(F170*0.15)+(G170*0.15)-(H170*0.10))*20,0))))</x:f>
      </x:c>
      <x:c r="J170" s="27" t="str">
        <x:f>IF(A170="","",IF(I170&gt;=80,"P1 — первая версия",IF(I170&gt;=60,"P2 — следующий выпуск",IF(I170&gt;=40,"P3 — можно отложить","Не включать"))))</x:f>
      </x:c>
      <x:c r="K170" s="27" t="str"/>
      <x:c r="L170" s="27" t="str"/>
      <x:c r="M170" s="27"/>
      <x:c r="N170" s="27"/>
      <x:c r="O170" s="27"/>
      <x:c r="P170" s="27"/>
      <x:c r="Q170" s="27"/>
      <x:c r="R170" s="27"/>
      <x:c r="S170" s="27"/>
      <x:c r="T170" s="27"/>
      <x:c r="U170" s="27"/>
    </x:row>
    <x:row r="171">
      <x:c r="A171" s="27" t="str"/>
      <x:c r="B171" s="27" t="str"/>
      <x:c r="C171" s="27" t="str"/>
      <x:c r="D171" s="27" t="str"/>
      <x:c r="E171" s="27" t="str"/>
      <x:c r="F171" s="27" t="str"/>
      <x:c r="G171" s="27" t="str"/>
      <x:c r="H171" s="27" t="str"/>
      <x:c r="I171" s="27" t="str">
        <x:f>IF(A171="","",MAX(0,MIN(100,ROUND(((D171*0.30)+(E171*0.30)+(F171*0.15)+(G171*0.15)-(H171*0.10))*20,0))))</x:f>
      </x:c>
      <x:c r="J171" s="27" t="str">
        <x:f>IF(A171="","",IF(I171&gt;=80,"P1 — первая версия",IF(I171&gt;=60,"P2 — следующий выпуск",IF(I171&gt;=40,"P3 — можно отложить","Не включать"))))</x:f>
      </x:c>
      <x:c r="K171" s="27" t="str"/>
      <x:c r="L171" s="27" t="str"/>
      <x:c r="M171" s="27"/>
      <x:c r="N171" s="27"/>
      <x:c r="O171" s="27"/>
      <x:c r="P171" s="27"/>
      <x:c r="Q171" s="27"/>
      <x:c r="R171" s="27"/>
      <x:c r="S171" s="27"/>
      <x:c r="T171" s="27"/>
      <x:c r="U171" s="27"/>
    </x:row>
    <x:row r="172">
      <x:c r="A172" s="27" t="str"/>
      <x:c r="B172" s="27" t="str"/>
      <x:c r="C172" s="27" t="str"/>
      <x:c r="D172" s="27" t="str"/>
      <x:c r="E172" s="27" t="str"/>
      <x:c r="F172" s="27" t="str"/>
      <x:c r="G172" s="27" t="str"/>
      <x:c r="H172" s="27" t="str"/>
      <x:c r="I172" s="27" t="str">
        <x:f>IF(A172="","",MAX(0,MIN(100,ROUND(((D172*0.30)+(E172*0.30)+(F172*0.15)+(G172*0.15)-(H172*0.10))*20,0))))</x:f>
      </x:c>
      <x:c r="J172" s="27" t="str">
        <x:f>IF(A172="","",IF(I172&gt;=80,"P1 — первая версия",IF(I172&gt;=60,"P2 — следующий выпуск",IF(I172&gt;=40,"P3 — можно отложить","Не включать"))))</x:f>
      </x:c>
      <x:c r="K172" s="27" t="str"/>
      <x:c r="L172" s="27" t="str"/>
      <x:c r="M172" s="27"/>
      <x:c r="N172" s="27"/>
      <x:c r="O172" s="27"/>
      <x:c r="P172" s="27"/>
      <x:c r="Q172" s="27"/>
      <x:c r="R172" s="27"/>
      <x:c r="S172" s="27"/>
      <x:c r="T172" s="27"/>
      <x:c r="U172" s="27"/>
    </x:row>
    <x:row r="173">
      <x:c r="A173" s="27" t="str"/>
      <x:c r="B173" s="27" t="str"/>
      <x:c r="C173" s="27" t="str"/>
      <x:c r="D173" s="27" t="str"/>
      <x:c r="E173" s="27" t="str"/>
      <x:c r="F173" s="27" t="str"/>
      <x:c r="G173" s="27" t="str"/>
      <x:c r="H173" s="27" t="str"/>
      <x:c r="I173" s="27" t="str">
        <x:f>IF(A173="","",MAX(0,MIN(100,ROUND(((D173*0.30)+(E173*0.30)+(F173*0.15)+(G173*0.15)-(H173*0.10))*20,0))))</x:f>
      </x:c>
      <x:c r="J173" s="27" t="str">
        <x:f>IF(A173="","",IF(I173&gt;=80,"P1 — первая версия",IF(I173&gt;=60,"P2 — следующий выпуск",IF(I173&gt;=40,"P3 — можно отложить","Не включать"))))</x:f>
      </x:c>
      <x:c r="K173" s="27" t="str"/>
      <x:c r="L173" s="27" t="str"/>
      <x:c r="M173" s="27"/>
      <x:c r="N173" s="27"/>
      <x:c r="O173" s="27"/>
      <x:c r="P173" s="27"/>
      <x:c r="Q173" s="27"/>
      <x:c r="R173" s="27"/>
      <x:c r="S173" s="27"/>
      <x:c r="T173" s="27"/>
      <x:c r="U173" s="27"/>
    </x:row>
    <x:row r="174">
      <x:c r="A174" s="27" t="str"/>
      <x:c r="B174" s="27" t="str"/>
      <x:c r="C174" s="27" t="str"/>
      <x:c r="D174" s="27" t="str"/>
      <x:c r="E174" s="27" t="str"/>
      <x:c r="F174" s="27" t="str"/>
      <x:c r="G174" s="27" t="str"/>
      <x:c r="H174" s="27" t="str"/>
      <x:c r="I174" s="27" t="str">
        <x:f>IF(A174="","",MAX(0,MIN(100,ROUND(((D174*0.30)+(E174*0.30)+(F174*0.15)+(G174*0.15)-(H174*0.10))*20,0))))</x:f>
      </x:c>
      <x:c r="J174" s="27" t="str">
        <x:f>IF(A174="","",IF(I174&gt;=80,"P1 — первая версия",IF(I174&gt;=60,"P2 — следующий выпуск",IF(I174&gt;=40,"P3 — можно отложить","Не включать"))))</x:f>
      </x:c>
      <x:c r="K174" s="27" t="str"/>
      <x:c r="L174" s="27" t="str"/>
      <x:c r="M174" s="27"/>
      <x:c r="N174" s="27"/>
      <x:c r="O174" s="27"/>
      <x:c r="P174" s="27"/>
      <x:c r="Q174" s="27"/>
      <x:c r="R174" s="27"/>
      <x:c r="S174" s="27"/>
      <x:c r="T174" s="27"/>
      <x:c r="U174" s="27"/>
    </x:row>
    <x:row r="175">
      <x:c r="A175" s="27" t="str"/>
      <x:c r="B175" s="27" t="str"/>
      <x:c r="C175" s="27" t="str"/>
      <x:c r="D175" s="27" t="str"/>
      <x:c r="E175" s="27" t="str"/>
      <x:c r="F175" s="27" t="str"/>
      <x:c r="G175" s="27" t="str"/>
      <x:c r="H175" s="27" t="str"/>
      <x:c r="I175" s="27" t="str">
        <x:f>IF(A175="","",MAX(0,MIN(100,ROUND(((D175*0.30)+(E175*0.30)+(F175*0.15)+(G175*0.15)-(H175*0.10))*20,0))))</x:f>
      </x:c>
      <x:c r="J175" s="27" t="str">
        <x:f>IF(A175="","",IF(I175&gt;=80,"P1 — первая версия",IF(I175&gt;=60,"P2 — следующий выпуск",IF(I175&gt;=40,"P3 — можно отложить","Не включать"))))</x:f>
      </x:c>
      <x:c r="K175" s="27" t="str"/>
      <x:c r="L175" s="27" t="str"/>
      <x:c r="M175" s="27"/>
      <x:c r="N175" s="27"/>
      <x:c r="O175" s="27"/>
      <x:c r="P175" s="27"/>
      <x:c r="Q175" s="27"/>
      <x:c r="R175" s="27"/>
      <x:c r="S175" s="27"/>
      <x:c r="T175" s="27"/>
      <x:c r="U175" s="27"/>
    </x:row>
    <x:row r="176">
      <x:c r="A176" s="27" t="str"/>
      <x:c r="B176" s="27" t="str"/>
      <x:c r="C176" s="27" t="str"/>
      <x:c r="D176" s="27" t="str"/>
      <x:c r="E176" s="27" t="str"/>
      <x:c r="F176" s="27" t="str"/>
      <x:c r="G176" s="27" t="str"/>
      <x:c r="H176" s="27" t="str"/>
      <x:c r="I176" s="27" t="str">
        <x:f>IF(A176="","",MAX(0,MIN(100,ROUND(((D176*0.30)+(E176*0.30)+(F176*0.15)+(G176*0.15)-(H176*0.10))*20,0))))</x:f>
      </x:c>
      <x:c r="J176" s="27" t="str">
        <x:f>IF(A176="","",IF(I176&gt;=80,"P1 — первая версия",IF(I176&gt;=60,"P2 — следующий выпуск",IF(I176&gt;=40,"P3 — можно отложить","Не включать"))))</x:f>
      </x:c>
      <x:c r="K176" s="27" t="str"/>
      <x:c r="L176" s="27" t="str"/>
      <x:c r="M176" s="27"/>
      <x:c r="N176" s="27"/>
      <x:c r="O176" s="27"/>
      <x:c r="P176" s="27"/>
      <x:c r="Q176" s="27"/>
      <x:c r="R176" s="27"/>
      <x:c r="S176" s="27"/>
      <x:c r="T176" s="27"/>
      <x:c r="U176" s="27"/>
    </x:row>
    <x:row r="177">
      <x:c r="A177" s="27" t="str"/>
      <x:c r="B177" s="27" t="str"/>
      <x:c r="C177" s="27" t="str"/>
      <x:c r="D177" s="27" t="str"/>
      <x:c r="E177" s="27" t="str"/>
      <x:c r="F177" s="27" t="str"/>
      <x:c r="G177" s="27" t="str"/>
      <x:c r="H177" s="27" t="str"/>
      <x:c r="I177" s="27" t="str">
        <x:f>IF(A177="","",MAX(0,MIN(100,ROUND(((D177*0.30)+(E177*0.30)+(F177*0.15)+(G177*0.15)-(H177*0.10))*20,0))))</x:f>
      </x:c>
      <x:c r="J177" s="27" t="str">
        <x:f>IF(A177="","",IF(I177&gt;=80,"P1 — первая версия",IF(I177&gt;=60,"P2 — следующий выпуск",IF(I177&gt;=40,"P3 — можно отложить","Не включать"))))</x:f>
      </x:c>
      <x:c r="K177" s="27" t="str"/>
      <x:c r="L177" s="27" t="str"/>
      <x:c r="M177" s="27"/>
      <x:c r="N177" s="27"/>
      <x:c r="O177" s="27"/>
      <x:c r="P177" s="27"/>
      <x:c r="Q177" s="27"/>
      <x:c r="R177" s="27"/>
      <x:c r="S177" s="27"/>
      <x:c r="T177" s="27"/>
      <x:c r="U177" s="27"/>
    </x:row>
    <x:row r="178">
      <x:c r="A178" s="27" t="str"/>
      <x:c r="B178" s="27" t="str"/>
      <x:c r="C178" s="27" t="str"/>
      <x:c r="D178" s="27" t="str"/>
      <x:c r="E178" s="27" t="str"/>
      <x:c r="F178" s="27" t="str"/>
      <x:c r="G178" s="27" t="str"/>
      <x:c r="H178" s="27" t="str"/>
      <x:c r="I178" s="27" t="str">
        <x:f>IF(A178="","",MAX(0,MIN(100,ROUND(((D178*0.30)+(E178*0.30)+(F178*0.15)+(G178*0.15)-(H178*0.10))*20,0))))</x:f>
      </x:c>
      <x:c r="J178" s="27" t="str">
        <x:f>IF(A178="","",IF(I178&gt;=80,"P1 — первая версия",IF(I178&gt;=60,"P2 — следующий выпуск",IF(I178&gt;=40,"P3 — можно отложить","Не включать"))))</x:f>
      </x:c>
      <x:c r="K178" s="27" t="str"/>
      <x:c r="L178" s="27" t="str"/>
      <x:c r="M178" s="27"/>
      <x:c r="N178" s="27"/>
      <x:c r="O178" s="27"/>
      <x:c r="P178" s="27"/>
      <x:c r="Q178" s="27"/>
      <x:c r="R178" s="27"/>
      <x:c r="S178" s="27"/>
      <x:c r="T178" s="27"/>
      <x:c r="U178" s="27"/>
    </x:row>
    <x:row r="179">
      <x:c r="A179" s="27" t="str"/>
      <x:c r="B179" s="27" t="str"/>
      <x:c r="C179" s="27" t="str"/>
      <x:c r="D179" s="27" t="str"/>
      <x:c r="E179" s="27" t="str"/>
      <x:c r="F179" s="27" t="str"/>
      <x:c r="G179" s="27" t="str"/>
      <x:c r="H179" s="27" t="str"/>
      <x:c r="I179" s="27" t="str">
        <x:f>IF(A179="","",MAX(0,MIN(100,ROUND(((D179*0.30)+(E179*0.30)+(F179*0.15)+(G179*0.15)-(H179*0.10))*20,0))))</x:f>
      </x:c>
      <x:c r="J179" s="27" t="str">
        <x:f>IF(A179="","",IF(I179&gt;=80,"P1 — первая версия",IF(I179&gt;=60,"P2 — следующий выпуск",IF(I179&gt;=40,"P3 — можно отложить","Не включать"))))</x:f>
      </x:c>
      <x:c r="K179" s="27" t="str"/>
      <x:c r="L179" s="27" t="str"/>
      <x:c r="M179" s="27"/>
      <x:c r="N179" s="27"/>
      <x:c r="O179" s="27"/>
      <x:c r="P179" s="27"/>
      <x:c r="Q179" s="27"/>
      <x:c r="R179" s="27"/>
      <x:c r="S179" s="27"/>
      <x:c r="T179" s="27"/>
      <x:c r="U179" s="27"/>
    </x:row>
    <x:row r="180">
      <x:c r="A180" s="27" t="str"/>
      <x:c r="B180" s="27" t="str"/>
      <x:c r="C180" s="27" t="str"/>
      <x:c r="D180" s="27" t="str"/>
      <x:c r="E180" s="27" t="str"/>
      <x:c r="F180" s="27" t="str"/>
      <x:c r="G180" s="27" t="str"/>
      <x:c r="H180" s="27" t="str"/>
      <x:c r="I180" s="27" t="str">
        <x:f>IF(A180="","",MAX(0,MIN(100,ROUND(((D180*0.30)+(E180*0.30)+(F180*0.15)+(G180*0.15)-(H180*0.10))*20,0))))</x:f>
      </x:c>
      <x:c r="J180" s="27" t="str">
        <x:f>IF(A180="","",IF(I180&gt;=80,"P1 — первая версия",IF(I180&gt;=60,"P2 — следующий выпуск",IF(I180&gt;=40,"P3 — можно отложить","Не включать"))))</x:f>
      </x:c>
      <x:c r="K180" s="27" t="str"/>
      <x:c r="L180" s="27" t="str"/>
      <x:c r="M180" s="27"/>
      <x:c r="N180" s="27"/>
      <x:c r="O180" s="27"/>
      <x:c r="P180" s="27"/>
      <x:c r="Q180" s="27"/>
      <x:c r="R180" s="27"/>
      <x:c r="S180" s="27"/>
      <x:c r="T180" s="27"/>
      <x:c r="U180" s="27"/>
    </x:row>
    <x:row r="181">
      <x:c r="A181" s="27" t="str"/>
      <x:c r="B181" s="27" t="str"/>
      <x:c r="C181" s="27" t="str"/>
      <x:c r="D181" s="27" t="str"/>
      <x:c r="E181" s="27" t="str"/>
      <x:c r="F181" s="27" t="str"/>
      <x:c r="G181" s="27" t="str"/>
      <x:c r="H181" s="27" t="str"/>
      <x:c r="I181" s="27" t="str">
        <x:f>IF(A181="","",MAX(0,MIN(100,ROUND(((D181*0.30)+(E181*0.30)+(F181*0.15)+(G181*0.15)-(H181*0.10))*20,0))))</x:f>
      </x:c>
      <x:c r="J181" s="27" t="str">
        <x:f>IF(A181="","",IF(I181&gt;=80,"P1 — первая версия",IF(I181&gt;=60,"P2 — следующий выпуск",IF(I181&gt;=40,"P3 — можно отложить","Не включать"))))</x:f>
      </x:c>
      <x:c r="K181" s="27" t="str"/>
      <x:c r="L181" s="27" t="str"/>
      <x:c r="M181" s="27"/>
      <x:c r="N181" s="27"/>
      <x:c r="O181" s="27"/>
      <x:c r="P181" s="27"/>
      <x:c r="Q181" s="27"/>
      <x:c r="R181" s="27"/>
      <x:c r="S181" s="27"/>
      <x:c r="T181" s="27"/>
      <x:c r="U181" s="27"/>
    </x:row>
    <x:row r="182">
      <x:c r="A182" s="27" t="str"/>
      <x:c r="B182" s="27" t="str"/>
      <x:c r="C182" s="27" t="str"/>
      <x:c r="D182" s="27" t="str"/>
      <x:c r="E182" s="27" t="str"/>
      <x:c r="F182" s="27" t="str"/>
      <x:c r="G182" s="27" t="str"/>
      <x:c r="H182" s="27" t="str"/>
      <x:c r="I182" s="27" t="str">
        <x:f>IF(A182="","",MAX(0,MIN(100,ROUND(((D182*0.30)+(E182*0.30)+(F182*0.15)+(G182*0.15)-(H182*0.10))*20,0))))</x:f>
      </x:c>
      <x:c r="J182" s="27" t="str">
        <x:f>IF(A182="","",IF(I182&gt;=80,"P1 — первая версия",IF(I182&gt;=60,"P2 — следующий выпуск",IF(I182&gt;=40,"P3 — можно отложить","Не включать"))))</x:f>
      </x:c>
      <x:c r="K182" s="27" t="str"/>
      <x:c r="L182" s="27" t="str"/>
      <x:c r="M182" s="27"/>
      <x:c r="N182" s="27"/>
      <x:c r="O182" s="27"/>
      <x:c r="P182" s="27"/>
      <x:c r="Q182" s="27"/>
      <x:c r="R182" s="27"/>
      <x:c r="S182" s="27"/>
      <x:c r="T182" s="27"/>
      <x:c r="U182" s="27"/>
    </x:row>
    <x:row r="183">
      <x:c r="A183" s="27" t="str"/>
      <x:c r="B183" s="27" t="str"/>
      <x:c r="C183" s="27" t="str"/>
      <x:c r="D183" s="27" t="str"/>
      <x:c r="E183" s="27" t="str"/>
      <x:c r="F183" s="27" t="str"/>
      <x:c r="G183" s="27" t="str"/>
      <x:c r="H183" s="27" t="str"/>
      <x:c r="I183" s="27" t="str">
        <x:f>IF(A183="","",MAX(0,MIN(100,ROUND(((D183*0.30)+(E183*0.30)+(F183*0.15)+(G183*0.15)-(H183*0.10))*20,0))))</x:f>
      </x:c>
      <x:c r="J183" s="27" t="str">
        <x:f>IF(A183="","",IF(I183&gt;=80,"P1 — первая версия",IF(I183&gt;=60,"P2 — следующий выпуск",IF(I183&gt;=40,"P3 — можно отложить","Не включать"))))</x:f>
      </x:c>
      <x:c r="K183" s="27" t="str"/>
      <x:c r="L183" s="27" t="str"/>
      <x:c r="M183" s="27"/>
      <x:c r="N183" s="27"/>
      <x:c r="O183" s="27"/>
      <x:c r="P183" s="27"/>
      <x:c r="Q183" s="27"/>
      <x:c r="R183" s="27"/>
      <x:c r="S183" s="27"/>
      <x:c r="T183" s="27"/>
      <x:c r="U183" s="27"/>
    </x:row>
    <x:row r="184">
      <x:c r="A184" s="27" t="str"/>
      <x:c r="B184" s="27" t="str"/>
      <x:c r="C184" s="27" t="str"/>
      <x:c r="D184" s="27" t="str"/>
      <x:c r="E184" s="27" t="str"/>
      <x:c r="F184" s="27" t="str"/>
      <x:c r="G184" s="27" t="str"/>
      <x:c r="H184" s="27" t="str"/>
      <x:c r="I184" s="27" t="str">
        <x:f>IF(A184="","",MAX(0,MIN(100,ROUND(((D184*0.30)+(E184*0.30)+(F184*0.15)+(G184*0.15)-(H184*0.10))*20,0))))</x:f>
      </x:c>
      <x:c r="J184" s="27" t="str">
        <x:f>IF(A184="","",IF(I184&gt;=80,"P1 — первая версия",IF(I184&gt;=60,"P2 — следующий выпуск",IF(I184&gt;=40,"P3 — можно отложить","Не включать"))))</x:f>
      </x:c>
      <x:c r="K184" s="27" t="str"/>
      <x:c r="L184" s="27" t="str"/>
      <x:c r="M184" s="27"/>
      <x:c r="N184" s="27"/>
      <x:c r="O184" s="27"/>
      <x:c r="P184" s="27"/>
      <x:c r="Q184" s="27"/>
      <x:c r="R184" s="27"/>
      <x:c r="S184" s="27"/>
      <x:c r="T184" s="27"/>
      <x:c r="U184" s="27"/>
    </x:row>
    <x:row r="185">
      <x:c r="A185" s="27" t="str"/>
      <x:c r="B185" s="27" t="str"/>
      <x:c r="C185" s="27" t="str"/>
      <x:c r="D185" s="27" t="str"/>
      <x:c r="E185" s="27" t="str"/>
      <x:c r="F185" s="27" t="str"/>
      <x:c r="G185" s="27" t="str"/>
      <x:c r="H185" s="27" t="str"/>
      <x:c r="I185" s="27" t="str">
        <x:f>IF(A185="","",MAX(0,MIN(100,ROUND(((D185*0.30)+(E185*0.30)+(F185*0.15)+(G185*0.15)-(H185*0.10))*20,0))))</x:f>
      </x:c>
      <x:c r="J185" s="27" t="str">
        <x:f>IF(A185="","",IF(I185&gt;=80,"P1 — первая версия",IF(I185&gt;=60,"P2 — следующий выпуск",IF(I185&gt;=40,"P3 — можно отложить","Не включать"))))</x:f>
      </x:c>
      <x:c r="K185" s="27" t="str"/>
      <x:c r="L185" s="27" t="str"/>
      <x:c r="M185" s="27"/>
      <x:c r="N185" s="27"/>
      <x:c r="O185" s="27"/>
      <x:c r="P185" s="27"/>
      <x:c r="Q185" s="27"/>
      <x:c r="R185" s="27"/>
      <x:c r="S185" s="27"/>
      <x:c r="T185" s="27"/>
      <x:c r="U185" s="27"/>
    </x:row>
    <x:row r="186">
      <x:c r="A186" s="27" t="str"/>
      <x:c r="B186" s="27" t="str"/>
      <x:c r="C186" s="27" t="str"/>
      <x:c r="D186" s="27" t="str"/>
      <x:c r="E186" s="27" t="str"/>
      <x:c r="F186" s="27" t="str"/>
      <x:c r="G186" s="27" t="str"/>
      <x:c r="H186" s="27" t="str"/>
      <x:c r="I186" s="27" t="str">
        <x:f>IF(A186="","",MAX(0,MIN(100,ROUND(((D186*0.30)+(E186*0.30)+(F186*0.15)+(G186*0.15)-(H186*0.10))*20,0))))</x:f>
      </x:c>
      <x:c r="J186" s="27" t="str">
        <x:f>IF(A186="","",IF(I186&gt;=80,"P1 — первая версия",IF(I186&gt;=60,"P2 — следующий выпуск",IF(I186&gt;=40,"P3 — можно отложить","Не включать"))))</x:f>
      </x:c>
      <x:c r="K186" s="27" t="str"/>
      <x:c r="L186" s="27" t="str"/>
      <x:c r="M186" s="27"/>
      <x:c r="N186" s="27"/>
      <x:c r="O186" s="27"/>
      <x:c r="P186" s="27"/>
      <x:c r="Q186" s="27"/>
      <x:c r="R186" s="27"/>
      <x:c r="S186" s="27"/>
      <x:c r="T186" s="27"/>
      <x:c r="U186" s="27"/>
    </x:row>
    <x:row r="187">
      <x:c r="A187" s="27" t="str"/>
      <x:c r="B187" s="27" t="str"/>
      <x:c r="C187" s="27" t="str"/>
      <x:c r="D187" s="27" t="str"/>
      <x:c r="E187" s="27" t="str"/>
      <x:c r="F187" s="27" t="str"/>
      <x:c r="G187" s="27" t="str"/>
      <x:c r="H187" s="27" t="str"/>
      <x:c r="I187" s="27" t="str">
        <x:f>IF(A187="","",MAX(0,MIN(100,ROUND(((D187*0.30)+(E187*0.30)+(F187*0.15)+(G187*0.15)-(H187*0.10))*20,0))))</x:f>
      </x:c>
      <x:c r="J187" s="27" t="str">
        <x:f>IF(A187="","",IF(I187&gt;=80,"P1 — первая версия",IF(I187&gt;=60,"P2 — следующий выпуск",IF(I187&gt;=40,"P3 — можно отложить","Не включать"))))</x:f>
      </x:c>
      <x:c r="K187" s="27" t="str"/>
      <x:c r="L187" s="27" t="str"/>
      <x:c r="M187" s="27"/>
      <x:c r="N187" s="27"/>
      <x:c r="O187" s="27"/>
      <x:c r="P187" s="27"/>
      <x:c r="Q187" s="27"/>
      <x:c r="R187" s="27"/>
      <x:c r="S187" s="27"/>
      <x:c r="T187" s="27"/>
      <x:c r="U187" s="27"/>
    </x:row>
    <x:row r="188">
      <x:c r="A188" s="27" t="str"/>
      <x:c r="B188" s="27" t="str"/>
      <x:c r="C188" s="27" t="str"/>
      <x:c r="D188" s="27" t="str"/>
      <x:c r="E188" s="27" t="str"/>
      <x:c r="F188" s="27" t="str"/>
      <x:c r="G188" s="27" t="str"/>
      <x:c r="H188" s="27" t="str"/>
      <x:c r="I188" s="27" t="str">
        <x:f>IF(A188="","",MAX(0,MIN(100,ROUND(((D188*0.30)+(E188*0.30)+(F188*0.15)+(G188*0.15)-(H188*0.10))*20,0))))</x:f>
      </x:c>
      <x:c r="J188" s="27" t="str">
        <x:f>IF(A188="","",IF(I188&gt;=80,"P1 — первая версия",IF(I188&gt;=60,"P2 — следующий выпуск",IF(I188&gt;=40,"P3 — можно отложить","Не включать"))))</x:f>
      </x:c>
      <x:c r="K188" s="27" t="str"/>
      <x:c r="L188" s="27" t="str"/>
      <x:c r="M188" s="27"/>
      <x:c r="N188" s="27"/>
      <x:c r="O188" s="27"/>
      <x:c r="P188" s="27"/>
      <x:c r="Q188" s="27"/>
      <x:c r="R188" s="27"/>
      <x:c r="S188" s="27"/>
      <x:c r="T188" s="27"/>
      <x:c r="U188" s="27"/>
    </x:row>
    <x:row r="189">
      <x:c r="A189" s="27" t="str"/>
      <x:c r="B189" s="27" t="str"/>
      <x:c r="C189" s="27" t="str"/>
      <x:c r="D189" s="27" t="str"/>
      <x:c r="E189" s="27" t="str"/>
      <x:c r="F189" s="27" t="str"/>
      <x:c r="G189" s="27" t="str"/>
      <x:c r="H189" s="27" t="str"/>
      <x:c r="I189" s="27" t="str">
        <x:f>IF(A189="","",MAX(0,MIN(100,ROUND(((D189*0.30)+(E189*0.30)+(F189*0.15)+(G189*0.15)-(H189*0.10))*20,0))))</x:f>
      </x:c>
      <x:c r="J189" s="27" t="str">
        <x:f>IF(A189="","",IF(I189&gt;=80,"P1 — первая версия",IF(I189&gt;=60,"P2 — следующий выпуск",IF(I189&gt;=40,"P3 — можно отложить","Не включать"))))</x:f>
      </x:c>
      <x:c r="K189" s="27" t="str"/>
      <x:c r="L189" s="27" t="str"/>
      <x:c r="M189" s="27"/>
      <x:c r="N189" s="27"/>
      <x:c r="O189" s="27"/>
      <x:c r="P189" s="27"/>
      <x:c r="Q189" s="27"/>
      <x:c r="R189" s="27"/>
      <x:c r="S189" s="27"/>
      <x:c r="T189" s="27"/>
      <x:c r="U189" s="27"/>
    </x:row>
    <x:row r="190">
      <x:c r="A190" s="27" t="str"/>
      <x:c r="B190" s="27" t="str"/>
      <x:c r="C190" s="27" t="str"/>
      <x:c r="D190" s="27" t="str"/>
      <x:c r="E190" s="27" t="str"/>
      <x:c r="F190" s="27" t="str"/>
      <x:c r="G190" s="27" t="str"/>
      <x:c r="H190" s="27" t="str"/>
      <x:c r="I190" s="27" t="str">
        <x:f>IF(A190="","",MAX(0,MIN(100,ROUND(((D190*0.30)+(E190*0.30)+(F190*0.15)+(G190*0.15)-(H190*0.10))*20,0))))</x:f>
      </x:c>
      <x:c r="J190" s="27" t="str">
        <x:f>IF(A190="","",IF(I190&gt;=80,"P1 — первая версия",IF(I190&gt;=60,"P2 — следующий выпуск",IF(I190&gt;=40,"P3 — можно отложить","Не включать"))))</x:f>
      </x:c>
      <x:c r="K190" s="27" t="str"/>
      <x:c r="L190" s="27" t="str"/>
      <x:c r="M190" s="27"/>
      <x:c r="N190" s="27"/>
      <x:c r="O190" s="27"/>
      <x:c r="P190" s="27"/>
      <x:c r="Q190" s="27"/>
      <x:c r="R190" s="27"/>
      <x:c r="S190" s="27"/>
      <x:c r="T190" s="27"/>
      <x:c r="U190" s="27"/>
    </x:row>
    <x:row r="191">
      <x:c r="A191" s="27" t="str"/>
      <x:c r="B191" s="27" t="str"/>
      <x:c r="C191" s="27" t="str"/>
      <x:c r="D191" s="27" t="str"/>
      <x:c r="E191" s="27" t="str"/>
      <x:c r="F191" s="27" t="str"/>
      <x:c r="G191" s="27" t="str"/>
      <x:c r="H191" s="27" t="str"/>
      <x:c r="I191" s="27" t="str">
        <x:f>IF(A191="","",MAX(0,MIN(100,ROUND(((D191*0.30)+(E191*0.30)+(F191*0.15)+(G191*0.15)-(H191*0.10))*20,0))))</x:f>
      </x:c>
      <x:c r="J191" s="27" t="str">
        <x:f>IF(A191="","",IF(I191&gt;=80,"P1 — первая версия",IF(I191&gt;=60,"P2 — следующий выпуск",IF(I191&gt;=40,"P3 — можно отложить","Не включать"))))</x:f>
      </x:c>
      <x:c r="K191" s="27" t="str"/>
      <x:c r="L191" s="27" t="str"/>
      <x:c r="M191" s="27"/>
      <x:c r="N191" s="27"/>
      <x:c r="O191" s="27"/>
      <x:c r="P191" s="27"/>
      <x:c r="Q191" s="27"/>
      <x:c r="R191" s="27"/>
      <x:c r="S191" s="27"/>
      <x:c r="T191" s="27"/>
      <x:c r="U191" s="27"/>
    </x:row>
    <x:row r="192">
      <x:c r="A192" s="27" t="str"/>
      <x:c r="B192" s="27" t="str"/>
      <x:c r="C192" s="27" t="str"/>
      <x:c r="D192" s="27" t="str"/>
      <x:c r="E192" s="27" t="str"/>
      <x:c r="F192" s="27" t="str"/>
      <x:c r="G192" s="27" t="str"/>
      <x:c r="H192" s="27" t="str"/>
      <x:c r="I192" s="27" t="str">
        <x:f>IF(A192="","",MAX(0,MIN(100,ROUND(((D192*0.30)+(E192*0.30)+(F192*0.15)+(G192*0.15)-(H192*0.10))*20,0))))</x:f>
      </x:c>
      <x:c r="J192" s="27" t="str">
        <x:f>IF(A192="","",IF(I192&gt;=80,"P1 — первая версия",IF(I192&gt;=60,"P2 — следующий выпуск",IF(I192&gt;=40,"P3 — можно отложить","Не включать"))))</x:f>
      </x:c>
      <x:c r="K192" s="27" t="str"/>
      <x:c r="L192" s="27" t="str"/>
      <x:c r="M192" s="27"/>
      <x:c r="N192" s="27"/>
      <x:c r="O192" s="27"/>
      <x:c r="P192" s="27"/>
      <x:c r="Q192" s="27"/>
      <x:c r="R192" s="27"/>
      <x:c r="S192" s="27"/>
      <x:c r="T192" s="27"/>
      <x:c r="U192" s="27"/>
    </x:row>
    <x:row r="193">
      <x:c r="A193" s="27" t="str"/>
      <x:c r="B193" s="27" t="str"/>
      <x:c r="C193" s="27" t="str"/>
      <x:c r="D193" s="27" t="str"/>
      <x:c r="E193" s="27" t="str"/>
      <x:c r="F193" s="27" t="str"/>
      <x:c r="G193" s="27" t="str"/>
      <x:c r="H193" s="27" t="str"/>
      <x:c r="I193" s="27" t="str">
        <x:f>IF(A193="","",MAX(0,MIN(100,ROUND(((D193*0.30)+(E193*0.30)+(F193*0.15)+(G193*0.15)-(H193*0.10))*20,0))))</x:f>
      </x:c>
      <x:c r="J193" s="27" t="str">
        <x:f>IF(A193="","",IF(I193&gt;=80,"P1 — первая версия",IF(I193&gt;=60,"P2 — следующий выпуск",IF(I193&gt;=40,"P3 — можно отложить","Не включать"))))</x:f>
      </x:c>
      <x:c r="K193" s="27" t="str"/>
      <x:c r="L193" s="27" t="str"/>
      <x:c r="M193" s="27"/>
      <x:c r="N193" s="27"/>
      <x:c r="O193" s="27"/>
      <x:c r="P193" s="27"/>
      <x:c r="Q193" s="27"/>
      <x:c r="R193" s="27"/>
      <x:c r="S193" s="27"/>
      <x:c r="T193" s="27"/>
      <x:c r="U193" s="27"/>
    </x:row>
    <x:row r="194">
      <x:c r="A194" s="27" t="str"/>
      <x:c r="B194" s="27" t="str"/>
      <x:c r="C194" s="27" t="str"/>
      <x:c r="D194" s="27" t="str"/>
      <x:c r="E194" s="27" t="str"/>
      <x:c r="F194" s="27" t="str"/>
      <x:c r="G194" s="27" t="str"/>
      <x:c r="H194" s="27" t="str"/>
      <x:c r="I194" s="27" t="str">
        <x:f>IF(A194="","",MAX(0,MIN(100,ROUND(((D194*0.30)+(E194*0.30)+(F194*0.15)+(G194*0.15)-(H194*0.10))*20,0))))</x:f>
      </x:c>
      <x:c r="J194" s="27" t="str">
        <x:f>IF(A194="","",IF(I194&gt;=80,"P1 — первая версия",IF(I194&gt;=60,"P2 — следующий выпуск",IF(I194&gt;=40,"P3 — можно отложить","Не включать"))))</x:f>
      </x:c>
      <x:c r="K194" s="27" t="str"/>
      <x:c r="L194" s="27" t="str"/>
      <x:c r="M194" s="27"/>
      <x:c r="N194" s="27"/>
      <x:c r="O194" s="27"/>
      <x:c r="P194" s="27"/>
      <x:c r="Q194" s="27"/>
      <x:c r="R194" s="27"/>
      <x:c r="S194" s="27"/>
      <x:c r="T194" s="27"/>
      <x:c r="U194" s="27"/>
    </x:row>
    <x:row r="195">
      <x:c r="A195" s="27" t="str"/>
      <x:c r="B195" s="27" t="str"/>
      <x:c r="C195" s="27" t="str"/>
      <x:c r="D195" s="27" t="str"/>
      <x:c r="E195" s="27" t="str"/>
      <x:c r="F195" s="27" t="str"/>
      <x:c r="G195" s="27" t="str"/>
      <x:c r="H195" s="27" t="str"/>
      <x:c r="I195" s="27" t="str">
        <x:f>IF(A195="","",MAX(0,MIN(100,ROUND(((D195*0.30)+(E195*0.30)+(F195*0.15)+(G195*0.15)-(H195*0.10))*20,0))))</x:f>
      </x:c>
      <x:c r="J195" s="27" t="str">
        <x:f>IF(A195="","",IF(I195&gt;=80,"P1 — первая версия",IF(I195&gt;=60,"P2 — следующий выпуск",IF(I195&gt;=40,"P3 — можно отложить","Не включать"))))</x:f>
      </x:c>
      <x:c r="K195" s="27" t="str"/>
      <x:c r="L195" s="27" t="str"/>
      <x:c r="M195" s="27"/>
      <x:c r="N195" s="27"/>
      <x:c r="O195" s="27"/>
      <x:c r="P195" s="27"/>
      <x:c r="Q195" s="27"/>
      <x:c r="R195" s="27"/>
      <x:c r="S195" s="27"/>
      <x:c r="T195" s="27"/>
      <x:c r="U195" s="27"/>
    </x:row>
    <x:row r="196">
      <x:c r="A196" s="27" t="str"/>
      <x:c r="B196" s="27" t="str"/>
      <x:c r="C196" s="27" t="str"/>
      <x:c r="D196" s="27" t="str"/>
      <x:c r="E196" s="27" t="str"/>
      <x:c r="F196" s="27" t="str"/>
      <x:c r="G196" s="27" t="str"/>
      <x:c r="H196" s="27" t="str"/>
      <x:c r="I196" s="27" t="str">
        <x:f>IF(A196="","",MAX(0,MIN(100,ROUND(((D196*0.30)+(E196*0.30)+(F196*0.15)+(G196*0.15)-(H196*0.10))*20,0))))</x:f>
      </x:c>
      <x:c r="J196" s="27" t="str">
        <x:f>IF(A196="","",IF(I196&gt;=80,"P1 — первая версия",IF(I196&gt;=60,"P2 — следующий выпуск",IF(I196&gt;=40,"P3 — можно отложить","Не включать"))))</x:f>
      </x:c>
      <x:c r="K196" s="27" t="str"/>
      <x:c r="L196" s="27" t="str"/>
      <x:c r="M196" s="27"/>
      <x:c r="N196" s="27"/>
      <x:c r="O196" s="27"/>
      <x:c r="P196" s="27"/>
      <x:c r="Q196" s="27"/>
      <x:c r="R196" s="27"/>
      <x:c r="S196" s="27"/>
      <x:c r="T196" s="27"/>
      <x:c r="U196" s="27"/>
    </x:row>
    <x:row r="197">
      <x:c r="A197" s="27" t="str"/>
      <x:c r="B197" s="27" t="str"/>
      <x:c r="C197" s="27" t="str"/>
      <x:c r="D197" s="27" t="str"/>
      <x:c r="E197" s="27" t="str"/>
      <x:c r="F197" s="27" t="str"/>
      <x:c r="G197" s="27" t="str"/>
      <x:c r="H197" s="27" t="str"/>
      <x:c r="I197" s="27" t="str">
        <x:f>IF(A197="","",MAX(0,MIN(100,ROUND(((D197*0.30)+(E197*0.30)+(F197*0.15)+(G197*0.15)-(H197*0.10))*20,0))))</x:f>
      </x:c>
      <x:c r="J197" s="27" t="str">
        <x:f>IF(A197="","",IF(I197&gt;=80,"P1 — первая версия",IF(I197&gt;=60,"P2 — следующий выпуск",IF(I197&gt;=40,"P3 — можно отложить","Не включать"))))</x:f>
      </x:c>
      <x:c r="K197" s="27" t="str"/>
      <x:c r="L197" s="27" t="str"/>
      <x:c r="M197" s="27"/>
      <x:c r="N197" s="27"/>
      <x:c r="O197" s="27"/>
      <x:c r="P197" s="27"/>
      <x:c r="Q197" s="27"/>
      <x:c r="R197" s="27"/>
      <x:c r="S197" s="27"/>
      <x:c r="T197" s="27"/>
      <x:c r="U197" s="27"/>
    </x:row>
    <x:row r="198">
      <x:c r="A198" s="27" t="str"/>
      <x:c r="B198" s="27" t="str"/>
      <x:c r="C198" s="27" t="str"/>
      <x:c r="D198" s="27" t="str"/>
      <x:c r="E198" s="27" t="str"/>
      <x:c r="F198" s="27" t="str"/>
      <x:c r="G198" s="27" t="str"/>
      <x:c r="H198" s="27" t="str"/>
      <x:c r="I198" s="27" t="str">
        <x:f>IF(A198="","",MAX(0,MIN(100,ROUND(((D198*0.30)+(E198*0.30)+(F198*0.15)+(G198*0.15)-(H198*0.10))*20,0))))</x:f>
      </x:c>
      <x:c r="J198" s="27" t="str">
        <x:f>IF(A198="","",IF(I198&gt;=80,"P1 — первая версия",IF(I198&gt;=60,"P2 — следующий выпуск",IF(I198&gt;=40,"P3 — можно отложить","Не включать"))))</x:f>
      </x:c>
      <x:c r="K198" s="27" t="str"/>
      <x:c r="L198" s="27" t="str"/>
      <x:c r="M198" s="27"/>
      <x:c r="N198" s="27"/>
      <x:c r="O198" s="27"/>
      <x:c r="P198" s="27"/>
      <x:c r="Q198" s="27"/>
      <x:c r="R198" s="27"/>
      <x:c r="S198" s="27"/>
      <x:c r="T198" s="27"/>
      <x:c r="U198" s="27"/>
    </x:row>
    <x:row r="199">
      <x:c r="A199" s="27" t="str"/>
      <x:c r="B199" s="27" t="str"/>
      <x:c r="C199" s="27" t="str"/>
      <x:c r="D199" s="27" t="str"/>
      <x:c r="E199" s="27" t="str"/>
      <x:c r="F199" s="27" t="str"/>
      <x:c r="G199" s="27" t="str"/>
      <x:c r="H199" s="27" t="str"/>
      <x:c r="I199" s="27" t="str">
        <x:f>IF(A199="","",MAX(0,MIN(100,ROUND(((D199*0.30)+(E199*0.30)+(F199*0.15)+(G199*0.15)-(H199*0.10))*20,0))))</x:f>
      </x:c>
      <x:c r="J199" s="27" t="str">
        <x:f>IF(A199="","",IF(I199&gt;=80,"P1 — первая версия",IF(I199&gt;=60,"P2 — следующий выпуск",IF(I199&gt;=40,"P3 — можно отложить","Не включать"))))</x:f>
      </x:c>
      <x:c r="K199" s="27" t="str"/>
      <x:c r="L199" s="27" t="str"/>
      <x:c r="M199" s="27"/>
      <x:c r="N199" s="27"/>
      <x:c r="O199" s="27"/>
      <x:c r="P199" s="27"/>
      <x:c r="Q199" s="27"/>
      <x:c r="R199" s="27"/>
      <x:c r="S199" s="27"/>
      <x:c r="T199" s="27"/>
      <x:c r="U199" s="27"/>
    </x:row>
    <x:row r="200">
      <x:c r="A200" s="27" t="str"/>
      <x:c r="B200" s="27" t="str"/>
      <x:c r="C200" s="27" t="str"/>
      <x:c r="D200" s="27" t="str"/>
      <x:c r="E200" s="27" t="str"/>
      <x:c r="F200" s="27" t="str"/>
      <x:c r="G200" s="27" t="str"/>
      <x:c r="H200" s="27" t="str"/>
      <x:c r="I200" s="27" t="str">
        <x:f>IF(A200="","",MAX(0,MIN(100,ROUND(((D200*0.30)+(E200*0.30)+(F200*0.15)+(G200*0.15)-(H200*0.10))*20,0))))</x:f>
      </x:c>
      <x:c r="J200" s="27" t="str">
        <x:f>IF(A200="","",IF(I200&gt;=80,"P1 — первая версия",IF(I200&gt;=60,"P2 — следующий выпуск",IF(I200&gt;=40,"P3 — можно отложить","Не включать"))))</x:f>
      </x:c>
      <x:c r="K200" s="27" t="str"/>
      <x:c r="L200" s="27" t="str"/>
      <x:c r="M200" s="27"/>
      <x:c r="N200" s="27"/>
      <x:c r="O200" s="27"/>
      <x:c r="P200" s="27"/>
      <x:c r="Q200" s="27"/>
      <x:c r="R200" s="27"/>
      <x:c r="S200" s="27"/>
      <x:c r="T200" s="27"/>
      <x:c r="U200" s="27"/>
    </x:row>
    <x:row r="201">
      <x:c r="A201" s="27" t="str"/>
      <x:c r="B201" s="27" t="str"/>
      <x:c r="C201" s="27" t="str"/>
      <x:c r="D201" s="27" t="str"/>
      <x:c r="E201" s="27" t="str"/>
      <x:c r="F201" s="27" t="str"/>
      <x:c r="G201" s="27" t="str"/>
      <x:c r="H201" s="27" t="str"/>
      <x:c r="I201" s="27" t="str">
        <x:f>IF(A201="","",MAX(0,MIN(100,ROUND(((D201*0.30)+(E201*0.30)+(F201*0.15)+(G201*0.15)-(H201*0.10))*20,0))))</x:f>
      </x:c>
      <x:c r="J201" s="27" t="str">
        <x:f>IF(A201="","",IF(I201&gt;=80,"P1 — первая версия",IF(I201&gt;=60,"P2 — следующий выпуск",IF(I201&gt;=40,"P3 — можно отложить","Не включать"))))</x:f>
      </x:c>
      <x:c r="K201" s="27" t="str"/>
      <x:c r="L201" s="27" t="str"/>
      <x:c r="M201" s="27"/>
      <x:c r="N201" s="27"/>
      <x:c r="O201" s="27"/>
      <x:c r="P201" s="27"/>
      <x:c r="Q201" s="27"/>
      <x:c r="R201" s="27"/>
      <x:c r="S201" s="27"/>
      <x:c r="T201" s="27"/>
      <x:c r="U201" s="27"/>
    </x:row>
    <x:row r="202">
      <x:c r="A202" s="27" t="str"/>
      <x:c r="B202" s="27" t="str"/>
      <x:c r="C202" s="27" t="str"/>
      <x:c r="D202" s="27" t="str"/>
      <x:c r="E202" s="27" t="str"/>
      <x:c r="F202" s="27" t="str"/>
      <x:c r="G202" s="27" t="str"/>
      <x:c r="H202" s="27" t="str"/>
      <x:c r="I202" s="27" t="str">
        <x:f>IF(A202="","",MAX(0,MIN(100,ROUND(((D202*0.30)+(E202*0.30)+(F202*0.15)+(G202*0.15)-(H202*0.10))*20,0))))</x:f>
      </x:c>
      <x:c r="J202" s="27" t="str">
        <x:f>IF(A202="","",IF(I202&gt;=80,"P1 — первая версия",IF(I202&gt;=60,"P2 — следующий выпуск",IF(I202&gt;=40,"P3 — можно отложить","Не включать"))))</x:f>
      </x:c>
      <x:c r="K202" s="27" t="str"/>
      <x:c r="L202" s="27" t="str"/>
      <x:c r="M202" s="27"/>
      <x:c r="N202" s="27"/>
      <x:c r="O202" s="27"/>
      <x:c r="P202" s="27"/>
      <x:c r="Q202" s="27"/>
      <x:c r="R202" s="27"/>
      <x:c r="S202" s="27"/>
      <x:c r="T202" s="27"/>
      <x:c r="U202" s="27"/>
    </x:row>
    <x:row r="203">
      <x:c r="A203" s="27" t="str"/>
      <x:c r="B203" s="27" t="str"/>
      <x:c r="C203" s="27" t="str"/>
      <x:c r="D203" s="27" t="str"/>
      <x:c r="E203" s="27" t="str"/>
      <x:c r="F203" s="27" t="str"/>
      <x:c r="G203" s="27" t="str"/>
      <x:c r="H203" s="27" t="str"/>
      <x:c r="I203" s="27" t="str">
        <x:f>IF(A203="","",MAX(0,MIN(100,ROUND(((D203*0.30)+(E203*0.30)+(F203*0.15)+(G203*0.15)-(H203*0.10))*20,0))))</x:f>
      </x:c>
      <x:c r="J203" s="27" t="str">
        <x:f>IF(A203="","",IF(I203&gt;=80,"P1 — первая версия",IF(I203&gt;=60,"P2 — следующий выпуск",IF(I203&gt;=40,"P3 — можно отложить","Не включать"))))</x:f>
      </x:c>
      <x:c r="K203" s="27" t="str"/>
      <x:c r="L203" s="27" t="str"/>
      <x:c r="M203" s="27"/>
      <x:c r="N203" s="27"/>
      <x:c r="O203" s="27"/>
      <x:c r="P203" s="27"/>
      <x:c r="Q203" s="27"/>
      <x:c r="R203" s="27"/>
      <x:c r="S203" s="27"/>
      <x:c r="T203" s="27"/>
      <x:c r="U203" s="27"/>
    </x:row>
    <x:row r="204">
      <x:c r="A204" s="27" t="str"/>
      <x:c r="B204" s="27" t="str"/>
      <x:c r="C204" s="27" t="str"/>
      <x:c r="D204" s="27" t="str"/>
      <x:c r="E204" s="27" t="str"/>
      <x:c r="F204" s="27" t="str"/>
      <x:c r="G204" s="27" t="str"/>
      <x:c r="H204" s="27" t="str"/>
      <x:c r="I204" s="27" t="str">
        <x:f>IF(A204="","",MAX(0,MIN(100,ROUND(((D204*0.30)+(E204*0.30)+(F204*0.15)+(G204*0.15)-(H204*0.10))*20,0))))</x:f>
      </x:c>
      <x:c r="J204" s="27" t="str">
        <x:f>IF(A204="","",IF(I204&gt;=80,"P1 — первая версия",IF(I204&gt;=60,"P2 — следующий выпуск",IF(I204&gt;=40,"P3 — можно отложить","Не включать"))))</x:f>
      </x:c>
      <x:c r="K204" s="27" t="str"/>
      <x:c r="L204" s="27" t="str"/>
      <x:c r="M204" s="27"/>
      <x:c r="N204" s="27"/>
      <x:c r="O204" s="27"/>
      <x:c r="P204" s="27"/>
      <x:c r="Q204" s="27"/>
      <x:c r="R204" s="27"/>
      <x:c r="S204" s="27"/>
      <x:c r="T204" s="27"/>
      <x:c r="U204" s="27"/>
    </x:row>
    <x:row r="205">
      <x:c r="A205" s="27" t="str"/>
      <x:c r="B205" s="27" t="str"/>
      <x:c r="C205" s="27" t="str"/>
      <x:c r="D205" s="27" t="str"/>
      <x:c r="E205" s="27" t="str"/>
      <x:c r="F205" s="27" t="str"/>
      <x:c r="G205" s="27" t="str"/>
      <x:c r="H205" s="27" t="str"/>
      <x:c r="I205" s="27" t="str">
        <x:f>IF(A205="","",MAX(0,MIN(100,ROUND(((D205*0.30)+(E205*0.30)+(F205*0.15)+(G205*0.15)-(H205*0.10))*20,0))))</x:f>
      </x:c>
      <x:c r="J205" s="27" t="str">
        <x:f>IF(A205="","",IF(I205&gt;=80,"P1 — первая версия",IF(I205&gt;=60,"P2 — следующий выпуск",IF(I205&gt;=40,"P3 — можно отложить","Не включать"))))</x:f>
      </x:c>
      <x:c r="K205" s="27" t="str"/>
      <x:c r="L205" s="27" t="str"/>
      <x:c r="M205" s="27"/>
      <x:c r="N205" s="27"/>
      <x:c r="O205" s="27"/>
      <x:c r="P205" s="27"/>
      <x:c r="Q205" s="27"/>
      <x:c r="R205" s="27"/>
      <x:c r="S205" s="27"/>
      <x:c r="T205" s="27"/>
      <x:c r="U205" s="27"/>
    </x:row>
    <x:row r="206">
      <x:c r="A206" s="27" t="str"/>
      <x:c r="B206" s="27" t="str"/>
      <x:c r="C206" s="27" t="str"/>
      <x:c r="D206" s="27" t="str"/>
      <x:c r="E206" s="27" t="str"/>
      <x:c r="F206" s="27" t="str"/>
      <x:c r="G206" s="27" t="str"/>
      <x:c r="H206" s="27" t="str"/>
      <x:c r="I206" s="27" t="str">
        <x:f>IF(A206="","",MAX(0,MIN(100,ROUND(((D206*0.30)+(E206*0.30)+(F206*0.15)+(G206*0.15)-(H206*0.10))*20,0))))</x:f>
      </x:c>
      <x:c r="J206" s="27" t="str">
        <x:f>IF(A206="","",IF(I206&gt;=80,"P1 — первая версия",IF(I206&gt;=60,"P2 — следующий выпуск",IF(I206&gt;=40,"P3 — можно отложить","Не включать"))))</x:f>
      </x:c>
      <x:c r="K206" s="27" t="str"/>
      <x:c r="L206" s="27" t="str"/>
      <x:c r="M206" s="27"/>
      <x:c r="N206" s="27"/>
      <x:c r="O206" s="27"/>
      <x:c r="P206" s="27"/>
      <x:c r="Q206" s="27"/>
      <x:c r="R206" s="27"/>
      <x:c r="S206" s="27"/>
      <x:c r="T206" s="27"/>
      <x:c r="U206" s="27"/>
    </x:row>
    <x:row r="207">
      <x:c r="A207" s="27" t="str"/>
      <x:c r="B207" s="27" t="str"/>
      <x:c r="C207" s="27" t="str"/>
      <x:c r="D207" s="27" t="str"/>
      <x:c r="E207" s="27" t="str"/>
      <x:c r="F207" s="27" t="str"/>
      <x:c r="G207" s="27" t="str"/>
      <x:c r="H207" s="27" t="str"/>
      <x:c r="I207" s="27" t="str">
        <x:f>IF(A207="","",MAX(0,MIN(100,ROUND(((D207*0.30)+(E207*0.30)+(F207*0.15)+(G207*0.15)-(H207*0.10))*20,0))))</x:f>
      </x:c>
      <x:c r="J207" s="27" t="str">
        <x:f>IF(A207="","",IF(I207&gt;=80,"P1 — первая версия",IF(I207&gt;=60,"P2 — следующий выпуск",IF(I207&gt;=40,"P3 — можно отложить","Не включать"))))</x:f>
      </x:c>
      <x:c r="K207" s="27" t="str"/>
      <x:c r="L207" s="27" t="str"/>
      <x:c r="M207" s="27"/>
      <x:c r="N207" s="27"/>
      <x:c r="O207" s="27"/>
      <x:c r="P207" s="27"/>
      <x:c r="Q207" s="27"/>
      <x:c r="R207" s="27"/>
      <x:c r="S207" s="27"/>
      <x:c r="T207" s="27"/>
      <x:c r="U207" s="27"/>
    </x:row>
    <x:row r="208">
      <x:c r="A208" s="27" t="str"/>
      <x:c r="B208" s="27" t="str"/>
      <x:c r="C208" s="27" t="str"/>
      <x:c r="D208" s="27" t="str"/>
      <x:c r="E208" s="27" t="str"/>
      <x:c r="F208" s="27" t="str"/>
      <x:c r="G208" s="27" t="str"/>
      <x:c r="H208" s="27" t="str"/>
      <x:c r="I208" s="27" t="str">
        <x:f>IF(A208="","",MAX(0,MIN(100,ROUND(((D208*0.30)+(E208*0.30)+(F208*0.15)+(G208*0.15)-(H208*0.10))*20,0))))</x:f>
      </x:c>
      <x:c r="J208" s="27" t="str">
        <x:f>IF(A208="","",IF(I208&gt;=80,"P1 — первая версия",IF(I208&gt;=60,"P2 — следующий выпуск",IF(I208&gt;=40,"P3 — можно отложить","Не включать"))))</x:f>
      </x:c>
      <x:c r="K208" s="27" t="str"/>
      <x:c r="L208" s="27" t="str"/>
      <x:c r="M208" s="27"/>
      <x:c r="N208" s="27"/>
      <x:c r="O208" s="27"/>
      <x:c r="P208" s="27"/>
      <x:c r="Q208" s="27"/>
      <x:c r="R208" s="27"/>
      <x:c r="S208" s="27"/>
      <x:c r="T208" s="27"/>
      <x:c r="U208" s="27"/>
    </x:row>
    <x:row r="209">
      <x:c r="A209" s="27" t="str"/>
      <x:c r="B209" s="27" t="str"/>
      <x:c r="C209" s="27" t="str"/>
      <x:c r="D209" s="27" t="str"/>
      <x:c r="E209" s="27" t="str"/>
      <x:c r="F209" s="27" t="str"/>
      <x:c r="G209" s="27" t="str"/>
      <x:c r="H209" s="27" t="str"/>
      <x:c r="I209" s="27" t="str">
        <x:f>IF(A209="","",MAX(0,MIN(100,ROUND(((D209*0.30)+(E209*0.30)+(F209*0.15)+(G209*0.15)-(H209*0.10))*20,0))))</x:f>
      </x:c>
      <x:c r="J209" s="27" t="str">
        <x:f>IF(A209="","",IF(I209&gt;=80,"P1 — первая версия",IF(I209&gt;=60,"P2 — следующий выпуск",IF(I209&gt;=40,"P3 — можно отложить","Не включать"))))</x:f>
      </x:c>
      <x:c r="K209" s="27" t="str"/>
      <x:c r="L209" s="27" t="str"/>
      <x:c r="M209" s="27"/>
      <x:c r="N209" s="27"/>
      <x:c r="O209" s="27"/>
      <x:c r="P209" s="27"/>
      <x:c r="Q209" s="27"/>
      <x:c r="R209" s="27"/>
      <x:c r="S209" s="27"/>
      <x:c r="T209" s="27"/>
      <x:c r="U209" s="27"/>
    </x:row>
    <x:row r="210">
      <x:c r="A210" s="27" t="str"/>
      <x:c r="B210" s="27" t="str"/>
      <x:c r="C210" s="27" t="str"/>
      <x:c r="D210" s="27" t="str"/>
      <x:c r="E210" s="27" t="str"/>
      <x:c r="F210" s="27" t="str"/>
      <x:c r="G210" s="27" t="str"/>
      <x:c r="H210" s="27" t="str"/>
      <x:c r="I210" s="27" t="str">
        <x:f>IF(A210="","",MAX(0,MIN(100,ROUND(((D210*0.30)+(E210*0.30)+(F210*0.15)+(G210*0.15)-(H210*0.10))*20,0))))</x:f>
      </x:c>
      <x:c r="J210" s="27" t="str">
        <x:f>IF(A210="","",IF(I210&gt;=80,"P1 — первая версия",IF(I210&gt;=60,"P2 — следующий выпуск",IF(I210&gt;=40,"P3 — можно отложить","Не включать"))))</x:f>
      </x:c>
      <x:c r="K210" s="27" t="str"/>
      <x:c r="L210" s="27" t="str"/>
      <x:c r="M210" s="27"/>
      <x:c r="N210" s="27"/>
      <x:c r="O210" s="27"/>
      <x:c r="P210" s="27"/>
      <x:c r="Q210" s="27"/>
      <x:c r="R210" s="27"/>
      <x:c r="S210" s="27"/>
      <x:c r="T210" s="27"/>
      <x:c r="U210" s="27"/>
    </x:row>
    <x:row r="211">
      <x:c r="A211" s="27" t="str"/>
      <x:c r="B211" s="27" t="str"/>
      <x:c r="C211" s="27" t="str"/>
      <x:c r="D211" s="27" t="str"/>
      <x:c r="E211" s="27" t="str"/>
      <x:c r="F211" s="27" t="str"/>
      <x:c r="G211" s="27" t="str"/>
      <x:c r="H211" s="27" t="str"/>
      <x:c r="I211" s="27" t="str">
        <x:f>IF(A211="","",MAX(0,MIN(100,ROUND(((D211*0.30)+(E211*0.30)+(F211*0.15)+(G211*0.15)-(H211*0.10))*20,0))))</x:f>
      </x:c>
      <x:c r="J211" s="27" t="str">
        <x:f>IF(A211="","",IF(I211&gt;=80,"P1 — первая версия",IF(I211&gt;=60,"P2 — следующий выпуск",IF(I211&gt;=40,"P3 — можно отложить","Не включать"))))</x:f>
      </x:c>
      <x:c r="K211" s="27" t="str"/>
      <x:c r="L211" s="27" t="str"/>
      <x:c r="M211" s="27"/>
      <x:c r="N211" s="27"/>
      <x:c r="O211" s="27"/>
      <x:c r="P211" s="27"/>
      <x:c r="Q211" s="27"/>
      <x:c r="R211" s="27"/>
      <x:c r="S211" s="27"/>
      <x:c r="T211" s="27"/>
      <x:c r="U211" s="27"/>
    </x:row>
    <x:row r="212">
      <x:c r="A212" s="27" t="str"/>
      <x:c r="B212" s="27" t="str"/>
      <x:c r="C212" s="27" t="str"/>
      <x:c r="D212" s="27" t="str"/>
      <x:c r="E212" s="27" t="str"/>
      <x:c r="F212" s="27" t="str"/>
      <x:c r="G212" s="27" t="str"/>
      <x:c r="H212" s="27" t="str"/>
      <x:c r="I212" s="27" t="str">
        <x:f>IF(A212="","",MAX(0,MIN(100,ROUND(((D212*0.30)+(E212*0.30)+(F212*0.15)+(G212*0.15)-(H212*0.10))*20,0))))</x:f>
      </x:c>
      <x:c r="J212" s="27" t="str">
        <x:f>IF(A212="","",IF(I212&gt;=80,"P1 — первая версия",IF(I212&gt;=60,"P2 — следующий выпуск",IF(I212&gt;=40,"P3 — можно отложить","Не включать"))))</x:f>
      </x:c>
      <x:c r="K212" s="27" t="str"/>
      <x:c r="L212" s="27" t="str"/>
      <x:c r="M212" s="27"/>
      <x:c r="N212" s="27"/>
      <x:c r="O212" s="27"/>
      <x:c r="P212" s="27"/>
      <x:c r="Q212" s="27"/>
      <x:c r="R212" s="27"/>
      <x:c r="S212" s="27"/>
      <x:c r="T212" s="27"/>
      <x:c r="U212" s="27"/>
    </x:row>
    <x:row r="213">
      <x:c r="A213" s="27" t="str"/>
      <x:c r="B213" s="27" t="str"/>
      <x:c r="C213" s="27" t="str"/>
      <x:c r="D213" s="27" t="str"/>
      <x:c r="E213" s="27" t="str"/>
      <x:c r="F213" s="27" t="str"/>
      <x:c r="G213" s="27" t="str"/>
      <x:c r="H213" s="27" t="str"/>
      <x:c r="I213" s="27" t="str">
        <x:f>IF(A213="","",MAX(0,MIN(100,ROUND(((D213*0.30)+(E213*0.30)+(F213*0.15)+(G213*0.15)-(H213*0.10))*20,0))))</x:f>
      </x:c>
      <x:c r="J213" s="27" t="str">
        <x:f>IF(A213="","",IF(I213&gt;=80,"P1 — первая версия",IF(I213&gt;=60,"P2 — следующий выпуск",IF(I213&gt;=40,"P3 — можно отложить","Не включать"))))</x:f>
      </x:c>
      <x:c r="K213" s="27" t="str"/>
      <x:c r="L213" s="27" t="str"/>
      <x:c r="M213" s="27"/>
      <x:c r="N213" s="27"/>
      <x:c r="O213" s="27"/>
      <x:c r="P213" s="27"/>
      <x:c r="Q213" s="27"/>
      <x:c r="R213" s="27"/>
      <x:c r="S213" s="27"/>
      <x:c r="T213" s="27"/>
      <x:c r="U213" s="27"/>
    </x:row>
    <x:row r="214">
      <x:c r="A214" s="27" t="str"/>
      <x:c r="B214" s="27" t="str"/>
      <x:c r="C214" s="27" t="str"/>
      <x:c r="D214" s="27" t="str"/>
      <x:c r="E214" s="27" t="str"/>
      <x:c r="F214" s="27" t="str"/>
      <x:c r="G214" s="27" t="str"/>
      <x:c r="H214" s="27" t="str"/>
      <x:c r="I214" s="27" t="str">
        <x:f>IF(A214="","",MAX(0,MIN(100,ROUND(((D214*0.30)+(E214*0.30)+(F214*0.15)+(G214*0.15)-(H214*0.10))*20,0))))</x:f>
      </x:c>
      <x:c r="J214" s="27" t="str">
        <x:f>IF(A214="","",IF(I214&gt;=80,"P1 — первая версия",IF(I214&gt;=60,"P2 — следующий выпуск",IF(I214&gt;=40,"P3 — можно отложить","Не включать"))))</x:f>
      </x:c>
      <x:c r="K214" s="27" t="str"/>
      <x:c r="L214" s="27" t="str"/>
      <x:c r="M214" s="27"/>
      <x:c r="N214" s="27"/>
      <x:c r="O214" s="27"/>
      <x:c r="P214" s="27"/>
      <x:c r="Q214" s="27"/>
      <x:c r="R214" s="27"/>
      <x:c r="S214" s="27"/>
      <x:c r="T214" s="27"/>
      <x:c r="U214" s="27"/>
    </x:row>
    <x:row r="215">
      <x:c r="A215" s="27" t="str"/>
      <x:c r="B215" s="27" t="str"/>
      <x:c r="C215" s="27" t="str"/>
      <x:c r="D215" s="27" t="str"/>
      <x:c r="E215" s="27" t="str"/>
      <x:c r="F215" s="27" t="str"/>
      <x:c r="G215" s="27" t="str"/>
      <x:c r="H215" s="27" t="str"/>
      <x:c r="I215" s="27" t="str">
        <x:f>IF(A215="","",MAX(0,MIN(100,ROUND(((D215*0.30)+(E215*0.30)+(F215*0.15)+(G215*0.15)-(H215*0.10))*20,0))))</x:f>
      </x:c>
      <x:c r="J215" s="27" t="str">
        <x:f>IF(A215="","",IF(I215&gt;=80,"P1 — первая версия",IF(I215&gt;=60,"P2 — следующий выпуск",IF(I215&gt;=40,"P3 — можно отложить","Не включать"))))</x:f>
      </x:c>
      <x:c r="K215" s="27" t="str"/>
      <x:c r="L215" s="27" t="str"/>
      <x:c r="M215" s="27"/>
      <x:c r="N215" s="27"/>
      <x:c r="O215" s="27"/>
      <x:c r="P215" s="27"/>
      <x:c r="Q215" s="27"/>
      <x:c r="R215" s="27"/>
      <x:c r="S215" s="27"/>
      <x:c r="T215" s="27"/>
      <x:c r="U215" s="27"/>
    </x:row>
    <x:row r="216">
      <x:c r="A216" s="27" t="str"/>
      <x:c r="B216" s="27" t="str"/>
      <x:c r="C216" s="27" t="str"/>
      <x:c r="D216" s="27" t="str"/>
      <x:c r="E216" s="27" t="str"/>
      <x:c r="F216" s="27" t="str"/>
      <x:c r="G216" s="27" t="str"/>
      <x:c r="H216" s="27" t="str"/>
      <x:c r="I216" s="27" t="str">
        <x:f>IF(A216="","",MAX(0,MIN(100,ROUND(((D216*0.30)+(E216*0.30)+(F216*0.15)+(G216*0.15)-(H216*0.10))*20,0))))</x:f>
      </x:c>
      <x:c r="J216" s="27" t="str">
        <x:f>IF(A216="","",IF(I216&gt;=80,"P1 — первая версия",IF(I216&gt;=60,"P2 — следующий выпуск",IF(I216&gt;=40,"P3 — можно отложить","Не включать"))))</x:f>
      </x:c>
      <x:c r="K216" s="27" t="str"/>
      <x:c r="L216" s="27" t="str"/>
      <x:c r="M216" s="27"/>
      <x:c r="N216" s="27"/>
      <x:c r="O216" s="27"/>
      <x:c r="P216" s="27"/>
      <x:c r="Q216" s="27"/>
      <x:c r="R216" s="27"/>
      <x:c r="S216" s="27"/>
      <x:c r="T216" s="27"/>
      <x:c r="U216" s="27"/>
    </x:row>
    <x:row r="217">
      <x:c r="A217" s="27" t="str"/>
      <x:c r="B217" s="27" t="str"/>
      <x:c r="C217" s="27" t="str"/>
      <x:c r="D217" s="27" t="str"/>
      <x:c r="E217" s="27" t="str"/>
      <x:c r="F217" s="27" t="str"/>
      <x:c r="G217" s="27" t="str"/>
      <x:c r="H217" s="27" t="str"/>
      <x:c r="I217" s="27" t="str">
        <x:f>IF(A217="","",MAX(0,MIN(100,ROUND(((D217*0.30)+(E217*0.30)+(F217*0.15)+(G217*0.15)-(H217*0.10))*20,0))))</x:f>
      </x:c>
      <x:c r="J217" s="27" t="str">
        <x:f>IF(A217="","",IF(I217&gt;=80,"P1 — первая версия",IF(I217&gt;=60,"P2 — следующий выпуск",IF(I217&gt;=40,"P3 — можно отложить","Не включать"))))</x:f>
      </x:c>
      <x:c r="K217" s="27" t="str"/>
      <x:c r="L217" s="27" t="str"/>
      <x:c r="M217" s="27"/>
      <x:c r="N217" s="27"/>
      <x:c r="O217" s="27"/>
      <x:c r="P217" s="27"/>
      <x:c r="Q217" s="27"/>
      <x:c r="R217" s="27"/>
      <x:c r="S217" s="27"/>
      <x:c r="T217" s="27"/>
      <x:c r="U217" s="27"/>
    </x:row>
    <x:row r="218">
      <x:c r="A218" s="27" t="str"/>
      <x:c r="B218" s="27" t="str"/>
      <x:c r="C218" s="27" t="str"/>
      <x:c r="D218" s="27" t="str"/>
      <x:c r="E218" s="27" t="str"/>
      <x:c r="F218" s="27" t="str"/>
      <x:c r="G218" s="27" t="str"/>
      <x:c r="H218" s="27" t="str"/>
      <x:c r="I218" s="27" t="str">
        <x:f>IF(A218="","",MAX(0,MIN(100,ROUND(((D218*0.30)+(E218*0.30)+(F218*0.15)+(G218*0.15)-(H218*0.10))*20,0))))</x:f>
      </x:c>
      <x:c r="J218" s="27" t="str">
        <x:f>IF(A218="","",IF(I218&gt;=80,"P1 — первая версия",IF(I218&gt;=60,"P2 — следующий выпуск",IF(I218&gt;=40,"P3 — можно отложить","Не включать"))))</x:f>
      </x:c>
      <x:c r="K218" s="27" t="str"/>
      <x:c r="L218" s="27" t="str"/>
      <x:c r="M218" s="27"/>
      <x:c r="N218" s="27"/>
      <x:c r="O218" s="27"/>
      <x:c r="P218" s="27"/>
      <x:c r="Q218" s="27"/>
      <x:c r="R218" s="27"/>
      <x:c r="S218" s="27"/>
      <x:c r="T218" s="27"/>
      <x:c r="U218" s="27"/>
    </x:row>
    <x:row r="219">
      <x:c r="A219" s="27" t="str"/>
      <x:c r="B219" s="27" t="str"/>
      <x:c r="C219" s="27" t="str"/>
      <x:c r="D219" s="27" t="str"/>
      <x:c r="E219" s="27" t="str"/>
      <x:c r="F219" s="27" t="str"/>
      <x:c r="G219" s="27" t="str"/>
      <x:c r="H219" s="27" t="str"/>
      <x:c r="I219" s="27" t="str">
        <x:f>IF(A219="","",MAX(0,MIN(100,ROUND(((D219*0.30)+(E219*0.30)+(F219*0.15)+(G219*0.15)-(H219*0.10))*20,0))))</x:f>
      </x:c>
      <x:c r="J219" s="27" t="str">
        <x:f>IF(A219="","",IF(I219&gt;=80,"P1 — первая версия",IF(I219&gt;=60,"P2 — следующий выпуск",IF(I219&gt;=40,"P3 — можно отложить","Не включать"))))</x:f>
      </x:c>
      <x:c r="K219" s="27" t="str"/>
      <x:c r="L219" s="27" t="str"/>
      <x:c r="M219" s="27"/>
      <x:c r="N219" s="27"/>
      <x:c r="O219" s="27"/>
      <x:c r="P219" s="27"/>
      <x:c r="Q219" s="27"/>
      <x:c r="R219" s="27"/>
      <x:c r="S219" s="27"/>
      <x:c r="T219" s="27"/>
      <x:c r="U219" s="27"/>
    </x:row>
    <x:row r="220">
      <x:c r="A220" s="27" t="str"/>
      <x:c r="B220" s="27" t="str"/>
      <x:c r="C220" s="27" t="str"/>
      <x:c r="D220" s="27" t="str"/>
      <x:c r="E220" s="27" t="str"/>
      <x:c r="F220" s="27" t="str"/>
      <x:c r="G220" s="27" t="str"/>
      <x:c r="H220" s="27" t="str"/>
      <x:c r="I220" s="27" t="str">
        <x:f>IF(A220="","",MAX(0,MIN(100,ROUND(((D220*0.30)+(E220*0.30)+(F220*0.15)+(G220*0.15)-(H220*0.10))*20,0))))</x:f>
      </x:c>
      <x:c r="J220" s="27" t="str">
        <x:f>IF(A220="","",IF(I220&gt;=80,"P1 — первая версия",IF(I220&gt;=60,"P2 — следующий выпуск",IF(I220&gt;=40,"P3 — можно отложить","Не включать"))))</x:f>
      </x:c>
      <x:c r="K220" s="27" t="str"/>
      <x:c r="L220" s="27" t="str"/>
      <x:c r="M220" s="27"/>
      <x:c r="N220" s="27"/>
      <x:c r="O220" s="27"/>
      <x:c r="P220" s="27"/>
      <x:c r="Q220" s="27"/>
      <x:c r="R220" s="27"/>
      <x:c r="S220" s="27"/>
      <x:c r="T220" s="27"/>
      <x:c r="U220" s="27"/>
    </x:row>
    <x:row r="221">
      <x:c r="A221" s="27" t="str"/>
      <x:c r="B221" s="27" t="str"/>
      <x:c r="C221" s="27" t="str"/>
      <x:c r="D221" s="27" t="str"/>
      <x:c r="E221" s="27" t="str"/>
      <x:c r="F221" s="27" t="str"/>
      <x:c r="G221" s="27" t="str"/>
      <x:c r="H221" s="27" t="str"/>
      <x:c r="I221" s="27" t="str">
        <x:f>IF(A221="","",MAX(0,MIN(100,ROUND(((D221*0.30)+(E221*0.30)+(F221*0.15)+(G221*0.15)-(H221*0.10))*20,0))))</x:f>
      </x:c>
      <x:c r="J221" s="27" t="str">
        <x:f>IF(A221="","",IF(I221&gt;=80,"P1 — первая версия",IF(I221&gt;=60,"P2 — следующий выпуск",IF(I221&gt;=40,"P3 — можно отложить","Не включать"))))</x:f>
      </x:c>
      <x:c r="K221" s="27" t="str"/>
      <x:c r="L221" s="27" t="str"/>
      <x:c r="M221" s="27"/>
      <x:c r="N221" s="27"/>
      <x:c r="O221" s="27"/>
      <x:c r="P221" s="27"/>
      <x:c r="Q221" s="27"/>
      <x:c r="R221" s="27"/>
      <x:c r="S221" s="27"/>
      <x:c r="T221" s="27"/>
      <x:c r="U221" s="27"/>
    </x:row>
    <x:row r="222">
      <x:c r="A222" s="27" t="str"/>
      <x:c r="B222" s="27" t="str"/>
      <x:c r="C222" s="27" t="str"/>
      <x:c r="D222" s="27" t="str"/>
      <x:c r="E222" s="27" t="str"/>
      <x:c r="F222" s="27" t="str"/>
      <x:c r="G222" s="27" t="str"/>
      <x:c r="H222" s="27" t="str"/>
      <x:c r="I222" s="27" t="str">
        <x:f>IF(A222="","",MAX(0,MIN(100,ROUND(((D222*0.30)+(E222*0.30)+(F222*0.15)+(G222*0.15)-(H222*0.10))*20,0))))</x:f>
      </x:c>
      <x:c r="J222" s="27" t="str">
        <x:f>IF(A222="","",IF(I222&gt;=80,"P1 — первая версия",IF(I222&gt;=60,"P2 — следующий выпуск",IF(I222&gt;=40,"P3 — можно отложить","Не включать"))))</x:f>
      </x:c>
      <x:c r="K222" s="27" t="str"/>
      <x:c r="L222" s="27" t="str"/>
      <x:c r="M222" s="27"/>
      <x:c r="N222" s="27"/>
      <x:c r="O222" s="27"/>
      <x:c r="P222" s="27"/>
      <x:c r="Q222" s="27"/>
      <x:c r="R222" s="27"/>
      <x:c r="S222" s="27"/>
      <x:c r="T222" s="27"/>
      <x:c r="U222" s="27"/>
    </x:row>
    <x:row r="223">
      <x:c r="A223" s="27" t="str"/>
      <x:c r="B223" s="27" t="str"/>
      <x:c r="C223" s="27" t="str"/>
      <x:c r="D223" s="27" t="str"/>
      <x:c r="E223" s="27" t="str"/>
      <x:c r="F223" s="27" t="str"/>
      <x:c r="G223" s="27" t="str"/>
      <x:c r="H223" s="27" t="str"/>
      <x:c r="I223" s="27" t="str">
        <x:f>IF(A223="","",MAX(0,MIN(100,ROUND(((D223*0.30)+(E223*0.30)+(F223*0.15)+(G223*0.15)-(H223*0.10))*20,0))))</x:f>
      </x:c>
      <x:c r="J223" s="27" t="str">
        <x:f>IF(A223="","",IF(I223&gt;=80,"P1 — первая версия",IF(I223&gt;=60,"P2 — следующий выпуск",IF(I223&gt;=40,"P3 — можно отложить","Не включать"))))</x:f>
      </x:c>
      <x:c r="K223" s="27" t="str"/>
      <x:c r="L223" s="27" t="str"/>
      <x:c r="M223" s="27"/>
      <x:c r="N223" s="27"/>
      <x:c r="O223" s="27"/>
      <x:c r="P223" s="27"/>
      <x:c r="Q223" s="27"/>
      <x:c r="R223" s="27"/>
      <x:c r="S223" s="27"/>
      <x:c r="T223" s="27"/>
      <x:c r="U223" s="27"/>
    </x:row>
    <x:row r="224">
      <x:c r="A224" s="27" t="str"/>
      <x:c r="B224" s="27" t="str"/>
      <x:c r="C224" s="27" t="str"/>
      <x:c r="D224" s="27" t="str"/>
      <x:c r="E224" s="27" t="str"/>
      <x:c r="F224" s="27" t="str"/>
      <x:c r="G224" s="27" t="str"/>
      <x:c r="H224" s="27" t="str"/>
      <x:c r="I224" s="27" t="str">
        <x:f>IF(A224="","",MAX(0,MIN(100,ROUND(((D224*0.30)+(E224*0.30)+(F224*0.15)+(G224*0.15)-(H224*0.10))*20,0))))</x:f>
      </x:c>
      <x:c r="J224" s="27" t="str">
        <x:f>IF(A224="","",IF(I224&gt;=80,"P1 — первая версия",IF(I224&gt;=60,"P2 — следующий выпуск",IF(I224&gt;=40,"P3 — можно отложить","Не включать"))))</x:f>
      </x:c>
      <x:c r="K224" s="27" t="str"/>
      <x:c r="L224" s="27" t="str"/>
      <x:c r="M224" s="27"/>
      <x:c r="N224" s="27"/>
      <x:c r="O224" s="27"/>
      <x:c r="P224" s="27"/>
      <x:c r="Q224" s="27"/>
      <x:c r="R224" s="27"/>
      <x:c r="S224" s="27"/>
      <x:c r="T224" s="27"/>
      <x:c r="U224" s="27"/>
    </x:row>
    <x:row r="225">
      <x:c r="A225" s="27" t="str"/>
      <x:c r="B225" s="27" t="str"/>
      <x:c r="C225" s="27" t="str"/>
      <x:c r="D225" s="27" t="str"/>
      <x:c r="E225" s="27" t="str"/>
      <x:c r="F225" s="27" t="str"/>
      <x:c r="G225" s="27" t="str"/>
      <x:c r="H225" s="27" t="str"/>
      <x:c r="I225" s="27" t="str">
        <x:f>IF(A225="","",MAX(0,MIN(100,ROUND(((D225*0.30)+(E225*0.30)+(F225*0.15)+(G225*0.15)-(H225*0.10))*20,0))))</x:f>
      </x:c>
      <x:c r="J225" s="27" t="str">
        <x:f>IF(A225="","",IF(I225&gt;=80,"P1 — первая версия",IF(I225&gt;=60,"P2 — следующий выпуск",IF(I225&gt;=40,"P3 — можно отложить","Не включать"))))</x:f>
      </x:c>
      <x:c r="K225" s="27" t="str"/>
      <x:c r="L225" s="27" t="str"/>
      <x:c r="M225" s="27"/>
      <x:c r="N225" s="27"/>
      <x:c r="O225" s="27"/>
      <x:c r="P225" s="27"/>
      <x:c r="Q225" s="27"/>
      <x:c r="R225" s="27"/>
      <x:c r="S225" s="27"/>
      <x:c r="T225" s="27"/>
      <x:c r="U225" s="27"/>
    </x:row>
    <x:row r="226">
      <x:c r="A226" s="27" t="str"/>
      <x:c r="B226" s="27" t="str"/>
      <x:c r="C226" s="27" t="str"/>
      <x:c r="D226" s="27" t="str"/>
      <x:c r="E226" s="27" t="str"/>
      <x:c r="F226" s="27" t="str"/>
      <x:c r="G226" s="27" t="str"/>
      <x:c r="H226" s="27" t="str"/>
      <x:c r="I226" s="27" t="str">
        <x:f>IF(A226="","",MAX(0,MIN(100,ROUND(((D226*0.30)+(E226*0.30)+(F226*0.15)+(G226*0.15)-(H226*0.10))*20,0))))</x:f>
      </x:c>
      <x:c r="J226" s="27" t="str">
        <x:f>IF(A226="","",IF(I226&gt;=80,"P1 — первая версия",IF(I226&gt;=60,"P2 — следующий выпуск",IF(I226&gt;=40,"P3 — можно отложить","Не включать"))))</x:f>
      </x:c>
      <x:c r="K226" s="27" t="str"/>
      <x:c r="L226" s="27" t="str"/>
      <x:c r="M226" s="27"/>
      <x:c r="N226" s="27"/>
      <x:c r="O226" s="27"/>
      <x:c r="P226" s="27"/>
      <x:c r="Q226" s="27"/>
      <x:c r="R226" s="27"/>
      <x:c r="S226" s="27"/>
      <x:c r="T226" s="27"/>
      <x:c r="U226" s="27"/>
    </x:row>
    <x:row r="227">
      <x:c r="A227" s="27" t="str"/>
      <x:c r="B227" s="27" t="str"/>
      <x:c r="C227" s="27" t="str"/>
      <x:c r="D227" s="27" t="str"/>
      <x:c r="E227" s="27" t="str"/>
      <x:c r="F227" s="27" t="str"/>
      <x:c r="G227" s="27" t="str"/>
      <x:c r="H227" s="27" t="str"/>
      <x:c r="I227" s="27" t="str">
        <x:f>IF(A227="","",MAX(0,MIN(100,ROUND(((D227*0.30)+(E227*0.30)+(F227*0.15)+(G227*0.15)-(H227*0.10))*20,0))))</x:f>
      </x:c>
      <x:c r="J227" s="27" t="str">
        <x:f>IF(A227="","",IF(I227&gt;=80,"P1 — первая версия",IF(I227&gt;=60,"P2 — следующий выпуск",IF(I227&gt;=40,"P3 — можно отложить","Не включать"))))</x:f>
      </x:c>
      <x:c r="K227" s="27" t="str"/>
      <x:c r="L227" s="27" t="str"/>
      <x:c r="M227" s="27"/>
      <x:c r="N227" s="27"/>
      <x:c r="O227" s="27"/>
      <x:c r="P227" s="27"/>
      <x:c r="Q227" s="27"/>
      <x:c r="R227" s="27"/>
      <x:c r="S227" s="27"/>
      <x:c r="T227" s="27"/>
      <x:c r="U227" s="27"/>
    </x:row>
    <x:row r="228">
      <x:c r="A228" s="27" t="str"/>
      <x:c r="B228" s="27" t="str"/>
      <x:c r="C228" s="27" t="str"/>
      <x:c r="D228" s="27" t="str"/>
      <x:c r="E228" s="27" t="str"/>
      <x:c r="F228" s="27" t="str"/>
      <x:c r="G228" s="27" t="str"/>
      <x:c r="H228" s="27" t="str"/>
      <x:c r="I228" s="27" t="str">
        <x:f>IF(A228="","",MAX(0,MIN(100,ROUND(((D228*0.30)+(E228*0.30)+(F228*0.15)+(G228*0.15)-(H228*0.10))*20,0))))</x:f>
      </x:c>
      <x:c r="J228" s="27" t="str">
        <x:f>IF(A228="","",IF(I228&gt;=80,"P1 — первая версия",IF(I228&gt;=60,"P2 — следующий выпуск",IF(I228&gt;=40,"P3 — можно отложить","Не включать"))))</x:f>
      </x:c>
      <x:c r="K228" s="27" t="str"/>
      <x:c r="L228" s="27" t="str"/>
      <x:c r="M228" s="27"/>
      <x:c r="N228" s="27"/>
      <x:c r="O228" s="27"/>
      <x:c r="P228" s="27"/>
      <x:c r="Q228" s="27"/>
      <x:c r="R228" s="27"/>
      <x:c r="S228" s="27"/>
      <x:c r="T228" s="27"/>
      <x:c r="U228" s="27"/>
    </x:row>
    <x:row r="229">
      <x:c r="A229" s="27" t="str"/>
      <x:c r="B229" s="27" t="str"/>
      <x:c r="C229" s="27" t="str"/>
      <x:c r="D229" s="27" t="str"/>
      <x:c r="E229" s="27" t="str"/>
      <x:c r="F229" s="27" t="str"/>
      <x:c r="G229" s="27" t="str"/>
      <x:c r="H229" s="27" t="str"/>
      <x:c r="I229" s="27" t="str">
        <x:f>IF(A229="","",MAX(0,MIN(100,ROUND(((D229*0.30)+(E229*0.30)+(F229*0.15)+(G229*0.15)-(H229*0.10))*20,0))))</x:f>
      </x:c>
      <x:c r="J229" s="27" t="str">
        <x:f>IF(A229="","",IF(I229&gt;=80,"P1 — первая версия",IF(I229&gt;=60,"P2 — следующий выпуск",IF(I229&gt;=40,"P3 — можно отложить","Не включать"))))</x:f>
      </x:c>
      <x:c r="K229" s="27" t="str"/>
      <x:c r="L229" s="27" t="str"/>
      <x:c r="M229" s="27"/>
      <x:c r="N229" s="27"/>
      <x:c r="O229" s="27"/>
      <x:c r="P229" s="27"/>
      <x:c r="Q229" s="27"/>
      <x:c r="R229" s="27"/>
      <x:c r="S229" s="27"/>
      <x:c r="T229" s="27"/>
      <x:c r="U229" s="27"/>
    </x:row>
    <x:row r="230">
      <x:c r="A230" s="27" t="str"/>
      <x:c r="B230" s="27" t="str"/>
      <x:c r="C230" s="27" t="str"/>
      <x:c r="D230" s="27" t="str"/>
      <x:c r="E230" s="27" t="str"/>
      <x:c r="F230" s="27" t="str"/>
      <x:c r="G230" s="27" t="str"/>
      <x:c r="H230" s="27" t="str"/>
      <x:c r="I230" s="27" t="str">
        <x:f>IF(A230="","",MAX(0,MIN(100,ROUND(((D230*0.30)+(E230*0.30)+(F230*0.15)+(G230*0.15)-(H230*0.10))*20,0))))</x:f>
      </x:c>
      <x:c r="J230" s="27" t="str">
        <x:f>IF(A230="","",IF(I230&gt;=80,"P1 — первая версия",IF(I230&gt;=60,"P2 — следующий выпуск",IF(I230&gt;=40,"P3 — можно отложить","Не включать"))))</x:f>
      </x:c>
      <x:c r="K230" s="27" t="str"/>
      <x:c r="L230" s="27" t="str"/>
      <x:c r="M230" s="27"/>
      <x:c r="N230" s="27"/>
      <x:c r="O230" s="27"/>
      <x:c r="P230" s="27"/>
      <x:c r="Q230" s="27"/>
      <x:c r="R230" s="27"/>
      <x:c r="S230" s="27"/>
      <x:c r="T230" s="27"/>
      <x:c r="U230" s="27"/>
    </x:row>
    <x:row r="231">
      <x:c r="A231" s="27" t="str"/>
      <x:c r="B231" s="27" t="str"/>
      <x:c r="C231" s="27" t="str"/>
      <x:c r="D231" s="27" t="str"/>
      <x:c r="E231" s="27" t="str"/>
      <x:c r="F231" s="27" t="str"/>
      <x:c r="G231" s="27" t="str"/>
      <x:c r="H231" s="27" t="str"/>
      <x:c r="I231" s="27" t="str">
        <x:f>IF(A231="","",MAX(0,MIN(100,ROUND(((D231*0.30)+(E231*0.30)+(F231*0.15)+(G231*0.15)-(H231*0.10))*20,0))))</x:f>
      </x:c>
      <x:c r="J231" s="27" t="str">
        <x:f>IF(A231="","",IF(I231&gt;=80,"P1 — первая версия",IF(I231&gt;=60,"P2 — следующий выпуск",IF(I231&gt;=40,"P3 — можно отложить","Не включать"))))</x:f>
      </x:c>
      <x:c r="K231" s="27" t="str"/>
      <x:c r="L231" s="27" t="str"/>
      <x:c r="M231" s="27"/>
      <x:c r="N231" s="27"/>
      <x:c r="O231" s="27"/>
      <x:c r="P231" s="27"/>
      <x:c r="Q231" s="27"/>
      <x:c r="R231" s="27"/>
      <x:c r="S231" s="27"/>
      <x:c r="T231" s="27"/>
      <x:c r="U231" s="27"/>
    </x:row>
    <x:row r="232">
      <x:c r="A232" s="27" t="str"/>
      <x:c r="B232" s="27" t="str"/>
      <x:c r="C232" s="27" t="str"/>
      <x:c r="D232" s="27" t="str"/>
      <x:c r="E232" s="27" t="str"/>
      <x:c r="F232" s="27" t="str"/>
      <x:c r="G232" s="27" t="str"/>
      <x:c r="H232" s="27" t="str"/>
      <x:c r="I232" s="27" t="str">
        <x:f>IF(A232="","",MAX(0,MIN(100,ROUND(((D232*0.30)+(E232*0.30)+(F232*0.15)+(G232*0.15)-(H232*0.10))*20,0))))</x:f>
      </x:c>
      <x:c r="J232" s="27" t="str">
        <x:f>IF(A232="","",IF(I232&gt;=80,"P1 — первая версия",IF(I232&gt;=60,"P2 — следующий выпуск",IF(I232&gt;=40,"P3 — можно отложить","Не включать"))))</x:f>
      </x:c>
      <x:c r="K232" s="27" t="str"/>
      <x:c r="L232" s="27" t="str"/>
      <x:c r="M232" s="27"/>
      <x:c r="N232" s="27"/>
      <x:c r="O232" s="27"/>
      <x:c r="P232" s="27"/>
      <x:c r="Q232" s="27"/>
      <x:c r="R232" s="27"/>
      <x:c r="S232" s="27"/>
      <x:c r="T232" s="27"/>
      <x:c r="U232" s="27"/>
    </x:row>
    <x:row r="233">
      <x:c r="A233" s="27" t="str"/>
      <x:c r="B233" s="27" t="str"/>
      <x:c r="C233" s="27" t="str"/>
      <x:c r="D233" s="27" t="str"/>
      <x:c r="E233" s="27" t="str"/>
      <x:c r="F233" s="27" t="str"/>
      <x:c r="G233" s="27" t="str"/>
      <x:c r="H233" s="27" t="str"/>
      <x:c r="I233" s="27" t="str">
        <x:f>IF(A233="","",MAX(0,MIN(100,ROUND(((D233*0.30)+(E233*0.30)+(F233*0.15)+(G233*0.15)-(H233*0.10))*20,0))))</x:f>
      </x:c>
      <x:c r="J233" s="27" t="str">
        <x:f>IF(A233="","",IF(I233&gt;=80,"P1 — первая версия",IF(I233&gt;=60,"P2 — следующий выпуск",IF(I233&gt;=40,"P3 — можно отложить","Не включать"))))</x:f>
      </x:c>
      <x:c r="K233" s="27" t="str"/>
      <x:c r="L233" s="27" t="str"/>
      <x:c r="M233" s="27"/>
      <x:c r="N233" s="27"/>
      <x:c r="O233" s="27"/>
      <x:c r="P233" s="27"/>
      <x:c r="Q233" s="27"/>
      <x:c r="R233" s="27"/>
      <x:c r="S233" s="27"/>
      <x:c r="T233" s="27"/>
      <x:c r="U233" s="27"/>
    </x:row>
    <x:row r="234">
      <x:c r="A234" s="27" t="str"/>
      <x:c r="B234" s="27" t="str"/>
      <x:c r="C234" s="27" t="str"/>
      <x:c r="D234" s="27" t="str"/>
      <x:c r="E234" s="27" t="str"/>
      <x:c r="F234" s="27" t="str"/>
      <x:c r="G234" s="27" t="str"/>
      <x:c r="H234" s="27" t="str"/>
      <x:c r="I234" s="27" t="str">
        <x:f>IF(A234="","",MAX(0,MIN(100,ROUND(((D234*0.30)+(E234*0.30)+(F234*0.15)+(G234*0.15)-(H234*0.10))*20,0))))</x:f>
      </x:c>
      <x:c r="J234" s="27" t="str">
        <x:f>IF(A234="","",IF(I234&gt;=80,"P1 — первая версия",IF(I234&gt;=60,"P2 — следующий выпуск",IF(I234&gt;=40,"P3 — можно отложить","Не включать"))))</x:f>
      </x:c>
      <x:c r="K234" s="27" t="str"/>
      <x:c r="L234" s="27" t="str"/>
      <x:c r="M234" s="27"/>
      <x:c r="N234" s="27"/>
      <x:c r="O234" s="27"/>
      <x:c r="P234" s="27"/>
      <x:c r="Q234" s="27"/>
      <x:c r="R234" s="27"/>
      <x:c r="S234" s="27"/>
      <x:c r="T234" s="27"/>
      <x:c r="U234" s="27"/>
    </x:row>
    <x:row r="235">
      <x:c r="A235" s="27" t="str"/>
      <x:c r="B235" s="27" t="str"/>
      <x:c r="C235" s="27" t="str"/>
      <x:c r="D235" s="27" t="str"/>
      <x:c r="E235" s="27" t="str"/>
      <x:c r="F235" s="27" t="str"/>
      <x:c r="G235" s="27" t="str"/>
      <x:c r="H235" s="27" t="str"/>
      <x:c r="I235" s="27" t="str">
        <x:f>IF(A235="","",MAX(0,MIN(100,ROUND(((D235*0.30)+(E235*0.30)+(F235*0.15)+(G235*0.15)-(H235*0.10))*20,0))))</x:f>
      </x:c>
      <x:c r="J235" s="27" t="str">
        <x:f>IF(A235="","",IF(I235&gt;=80,"P1 — первая версия",IF(I235&gt;=60,"P2 — следующий выпуск",IF(I235&gt;=40,"P3 — можно отложить","Не включать"))))</x:f>
      </x:c>
      <x:c r="K235" s="27" t="str"/>
      <x:c r="L235" s="27" t="str"/>
      <x:c r="M235" s="27"/>
      <x:c r="N235" s="27"/>
      <x:c r="O235" s="27"/>
      <x:c r="P235" s="27"/>
      <x:c r="Q235" s="27"/>
      <x:c r="R235" s="27"/>
      <x:c r="S235" s="27"/>
      <x:c r="T235" s="27"/>
      <x:c r="U235" s="27"/>
    </x:row>
    <x:row r="236">
      <x:c r="A236" s="27" t="str"/>
      <x:c r="B236" s="27" t="str"/>
      <x:c r="C236" s="27" t="str"/>
      <x:c r="D236" s="27" t="str"/>
      <x:c r="E236" s="27" t="str"/>
      <x:c r="F236" s="27" t="str"/>
      <x:c r="G236" s="27" t="str"/>
      <x:c r="H236" s="27" t="str"/>
      <x:c r="I236" s="27" t="str">
        <x:f>IF(A236="","",MAX(0,MIN(100,ROUND(((D236*0.30)+(E236*0.30)+(F236*0.15)+(G236*0.15)-(H236*0.10))*20,0))))</x:f>
      </x:c>
      <x:c r="J236" s="27" t="str">
        <x:f>IF(A236="","",IF(I236&gt;=80,"P1 — первая версия",IF(I236&gt;=60,"P2 — следующий выпуск",IF(I236&gt;=40,"P3 — можно отложить","Не включать"))))</x:f>
      </x:c>
      <x:c r="K236" s="27" t="str"/>
      <x:c r="L236" s="27" t="str"/>
      <x:c r="M236" s="27"/>
      <x:c r="N236" s="27"/>
      <x:c r="O236" s="27"/>
      <x:c r="P236" s="27"/>
      <x:c r="Q236" s="27"/>
      <x:c r="R236" s="27"/>
      <x:c r="S236" s="27"/>
      <x:c r="T236" s="27"/>
      <x:c r="U236" s="27"/>
    </x:row>
    <x:row r="237">
      <x:c r="A237" s="27" t="str"/>
      <x:c r="B237" s="27" t="str"/>
      <x:c r="C237" s="27" t="str"/>
      <x:c r="D237" s="27" t="str"/>
      <x:c r="E237" s="27" t="str"/>
      <x:c r="F237" s="27" t="str"/>
      <x:c r="G237" s="27" t="str"/>
      <x:c r="H237" s="27" t="str"/>
      <x:c r="I237" s="27" t="str">
        <x:f>IF(A237="","",MAX(0,MIN(100,ROUND(((D237*0.30)+(E237*0.30)+(F237*0.15)+(G237*0.15)-(H237*0.10))*20,0))))</x:f>
      </x:c>
      <x:c r="J237" s="27" t="str">
        <x:f>IF(A237="","",IF(I237&gt;=80,"P1 — первая версия",IF(I237&gt;=60,"P2 — следующий выпуск",IF(I237&gt;=40,"P3 — можно отложить","Не включать"))))</x:f>
      </x:c>
      <x:c r="K237" s="27" t="str"/>
      <x:c r="L237" s="27" t="str"/>
      <x:c r="M237" s="27"/>
      <x:c r="N237" s="27"/>
      <x:c r="O237" s="27"/>
      <x:c r="P237" s="27"/>
      <x:c r="Q237" s="27"/>
      <x:c r="R237" s="27"/>
      <x:c r="S237" s="27"/>
      <x:c r="T237" s="27"/>
      <x:c r="U237" s="27"/>
    </x:row>
    <x:row r="238">
      <x:c r="A238" s="27" t="str"/>
      <x:c r="B238" s="27" t="str"/>
      <x:c r="C238" s="27" t="str"/>
      <x:c r="D238" s="27" t="str"/>
      <x:c r="E238" s="27" t="str"/>
      <x:c r="F238" s="27" t="str"/>
      <x:c r="G238" s="27" t="str"/>
      <x:c r="H238" s="27" t="str"/>
      <x:c r="I238" s="27" t="str">
        <x:f>IF(A238="","",MAX(0,MIN(100,ROUND(((D238*0.30)+(E238*0.30)+(F238*0.15)+(G238*0.15)-(H238*0.10))*20,0))))</x:f>
      </x:c>
      <x:c r="J238" s="27" t="str">
        <x:f>IF(A238="","",IF(I238&gt;=80,"P1 — первая версия",IF(I238&gt;=60,"P2 — следующий выпуск",IF(I238&gt;=40,"P3 — можно отложить","Не включать"))))</x:f>
      </x:c>
      <x:c r="K238" s="27" t="str"/>
      <x:c r="L238" s="27" t="str"/>
      <x:c r="M238" s="27"/>
      <x:c r="N238" s="27"/>
      <x:c r="O238" s="27"/>
      <x:c r="P238" s="27"/>
      <x:c r="Q238" s="27"/>
      <x:c r="R238" s="27"/>
      <x:c r="S238" s="27"/>
      <x:c r="T238" s="27"/>
      <x:c r="U238" s="27"/>
    </x:row>
    <x:row r="239">
      <x:c r="A239" s="27" t="str"/>
      <x:c r="B239" s="27" t="str"/>
      <x:c r="C239" s="27" t="str"/>
      <x:c r="D239" s="27" t="str"/>
      <x:c r="E239" s="27" t="str"/>
      <x:c r="F239" s="27" t="str"/>
      <x:c r="G239" s="27" t="str"/>
      <x:c r="H239" s="27" t="str"/>
      <x:c r="I239" s="27" t="str">
        <x:f>IF(A239="","",MAX(0,MIN(100,ROUND(((D239*0.30)+(E239*0.30)+(F239*0.15)+(G239*0.15)-(H239*0.10))*20,0))))</x:f>
      </x:c>
      <x:c r="J239" s="27" t="str">
        <x:f>IF(A239="","",IF(I239&gt;=80,"P1 — первая версия",IF(I239&gt;=60,"P2 — следующий выпуск",IF(I239&gt;=40,"P3 — можно отложить","Не включать"))))</x:f>
      </x:c>
      <x:c r="K239" s="27" t="str"/>
      <x:c r="L239" s="27" t="str"/>
      <x:c r="M239" s="27"/>
      <x:c r="N239" s="27"/>
      <x:c r="O239" s="27"/>
      <x:c r="P239" s="27"/>
      <x:c r="Q239" s="27"/>
      <x:c r="R239" s="27"/>
      <x:c r="S239" s="27"/>
      <x:c r="T239" s="27"/>
      <x:c r="U239" s="27"/>
    </x:row>
    <x:row r="240">
      <x:c r="A240" s="27" t="str"/>
      <x:c r="B240" s="27" t="str"/>
      <x:c r="C240" s="27" t="str"/>
      <x:c r="D240" s="27" t="str"/>
      <x:c r="E240" s="27" t="str"/>
      <x:c r="F240" s="27" t="str"/>
      <x:c r="G240" s="27" t="str"/>
      <x:c r="H240" s="27" t="str"/>
      <x:c r="I240" s="27" t="str">
        <x:f>IF(A240="","",MAX(0,MIN(100,ROUND(((D240*0.30)+(E240*0.30)+(F240*0.15)+(G240*0.15)-(H240*0.10))*20,0))))</x:f>
      </x:c>
      <x:c r="J240" s="27" t="str">
        <x:f>IF(A240="","",IF(I240&gt;=80,"P1 — первая версия",IF(I240&gt;=60,"P2 — следующий выпуск",IF(I240&gt;=40,"P3 — можно отложить","Не включать"))))</x:f>
      </x:c>
      <x:c r="K240" s="27" t="str"/>
      <x:c r="L240" s="27" t="str"/>
      <x:c r="M240" s="27"/>
      <x:c r="N240" s="27"/>
      <x:c r="O240" s="27"/>
      <x:c r="P240" s="27"/>
      <x:c r="Q240" s="27"/>
      <x:c r="R240" s="27"/>
      <x:c r="S240" s="27"/>
      <x:c r="T240" s="27"/>
      <x:c r="U240" s="27"/>
    </x:row>
    <x:row r="241">
      <x:c r="A241" s="27" t="str"/>
      <x:c r="B241" s="27" t="str"/>
      <x:c r="C241" s="27" t="str"/>
      <x:c r="D241" s="27" t="str"/>
      <x:c r="E241" s="27" t="str"/>
      <x:c r="F241" s="27" t="str"/>
      <x:c r="G241" s="27" t="str"/>
      <x:c r="H241" s="27" t="str"/>
      <x:c r="I241" s="27" t="str">
        <x:f>IF(A241="","",MAX(0,MIN(100,ROUND(((D241*0.30)+(E241*0.30)+(F241*0.15)+(G241*0.15)-(H241*0.10))*20,0))))</x:f>
      </x:c>
      <x:c r="J241" s="27" t="str">
        <x:f>IF(A241="","",IF(I241&gt;=80,"P1 — первая версия",IF(I241&gt;=60,"P2 — следующий выпуск",IF(I241&gt;=40,"P3 — можно отложить","Не включать"))))</x:f>
      </x:c>
      <x:c r="K241" s="27" t="str"/>
      <x:c r="L241" s="27" t="str"/>
      <x:c r="M241" s="27"/>
      <x:c r="N241" s="27"/>
      <x:c r="O241" s="27"/>
      <x:c r="P241" s="27"/>
      <x:c r="Q241" s="27"/>
      <x:c r="R241" s="27"/>
      <x:c r="S241" s="27"/>
      <x:c r="T241" s="27"/>
      <x:c r="U241" s="27"/>
    </x:row>
    <x:row r="242">
      <x:c r="A242" s="27" t="str"/>
      <x:c r="B242" s="27" t="str"/>
      <x:c r="C242" s="27" t="str"/>
      <x:c r="D242" s="27" t="str"/>
      <x:c r="E242" s="27" t="str"/>
      <x:c r="F242" s="27" t="str"/>
      <x:c r="G242" s="27" t="str"/>
      <x:c r="H242" s="27" t="str"/>
      <x:c r="I242" s="27" t="str">
        <x:f>IF(A242="","",MAX(0,MIN(100,ROUND(((D242*0.30)+(E242*0.30)+(F242*0.15)+(G242*0.15)-(H242*0.10))*20,0))))</x:f>
      </x:c>
      <x:c r="J242" s="27" t="str">
        <x:f>IF(A242="","",IF(I242&gt;=80,"P1 — первая версия",IF(I242&gt;=60,"P2 — следующий выпуск",IF(I242&gt;=40,"P3 — можно отложить","Не включать"))))</x:f>
      </x:c>
      <x:c r="K242" s="27" t="str"/>
      <x:c r="L242" s="27" t="str"/>
      <x:c r="M242" s="27"/>
      <x:c r="N242" s="27"/>
      <x:c r="O242" s="27"/>
      <x:c r="P242" s="27"/>
      <x:c r="Q242" s="27"/>
      <x:c r="R242" s="27"/>
      <x:c r="S242" s="27"/>
      <x:c r="T242" s="27"/>
      <x:c r="U242" s="27"/>
    </x:row>
    <x:row r="243">
      <x:c r="A243" s="27" t="str"/>
      <x:c r="B243" s="27" t="str"/>
      <x:c r="C243" s="27" t="str"/>
      <x:c r="D243" s="27" t="str"/>
      <x:c r="E243" s="27" t="str"/>
      <x:c r="F243" s="27" t="str"/>
      <x:c r="G243" s="27" t="str"/>
      <x:c r="H243" s="27" t="str"/>
      <x:c r="I243" s="27" t="str">
        <x:f>IF(A243="","",MAX(0,MIN(100,ROUND(((D243*0.30)+(E243*0.30)+(F243*0.15)+(G243*0.15)-(H243*0.10))*20,0))))</x:f>
      </x:c>
      <x:c r="J243" s="27" t="str">
        <x:f>IF(A243="","",IF(I243&gt;=80,"P1 — первая версия",IF(I243&gt;=60,"P2 — следующий выпуск",IF(I243&gt;=40,"P3 — можно отложить","Не включать"))))</x:f>
      </x:c>
      <x:c r="K243" s="27" t="str"/>
      <x:c r="L243" s="27" t="str"/>
      <x:c r="M243" s="27"/>
      <x:c r="N243" s="27"/>
      <x:c r="O243" s="27"/>
      <x:c r="P243" s="27"/>
      <x:c r="Q243" s="27"/>
      <x:c r="R243" s="27"/>
      <x:c r="S243" s="27"/>
      <x:c r="T243" s="27"/>
      <x:c r="U243" s="27"/>
    </x:row>
    <x:row r="244">
      <x:c r="A244" s="27" t="str"/>
      <x:c r="B244" s="27" t="str"/>
      <x:c r="C244" s="27" t="str"/>
      <x:c r="D244" s="27" t="str"/>
      <x:c r="E244" s="27" t="str"/>
      <x:c r="F244" s="27" t="str"/>
      <x:c r="G244" s="27" t="str"/>
      <x:c r="H244" s="27" t="str"/>
      <x:c r="I244" s="27" t="str">
        <x:f>IF(A244="","",MAX(0,MIN(100,ROUND(((D244*0.30)+(E244*0.30)+(F244*0.15)+(G244*0.15)-(H244*0.10))*20,0))))</x:f>
      </x:c>
      <x:c r="J244" s="27" t="str">
        <x:f>IF(A244="","",IF(I244&gt;=80,"P1 — первая версия",IF(I244&gt;=60,"P2 — следующий выпуск",IF(I244&gt;=40,"P3 — можно отложить","Не включать"))))</x:f>
      </x:c>
      <x:c r="K244" s="27" t="str"/>
      <x:c r="L244" s="27" t="str"/>
      <x:c r="M244" s="27"/>
      <x:c r="N244" s="27"/>
      <x:c r="O244" s="27"/>
      <x:c r="P244" s="27"/>
      <x:c r="Q244" s="27"/>
      <x:c r="R244" s="27"/>
      <x:c r="S244" s="27"/>
      <x:c r="T244" s="27"/>
      <x:c r="U244" s="27"/>
    </x:row>
    <x:row r="245">
      <x:c r="A245" s="27" t="str"/>
      <x:c r="B245" s="27" t="str"/>
      <x:c r="C245" s="27" t="str"/>
      <x:c r="D245" s="27" t="str"/>
      <x:c r="E245" s="27" t="str"/>
      <x:c r="F245" s="27" t="str"/>
      <x:c r="G245" s="27" t="str"/>
      <x:c r="H245" s="27" t="str"/>
      <x:c r="I245" s="27" t="str">
        <x:f>IF(A245="","",MAX(0,MIN(100,ROUND(((D245*0.30)+(E245*0.30)+(F245*0.15)+(G245*0.15)-(H245*0.10))*20,0))))</x:f>
      </x:c>
      <x:c r="J245" s="27" t="str">
        <x:f>IF(A245="","",IF(I245&gt;=80,"P1 — первая версия",IF(I245&gt;=60,"P2 — следующий выпуск",IF(I245&gt;=40,"P3 — можно отложить","Не включать"))))</x:f>
      </x:c>
      <x:c r="K245" s="27" t="str"/>
      <x:c r="L245" s="27" t="str"/>
      <x:c r="M245" s="27"/>
      <x:c r="N245" s="27"/>
      <x:c r="O245" s="27"/>
      <x:c r="P245" s="27"/>
      <x:c r="Q245" s="27"/>
      <x:c r="R245" s="27"/>
      <x:c r="S245" s="27"/>
      <x:c r="T245" s="27"/>
      <x:c r="U245" s="27"/>
    </x:row>
    <x:row r="246">
      <x:c r="A246" s="27" t="str"/>
      <x:c r="B246" s="27" t="str"/>
      <x:c r="C246" s="27" t="str"/>
      <x:c r="D246" s="27" t="str"/>
      <x:c r="E246" s="27" t="str"/>
      <x:c r="F246" s="27" t="str"/>
      <x:c r="G246" s="27" t="str"/>
      <x:c r="H246" s="27" t="str"/>
      <x:c r="I246" s="27" t="str">
        <x:f>IF(A246="","",MAX(0,MIN(100,ROUND(((D246*0.30)+(E246*0.30)+(F246*0.15)+(G246*0.15)-(H246*0.10))*20,0))))</x:f>
      </x:c>
      <x:c r="J246" s="27" t="str">
        <x:f>IF(A246="","",IF(I246&gt;=80,"P1 — первая версия",IF(I246&gt;=60,"P2 — следующий выпуск",IF(I246&gt;=40,"P3 — можно отложить","Не включать"))))</x:f>
      </x:c>
      <x:c r="K246" s="27" t="str"/>
      <x:c r="L246" s="27" t="str"/>
      <x:c r="M246" s="27"/>
      <x:c r="N246" s="27"/>
      <x:c r="O246" s="27"/>
      <x:c r="P246" s="27"/>
      <x:c r="Q246" s="27"/>
      <x:c r="R246" s="27"/>
      <x:c r="S246" s="27"/>
      <x:c r="T246" s="27"/>
      <x:c r="U246" s="27"/>
    </x:row>
    <x:row r="247">
      <x:c r="A247" s="27" t="str"/>
      <x:c r="B247" s="27" t="str"/>
      <x:c r="C247" s="27" t="str"/>
      <x:c r="D247" s="27" t="str"/>
      <x:c r="E247" s="27" t="str"/>
      <x:c r="F247" s="27" t="str"/>
      <x:c r="G247" s="27" t="str"/>
      <x:c r="H247" s="27" t="str"/>
      <x:c r="I247" s="27" t="str">
        <x:f>IF(A247="","",MAX(0,MIN(100,ROUND(((D247*0.30)+(E247*0.30)+(F247*0.15)+(G247*0.15)-(H247*0.10))*20,0))))</x:f>
      </x:c>
      <x:c r="J247" s="27" t="str">
        <x:f>IF(A247="","",IF(I247&gt;=80,"P1 — первая версия",IF(I247&gt;=60,"P2 — следующий выпуск",IF(I247&gt;=40,"P3 — можно отложить","Не включать"))))</x:f>
      </x:c>
      <x:c r="K247" s="27" t="str"/>
      <x:c r="L247" s="27" t="str"/>
      <x:c r="M247" s="27"/>
      <x:c r="N247" s="27"/>
      <x:c r="O247" s="27"/>
      <x:c r="P247" s="27"/>
      <x:c r="Q247" s="27"/>
      <x:c r="R247" s="27"/>
      <x:c r="S247" s="27"/>
      <x:c r="T247" s="27"/>
      <x:c r="U247" s="27"/>
    </x:row>
    <x:row r="248">
      <x:c r="A248" s="27" t="str"/>
      <x:c r="B248" s="27" t="str"/>
      <x:c r="C248" s="27" t="str"/>
      <x:c r="D248" s="27" t="str"/>
      <x:c r="E248" s="27" t="str"/>
      <x:c r="F248" s="27" t="str"/>
      <x:c r="G248" s="27" t="str"/>
      <x:c r="H248" s="27" t="str"/>
      <x:c r="I248" s="27" t="str">
        <x:f>IF(A248="","",MAX(0,MIN(100,ROUND(((D248*0.30)+(E248*0.30)+(F248*0.15)+(G248*0.15)-(H248*0.10))*20,0))))</x:f>
      </x:c>
      <x:c r="J248" s="27" t="str">
        <x:f>IF(A248="","",IF(I248&gt;=80,"P1 — первая версия",IF(I248&gt;=60,"P2 — следующий выпуск",IF(I248&gt;=40,"P3 — можно отложить","Не включать"))))</x:f>
      </x:c>
      <x:c r="K248" s="27" t="str"/>
      <x:c r="L248" s="27" t="str"/>
      <x:c r="M248" s="27"/>
      <x:c r="N248" s="27"/>
      <x:c r="O248" s="27"/>
      <x:c r="P248" s="27"/>
      <x:c r="Q248" s="27"/>
      <x:c r="R248" s="27"/>
      <x:c r="S248" s="27"/>
      <x:c r="T248" s="27"/>
      <x:c r="U248" s="27"/>
    </x:row>
    <x:row r="249">
      <x:c r="A249" s="27" t="str"/>
      <x:c r="B249" s="27" t="str"/>
      <x:c r="C249" s="27" t="str"/>
      <x:c r="D249" s="27" t="str"/>
      <x:c r="E249" s="27" t="str"/>
      <x:c r="F249" s="27" t="str"/>
      <x:c r="G249" s="27" t="str"/>
      <x:c r="H249" s="27" t="str"/>
      <x:c r="I249" s="27" t="str">
        <x:f>IF(A249="","",MAX(0,MIN(100,ROUND(((D249*0.30)+(E249*0.30)+(F249*0.15)+(G249*0.15)-(H249*0.10))*20,0))))</x:f>
      </x:c>
      <x:c r="J249" s="27" t="str">
        <x:f>IF(A249="","",IF(I249&gt;=80,"P1 — первая версия",IF(I249&gt;=60,"P2 — следующий выпуск",IF(I249&gt;=40,"P3 — можно отложить","Не включать"))))</x:f>
      </x:c>
      <x:c r="K249" s="27" t="str"/>
      <x:c r="L249" s="27" t="str"/>
      <x:c r="M249" s="27"/>
      <x:c r="N249" s="27"/>
      <x:c r="O249" s="27"/>
      <x:c r="P249" s="27"/>
      <x:c r="Q249" s="27"/>
      <x:c r="R249" s="27"/>
      <x:c r="S249" s="27"/>
      <x:c r="T249" s="27"/>
      <x:c r="U249" s="27"/>
    </x:row>
    <x:row r="250">
      <x:c r="A250" s="27" t="str"/>
      <x:c r="B250" s="27" t="str"/>
      <x:c r="C250" s="27" t="str"/>
      <x:c r="D250" s="27" t="str"/>
      <x:c r="E250" s="27" t="str"/>
      <x:c r="F250" s="27" t="str"/>
      <x:c r="G250" s="27" t="str"/>
      <x:c r="H250" s="27" t="str"/>
      <x:c r="I250" s="27" t="str">
        <x:f>IF(A250="","",MAX(0,MIN(100,ROUND(((D250*0.30)+(E250*0.30)+(F250*0.15)+(G250*0.15)-(H250*0.10))*20,0))))</x:f>
      </x:c>
      <x:c r="J250" s="27" t="str">
        <x:f>IF(A250="","",IF(I250&gt;=80,"P1 — первая версия",IF(I250&gt;=60,"P2 — следующий выпуск",IF(I250&gt;=40,"P3 — можно отложить","Не включать"))))</x:f>
      </x:c>
      <x:c r="K250" s="27" t="str"/>
      <x:c r="L250" s="27" t="str"/>
      <x:c r="M250" s="27"/>
      <x:c r="N250" s="27"/>
      <x:c r="O250" s="27"/>
      <x:c r="P250" s="27"/>
      <x:c r="Q250" s="27"/>
      <x:c r="R250" s="27"/>
      <x:c r="S250" s="27"/>
      <x:c r="T250" s="27"/>
      <x:c r="U250" s="27"/>
    </x:row>
    <x:row r="251">
      <x:c r="A251" s="27" t="str"/>
      <x:c r="B251" s="27" t="str"/>
      <x:c r="C251" s="27" t="str"/>
      <x:c r="D251" s="27" t="str"/>
      <x:c r="E251" s="27" t="str"/>
      <x:c r="F251" s="27" t="str"/>
      <x:c r="G251" s="27" t="str"/>
      <x:c r="H251" s="27" t="str"/>
      <x:c r="I251" s="27" t="str">
        <x:f>IF(A251="","",MAX(0,MIN(100,ROUND(((D251*0.30)+(E251*0.30)+(F251*0.15)+(G251*0.15)-(H251*0.10))*20,0))))</x:f>
      </x:c>
      <x:c r="J251" s="27" t="str">
        <x:f>IF(A251="","",IF(I251&gt;=80,"P1 — первая версия",IF(I251&gt;=60,"P2 — следующий выпуск",IF(I251&gt;=40,"P3 — можно отложить","Не включать"))))</x:f>
      </x:c>
      <x:c r="K251" s="27" t="str"/>
      <x:c r="L251" s="27" t="str"/>
      <x:c r="M251" s="27"/>
      <x:c r="N251" s="27"/>
      <x:c r="O251" s="27"/>
      <x:c r="P251" s="27"/>
      <x:c r="Q251" s="27"/>
      <x:c r="R251" s="27"/>
      <x:c r="S251" s="27"/>
      <x:c r="T251" s="27"/>
      <x:c r="U251" s="27"/>
    </x:row>
    <x:row r="252">
      <x:c r="A252" s="27" t="str"/>
      <x:c r="B252" s="27" t="str"/>
      <x:c r="C252" s="27" t="str"/>
      <x:c r="D252" s="27" t="str"/>
      <x:c r="E252" s="27" t="str"/>
      <x:c r="F252" s="27" t="str"/>
      <x:c r="G252" s="27" t="str"/>
      <x:c r="H252" s="27" t="str"/>
      <x:c r="I252" s="27" t="str">
        <x:f>IF(A252="","",MAX(0,MIN(100,ROUND(((D252*0.30)+(E252*0.30)+(F252*0.15)+(G252*0.15)-(H252*0.10))*20,0))))</x:f>
      </x:c>
      <x:c r="J252" s="27" t="str">
        <x:f>IF(A252="","",IF(I252&gt;=80,"P1 — первая версия",IF(I252&gt;=60,"P2 — следующий выпуск",IF(I252&gt;=40,"P3 — можно отложить","Не включать"))))</x:f>
      </x:c>
      <x:c r="K252" s="27" t="str"/>
      <x:c r="L252" s="27" t="str"/>
      <x:c r="M252" s="27"/>
      <x:c r="N252" s="27"/>
      <x:c r="O252" s="27"/>
      <x:c r="P252" s="27"/>
      <x:c r="Q252" s="27"/>
      <x:c r="R252" s="27"/>
      <x:c r="S252" s="27"/>
      <x:c r="T252" s="27"/>
      <x:c r="U252" s="27"/>
    </x:row>
    <x:row r="253">
      <x:c r="A253" s="27" t="str"/>
      <x:c r="B253" s="27" t="str"/>
      <x:c r="C253" s="27" t="str"/>
      <x:c r="D253" s="27" t="str"/>
      <x:c r="E253" s="27" t="str"/>
      <x:c r="F253" s="27" t="str"/>
      <x:c r="G253" s="27" t="str"/>
      <x:c r="H253" s="27" t="str"/>
      <x:c r="I253" s="27" t="str">
        <x:f>IF(A253="","",MAX(0,MIN(100,ROUND(((D253*0.30)+(E253*0.30)+(F253*0.15)+(G253*0.15)-(H253*0.10))*20,0))))</x:f>
      </x:c>
      <x:c r="J253" s="27" t="str">
        <x:f>IF(A253="","",IF(I253&gt;=80,"P1 — первая версия",IF(I253&gt;=60,"P2 — следующий выпуск",IF(I253&gt;=40,"P3 — можно отложить","Не включать"))))</x:f>
      </x:c>
      <x:c r="K253" s="27" t="str"/>
      <x:c r="L253" s="27" t="str"/>
      <x:c r="M253" s="27"/>
      <x:c r="N253" s="27"/>
      <x:c r="O253" s="27"/>
      <x:c r="P253" s="27"/>
      <x:c r="Q253" s="27"/>
      <x:c r="R253" s="27"/>
      <x:c r="S253" s="27"/>
      <x:c r="T253" s="27"/>
      <x:c r="U253" s="27"/>
    </x:row>
    <x:row r="254">
      <x:c r="A254" s="27" t="str"/>
      <x:c r="B254" s="27" t="str"/>
      <x:c r="C254" s="27" t="str"/>
      <x:c r="D254" s="27" t="str"/>
      <x:c r="E254" s="27" t="str"/>
      <x:c r="F254" s="27" t="str"/>
      <x:c r="G254" s="27" t="str"/>
      <x:c r="H254" s="27" t="str"/>
      <x:c r="I254" s="27" t="str">
        <x:f>IF(A254="","",MAX(0,MIN(100,ROUND(((D254*0.30)+(E254*0.30)+(F254*0.15)+(G254*0.15)-(H254*0.10))*20,0))))</x:f>
      </x:c>
      <x:c r="J254" s="27" t="str">
        <x:f>IF(A254="","",IF(I254&gt;=80,"P1 — первая версия",IF(I254&gt;=60,"P2 — следующий выпуск",IF(I254&gt;=40,"P3 — можно отложить","Не включать"))))</x:f>
      </x:c>
      <x:c r="K254" s="27" t="str"/>
      <x:c r="L254" s="27" t="str"/>
      <x:c r="M254" s="27"/>
      <x:c r="N254" s="27"/>
      <x:c r="O254" s="27"/>
      <x:c r="P254" s="27"/>
      <x:c r="Q254" s="27"/>
      <x:c r="R254" s="27"/>
      <x:c r="S254" s="27"/>
      <x:c r="T254" s="27"/>
      <x:c r="U254" s="27"/>
    </x:row>
    <x:row r="255">
      <x:c r="A255" s="27" t="str"/>
      <x:c r="B255" s="27" t="str"/>
      <x:c r="C255" s="27" t="str"/>
      <x:c r="D255" s="27" t="str"/>
      <x:c r="E255" s="27" t="str"/>
      <x:c r="F255" s="27" t="str"/>
      <x:c r="G255" s="27" t="str"/>
      <x:c r="H255" s="27" t="str"/>
      <x:c r="I255" s="27" t="str">
        <x:f>IF(A255="","",MAX(0,MIN(100,ROUND(((D255*0.30)+(E255*0.30)+(F255*0.15)+(G255*0.15)-(H255*0.10))*20,0))))</x:f>
      </x:c>
      <x:c r="J255" s="27" t="str">
        <x:f>IF(A255="","",IF(I255&gt;=80,"P1 — первая версия",IF(I255&gt;=60,"P2 — следующий выпуск",IF(I255&gt;=40,"P3 — можно отложить","Не включать"))))</x:f>
      </x:c>
      <x:c r="K255" s="27" t="str"/>
      <x:c r="L255" s="27" t="str"/>
      <x:c r="M255" s="27"/>
      <x:c r="N255" s="27"/>
      <x:c r="O255" s="27"/>
      <x:c r="P255" s="27"/>
      <x:c r="Q255" s="27"/>
      <x:c r="R255" s="27"/>
      <x:c r="S255" s="27"/>
      <x:c r="T255" s="27"/>
      <x:c r="U255" s="27"/>
    </x:row>
    <x:row r="256">
      <x:c r="A256" s="27" t="str"/>
      <x:c r="B256" s="27" t="str"/>
      <x:c r="C256" s="27" t="str"/>
      <x:c r="D256" s="27" t="str"/>
      <x:c r="E256" s="27" t="str"/>
      <x:c r="F256" s="27" t="str"/>
      <x:c r="G256" s="27" t="str"/>
      <x:c r="H256" s="27" t="str"/>
      <x:c r="I256" s="27" t="str">
        <x:f>IF(A256="","",MAX(0,MIN(100,ROUND(((D256*0.30)+(E256*0.30)+(F256*0.15)+(G256*0.15)-(H256*0.10))*20,0))))</x:f>
      </x:c>
      <x:c r="J256" s="27" t="str">
        <x:f>IF(A256="","",IF(I256&gt;=80,"P1 — первая версия",IF(I256&gt;=60,"P2 — следующий выпуск",IF(I256&gt;=40,"P3 — можно отложить","Не включать"))))</x:f>
      </x:c>
      <x:c r="K256" s="27" t="str"/>
      <x:c r="L256" s="27" t="str"/>
      <x:c r="M256" s="27"/>
      <x:c r="N256" s="27"/>
      <x:c r="O256" s="27"/>
      <x:c r="P256" s="27"/>
      <x:c r="Q256" s="27"/>
      <x:c r="R256" s="27"/>
      <x:c r="S256" s="27"/>
      <x:c r="T256" s="27"/>
      <x:c r="U256" s="27"/>
    </x:row>
    <x:row r="257">
      <x:c r="A257" s="27" t="str"/>
      <x:c r="B257" s="27" t="str"/>
      <x:c r="C257" s="27" t="str"/>
      <x:c r="D257" s="27" t="str"/>
      <x:c r="E257" s="27" t="str"/>
      <x:c r="F257" s="27" t="str"/>
      <x:c r="G257" s="27" t="str"/>
      <x:c r="H257" s="27" t="str"/>
      <x:c r="I257" s="27" t="str">
        <x:f>IF(A257="","",MAX(0,MIN(100,ROUND(((D257*0.30)+(E257*0.30)+(F257*0.15)+(G257*0.15)-(H257*0.10))*20,0))))</x:f>
      </x:c>
      <x:c r="J257" s="27" t="str">
        <x:f>IF(A257="","",IF(I257&gt;=80,"P1 — первая версия",IF(I257&gt;=60,"P2 — следующий выпуск",IF(I257&gt;=40,"P3 — можно отложить","Не включать"))))</x:f>
      </x:c>
      <x:c r="K257" s="27" t="str"/>
      <x:c r="L257" s="27" t="str"/>
      <x:c r="M257" s="27"/>
      <x:c r="N257" s="27"/>
      <x:c r="O257" s="27"/>
      <x:c r="P257" s="27"/>
      <x:c r="Q257" s="27"/>
      <x:c r="R257" s="27"/>
      <x:c r="S257" s="27"/>
      <x:c r="T257" s="27"/>
      <x:c r="U257" s="27"/>
    </x:row>
    <x:row r="258">
      <x:c r="A258" s="27" t="str"/>
      <x:c r="B258" s="27" t="str"/>
      <x:c r="C258" s="27" t="str"/>
      <x:c r="D258" s="27" t="str"/>
      <x:c r="E258" s="27" t="str"/>
      <x:c r="F258" s="27" t="str"/>
      <x:c r="G258" s="27" t="str"/>
      <x:c r="H258" s="27" t="str"/>
      <x:c r="I258" s="27" t="str">
        <x:f>IF(A258="","",MAX(0,MIN(100,ROUND(((D258*0.30)+(E258*0.30)+(F258*0.15)+(G258*0.15)-(H258*0.10))*20,0))))</x:f>
      </x:c>
      <x:c r="J258" s="27" t="str">
        <x:f>IF(A258="","",IF(I258&gt;=80,"P1 — первая версия",IF(I258&gt;=60,"P2 — следующий выпуск",IF(I258&gt;=40,"P3 — можно отложить","Не включать"))))</x:f>
      </x:c>
      <x:c r="K258" s="27" t="str"/>
      <x:c r="L258" s="27" t="str"/>
      <x:c r="M258" s="27"/>
      <x:c r="N258" s="27"/>
      <x:c r="O258" s="27"/>
      <x:c r="P258" s="27"/>
      <x:c r="Q258" s="27"/>
      <x:c r="R258" s="27"/>
      <x:c r="S258" s="27"/>
      <x:c r="T258" s="27"/>
      <x:c r="U258" s="27"/>
    </x:row>
    <x:row r="259">
      <x:c r="A259" s="27" t="str"/>
      <x:c r="B259" s="27" t="str"/>
      <x:c r="C259" s="27" t="str"/>
      <x:c r="D259" s="27" t="str"/>
      <x:c r="E259" s="27" t="str"/>
      <x:c r="F259" s="27" t="str"/>
      <x:c r="G259" s="27" t="str"/>
      <x:c r="H259" s="27" t="str"/>
      <x:c r="I259" s="27" t="str">
        <x:f>IF(A259="","",MAX(0,MIN(100,ROUND(((D259*0.30)+(E259*0.30)+(F259*0.15)+(G259*0.15)-(H259*0.10))*20,0))))</x:f>
      </x:c>
      <x:c r="J259" s="27" t="str">
        <x:f>IF(A259="","",IF(I259&gt;=80,"P1 — первая версия",IF(I259&gt;=60,"P2 — следующий выпуск",IF(I259&gt;=40,"P3 — можно отложить","Не включать"))))</x:f>
      </x:c>
      <x:c r="K259" s="27" t="str"/>
      <x:c r="L259" s="27" t="str"/>
      <x:c r="M259" s="27"/>
      <x:c r="N259" s="27"/>
      <x:c r="O259" s="27"/>
      <x:c r="P259" s="27"/>
      <x:c r="Q259" s="27"/>
      <x:c r="R259" s="27"/>
      <x:c r="S259" s="27"/>
      <x:c r="T259" s="27"/>
      <x:c r="U259" s="27"/>
    </x:row>
    <x:row r="260">
      <x:c r="A260" s="27" t="str"/>
      <x:c r="B260" s="27" t="str"/>
      <x:c r="C260" s="27" t="str"/>
      <x:c r="D260" s="27" t="str"/>
      <x:c r="E260" s="27" t="str"/>
      <x:c r="F260" s="27" t="str"/>
      <x:c r="G260" s="27" t="str"/>
      <x:c r="H260" s="27" t="str"/>
      <x:c r="I260" s="27" t="str">
        <x:f>IF(A260="","",MAX(0,MIN(100,ROUND(((D260*0.30)+(E260*0.30)+(F260*0.15)+(G260*0.15)-(H260*0.10))*20,0))))</x:f>
      </x:c>
      <x:c r="J260" s="27" t="str">
        <x:f>IF(A260="","",IF(I260&gt;=80,"P1 — первая версия",IF(I260&gt;=60,"P2 — следующий выпуск",IF(I260&gt;=40,"P3 — можно отложить","Не включать"))))</x:f>
      </x:c>
      <x:c r="K260" s="27" t="str"/>
      <x:c r="L260" s="27" t="str"/>
      <x:c r="M260" s="27"/>
      <x:c r="N260" s="27"/>
      <x:c r="O260" s="27"/>
      <x:c r="P260" s="27"/>
      <x:c r="Q260" s="27"/>
      <x:c r="R260" s="27"/>
      <x:c r="S260" s="27"/>
      <x:c r="T260" s="27"/>
      <x:c r="U260" s="27"/>
    </x:row>
    <x:row r="261">
      <x:c r="A261" s="27" t="str"/>
      <x:c r="B261" s="27" t="str"/>
      <x:c r="C261" s="27" t="str"/>
      <x:c r="D261" s="27" t="str"/>
      <x:c r="E261" s="27" t="str"/>
      <x:c r="F261" s="27" t="str"/>
      <x:c r="G261" s="27" t="str"/>
      <x:c r="H261" s="27" t="str"/>
      <x:c r="I261" s="27" t="str">
        <x:f>IF(A261="","",MAX(0,MIN(100,ROUND(((D261*0.30)+(E261*0.30)+(F261*0.15)+(G261*0.15)-(H261*0.10))*20,0))))</x:f>
      </x:c>
      <x:c r="J261" s="27" t="str">
        <x:f>IF(A261="","",IF(I261&gt;=80,"P1 — первая версия",IF(I261&gt;=60,"P2 — следующий выпуск",IF(I261&gt;=40,"P3 — можно отложить","Не включать"))))</x:f>
      </x:c>
      <x:c r="K261" s="27" t="str"/>
      <x:c r="L261" s="27" t="str"/>
      <x:c r="M261" s="27"/>
      <x:c r="N261" s="27"/>
      <x:c r="O261" s="27"/>
      <x:c r="P261" s="27"/>
      <x:c r="Q261" s="27"/>
      <x:c r="R261" s="27"/>
      <x:c r="S261" s="27"/>
      <x:c r="T261" s="27"/>
      <x:c r="U261" s="27"/>
    </x:row>
    <x:row r="262">
      <x:c r="A262" s="27" t="str"/>
      <x:c r="B262" s="27" t="str"/>
      <x:c r="C262" s="27" t="str"/>
      <x:c r="D262" s="27" t="str"/>
      <x:c r="E262" s="27" t="str"/>
      <x:c r="F262" s="27" t="str"/>
      <x:c r="G262" s="27" t="str"/>
      <x:c r="H262" s="27" t="str"/>
      <x:c r="I262" s="27" t="str">
        <x:f>IF(A262="","",MAX(0,MIN(100,ROUND(((D262*0.30)+(E262*0.30)+(F262*0.15)+(G262*0.15)-(H262*0.10))*20,0))))</x:f>
      </x:c>
      <x:c r="J262" s="27" t="str">
        <x:f>IF(A262="","",IF(I262&gt;=80,"P1 — первая версия",IF(I262&gt;=60,"P2 — следующий выпуск",IF(I262&gt;=40,"P3 — можно отложить","Не включать"))))</x:f>
      </x:c>
      <x:c r="K262" s="27" t="str"/>
      <x:c r="L262" s="27" t="str"/>
      <x:c r="M262" s="27"/>
      <x:c r="N262" s="27"/>
      <x:c r="O262" s="27"/>
      <x:c r="P262" s="27"/>
      <x:c r="Q262" s="27"/>
      <x:c r="R262" s="27"/>
      <x:c r="S262" s="27"/>
      <x:c r="T262" s="27"/>
      <x:c r="U262" s="27"/>
    </x:row>
    <x:row r="263">
      <x:c r="A263" s="27" t="str"/>
      <x:c r="B263" s="27" t="str"/>
      <x:c r="C263" s="27" t="str"/>
      <x:c r="D263" s="27" t="str"/>
      <x:c r="E263" s="27" t="str"/>
      <x:c r="F263" s="27" t="str"/>
      <x:c r="G263" s="27" t="str"/>
      <x:c r="H263" s="27" t="str"/>
      <x:c r="I263" s="27" t="str">
        <x:f>IF(A263="","",MAX(0,MIN(100,ROUND(((D263*0.30)+(E263*0.30)+(F263*0.15)+(G263*0.15)-(H263*0.10))*20,0))))</x:f>
      </x:c>
      <x:c r="J263" s="27" t="str">
        <x:f>IF(A263="","",IF(I263&gt;=80,"P1 — первая версия",IF(I263&gt;=60,"P2 — следующий выпуск",IF(I263&gt;=40,"P3 — можно отложить","Не включать"))))</x:f>
      </x:c>
      <x:c r="K263" s="27" t="str"/>
      <x:c r="L263" s="27" t="str"/>
      <x:c r="M263" s="27"/>
      <x:c r="N263" s="27"/>
      <x:c r="O263" s="27"/>
      <x:c r="P263" s="27"/>
      <x:c r="Q263" s="27"/>
      <x:c r="R263" s="27"/>
      <x:c r="S263" s="27"/>
      <x:c r="T263" s="27"/>
      <x:c r="U263" s="27"/>
    </x:row>
    <x:row r="264">
      <x:c r="A264" s="27" t="str"/>
      <x:c r="B264" s="27" t="str"/>
      <x:c r="C264" s="27" t="str"/>
      <x:c r="D264" s="27" t="str"/>
      <x:c r="E264" s="27" t="str"/>
      <x:c r="F264" s="27" t="str"/>
      <x:c r="G264" s="27" t="str"/>
      <x:c r="H264" s="27" t="str"/>
      <x:c r="I264" s="27" t="str">
        <x:f>IF(A264="","",MAX(0,MIN(100,ROUND(((D264*0.30)+(E264*0.30)+(F264*0.15)+(G264*0.15)-(H264*0.10))*20,0))))</x:f>
      </x:c>
      <x:c r="J264" s="27" t="str">
        <x:f>IF(A264="","",IF(I264&gt;=80,"P1 — первая версия",IF(I264&gt;=60,"P2 — следующий выпуск",IF(I264&gt;=40,"P3 — можно отложить","Не включать"))))</x:f>
      </x:c>
      <x:c r="K264" s="27" t="str"/>
      <x:c r="L264" s="27" t="str"/>
      <x:c r="M264" s="27"/>
      <x:c r="N264" s="27"/>
      <x:c r="O264" s="27"/>
      <x:c r="P264" s="27"/>
      <x:c r="Q264" s="27"/>
      <x:c r="R264" s="27"/>
      <x:c r="S264" s="27"/>
      <x:c r="T264" s="27"/>
      <x:c r="U264" s="27"/>
    </x:row>
    <x:row r="265">
      <x:c r="A265" s="27" t="str"/>
      <x:c r="B265" s="27" t="str"/>
      <x:c r="C265" s="27" t="str"/>
      <x:c r="D265" s="27" t="str"/>
      <x:c r="E265" s="27" t="str"/>
      <x:c r="F265" s="27" t="str"/>
      <x:c r="G265" s="27" t="str"/>
      <x:c r="H265" s="27" t="str"/>
      <x:c r="I265" s="27" t="str">
        <x:f>IF(A265="","",MAX(0,MIN(100,ROUND(((D265*0.30)+(E265*0.30)+(F265*0.15)+(G265*0.15)-(H265*0.10))*20,0))))</x:f>
      </x:c>
      <x:c r="J265" s="27" t="str">
        <x:f>IF(A265="","",IF(I265&gt;=80,"P1 — первая версия",IF(I265&gt;=60,"P2 — следующий выпуск",IF(I265&gt;=40,"P3 — можно отложить","Не включать"))))</x:f>
      </x:c>
      <x:c r="K265" s="27" t="str"/>
      <x:c r="L265" s="27" t="str"/>
      <x:c r="M265" s="27"/>
      <x:c r="N265" s="27"/>
      <x:c r="O265" s="27"/>
      <x:c r="P265" s="27"/>
      <x:c r="Q265" s="27"/>
      <x:c r="R265" s="27"/>
      <x:c r="S265" s="27"/>
      <x:c r="T265" s="27"/>
      <x:c r="U265" s="27"/>
    </x:row>
    <x:row r="266">
      <x:c r="A266" s="27" t="str"/>
      <x:c r="B266" s="27" t="str"/>
      <x:c r="C266" s="27" t="str"/>
      <x:c r="D266" s="27" t="str"/>
      <x:c r="E266" s="27" t="str"/>
      <x:c r="F266" s="27" t="str"/>
      <x:c r="G266" s="27" t="str"/>
      <x:c r="H266" s="27" t="str"/>
      <x:c r="I266" s="27" t="str">
        <x:f>IF(A266="","",MAX(0,MIN(100,ROUND(((D266*0.30)+(E266*0.30)+(F266*0.15)+(G266*0.15)-(H266*0.10))*20,0))))</x:f>
      </x:c>
      <x:c r="J266" s="27" t="str">
        <x:f>IF(A266="","",IF(I266&gt;=80,"P1 — первая версия",IF(I266&gt;=60,"P2 — следующий выпуск",IF(I266&gt;=40,"P3 — можно отложить","Не включать"))))</x:f>
      </x:c>
      <x:c r="K266" s="27" t="str"/>
      <x:c r="L266" s="27" t="str"/>
      <x:c r="M266" s="27"/>
      <x:c r="N266" s="27"/>
      <x:c r="O266" s="27"/>
      <x:c r="P266" s="27"/>
      <x:c r="Q266" s="27"/>
      <x:c r="R266" s="27"/>
      <x:c r="S266" s="27"/>
      <x:c r="T266" s="27"/>
      <x:c r="U266" s="27"/>
    </x:row>
    <x:row r="267">
      <x:c r="A267" s="27" t="str"/>
      <x:c r="B267" s="27" t="str"/>
      <x:c r="C267" s="27" t="str"/>
      <x:c r="D267" s="27" t="str"/>
      <x:c r="E267" s="27" t="str"/>
      <x:c r="F267" s="27" t="str"/>
      <x:c r="G267" s="27" t="str"/>
      <x:c r="H267" s="27" t="str"/>
      <x:c r="I267" s="27" t="str">
        <x:f>IF(A267="","",MAX(0,MIN(100,ROUND(((D267*0.30)+(E267*0.30)+(F267*0.15)+(G267*0.15)-(H267*0.10))*20,0))))</x:f>
      </x:c>
      <x:c r="J267" s="27" t="str">
        <x:f>IF(A267="","",IF(I267&gt;=80,"P1 — первая версия",IF(I267&gt;=60,"P2 — следующий выпуск",IF(I267&gt;=40,"P3 — можно отложить","Не включать"))))</x:f>
      </x:c>
      <x:c r="K267" s="27" t="str"/>
      <x:c r="L267" s="27" t="str"/>
      <x:c r="M267" s="27"/>
      <x:c r="N267" s="27"/>
      <x:c r="O267" s="27"/>
      <x:c r="P267" s="27"/>
      <x:c r="Q267" s="27"/>
      <x:c r="R267" s="27"/>
      <x:c r="S267" s="27"/>
      <x:c r="T267" s="27"/>
      <x:c r="U267" s="27"/>
    </x:row>
    <x:row r="268">
      <x:c r="A268" s="27" t="str"/>
      <x:c r="B268" s="27" t="str"/>
      <x:c r="C268" s="27" t="str"/>
      <x:c r="D268" s="27" t="str"/>
      <x:c r="E268" s="27" t="str"/>
      <x:c r="F268" s="27" t="str"/>
      <x:c r="G268" s="27" t="str"/>
      <x:c r="H268" s="27" t="str"/>
      <x:c r="I268" s="27" t="str">
        <x:f>IF(A268="","",MAX(0,MIN(100,ROUND(((D268*0.30)+(E268*0.30)+(F268*0.15)+(G268*0.15)-(H268*0.10))*20,0))))</x:f>
      </x:c>
      <x:c r="J268" s="27" t="str">
        <x:f>IF(A268="","",IF(I268&gt;=80,"P1 — первая версия",IF(I268&gt;=60,"P2 — следующий выпуск",IF(I268&gt;=40,"P3 — можно отложить","Не включать"))))</x:f>
      </x:c>
      <x:c r="K268" s="27" t="str"/>
      <x:c r="L268" s="27" t="str"/>
      <x:c r="M268" s="27"/>
      <x:c r="N268" s="27"/>
      <x:c r="O268" s="27"/>
      <x:c r="P268" s="27"/>
      <x:c r="Q268" s="27"/>
      <x:c r="R268" s="27"/>
      <x:c r="S268" s="27"/>
      <x:c r="T268" s="27"/>
      <x:c r="U268" s="27"/>
    </x:row>
    <x:row r="269">
      <x:c r="A269" s="27" t="str"/>
      <x:c r="B269" s="27" t="str"/>
      <x:c r="C269" s="27" t="str"/>
      <x:c r="D269" s="27" t="str"/>
      <x:c r="E269" s="27" t="str"/>
      <x:c r="F269" s="27" t="str"/>
      <x:c r="G269" s="27" t="str"/>
      <x:c r="H269" s="27" t="str"/>
      <x:c r="I269" s="27" t="str">
        <x:f>IF(A269="","",MAX(0,MIN(100,ROUND(((D269*0.30)+(E269*0.30)+(F269*0.15)+(G269*0.15)-(H269*0.10))*20,0))))</x:f>
      </x:c>
      <x:c r="J269" s="27" t="str">
        <x:f>IF(A269="","",IF(I269&gt;=80,"P1 — первая версия",IF(I269&gt;=60,"P2 — следующий выпуск",IF(I269&gt;=40,"P3 — можно отложить","Не включать"))))</x:f>
      </x:c>
      <x:c r="K269" s="27" t="str"/>
      <x:c r="L269" s="27" t="str"/>
      <x:c r="M269" s="27"/>
      <x:c r="N269" s="27"/>
      <x:c r="O269" s="27"/>
      <x:c r="P269" s="27"/>
      <x:c r="Q269" s="27"/>
      <x:c r="R269" s="27"/>
      <x:c r="S269" s="27"/>
      <x:c r="T269" s="27"/>
      <x:c r="U269" s="27"/>
    </x:row>
    <x:row r="270">
      <x:c r="A270" s="27" t="str"/>
      <x:c r="B270" s="27" t="str"/>
      <x:c r="C270" s="27" t="str"/>
      <x:c r="D270" s="27" t="str"/>
      <x:c r="E270" s="27" t="str"/>
      <x:c r="F270" s="27" t="str"/>
      <x:c r="G270" s="27" t="str"/>
      <x:c r="H270" s="27" t="str"/>
      <x:c r="I270" s="27" t="str">
        <x:f>IF(A270="","",MAX(0,MIN(100,ROUND(((D270*0.30)+(E270*0.30)+(F270*0.15)+(G270*0.15)-(H270*0.10))*20,0))))</x:f>
      </x:c>
      <x:c r="J270" s="27" t="str">
        <x:f>IF(A270="","",IF(I270&gt;=80,"P1 — первая версия",IF(I270&gt;=60,"P2 — следующий выпуск",IF(I270&gt;=40,"P3 — можно отложить","Не включать"))))</x:f>
      </x:c>
      <x:c r="K270" s="27" t="str"/>
      <x:c r="L270" s="27" t="str"/>
      <x:c r="M270" s="27"/>
      <x:c r="N270" s="27"/>
      <x:c r="O270" s="27"/>
      <x:c r="P270" s="27"/>
      <x:c r="Q270" s="27"/>
      <x:c r="R270" s="27"/>
      <x:c r="S270" s="27"/>
      <x:c r="T270" s="27"/>
      <x:c r="U270" s="27"/>
    </x:row>
    <x:row r="271">
      <x:c r="A271" s="27" t="str"/>
      <x:c r="B271" s="27" t="str"/>
      <x:c r="C271" s="27" t="str"/>
      <x:c r="D271" s="27" t="str"/>
      <x:c r="E271" s="27" t="str"/>
      <x:c r="F271" s="27" t="str"/>
      <x:c r="G271" s="27" t="str"/>
      <x:c r="H271" s="27" t="str"/>
      <x:c r="I271" s="27" t="str">
        <x:f>IF(A271="","",MAX(0,MIN(100,ROUND(((D271*0.30)+(E271*0.30)+(F271*0.15)+(G271*0.15)-(H271*0.10))*20,0))))</x:f>
      </x:c>
      <x:c r="J271" s="27" t="str">
        <x:f>IF(A271="","",IF(I271&gt;=80,"P1 — первая версия",IF(I271&gt;=60,"P2 — следующий выпуск",IF(I271&gt;=40,"P3 — можно отложить","Не включать"))))</x:f>
      </x:c>
      <x:c r="K271" s="27" t="str"/>
      <x:c r="L271" s="27" t="str"/>
      <x:c r="M271" s="27"/>
      <x:c r="N271" s="27"/>
      <x:c r="O271" s="27"/>
      <x:c r="P271" s="27"/>
      <x:c r="Q271" s="27"/>
      <x:c r="R271" s="27"/>
      <x:c r="S271" s="27"/>
      <x:c r="T271" s="27"/>
      <x:c r="U271" s="27"/>
    </x:row>
    <x:row r="272">
      <x:c r="A272" s="27" t="str"/>
      <x:c r="B272" s="27" t="str"/>
      <x:c r="C272" s="27" t="str"/>
      <x:c r="D272" s="27" t="str"/>
      <x:c r="E272" s="27" t="str"/>
      <x:c r="F272" s="27" t="str"/>
      <x:c r="G272" s="27" t="str"/>
      <x:c r="H272" s="27" t="str"/>
      <x:c r="I272" s="27" t="str">
        <x:f>IF(A272="","",MAX(0,MIN(100,ROUND(((D272*0.30)+(E272*0.30)+(F272*0.15)+(G272*0.15)-(H272*0.10))*20,0))))</x:f>
      </x:c>
      <x:c r="J272" s="27" t="str">
        <x:f>IF(A272="","",IF(I272&gt;=80,"P1 — первая версия",IF(I272&gt;=60,"P2 — следующий выпуск",IF(I272&gt;=40,"P3 — можно отложить","Не включать"))))</x:f>
      </x:c>
      <x:c r="K272" s="27" t="str"/>
      <x:c r="L272" s="27" t="str"/>
      <x:c r="M272" s="27"/>
      <x:c r="N272" s="27"/>
      <x:c r="O272" s="27"/>
      <x:c r="P272" s="27"/>
      <x:c r="Q272" s="27"/>
      <x:c r="R272" s="27"/>
      <x:c r="S272" s="27"/>
      <x:c r="T272" s="27"/>
      <x:c r="U272" s="27"/>
    </x:row>
    <x:row r="273">
      <x:c r="A273" s="27" t="str"/>
      <x:c r="B273" s="27" t="str"/>
      <x:c r="C273" s="27" t="str"/>
      <x:c r="D273" s="27" t="str"/>
      <x:c r="E273" s="27" t="str"/>
      <x:c r="F273" s="27" t="str"/>
      <x:c r="G273" s="27" t="str"/>
      <x:c r="H273" s="27" t="str"/>
      <x:c r="I273" s="27" t="str">
        <x:f>IF(A273="","",MAX(0,MIN(100,ROUND(((D273*0.30)+(E273*0.30)+(F273*0.15)+(G273*0.15)-(H273*0.10))*20,0))))</x:f>
      </x:c>
      <x:c r="J273" s="27" t="str">
        <x:f>IF(A273="","",IF(I273&gt;=80,"P1 — первая версия",IF(I273&gt;=60,"P2 — следующий выпуск",IF(I273&gt;=40,"P3 — можно отложить","Не включать"))))</x:f>
      </x:c>
      <x:c r="K273" s="27" t="str"/>
      <x:c r="L273" s="27" t="str"/>
      <x:c r="M273" s="27"/>
      <x:c r="N273" s="27"/>
      <x:c r="O273" s="27"/>
      <x:c r="P273" s="27"/>
      <x:c r="Q273" s="27"/>
      <x:c r="R273" s="27"/>
      <x:c r="S273" s="27"/>
      <x:c r="T273" s="27"/>
      <x:c r="U273" s="27"/>
    </x:row>
    <x:row r="274">
      <x:c r="A274" s="27" t="str"/>
      <x:c r="B274" s="27" t="str"/>
      <x:c r="C274" s="27" t="str"/>
      <x:c r="D274" s="27" t="str"/>
      <x:c r="E274" s="27" t="str"/>
      <x:c r="F274" s="27" t="str"/>
      <x:c r="G274" s="27" t="str"/>
      <x:c r="H274" s="27" t="str"/>
      <x:c r="I274" s="27" t="str">
        <x:f>IF(A274="","",MAX(0,MIN(100,ROUND(((D274*0.30)+(E274*0.30)+(F274*0.15)+(G274*0.15)-(H274*0.10))*20,0))))</x:f>
      </x:c>
      <x:c r="J274" s="27" t="str">
        <x:f>IF(A274="","",IF(I274&gt;=80,"P1 — первая версия",IF(I274&gt;=60,"P2 — следующий выпуск",IF(I274&gt;=40,"P3 — можно отложить","Не включать"))))</x:f>
      </x:c>
      <x:c r="K274" s="27" t="str"/>
      <x:c r="L274" s="27" t="str"/>
      <x:c r="M274" s="27"/>
      <x:c r="N274" s="27"/>
      <x:c r="O274" s="27"/>
      <x:c r="P274" s="27"/>
      <x:c r="Q274" s="27"/>
      <x:c r="R274" s="27"/>
      <x:c r="S274" s="27"/>
      <x:c r="T274" s="27"/>
      <x:c r="U274" s="27"/>
    </x:row>
    <x:row r="275">
      <x:c r="A275" s="27" t="str"/>
      <x:c r="B275" s="27" t="str"/>
      <x:c r="C275" s="27" t="str"/>
      <x:c r="D275" s="27" t="str"/>
      <x:c r="E275" s="27" t="str"/>
      <x:c r="F275" s="27" t="str"/>
      <x:c r="G275" s="27" t="str"/>
      <x:c r="H275" s="27" t="str"/>
      <x:c r="I275" s="27" t="str">
        <x:f>IF(A275="","",MAX(0,MIN(100,ROUND(((D275*0.30)+(E275*0.30)+(F275*0.15)+(G275*0.15)-(H275*0.10))*20,0))))</x:f>
      </x:c>
      <x:c r="J275" s="27" t="str">
        <x:f>IF(A275="","",IF(I275&gt;=80,"P1 — первая версия",IF(I275&gt;=60,"P2 — следующий выпуск",IF(I275&gt;=40,"P3 — можно отложить","Не включать"))))</x:f>
      </x:c>
      <x:c r="K275" s="27" t="str"/>
      <x:c r="L275" s="27" t="str"/>
      <x:c r="M275" s="27"/>
      <x:c r="N275" s="27"/>
      <x:c r="O275" s="27"/>
      <x:c r="P275" s="27"/>
      <x:c r="Q275" s="27"/>
      <x:c r="R275" s="27"/>
      <x:c r="S275" s="27"/>
      <x:c r="T275" s="27"/>
      <x:c r="U275" s="27"/>
    </x:row>
    <x:row r="276">
      <x:c r="A276" s="27" t="str"/>
      <x:c r="B276" s="27" t="str"/>
      <x:c r="C276" s="27" t="str"/>
      <x:c r="D276" s="27" t="str"/>
      <x:c r="E276" s="27" t="str"/>
      <x:c r="F276" s="27" t="str"/>
      <x:c r="G276" s="27" t="str"/>
      <x:c r="H276" s="27" t="str"/>
      <x:c r="I276" s="27" t="str">
        <x:f>IF(A276="","",MAX(0,MIN(100,ROUND(((D276*0.30)+(E276*0.30)+(F276*0.15)+(G276*0.15)-(H276*0.10))*20,0))))</x:f>
      </x:c>
      <x:c r="J276" s="27" t="str">
        <x:f>IF(A276="","",IF(I276&gt;=80,"P1 — первая версия",IF(I276&gt;=60,"P2 — следующий выпуск",IF(I276&gt;=40,"P3 — можно отложить","Не включать"))))</x:f>
      </x:c>
      <x:c r="K276" s="27" t="str"/>
      <x:c r="L276" s="27" t="str"/>
      <x:c r="M276" s="27"/>
      <x:c r="N276" s="27"/>
      <x:c r="O276" s="27"/>
      <x:c r="P276" s="27"/>
      <x:c r="Q276" s="27"/>
      <x:c r="R276" s="27"/>
      <x:c r="S276" s="27"/>
      <x:c r="T276" s="27"/>
      <x:c r="U276" s="27"/>
    </x:row>
    <x:row r="277">
      <x:c r="A277" s="27" t="str"/>
      <x:c r="B277" s="27" t="str"/>
      <x:c r="C277" s="27" t="str"/>
      <x:c r="D277" s="27" t="str"/>
      <x:c r="E277" s="27" t="str"/>
      <x:c r="F277" s="27" t="str"/>
      <x:c r="G277" s="27" t="str"/>
      <x:c r="H277" s="27" t="str"/>
      <x:c r="I277" s="27" t="str">
        <x:f>IF(A277="","",MAX(0,MIN(100,ROUND(((D277*0.30)+(E277*0.30)+(F277*0.15)+(G277*0.15)-(H277*0.10))*20,0))))</x:f>
      </x:c>
      <x:c r="J277" s="27" t="str">
        <x:f>IF(A277="","",IF(I277&gt;=80,"P1 — первая версия",IF(I277&gt;=60,"P2 — следующий выпуск",IF(I277&gt;=40,"P3 — можно отложить","Не включать"))))</x:f>
      </x:c>
      <x:c r="K277" s="27" t="str"/>
      <x:c r="L277" s="27" t="str"/>
      <x:c r="M277" s="27"/>
      <x:c r="N277" s="27"/>
      <x:c r="O277" s="27"/>
      <x:c r="P277" s="27"/>
      <x:c r="Q277" s="27"/>
      <x:c r="R277" s="27"/>
      <x:c r="S277" s="27"/>
      <x:c r="T277" s="27"/>
      <x:c r="U277" s="27"/>
    </x:row>
    <x:row r="278">
      <x:c r="A278" s="27" t="str"/>
      <x:c r="B278" s="27" t="str"/>
      <x:c r="C278" s="27" t="str"/>
      <x:c r="D278" s="27" t="str"/>
      <x:c r="E278" s="27" t="str"/>
      <x:c r="F278" s="27" t="str"/>
      <x:c r="G278" s="27" t="str"/>
      <x:c r="H278" s="27" t="str"/>
      <x:c r="I278" s="27" t="str">
        <x:f>IF(A278="","",MAX(0,MIN(100,ROUND(((D278*0.30)+(E278*0.30)+(F278*0.15)+(G278*0.15)-(H278*0.10))*20,0))))</x:f>
      </x:c>
      <x:c r="J278" s="27" t="str">
        <x:f>IF(A278="","",IF(I278&gt;=80,"P1 — первая версия",IF(I278&gt;=60,"P2 — следующий выпуск",IF(I278&gt;=40,"P3 — можно отложить","Не включать"))))</x:f>
      </x:c>
      <x:c r="K278" s="27" t="str"/>
      <x:c r="L278" s="27" t="str"/>
      <x:c r="M278" s="27"/>
      <x:c r="N278" s="27"/>
      <x:c r="O278" s="27"/>
      <x:c r="P278" s="27"/>
      <x:c r="Q278" s="27"/>
      <x:c r="R278" s="27"/>
      <x:c r="S278" s="27"/>
      <x:c r="T278" s="27"/>
      <x:c r="U278" s="27"/>
    </x:row>
    <x:row r="279">
      <x:c r="A279" s="27" t="str"/>
      <x:c r="B279" s="27" t="str"/>
      <x:c r="C279" s="27" t="str"/>
      <x:c r="D279" s="27" t="str"/>
      <x:c r="E279" s="27" t="str"/>
      <x:c r="F279" s="27" t="str"/>
      <x:c r="G279" s="27" t="str"/>
      <x:c r="H279" s="27" t="str"/>
      <x:c r="I279" s="27" t="str">
        <x:f>IF(A279="","",MAX(0,MIN(100,ROUND(((D279*0.30)+(E279*0.30)+(F279*0.15)+(G279*0.15)-(H279*0.10))*20,0))))</x:f>
      </x:c>
      <x:c r="J279" s="27" t="str">
        <x:f>IF(A279="","",IF(I279&gt;=80,"P1 — первая версия",IF(I279&gt;=60,"P2 — следующий выпуск",IF(I279&gt;=40,"P3 — можно отложить","Не включать"))))</x:f>
      </x:c>
      <x:c r="K279" s="27" t="str"/>
      <x:c r="L279" s="27" t="str"/>
      <x:c r="M279" s="27"/>
      <x:c r="N279" s="27"/>
      <x:c r="O279" s="27"/>
      <x:c r="P279" s="27"/>
      <x:c r="Q279" s="27"/>
      <x:c r="R279" s="27"/>
      <x:c r="S279" s="27"/>
      <x:c r="T279" s="27"/>
      <x:c r="U279" s="27"/>
    </x:row>
    <x:row r="280">
      <x:c r="A280" s="27" t="str"/>
      <x:c r="B280" s="27" t="str"/>
      <x:c r="C280" s="27" t="str"/>
      <x:c r="D280" s="27" t="str"/>
      <x:c r="E280" s="27" t="str"/>
      <x:c r="F280" s="27" t="str"/>
      <x:c r="G280" s="27" t="str"/>
      <x:c r="H280" s="27" t="str"/>
      <x:c r="I280" s="27" t="str">
        <x:f>IF(A280="","",MAX(0,MIN(100,ROUND(((D280*0.30)+(E280*0.30)+(F280*0.15)+(G280*0.15)-(H280*0.10))*20,0))))</x:f>
      </x:c>
      <x:c r="J280" s="27" t="str">
        <x:f>IF(A280="","",IF(I280&gt;=80,"P1 — первая версия",IF(I280&gt;=60,"P2 — следующий выпуск",IF(I280&gt;=40,"P3 — можно отложить","Не включать"))))</x:f>
      </x:c>
      <x:c r="K280" s="27" t="str"/>
      <x:c r="L280" s="27" t="str"/>
      <x:c r="M280" s="27"/>
      <x:c r="N280" s="27"/>
      <x:c r="O280" s="27"/>
      <x:c r="P280" s="27"/>
      <x:c r="Q280" s="27"/>
      <x:c r="R280" s="27"/>
      <x:c r="S280" s="27"/>
      <x:c r="T280" s="27"/>
      <x:c r="U280" s="27"/>
    </x:row>
    <x:row r="281">
      <x:c r="A281" s="27" t="str"/>
      <x:c r="B281" s="27" t="str"/>
      <x:c r="C281" s="27" t="str"/>
      <x:c r="D281" s="27" t="str"/>
      <x:c r="E281" s="27" t="str"/>
      <x:c r="F281" s="27" t="str"/>
      <x:c r="G281" s="27" t="str"/>
      <x:c r="H281" s="27" t="str"/>
      <x:c r="I281" s="27" t="str">
        <x:f>IF(A281="","",MAX(0,MIN(100,ROUND(((D281*0.30)+(E281*0.30)+(F281*0.15)+(G281*0.15)-(H281*0.10))*20,0))))</x:f>
      </x:c>
      <x:c r="J281" s="27" t="str">
        <x:f>IF(A281="","",IF(I281&gt;=80,"P1 — первая версия",IF(I281&gt;=60,"P2 — следующий выпуск",IF(I281&gt;=40,"P3 — можно отложить","Не включать"))))</x:f>
      </x:c>
      <x:c r="K281" s="27" t="str"/>
      <x:c r="L281" s="27" t="str"/>
      <x:c r="M281" s="27"/>
      <x:c r="N281" s="27"/>
      <x:c r="O281" s="27"/>
      <x:c r="P281" s="27"/>
      <x:c r="Q281" s="27"/>
      <x:c r="R281" s="27"/>
      <x:c r="S281" s="27"/>
      <x:c r="T281" s="27"/>
      <x:c r="U281" s="27"/>
    </x:row>
    <x:row r="282">
      <x:c r="A282" s="27" t="str"/>
      <x:c r="B282" s="27" t="str"/>
      <x:c r="C282" s="27" t="str"/>
      <x:c r="D282" s="27" t="str"/>
      <x:c r="E282" s="27" t="str"/>
      <x:c r="F282" s="27" t="str"/>
      <x:c r="G282" s="27" t="str"/>
      <x:c r="H282" s="27" t="str"/>
      <x:c r="I282" s="27" t="str">
        <x:f>IF(A282="","",MAX(0,MIN(100,ROUND(((D282*0.30)+(E282*0.30)+(F282*0.15)+(G282*0.15)-(H282*0.10))*20,0))))</x:f>
      </x:c>
      <x:c r="J282" s="27" t="str">
        <x:f>IF(A282="","",IF(I282&gt;=80,"P1 — первая версия",IF(I282&gt;=60,"P2 — следующий выпуск",IF(I282&gt;=40,"P3 — можно отложить","Не включать"))))</x:f>
      </x:c>
      <x:c r="K282" s="27" t="str"/>
      <x:c r="L282" s="27" t="str"/>
      <x:c r="M282" s="27"/>
      <x:c r="N282" s="27"/>
      <x:c r="O282" s="27"/>
      <x:c r="P282" s="27"/>
      <x:c r="Q282" s="27"/>
      <x:c r="R282" s="27"/>
      <x:c r="S282" s="27"/>
      <x:c r="T282" s="27"/>
      <x:c r="U282" s="27"/>
    </x:row>
    <x:row r="283">
      <x:c r="A283" s="27" t="str"/>
      <x:c r="B283" s="27" t="str"/>
      <x:c r="C283" s="27" t="str"/>
      <x:c r="D283" s="27" t="str"/>
      <x:c r="E283" s="27" t="str"/>
      <x:c r="F283" s="27" t="str"/>
      <x:c r="G283" s="27" t="str"/>
      <x:c r="H283" s="27" t="str"/>
      <x:c r="I283" s="27" t="str">
        <x:f>IF(A283="","",MAX(0,MIN(100,ROUND(((D283*0.30)+(E283*0.30)+(F283*0.15)+(G283*0.15)-(H283*0.10))*20,0))))</x:f>
      </x:c>
      <x:c r="J283" s="27" t="str">
        <x:f>IF(A283="","",IF(I283&gt;=80,"P1 — первая версия",IF(I283&gt;=60,"P2 — следующий выпуск",IF(I283&gt;=40,"P3 — можно отложить","Не включать"))))</x:f>
      </x:c>
      <x:c r="K283" s="27" t="str"/>
      <x:c r="L283" s="27" t="str"/>
      <x:c r="M283" s="27"/>
      <x:c r="N283" s="27"/>
      <x:c r="O283" s="27"/>
      <x:c r="P283" s="27"/>
      <x:c r="Q283" s="27"/>
      <x:c r="R283" s="27"/>
      <x:c r="S283" s="27"/>
      <x:c r="T283" s="27"/>
      <x:c r="U283" s="27"/>
    </x:row>
    <x:row r="284">
      <x:c r="A284" s="27" t="str"/>
      <x:c r="B284" s="27" t="str"/>
      <x:c r="C284" s="27" t="str"/>
      <x:c r="D284" s="27" t="str"/>
      <x:c r="E284" s="27" t="str"/>
      <x:c r="F284" s="27" t="str"/>
      <x:c r="G284" s="27" t="str"/>
      <x:c r="H284" s="27" t="str"/>
      <x:c r="I284" s="27" t="str">
        <x:f>IF(A284="","",MAX(0,MIN(100,ROUND(((D284*0.30)+(E284*0.30)+(F284*0.15)+(G284*0.15)-(H284*0.10))*20,0))))</x:f>
      </x:c>
      <x:c r="J284" s="27" t="str">
        <x:f>IF(A284="","",IF(I284&gt;=80,"P1 — первая версия",IF(I284&gt;=60,"P2 — следующий выпуск",IF(I284&gt;=40,"P3 — можно отложить","Не включать"))))</x:f>
      </x:c>
      <x:c r="K284" s="27" t="str"/>
      <x:c r="L284" s="27" t="str"/>
      <x:c r="M284" s="27"/>
      <x:c r="N284" s="27"/>
      <x:c r="O284" s="27"/>
      <x:c r="P284" s="27"/>
      <x:c r="Q284" s="27"/>
      <x:c r="R284" s="27"/>
      <x:c r="S284" s="27"/>
      <x:c r="T284" s="27"/>
      <x:c r="U284" s="27"/>
    </x:row>
    <x:row r="285">
      <x:c r="A285" s="27" t="str"/>
      <x:c r="B285" s="27" t="str"/>
      <x:c r="C285" s="27" t="str"/>
      <x:c r="D285" s="27" t="str"/>
      <x:c r="E285" s="27" t="str"/>
      <x:c r="F285" s="27" t="str"/>
      <x:c r="G285" s="27" t="str"/>
      <x:c r="H285" s="27" t="str"/>
      <x:c r="I285" s="27" t="str">
        <x:f>IF(A285="","",MAX(0,MIN(100,ROUND(((D285*0.30)+(E285*0.30)+(F285*0.15)+(G285*0.15)-(H285*0.10))*20,0))))</x:f>
      </x:c>
      <x:c r="J285" s="27" t="str">
        <x:f>IF(A285="","",IF(I285&gt;=80,"P1 — первая версия",IF(I285&gt;=60,"P2 — следующий выпуск",IF(I285&gt;=40,"P3 — можно отложить","Не включать"))))</x:f>
      </x:c>
      <x:c r="K285" s="27" t="str"/>
      <x:c r="L285" s="27" t="str"/>
      <x:c r="M285" s="27"/>
      <x:c r="N285" s="27"/>
      <x:c r="O285" s="27"/>
      <x:c r="P285" s="27"/>
      <x:c r="Q285" s="27"/>
      <x:c r="R285" s="27"/>
      <x:c r="S285" s="27"/>
      <x:c r="T285" s="27"/>
      <x:c r="U285" s="27"/>
    </x:row>
    <x:row r="286">
      <x:c r="A286" s="27" t="str"/>
      <x:c r="B286" s="27" t="str"/>
      <x:c r="C286" s="27" t="str"/>
      <x:c r="D286" s="27" t="str"/>
      <x:c r="E286" s="27" t="str"/>
      <x:c r="F286" s="27" t="str"/>
      <x:c r="G286" s="27" t="str"/>
      <x:c r="H286" s="27" t="str"/>
      <x:c r="I286" s="27" t="str">
        <x:f>IF(A286="","",MAX(0,MIN(100,ROUND(((D286*0.30)+(E286*0.30)+(F286*0.15)+(G286*0.15)-(H286*0.10))*20,0))))</x:f>
      </x:c>
      <x:c r="J286" s="27" t="str">
        <x:f>IF(A286="","",IF(I286&gt;=80,"P1 — первая версия",IF(I286&gt;=60,"P2 — следующий выпуск",IF(I286&gt;=40,"P3 — можно отложить","Не включать"))))</x:f>
      </x:c>
      <x:c r="K286" s="27" t="str"/>
      <x:c r="L286" s="27" t="str"/>
      <x:c r="M286" s="27"/>
      <x:c r="N286" s="27"/>
      <x:c r="O286" s="27"/>
      <x:c r="P286" s="27"/>
      <x:c r="Q286" s="27"/>
      <x:c r="R286" s="27"/>
      <x:c r="S286" s="27"/>
      <x:c r="T286" s="27"/>
      <x:c r="U286" s="27"/>
    </x:row>
    <x:row r="287">
      <x:c r="A287" s="27" t="str"/>
      <x:c r="B287" s="27" t="str"/>
      <x:c r="C287" s="27" t="str"/>
      <x:c r="D287" s="27" t="str"/>
      <x:c r="E287" s="27" t="str"/>
      <x:c r="F287" s="27" t="str"/>
      <x:c r="G287" s="27" t="str"/>
      <x:c r="H287" s="27" t="str"/>
      <x:c r="I287" s="27" t="str">
        <x:f>IF(A287="","",MAX(0,MIN(100,ROUND(((D287*0.30)+(E287*0.30)+(F287*0.15)+(G287*0.15)-(H287*0.10))*20,0))))</x:f>
      </x:c>
      <x:c r="J287" s="27" t="str">
        <x:f>IF(A287="","",IF(I287&gt;=80,"P1 — первая версия",IF(I287&gt;=60,"P2 — следующий выпуск",IF(I287&gt;=40,"P3 — можно отложить","Не включать"))))</x:f>
      </x:c>
      <x:c r="K287" s="27" t="str"/>
      <x:c r="L287" s="27" t="str"/>
      <x:c r="M287" s="27"/>
      <x:c r="N287" s="27"/>
      <x:c r="O287" s="27"/>
      <x:c r="P287" s="27"/>
      <x:c r="Q287" s="27"/>
      <x:c r="R287" s="27"/>
      <x:c r="S287" s="27"/>
      <x:c r="T287" s="27"/>
      <x:c r="U287" s="27"/>
    </x:row>
    <x:row r="288">
      <x:c r="A288" s="27" t="str"/>
      <x:c r="B288" s="27" t="str"/>
      <x:c r="C288" s="27" t="str"/>
      <x:c r="D288" s="27" t="str"/>
      <x:c r="E288" s="27" t="str"/>
      <x:c r="F288" s="27" t="str"/>
      <x:c r="G288" s="27" t="str"/>
      <x:c r="H288" s="27" t="str"/>
      <x:c r="I288" s="27" t="str">
        <x:f>IF(A288="","",MAX(0,MIN(100,ROUND(((D288*0.30)+(E288*0.30)+(F288*0.15)+(G288*0.15)-(H288*0.10))*20,0))))</x:f>
      </x:c>
      <x:c r="J288" s="27" t="str">
        <x:f>IF(A288="","",IF(I288&gt;=80,"P1 — первая версия",IF(I288&gt;=60,"P2 — следующий выпуск",IF(I288&gt;=40,"P3 — можно отложить","Не включать"))))</x:f>
      </x:c>
      <x:c r="K288" s="27" t="str"/>
      <x:c r="L288" s="27" t="str"/>
      <x:c r="M288" s="27"/>
      <x:c r="N288" s="27"/>
      <x:c r="O288" s="27"/>
      <x:c r="P288" s="27"/>
      <x:c r="Q288" s="27"/>
      <x:c r="R288" s="27"/>
      <x:c r="S288" s="27"/>
      <x:c r="T288" s="27"/>
      <x:c r="U288" s="27"/>
    </x:row>
    <x:row r="289">
      <x:c r="A289" s="27" t="str"/>
      <x:c r="B289" s="27" t="str"/>
      <x:c r="C289" s="27" t="str"/>
      <x:c r="D289" s="27" t="str"/>
      <x:c r="E289" s="27" t="str"/>
      <x:c r="F289" s="27" t="str"/>
      <x:c r="G289" s="27" t="str"/>
      <x:c r="H289" s="27" t="str"/>
      <x:c r="I289" s="27" t="str">
        <x:f>IF(A289="","",MAX(0,MIN(100,ROUND(((D289*0.30)+(E289*0.30)+(F289*0.15)+(G289*0.15)-(H289*0.10))*20,0))))</x:f>
      </x:c>
      <x:c r="J289" s="27" t="str">
        <x:f>IF(A289="","",IF(I289&gt;=80,"P1 — первая версия",IF(I289&gt;=60,"P2 — следующий выпуск",IF(I289&gt;=40,"P3 — можно отложить","Не включать"))))</x:f>
      </x:c>
      <x:c r="K289" s="27" t="str"/>
      <x:c r="L289" s="27" t="str"/>
      <x:c r="M289" s="27"/>
      <x:c r="N289" s="27"/>
      <x:c r="O289" s="27"/>
      <x:c r="P289" s="27"/>
      <x:c r="Q289" s="27"/>
      <x:c r="R289" s="27"/>
      <x:c r="S289" s="27"/>
      <x:c r="T289" s="27"/>
      <x:c r="U289" s="27"/>
    </x:row>
    <x:row r="290">
      <x:c r="A290" s="27" t="str"/>
      <x:c r="B290" s="27" t="str"/>
      <x:c r="C290" s="27" t="str"/>
      <x:c r="D290" s="27" t="str"/>
      <x:c r="E290" s="27" t="str"/>
      <x:c r="F290" s="27" t="str"/>
      <x:c r="G290" s="27" t="str"/>
      <x:c r="H290" s="27" t="str"/>
      <x:c r="I290" s="27" t="str">
        <x:f>IF(A290="","",MAX(0,MIN(100,ROUND(((D290*0.30)+(E290*0.30)+(F290*0.15)+(G290*0.15)-(H290*0.10))*20,0))))</x:f>
      </x:c>
      <x:c r="J290" s="27" t="str">
        <x:f>IF(A290="","",IF(I290&gt;=80,"P1 — первая версия",IF(I290&gt;=60,"P2 — следующий выпуск",IF(I290&gt;=40,"P3 — можно отложить","Не включать"))))</x:f>
      </x:c>
      <x:c r="K290" s="27" t="str"/>
      <x:c r="L290" s="27" t="str"/>
      <x:c r="M290" s="27"/>
      <x:c r="N290" s="27"/>
      <x:c r="O290" s="27"/>
      <x:c r="P290" s="27"/>
      <x:c r="Q290" s="27"/>
      <x:c r="R290" s="27"/>
      <x:c r="S290" s="27"/>
      <x:c r="T290" s="27"/>
      <x:c r="U290" s="27"/>
    </x:row>
    <x:row r="291">
      <x:c r="A291" s="27" t="str"/>
      <x:c r="B291" s="27" t="str"/>
      <x:c r="C291" s="27" t="str"/>
      <x:c r="D291" s="27" t="str"/>
      <x:c r="E291" s="27" t="str"/>
      <x:c r="F291" s="27" t="str"/>
      <x:c r="G291" s="27" t="str"/>
      <x:c r="H291" s="27" t="str"/>
      <x:c r="I291" s="27" t="str">
        <x:f>IF(A291="","",MAX(0,MIN(100,ROUND(((D291*0.30)+(E291*0.30)+(F291*0.15)+(G291*0.15)-(H291*0.10))*20,0))))</x:f>
      </x:c>
      <x:c r="J291" s="27" t="str">
        <x:f>IF(A291="","",IF(I291&gt;=80,"P1 — первая версия",IF(I291&gt;=60,"P2 — следующий выпуск",IF(I291&gt;=40,"P3 — можно отложить","Не включать"))))</x:f>
      </x:c>
      <x:c r="K291" s="27" t="str"/>
      <x:c r="L291" s="27" t="str"/>
      <x:c r="M291" s="27"/>
      <x:c r="N291" s="27"/>
      <x:c r="O291" s="27"/>
      <x:c r="P291" s="27"/>
      <x:c r="Q291" s="27"/>
      <x:c r="R291" s="27"/>
      <x:c r="S291" s="27"/>
      <x:c r="T291" s="27"/>
      <x:c r="U291" s="27"/>
    </x:row>
    <x:row r="292">
      <x:c r="A292" s="27" t="str"/>
      <x:c r="B292" s="27" t="str"/>
      <x:c r="C292" s="27" t="str"/>
      <x:c r="D292" s="27" t="str"/>
      <x:c r="E292" s="27" t="str"/>
      <x:c r="F292" s="27" t="str"/>
      <x:c r="G292" s="27" t="str"/>
      <x:c r="H292" s="27" t="str"/>
      <x:c r="I292" s="27" t="str">
        <x:f>IF(A292="","",MAX(0,MIN(100,ROUND(((D292*0.30)+(E292*0.30)+(F292*0.15)+(G292*0.15)-(H292*0.10))*20,0))))</x:f>
      </x:c>
      <x:c r="J292" s="27" t="str">
        <x:f>IF(A292="","",IF(I292&gt;=80,"P1 — первая версия",IF(I292&gt;=60,"P2 — следующий выпуск",IF(I292&gt;=40,"P3 — можно отложить","Не включать"))))</x:f>
      </x:c>
      <x:c r="K292" s="27" t="str"/>
      <x:c r="L292" s="27" t="str"/>
      <x:c r="M292" s="27"/>
      <x:c r="N292" s="27"/>
      <x:c r="O292" s="27"/>
      <x:c r="P292" s="27"/>
      <x:c r="Q292" s="27"/>
      <x:c r="R292" s="27"/>
      <x:c r="S292" s="27"/>
      <x:c r="T292" s="27"/>
      <x:c r="U292" s="27"/>
    </x:row>
    <x:row r="293">
      <x:c r="A293" s="27" t="str"/>
      <x:c r="B293" s="27" t="str"/>
      <x:c r="C293" s="27" t="str"/>
      <x:c r="D293" s="27" t="str"/>
      <x:c r="E293" s="27" t="str"/>
      <x:c r="F293" s="27" t="str"/>
      <x:c r="G293" s="27" t="str"/>
      <x:c r="H293" s="27" t="str"/>
      <x:c r="I293" s="27" t="str">
        <x:f>IF(A293="","",MAX(0,MIN(100,ROUND(((D293*0.30)+(E293*0.30)+(F293*0.15)+(G293*0.15)-(H293*0.10))*20,0))))</x:f>
      </x:c>
      <x:c r="J293" s="27" t="str">
        <x:f>IF(A293="","",IF(I293&gt;=80,"P1 — первая версия",IF(I293&gt;=60,"P2 — следующий выпуск",IF(I293&gt;=40,"P3 — можно отложить","Не включать"))))</x:f>
      </x:c>
      <x:c r="K293" s="27" t="str"/>
      <x:c r="L293" s="27" t="str"/>
      <x:c r="M293" s="27"/>
      <x:c r="N293" s="27"/>
      <x:c r="O293" s="27"/>
      <x:c r="P293" s="27"/>
      <x:c r="Q293" s="27"/>
      <x:c r="R293" s="27"/>
      <x:c r="S293" s="27"/>
      <x:c r="T293" s="27"/>
      <x:c r="U293" s="27"/>
    </x:row>
    <x:row r="294">
      <x:c r="A294" s="27" t="str"/>
      <x:c r="B294" s="27" t="str"/>
      <x:c r="C294" s="27" t="str"/>
      <x:c r="D294" s="27" t="str"/>
      <x:c r="E294" s="27" t="str"/>
      <x:c r="F294" s="27" t="str"/>
      <x:c r="G294" s="27" t="str"/>
      <x:c r="H294" s="27" t="str"/>
      <x:c r="I294" s="27" t="str">
        <x:f>IF(A294="","",MAX(0,MIN(100,ROUND(((D294*0.30)+(E294*0.30)+(F294*0.15)+(G294*0.15)-(H294*0.10))*20,0))))</x:f>
      </x:c>
      <x:c r="J294" s="27" t="str">
        <x:f>IF(A294="","",IF(I294&gt;=80,"P1 — первая версия",IF(I294&gt;=60,"P2 — следующий выпуск",IF(I294&gt;=40,"P3 — можно отложить","Не включать"))))</x:f>
      </x:c>
      <x:c r="K294" s="27" t="str"/>
      <x:c r="L294" s="27" t="str"/>
      <x:c r="M294" s="27"/>
      <x:c r="N294" s="27"/>
      <x:c r="O294" s="27"/>
      <x:c r="P294" s="27"/>
      <x:c r="Q294" s="27"/>
      <x:c r="R294" s="27"/>
      <x:c r="S294" s="27"/>
      <x:c r="T294" s="27"/>
      <x:c r="U294" s="27"/>
    </x:row>
    <x:row r="295">
      <x:c r="A295" s="27" t="str"/>
      <x:c r="B295" s="27" t="str"/>
      <x:c r="C295" s="27" t="str"/>
      <x:c r="D295" s="27" t="str"/>
      <x:c r="E295" s="27" t="str"/>
      <x:c r="F295" s="27" t="str"/>
      <x:c r="G295" s="27" t="str"/>
      <x:c r="H295" s="27" t="str"/>
      <x:c r="I295" s="27" t="str">
        <x:f>IF(A295="","",MAX(0,MIN(100,ROUND(((D295*0.30)+(E295*0.30)+(F295*0.15)+(G295*0.15)-(H295*0.10))*20,0))))</x:f>
      </x:c>
      <x:c r="J295" s="27" t="str">
        <x:f>IF(A295="","",IF(I295&gt;=80,"P1 — первая версия",IF(I295&gt;=60,"P2 — следующий выпуск",IF(I295&gt;=40,"P3 — можно отложить","Не включать"))))</x:f>
      </x:c>
      <x:c r="K295" s="27" t="str"/>
      <x:c r="L295" s="27" t="str"/>
      <x:c r="M295" s="27"/>
      <x:c r="N295" s="27"/>
      <x:c r="O295" s="27"/>
      <x:c r="P295" s="27"/>
      <x:c r="Q295" s="27"/>
      <x:c r="R295" s="27"/>
      <x:c r="S295" s="27"/>
      <x:c r="T295" s="27"/>
      <x:c r="U295" s="27"/>
    </x:row>
    <x:row r="296">
      <x:c r="A296" s="27" t="str"/>
      <x:c r="B296" s="27" t="str"/>
      <x:c r="C296" s="27" t="str"/>
      <x:c r="D296" s="27" t="str"/>
      <x:c r="E296" s="27" t="str"/>
      <x:c r="F296" s="27" t="str"/>
      <x:c r="G296" s="27" t="str"/>
      <x:c r="H296" s="27" t="str"/>
      <x:c r="I296" s="27" t="str">
        <x:f>IF(A296="","",MAX(0,MIN(100,ROUND(((D296*0.30)+(E296*0.30)+(F296*0.15)+(G296*0.15)-(H296*0.10))*20,0))))</x:f>
      </x:c>
      <x:c r="J296" s="27" t="str">
        <x:f>IF(A296="","",IF(I296&gt;=80,"P1 — первая версия",IF(I296&gt;=60,"P2 — следующий выпуск",IF(I296&gt;=40,"P3 — можно отложить","Не включать"))))</x:f>
      </x:c>
      <x:c r="K296" s="27" t="str"/>
      <x:c r="L296" s="27" t="str"/>
      <x:c r="M296" s="27"/>
      <x:c r="N296" s="27"/>
      <x:c r="O296" s="27"/>
      <x:c r="P296" s="27"/>
      <x:c r="Q296" s="27"/>
      <x:c r="R296" s="27"/>
      <x:c r="S296" s="27"/>
      <x:c r="T296" s="27"/>
      <x:c r="U296" s="27"/>
    </x:row>
    <x:row r="297">
      <x:c r="A297" s="27" t="str"/>
      <x:c r="B297" s="27" t="str"/>
      <x:c r="C297" s="27" t="str"/>
      <x:c r="D297" s="27" t="str"/>
      <x:c r="E297" s="27" t="str"/>
      <x:c r="F297" s="27" t="str"/>
      <x:c r="G297" s="27" t="str"/>
      <x:c r="H297" s="27" t="str"/>
      <x:c r="I297" s="27" t="str">
        <x:f>IF(A297="","",MAX(0,MIN(100,ROUND(((D297*0.30)+(E297*0.30)+(F297*0.15)+(G297*0.15)-(H297*0.10))*20,0))))</x:f>
      </x:c>
      <x:c r="J297" s="27" t="str">
        <x:f>IF(A297="","",IF(I297&gt;=80,"P1 — первая версия",IF(I297&gt;=60,"P2 — следующий выпуск",IF(I297&gt;=40,"P3 — можно отложить","Не включать"))))</x:f>
      </x:c>
      <x:c r="K297" s="27" t="str"/>
      <x:c r="L297" s="27" t="str"/>
      <x:c r="M297" s="27"/>
      <x:c r="N297" s="27"/>
      <x:c r="O297" s="27"/>
      <x:c r="P297" s="27"/>
      <x:c r="Q297" s="27"/>
      <x:c r="R297" s="27"/>
      <x:c r="S297" s="27"/>
      <x:c r="T297" s="27"/>
      <x:c r="U297" s="27"/>
    </x:row>
    <x:row r="298">
      <x:c r="A298" s="27" t="str"/>
      <x:c r="B298" s="27" t="str"/>
      <x:c r="C298" s="27" t="str"/>
      <x:c r="D298" s="27" t="str"/>
      <x:c r="E298" s="27" t="str"/>
      <x:c r="F298" s="27" t="str"/>
      <x:c r="G298" s="27" t="str"/>
      <x:c r="H298" s="27" t="str"/>
      <x:c r="I298" s="27" t="str">
        <x:f>IF(A298="","",MAX(0,MIN(100,ROUND(((D298*0.30)+(E298*0.30)+(F298*0.15)+(G298*0.15)-(H298*0.10))*20,0))))</x:f>
      </x:c>
      <x:c r="J298" s="27" t="str">
        <x:f>IF(A298="","",IF(I298&gt;=80,"P1 — первая версия",IF(I298&gt;=60,"P2 — следующий выпуск",IF(I298&gt;=40,"P3 — можно отложить","Не включать"))))</x:f>
      </x:c>
      <x:c r="K298" s="27" t="str"/>
      <x:c r="L298" s="27" t="str"/>
      <x:c r="M298" s="27"/>
      <x:c r="N298" s="27"/>
      <x:c r="O298" s="27"/>
      <x:c r="P298" s="27"/>
      <x:c r="Q298" s="27"/>
      <x:c r="R298" s="27"/>
      <x:c r="S298" s="27"/>
      <x:c r="T298" s="27"/>
      <x:c r="U298" s="27"/>
    </x:row>
    <x:row r="299">
      <x:c r="A299" s="27" t="str"/>
      <x:c r="B299" s="27" t="str"/>
      <x:c r="C299" s="27" t="str"/>
      <x:c r="D299" s="27" t="str"/>
      <x:c r="E299" s="27" t="str"/>
      <x:c r="F299" s="27" t="str"/>
      <x:c r="G299" s="27" t="str"/>
      <x:c r="H299" s="27" t="str"/>
      <x:c r="I299" s="27" t="str">
        <x:f>IF(A299="","",MAX(0,MIN(100,ROUND(((D299*0.30)+(E299*0.30)+(F299*0.15)+(G299*0.15)-(H299*0.10))*20,0))))</x:f>
      </x:c>
      <x:c r="J299" s="27" t="str">
        <x:f>IF(A299="","",IF(I299&gt;=80,"P1 — первая версия",IF(I299&gt;=60,"P2 — следующий выпуск",IF(I299&gt;=40,"P3 — можно отложить","Не включать"))))</x:f>
      </x:c>
      <x:c r="K299" s="27" t="str"/>
      <x:c r="L299" s="27" t="str"/>
      <x:c r="M299" s="27"/>
      <x:c r="N299" s="27"/>
      <x:c r="O299" s="27"/>
      <x:c r="P299" s="27"/>
      <x:c r="Q299" s="27"/>
      <x:c r="R299" s="27"/>
      <x:c r="S299" s="27"/>
      <x:c r="T299" s="27"/>
      <x:c r="U299" s="27"/>
    </x:row>
    <x:row r="300">
      <x:c r="A300" s="27" t="str"/>
      <x:c r="B300" s="27" t="str"/>
      <x:c r="C300" s="27" t="str"/>
      <x:c r="D300" s="27" t="str"/>
      <x:c r="E300" s="27" t="str"/>
      <x:c r="F300" s="27" t="str"/>
      <x:c r="G300" s="27" t="str"/>
      <x:c r="H300" s="27" t="str"/>
      <x:c r="I300" s="27" t="str">
        <x:f>IF(A300="","",MAX(0,MIN(100,ROUND(((D300*0.30)+(E300*0.30)+(F300*0.15)+(G300*0.15)-(H300*0.10))*20,0))))</x:f>
      </x:c>
      <x:c r="J300" s="27" t="str">
        <x:f>IF(A300="","",IF(I300&gt;=80,"P1 — первая версия",IF(I300&gt;=60,"P2 — следующий выпуск",IF(I300&gt;=40,"P3 — можно отложить","Не включать"))))</x:f>
      </x:c>
      <x:c r="K300" s="27" t="str"/>
      <x:c r="L300" s="27" t="str"/>
      <x:c r="M300" s="27"/>
      <x:c r="N300" s="27"/>
      <x:c r="O300" s="27"/>
      <x:c r="P300" s="27"/>
      <x:c r="Q300" s="27"/>
      <x:c r="R300" s="27"/>
      <x:c r="S300" s="27"/>
      <x:c r="T300" s="27"/>
      <x:c r="U300" s="27"/>
    </x:row>
    <x:row r="301">
      <x:c r="A301" s="27" t="str"/>
      <x:c r="B301" s="27" t="str"/>
      <x:c r="C301" s="27" t="str"/>
      <x:c r="D301" s="27" t="str"/>
      <x:c r="E301" s="27" t="str"/>
      <x:c r="F301" s="27" t="str"/>
      <x:c r="G301" s="27" t="str"/>
      <x:c r="H301" s="27" t="str"/>
      <x:c r="I301" s="27" t="str">
        <x:f>IF(A301="","",MAX(0,MIN(100,ROUND(((D301*0.30)+(E301*0.30)+(F301*0.15)+(G301*0.15)-(H301*0.10))*20,0))))</x:f>
      </x:c>
      <x:c r="J301" s="27" t="str">
        <x:f>IF(A301="","",IF(I301&gt;=80,"P1 — первая версия",IF(I301&gt;=60,"P2 — следующий выпуск",IF(I301&gt;=40,"P3 — можно отложить","Не включать"))))</x:f>
      </x:c>
      <x:c r="K301" s="27" t="str"/>
      <x:c r="L301" s="27" t="str"/>
      <x:c r="M301" s="27"/>
      <x:c r="N301" s="27"/>
      <x:c r="O301" s="27"/>
      <x:c r="P301" s="27"/>
      <x:c r="Q301" s="27"/>
      <x:c r="R301" s="27"/>
      <x:c r="S301" s="27"/>
      <x:c r="T301" s="27"/>
      <x:c r="U301" s="27"/>
    </x:row>
    <x:row r="302">
      <x:c r="A302" s="27" t="str"/>
      <x:c r="B302" s="27" t="str"/>
      <x:c r="C302" s="27" t="str"/>
      <x:c r="D302" s="27" t="str"/>
      <x:c r="E302" s="27" t="str"/>
      <x:c r="F302" s="27" t="str"/>
      <x:c r="G302" s="27" t="str"/>
      <x:c r="H302" s="27" t="str"/>
      <x:c r="I302" s="27" t="str">
        <x:f>IF(A302="","",MAX(0,MIN(100,ROUND(((D302*0.30)+(E302*0.30)+(F302*0.15)+(G302*0.15)-(H302*0.10))*20,0))))</x:f>
      </x:c>
      <x:c r="J302" s="27" t="str">
        <x:f>IF(A302="","",IF(I302&gt;=80,"P1 — первая версия",IF(I302&gt;=60,"P2 — следующий выпуск",IF(I302&gt;=40,"P3 — можно отложить","Не включать"))))</x:f>
      </x:c>
      <x:c r="K302" s="27" t="str"/>
      <x:c r="L302" s="27" t="str"/>
      <x:c r="M302" s="27"/>
      <x:c r="N302" s="27"/>
      <x:c r="O302" s="27"/>
      <x:c r="P302" s="27"/>
      <x:c r="Q302" s="27"/>
      <x:c r="R302" s="27"/>
      <x:c r="S302" s="27"/>
      <x:c r="T302" s="27"/>
      <x:c r="U302" s="27"/>
    </x:row>
    <x:row r="303">
      <x:c r="A303" s="27" t="str"/>
      <x:c r="B303" s="27" t="str"/>
      <x:c r="C303" s="27" t="str"/>
      <x:c r="D303" s="27" t="str"/>
      <x:c r="E303" s="27" t="str"/>
      <x:c r="F303" s="27" t="str"/>
      <x:c r="G303" s="27" t="str"/>
      <x:c r="H303" s="27" t="str"/>
      <x:c r="I303" s="27" t="str">
        <x:f>IF(A303="","",MAX(0,MIN(100,ROUND(((D303*0.30)+(E303*0.30)+(F303*0.15)+(G303*0.15)-(H303*0.10))*20,0))))</x:f>
      </x:c>
      <x:c r="J303" s="27" t="str">
        <x:f>IF(A303="","",IF(I303&gt;=80,"P1 — первая версия",IF(I303&gt;=60,"P2 — следующий выпуск",IF(I303&gt;=40,"P3 — можно отложить","Не включать"))))</x:f>
      </x:c>
      <x:c r="K303" s="27" t="str"/>
      <x:c r="L303" s="27" t="str"/>
      <x:c r="M303" s="27"/>
      <x:c r="N303" s="27"/>
      <x:c r="O303" s="27"/>
      <x:c r="P303" s="27"/>
      <x:c r="Q303" s="27"/>
      <x:c r="R303" s="27"/>
      <x:c r="S303" s="27"/>
      <x:c r="T303" s="27"/>
      <x:c r="U303" s="27"/>
    </x:row>
    <x:row r="304">
      <x:c r="A304" s="27" t="str"/>
      <x:c r="B304" s="27" t="str"/>
      <x:c r="C304" s="27" t="str"/>
      <x:c r="D304" s="27" t="str"/>
      <x:c r="E304" s="27" t="str"/>
      <x:c r="F304" s="27" t="str"/>
      <x:c r="G304" s="27" t="str"/>
      <x:c r="H304" s="27" t="str"/>
      <x:c r="I304" s="27" t="str">
        <x:f>IF(A304="","",MAX(0,MIN(100,ROUND(((D304*0.30)+(E304*0.30)+(F304*0.15)+(G304*0.15)-(H304*0.10))*20,0))))</x:f>
      </x:c>
      <x:c r="J304" s="27" t="str">
        <x:f>IF(A304="","",IF(I304&gt;=80,"P1 — первая версия",IF(I304&gt;=60,"P2 — следующий выпуск",IF(I304&gt;=40,"P3 — можно отложить","Не включать"))))</x:f>
      </x:c>
      <x:c r="K304" s="27" t="str"/>
      <x:c r="L304" s="27" t="str"/>
      <x:c r="M304" s="27"/>
      <x:c r="N304" s="27"/>
      <x:c r="O304" s="27"/>
      <x:c r="P304" s="27"/>
      <x:c r="Q304" s="27"/>
      <x:c r="R304" s="27"/>
      <x:c r="S304" s="27"/>
      <x:c r="T304" s="27"/>
      <x:c r="U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</x:row>
  </x:sheetData>
  <x:mergeCells>
    <x:mergeCell ref="A1:L1"/>
    <x:mergeCell ref="A2:L2"/>
  </x:mergeCells>
  <x:conditionalFormatting sqref="I5:I304">
    <x:cfRule type="dataBar" priority="1">
      <x:dataBar>
        <x:cfvo type="min"/>
        <x:cfvo type="max"/>
        <x:color rgb="2F6F7E"/>
      </x:dataBar>
      <x:extLst>
        <x:ext xmlns:x14="http://schemas.microsoft.com/office/spreadsheetml/2009/9/main" uri="{B025F937-C7B1-47D3-B67F-A62EFF666E3E}">
          <x14:id>{CBD40420-4A5B-1EDE-8A5F-A48E38ED2852}</x14:id>
        </x:ext>
      </x:extLst>
    </x:cfRule>
  </x:conditionalFormatting>
  <x:conditionalFormatting sqref="J5:J304">
    <x:cfRule type="expression" dxfId="2" priority="2">
      <x:formula>LEFT(J5,2)="P1"</x:formula>
    </x:cfRule>
  </x:conditionalFormatting>
  <x:dataValidations count="2">
    <x:dataValidation type="list" sqref="D5:H304">
      <x:formula1>"1,2,3,4,5"</x:formula1>
    </x:dataValidation>
    <x:dataValidation type="list" sqref="L5:L304">
      <x:formula1>"Оставить,Объединить,Разделить,Уточнить,Исключить,Перенести в следующий выпуск"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f47de362e14e2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BD40420-4A5B-1EDE-8A5F-A48E38ED2852}">
            <x14:dataBar gradient="1">
              <x14:cfvo type="min"/>
              <x14:cfvo type="max"/>
              <x14:fillColor rgb="2F6F7E"/>
            </x14:dataBar>
          </x14:cfRule>
          <xm:sqref>I5:I304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  <x:col min="3" max="3" width="40" hidden="0" customWidth="1"/>
    <x:col min="4" max="4" width="16" hidden="0" customWidth="1"/>
    <x:col min="5" max="5" width="18" hidden="0" customWidth="1"/>
    <x:col min="6" max="6" width="55" hidden="0" customWidth="1"/>
  </x:cols>
  <x:sheetData>
    <x:row r="1" ht="32" customHeight="1">
      <x:c r="A1" s="60" t="str">
        <x:v>Проверка связности проектной логики</x:v>
      </x:c>
      <x:c r="B1" s="60"/>
      <x:c r="C1" s="60"/>
      <x:c r="D1" s="60"/>
      <x:c r="E1" s="60"/>
      <x:c r="F1" s="60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</x:row>
    <x:row r="2" ht="32" customHeight="1">
      <x:c r="A2" s="9" t="str">
        <x:v>Лист показывает, насколько интерфейсные единицы выведены из анализа и связаны со сценариями, навигацией, состояниями и бизнес-моделью.</x:v>
      </x:c>
      <x:c r="B2" s="9"/>
      <x:c r="C2" s="9"/>
      <x:c r="D2" s="9"/>
      <x:c r="E2" s="9"/>
      <x:c r="F2" s="9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 ht="38" customHeight="1">
      <x:c r="A4" s="50" t="str">
        <x:v>Проверка</x:v>
      </x:c>
      <x:c r="B4" s="50" t="str">
        <x:v>Описание</x:v>
      </x:c>
      <x:c r="C4" s="50" t="str">
        <x:v>Расчет / критерий</x:v>
      </x:c>
      <x:c r="D4" s="50" t="str">
        <x:v>Результат</x:v>
      </x:c>
      <x:c r="E4" s="50" t="str">
        <x:v>Статус</x:v>
      </x:c>
      <x:c r="F4" s="50" t="str">
        <x:v>Что исправить</x:v>
      </x:c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</x:row>
    <x:row r="5">
      <x:c r="A5" s="27" t="str">
        <x:v>Покрытие сценариев</x:v>
      </x:c>
      <x:c r="B5" s="27" t="str">
        <x:v>У каждого значимого сценария есть хотя бы одна страница или экран</x:v>
      </x:c>
      <x:c r="C5" s="27" t="str">
        <x:v>Сценарии с покрытием / всего сценариев</x:v>
      </x:c>
      <x:c r="D5" s="52" t="n">
        <x:f>IFERROR(COUNTIF('Пользовательские_сценарии'!$N$5:$N$304,"Покрыт")/SUMPRODUCT(--('Пользовательские_сценарии'!$A$5:$A$304&lt;&gt;"")),0)</x:f>
        <x:v>1</x:v>
      </x:c>
      <x:c r="E5" s="27" t="str">
        <x:f>IF(D5&gt;=0.9,"Норма",IF(D5&gt;=0.7,"Требует проверки","Проблема"))</x:f>
        <x:v>Норма</x:v>
      </x:c>
      <x:c r="F5" s="27" t="str">
        <x:v>Для сценариев без покрытия добавить интерфейсную единицу или исключить сценарий</x:v>
      </x:c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</x:row>
    <x:row r="6">
      <x:c r="A6" s="27" t="str">
        <x:v>Интерфейсные единицы без сценария</x:v>
      </x:c>
      <x:c r="B6" s="27" t="str">
        <x:v>Не должно быть страниц и экранов без связанного сценария</x:v>
      </x:c>
      <x:c r="C6" s="27" t="str">
        <x:v>Количество строк с пустым сценарием</x:v>
      </x:c>
      <x:c r="D6" s="27" t="n">
        <x:f>SUMPRODUCT(--('Страницы_и_экраны'!$A$5:$A$304&lt;&gt;""),--('Страницы_и_экраны'!$E$5:$E$304=""))</x:f>
        <x:v>0</x:v>
      </x:c>
      <x:c r="E6" s="27" t="str">
        <x:f>IF(D6=0,"Норма","Проблема")</x:f>
        <x:v>Норма</x:v>
      </x:c>
      <x:c r="F6" s="27" t="str">
        <x:v>Указать сценарий или удалить лишнюю единицу</x:v>
      </x:c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</x:row>
    <x:row r="7">
      <x:c r="A7" s="27" t="str">
        <x:v>Полнота паспортов</x:v>
      </x:c>
      <x:c r="B7" s="27" t="str">
        <x:v>Паспорта ключевых страниц и экранов должны быть заполнены не менее чем на 85%</x:v>
      </x:c>
      <x:c r="C7" s="27" t="str">
        <x:v>Средняя полнота паспортов</x:v>
      </x:c>
      <x:c r="D7" s="52" t="n">
        <x:f>IFERROR(AVERAGE('Паспорт_экрана'!$N$5:$N$304),0)</x:f>
        <x:v>1</x:v>
      </x:c>
      <x:c r="E7" s="27" t="str">
        <x:f>IF(D7&gt;=0.85,"Норма",IF(D7&gt;=0.6,"Требует проверки","Проблема"))</x:f>
        <x:v>Норма</x:v>
      </x:c>
      <x:c r="F7" s="27" t="str">
        <x:v>Заполнить назначение, задачи, действия, состояния, навигацию, метрики</x:v>
      </x:c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</x:row>
    <x:row r="8">
      <x:c r="A8" s="27" t="str">
        <x:v>Навигация</x:v>
      </x:c>
      <x:c r="B8" s="27" t="str">
        <x:v>Ключевые страницы и экраны должны иметь переходы</x:v>
      </x:c>
      <x:c r="C8" s="27" t="str">
        <x:v>Количество описанных переходов</x:v>
      </x:c>
      <x:c r="D8" s="27" t="n">
        <x:f>SUMPRODUCT(--('Навигация_и_карта'!$A$5:$A$204&lt;&gt;""))</x:f>
        <x:v>1</x:v>
      </x:c>
      <x:c r="E8" s="27" t="str">
        <x:f>IF(D8&gt;=SUMPRODUCT(--('Страницы_и_экраны'!$A$5:$A$304&lt;&gt;""))-1,"Норма",IF(D8&gt;0,"Требует проверки","Проблема"))</x:f>
        <x:v>Норма</x:v>
      </x:c>
      <x:c r="F8" s="27" t="str">
        <x:v>Добавить переходы между интерфейсными единицами</x:v>
      </x:c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</x:row>
    <x:row r="9">
      <x:c r="A9" s="27" t="str">
        <x:v>Состояния и ошибки</x:v>
      </x:c>
      <x:c r="B9" s="27" t="str">
        <x:v>Для ключевых страниц и экранов описаны состояния и исключения</x:v>
      </x:c>
      <x:c r="C9" s="27" t="str">
        <x:v>Средняя полнота состояний</x:v>
      </x:c>
      <x:c r="D9" s="52" t="n">
        <x:f>IFERROR(AVERAGE('Состояния_и_ошибки'!$K$5:$K$204),0)</x:f>
        <x:v>1</x:v>
      </x:c>
      <x:c r="E9" s="27" t="str">
        <x:f>IF(D9&gt;=0.85,"Норма",IF(D9&gt;=0.6,"Требует проверки","Проблема"))</x:f>
        <x:v>Норма</x:v>
      </x:c>
      <x:c r="F9" s="27" t="str">
        <x:v>Заполнить пустые, загрузочные, ошибочные и успешные состояния</x:v>
      </x:c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</x:row>
    <x:row r="10">
      <x:c r="A10" s="27" t="str">
        <x:v>Монетизационная связность</x:v>
      </x:c>
      <x:c r="B10" s="27" t="str">
        <x:v>Хотя бы одна интерфейсная единица должна вести к монетизации или поддерживать ее</x:v>
      </x:c>
      <x:c r="C10" s="27" t="str">
        <x:v>Количество единиц с монетизационной ролью</x:v>
      </x:c>
      <x:c r="D10" s="27" t="n">
        <x:f>SUMPRODUCT(--('Страницы_и_экраны'!$A$5:$A$304&lt;&gt;""),--('Страницы_и_экраны'!$P$5:$P$304&lt;&gt;""),--('Страницы_и_экраны'!$P$5:$P$304&lt;&gt;"Не связана напрямую"))</x:f>
        <x:v>2</x:v>
      </x:c>
      <x:c r="E10" s="27" t="str">
        <x:f>IF(D10&gt;=1,"Норма","Требует проверки")</x:f>
        <x:v>Норма</x:v>
      </x:c>
      <x:c r="F10" s="27" t="str">
        <x:v>Уточнить роль экранов в оплате, тарифах, удержании или снижении затрат</x:v>
      </x:c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</x:row>
    <x:row r="11">
      <x:c r="A11" s="27" t="str">
        <x:v>Доказательность</x:v>
      </x:c>
      <x:c r="B11" s="27" t="str">
        <x:v>У интерфейсных единиц есть источник требования</x:v>
      </x:c>
      <x:c r="C11" s="27" t="str">
        <x:v>Доля строк с источником требования</x:v>
      </x:c>
      <x:c r="D11" s="52" t="n">
        <x:f>IFERROR(SUMPRODUCT(--('Страницы_и_экраны'!$A$5:$A$304&lt;&gt;""),--('Страницы_и_экраны'!$J$5:$J$304&lt;&gt;""))/SUMPRODUCT(--('Страницы_и_экраны'!$A$5:$A$304&lt;&gt;"")),0)</x:f>
        <x:v>1</x:v>
      </x:c>
      <x:c r="E11" s="27" t="str">
        <x:f>IF(D11&gt;=0.8,"Норма",IF(D11&gt;=0.6,"Требует проверки","Проблема"))</x:f>
        <x:v>Норма</x:v>
      </x:c>
      <x:c r="F11" s="27" t="str">
        <x:v>Добавить ссылки на выводы, сценарии, отзывы, конкурентов или бизнес-модель</x:v>
      </x:c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</x:row>
  </x:sheetData>
  <x:mergeCells>
    <x:mergeCell ref="A1:F1"/>
    <x:mergeCell ref="A2:F2"/>
  </x:mergeCells>
  <x:conditionalFormatting sqref="E5:E11">
    <x:cfRule type="expression" dxfId="3" priority="1">
      <x:formula>E5="Проблема"</x:formula>
    </x:cfRule>
    <x:cfRule type="expression" dxfId="4" priority="2">
      <x:formula>E5="Требует проверки"</x:formula>
    </x:cfRule>
    <x:cfRule type="expression" dxfId="5" priority="3">
      <x:formula>E5="Норма"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8fdeae4218b475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8" hidden="0" customWidth="1"/>
    <x:col min="3" max="3" width="58" hidden="0" customWidth="1"/>
  </x:cols>
  <x:sheetData>
    <x:row r="1" ht="32" customHeight="1">
      <x:c r="A1" s="60" t="str">
        <x:v>Дашборд готовности перехода к страницам и экранам</x:v>
      </x:c>
      <x:c r="B1" s="60"/>
      <x:c r="C1" s="60"/>
      <x:c r="D1" s="60" t="str"/>
      <x:c r="E1" s="60"/>
      <x:c r="F1" s="60"/>
      <x:c r="G1" s="60"/>
      <x:c r="H1" s="60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</x:row>
    <x:row r="2" ht="32" customHeight="1">
      <x:c r="A2" s="9" t="str">
        <x:v>Показывает готовность проектной логики: покрытие сценариев, полноту паспортов, состояние навигации, наличие состояний и приоритизацию.</x:v>
      </x:c>
      <x:c r="B2" s="9"/>
      <x:c r="C2" s="9"/>
      <x:c r="D2" s="9" t="str"/>
      <x:c r="E2" s="9"/>
      <x:c r="F2" s="9"/>
      <x:c r="G2" s="9"/>
      <x:c r="H2" s="9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</x:row>
    <x:row r="3">
      <x:c r="A3" s="27"/>
      <x:c r="B3" s="27"/>
      <x:c r="C3" s="27"/>
      <x:c r="D3" s="27" t="str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</x:row>
    <x:row r="4" ht="38" customHeight="1">
      <x:c r="A4" s="50" t="str">
        <x:v>Показатель</x:v>
      </x:c>
      <x:c r="B4" s="50" t="str">
        <x:v>Значение</x:v>
      </x:c>
      <x:c r="C4" s="50" t="str">
        <x:v>Интерпретация</x:v>
      </x:c>
      <x:c r="D4" s="27"/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</x:row>
    <x:row r="5">
      <x:c r="A5" s="26" t="str">
        <x:v>Всего сценариев</x:v>
      </x:c>
      <x:c r="B5" s="52" t="n">
        <x:f>SUMPRODUCT(--('Пользовательские_сценарии'!$A$5:$A$304&lt;&gt;""))</x:f>
        <x:v>2</x:v>
      </x:c>
      <x:c r="C5" s="27" t="str">
        <x:v>Количество описанных пользовательских сценариев</x:v>
      </x:c>
      <x:c r="D5" s="27"/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</x:row>
    <x:row r="6">
      <x:c r="A6" s="26" t="str">
        <x:v>Покрытие сценариев страницами/экранами</x:v>
      </x:c>
      <x:c r="B6" s="52" t="n">
        <x:f>IFERROR(COUNTIF('Пользовательские_сценарии'!$N$5:$N$304,"Покрыт")/SUMPRODUCT(--('Пользовательские_сценарии'!$A$5:$A$304&lt;&gt;"")),0)</x:f>
        <x:v>1</x:v>
      </x:c>
      <x:c r="C6" s="27" t="str">
        <x:v>Доля сценариев, для которых определена интерфейсная единица</x:v>
      </x:c>
      <x:c r="D6" s="27"/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</x:row>
    <x:row r="7">
      <x:c r="A7" s="26" t="str">
        <x:v>Всего страниц и экранов</x:v>
      </x:c>
      <x:c r="B7" s="52" t="n">
        <x:f>SUMPRODUCT(--('Страницы_и_экраны'!$A$5:$A$304&lt;&gt;""))</x:f>
        <x:v>2</x:v>
      </x:c>
      <x:c r="C7" s="27" t="str">
        <x:v>Общее количество интерфейсных единиц</x:v>
      </x:c>
      <x:c r="D7" s="27"/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</x:row>
    <x:row r="8">
      <x:c r="A8" s="26" t="str">
        <x:v>Средняя полнота описания страниц/экранов</x:v>
      </x:c>
      <x:c r="B8" s="52" t="n">
        <x:f>IFERROR(AVERAGE('Страницы_и_экраны'!$T$5:$T$304),0)</x:f>
        <x:v>1</x:v>
      </x:c>
      <x:c r="C8" s="27" t="str">
        <x:v>Насколько заполнены назначения, данные, действия, состояния и требования</x:v>
      </x:c>
      <x:c r="D8" s="27"/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</x:row>
    <x:row r="9">
      <x:c r="A9" s="26" t="str">
        <x:v>Средняя полнота паспортов</x:v>
      </x:c>
      <x:c r="B9" s="27" t="n">
        <x:f>IFERROR(AVERAGE('Паспорт_экрана'!$N$5:$N$304),0)</x:f>
        <x:v>1</x:v>
      </x:c>
      <x:c r="C9" s="27" t="str">
        <x:v>Готовность к прототипированию и постановке задачи</x:v>
      </x:c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</x:row>
    <x:row r="10">
      <x:c r="A10" s="26" t="str">
        <x:v>Средняя полнота состояний</x:v>
      </x:c>
      <x:c r="B10" s="27" t="n">
        <x:f>IFERROR(AVERAGE('Состояния_и_ошибки'!$K$5:$K$204),0)</x:f>
        <x:v>1</x:v>
      </x:c>
      <x:c r="C10" s="27" t="str">
        <x:v>Наличие нормальных, пустых, загрузочных и ошибочных состояний</x:v>
      </x:c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</x:row>
    <x:row r="11">
      <x:c r="A11" s="26" t="str">
        <x:v>Интерфейсные единицы P1</x:v>
      </x:c>
      <x:c r="B11" s="27" t="n">
        <x:f>COUNTIF('Приоритизация'!$J$5:$J$304,"P1 — первая версия")</x:f>
        <x:v>1</x:v>
      </x:c>
      <x:c r="C11" s="27" t="str">
        <x:v>Кандидаты в первую версию</x:v>
      </x:c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</x:row>
    <x:row r="12">
      <x:c r="A12" s="26" t="str">
        <x:v>Интегральная готовность</x:v>
      </x:c>
      <x:c r="B12" s="52" t="n">
        <x:f>ROUND(AVERAGE(B6,B8,B9,B10),2)</x:f>
        <x:v>1</x:v>
      </x:c>
      <x:c r="C12" s="27" t="str">
        <x:v>Средняя готовность к переходу в прототипирование</x:v>
      </x:c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</x:row>
    <x:row r="14">
      <x:c r="A14" s="50" t="str">
        <x:v>Блок проверки</x:v>
      </x:c>
      <x:c r="B14" s="50" t="str">
        <x:v>Готовность</x:v>
      </x:c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</x:row>
    <x:row r="15">
      <x:c r="A15" s="27" t="str">
        <x:v>Покрытие сценариев</x:v>
      </x:c>
      <x:c r="B15" s="52" t="n">
        <x:f>B6</x:f>
        <x:v>1</x:v>
      </x:c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</x:row>
    <x:row r="16">
      <x:c r="A16" s="27" t="str">
        <x:v>Описание страниц/экранов</x:v>
      </x:c>
      <x:c r="B16" s="52" t="n">
        <x:f>B8</x:f>
        <x:v>1</x:v>
      </x:c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</x:row>
    <x:row r="17">
      <x:c r="A17" s="27" t="str">
        <x:v>Паспорта</x:v>
      </x:c>
      <x:c r="B17" s="52" t="n">
        <x:f>B9</x:f>
        <x:v>1</x:v>
      </x:c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</x:row>
    <x:row r="18">
      <x:c r="A18" s="27" t="str">
        <x:v>Состояния</x:v>
      </x:c>
      <x:c r="B18" s="52" t="n">
        <x:f>B10</x:f>
        <x:v>1</x:v>
      </x:c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db03b6b44a0f4bfe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2" customHeight="1">
      <x:c r="A1" s="60" t="str">
        <x:v>Справочники для выпадающих списков</x:v>
      </x:c>
      <x:c r="B1" s="60"/>
      <x:c r="C1" s="60"/>
      <x:c r="D1" s="60"/>
      <x:c r="E1" s="60"/>
      <x:c r="F1" s="60"/>
      <x:c r="G1" s="60"/>
      <x:c r="H1" s="60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</x:row>
    <x:row r="2" ht="32" customHeight="1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</x:row>
    <x:row r="3">
      <x:c r="A3" s="62" t="str">
        <x:v>Вид анализа</x:v>
      </x:c>
      <x:c r="B3" s="62" t="str">
        <x:v>Этап пути</x:v>
      </x:c>
      <x:c r="C3" s="62" t="str">
        <x:v>Тип интерфейсной единицы</x:v>
      </x:c>
      <x:c r="D3" s="62" t="str">
        <x:v>Тип связи</x:v>
      </x:c>
      <x:c r="E3" s="62" t="str">
        <x:v>Обязательность</x:v>
      </x:c>
      <x:c r="F3" s="62" t="str">
        <x:v>Статус</x:v>
      </x:c>
      <x:c r="G3" s="62" t="str">
        <x:v>ДаНет</x:v>
      </x:c>
      <x:c r="H3" s="62" t="str">
        <x:v>Решение</x:v>
      </x:c>
      <x:c r="I3" s="62" t="str">
        <x:v>Канал входа</x:v>
      </x:c>
      <x:c r="J3" s="62" t="str">
        <x:v>Роль в монетизации</x:v>
      </x:c>
      <x:c r="K3" s="62" t="str">
        <x:v>Тип перехода</x:v>
      </x:c>
      <x:c r="L3" s="62" t="str">
        <x:v>Приоритет</x:v>
      </x:c>
      <x:c r="M3" s="27"/>
      <x:c r="N3" s="27"/>
      <x:c r="O3" s="27"/>
      <x:c r="P3" s="27"/>
      <x:c r="Q3" s="27"/>
      <x:c r="R3" s="27"/>
      <x:c r="S3" s="27"/>
      <x:c r="T3" s="27"/>
      <x:c r="U3" s="27"/>
    </x:row>
    <x:row r="4" ht="38" customHeight="1">
      <x:c r="A4" s="27" t="str">
        <x:v>Анализ проблем</x:v>
      </x:c>
      <x:c r="B4" s="27" t="str">
        <x:v>Осведомление</x:v>
      </x:c>
      <x:c r="C4" s="27" t="str">
        <x:v>Страница сайта</x:v>
      </x:c>
      <x:c r="D4" s="27" t="str">
        <x:v>Основная</x:v>
      </x:c>
      <x:c r="E4" s="27" t="str">
        <x:v>Обязательно для первой версии</x:v>
      </x:c>
      <x:c r="F4" s="27" t="str">
        <x:v>Не начато</x:v>
      </x:c>
      <x:c r="G4" s="27" t="str">
        <x:v>Да</x:v>
      </x:c>
      <x:c r="H4" s="27" t="str">
        <x:v>Оставить</x:v>
      </x:c>
      <x:c r="I4" s="27" t="str">
        <x:v>Поиск</x:v>
      </x:c>
      <x:c r="J4" s="27" t="str">
        <x:v>Прямое получение оплаты</x:v>
      </x:c>
      <x:c r="K4" s="27" t="str">
        <x:v>Основной</x:v>
      </x:c>
      <x:c r="L4" s="27" t="str">
        <x:v>P1 — первая версия</x:v>
      </x:c>
      <x:c r="M4" s="27"/>
      <x:c r="N4" s="27"/>
      <x:c r="O4" s="27"/>
      <x:c r="P4" s="27"/>
      <x:c r="Q4" s="27"/>
      <x:c r="R4" s="27"/>
      <x:c r="S4" s="27"/>
      <x:c r="T4" s="27"/>
      <x:c r="U4" s="27"/>
    </x:row>
    <x:row r="5">
      <x:c r="A5" s="27" t="str">
        <x:v>Анализ отзывов</x:v>
      </x:c>
      <x:c r="B5" s="27" t="str">
        <x:v>Первичный интерес</x:v>
      </x:c>
      <x:c r="C5" s="27" t="str">
        <x:v>Экран приложения</x:v>
      </x:c>
      <x:c r="D5" s="27" t="str">
        <x:v>Поддерживающая</x:v>
      </x:c>
      <x:c r="E5" s="27" t="str">
        <x:v>Желательно для первой версии</x:v>
      </x:c>
      <x:c r="F5" s="27" t="str">
        <x:v>Требует уточнения</x:v>
      </x:c>
      <x:c r="G5" s="27" t="str">
        <x:v>Нет</x:v>
      </x:c>
      <x:c r="H5" s="27" t="str">
        <x:v>Объединить</x:v>
      </x:c>
      <x:c r="I5" s="27" t="str">
        <x:v>Реклама</x:v>
      </x:c>
      <x:c r="J5" s="27" t="str">
        <x:v>Подведение к оплате</x:v>
      </x:c>
      <x:c r="K5" s="27" t="str">
        <x:v>Возврат</x:v>
      </x:c>
      <x:c r="L5" s="27" t="str">
        <x:v>P2 — следующий выпуск</x:v>
      </x:c>
      <x:c r="M5" s="27"/>
      <x:c r="N5" s="27"/>
      <x:c r="O5" s="27"/>
      <x:c r="P5" s="27"/>
      <x:c r="Q5" s="27"/>
      <x:c r="R5" s="27"/>
      <x:c r="S5" s="27"/>
      <x:c r="T5" s="27"/>
      <x:c r="U5" s="27"/>
    </x:row>
    <x:row r="6">
      <x:c r="A6" s="27" t="str">
        <x:v>Анализ конкурентов</x:v>
      </x:c>
      <x:c r="B6" s="27" t="str">
        <x:v>Оценка решения</x:v>
      </x:c>
      <x:c r="C6" s="27" t="str">
        <x:v>Общий модуль</x:v>
      </x:c>
      <x:c r="D6" s="27" t="str">
        <x:v>Альтернативная</x:v>
      </x:c>
      <x:c r="E6" s="27" t="str">
        <x:v>Следующий выпуск</x:v>
      </x:c>
      <x:c r="F6" s="27" t="str">
        <x:v>В проектировании</x:v>
      </x:c>
      <x:c r="G6" s="27" t="str">
        <x:v>Частично</x:v>
      </x:c>
      <x:c r="H6" s="27" t="str">
        <x:v>Разделить</x:v>
      </x:c>
      <x:c r="I6" s="27" t="str">
        <x:v>Социальные сети</x:v>
      </x:c>
      <x:c r="J6" s="27" t="str">
        <x:v>Удержание</x:v>
      </x:c>
      <x:c r="K6" s="27" t="str">
        <x:v>Ветвление</x:v>
      </x:c>
      <x:c r="L6" s="27" t="str">
        <x:v>P3 — можно отложить</x:v>
      </x:c>
      <x:c r="M6" s="27"/>
      <x:c r="N6" s="27"/>
      <x:c r="O6" s="27"/>
      <x:c r="P6" s="27"/>
      <x:c r="Q6" s="27"/>
      <x:c r="R6" s="27"/>
      <x:c r="S6" s="27"/>
      <x:c r="T6" s="27"/>
      <x:c r="U6" s="27"/>
    </x:row>
    <x:row r="7">
      <x:c r="A7" s="27" t="str">
        <x:v>Анализ цифрового товара</x:v>
      </x:c>
      <x:c r="B7" s="27" t="str">
        <x:v>Регистрация</x:v>
      </x:c>
      <x:c r="C7" s="27" t="str">
        <x:v>Системное состояние</x:v>
      </x:c>
      <x:c r="D7" s="27" t="str">
        <x:v>Сервисная</x:v>
      </x:c>
      <x:c r="E7" s="27" t="str">
        <x:v>Отложить</x:v>
      </x:c>
      <x:c r="F7" s="27" t="str">
        <x:v>В прототипе</x:v>
      </x:c>
      <x:c r="G7" s="27"/>
      <x:c r="H7" s="27" t="str">
        <x:v>Уточнить</x:v>
      </x:c>
      <x:c r="I7" s="27" t="str">
        <x:v>Рекомендация</x:v>
      </x:c>
      <x:c r="J7" s="27" t="str">
        <x:v>Повышение ценности тарифа</x:v>
      </x:c>
      <x:c r="K7" s="27" t="str">
        <x:v>Переход после ошибки</x:v>
      </x:c>
      <x:c r="L7" s="27" t="str">
        <x:v>Не включать</x:v>
      </x:c>
      <x:c r="M7" s="27"/>
      <x:c r="N7" s="27"/>
      <x:c r="O7" s="27"/>
      <x:c r="P7" s="27"/>
      <x:c r="Q7" s="27"/>
      <x:c r="R7" s="27"/>
      <x:c r="S7" s="27"/>
      <x:c r="T7" s="27"/>
      <x:c r="U7" s="27"/>
    </x:row>
    <x:row r="8">
      <x:c r="A8" s="27" t="str">
        <x:v>Ценностное предложение</x:v>
      </x:c>
      <x:c r="B8" s="27" t="str">
        <x:v>Настройка</x:v>
      </x:c>
      <x:c r="C8" s="27" t="str">
        <x:v>Форма</x:v>
      </x:c>
      <x:c r="D8" s="27" t="str">
        <x:v>Монетизационная</x:v>
      </x:c>
      <x:c r="E8" s="27" t="str">
        <x:v>Исключить</x:v>
      </x:c>
      <x:c r="F8" s="27" t="str">
        <x:v>Готово к ТЗ</x:v>
      </x:c>
      <x:c r="G8" s="27"/>
      <x:c r="H8" s="27" t="str">
        <x:v>Исключить</x:v>
      </x:c>
      <x:c r="I8" s="27" t="str">
        <x:v>Партнерский канал</x:v>
      </x:c>
      <x:c r="J8" s="27" t="str">
        <x:v>Снижение затрат</x:v>
      </x:c>
      <x:c r="K8" s="27" t="str">
        <x:v>Переход после оплаты</x:v>
      </x:c>
      <x:c r="L8" s="27"/>
      <x:c r="M8" s="27"/>
      <x:c r="N8" s="27"/>
      <x:c r="O8" s="27"/>
      <x:c r="P8" s="27"/>
      <x:c r="Q8" s="27"/>
      <x:c r="R8" s="27"/>
      <x:c r="S8" s="27"/>
      <x:c r="T8" s="27"/>
      <x:c r="U8" s="27"/>
    </x:row>
    <x:row r="9">
      <x:c r="A9" s="27" t="str">
        <x:v>Бизнес-модель Канвас</x:v>
      </x:c>
      <x:c r="B9" s="27" t="str">
        <x:v>Основное использование</x:v>
      </x:c>
      <x:c r="C9" s="27" t="str">
        <x:v>Личный кабинет</x:v>
      </x:c>
      <x:c r="D9" s="27" t="str">
        <x:v>Контрольная</x:v>
      </x:c>
      <x:c r="E9" s="27"/>
      <x:c r="F9" s="27" t="str">
        <x:v>Исключено</x:v>
      </x:c>
      <x:c r="G9" s="27"/>
      <x:c r="H9" s="27" t="str">
        <x:v>Перенести в следующий выпуск</x:v>
      </x:c>
      <x:c r="I9" s="27" t="str">
        <x:v>Прямой вход</x:v>
      </x:c>
      <x:c r="J9" s="27" t="str">
        <x:v>Не связана напрямую</x:v>
      </x:c>
      <x:c r="K9" s="27" t="str">
        <x:v>Внешний переход</x:v>
      </x:c>
      <x:c r="L9" s="27"/>
      <x:c r="M9" s="27"/>
      <x:c r="N9" s="27"/>
      <x:c r="O9" s="27"/>
      <x:c r="P9" s="27"/>
      <x:c r="Q9" s="27"/>
      <x:c r="R9" s="27"/>
      <x:c r="S9" s="27"/>
      <x:c r="T9" s="27"/>
      <x:c r="U9" s="27"/>
    </x:row>
    <x:row r="10">
      <x:c r="A10" s="27" t="str">
        <x:v>Бизнес-логика</x:v>
      </x:c>
      <x:c r="B10" s="27" t="str">
        <x:v>Оплата</x:v>
      </x:c>
      <x:c r="C10" s="27" t="str">
        <x:v>Платежный экран</x:v>
      </x:c>
      <x:c r="D10" s="27"/>
      <x:c r="E10" s="27"/>
      <x:c r="F10" s="27"/>
      <x:c r="G10" s="27"/>
      <x:c r="H10" s="27"/>
      <x:c r="I10" s="27" t="str">
        <x:v>Уведомление</x:v>
      </x:c>
      <x:c r="J10" s="27"/>
      <x:c r="K10" s="27" t="str">
        <x:v>Системный переход</x:v>
      </x:c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</x:row>
    <x:row r="11">
      <x:c r="A11" s="27" t="str">
        <x:v>Пользовательский сценарий</x:v>
      </x:c>
      <x:c r="B11" s="27" t="str">
        <x:v>Поддержка</x:v>
      </x:c>
      <x:c r="C11" s="27"/>
      <x:c r="D11" s="27"/>
      <x:c r="E11" s="27"/>
      <x:c r="F11" s="27"/>
      <x:c r="G11" s="27"/>
      <x:c r="H11" s="27"/>
      <x:c r="I11" s="27" t="str">
        <x:v>Внутренний переход</x:v>
      </x:c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</x:row>
    <x:row r="12">
      <x:c r="A12" s="27"/>
      <x:c r="B12" s="27" t="str">
        <x:v>Повторное использование</x:v>
      </x:c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</x:row>
    <x:row r="13">
      <x:c r="A13" s="27"/>
      <x:c r="B13" s="27" t="str">
        <x:v>Отток/возврат</x:v>
      </x:c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</x:row>
  </x:sheetData>
  <x:mergeCells>
    <x:mergeCell ref="A1:H1"/>
  </x:mergeCells>
  <x:pageMargins left="0.7" right="0.7" top="0.75" bottom="0.75" header="0.3" footer="0.3"/>
</x:worksheet>
</file>