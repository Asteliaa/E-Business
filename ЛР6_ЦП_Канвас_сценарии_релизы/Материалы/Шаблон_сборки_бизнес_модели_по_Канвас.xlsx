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2916f0853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Инструкция" sheetId="1" r:id="R92c7a657a9804cad"/>
    <x:sheet xmlns:r="http://schemas.openxmlformats.org/officeDocument/2006/relationships" name="01_Данные_анализа" sheetId="2" r:id="Rd7b30d84bff94bc9"/>
    <x:sheet xmlns:r="http://schemas.openxmlformats.org/officeDocument/2006/relationships" name="02_Канвас" sheetId="3" r:id="Rf66bdb0ca9864030"/>
    <x:sheet xmlns:r="http://schemas.openxmlformats.org/officeDocument/2006/relationships" name="03_Сегменты" sheetId="4" r:id="R429b551c539347f8"/>
    <x:sheet xmlns:r="http://schemas.openxmlformats.org/officeDocument/2006/relationships" name="04_Ценность_товар" sheetId="5" r:id="Rbca21ac5be9e4e61"/>
    <x:sheet xmlns:r="http://schemas.openxmlformats.org/officeDocument/2006/relationships" name="05_Каналы_отношения" sheetId="6" r:id="R9219ed88f3774abc"/>
    <x:sheet xmlns:r="http://schemas.openxmlformats.org/officeDocument/2006/relationships" name="06_Монетизация" sheetId="7" r:id="R112173c38ebf4dad"/>
    <x:sheet xmlns:r="http://schemas.openxmlformats.org/officeDocument/2006/relationships" name="07_Операционная_основа" sheetId="8" r:id="Rab904398323f49d5"/>
    <x:sheet xmlns:r="http://schemas.openxmlformats.org/officeDocument/2006/relationships" name="08_Затраты" sheetId="9" r:id="R2faf1fa4114e4202"/>
    <x:sheet xmlns:r="http://schemas.openxmlformats.org/officeDocument/2006/relationships" name="09_Проверка_связности" sheetId="10" r:id="R4ce8713056db4cf0"/>
    <x:sheet xmlns:r="http://schemas.openxmlformats.org/officeDocument/2006/relationships" name="10_Паспорт" sheetId="11" r:id="Ra1fe1653c5af4ba8"/>
    <x:sheet xmlns:r="http://schemas.openxmlformats.org/officeDocument/2006/relationships" name="11_Дашборд" sheetId="12" r:id="R2a823b1510e24443"/>
    <x:sheet xmlns:r="http://schemas.openxmlformats.org/officeDocument/2006/relationships" name="12_Справочники" sheetId="13" r:id="R432eec471ac344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color rgb="12355B"/>
      <x:name val="Carlito"/>
    </x:font>
    <x:font>
      <x:i/>
      <x:sz val="11"/>
      <x:color rgb="4B556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2355B"/>
      </x:patternFill>
    </x:fill>
    <x:fill>
      <x:patternFill patternType="solid">
        <x:fgColor rgb="1F4E79"/>
      </x:patternFill>
    </x:fill>
    <x:fill>
      <x:patternFill patternType="solid">
        <x:fgColor rgb="EAF2F8"/>
      </x:patternFill>
    </x:fill>
    <x:fill>
      <x:patternFill patternType="solid">
        <x:fgColor rgb="F6F8FA"/>
      </x:patternFill>
    </x:fill>
    <x:fill>
      <x:patternFill patternType="solid">
        <x:fgColor rgb="FFF8E1"/>
      </x:patternFill>
    </x:fill>
    <x:fill>
      <x:patternFill patternType="solid">
        <x:fgColor rgb="E8F5E9"/>
      </x:patternFill>
    </x:fill>
    <x:fill>
      <x:patternFill patternType="solid">
        <x:fgColor rgb="DCEBF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8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DCFCE7"/>
        </x:patternFill>
      </x:fill>
    </x:dxf>
    <x:dxf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bfeb814454963" /><Relationship Type="http://schemas.openxmlformats.org/officeDocument/2006/relationships/theme" Target="/xl/theme/theme1.xml" Id="R218e9876701544bb" /><Relationship Type="http://schemas.openxmlformats.org/officeDocument/2006/relationships/sharedStrings" Target="/xl/sharedStrings.xml" Id="R0dc33911f48d481c" /><Relationship Type="http://schemas.openxmlformats.org/officeDocument/2006/relationships/worksheet" Target="/xl/worksheets/sheet1.xml" Id="R92c7a657a9804cad" /><Relationship Type="http://schemas.openxmlformats.org/officeDocument/2006/relationships/worksheet" Target="/xl/worksheets/sheet2.xml" Id="Rd7b30d84bff94bc9" /><Relationship Type="http://schemas.openxmlformats.org/officeDocument/2006/relationships/worksheet" Target="/xl/worksheets/sheet3.xml" Id="Rf66bdb0ca9864030" /><Relationship Type="http://schemas.openxmlformats.org/officeDocument/2006/relationships/worksheet" Target="/xl/worksheets/sheet4.xml" Id="R429b551c539347f8" /><Relationship Type="http://schemas.openxmlformats.org/officeDocument/2006/relationships/worksheet" Target="/xl/worksheets/sheet5.xml" Id="Rbca21ac5be9e4e61" /><Relationship Type="http://schemas.openxmlformats.org/officeDocument/2006/relationships/worksheet" Target="/xl/worksheets/sheet6.xml" Id="R9219ed88f3774abc" /><Relationship Type="http://schemas.openxmlformats.org/officeDocument/2006/relationships/worksheet" Target="/xl/worksheets/sheet7.xml" Id="R112173c38ebf4dad" /><Relationship Type="http://schemas.openxmlformats.org/officeDocument/2006/relationships/worksheet" Target="/xl/worksheets/sheet8.xml" Id="Rab904398323f49d5" /><Relationship Type="http://schemas.openxmlformats.org/officeDocument/2006/relationships/worksheet" Target="/xl/worksheets/sheet9.xml" Id="R2faf1fa4114e4202" /><Relationship Type="http://schemas.openxmlformats.org/officeDocument/2006/relationships/worksheet" Target="/xl/worksheets/sheet10.xml" Id="R4ce8713056db4cf0" /><Relationship Type="http://schemas.openxmlformats.org/officeDocument/2006/relationships/worksheet" Target="/xl/worksheets/sheet11.xml" Id="Ra1fe1653c5af4ba8" /><Relationship Type="http://schemas.openxmlformats.org/officeDocument/2006/relationships/worksheet" Target="/xl/worksheets/sheet12.xml" Id="R2a823b1510e24443" /><Relationship Type="http://schemas.openxmlformats.org/officeDocument/2006/relationships/worksheet" Target="/xl/worksheets/sheet13.xml" Id="R432eec471ac344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e2448717044c6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Достоверность</c:v>
          </c:tx>
          <c:cat>
            <c:strRef>
              <c:f>'11_Дашборд'!$A$12:$A$20</c:f>
              <c:strCache>
                <c:ptCount val="0"/>
              </c:strCache>
            </c:strRef>
          </c:cat>
          <c:val>
            <c:numRef>
              <c:f>'11_Дашборд'!$B$12:$B$20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Полнота</c:v>
          </c:tx>
          <c:cat>
            <c:strRef>
              <c:f>'11_Дашборд'!$A$12:$A$20</c:f>
              <c:strCache>
                <c:ptCount val="0"/>
              </c:strCache>
            </c:strRef>
          </c:cat>
          <c:val>
            <c:numRef>
              <c:f>'11_Дашборд'!$C$12:$C$20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Риск</c:v>
          </c:tx>
          <c:cat>
            <c:strRef>
              <c:f>'11_Дашборд'!$A$12:$A$20</c:f>
              <c:strCache>
                <c:ptCount val="0"/>
              </c:strCache>
            </c:strRef>
          </c:cat>
          <c:val>
            <c:numRef>
              <c:f>'11_Дашборд'!$D$12:$D$20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e2448717044c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putAnalysisTable" displayName="InputAnalysisTable" ref="A2:N202" headerRowCount="1">
  <x:tableColumns count="14">
    <x:tableColumn id="1" name="ID"/>
    <x:tableColumn id="2" name="Источник анализа"/>
    <x:tableColumn id="3" name="Объект анализа"/>
    <x:tableColumn id="4" name="Компания / товар"/>
    <x:tableColumn id="5" name="Ссылка или место фиксации"/>
    <x:tableColumn id="6" name="Факт / наблюдение"/>
    <x:tableColumn id="7" name="Вывод для бизнес-модели"/>
    <x:tableColumn id="8" name="Блок Канвас"/>
    <x:tableColumn id="9" name="Достоверность 1-5"/>
    <x:tableColumn id="10" name="Актуальность 1-5"/>
    <x:tableColumn id="11" name="Приоритет 1-5"/>
    <x:tableColumn id="12" name="Индекс доказательности"/>
    <x:tableColumn id="13" name="Статус использования"/>
    <x:tableColumn id="14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2" name="CanvasTable" displayName="CanvasTable" ref="A2:J11" headerRowCount="1">
  <x:tableColumns count="10">
    <x:tableColumn id="1" name="Блок Канвас"/>
    <x:tableColumn id="2" name="Ключевые вопросы"/>
    <x:tableColumn id="3" name="Источники ответов из анализа"/>
    <x:tableColumn id="4" name="Рабочая формулировка"/>
    <x:tableColumn id="5" name="Доказательства"/>
    <x:tableColumn id="6" name="Достоверность 1-5"/>
    <x:tableColumn id="7" name="Полнота 1-5"/>
    <x:tableColumn id="8" name="Риск ошибки 1-5"/>
    <x:tableColumn id="9" name="Что проверить"/>
    <x:tableColumn id="10" name="Итоговый статус"/>
  </x:tableColumns>
  <x:tableStyleInfo name="TableStyleMedium2" showRowStripes="1"/>
</x:table>
</file>

<file path=xl/tables/table3.xml><?xml version="1.0" encoding="utf-8"?>
<x:table xmlns:x="http://schemas.openxmlformats.org/spreadsheetml/2006/main" id="3" name="SegmentsTable" displayName="SegmentsTable" ref="A2:K102" headerRowCount="1">
  <x:tableColumns count="11">
    <x:tableColumn id="1" name="ID сегмента"/>
    <x:tableColumn id="2" name="Сегмент"/>
    <x:tableColumn id="3" name="Задача клиента"/>
    <x:tableColumn id="4" name="Ключевая проблема"/>
    <x:tableColumn id="5" name="Доказательства"/>
    <x:tableColumn id="6" name="Сила боли 1-5"/>
    <x:tableColumn id="7" name="Рыночный сигнал 1-5"/>
    <x:tableColumn id="8" name="Платежеспособность 1-5"/>
    <x:tableColumn id="9" name="Доступность канала 1-5"/>
    <x:tableColumn id="10" name="Индекс приоритета"/>
    <x:tableColumn id="11" name="Статус"/>
  </x:tableColumns>
  <x:tableStyleInfo name="TableStyleMedium2" showRowStripes="1"/>
</x:table>
</file>

<file path=xl/tables/table4.xml><?xml version="1.0" encoding="utf-8"?>
<x:table xmlns:x="http://schemas.openxmlformats.org/spreadsheetml/2006/main" id="4" name="ValueProductTable" displayName="ValueProductTable" ref="A2:Q102" headerRowCount="1">
  <x:tableColumns count="17">
    <x:tableColumn id="1" name="ID"/>
    <x:tableColumn id="2" name="ID проблемы / сегмента"/>
    <x:tableColumn id="3" name="Формулировка проблемы"/>
    <x:tableColumn id="4" name="Текущая альтернатива клиента"/>
    <x:tableColumn id="5" name="Желаемый результат"/>
    <x:tableColumn id="6" name="Формулировка ценностного предложения"/>
    <x:tableColumn id="7" name="Цифровой товар"/>
    <x:tableColumn id="8" name="Тип цифрового товара"/>
    <x:tableColumn id="9" name="Ядро товара"/>
    <x:tableColumn id="10" name="Реальный товар"/>
    <x:tableColumn id="11" name="Расширенный товар"/>
    <x:tableColumn id="12" name="Класс требования по Кано"/>
    <x:tableColumn id="13" name="Дифференциация 1-5"/>
    <x:tableColumn id="14" name="Доказательность 1-5"/>
    <x:tableColumn id="15" name="Связь с монетизацией 1-5"/>
    <x:tableColumn id="16" name="Индекс готовности"/>
    <x:tableColumn id="17" name="Статус"/>
  </x:tableColumns>
  <x:tableStyleInfo name="TableStyleMedium2" showRowStripes="1"/>
</x:table>
</file>

<file path=xl/tables/table5.xml><?xml version="1.0" encoding="utf-8"?>
<x:table xmlns:x="http://schemas.openxmlformats.org/spreadsheetml/2006/main" id="5" name="ChannelsTable" displayName="ChannelsTable" ref="A2:K102" headerRowCount="1">
  <x:tableColumns count="11">
    <x:tableColumn id="1" name="ID"/>
    <x:tableColumn id="2" name="Этап канала"/>
    <x:tableColumn id="3" name="Сегмент"/>
    <x:tableColumn id="4" name="Канал / точка контакта"/>
    <x:tableColumn id="5" name="Роль в воронке"/>
    <x:tableColumn id="6" name="Конкурентный стандарт"/>
    <x:tableColumn id="7" name="Пригодность 1-5"/>
    <x:tableColumn id="8" name="Затратность/риск 1-5"/>
    <x:tableColumn id="9" name="Доказательность 1-5"/>
    <x:tableColumn id="10" name="Индекс приоритета"/>
    <x:tableColumn id="11" name="Решение"/>
  </x:tableColumns>
  <x:tableStyleInfo name="TableStyleMedium2" showRowStripes="1"/>
</x:table>
</file>

<file path=xl/tables/table6.xml><?xml version="1.0" encoding="utf-8"?>
<x:table xmlns:x="http://schemas.openxmlformats.org/spreadsheetml/2006/main" id="6" name="MonetizationTable" displayName="MonetizationTable" ref="A2:N102" headerRowCount="1">
  <x:tableColumns count="14">
    <x:tableColumn id="1" name="ID"/>
    <x:tableColumn id="2" name="Единица монетизации"/>
    <x:tableColumn id="3" name="Событие оплаты"/>
    <x:tableColumn id="4" name="Метрика учета"/>
    <x:tableColumn id="5" name="Логика цены"/>
    <x:tableColumn id="6" name="Тип потока доходов"/>
    <x:tableColumn id="7" name="Сигналы конкурентов"/>
    <x:tableColumn id="8" name="Связь с ценностью"/>
    <x:tableColumn id="9" name="Готовность платить 1-5"/>
    <x:tableColumn id="10" name="Измеримость 1-5"/>
    <x:tableColumn id="11" name="Повторяемость дохода 1-5"/>
    <x:tableColumn id="12" name="Доказательность 1-5"/>
    <x:tableColumn id="13" name="Индекс монетизации"/>
    <x:tableColumn id="14" name="Статус"/>
  </x:tableColumns>
  <x:tableStyleInfo name="TableStyleMedium2" showRowStripes="1"/>
</x:table>
</file>

<file path=xl/tables/table7.xml><?xml version="1.0" encoding="utf-8"?>
<x:table xmlns:x="http://schemas.openxmlformats.org/spreadsheetml/2006/main" id="7" name="OperationsTable" displayName="OperationsTable" ref="A2:K122" headerRowCount="1">
  <x:tableColumns count="11">
    <x:tableColumn id="1" name="ID"/>
    <x:tableColumn id="2" name="Блок"/>
    <x:tableColumn id="3" name="Элемент"/>
    <x:tableColumn id="4" name="Описание"/>
    <x:tableColumn id="5" name="Как поддерживает ценность / товар"/>
    <x:tableColumn id="6" name="Источник"/>
    <x:tableColumn id="7" name="Критичность 1-5"/>
    <x:tableColumn id="8" name="Доступность 1-5"/>
    <x:tableColumn id="9" name="Затратное влияние 1-5"/>
    <x:tableColumn id="10" name="Подход к обеспечению"/>
    <x:tableColumn id="11" name="Операционный приоритет"/>
  </x:tableColumns>
  <x:tableStyleInfo name="TableStyleMedium2" showRowStripes="1"/>
</x:table>
</file>

<file path=xl/tables/table8.xml><?xml version="1.0" encoding="utf-8"?>
<x:table xmlns:x="http://schemas.openxmlformats.org/spreadsheetml/2006/main" id="8" name="CostsTable" displayName="CostsTable" ref="A2:K102" headerRowCount="1">
  <x:tableColumns count="11">
    <x:tableColumn id="1" name="ID"/>
    <x:tableColumn id="2" name="Статья затрат"/>
    <x:tableColumn id="3" name="Связанный ресурс / деятельность"/>
    <x:tableColumn id="4" name="Тип затрат"/>
    <x:tableColumn id="5" name="Драйвер затрат"/>
    <x:tableColumn id="6" name="Этап развития"/>
    <x:tableColumn id="7" name="Доказательство / основание"/>
    <x:tableColumn id="8" name="Влияние на экономику 1-5"/>
    <x:tableColumn id="9" name="Уверенность 1-5"/>
    <x:tableColumn id="10" name="Управляемость 1-5"/>
    <x:tableColumn id="11" name="Приоритет контроля"/>
  </x:tableColumns>
  <x:tableStyleInfo name="TableStyleMedium2" showRowStripes="1"/>
</x:table>
</file>

<file path=xl/tables/table9.xml><?xml version="1.0" encoding="utf-8"?>
<x:table xmlns:x="http://schemas.openxmlformats.org/spreadsheetml/2006/main" id="9" name="CoherenceCheckTable" displayName="CoherenceCheckTable" ref="A2:G14" headerRowCount="1">
  <x:tableColumns count="7">
    <x:tableColumn id="1" name="№"/>
    <x:tableColumn id="2" name="Контрольный вопрос"/>
    <x:tableColumn id="3" name="Где искать ответ"/>
    <x:tableColumn id="4" name="Доказательство / ссылка на вывод"/>
    <x:tableColumn id="5" name="Оценка 1-5"/>
    <x:tableColumn id="6" name="Результат"/>
    <x:tableColumn id="7" name="Что доработать"/>
  </x:tableColumns>
  <x:tableStyleInfo name="TableStyleMedium2" showRowStripes="1"/>
</x:table>
</file>

<file path=xl/tables/table10.xml><?xml version="1.0" encoding="utf-8"?>
<x:table xmlns:x="http://schemas.openxmlformats.org/spreadsheetml/2006/main" id="10" name="BusinessModelPassportTable" displayName="BusinessModelPassportTable" ref="A2:E16" headerRowCount="1">
  <x:tableColumns count="5">
    <x:tableColumn id="1" name="Раздел паспорта"/>
    <x:tableColumn id="2" name="Итоговая формулировка"/>
    <x:tableColumn id="3" name="Основной источник"/>
    <x:tableColumn id="4" name="Контрольный вопрос"/>
    <x:tableColumn id="5" name="Стату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f0df83de514b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449041783d46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706d1a7e4643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32a418fda843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4b2802232948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5278c300e240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06fcd2f24345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eb42acf34f410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0110f3dbdd549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13ed62088354ee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01a3f7d2b98c4e4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32" customHeight="1">
      <x:c r="A1" s="6" t="str">
        <x:v>Методика сборки бизнес-модели по Канвас: рабочий Excel-шаблон</x:v>
      </x:c>
      <x:c r="B1" s="6"/>
      <x:c r="C1" s="6"/>
      <x:c r="D1" s="6"/>
      <x:c r="E1" s="6"/>
      <x:c r="F1" s="6"/>
      <x:c r="G1" s="6"/>
      <x:c r="H1" s="6"/>
    </x:row>
    <x:row r="3">
      <x:c r="A3" s="26" t="str">
        <x:v>Назначение файла</x:v>
      </x:c>
      <x:c r="B3" s="26"/>
      <x:c r="C3" s="26"/>
      <x:c r="D3" s="26"/>
      <x:c r="E3" s="26"/>
      <x:c r="F3" s="26"/>
      <x:c r="G3" s="26"/>
      <x:c r="H3" s="26"/>
    </x:row>
    <x:row r="4">
      <x:c r="A4" s="32" t="str">
        <x:v>Книга предназначена для перевода результатов анализа конкурентов, отзывов, уровней конкуренции, цифрового товара, ценностного предложения и монетизации в связанную бизнес-модель по шаблону Канвас. Заполняются желтые поля; зеленые поля рассчитываются автоматически.</x:v>
      </x:c>
      <x:c r="B4" s="32"/>
      <x:c r="C4" s="32"/>
      <x:c r="D4" s="32"/>
      <x:c r="E4" s="32"/>
      <x:c r="F4" s="32"/>
      <x:c r="G4" s="32"/>
      <x:c r="H4" s="32"/>
    </x:row>
    <x:row r="5">
      <x:c r="A5" s="32"/>
      <x:c r="B5" s="32"/>
      <x:c r="C5" s="32"/>
      <x:c r="D5" s="32"/>
      <x:c r="E5" s="32"/>
      <x:c r="F5" s="32"/>
      <x:c r="G5" s="32"/>
      <x:c r="H5" s="32"/>
    </x:row>
    <x:row r="7" ht="32" customHeight="1">
      <x:c r="A7" s="16" t="str">
        <x:v>Этап</x:v>
      </x:c>
      <x:c r="B7" s="16" t="str">
        <x:v>Что заполнить</x:v>
      </x:c>
      <x:c r="C7" s="16" t="str">
        <x:v>Где заполнять</x:v>
      </x:c>
      <x:c r="D7" s="16" t="str">
        <x:v>Что получится</x:v>
      </x:c>
      <x:c r="E7" s="16" t="str">
        <x:v>Контроль качества</x:v>
      </x:c>
    </x:row>
    <x:row r="8">
      <x:c r="A8" s="22" t="n">
        <x:v>1</x:v>
      </x:c>
      <x:c r="B8" s="22" t="str">
        <x:v>Внести выводы из всех предыдущих видов анализа</x:v>
      </x:c>
      <x:c r="C8" s="22" t="str">
        <x:v>01_Данные_анализа</x:v>
      </x:c>
      <x:c r="D8" s="22" t="str">
        <x:v>Единый банк фактов и доказательств</x:v>
      </x:c>
      <x:c r="E8" s="22" t="str">
        <x:v>Каждый вывод должен иметь источник, блок Канвас и оценку достоверности</x:v>
      </x:c>
    </x:row>
    <x:row r="9">
      <x:c r="A9" s="22" t="n">
        <x:v>2</x:v>
      </x:c>
      <x:c r="B9" s="22" t="str">
        <x:v>Заполнить 9 блоков Канвас</x:v>
      </x:c>
      <x:c r="C9" s="22" t="str">
        <x:v>02_Канвас</x:v>
      </x:c>
      <x:c r="D9" s="22" t="str">
        <x:v>Черновик бизнес-модели</x:v>
      </x:c>
      <x:c r="E9" s="22" t="str">
        <x:v>По каждому блоку должны быть формулировка, доказательства, оценка полноты и риска</x:v>
      </x:c>
    </x:row>
    <x:row r="10">
      <x:c r="A10" s="22" t="n">
        <x:v>3</x:v>
      </x:c>
      <x:c r="B10" s="22" t="str">
        <x:v>Детализировать сегменты, проблемы и ценность</x:v>
      </x:c>
      <x:c r="C10" s="22" t="str">
        <x:v>03_Сегменты; 04_Ценность_товар</x:v>
      </x:c>
      <x:c r="D10" s="22" t="str">
        <x:v>Связка «клиент — проблема — ценность — цифровой товар»</x:v>
      </x:c>
      <x:c r="E10" s="22" t="str">
        <x:v>Не должно быть ценности без подтвержденной проблемы</x:v>
      </x:c>
    </x:row>
    <x:row r="11">
      <x:c r="A11" s="22" t="n">
        <x:v>4</x:v>
      </x:c>
      <x:c r="B11" s="22" t="str">
        <x:v>Описать каналы, отношения и монетизацию</x:v>
      </x:c>
      <x:c r="C11" s="22" t="str">
        <x:v>05_Каналы_отношения; 06_Монетизация</x:v>
      </x:c>
      <x:c r="D11" s="22" t="str">
        <x:v>Механизм привлечения, продажи, удержания и получения дохода</x:v>
      </x:c>
      <x:c r="E11" s="22" t="str">
        <x:v>Единица монетизации должна быть связана с воспринимаемой ценностью</x:v>
      </x:c>
    </x:row>
    <x:row r="12">
      <x:c r="A12" s="22" t="n">
        <x:v>5</x:v>
      </x:c>
      <x:c r="B12" s="22" t="str">
        <x:v>Собрать операционную и затратную часть</x:v>
      </x:c>
      <x:c r="C12" s="22" t="str">
        <x:v>07_Операционная_основа; 08_Затраты</x:v>
      </x:c>
      <x:c r="D12" s="22" t="str">
        <x:v>Основания выполнения обещания ценности</x:v>
      </x:c>
      <x:c r="E12" s="22" t="str">
        <x:v>Ключевые ресурсы и действия должны поддерживать ценностное предложение</x:v>
      </x:c>
    </x:row>
    <x:row r="13">
      <x:c r="A13" s="22" t="n">
        <x:v>6</x:v>
      </x:c>
      <x:c r="B13" s="22" t="str">
        <x:v>Проверить связность бизнес-модели</x:v>
      </x:c>
      <x:c r="C13" s="22" t="str">
        <x:v>09_Проверка_связности</x:v>
      </x:c>
      <x:c r="D13" s="22" t="str">
        <x:v>Карта слабых мест бизнес-модели</x:v>
      </x:c>
      <x:c r="E13" s="22" t="str">
        <x:v>Разрывы переводятся в задачи проверки или доработки</x:v>
      </x:c>
    </x:row>
    <x:row r="14">
      <x:c r="A14" s="22" t="n">
        <x:v>7</x:v>
      </x:c>
      <x:c r="B14" s="22" t="str">
        <x:v>Сформировать итоговый паспорт</x:v>
      </x:c>
      <x:c r="C14" s="22" t="str">
        <x:v>10_Паспорт; 11_Дашборд</x:v>
      </x:c>
      <x:c r="D14" s="22" t="str">
        <x:v>Итоговое описание бизнес-модели и сводные показатели</x:v>
      </x:c>
      <x:c r="E14" s="22" t="str">
        <x:v>Паспорт используется для презентации и управленческого обсуждения</x:v>
      </x:c>
    </x:row>
  </x:sheetData>
  <x:mergeCells>
    <x:mergeCell ref="A1:H1"/>
    <x:mergeCell ref="A3:H3"/>
    <x:mergeCell ref="A4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24" hidden="0" customWidth="1"/>
    <x:col min="4" max="4" width="24" hidden="0" customWidth="1"/>
    <x:col min="5" max="5" width="32" hidden="0" customWidth="1"/>
    <x:col min="6" max="6" width="38" hidden="0" customWidth="1"/>
    <x:col min="7" max="7" width="38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22" hidden="0" customWidth="1"/>
    <x:col min="14" max="14" width="28" hidden="0" customWidth="1"/>
  </x:cols>
  <x:sheetData>
    <x:row r="1" ht="32" customHeight="1">
      <x:c r="A1" s="6" t="str">
        <x:v>Единый банк выводов из всех видов анализа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32" customHeight="1">
      <x:c r="A2" s="36" t="str">
        <x:v>ID</x:v>
      </x:c>
      <x:c r="B2" s="36" t="str">
        <x:v>Источник анализа</x:v>
      </x:c>
      <x:c r="C2" s="36" t="str">
        <x:v>Объект анализа</x:v>
      </x:c>
      <x:c r="D2" s="36" t="str">
        <x:v>Компания / товар</x:v>
      </x:c>
      <x:c r="E2" s="36" t="str">
        <x:v>Ссылка или место фиксации</x:v>
      </x:c>
      <x:c r="F2" s="36" t="str">
        <x:v>Факт / наблюдение</x:v>
      </x:c>
      <x:c r="G2" s="36" t="str">
        <x:v>Вывод для бизнес-модели</x:v>
      </x:c>
      <x:c r="H2" s="36" t="str">
        <x:v>Блок Канвас</x:v>
      </x:c>
      <x:c r="I2" s="36" t="str">
        <x:v>Достоверность 1-5</x:v>
      </x:c>
      <x:c r="J2" s="36" t="str">
        <x:v>Актуальность 1-5</x:v>
      </x:c>
      <x:c r="K2" s="36" t="str">
        <x:v>Приоритет 1-5</x:v>
      </x:c>
      <x:c r="L2" s="36" t="str">
        <x:v>Индекс доказательности</x:v>
      </x:c>
      <x:c r="M2" s="36" t="str">
        <x:v>Статус использования</x:v>
      </x:c>
      <x:c r="N2" s="36" t="str">
        <x:v>Комментарий</x:v>
      </x:c>
    </x:row>
    <x:row r="3">
      <x:c r="A3" s="37" t="n">
        <x:v>1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2" t="str">
        <x:f>IF(COUNTA(B3:K3)=0,"",ROUND(AVERAGE(I3:K3),2))</x:f>
      </x:c>
      <x:c r="M3" s="40"/>
      <x:c r="N3" s="40"/>
    </x:row>
    <x:row r="4">
      <x:c r="A4" s="37" t="n">
        <x:v>2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2" t="str">
        <x:f>IF(COUNTA(B4:K4)=0,"",ROUND(AVERAGE(I4:K4),2))</x:f>
      </x:c>
      <x:c r="M4" s="40"/>
      <x:c r="N4" s="40"/>
    </x:row>
    <x:row r="5">
      <x:c r="A5" s="37" t="n">
        <x:v>3</x:v>
      </x:c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2" t="str">
        <x:f>IF(COUNTA(B5:K5)=0,"",ROUND(AVERAGE(I5:K5),2))</x:f>
      </x:c>
      <x:c r="M5" s="40"/>
      <x:c r="N5" s="40"/>
    </x:row>
    <x:row r="6">
      <x:c r="A6" s="37" t="n">
        <x:v>4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2" t="str">
        <x:f>IF(COUNTA(B6:K6)=0,"",ROUND(AVERAGE(I6:K6),2))</x:f>
      </x:c>
      <x:c r="M6" s="40"/>
      <x:c r="N6" s="40"/>
    </x:row>
    <x:row r="7">
      <x:c r="A7" s="37" t="n">
        <x:v>5</x:v>
      </x:c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2" t="str">
        <x:f>IF(COUNTA(B7:K7)=0,"",ROUND(AVERAGE(I7:K7),2))</x:f>
      </x:c>
      <x:c r="M7" s="40"/>
      <x:c r="N7" s="40"/>
    </x:row>
    <x:row r="8">
      <x:c r="A8" s="37" t="n">
        <x:v>6</x:v>
      </x:c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2" t="str">
        <x:f>IF(COUNTA(B8:K8)=0,"",ROUND(AVERAGE(I8:K8),2))</x:f>
      </x:c>
      <x:c r="M8" s="40"/>
      <x:c r="N8" s="40"/>
    </x:row>
    <x:row r="9">
      <x:c r="A9" s="37" t="n">
        <x:v>7</x:v>
      </x:c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2" t="str">
        <x:f>IF(COUNTA(B9:K9)=0,"",ROUND(AVERAGE(I9:K9),2))</x:f>
      </x:c>
      <x:c r="M9" s="40"/>
      <x:c r="N9" s="40"/>
    </x:row>
    <x:row r="10">
      <x:c r="A10" s="37" t="n">
        <x:v>8</x:v>
      </x:c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2" t="str">
        <x:f>IF(COUNTA(B10:K10)=0,"",ROUND(AVERAGE(I10:K10),2))</x:f>
      </x:c>
      <x:c r="M10" s="40"/>
      <x:c r="N10" s="40"/>
    </x:row>
    <x:row r="11">
      <x:c r="A11" s="37" t="n">
        <x:v>9</x:v>
      </x:c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2" t="str">
        <x:f>IF(COUNTA(B11:K11)=0,"",ROUND(AVERAGE(I11:K11),2))</x:f>
      </x:c>
      <x:c r="M11" s="40"/>
      <x:c r="N11" s="40"/>
    </x:row>
    <x:row r="12">
      <x:c r="A12" s="37" t="n">
        <x:v>10</x:v>
      </x:c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2" t="str">
        <x:f>IF(COUNTA(B12:K12)=0,"",ROUND(AVERAGE(I12:K12),2))</x:f>
      </x:c>
      <x:c r="M12" s="40"/>
      <x:c r="N12" s="40"/>
    </x:row>
    <x:row r="13">
      <x:c r="A13" s="37" t="n">
        <x:v>11</x:v>
      </x:c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2" t="str">
        <x:f>IF(COUNTA(B13:K13)=0,"",ROUND(AVERAGE(I13:K13),2))</x:f>
      </x:c>
      <x:c r="M13" s="40"/>
      <x:c r="N13" s="40"/>
    </x:row>
    <x:row r="14">
      <x:c r="A14" s="37" t="n">
        <x:v>12</x:v>
      </x:c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2" t="str">
        <x:f>IF(COUNTA(B14:K14)=0,"",ROUND(AVERAGE(I14:K14),2))</x:f>
      </x:c>
      <x:c r="M14" s="40"/>
      <x:c r="N14" s="40"/>
    </x:row>
    <x:row r="15">
      <x:c r="A15" s="37" t="n">
        <x:v>13</x:v>
      </x:c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2" t="str">
        <x:f>IF(COUNTA(B15:K15)=0,"",ROUND(AVERAGE(I15:K15),2))</x:f>
      </x:c>
      <x:c r="M15" s="40"/>
      <x:c r="N15" s="40"/>
    </x:row>
    <x:row r="16">
      <x:c r="A16" s="37" t="n">
        <x:v>14</x:v>
      </x:c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2" t="str">
        <x:f>IF(COUNTA(B16:K16)=0,"",ROUND(AVERAGE(I16:K16),2))</x:f>
      </x:c>
      <x:c r="M16" s="40"/>
      <x:c r="N16" s="40"/>
    </x:row>
    <x:row r="17">
      <x:c r="A17" s="37" t="n">
        <x:v>15</x:v>
      </x:c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2" t="str">
        <x:f>IF(COUNTA(B17:K17)=0,"",ROUND(AVERAGE(I17:K17),2))</x:f>
      </x:c>
      <x:c r="M17" s="40"/>
      <x:c r="N17" s="40"/>
    </x:row>
    <x:row r="18">
      <x:c r="A18" s="37" t="n">
        <x:v>16</x:v>
      </x:c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2" t="str">
        <x:f>IF(COUNTA(B18:K18)=0,"",ROUND(AVERAGE(I18:K18),2))</x:f>
      </x:c>
      <x:c r="M18" s="40"/>
      <x:c r="N18" s="40"/>
    </x:row>
    <x:row r="19">
      <x:c r="A19" s="37" t="n">
        <x:v>17</x:v>
      </x:c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2" t="str">
        <x:f>IF(COUNTA(B19:K19)=0,"",ROUND(AVERAGE(I19:K19),2))</x:f>
      </x:c>
      <x:c r="M19" s="40"/>
      <x:c r="N19" s="40"/>
    </x:row>
    <x:row r="20">
      <x:c r="A20" s="37" t="n">
        <x:v>18</x:v>
      </x:c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2" t="str">
        <x:f>IF(COUNTA(B20:K20)=0,"",ROUND(AVERAGE(I20:K20),2))</x:f>
      </x:c>
      <x:c r="M20" s="40"/>
      <x:c r="N20" s="40"/>
    </x:row>
    <x:row r="21">
      <x:c r="A21" s="37" t="n">
        <x:v>19</x:v>
      </x:c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2" t="str">
        <x:f>IF(COUNTA(B21:K21)=0,"",ROUND(AVERAGE(I21:K21),2))</x:f>
      </x:c>
      <x:c r="M21" s="40"/>
      <x:c r="N21" s="40"/>
    </x:row>
    <x:row r="22">
      <x:c r="A22" s="37" t="n">
        <x:v>20</x:v>
      </x:c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2" t="str">
        <x:f>IF(COUNTA(B22:K22)=0,"",ROUND(AVERAGE(I22:K22),2))</x:f>
      </x:c>
      <x:c r="M22" s="40"/>
      <x:c r="N22" s="40"/>
    </x:row>
    <x:row r="23">
      <x:c r="A23" s="37" t="n">
        <x:v>21</x:v>
      </x:c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2" t="str">
        <x:f>IF(COUNTA(B23:K23)=0,"",ROUND(AVERAGE(I23:K23),2))</x:f>
      </x:c>
      <x:c r="M23" s="40"/>
      <x:c r="N23" s="40"/>
    </x:row>
    <x:row r="24">
      <x:c r="A24" s="37" t="n">
        <x:v>22</x:v>
      </x:c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2" t="str">
        <x:f>IF(COUNTA(B24:K24)=0,"",ROUND(AVERAGE(I24:K24),2))</x:f>
      </x:c>
      <x:c r="M24" s="40"/>
      <x:c r="N24" s="40"/>
    </x:row>
    <x:row r="25">
      <x:c r="A25" s="37" t="n">
        <x:v>23</x:v>
      </x:c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2" t="str">
        <x:f>IF(COUNTA(B25:K25)=0,"",ROUND(AVERAGE(I25:K25),2))</x:f>
      </x:c>
      <x:c r="M25" s="40"/>
      <x:c r="N25" s="40"/>
    </x:row>
    <x:row r="26">
      <x:c r="A26" s="37" t="n">
        <x:v>24</x:v>
      </x:c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2" t="str">
        <x:f>IF(COUNTA(B26:K26)=0,"",ROUND(AVERAGE(I26:K26),2))</x:f>
      </x:c>
      <x:c r="M26" s="40"/>
      <x:c r="N26" s="40"/>
    </x:row>
    <x:row r="27">
      <x:c r="A27" s="37" t="n">
        <x:v>25</x:v>
      </x:c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2" t="str">
        <x:f>IF(COUNTA(B27:K27)=0,"",ROUND(AVERAGE(I27:K27),2))</x:f>
      </x:c>
      <x:c r="M27" s="40"/>
      <x:c r="N27" s="40"/>
    </x:row>
    <x:row r="28">
      <x:c r="A28" s="37" t="n">
        <x:v>26</x:v>
      </x:c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2" t="str">
        <x:f>IF(COUNTA(B28:K28)=0,"",ROUND(AVERAGE(I28:K28),2))</x:f>
      </x:c>
      <x:c r="M28" s="40"/>
      <x:c r="N28" s="40"/>
    </x:row>
    <x:row r="29">
      <x:c r="A29" s="37" t="n">
        <x:v>27</x:v>
      </x:c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2" t="str">
        <x:f>IF(COUNTA(B29:K29)=0,"",ROUND(AVERAGE(I29:K29),2))</x:f>
      </x:c>
      <x:c r="M29" s="40"/>
      <x:c r="N29" s="40"/>
    </x:row>
    <x:row r="30">
      <x:c r="A30" s="37" t="n">
        <x:v>28</x:v>
      </x:c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2" t="str">
        <x:f>IF(COUNTA(B30:K30)=0,"",ROUND(AVERAGE(I30:K30),2))</x:f>
      </x:c>
      <x:c r="M30" s="40"/>
      <x:c r="N30" s="40"/>
    </x:row>
    <x:row r="31">
      <x:c r="A31" s="37" t="n">
        <x:v>29</x:v>
      </x:c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2" t="str">
        <x:f>IF(COUNTA(B31:K31)=0,"",ROUND(AVERAGE(I31:K31),2))</x:f>
      </x:c>
      <x:c r="M31" s="40"/>
      <x:c r="N31" s="40"/>
    </x:row>
    <x:row r="32">
      <x:c r="A32" s="37" t="n">
        <x:v>30</x:v>
      </x:c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2" t="str">
        <x:f>IF(COUNTA(B32:K32)=0,"",ROUND(AVERAGE(I32:K32),2))</x:f>
      </x:c>
      <x:c r="M32" s="40"/>
      <x:c r="N32" s="40"/>
    </x:row>
    <x:row r="33">
      <x:c r="A33" s="37" t="n">
        <x:v>31</x:v>
      </x:c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2" t="str">
        <x:f>IF(COUNTA(B33:K33)=0,"",ROUND(AVERAGE(I33:K33),2))</x:f>
      </x:c>
      <x:c r="M33" s="40"/>
      <x:c r="N33" s="40"/>
    </x:row>
    <x:row r="34">
      <x:c r="A34" s="37" t="n">
        <x:v>32</x:v>
      </x:c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2" t="str">
        <x:f>IF(COUNTA(B34:K34)=0,"",ROUND(AVERAGE(I34:K34),2))</x:f>
      </x:c>
      <x:c r="M34" s="40"/>
      <x:c r="N34" s="40"/>
    </x:row>
    <x:row r="35">
      <x:c r="A35" s="37" t="n">
        <x:v>33</x:v>
      </x:c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2" t="str">
        <x:f>IF(COUNTA(B35:K35)=0,"",ROUND(AVERAGE(I35:K35),2))</x:f>
      </x:c>
      <x:c r="M35" s="40"/>
      <x:c r="N35" s="40"/>
    </x:row>
    <x:row r="36">
      <x:c r="A36" s="37" t="n">
        <x:v>34</x:v>
      </x:c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2" t="str">
        <x:f>IF(COUNTA(B36:K36)=0,"",ROUND(AVERAGE(I36:K36),2))</x:f>
      </x:c>
      <x:c r="M36" s="40"/>
      <x:c r="N36" s="40"/>
    </x:row>
    <x:row r="37">
      <x:c r="A37" s="37" t="n">
        <x:v>35</x:v>
      </x:c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2" t="str">
        <x:f>IF(COUNTA(B37:K37)=0,"",ROUND(AVERAGE(I37:K37),2))</x:f>
      </x:c>
      <x:c r="M37" s="40"/>
      <x:c r="N37" s="40"/>
    </x:row>
    <x:row r="38">
      <x:c r="A38" s="37" t="n">
        <x:v>36</x:v>
      </x:c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2" t="str">
        <x:f>IF(COUNTA(B38:K38)=0,"",ROUND(AVERAGE(I38:K38),2))</x:f>
      </x:c>
      <x:c r="M38" s="40"/>
      <x:c r="N38" s="40"/>
    </x:row>
    <x:row r="39">
      <x:c r="A39" s="37" t="n">
        <x:v>37</x:v>
      </x:c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2" t="str">
        <x:f>IF(COUNTA(B39:K39)=0,"",ROUND(AVERAGE(I39:K39),2))</x:f>
      </x:c>
      <x:c r="M39" s="40"/>
      <x:c r="N39" s="40"/>
    </x:row>
    <x:row r="40">
      <x:c r="A40" s="37" t="n">
        <x:v>38</x:v>
      </x:c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2" t="str">
        <x:f>IF(COUNTA(B40:K40)=0,"",ROUND(AVERAGE(I40:K40),2))</x:f>
      </x:c>
      <x:c r="M40" s="40"/>
      <x:c r="N40" s="40"/>
    </x:row>
    <x:row r="41">
      <x:c r="A41" s="37" t="n">
        <x:v>39</x:v>
      </x:c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2" t="str">
        <x:f>IF(COUNTA(B41:K41)=0,"",ROUND(AVERAGE(I41:K41),2))</x:f>
      </x:c>
      <x:c r="M41" s="40"/>
      <x:c r="N41" s="40"/>
    </x:row>
    <x:row r="42">
      <x:c r="A42" s="37" t="n">
        <x:v>40</x:v>
      </x:c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2" t="str">
        <x:f>IF(COUNTA(B42:K42)=0,"",ROUND(AVERAGE(I42:K42),2))</x:f>
      </x:c>
      <x:c r="M42" s="40"/>
      <x:c r="N42" s="40"/>
    </x:row>
    <x:row r="43">
      <x:c r="A43" s="37" t="n">
        <x:v>41</x:v>
      </x:c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2" t="str">
        <x:f>IF(COUNTA(B43:K43)=0,"",ROUND(AVERAGE(I43:K43),2))</x:f>
      </x:c>
      <x:c r="M43" s="40"/>
      <x:c r="N43" s="40"/>
    </x:row>
    <x:row r="44">
      <x:c r="A44" s="37" t="n">
        <x:v>42</x:v>
      </x:c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2" t="str">
        <x:f>IF(COUNTA(B44:K44)=0,"",ROUND(AVERAGE(I44:K44),2))</x:f>
      </x:c>
      <x:c r="M44" s="40"/>
      <x:c r="N44" s="40"/>
    </x:row>
    <x:row r="45">
      <x:c r="A45" s="37" t="n">
        <x:v>43</x:v>
      </x:c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2" t="str">
        <x:f>IF(COUNTA(B45:K45)=0,"",ROUND(AVERAGE(I45:K45),2))</x:f>
      </x:c>
      <x:c r="M45" s="40"/>
      <x:c r="N45" s="40"/>
    </x:row>
    <x:row r="46">
      <x:c r="A46" s="37" t="n">
        <x:v>44</x:v>
      </x:c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2" t="str">
        <x:f>IF(COUNTA(B46:K46)=0,"",ROUND(AVERAGE(I46:K46),2))</x:f>
      </x:c>
      <x:c r="M46" s="40"/>
      <x:c r="N46" s="40"/>
    </x:row>
    <x:row r="47">
      <x:c r="A47" s="37" t="n">
        <x:v>45</x:v>
      </x:c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2" t="str">
        <x:f>IF(COUNTA(B47:K47)=0,"",ROUND(AVERAGE(I47:K47),2))</x:f>
      </x:c>
      <x:c r="M47" s="40"/>
      <x:c r="N47" s="40"/>
    </x:row>
    <x:row r="48">
      <x:c r="A48" s="37" t="n">
        <x:v>46</x:v>
      </x:c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2" t="str">
        <x:f>IF(COUNTA(B48:K48)=0,"",ROUND(AVERAGE(I48:K48),2))</x:f>
      </x:c>
      <x:c r="M48" s="40"/>
      <x:c r="N48" s="40"/>
    </x:row>
    <x:row r="49">
      <x:c r="A49" s="37" t="n">
        <x:v>47</x:v>
      </x:c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2" t="str">
        <x:f>IF(COUNTA(B49:K49)=0,"",ROUND(AVERAGE(I49:K49),2))</x:f>
      </x:c>
      <x:c r="M49" s="40"/>
      <x:c r="N49" s="40"/>
    </x:row>
    <x:row r="50">
      <x:c r="A50" s="37" t="n">
        <x:v>48</x:v>
      </x:c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2" t="str">
        <x:f>IF(COUNTA(B50:K50)=0,"",ROUND(AVERAGE(I50:K50),2))</x:f>
      </x:c>
      <x:c r="M50" s="40"/>
      <x:c r="N50" s="40"/>
    </x:row>
    <x:row r="51">
      <x:c r="A51" s="37" t="n">
        <x:v>49</x:v>
      </x:c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2" t="str">
        <x:f>IF(COUNTA(B51:K51)=0,"",ROUND(AVERAGE(I51:K51),2))</x:f>
      </x:c>
      <x:c r="M51" s="40"/>
      <x:c r="N51" s="40"/>
    </x:row>
    <x:row r="52">
      <x:c r="A52" s="37" t="n">
        <x:v>50</x:v>
      </x:c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2" t="str">
        <x:f>IF(COUNTA(B52:K52)=0,"",ROUND(AVERAGE(I52:K52),2))</x:f>
      </x:c>
      <x:c r="M52" s="40"/>
      <x:c r="N52" s="40"/>
    </x:row>
    <x:row r="53">
      <x:c r="A53" s="37" t="n">
        <x:v>51</x:v>
      </x:c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2" t="str">
        <x:f>IF(COUNTA(B53:K53)=0,"",ROUND(AVERAGE(I53:K53),2))</x:f>
      </x:c>
      <x:c r="M53" s="40"/>
      <x:c r="N53" s="40"/>
    </x:row>
    <x:row r="54">
      <x:c r="A54" s="37" t="n">
        <x:v>52</x:v>
      </x:c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2" t="str">
        <x:f>IF(COUNTA(B54:K54)=0,"",ROUND(AVERAGE(I54:K54),2))</x:f>
      </x:c>
      <x:c r="M54" s="40"/>
      <x:c r="N54" s="40"/>
    </x:row>
    <x:row r="55">
      <x:c r="A55" s="37" t="n">
        <x:v>53</x:v>
      </x:c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2" t="str">
        <x:f>IF(COUNTA(B55:K55)=0,"",ROUND(AVERAGE(I55:K55),2))</x:f>
      </x:c>
      <x:c r="M55" s="40"/>
      <x:c r="N55" s="40"/>
    </x:row>
    <x:row r="56">
      <x:c r="A56" s="37" t="n">
        <x:v>54</x:v>
      </x:c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2" t="str">
        <x:f>IF(COUNTA(B56:K56)=0,"",ROUND(AVERAGE(I56:K56),2))</x:f>
      </x:c>
      <x:c r="M56" s="40"/>
      <x:c r="N56" s="40"/>
    </x:row>
    <x:row r="57">
      <x:c r="A57" s="37" t="n">
        <x:v>55</x:v>
      </x:c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2" t="str">
        <x:f>IF(COUNTA(B57:K57)=0,"",ROUND(AVERAGE(I57:K57),2))</x:f>
      </x:c>
      <x:c r="M57" s="40"/>
      <x:c r="N57" s="40"/>
    </x:row>
    <x:row r="58">
      <x:c r="A58" s="37" t="n">
        <x:v>56</x:v>
      </x:c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2" t="str">
        <x:f>IF(COUNTA(B58:K58)=0,"",ROUND(AVERAGE(I58:K58),2))</x:f>
      </x:c>
      <x:c r="M58" s="40"/>
      <x:c r="N58" s="40"/>
    </x:row>
    <x:row r="59">
      <x:c r="A59" s="37" t="n">
        <x:v>57</x:v>
      </x:c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2" t="str">
        <x:f>IF(COUNTA(B59:K59)=0,"",ROUND(AVERAGE(I59:K59),2))</x:f>
      </x:c>
      <x:c r="M59" s="40"/>
      <x:c r="N59" s="40"/>
    </x:row>
    <x:row r="60">
      <x:c r="A60" s="37" t="n">
        <x:v>58</x:v>
      </x:c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2" t="str">
        <x:f>IF(COUNTA(B60:K60)=0,"",ROUND(AVERAGE(I60:K60),2))</x:f>
      </x:c>
      <x:c r="M60" s="40"/>
      <x:c r="N60" s="40"/>
    </x:row>
    <x:row r="61">
      <x:c r="A61" s="37" t="n">
        <x:v>59</x:v>
      </x:c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2" t="str">
        <x:f>IF(COUNTA(B61:K61)=0,"",ROUND(AVERAGE(I61:K61),2))</x:f>
      </x:c>
      <x:c r="M61" s="40"/>
      <x:c r="N61" s="40"/>
    </x:row>
    <x:row r="62">
      <x:c r="A62" s="37" t="n">
        <x:v>60</x:v>
      </x:c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2" t="str">
        <x:f>IF(COUNTA(B62:K62)=0,"",ROUND(AVERAGE(I62:K62),2))</x:f>
      </x:c>
      <x:c r="M62" s="40"/>
      <x:c r="N62" s="40"/>
    </x:row>
    <x:row r="63">
      <x:c r="A63" s="37" t="n">
        <x:v>61</x:v>
      </x:c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2" t="str">
        <x:f>IF(COUNTA(B63:K63)=0,"",ROUND(AVERAGE(I63:K63),2))</x:f>
      </x:c>
      <x:c r="M63" s="40"/>
      <x:c r="N63" s="40"/>
    </x:row>
    <x:row r="64">
      <x:c r="A64" s="37" t="n">
        <x:v>62</x:v>
      </x:c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2" t="str">
        <x:f>IF(COUNTA(B64:K64)=0,"",ROUND(AVERAGE(I64:K64),2))</x:f>
      </x:c>
      <x:c r="M64" s="40"/>
      <x:c r="N64" s="40"/>
    </x:row>
    <x:row r="65">
      <x:c r="A65" s="37" t="n">
        <x:v>63</x:v>
      </x:c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2" t="str">
        <x:f>IF(COUNTA(B65:K65)=0,"",ROUND(AVERAGE(I65:K65),2))</x:f>
      </x:c>
      <x:c r="M65" s="40"/>
      <x:c r="N65" s="40"/>
    </x:row>
    <x:row r="66">
      <x:c r="A66" s="37" t="n">
        <x:v>64</x:v>
      </x:c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2" t="str">
        <x:f>IF(COUNTA(B66:K66)=0,"",ROUND(AVERAGE(I66:K66),2))</x:f>
      </x:c>
      <x:c r="M66" s="40"/>
      <x:c r="N66" s="40"/>
    </x:row>
    <x:row r="67">
      <x:c r="A67" s="37" t="n">
        <x:v>65</x:v>
      </x:c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2" t="str">
        <x:f>IF(COUNTA(B67:K67)=0,"",ROUND(AVERAGE(I67:K67),2))</x:f>
      </x:c>
      <x:c r="M67" s="40"/>
      <x:c r="N67" s="40"/>
    </x:row>
    <x:row r="68">
      <x:c r="A68" s="37" t="n">
        <x:v>66</x:v>
      </x:c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2" t="str">
        <x:f>IF(COUNTA(B68:K68)=0,"",ROUND(AVERAGE(I68:K68),2))</x:f>
      </x:c>
      <x:c r="M68" s="40"/>
      <x:c r="N68" s="40"/>
    </x:row>
    <x:row r="69">
      <x:c r="A69" s="37" t="n">
        <x:v>67</x:v>
      </x:c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2" t="str">
        <x:f>IF(COUNTA(B69:K69)=0,"",ROUND(AVERAGE(I69:K69),2))</x:f>
      </x:c>
      <x:c r="M69" s="40"/>
      <x:c r="N69" s="40"/>
    </x:row>
    <x:row r="70">
      <x:c r="A70" s="37" t="n">
        <x:v>68</x:v>
      </x:c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2" t="str">
        <x:f>IF(COUNTA(B70:K70)=0,"",ROUND(AVERAGE(I70:K70),2))</x:f>
      </x:c>
      <x:c r="M70" s="40"/>
      <x:c r="N70" s="40"/>
    </x:row>
    <x:row r="71">
      <x:c r="A71" s="37" t="n">
        <x:v>69</x:v>
      </x:c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2" t="str">
        <x:f>IF(COUNTA(B71:K71)=0,"",ROUND(AVERAGE(I71:K71),2))</x:f>
      </x:c>
      <x:c r="M71" s="40"/>
      <x:c r="N71" s="40"/>
    </x:row>
    <x:row r="72">
      <x:c r="A72" s="37" t="n">
        <x:v>70</x:v>
      </x:c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2" t="str">
        <x:f>IF(COUNTA(B72:K72)=0,"",ROUND(AVERAGE(I72:K72),2))</x:f>
      </x:c>
      <x:c r="M72" s="40"/>
      <x:c r="N72" s="40"/>
    </x:row>
    <x:row r="73">
      <x:c r="A73" s="37" t="n">
        <x:v>71</x:v>
      </x:c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2" t="str">
        <x:f>IF(COUNTA(B73:K73)=0,"",ROUND(AVERAGE(I73:K73),2))</x:f>
      </x:c>
      <x:c r="M73" s="40"/>
      <x:c r="N73" s="40"/>
    </x:row>
    <x:row r="74">
      <x:c r="A74" s="37" t="n">
        <x:v>72</x:v>
      </x:c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2" t="str">
        <x:f>IF(COUNTA(B74:K74)=0,"",ROUND(AVERAGE(I74:K74),2))</x:f>
      </x:c>
      <x:c r="M74" s="40"/>
      <x:c r="N74" s="40"/>
    </x:row>
    <x:row r="75">
      <x:c r="A75" s="37" t="n">
        <x:v>73</x:v>
      </x:c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2" t="str">
        <x:f>IF(COUNTA(B75:K75)=0,"",ROUND(AVERAGE(I75:K75),2))</x:f>
      </x:c>
      <x:c r="M75" s="40"/>
      <x:c r="N75" s="40"/>
    </x:row>
    <x:row r="76">
      <x:c r="A76" s="37" t="n">
        <x:v>74</x:v>
      </x:c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2" t="str">
        <x:f>IF(COUNTA(B76:K76)=0,"",ROUND(AVERAGE(I76:K76),2))</x:f>
      </x:c>
      <x:c r="M76" s="40"/>
      <x:c r="N76" s="40"/>
    </x:row>
    <x:row r="77">
      <x:c r="A77" s="37" t="n">
        <x:v>75</x:v>
      </x:c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2" t="str">
        <x:f>IF(COUNTA(B77:K77)=0,"",ROUND(AVERAGE(I77:K77),2))</x:f>
      </x:c>
      <x:c r="M77" s="40"/>
      <x:c r="N77" s="40"/>
    </x:row>
    <x:row r="78">
      <x:c r="A78" s="37" t="n">
        <x:v>76</x:v>
      </x:c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2" t="str">
        <x:f>IF(COUNTA(B78:K78)=0,"",ROUND(AVERAGE(I78:K78),2))</x:f>
      </x:c>
      <x:c r="M78" s="40"/>
      <x:c r="N78" s="40"/>
    </x:row>
    <x:row r="79">
      <x:c r="A79" s="37" t="n">
        <x:v>77</x:v>
      </x:c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2" t="str">
        <x:f>IF(COUNTA(B79:K79)=0,"",ROUND(AVERAGE(I79:K79),2))</x:f>
      </x:c>
      <x:c r="M79" s="40"/>
      <x:c r="N79" s="40"/>
    </x:row>
    <x:row r="80">
      <x:c r="A80" s="37" t="n">
        <x:v>78</x:v>
      </x:c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2" t="str">
        <x:f>IF(COUNTA(B80:K80)=0,"",ROUND(AVERAGE(I80:K80),2))</x:f>
      </x:c>
      <x:c r="M80" s="40"/>
      <x:c r="N80" s="40"/>
    </x:row>
    <x:row r="81">
      <x:c r="A81" s="37" t="n">
        <x:v>79</x:v>
      </x:c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2" t="str">
        <x:f>IF(COUNTA(B81:K81)=0,"",ROUND(AVERAGE(I81:K81),2))</x:f>
      </x:c>
      <x:c r="M81" s="40"/>
      <x:c r="N81" s="40"/>
    </x:row>
    <x:row r="82">
      <x:c r="A82" s="37" t="n">
        <x:v>80</x:v>
      </x:c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2" t="str">
        <x:f>IF(COUNTA(B82:K82)=0,"",ROUND(AVERAGE(I82:K82),2))</x:f>
      </x:c>
      <x:c r="M82" s="40"/>
      <x:c r="N82" s="40"/>
    </x:row>
    <x:row r="83">
      <x:c r="A83" s="37" t="n">
        <x:v>81</x:v>
      </x:c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2" t="str">
        <x:f>IF(COUNTA(B83:K83)=0,"",ROUND(AVERAGE(I83:K83),2))</x:f>
      </x:c>
      <x:c r="M83" s="40"/>
      <x:c r="N83" s="40"/>
    </x:row>
    <x:row r="84">
      <x:c r="A84" s="37" t="n">
        <x:v>82</x:v>
      </x:c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2" t="str">
        <x:f>IF(COUNTA(B84:K84)=0,"",ROUND(AVERAGE(I84:K84),2))</x:f>
      </x:c>
      <x:c r="M84" s="40"/>
      <x:c r="N84" s="40"/>
    </x:row>
    <x:row r="85">
      <x:c r="A85" s="37" t="n">
        <x:v>83</x:v>
      </x:c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2" t="str">
        <x:f>IF(COUNTA(B85:K85)=0,"",ROUND(AVERAGE(I85:K85),2))</x:f>
      </x:c>
      <x:c r="M85" s="40"/>
      <x:c r="N85" s="40"/>
    </x:row>
    <x:row r="86">
      <x:c r="A86" s="37" t="n">
        <x:v>84</x:v>
      </x:c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2" t="str">
        <x:f>IF(COUNTA(B86:K86)=0,"",ROUND(AVERAGE(I86:K86),2))</x:f>
      </x:c>
      <x:c r="M86" s="40"/>
      <x:c r="N86" s="40"/>
    </x:row>
    <x:row r="87">
      <x:c r="A87" s="37" t="n">
        <x:v>85</x:v>
      </x:c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2" t="str">
        <x:f>IF(COUNTA(B87:K87)=0,"",ROUND(AVERAGE(I87:K87),2))</x:f>
      </x:c>
      <x:c r="M87" s="40"/>
      <x:c r="N87" s="40"/>
    </x:row>
    <x:row r="88">
      <x:c r="A88" s="37" t="n">
        <x:v>86</x:v>
      </x:c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2" t="str">
        <x:f>IF(COUNTA(B88:K88)=0,"",ROUND(AVERAGE(I88:K88),2))</x:f>
      </x:c>
      <x:c r="M88" s="40"/>
      <x:c r="N88" s="40"/>
    </x:row>
    <x:row r="89">
      <x:c r="A89" s="37" t="n">
        <x:v>87</x:v>
      </x:c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2" t="str">
        <x:f>IF(COUNTA(B89:K89)=0,"",ROUND(AVERAGE(I89:K89),2))</x:f>
      </x:c>
      <x:c r="M89" s="40"/>
      <x:c r="N89" s="40"/>
    </x:row>
    <x:row r="90">
      <x:c r="A90" s="37" t="n">
        <x:v>88</x:v>
      </x:c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2" t="str">
        <x:f>IF(COUNTA(B90:K90)=0,"",ROUND(AVERAGE(I90:K90),2))</x:f>
      </x:c>
      <x:c r="M90" s="40"/>
      <x:c r="N90" s="40"/>
    </x:row>
    <x:row r="91">
      <x:c r="A91" s="37" t="n">
        <x:v>89</x:v>
      </x:c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2" t="str">
        <x:f>IF(COUNTA(B91:K91)=0,"",ROUND(AVERAGE(I91:K91),2))</x:f>
      </x:c>
      <x:c r="M91" s="40"/>
      <x:c r="N91" s="40"/>
    </x:row>
    <x:row r="92">
      <x:c r="A92" s="37" t="n">
        <x:v>90</x:v>
      </x:c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2" t="str">
        <x:f>IF(COUNTA(B92:K92)=0,"",ROUND(AVERAGE(I92:K92),2))</x:f>
      </x:c>
      <x:c r="M92" s="40"/>
      <x:c r="N92" s="40"/>
    </x:row>
    <x:row r="93">
      <x:c r="A93" s="37" t="n">
        <x:v>91</x:v>
      </x:c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2" t="str">
        <x:f>IF(COUNTA(B93:K93)=0,"",ROUND(AVERAGE(I93:K93),2))</x:f>
      </x:c>
      <x:c r="M93" s="40"/>
      <x:c r="N93" s="40"/>
    </x:row>
    <x:row r="94">
      <x:c r="A94" s="37" t="n">
        <x:v>92</x:v>
      </x:c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2" t="str">
        <x:f>IF(COUNTA(B94:K94)=0,"",ROUND(AVERAGE(I94:K94),2))</x:f>
      </x:c>
      <x:c r="M94" s="40"/>
      <x:c r="N94" s="40"/>
    </x:row>
    <x:row r="95">
      <x:c r="A95" s="37" t="n">
        <x:v>93</x:v>
      </x:c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2" t="str">
        <x:f>IF(COUNTA(B95:K95)=0,"",ROUND(AVERAGE(I95:K95),2))</x:f>
      </x:c>
      <x:c r="M95" s="40"/>
      <x:c r="N95" s="40"/>
    </x:row>
    <x:row r="96">
      <x:c r="A96" s="37" t="n">
        <x:v>94</x:v>
      </x:c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2" t="str">
        <x:f>IF(COUNTA(B96:K96)=0,"",ROUND(AVERAGE(I96:K96),2))</x:f>
      </x:c>
      <x:c r="M96" s="40"/>
      <x:c r="N96" s="40"/>
    </x:row>
    <x:row r="97">
      <x:c r="A97" s="37" t="n">
        <x:v>95</x:v>
      </x:c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2" t="str">
        <x:f>IF(COUNTA(B97:K97)=0,"",ROUND(AVERAGE(I97:K97),2))</x:f>
      </x:c>
      <x:c r="M97" s="40"/>
      <x:c r="N97" s="40"/>
    </x:row>
    <x:row r="98">
      <x:c r="A98" s="37" t="n">
        <x:v>96</x:v>
      </x:c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2" t="str">
        <x:f>IF(COUNTA(B98:K98)=0,"",ROUND(AVERAGE(I98:K98),2))</x:f>
      </x:c>
      <x:c r="M98" s="40"/>
      <x:c r="N98" s="40"/>
    </x:row>
    <x:row r="99">
      <x:c r="A99" s="37" t="n">
        <x:v>97</x:v>
      </x:c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2" t="str">
        <x:f>IF(COUNTA(B99:K99)=0,"",ROUND(AVERAGE(I99:K99),2))</x:f>
      </x:c>
      <x:c r="M99" s="40"/>
      <x:c r="N99" s="40"/>
    </x:row>
    <x:row r="100">
      <x:c r="A100" s="37" t="n">
        <x:v>98</x:v>
      </x:c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2" t="str">
        <x:f>IF(COUNTA(B100:K100)=0,"",ROUND(AVERAGE(I100:K100),2))</x:f>
      </x:c>
      <x:c r="M100" s="40"/>
      <x:c r="N100" s="40"/>
    </x:row>
    <x:row r="101">
      <x:c r="A101" s="37" t="n">
        <x:v>99</x:v>
      </x:c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2" t="str">
        <x:f>IF(COUNTA(B101:K101)=0,"",ROUND(AVERAGE(I101:K101),2))</x:f>
      </x:c>
      <x:c r="M101" s="40"/>
      <x:c r="N101" s="40"/>
    </x:row>
    <x:row r="102">
      <x:c r="A102" s="37" t="n">
        <x:v>100</x:v>
      </x:c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2" t="str">
        <x:f>IF(COUNTA(B102:K102)=0,"",ROUND(AVERAGE(I102:K102),2))</x:f>
      </x:c>
      <x:c r="M102" s="40"/>
      <x:c r="N102" s="40"/>
    </x:row>
    <x:row r="103">
      <x:c r="A103" s="37" t="n">
        <x:v>101</x:v>
      </x:c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2" t="str">
        <x:f>IF(COUNTA(B103:K103)=0,"",ROUND(AVERAGE(I103:K103),2))</x:f>
      </x:c>
      <x:c r="M103" s="40"/>
      <x:c r="N103" s="40"/>
    </x:row>
    <x:row r="104">
      <x:c r="A104" s="37" t="n">
        <x:v>102</x:v>
      </x:c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2" t="str">
        <x:f>IF(COUNTA(B104:K104)=0,"",ROUND(AVERAGE(I104:K104),2))</x:f>
      </x:c>
      <x:c r="M104" s="40"/>
      <x:c r="N104" s="40"/>
    </x:row>
    <x:row r="105">
      <x:c r="A105" s="37" t="n">
        <x:v>103</x:v>
      </x:c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2" t="str">
        <x:f>IF(COUNTA(B105:K105)=0,"",ROUND(AVERAGE(I105:K105),2))</x:f>
      </x:c>
      <x:c r="M105" s="40"/>
      <x:c r="N105" s="40"/>
    </x:row>
    <x:row r="106">
      <x:c r="A106" s="37" t="n">
        <x:v>104</x:v>
      </x:c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2" t="str">
        <x:f>IF(COUNTA(B106:K106)=0,"",ROUND(AVERAGE(I106:K106),2))</x:f>
      </x:c>
      <x:c r="M106" s="40"/>
      <x:c r="N106" s="40"/>
    </x:row>
    <x:row r="107">
      <x:c r="A107" s="37" t="n">
        <x:v>105</x:v>
      </x:c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2" t="str">
        <x:f>IF(COUNTA(B107:K107)=0,"",ROUND(AVERAGE(I107:K107),2))</x:f>
      </x:c>
      <x:c r="M107" s="40"/>
      <x:c r="N107" s="40"/>
    </x:row>
    <x:row r="108">
      <x:c r="A108" s="37" t="n">
        <x:v>106</x:v>
      </x:c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2" t="str">
        <x:f>IF(COUNTA(B108:K108)=0,"",ROUND(AVERAGE(I108:K108),2))</x:f>
      </x:c>
      <x:c r="M108" s="40"/>
      <x:c r="N108" s="40"/>
    </x:row>
    <x:row r="109">
      <x:c r="A109" s="37" t="n">
        <x:v>107</x:v>
      </x:c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2" t="str">
        <x:f>IF(COUNTA(B109:K109)=0,"",ROUND(AVERAGE(I109:K109),2))</x:f>
      </x:c>
      <x:c r="M109" s="40"/>
      <x:c r="N109" s="40"/>
    </x:row>
    <x:row r="110">
      <x:c r="A110" s="37" t="n">
        <x:v>108</x:v>
      </x:c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2" t="str">
        <x:f>IF(COUNTA(B110:K110)=0,"",ROUND(AVERAGE(I110:K110),2))</x:f>
      </x:c>
      <x:c r="M110" s="40"/>
      <x:c r="N110" s="40"/>
    </x:row>
    <x:row r="111">
      <x:c r="A111" s="37" t="n">
        <x:v>109</x:v>
      </x:c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2" t="str">
        <x:f>IF(COUNTA(B111:K111)=0,"",ROUND(AVERAGE(I111:K111),2))</x:f>
      </x:c>
      <x:c r="M111" s="40"/>
      <x:c r="N111" s="40"/>
    </x:row>
    <x:row r="112">
      <x:c r="A112" s="37" t="n">
        <x:v>110</x:v>
      </x:c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2" t="str">
        <x:f>IF(COUNTA(B112:K112)=0,"",ROUND(AVERAGE(I112:K112),2))</x:f>
      </x:c>
      <x:c r="M112" s="40"/>
      <x:c r="N112" s="40"/>
    </x:row>
    <x:row r="113">
      <x:c r="A113" s="37" t="n">
        <x:v>111</x:v>
      </x:c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2" t="str">
        <x:f>IF(COUNTA(B113:K113)=0,"",ROUND(AVERAGE(I113:K113),2))</x:f>
      </x:c>
      <x:c r="M113" s="40"/>
      <x:c r="N113" s="40"/>
    </x:row>
    <x:row r="114">
      <x:c r="A114" s="37" t="n">
        <x:v>112</x:v>
      </x:c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2" t="str">
        <x:f>IF(COUNTA(B114:K114)=0,"",ROUND(AVERAGE(I114:K114),2))</x:f>
      </x:c>
      <x:c r="M114" s="40"/>
      <x:c r="N114" s="40"/>
    </x:row>
    <x:row r="115">
      <x:c r="A115" s="37" t="n">
        <x:v>113</x:v>
      </x:c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2" t="str">
        <x:f>IF(COUNTA(B115:K115)=0,"",ROUND(AVERAGE(I115:K115),2))</x:f>
      </x:c>
      <x:c r="M115" s="40"/>
      <x:c r="N115" s="40"/>
    </x:row>
    <x:row r="116">
      <x:c r="A116" s="37" t="n">
        <x:v>114</x:v>
      </x:c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2" t="str">
        <x:f>IF(COUNTA(B116:K116)=0,"",ROUND(AVERAGE(I116:K116),2))</x:f>
      </x:c>
      <x:c r="M116" s="40"/>
      <x:c r="N116" s="40"/>
    </x:row>
    <x:row r="117">
      <x:c r="A117" s="37" t="n">
        <x:v>115</x:v>
      </x:c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2" t="str">
        <x:f>IF(COUNTA(B117:K117)=0,"",ROUND(AVERAGE(I117:K117),2))</x:f>
      </x:c>
      <x:c r="M117" s="40"/>
      <x:c r="N117" s="40"/>
    </x:row>
    <x:row r="118">
      <x:c r="A118" s="37" t="n">
        <x:v>116</x:v>
      </x:c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2" t="str">
        <x:f>IF(COUNTA(B118:K118)=0,"",ROUND(AVERAGE(I118:K118),2))</x:f>
      </x:c>
      <x:c r="M118" s="40"/>
      <x:c r="N118" s="40"/>
    </x:row>
    <x:row r="119">
      <x:c r="A119" s="37" t="n">
        <x:v>117</x:v>
      </x:c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2" t="str">
        <x:f>IF(COUNTA(B119:K119)=0,"",ROUND(AVERAGE(I119:K119),2))</x:f>
      </x:c>
      <x:c r="M119" s="40"/>
      <x:c r="N119" s="40"/>
    </x:row>
    <x:row r="120">
      <x:c r="A120" s="37" t="n">
        <x:v>118</x:v>
      </x:c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2" t="str">
        <x:f>IF(COUNTA(B120:K120)=0,"",ROUND(AVERAGE(I120:K120),2))</x:f>
      </x:c>
      <x:c r="M120" s="40"/>
      <x:c r="N120" s="40"/>
    </x:row>
    <x:row r="121">
      <x:c r="A121" s="37" t="n">
        <x:v>119</x:v>
      </x:c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2" t="str">
        <x:f>IF(COUNTA(B121:K121)=0,"",ROUND(AVERAGE(I121:K121),2))</x:f>
      </x:c>
      <x:c r="M121" s="40"/>
      <x:c r="N121" s="40"/>
    </x:row>
    <x:row r="122">
      <x:c r="A122" s="37" t="n">
        <x:v>120</x:v>
      </x:c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2" t="str">
        <x:f>IF(COUNTA(B122:K122)=0,"",ROUND(AVERAGE(I122:K122),2))</x:f>
      </x:c>
      <x:c r="M122" s="40"/>
      <x:c r="N122" s="40"/>
    </x:row>
    <x:row r="123">
      <x:c r="A123" s="37" t="n">
        <x:v>121</x:v>
      </x:c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2" t="str">
        <x:f>IF(COUNTA(B123:K123)=0,"",ROUND(AVERAGE(I123:K123),2))</x:f>
      </x:c>
      <x:c r="M123" s="40"/>
      <x:c r="N123" s="40"/>
    </x:row>
    <x:row r="124">
      <x:c r="A124" s="37" t="n">
        <x:v>122</x:v>
      </x:c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2" t="str">
        <x:f>IF(COUNTA(B124:K124)=0,"",ROUND(AVERAGE(I124:K124),2))</x:f>
      </x:c>
      <x:c r="M124" s="40"/>
      <x:c r="N124" s="40"/>
    </x:row>
    <x:row r="125">
      <x:c r="A125" s="37" t="n">
        <x:v>123</x:v>
      </x:c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2" t="str">
        <x:f>IF(COUNTA(B125:K125)=0,"",ROUND(AVERAGE(I125:K125),2))</x:f>
      </x:c>
      <x:c r="M125" s="40"/>
      <x:c r="N125" s="40"/>
    </x:row>
    <x:row r="126">
      <x:c r="A126" s="37" t="n">
        <x:v>124</x:v>
      </x:c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2" t="str">
        <x:f>IF(COUNTA(B126:K126)=0,"",ROUND(AVERAGE(I126:K126),2))</x:f>
      </x:c>
      <x:c r="M126" s="40"/>
      <x:c r="N126" s="40"/>
    </x:row>
    <x:row r="127">
      <x:c r="A127" s="37" t="n">
        <x:v>125</x:v>
      </x:c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2" t="str">
        <x:f>IF(COUNTA(B127:K127)=0,"",ROUND(AVERAGE(I127:K127),2))</x:f>
      </x:c>
      <x:c r="M127" s="40"/>
      <x:c r="N127" s="40"/>
    </x:row>
    <x:row r="128">
      <x:c r="A128" s="37" t="n">
        <x:v>126</x:v>
      </x:c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2" t="str">
        <x:f>IF(COUNTA(B128:K128)=0,"",ROUND(AVERAGE(I128:K128),2))</x:f>
      </x:c>
      <x:c r="M128" s="40"/>
      <x:c r="N128" s="40"/>
    </x:row>
    <x:row r="129">
      <x:c r="A129" s="37" t="n">
        <x:v>127</x:v>
      </x:c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2" t="str">
        <x:f>IF(COUNTA(B129:K129)=0,"",ROUND(AVERAGE(I129:K129),2))</x:f>
      </x:c>
      <x:c r="M129" s="40"/>
      <x:c r="N129" s="40"/>
    </x:row>
    <x:row r="130">
      <x:c r="A130" s="37" t="n">
        <x:v>128</x:v>
      </x:c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2" t="str">
        <x:f>IF(COUNTA(B130:K130)=0,"",ROUND(AVERAGE(I130:K130),2))</x:f>
      </x:c>
      <x:c r="M130" s="40"/>
      <x:c r="N130" s="40"/>
    </x:row>
    <x:row r="131">
      <x:c r="A131" s="37" t="n">
        <x:v>129</x:v>
      </x:c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2" t="str">
        <x:f>IF(COUNTA(B131:K131)=0,"",ROUND(AVERAGE(I131:K131),2))</x:f>
      </x:c>
      <x:c r="M131" s="40"/>
      <x:c r="N131" s="40"/>
    </x:row>
    <x:row r="132">
      <x:c r="A132" s="37" t="n">
        <x:v>130</x:v>
      </x:c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2" t="str">
        <x:f>IF(COUNTA(B132:K132)=0,"",ROUND(AVERAGE(I132:K132),2))</x:f>
      </x:c>
      <x:c r="M132" s="40"/>
      <x:c r="N132" s="40"/>
    </x:row>
    <x:row r="133">
      <x:c r="A133" s="37" t="n">
        <x:v>131</x:v>
      </x:c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2" t="str">
        <x:f>IF(COUNTA(B133:K133)=0,"",ROUND(AVERAGE(I133:K133),2))</x:f>
      </x:c>
      <x:c r="M133" s="40"/>
      <x:c r="N133" s="40"/>
    </x:row>
    <x:row r="134">
      <x:c r="A134" s="37" t="n">
        <x:v>132</x:v>
      </x:c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2" t="str">
        <x:f>IF(COUNTA(B134:K134)=0,"",ROUND(AVERAGE(I134:K134),2))</x:f>
      </x:c>
      <x:c r="M134" s="40"/>
      <x:c r="N134" s="40"/>
    </x:row>
    <x:row r="135">
      <x:c r="A135" s="37" t="n">
        <x:v>133</x:v>
      </x:c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2" t="str">
        <x:f>IF(COUNTA(B135:K135)=0,"",ROUND(AVERAGE(I135:K135),2))</x:f>
      </x:c>
      <x:c r="M135" s="40"/>
      <x:c r="N135" s="40"/>
    </x:row>
    <x:row r="136">
      <x:c r="A136" s="37" t="n">
        <x:v>134</x:v>
      </x:c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2" t="str">
        <x:f>IF(COUNTA(B136:K136)=0,"",ROUND(AVERAGE(I136:K136),2))</x:f>
      </x:c>
      <x:c r="M136" s="40"/>
      <x:c r="N136" s="40"/>
    </x:row>
    <x:row r="137">
      <x:c r="A137" s="37" t="n">
        <x:v>135</x:v>
      </x:c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2" t="str">
        <x:f>IF(COUNTA(B137:K137)=0,"",ROUND(AVERAGE(I137:K137),2))</x:f>
      </x:c>
      <x:c r="M137" s="40"/>
      <x:c r="N137" s="40"/>
    </x:row>
    <x:row r="138">
      <x:c r="A138" s="37" t="n">
        <x:v>136</x:v>
      </x:c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2" t="str">
        <x:f>IF(COUNTA(B138:K138)=0,"",ROUND(AVERAGE(I138:K138),2))</x:f>
      </x:c>
      <x:c r="M138" s="40"/>
      <x:c r="N138" s="40"/>
    </x:row>
    <x:row r="139">
      <x:c r="A139" s="37" t="n">
        <x:v>137</x:v>
      </x:c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2" t="str">
        <x:f>IF(COUNTA(B139:K139)=0,"",ROUND(AVERAGE(I139:K139),2))</x:f>
      </x:c>
      <x:c r="M139" s="40"/>
      <x:c r="N139" s="40"/>
    </x:row>
    <x:row r="140">
      <x:c r="A140" s="37" t="n">
        <x:v>138</x:v>
      </x:c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2" t="str">
        <x:f>IF(COUNTA(B140:K140)=0,"",ROUND(AVERAGE(I140:K140),2))</x:f>
      </x:c>
      <x:c r="M140" s="40"/>
      <x:c r="N140" s="40"/>
    </x:row>
    <x:row r="141">
      <x:c r="A141" s="37" t="n">
        <x:v>139</x:v>
      </x:c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2" t="str">
        <x:f>IF(COUNTA(B141:K141)=0,"",ROUND(AVERAGE(I141:K141),2))</x:f>
      </x:c>
      <x:c r="M141" s="40"/>
      <x:c r="N141" s="40"/>
    </x:row>
    <x:row r="142">
      <x:c r="A142" s="37" t="n">
        <x:v>140</x:v>
      </x:c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2" t="str">
        <x:f>IF(COUNTA(B142:K142)=0,"",ROUND(AVERAGE(I142:K142),2))</x:f>
      </x:c>
      <x:c r="M142" s="40"/>
      <x:c r="N142" s="40"/>
    </x:row>
    <x:row r="143">
      <x:c r="A143" s="37" t="n">
        <x:v>141</x:v>
      </x:c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2" t="str">
        <x:f>IF(COUNTA(B143:K143)=0,"",ROUND(AVERAGE(I143:K143),2))</x:f>
      </x:c>
      <x:c r="M143" s="40"/>
      <x:c r="N143" s="40"/>
    </x:row>
    <x:row r="144">
      <x:c r="A144" s="37" t="n">
        <x:v>142</x:v>
      </x:c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2" t="str">
        <x:f>IF(COUNTA(B144:K144)=0,"",ROUND(AVERAGE(I144:K144),2))</x:f>
      </x:c>
      <x:c r="M144" s="40"/>
      <x:c r="N144" s="40"/>
    </x:row>
    <x:row r="145">
      <x:c r="A145" s="37" t="n">
        <x:v>143</x:v>
      </x:c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2" t="str">
        <x:f>IF(COUNTA(B145:K145)=0,"",ROUND(AVERAGE(I145:K145),2))</x:f>
      </x:c>
      <x:c r="M145" s="40"/>
      <x:c r="N145" s="40"/>
    </x:row>
    <x:row r="146">
      <x:c r="A146" s="37" t="n">
        <x:v>144</x:v>
      </x:c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2" t="str">
        <x:f>IF(COUNTA(B146:K146)=0,"",ROUND(AVERAGE(I146:K146),2))</x:f>
      </x:c>
      <x:c r="M146" s="40"/>
      <x:c r="N146" s="40"/>
    </x:row>
    <x:row r="147">
      <x:c r="A147" s="37" t="n">
        <x:v>145</x:v>
      </x:c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2" t="str">
        <x:f>IF(COUNTA(B147:K147)=0,"",ROUND(AVERAGE(I147:K147),2))</x:f>
      </x:c>
      <x:c r="M147" s="40"/>
      <x:c r="N147" s="40"/>
    </x:row>
    <x:row r="148">
      <x:c r="A148" s="37" t="n">
        <x:v>146</x:v>
      </x:c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2" t="str">
        <x:f>IF(COUNTA(B148:K148)=0,"",ROUND(AVERAGE(I148:K148),2))</x:f>
      </x:c>
      <x:c r="M148" s="40"/>
      <x:c r="N148" s="40"/>
    </x:row>
    <x:row r="149">
      <x:c r="A149" s="37" t="n">
        <x:v>147</x:v>
      </x:c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2" t="str">
        <x:f>IF(COUNTA(B149:K149)=0,"",ROUND(AVERAGE(I149:K149),2))</x:f>
      </x:c>
      <x:c r="M149" s="40"/>
      <x:c r="N149" s="40"/>
    </x:row>
    <x:row r="150">
      <x:c r="A150" s="37" t="n">
        <x:v>148</x:v>
      </x:c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2" t="str">
        <x:f>IF(COUNTA(B150:K150)=0,"",ROUND(AVERAGE(I150:K150),2))</x:f>
      </x:c>
      <x:c r="M150" s="40"/>
      <x:c r="N150" s="40"/>
    </x:row>
    <x:row r="151">
      <x:c r="A151" s="37" t="n">
        <x:v>149</x:v>
      </x:c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2" t="str">
        <x:f>IF(COUNTA(B151:K151)=0,"",ROUND(AVERAGE(I151:K151),2))</x:f>
      </x:c>
      <x:c r="M151" s="40"/>
      <x:c r="N151" s="40"/>
    </x:row>
    <x:row r="152">
      <x:c r="A152" s="37" t="n">
        <x:v>150</x:v>
      </x:c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2" t="str">
        <x:f>IF(COUNTA(B152:K152)=0,"",ROUND(AVERAGE(I152:K152),2))</x:f>
      </x:c>
      <x:c r="M152" s="40"/>
      <x:c r="N152" s="40"/>
    </x:row>
    <x:row r="153">
      <x:c r="A153" s="37" t="n">
        <x:v>151</x:v>
      </x:c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2" t="str">
        <x:f>IF(COUNTA(B153:K153)=0,"",ROUND(AVERAGE(I153:K153),2))</x:f>
      </x:c>
      <x:c r="M153" s="40"/>
      <x:c r="N153" s="40"/>
    </x:row>
    <x:row r="154">
      <x:c r="A154" s="37" t="n">
        <x:v>152</x:v>
      </x:c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2" t="str">
        <x:f>IF(COUNTA(B154:K154)=0,"",ROUND(AVERAGE(I154:K154),2))</x:f>
      </x:c>
      <x:c r="M154" s="40"/>
      <x:c r="N154" s="40"/>
    </x:row>
    <x:row r="155">
      <x:c r="A155" s="37" t="n">
        <x:v>153</x:v>
      </x:c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2" t="str">
        <x:f>IF(COUNTA(B155:K155)=0,"",ROUND(AVERAGE(I155:K155),2))</x:f>
      </x:c>
      <x:c r="M155" s="40"/>
      <x:c r="N155" s="40"/>
    </x:row>
    <x:row r="156">
      <x:c r="A156" s="37" t="n">
        <x:v>154</x:v>
      </x:c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2" t="str">
        <x:f>IF(COUNTA(B156:K156)=0,"",ROUND(AVERAGE(I156:K156),2))</x:f>
      </x:c>
      <x:c r="M156" s="40"/>
      <x:c r="N156" s="40"/>
    </x:row>
    <x:row r="157">
      <x:c r="A157" s="37" t="n">
        <x:v>155</x:v>
      </x:c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2" t="str">
        <x:f>IF(COUNTA(B157:K157)=0,"",ROUND(AVERAGE(I157:K157),2))</x:f>
      </x:c>
      <x:c r="M157" s="40"/>
      <x:c r="N157" s="40"/>
    </x:row>
    <x:row r="158">
      <x:c r="A158" s="37" t="n">
        <x:v>156</x:v>
      </x:c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2" t="str">
        <x:f>IF(COUNTA(B158:K158)=0,"",ROUND(AVERAGE(I158:K158),2))</x:f>
      </x:c>
      <x:c r="M158" s="40"/>
      <x:c r="N158" s="40"/>
    </x:row>
    <x:row r="159">
      <x:c r="A159" s="37" t="n">
        <x:v>157</x:v>
      </x:c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2" t="str">
        <x:f>IF(COUNTA(B159:K159)=0,"",ROUND(AVERAGE(I159:K159),2))</x:f>
      </x:c>
      <x:c r="M159" s="40"/>
      <x:c r="N159" s="40"/>
    </x:row>
    <x:row r="160">
      <x:c r="A160" s="37" t="n">
        <x:v>158</x:v>
      </x:c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2" t="str">
        <x:f>IF(COUNTA(B160:K160)=0,"",ROUND(AVERAGE(I160:K160),2))</x:f>
      </x:c>
      <x:c r="M160" s="40"/>
      <x:c r="N160" s="40"/>
    </x:row>
    <x:row r="161">
      <x:c r="A161" s="37" t="n">
        <x:v>159</x:v>
      </x:c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2" t="str">
        <x:f>IF(COUNTA(B161:K161)=0,"",ROUND(AVERAGE(I161:K161),2))</x:f>
      </x:c>
      <x:c r="M161" s="40"/>
      <x:c r="N161" s="40"/>
    </x:row>
    <x:row r="162">
      <x:c r="A162" s="37" t="n">
        <x:v>160</x:v>
      </x:c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2" t="str">
        <x:f>IF(COUNTA(B162:K162)=0,"",ROUND(AVERAGE(I162:K162),2))</x:f>
      </x:c>
      <x:c r="M162" s="40"/>
      <x:c r="N162" s="40"/>
    </x:row>
    <x:row r="163">
      <x:c r="A163" s="37" t="n">
        <x:v>161</x:v>
      </x:c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2" t="str">
        <x:f>IF(COUNTA(B163:K163)=0,"",ROUND(AVERAGE(I163:K163),2))</x:f>
      </x:c>
      <x:c r="M163" s="40"/>
      <x:c r="N163" s="40"/>
    </x:row>
    <x:row r="164">
      <x:c r="A164" s="37" t="n">
        <x:v>162</x:v>
      </x:c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2" t="str">
        <x:f>IF(COUNTA(B164:K164)=0,"",ROUND(AVERAGE(I164:K164),2))</x:f>
      </x:c>
      <x:c r="M164" s="40"/>
      <x:c r="N164" s="40"/>
    </x:row>
    <x:row r="165">
      <x:c r="A165" s="37" t="n">
        <x:v>163</x:v>
      </x:c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2" t="str">
        <x:f>IF(COUNTA(B165:K165)=0,"",ROUND(AVERAGE(I165:K165),2))</x:f>
      </x:c>
      <x:c r="M165" s="40"/>
      <x:c r="N165" s="40"/>
    </x:row>
    <x:row r="166">
      <x:c r="A166" s="37" t="n">
        <x:v>164</x:v>
      </x:c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2" t="str">
        <x:f>IF(COUNTA(B166:K166)=0,"",ROUND(AVERAGE(I166:K166),2))</x:f>
      </x:c>
      <x:c r="M166" s="40"/>
      <x:c r="N166" s="40"/>
    </x:row>
    <x:row r="167">
      <x:c r="A167" s="37" t="n">
        <x:v>165</x:v>
      </x:c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2" t="str">
        <x:f>IF(COUNTA(B167:K167)=0,"",ROUND(AVERAGE(I167:K167),2))</x:f>
      </x:c>
      <x:c r="M167" s="40"/>
      <x:c r="N167" s="40"/>
    </x:row>
    <x:row r="168">
      <x:c r="A168" s="37" t="n">
        <x:v>166</x:v>
      </x:c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2" t="str">
        <x:f>IF(COUNTA(B168:K168)=0,"",ROUND(AVERAGE(I168:K168),2))</x:f>
      </x:c>
      <x:c r="M168" s="40"/>
      <x:c r="N168" s="40"/>
    </x:row>
    <x:row r="169">
      <x:c r="A169" s="37" t="n">
        <x:v>167</x:v>
      </x:c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2" t="str">
        <x:f>IF(COUNTA(B169:K169)=0,"",ROUND(AVERAGE(I169:K169),2))</x:f>
      </x:c>
      <x:c r="M169" s="40"/>
      <x:c r="N169" s="40"/>
    </x:row>
    <x:row r="170">
      <x:c r="A170" s="37" t="n">
        <x:v>168</x:v>
      </x:c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2" t="str">
        <x:f>IF(COUNTA(B170:K170)=0,"",ROUND(AVERAGE(I170:K170),2))</x:f>
      </x:c>
      <x:c r="M170" s="40"/>
      <x:c r="N170" s="40"/>
    </x:row>
    <x:row r="171">
      <x:c r="A171" s="37" t="n">
        <x:v>169</x:v>
      </x:c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2" t="str">
        <x:f>IF(COUNTA(B171:K171)=0,"",ROUND(AVERAGE(I171:K171),2))</x:f>
      </x:c>
      <x:c r="M171" s="40"/>
      <x:c r="N171" s="40"/>
    </x:row>
    <x:row r="172">
      <x:c r="A172" s="37" t="n">
        <x:v>170</x:v>
      </x:c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2" t="str">
        <x:f>IF(COUNTA(B172:K172)=0,"",ROUND(AVERAGE(I172:K172),2))</x:f>
      </x:c>
      <x:c r="M172" s="40"/>
      <x:c r="N172" s="40"/>
    </x:row>
    <x:row r="173">
      <x:c r="A173" s="37" t="n">
        <x:v>171</x:v>
      </x:c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2" t="str">
        <x:f>IF(COUNTA(B173:K173)=0,"",ROUND(AVERAGE(I173:K173),2))</x:f>
      </x:c>
      <x:c r="M173" s="40"/>
      <x:c r="N173" s="40"/>
    </x:row>
    <x:row r="174">
      <x:c r="A174" s="37" t="n">
        <x:v>172</x:v>
      </x:c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2" t="str">
        <x:f>IF(COUNTA(B174:K174)=0,"",ROUND(AVERAGE(I174:K174),2))</x:f>
      </x:c>
      <x:c r="M174" s="40"/>
      <x:c r="N174" s="40"/>
    </x:row>
    <x:row r="175">
      <x:c r="A175" s="37" t="n">
        <x:v>173</x:v>
      </x:c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2" t="str">
        <x:f>IF(COUNTA(B175:K175)=0,"",ROUND(AVERAGE(I175:K175),2))</x:f>
      </x:c>
      <x:c r="M175" s="40"/>
      <x:c r="N175" s="40"/>
    </x:row>
    <x:row r="176">
      <x:c r="A176" s="37" t="n">
        <x:v>174</x:v>
      </x:c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2" t="str">
        <x:f>IF(COUNTA(B176:K176)=0,"",ROUND(AVERAGE(I176:K176),2))</x:f>
      </x:c>
      <x:c r="M176" s="40"/>
      <x:c r="N176" s="40"/>
    </x:row>
    <x:row r="177">
      <x:c r="A177" s="37" t="n">
        <x:v>175</x:v>
      </x:c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2" t="str">
        <x:f>IF(COUNTA(B177:K177)=0,"",ROUND(AVERAGE(I177:K177),2))</x:f>
      </x:c>
      <x:c r="M177" s="40"/>
      <x:c r="N177" s="40"/>
    </x:row>
    <x:row r="178">
      <x:c r="A178" s="37" t="n">
        <x:v>176</x:v>
      </x:c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2" t="str">
        <x:f>IF(COUNTA(B178:K178)=0,"",ROUND(AVERAGE(I178:K178),2))</x:f>
      </x:c>
      <x:c r="M178" s="40"/>
      <x:c r="N178" s="40"/>
    </x:row>
    <x:row r="179">
      <x:c r="A179" s="37" t="n">
        <x:v>177</x:v>
      </x:c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2" t="str">
        <x:f>IF(COUNTA(B179:K179)=0,"",ROUND(AVERAGE(I179:K179),2))</x:f>
      </x:c>
      <x:c r="M179" s="40"/>
      <x:c r="N179" s="40"/>
    </x:row>
    <x:row r="180">
      <x:c r="A180" s="37" t="n">
        <x:v>178</x:v>
      </x:c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2" t="str">
        <x:f>IF(COUNTA(B180:K180)=0,"",ROUND(AVERAGE(I180:K180),2))</x:f>
      </x:c>
      <x:c r="M180" s="40"/>
      <x:c r="N180" s="40"/>
    </x:row>
    <x:row r="181">
      <x:c r="A181" s="37" t="n">
        <x:v>179</x:v>
      </x:c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2" t="str">
        <x:f>IF(COUNTA(B181:K181)=0,"",ROUND(AVERAGE(I181:K181),2))</x:f>
      </x:c>
      <x:c r="M181" s="40"/>
      <x:c r="N181" s="40"/>
    </x:row>
    <x:row r="182">
      <x:c r="A182" s="37" t="n">
        <x:v>180</x:v>
      </x:c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2" t="str">
        <x:f>IF(COUNTA(B182:K182)=0,"",ROUND(AVERAGE(I182:K182),2))</x:f>
      </x:c>
      <x:c r="M182" s="40"/>
      <x:c r="N182" s="40"/>
    </x:row>
    <x:row r="183">
      <x:c r="A183" s="37" t="n">
        <x:v>181</x:v>
      </x:c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2" t="str">
        <x:f>IF(COUNTA(B183:K183)=0,"",ROUND(AVERAGE(I183:K183),2))</x:f>
      </x:c>
      <x:c r="M183" s="40"/>
      <x:c r="N183" s="40"/>
    </x:row>
    <x:row r="184">
      <x:c r="A184" s="37" t="n">
        <x:v>182</x:v>
      </x:c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2" t="str">
        <x:f>IF(COUNTA(B184:K184)=0,"",ROUND(AVERAGE(I184:K184),2))</x:f>
      </x:c>
      <x:c r="M184" s="40"/>
      <x:c r="N184" s="40"/>
    </x:row>
    <x:row r="185">
      <x:c r="A185" s="37" t="n">
        <x:v>183</x:v>
      </x:c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2" t="str">
        <x:f>IF(COUNTA(B185:K185)=0,"",ROUND(AVERAGE(I185:K185),2))</x:f>
      </x:c>
      <x:c r="M185" s="40"/>
      <x:c r="N185" s="40"/>
    </x:row>
    <x:row r="186">
      <x:c r="A186" s="37" t="n">
        <x:v>184</x:v>
      </x:c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2" t="str">
        <x:f>IF(COUNTA(B186:K186)=0,"",ROUND(AVERAGE(I186:K186),2))</x:f>
      </x:c>
      <x:c r="M186" s="40"/>
      <x:c r="N186" s="40"/>
    </x:row>
    <x:row r="187">
      <x:c r="A187" s="37" t="n">
        <x:v>185</x:v>
      </x:c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2" t="str">
        <x:f>IF(COUNTA(B187:K187)=0,"",ROUND(AVERAGE(I187:K187),2))</x:f>
      </x:c>
      <x:c r="M187" s="40"/>
      <x:c r="N187" s="40"/>
    </x:row>
    <x:row r="188">
      <x:c r="A188" s="37" t="n">
        <x:v>186</x:v>
      </x:c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2" t="str">
        <x:f>IF(COUNTA(B188:K188)=0,"",ROUND(AVERAGE(I188:K188),2))</x:f>
      </x:c>
      <x:c r="M188" s="40"/>
      <x:c r="N188" s="40"/>
    </x:row>
    <x:row r="189">
      <x:c r="A189" s="37" t="n">
        <x:v>187</x:v>
      </x:c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2" t="str">
        <x:f>IF(COUNTA(B189:K189)=0,"",ROUND(AVERAGE(I189:K189),2))</x:f>
      </x:c>
      <x:c r="M189" s="40"/>
      <x:c r="N189" s="40"/>
    </x:row>
    <x:row r="190">
      <x:c r="A190" s="37" t="n">
        <x:v>188</x:v>
      </x:c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2" t="str">
        <x:f>IF(COUNTA(B190:K190)=0,"",ROUND(AVERAGE(I190:K190),2))</x:f>
      </x:c>
      <x:c r="M190" s="40"/>
      <x:c r="N190" s="40"/>
    </x:row>
    <x:row r="191">
      <x:c r="A191" s="37" t="n">
        <x:v>189</x:v>
      </x:c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2" t="str">
        <x:f>IF(COUNTA(B191:K191)=0,"",ROUND(AVERAGE(I191:K191),2))</x:f>
      </x:c>
      <x:c r="M191" s="40"/>
      <x:c r="N191" s="40"/>
    </x:row>
    <x:row r="192">
      <x:c r="A192" s="37" t="n">
        <x:v>190</x:v>
      </x:c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2" t="str">
        <x:f>IF(COUNTA(B192:K192)=0,"",ROUND(AVERAGE(I192:K192),2))</x:f>
      </x:c>
      <x:c r="M192" s="40"/>
      <x:c r="N192" s="40"/>
    </x:row>
    <x:row r="193">
      <x:c r="A193" s="37" t="n">
        <x:v>191</x:v>
      </x:c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2" t="str">
        <x:f>IF(COUNTA(B193:K193)=0,"",ROUND(AVERAGE(I193:K193),2))</x:f>
      </x:c>
      <x:c r="M193" s="40"/>
      <x:c r="N193" s="40"/>
    </x:row>
    <x:row r="194">
      <x:c r="A194" s="37" t="n">
        <x:v>192</x:v>
      </x:c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2" t="str">
        <x:f>IF(COUNTA(B194:K194)=0,"",ROUND(AVERAGE(I194:K194),2))</x:f>
      </x:c>
      <x:c r="M194" s="40"/>
      <x:c r="N194" s="40"/>
    </x:row>
    <x:row r="195">
      <x:c r="A195" s="37" t="n">
        <x:v>193</x:v>
      </x:c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2" t="str">
        <x:f>IF(COUNTA(B195:K195)=0,"",ROUND(AVERAGE(I195:K195),2))</x:f>
      </x:c>
      <x:c r="M195" s="40"/>
      <x:c r="N195" s="40"/>
    </x:row>
    <x:row r="196">
      <x:c r="A196" s="37" t="n">
        <x:v>194</x:v>
      </x:c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2" t="str">
        <x:f>IF(COUNTA(B196:K196)=0,"",ROUND(AVERAGE(I196:K196),2))</x:f>
      </x:c>
      <x:c r="M196" s="40"/>
      <x:c r="N196" s="40"/>
    </x:row>
    <x:row r="197">
      <x:c r="A197" s="37" t="n">
        <x:v>195</x:v>
      </x:c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2" t="str">
        <x:f>IF(COUNTA(B197:K197)=0,"",ROUND(AVERAGE(I197:K197),2))</x:f>
      </x:c>
      <x:c r="M197" s="40"/>
      <x:c r="N197" s="40"/>
    </x:row>
    <x:row r="198">
      <x:c r="A198" s="37" t="n">
        <x:v>196</x:v>
      </x:c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2" t="str">
        <x:f>IF(COUNTA(B198:K198)=0,"",ROUND(AVERAGE(I198:K198),2))</x:f>
      </x:c>
      <x:c r="M198" s="40"/>
      <x:c r="N198" s="40"/>
    </x:row>
    <x:row r="199">
      <x:c r="A199" s="37" t="n">
        <x:v>197</x:v>
      </x:c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2" t="str">
        <x:f>IF(COUNTA(B199:K199)=0,"",ROUND(AVERAGE(I199:K199),2))</x:f>
      </x:c>
      <x:c r="M199" s="40"/>
      <x:c r="N199" s="40"/>
    </x:row>
    <x:row r="200">
      <x:c r="A200" s="37" t="n">
        <x:v>198</x:v>
      </x:c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2" t="str">
        <x:f>IF(COUNTA(B200:K200)=0,"",ROUND(AVERAGE(I200:K200),2))</x:f>
      </x:c>
      <x:c r="M200" s="40"/>
      <x:c r="N200" s="40"/>
    </x:row>
    <x:row r="201">
      <x:c r="A201" s="37" t="n">
        <x:v>199</x:v>
      </x:c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2" t="str">
        <x:f>IF(COUNTA(B201:K201)=0,"",ROUND(AVERAGE(I201:K201),2))</x:f>
      </x:c>
      <x:c r="M201" s="40"/>
      <x:c r="N201" s="40"/>
    </x:row>
    <x:row r="202">
      <x:c r="A202" s="37" t="n">
        <x:v>200</x:v>
      </x:c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2" t="str">
        <x:f>IF(COUNTA(B202:K202)=0,"",ROUND(AVERAGE(I202:K202),2))</x:f>
      </x:c>
      <x:c r="M202" s="40"/>
      <x:c r="N202" s="40"/>
    </x:row>
  </x:sheetData>
  <x:mergeCells>
    <x:mergeCell ref="A1:N1"/>
  </x:mergeCells>
  <x:conditionalFormatting sqref="L3:L202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4">
    <x:dataValidation type="list" sqref="B3:B202">
      <x:formula1>'12_Справочники'!$A$3:$A$12</x:formula1>
    </x:dataValidation>
    <x:dataValidation type="list" sqref="H3:H202">
      <x:formula1>'12_Справочники'!$B$3:$B$11</x:formula1>
    </x:dataValidation>
    <x:dataValidation type="list" sqref="I3:K202">
      <x:formula1>'12_Справочники'!$C$3:$C$7</x:formula1>
    </x:dataValidation>
    <x:dataValidation type="list" sqref="M3:M202">
      <x:formula1>'12_Справочники'!$D$3:$D$8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f0df83de514b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42" hidden="0" customWidth="1"/>
    <x:col min="4" max="4" width="38" hidden="0" customWidth="1"/>
    <x:col min="5" max="5" width="38" hidden="0" customWidth="1"/>
    <x:col min="6" max="6" width="14" hidden="0" customWidth="1"/>
    <x:col min="7" max="7" width="14" hidden="0" customWidth="1"/>
    <x:col min="8" max="8" width="14" hidden="0" customWidth="1"/>
    <x:col min="9" max="9" width="30" hidden="0" customWidth="1"/>
    <x:col min="10" max="10" width="20" hidden="0" customWidth="1"/>
  </x:cols>
  <x:sheetData>
    <x:row r="1" ht="32" customHeight="1">
      <x:c r="A1" s="6" t="str">
        <x:v>Шаблон Канвас: вопросы, источники ответов и рабочие формулировки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36" t="str">
        <x:v>Блок Канвас</x:v>
      </x:c>
      <x:c r="B2" s="36" t="str">
        <x:v>Ключевые вопросы</x:v>
      </x:c>
      <x:c r="C2" s="36" t="str">
        <x:v>Источники ответов из анализа</x:v>
      </x:c>
      <x:c r="D2" s="36" t="str">
        <x:v>Рабочая формулировка</x:v>
      </x:c>
      <x:c r="E2" s="36" t="str">
        <x:v>Доказательства</x:v>
      </x:c>
      <x:c r="F2" s="36" t="str">
        <x:v>Достоверность 1-5</x:v>
      </x:c>
      <x:c r="G2" s="36" t="str">
        <x:v>Полнота 1-5</x:v>
      </x:c>
      <x:c r="H2" s="36" t="str">
        <x:v>Риск ошибки 1-5</x:v>
      </x:c>
      <x:c r="I2" s="36" t="str">
        <x:v>Что проверить</x:v>
      </x:c>
      <x:c r="J2" s="36" t="str">
        <x:v>Итоговый статус</x:v>
      </x:c>
    </x:row>
    <x:row r="3">
      <x:c r="A3" s="37" t="str">
        <x:v>Клиентские сегменты</x:v>
      </x:c>
      <x:c r="B3" s="37" t="str">
        <x:v>Кто является целевым пользователем и покупателем? Какие сегменты имеют подтвержденную проблему и платежеспособность?</x:v>
      </x:c>
      <x:c r="C3" s="37" t="str">
        <x:v>Анализ отзывов; классификация уровней конкуренции; анализ сайтов конкурентов; сегментные сигналы из 03_Сегменты</x:v>
      </x:c>
      <x:c r="D3" s="40" t="str"/>
      <x:c r="E3" s="40" t="str"/>
      <x:c r="F3" s="40" t="str"/>
      <x:c r="G3" s="40" t="str"/>
      <x:c r="H3" s="40" t="str"/>
      <x:c r="I3" s="40" t="str"/>
      <x:c r="J3" s="42" t="str">
        <x:f>IF(COUNTA(D3:E3)=0,"Не заполнено",IF(AND(F3&gt;=4,G3&gt;=4,H3&lt;=2),"Готово",IF(OR(F3&lt;3,G3&lt;3,H3&gt;=4),"Требует доработки","Проверить")))</x:f>
        <x:v>Требует доработки</x:v>
      </x:c>
    </x:row>
    <x:row r="4">
      <x:c r="A4" s="37" t="str">
        <x:v>Ценностное предложение</x:v>
      </x:c>
      <x:c r="B4" s="37" t="str">
        <x:v>Какую проблему решает продукт? В чем измеримая польза? Почему это лучше или точнее существующих решений?</x:v>
      </x:c>
      <x:c r="C4" s="37" t="str">
        <x:v>Анализ проблем и отзывов; конкурентные преимущества; модель Левитта; Кано; 04_Ценность_товар</x:v>
      </x:c>
      <x:c r="D4" s="40" t="str"/>
      <x:c r="E4" s="40" t="str"/>
      <x:c r="F4" s="40" t="str"/>
      <x:c r="G4" s="40" t="str"/>
      <x:c r="H4" s="40" t="str"/>
      <x:c r="I4" s="40" t="str"/>
      <x:c r="J4" s="42" t="str">
        <x:f>IF(COUNTA(D4:E4)=0,"Не заполнено",IF(AND(F4&gt;=4,G4&gt;=4,H4&lt;=2),"Готово",IF(OR(F4&lt;3,G4&lt;3,H4&gt;=4),"Требует доработки","Проверить")))</x:f>
        <x:v>Требует доработки</x:v>
      </x:c>
    </x:row>
    <x:row r="5">
      <x:c r="A5" s="37" t="str">
        <x:v>Каналы</x:v>
      </x:c>
      <x:c r="B5" s="37" t="str">
        <x:v>Где клиент узнает о продукте, оценивает его, покупает, подключается и получает поддержку?</x:v>
      </x:c>
      <x:c r="C5" s="37" t="str">
        <x:v>Сайты конкурентов; воронки; страницы тарифов; страницы продукта; рекламные посадочные страницы; 05_Каналы_отношения</x:v>
      </x:c>
      <x:c r="D5" s="40" t="str"/>
      <x:c r="E5" s="40" t="str"/>
      <x:c r="F5" s="40" t="str"/>
      <x:c r="G5" s="40" t="str"/>
      <x:c r="H5" s="40" t="str"/>
      <x:c r="I5" s="40" t="str"/>
      <x:c r="J5" s="42" t="str">
        <x:f>IF(COUNTA(D5:E5)=0,"Не заполнено",IF(AND(F5&gt;=4,G5&gt;=4,H5&lt;=2),"Готово",IF(OR(F5&lt;3,G5&lt;3,H5&gt;=4),"Требует доработки","Проверить")))</x:f>
        <x:v>Требует доработки</x:v>
      </x:c>
    </x:row>
    <x:row r="6">
      <x:c r="A6" s="37" t="str">
        <x:v>Отношения с клиентами</x:v>
      </x:c>
      <x:c r="B6" s="37" t="str">
        <x:v>Как компания привлекает, обучает, сопровождает, удерживает и возвращает клиента?</x:v>
      </x:c>
      <x:c r="C6" s="37" t="str">
        <x:v>Сайт конкурента; справочные центры; демо; база знаний; поддержка; отзывы; 05_Каналы_отношения</x:v>
      </x:c>
      <x:c r="D6" s="40" t="str"/>
      <x:c r="E6" s="40" t="str"/>
      <x:c r="F6" s="40" t="str"/>
      <x:c r="G6" s="40" t="str"/>
      <x:c r="H6" s="40" t="str"/>
      <x:c r="I6" s="40" t="str"/>
      <x:c r="J6" s="42" t="str">
        <x:f>IF(COUNTA(D6:E6)=0,"Не заполнено",IF(AND(F6&gt;=4,G6&gt;=4,H6&lt;=2),"Готово",IF(OR(F6&lt;3,G6&lt;3,H6&gt;=4),"Требует доработки","Проверить")))</x:f>
        <x:v>Требует доработки</x:v>
      </x:c>
    </x:row>
    <x:row r="7">
      <x:c r="A7" s="37" t="str">
        <x:v>Потоки доходов</x:v>
      </x:c>
      <x:c r="B7" s="37" t="str">
        <x:v>За что именно платит клиент? Какова единица монетизации? Как цена связана с ценностью?</x:v>
      </x:c>
      <x:c r="C7" s="37" t="str">
        <x:v>Страницы тарифов; условия подписки; анализ монетизации; 06_Монетизация</x:v>
      </x:c>
      <x:c r="D7" s="40" t="str"/>
      <x:c r="E7" s="40" t="str"/>
      <x:c r="F7" s="40" t="str"/>
      <x:c r="G7" s="40" t="str"/>
      <x:c r="H7" s="40" t="str"/>
      <x:c r="I7" s="40" t="str"/>
      <x:c r="J7" s="42" t="str">
        <x:f>IF(COUNTA(D7:E7)=0,"Не заполнено",IF(AND(F7&gt;=4,G7&gt;=4,H7&lt;=2),"Готово",IF(OR(F7&lt;3,G7&lt;3,H7&gt;=4),"Требует доработки","Проверить")))</x:f>
        <x:v>Требует доработки</x:v>
      </x:c>
    </x:row>
    <x:row r="8">
      <x:c r="A8" s="37" t="str">
        <x:v>Ключевые ресурсы</x:v>
      </x:c>
      <x:c r="B8" s="37" t="str">
        <x:v>Какие активы необходимы для создания, доставки и защиты ценности?</x:v>
      </x:c>
      <x:c r="C8" s="37" t="str">
        <x:v>Анализ цифрового товара; технологические требования; вакансии; документация; 07_Операционная_основа</x:v>
      </x:c>
      <x:c r="D8" s="40" t="str"/>
      <x:c r="E8" s="40" t="str"/>
      <x:c r="F8" s="40" t="str"/>
      <x:c r="G8" s="40" t="str"/>
      <x:c r="H8" s="40" t="str"/>
      <x:c r="I8" s="40" t="str"/>
      <x:c r="J8" s="42" t="str">
        <x:f>IF(COUNTA(D8:E8)=0,"Не заполнено",IF(AND(F8&gt;=4,G8&gt;=4,H8&lt;=2),"Готово",IF(OR(F8&lt;3,G8&lt;3,H8&gt;=4),"Требует доработки","Проверить")))</x:f>
        <x:v>Требует доработки</x:v>
      </x:c>
    </x:row>
    <x:row r="9">
      <x:c r="A9" s="37" t="str">
        <x:v>Ключевые виды деятельности</x:v>
      </x:c>
      <x:c r="B9" s="37" t="str">
        <x:v>Какие процессы должны выполняться регулярно, чтобы ценностное предложение было реализовано?</x:v>
      </x:c>
      <x:c r="C9" s="37" t="str">
        <x:v>Функциональность продукта; пользовательский сценарий; операционные процессы; 07_Операционная_основа</x:v>
      </x:c>
      <x:c r="D9" s="40" t="str"/>
      <x:c r="E9" s="40" t="str"/>
      <x:c r="F9" s="40" t="str"/>
      <x:c r="G9" s="40" t="str"/>
      <x:c r="H9" s="40" t="str"/>
      <x:c r="I9" s="40" t="str"/>
      <x:c r="J9" s="42" t="str">
        <x:f>IF(COUNTA(D9:E9)=0,"Не заполнено",IF(AND(F9&gt;=4,G9&gt;=4,H9&lt;=2),"Готово",IF(OR(F9&lt;3,G9&lt;3,H9&gt;=4),"Требует доработки","Проверить")))</x:f>
        <x:v>Требует доработки</x:v>
      </x:c>
    </x:row>
    <x:row r="10">
      <x:c r="A10" s="37" t="str">
        <x:v>Ключевые партнеры</x:v>
      </x:c>
      <x:c r="B10" s="37" t="str">
        <x:v>Какие внешние участники нужны для технологии, продаж, данных, платежей, интеграций или доверия?</x:v>
      </x:c>
      <x:c r="C10" s="37" t="str">
        <x:v>Интеграции на сайтах; партнерские страницы; платежные цепочки; технологические поставщики; 07_Операционная_основа</x:v>
      </x:c>
      <x:c r="D10" s="40" t="str"/>
      <x:c r="E10" s="40" t="str"/>
      <x:c r="F10" s="40" t="str"/>
      <x:c r="G10" s="40" t="str"/>
      <x:c r="H10" s="40" t="str"/>
      <x:c r="I10" s="40" t="str"/>
      <x:c r="J10" s="42" t="str">
        <x:f>IF(COUNTA(D10:E10)=0,"Не заполнено",IF(AND(F10&gt;=4,G10&gt;=4,H10&lt;=2),"Готово",IF(OR(F10&lt;3,G10&lt;3,H10&gt;=4),"Требует доработки","Проверить")))</x:f>
        <x:v>Требует доработки</x:v>
      </x:c>
    </x:row>
    <x:row r="11">
      <x:c r="A11" s="37" t="str">
        <x:v>Структура затрат</x:v>
      </x:c>
      <x:c r="B11" s="37" t="str">
        <x:v>Какие затраты прямо связаны с созданием цифрового товара, привлечением клиента и поддержанием сервиса?</x:v>
      </x:c>
      <x:c r="C11" s="37" t="str">
        <x:v>Операционная основа; монетизация; инфраструктура; маркетинг; разработка; 08_Затраты</x:v>
      </x:c>
      <x:c r="D11" s="40" t="str"/>
      <x:c r="E11" s="40" t="str"/>
      <x:c r="F11" s="40" t="str"/>
      <x:c r="G11" s="40" t="str"/>
      <x:c r="H11" s="40" t="str"/>
      <x:c r="I11" s="40" t="str"/>
      <x:c r="J11" s="42" t="str">
        <x:f>IF(COUNTA(D11:E11)=0,"Не заполнено",IF(AND(F11&gt;=4,G11&gt;=4,H11&lt;=2),"Готово",IF(OR(F11&lt;3,G11&lt;3,H11&gt;=4),"Требует доработки","Проверить")))</x:f>
        <x:v>Требует доработки</x:v>
      </x:c>
    </x:row>
  </x:sheetData>
  <x:mergeCells>
    <x:mergeCell ref="A1:J1"/>
  </x:mergeCells>
  <x:conditionalFormatting sqref="F3:G11">
    <x:cfRule type="dataBar" priority="1">
      <x:dataBar>
        <x:cfvo type="min"/>
        <x:cfvo type="max"/>
        <x:color rgb="3B82F6"/>
      </x:dataBar>
      <x:extLst>
        <x:ext xmlns:x14="http://schemas.microsoft.com/office/spreadsheetml/2009/9/main" uri="{B025F937-C7B1-47D3-B67F-A62EFF666E3E}">
          <x14:id>{0DE743BD-6496-9224-63ED-4BB979AF368D}</x14:id>
        </x:ext>
      </x:extLst>
    </x:cfRule>
  </x:conditionalFormatting>
  <x:conditionalFormatting sqref="H3:H11">
    <x:cfRule type="colorScale" priority="2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dataValidations count="1">
    <x:dataValidation type="list" sqref="F3:H11">
      <x:formula1>'12_Справочники'!$C$3:$C$7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449041783d468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DE743BD-6496-9224-63ED-4BB979AF368D}">
            <x14:dataBar gradient="1">
              <x14:cfvo type="min"/>
              <x14:cfvo type="max"/>
              <x14:fillColor rgb="3B82F6"/>
            </x14:dataBar>
          </x14:cfRule>
          <xm:sqref>F3:G11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</x:cols>
  <x:sheetData>
    <x:row r="1" ht="32" customHeight="1">
      <x:c r="A1" s="6" t="str">
        <x:v>Клиентские сегменты и подтвержденные проблемы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32" customHeight="1">
      <x:c r="A2" s="36" t="str">
        <x:v>ID сегмента</x:v>
      </x:c>
      <x:c r="B2" s="36" t="str">
        <x:v>Сегмент</x:v>
      </x:c>
      <x:c r="C2" s="36" t="str">
        <x:v>Задача клиента</x:v>
      </x:c>
      <x:c r="D2" s="36" t="str">
        <x:v>Ключевая проблема</x:v>
      </x:c>
      <x:c r="E2" s="36" t="str">
        <x:v>Доказательства</x:v>
      </x:c>
      <x:c r="F2" s="36" t="str">
        <x:v>Сила боли 1-5</x:v>
      </x:c>
      <x:c r="G2" s="36" t="str">
        <x:v>Рыночный сигнал 1-5</x:v>
      </x:c>
      <x:c r="H2" s="36" t="str">
        <x:v>Платежеспособность 1-5</x:v>
      </x:c>
      <x:c r="I2" s="36" t="str">
        <x:v>Доступность канала 1-5</x:v>
      </x:c>
      <x:c r="J2" s="36" t="str">
        <x:v>Индекс приоритета</x:v>
      </x:c>
      <x:c r="K2" s="36" t="str">
        <x:v>Статус</x:v>
      </x:c>
    </x:row>
    <x:row r="3">
      <x:c r="A3" s="37" t="n">
        <x:v>1</x:v>
      </x:c>
      <x:c r="B3" s="40"/>
      <x:c r="C3" s="40"/>
      <x:c r="D3" s="40"/>
      <x:c r="E3" s="40"/>
      <x:c r="F3" s="40"/>
      <x:c r="G3" s="40"/>
      <x:c r="H3" s="40"/>
      <x:c r="I3" s="40"/>
      <x:c r="J3" s="42" t="str">
        <x:f>IF(COUNTA(B3:I3)=0,"",ROUND(AVERAGE(F3:I3),2))</x:f>
      </x:c>
      <x:c r="K3" s="42" t="str">
        <x:f>IF(J3="","",IF(J3&gt;=4,"Приоритетный",IF(J3&gt;=3,"Перспективный","Низкий приоритет")))</x:f>
      </x:c>
    </x:row>
    <x:row r="4">
      <x:c r="A4" s="37" t="n">
        <x:v>2</x:v>
      </x:c>
      <x:c r="B4" s="40"/>
      <x:c r="C4" s="40"/>
      <x:c r="D4" s="40"/>
      <x:c r="E4" s="40"/>
      <x:c r="F4" s="40"/>
      <x:c r="G4" s="40"/>
      <x:c r="H4" s="40"/>
      <x:c r="I4" s="40"/>
      <x:c r="J4" s="42" t="str">
        <x:f>IF(COUNTA(B4:I4)=0,"",ROUND(AVERAGE(F4:I4),2))</x:f>
      </x:c>
      <x:c r="K4" s="42" t="str">
        <x:f>IF(J4="","",IF(J4&gt;=4,"Приоритетный",IF(J4&gt;=3,"Перспективный","Низкий приоритет")))</x:f>
      </x:c>
    </x:row>
    <x:row r="5">
      <x:c r="A5" s="37" t="n">
        <x:v>3</x:v>
      </x:c>
      <x:c r="B5" s="40"/>
      <x:c r="C5" s="40"/>
      <x:c r="D5" s="40"/>
      <x:c r="E5" s="40"/>
      <x:c r="F5" s="40"/>
      <x:c r="G5" s="40"/>
      <x:c r="H5" s="40"/>
      <x:c r="I5" s="40"/>
      <x:c r="J5" s="42" t="str">
        <x:f>IF(COUNTA(B5:I5)=0,"",ROUND(AVERAGE(F5:I5),2))</x:f>
      </x:c>
      <x:c r="K5" s="42" t="str">
        <x:f>IF(J5="","",IF(J5&gt;=4,"Приоритетный",IF(J5&gt;=3,"Перспективный","Низкий приоритет")))</x:f>
      </x:c>
    </x:row>
    <x:row r="6">
      <x:c r="A6" s="37" t="n">
        <x:v>4</x:v>
      </x:c>
      <x:c r="B6" s="40"/>
      <x:c r="C6" s="40"/>
      <x:c r="D6" s="40"/>
      <x:c r="E6" s="40"/>
      <x:c r="F6" s="40"/>
      <x:c r="G6" s="40"/>
      <x:c r="H6" s="40"/>
      <x:c r="I6" s="40"/>
      <x:c r="J6" s="42" t="str">
        <x:f>IF(COUNTA(B6:I6)=0,"",ROUND(AVERAGE(F6:I6),2))</x:f>
      </x:c>
      <x:c r="K6" s="42" t="str">
        <x:f>IF(J6="","",IF(J6&gt;=4,"Приоритетный",IF(J6&gt;=3,"Перспективный","Низкий приоритет")))</x:f>
      </x:c>
    </x:row>
    <x:row r="7">
      <x:c r="A7" s="37" t="n">
        <x:v>5</x:v>
      </x:c>
      <x:c r="B7" s="40"/>
      <x:c r="C7" s="40"/>
      <x:c r="D7" s="40"/>
      <x:c r="E7" s="40"/>
      <x:c r="F7" s="40"/>
      <x:c r="G7" s="40"/>
      <x:c r="H7" s="40"/>
      <x:c r="I7" s="40"/>
      <x:c r="J7" s="42" t="str">
        <x:f>IF(COUNTA(B7:I7)=0,"",ROUND(AVERAGE(F7:I7),2))</x:f>
      </x:c>
      <x:c r="K7" s="42" t="str">
        <x:f>IF(J7="","",IF(J7&gt;=4,"Приоритетный",IF(J7&gt;=3,"Перспективный","Низкий приоритет")))</x:f>
      </x:c>
    </x:row>
    <x:row r="8">
      <x:c r="A8" s="37" t="n">
        <x:v>6</x:v>
      </x:c>
      <x:c r="B8" s="40"/>
      <x:c r="C8" s="40"/>
      <x:c r="D8" s="40"/>
      <x:c r="E8" s="40"/>
      <x:c r="F8" s="40"/>
      <x:c r="G8" s="40"/>
      <x:c r="H8" s="40"/>
      <x:c r="I8" s="40"/>
      <x:c r="J8" s="42" t="str">
        <x:f>IF(COUNTA(B8:I8)=0,"",ROUND(AVERAGE(F8:I8),2))</x:f>
      </x:c>
      <x:c r="K8" s="42" t="str">
        <x:f>IF(J8="","",IF(J8&gt;=4,"Приоритетный",IF(J8&gt;=3,"Перспективный","Низкий приоритет")))</x:f>
      </x:c>
    </x:row>
    <x:row r="9">
      <x:c r="A9" s="37" t="n">
        <x:v>7</x:v>
      </x:c>
      <x:c r="B9" s="40"/>
      <x:c r="C9" s="40"/>
      <x:c r="D9" s="40"/>
      <x:c r="E9" s="40"/>
      <x:c r="F9" s="40"/>
      <x:c r="G9" s="40"/>
      <x:c r="H9" s="40"/>
      <x:c r="I9" s="40"/>
      <x:c r="J9" s="42" t="str">
        <x:f>IF(COUNTA(B9:I9)=0,"",ROUND(AVERAGE(F9:I9),2))</x:f>
      </x:c>
      <x:c r="K9" s="42" t="str">
        <x:f>IF(J9="","",IF(J9&gt;=4,"Приоритетный",IF(J9&gt;=3,"Перспективный","Низкий приоритет")))</x:f>
      </x:c>
    </x:row>
    <x:row r="10">
      <x:c r="A10" s="37" t="n">
        <x:v>8</x:v>
      </x:c>
      <x:c r="B10" s="40"/>
      <x:c r="C10" s="40"/>
      <x:c r="D10" s="40"/>
      <x:c r="E10" s="40"/>
      <x:c r="F10" s="40"/>
      <x:c r="G10" s="40"/>
      <x:c r="H10" s="40"/>
      <x:c r="I10" s="40"/>
      <x:c r="J10" s="42" t="str">
        <x:f>IF(COUNTA(B10:I10)=0,"",ROUND(AVERAGE(F10:I10),2))</x:f>
      </x:c>
      <x:c r="K10" s="42" t="str">
        <x:f>IF(J10="","",IF(J10&gt;=4,"Приоритетный",IF(J10&gt;=3,"Перспективный","Низкий приоритет")))</x:f>
      </x:c>
    </x:row>
    <x:row r="11">
      <x:c r="A11" s="37" t="n">
        <x:v>9</x:v>
      </x:c>
      <x:c r="B11" s="40"/>
      <x:c r="C11" s="40"/>
      <x:c r="D11" s="40"/>
      <x:c r="E11" s="40"/>
      <x:c r="F11" s="40"/>
      <x:c r="G11" s="40"/>
      <x:c r="H11" s="40"/>
      <x:c r="I11" s="40"/>
      <x:c r="J11" s="42" t="str">
        <x:f>IF(COUNTA(B11:I11)=0,"",ROUND(AVERAGE(F11:I11),2))</x:f>
      </x:c>
      <x:c r="K11" s="42" t="str">
        <x:f>IF(J11="","",IF(J11&gt;=4,"Приоритетный",IF(J11&gt;=3,"Перспективный","Низкий приоритет")))</x:f>
      </x:c>
    </x:row>
    <x:row r="12">
      <x:c r="A12" s="37" t="n">
        <x:v>10</x:v>
      </x:c>
      <x:c r="B12" s="40"/>
      <x:c r="C12" s="40"/>
      <x:c r="D12" s="40"/>
      <x:c r="E12" s="40"/>
      <x:c r="F12" s="40"/>
      <x:c r="G12" s="40"/>
      <x:c r="H12" s="40"/>
      <x:c r="I12" s="40"/>
      <x:c r="J12" s="42" t="str">
        <x:f>IF(COUNTA(B12:I12)=0,"",ROUND(AVERAGE(F12:I12),2))</x:f>
      </x:c>
      <x:c r="K12" s="42" t="str">
        <x:f>IF(J12="","",IF(J12&gt;=4,"Приоритетный",IF(J12&gt;=3,"Перспективный","Низкий приоритет")))</x:f>
      </x:c>
    </x:row>
    <x:row r="13">
      <x:c r="A13" s="37" t="n">
        <x:v>11</x:v>
      </x:c>
      <x:c r="B13" s="40"/>
      <x:c r="C13" s="40"/>
      <x:c r="D13" s="40"/>
      <x:c r="E13" s="40"/>
      <x:c r="F13" s="40"/>
      <x:c r="G13" s="40"/>
      <x:c r="H13" s="40"/>
      <x:c r="I13" s="40"/>
      <x:c r="J13" s="42" t="str">
        <x:f>IF(COUNTA(B13:I13)=0,"",ROUND(AVERAGE(F13:I13),2))</x:f>
      </x:c>
      <x:c r="K13" s="42" t="str">
        <x:f>IF(J13="","",IF(J13&gt;=4,"Приоритетный",IF(J13&gt;=3,"Перспективный","Низкий приоритет")))</x:f>
      </x:c>
    </x:row>
    <x:row r="14">
      <x:c r="A14" s="37" t="n">
        <x:v>12</x:v>
      </x:c>
      <x:c r="B14" s="40"/>
      <x:c r="C14" s="40"/>
      <x:c r="D14" s="40"/>
      <x:c r="E14" s="40"/>
      <x:c r="F14" s="40"/>
      <x:c r="G14" s="40"/>
      <x:c r="H14" s="40"/>
      <x:c r="I14" s="40"/>
      <x:c r="J14" s="42" t="str">
        <x:f>IF(COUNTA(B14:I14)=0,"",ROUND(AVERAGE(F14:I14),2))</x:f>
      </x:c>
      <x:c r="K14" s="42" t="str">
        <x:f>IF(J14="","",IF(J14&gt;=4,"Приоритетный",IF(J14&gt;=3,"Перспективный","Низкий приоритет")))</x:f>
      </x:c>
    </x:row>
    <x:row r="15">
      <x:c r="A15" s="37" t="n">
        <x:v>13</x:v>
      </x:c>
      <x:c r="B15" s="40"/>
      <x:c r="C15" s="40"/>
      <x:c r="D15" s="40"/>
      <x:c r="E15" s="40"/>
      <x:c r="F15" s="40"/>
      <x:c r="G15" s="40"/>
      <x:c r="H15" s="40"/>
      <x:c r="I15" s="40"/>
      <x:c r="J15" s="42" t="str">
        <x:f>IF(COUNTA(B15:I15)=0,"",ROUND(AVERAGE(F15:I15),2))</x:f>
      </x:c>
      <x:c r="K15" s="42" t="str">
        <x:f>IF(J15="","",IF(J15&gt;=4,"Приоритетный",IF(J15&gt;=3,"Перспективный","Низкий приоритет")))</x:f>
      </x:c>
    </x:row>
    <x:row r="16">
      <x:c r="A16" s="37" t="n">
        <x:v>14</x:v>
      </x:c>
      <x:c r="B16" s="40"/>
      <x:c r="C16" s="40"/>
      <x:c r="D16" s="40"/>
      <x:c r="E16" s="40"/>
      <x:c r="F16" s="40"/>
      <x:c r="G16" s="40"/>
      <x:c r="H16" s="40"/>
      <x:c r="I16" s="40"/>
      <x:c r="J16" s="42" t="str">
        <x:f>IF(COUNTA(B16:I16)=0,"",ROUND(AVERAGE(F16:I16),2))</x:f>
      </x:c>
      <x:c r="K16" s="42" t="str">
        <x:f>IF(J16="","",IF(J16&gt;=4,"Приоритетный",IF(J16&gt;=3,"Перспективный","Низкий приоритет")))</x:f>
      </x:c>
    </x:row>
    <x:row r="17">
      <x:c r="A17" s="37" t="n">
        <x:v>15</x:v>
      </x:c>
      <x:c r="B17" s="40"/>
      <x:c r="C17" s="40"/>
      <x:c r="D17" s="40"/>
      <x:c r="E17" s="40"/>
      <x:c r="F17" s="40"/>
      <x:c r="G17" s="40"/>
      <x:c r="H17" s="40"/>
      <x:c r="I17" s="40"/>
      <x:c r="J17" s="42" t="str">
        <x:f>IF(COUNTA(B17:I17)=0,"",ROUND(AVERAGE(F17:I17),2))</x:f>
      </x:c>
      <x:c r="K17" s="42" t="str">
        <x:f>IF(J17="","",IF(J17&gt;=4,"Приоритетный",IF(J17&gt;=3,"Перспективный","Низкий приоритет")))</x:f>
      </x:c>
    </x:row>
    <x:row r="18">
      <x:c r="A18" s="37" t="n">
        <x:v>16</x:v>
      </x:c>
      <x:c r="B18" s="40"/>
      <x:c r="C18" s="40"/>
      <x:c r="D18" s="40"/>
      <x:c r="E18" s="40"/>
      <x:c r="F18" s="40"/>
      <x:c r="G18" s="40"/>
      <x:c r="H18" s="40"/>
      <x:c r="I18" s="40"/>
      <x:c r="J18" s="42" t="str">
        <x:f>IF(COUNTA(B18:I18)=0,"",ROUND(AVERAGE(F18:I18),2))</x:f>
      </x:c>
      <x:c r="K18" s="42" t="str">
        <x:f>IF(J18="","",IF(J18&gt;=4,"Приоритетный",IF(J18&gt;=3,"Перспективный","Низкий приоритет")))</x:f>
      </x:c>
    </x:row>
    <x:row r="19">
      <x:c r="A19" s="37" t="n">
        <x:v>17</x:v>
      </x:c>
      <x:c r="B19" s="40"/>
      <x:c r="C19" s="40"/>
      <x:c r="D19" s="40"/>
      <x:c r="E19" s="40"/>
      <x:c r="F19" s="40"/>
      <x:c r="G19" s="40"/>
      <x:c r="H19" s="40"/>
      <x:c r="I19" s="40"/>
      <x:c r="J19" s="42" t="str">
        <x:f>IF(COUNTA(B19:I19)=0,"",ROUND(AVERAGE(F19:I19),2))</x:f>
      </x:c>
      <x:c r="K19" s="42" t="str">
        <x:f>IF(J19="","",IF(J19&gt;=4,"Приоритетный",IF(J19&gt;=3,"Перспективный","Низкий приоритет")))</x:f>
      </x:c>
    </x:row>
    <x:row r="20">
      <x:c r="A20" s="37" t="n">
        <x:v>18</x:v>
      </x:c>
      <x:c r="B20" s="40"/>
      <x:c r="C20" s="40"/>
      <x:c r="D20" s="40"/>
      <x:c r="E20" s="40"/>
      <x:c r="F20" s="40"/>
      <x:c r="G20" s="40"/>
      <x:c r="H20" s="40"/>
      <x:c r="I20" s="40"/>
      <x:c r="J20" s="42" t="str">
        <x:f>IF(COUNTA(B20:I20)=0,"",ROUND(AVERAGE(F20:I20),2))</x:f>
      </x:c>
      <x:c r="K20" s="42" t="str">
        <x:f>IF(J20="","",IF(J20&gt;=4,"Приоритетный",IF(J20&gt;=3,"Перспективный","Низкий приоритет")))</x:f>
      </x:c>
    </x:row>
    <x:row r="21">
      <x:c r="A21" s="37" t="n">
        <x:v>19</x:v>
      </x:c>
      <x:c r="B21" s="40"/>
      <x:c r="C21" s="40"/>
      <x:c r="D21" s="40"/>
      <x:c r="E21" s="40"/>
      <x:c r="F21" s="40"/>
      <x:c r="G21" s="40"/>
      <x:c r="H21" s="40"/>
      <x:c r="I21" s="40"/>
      <x:c r="J21" s="42" t="str">
        <x:f>IF(COUNTA(B21:I21)=0,"",ROUND(AVERAGE(F21:I21),2))</x:f>
      </x:c>
      <x:c r="K21" s="42" t="str">
        <x:f>IF(J21="","",IF(J21&gt;=4,"Приоритетный",IF(J21&gt;=3,"Перспективный","Низкий приоритет")))</x:f>
      </x:c>
    </x:row>
    <x:row r="22">
      <x:c r="A22" s="37" t="n">
        <x:v>20</x:v>
      </x:c>
      <x:c r="B22" s="40"/>
      <x:c r="C22" s="40"/>
      <x:c r="D22" s="40"/>
      <x:c r="E22" s="40"/>
      <x:c r="F22" s="40"/>
      <x:c r="G22" s="40"/>
      <x:c r="H22" s="40"/>
      <x:c r="I22" s="40"/>
      <x:c r="J22" s="42" t="str">
        <x:f>IF(COUNTA(B22:I22)=0,"",ROUND(AVERAGE(F22:I22),2))</x:f>
      </x:c>
      <x:c r="K22" s="42" t="str">
        <x:f>IF(J22="","",IF(J22&gt;=4,"Приоритетный",IF(J22&gt;=3,"Перспективный","Низкий приоритет")))</x:f>
      </x:c>
    </x:row>
    <x:row r="23">
      <x:c r="A23" s="37" t="n">
        <x:v>21</x:v>
      </x:c>
      <x:c r="B23" s="40"/>
      <x:c r="C23" s="40"/>
      <x:c r="D23" s="40"/>
      <x:c r="E23" s="40"/>
      <x:c r="F23" s="40"/>
      <x:c r="G23" s="40"/>
      <x:c r="H23" s="40"/>
      <x:c r="I23" s="40"/>
      <x:c r="J23" s="42" t="str">
        <x:f>IF(COUNTA(B23:I23)=0,"",ROUND(AVERAGE(F23:I23),2))</x:f>
      </x:c>
      <x:c r="K23" s="42" t="str">
        <x:f>IF(J23="","",IF(J23&gt;=4,"Приоритетный",IF(J23&gt;=3,"Перспективный","Низкий приоритет")))</x:f>
      </x:c>
    </x:row>
    <x:row r="24">
      <x:c r="A24" s="37" t="n">
        <x:v>22</x:v>
      </x:c>
      <x:c r="B24" s="40"/>
      <x:c r="C24" s="40"/>
      <x:c r="D24" s="40"/>
      <x:c r="E24" s="40"/>
      <x:c r="F24" s="40"/>
      <x:c r="G24" s="40"/>
      <x:c r="H24" s="40"/>
      <x:c r="I24" s="40"/>
      <x:c r="J24" s="42" t="str">
        <x:f>IF(COUNTA(B24:I24)=0,"",ROUND(AVERAGE(F24:I24),2))</x:f>
      </x:c>
      <x:c r="K24" s="42" t="str">
        <x:f>IF(J24="","",IF(J24&gt;=4,"Приоритетный",IF(J24&gt;=3,"Перспективный","Низкий приоритет")))</x:f>
      </x:c>
    </x:row>
    <x:row r="25">
      <x:c r="A25" s="37" t="n">
        <x:v>23</x:v>
      </x:c>
      <x:c r="B25" s="40"/>
      <x:c r="C25" s="40"/>
      <x:c r="D25" s="40"/>
      <x:c r="E25" s="40"/>
      <x:c r="F25" s="40"/>
      <x:c r="G25" s="40"/>
      <x:c r="H25" s="40"/>
      <x:c r="I25" s="40"/>
      <x:c r="J25" s="42" t="str">
        <x:f>IF(COUNTA(B25:I25)=0,"",ROUND(AVERAGE(F25:I25),2))</x:f>
      </x:c>
      <x:c r="K25" s="42" t="str">
        <x:f>IF(J25="","",IF(J25&gt;=4,"Приоритетный",IF(J25&gt;=3,"Перспективный","Низкий приоритет")))</x:f>
      </x:c>
    </x:row>
    <x:row r="26">
      <x:c r="A26" s="37" t="n">
        <x:v>24</x:v>
      </x:c>
      <x:c r="B26" s="40"/>
      <x:c r="C26" s="40"/>
      <x:c r="D26" s="40"/>
      <x:c r="E26" s="40"/>
      <x:c r="F26" s="40"/>
      <x:c r="G26" s="40"/>
      <x:c r="H26" s="40"/>
      <x:c r="I26" s="40"/>
      <x:c r="J26" s="42" t="str">
        <x:f>IF(COUNTA(B26:I26)=0,"",ROUND(AVERAGE(F26:I26),2))</x:f>
      </x:c>
      <x:c r="K26" s="42" t="str">
        <x:f>IF(J26="","",IF(J26&gt;=4,"Приоритетный",IF(J26&gt;=3,"Перспективный","Низкий приоритет")))</x:f>
      </x:c>
    </x:row>
    <x:row r="27">
      <x:c r="A27" s="37" t="n">
        <x:v>25</x:v>
      </x:c>
      <x:c r="B27" s="40"/>
      <x:c r="C27" s="40"/>
      <x:c r="D27" s="40"/>
      <x:c r="E27" s="40"/>
      <x:c r="F27" s="40"/>
      <x:c r="G27" s="40"/>
      <x:c r="H27" s="40"/>
      <x:c r="I27" s="40"/>
      <x:c r="J27" s="42" t="str">
        <x:f>IF(COUNTA(B27:I27)=0,"",ROUND(AVERAGE(F27:I27),2))</x:f>
      </x:c>
      <x:c r="K27" s="42" t="str">
        <x:f>IF(J27="","",IF(J27&gt;=4,"Приоритетный",IF(J27&gt;=3,"Перспективный","Низкий приоритет")))</x:f>
      </x:c>
    </x:row>
    <x:row r="28">
      <x:c r="A28" s="37" t="n">
        <x:v>26</x:v>
      </x:c>
      <x:c r="B28" s="40"/>
      <x:c r="C28" s="40"/>
      <x:c r="D28" s="40"/>
      <x:c r="E28" s="40"/>
      <x:c r="F28" s="40"/>
      <x:c r="G28" s="40"/>
      <x:c r="H28" s="40"/>
      <x:c r="I28" s="40"/>
      <x:c r="J28" s="42" t="str">
        <x:f>IF(COUNTA(B28:I28)=0,"",ROUND(AVERAGE(F28:I28),2))</x:f>
      </x:c>
      <x:c r="K28" s="42" t="str">
        <x:f>IF(J28="","",IF(J28&gt;=4,"Приоритетный",IF(J28&gt;=3,"Перспективный","Низкий приоритет")))</x:f>
      </x:c>
    </x:row>
    <x:row r="29">
      <x:c r="A29" s="37" t="n">
        <x:v>27</x:v>
      </x:c>
      <x:c r="B29" s="40"/>
      <x:c r="C29" s="40"/>
      <x:c r="D29" s="40"/>
      <x:c r="E29" s="40"/>
      <x:c r="F29" s="40"/>
      <x:c r="G29" s="40"/>
      <x:c r="H29" s="40"/>
      <x:c r="I29" s="40"/>
      <x:c r="J29" s="42" t="str">
        <x:f>IF(COUNTA(B29:I29)=0,"",ROUND(AVERAGE(F29:I29),2))</x:f>
      </x:c>
      <x:c r="K29" s="42" t="str">
        <x:f>IF(J29="","",IF(J29&gt;=4,"Приоритетный",IF(J29&gt;=3,"Перспективный","Низкий приоритет")))</x:f>
      </x:c>
    </x:row>
    <x:row r="30">
      <x:c r="A30" s="37" t="n">
        <x:v>28</x:v>
      </x:c>
      <x:c r="B30" s="40"/>
      <x:c r="C30" s="40"/>
      <x:c r="D30" s="40"/>
      <x:c r="E30" s="40"/>
      <x:c r="F30" s="40"/>
      <x:c r="G30" s="40"/>
      <x:c r="H30" s="40"/>
      <x:c r="I30" s="40"/>
      <x:c r="J30" s="42" t="str">
        <x:f>IF(COUNTA(B30:I30)=0,"",ROUND(AVERAGE(F30:I30),2))</x:f>
      </x:c>
      <x:c r="K30" s="42" t="str">
        <x:f>IF(J30="","",IF(J30&gt;=4,"Приоритетный",IF(J30&gt;=3,"Перспективный","Низкий приоритет")))</x:f>
      </x:c>
    </x:row>
    <x:row r="31">
      <x:c r="A31" s="37" t="n">
        <x:v>29</x:v>
      </x:c>
      <x:c r="B31" s="40"/>
      <x:c r="C31" s="40"/>
      <x:c r="D31" s="40"/>
      <x:c r="E31" s="40"/>
      <x:c r="F31" s="40"/>
      <x:c r="G31" s="40"/>
      <x:c r="H31" s="40"/>
      <x:c r="I31" s="40"/>
      <x:c r="J31" s="42" t="str">
        <x:f>IF(COUNTA(B31:I31)=0,"",ROUND(AVERAGE(F31:I31),2))</x:f>
      </x:c>
      <x:c r="K31" s="42" t="str">
        <x:f>IF(J31="","",IF(J31&gt;=4,"Приоритетный",IF(J31&gt;=3,"Перспективный","Низкий приоритет")))</x:f>
      </x:c>
    </x:row>
    <x:row r="32">
      <x:c r="A32" s="37" t="n">
        <x:v>30</x:v>
      </x:c>
      <x:c r="B32" s="40"/>
      <x:c r="C32" s="40"/>
      <x:c r="D32" s="40"/>
      <x:c r="E32" s="40"/>
      <x:c r="F32" s="40"/>
      <x:c r="G32" s="40"/>
      <x:c r="H32" s="40"/>
      <x:c r="I32" s="40"/>
      <x:c r="J32" s="42" t="str">
        <x:f>IF(COUNTA(B32:I32)=0,"",ROUND(AVERAGE(F32:I32),2))</x:f>
      </x:c>
      <x:c r="K32" s="42" t="str">
        <x:f>IF(J32="","",IF(J32&gt;=4,"Приоритетный",IF(J32&gt;=3,"Перспективный","Низкий приоритет")))</x:f>
      </x:c>
    </x:row>
    <x:row r="33">
      <x:c r="A33" s="37" t="n">
        <x:v>31</x:v>
      </x:c>
      <x:c r="B33" s="40"/>
      <x:c r="C33" s="40"/>
      <x:c r="D33" s="40"/>
      <x:c r="E33" s="40"/>
      <x:c r="F33" s="40"/>
      <x:c r="G33" s="40"/>
      <x:c r="H33" s="40"/>
      <x:c r="I33" s="40"/>
      <x:c r="J33" s="42" t="str">
        <x:f>IF(COUNTA(B33:I33)=0,"",ROUND(AVERAGE(F33:I33),2))</x:f>
      </x:c>
      <x:c r="K33" s="42" t="str">
        <x:f>IF(J33="","",IF(J33&gt;=4,"Приоритетный",IF(J33&gt;=3,"Перспективный","Низкий приоритет")))</x:f>
      </x:c>
    </x:row>
    <x:row r="34">
      <x:c r="A34" s="37" t="n">
        <x:v>32</x:v>
      </x:c>
      <x:c r="B34" s="40"/>
      <x:c r="C34" s="40"/>
      <x:c r="D34" s="40"/>
      <x:c r="E34" s="40"/>
      <x:c r="F34" s="40"/>
      <x:c r="G34" s="40"/>
      <x:c r="H34" s="40"/>
      <x:c r="I34" s="40"/>
      <x:c r="J34" s="42" t="str">
        <x:f>IF(COUNTA(B34:I34)=0,"",ROUND(AVERAGE(F34:I34),2))</x:f>
      </x:c>
      <x:c r="K34" s="42" t="str">
        <x:f>IF(J34="","",IF(J34&gt;=4,"Приоритетный",IF(J34&gt;=3,"Перспективный","Низкий приоритет")))</x:f>
      </x:c>
    </x:row>
    <x:row r="35">
      <x:c r="A35" s="37" t="n">
        <x:v>33</x:v>
      </x:c>
      <x:c r="B35" s="40"/>
      <x:c r="C35" s="40"/>
      <x:c r="D35" s="40"/>
      <x:c r="E35" s="40"/>
      <x:c r="F35" s="40"/>
      <x:c r="G35" s="40"/>
      <x:c r="H35" s="40"/>
      <x:c r="I35" s="40"/>
      <x:c r="J35" s="42" t="str">
        <x:f>IF(COUNTA(B35:I35)=0,"",ROUND(AVERAGE(F35:I35),2))</x:f>
      </x:c>
      <x:c r="K35" s="42" t="str">
        <x:f>IF(J35="","",IF(J35&gt;=4,"Приоритетный",IF(J35&gt;=3,"Перспективный","Низкий приоритет")))</x:f>
      </x:c>
    </x:row>
    <x:row r="36">
      <x:c r="A36" s="37" t="n">
        <x:v>34</x:v>
      </x:c>
      <x:c r="B36" s="40"/>
      <x:c r="C36" s="40"/>
      <x:c r="D36" s="40"/>
      <x:c r="E36" s="40"/>
      <x:c r="F36" s="40"/>
      <x:c r="G36" s="40"/>
      <x:c r="H36" s="40"/>
      <x:c r="I36" s="40"/>
      <x:c r="J36" s="42" t="str">
        <x:f>IF(COUNTA(B36:I36)=0,"",ROUND(AVERAGE(F36:I36),2))</x:f>
      </x:c>
      <x:c r="K36" s="42" t="str">
        <x:f>IF(J36="","",IF(J36&gt;=4,"Приоритетный",IF(J36&gt;=3,"Перспективный","Низкий приоритет")))</x:f>
      </x:c>
    </x:row>
    <x:row r="37">
      <x:c r="A37" s="37" t="n">
        <x:v>35</x:v>
      </x:c>
      <x:c r="B37" s="40"/>
      <x:c r="C37" s="40"/>
      <x:c r="D37" s="40"/>
      <x:c r="E37" s="40"/>
      <x:c r="F37" s="40"/>
      <x:c r="G37" s="40"/>
      <x:c r="H37" s="40"/>
      <x:c r="I37" s="40"/>
      <x:c r="J37" s="42" t="str">
        <x:f>IF(COUNTA(B37:I37)=0,"",ROUND(AVERAGE(F37:I37),2))</x:f>
      </x:c>
      <x:c r="K37" s="42" t="str">
        <x:f>IF(J37="","",IF(J37&gt;=4,"Приоритетный",IF(J37&gt;=3,"Перспективный","Низкий приоритет")))</x:f>
      </x:c>
    </x:row>
    <x:row r="38">
      <x:c r="A38" s="37" t="n">
        <x:v>36</x:v>
      </x:c>
      <x:c r="B38" s="40"/>
      <x:c r="C38" s="40"/>
      <x:c r="D38" s="40"/>
      <x:c r="E38" s="40"/>
      <x:c r="F38" s="40"/>
      <x:c r="G38" s="40"/>
      <x:c r="H38" s="40"/>
      <x:c r="I38" s="40"/>
      <x:c r="J38" s="42" t="str">
        <x:f>IF(COUNTA(B38:I38)=0,"",ROUND(AVERAGE(F38:I38),2))</x:f>
      </x:c>
      <x:c r="K38" s="42" t="str">
        <x:f>IF(J38="","",IF(J38&gt;=4,"Приоритетный",IF(J38&gt;=3,"Перспективный","Низкий приоритет")))</x:f>
      </x:c>
    </x:row>
    <x:row r="39">
      <x:c r="A39" s="37" t="n">
        <x:v>37</x:v>
      </x:c>
      <x:c r="B39" s="40"/>
      <x:c r="C39" s="40"/>
      <x:c r="D39" s="40"/>
      <x:c r="E39" s="40"/>
      <x:c r="F39" s="40"/>
      <x:c r="G39" s="40"/>
      <x:c r="H39" s="40"/>
      <x:c r="I39" s="40"/>
      <x:c r="J39" s="42" t="str">
        <x:f>IF(COUNTA(B39:I39)=0,"",ROUND(AVERAGE(F39:I39),2))</x:f>
      </x:c>
      <x:c r="K39" s="42" t="str">
        <x:f>IF(J39="","",IF(J39&gt;=4,"Приоритетный",IF(J39&gt;=3,"Перспективный","Низкий приоритет")))</x:f>
      </x:c>
    </x:row>
    <x:row r="40">
      <x:c r="A40" s="37" t="n">
        <x:v>38</x:v>
      </x:c>
      <x:c r="B40" s="40"/>
      <x:c r="C40" s="40"/>
      <x:c r="D40" s="40"/>
      <x:c r="E40" s="40"/>
      <x:c r="F40" s="40"/>
      <x:c r="G40" s="40"/>
      <x:c r="H40" s="40"/>
      <x:c r="I40" s="40"/>
      <x:c r="J40" s="42" t="str">
        <x:f>IF(COUNTA(B40:I40)=0,"",ROUND(AVERAGE(F40:I40),2))</x:f>
      </x:c>
      <x:c r="K40" s="42" t="str">
        <x:f>IF(J40="","",IF(J40&gt;=4,"Приоритетный",IF(J40&gt;=3,"Перспективный","Низкий приоритет")))</x:f>
      </x:c>
    </x:row>
    <x:row r="41">
      <x:c r="A41" s="37" t="n">
        <x:v>39</x:v>
      </x:c>
      <x:c r="B41" s="40"/>
      <x:c r="C41" s="40"/>
      <x:c r="D41" s="40"/>
      <x:c r="E41" s="40"/>
      <x:c r="F41" s="40"/>
      <x:c r="G41" s="40"/>
      <x:c r="H41" s="40"/>
      <x:c r="I41" s="40"/>
      <x:c r="J41" s="42" t="str">
        <x:f>IF(COUNTA(B41:I41)=0,"",ROUND(AVERAGE(F41:I41),2))</x:f>
      </x:c>
      <x:c r="K41" s="42" t="str">
        <x:f>IF(J41="","",IF(J41&gt;=4,"Приоритетный",IF(J41&gt;=3,"Перспективный","Низкий приоритет")))</x:f>
      </x:c>
    </x:row>
    <x:row r="42">
      <x:c r="A42" s="37" t="n">
        <x:v>40</x:v>
      </x:c>
      <x:c r="B42" s="40"/>
      <x:c r="C42" s="40"/>
      <x:c r="D42" s="40"/>
      <x:c r="E42" s="40"/>
      <x:c r="F42" s="40"/>
      <x:c r="G42" s="40"/>
      <x:c r="H42" s="40"/>
      <x:c r="I42" s="40"/>
      <x:c r="J42" s="42" t="str">
        <x:f>IF(COUNTA(B42:I42)=0,"",ROUND(AVERAGE(F42:I42),2))</x:f>
      </x:c>
      <x:c r="K42" s="42" t="str">
        <x:f>IF(J42="","",IF(J42&gt;=4,"Приоритетный",IF(J42&gt;=3,"Перспективный","Низкий приоритет")))</x:f>
      </x:c>
    </x:row>
    <x:row r="43">
      <x:c r="A43" s="37" t="n">
        <x:v>41</x:v>
      </x:c>
      <x:c r="B43" s="40"/>
      <x:c r="C43" s="40"/>
      <x:c r="D43" s="40"/>
      <x:c r="E43" s="40"/>
      <x:c r="F43" s="40"/>
      <x:c r="G43" s="40"/>
      <x:c r="H43" s="40"/>
      <x:c r="I43" s="40"/>
      <x:c r="J43" s="42" t="str">
        <x:f>IF(COUNTA(B43:I43)=0,"",ROUND(AVERAGE(F43:I43),2))</x:f>
      </x:c>
      <x:c r="K43" s="42" t="str">
        <x:f>IF(J43="","",IF(J43&gt;=4,"Приоритетный",IF(J43&gt;=3,"Перспективный","Низкий приоритет")))</x:f>
      </x:c>
    </x:row>
    <x:row r="44">
      <x:c r="A44" s="37" t="n">
        <x:v>42</x:v>
      </x:c>
      <x:c r="B44" s="40"/>
      <x:c r="C44" s="40"/>
      <x:c r="D44" s="40"/>
      <x:c r="E44" s="40"/>
      <x:c r="F44" s="40"/>
      <x:c r="G44" s="40"/>
      <x:c r="H44" s="40"/>
      <x:c r="I44" s="40"/>
      <x:c r="J44" s="42" t="str">
        <x:f>IF(COUNTA(B44:I44)=0,"",ROUND(AVERAGE(F44:I44),2))</x:f>
      </x:c>
      <x:c r="K44" s="42" t="str">
        <x:f>IF(J44="","",IF(J44&gt;=4,"Приоритетный",IF(J44&gt;=3,"Перспективный","Низкий приоритет")))</x:f>
      </x:c>
    </x:row>
    <x:row r="45">
      <x:c r="A45" s="37" t="n">
        <x:v>43</x:v>
      </x:c>
      <x:c r="B45" s="40"/>
      <x:c r="C45" s="40"/>
      <x:c r="D45" s="40"/>
      <x:c r="E45" s="40"/>
      <x:c r="F45" s="40"/>
      <x:c r="G45" s="40"/>
      <x:c r="H45" s="40"/>
      <x:c r="I45" s="40"/>
      <x:c r="J45" s="42" t="str">
        <x:f>IF(COUNTA(B45:I45)=0,"",ROUND(AVERAGE(F45:I45),2))</x:f>
      </x:c>
      <x:c r="K45" s="42" t="str">
        <x:f>IF(J45="","",IF(J45&gt;=4,"Приоритетный",IF(J45&gt;=3,"Перспективный","Низкий приоритет")))</x:f>
      </x:c>
    </x:row>
    <x:row r="46">
      <x:c r="A46" s="37" t="n">
        <x:v>44</x:v>
      </x:c>
      <x:c r="B46" s="40"/>
      <x:c r="C46" s="40"/>
      <x:c r="D46" s="40"/>
      <x:c r="E46" s="40"/>
      <x:c r="F46" s="40"/>
      <x:c r="G46" s="40"/>
      <x:c r="H46" s="40"/>
      <x:c r="I46" s="40"/>
      <x:c r="J46" s="42" t="str">
        <x:f>IF(COUNTA(B46:I46)=0,"",ROUND(AVERAGE(F46:I46),2))</x:f>
      </x:c>
      <x:c r="K46" s="42" t="str">
        <x:f>IF(J46="","",IF(J46&gt;=4,"Приоритетный",IF(J46&gt;=3,"Перспективный","Низкий приоритет")))</x:f>
      </x:c>
    </x:row>
    <x:row r="47">
      <x:c r="A47" s="37" t="n">
        <x:v>45</x:v>
      </x:c>
      <x:c r="B47" s="40"/>
      <x:c r="C47" s="40"/>
      <x:c r="D47" s="40"/>
      <x:c r="E47" s="40"/>
      <x:c r="F47" s="40"/>
      <x:c r="G47" s="40"/>
      <x:c r="H47" s="40"/>
      <x:c r="I47" s="40"/>
      <x:c r="J47" s="42" t="str">
        <x:f>IF(COUNTA(B47:I47)=0,"",ROUND(AVERAGE(F47:I47),2))</x:f>
      </x:c>
      <x:c r="K47" s="42" t="str">
        <x:f>IF(J47="","",IF(J47&gt;=4,"Приоритетный",IF(J47&gt;=3,"Перспективный","Низкий приоритет")))</x:f>
      </x:c>
    </x:row>
    <x:row r="48">
      <x:c r="A48" s="37" t="n">
        <x:v>46</x:v>
      </x:c>
      <x:c r="B48" s="40"/>
      <x:c r="C48" s="40"/>
      <x:c r="D48" s="40"/>
      <x:c r="E48" s="40"/>
      <x:c r="F48" s="40"/>
      <x:c r="G48" s="40"/>
      <x:c r="H48" s="40"/>
      <x:c r="I48" s="40"/>
      <x:c r="J48" s="42" t="str">
        <x:f>IF(COUNTA(B48:I48)=0,"",ROUND(AVERAGE(F48:I48),2))</x:f>
      </x:c>
      <x:c r="K48" s="42" t="str">
        <x:f>IF(J48="","",IF(J48&gt;=4,"Приоритетный",IF(J48&gt;=3,"Перспективный","Низкий приоритет")))</x:f>
      </x:c>
    </x:row>
    <x:row r="49">
      <x:c r="A49" s="37" t="n">
        <x:v>47</x:v>
      </x:c>
      <x:c r="B49" s="40"/>
      <x:c r="C49" s="40"/>
      <x:c r="D49" s="40"/>
      <x:c r="E49" s="40"/>
      <x:c r="F49" s="40"/>
      <x:c r="G49" s="40"/>
      <x:c r="H49" s="40"/>
      <x:c r="I49" s="40"/>
      <x:c r="J49" s="42" t="str">
        <x:f>IF(COUNTA(B49:I49)=0,"",ROUND(AVERAGE(F49:I49),2))</x:f>
      </x:c>
      <x:c r="K49" s="42" t="str">
        <x:f>IF(J49="","",IF(J49&gt;=4,"Приоритетный",IF(J49&gt;=3,"Перспективный","Низкий приоритет")))</x:f>
      </x:c>
    </x:row>
    <x:row r="50">
      <x:c r="A50" s="37" t="n">
        <x:v>48</x:v>
      </x:c>
      <x:c r="B50" s="40"/>
      <x:c r="C50" s="40"/>
      <x:c r="D50" s="40"/>
      <x:c r="E50" s="40"/>
      <x:c r="F50" s="40"/>
      <x:c r="G50" s="40"/>
      <x:c r="H50" s="40"/>
      <x:c r="I50" s="40"/>
      <x:c r="J50" s="42" t="str">
        <x:f>IF(COUNTA(B50:I50)=0,"",ROUND(AVERAGE(F50:I50),2))</x:f>
      </x:c>
      <x:c r="K50" s="42" t="str">
        <x:f>IF(J50="","",IF(J50&gt;=4,"Приоритетный",IF(J50&gt;=3,"Перспективный","Низкий приоритет")))</x:f>
      </x:c>
    </x:row>
    <x:row r="51">
      <x:c r="A51" s="37" t="n">
        <x:v>49</x:v>
      </x:c>
      <x:c r="B51" s="40"/>
      <x:c r="C51" s="40"/>
      <x:c r="D51" s="40"/>
      <x:c r="E51" s="40"/>
      <x:c r="F51" s="40"/>
      <x:c r="G51" s="40"/>
      <x:c r="H51" s="40"/>
      <x:c r="I51" s="40"/>
      <x:c r="J51" s="42" t="str">
        <x:f>IF(COUNTA(B51:I51)=0,"",ROUND(AVERAGE(F51:I51),2))</x:f>
      </x:c>
      <x:c r="K51" s="42" t="str">
        <x:f>IF(J51="","",IF(J51&gt;=4,"Приоритетный",IF(J51&gt;=3,"Перспективный","Низкий приоритет")))</x:f>
      </x:c>
    </x:row>
    <x:row r="52">
      <x:c r="A52" s="37" t="n">
        <x:v>50</x:v>
      </x:c>
      <x:c r="B52" s="40"/>
      <x:c r="C52" s="40"/>
      <x:c r="D52" s="40"/>
      <x:c r="E52" s="40"/>
      <x:c r="F52" s="40"/>
      <x:c r="G52" s="40"/>
      <x:c r="H52" s="40"/>
      <x:c r="I52" s="40"/>
      <x:c r="J52" s="42" t="str">
        <x:f>IF(COUNTA(B52:I52)=0,"",ROUND(AVERAGE(F52:I52),2))</x:f>
      </x:c>
      <x:c r="K52" s="42" t="str">
        <x:f>IF(J52="","",IF(J52&gt;=4,"Приоритетный",IF(J52&gt;=3,"Перспективный","Низкий приоритет")))</x:f>
      </x:c>
    </x:row>
    <x:row r="53">
      <x:c r="A53" s="37" t="n">
        <x:v>51</x:v>
      </x:c>
      <x:c r="B53" s="40"/>
      <x:c r="C53" s="40"/>
      <x:c r="D53" s="40"/>
      <x:c r="E53" s="40"/>
      <x:c r="F53" s="40"/>
      <x:c r="G53" s="40"/>
      <x:c r="H53" s="40"/>
      <x:c r="I53" s="40"/>
      <x:c r="J53" s="42" t="str">
        <x:f>IF(COUNTA(B53:I53)=0,"",ROUND(AVERAGE(F53:I53),2))</x:f>
      </x:c>
      <x:c r="K53" s="42" t="str">
        <x:f>IF(J53="","",IF(J53&gt;=4,"Приоритетный",IF(J53&gt;=3,"Перспективный","Низкий приоритет")))</x:f>
      </x:c>
    </x:row>
    <x:row r="54">
      <x:c r="A54" s="37" t="n">
        <x:v>52</x:v>
      </x:c>
      <x:c r="B54" s="40"/>
      <x:c r="C54" s="40"/>
      <x:c r="D54" s="40"/>
      <x:c r="E54" s="40"/>
      <x:c r="F54" s="40"/>
      <x:c r="G54" s="40"/>
      <x:c r="H54" s="40"/>
      <x:c r="I54" s="40"/>
      <x:c r="J54" s="42" t="str">
        <x:f>IF(COUNTA(B54:I54)=0,"",ROUND(AVERAGE(F54:I54),2))</x:f>
      </x:c>
      <x:c r="K54" s="42" t="str">
        <x:f>IF(J54="","",IF(J54&gt;=4,"Приоритетный",IF(J54&gt;=3,"Перспективный","Низкий приоритет")))</x:f>
      </x:c>
    </x:row>
    <x:row r="55">
      <x:c r="A55" s="37" t="n">
        <x:v>53</x:v>
      </x:c>
      <x:c r="B55" s="40"/>
      <x:c r="C55" s="40"/>
      <x:c r="D55" s="40"/>
      <x:c r="E55" s="40"/>
      <x:c r="F55" s="40"/>
      <x:c r="G55" s="40"/>
      <x:c r="H55" s="40"/>
      <x:c r="I55" s="40"/>
      <x:c r="J55" s="42" t="str">
        <x:f>IF(COUNTA(B55:I55)=0,"",ROUND(AVERAGE(F55:I55),2))</x:f>
      </x:c>
      <x:c r="K55" s="42" t="str">
        <x:f>IF(J55="","",IF(J55&gt;=4,"Приоритетный",IF(J55&gt;=3,"Перспективный","Низкий приоритет")))</x:f>
      </x:c>
    </x:row>
    <x:row r="56">
      <x:c r="A56" s="37" t="n">
        <x:v>54</x:v>
      </x:c>
      <x:c r="B56" s="40"/>
      <x:c r="C56" s="40"/>
      <x:c r="D56" s="40"/>
      <x:c r="E56" s="40"/>
      <x:c r="F56" s="40"/>
      <x:c r="G56" s="40"/>
      <x:c r="H56" s="40"/>
      <x:c r="I56" s="40"/>
      <x:c r="J56" s="42" t="str">
        <x:f>IF(COUNTA(B56:I56)=0,"",ROUND(AVERAGE(F56:I56),2))</x:f>
      </x:c>
      <x:c r="K56" s="42" t="str">
        <x:f>IF(J56="","",IF(J56&gt;=4,"Приоритетный",IF(J56&gt;=3,"Перспективный","Низкий приоритет")))</x:f>
      </x:c>
    </x:row>
    <x:row r="57">
      <x:c r="A57" s="37" t="n">
        <x:v>55</x:v>
      </x:c>
      <x:c r="B57" s="40"/>
      <x:c r="C57" s="40"/>
      <x:c r="D57" s="40"/>
      <x:c r="E57" s="40"/>
      <x:c r="F57" s="40"/>
      <x:c r="G57" s="40"/>
      <x:c r="H57" s="40"/>
      <x:c r="I57" s="40"/>
      <x:c r="J57" s="42" t="str">
        <x:f>IF(COUNTA(B57:I57)=0,"",ROUND(AVERAGE(F57:I57),2))</x:f>
      </x:c>
      <x:c r="K57" s="42" t="str">
        <x:f>IF(J57="","",IF(J57&gt;=4,"Приоритетный",IF(J57&gt;=3,"Перспективный","Низкий приоритет")))</x:f>
      </x:c>
    </x:row>
    <x:row r="58">
      <x:c r="A58" s="37" t="n">
        <x:v>56</x:v>
      </x:c>
      <x:c r="B58" s="40"/>
      <x:c r="C58" s="40"/>
      <x:c r="D58" s="40"/>
      <x:c r="E58" s="40"/>
      <x:c r="F58" s="40"/>
      <x:c r="G58" s="40"/>
      <x:c r="H58" s="40"/>
      <x:c r="I58" s="40"/>
      <x:c r="J58" s="42" t="str">
        <x:f>IF(COUNTA(B58:I58)=0,"",ROUND(AVERAGE(F58:I58),2))</x:f>
      </x:c>
      <x:c r="K58" s="42" t="str">
        <x:f>IF(J58="","",IF(J58&gt;=4,"Приоритетный",IF(J58&gt;=3,"Перспективный","Низкий приоритет")))</x:f>
      </x:c>
    </x:row>
    <x:row r="59">
      <x:c r="A59" s="37" t="n">
        <x:v>57</x:v>
      </x:c>
      <x:c r="B59" s="40"/>
      <x:c r="C59" s="40"/>
      <x:c r="D59" s="40"/>
      <x:c r="E59" s="40"/>
      <x:c r="F59" s="40"/>
      <x:c r="G59" s="40"/>
      <x:c r="H59" s="40"/>
      <x:c r="I59" s="40"/>
      <x:c r="J59" s="42" t="str">
        <x:f>IF(COUNTA(B59:I59)=0,"",ROUND(AVERAGE(F59:I59),2))</x:f>
      </x:c>
      <x:c r="K59" s="42" t="str">
        <x:f>IF(J59="","",IF(J59&gt;=4,"Приоритетный",IF(J59&gt;=3,"Перспективный","Низкий приоритет")))</x:f>
      </x:c>
    </x:row>
    <x:row r="60">
      <x:c r="A60" s="37" t="n">
        <x:v>58</x:v>
      </x:c>
      <x:c r="B60" s="40"/>
      <x:c r="C60" s="40"/>
      <x:c r="D60" s="40"/>
      <x:c r="E60" s="40"/>
      <x:c r="F60" s="40"/>
      <x:c r="G60" s="40"/>
      <x:c r="H60" s="40"/>
      <x:c r="I60" s="40"/>
      <x:c r="J60" s="42" t="str">
        <x:f>IF(COUNTA(B60:I60)=0,"",ROUND(AVERAGE(F60:I60),2))</x:f>
      </x:c>
      <x:c r="K60" s="42" t="str">
        <x:f>IF(J60="","",IF(J60&gt;=4,"Приоритетный",IF(J60&gt;=3,"Перспективный","Низкий приоритет")))</x:f>
      </x:c>
    </x:row>
    <x:row r="61">
      <x:c r="A61" s="37" t="n">
        <x:v>59</x:v>
      </x:c>
      <x:c r="B61" s="40"/>
      <x:c r="C61" s="40"/>
      <x:c r="D61" s="40"/>
      <x:c r="E61" s="40"/>
      <x:c r="F61" s="40"/>
      <x:c r="G61" s="40"/>
      <x:c r="H61" s="40"/>
      <x:c r="I61" s="40"/>
      <x:c r="J61" s="42" t="str">
        <x:f>IF(COUNTA(B61:I61)=0,"",ROUND(AVERAGE(F61:I61),2))</x:f>
      </x:c>
      <x:c r="K61" s="42" t="str">
        <x:f>IF(J61="","",IF(J61&gt;=4,"Приоритетный",IF(J61&gt;=3,"Перспективный","Низкий приоритет")))</x:f>
      </x:c>
    </x:row>
    <x:row r="62">
      <x:c r="A62" s="37" t="n">
        <x:v>60</x:v>
      </x:c>
      <x:c r="B62" s="40"/>
      <x:c r="C62" s="40"/>
      <x:c r="D62" s="40"/>
      <x:c r="E62" s="40"/>
      <x:c r="F62" s="40"/>
      <x:c r="G62" s="40"/>
      <x:c r="H62" s="40"/>
      <x:c r="I62" s="40"/>
      <x:c r="J62" s="42" t="str">
        <x:f>IF(COUNTA(B62:I62)=0,"",ROUND(AVERAGE(F62:I62),2))</x:f>
      </x:c>
      <x:c r="K62" s="42" t="str">
        <x:f>IF(J62="","",IF(J62&gt;=4,"Приоритетный",IF(J62&gt;=3,"Перспективный","Низкий приоритет")))</x:f>
      </x:c>
    </x:row>
    <x:row r="63">
      <x:c r="A63" s="37" t="n">
        <x:v>61</x:v>
      </x:c>
      <x:c r="B63" s="40"/>
      <x:c r="C63" s="40"/>
      <x:c r="D63" s="40"/>
      <x:c r="E63" s="40"/>
      <x:c r="F63" s="40"/>
      <x:c r="G63" s="40"/>
      <x:c r="H63" s="40"/>
      <x:c r="I63" s="40"/>
      <x:c r="J63" s="42" t="str">
        <x:f>IF(COUNTA(B63:I63)=0,"",ROUND(AVERAGE(F63:I63),2))</x:f>
      </x:c>
      <x:c r="K63" s="42" t="str">
        <x:f>IF(J63="","",IF(J63&gt;=4,"Приоритетный",IF(J63&gt;=3,"Перспективный","Низкий приоритет")))</x:f>
      </x:c>
    </x:row>
    <x:row r="64">
      <x:c r="A64" s="37" t="n">
        <x:v>62</x:v>
      </x:c>
      <x:c r="B64" s="40"/>
      <x:c r="C64" s="40"/>
      <x:c r="D64" s="40"/>
      <x:c r="E64" s="40"/>
      <x:c r="F64" s="40"/>
      <x:c r="G64" s="40"/>
      <x:c r="H64" s="40"/>
      <x:c r="I64" s="40"/>
      <x:c r="J64" s="42" t="str">
        <x:f>IF(COUNTA(B64:I64)=0,"",ROUND(AVERAGE(F64:I64),2))</x:f>
      </x:c>
      <x:c r="K64" s="42" t="str">
        <x:f>IF(J64="","",IF(J64&gt;=4,"Приоритетный",IF(J64&gt;=3,"Перспективный","Низкий приоритет")))</x:f>
      </x:c>
    </x:row>
    <x:row r="65">
      <x:c r="A65" s="37" t="n">
        <x:v>63</x:v>
      </x:c>
      <x:c r="B65" s="40"/>
      <x:c r="C65" s="40"/>
      <x:c r="D65" s="40"/>
      <x:c r="E65" s="40"/>
      <x:c r="F65" s="40"/>
      <x:c r="G65" s="40"/>
      <x:c r="H65" s="40"/>
      <x:c r="I65" s="40"/>
      <x:c r="J65" s="42" t="str">
        <x:f>IF(COUNTA(B65:I65)=0,"",ROUND(AVERAGE(F65:I65),2))</x:f>
      </x:c>
      <x:c r="K65" s="42" t="str">
        <x:f>IF(J65="","",IF(J65&gt;=4,"Приоритетный",IF(J65&gt;=3,"Перспективный","Низкий приоритет")))</x:f>
      </x:c>
    </x:row>
    <x:row r="66">
      <x:c r="A66" s="37" t="n">
        <x:v>64</x:v>
      </x:c>
      <x:c r="B66" s="40"/>
      <x:c r="C66" s="40"/>
      <x:c r="D66" s="40"/>
      <x:c r="E66" s="40"/>
      <x:c r="F66" s="40"/>
      <x:c r="G66" s="40"/>
      <x:c r="H66" s="40"/>
      <x:c r="I66" s="40"/>
      <x:c r="J66" s="42" t="str">
        <x:f>IF(COUNTA(B66:I66)=0,"",ROUND(AVERAGE(F66:I66),2))</x:f>
      </x:c>
      <x:c r="K66" s="42" t="str">
        <x:f>IF(J66="","",IF(J66&gt;=4,"Приоритетный",IF(J66&gt;=3,"Перспективный","Низкий приоритет")))</x:f>
      </x:c>
    </x:row>
    <x:row r="67">
      <x:c r="A67" s="37" t="n">
        <x:v>65</x:v>
      </x:c>
      <x:c r="B67" s="40"/>
      <x:c r="C67" s="40"/>
      <x:c r="D67" s="40"/>
      <x:c r="E67" s="40"/>
      <x:c r="F67" s="40"/>
      <x:c r="G67" s="40"/>
      <x:c r="H67" s="40"/>
      <x:c r="I67" s="40"/>
      <x:c r="J67" s="42" t="str">
        <x:f>IF(COUNTA(B67:I67)=0,"",ROUND(AVERAGE(F67:I67),2))</x:f>
      </x:c>
      <x:c r="K67" s="42" t="str">
        <x:f>IF(J67="","",IF(J67&gt;=4,"Приоритетный",IF(J67&gt;=3,"Перспективный","Низкий приоритет")))</x:f>
      </x:c>
    </x:row>
    <x:row r="68">
      <x:c r="A68" s="37" t="n">
        <x:v>66</x:v>
      </x:c>
      <x:c r="B68" s="40"/>
      <x:c r="C68" s="40"/>
      <x:c r="D68" s="40"/>
      <x:c r="E68" s="40"/>
      <x:c r="F68" s="40"/>
      <x:c r="G68" s="40"/>
      <x:c r="H68" s="40"/>
      <x:c r="I68" s="40"/>
      <x:c r="J68" s="42" t="str">
        <x:f>IF(COUNTA(B68:I68)=0,"",ROUND(AVERAGE(F68:I68),2))</x:f>
      </x:c>
      <x:c r="K68" s="42" t="str">
        <x:f>IF(J68="","",IF(J68&gt;=4,"Приоритетный",IF(J68&gt;=3,"Перспективный","Низкий приоритет")))</x:f>
      </x:c>
    </x:row>
    <x:row r="69">
      <x:c r="A69" s="37" t="n">
        <x:v>67</x:v>
      </x:c>
      <x:c r="B69" s="40"/>
      <x:c r="C69" s="40"/>
      <x:c r="D69" s="40"/>
      <x:c r="E69" s="40"/>
      <x:c r="F69" s="40"/>
      <x:c r="G69" s="40"/>
      <x:c r="H69" s="40"/>
      <x:c r="I69" s="40"/>
      <x:c r="J69" s="42" t="str">
        <x:f>IF(COUNTA(B69:I69)=0,"",ROUND(AVERAGE(F69:I69),2))</x:f>
      </x:c>
      <x:c r="K69" s="42" t="str">
        <x:f>IF(J69="","",IF(J69&gt;=4,"Приоритетный",IF(J69&gt;=3,"Перспективный","Низкий приоритет")))</x:f>
      </x:c>
    </x:row>
    <x:row r="70">
      <x:c r="A70" s="37" t="n">
        <x:v>68</x:v>
      </x:c>
      <x:c r="B70" s="40"/>
      <x:c r="C70" s="40"/>
      <x:c r="D70" s="40"/>
      <x:c r="E70" s="40"/>
      <x:c r="F70" s="40"/>
      <x:c r="G70" s="40"/>
      <x:c r="H70" s="40"/>
      <x:c r="I70" s="40"/>
      <x:c r="J70" s="42" t="str">
        <x:f>IF(COUNTA(B70:I70)=0,"",ROUND(AVERAGE(F70:I70),2))</x:f>
      </x:c>
      <x:c r="K70" s="42" t="str">
        <x:f>IF(J70="","",IF(J70&gt;=4,"Приоритетный",IF(J70&gt;=3,"Перспективный","Низкий приоритет")))</x:f>
      </x:c>
    </x:row>
    <x:row r="71">
      <x:c r="A71" s="37" t="n">
        <x:v>69</x:v>
      </x:c>
      <x:c r="B71" s="40"/>
      <x:c r="C71" s="40"/>
      <x:c r="D71" s="40"/>
      <x:c r="E71" s="40"/>
      <x:c r="F71" s="40"/>
      <x:c r="G71" s="40"/>
      <x:c r="H71" s="40"/>
      <x:c r="I71" s="40"/>
      <x:c r="J71" s="42" t="str">
        <x:f>IF(COUNTA(B71:I71)=0,"",ROUND(AVERAGE(F71:I71),2))</x:f>
      </x:c>
      <x:c r="K71" s="42" t="str">
        <x:f>IF(J71="","",IF(J71&gt;=4,"Приоритетный",IF(J71&gt;=3,"Перспективный","Низкий приоритет")))</x:f>
      </x:c>
    </x:row>
    <x:row r="72">
      <x:c r="A72" s="37" t="n">
        <x:v>70</x:v>
      </x:c>
      <x:c r="B72" s="40"/>
      <x:c r="C72" s="40"/>
      <x:c r="D72" s="40"/>
      <x:c r="E72" s="40"/>
      <x:c r="F72" s="40"/>
      <x:c r="G72" s="40"/>
      <x:c r="H72" s="40"/>
      <x:c r="I72" s="40"/>
      <x:c r="J72" s="42" t="str">
        <x:f>IF(COUNTA(B72:I72)=0,"",ROUND(AVERAGE(F72:I72),2))</x:f>
      </x:c>
      <x:c r="K72" s="42" t="str">
        <x:f>IF(J72="","",IF(J72&gt;=4,"Приоритетный",IF(J72&gt;=3,"Перспективный","Низкий приоритет")))</x:f>
      </x:c>
    </x:row>
    <x:row r="73">
      <x:c r="A73" s="37" t="n">
        <x:v>71</x:v>
      </x:c>
      <x:c r="B73" s="40"/>
      <x:c r="C73" s="40"/>
      <x:c r="D73" s="40"/>
      <x:c r="E73" s="40"/>
      <x:c r="F73" s="40"/>
      <x:c r="G73" s="40"/>
      <x:c r="H73" s="40"/>
      <x:c r="I73" s="40"/>
      <x:c r="J73" s="42" t="str">
        <x:f>IF(COUNTA(B73:I73)=0,"",ROUND(AVERAGE(F73:I73),2))</x:f>
      </x:c>
      <x:c r="K73" s="42" t="str">
        <x:f>IF(J73="","",IF(J73&gt;=4,"Приоритетный",IF(J73&gt;=3,"Перспективный","Низкий приоритет")))</x:f>
      </x:c>
    </x:row>
    <x:row r="74">
      <x:c r="A74" s="37" t="n">
        <x:v>72</x:v>
      </x:c>
      <x:c r="B74" s="40"/>
      <x:c r="C74" s="40"/>
      <x:c r="D74" s="40"/>
      <x:c r="E74" s="40"/>
      <x:c r="F74" s="40"/>
      <x:c r="G74" s="40"/>
      <x:c r="H74" s="40"/>
      <x:c r="I74" s="40"/>
      <x:c r="J74" s="42" t="str">
        <x:f>IF(COUNTA(B74:I74)=0,"",ROUND(AVERAGE(F74:I74),2))</x:f>
      </x:c>
      <x:c r="K74" s="42" t="str">
        <x:f>IF(J74="","",IF(J74&gt;=4,"Приоритетный",IF(J74&gt;=3,"Перспективный","Низкий приоритет")))</x:f>
      </x:c>
    </x:row>
    <x:row r="75">
      <x:c r="A75" s="37" t="n">
        <x:v>73</x:v>
      </x:c>
      <x:c r="B75" s="40"/>
      <x:c r="C75" s="40"/>
      <x:c r="D75" s="40"/>
      <x:c r="E75" s="40"/>
      <x:c r="F75" s="40"/>
      <x:c r="G75" s="40"/>
      <x:c r="H75" s="40"/>
      <x:c r="I75" s="40"/>
      <x:c r="J75" s="42" t="str">
        <x:f>IF(COUNTA(B75:I75)=0,"",ROUND(AVERAGE(F75:I75),2))</x:f>
      </x:c>
      <x:c r="K75" s="42" t="str">
        <x:f>IF(J75="","",IF(J75&gt;=4,"Приоритетный",IF(J75&gt;=3,"Перспективный","Низкий приоритет")))</x:f>
      </x:c>
    </x:row>
    <x:row r="76">
      <x:c r="A76" s="37" t="n">
        <x:v>74</x:v>
      </x:c>
      <x:c r="B76" s="40"/>
      <x:c r="C76" s="40"/>
      <x:c r="D76" s="40"/>
      <x:c r="E76" s="40"/>
      <x:c r="F76" s="40"/>
      <x:c r="G76" s="40"/>
      <x:c r="H76" s="40"/>
      <x:c r="I76" s="40"/>
      <x:c r="J76" s="42" t="str">
        <x:f>IF(COUNTA(B76:I76)=0,"",ROUND(AVERAGE(F76:I76),2))</x:f>
      </x:c>
      <x:c r="K76" s="42" t="str">
        <x:f>IF(J76="","",IF(J76&gt;=4,"Приоритетный",IF(J76&gt;=3,"Перспективный","Низкий приоритет")))</x:f>
      </x:c>
    </x:row>
    <x:row r="77">
      <x:c r="A77" s="37" t="n">
        <x:v>75</x:v>
      </x:c>
      <x:c r="B77" s="40"/>
      <x:c r="C77" s="40"/>
      <x:c r="D77" s="40"/>
      <x:c r="E77" s="40"/>
      <x:c r="F77" s="40"/>
      <x:c r="G77" s="40"/>
      <x:c r="H77" s="40"/>
      <x:c r="I77" s="40"/>
      <x:c r="J77" s="42" t="str">
        <x:f>IF(COUNTA(B77:I77)=0,"",ROUND(AVERAGE(F77:I77),2))</x:f>
      </x:c>
      <x:c r="K77" s="42" t="str">
        <x:f>IF(J77="","",IF(J77&gt;=4,"Приоритетный",IF(J77&gt;=3,"Перспективный","Низкий приоритет")))</x:f>
      </x:c>
    </x:row>
    <x:row r="78">
      <x:c r="A78" s="37" t="n">
        <x:v>76</x:v>
      </x:c>
      <x:c r="B78" s="40"/>
      <x:c r="C78" s="40"/>
      <x:c r="D78" s="40"/>
      <x:c r="E78" s="40"/>
      <x:c r="F78" s="40"/>
      <x:c r="G78" s="40"/>
      <x:c r="H78" s="40"/>
      <x:c r="I78" s="40"/>
      <x:c r="J78" s="42" t="str">
        <x:f>IF(COUNTA(B78:I78)=0,"",ROUND(AVERAGE(F78:I78),2))</x:f>
      </x:c>
      <x:c r="K78" s="42" t="str">
        <x:f>IF(J78="","",IF(J78&gt;=4,"Приоритетный",IF(J78&gt;=3,"Перспективный","Низкий приоритет")))</x:f>
      </x:c>
    </x:row>
    <x:row r="79">
      <x:c r="A79" s="37" t="n">
        <x:v>77</x:v>
      </x:c>
      <x:c r="B79" s="40"/>
      <x:c r="C79" s="40"/>
      <x:c r="D79" s="40"/>
      <x:c r="E79" s="40"/>
      <x:c r="F79" s="40"/>
      <x:c r="G79" s="40"/>
      <x:c r="H79" s="40"/>
      <x:c r="I79" s="40"/>
      <x:c r="J79" s="42" t="str">
        <x:f>IF(COUNTA(B79:I79)=0,"",ROUND(AVERAGE(F79:I79),2))</x:f>
      </x:c>
      <x:c r="K79" s="42" t="str">
        <x:f>IF(J79="","",IF(J79&gt;=4,"Приоритетный",IF(J79&gt;=3,"Перспективный","Низкий приоритет")))</x:f>
      </x:c>
    </x:row>
    <x:row r="80">
      <x:c r="A80" s="37" t="n">
        <x:v>78</x:v>
      </x:c>
      <x:c r="B80" s="40"/>
      <x:c r="C80" s="40"/>
      <x:c r="D80" s="40"/>
      <x:c r="E80" s="40"/>
      <x:c r="F80" s="40"/>
      <x:c r="G80" s="40"/>
      <x:c r="H80" s="40"/>
      <x:c r="I80" s="40"/>
      <x:c r="J80" s="42" t="str">
        <x:f>IF(COUNTA(B80:I80)=0,"",ROUND(AVERAGE(F80:I80),2))</x:f>
      </x:c>
      <x:c r="K80" s="42" t="str">
        <x:f>IF(J80="","",IF(J80&gt;=4,"Приоритетный",IF(J80&gt;=3,"Перспективный","Низкий приоритет")))</x:f>
      </x:c>
    </x:row>
    <x:row r="81">
      <x:c r="A81" s="37" t="n">
        <x:v>79</x:v>
      </x:c>
      <x:c r="B81" s="40"/>
      <x:c r="C81" s="40"/>
      <x:c r="D81" s="40"/>
      <x:c r="E81" s="40"/>
      <x:c r="F81" s="40"/>
      <x:c r="G81" s="40"/>
      <x:c r="H81" s="40"/>
      <x:c r="I81" s="40"/>
      <x:c r="J81" s="42" t="str">
        <x:f>IF(COUNTA(B81:I81)=0,"",ROUND(AVERAGE(F81:I81),2))</x:f>
      </x:c>
      <x:c r="K81" s="42" t="str">
        <x:f>IF(J81="","",IF(J81&gt;=4,"Приоритетный",IF(J81&gt;=3,"Перспективный","Низкий приоритет")))</x:f>
      </x:c>
    </x:row>
    <x:row r="82">
      <x:c r="A82" s="37" t="n">
        <x:v>80</x:v>
      </x:c>
      <x:c r="B82" s="40"/>
      <x:c r="C82" s="40"/>
      <x:c r="D82" s="40"/>
      <x:c r="E82" s="40"/>
      <x:c r="F82" s="40"/>
      <x:c r="G82" s="40"/>
      <x:c r="H82" s="40"/>
      <x:c r="I82" s="40"/>
      <x:c r="J82" s="42" t="str">
        <x:f>IF(COUNTA(B82:I82)=0,"",ROUND(AVERAGE(F82:I82),2))</x:f>
      </x:c>
      <x:c r="K82" s="42" t="str">
        <x:f>IF(J82="","",IF(J82&gt;=4,"Приоритетный",IF(J82&gt;=3,"Перспективный","Низкий приоритет")))</x:f>
      </x:c>
    </x:row>
    <x:row r="83">
      <x:c r="A83" s="37" t="n">
        <x:v>81</x:v>
      </x:c>
      <x:c r="B83" s="40"/>
      <x:c r="C83" s="40"/>
      <x:c r="D83" s="40"/>
      <x:c r="E83" s="40"/>
      <x:c r="F83" s="40"/>
      <x:c r="G83" s="40"/>
      <x:c r="H83" s="40"/>
      <x:c r="I83" s="40"/>
      <x:c r="J83" s="42" t="str">
        <x:f>IF(COUNTA(B83:I83)=0,"",ROUND(AVERAGE(F83:I83),2))</x:f>
      </x:c>
      <x:c r="K83" s="42" t="str">
        <x:f>IF(J83="","",IF(J83&gt;=4,"Приоритетный",IF(J83&gt;=3,"Перспективный","Низкий приоритет")))</x:f>
      </x:c>
    </x:row>
    <x:row r="84">
      <x:c r="A84" s="37" t="n">
        <x:v>82</x:v>
      </x:c>
      <x:c r="B84" s="40"/>
      <x:c r="C84" s="40"/>
      <x:c r="D84" s="40"/>
      <x:c r="E84" s="40"/>
      <x:c r="F84" s="40"/>
      <x:c r="G84" s="40"/>
      <x:c r="H84" s="40"/>
      <x:c r="I84" s="40"/>
      <x:c r="J84" s="42" t="str">
        <x:f>IF(COUNTA(B84:I84)=0,"",ROUND(AVERAGE(F84:I84),2))</x:f>
      </x:c>
      <x:c r="K84" s="42" t="str">
        <x:f>IF(J84="","",IF(J84&gt;=4,"Приоритетный",IF(J84&gt;=3,"Перспективный","Низкий приоритет")))</x:f>
      </x:c>
    </x:row>
    <x:row r="85">
      <x:c r="A85" s="37" t="n">
        <x:v>83</x:v>
      </x:c>
      <x:c r="B85" s="40"/>
      <x:c r="C85" s="40"/>
      <x:c r="D85" s="40"/>
      <x:c r="E85" s="40"/>
      <x:c r="F85" s="40"/>
      <x:c r="G85" s="40"/>
      <x:c r="H85" s="40"/>
      <x:c r="I85" s="40"/>
      <x:c r="J85" s="42" t="str">
        <x:f>IF(COUNTA(B85:I85)=0,"",ROUND(AVERAGE(F85:I85),2))</x:f>
      </x:c>
      <x:c r="K85" s="42" t="str">
        <x:f>IF(J85="","",IF(J85&gt;=4,"Приоритетный",IF(J85&gt;=3,"Перспективный","Низкий приоритет")))</x:f>
      </x:c>
    </x:row>
    <x:row r="86">
      <x:c r="A86" s="37" t="n">
        <x:v>84</x:v>
      </x:c>
      <x:c r="B86" s="40"/>
      <x:c r="C86" s="40"/>
      <x:c r="D86" s="40"/>
      <x:c r="E86" s="40"/>
      <x:c r="F86" s="40"/>
      <x:c r="G86" s="40"/>
      <x:c r="H86" s="40"/>
      <x:c r="I86" s="40"/>
      <x:c r="J86" s="42" t="str">
        <x:f>IF(COUNTA(B86:I86)=0,"",ROUND(AVERAGE(F86:I86),2))</x:f>
      </x:c>
      <x:c r="K86" s="42" t="str">
        <x:f>IF(J86="","",IF(J86&gt;=4,"Приоритетный",IF(J86&gt;=3,"Перспективный","Низкий приоритет")))</x:f>
      </x:c>
    </x:row>
    <x:row r="87">
      <x:c r="A87" s="37" t="n">
        <x:v>85</x:v>
      </x:c>
      <x:c r="B87" s="40"/>
      <x:c r="C87" s="40"/>
      <x:c r="D87" s="40"/>
      <x:c r="E87" s="40"/>
      <x:c r="F87" s="40"/>
      <x:c r="G87" s="40"/>
      <x:c r="H87" s="40"/>
      <x:c r="I87" s="40"/>
      <x:c r="J87" s="42" t="str">
        <x:f>IF(COUNTA(B87:I87)=0,"",ROUND(AVERAGE(F87:I87),2))</x:f>
      </x:c>
      <x:c r="K87" s="42" t="str">
        <x:f>IF(J87="","",IF(J87&gt;=4,"Приоритетный",IF(J87&gt;=3,"Перспективный","Низкий приоритет")))</x:f>
      </x:c>
    </x:row>
    <x:row r="88">
      <x:c r="A88" s="37" t="n">
        <x:v>86</x:v>
      </x:c>
      <x:c r="B88" s="40"/>
      <x:c r="C88" s="40"/>
      <x:c r="D88" s="40"/>
      <x:c r="E88" s="40"/>
      <x:c r="F88" s="40"/>
      <x:c r="G88" s="40"/>
      <x:c r="H88" s="40"/>
      <x:c r="I88" s="40"/>
      <x:c r="J88" s="42" t="str">
        <x:f>IF(COUNTA(B88:I88)=0,"",ROUND(AVERAGE(F88:I88),2))</x:f>
      </x:c>
      <x:c r="K88" s="42" t="str">
        <x:f>IF(J88="","",IF(J88&gt;=4,"Приоритетный",IF(J88&gt;=3,"Перспективный","Низкий приоритет")))</x:f>
      </x:c>
    </x:row>
    <x:row r="89">
      <x:c r="A89" s="37" t="n">
        <x:v>87</x:v>
      </x:c>
      <x:c r="B89" s="40"/>
      <x:c r="C89" s="40"/>
      <x:c r="D89" s="40"/>
      <x:c r="E89" s="40"/>
      <x:c r="F89" s="40"/>
      <x:c r="G89" s="40"/>
      <x:c r="H89" s="40"/>
      <x:c r="I89" s="40"/>
      <x:c r="J89" s="42" t="str">
        <x:f>IF(COUNTA(B89:I89)=0,"",ROUND(AVERAGE(F89:I89),2))</x:f>
      </x:c>
      <x:c r="K89" s="42" t="str">
        <x:f>IF(J89="","",IF(J89&gt;=4,"Приоритетный",IF(J89&gt;=3,"Перспективный","Низкий приоритет")))</x:f>
      </x:c>
    </x:row>
    <x:row r="90">
      <x:c r="A90" s="37" t="n">
        <x:v>88</x:v>
      </x:c>
      <x:c r="B90" s="40"/>
      <x:c r="C90" s="40"/>
      <x:c r="D90" s="40"/>
      <x:c r="E90" s="40"/>
      <x:c r="F90" s="40"/>
      <x:c r="G90" s="40"/>
      <x:c r="H90" s="40"/>
      <x:c r="I90" s="40"/>
      <x:c r="J90" s="42" t="str">
        <x:f>IF(COUNTA(B90:I90)=0,"",ROUND(AVERAGE(F90:I90),2))</x:f>
      </x:c>
      <x:c r="K90" s="42" t="str">
        <x:f>IF(J90="","",IF(J90&gt;=4,"Приоритетный",IF(J90&gt;=3,"Перспективный","Низкий приоритет")))</x:f>
      </x:c>
    </x:row>
    <x:row r="91">
      <x:c r="A91" s="37" t="n">
        <x:v>89</x:v>
      </x:c>
      <x:c r="B91" s="40"/>
      <x:c r="C91" s="40"/>
      <x:c r="D91" s="40"/>
      <x:c r="E91" s="40"/>
      <x:c r="F91" s="40"/>
      <x:c r="G91" s="40"/>
      <x:c r="H91" s="40"/>
      <x:c r="I91" s="40"/>
      <x:c r="J91" s="42" t="str">
        <x:f>IF(COUNTA(B91:I91)=0,"",ROUND(AVERAGE(F91:I91),2))</x:f>
      </x:c>
      <x:c r="K91" s="42" t="str">
        <x:f>IF(J91="","",IF(J91&gt;=4,"Приоритетный",IF(J91&gt;=3,"Перспективный","Низкий приоритет")))</x:f>
      </x:c>
    </x:row>
    <x:row r="92">
      <x:c r="A92" s="37" t="n">
        <x:v>90</x:v>
      </x:c>
      <x:c r="B92" s="40"/>
      <x:c r="C92" s="40"/>
      <x:c r="D92" s="40"/>
      <x:c r="E92" s="40"/>
      <x:c r="F92" s="40"/>
      <x:c r="G92" s="40"/>
      <x:c r="H92" s="40"/>
      <x:c r="I92" s="40"/>
      <x:c r="J92" s="42" t="str">
        <x:f>IF(COUNTA(B92:I92)=0,"",ROUND(AVERAGE(F92:I92),2))</x:f>
      </x:c>
      <x:c r="K92" s="42" t="str">
        <x:f>IF(J92="","",IF(J92&gt;=4,"Приоритетный",IF(J92&gt;=3,"Перспективный","Низкий приоритет")))</x:f>
      </x:c>
    </x:row>
    <x:row r="93">
      <x:c r="A93" s="37" t="n">
        <x:v>91</x:v>
      </x:c>
      <x:c r="B93" s="40"/>
      <x:c r="C93" s="40"/>
      <x:c r="D93" s="40"/>
      <x:c r="E93" s="40"/>
      <x:c r="F93" s="40"/>
      <x:c r="G93" s="40"/>
      <x:c r="H93" s="40"/>
      <x:c r="I93" s="40"/>
      <x:c r="J93" s="42" t="str">
        <x:f>IF(COUNTA(B93:I93)=0,"",ROUND(AVERAGE(F93:I93),2))</x:f>
      </x:c>
      <x:c r="K93" s="42" t="str">
        <x:f>IF(J93="","",IF(J93&gt;=4,"Приоритетный",IF(J93&gt;=3,"Перспективный","Низкий приоритет")))</x:f>
      </x:c>
    </x:row>
    <x:row r="94">
      <x:c r="A94" s="37" t="n">
        <x:v>92</x:v>
      </x:c>
      <x:c r="B94" s="40"/>
      <x:c r="C94" s="40"/>
      <x:c r="D94" s="40"/>
      <x:c r="E94" s="40"/>
      <x:c r="F94" s="40"/>
      <x:c r="G94" s="40"/>
      <x:c r="H94" s="40"/>
      <x:c r="I94" s="40"/>
      <x:c r="J94" s="42" t="str">
        <x:f>IF(COUNTA(B94:I94)=0,"",ROUND(AVERAGE(F94:I94),2))</x:f>
      </x:c>
      <x:c r="K94" s="42" t="str">
        <x:f>IF(J94="","",IF(J94&gt;=4,"Приоритетный",IF(J94&gt;=3,"Перспективный","Низкий приоритет")))</x:f>
      </x:c>
    </x:row>
    <x:row r="95">
      <x:c r="A95" s="37" t="n">
        <x:v>93</x:v>
      </x:c>
      <x:c r="B95" s="40"/>
      <x:c r="C95" s="40"/>
      <x:c r="D95" s="40"/>
      <x:c r="E95" s="40"/>
      <x:c r="F95" s="40"/>
      <x:c r="G95" s="40"/>
      <x:c r="H95" s="40"/>
      <x:c r="I95" s="40"/>
      <x:c r="J95" s="42" t="str">
        <x:f>IF(COUNTA(B95:I95)=0,"",ROUND(AVERAGE(F95:I95),2))</x:f>
      </x:c>
      <x:c r="K95" s="42" t="str">
        <x:f>IF(J95="","",IF(J95&gt;=4,"Приоритетный",IF(J95&gt;=3,"Перспективный","Низкий приоритет")))</x:f>
      </x:c>
    </x:row>
    <x:row r="96">
      <x:c r="A96" s="37" t="n">
        <x:v>94</x:v>
      </x:c>
      <x:c r="B96" s="40"/>
      <x:c r="C96" s="40"/>
      <x:c r="D96" s="40"/>
      <x:c r="E96" s="40"/>
      <x:c r="F96" s="40"/>
      <x:c r="G96" s="40"/>
      <x:c r="H96" s="40"/>
      <x:c r="I96" s="40"/>
      <x:c r="J96" s="42" t="str">
        <x:f>IF(COUNTA(B96:I96)=0,"",ROUND(AVERAGE(F96:I96),2))</x:f>
      </x:c>
      <x:c r="K96" s="42" t="str">
        <x:f>IF(J96="","",IF(J96&gt;=4,"Приоритетный",IF(J96&gt;=3,"Перспективный","Низкий приоритет")))</x:f>
      </x:c>
    </x:row>
    <x:row r="97">
      <x:c r="A97" s="37" t="n">
        <x:v>95</x:v>
      </x:c>
      <x:c r="B97" s="40"/>
      <x:c r="C97" s="40"/>
      <x:c r="D97" s="40"/>
      <x:c r="E97" s="40"/>
      <x:c r="F97" s="40"/>
      <x:c r="G97" s="40"/>
      <x:c r="H97" s="40"/>
      <x:c r="I97" s="40"/>
      <x:c r="J97" s="42" t="str">
        <x:f>IF(COUNTA(B97:I97)=0,"",ROUND(AVERAGE(F97:I97),2))</x:f>
      </x:c>
      <x:c r="K97" s="42" t="str">
        <x:f>IF(J97="","",IF(J97&gt;=4,"Приоритетный",IF(J97&gt;=3,"Перспективный","Низкий приоритет")))</x:f>
      </x:c>
    </x:row>
    <x:row r="98">
      <x:c r="A98" s="37" t="n">
        <x:v>96</x:v>
      </x:c>
      <x:c r="B98" s="40"/>
      <x:c r="C98" s="40"/>
      <x:c r="D98" s="40"/>
      <x:c r="E98" s="40"/>
      <x:c r="F98" s="40"/>
      <x:c r="G98" s="40"/>
      <x:c r="H98" s="40"/>
      <x:c r="I98" s="40"/>
      <x:c r="J98" s="42" t="str">
        <x:f>IF(COUNTA(B98:I98)=0,"",ROUND(AVERAGE(F98:I98),2))</x:f>
      </x:c>
      <x:c r="K98" s="42" t="str">
        <x:f>IF(J98="","",IF(J98&gt;=4,"Приоритетный",IF(J98&gt;=3,"Перспективный","Низкий приоритет")))</x:f>
      </x:c>
    </x:row>
    <x:row r="99">
      <x:c r="A99" s="37" t="n">
        <x:v>97</x:v>
      </x:c>
      <x:c r="B99" s="40"/>
      <x:c r="C99" s="40"/>
      <x:c r="D99" s="40"/>
      <x:c r="E99" s="40"/>
      <x:c r="F99" s="40"/>
      <x:c r="G99" s="40"/>
      <x:c r="H99" s="40"/>
      <x:c r="I99" s="40"/>
      <x:c r="J99" s="42" t="str">
        <x:f>IF(COUNTA(B99:I99)=0,"",ROUND(AVERAGE(F99:I99),2))</x:f>
      </x:c>
      <x:c r="K99" s="42" t="str">
        <x:f>IF(J99="","",IF(J99&gt;=4,"Приоритетный",IF(J99&gt;=3,"Перспективный","Низкий приоритет")))</x:f>
      </x:c>
    </x:row>
    <x:row r="100">
      <x:c r="A100" s="37" t="n">
        <x:v>98</x:v>
      </x:c>
      <x:c r="B100" s="40"/>
      <x:c r="C100" s="40"/>
      <x:c r="D100" s="40"/>
      <x:c r="E100" s="40"/>
      <x:c r="F100" s="40"/>
      <x:c r="G100" s="40"/>
      <x:c r="H100" s="40"/>
      <x:c r="I100" s="40"/>
      <x:c r="J100" s="42" t="str">
        <x:f>IF(COUNTA(B100:I100)=0,"",ROUND(AVERAGE(F100:I100),2))</x:f>
      </x:c>
      <x:c r="K100" s="42" t="str">
        <x:f>IF(J100="","",IF(J100&gt;=4,"Приоритетный",IF(J100&gt;=3,"Перспективный","Низкий приоритет")))</x:f>
      </x:c>
    </x:row>
    <x:row r="101">
      <x:c r="A101" s="37" t="n">
        <x:v>99</x:v>
      </x:c>
      <x:c r="B101" s="40"/>
      <x:c r="C101" s="40"/>
      <x:c r="D101" s="40"/>
      <x:c r="E101" s="40"/>
      <x:c r="F101" s="40"/>
      <x:c r="G101" s="40"/>
      <x:c r="H101" s="40"/>
      <x:c r="I101" s="40"/>
      <x:c r="J101" s="42" t="str">
        <x:f>IF(COUNTA(B101:I101)=0,"",ROUND(AVERAGE(F101:I101),2))</x:f>
      </x:c>
      <x:c r="K101" s="42" t="str">
        <x:f>IF(J101="","",IF(J101&gt;=4,"Приоритетный",IF(J101&gt;=3,"Перспективный","Низкий приоритет")))</x:f>
      </x:c>
    </x:row>
    <x:row r="102">
      <x:c r="A102" s="37" t="n">
        <x:v>100</x:v>
      </x:c>
      <x:c r="B102" s="40"/>
      <x:c r="C102" s="40"/>
      <x:c r="D102" s="40"/>
      <x:c r="E102" s="40"/>
      <x:c r="F102" s="40"/>
      <x:c r="G102" s="40"/>
      <x:c r="H102" s="40"/>
      <x:c r="I102" s="40"/>
      <x:c r="J102" s="42" t="str">
        <x:f>IF(COUNTA(B102:I102)=0,"",ROUND(AVERAGE(F102:I102),2))</x:f>
      </x:c>
      <x:c r="K102" s="42" t="str">
        <x:f>IF(J102="","",IF(J102&gt;=4,"Приоритетный",IF(J102&gt;=3,"Перспективный","Низкий приоритет")))</x:f>
      </x:c>
    </x:row>
  </x:sheetData>
  <x:mergeCells>
    <x:mergeCell ref="A1:K1"/>
  </x:mergeCells>
  <x:conditionalFormatting sqref="J3:J102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1">
    <x:dataValidation type="list" sqref="F3:I102">
      <x:formula1>'12_Справочники'!$C$3:$C$7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706d1a7e46436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24" hidden="0" customWidth="1"/>
    <x:col min="9" max="9" width="28" hidden="0" customWidth="1"/>
    <x:col min="10" max="10" width="28" hidden="0" customWidth="1"/>
    <x:col min="11" max="11" width="28" hidden="0" customWidth="1"/>
    <x:col min="12" max="12" width="22" hidden="0" customWidth="1"/>
    <x:col min="13" max="13" width="16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</x:cols>
  <x:sheetData>
    <x:row r="1" ht="32" customHeight="1">
      <x:c r="A1" s="6" t="str">
        <x:v>Ценностное предложение и цифровой товар как носитель ценности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 ht="32" customHeight="1">
      <x:c r="A2" s="36" t="str">
        <x:v>ID</x:v>
      </x:c>
      <x:c r="B2" s="36" t="str">
        <x:v>ID проблемы / сегмента</x:v>
      </x:c>
      <x:c r="C2" s="36" t="str">
        <x:v>Формулировка проблемы</x:v>
      </x:c>
      <x:c r="D2" s="36" t="str">
        <x:v>Текущая альтернатива клиента</x:v>
      </x:c>
      <x:c r="E2" s="36" t="str">
        <x:v>Желаемый результат</x:v>
      </x:c>
      <x:c r="F2" s="36" t="str">
        <x:v>Формулировка ценностного предложения</x:v>
      </x:c>
      <x:c r="G2" s="36" t="str">
        <x:v>Цифровой товар</x:v>
      </x:c>
      <x:c r="H2" s="36" t="str">
        <x:v>Тип цифрового товара</x:v>
      </x:c>
      <x:c r="I2" s="36" t="str">
        <x:v>Ядро товара</x:v>
      </x:c>
      <x:c r="J2" s="36" t="str">
        <x:v>Реальный товар</x:v>
      </x:c>
      <x:c r="K2" s="36" t="str">
        <x:v>Расширенный товар</x:v>
      </x:c>
      <x:c r="L2" s="36" t="str">
        <x:v>Класс требования по Кано</x:v>
      </x:c>
      <x:c r="M2" s="36" t="str">
        <x:v>Дифференциация 1-5</x:v>
      </x:c>
      <x:c r="N2" s="36" t="str">
        <x:v>Доказательность 1-5</x:v>
      </x:c>
      <x:c r="O2" s="36" t="str">
        <x:v>Связь с монетизацией 1-5</x:v>
      </x:c>
      <x:c r="P2" s="36" t="str">
        <x:v>Индекс готовности</x:v>
      </x:c>
      <x:c r="Q2" s="36" t="str">
        <x:v>Статус</x:v>
      </x:c>
    </x:row>
    <x:row r="3">
      <x:c r="A3" s="37" t="n">
        <x:v>1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2" t="str">
        <x:f>IF(COUNTA(B3:O3)=0,"",ROUND(AVERAGE(M3:O3),2))</x:f>
      </x:c>
      <x:c r="Q3" s="42" t="str">
        <x:f>IF(P3="","",IF(P3&gt;=4,"Готово",IF(P3&gt;=3,"Проверить","Доработать")))</x:f>
      </x:c>
    </x:row>
    <x:row r="4">
      <x:c r="A4" s="37" t="n">
        <x:v>2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2" t="str">
        <x:f>IF(COUNTA(B4:O4)=0,"",ROUND(AVERAGE(M4:O4),2))</x:f>
      </x:c>
      <x:c r="Q4" s="42" t="str">
        <x:f>IF(P4="","",IF(P4&gt;=4,"Готово",IF(P4&gt;=3,"Проверить","Доработать")))</x:f>
      </x:c>
    </x:row>
    <x:row r="5">
      <x:c r="A5" s="37" t="n">
        <x:v>3</x:v>
      </x:c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2" t="str">
        <x:f>IF(COUNTA(B5:O5)=0,"",ROUND(AVERAGE(M5:O5),2))</x:f>
      </x:c>
      <x:c r="Q5" s="42" t="str">
        <x:f>IF(P5="","",IF(P5&gt;=4,"Готово",IF(P5&gt;=3,"Проверить","Доработать")))</x:f>
      </x:c>
    </x:row>
    <x:row r="6">
      <x:c r="A6" s="37" t="n">
        <x:v>4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2" t="str">
        <x:f>IF(COUNTA(B6:O6)=0,"",ROUND(AVERAGE(M6:O6),2))</x:f>
      </x:c>
      <x:c r="Q6" s="42" t="str">
        <x:f>IF(P6="","",IF(P6&gt;=4,"Готово",IF(P6&gt;=3,"Проверить","Доработать")))</x:f>
      </x:c>
    </x:row>
    <x:row r="7">
      <x:c r="A7" s="37" t="n">
        <x:v>5</x:v>
      </x:c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2" t="str">
        <x:f>IF(COUNTA(B7:O7)=0,"",ROUND(AVERAGE(M7:O7),2))</x:f>
      </x:c>
      <x:c r="Q7" s="42" t="str">
        <x:f>IF(P7="","",IF(P7&gt;=4,"Готово",IF(P7&gt;=3,"Проверить","Доработать")))</x:f>
      </x:c>
    </x:row>
    <x:row r="8">
      <x:c r="A8" s="37" t="n">
        <x:v>6</x:v>
      </x:c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2" t="str">
        <x:f>IF(COUNTA(B8:O8)=0,"",ROUND(AVERAGE(M8:O8),2))</x:f>
      </x:c>
      <x:c r="Q8" s="42" t="str">
        <x:f>IF(P8="","",IF(P8&gt;=4,"Готово",IF(P8&gt;=3,"Проверить","Доработать")))</x:f>
      </x:c>
    </x:row>
    <x:row r="9">
      <x:c r="A9" s="37" t="n">
        <x:v>7</x:v>
      </x:c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2" t="str">
        <x:f>IF(COUNTA(B9:O9)=0,"",ROUND(AVERAGE(M9:O9),2))</x:f>
      </x:c>
      <x:c r="Q9" s="42" t="str">
        <x:f>IF(P9="","",IF(P9&gt;=4,"Готово",IF(P9&gt;=3,"Проверить","Доработать")))</x:f>
      </x:c>
    </x:row>
    <x:row r="10">
      <x:c r="A10" s="37" t="n">
        <x:v>8</x:v>
      </x:c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2" t="str">
        <x:f>IF(COUNTA(B10:O10)=0,"",ROUND(AVERAGE(M10:O10),2))</x:f>
      </x:c>
      <x:c r="Q10" s="42" t="str">
        <x:f>IF(P10="","",IF(P10&gt;=4,"Готово",IF(P10&gt;=3,"Проверить","Доработать")))</x:f>
      </x:c>
    </x:row>
    <x:row r="11">
      <x:c r="A11" s="37" t="n">
        <x:v>9</x:v>
      </x:c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2" t="str">
        <x:f>IF(COUNTA(B11:O11)=0,"",ROUND(AVERAGE(M11:O11),2))</x:f>
      </x:c>
      <x:c r="Q11" s="42" t="str">
        <x:f>IF(P11="","",IF(P11&gt;=4,"Готово",IF(P11&gt;=3,"Проверить","Доработать")))</x:f>
      </x:c>
    </x:row>
    <x:row r="12">
      <x:c r="A12" s="37" t="n">
        <x:v>10</x:v>
      </x:c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2" t="str">
        <x:f>IF(COUNTA(B12:O12)=0,"",ROUND(AVERAGE(M12:O12),2))</x:f>
      </x:c>
      <x:c r="Q12" s="42" t="str">
        <x:f>IF(P12="","",IF(P12&gt;=4,"Готово",IF(P12&gt;=3,"Проверить","Доработать")))</x:f>
      </x:c>
    </x:row>
    <x:row r="13">
      <x:c r="A13" s="37" t="n">
        <x:v>11</x:v>
      </x:c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2" t="str">
        <x:f>IF(COUNTA(B13:O13)=0,"",ROUND(AVERAGE(M13:O13),2))</x:f>
      </x:c>
      <x:c r="Q13" s="42" t="str">
        <x:f>IF(P13="","",IF(P13&gt;=4,"Готово",IF(P13&gt;=3,"Проверить","Доработать")))</x:f>
      </x:c>
    </x:row>
    <x:row r="14">
      <x:c r="A14" s="37" t="n">
        <x:v>12</x:v>
      </x:c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2" t="str">
        <x:f>IF(COUNTA(B14:O14)=0,"",ROUND(AVERAGE(M14:O14),2))</x:f>
      </x:c>
      <x:c r="Q14" s="42" t="str">
        <x:f>IF(P14="","",IF(P14&gt;=4,"Готово",IF(P14&gt;=3,"Проверить","Доработать")))</x:f>
      </x:c>
    </x:row>
    <x:row r="15">
      <x:c r="A15" s="37" t="n">
        <x:v>13</x:v>
      </x:c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2" t="str">
        <x:f>IF(COUNTA(B15:O15)=0,"",ROUND(AVERAGE(M15:O15),2))</x:f>
      </x:c>
      <x:c r="Q15" s="42" t="str">
        <x:f>IF(P15="","",IF(P15&gt;=4,"Готово",IF(P15&gt;=3,"Проверить","Доработать")))</x:f>
      </x:c>
    </x:row>
    <x:row r="16">
      <x:c r="A16" s="37" t="n">
        <x:v>14</x:v>
      </x:c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2" t="str">
        <x:f>IF(COUNTA(B16:O16)=0,"",ROUND(AVERAGE(M16:O16),2))</x:f>
      </x:c>
      <x:c r="Q16" s="42" t="str">
        <x:f>IF(P16="","",IF(P16&gt;=4,"Готово",IF(P16&gt;=3,"Проверить","Доработать")))</x:f>
      </x:c>
    </x:row>
    <x:row r="17">
      <x:c r="A17" s="37" t="n">
        <x:v>15</x:v>
      </x:c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2" t="str">
        <x:f>IF(COUNTA(B17:O17)=0,"",ROUND(AVERAGE(M17:O17),2))</x:f>
      </x:c>
      <x:c r="Q17" s="42" t="str">
        <x:f>IF(P17="","",IF(P17&gt;=4,"Готово",IF(P17&gt;=3,"Проверить","Доработать")))</x:f>
      </x:c>
    </x:row>
    <x:row r="18">
      <x:c r="A18" s="37" t="n">
        <x:v>16</x:v>
      </x:c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2" t="str">
        <x:f>IF(COUNTA(B18:O18)=0,"",ROUND(AVERAGE(M18:O18),2))</x:f>
      </x:c>
      <x:c r="Q18" s="42" t="str">
        <x:f>IF(P18="","",IF(P18&gt;=4,"Готово",IF(P18&gt;=3,"Проверить","Доработать")))</x:f>
      </x:c>
    </x:row>
    <x:row r="19">
      <x:c r="A19" s="37" t="n">
        <x:v>17</x:v>
      </x:c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2" t="str">
        <x:f>IF(COUNTA(B19:O19)=0,"",ROUND(AVERAGE(M19:O19),2))</x:f>
      </x:c>
      <x:c r="Q19" s="42" t="str">
        <x:f>IF(P19="","",IF(P19&gt;=4,"Готово",IF(P19&gt;=3,"Проверить","Доработать")))</x:f>
      </x:c>
    </x:row>
    <x:row r="20">
      <x:c r="A20" s="37" t="n">
        <x:v>18</x:v>
      </x:c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2" t="str">
        <x:f>IF(COUNTA(B20:O20)=0,"",ROUND(AVERAGE(M20:O20),2))</x:f>
      </x:c>
      <x:c r="Q20" s="42" t="str">
        <x:f>IF(P20="","",IF(P20&gt;=4,"Готово",IF(P20&gt;=3,"Проверить","Доработать")))</x:f>
      </x:c>
    </x:row>
    <x:row r="21">
      <x:c r="A21" s="37" t="n">
        <x:v>19</x:v>
      </x:c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2" t="str">
        <x:f>IF(COUNTA(B21:O21)=0,"",ROUND(AVERAGE(M21:O21),2))</x:f>
      </x:c>
      <x:c r="Q21" s="42" t="str">
        <x:f>IF(P21="","",IF(P21&gt;=4,"Готово",IF(P21&gt;=3,"Проверить","Доработать")))</x:f>
      </x:c>
    </x:row>
    <x:row r="22">
      <x:c r="A22" s="37" t="n">
        <x:v>20</x:v>
      </x:c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2" t="str">
        <x:f>IF(COUNTA(B22:O22)=0,"",ROUND(AVERAGE(M22:O22),2))</x:f>
      </x:c>
      <x:c r="Q22" s="42" t="str">
        <x:f>IF(P22="","",IF(P22&gt;=4,"Готово",IF(P22&gt;=3,"Проверить","Доработать")))</x:f>
      </x:c>
    </x:row>
    <x:row r="23">
      <x:c r="A23" s="37" t="n">
        <x:v>21</x:v>
      </x:c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2" t="str">
        <x:f>IF(COUNTA(B23:O23)=0,"",ROUND(AVERAGE(M23:O23),2))</x:f>
      </x:c>
      <x:c r="Q23" s="42" t="str">
        <x:f>IF(P23="","",IF(P23&gt;=4,"Готово",IF(P23&gt;=3,"Проверить","Доработать")))</x:f>
      </x:c>
    </x:row>
    <x:row r="24">
      <x:c r="A24" s="37" t="n">
        <x:v>22</x:v>
      </x:c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2" t="str">
        <x:f>IF(COUNTA(B24:O24)=0,"",ROUND(AVERAGE(M24:O24),2))</x:f>
      </x:c>
      <x:c r="Q24" s="42" t="str">
        <x:f>IF(P24="","",IF(P24&gt;=4,"Готово",IF(P24&gt;=3,"Проверить","Доработать")))</x:f>
      </x:c>
    </x:row>
    <x:row r="25">
      <x:c r="A25" s="37" t="n">
        <x:v>23</x:v>
      </x:c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2" t="str">
        <x:f>IF(COUNTA(B25:O25)=0,"",ROUND(AVERAGE(M25:O25),2))</x:f>
      </x:c>
      <x:c r="Q25" s="42" t="str">
        <x:f>IF(P25="","",IF(P25&gt;=4,"Готово",IF(P25&gt;=3,"Проверить","Доработать")))</x:f>
      </x:c>
    </x:row>
    <x:row r="26">
      <x:c r="A26" s="37" t="n">
        <x:v>24</x:v>
      </x:c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2" t="str">
        <x:f>IF(COUNTA(B26:O26)=0,"",ROUND(AVERAGE(M26:O26),2))</x:f>
      </x:c>
      <x:c r="Q26" s="42" t="str">
        <x:f>IF(P26="","",IF(P26&gt;=4,"Готово",IF(P26&gt;=3,"Проверить","Доработать")))</x:f>
      </x:c>
    </x:row>
    <x:row r="27">
      <x:c r="A27" s="37" t="n">
        <x:v>25</x:v>
      </x:c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2" t="str">
        <x:f>IF(COUNTA(B27:O27)=0,"",ROUND(AVERAGE(M27:O27),2))</x:f>
      </x:c>
      <x:c r="Q27" s="42" t="str">
        <x:f>IF(P27="","",IF(P27&gt;=4,"Готово",IF(P27&gt;=3,"Проверить","Доработать")))</x:f>
      </x:c>
    </x:row>
    <x:row r="28">
      <x:c r="A28" s="37" t="n">
        <x:v>26</x:v>
      </x:c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2" t="str">
        <x:f>IF(COUNTA(B28:O28)=0,"",ROUND(AVERAGE(M28:O28),2))</x:f>
      </x:c>
      <x:c r="Q28" s="42" t="str">
        <x:f>IF(P28="","",IF(P28&gt;=4,"Готово",IF(P28&gt;=3,"Проверить","Доработать")))</x:f>
      </x:c>
    </x:row>
    <x:row r="29">
      <x:c r="A29" s="37" t="n">
        <x:v>27</x:v>
      </x:c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2" t="str">
        <x:f>IF(COUNTA(B29:O29)=0,"",ROUND(AVERAGE(M29:O29),2))</x:f>
      </x:c>
      <x:c r="Q29" s="42" t="str">
        <x:f>IF(P29="","",IF(P29&gt;=4,"Готово",IF(P29&gt;=3,"Проверить","Доработать")))</x:f>
      </x:c>
    </x:row>
    <x:row r="30">
      <x:c r="A30" s="37" t="n">
        <x:v>28</x:v>
      </x:c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2" t="str">
        <x:f>IF(COUNTA(B30:O30)=0,"",ROUND(AVERAGE(M30:O30),2))</x:f>
      </x:c>
      <x:c r="Q30" s="42" t="str">
        <x:f>IF(P30="","",IF(P30&gt;=4,"Готово",IF(P30&gt;=3,"Проверить","Доработать")))</x:f>
      </x:c>
    </x:row>
    <x:row r="31">
      <x:c r="A31" s="37" t="n">
        <x:v>29</x:v>
      </x:c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2" t="str">
        <x:f>IF(COUNTA(B31:O31)=0,"",ROUND(AVERAGE(M31:O31),2))</x:f>
      </x:c>
      <x:c r="Q31" s="42" t="str">
        <x:f>IF(P31="","",IF(P31&gt;=4,"Готово",IF(P31&gt;=3,"Проверить","Доработать")))</x:f>
      </x:c>
    </x:row>
    <x:row r="32">
      <x:c r="A32" s="37" t="n">
        <x:v>30</x:v>
      </x:c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2" t="str">
        <x:f>IF(COUNTA(B32:O32)=0,"",ROUND(AVERAGE(M32:O32),2))</x:f>
      </x:c>
      <x:c r="Q32" s="42" t="str">
        <x:f>IF(P32="","",IF(P32&gt;=4,"Готово",IF(P32&gt;=3,"Проверить","Доработать")))</x:f>
      </x:c>
    </x:row>
    <x:row r="33">
      <x:c r="A33" s="37" t="n">
        <x:v>31</x:v>
      </x:c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2" t="str">
        <x:f>IF(COUNTA(B33:O33)=0,"",ROUND(AVERAGE(M33:O33),2))</x:f>
      </x:c>
      <x:c r="Q33" s="42" t="str">
        <x:f>IF(P33="","",IF(P33&gt;=4,"Готово",IF(P33&gt;=3,"Проверить","Доработать")))</x:f>
      </x:c>
    </x:row>
    <x:row r="34">
      <x:c r="A34" s="37" t="n">
        <x:v>32</x:v>
      </x:c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2" t="str">
        <x:f>IF(COUNTA(B34:O34)=0,"",ROUND(AVERAGE(M34:O34),2))</x:f>
      </x:c>
      <x:c r="Q34" s="42" t="str">
        <x:f>IF(P34="","",IF(P34&gt;=4,"Готово",IF(P34&gt;=3,"Проверить","Доработать")))</x:f>
      </x:c>
    </x:row>
    <x:row r="35">
      <x:c r="A35" s="37" t="n">
        <x:v>33</x:v>
      </x:c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2" t="str">
        <x:f>IF(COUNTA(B35:O35)=0,"",ROUND(AVERAGE(M35:O35),2))</x:f>
      </x:c>
      <x:c r="Q35" s="42" t="str">
        <x:f>IF(P35="","",IF(P35&gt;=4,"Готово",IF(P35&gt;=3,"Проверить","Доработать")))</x:f>
      </x:c>
    </x:row>
    <x:row r="36">
      <x:c r="A36" s="37" t="n">
        <x:v>34</x:v>
      </x:c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2" t="str">
        <x:f>IF(COUNTA(B36:O36)=0,"",ROUND(AVERAGE(M36:O36),2))</x:f>
      </x:c>
      <x:c r="Q36" s="42" t="str">
        <x:f>IF(P36="","",IF(P36&gt;=4,"Готово",IF(P36&gt;=3,"Проверить","Доработать")))</x:f>
      </x:c>
    </x:row>
    <x:row r="37">
      <x:c r="A37" s="37" t="n">
        <x:v>35</x:v>
      </x:c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2" t="str">
        <x:f>IF(COUNTA(B37:O37)=0,"",ROUND(AVERAGE(M37:O37),2))</x:f>
      </x:c>
      <x:c r="Q37" s="42" t="str">
        <x:f>IF(P37="","",IF(P37&gt;=4,"Готово",IF(P37&gt;=3,"Проверить","Доработать")))</x:f>
      </x:c>
    </x:row>
    <x:row r="38">
      <x:c r="A38" s="37" t="n">
        <x:v>36</x:v>
      </x:c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2" t="str">
        <x:f>IF(COUNTA(B38:O38)=0,"",ROUND(AVERAGE(M38:O38),2))</x:f>
      </x:c>
      <x:c r="Q38" s="42" t="str">
        <x:f>IF(P38="","",IF(P38&gt;=4,"Готово",IF(P38&gt;=3,"Проверить","Доработать")))</x:f>
      </x:c>
    </x:row>
    <x:row r="39">
      <x:c r="A39" s="37" t="n">
        <x:v>37</x:v>
      </x:c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2" t="str">
        <x:f>IF(COUNTA(B39:O39)=0,"",ROUND(AVERAGE(M39:O39),2))</x:f>
      </x:c>
      <x:c r="Q39" s="42" t="str">
        <x:f>IF(P39="","",IF(P39&gt;=4,"Готово",IF(P39&gt;=3,"Проверить","Доработать")))</x:f>
      </x:c>
    </x:row>
    <x:row r="40">
      <x:c r="A40" s="37" t="n">
        <x:v>38</x:v>
      </x:c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2" t="str">
        <x:f>IF(COUNTA(B40:O40)=0,"",ROUND(AVERAGE(M40:O40),2))</x:f>
      </x:c>
      <x:c r="Q40" s="42" t="str">
        <x:f>IF(P40="","",IF(P40&gt;=4,"Готово",IF(P40&gt;=3,"Проверить","Доработать")))</x:f>
      </x:c>
    </x:row>
    <x:row r="41">
      <x:c r="A41" s="37" t="n">
        <x:v>39</x:v>
      </x:c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2" t="str">
        <x:f>IF(COUNTA(B41:O41)=0,"",ROUND(AVERAGE(M41:O41),2))</x:f>
      </x:c>
      <x:c r="Q41" s="42" t="str">
        <x:f>IF(P41="","",IF(P41&gt;=4,"Готово",IF(P41&gt;=3,"Проверить","Доработать")))</x:f>
      </x:c>
    </x:row>
    <x:row r="42">
      <x:c r="A42" s="37" t="n">
        <x:v>40</x:v>
      </x:c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2" t="str">
        <x:f>IF(COUNTA(B42:O42)=0,"",ROUND(AVERAGE(M42:O42),2))</x:f>
      </x:c>
      <x:c r="Q42" s="42" t="str">
        <x:f>IF(P42="","",IF(P42&gt;=4,"Готово",IF(P42&gt;=3,"Проверить","Доработать")))</x:f>
      </x:c>
    </x:row>
    <x:row r="43">
      <x:c r="A43" s="37" t="n">
        <x:v>41</x:v>
      </x:c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2" t="str">
        <x:f>IF(COUNTA(B43:O43)=0,"",ROUND(AVERAGE(M43:O43),2))</x:f>
      </x:c>
      <x:c r="Q43" s="42" t="str">
        <x:f>IF(P43="","",IF(P43&gt;=4,"Готово",IF(P43&gt;=3,"Проверить","Доработать")))</x:f>
      </x:c>
    </x:row>
    <x:row r="44">
      <x:c r="A44" s="37" t="n">
        <x:v>42</x:v>
      </x:c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2" t="str">
        <x:f>IF(COUNTA(B44:O44)=0,"",ROUND(AVERAGE(M44:O44),2))</x:f>
      </x:c>
      <x:c r="Q44" s="42" t="str">
        <x:f>IF(P44="","",IF(P44&gt;=4,"Готово",IF(P44&gt;=3,"Проверить","Доработать")))</x:f>
      </x:c>
    </x:row>
    <x:row r="45">
      <x:c r="A45" s="37" t="n">
        <x:v>43</x:v>
      </x:c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2" t="str">
        <x:f>IF(COUNTA(B45:O45)=0,"",ROUND(AVERAGE(M45:O45),2))</x:f>
      </x:c>
      <x:c r="Q45" s="42" t="str">
        <x:f>IF(P45="","",IF(P45&gt;=4,"Готово",IF(P45&gt;=3,"Проверить","Доработать")))</x:f>
      </x:c>
    </x:row>
    <x:row r="46">
      <x:c r="A46" s="37" t="n">
        <x:v>44</x:v>
      </x:c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2" t="str">
        <x:f>IF(COUNTA(B46:O46)=0,"",ROUND(AVERAGE(M46:O46),2))</x:f>
      </x:c>
      <x:c r="Q46" s="42" t="str">
        <x:f>IF(P46="","",IF(P46&gt;=4,"Готово",IF(P46&gt;=3,"Проверить","Доработать")))</x:f>
      </x:c>
    </x:row>
    <x:row r="47">
      <x:c r="A47" s="37" t="n">
        <x:v>45</x:v>
      </x:c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2" t="str">
        <x:f>IF(COUNTA(B47:O47)=0,"",ROUND(AVERAGE(M47:O47),2))</x:f>
      </x:c>
      <x:c r="Q47" s="42" t="str">
        <x:f>IF(P47="","",IF(P47&gt;=4,"Готово",IF(P47&gt;=3,"Проверить","Доработать")))</x:f>
      </x:c>
    </x:row>
    <x:row r="48">
      <x:c r="A48" s="37" t="n">
        <x:v>46</x:v>
      </x:c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2" t="str">
        <x:f>IF(COUNTA(B48:O48)=0,"",ROUND(AVERAGE(M48:O48),2))</x:f>
      </x:c>
      <x:c r="Q48" s="42" t="str">
        <x:f>IF(P48="","",IF(P48&gt;=4,"Готово",IF(P48&gt;=3,"Проверить","Доработать")))</x:f>
      </x:c>
    </x:row>
    <x:row r="49">
      <x:c r="A49" s="37" t="n">
        <x:v>47</x:v>
      </x:c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2" t="str">
        <x:f>IF(COUNTA(B49:O49)=0,"",ROUND(AVERAGE(M49:O49),2))</x:f>
      </x:c>
      <x:c r="Q49" s="42" t="str">
        <x:f>IF(P49="","",IF(P49&gt;=4,"Готово",IF(P49&gt;=3,"Проверить","Доработать")))</x:f>
      </x:c>
    </x:row>
    <x:row r="50">
      <x:c r="A50" s="37" t="n">
        <x:v>48</x:v>
      </x:c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2" t="str">
        <x:f>IF(COUNTA(B50:O50)=0,"",ROUND(AVERAGE(M50:O50),2))</x:f>
      </x:c>
      <x:c r="Q50" s="42" t="str">
        <x:f>IF(P50="","",IF(P50&gt;=4,"Готово",IF(P50&gt;=3,"Проверить","Доработать")))</x:f>
      </x:c>
    </x:row>
    <x:row r="51">
      <x:c r="A51" s="37" t="n">
        <x:v>49</x:v>
      </x:c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2" t="str">
        <x:f>IF(COUNTA(B51:O51)=0,"",ROUND(AVERAGE(M51:O51),2))</x:f>
      </x:c>
      <x:c r="Q51" s="42" t="str">
        <x:f>IF(P51="","",IF(P51&gt;=4,"Готово",IF(P51&gt;=3,"Проверить","Доработать")))</x:f>
      </x:c>
    </x:row>
    <x:row r="52">
      <x:c r="A52" s="37" t="n">
        <x:v>50</x:v>
      </x:c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2" t="str">
        <x:f>IF(COUNTA(B52:O52)=0,"",ROUND(AVERAGE(M52:O52),2))</x:f>
      </x:c>
      <x:c r="Q52" s="42" t="str">
        <x:f>IF(P52="","",IF(P52&gt;=4,"Готово",IF(P52&gt;=3,"Проверить","Доработать")))</x:f>
      </x:c>
    </x:row>
    <x:row r="53">
      <x:c r="A53" s="37" t="n">
        <x:v>51</x:v>
      </x:c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2" t="str">
        <x:f>IF(COUNTA(B53:O53)=0,"",ROUND(AVERAGE(M53:O53),2))</x:f>
      </x:c>
      <x:c r="Q53" s="42" t="str">
        <x:f>IF(P53="","",IF(P53&gt;=4,"Готово",IF(P53&gt;=3,"Проверить","Доработать")))</x:f>
      </x:c>
    </x:row>
    <x:row r="54">
      <x:c r="A54" s="37" t="n">
        <x:v>52</x:v>
      </x:c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2" t="str">
        <x:f>IF(COUNTA(B54:O54)=0,"",ROUND(AVERAGE(M54:O54),2))</x:f>
      </x:c>
      <x:c r="Q54" s="42" t="str">
        <x:f>IF(P54="","",IF(P54&gt;=4,"Готово",IF(P54&gt;=3,"Проверить","Доработать")))</x:f>
      </x:c>
    </x:row>
    <x:row r="55">
      <x:c r="A55" s="37" t="n">
        <x:v>53</x:v>
      </x:c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2" t="str">
        <x:f>IF(COUNTA(B55:O55)=0,"",ROUND(AVERAGE(M55:O55),2))</x:f>
      </x:c>
      <x:c r="Q55" s="42" t="str">
        <x:f>IF(P55="","",IF(P55&gt;=4,"Готово",IF(P55&gt;=3,"Проверить","Доработать")))</x:f>
      </x:c>
    </x:row>
    <x:row r="56">
      <x:c r="A56" s="37" t="n">
        <x:v>54</x:v>
      </x:c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2" t="str">
        <x:f>IF(COUNTA(B56:O56)=0,"",ROUND(AVERAGE(M56:O56),2))</x:f>
      </x:c>
      <x:c r="Q56" s="42" t="str">
        <x:f>IF(P56="","",IF(P56&gt;=4,"Готово",IF(P56&gt;=3,"Проверить","Доработать")))</x:f>
      </x:c>
    </x:row>
    <x:row r="57">
      <x:c r="A57" s="37" t="n">
        <x:v>55</x:v>
      </x:c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2" t="str">
        <x:f>IF(COUNTA(B57:O57)=0,"",ROUND(AVERAGE(M57:O57),2))</x:f>
      </x:c>
      <x:c r="Q57" s="42" t="str">
        <x:f>IF(P57="","",IF(P57&gt;=4,"Готово",IF(P57&gt;=3,"Проверить","Доработать")))</x:f>
      </x:c>
    </x:row>
    <x:row r="58">
      <x:c r="A58" s="37" t="n">
        <x:v>56</x:v>
      </x:c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2" t="str">
        <x:f>IF(COUNTA(B58:O58)=0,"",ROUND(AVERAGE(M58:O58),2))</x:f>
      </x:c>
      <x:c r="Q58" s="42" t="str">
        <x:f>IF(P58="","",IF(P58&gt;=4,"Готово",IF(P58&gt;=3,"Проверить","Доработать")))</x:f>
      </x:c>
    </x:row>
    <x:row r="59">
      <x:c r="A59" s="37" t="n">
        <x:v>57</x:v>
      </x:c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2" t="str">
        <x:f>IF(COUNTA(B59:O59)=0,"",ROUND(AVERAGE(M59:O59),2))</x:f>
      </x:c>
      <x:c r="Q59" s="42" t="str">
        <x:f>IF(P59="","",IF(P59&gt;=4,"Готово",IF(P59&gt;=3,"Проверить","Доработать")))</x:f>
      </x:c>
    </x:row>
    <x:row r="60">
      <x:c r="A60" s="37" t="n">
        <x:v>58</x:v>
      </x:c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2" t="str">
        <x:f>IF(COUNTA(B60:O60)=0,"",ROUND(AVERAGE(M60:O60),2))</x:f>
      </x:c>
      <x:c r="Q60" s="42" t="str">
        <x:f>IF(P60="","",IF(P60&gt;=4,"Готово",IF(P60&gt;=3,"Проверить","Доработать")))</x:f>
      </x:c>
    </x:row>
    <x:row r="61">
      <x:c r="A61" s="37" t="n">
        <x:v>59</x:v>
      </x:c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2" t="str">
        <x:f>IF(COUNTA(B61:O61)=0,"",ROUND(AVERAGE(M61:O61),2))</x:f>
      </x:c>
      <x:c r="Q61" s="42" t="str">
        <x:f>IF(P61="","",IF(P61&gt;=4,"Готово",IF(P61&gt;=3,"Проверить","Доработать")))</x:f>
      </x:c>
    </x:row>
    <x:row r="62">
      <x:c r="A62" s="37" t="n">
        <x:v>60</x:v>
      </x:c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2" t="str">
        <x:f>IF(COUNTA(B62:O62)=0,"",ROUND(AVERAGE(M62:O62),2))</x:f>
      </x:c>
      <x:c r="Q62" s="42" t="str">
        <x:f>IF(P62="","",IF(P62&gt;=4,"Готово",IF(P62&gt;=3,"Проверить","Доработать")))</x:f>
      </x:c>
    </x:row>
    <x:row r="63">
      <x:c r="A63" s="37" t="n">
        <x:v>61</x:v>
      </x:c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2" t="str">
        <x:f>IF(COUNTA(B63:O63)=0,"",ROUND(AVERAGE(M63:O63),2))</x:f>
      </x:c>
      <x:c r="Q63" s="42" t="str">
        <x:f>IF(P63="","",IF(P63&gt;=4,"Готово",IF(P63&gt;=3,"Проверить","Доработать")))</x:f>
      </x:c>
    </x:row>
    <x:row r="64">
      <x:c r="A64" s="37" t="n">
        <x:v>62</x:v>
      </x:c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2" t="str">
        <x:f>IF(COUNTA(B64:O64)=0,"",ROUND(AVERAGE(M64:O64),2))</x:f>
      </x:c>
      <x:c r="Q64" s="42" t="str">
        <x:f>IF(P64="","",IF(P64&gt;=4,"Готово",IF(P64&gt;=3,"Проверить","Доработать")))</x:f>
      </x:c>
    </x:row>
    <x:row r="65">
      <x:c r="A65" s="37" t="n">
        <x:v>63</x:v>
      </x:c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2" t="str">
        <x:f>IF(COUNTA(B65:O65)=0,"",ROUND(AVERAGE(M65:O65),2))</x:f>
      </x:c>
      <x:c r="Q65" s="42" t="str">
        <x:f>IF(P65="","",IF(P65&gt;=4,"Готово",IF(P65&gt;=3,"Проверить","Доработать")))</x:f>
      </x:c>
    </x:row>
    <x:row r="66">
      <x:c r="A66" s="37" t="n">
        <x:v>64</x:v>
      </x:c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2" t="str">
        <x:f>IF(COUNTA(B66:O66)=0,"",ROUND(AVERAGE(M66:O66),2))</x:f>
      </x:c>
      <x:c r="Q66" s="42" t="str">
        <x:f>IF(P66="","",IF(P66&gt;=4,"Готово",IF(P66&gt;=3,"Проверить","Доработать")))</x:f>
      </x:c>
    </x:row>
    <x:row r="67">
      <x:c r="A67" s="37" t="n">
        <x:v>65</x:v>
      </x:c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2" t="str">
        <x:f>IF(COUNTA(B67:O67)=0,"",ROUND(AVERAGE(M67:O67),2))</x:f>
      </x:c>
      <x:c r="Q67" s="42" t="str">
        <x:f>IF(P67="","",IF(P67&gt;=4,"Готово",IF(P67&gt;=3,"Проверить","Доработать")))</x:f>
      </x:c>
    </x:row>
    <x:row r="68">
      <x:c r="A68" s="37" t="n">
        <x:v>66</x:v>
      </x:c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2" t="str">
        <x:f>IF(COUNTA(B68:O68)=0,"",ROUND(AVERAGE(M68:O68),2))</x:f>
      </x:c>
      <x:c r="Q68" s="42" t="str">
        <x:f>IF(P68="","",IF(P68&gt;=4,"Готово",IF(P68&gt;=3,"Проверить","Доработать")))</x:f>
      </x:c>
    </x:row>
    <x:row r="69">
      <x:c r="A69" s="37" t="n">
        <x:v>67</x:v>
      </x:c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2" t="str">
        <x:f>IF(COUNTA(B69:O69)=0,"",ROUND(AVERAGE(M69:O69),2))</x:f>
      </x:c>
      <x:c r="Q69" s="42" t="str">
        <x:f>IF(P69="","",IF(P69&gt;=4,"Готово",IF(P69&gt;=3,"Проверить","Доработать")))</x:f>
      </x:c>
    </x:row>
    <x:row r="70">
      <x:c r="A70" s="37" t="n">
        <x:v>68</x:v>
      </x:c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2" t="str">
        <x:f>IF(COUNTA(B70:O70)=0,"",ROUND(AVERAGE(M70:O70),2))</x:f>
      </x:c>
      <x:c r="Q70" s="42" t="str">
        <x:f>IF(P70="","",IF(P70&gt;=4,"Готово",IF(P70&gt;=3,"Проверить","Доработать")))</x:f>
      </x:c>
    </x:row>
    <x:row r="71">
      <x:c r="A71" s="37" t="n">
        <x:v>69</x:v>
      </x:c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2" t="str">
        <x:f>IF(COUNTA(B71:O71)=0,"",ROUND(AVERAGE(M71:O71),2))</x:f>
      </x:c>
      <x:c r="Q71" s="42" t="str">
        <x:f>IF(P71="","",IF(P71&gt;=4,"Готово",IF(P71&gt;=3,"Проверить","Доработать")))</x:f>
      </x:c>
    </x:row>
    <x:row r="72">
      <x:c r="A72" s="37" t="n">
        <x:v>70</x:v>
      </x:c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2" t="str">
        <x:f>IF(COUNTA(B72:O72)=0,"",ROUND(AVERAGE(M72:O72),2))</x:f>
      </x:c>
      <x:c r="Q72" s="42" t="str">
        <x:f>IF(P72="","",IF(P72&gt;=4,"Готово",IF(P72&gt;=3,"Проверить","Доработать")))</x:f>
      </x:c>
    </x:row>
    <x:row r="73">
      <x:c r="A73" s="37" t="n">
        <x:v>71</x:v>
      </x:c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2" t="str">
        <x:f>IF(COUNTA(B73:O73)=0,"",ROUND(AVERAGE(M73:O73),2))</x:f>
      </x:c>
      <x:c r="Q73" s="42" t="str">
        <x:f>IF(P73="","",IF(P73&gt;=4,"Готово",IF(P73&gt;=3,"Проверить","Доработать")))</x:f>
      </x:c>
    </x:row>
    <x:row r="74">
      <x:c r="A74" s="37" t="n">
        <x:v>72</x:v>
      </x:c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2" t="str">
        <x:f>IF(COUNTA(B74:O74)=0,"",ROUND(AVERAGE(M74:O74),2))</x:f>
      </x:c>
      <x:c r="Q74" s="42" t="str">
        <x:f>IF(P74="","",IF(P74&gt;=4,"Готово",IF(P74&gt;=3,"Проверить","Доработать")))</x:f>
      </x:c>
    </x:row>
    <x:row r="75">
      <x:c r="A75" s="37" t="n">
        <x:v>73</x:v>
      </x:c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2" t="str">
        <x:f>IF(COUNTA(B75:O75)=0,"",ROUND(AVERAGE(M75:O75),2))</x:f>
      </x:c>
      <x:c r="Q75" s="42" t="str">
        <x:f>IF(P75="","",IF(P75&gt;=4,"Готово",IF(P75&gt;=3,"Проверить","Доработать")))</x:f>
      </x:c>
    </x:row>
    <x:row r="76">
      <x:c r="A76" s="37" t="n">
        <x:v>74</x:v>
      </x:c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2" t="str">
        <x:f>IF(COUNTA(B76:O76)=0,"",ROUND(AVERAGE(M76:O76),2))</x:f>
      </x:c>
      <x:c r="Q76" s="42" t="str">
        <x:f>IF(P76="","",IF(P76&gt;=4,"Готово",IF(P76&gt;=3,"Проверить","Доработать")))</x:f>
      </x:c>
    </x:row>
    <x:row r="77">
      <x:c r="A77" s="37" t="n">
        <x:v>75</x:v>
      </x:c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2" t="str">
        <x:f>IF(COUNTA(B77:O77)=0,"",ROUND(AVERAGE(M77:O77),2))</x:f>
      </x:c>
      <x:c r="Q77" s="42" t="str">
        <x:f>IF(P77="","",IF(P77&gt;=4,"Готово",IF(P77&gt;=3,"Проверить","Доработать")))</x:f>
      </x:c>
    </x:row>
    <x:row r="78">
      <x:c r="A78" s="37" t="n">
        <x:v>76</x:v>
      </x:c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2" t="str">
        <x:f>IF(COUNTA(B78:O78)=0,"",ROUND(AVERAGE(M78:O78),2))</x:f>
      </x:c>
      <x:c r="Q78" s="42" t="str">
        <x:f>IF(P78="","",IF(P78&gt;=4,"Готово",IF(P78&gt;=3,"Проверить","Доработать")))</x:f>
      </x:c>
    </x:row>
    <x:row r="79">
      <x:c r="A79" s="37" t="n">
        <x:v>77</x:v>
      </x:c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2" t="str">
        <x:f>IF(COUNTA(B79:O79)=0,"",ROUND(AVERAGE(M79:O79),2))</x:f>
      </x:c>
      <x:c r="Q79" s="42" t="str">
        <x:f>IF(P79="","",IF(P79&gt;=4,"Готово",IF(P79&gt;=3,"Проверить","Доработать")))</x:f>
      </x:c>
    </x:row>
    <x:row r="80">
      <x:c r="A80" s="37" t="n">
        <x:v>78</x:v>
      </x:c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2" t="str">
        <x:f>IF(COUNTA(B80:O80)=0,"",ROUND(AVERAGE(M80:O80),2))</x:f>
      </x:c>
      <x:c r="Q80" s="42" t="str">
        <x:f>IF(P80="","",IF(P80&gt;=4,"Готово",IF(P80&gt;=3,"Проверить","Доработать")))</x:f>
      </x:c>
    </x:row>
    <x:row r="81">
      <x:c r="A81" s="37" t="n">
        <x:v>79</x:v>
      </x:c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2" t="str">
        <x:f>IF(COUNTA(B81:O81)=0,"",ROUND(AVERAGE(M81:O81),2))</x:f>
      </x:c>
      <x:c r="Q81" s="42" t="str">
        <x:f>IF(P81="","",IF(P81&gt;=4,"Готово",IF(P81&gt;=3,"Проверить","Доработать")))</x:f>
      </x:c>
    </x:row>
    <x:row r="82">
      <x:c r="A82" s="37" t="n">
        <x:v>80</x:v>
      </x:c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2" t="str">
        <x:f>IF(COUNTA(B82:O82)=0,"",ROUND(AVERAGE(M82:O82),2))</x:f>
      </x:c>
      <x:c r="Q82" s="42" t="str">
        <x:f>IF(P82="","",IF(P82&gt;=4,"Готово",IF(P82&gt;=3,"Проверить","Доработать")))</x:f>
      </x:c>
    </x:row>
    <x:row r="83">
      <x:c r="A83" s="37" t="n">
        <x:v>81</x:v>
      </x:c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2" t="str">
        <x:f>IF(COUNTA(B83:O83)=0,"",ROUND(AVERAGE(M83:O83),2))</x:f>
      </x:c>
      <x:c r="Q83" s="42" t="str">
        <x:f>IF(P83="","",IF(P83&gt;=4,"Готово",IF(P83&gt;=3,"Проверить","Доработать")))</x:f>
      </x:c>
    </x:row>
    <x:row r="84">
      <x:c r="A84" s="37" t="n">
        <x:v>82</x:v>
      </x:c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2" t="str">
        <x:f>IF(COUNTA(B84:O84)=0,"",ROUND(AVERAGE(M84:O84),2))</x:f>
      </x:c>
      <x:c r="Q84" s="42" t="str">
        <x:f>IF(P84="","",IF(P84&gt;=4,"Готово",IF(P84&gt;=3,"Проверить","Доработать")))</x:f>
      </x:c>
    </x:row>
    <x:row r="85">
      <x:c r="A85" s="37" t="n">
        <x:v>83</x:v>
      </x:c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2" t="str">
        <x:f>IF(COUNTA(B85:O85)=0,"",ROUND(AVERAGE(M85:O85),2))</x:f>
      </x:c>
      <x:c r="Q85" s="42" t="str">
        <x:f>IF(P85="","",IF(P85&gt;=4,"Готово",IF(P85&gt;=3,"Проверить","Доработать")))</x:f>
      </x:c>
    </x:row>
    <x:row r="86">
      <x:c r="A86" s="37" t="n">
        <x:v>84</x:v>
      </x:c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2" t="str">
        <x:f>IF(COUNTA(B86:O86)=0,"",ROUND(AVERAGE(M86:O86),2))</x:f>
      </x:c>
      <x:c r="Q86" s="42" t="str">
        <x:f>IF(P86="","",IF(P86&gt;=4,"Готово",IF(P86&gt;=3,"Проверить","Доработать")))</x:f>
      </x:c>
    </x:row>
    <x:row r="87">
      <x:c r="A87" s="37" t="n">
        <x:v>85</x:v>
      </x:c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2" t="str">
        <x:f>IF(COUNTA(B87:O87)=0,"",ROUND(AVERAGE(M87:O87),2))</x:f>
      </x:c>
      <x:c r="Q87" s="42" t="str">
        <x:f>IF(P87="","",IF(P87&gt;=4,"Готово",IF(P87&gt;=3,"Проверить","Доработать")))</x:f>
      </x:c>
    </x:row>
    <x:row r="88">
      <x:c r="A88" s="37" t="n">
        <x:v>86</x:v>
      </x:c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2" t="str">
        <x:f>IF(COUNTA(B88:O88)=0,"",ROUND(AVERAGE(M88:O88),2))</x:f>
      </x:c>
      <x:c r="Q88" s="42" t="str">
        <x:f>IF(P88="","",IF(P88&gt;=4,"Готово",IF(P88&gt;=3,"Проверить","Доработать")))</x:f>
      </x:c>
    </x:row>
    <x:row r="89">
      <x:c r="A89" s="37" t="n">
        <x:v>87</x:v>
      </x:c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2" t="str">
        <x:f>IF(COUNTA(B89:O89)=0,"",ROUND(AVERAGE(M89:O89),2))</x:f>
      </x:c>
      <x:c r="Q89" s="42" t="str">
        <x:f>IF(P89="","",IF(P89&gt;=4,"Готово",IF(P89&gt;=3,"Проверить","Доработать")))</x:f>
      </x:c>
    </x:row>
    <x:row r="90">
      <x:c r="A90" s="37" t="n">
        <x:v>88</x:v>
      </x:c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2" t="str">
        <x:f>IF(COUNTA(B90:O90)=0,"",ROUND(AVERAGE(M90:O90),2))</x:f>
      </x:c>
      <x:c r="Q90" s="42" t="str">
        <x:f>IF(P90="","",IF(P90&gt;=4,"Готово",IF(P90&gt;=3,"Проверить","Доработать")))</x:f>
      </x:c>
    </x:row>
    <x:row r="91">
      <x:c r="A91" s="37" t="n">
        <x:v>89</x:v>
      </x:c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2" t="str">
        <x:f>IF(COUNTA(B91:O91)=0,"",ROUND(AVERAGE(M91:O91),2))</x:f>
      </x:c>
      <x:c r="Q91" s="42" t="str">
        <x:f>IF(P91="","",IF(P91&gt;=4,"Готово",IF(P91&gt;=3,"Проверить","Доработать")))</x:f>
      </x:c>
    </x:row>
    <x:row r="92">
      <x:c r="A92" s="37" t="n">
        <x:v>90</x:v>
      </x:c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2" t="str">
        <x:f>IF(COUNTA(B92:O92)=0,"",ROUND(AVERAGE(M92:O92),2))</x:f>
      </x:c>
      <x:c r="Q92" s="42" t="str">
        <x:f>IF(P92="","",IF(P92&gt;=4,"Готово",IF(P92&gt;=3,"Проверить","Доработать")))</x:f>
      </x:c>
    </x:row>
    <x:row r="93">
      <x:c r="A93" s="37" t="n">
        <x:v>91</x:v>
      </x:c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2" t="str">
        <x:f>IF(COUNTA(B93:O93)=0,"",ROUND(AVERAGE(M93:O93),2))</x:f>
      </x:c>
      <x:c r="Q93" s="42" t="str">
        <x:f>IF(P93="","",IF(P93&gt;=4,"Готово",IF(P93&gt;=3,"Проверить","Доработать")))</x:f>
      </x:c>
    </x:row>
    <x:row r="94">
      <x:c r="A94" s="37" t="n">
        <x:v>92</x:v>
      </x:c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2" t="str">
        <x:f>IF(COUNTA(B94:O94)=0,"",ROUND(AVERAGE(M94:O94),2))</x:f>
      </x:c>
      <x:c r="Q94" s="42" t="str">
        <x:f>IF(P94="","",IF(P94&gt;=4,"Готово",IF(P94&gt;=3,"Проверить","Доработать")))</x:f>
      </x:c>
    </x:row>
    <x:row r="95">
      <x:c r="A95" s="37" t="n">
        <x:v>93</x:v>
      </x:c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2" t="str">
        <x:f>IF(COUNTA(B95:O95)=0,"",ROUND(AVERAGE(M95:O95),2))</x:f>
      </x:c>
      <x:c r="Q95" s="42" t="str">
        <x:f>IF(P95="","",IF(P95&gt;=4,"Готово",IF(P95&gt;=3,"Проверить","Доработать")))</x:f>
      </x:c>
    </x:row>
    <x:row r="96">
      <x:c r="A96" s="37" t="n">
        <x:v>94</x:v>
      </x:c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2" t="str">
        <x:f>IF(COUNTA(B96:O96)=0,"",ROUND(AVERAGE(M96:O96),2))</x:f>
      </x:c>
      <x:c r="Q96" s="42" t="str">
        <x:f>IF(P96="","",IF(P96&gt;=4,"Готово",IF(P96&gt;=3,"Проверить","Доработать")))</x:f>
      </x:c>
    </x:row>
    <x:row r="97">
      <x:c r="A97" s="37" t="n">
        <x:v>95</x:v>
      </x:c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2" t="str">
        <x:f>IF(COUNTA(B97:O97)=0,"",ROUND(AVERAGE(M97:O97),2))</x:f>
      </x:c>
      <x:c r="Q97" s="42" t="str">
        <x:f>IF(P97="","",IF(P97&gt;=4,"Готово",IF(P97&gt;=3,"Проверить","Доработать")))</x:f>
      </x:c>
    </x:row>
    <x:row r="98">
      <x:c r="A98" s="37" t="n">
        <x:v>96</x:v>
      </x:c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2" t="str">
        <x:f>IF(COUNTA(B98:O98)=0,"",ROUND(AVERAGE(M98:O98),2))</x:f>
      </x:c>
      <x:c r="Q98" s="42" t="str">
        <x:f>IF(P98="","",IF(P98&gt;=4,"Готово",IF(P98&gt;=3,"Проверить","Доработать")))</x:f>
      </x:c>
    </x:row>
    <x:row r="99">
      <x:c r="A99" s="37" t="n">
        <x:v>97</x:v>
      </x:c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2" t="str">
        <x:f>IF(COUNTA(B99:O99)=0,"",ROUND(AVERAGE(M99:O99),2))</x:f>
      </x:c>
      <x:c r="Q99" s="42" t="str">
        <x:f>IF(P99="","",IF(P99&gt;=4,"Готово",IF(P99&gt;=3,"Проверить","Доработать")))</x:f>
      </x:c>
    </x:row>
    <x:row r="100">
      <x:c r="A100" s="37" t="n">
        <x:v>98</x:v>
      </x:c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2" t="str">
        <x:f>IF(COUNTA(B100:O100)=0,"",ROUND(AVERAGE(M100:O100),2))</x:f>
      </x:c>
      <x:c r="Q100" s="42" t="str">
        <x:f>IF(P100="","",IF(P100&gt;=4,"Готово",IF(P100&gt;=3,"Проверить","Доработать")))</x:f>
      </x:c>
    </x:row>
    <x:row r="101">
      <x:c r="A101" s="37" t="n">
        <x:v>99</x:v>
      </x:c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2" t="str">
        <x:f>IF(COUNTA(B101:O101)=0,"",ROUND(AVERAGE(M101:O101),2))</x:f>
      </x:c>
      <x:c r="Q101" s="42" t="str">
        <x:f>IF(P101="","",IF(P101&gt;=4,"Готово",IF(P101&gt;=3,"Проверить","Доработать")))</x:f>
      </x:c>
    </x:row>
    <x:row r="102">
      <x:c r="A102" s="37" t="n">
        <x:v>100</x:v>
      </x:c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2" t="str">
        <x:f>IF(COUNTA(B102:O102)=0,"",ROUND(AVERAGE(M102:O102),2))</x:f>
      </x:c>
      <x:c r="Q102" s="42" t="str">
        <x:f>IF(P102="","",IF(P102&gt;=4,"Готово",IF(P102&gt;=3,"Проверить","Доработать")))</x:f>
      </x:c>
    </x:row>
  </x:sheetData>
  <x:mergeCells>
    <x:mergeCell ref="A1:Q1"/>
  </x:mergeCells>
  <x:conditionalFormatting sqref="P3:P102">
    <x:cfRule type="dataBar" priority="1">
      <x:dataBar>
        <x:cfvo type="min"/>
        <x:cfvo type="max"/>
        <x:color rgb="22C55E"/>
      </x:dataBar>
      <x:extLst>
        <x:ext xmlns:x14="http://schemas.microsoft.com/office/spreadsheetml/2009/9/main" uri="{B025F937-C7B1-47D3-B67F-A62EFF666E3E}">
          <x14:id>{72CD6197-F982-2686-54CD-549EF0E2D5B0}</x14:id>
        </x:ext>
      </x:extLst>
    </x:cfRule>
  </x:conditionalFormatting>
  <x:dataValidations count="3">
    <x:dataValidation type="list" sqref="H3:H102">
      <x:formula1>'12_Справочники'!$E$3:$E$10</x:formula1>
    </x:dataValidation>
    <x:dataValidation type="list" sqref="L3:L102">
      <x:formula1>'12_Справочники'!$F$3:$F$8</x:formula1>
    </x:dataValidation>
    <x:dataValidation type="list" sqref="M3:O102">
      <x:formula1>'12_Справочники'!$C$3:$C$7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32a418fda843b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2CD6197-F982-2686-54CD-549EF0E2D5B0}">
            <x14:dataBar gradient="1">
              <x14:cfvo type="min"/>
              <x14:cfvo type="max"/>
              <x14:fillColor rgb="22C55E"/>
            </x14:dataBar>
          </x14:cfRule>
          <xm:sqref>P3:P102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24" hidden="0" customWidth="1"/>
    <x:col min="4" max="4" width="32" hidden="0" customWidth="1"/>
    <x:col min="5" max="5" width="32" hidden="0" customWidth="1"/>
    <x:col min="6" max="6" width="32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</x:cols>
  <x:sheetData>
    <x:row r="1" ht="32" customHeight="1">
      <x:c r="A1" s="6" t="str">
        <x:v>Каналы, сценарий продаж и отношения с клиентами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32" customHeight="1">
      <x:c r="A2" s="36" t="str">
        <x:v>ID</x:v>
      </x:c>
      <x:c r="B2" s="36" t="str">
        <x:v>Этап канала</x:v>
      </x:c>
      <x:c r="C2" s="36" t="str">
        <x:v>Сегмент</x:v>
      </x:c>
      <x:c r="D2" s="36" t="str">
        <x:v>Канал / точка контакта</x:v>
      </x:c>
      <x:c r="E2" s="36" t="str">
        <x:v>Роль в воронке</x:v>
      </x:c>
      <x:c r="F2" s="36" t="str">
        <x:v>Конкурентный стандарт</x:v>
      </x:c>
      <x:c r="G2" s="36" t="str">
        <x:v>Пригодность 1-5</x:v>
      </x:c>
      <x:c r="H2" s="36" t="str">
        <x:v>Затратность/риск 1-5</x:v>
      </x:c>
      <x:c r="I2" s="36" t="str">
        <x:v>Доказательность 1-5</x:v>
      </x:c>
      <x:c r="J2" s="36" t="str">
        <x:v>Индекс приоритета</x:v>
      </x:c>
      <x:c r="K2" s="36" t="str">
        <x:v>Решение</x:v>
      </x:c>
    </x:row>
    <x:row r="3">
      <x:c r="A3" s="37" t="n">
        <x:v>1</x:v>
      </x:c>
      <x:c r="B3" s="40"/>
      <x:c r="C3" s="40"/>
      <x:c r="D3" s="40"/>
      <x:c r="E3" s="40"/>
      <x:c r="F3" s="40"/>
      <x:c r="G3" s="40"/>
      <x:c r="H3" s="40"/>
      <x:c r="I3" s="40"/>
      <x:c r="J3" s="42" t="str">
        <x:f>IF(COUNTA(B3:I3)=0,"",ROUND(AVERAGE(G3,6-H3,I3),2))</x:f>
      </x:c>
      <x:c r="K3" s="42" t="str">
        <x:f>IF(J3="","",IF(J3&gt;=4,"Включить",IF(J3&gt;=3,"Проверить","Не основной")))</x:f>
      </x:c>
    </x:row>
    <x:row r="4">
      <x:c r="A4" s="37" t="n">
        <x:v>2</x:v>
      </x:c>
      <x:c r="B4" s="40"/>
      <x:c r="C4" s="40"/>
      <x:c r="D4" s="40"/>
      <x:c r="E4" s="40"/>
      <x:c r="F4" s="40"/>
      <x:c r="G4" s="40"/>
      <x:c r="H4" s="40"/>
      <x:c r="I4" s="40"/>
      <x:c r="J4" s="42" t="str">
        <x:f>IF(COUNTA(B4:I4)=0,"",ROUND(AVERAGE(G4,6-H4,I4),2))</x:f>
      </x:c>
      <x:c r="K4" s="42" t="str">
        <x:f>IF(J4="","",IF(J4&gt;=4,"Включить",IF(J4&gt;=3,"Проверить","Не основной")))</x:f>
      </x:c>
    </x:row>
    <x:row r="5">
      <x:c r="A5" s="37" t="n">
        <x:v>3</x:v>
      </x:c>
      <x:c r="B5" s="40"/>
      <x:c r="C5" s="40"/>
      <x:c r="D5" s="40"/>
      <x:c r="E5" s="40"/>
      <x:c r="F5" s="40"/>
      <x:c r="G5" s="40"/>
      <x:c r="H5" s="40"/>
      <x:c r="I5" s="40"/>
      <x:c r="J5" s="42" t="str">
        <x:f>IF(COUNTA(B5:I5)=0,"",ROUND(AVERAGE(G5,6-H5,I5),2))</x:f>
      </x:c>
      <x:c r="K5" s="42" t="str">
        <x:f>IF(J5="","",IF(J5&gt;=4,"Включить",IF(J5&gt;=3,"Проверить","Не основной")))</x:f>
      </x:c>
    </x:row>
    <x:row r="6">
      <x:c r="A6" s="37" t="n">
        <x:v>4</x:v>
      </x:c>
      <x:c r="B6" s="40"/>
      <x:c r="C6" s="40"/>
      <x:c r="D6" s="40"/>
      <x:c r="E6" s="40"/>
      <x:c r="F6" s="40"/>
      <x:c r="G6" s="40"/>
      <x:c r="H6" s="40"/>
      <x:c r="I6" s="40"/>
      <x:c r="J6" s="42" t="str">
        <x:f>IF(COUNTA(B6:I6)=0,"",ROUND(AVERAGE(G6,6-H6,I6),2))</x:f>
      </x:c>
      <x:c r="K6" s="42" t="str">
        <x:f>IF(J6="","",IF(J6&gt;=4,"Включить",IF(J6&gt;=3,"Проверить","Не основной")))</x:f>
      </x:c>
    </x:row>
    <x:row r="7">
      <x:c r="A7" s="37" t="n">
        <x:v>5</x:v>
      </x:c>
      <x:c r="B7" s="40"/>
      <x:c r="C7" s="40"/>
      <x:c r="D7" s="40"/>
      <x:c r="E7" s="40"/>
      <x:c r="F7" s="40"/>
      <x:c r="G7" s="40"/>
      <x:c r="H7" s="40"/>
      <x:c r="I7" s="40"/>
      <x:c r="J7" s="42" t="str">
        <x:f>IF(COUNTA(B7:I7)=0,"",ROUND(AVERAGE(G7,6-H7,I7),2))</x:f>
      </x:c>
      <x:c r="K7" s="42" t="str">
        <x:f>IF(J7="","",IF(J7&gt;=4,"Включить",IF(J7&gt;=3,"Проверить","Не основной")))</x:f>
      </x:c>
    </x:row>
    <x:row r="8">
      <x:c r="A8" s="37" t="n">
        <x:v>6</x:v>
      </x:c>
      <x:c r="B8" s="40"/>
      <x:c r="C8" s="40"/>
      <x:c r="D8" s="40"/>
      <x:c r="E8" s="40"/>
      <x:c r="F8" s="40"/>
      <x:c r="G8" s="40"/>
      <x:c r="H8" s="40"/>
      <x:c r="I8" s="40"/>
      <x:c r="J8" s="42" t="str">
        <x:f>IF(COUNTA(B8:I8)=0,"",ROUND(AVERAGE(G8,6-H8,I8),2))</x:f>
      </x:c>
      <x:c r="K8" s="42" t="str">
        <x:f>IF(J8="","",IF(J8&gt;=4,"Включить",IF(J8&gt;=3,"Проверить","Не основной")))</x:f>
      </x:c>
    </x:row>
    <x:row r="9">
      <x:c r="A9" s="37" t="n">
        <x:v>7</x:v>
      </x:c>
      <x:c r="B9" s="40"/>
      <x:c r="C9" s="40"/>
      <x:c r="D9" s="40"/>
      <x:c r="E9" s="40"/>
      <x:c r="F9" s="40"/>
      <x:c r="G9" s="40"/>
      <x:c r="H9" s="40"/>
      <x:c r="I9" s="40"/>
      <x:c r="J9" s="42" t="str">
        <x:f>IF(COUNTA(B9:I9)=0,"",ROUND(AVERAGE(G9,6-H9,I9),2))</x:f>
      </x:c>
      <x:c r="K9" s="42" t="str">
        <x:f>IF(J9="","",IF(J9&gt;=4,"Включить",IF(J9&gt;=3,"Проверить","Не основной")))</x:f>
      </x:c>
    </x:row>
    <x:row r="10">
      <x:c r="A10" s="37" t="n">
        <x:v>8</x:v>
      </x:c>
      <x:c r="B10" s="40"/>
      <x:c r="C10" s="40"/>
      <x:c r="D10" s="40"/>
      <x:c r="E10" s="40"/>
      <x:c r="F10" s="40"/>
      <x:c r="G10" s="40"/>
      <x:c r="H10" s="40"/>
      <x:c r="I10" s="40"/>
      <x:c r="J10" s="42" t="str">
        <x:f>IF(COUNTA(B10:I10)=0,"",ROUND(AVERAGE(G10,6-H10,I10),2))</x:f>
      </x:c>
      <x:c r="K10" s="42" t="str">
        <x:f>IF(J10="","",IF(J10&gt;=4,"Включить",IF(J10&gt;=3,"Проверить","Не основной")))</x:f>
      </x:c>
    </x:row>
    <x:row r="11">
      <x:c r="A11" s="37" t="n">
        <x:v>9</x:v>
      </x:c>
      <x:c r="B11" s="40"/>
      <x:c r="C11" s="40"/>
      <x:c r="D11" s="40"/>
      <x:c r="E11" s="40"/>
      <x:c r="F11" s="40"/>
      <x:c r="G11" s="40"/>
      <x:c r="H11" s="40"/>
      <x:c r="I11" s="40"/>
      <x:c r="J11" s="42" t="str">
        <x:f>IF(COUNTA(B11:I11)=0,"",ROUND(AVERAGE(G11,6-H11,I11),2))</x:f>
      </x:c>
      <x:c r="K11" s="42" t="str">
        <x:f>IF(J11="","",IF(J11&gt;=4,"Включить",IF(J11&gt;=3,"Проверить","Не основной")))</x:f>
      </x:c>
    </x:row>
    <x:row r="12">
      <x:c r="A12" s="37" t="n">
        <x:v>10</x:v>
      </x:c>
      <x:c r="B12" s="40"/>
      <x:c r="C12" s="40"/>
      <x:c r="D12" s="40"/>
      <x:c r="E12" s="40"/>
      <x:c r="F12" s="40"/>
      <x:c r="G12" s="40"/>
      <x:c r="H12" s="40"/>
      <x:c r="I12" s="40"/>
      <x:c r="J12" s="42" t="str">
        <x:f>IF(COUNTA(B12:I12)=0,"",ROUND(AVERAGE(G12,6-H12,I12),2))</x:f>
      </x:c>
      <x:c r="K12" s="42" t="str">
        <x:f>IF(J12="","",IF(J12&gt;=4,"Включить",IF(J12&gt;=3,"Проверить","Не основной")))</x:f>
      </x:c>
    </x:row>
    <x:row r="13">
      <x:c r="A13" s="37" t="n">
        <x:v>11</x:v>
      </x:c>
      <x:c r="B13" s="40"/>
      <x:c r="C13" s="40"/>
      <x:c r="D13" s="40"/>
      <x:c r="E13" s="40"/>
      <x:c r="F13" s="40"/>
      <x:c r="G13" s="40"/>
      <x:c r="H13" s="40"/>
      <x:c r="I13" s="40"/>
      <x:c r="J13" s="42" t="str">
        <x:f>IF(COUNTA(B13:I13)=0,"",ROUND(AVERAGE(G13,6-H13,I13),2))</x:f>
      </x:c>
      <x:c r="K13" s="42" t="str">
        <x:f>IF(J13="","",IF(J13&gt;=4,"Включить",IF(J13&gt;=3,"Проверить","Не основной")))</x:f>
      </x:c>
    </x:row>
    <x:row r="14">
      <x:c r="A14" s="37" t="n">
        <x:v>12</x:v>
      </x:c>
      <x:c r="B14" s="40"/>
      <x:c r="C14" s="40"/>
      <x:c r="D14" s="40"/>
      <x:c r="E14" s="40"/>
      <x:c r="F14" s="40"/>
      <x:c r="G14" s="40"/>
      <x:c r="H14" s="40"/>
      <x:c r="I14" s="40"/>
      <x:c r="J14" s="42" t="str">
        <x:f>IF(COUNTA(B14:I14)=0,"",ROUND(AVERAGE(G14,6-H14,I14),2))</x:f>
      </x:c>
      <x:c r="K14" s="42" t="str">
        <x:f>IF(J14="","",IF(J14&gt;=4,"Включить",IF(J14&gt;=3,"Проверить","Не основной")))</x:f>
      </x:c>
    </x:row>
    <x:row r="15">
      <x:c r="A15" s="37" t="n">
        <x:v>13</x:v>
      </x:c>
      <x:c r="B15" s="40"/>
      <x:c r="C15" s="40"/>
      <x:c r="D15" s="40"/>
      <x:c r="E15" s="40"/>
      <x:c r="F15" s="40"/>
      <x:c r="G15" s="40"/>
      <x:c r="H15" s="40"/>
      <x:c r="I15" s="40"/>
      <x:c r="J15" s="42" t="str">
        <x:f>IF(COUNTA(B15:I15)=0,"",ROUND(AVERAGE(G15,6-H15,I15),2))</x:f>
      </x:c>
      <x:c r="K15" s="42" t="str">
        <x:f>IF(J15="","",IF(J15&gt;=4,"Включить",IF(J15&gt;=3,"Проверить","Не основной")))</x:f>
      </x:c>
    </x:row>
    <x:row r="16">
      <x:c r="A16" s="37" t="n">
        <x:v>14</x:v>
      </x:c>
      <x:c r="B16" s="40"/>
      <x:c r="C16" s="40"/>
      <x:c r="D16" s="40"/>
      <x:c r="E16" s="40"/>
      <x:c r="F16" s="40"/>
      <x:c r="G16" s="40"/>
      <x:c r="H16" s="40"/>
      <x:c r="I16" s="40"/>
      <x:c r="J16" s="42" t="str">
        <x:f>IF(COUNTA(B16:I16)=0,"",ROUND(AVERAGE(G16,6-H16,I16),2))</x:f>
      </x:c>
      <x:c r="K16" s="42" t="str">
        <x:f>IF(J16="","",IF(J16&gt;=4,"Включить",IF(J16&gt;=3,"Проверить","Не основной")))</x:f>
      </x:c>
    </x:row>
    <x:row r="17">
      <x:c r="A17" s="37" t="n">
        <x:v>15</x:v>
      </x:c>
      <x:c r="B17" s="40"/>
      <x:c r="C17" s="40"/>
      <x:c r="D17" s="40"/>
      <x:c r="E17" s="40"/>
      <x:c r="F17" s="40"/>
      <x:c r="G17" s="40"/>
      <x:c r="H17" s="40"/>
      <x:c r="I17" s="40"/>
      <x:c r="J17" s="42" t="str">
        <x:f>IF(COUNTA(B17:I17)=0,"",ROUND(AVERAGE(G17,6-H17,I17),2))</x:f>
      </x:c>
      <x:c r="K17" s="42" t="str">
        <x:f>IF(J17="","",IF(J17&gt;=4,"Включить",IF(J17&gt;=3,"Проверить","Не основной")))</x:f>
      </x:c>
    </x:row>
    <x:row r="18">
      <x:c r="A18" s="37" t="n">
        <x:v>16</x:v>
      </x:c>
      <x:c r="B18" s="40"/>
      <x:c r="C18" s="40"/>
      <x:c r="D18" s="40"/>
      <x:c r="E18" s="40"/>
      <x:c r="F18" s="40"/>
      <x:c r="G18" s="40"/>
      <x:c r="H18" s="40"/>
      <x:c r="I18" s="40"/>
      <x:c r="J18" s="42" t="str">
        <x:f>IF(COUNTA(B18:I18)=0,"",ROUND(AVERAGE(G18,6-H18,I18),2))</x:f>
      </x:c>
      <x:c r="K18" s="42" t="str">
        <x:f>IF(J18="","",IF(J18&gt;=4,"Включить",IF(J18&gt;=3,"Проверить","Не основной")))</x:f>
      </x:c>
    </x:row>
    <x:row r="19">
      <x:c r="A19" s="37" t="n">
        <x:v>17</x:v>
      </x:c>
      <x:c r="B19" s="40"/>
      <x:c r="C19" s="40"/>
      <x:c r="D19" s="40"/>
      <x:c r="E19" s="40"/>
      <x:c r="F19" s="40"/>
      <x:c r="G19" s="40"/>
      <x:c r="H19" s="40"/>
      <x:c r="I19" s="40"/>
      <x:c r="J19" s="42" t="str">
        <x:f>IF(COUNTA(B19:I19)=0,"",ROUND(AVERAGE(G19,6-H19,I19),2))</x:f>
      </x:c>
      <x:c r="K19" s="42" t="str">
        <x:f>IF(J19="","",IF(J19&gt;=4,"Включить",IF(J19&gt;=3,"Проверить","Не основной")))</x:f>
      </x:c>
    </x:row>
    <x:row r="20">
      <x:c r="A20" s="37" t="n">
        <x:v>18</x:v>
      </x:c>
      <x:c r="B20" s="40"/>
      <x:c r="C20" s="40"/>
      <x:c r="D20" s="40"/>
      <x:c r="E20" s="40"/>
      <x:c r="F20" s="40"/>
      <x:c r="G20" s="40"/>
      <x:c r="H20" s="40"/>
      <x:c r="I20" s="40"/>
      <x:c r="J20" s="42" t="str">
        <x:f>IF(COUNTA(B20:I20)=0,"",ROUND(AVERAGE(G20,6-H20,I20),2))</x:f>
      </x:c>
      <x:c r="K20" s="42" t="str">
        <x:f>IF(J20="","",IF(J20&gt;=4,"Включить",IF(J20&gt;=3,"Проверить","Не основной")))</x:f>
      </x:c>
    </x:row>
    <x:row r="21">
      <x:c r="A21" s="37" t="n">
        <x:v>19</x:v>
      </x:c>
      <x:c r="B21" s="40"/>
      <x:c r="C21" s="40"/>
      <x:c r="D21" s="40"/>
      <x:c r="E21" s="40"/>
      <x:c r="F21" s="40"/>
      <x:c r="G21" s="40"/>
      <x:c r="H21" s="40"/>
      <x:c r="I21" s="40"/>
      <x:c r="J21" s="42" t="str">
        <x:f>IF(COUNTA(B21:I21)=0,"",ROUND(AVERAGE(G21,6-H21,I21),2))</x:f>
      </x:c>
      <x:c r="K21" s="42" t="str">
        <x:f>IF(J21="","",IF(J21&gt;=4,"Включить",IF(J21&gt;=3,"Проверить","Не основной")))</x:f>
      </x:c>
    </x:row>
    <x:row r="22">
      <x:c r="A22" s="37" t="n">
        <x:v>20</x:v>
      </x:c>
      <x:c r="B22" s="40"/>
      <x:c r="C22" s="40"/>
      <x:c r="D22" s="40"/>
      <x:c r="E22" s="40"/>
      <x:c r="F22" s="40"/>
      <x:c r="G22" s="40"/>
      <x:c r="H22" s="40"/>
      <x:c r="I22" s="40"/>
      <x:c r="J22" s="42" t="str">
        <x:f>IF(COUNTA(B22:I22)=0,"",ROUND(AVERAGE(G22,6-H22,I22),2))</x:f>
      </x:c>
      <x:c r="K22" s="42" t="str">
        <x:f>IF(J22="","",IF(J22&gt;=4,"Включить",IF(J22&gt;=3,"Проверить","Не основной")))</x:f>
      </x:c>
    </x:row>
    <x:row r="23">
      <x:c r="A23" s="37" t="n">
        <x:v>21</x:v>
      </x:c>
      <x:c r="B23" s="40"/>
      <x:c r="C23" s="40"/>
      <x:c r="D23" s="40"/>
      <x:c r="E23" s="40"/>
      <x:c r="F23" s="40"/>
      <x:c r="G23" s="40"/>
      <x:c r="H23" s="40"/>
      <x:c r="I23" s="40"/>
      <x:c r="J23" s="42" t="str">
        <x:f>IF(COUNTA(B23:I23)=0,"",ROUND(AVERAGE(G23,6-H23,I23),2))</x:f>
      </x:c>
      <x:c r="K23" s="42" t="str">
        <x:f>IF(J23="","",IF(J23&gt;=4,"Включить",IF(J23&gt;=3,"Проверить","Не основной")))</x:f>
      </x:c>
    </x:row>
    <x:row r="24">
      <x:c r="A24" s="37" t="n">
        <x:v>22</x:v>
      </x:c>
      <x:c r="B24" s="40"/>
      <x:c r="C24" s="40"/>
      <x:c r="D24" s="40"/>
      <x:c r="E24" s="40"/>
      <x:c r="F24" s="40"/>
      <x:c r="G24" s="40"/>
      <x:c r="H24" s="40"/>
      <x:c r="I24" s="40"/>
      <x:c r="J24" s="42" t="str">
        <x:f>IF(COUNTA(B24:I24)=0,"",ROUND(AVERAGE(G24,6-H24,I24),2))</x:f>
      </x:c>
      <x:c r="K24" s="42" t="str">
        <x:f>IF(J24="","",IF(J24&gt;=4,"Включить",IF(J24&gt;=3,"Проверить","Не основной")))</x:f>
      </x:c>
    </x:row>
    <x:row r="25">
      <x:c r="A25" s="37" t="n">
        <x:v>23</x:v>
      </x:c>
      <x:c r="B25" s="40"/>
      <x:c r="C25" s="40"/>
      <x:c r="D25" s="40"/>
      <x:c r="E25" s="40"/>
      <x:c r="F25" s="40"/>
      <x:c r="G25" s="40"/>
      <x:c r="H25" s="40"/>
      <x:c r="I25" s="40"/>
      <x:c r="J25" s="42" t="str">
        <x:f>IF(COUNTA(B25:I25)=0,"",ROUND(AVERAGE(G25,6-H25,I25),2))</x:f>
      </x:c>
      <x:c r="K25" s="42" t="str">
        <x:f>IF(J25="","",IF(J25&gt;=4,"Включить",IF(J25&gt;=3,"Проверить","Не основной")))</x:f>
      </x:c>
    </x:row>
    <x:row r="26">
      <x:c r="A26" s="37" t="n">
        <x:v>24</x:v>
      </x:c>
      <x:c r="B26" s="40"/>
      <x:c r="C26" s="40"/>
      <x:c r="D26" s="40"/>
      <x:c r="E26" s="40"/>
      <x:c r="F26" s="40"/>
      <x:c r="G26" s="40"/>
      <x:c r="H26" s="40"/>
      <x:c r="I26" s="40"/>
      <x:c r="J26" s="42" t="str">
        <x:f>IF(COUNTA(B26:I26)=0,"",ROUND(AVERAGE(G26,6-H26,I26),2))</x:f>
      </x:c>
      <x:c r="K26" s="42" t="str">
        <x:f>IF(J26="","",IF(J26&gt;=4,"Включить",IF(J26&gt;=3,"Проверить","Не основной")))</x:f>
      </x:c>
    </x:row>
    <x:row r="27">
      <x:c r="A27" s="37" t="n">
        <x:v>25</x:v>
      </x:c>
      <x:c r="B27" s="40"/>
      <x:c r="C27" s="40"/>
      <x:c r="D27" s="40"/>
      <x:c r="E27" s="40"/>
      <x:c r="F27" s="40"/>
      <x:c r="G27" s="40"/>
      <x:c r="H27" s="40"/>
      <x:c r="I27" s="40"/>
      <x:c r="J27" s="42" t="str">
        <x:f>IF(COUNTA(B27:I27)=0,"",ROUND(AVERAGE(G27,6-H27,I27),2))</x:f>
      </x:c>
      <x:c r="K27" s="42" t="str">
        <x:f>IF(J27="","",IF(J27&gt;=4,"Включить",IF(J27&gt;=3,"Проверить","Не основной")))</x:f>
      </x:c>
    </x:row>
    <x:row r="28">
      <x:c r="A28" s="37" t="n">
        <x:v>26</x:v>
      </x:c>
      <x:c r="B28" s="40"/>
      <x:c r="C28" s="40"/>
      <x:c r="D28" s="40"/>
      <x:c r="E28" s="40"/>
      <x:c r="F28" s="40"/>
      <x:c r="G28" s="40"/>
      <x:c r="H28" s="40"/>
      <x:c r="I28" s="40"/>
      <x:c r="J28" s="42" t="str">
        <x:f>IF(COUNTA(B28:I28)=0,"",ROUND(AVERAGE(G28,6-H28,I28),2))</x:f>
      </x:c>
      <x:c r="K28" s="42" t="str">
        <x:f>IF(J28="","",IF(J28&gt;=4,"Включить",IF(J28&gt;=3,"Проверить","Не основной")))</x:f>
      </x:c>
    </x:row>
    <x:row r="29">
      <x:c r="A29" s="37" t="n">
        <x:v>27</x:v>
      </x:c>
      <x:c r="B29" s="40"/>
      <x:c r="C29" s="40"/>
      <x:c r="D29" s="40"/>
      <x:c r="E29" s="40"/>
      <x:c r="F29" s="40"/>
      <x:c r="G29" s="40"/>
      <x:c r="H29" s="40"/>
      <x:c r="I29" s="40"/>
      <x:c r="J29" s="42" t="str">
        <x:f>IF(COUNTA(B29:I29)=0,"",ROUND(AVERAGE(G29,6-H29,I29),2))</x:f>
      </x:c>
      <x:c r="K29" s="42" t="str">
        <x:f>IF(J29="","",IF(J29&gt;=4,"Включить",IF(J29&gt;=3,"Проверить","Не основной")))</x:f>
      </x:c>
    </x:row>
    <x:row r="30">
      <x:c r="A30" s="37" t="n">
        <x:v>28</x:v>
      </x:c>
      <x:c r="B30" s="40"/>
      <x:c r="C30" s="40"/>
      <x:c r="D30" s="40"/>
      <x:c r="E30" s="40"/>
      <x:c r="F30" s="40"/>
      <x:c r="G30" s="40"/>
      <x:c r="H30" s="40"/>
      <x:c r="I30" s="40"/>
      <x:c r="J30" s="42" t="str">
        <x:f>IF(COUNTA(B30:I30)=0,"",ROUND(AVERAGE(G30,6-H30,I30),2))</x:f>
      </x:c>
      <x:c r="K30" s="42" t="str">
        <x:f>IF(J30="","",IF(J30&gt;=4,"Включить",IF(J30&gt;=3,"Проверить","Не основной")))</x:f>
      </x:c>
    </x:row>
    <x:row r="31">
      <x:c r="A31" s="37" t="n">
        <x:v>29</x:v>
      </x:c>
      <x:c r="B31" s="40"/>
      <x:c r="C31" s="40"/>
      <x:c r="D31" s="40"/>
      <x:c r="E31" s="40"/>
      <x:c r="F31" s="40"/>
      <x:c r="G31" s="40"/>
      <x:c r="H31" s="40"/>
      <x:c r="I31" s="40"/>
      <x:c r="J31" s="42" t="str">
        <x:f>IF(COUNTA(B31:I31)=0,"",ROUND(AVERAGE(G31,6-H31,I31),2))</x:f>
      </x:c>
      <x:c r="K31" s="42" t="str">
        <x:f>IF(J31="","",IF(J31&gt;=4,"Включить",IF(J31&gt;=3,"Проверить","Не основной")))</x:f>
      </x:c>
    </x:row>
    <x:row r="32">
      <x:c r="A32" s="37" t="n">
        <x:v>30</x:v>
      </x:c>
      <x:c r="B32" s="40"/>
      <x:c r="C32" s="40"/>
      <x:c r="D32" s="40"/>
      <x:c r="E32" s="40"/>
      <x:c r="F32" s="40"/>
      <x:c r="G32" s="40"/>
      <x:c r="H32" s="40"/>
      <x:c r="I32" s="40"/>
      <x:c r="J32" s="42" t="str">
        <x:f>IF(COUNTA(B32:I32)=0,"",ROUND(AVERAGE(G32,6-H32,I32),2))</x:f>
      </x:c>
      <x:c r="K32" s="42" t="str">
        <x:f>IF(J32="","",IF(J32&gt;=4,"Включить",IF(J32&gt;=3,"Проверить","Не основной")))</x:f>
      </x:c>
    </x:row>
    <x:row r="33">
      <x:c r="A33" s="37" t="n">
        <x:v>31</x:v>
      </x:c>
      <x:c r="B33" s="40"/>
      <x:c r="C33" s="40"/>
      <x:c r="D33" s="40"/>
      <x:c r="E33" s="40"/>
      <x:c r="F33" s="40"/>
      <x:c r="G33" s="40"/>
      <x:c r="H33" s="40"/>
      <x:c r="I33" s="40"/>
      <x:c r="J33" s="42" t="str">
        <x:f>IF(COUNTA(B33:I33)=0,"",ROUND(AVERAGE(G33,6-H33,I33),2))</x:f>
      </x:c>
      <x:c r="K33" s="42" t="str">
        <x:f>IF(J33="","",IF(J33&gt;=4,"Включить",IF(J33&gt;=3,"Проверить","Не основной")))</x:f>
      </x:c>
    </x:row>
    <x:row r="34">
      <x:c r="A34" s="37" t="n">
        <x:v>32</x:v>
      </x:c>
      <x:c r="B34" s="40"/>
      <x:c r="C34" s="40"/>
      <x:c r="D34" s="40"/>
      <x:c r="E34" s="40"/>
      <x:c r="F34" s="40"/>
      <x:c r="G34" s="40"/>
      <x:c r="H34" s="40"/>
      <x:c r="I34" s="40"/>
      <x:c r="J34" s="42" t="str">
        <x:f>IF(COUNTA(B34:I34)=0,"",ROUND(AVERAGE(G34,6-H34,I34),2))</x:f>
      </x:c>
      <x:c r="K34" s="42" t="str">
        <x:f>IF(J34="","",IF(J34&gt;=4,"Включить",IF(J34&gt;=3,"Проверить","Не основной")))</x:f>
      </x:c>
    </x:row>
    <x:row r="35">
      <x:c r="A35" s="37" t="n">
        <x:v>33</x:v>
      </x:c>
      <x:c r="B35" s="40"/>
      <x:c r="C35" s="40"/>
      <x:c r="D35" s="40"/>
      <x:c r="E35" s="40"/>
      <x:c r="F35" s="40"/>
      <x:c r="G35" s="40"/>
      <x:c r="H35" s="40"/>
      <x:c r="I35" s="40"/>
      <x:c r="J35" s="42" t="str">
        <x:f>IF(COUNTA(B35:I35)=0,"",ROUND(AVERAGE(G35,6-H35,I35),2))</x:f>
      </x:c>
      <x:c r="K35" s="42" t="str">
        <x:f>IF(J35="","",IF(J35&gt;=4,"Включить",IF(J35&gt;=3,"Проверить","Не основной")))</x:f>
      </x:c>
    </x:row>
    <x:row r="36">
      <x:c r="A36" s="37" t="n">
        <x:v>34</x:v>
      </x:c>
      <x:c r="B36" s="40"/>
      <x:c r="C36" s="40"/>
      <x:c r="D36" s="40"/>
      <x:c r="E36" s="40"/>
      <x:c r="F36" s="40"/>
      <x:c r="G36" s="40"/>
      <x:c r="H36" s="40"/>
      <x:c r="I36" s="40"/>
      <x:c r="J36" s="42" t="str">
        <x:f>IF(COUNTA(B36:I36)=0,"",ROUND(AVERAGE(G36,6-H36,I36),2))</x:f>
      </x:c>
      <x:c r="K36" s="42" t="str">
        <x:f>IF(J36="","",IF(J36&gt;=4,"Включить",IF(J36&gt;=3,"Проверить","Не основной")))</x:f>
      </x:c>
    </x:row>
    <x:row r="37">
      <x:c r="A37" s="37" t="n">
        <x:v>35</x:v>
      </x:c>
      <x:c r="B37" s="40"/>
      <x:c r="C37" s="40"/>
      <x:c r="D37" s="40"/>
      <x:c r="E37" s="40"/>
      <x:c r="F37" s="40"/>
      <x:c r="G37" s="40"/>
      <x:c r="H37" s="40"/>
      <x:c r="I37" s="40"/>
      <x:c r="J37" s="42" t="str">
        <x:f>IF(COUNTA(B37:I37)=0,"",ROUND(AVERAGE(G37,6-H37,I37),2))</x:f>
      </x:c>
      <x:c r="K37" s="42" t="str">
        <x:f>IF(J37="","",IF(J37&gt;=4,"Включить",IF(J37&gt;=3,"Проверить","Не основной")))</x:f>
      </x:c>
    </x:row>
    <x:row r="38">
      <x:c r="A38" s="37" t="n">
        <x:v>36</x:v>
      </x:c>
      <x:c r="B38" s="40"/>
      <x:c r="C38" s="40"/>
      <x:c r="D38" s="40"/>
      <x:c r="E38" s="40"/>
      <x:c r="F38" s="40"/>
      <x:c r="G38" s="40"/>
      <x:c r="H38" s="40"/>
      <x:c r="I38" s="40"/>
      <x:c r="J38" s="42" t="str">
        <x:f>IF(COUNTA(B38:I38)=0,"",ROUND(AVERAGE(G38,6-H38,I38),2))</x:f>
      </x:c>
      <x:c r="K38" s="42" t="str">
        <x:f>IF(J38="","",IF(J38&gt;=4,"Включить",IF(J38&gt;=3,"Проверить","Не основной")))</x:f>
      </x:c>
    </x:row>
    <x:row r="39">
      <x:c r="A39" s="37" t="n">
        <x:v>37</x:v>
      </x:c>
      <x:c r="B39" s="40"/>
      <x:c r="C39" s="40"/>
      <x:c r="D39" s="40"/>
      <x:c r="E39" s="40"/>
      <x:c r="F39" s="40"/>
      <x:c r="G39" s="40"/>
      <x:c r="H39" s="40"/>
      <x:c r="I39" s="40"/>
      <x:c r="J39" s="42" t="str">
        <x:f>IF(COUNTA(B39:I39)=0,"",ROUND(AVERAGE(G39,6-H39,I39),2))</x:f>
      </x:c>
      <x:c r="K39" s="42" t="str">
        <x:f>IF(J39="","",IF(J39&gt;=4,"Включить",IF(J39&gt;=3,"Проверить","Не основной")))</x:f>
      </x:c>
    </x:row>
    <x:row r="40">
      <x:c r="A40" s="37" t="n">
        <x:v>38</x:v>
      </x:c>
      <x:c r="B40" s="40"/>
      <x:c r="C40" s="40"/>
      <x:c r="D40" s="40"/>
      <x:c r="E40" s="40"/>
      <x:c r="F40" s="40"/>
      <x:c r="G40" s="40"/>
      <x:c r="H40" s="40"/>
      <x:c r="I40" s="40"/>
      <x:c r="J40" s="42" t="str">
        <x:f>IF(COUNTA(B40:I40)=0,"",ROUND(AVERAGE(G40,6-H40,I40),2))</x:f>
      </x:c>
      <x:c r="K40" s="42" t="str">
        <x:f>IF(J40="","",IF(J40&gt;=4,"Включить",IF(J40&gt;=3,"Проверить","Не основной")))</x:f>
      </x:c>
    </x:row>
    <x:row r="41">
      <x:c r="A41" s="37" t="n">
        <x:v>39</x:v>
      </x:c>
      <x:c r="B41" s="40"/>
      <x:c r="C41" s="40"/>
      <x:c r="D41" s="40"/>
      <x:c r="E41" s="40"/>
      <x:c r="F41" s="40"/>
      <x:c r="G41" s="40"/>
      <x:c r="H41" s="40"/>
      <x:c r="I41" s="40"/>
      <x:c r="J41" s="42" t="str">
        <x:f>IF(COUNTA(B41:I41)=0,"",ROUND(AVERAGE(G41,6-H41,I41),2))</x:f>
      </x:c>
      <x:c r="K41" s="42" t="str">
        <x:f>IF(J41="","",IF(J41&gt;=4,"Включить",IF(J41&gt;=3,"Проверить","Не основной")))</x:f>
      </x:c>
    </x:row>
    <x:row r="42">
      <x:c r="A42" s="37" t="n">
        <x:v>40</x:v>
      </x:c>
      <x:c r="B42" s="40"/>
      <x:c r="C42" s="40"/>
      <x:c r="D42" s="40"/>
      <x:c r="E42" s="40"/>
      <x:c r="F42" s="40"/>
      <x:c r="G42" s="40"/>
      <x:c r="H42" s="40"/>
      <x:c r="I42" s="40"/>
      <x:c r="J42" s="42" t="str">
        <x:f>IF(COUNTA(B42:I42)=0,"",ROUND(AVERAGE(G42,6-H42,I42),2))</x:f>
      </x:c>
      <x:c r="K42" s="42" t="str">
        <x:f>IF(J42="","",IF(J42&gt;=4,"Включить",IF(J42&gt;=3,"Проверить","Не основной")))</x:f>
      </x:c>
    </x:row>
    <x:row r="43">
      <x:c r="A43" s="37" t="n">
        <x:v>41</x:v>
      </x:c>
      <x:c r="B43" s="40"/>
      <x:c r="C43" s="40"/>
      <x:c r="D43" s="40"/>
      <x:c r="E43" s="40"/>
      <x:c r="F43" s="40"/>
      <x:c r="G43" s="40"/>
      <x:c r="H43" s="40"/>
      <x:c r="I43" s="40"/>
      <x:c r="J43" s="42" t="str">
        <x:f>IF(COUNTA(B43:I43)=0,"",ROUND(AVERAGE(G43,6-H43,I43),2))</x:f>
      </x:c>
      <x:c r="K43" s="42" t="str">
        <x:f>IF(J43="","",IF(J43&gt;=4,"Включить",IF(J43&gt;=3,"Проверить","Не основной")))</x:f>
      </x:c>
    </x:row>
    <x:row r="44">
      <x:c r="A44" s="37" t="n">
        <x:v>42</x:v>
      </x:c>
      <x:c r="B44" s="40"/>
      <x:c r="C44" s="40"/>
      <x:c r="D44" s="40"/>
      <x:c r="E44" s="40"/>
      <x:c r="F44" s="40"/>
      <x:c r="G44" s="40"/>
      <x:c r="H44" s="40"/>
      <x:c r="I44" s="40"/>
      <x:c r="J44" s="42" t="str">
        <x:f>IF(COUNTA(B44:I44)=0,"",ROUND(AVERAGE(G44,6-H44,I44),2))</x:f>
      </x:c>
      <x:c r="K44" s="42" t="str">
        <x:f>IF(J44="","",IF(J44&gt;=4,"Включить",IF(J44&gt;=3,"Проверить","Не основной")))</x:f>
      </x:c>
    </x:row>
    <x:row r="45">
      <x:c r="A45" s="37" t="n">
        <x:v>43</x:v>
      </x:c>
      <x:c r="B45" s="40"/>
      <x:c r="C45" s="40"/>
      <x:c r="D45" s="40"/>
      <x:c r="E45" s="40"/>
      <x:c r="F45" s="40"/>
      <x:c r="G45" s="40"/>
      <x:c r="H45" s="40"/>
      <x:c r="I45" s="40"/>
      <x:c r="J45" s="42" t="str">
        <x:f>IF(COUNTA(B45:I45)=0,"",ROUND(AVERAGE(G45,6-H45,I45),2))</x:f>
      </x:c>
      <x:c r="K45" s="42" t="str">
        <x:f>IF(J45="","",IF(J45&gt;=4,"Включить",IF(J45&gt;=3,"Проверить","Не основной")))</x:f>
      </x:c>
    </x:row>
    <x:row r="46">
      <x:c r="A46" s="37" t="n">
        <x:v>44</x:v>
      </x:c>
      <x:c r="B46" s="40"/>
      <x:c r="C46" s="40"/>
      <x:c r="D46" s="40"/>
      <x:c r="E46" s="40"/>
      <x:c r="F46" s="40"/>
      <x:c r="G46" s="40"/>
      <x:c r="H46" s="40"/>
      <x:c r="I46" s="40"/>
      <x:c r="J46" s="42" t="str">
        <x:f>IF(COUNTA(B46:I46)=0,"",ROUND(AVERAGE(G46,6-H46,I46),2))</x:f>
      </x:c>
      <x:c r="K46" s="42" t="str">
        <x:f>IF(J46="","",IF(J46&gt;=4,"Включить",IF(J46&gt;=3,"Проверить","Не основной")))</x:f>
      </x:c>
    </x:row>
    <x:row r="47">
      <x:c r="A47" s="37" t="n">
        <x:v>45</x:v>
      </x:c>
      <x:c r="B47" s="40"/>
      <x:c r="C47" s="40"/>
      <x:c r="D47" s="40"/>
      <x:c r="E47" s="40"/>
      <x:c r="F47" s="40"/>
      <x:c r="G47" s="40"/>
      <x:c r="H47" s="40"/>
      <x:c r="I47" s="40"/>
      <x:c r="J47" s="42" t="str">
        <x:f>IF(COUNTA(B47:I47)=0,"",ROUND(AVERAGE(G47,6-H47,I47),2))</x:f>
      </x:c>
      <x:c r="K47" s="42" t="str">
        <x:f>IF(J47="","",IF(J47&gt;=4,"Включить",IF(J47&gt;=3,"Проверить","Не основной")))</x:f>
      </x:c>
    </x:row>
    <x:row r="48">
      <x:c r="A48" s="37" t="n">
        <x:v>46</x:v>
      </x:c>
      <x:c r="B48" s="40"/>
      <x:c r="C48" s="40"/>
      <x:c r="D48" s="40"/>
      <x:c r="E48" s="40"/>
      <x:c r="F48" s="40"/>
      <x:c r="G48" s="40"/>
      <x:c r="H48" s="40"/>
      <x:c r="I48" s="40"/>
      <x:c r="J48" s="42" t="str">
        <x:f>IF(COUNTA(B48:I48)=0,"",ROUND(AVERAGE(G48,6-H48,I48),2))</x:f>
      </x:c>
      <x:c r="K48" s="42" t="str">
        <x:f>IF(J48="","",IF(J48&gt;=4,"Включить",IF(J48&gt;=3,"Проверить","Не основной")))</x:f>
      </x:c>
    </x:row>
    <x:row r="49">
      <x:c r="A49" s="37" t="n">
        <x:v>47</x:v>
      </x:c>
      <x:c r="B49" s="40"/>
      <x:c r="C49" s="40"/>
      <x:c r="D49" s="40"/>
      <x:c r="E49" s="40"/>
      <x:c r="F49" s="40"/>
      <x:c r="G49" s="40"/>
      <x:c r="H49" s="40"/>
      <x:c r="I49" s="40"/>
      <x:c r="J49" s="42" t="str">
        <x:f>IF(COUNTA(B49:I49)=0,"",ROUND(AVERAGE(G49,6-H49,I49),2))</x:f>
      </x:c>
      <x:c r="K49" s="42" t="str">
        <x:f>IF(J49="","",IF(J49&gt;=4,"Включить",IF(J49&gt;=3,"Проверить","Не основной")))</x:f>
      </x:c>
    </x:row>
    <x:row r="50">
      <x:c r="A50" s="37" t="n">
        <x:v>48</x:v>
      </x:c>
      <x:c r="B50" s="40"/>
      <x:c r="C50" s="40"/>
      <x:c r="D50" s="40"/>
      <x:c r="E50" s="40"/>
      <x:c r="F50" s="40"/>
      <x:c r="G50" s="40"/>
      <x:c r="H50" s="40"/>
      <x:c r="I50" s="40"/>
      <x:c r="J50" s="42" t="str">
        <x:f>IF(COUNTA(B50:I50)=0,"",ROUND(AVERAGE(G50,6-H50,I50),2))</x:f>
      </x:c>
      <x:c r="K50" s="42" t="str">
        <x:f>IF(J50="","",IF(J50&gt;=4,"Включить",IF(J50&gt;=3,"Проверить","Не основной")))</x:f>
      </x:c>
    </x:row>
    <x:row r="51">
      <x:c r="A51" s="37" t="n">
        <x:v>49</x:v>
      </x:c>
      <x:c r="B51" s="40"/>
      <x:c r="C51" s="40"/>
      <x:c r="D51" s="40"/>
      <x:c r="E51" s="40"/>
      <x:c r="F51" s="40"/>
      <x:c r="G51" s="40"/>
      <x:c r="H51" s="40"/>
      <x:c r="I51" s="40"/>
      <x:c r="J51" s="42" t="str">
        <x:f>IF(COUNTA(B51:I51)=0,"",ROUND(AVERAGE(G51,6-H51,I51),2))</x:f>
      </x:c>
      <x:c r="K51" s="42" t="str">
        <x:f>IF(J51="","",IF(J51&gt;=4,"Включить",IF(J51&gt;=3,"Проверить","Не основной")))</x:f>
      </x:c>
    </x:row>
    <x:row r="52">
      <x:c r="A52" s="37" t="n">
        <x:v>50</x:v>
      </x:c>
      <x:c r="B52" s="40"/>
      <x:c r="C52" s="40"/>
      <x:c r="D52" s="40"/>
      <x:c r="E52" s="40"/>
      <x:c r="F52" s="40"/>
      <x:c r="G52" s="40"/>
      <x:c r="H52" s="40"/>
      <x:c r="I52" s="40"/>
      <x:c r="J52" s="42" t="str">
        <x:f>IF(COUNTA(B52:I52)=0,"",ROUND(AVERAGE(G52,6-H52,I52),2))</x:f>
      </x:c>
      <x:c r="K52" s="42" t="str">
        <x:f>IF(J52="","",IF(J52&gt;=4,"Включить",IF(J52&gt;=3,"Проверить","Не основной")))</x:f>
      </x:c>
    </x:row>
    <x:row r="53">
      <x:c r="A53" s="37" t="n">
        <x:v>51</x:v>
      </x:c>
      <x:c r="B53" s="40"/>
      <x:c r="C53" s="40"/>
      <x:c r="D53" s="40"/>
      <x:c r="E53" s="40"/>
      <x:c r="F53" s="40"/>
      <x:c r="G53" s="40"/>
      <x:c r="H53" s="40"/>
      <x:c r="I53" s="40"/>
      <x:c r="J53" s="42" t="str">
        <x:f>IF(COUNTA(B53:I53)=0,"",ROUND(AVERAGE(G53,6-H53,I53),2))</x:f>
      </x:c>
      <x:c r="K53" s="42" t="str">
        <x:f>IF(J53="","",IF(J53&gt;=4,"Включить",IF(J53&gt;=3,"Проверить","Не основной")))</x:f>
      </x:c>
    </x:row>
    <x:row r="54">
      <x:c r="A54" s="37" t="n">
        <x:v>52</x:v>
      </x:c>
      <x:c r="B54" s="40"/>
      <x:c r="C54" s="40"/>
      <x:c r="D54" s="40"/>
      <x:c r="E54" s="40"/>
      <x:c r="F54" s="40"/>
      <x:c r="G54" s="40"/>
      <x:c r="H54" s="40"/>
      <x:c r="I54" s="40"/>
      <x:c r="J54" s="42" t="str">
        <x:f>IF(COUNTA(B54:I54)=0,"",ROUND(AVERAGE(G54,6-H54,I54),2))</x:f>
      </x:c>
      <x:c r="K54" s="42" t="str">
        <x:f>IF(J54="","",IF(J54&gt;=4,"Включить",IF(J54&gt;=3,"Проверить","Не основной")))</x:f>
      </x:c>
    </x:row>
    <x:row r="55">
      <x:c r="A55" s="37" t="n">
        <x:v>53</x:v>
      </x:c>
      <x:c r="B55" s="40"/>
      <x:c r="C55" s="40"/>
      <x:c r="D55" s="40"/>
      <x:c r="E55" s="40"/>
      <x:c r="F55" s="40"/>
      <x:c r="G55" s="40"/>
      <x:c r="H55" s="40"/>
      <x:c r="I55" s="40"/>
      <x:c r="J55" s="42" t="str">
        <x:f>IF(COUNTA(B55:I55)=0,"",ROUND(AVERAGE(G55,6-H55,I55),2))</x:f>
      </x:c>
      <x:c r="K55" s="42" t="str">
        <x:f>IF(J55="","",IF(J55&gt;=4,"Включить",IF(J55&gt;=3,"Проверить","Не основной")))</x:f>
      </x:c>
    </x:row>
    <x:row r="56">
      <x:c r="A56" s="37" t="n">
        <x:v>54</x:v>
      </x:c>
      <x:c r="B56" s="40"/>
      <x:c r="C56" s="40"/>
      <x:c r="D56" s="40"/>
      <x:c r="E56" s="40"/>
      <x:c r="F56" s="40"/>
      <x:c r="G56" s="40"/>
      <x:c r="H56" s="40"/>
      <x:c r="I56" s="40"/>
      <x:c r="J56" s="42" t="str">
        <x:f>IF(COUNTA(B56:I56)=0,"",ROUND(AVERAGE(G56,6-H56,I56),2))</x:f>
      </x:c>
      <x:c r="K56" s="42" t="str">
        <x:f>IF(J56="","",IF(J56&gt;=4,"Включить",IF(J56&gt;=3,"Проверить","Не основной")))</x:f>
      </x:c>
    </x:row>
    <x:row r="57">
      <x:c r="A57" s="37" t="n">
        <x:v>55</x:v>
      </x:c>
      <x:c r="B57" s="40"/>
      <x:c r="C57" s="40"/>
      <x:c r="D57" s="40"/>
      <x:c r="E57" s="40"/>
      <x:c r="F57" s="40"/>
      <x:c r="G57" s="40"/>
      <x:c r="H57" s="40"/>
      <x:c r="I57" s="40"/>
      <x:c r="J57" s="42" t="str">
        <x:f>IF(COUNTA(B57:I57)=0,"",ROUND(AVERAGE(G57,6-H57,I57),2))</x:f>
      </x:c>
      <x:c r="K57" s="42" t="str">
        <x:f>IF(J57="","",IF(J57&gt;=4,"Включить",IF(J57&gt;=3,"Проверить","Не основной")))</x:f>
      </x:c>
    </x:row>
    <x:row r="58">
      <x:c r="A58" s="37" t="n">
        <x:v>56</x:v>
      </x:c>
      <x:c r="B58" s="40"/>
      <x:c r="C58" s="40"/>
      <x:c r="D58" s="40"/>
      <x:c r="E58" s="40"/>
      <x:c r="F58" s="40"/>
      <x:c r="G58" s="40"/>
      <x:c r="H58" s="40"/>
      <x:c r="I58" s="40"/>
      <x:c r="J58" s="42" t="str">
        <x:f>IF(COUNTA(B58:I58)=0,"",ROUND(AVERAGE(G58,6-H58,I58),2))</x:f>
      </x:c>
      <x:c r="K58" s="42" t="str">
        <x:f>IF(J58="","",IF(J58&gt;=4,"Включить",IF(J58&gt;=3,"Проверить","Не основной")))</x:f>
      </x:c>
    </x:row>
    <x:row r="59">
      <x:c r="A59" s="37" t="n">
        <x:v>57</x:v>
      </x:c>
      <x:c r="B59" s="40"/>
      <x:c r="C59" s="40"/>
      <x:c r="D59" s="40"/>
      <x:c r="E59" s="40"/>
      <x:c r="F59" s="40"/>
      <x:c r="G59" s="40"/>
      <x:c r="H59" s="40"/>
      <x:c r="I59" s="40"/>
      <x:c r="J59" s="42" t="str">
        <x:f>IF(COUNTA(B59:I59)=0,"",ROUND(AVERAGE(G59,6-H59,I59),2))</x:f>
      </x:c>
      <x:c r="K59" s="42" t="str">
        <x:f>IF(J59="","",IF(J59&gt;=4,"Включить",IF(J59&gt;=3,"Проверить","Не основной")))</x:f>
      </x:c>
    </x:row>
    <x:row r="60">
      <x:c r="A60" s="37" t="n">
        <x:v>58</x:v>
      </x:c>
      <x:c r="B60" s="40"/>
      <x:c r="C60" s="40"/>
      <x:c r="D60" s="40"/>
      <x:c r="E60" s="40"/>
      <x:c r="F60" s="40"/>
      <x:c r="G60" s="40"/>
      <x:c r="H60" s="40"/>
      <x:c r="I60" s="40"/>
      <x:c r="J60" s="42" t="str">
        <x:f>IF(COUNTA(B60:I60)=0,"",ROUND(AVERAGE(G60,6-H60,I60),2))</x:f>
      </x:c>
      <x:c r="K60" s="42" t="str">
        <x:f>IF(J60="","",IF(J60&gt;=4,"Включить",IF(J60&gt;=3,"Проверить","Не основной")))</x:f>
      </x:c>
    </x:row>
    <x:row r="61">
      <x:c r="A61" s="37" t="n">
        <x:v>59</x:v>
      </x:c>
      <x:c r="B61" s="40"/>
      <x:c r="C61" s="40"/>
      <x:c r="D61" s="40"/>
      <x:c r="E61" s="40"/>
      <x:c r="F61" s="40"/>
      <x:c r="G61" s="40"/>
      <x:c r="H61" s="40"/>
      <x:c r="I61" s="40"/>
      <x:c r="J61" s="42" t="str">
        <x:f>IF(COUNTA(B61:I61)=0,"",ROUND(AVERAGE(G61,6-H61,I61),2))</x:f>
      </x:c>
      <x:c r="K61" s="42" t="str">
        <x:f>IF(J61="","",IF(J61&gt;=4,"Включить",IF(J61&gt;=3,"Проверить","Не основной")))</x:f>
      </x:c>
    </x:row>
    <x:row r="62">
      <x:c r="A62" s="37" t="n">
        <x:v>60</x:v>
      </x:c>
      <x:c r="B62" s="40"/>
      <x:c r="C62" s="40"/>
      <x:c r="D62" s="40"/>
      <x:c r="E62" s="40"/>
      <x:c r="F62" s="40"/>
      <x:c r="G62" s="40"/>
      <x:c r="H62" s="40"/>
      <x:c r="I62" s="40"/>
      <x:c r="J62" s="42" t="str">
        <x:f>IF(COUNTA(B62:I62)=0,"",ROUND(AVERAGE(G62,6-H62,I62),2))</x:f>
      </x:c>
      <x:c r="K62" s="42" t="str">
        <x:f>IF(J62="","",IF(J62&gt;=4,"Включить",IF(J62&gt;=3,"Проверить","Не основной")))</x:f>
      </x:c>
    </x:row>
    <x:row r="63">
      <x:c r="A63" s="37" t="n">
        <x:v>61</x:v>
      </x:c>
      <x:c r="B63" s="40"/>
      <x:c r="C63" s="40"/>
      <x:c r="D63" s="40"/>
      <x:c r="E63" s="40"/>
      <x:c r="F63" s="40"/>
      <x:c r="G63" s="40"/>
      <x:c r="H63" s="40"/>
      <x:c r="I63" s="40"/>
      <x:c r="J63" s="42" t="str">
        <x:f>IF(COUNTA(B63:I63)=0,"",ROUND(AVERAGE(G63,6-H63,I63),2))</x:f>
      </x:c>
      <x:c r="K63" s="42" t="str">
        <x:f>IF(J63="","",IF(J63&gt;=4,"Включить",IF(J63&gt;=3,"Проверить","Не основной")))</x:f>
      </x:c>
    </x:row>
    <x:row r="64">
      <x:c r="A64" s="37" t="n">
        <x:v>62</x:v>
      </x:c>
      <x:c r="B64" s="40"/>
      <x:c r="C64" s="40"/>
      <x:c r="D64" s="40"/>
      <x:c r="E64" s="40"/>
      <x:c r="F64" s="40"/>
      <x:c r="G64" s="40"/>
      <x:c r="H64" s="40"/>
      <x:c r="I64" s="40"/>
      <x:c r="J64" s="42" t="str">
        <x:f>IF(COUNTA(B64:I64)=0,"",ROUND(AVERAGE(G64,6-H64,I64),2))</x:f>
      </x:c>
      <x:c r="K64" s="42" t="str">
        <x:f>IF(J64="","",IF(J64&gt;=4,"Включить",IF(J64&gt;=3,"Проверить","Не основной")))</x:f>
      </x:c>
    </x:row>
    <x:row r="65">
      <x:c r="A65" s="37" t="n">
        <x:v>63</x:v>
      </x:c>
      <x:c r="B65" s="40"/>
      <x:c r="C65" s="40"/>
      <x:c r="D65" s="40"/>
      <x:c r="E65" s="40"/>
      <x:c r="F65" s="40"/>
      <x:c r="G65" s="40"/>
      <x:c r="H65" s="40"/>
      <x:c r="I65" s="40"/>
      <x:c r="J65" s="42" t="str">
        <x:f>IF(COUNTA(B65:I65)=0,"",ROUND(AVERAGE(G65,6-H65,I65),2))</x:f>
      </x:c>
      <x:c r="K65" s="42" t="str">
        <x:f>IF(J65="","",IF(J65&gt;=4,"Включить",IF(J65&gt;=3,"Проверить","Не основной")))</x:f>
      </x:c>
    </x:row>
    <x:row r="66">
      <x:c r="A66" s="37" t="n">
        <x:v>64</x:v>
      </x:c>
      <x:c r="B66" s="40"/>
      <x:c r="C66" s="40"/>
      <x:c r="D66" s="40"/>
      <x:c r="E66" s="40"/>
      <x:c r="F66" s="40"/>
      <x:c r="G66" s="40"/>
      <x:c r="H66" s="40"/>
      <x:c r="I66" s="40"/>
      <x:c r="J66" s="42" t="str">
        <x:f>IF(COUNTA(B66:I66)=0,"",ROUND(AVERAGE(G66,6-H66,I66),2))</x:f>
      </x:c>
      <x:c r="K66" s="42" t="str">
        <x:f>IF(J66="","",IF(J66&gt;=4,"Включить",IF(J66&gt;=3,"Проверить","Не основной")))</x:f>
      </x:c>
    </x:row>
    <x:row r="67">
      <x:c r="A67" s="37" t="n">
        <x:v>65</x:v>
      </x:c>
      <x:c r="B67" s="40"/>
      <x:c r="C67" s="40"/>
      <x:c r="D67" s="40"/>
      <x:c r="E67" s="40"/>
      <x:c r="F67" s="40"/>
      <x:c r="G67" s="40"/>
      <x:c r="H67" s="40"/>
      <x:c r="I67" s="40"/>
      <x:c r="J67" s="42" t="str">
        <x:f>IF(COUNTA(B67:I67)=0,"",ROUND(AVERAGE(G67,6-H67,I67),2))</x:f>
      </x:c>
      <x:c r="K67" s="42" t="str">
        <x:f>IF(J67="","",IF(J67&gt;=4,"Включить",IF(J67&gt;=3,"Проверить","Не основной")))</x:f>
      </x:c>
    </x:row>
    <x:row r="68">
      <x:c r="A68" s="37" t="n">
        <x:v>66</x:v>
      </x:c>
      <x:c r="B68" s="40"/>
      <x:c r="C68" s="40"/>
      <x:c r="D68" s="40"/>
      <x:c r="E68" s="40"/>
      <x:c r="F68" s="40"/>
      <x:c r="G68" s="40"/>
      <x:c r="H68" s="40"/>
      <x:c r="I68" s="40"/>
      <x:c r="J68" s="42" t="str">
        <x:f>IF(COUNTA(B68:I68)=0,"",ROUND(AVERAGE(G68,6-H68,I68),2))</x:f>
      </x:c>
      <x:c r="K68" s="42" t="str">
        <x:f>IF(J68="","",IF(J68&gt;=4,"Включить",IF(J68&gt;=3,"Проверить","Не основной")))</x:f>
      </x:c>
    </x:row>
    <x:row r="69">
      <x:c r="A69" s="37" t="n">
        <x:v>67</x:v>
      </x:c>
      <x:c r="B69" s="40"/>
      <x:c r="C69" s="40"/>
      <x:c r="D69" s="40"/>
      <x:c r="E69" s="40"/>
      <x:c r="F69" s="40"/>
      <x:c r="G69" s="40"/>
      <x:c r="H69" s="40"/>
      <x:c r="I69" s="40"/>
      <x:c r="J69" s="42" t="str">
        <x:f>IF(COUNTA(B69:I69)=0,"",ROUND(AVERAGE(G69,6-H69,I69),2))</x:f>
      </x:c>
      <x:c r="K69" s="42" t="str">
        <x:f>IF(J69="","",IF(J69&gt;=4,"Включить",IF(J69&gt;=3,"Проверить","Не основной")))</x:f>
      </x:c>
    </x:row>
    <x:row r="70">
      <x:c r="A70" s="37" t="n">
        <x:v>68</x:v>
      </x:c>
      <x:c r="B70" s="40"/>
      <x:c r="C70" s="40"/>
      <x:c r="D70" s="40"/>
      <x:c r="E70" s="40"/>
      <x:c r="F70" s="40"/>
      <x:c r="G70" s="40"/>
      <x:c r="H70" s="40"/>
      <x:c r="I70" s="40"/>
      <x:c r="J70" s="42" t="str">
        <x:f>IF(COUNTA(B70:I70)=0,"",ROUND(AVERAGE(G70,6-H70,I70),2))</x:f>
      </x:c>
      <x:c r="K70" s="42" t="str">
        <x:f>IF(J70="","",IF(J70&gt;=4,"Включить",IF(J70&gt;=3,"Проверить","Не основной")))</x:f>
      </x:c>
    </x:row>
    <x:row r="71">
      <x:c r="A71" s="37" t="n">
        <x:v>69</x:v>
      </x:c>
      <x:c r="B71" s="40"/>
      <x:c r="C71" s="40"/>
      <x:c r="D71" s="40"/>
      <x:c r="E71" s="40"/>
      <x:c r="F71" s="40"/>
      <x:c r="G71" s="40"/>
      <x:c r="H71" s="40"/>
      <x:c r="I71" s="40"/>
      <x:c r="J71" s="42" t="str">
        <x:f>IF(COUNTA(B71:I71)=0,"",ROUND(AVERAGE(G71,6-H71,I71),2))</x:f>
      </x:c>
      <x:c r="K71" s="42" t="str">
        <x:f>IF(J71="","",IF(J71&gt;=4,"Включить",IF(J71&gt;=3,"Проверить","Не основной")))</x:f>
      </x:c>
    </x:row>
    <x:row r="72">
      <x:c r="A72" s="37" t="n">
        <x:v>70</x:v>
      </x:c>
      <x:c r="B72" s="40"/>
      <x:c r="C72" s="40"/>
      <x:c r="D72" s="40"/>
      <x:c r="E72" s="40"/>
      <x:c r="F72" s="40"/>
      <x:c r="G72" s="40"/>
      <x:c r="H72" s="40"/>
      <x:c r="I72" s="40"/>
      <x:c r="J72" s="42" t="str">
        <x:f>IF(COUNTA(B72:I72)=0,"",ROUND(AVERAGE(G72,6-H72,I72),2))</x:f>
      </x:c>
      <x:c r="K72" s="42" t="str">
        <x:f>IF(J72="","",IF(J72&gt;=4,"Включить",IF(J72&gt;=3,"Проверить","Не основной")))</x:f>
      </x:c>
    </x:row>
    <x:row r="73">
      <x:c r="A73" s="37" t="n">
        <x:v>71</x:v>
      </x:c>
      <x:c r="B73" s="40"/>
      <x:c r="C73" s="40"/>
      <x:c r="D73" s="40"/>
      <x:c r="E73" s="40"/>
      <x:c r="F73" s="40"/>
      <x:c r="G73" s="40"/>
      <x:c r="H73" s="40"/>
      <x:c r="I73" s="40"/>
      <x:c r="J73" s="42" t="str">
        <x:f>IF(COUNTA(B73:I73)=0,"",ROUND(AVERAGE(G73,6-H73,I73),2))</x:f>
      </x:c>
      <x:c r="K73" s="42" t="str">
        <x:f>IF(J73="","",IF(J73&gt;=4,"Включить",IF(J73&gt;=3,"Проверить","Не основной")))</x:f>
      </x:c>
    </x:row>
    <x:row r="74">
      <x:c r="A74" s="37" t="n">
        <x:v>72</x:v>
      </x:c>
      <x:c r="B74" s="40"/>
      <x:c r="C74" s="40"/>
      <x:c r="D74" s="40"/>
      <x:c r="E74" s="40"/>
      <x:c r="F74" s="40"/>
      <x:c r="G74" s="40"/>
      <x:c r="H74" s="40"/>
      <x:c r="I74" s="40"/>
      <x:c r="J74" s="42" t="str">
        <x:f>IF(COUNTA(B74:I74)=0,"",ROUND(AVERAGE(G74,6-H74,I74),2))</x:f>
      </x:c>
      <x:c r="K74" s="42" t="str">
        <x:f>IF(J74="","",IF(J74&gt;=4,"Включить",IF(J74&gt;=3,"Проверить","Не основной")))</x:f>
      </x:c>
    </x:row>
    <x:row r="75">
      <x:c r="A75" s="37" t="n">
        <x:v>73</x:v>
      </x:c>
      <x:c r="B75" s="40"/>
      <x:c r="C75" s="40"/>
      <x:c r="D75" s="40"/>
      <x:c r="E75" s="40"/>
      <x:c r="F75" s="40"/>
      <x:c r="G75" s="40"/>
      <x:c r="H75" s="40"/>
      <x:c r="I75" s="40"/>
      <x:c r="J75" s="42" t="str">
        <x:f>IF(COUNTA(B75:I75)=0,"",ROUND(AVERAGE(G75,6-H75,I75),2))</x:f>
      </x:c>
      <x:c r="K75" s="42" t="str">
        <x:f>IF(J75="","",IF(J75&gt;=4,"Включить",IF(J75&gt;=3,"Проверить","Не основной")))</x:f>
      </x:c>
    </x:row>
    <x:row r="76">
      <x:c r="A76" s="37" t="n">
        <x:v>74</x:v>
      </x:c>
      <x:c r="B76" s="40"/>
      <x:c r="C76" s="40"/>
      <x:c r="D76" s="40"/>
      <x:c r="E76" s="40"/>
      <x:c r="F76" s="40"/>
      <x:c r="G76" s="40"/>
      <x:c r="H76" s="40"/>
      <x:c r="I76" s="40"/>
      <x:c r="J76" s="42" t="str">
        <x:f>IF(COUNTA(B76:I76)=0,"",ROUND(AVERAGE(G76,6-H76,I76),2))</x:f>
      </x:c>
      <x:c r="K76" s="42" t="str">
        <x:f>IF(J76="","",IF(J76&gt;=4,"Включить",IF(J76&gt;=3,"Проверить","Не основной")))</x:f>
      </x:c>
    </x:row>
    <x:row r="77">
      <x:c r="A77" s="37" t="n">
        <x:v>75</x:v>
      </x:c>
      <x:c r="B77" s="40"/>
      <x:c r="C77" s="40"/>
      <x:c r="D77" s="40"/>
      <x:c r="E77" s="40"/>
      <x:c r="F77" s="40"/>
      <x:c r="G77" s="40"/>
      <x:c r="H77" s="40"/>
      <x:c r="I77" s="40"/>
      <x:c r="J77" s="42" t="str">
        <x:f>IF(COUNTA(B77:I77)=0,"",ROUND(AVERAGE(G77,6-H77,I77),2))</x:f>
      </x:c>
      <x:c r="K77" s="42" t="str">
        <x:f>IF(J77="","",IF(J77&gt;=4,"Включить",IF(J77&gt;=3,"Проверить","Не основной")))</x:f>
      </x:c>
    </x:row>
    <x:row r="78">
      <x:c r="A78" s="37" t="n">
        <x:v>76</x:v>
      </x:c>
      <x:c r="B78" s="40"/>
      <x:c r="C78" s="40"/>
      <x:c r="D78" s="40"/>
      <x:c r="E78" s="40"/>
      <x:c r="F78" s="40"/>
      <x:c r="G78" s="40"/>
      <x:c r="H78" s="40"/>
      <x:c r="I78" s="40"/>
      <x:c r="J78" s="42" t="str">
        <x:f>IF(COUNTA(B78:I78)=0,"",ROUND(AVERAGE(G78,6-H78,I78),2))</x:f>
      </x:c>
      <x:c r="K78" s="42" t="str">
        <x:f>IF(J78="","",IF(J78&gt;=4,"Включить",IF(J78&gt;=3,"Проверить","Не основной")))</x:f>
      </x:c>
    </x:row>
    <x:row r="79">
      <x:c r="A79" s="37" t="n">
        <x:v>77</x:v>
      </x:c>
      <x:c r="B79" s="40"/>
      <x:c r="C79" s="40"/>
      <x:c r="D79" s="40"/>
      <x:c r="E79" s="40"/>
      <x:c r="F79" s="40"/>
      <x:c r="G79" s="40"/>
      <x:c r="H79" s="40"/>
      <x:c r="I79" s="40"/>
      <x:c r="J79" s="42" t="str">
        <x:f>IF(COUNTA(B79:I79)=0,"",ROUND(AVERAGE(G79,6-H79,I79),2))</x:f>
      </x:c>
      <x:c r="K79" s="42" t="str">
        <x:f>IF(J79="","",IF(J79&gt;=4,"Включить",IF(J79&gt;=3,"Проверить","Не основной")))</x:f>
      </x:c>
    </x:row>
    <x:row r="80">
      <x:c r="A80" s="37" t="n">
        <x:v>78</x:v>
      </x:c>
      <x:c r="B80" s="40"/>
      <x:c r="C80" s="40"/>
      <x:c r="D80" s="40"/>
      <x:c r="E80" s="40"/>
      <x:c r="F80" s="40"/>
      <x:c r="G80" s="40"/>
      <x:c r="H80" s="40"/>
      <x:c r="I80" s="40"/>
      <x:c r="J80" s="42" t="str">
        <x:f>IF(COUNTA(B80:I80)=0,"",ROUND(AVERAGE(G80,6-H80,I80),2))</x:f>
      </x:c>
      <x:c r="K80" s="42" t="str">
        <x:f>IF(J80="","",IF(J80&gt;=4,"Включить",IF(J80&gt;=3,"Проверить","Не основной")))</x:f>
      </x:c>
    </x:row>
    <x:row r="81">
      <x:c r="A81" s="37" t="n">
        <x:v>79</x:v>
      </x:c>
      <x:c r="B81" s="40"/>
      <x:c r="C81" s="40"/>
      <x:c r="D81" s="40"/>
      <x:c r="E81" s="40"/>
      <x:c r="F81" s="40"/>
      <x:c r="G81" s="40"/>
      <x:c r="H81" s="40"/>
      <x:c r="I81" s="40"/>
      <x:c r="J81" s="42" t="str">
        <x:f>IF(COUNTA(B81:I81)=0,"",ROUND(AVERAGE(G81,6-H81,I81),2))</x:f>
      </x:c>
      <x:c r="K81" s="42" t="str">
        <x:f>IF(J81="","",IF(J81&gt;=4,"Включить",IF(J81&gt;=3,"Проверить","Не основной")))</x:f>
      </x:c>
    </x:row>
    <x:row r="82">
      <x:c r="A82" s="37" t="n">
        <x:v>80</x:v>
      </x:c>
      <x:c r="B82" s="40"/>
      <x:c r="C82" s="40"/>
      <x:c r="D82" s="40"/>
      <x:c r="E82" s="40"/>
      <x:c r="F82" s="40"/>
      <x:c r="G82" s="40"/>
      <x:c r="H82" s="40"/>
      <x:c r="I82" s="40"/>
      <x:c r="J82" s="42" t="str">
        <x:f>IF(COUNTA(B82:I82)=0,"",ROUND(AVERAGE(G82,6-H82,I82),2))</x:f>
      </x:c>
      <x:c r="K82" s="42" t="str">
        <x:f>IF(J82="","",IF(J82&gt;=4,"Включить",IF(J82&gt;=3,"Проверить","Не основной")))</x:f>
      </x:c>
    </x:row>
    <x:row r="83">
      <x:c r="A83" s="37" t="n">
        <x:v>81</x:v>
      </x:c>
      <x:c r="B83" s="40"/>
      <x:c r="C83" s="40"/>
      <x:c r="D83" s="40"/>
      <x:c r="E83" s="40"/>
      <x:c r="F83" s="40"/>
      <x:c r="G83" s="40"/>
      <x:c r="H83" s="40"/>
      <x:c r="I83" s="40"/>
      <x:c r="J83" s="42" t="str">
        <x:f>IF(COUNTA(B83:I83)=0,"",ROUND(AVERAGE(G83,6-H83,I83),2))</x:f>
      </x:c>
      <x:c r="K83" s="42" t="str">
        <x:f>IF(J83="","",IF(J83&gt;=4,"Включить",IF(J83&gt;=3,"Проверить","Не основной")))</x:f>
      </x:c>
    </x:row>
    <x:row r="84">
      <x:c r="A84" s="37" t="n">
        <x:v>82</x:v>
      </x:c>
      <x:c r="B84" s="40"/>
      <x:c r="C84" s="40"/>
      <x:c r="D84" s="40"/>
      <x:c r="E84" s="40"/>
      <x:c r="F84" s="40"/>
      <x:c r="G84" s="40"/>
      <x:c r="H84" s="40"/>
      <x:c r="I84" s="40"/>
      <x:c r="J84" s="42" t="str">
        <x:f>IF(COUNTA(B84:I84)=0,"",ROUND(AVERAGE(G84,6-H84,I84),2))</x:f>
      </x:c>
      <x:c r="K84" s="42" t="str">
        <x:f>IF(J84="","",IF(J84&gt;=4,"Включить",IF(J84&gt;=3,"Проверить","Не основной")))</x:f>
      </x:c>
    </x:row>
    <x:row r="85">
      <x:c r="A85" s="37" t="n">
        <x:v>83</x:v>
      </x:c>
      <x:c r="B85" s="40"/>
      <x:c r="C85" s="40"/>
      <x:c r="D85" s="40"/>
      <x:c r="E85" s="40"/>
      <x:c r="F85" s="40"/>
      <x:c r="G85" s="40"/>
      <x:c r="H85" s="40"/>
      <x:c r="I85" s="40"/>
      <x:c r="J85" s="42" t="str">
        <x:f>IF(COUNTA(B85:I85)=0,"",ROUND(AVERAGE(G85,6-H85,I85),2))</x:f>
      </x:c>
      <x:c r="K85" s="42" t="str">
        <x:f>IF(J85="","",IF(J85&gt;=4,"Включить",IF(J85&gt;=3,"Проверить","Не основной")))</x:f>
      </x:c>
    </x:row>
    <x:row r="86">
      <x:c r="A86" s="37" t="n">
        <x:v>84</x:v>
      </x:c>
      <x:c r="B86" s="40"/>
      <x:c r="C86" s="40"/>
      <x:c r="D86" s="40"/>
      <x:c r="E86" s="40"/>
      <x:c r="F86" s="40"/>
      <x:c r="G86" s="40"/>
      <x:c r="H86" s="40"/>
      <x:c r="I86" s="40"/>
      <x:c r="J86" s="42" t="str">
        <x:f>IF(COUNTA(B86:I86)=0,"",ROUND(AVERAGE(G86,6-H86,I86),2))</x:f>
      </x:c>
      <x:c r="K86" s="42" t="str">
        <x:f>IF(J86="","",IF(J86&gt;=4,"Включить",IF(J86&gt;=3,"Проверить","Не основной")))</x:f>
      </x:c>
    </x:row>
    <x:row r="87">
      <x:c r="A87" s="37" t="n">
        <x:v>85</x:v>
      </x:c>
      <x:c r="B87" s="40"/>
      <x:c r="C87" s="40"/>
      <x:c r="D87" s="40"/>
      <x:c r="E87" s="40"/>
      <x:c r="F87" s="40"/>
      <x:c r="G87" s="40"/>
      <x:c r="H87" s="40"/>
      <x:c r="I87" s="40"/>
      <x:c r="J87" s="42" t="str">
        <x:f>IF(COUNTA(B87:I87)=0,"",ROUND(AVERAGE(G87,6-H87,I87),2))</x:f>
      </x:c>
      <x:c r="K87" s="42" t="str">
        <x:f>IF(J87="","",IF(J87&gt;=4,"Включить",IF(J87&gt;=3,"Проверить","Не основной")))</x:f>
      </x:c>
    </x:row>
    <x:row r="88">
      <x:c r="A88" s="37" t="n">
        <x:v>86</x:v>
      </x:c>
      <x:c r="B88" s="40"/>
      <x:c r="C88" s="40"/>
      <x:c r="D88" s="40"/>
      <x:c r="E88" s="40"/>
      <x:c r="F88" s="40"/>
      <x:c r="G88" s="40"/>
      <x:c r="H88" s="40"/>
      <x:c r="I88" s="40"/>
      <x:c r="J88" s="42" t="str">
        <x:f>IF(COUNTA(B88:I88)=0,"",ROUND(AVERAGE(G88,6-H88,I88),2))</x:f>
      </x:c>
      <x:c r="K88" s="42" t="str">
        <x:f>IF(J88="","",IF(J88&gt;=4,"Включить",IF(J88&gt;=3,"Проверить","Не основной")))</x:f>
      </x:c>
    </x:row>
    <x:row r="89">
      <x:c r="A89" s="37" t="n">
        <x:v>87</x:v>
      </x:c>
      <x:c r="B89" s="40"/>
      <x:c r="C89" s="40"/>
      <x:c r="D89" s="40"/>
      <x:c r="E89" s="40"/>
      <x:c r="F89" s="40"/>
      <x:c r="G89" s="40"/>
      <x:c r="H89" s="40"/>
      <x:c r="I89" s="40"/>
      <x:c r="J89" s="42" t="str">
        <x:f>IF(COUNTA(B89:I89)=0,"",ROUND(AVERAGE(G89,6-H89,I89),2))</x:f>
      </x:c>
      <x:c r="K89" s="42" t="str">
        <x:f>IF(J89="","",IF(J89&gt;=4,"Включить",IF(J89&gt;=3,"Проверить","Не основной")))</x:f>
      </x:c>
    </x:row>
    <x:row r="90">
      <x:c r="A90" s="37" t="n">
        <x:v>88</x:v>
      </x:c>
      <x:c r="B90" s="40"/>
      <x:c r="C90" s="40"/>
      <x:c r="D90" s="40"/>
      <x:c r="E90" s="40"/>
      <x:c r="F90" s="40"/>
      <x:c r="G90" s="40"/>
      <x:c r="H90" s="40"/>
      <x:c r="I90" s="40"/>
      <x:c r="J90" s="42" t="str">
        <x:f>IF(COUNTA(B90:I90)=0,"",ROUND(AVERAGE(G90,6-H90,I90),2))</x:f>
      </x:c>
      <x:c r="K90" s="42" t="str">
        <x:f>IF(J90="","",IF(J90&gt;=4,"Включить",IF(J90&gt;=3,"Проверить","Не основной")))</x:f>
      </x:c>
    </x:row>
    <x:row r="91">
      <x:c r="A91" s="37" t="n">
        <x:v>89</x:v>
      </x:c>
      <x:c r="B91" s="40"/>
      <x:c r="C91" s="40"/>
      <x:c r="D91" s="40"/>
      <x:c r="E91" s="40"/>
      <x:c r="F91" s="40"/>
      <x:c r="G91" s="40"/>
      <x:c r="H91" s="40"/>
      <x:c r="I91" s="40"/>
      <x:c r="J91" s="42" t="str">
        <x:f>IF(COUNTA(B91:I91)=0,"",ROUND(AVERAGE(G91,6-H91,I91),2))</x:f>
      </x:c>
      <x:c r="K91" s="42" t="str">
        <x:f>IF(J91="","",IF(J91&gt;=4,"Включить",IF(J91&gt;=3,"Проверить","Не основной")))</x:f>
      </x:c>
    </x:row>
    <x:row r="92">
      <x:c r="A92" s="37" t="n">
        <x:v>90</x:v>
      </x:c>
      <x:c r="B92" s="40"/>
      <x:c r="C92" s="40"/>
      <x:c r="D92" s="40"/>
      <x:c r="E92" s="40"/>
      <x:c r="F92" s="40"/>
      <x:c r="G92" s="40"/>
      <x:c r="H92" s="40"/>
      <x:c r="I92" s="40"/>
      <x:c r="J92" s="42" t="str">
        <x:f>IF(COUNTA(B92:I92)=0,"",ROUND(AVERAGE(G92,6-H92,I92),2))</x:f>
      </x:c>
      <x:c r="K92" s="42" t="str">
        <x:f>IF(J92="","",IF(J92&gt;=4,"Включить",IF(J92&gt;=3,"Проверить","Не основной")))</x:f>
      </x:c>
    </x:row>
    <x:row r="93">
      <x:c r="A93" s="37" t="n">
        <x:v>91</x:v>
      </x:c>
      <x:c r="B93" s="40"/>
      <x:c r="C93" s="40"/>
      <x:c r="D93" s="40"/>
      <x:c r="E93" s="40"/>
      <x:c r="F93" s="40"/>
      <x:c r="G93" s="40"/>
      <x:c r="H93" s="40"/>
      <x:c r="I93" s="40"/>
      <x:c r="J93" s="42" t="str">
        <x:f>IF(COUNTA(B93:I93)=0,"",ROUND(AVERAGE(G93,6-H93,I93),2))</x:f>
      </x:c>
      <x:c r="K93" s="42" t="str">
        <x:f>IF(J93="","",IF(J93&gt;=4,"Включить",IF(J93&gt;=3,"Проверить","Не основной")))</x:f>
      </x:c>
    </x:row>
    <x:row r="94">
      <x:c r="A94" s="37" t="n">
        <x:v>92</x:v>
      </x:c>
      <x:c r="B94" s="40"/>
      <x:c r="C94" s="40"/>
      <x:c r="D94" s="40"/>
      <x:c r="E94" s="40"/>
      <x:c r="F94" s="40"/>
      <x:c r="G94" s="40"/>
      <x:c r="H94" s="40"/>
      <x:c r="I94" s="40"/>
      <x:c r="J94" s="42" t="str">
        <x:f>IF(COUNTA(B94:I94)=0,"",ROUND(AVERAGE(G94,6-H94,I94),2))</x:f>
      </x:c>
      <x:c r="K94" s="42" t="str">
        <x:f>IF(J94="","",IF(J94&gt;=4,"Включить",IF(J94&gt;=3,"Проверить","Не основной")))</x:f>
      </x:c>
    </x:row>
    <x:row r="95">
      <x:c r="A95" s="37" t="n">
        <x:v>93</x:v>
      </x:c>
      <x:c r="B95" s="40"/>
      <x:c r="C95" s="40"/>
      <x:c r="D95" s="40"/>
      <x:c r="E95" s="40"/>
      <x:c r="F95" s="40"/>
      <x:c r="G95" s="40"/>
      <x:c r="H95" s="40"/>
      <x:c r="I95" s="40"/>
      <x:c r="J95" s="42" t="str">
        <x:f>IF(COUNTA(B95:I95)=0,"",ROUND(AVERAGE(G95,6-H95,I95),2))</x:f>
      </x:c>
      <x:c r="K95" s="42" t="str">
        <x:f>IF(J95="","",IF(J95&gt;=4,"Включить",IF(J95&gt;=3,"Проверить","Не основной")))</x:f>
      </x:c>
    </x:row>
    <x:row r="96">
      <x:c r="A96" s="37" t="n">
        <x:v>94</x:v>
      </x:c>
      <x:c r="B96" s="40"/>
      <x:c r="C96" s="40"/>
      <x:c r="D96" s="40"/>
      <x:c r="E96" s="40"/>
      <x:c r="F96" s="40"/>
      <x:c r="G96" s="40"/>
      <x:c r="H96" s="40"/>
      <x:c r="I96" s="40"/>
      <x:c r="J96" s="42" t="str">
        <x:f>IF(COUNTA(B96:I96)=0,"",ROUND(AVERAGE(G96,6-H96,I96),2))</x:f>
      </x:c>
      <x:c r="K96" s="42" t="str">
        <x:f>IF(J96="","",IF(J96&gt;=4,"Включить",IF(J96&gt;=3,"Проверить","Не основной")))</x:f>
      </x:c>
    </x:row>
    <x:row r="97">
      <x:c r="A97" s="37" t="n">
        <x:v>95</x:v>
      </x:c>
      <x:c r="B97" s="40"/>
      <x:c r="C97" s="40"/>
      <x:c r="D97" s="40"/>
      <x:c r="E97" s="40"/>
      <x:c r="F97" s="40"/>
      <x:c r="G97" s="40"/>
      <x:c r="H97" s="40"/>
      <x:c r="I97" s="40"/>
      <x:c r="J97" s="42" t="str">
        <x:f>IF(COUNTA(B97:I97)=0,"",ROUND(AVERAGE(G97,6-H97,I97),2))</x:f>
      </x:c>
      <x:c r="K97" s="42" t="str">
        <x:f>IF(J97="","",IF(J97&gt;=4,"Включить",IF(J97&gt;=3,"Проверить","Не основной")))</x:f>
      </x:c>
    </x:row>
    <x:row r="98">
      <x:c r="A98" s="37" t="n">
        <x:v>96</x:v>
      </x:c>
      <x:c r="B98" s="40"/>
      <x:c r="C98" s="40"/>
      <x:c r="D98" s="40"/>
      <x:c r="E98" s="40"/>
      <x:c r="F98" s="40"/>
      <x:c r="G98" s="40"/>
      <x:c r="H98" s="40"/>
      <x:c r="I98" s="40"/>
      <x:c r="J98" s="42" t="str">
        <x:f>IF(COUNTA(B98:I98)=0,"",ROUND(AVERAGE(G98,6-H98,I98),2))</x:f>
      </x:c>
      <x:c r="K98" s="42" t="str">
        <x:f>IF(J98="","",IF(J98&gt;=4,"Включить",IF(J98&gt;=3,"Проверить","Не основной")))</x:f>
      </x:c>
    </x:row>
    <x:row r="99">
      <x:c r="A99" s="37" t="n">
        <x:v>97</x:v>
      </x:c>
      <x:c r="B99" s="40"/>
      <x:c r="C99" s="40"/>
      <x:c r="D99" s="40"/>
      <x:c r="E99" s="40"/>
      <x:c r="F99" s="40"/>
      <x:c r="G99" s="40"/>
      <x:c r="H99" s="40"/>
      <x:c r="I99" s="40"/>
      <x:c r="J99" s="42" t="str">
        <x:f>IF(COUNTA(B99:I99)=0,"",ROUND(AVERAGE(G99,6-H99,I99),2))</x:f>
      </x:c>
      <x:c r="K99" s="42" t="str">
        <x:f>IF(J99="","",IF(J99&gt;=4,"Включить",IF(J99&gt;=3,"Проверить","Не основной")))</x:f>
      </x:c>
    </x:row>
    <x:row r="100">
      <x:c r="A100" s="37" t="n">
        <x:v>98</x:v>
      </x:c>
      <x:c r="B100" s="40"/>
      <x:c r="C100" s="40"/>
      <x:c r="D100" s="40"/>
      <x:c r="E100" s="40"/>
      <x:c r="F100" s="40"/>
      <x:c r="G100" s="40"/>
      <x:c r="H100" s="40"/>
      <x:c r="I100" s="40"/>
      <x:c r="J100" s="42" t="str">
        <x:f>IF(COUNTA(B100:I100)=0,"",ROUND(AVERAGE(G100,6-H100,I100),2))</x:f>
      </x:c>
      <x:c r="K100" s="42" t="str">
        <x:f>IF(J100="","",IF(J100&gt;=4,"Включить",IF(J100&gt;=3,"Проверить","Не основной")))</x:f>
      </x:c>
    </x:row>
    <x:row r="101">
      <x:c r="A101" s="37" t="n">
        <x:v>99</x:v>
      </x:c>
      <x:c r="B101" s="40"/>
      <x:c r="C101" s="40"/>
      <x:c r="D101" s="40"/>
      <x:c r="E101" s="40"/>
      <x:c r="F101" s="40"/>
      <x:c r="G101" s="40"/>
      <x:c r="H101" s="40"/>
      <x:c r="I101" s="40"/>
      <x:c r="J101" s="42" t="str">
        <x:f>IF(COUNTA(B101:I101)=0,"",ROUND(AVERAGE(G101,6-H101,I101),2))</x:f>
      </x:c>
      <x:c r="K101" s="42" t="str">
        <x:f>IF(J101="","",IF(J101&gt;=4,"Включить",IF(J101&gt;=3,"Проверить","Не основной")))</x:f>
      </x:c>
    </x:row>
    <x:row r="102">
      <x:c r="A102" s="37" t="n">
        <x:v>100</x:v>
      </x:c>
      <x:c r="B102" s="40"/>
      <x:c r="C102" s="40"/>
      <x:c r="D102" s="40"/>
      <x:c r="E102" s="40"/>
      <x:c r="F102" s="40"/>
      <x:c r="G102" s="40"/>
      <x:c r="H102" s="40"/>
      <x:c r="I102" s="40"/>
      <x:c r="J102" s="42" t="str">
        <x:f>IF(COUNTA(B102:I102)=0,"",ROUND(AVERAGE(G102,6-H102,I102),2))</x:f>
      </x:c>
      <x:c r="K102" s="42" t="str">
        <x:f>IF(J102="","",IF(J102&gt;=4,"Включить",IF(J102&gt;=3,"Проверить","Не основной")))</x:f>
      </x:c>
    </x:row>
  </x:sheetData>
  <x:mergeCells>
    <x:mergeCell ref="A1:K1"/>
  </x:mergeCells>
  <x:conditionalFormatting sqref="J3:J102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2">
    <x:dataValidation type="list" sqref="B3:B102">
      <x:formula1>'12_Справочники'!$I$3:$I$10</x:formula1>
    </x:dataValidation>
    <x:dataValidation type="list" sqref="G3:I102">
      <x:formula1>'12_Справочники'!$C$3:$C$7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4b28022329487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0" hidden="0" customWidth="1"/>
    <x:col min="14" max="14" width="20" hidden="0" customWidth="1"/>
  </x:cols>
  <x:sheetData>
    <x:row r="1" ht="32" customHeight="1">
      <x:c r="A1" s="6" t="str">
        <x:v>Единица монетизации и потоки доходов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32" customHeight="1">
      <x:c r="A2" s="36" t="str">
        <x:v>ID</x:v>
      </x:c>
      <x:c r="B2" s="36" t="str">
        <x:v>Единица монетизации</x:v>
      </x:c>
      <x:c r="C2" s="36" t="str">
        <x:v>Событие оплаты</x:v>
      </x:c>
      <x:c r="D2" s="36" t="str">
        <x:v>Метрика учета</x:v>
      </x:c>
      <x:c r="E2" s="36" t="str">
        <x:v>Логика цены</x:v>
      </x:c>
      <x:c r="F2" s="36" t="str">
        <x:v>Тип потока доходов</x:v>
      </x:c>
      <x:c r="G2" s="36" t="str">
        <x:v>Сигналы конкурентов</x:v>
      </x:c>
      <x:c r="H2" s="36" t="str">
        <x:v>Связь с ценностью</x:v>
      </x:c>
      <x:c r="I2" s="36" t="str">
        <x:v>Готовность платить 1-5</x:v>
      </x:c>
      <x:c r="J2" s="36" t="str">
        <x:v>Измеримость 1-5</x:v>
      </x:c>
      <x:c r="K2" s="36" t="str">
        <x:v>Повторяемость дохода 1-5</x:v>
      </x:c>
      <x:c r="L2" s="36" t="str">
        <x:v>Доказательность 1-5</x:v>
      </x:c>
      <x:c r="M2" s="36" t="str">
        <x:v>Индекс монетизации</x:v>
      </x:c>
      <x:c r="N2" s="36" t="str">
        <x:v>Статус</x:v>
      </x:c>
    </x:row>
    <x:row r="3">
      <x:c r="A3" s="37" t="n">
        <x:v>1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2" t="str">
        <x:f>IF(COUNTA(B3:L3)=0,"",ROUND(AVERAGE(I3:L3),2))</x:f>
      </x:c>
      <x:c r="N3" s="42" t="str">
        <x:f>IF(M3="","",IF(M3&gt;=4,"Основная гипотеза",IF(M3&gt;=3,"Требует проверки","Слабая гипотеза")))</x:f>
      </x:c>
    </x:row>
    <x:row r="4">
      <x:c r="A4" s="37" t="n">
        <x:v>2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2" t="str">
        <x:f>IF(COUNTA(B4:L4)=0,"",ROUND(AVERAGE(I4:L4),2))</x:f>
      </x:c>
      <x:c r="N4" s="42" t="str">
        <x:f>IF(M4="","",IF(M4&gt;=4,"Основная гипотеза",IF(M4&gt;=3,"Требует проверки","Слабая гипотеза")))</x:f>
      </x:c>
    </x:row>
    <x:row r="5">
      <x:c r="A5" s="37" t="n">
        <x:v>3</x:v>
      </x:c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2" t="str">
        <x:f>IF(COUNTA(B5:L5)=0,"",ROUND(AVERAGE(I5:L5),2))</x:f>
      </x:c>
      <x:c r="N5" s="42" t="str">
        <x:f>IF(M5="","",IF(M5&gt;=4,"Основная гипотеза",IF(M5&gt;=3,"Требует проверки","Слабая гипотеза")))</x:f>
      </x:c>
    </x:row>
    <x:row r="6">
      <x:c r="A6" s="37" t="n">
        <x:v>4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2" t="str">
        <x:f>IF(COUNTA(B6:L6)=0,"",ROUND(AVERAGE(I6:L6),2))</x:f>
      </x:c>
      <x:c r="N6" s="42" t="str">
        <x:f>IF(M6="","",IF(M6&gt;=4,"Основная гипотеза",IF(M6&gt;=3,"Требует проверки","Слабая гипотеза")))</x:f>
      </x:c>
    </x:row>
    <x:row r="7">
      <x:c r="A7" s="37" t="n">
        <x:v>5</x:v>
      </x:c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2" t="str">
        <x:f>IF(COUNTA(B7:L7)=0,"",ROUND(AVERAGE(I7:L7),2))</x:f>
      </x:c>
      <x:c r="N7" s="42" t="str">
        <x:f>IF(M7="","",IF(M7&gt;=4,"Основная гипотеза",IF(M7&gt;=3,"Требует проверки","Слабая гипотеза")))</x:f>
      </x:c>
    </x:row>
    <x:row r="8">
      <x:c r="A8" s="37" t="n">
        <x:v>6</x:v>
      </x:c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2" t="str">
        <x:f>IF(COUNTA(B8:L8)=0,"",ROUND(AVERAGE(I8:L8),2))</x:f>
      </x:c>
      <x:c r="N8" s="42" t="str">
        <x:f>IF(M8="","",IF(M8&gt;=4,"Основная гипотеза",IF(M8&gt;=3,"Требует проверки","Слабая гипотеза")))</x:f>
      </x:c>
    </x:row>
    <x:row r="9">
      <x:c r="A9" s="37" t="n">
        <x:v>7</x:v>
      </x:c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2" t="str">
        <x:f>IF(COUNTA(B9:L9)=0,"",ROUND(AVERAGE(I9:L9),2))</x:f>
      </x:c>
      <x:c r="N9" s="42" t="str">
        <x:f>IF(M9="","",IF(M9&gt;=4,"Основная гипотеза",IF(M9&gt;=3,"Требует проверки","Слабая гипотеза")))</x:f>
      </x:c>
    </x:row>
    <x:row r="10">
      <x:c r="A10" s="37" t="n">
        <x:v>8</x:v>
      </x:c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2" t="str">
        <x:f>IF(COUNTA(B10:L10)=0,"",ROUND(AVERAGE(I10:L10),2))</x:f>
      </x:c>
      <x:c r="N10" s="42" t="str">
        <x:f>IF(M10="","",IF(M10&gt;=4,"Основная гипотеза",IF(M10&gt;=3,"Требует проверки","Слабая гипотеза")))</x:f>
      </x:c>
    </x:row>
    <x:row r="11">
      <x:c r="A11" s="37" t="n">
        <x:v>9</x:v>
      </x:c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2" t="str">
        <x:f>IF(COUNTA(B11:L11)=0,"",ROUND(AVERAGE(I11:L11),2))</x:f>
      </x:c>
      <x:c r="N11" s="42" t="str">
        <x:f>IF(M11="","",IF(M11&gt;=4,"Основная гипотеза",IF(M11&gt;=3,"Требует проверки","Слабая гипотеза")))</x:f>
      </x:c>
    </x:row>
    <x:row r="12">
      <x:c r="A12" s="37" t="n">
        <x:v>10</x:v>
      </x:c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2" t="str">
        <x:f>IF(COUNTA(B12:L12)=0,"",ROUND(AVERAGE(I12:L12),2))</x:f>
      </x:c>
      <x:c r="N12" s="42" t="str">
        <x:f>IF(M12="","",IF(M12&gt;=4,"Основная гипотеза",IF(M12&gt;=3,"Требует проверки","Слабая гипотеза")))</x:f>
      </x:c>
    </x:row>
    <x:row r="13">
      <x:c r="A13" s="37" t="n">
        <x:v>11</x:v>
      </x:c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2" t="str">
        <x:f>IF(COUNTA(B13:L13)=0,"",ROUND(AVERAGE(I13:L13),2))</x:f>
      </x:c>
      <x:c r="N13" s="42" t="str">
        <x:f>IF(M13="","",IF(M13&gt;=4,"Основная гипотеза",IF(M13&gt;=3,"Требует проверки","Слабая гипотеза")))</x:f>
      </x:c>
    </x:row>
    <x:row r="14">
      <x:c r="A14" s="37" t="n">
        <x:v>12</x:v>
      </x:c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2" t="str">
        <x:f>IF(COUNTA(B14:L14)=0,"",ROUND(AVERAGE(I14:L14),2))</x:f>
      </x:c>
      <x:c r="N14" s="42" t="str">
        <x:f>IF(M14="","",IF(M14&gt;=4,"Основная гипотеза",IF(M14&gt;=3,"Требует проверки","Слабая гипотеза")))</x:f>
      </x:c>
    </x:row>
    <x:row r="15">
      <x:c r="A15" s="37" t="n">
        <x:v>13</x:v>
      </x:c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2" t="str">
        <x:f>IF(COUNTA(B15:L15)=0,"",ROUND(AVERAGE(I15:L15),2))</x:f>
      </x:c>
      <x:c r="N15" s="42" t="str">
        <x:f>IF(M15="","",IF(M15&gt;=4,"Основная гипотеза",IF(M15&gt;=3,"Требует проверки","Слабая гипотеза")))</x:f>
      </x:c>
    </x:row>
    <x:row r="16">
      <x:c r="A16" s="37" t="n">
        <x:v>14</x:v>
      </x:c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2" t="str">
        <x:f>IF(COUNTA(B16:L16)=0,"",ROUND(AVERAGE(I16:L16),2))</x:f>
      </x:c>
      <x:c r="N16" s="42" t="str">
        <x:f>IF(M16="","",IF(M16&gt;=4,"Основная гипотеза",IF(M16&gt;=3,"Требует проверки","Слабая гипотеза")))</x:f>
      </x:c>
    </x:row>
    <x:row r="17">
      <x:c r="A17" s="37" t="n">
        <x:v>15</x:v>
      </x:c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2" t="str">
        <x:f>IF(COUNTA(B17:L17)=0,"",ROUND(AVERAGE(I17:L17),2))</x:f>
      </x:c>
      <x:c r="N17" s="42" t="str">
        <x:f>IF(M17="","",IF(M17&gt;=4,"Основная гипотеза",IF(M17&gt;=3,"Требует проверки","Слабая гипотеза")))</x:f>
      </x:c>
    </x:row>
    <x:row r="18">
      <x:c r="A18" s="37" t="n">
        <x:v>16</x:v>
      </x:c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2" t="str">
        <x:f>IF(COUNTA(B18:L18)=0,"",ROUND(AVERAGE(I18:L18),2))</x:f>
      </x:c>
      <x:c r="N18" s="42" t="str">
        <x:f>IF(M18="","",IF(M18&gt;=4,"Основная гипотеза",IF(M18&gt;=3,"Требует проверки","Слабая гипотеза")))</x:f>
      </x:c>
    </x:row>
    <x:row r="19">
      <x:c r="A19" s="37" t="n">
        <x:v>17</x:v>
      </x:c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2" t="str">
        <x:f>IF(COUNTA(B19:L19)=0,"",ROUND(AVERAGE(I19:L19),2))</x:f>
      </x:c>
      <x:c r="N19" s="42" t="str">
        <x:f>IF(M19="","",IF(M19&gt;=4,"Основная гипотеза",IF(M19&gt;=3,"Требует проверки","Слабая гипотеза")))</x:f>
      </x:c>
    </x:row>
    <x:row r="20">
      <x:c r="A20" s="37" t="n">
        <x:v>18</x:v>
      </x:c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2" t="str">
        <x:f>IF(COUNTA(B20:L20)=0,"",ROUND(AVERAGE(I20:L20),2))</x:f>
      </x:c>
      <x:c r="N20" s="42" t="str">
        <x:f>IF(M20="","",IF(M20&gt;=4,"Основная гипотеза",IF(M20&gt;=3,"Требует проверки","Слабая гипотеза")))</x:f>
      </x:c>
    </x:row>
    <x:row r="21">
      <x:c r="A21" s="37" t="n">
        <x:v>19</x:v>
      </x:c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2" t="str">
        <x:f>IF(COUNTA(B21:L21)=0,"",ROUND(AVERAGE(I21:L21),2))</x:f>
      </x:c>
      <x:c r="N21" s="42" t="str">
        <x:f>IF(M21="","",IF(M21&gt;=4,"Основная гипотеза",IF(M21&gt;=3,"Требует проверки","Слабая гипотеза")))</x:f>
      </x:c>
    </x:row>
    <x:row r="22">
      <x:c r="A22" s="37" t="n">
        <x:v>20</x:v>
      </x:c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2" t="str">
        <x:f>IF(COUNTA(B22:L22)=0,"",ROUND(AVERAGE(I22:L22),2))</x:f>
      </x:c>
      <x:c r="N22" s="42" t="str">
        <x:f>IF(M22="","",IF(M22&gt;=4,"Основная гипотеза",IF(M22&gt;=3,"Требует проверки","Слабая гипотеза")))</x:f>
      </x:c>
    </x:row>
    <x:row r="23">
      <x:c r="A23" s="37" t="n">
        <x:v>21</x:v>
      </x:c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2" t="str">
        <x:f>IF(COUNTA(B23:L23)=0,"",ROUND(AVERAGE(I23:L23),2))</x:f>
      </x:c>
      <x:c r="N23" s="42" t="str">
        <x:f>IF(M23="","",IF(M23&gt;=4,"Основная гипотеза",IF(M23&gt;=3,"Требует проверки","Слабая гипотеза")))</x:f>
      </x:c>
    </x:row>
    <x:row r="24">
      <x:c r="A24" s="37" t="n">
        <x:v>22</x:v>
      </x:c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2" t="str">
        <x:f>IF(COUNTA(B24:L24)=0,"",ROUND(AVERAGE(I24:L24),2))</x:f>
      </x:c>
      <x:c r="N24" s="42" t="str">
        <x:f>IF(M24="","",IF(M24&gt;=4,"Основная гипотеза",IF(M24&gt;=3,"Требует проверки","Слабая гипотеза")))</x:f>
      </x:c>
    </x:row>
    <x:row r="25">
      <x:c r="A25" s="37" t="n">
        <x:v>23</x:v>
      </x:c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2" t="str">
        <x:f>IF(COUNTA(B25:L25)=0,"",ROUND(AVERAGE(I25:L25),2))</x:f>
      </x:c>
      <x:c r="N25" s="42" t="str">
        <x:f>IF(M25="","",IF(M25&gt;=4,"Основная гипотеза",IF(M25&gt;=3,"Требует проверки","Слабая гипотеза")))</x:f>
      </x:c>
    </x:row>
    <x:row r="26">
      <x:c r="A26" s="37" t="n">
        <x:v>24</x:v>
      </x:c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2" t="str">
        <x:f>IF(COUNTA(B26:L26)=0,"",ROUND(AVERAGE(I26:L26),2))</x:f>
      </x:c>
      <x:c r="N26" s="42" t="str">
        <x:f>IF(M26="","",IF(M26&gt;=4,"Основная гипотеза",IF(M26&gt;=3,"Требует проверки","Слабая гипотеза")))</x:f>
      </x:c>
    </x:row>
    <x:row r="27">
      <x:c r="A27" s="37" t="n">
        <x:v>25</x:v>
      </x:c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2" t="str">
        <x:f>IF(COUNTA(B27:L27)=0,"",ROUND(AVERAGE(I27:L27),2))</x:f>
      </x:c>
      <x:c r="N27" s="42" t="str">
        <x:f>IF(M27="","",IF(M27&gt;=4,"Основная гипотеза",IF(M27&gt;=3,"Требует проверки","Слабая гипотеза")))</x:f>
      </x:c>
    </x:row>
    <x:row r="28">
      <x:c r="A28" s="37" t="n">
        <x:v>26</x:v>
      </x:c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2" t="str">
        <x:f>IF(COUNTA(B28:L28)=0,"",ROUND(AVERAGE(I28:L28),2))</x:f>
      </x:c>
      <x:c r="N28" s="42" t="str">
        <x:f>IF(M28="","",IF(M28&gt;=4,"Основная гипотеза",IF(M28&gt;=3,"Требует проверки","Слабая гипотеза")))</x:f>
      </x:c>
    </x:row>
    <x:row r="29">
      <x:c r="A29" s="37" t="n">
        <x:v>27</x:v>
      </x:c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2" t="str">
        <x:f>IF(COUNTA(B29:L29)=0,"",ROUND(AVERAGE(I29:L29),2))</x:f>
      </x:c>
      <x:c r="N29" s="42" t="str">
        <x:f>IF(M29="","",IF(M29&gt;=4,"Основная гипотеза",IF(M29&gt;=3,"Требует проверки","Слабая гипотеза")))</x:f>
      </x:c>
    </x:row>
    <x:row r="30">
      <x:c r="A30" s="37" t="n">
        <x:v>28</x:v>
      </x:c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2" t="str">
        <x:f>IF(COUNTA(B30:L30)=0,"",ROUND(AVERAGE(I30:L30),2))</x:f>
      </x:c>
      <x:c r="N30" s="42" t="str">
        <x:f>IF(M30="","",IF(M30&gt;=4,"Основная гипотеза",IF(M30&gt;=3,"Требует проверки","Слабая гипотеза")))</x:f>
      </x:c>
    </x:row>
    <x:row r="31">
      <x:c r="A31" s="37" t="n">
        <x:v>29</x:v>
      </x:c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2" t="str">
        <x:f>IF(COUNTA(B31:L31)=0,"",ROUND(AVERAGE(I31:L31),2))</x:f>
      </x:c>
      <x:c r="N31" s="42" t="str">
        <x:f>IF(M31="","",IF(M31&gt;=4,"Основная гипотеза",IF(M31&gt;=3,"Требует проверки","Слабая гипотеза")))</x:f>
      </x:c>
    </x:row>
    <x:row r="32">
      <x:c r="A32" s="37" t="n">
        <x:v>30</x:v>
      </x:c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2" t="str">
        <x:f>IF(COUNTA(B32:L32)=0,"",ROUND(AVERAGE(I32:L32),2))</x:f>
      </x:c>
      <x:c r="N32" s="42" t="str">
        <x:f>IF(M32="","",IF(M32&gt;=4,"Основная гипотеза",IF(M32&gt;=3,"Требует проверки","Слабая гипотеза")))</x:f>
      </x:c>
    </x:row>
    <x:row r="33">
      <x:c r="A33" s="37" t="n">
        <x:v>31</x:v>
      </x:c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2" t="str">
        <x:f>IF(COUNTA(B33:L33)=0,"",ROUND(AVERAGE(I33:L33),2))</x:f>
      </x:c>
      <x:c r="N33" s="42" t="str">
        <x:f>IF(M33="","",IF(M33&gt;=4,"Основная гипотеза",IF(M33&gt;=3,"Требует проверки","Слабая гипотеза")))</x:f>
      </x:c>
    </x:row>
    <x:row r="34">
      <x:c r="A34" s="37" t="n">
        <x:v>32</x:v>
      </x:c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2" t="str">
        <x:f>IF(COUNTA(B34:L34)=0,"",ROUND(AVERAGE(I34:L34),2))</x:f>
      </x:c>
      <x:c r="N34" s="42" t="str">
        <x:f>IF(M34="","",IF(M34&gt;=4,"Основная гипотеза",IF(M34&gt;=3,"Требует проверки","Слабая гипотеза")))</x:f>
      </x:c>
    </x:row>
    <x:row r="35">
      <x:c r="A35" s="37" t="n">
        <x:v>33</x:v>
      </x:c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2" t="str">
        <x:f>IF(COUNTA(B35:L35)=0,"",ROUND(AVERAGE(I35:L35),2))</x:f>
      </x:c>
      <x:c r="N35" s="42" t="str">
        <x:f>IF(M35="","",IF(M35&gt;=4,"Основная гипотеза",IF(M35&gt;=3,"Требует проверки","Слабая гипотеза")))</x:f>
      </x:c>
    </x:row>
    <x:row r="36">
      <x:c r="A36" s="37" t="n">
        <x:v>34</x:v>
      </x:c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2" t="str">
        <x:f>IF(COUNTA(B36:L36)=0,"",ROUND(AVERAGE(I36:L36),2))</x:f>
      </x:c>
      <x:c r="N36" s="42" t="str">
        <x:f>IF(M36="","",IF(M36&gt;=4,"Основная гипотеза",IF(M36&gt;=3,"Требует проверки","Слабая гипотеза")))</x:f>
      </x:c>
    </x:row>
    <x:row r="37">
      <x:c r="A37" s="37" t="n">
        <x:v>35</x:v>
      </x:c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2" t="str">
        <x:f>IF(COUNTA(B37:L37)=0,"",ROUND(AVERAGE(I37:L37),2))</x:f>
      </x:c>
      <x:c r="N37" s="42" t="str">
        <x:f>IF(M37="","",IF(M37&gt;=4,"Основная гипотеза",IF(M37&gt;=3,"Требует проверки","Слабая гипотеза")))</x:f>
      </x:c>
    </x:row>
    <x:row r="38">
      <x:c r="A38" s="37" t="n">
        <x:v>36</x:v>
      </x:c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2" t="str">
        <x:f>IF(COUNTA(B38:L38)=0,"",ROUND(AVERAGE(I38:L38),2))</x:f>
      </x:c>
      <x:c r="N38" s="42" t="str">
        <x:f>IF(M38="","",IF(M38&gt;=4,"Основная гипотеза",IF(M38&gt;=3,"Требует проверки","Слабая гипотеза")))</x:f>
      </x:c>
    </x:row>
    <x:row r="39">
      <x:c r="A39" s="37" t="n">
        <x:v>37</x:v>
      </x:c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2" t="str">
        <x:f>IF(COUNTA(B39:L39)=0,"",ROUND(AVERAGE(I39:L39),2))</x:f>
      </x:c>
      <x:c r="N39" s="42" t="str">
        <x:f>IF(M39="","",IF(M39&gt;=4,"Основная гипотеза",IF(M39&gt;=3,"Требует проверки","Слабая гипотеза")))</x:f>
      </x:c>
    </x:row>
    <x:row r="40">
      <x:c r="A40" s="37" t="n">
        <x:v>38</x:v>
      </x:c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2" t="str">
        <x:f>IF(COUNTA(B40:L40)=0,"",ROUND(AVERAGE(I40:L40),2))</x:f>
      </x:c>
      <x:c r="N40" s="42" t="str">
        <x:f>IF(M40="","",IF(M40&gt;=4,"Основная гипотеза",IF(M40&gt;=3,"Требует проверки","Слабая гипотеза")))</x:f>
      </x:c>
    </x:row>
    <x:row r="41">
      <x:c r="A41" s="37" t="n">
        <x:v>39</x:v>
      </x:c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2" t="str">
        <x:f>IF(COUNTA(B41:L41)=0,"",ROUND(AVERAGE(I41:L41),2))</x:f>
      </x:c>
      <x:c r="N41" s="42" t="str">
        <x:f>IF(M41="","",IF(M41&gt;=4,"Основная гипотеза",IF(M41&gt;=3,"Требует проверки","Слабая гипотеза")))</x:f>
      </x:c>
    </x:row>
    <x:row r="42">
      <x:c r="A42" s="37" t="n">
        <x:v>40</x:v>
      </x:c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2" t="str">
        <x:f>IF(COUNTA(B42:L42)=0,"",ROUND(AVERAGE(I42:L42),2))</x:f>
      </x:c>
      <x:c r="N42" s="42" t="str">
        <x:f>IF(M42="","",IF(M42&gt;=4,"Основная гипотеза",IF(M42&gt;=3,"Требует проверки","Слабая гипотеза")))</x:f>
      </x:c>
    </x:row>
    <x:row r="43">
      <x:c r="A43" s="37" t="n">
        <x:v>41</x:v>
      </x:c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2" t="str">
        <x:f>IF(COUNTA(B43:L43)=0,"",ROUND(AVERAGE(I43:L43),2))</x:f>
      </x:c>
      <x:c r="N43" s="42" t="str">
        <x:f>IF(M43="","",IF(M43&gt;=4,"Основная гипотеза",IF(M43&gt;=3,"Требует проверки","Слабая гипотеза")))</x:f>
      </x:c>
    </x:row>
    <x:row r="44">
      <x:c r="A44" s="37" t="n">
        <x:v>42</x:v>
      </x:c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2" t="str">
        <x:f>IF(COUNTA(B44:L44)=0,"",ROUND(AVERAGE(I44:L44),2))</x:f>
      </x:c>
      <x:c r="N44" s="42" t="str">
        <x:f>IF(M44="","",IF(M44&gt;=4,"Основная гипотеза",IF(M44&gt;=3,"Требует проверки","Слабая гипотеза")))</x:f>
      </x:c>
    </x:row>
    <x:row r="45">
      <x:c r="A45" s="37" t="n">
        <x:v>43</x:v>
      </x:c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2" t="str">
        <x:f>IF(COUNTA(B45:L45)=0,"",ROUND(AVERAGE(I45:L45),2))</x:f>
      </x:c>
      <x:c r="N45" s="42" t="str">
        <x:f>IF(M45="","",IF(M45&gt;=4,"Основная гипотеза",IF(M45&gt;=3,"Требует проверки","Слабая гипотеза")))</x:f>
      </x:c>
    </x:row>
    <x:row r="46">
      <x:c r="A46" s="37" t="n">
        <x:v>44</x:v>
      </x:c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2" t="str">
        <x:f>IF(COUNTA(B46:L46)=0,"",ROUND(AVERAGE(I46:L46),2))</x:f>
      </x:c>
      <x:c r="N46" s="42" t="str">
        <x:f>IF(M46="","",IF(M46&gt;=4,"Основная гипотеза",IF(M46&gt;=3,"Требует проверки","Слабая гипотеза")))</x:f>
      </x:c>
    </x:row>
    <x:row r="47">
      <x:c r="A47" s="37" t="n">
        <x:v>45</x:v>
      </x:c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2" t="str">
        <x:f>IF(COUNTA(B47:L47)=0,"",ROUND(AVERAGE(I47:L47),2))</x:f>
      </x:c>
      <x:c r="N47" s="42" t="str">
        <x:f>IF(M47="","",IF(M47&gt;=4,"Основная гипотеза",IF(M47&gt;=3,"Требует проверки","Слабая гипотеза")))</x:f>
      </x:c>
    </x:row>
    <x:row r="48">
      <x:c r="A48" s="37" t="n">
        <x:v>46</x:v>
      </x:c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2" t="str">
        <x:f>IF(COUNTA(B48:L48)=0,"",ROUND(AVERAGE(I48:L48),2))</x:f>
      </x:c>
      <x:c r="N48" s="42" t="str">
        <x:f>IF(M48="","",IF(M48&gt;=4,"Основная гипотеза",IF(M48&gt;=3,"Требует проверки","Слабая гипотеза")))</x:f>
      </x:c>
    </x:row>
    <x:row r="49">
      <x:c r="A49" s="37" t="n">
        <x:v>47</x:v>
      </x:c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2" t="str">
        <x:f>IF(COUNTA(B49:L49)=0,"",ROUND(AVERAGE(I49:L49),2))</x:f>
      </x:c>
      <x:c r="N49" s="42" t="str">
        <x:f>IF(M49="","",IF(M49&gt;=4,"Основная гипотеза",IF(M49&gt;=3,"Требует проверки","Слабая гипотеза")))</x:f>
      </x:c>
    </x:row>
    <x:row r="50">
      <x:c r="A50" s="37" t="n">
        <x:v>48</x:v>
      </x:c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2" t="str">
        <x:f>IF(COUNTA(B50:L50)=0,"",ROUND(AVERAGE(I50:L50),2))</x:f>
      </x:c>
      <x:c r="N50" s="42" t="str">
        <x:f>IF(M50="","",IF(M50&gt;=4,"Основная гипотеза",IF(M50&gt;=3,"Требует проверки","Слабая гипотеза")))</x:f>
      </x:c>
    </x:row>
    <x:row r="51">
      <x:c r="A51" s="37" t="n">
        <x:v>49</x:v>
      </x:c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2" t="str">
        <x:f>IF(COUNTA(B51:L51)=0,"",ROUND(AVERAGE(I51:L51),2))</x:f>
      </x:c>
      <x:c r="N51" s="42" t="str">
        <x:f>IF(M51="","",IF(M51&gt;=4,"Основная гипотеза",IF(M51&gt;=3,"Требует проверки","Слабая гипотеза")))</x:f>
      </x:c>
    </x:row>
    <x:row r="52">
      <x:c r="A52" s="37" t="n">
        <x:v>50</x:v>
      </x:c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2" t="str">
        <x:f>IF(COUNTA(B52:L52)=0,"",ROUND(AVERAGE(I52:L52),2))</x:f>
      </x:c>
      <x:c r="N52" s="42" t="str">
        <x:f>IF(M52="","",IF(M52&gt;=4,"Основная гипотеза",IF(M52&gt;=3,"Требует проверки","Слабая гипотеза")))</x:f>
      </x:c>
    </x:row>
    <x:row r="53">
      <x:c r="A53" s="37" t="n">
        <x:v>51</x:v>
      </x:c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2" t="str">
        <x:f>IF(COUNTA(B53:L53)=0,"",ROUND(AVERAGE(I53:L53),2))</x:f>
      </x:c>
      <x:c r="N53" s="42" t="str">
        <x:f>IF(M53="","",IF(M53&gt;=4,"Основная гипотеза",IF(M53&gt;=3,"Требует проверки","Слабая гипотеза")))</x:f>
      </x:c>
    </x:row>
    <x:row r="54">
      <x:c r="A54" s="37" t="n">
        <x:v>52</x:v>
      </x:c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2" t="str">
        <x:f>IF(COUNTA(B54:L54)=0,"",ROUND(AVERAGE(I54:L54),2))</x:f>
      </x:c>
      <x:c r="N54" s="42" t="str">
        <x:f>IF(M54="","",IF(M54&gt;=4,"Основная гипотеза",IF(M54&gt;=3,"Требует проверки","Слабая гипотеза")))</x:f>
      </x:c>
    </x:row>
    <x:row r="55">
      <x:c r="A55" s="37" t="n">
        <x:v>53</x:v>
      </x:c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2" t="str">
        <x:f>IF(COUNTA(B55:L55)=0,"",ROUND(AVERAGE(I55:L55),2))</x:f>
      </x:c>
      <x:c r="N55" s="42" t="str">
        <x:f>IF(M55="","",IF(M55&gt;=4,"Основная гипотеза",IF(M55&gt;=3,"Требует проверки","Слабая гипотеза")))</x:f>
      </x:c>
    </x:row>
    <x:row r="56">
      <x:c r="A56" s="37" t="n">
        <x:v>54</x:v>
      </x:c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2" t="str">
        <x:f>IF(COUNTA(B56:L56)=0,"",ROUND(AVERAGE(I56:L56),2))</x:f>
      </x:c>
      <x:c r="N56" s="42" t="str">
        <x:f>IF(M56="","",IF(M56&gt;=4,"Основная гипотеза",IF(M56&gt;=3,"Требует проверки","Слабая гипотеза")))</x:f>
      </x:c>
    </x:row>
    <x:row r="57">
      <x:c r="A57" s="37" t="n">
        <x:v>55</x:v>
      </x:c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2" t="str">
        <x:f>IF(COUNTA(B57:L57)=0,"",ROUND(AVERAGE(I57:L57),2))</x:f>
      </x:c>
      <x:c r="N57" s="42" t="str">
        <x:f>IF(M57="","",IF(M57&gt;=4,"Основная гипотеза",IF(M57&gt;=3,"Требует проверки","Слабая гипотеза")))</x:f>
      </x:c>
    </x:row>
    <x:row r="58">
      <x:c r="A58" s="37" t="n">
        <x:v>56</x:v>
      </x:c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2" t="str">
        <x:f>IF(COUNTA(B58:L58)=0,"",ROUND(AVERAGE(I58:L58),2))</x:f>
      </x:c>
      <x:c r="N58" s="42" t="str">
        <x:f>IF(M58="","",IF(M58&gt;=4,"Основная гипотеза",IF(M58&gt;=3,"Требует проверки","Слабая гипотеза")))</x:f>
      </x:c>
    </x:row>
    <x:row r="59">
      <x:c r="A59" s="37" t="n">
        <x:v>57</x:v>
      </x:c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2" t="str">
        <x:f>IF(COUNTA(B59:L59)=0,"",ROUND(AVERAGE(I59:L59),2))</x:f>
      </x:c>
      <x:c r="N59" s="42" t="str">
        <x:f>IF(M59="","",IF(M59&gt;=4,"Основная гипотеза",IF(M59&gt;=3,"Требует проверки","Слабая гипотеза")))</x:f>
      </x:c>
    </x:row>
    <x:row r="60">
      <x:c r="A60" s="37" t="n">
        <x:v>58</x:v>
      </x:c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2" t="str">
        <x:f>IF(COUNTA(B60:L60)=0,"",ROUND(AVERAGE(I60:L60),2))</x:f>
      </x:c>
      <x:c r="N60" s="42" t="str">
        <x:f>IF(M60="","",IF(M60&gt;=4,"Основная гипотеза",IF(M60&gt;=3,"Требует проверки","Слабая гипотеза")))</x:f>
      </x:c>
    </x:row>
    <x:row r="61">
      <x:c r="A61" s="37" t="n">
        <x:v>59</x:v>
      </x:c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2" t="str">
        <x:f>IF(COUNTA(B61:L61)=0,"",ROUND(AVERAGE(I61:L61),2))</x:f>
      </x:c>
      <x:c r="N61" s="42" t="str">
        <x:f>IF(M61="","",IF(M61&gt;=4,"Основная гипотеза",IF(M61&gt;=3,"Требует проверки","Слабая гипотеза")))</x:f>
      </x:c>
    </x:row>
    <x:row r="62">
      <x:c r="A62" s="37" t="n">
        <x:v>60</x:v>
      </x:c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2" t="str">
        <x:f>IF(COUNTA(B62:L62)=0,"",ROUND(AVERAGE(I62:L62),2))</x:f>
      </x:c>
      <x:c r="N62" s="42" t="str">
        <x:f>IF(M62="","",IF(M62&gt;=4,"Основная гипотеза",IF(M62&gt;=3,"Требует проверки","Слабая гипотеза")))</x:f>
      </x:c>
    </x:row>
    <x:row r="63">
      <x:c r="A63" s="37" t="n">
        <x:v>61</x:v>
      </x:c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2" t="str">
        <x:f>IF(COUNTA(B63:L63)=0,"",ROUND(AVERAGE(I63:L63),2))</x:f>
      </x:c>
      <x:c r="N63" s="42" t="str">
        <x:f>IF(M63="","",IF(M63&gt;=4,"Основная гипотеза",IF(M63&gt;=3,"Требует проверки","Слабая гипотеза")))</x:f>
      </x:c>
    </x:row>
    <x:row r="64">
      <x:c r="A64" s="37" t="n">
        <x:v>62</x:v>
      </x:c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2" t="str">
        <x:f>IF(COUNTA(B64:L64)=0,"",ROUND(AVERAGE(I64:L64),2))</x:f>
      </x:c>
      <x:c r="N64" s="42" t="str">
        <x:f>IF(M64="","",IF(M64&gt;=4,"Основная гипотеза",IF(M64&gt;=3,"Требует проверки","Слабая гипотеза")))</x:f>
      </x:c>
    </x:row>
    <x:row r="65">
      <x:c r="A65" s="37" t="n">
        <x:v>63</x:v>
      </x:c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2" t="str">
        <x:f>IF(COUNTA(B65:L65)=0,"",ROUND(AVERAGE(I65:L65),2))</x:f>
      </x:c>
      <x:c r="N65" s="42" t="str">
        <x:f>IF(M65="","",IF(M65&gt;=4,"Основная гипотеза",IF(M65&gt;=3,"Требует проверки","Слабая гипотеза")))</x:f>
      </x:c>
    </x:row>
    <x:row r="66">
      <x:c r="A66" s="37" t="n">
        <x:v>64</x:v>
      </x:c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2" t="str">
        <x:f>IF(COUNTA(B66:L66)=0,"",ROUND(AVERAGE(I66:L66),2))</x:f>
      </x:c>
      <x:c r="N66" s="42" t="str">
        <x:f>IF(M66="","",IF(M66&gt;=4,"Основная гипотеза",IF(M66&gt;=3,"Требует проверки","Слабая гипотеза")))</x:f>
      </x:c>
    </x:row>
    <x:row r="67">
      <x:c r="A67" s="37" t="n">
        <x:v>65</x:v>
      </x:c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2" t="str">
        <x:f>IF(COUNTA(B67:L67)=0,"",ROUND(AVERAGE(I67:L67),2))</x:f>
      </x:c>
      <x:c r="N67" s="42" t="str">
        <x:f>IF(M67="","",IF(M67&gt;=4,"Основная гипотеза",IF(M67&gt;=3,"Требует проверки","Слабая гипотеза")))</x:f>
      </x:c>
    </x:row>
    <x:row r="68">
      <x:c r="A68" s="37" t="n">
        <x:v>66</x:v>
      </x:c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2" t="str">
        <x:f>IF(COUNTA(B68:L68)=0,"",ROUND(AVERAGE(I68:L68),2))</x:f>
      </x:c>
      <x:c r="N68" s="42" t="str">
        <x:f>IF(M68="","",IF(M68&gt;=4,"Основная гипотеза",IF(M68&gt;=3,"Требует проверки","Слабая гипотеза")))</x:f>
      </x:c>
    </x:row>
    <x:row r="69">
      <x:c r="A69" s="37" t="n">
        <x:v>67</x:v>
      </x:c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2" t="str">
        <x:f>IF(COUNTA(B69:L69)=0,"",ROUND(AVERAGE(I69:L69),2))</x:f>
      </x:c>
      <x:c r="N69" s="42" t="str">
        <x:f>IF(M69="","",IF(M69&gt;=4,"Основная гипотеза",IF(M69&gt;=3,"Требует проверки","Слабая гипотеза")))</x:f>
      </x:c>
    </x:row>
    <x:row r="70">
      <x:c r="A70" s="37" t="n">
        <x:v>68</x:v>
      </x:c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2" t="str">
        <x:f>IF(COUNTA(B70:L70)=0,"",ROUND(AVERAGE(I70:L70),2))</x:f>
      </x:c>
      <x:c r="N70" s="42" t="str">
        <x:f>IF(M70="","",IF(M70&gt;=4,"Основная гипотеза",IF(M70&gt;=3,"Требует проверки","Слабая гипотеза")))</x:f>
      </x:c>
    </x:row>
    <x:row r="71">
      <x:c r="A71" s="37" t="n">
        <x:v>69</x:v>
      </x:c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2" t="str">
        <x:f>IF(COUNTA(B71:L71)=0,"",ROUND(AVERAGE(I71:L71),2))</x:f>
      </x:c>
      <x:c r="N71" s="42" t="str">
        <x:f>IF(M71="","",IF(M71&gt;=4,"Основная гипотеза",IF(M71&gt;=3,"Требует проверки","Слабая гипотеза")))</x:f>
      </x:c>
    </x:row>
    <x:row r="72">
      <x:c r="A72" s="37" t="n">
        <x:v>70</x:v>
      </x:c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2" t="str">
        <x:f>IF(COUNTA(B72:L72)=0,"",ROUND(AVERAGE(I72:L72),2))</x:f>
      </x:c>
      <x:c r="N72" s="42" t="str">
        <x:f>IF(M72="","",IF(M72&gt;=4,"Основная гипотеза",IF(M72&gt;=3,"Требует проверки","Слабая гипотеза")))</x:f>
      </x:c>
    </x:row>
    <x:row r="73">
      <x:c r="A73" s="37" t="n">
        <x:v>71</x:v>
      </x:c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2" t="str">
        <x:f>IF(COUNTA(B73:L73)=0,"",ROUND(AVERAGE(I73:L73),2))</x:f>
      </x:c>
      <x:c r="N73" s="42" t="str">
        <x:f>IF(M73="","",IF(M73&gt;=4,"Основная гипотеза",IF(M73&gt;=3,"Требует проверки","Слабая гипотеза")))</x:f>
      </x:c>
    </x:row>
    <x:row r="74">
      <x:c r="A74" s="37" t="n">
        <x:v>72</x:v>
      </x:c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2" t="str">
        <x:f>IF(COUNTA(B74:L74)=0,"",ROUND(AVERAGE(I74:L74),2))</x:f>
      </x:c>
      <x:c r="N74" s="42" t="str">
        <x:f>IF(M74="","",IF(M74&gt;=4,"Основная гипотеза",IF(M74&gt;=3,"Требует проверки","Слабая гипотеза")))</x:f>
      </x:c>
    </x:row>
    <x:row r="75">
      <x:c r="A75" s="37" t="n">
        <x:v>73</x:v>
      </x:c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2" t="str">
        <x:f>IF(COUNTA(B75:L75)=0,"",ROUND(AVERAGE(I75:L75),2))</x:f>
      </x:c>
      <x:c r="N75" s="42" t="str">
        <x:f>IF(M75="","",IF(M75&gt;=4,"Основная гипотеза",IF(M75&gt;=3,"Требует проверки","Слабая гипотеза")))</x:f>
      </x:c>
    </x:row>
    <x:row r="76">
      <x:c r="A76" s="37" t="n">
        <x:v>74</x:v>
      </x:c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2" t="str">
        <x:f>IF(COUNTA(B76:L76)=0,"",ROUND(AVERAGE(I76:L76),2))</x:f>
      </x:c>
      <x:c r="N76" s="42" t="str">
        <x:f>IF(M76="","",IF(M76&gt;=4,"Основная гипотеза",IF(M76&gt;=3,"Требует проверки","Слабая гипотеза")))</x:f>
      </x:c>
    </x:row>
    <x:row r="77">
      <x:c r="A77" s="37" t="n">
        <x:v>75</x:v>
      </x:c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2" t="str">
        <x:f>IF(COUNTA(B77:L77)=0,"",ROUND(AVERAGE(I77:L77),2))</x:f>
      </x:c>
      <x:c r="N77" s="42" t="str">
        <x:f>IF(M77="","",IF(M77&gt;=4,"Основная гипотеза",IF(M77&gt;=3,"Требует проверки","Слабая гипотеза")))</x:f>
      </x:c>
    </x:row>
    <x:row r="78">
      <x:c r="A78" s="37" t="n">
        <x:v>76</x:v>
      </x:c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2" t="str">
        <x:f>IF(COUNTA(B78:L78)=0,"",ROUND(AVERAGE(I78:L78),2))</x:f>
      </x:c>
      <x:c r="N78" s="42" t="str">
        <x:f>IF(M78="","",IF(M78&gt;=4,"Основная гипотеза",IF(M78&gt;=3,"Требует проверки","Слабая гипотеза")))</x:f>
      </x:c>
    </x:row>
    <x:row r="79">
      <x:c r="A79" s="37" t="n">
        <x:v>77</x:v>
      </x:c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2" t="str">
        <x:f>IF(COUNTA(B79:L79)=0,"",ROUND(AVERAGE(I79:L79),2))</x:f>
      </x:c>
      <x:c r="N79" s="42" t="str">
        <x:f>IF(M79="","",IF(M79&gt;=4,"Основная гипотеза",IF(M79&gt;=3,"Требует проверки","Слабая гипотеза")))</x:f>
      </x:c>
    </x:row>
    <x:row r="80">
      <x:c r="A80" s="37" t="n">
        <x:v>78</x:v>
      </x:c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2" t="str">
        <x:f>IF(COUNTA(B80:L80)=0,"",ROUND(AVERAGE(I80:L80),2))</x:f>
      </x:c>
      <x:c r="N80" s="42" t="str">
        <x:f>IF(M80="","",IF(M80&gt;=4,"Основная гипотеза",IF(M80&gt;=3,"Требует проверки","Слабая гипотеза")))</x:f>
      </x:c>
    </x:row>
    <x:row r="81">
      <x:c r="A81" s="37" t="n">
        <x:v>79</x:v>
      </x:c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2" t="str">
        <x:f>IF(COUNTA(B81:L81)=0,"",ROUND(AVERAGE(I81:L81),2))</x:f>
      </x:c>
      <x:c r="N81" s="42" t="str">
        <x:f>IF(M81="","",IF(M81&gt;=4,"Основная гипотеза",IF(M81&gt;=3,"Требует проверки","Слабая гипотеза")))</x:f>
      </x:c>
    </x:row>
    <x:row r="82">
      <x:c r="A82" s="37" t="n">
        <x:v>80</x:v>
      </x:c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2" t="str">
        <x:f>IF(COUNTA(B82:L82)=0,"",ROUND(AVERAGE(I82:L82),2))</x:f>
      </x:c>
      <x:c r="N82" s="42" t="str">
        <x:f>IF(M82="","",IF(M82&gt;=4,"Основная гипотеза",IF(M82&gt;=3,"Требует проверки","Слабая гипотеза")))</x:f>
      </x:c>
    </x:row>
    <x:row r="83">
      <x:c r="A83" s="37" t="n">
        <x:v>81</x:v>
      </x:c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2" t="str">
        <x:f>IF(COUNTA(B83:L83)=0,"",ROUND(AVERAGE(I83:L83),2))</x:f>
      </x:c>
      <x:c r="N83" s="42" t="str">
        <x:f>IF(M83="","",IF(M83&gt;=4,"Основная гипотеза",IF(M83&gt;=3,"Требует проверки","Слабая гипотеза")))</x:f>
      </x:c>
    </x:row>
    <x:row r="84">
      <x:c r="A84" s="37" t="n">
        <x:v>82</x:v>
      </x:c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2" t="str">
        <x:f>IF(COUNTA(B84:L84)=0,"",ROUND(AVERAGE(I84:L84),2))</x:f>
      </x:c>
      <x:c r="N84" s="42" t="str">
        <x:f>IF(M84="","",IF(M84&gt;=4,"Основная гипотеза",IF(M84&gt;=3,"Требует проверки","Слабая гипотеза")))</x:f>
      </x:c>
    </x:row>
    <x:row r="85">
      <x:c r="A85" s="37" t="n">
        <x:v>83</x:v>
      </x:c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2" t="str">
        <x:f>IF(COUNTA(B85:L85)=0,"",ROUND(AVERAGE(I85:L85),2))</x:f>
      </x:c>
      <x:c r="N85" s="42" t="str">
        <x:f>IF(M85="","",IF(M85&gt;=4,"Основная гипотеза",IF(M85&gt;=3,"Требует проверки","Слабая гипотеза")))</x:f>
      </x:c>
    </x:row>
    <x:row r="86">
      <x:c r="A86" s="37" t="n">
        <x:v>84</x:v>
      </x:c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2" t="str">
        <x:f>IF(COUNTA(B86:L86)=0,"",ROUND(AVERAGE(I86:L86),2))</x:f>
      </x:c>
      <x:c r="N86" s="42" t="str">
        <x:f>IF(M86="","",IF(M86&gt;=4,"Основная гипотеза",IF(M86&gt;=3,"Требует проверки","Слабая гипотеза")))</x:f>
      </x:c>
    </x:row>
    <x:row r="87">
      <x:c r="A87" s="37" t="n">
        <x:v>85</x:v>
      </x:c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2" t="str">
        <x:f>IF(COUNTA(B87:L87)=0,"",ROUND(AVERAGE(I87:L87),2))</x:f>
      </x:c>
      <x:c r="N87" s="42" t="str">
        <x:f>IF(M87="","",IF(M87&gt;=4,"Основная гипотеза",IF(M87&gt;=3,"Требует проверки","Слабая гипотеза")))</x:f>
      </x:c>
    </x:row>
    <x:row r="88">
      <x:c r="A88" s="37" t="n">
        <x:v>86</x:v>
      </x:c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2" t="str">
        <x:f>IF(COUNTA(B88:L88)=0,"",ROUND(AVERAGE(I88:L88),2))</x:f>
      </x:c>
      <x:c r="N88" s="42" t="str">
        <x:f>IF(M88="","",IF(M88&gt;=4,"Основная гипотеза",IF(M88&gt;=3,"Требует проверки","Слабая гипотеза")))</x:f>
      </x:c>
    </x:row>
    <x:row r="89">
      <x:c r="A89" s="37" t="n">
        <x:v>87</x:v>
      </x:c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2" t="str">
        <x:f>IF(COUNTA(B89:L89)=0,"",ROUND(AVERAGE(I89:L89),2))</x:f>
      </x:c>
      <x:c r="N89" s="42" t="str">
        <x:f>IF(M89="","",IF(M89&gt;=4,"Основная гипотеза",IF(M89&gt;=3,"Требует проверки","Слабая гипотеза")))</x:f>
      </x:c>
    </x:row>
    <x:row r="90">
      <x:c r="A90" s="37" t="n">
        <x:v>88</x:v>
      </x:c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2" t="str">
        <x:f>IF(COUNTA(B90:L90)=0,"",ROUND(AVERAGE(I90:L90),2))</x:f>
      </x:c>
      <x:c r="N90" s="42" t="str">
        <x:f>IF(M90="","",IF(M90&gt;=4,"Основная гипотеза",IF(M90&gt;=3,"Требует проверки","Слабая гипотеза")))</x:f>
      </x:c>
    </x:row>
    <x:row r="91">
      <x:c r="A91" s="37" t="n">
        <x:v>89</x:v>
      </x:c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2" t="str">
        <x:f>IF(COUNTA(B91:L91)=0,"",ROUND(AVERAGE(I91:L91),2))</x:f>
      </x:c>
      <x:c r="N91" s="42" t="str">
        <x:f>IF(M91="","",IF(M91&gt;=4,"Основная гипотеза",IF(M91&gt;=3,"Требует проверки","Слабая гипотеза")))</x:f>
      </x:c>
    </x:row>
    <x:row r="92">
      <x:c r="A92" s="37" t="n">
        <x:v>90</x:v>
      </x:c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2" t="str">
        <x:f>IF(COUNTA(B92:L92)=0,"",ROUND(AVERAGE(I92:L92),2))</x:f>
      </x:c>
      <x:c r="N92" s="42" t="str">
        <x:f>IF(M92="","",IF(M92&gt;=4,"Основная гипотеза",IF(M92&gt;=3,"Требует проверки","Слабая гипотеза")))</x:f>
      </x:c>
    </x:row>
    <x:row r="93">
      <x:c r="A93" s="37" t="n">
        <x:v>91</x:v>
      </x:c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2" t="str">
        <x:f>IF(COUNTA(B93:L93)=0,"",ROUND(AVERAGE(I93:L93),2))</x:f>
      </x:c>
      <x:c r="N93" s="42" t="str">
        <x:f>IF(M93="","",IF(M93&gt;=4,"Основная гипотеза",IF(M93&gt;=3,"Требует проверки","Слабая гипотеза")))</x:f>
      </x:c>
    </x:row>
    <x:row r="94">
      <x:c r="A94" s="37" t="n">
        <x:v>92</x:v>
      </x:c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2" t="str">
        <x:f>IF(COUNTA(B94:L94)=0,"",ROUND(AVERAGE(I94:L94),2))</x:f>
      </x:c>
      <x:c r="N94" s="42" t="str">
        <x:f>IF(M94="","",IF(M94&gt;=4,"Основная гипотеза",IF(M94&gt;=3,"Требует проверки","Слабая гипотеза")))</x:f>
      </x:c>
    </x:row>
    <x:row r="95">
      <x:c r="A95" s="37" t="n">
        <x:v>93</x:v>
      </x:c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2" t="str">
        <x:f>IF(COUNTA(B95:L95)=0,"",ROUND(AVERAGE(I95:L95),2))</x:f>
      </x:c>
      <x:c r="N95" s="42" t="str">
        <x:f>IF(M95="","",IF(M95&gt;=4,"Основная гипотеза",IF(M95&gt;=3,"Требует проверки","Слабая гипотеза")))</x:f>
      </x:c>
    </x:row>
    <x:row r="96">
      <x:c r="A96" s="37" t="n">
        <x:v>94</x:v>
      </x:c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2" t="str">
        <x:f>IF(COUNTA(B96:L96)=0,"",ROUND(AVERAGE(I96:L96),2))</x:f>
      </x:c>
      <x:c r="N96" s="42" t="str">
        <x:f>IF(M96="","",IF(M96&gt;=4,"Основная гипотеза",IF(M96&gt;=3,"Требует проверки","Слабая гипотеза")))</x:f>
      </x:c>
    </x:row>
    <x:row r="97">
      <x:c r="A97" s="37" t="n">
        <x:v>95</x:v>
      </x:c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2" t="str">
        <x:f>IF(COUNTA(B97:L97)=0,"",ROUND(AVERAGE(I97:L97),2))</x:f>
      </x:c>
      <x:c r="N97" s="42" t="str">
        <x:f>IF(M97="","",IF(M97&gt;=4,"Основная гипотеза",IF(M97&gt;=3,"Требует проверки","Слабая гипотеза")))</x:f>
      </x:c>
    </x:row>
    <x:row r="98">
      <x:c r="A98" s="37" t="n">
        <x:v>96</x:v>
      </x:c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2" t="str">
        <x:f>IF(COUNTA(B98:L98)=0,"",ROUND(AVERAGE(I98:L98),2))</x:f>
      </x:c>
      <x:c r="N98" s="42" t="str">
        <x:f>IF(M98="","",IF(M98&gt;=4,"Основная гипотеза",IF(M98&gt;=3,"Требует проверки","Слабая гипотеза")))</x:f>
      </x:c>
    </x:row>
    <x:row r="99">
      <x:c r="A99" s="37" t="n">
        <x:v>97</x:v>
      </x:c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2" t="str">
        <x:f>IF(COUNTA(B99:L99)=0,"",ROUND(AVERAGE(I99:L99),2))</x:f>
      </x:c>
      <x:c r="N99" s="42" t="str">
        <x:f>IF(M99="","",IF(M99&gt;=4,"Основная гипотеза",IF(M99&gt;=3,"Требует проверки","Слабая гипотеза")))</x:f>
      </x:c>
    </x:row>
    <x:row r="100">
      <x:c r="A100" s="37" t="n">
        <x:v>98</x:v>
      </x:c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2" t="str">
        <x:f>IF(COUNTA(B100:L100)=0,"",ROUND(AVERAGE(I100:L100),2))</x:f>
      </x:c>
      <x:c r="N100" s="42" t="str">
        <x:f>IF(M100="","",IF(M100&gt;=4,"Основная гипотеза",IF(M100&gt;=3,"Требует проверки","Слабая гипотеза")))</x:f>
      </x:c>
    </x:row>
    <x:row r="101">
      <x:c r="A101" s="37" t="n">
        <x:v>99</x:v>
      </x:c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2" t="str">
        <x:f>IF(COUNTA(B101:L101)=0,"",ROUND(AVERAGE(I101:L101),2))</x:f>
      </x:c>
      <x:c r="N101" s="42" t="str">
        <x:f>IF(M101="","",IF(M101&gt;=4,"Основная гипотеза",IF(M101&gt;=3,"Требует проверки","Слабая гипотеза")))</x:f>
      </x:c>
    </x:row>
    <x:row r="102">
      <x:c r="A102" s="37" t="n">
        <x:v>100</x:v>
      </x:c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2" t="str">
        <x:f>IF(COUNTA(B102:L102)=0,"",ROUND(AVERAGE(I102:L102),2))</x:f>
      </x:c>
      <x:c r="N102" s="42" t="str">
        <x:f>IF(M102="","",IF(M102&gt;=4,"Основная гипотеза",IF(M102&gt;=3,"Требует проверки","Слабая гипотеза")))</x:f>
      </x:c>
    </x:row>
  </x:sheetData>
  <x:mergeCells>
    <x:mergeCell ref="A1:N1"/>
  </x:mergeCells>
  <x:conditionalFormatting sqref="M3:M102">
    <x:cfRule type="dataBar" priority="1">
      <x:dataBar>
        <x:cfvo type="min"/>
        <x:cfvo type="max"/>
        <x:color rgb="0EA5E9"/>
      </x:dataBar>
      <x:extLst>
        <x:ext xmlns:x14="http://schemas.microsoft.com/office/spreadsheetml/2009/9/main" uri="{B025F937-C7B1-47D3-B67F-A62EFF666E3E}">
          <x14:id>{0E344F17-D911-0C8F-3324-219546375859}</x14:id>
        </x:ext>
      </x:extLst>
    </x:cfRule>
  </x:conditionalFormatting>
  <x:dataValidations count="2">
    <x:dataValidation type="list" sqref="F3:F102">
      <x:formula1>'12_Справочники'!$G$3:$G$12</x:formula1>
    </x:dataValidation>
    <x:dataValidation type="list" sqref="I3:L102">
      <x:formula1>'12_Справочники'!$C$3:$C$7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5278c300e2403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E344F17-D911-0C8F-3324-219546375859}">
            <x14:dataBar gradient="1">
              <x14:cfvo type="min"/>
              <x14:cfvo type="max"/>
              <x14:fillColor rgb="0EA5E9"/>
            </x14:dataBar>
          </x14:cfRule>
          <xm:sqref>M3:M102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20" hidden="0" customWidth="1"/>
  </x:cols>
  <x:sheetData>
    <x:row r="1" ht="32" customHeight="1">
      <x:c r="A1" s="6" t="str">
        <x:v>Ключевые ресурсы, виды деятельности и партнеры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32" customHeight="1">
      <x:c r="A2" s="36" t="str">
        <x:v>ID</x:v>
      </x:c>
      <x:c r="B2" s="36" t="str">
        <x:v>Блок</x:v>
      </x:c>
      <x:c r="C2" s="36" t="str">
        <x:v>Элемент</x:v>
      </x:c>
      <x:c r="D2" s="36" t="str">
        <x:v>Описание</x:v>
      </x:c>
      <x:c r="E2" s="36" t="str">
        <x:v>Как поддерживает ценность / товар</x:v>
      </x:c>
      <x:c r="F2" s="36" t="str">
        <x:v>Источник</x:v>
      </x:c>
      <x:c r="G2" s="36" t="str">
        <x:v>Критичность 1-5</x:v>
      </x:c>
      <x:c r="H2" s="36" t="str">
        <x:v>Доступность 1-5</x:v>
      </x:c>
      <x:c r="I2" s="36" t="str">
        <x:v>Затратное влияние 1-5</x:v>
      </x:c>
      <x:c r="J2" s="36" t="str">
        <x:v>Подход к обеспечению</x:v>
      </x:c>
      <x:c r="K2" s="36" t="str">
        <x:v>Операционный приоритет</x:v>
      </x:c>
    </x:row>
    <x:row r="3">
      <x:c r="A3" s="37" t="n">
        <x:v>1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2" t="str">
        <x:f>IF(COUNTA(B3:J3)=0,"",ROUND(AVERAGE(G3,6-H3,I3),2))</x:f>
      </x:c>
    </x:row>
    <x:row r="4">
      <x:c r="A4" s="37" t="n">
        <x:v>2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2" t="str">
        <x:f>IF(COUNTA(B4:J4)=0,"",ROUND(AVERAGE(G4,6-H4,I4),2))</x:f>
      </x:c>
    </x:row>
    <x:row r="5">
      <x:c r="A5" s="37" t="n">
        <x:v>3</x:v>
      </x:c>
      <x:c r="B5" s="40"/>
      <x:c r="C5" s="40"/>
      <x:c r="D5" s="40"/>
      <x:c r="E5" s="40"/>
      <x:c r="F5" s="40"/>
      <x:c r="G5" s="40"/>
      <x:c r="H5" s="40"/>
      <x:c r="I5" s="40"/>
      <x:c r="J5" s="40"/>
      <x:c r="K5" s="42" t="str">
        <x:f>IF(COUNTA(B5:J5)=0,"",ROUND(AVERAGE(G5,6-H5,I5),2))</x:f>
      </x:c>
    </x:row>
    <x:row r="6">
      <x:c r="A6" s="37" t="n">
        <x:v>4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2" t="str">
        <x:f>IF(COUNTA(B6:J6)=0,"",ROUND(AVERAGE(G6,6-H6,I6),2))</x:f>
      </x:c>
    </x:row>
    <x:row r="7">
      <x:c r="A7" s="37" t="n">
        <x:v>5</x:v>
      </x:c>
      <x:c r="B7" s="40"/>
      <x:c r="C7" s="40"/>
      <x:c r="D7" s="40"/>
      <x:c r="E7" s="40"/>
      <x:c r="F7" s="40"/>
      <x:c r="G7" s="40"/>
      <x:c r="H7" s="40"/>
      <x:c r="I7" s="40"/>
      <x:c r="J7" s="40"/>
      <x:c r="K7" s="42" t="str">
        <x:f>IF(COUNTA(B7:J7)=0,"",ROUND(AVERAGE(G7,6-H7,I7),2))</x:f>
      </x:c>
    </x:row>
    <x:row r="8">
      <x:c r="A8" s="37" t="n">
        <x:v>6</x:v>
      </x:c>
      <x:c r="B8" s="40"/>
      <x:c r="C8" s="40"/>
      <x:c r="D8" s="40"/>
      <x:c r="E8" s="40"/>
      <x:c r="F8" s="40"/>
      <x:c r="G8" s="40"/>
      <x:c r="H8" s="40"/>
      <x:c r="I8" s="40"/>
      <x:c r="J8" s="40"/>
      <x:c r="K8" s="42" t="str">
        <x:f>IF(COUNTA(B8:J8)=0,"",ROUND(AVERAGE(G8,6-H8,I8),2))</x:f>
      </x:c>
    </x:row>
    <x:row r="9">
      <x:c r="A9" s="37" t="n">
        <x:v>7</x:v>
      </x:c>
      <x:c r="B9" s="40"/>
      <x:c r="C9" s="40"/>
      <x:c r="D9" s="40"/>
      <x:c r="E9" s="40"/>
      <x:c r="F9" s="40"/>
      <x:c r="G9" s="40"/>
      <x:c r="H9" s="40"/>
      <x:c r="I9" s="40"/>
      <x:c r="J9" s="40"/>
      <x:c r="K9" s="42" t="str">
        <x:f>IF(COUNTA(B9:J9)=0,"",ROUND(AVERAGE(G9,6-H9,I9),2))</x:f>
      </x:c>
    </x:row>
    <x:row r="10">
      <x:c r="A10" s="37" t="n">
        <x:v>8</x:v>
      </x:c>
      <x:c r="B10" s="40"/>
      <x:c r="C10" s="40"/>
      <x:c r="D10" s="40"/>
      <x:c r="E10" s="40"/>
      <x:c r="F10" s="40"/>
      <x:c r="G10" s="40"/>
      <x:c r="H10" s="40"/>
      <x:c r="I10" s="40"/>
      <x:c r="J10" s="40"/>
      <x:c r="K10" s="42" t="str">
        <x:f>IF(COUNTA(B10:J10)=0,"",ROUND(AVERAGE(G10,6-H10,I10),2))</x:f>
      </x:c>
    </x:row>
    <x:row r="11">
      <x:c r="A11" s="37" t="n">
        <x:v>9</x:v>
      </x:c>
      <x:c r="B11" s="40"/>
      <x:c r="C11" s="40"/>
      <x:c r="D11" s="40"/>
      <x:c r="E11" s="40"/>
      <x:c r="F11" s="40"/>
      <x:c r="G11" s="40"/>
      <x:c r="H11" s="40"/>
      <x:c r="I11" s="40"/>
      <x:c r="J11" s="40"/>
      <x:c r="K11" s="42" t="str">
        <x:f>IF(COUNTA(B11:J11)=0,"",ROUND(AVERAGE(G11,6-H11,I11),2))</x:f>
      </x:c>
    </x:row>
    <x:row r="12">
      <x:c r="A12" s="37" t="n">
        <x:v>10</x:v>
      </x:c>
      <x:c r="B12" s="40"/>
      <x:c r="C12" s="40"/>
      <x:c r="D12" s="40"/>
      <x:c r="E12" s="40"/>
      <x:c r="F12" s="40"/>
      <x:c r="G12" s="40"/>
      <x:c r="H12" s="40"/>
      <x:c r="I12" s="40"/>
      <x:c r="J12" s="40"/>
      <x:c r="K12" s="42" t="str">
        <x:f>IF(COUNTA(B12:J12)=0,"",ROUND(AVERAGE(G12,6-H12,I12),2))</x:f>
      </x:c>
    </x:row>
    <x:row r="13">
      <x:c r="A13" s="37" t="n">
        <x:v>11</x:v>
      </x:c>
      <x:c r="B13" s="40"/>
      <x:c r="C13" s="40"/>
      <x:c r="D13" s="40"/>
      <x:c r="E13" s="40"/>
      <x:c r="F13" s="40"/>
      <x:c r="G13" s="40"/>
      <x:c r="H13" s="40"/>
      <x:c r="I13" s="40"/>
      <x:c r="J13" s="40"/>
      <x:c r="K13" s="42" t="str">
        <x:f>IF(COUNTA(B13:J13)=0,"",ROUND(AVERAGE(G13,6-H13,I13),2))</x:f>
      </x:c>
    </x:row>
    <x:row r="14">
      <x:c r="A14" s="37" t="n">
        <x:v>12</x:v>
      </x:c>
      <x:c r="B14" s="40"/>
      <x:c r="C14" s="40"/>
      <x:c r="D14" s="40"/>
      <x:c r="E14" s="40"/>
      <x:c r="F14" s="40"/>
      <x:c r="G14" s="40"/>
      <x:c r="H14" s="40"/>
      <x:c r="I14" s="40"/>
      <x:c r="J14" s="40"/>
      <x:c r="K14" s="42" t="str">
        <x:f>IF(COUNTA(B14:J14)=0,"",ROUND(AVERAGE(G14,6-H14,I14),2))</x:f>
      </x:c>
    </x:row>
    <x:row r="15">
      <x:c r="A15" s="37" t="n">
        <x:v>13</x:v>
      </x:c>
      <x:c r="B15" s="40"/>
      <x:c r="C15" s="40"/>
      <x:c r="D15" s="40"/>
      <x:c r="E15" s="40"/>
      <x:c r="F15" s="40"/>
      <x:c r="G15" s="40"/>
      <x:c r="H15" s="40"/>
      <x:c r="I15" s="40"/>
      <x:c r="J15" s="40"/>
      <x:c r="K15" s="42" t="str">
        <x:f>IF(COUNTA(B15:J15)=0,"",ROUND(AVERAGE(G15,6-H15,I15),2))</x:f>
      </x:c>
    </x:row>
    <x:row r="16">
      <x:c r="A16" s="37" t="n">
        <x:v>14</x:v>
      </x:c>
      <x:c r="B16" s="40"/>
      <x:c r="C16" s="40"/>
      <x:c r="D16" s="40"/>
      <x:c r="E16" s="40"/>
      <x:c r="F16" s="40"/>
      <x:c r="G16" s="40"/>
      <x:c r="H16" s="40"/>
      <x:c r="I16" s="40"/>
      <x:c r="J16" s="40"/>
      <x:c r="K16" s="42" t="str">
        <x:f>IF(COUNTA(B16:J16)=0,"",ROUND(AVERAGE(G16,6-H16,I16),2))</x:f>
      </x:c>
    </x:row>
    <x:row r="17">
      <x:c r="A17" s="37" t="n">
        <x:v>15</x:v>
      </x:c>
      <x:c r="B17" s="40"/>
      <x:c r="C17" s="40"/>
      <x:c r="D17" s="40"/>
      <x:c r="E17" s="40"/>
      <x:c r="F17" s="40"/>
      <x:c r="G17" s="40"/>
      <x:c r="H17" s="40"/>
      <x:c r="I17" s="40"/>
      <x:c r="J17" s="40"/>
      <x:c r="K17" s="42" t="str">
        <x:f>IF(COUNTA(B17:J17)=0,"",ROUND(AVERAGE(G17,6-H17,I17),2))</x:f>
      </x:c>
    </x:row>
    <x:row r="18">
      <x:c r="A18" s="37" t="n">
        <x:v>16</x:v>
      </x:c>
      <x:c r="B18" s="40"/>
      <x:c r="C18" s="40"/>
      <x:c r="D18" s="40"/>
      <x:c r="E18" s="40"/>
      <x:c r="F18" s="40"/>
      <x:c r="G18" s="40"/>
      <x:c r="H18" s="40"/>
      <x:c r="I18" s="40"/>
      <x:c r="J18" s="40"/>
      <x:c r="K18" s="42" t="str">
        <x:f>IF(COUNTA(B18:J18)=0,"",ROUND(AVERAGE(G18,6-H18,I18),2))</x:f>
      </x:c>
    </x:row>
    <x:row r="19">
      <x:c r="A19" s="37" t="n">
        <x:v>17</x:v>
      </x:c>
      <x:c r="B19" s="40"/>
      <x:c r="C19" s="40"/>
      <x:c r="D19" s="40"/>
      <x:c r="E19" s="40"/>
      <x:c r="F19" s="40"/>
      <x:c r="G19" s="40"/>
      <x:c r="H19" s="40"/>
      <x:c r="I19" s="40"/>
      <x:c r="J19" s="40"/>
      <x:c r="K19" s="42" t="str">
        <x:f>IF(COUNTA(B19:J19)=0,"",ROUND(AVERAGE(G19,6-H19,I19),2))</x:f>
      </x:c>
    </x:row>
    <x:row r="20">
      <x:c r="A20" s="37" t="n">
        <x:v>18</x:v>
      </x:c>
      <x:c r="B20" s="40"/>
      <x:c r="C20" s="40"/>
      <x:c r="D20" s="40"/>
      <x:c r="E20" s="40"/>
      <x:c r="F20" s="40"/>
      <x:c r="G20" s="40"/>
      <x:c r="H20" s="40"/>
      <x:c r="I20" s="40"/>
      <x:c r="J20" s="40"/>
      <x:c r="K20" s="42" t="str">
        <x:f>IF(COUNTA(B20:J20)=0,"",ROUND(AVERAGE(G20,6-H20,I20),2))</x:f>
      </x:c>
    </x:row>
    <x:row r="21">
      <x:c r="A21" s="37" t="n">
        <x:v>19</x:v>
      </x:c>
      <x:c r="B21" s="40"/>
      <x:c r="C21" s="40"/>
      <x:c r="D21" s="40"/>
      <x:c r="E21" s="40"/>
      <x:c r="F21" s="40"/>
      <x:c r="G21" s="40"/>
      <x:c r="H21" s="40"/>
      <x:c r="I21" s="40"/>
      <x:c r="J21" s="40"/>
      <x:c r="K21" s="42" t="str">
        <x:f>IF(COUNTA(B21:J21)=0,"",ROUND(AVERAGE(G21,6-H21,I21),2))</x:f>
      </x:c>
    </x:row>
    <x:row r="22">
      <x:c r="A22" s="37" t="n">
        <x:v>20</x:v>
      </x:c>
      <x:c r="B22" s="40"/>
      <x:c r="C22" s="40"/>
      <x:c r="D22" s="40"/>
      <x:c r="E22" s="40"/>
      <x:c r="F22" s="40"/>
      <x:c r="G22" s="40"/>
      <x:c r="H22" s="40"/>
      <x:c r="I22" s="40"/>
      <x:c r="J22" s="40"/>
      <x:c r="K22" s="42" t="str">
        <x:f>IF(COUNTA(B22:J22)=0,"",ROUND(AVERAGE(G22,6-H22,I22),2))</x:f>
      </x:c>
    </x:row>
    <x:row r="23">
      <x:c r="A23" s="37" t="n">
        <x:v>21</x:v>
      </x:c>
      <x:c r="B23" s="40"/>
      <x:c r="C23" s="40"/>
      <x:c r="D23" s="40"/>
      <x:c r="E23" s="40"/>
      <x:c r="F23" s="40"/>
      <x:c r="G23" s="40"/>
      <x:c r="H23" s="40"/>
      <x:c r="I23" s="40"/>
      <x:c r="J23" s="40"/>
      <x:c r="K23" s="42" t="str">
        <x:f>IF(COUNTA(B23:J23)=0,"",ROUND(AVERAGE(G23,6-H23,I23),2))</x:f>
      </x:c>
    </x:row>
    <x:row r="24">
      <x:c r="A24" s="37" t="n">
        <x:v>22</x:v>
      </x:c>
      <x:c r="B24" s="40"/>
      <x:c r="C24" s="40"/>
      <x:c r="D24" s="40"/>
      <x:c r="E24" s="40"/>
      <x:c r="F24" s="40"/>
      <x:c r="G24" s="40"/>
      <x:c r="H24" s="40"/>
      <x:c r="I24" s="40"/>
      <x:c r="J24" s="40"/>
      <x:c r="K24" s="42" t="str">
        <x:f>IF(COUNTA(B24:J24)=0,"",ROUND(AVERAGE(G24,6-H24,I24),2))</x:f>
      </x:c>
    </x:row>
    <x:row r="25">
      <x:c r="A25" s="37" t="n">
        <x:v>23</x:v>
      </x:c>
      <x:c r="B25" s="40"/>
      <x:c r="C25" s="40"/>
      <x:c r="D25" s="40"/>
      <x:c r="E25" s="40"/>
      <x:c r="F25" s="40"/>
      <x:c r="G25" s="40"/>
      <x:c r="H25" s="40"/>
      <x:c r="I25" s="40"/>
      <x:c r="J25" s="40"/>
      <x:c r="K25" s="42" t="str">
        <x:f>IF(COUNTA(B25:J25)=0,"",ROUND(AVERAGE(G25,6-H25,I25),2))</x:f>
      </x:c>
    </x:row>
    <x:row r="26">
      <x:c r="A26" s="37" t="n">
        <x:v>24</x:v>
      </x:c>
      <x:c r="B26" s="40"/>
      <x:c r="C26" s="40"/>
      <x:c r="D26" s="40"/>
      <x:c r="E26" s="40"/>
      <x:c r="F26" s="40"/>
      <x:c r="G26" s="40"/>
      <x:c r="H26" s="40"/>
      <x:c r="I26" s="40"/>
      <x:c r="J26" s="40"/>
      <x:c r="K26" s="42" t="str">
        <x:f>IF(COUNTA(B26:J26)=0,"",ROUND(AVERAGE(G26,6-H26,I26),2))</x:f>
      </x:c>
    </x:row>
    <x:row r="27">
      <x:c r="A27" s="37" t="n">
        <x:v>25</x:v>
      </x:c>
      <x:c r="B27" s="40"/>
      <x:c r="C27" s="40"/>
      <x:c r="D27" s="40"/>
      <x:c r="E27" s="40"/>
      <x:c r="F27" s="40"/>
      <x:c r="G27" s="40"/>
      <x:c r="H27" s="40"/>
      <x:c r="I27" s="40"/>
      <x:c r="J27" s="40"/>
      <x:c r="K27" s="42" t="str">
        <x:f>IF(COUNTA(B27:J27)=0,"",ROUND(AVERAGE(G27,6-H27,I27),2))</x:f>
      </x:c>
    </x:row>
    <x:row r="28">
      <x:c r="A28" s="37" t="n">
        <x:v>26</x:v>
      </x:c>
      <x:c r="B28" s="40"/>
      <x:c r="C28" s="40"/>
      <x:c r="D28" s="40"/>
      <x:c r="E28" s="40"/>
      <x:c r="F28" s="40"/>
      <x:c r="G28" s="40"/>
      <x:c r="H28" s="40"/>
      <x:c r="I28" s="40"/>
      <x:c r="J28" s="40"/>
      <x:c r="K28" s="42" t="str">
        <x:f>IF(COUNTA(B28:J28)=0,"",ROUND(AVERAGE(G28,6-H28,I28),2))</x:f>
      </x:c>
    </x:row>
    <x:row r="29">
      <x:c r="A29" s="37" t="n">
        <x:v>27</x:v>
      </x:c>
      <x:c r="B29" s="40"/>
      <x:c r="C29" s="40"/>
      <x:c r="D29" s="40"/>
      <x:c r="E29" s="40"/>
      <x:c r="F29" s="40"/>
      <x:c r="G29" s="40"/>
      <x:c r="H29" s="40"/>
      <x:c r="I29" s="40"/>
      <x:c r="J29" s="40"/>
      <x:c r="K29" s="42" t="str">
        <x:f>IF(COUNTA(B29:J29)=0,"",ROUND(AVERAGE(G29,6-H29,I29),2))</x:f>
      </x:c>
    </x:row>
    <x:row r="30">
      <x:c r="A30" s="37" t="n">
        <x:v>28</x:v>
      </x:c>
      <x:c r="B30" s="40"/>
      <x:c r="C30" s="40"/>
      <x:c r="D30" s="40"/>
      <x:c r="E30" s="40"/>
      <x:c r="F30" s="40"/>
      <x:c r="G30" s="40"/>
      <x:c r="H30" s="40"/>
      <x:c r="I30" s="40"/>
      <x:c r="J30" s="40"/>
      <x:c r="K30" s="42" t="str">
        <x:f>IF(COUNTA(B30:J30)=0,"",ROUND(AVERAGE(G30,6-H30,I30),2))</x:f>
      </x:c>
    </x:row>
    <x:row r="31">
      <x:c r="A31" s="37" t="n">
        <x:v>29</x:v>
      </x:c>
      <x:c r="B31" s="40"/>
      <x:c r="C31" s="40"/>
      <x:c r="D31" s="40"/>
      <x:c r="E31" s="40"/>
      <x:c r="F31" s="40"/>
      <x:c r="G31" s="40"/>
      <x:c r="H31" s="40"/>
      <x:c r="I31" s="40"/>
      <x:c r="J31" s="40"/>
      <x:c r="K31" s="42" t="str">
        <x:f>IF(COUNTA(B31:J31)=0,"",ROUND(AVERAGE(G31,6-H31,I31),2))</x:f>
      </x:c>
    </x:row>
    <x:row r="32">
      <x:c r="A32" s="37" t="n">
        <x:v>30</x:v>
      </x:c>
      <x:c r="B32" s="40"/>
      <x:c r="C32" s="40"/>
      <x:c r="D32" s="40"/>
      <x:c r="E32" s="40"/>
      <x:c r="F32" s="40"/>
      <x:c r="G32" s="40"/>
      <x:c r="H32" s="40"/>
      <x:c r="I32" s="40"/>
      <x:c r="J32" s="40"/>
      <x:c r="K32" s="42" t="str">
        <x:f>IF(COUNTA(B32:J32)=0,"",ROUND(AVERAGE(G32,6-H32,I32),2))</x:f>
      </x:c>
    </x:row>
    <x:row r="33">
      <x:c r="A33" s="37" t="n">
        <x:v>31</x:v>
      </x:c>
      <x:c r="B33" s="40"/>
      <x:c r="C33" s="40"/>
      <x:c r="D33" s="40"/>
      <x:c r="E33" s="40"/>
      <x:c r="F33" s="40"/>
      <x:c r="G33" s="40"/>
      <x:c r="H33" s="40"/>
      <x:c r="I33" s="40"/>
      <x:c r="J33" s="40"/>
      <x:c r="K33" s="42" t="str">
        <x:f>IF(COUNTA(B33:J33)=0,"",ROUND(AVERAGE(G33,6-H33,I33),2))</x:f>
      </x:c>
    </x:row>
    <x:row r="34">
      <x:c r="A34" s="37" t="n">
        <x:v>32</x:v>
      </x:c>
      <x:c r="B34" s="40"/>
      <x:c r="C34" s="40"/>
      <x:c r="D34" s="40"/>
      <x:c r="E34" s="40"/>
      <x:c r="F34" s="40"/>
      <x:c r="G34" s="40"/>
      <x:c r="H34" s="40"/>
      <x:c r="I34" s="40"/>
      <x:c r="J34" s="40"/>
      <x:c r="K34" s="42" t="str">
        <x:f>IF(COUNTA(B34:J34)=0,"",ROUND(AVERAGE(G34,6-H34,I34),2))</x:f>
      </x:c>
    </x:row>
    <x:row r="35">
      <x:c r="A35" s="37" t="n">
        <x:v>33</x:v>
      </x:c>
      <x:c r="B35" s="40"/>
      <x:c r="C35" s="40"/>
      <x:c r="D35" s="40"/>
      <x:c r="E35" s="40"/>
      <x:c r="F35" s="40"/>
      <x:c r="G35" s="40"/>
      <x:c r="H35" s="40"/>
      <x:c r="I35" s="40"/>
      <x:c r="J35" s="40"/>
      <x:c r="K35" s="42" t="str">
        <x:f>IF(COUNTA(B35:J35)=0,"",ROUND(AVERAGE(G35,6-H35,I35),2))</x:f>
      </x:c>
    </x:row>
    <x:row r="36">
      <x:c r="A36" s="37" t="n">
        <x:v>34</x:v>
      </x:c>
      <x:c r="B36" s="40"/>
      <x:c r="C36" s="40"/>
      <x:c r="D36" s="40"/>
      <x:c r="E36" s="40"/>
      <x:c r="F36" s="40"/>
      <x:c r="G36" s="40"/>
      <x:c r="H36" s="40"/>
      <x:c r="I36" s="40"/>
      <x:c r="J36" s="40"/>
      <x:c r="K36" s="42" t="str">
        <x:f>IF(COUNTA(B36:J36)=0,"",ROUND(AVERAGE(G36,6-H36,I36),2))</x:f>
      </x:c>
    </x:row>
    <x:row r="37">
      <x:c r="A37" s="37" t="n">
        <x:v>35</x:v>
      </x:c>
      <x:c r="B37" s="40"/>
      <x:c r="C37" s="40"/>
      <x:c r="D37" s="40"/>
      <x:c r="E37" s="40"/>
      <x:c r="F37" s="40"/>
      <x:c r="G37" s="40"/>
      <x:c r="H37" s="40"/>
      <x:c r="I37" s="40"/>
      <x:c r="J37" s="40"/>
      <x:c r="K37" s="42" t="str">
        <x:f>IF(COUNTA(B37:J37)=0,"",ROUND(AVERAGE(G37,6-H37,I37),2))</x:f>
      </x:c>
    </x:row>
    <x:row r="38">
      <x:c r="A38" s="37" t="n">
        <x:v>36</x:v>
      </x:c>
      <x:c r="B38" s="40"/>
      <x:c r="C38" s="40"/>
      <x:c r="D38" s="40"/>
      <x:c r="E38" s="40"/>
      <x:c r="F38" s="40"/>
      <x:c r="G38" s="40"/>
      <x:c r="H38" s="40"/>
      <x:c r="I38" s="40"/>
      <x:c r="J38" s="40"/>
      <x:c r="K38" s="42" t="str">
        <x:f>IF(COUNTA(B38:J38)=0,"",ROUND(AVERAGE(G38,6-H38,I38),2))</x:f>
      </x:c>
    </x:row>
    <x:row r="39">
      <x:c r="A39" s="37" t="n">
        <x:v>37</x:v>
      </x:c>
      <x:c r="B39" s="40"/>
      <x:c r="C39" s="40"/>
      <x:c r="D39" s="40"/>
      <x:c r="E39" s="40"/>
      <x:c r="F39" s="40"/>
      <x:c r="G39" s="40"/>
      <x:c r="H39" s="40"/>
      <x:c r="I39" s="40"/>
      <x:c r="J39" s="40"/>
      <x:c r="K39" s="42" t="str">
        <x:f>IF(COUNTA(B39:J39)=0,"",ROUND(AVERAGE(G39,6-H39,I39),2))</x:f>
      </x:c>
    </x:row>
    <x:row r="40">
      <x:c r="A40" s="37" t="n">
        <x:v>38</x:v>
      </x:c>
      <x:c r="B40" s="40"/>
      <x:c r="C40" s="40"/>
      <x:c r="D40" s="40"/>
      <x:c r="E40" s="40"/>
      <x:c r="F40" s="40"/>
      <x:c r="G40" s="40"/>
      <x:c r="H40" s="40"/>
      <x:c r="I40" s="40"/>
      <x:c r="J40" s="40"/>
      <x:c r="K40" s="42" t="str">
        <x:f>IF(COUNTA(B40:J40)=0,"",ROUND(AVERAGE(G40,6-H40,I40),2))</x:f>
      </x:c>
    </x:row>
    <x:row r="41">
      <x:c r="A41" s="37" t="n">
        <x:v>39</x:v>
      </x:c>
      <x:c r="B41" s="40"/>
      <x:c r="C41" s="40"/>
      <x:c r="D41" s="40"/>
      <x:c r="E41" s="40"/>
      <x:c r="F41" s="40"/>
      <x:c r="G41" s="40"/>
      <x:c r="H41" s="40"/>
      <x:c r="I41" s="40"/>
      <x:c r="J41" s="40"/>
      <x:c r="K41" s="42" t="str">
        <x:f>IF(COUNTA(B41:J41)=0,"",ROUND(AVERAGE(G41,6-H41,I41),2))</x:f>
      </x:c>
    </x:row>
    <x:row r="42">
      <x:c r="A42" s="37" t="n">
        <x:v>40</x:v>
      </x:c>
      <x:c r="B42" s="40"/>
      <x:c r="C42" s="40"/>
      <x:c r="D42" s="40"/>
      <x:c r="E42" s="40"/>
      <x:c r="F42" s="40"/>
      <x:c r="G42" s="40"/>
      <x:c r="H42" s="40"/>
      <x:c r="I42" s="40"/>
      <x:c r="J42" s="40"/>
      <x:c r="K42" s="42" t="str">
        <x:f>IF(COUNTA(B42:J42)=0,"",ROUND(AVERAGE(G42,6-H42,I42),2))</x:f>
      </x:c>
    </x:row>
    <x:row r="43">
      <x:c r="A43" s="37" t="n">
        <x:v>41</x:v>
      </x:c>
      <x:c r="B43" s="40"/>
      <x:c r="C43" s="40"/>
      <x:c r="D43" s="40"/>
      <x:c r="E43" s="40"/>
      <x:c r="F43" s="40"/>
      <x:c r="G43" s="40"/>
      <x:c r="H43" s="40"/>
      <x:c r="I43" s="40"/>
      <x:c r="J43" s="40"/>
      <x:c r="K43" s="42" t="str">
        <x:f>IF(COUNTA(B43:J43)=0,"",ROUND(AVERAGE(G43,6-H43,I43),2))</x:f>
      </x:c>
    </x:row>
    <x:row r="44">
      <x:c r="A44" s="37" t="n">
        <x:v>42</x:v>
      </x:c>
      <x:c r="B44" s="40"/>
      <x:c r="C44" s="40"/>
      <x:c r="D44" s="40"/>
      <x:c r="E44" s="40"/>
      <x:c r="F44" s="40"/>
      <x:c r="G44" s="40"/>
      <x:c r="H44" s="40"/>
      <x:c r="I44" s="40"/>
      <x:c r="J44" s="40"/>
      <x:c r="K44" s="42" t="str">
        <x:f>IF(COUNTA(B44:J44)=0,"",ROUND(AVERAGE(G44,6-H44,I44),2))</x:f>
      </x:c>
    </x:row>
    <x:row r="45">
      <x:c r="A45" s="37" t="n">
        <x:v>43</x:v>
      </x:c>
      <x:c r="B45" s="40"/>
      <x:c r="C45" s="40"/>
      <x:c r="D45" s="40"/>
      <x:c r="E45" s="40"/>
      <x:c r="F45" s="40"/>
      <x:c r="G45" s="40"/>
      <x:c r="H45" s="40"/>
      <x:c r="I45" s="40"/>
      <x:c r="J45" s="40"/>
      <x:c r="K45" s="42" t="str">
        <x:f>IF(COUNTA(B45:J45)=0,"",ROUND(AVERAGE(G45,6-H45,I45),2))</x:f>
      </x:c>
    </x:row>
    <x:row r="46">
      <x:c r="A46" s="37" t="n">
        <x:v>44</x:v>
      </x:c>
      <x:c r="B46" s="40"/>
      <x:c r="C46" s="40"/>
      <x:c r="D46" s="40"/>
      <x:c r="E46" s="40"/>
      <x:c r="F46" s="40"/>
      <x:c r="G46" s="40"/>
      <x:c r="H46" s="40"/>
      <x:c r="I46" s="40"/>
      <x:c r="J46" s="40"/>
      <x:c r="K46" s="42" t="str">
        <x:f>IF(COUNTA(B46:J46)=0,"",ROUND(AVERAGE(G46,6-H46,I46),2))</x:f>
      </x:c>
    </x:row>
    <x:row r="47">
      <x:c r="A47" s="37" t="n">
        <x:v>45</x:v>
      </x:c>
      <x:c r="B47" s="40"/>
      <x:c r="C47" s="40"/>
      <x:c r="D47" s="40"/>
      <x:c r="E47" s="40"/>
      <x:c r="F47" s="40"/>
      <x:c r="G47" s="40"/>
      <x:c r="H47" s="40"/>
      <x:c r="I47" s="40"/>
      <x:c r="J47" s="40"/>
      <x:c r="K47" s="42" t="str">
        <x:f>IF(COUNTA(B47:J47)=0,"",ROUND(AVERAGE(G47,6-H47,I47),2))</x:f>
      </x:c>
    </x:row>
    <x:row r="48">
      <x:c r="A48" s="37" t="n">
        <x:v>46</x:v>
      </x:c>
      <x:c r="B48" s="40"/>
      <x:c r="C48" s="40"/>
      <x:c r="D48" s="40"/>
      <x:c r="E48" s="40"/>
      <x:c r="F48" s="40"/>
      <x:c r="G48" s="40"/>
      <x:c r="H48" s="40"/>
      <x:c r="I48" s="40"/>
      <x:c r="J48" s="40"/>
      <x:c r="K48" s="42" t="str">
        <x:f>IF(COUNTA(B48:J48)=0,"",ROUND(AVERAGE(G48,6-H48,I48),2))</x:f>
      </x:c>
    </x:row>
    <x:row r="49">
      <x:c r="A49" s="37" t="n">
        <x:v>47</x:v>
      </x:c>
      <x:c r="B49" s="40"/>
      <x:c r="C49" s="40"/>
      <x:c r="D49" s="40"/>
      <x:c r="E49" s="40"/>
      <x:c r="F49" s="40"/>
      <x:c r="G49" s="40"/>
      <x:c r="H49" s="40"/>
      <x:c r="I49" s="40"/>
      <x:c r="J49" s="40"/>
      <x:c r="K49" s="42" t="str">
        <x:f>IF(COUNTA(B49:J49)=0,"",ROUND(AVERAGE(G49,6-H49,I49),2))</x:f>
      </x:c>
    </x:row>
    <x:row r="50">
      <x:c r="A50" s="37" t="n">
        <x:v>48</x:v>
      </x:c>
      <x:c r="B50" s="40"/>
      <x:c r="C50" s="40"/>
      <x:c r="D50" s="40"/>
      <x:c r="E50" s="40"/>
      <x:c r="F50" s="40"/>
      <x:c r="G50" s="40"/>
      <x:c r="H50" s="40"/>
      <x:c r="I50" s="40"/>
      <x:c r="J50" s="40"/>
      <x:c r="K50" s="42" t="str">
        <x:f>IF(COUNTA(B50:J50)=0,"",ROUND(AVERAGE(G50,6-H50,I50),2))</x:f>
      </x:c>
    </x:row>
    <x:row r="51">
      <x:c r="A51" s="37" t="n">
        <x:v>49</x:v>
      </x:c>
      <x:c r="B51" s="40"/>
      <x:c r="C51" s="40"/>
      <x:c r="D51" s="40"/>
      <x:c r="E51" s="40"/>
      <x:c r="F51" s="40"/>
      <x:c r="G51" s="40"/>
      <x:c r="H51" s="40"/>
      <x:c r="I51" s="40"/>
      <x:c r="J51" s="40"/>
      <x:c r="K51" s="42" t="str">
        <x:f>IF(COUNTA(B51:J51)=0,"",ROUND(AVERAGE(G51,6-H51,I51),2))</x:f>
      </x:c>
    </x:row>
    <x:row r="52">
      <x:c r="A52" s="37" t="n">
        <x:v>50</x:v>
      </x:c>
      <x:c r="B52" s="40"/>
      <x:c r="C52" s="40"/>
      <x:c r="D52" s="40"/>
      <x:c r="E52" s="40"/>
      <x:c r="F52" s="40"/>
      <x:c r="G52" s="40"/>
      <x:c r="H52" s="40"/>
      <x:c r="I52" s="40"/>
      <x:c r="J52" s="40"/>
      <x:c r="K52" s="42" t="str">
        <x:f>IF(COUNTA(B52:J52)=0,"",ROUND(AVERAGE(G52,6-H52,I52),2))</x:f>
      </x:c>
    </x:row>
    <x:row r="53">
      <x:c r="A53" s="37" t="n">
        <x:v>51</x:v>
      </x:c>
      <x:c r="B53" s="40"/>
      <x:c r="C53" s="40"/>
      <x:c r="D53" s="40"/>
      <x:c r="E53" s="40"/>
      <x:c r="F53" s="40"/>
      <x:c r="G53" s="40"/>
      <x:c r="H53" s="40"/>
      <x:c r="I53" s="40"/>
      <x:c r="J53" s="40"/>
      <x:c r="K53" s="42" t="str">
        <x:f>IF(COUNTA(B53:J53)=0,"",ROUND(AVERAGE(G53,6-H53,I53),2))</x:f>
      </x:c>
    </x:row>
    <x:row r="54">
      <x:c r="A54" s="37" t="n">
        <x:v>52</x:v>
      </x:c>
      <x:c r="B54" s="40"/>
      <x:c r="C54" s="40"/>
      <x:c r="D54" s="40"/>
      <x:c r="E54" s="40"/>
      <x:c r="F54" s="40"/>
      <x:c r="G54" s="40"/>
      <x:c r="H54" s="40"/>
      <x:c r="I54" s="40"/>
      <x:c r="J54" s="40"/>
      <x:c r="K54" s="42" t="str">
        <x:f>IF(COUNTA(B54:J54)=0,"",ROUND(AVERAGE(G54,6-H54,I54),2))</x:f>
      </x:c>
    </x:row>
    <x:row r="55">
      <x:c r="A55" s="37" t="n">
        <x:v>53</x:v>
      </x:c>
      <x:c r="B55" s="40"/>
      <x:c r="C55" s="40"/>
      <x:c r="D55" s="40"/>
      <x:c r="E55" s="40"/>
      <x:c r="F55" s="40"/>
      <x:c r="G55" s="40"/>
      <x:c r="H55" s="40"/>
      <x:c r="I55" s="40"/>
      <x:c r="J55" s="40"/>
      <x:c r="K55" s="42" t="str">
        <x:f>IF(COUNTA(B55:J55)=0,"",ROUND(AVERAGE(G55,6-H55,I55),2))</x:f>
      </x:c>
    </x:row>
    <x:row r="56">
      <x:c r="A56" s="37" t="n">
        <x:v>54</x:v>
      </x:c>
      <x:c r="B56" s="40"/>
      <x:c r="C56" s="40"/>
      <x:c r="D56" s="40"/>
      <x:c r="E56" s="40"/>
      <x:c r="F56" s="40"/>
      <x:c r="G56" s="40"/>
      <x:c r="H56" s="40"/>
      <x:c r="I56" s="40"/>
      <x:c r="J56" s="40"/>
      <x:c r="K56" s="42" t="str">
        <x:f>IF(COUNTA(B56:J56)=0,"",ROUND(AVERAGE(G56,6-H56,I56),2))</x:f>
      </x:c>
    </x:row>
    <x:row r="57">
      <x:c r="A57" s="37" t="n">
        <x:v>55</x:v>
      </x:c>
      <x:c r="B57" s="40"/>
      <x:c r="C57" s="40"/>
      <x:c r="D57" s="40"/>
      <x:c r="E57" s="40"/>
      <x:c r="F57" s="40"/>
      <x:c r="G57" s="40"/>
      <x:c r="H57" s="40"/>
      <x:c r="I57" s="40"/>
      <x:c r="J57" s="40"/>
      <x:c r="K57" s="42" t="str">
        <x:f>IF(COUNTA(B57:J57)=0,"",ROUND(AVERAGE(G57,6-H57,I57),2))</x:f>
      </x:c>
    </x:row>
    <x:row r="58">
      <x:c r="A58" s="37" t="n">
        <x:v>56</x:v>
      </x:c>
      <x:c r="B58" s="40"/>
      <x:c r="C58" s="40"/>
      <x:c r="D58" s="40"/>
      <x:c r="E58" s="40"/>
      <x:c r="F58" s="40"/>
      <x:c r="G58" s="40"/>
      <x:c r="H58" s="40"/>
      <x:c r="I58" s="40"/>
      <x:c r="J58" s="40"/>
      <x:c r="K58" s="42" t="str">
        <x:f>IF(COUNTA(B58:J58)=0,"",ROUND(AVERAGE(G58,6-H58,I58),2))</x:f>
      </x:c>
    </x:row>
    <x:row r="59">
      <x:c r="A59" s="37" t="n">
        <x:v>57</x:v>
      </x:c>
      <x:c r="B59" s="40"/>
      <x:c r="C59" s="40"/>
      <x:c r="D59" s="40"/>
      <x:c r="E59" s="40"/>
      <x:c r="F59" s="40"/>
      <x:c r="G59" s="40"/>
      <x:c r="H59" s="40"/>
      <x:c r="I59" s="40"/>
      <x:c r="J59" s="40"/>
      <x:c r="K59" s="42" t="str">
        <x:f>IF(COUNTA(B59:J59)=0,"",ROUND(AVERAGE(G59,6-H59,I59),2))</x:f>
      </x:c>
    </x:row>
    <x:row r="60">
      <x:c r="A60" s="37" t="n">
        <x:v>58</x:v>
      </x:c>
      <x:c r="B60" s="40"/>
      <x:c r="C60" s="40"/>
      <x:c r="D60" s="40"/>
      <x:c r="E60" s="40"/>
      <x:c r="F60" s="40"/>
      <x:c r="G60" s="40"/>
      <x:c r="H60" s="40"/>
      <x:c r="I60" s="40"/>
      <x:c r="J60" s="40"/>
      <x:c r="K60" s="42" t="str">
        <x:f>IF(COUNTA(B60:J60)=0,"",ROUND(AVERAGE(G60,6-H60,I60),2))</x:f>
      </x:c>
    </x:row>
    <x:row r="61">
      <x:c r="A61" s="37" t="n">
        <x:v>59</x:v>
      </x:c>
      <x:c r="B61" s="40"/>
      <x:c r="C61" s="40"/>
      <x:c r="D61" s="40"/>
      <x:c r="E61" s="40"/>
      <x:c r="F61" s="40"/>
      <x:c r="G61" s="40"/>
      <x:c r="H61" s="40"/>
      <x:c r="I61" s="40"/>
      <x:c r="J61" s="40"/>
      <x:c r="K61" s="42" t="str">
        <x:f>IF(COUNTA(B61:J61)=0,"",ROUND(AVERAGE(G61,6-H61,I61),2))</x:f>
      </x:c>
    </x:row>
    <x:row r="62">
      <x:c r="A62" s="37" t="n">
        <x:v>60</x:v>
      </x:c>
      <x:c r="B62" s="40"/>
      <x:c r="C62" s="40"/>
      <x:c r="D62" s="40"/>
      <x:c r="E62" s="40"/>
      <x:c r="F62" s="40"/>
      <x:c r="G62" s="40"/>
      <x:c r="H62" s="40"/>
      <x:c r="I62" s="40"/>
      <x:c r="J62" s="40"/>
      <x:c r="K62" s="42" t="str">
        <x:f>IF(COUNTA(B62:J62)=0,"",ROUND(AVERAGE(G62,6-H62,I62),2))</x:f>
      </x:c>
    </x:row>
    <x:row r="63">
      <x:c r="A63" s="37" t="n">
        <x:v>61</x:v>
      </x:c>
      <x:c r="B63" s="40"/>
      <x:c r="C63" s="40"/>
      <x:c r="D63" s="40"/>
      <x:c r="E63" s="40"/>
      <x:c r="F63" s="40"/>
      <x:c r="G63" s="40"/>
      <x:c r="H63" s="40"/>
      <x:c r="I63" s="40"/>
      <x:c r="J63" s="40"/>
      <x:c r="K63" s="42" t="str">
        <x:f>IF(COUNTA(B63:J63)=0,"",ROUND(AVERAGE(G63,6-H63,I63),2))</x:f>
      </x:c>
    </x:row>
    <x:row r="64">
      <x:c r="A64" s="37" t="n">
        <x:v>62</x:v>
      </x:c>
      <x:c r="B64" s="40"/>
      <x:c r="C64" s="40"/>
      <x:c r="D64" s="40"/>
      <x:c r="E64" s="40"/>
      <x:c r="F64" s="40"/>
      <x:c r="G64" s="40"/>
      <x:c r="H64" s="40"/>
      <x:c r="I64" s="40"/>
      <x:c r="J64" s="40"/>
      <x:c r="K64" s="42" t="str">
        <x:f>IF(COUNTA(B64:J64)=0,"",ROUND(AVERAGE(G64,6-H64,I64),2))</x:f>
      </x:c>
    </x:row>
    <x:row r="65">
      <x:c r="A65" s="37" t="n">
        <x:v>63</x:v>
      </x:c>
      <x:c r="B65" s="40"/>
      <x:c r="C65" s="40"/>
      <x:c r="D65" s="40"/>
      <x:c r="E65" s="40"/>
      <x:c r="F65" s="40"/>
      <x:c r="G65" s="40"/>
      <x:c r="H65" s="40"/>
      <x:c r="I65" s="40"/>
      <x:c r="J65" s="40"/>
      <x:c r="K65" s="42" t="str">
        <x:f>IF(COUNTA(B65:J65)=0,"",ROUND(AVERAGE(G65,6-H65,I65),2))</x:f>
      </x:c>
    </x:row>
    <x:row r="66">
      <x:c r="A66" s="37" t="n">
        <x:v>64</x:v>
      </x:c>
      <x:c r="B66" s="40"/>
      <x:c r="C66" s="40"/>
      <x:c r="D66" s="40"/>
      <x:c r="E66" s="40"/>
      <x:c r="F66" s="40"/>
      <x:c r="G66" s="40"/>
      <x:c r="H66" s="40"/>
      <x:c r="I66" s="40"/>
      <x:c r="J66" s="40"/>
      <x:c r="K66" s="42" t="str">
        <x:f>IF(COUNTA(B66:J66)=0,"",ROUND(AVERAGE(G66,6-H66,I66),2))</x:f>
      </x:c>
    </x:row>
    <x:row r="67">
      <x:c r="A67" s="37" t="n">
        <x:v>65</x:v>
      </x:c>
      <x:c r="B67" s="40"/>
      <x:c r="C67" s="40"/>
      <x:c r="D67" s="40"/>
      <x:c r="E67" s="40"/>
      <x:c r="F67" s="40"/>
      <x:c r="G67" s="40"/>
      <x:c r="H67" s="40"/>
      <x:c r="I67" s="40"/>
      <x:c r="J67" s="40"/>
      <x:c r="K67" s="42" t="str">
        <x:f>IF(COUNTA(B67:J67)=0,"",ROUND(AVERAGE(G67,6-H67,I67),2))</x:f>
      </x:c>
    </x:row>
    <x:row r="68">
      <x:c r="A68" s="37" t="n">
        <x:v>66</x:v>
      </x:c>
      <x:c r="B68" s="40"/>
      <x:c r="C68" s="40"/>
      <x:c r="D68" s="40"/>
      <x:c r="E68" s="40"/>
      <x:c r="F68" s="40"/>
      <x:c r="G68" s="40"/>
      <x:c r="H68" s="40"/>
      <x:c r="I68" s="40"/>
      <x:c r="J68" s="40"/>
      <x:c r="K68" s="42" t="str">
        <x:f>IF(COUNTA(B68:J68)=0,"",ROUND(AVERAGE(G68,6-H68,I68),2))</x:f>
      </x:c>
    </x:row>
    <x:row r="69">
      <x:c r="A69" s="37" t="n">
        <x:v>67</x:v>
      </x:c>
      <x:c r="B69" s="40"/>
      <x:c r="C69" s="40"/>
      <x:c r="D69" s="40"/>
      <x:c r="E69" s="40"/>
      <x:c r="F69" s="40"/>
      <x:c r="G69" s="40"/>
      <x:c r="H69" s="40"/>
      <x:c r="I69" s="40"/>
      <x:c r="J69" s="40"/>
      <x:c r="K69" s="42" t="str">
        <x:f>IF(COUNTA(B69:J69)=0,"",ROUND(AVERAGE(G69,6-H69,I69),2))</x:f>
      </x:c>
    </x:row>
    <x:row r="70">
      <x:c r="A70" s="37" t="n">
        <x:v>68</x:v>
      </x:c>
      <x:c r="B70" s="40"/>
      <x:c r="C70" s="40"/>
      <x:c r="D70" s="40"/>
      <x:c r="E70" s="40"/>
      <x:c r="F70" s="40"/>
      <x:c r="G70" s="40"/>
      <x:c r="H70" s="40"/>
      <x:c r="I70" s="40"/>
      <x:c r="J70" s="40"/>
      <x:c r="K70" s="42" t="str">
        <x:f>IF(COUNTA(B70:J70)=0,"",ROUND(AVERAGE(G70,6-H70,I70),2))</x:f>
      </x:c>
    </x:row>
    <x:row r="71">
      <x:c r="A71" s="37" t="n">
        <x:v>69</x:v>
      </x:c>
      <x:c r="B71" s="40"/>
      <x:c r="C71" s="40"/>
      <x:c r="D71" s="40"/>
      <x:c r="E71" s="40"/>
      <x:c r="F71" s="40"/>
      <x:c r="G71" s="40"/>
      <x:c r="H71" s="40"/>
      <x:c r="I71" s="40"/>
      <x:c r="J71" s="40"/>
      <x:c r="K71" s="42" t="str">
        <x:f>IF(COUNTA(B71:J71)=0,"",ROUND(AVERAGE(G71,6-H71,I71),2))</x:f>
      </x:c>
    </x:row>
    <x:row r="72">
      <x:c r="A72" s="37" t="n">
        <x:v>70</x:v>
      </x:c>
      <x:c r="B72" s="40"/>
      <x:c r="C72" s="40"/>
      <x:c r="D72" s="40"/>
      <x:c r="E72" s="40"/>
      <x:c r="F72" s="40"/>
      <x:c r="G72" s="40"/>
      <x:c r="H72" s="40"/>
      <x:c r="I72" s="40"/>
      <x:c r="J72" s="40"/>
      <x:c r="K72" s="42" t="str">
        <x:f>IF(COUNTA(B72:J72)=0,"",ROUND(AVERAGE(G72,6-H72,I72),2))</x:f>
      </x:c>
    </x:row>
    <x:row r="73">
      <x:c r="A73" s="37" t="n">
        <x:v>71</x:v>
      </x:c>
      <x:c r="B73" s="40"/>
      <x:c r="C73" s="40"/>
      <x:c r="D73" s="40"/>
      <x:c r="E73" s="40"/>
      <x:c r="F73" s="40"/>
      <x:c r="G73" s="40"/>
      <x:c r="H73" s="40"/>
      <x:c r="I73" s="40"/>
      <x:c r="J73" s="40"/>
      <x:c r="K73" s="42" t="str">
        <x:f>IF(COUNTA(B73:J73)=0,"",ROUND(AVERAGE(G73,6-H73,I73),2))</x:f>
      </x:c>
    </x:row>
    <x:row r="74">
      <x:c r="A74" s="37" t="n">
        <x:v>72</x:v>
      </x:c>
      <x:c r="B74" s="40"/>
      <x:c r="C74" s="40"/>
      <x:c r="D74" s="40"/>
      <x:c r="E74" s="40"/>
      <x:c r="F74" s="40"/>
      <x:c r="G74" s="40"/>
      <x:c r="H74" s="40"/>
      <x:c r="I74" s="40"/>
      <x:c r="J74" s="40"/>
      <x:c r="K74" s="42" t="str">
        <x:f>IF(COUNTA(B74:J74)=0,"",ROUND(AVERAGE(G74,6-H74,I74),2))</x:f>
      </x:c>
    </x:row>
    <x:row r="75">
      <x:c r="A75" s="37" t="n">
        <x:v>73</x:v>
      </x:c>
      <x:c r="B75" s="40"/>
      <x:c r="C75" s="40"/>
      <x:c r="D75" s="40"/>
      <x:c r="E75" s="40"/>
      <x:c r="F75" s="40"/>
      <x:c r="G75" s="40"/>
      <x:c r="H75" s="40"/>
      <x:c r="I75" s="40"/>
      <x:c r="J75" s="40"/>
      <x:c r="K75" s="42" t="str">
        <x:f>IF(COUNTA(B75:J75)=0,"",ROUND(AVERAGE(G75,6-H75,I75),2))</x:f>
      </x:c>
    </x:row>
    <x:row r="76">
      <x:c r="A76" s="37" t="n">
        <x:v>74</x:v>
      </x:c>
      <x:c r="B76" s="40"/>
      <x:c r="C76" s="40"/>
      <x:c r="D76" s="40"/>
      <x:c r="E76" s="40"/>
      <x:c r="F76" s="40"/>
      <x:c r="G76" s="40"/>
      <x:c r="H76" s="40"/>
      <x:c r="I76" s="40"/>
      <x:c r="J76" s="40"/>
      <x:c r="K76" s="42" t="str">
        <x:f>IF(COUNTA(B76:J76)=0,"",ROUND(AVERAGE(G76,6-H76,I76),2))</x:f>
      </x:c>
    </x:row>
    <x:row r="77">
      <x:c r="A77" s="37" t="n">
        <x:v>75</x:v>
      </x:c>
      <x:c r="B77" s="40"/>
      <x:c r="C77" s="40"/>
      <x:c r="D77" s="40"/>
      <x:c r="E77" s="40"/>
      <x:c r="F77" s="40"/>
      <x:c r="G77" s="40"/>
      <x:c r="H77" s="40"/>
      <x:c r="I77" s="40"/>
      <x:c r="J77" s="40"/>
      <x:c r="K77" s="42" t="str">
        <x:f>IF(COUNTA(B77:J77)=0,"",ROUND(AVERAGE(G77,6-H77,I77),2))</x:f>
      </x:c>
    </x:row>
    <x:row r="78">
      <x:c r="A78" s="37" t="n">
        <x:v>76</x:v>
      </x:c>
      <x:c r="B78" s="40"/>
      <x:c r="C78" s="40"/>
      <x:c r="D78" s="40"/>
      <x:c r="E78" s="40"/>
      <x:c r="F78" s="40"/>
      <x:c r="G78" s="40"/>
      <x:c r="H78" s="40"/>
      <x:c r="I78" s="40"/>
      <x:c r="J78" s="40"/>
      <x:c r="K78" s="42" t="str">
        <x:f>IF(COUNTA(B78:J78)=0,"",ROUND(AVERAGE(G78,6-H78,I78),2))</x:f>
      </x:c>
    </x:row>
    <x:row r="79">
      <x:c r="A79" s="37" t="n">
        <x:v>77</x:v>
      </x:c>
      <x:c r="B79" s="40"/>
      <x:c r="C79" s="40"/>
      <x:c r="D79" s="40"/>
      <x:c r="E79" s="40"/>
      <x:c r="F79" s="40"/>
      <x:c r="G79" s="40"/>
      <x:c r="H79" s="40"/>
      <x:c r="I79" s="40"/>
      <x:c r="J79" s="40"/>
      <x:c r="K79" s="42" t="str">
        <x:f>IF(COUNTA(B79:J79)=0,"",ROUND(AVERAGE(G79,6-H79,I79),2))</x:f>
      </x:c>
    </x:row>
    <x:row r="80">
      <x:c r="A80" s="37" t="n">
        <x:v>78</x:v>
      </x:c>
      <x:c r="B80" s="40"/>
      <x:c r="C80" s="40"/>
      <x:c r="D80" s="40"/>
      <x:c r="E80" s="40"/>
      <x:c r="F80" s="40"/>
      <x:c r="G80" s="40"/>
      <x:c r="H80" s="40"/>
      <x:c r="I80" s="40"/>
      <x:c r="J80" s="40"/>
      <x:c r="K80" s="42" t="str">
        <x:f>IF(COUNTA(B80:J80)=0,"",ROUND(AVERAGE(G80,6-H80,I80),2))</x:f>
      </x:c>
    </x:row>
    <x:row r="81">
      <x:c r="A81" s="37" t="n">
        <x:v>79</x:v>
      </x:c>
      <x:c r="B81" s="40"/>
      <x:c r="C81" s="40"/>
      <x:c r="D81" s="40"/>
      <x:c r="E81" s="40"/>
      <x:c r="F81" s="40"/>
      <x:c r="G81" s="40"/>
      <x:c r="H81" s="40"/>
      <x:c r="I81" s="40"/>
      <x:c r="J81" s="40"/>
      <x:c r="K81" s="42" t="str">
        <x:f>IF(COUNTA(B81:J81)=0,"",ROUND(AVERAGE(G81,6-H81,I81),2))</x:f>
      </x:c>
    </x:row>
    <x:row r="82">
      <x:c r="A82" s="37" t="n">
        <x:v>80</x:v>
      </x:c>
      <x:c r="B82" s="40"/>
      <x:c r="C82" s="40"/>
      <x:c r="D82" s="40"/>
      <x:c r="E82" s="40"/>
      <x:c r="F82" s="40"/>
      <x:c r="G82" s="40"/>
      <x:c r="H82" s="40"/>
      <x:c r="I82" s="40"/>
      <x:c r="J82" s="40"/>
      <x:c r="K82" s="42" t="str">
        <x:f>IF(COUNTA(B82:J82)=0,"",ROUND(AVERAGE(G82,6-H82,I82),2))</x:f>
      </x:c>
    </x:row>
    <x:row r="83">
      <x:c r="A83" s="37" t="n">
        <x:v>81</x:v>
      </x:c>
      <x:c r="B83" s="40"/>
      <x:c r="C83" s="40"/>
      <x:c r="D83" s="40"/>
      <x:c r="E83" s="40"/>
      <x:c r="F83" s="40"/>
      <x:c r="G83" s="40"/>
      <x:c r="H83" s="40"/>
      <x:c r="I83" s="40"/>
      <x:c r="J83" s="40"/>
      <x:c r="K83" s="42" t="str">
        <x:f>IF(COUNTA(B83:J83)=0,"",ROUND(AVERAGE(G83,6-H83,I83),2))</x:f>
      </x:c>
    </x:row>
    <x:row r="84">
      <x:c r="A84" s="37" t="n">
        <x:v>82</x:v>
      </x:c>
      <x:c r="B84" s="40"/>
      <x:c r="C84" s="40"/>
      <x:c r="D84" s="40"/>
      <x:c r="E84" s="40"/>
      <x:c r="F84" s="40"/>
      <x:c r="G84" s="40"/>
      <x:c r="H84" s="40"/>
      <x:c r="I84" s="40"/>
      <x:c r="J84" s="40"/>
      <x:c r="K84" s="42" t="str">
        <x:f>IF(COUNTA(B84:J84)=0,"",ROUND(AVERAGE(G84,6-H84,I84),2))</x:f>
      </x:c>
    </x:row>
    <x:row r="85">
      <x:c r="A85" s="37" t="n">
        <x:v>83</x:v>
      </x:c>
      <x:c r="B85" s="40"/>
      <x:c r="C85" s="40"/>
      <x:c r="D85" s="40"/>
      <x:c r="E85" s="40"/>
      <x:c r="F85" s="40"/>
      <x:c r="G85" s="40"/>
      <x:c r="H85" s="40"/>
      <x:c r="I85" s="40"/>
      <x:c r="J85" s="40"/>
      <x:c r="K85" s="42" t="str">
        <x:f>IF(COUNTA(B85:J85)=0,"",ROUND(AVERAGE(G85,6-H85,I85),2))</x:f>
      </x:c>
    </x:row>
    <x:row r="86">
      <x:c r="A86" s="37" t="n">
        <x:v>84</x:v>
      </x:c>
      <x:c r="B86" s="40"/>
      <x:c r="C86" s="40"/>
      <x:c r="D86" s="40"/>
      <x:c r="E86" s="40"/>
      <x:c r="F86" s="40"/>
      <x:c r="G86" s="40"/>
      <x:c r="H86" s="40"/>
      <x:c r="I86" s="40"/>
      <x:c r="J86" s="40"/>
      <x:c r="K86" s="42" t="str">
        <x:f>IF(COUNTA(B86:J86)=0,"",ROUND(AVERAGE(G86,6-H86,I86),2))</x:f>
      </x:c>
    </x:row>
    <x:row r="87">
      <x:c r="A87" s="37" t="n">
        <x:v>85</x:v>
      </x:c>
      <x:c r="B87" s="40"/>
      <x:c r="C87" s="40"/>
      <x:c r="D87" s="40"/>
      <x:c r="E87" s="40"/>
      <x:c r="F87" s="40"/>
      <x:c r="G87" s="40"/>
      <x:c r="H87" s="40"/>
      <x:c r="I87" s="40"/>
      <x:c r="J87" s="40"/>
      <x:c r="K87" s="42" t="str">
        <x:f>IF(COUNTA(B87:J87)=0,"",ROUND(AVERAGE(G87,6-H87,I87),2))</x:f>
      </x:c>
    </x:row>
    <x:row r="88">
      <x:c r="A88" s="37" t="n">
        <x:v>86</x:v>
      </x:c>
      <x:c r="B88" s="40"/>
      <x:c r="C88" s="40"/>
      <x:c r="D88" s="40"/>
      <x:c r="E88" s="40"/>
      <x:c r="F88" s="40"/>
      <x:c r="G88" s="40"/>
      <x:c r="H88" s="40"/>
      <x:c r="I88" s="40"/>
      <x:c r="J88" s="40"/>
      <x:c r="K88" s="42" t="str">
        <x:f>IF(COUNTA(B88:J88)=0,"",ROUND(AVERAGE(G88,6-H88,I88),2))</x:f>
      </x:c>
    </x:row>
    <x:row r="89">
      <x:c r="A89" s="37" t="n">
        <x:v>87</x:v>
      </x:c>
      <x:c r="B89" s="40"/>
      <x:c r="C89" s="40"/>
      <x:c r="D89" s="40"/>
      <x:c r="E89" s="40"/>
      <x:c r="F89" s="40"/>
      <x:c r="G89" s="40"/>
      <x:c r="H89" s="40"/>
      <x:c r="I89" s="40"/>
      <x:c r="J89" s="40"/>
      <x:c r="K89" s="42" t="str">
        <x:f>IF(COUNTA(B89:J89)=0,"",ROUND(AVERAGE(G89,6-H89,I89),2))</x:f>
      </x:c>
    </x:row>
    <x:row r="90">
      <x:c r="A90" s="37" t="n">
        <x:v>88</x:v>
      </x:c>
      <x:c r="B90" s="40"/>
      <x:c r="C90" s="40"/>
      <x:c r="D90" s="40"/>
      <x:c r="E90" s="40"/>
      <x:c r="F90" s="40"/>
      <x:c r="G90" s="40"/>
      <x:c r="H90" s="40"/>
      <x:c r="I90" s="40"/>
      <x:c r="J90" s="40"/>
      <x:c r="K90" s="42" t="str">
        <x:f>IF(COUNTA(B90:J90)=0,"",ROUND(AVERAGE(G90,6-H90,I90),2))</x:f>
      </x:c>
    </x:row>
    <x:row r="91">
      <x:c r="A91" s="37" t="n">
        <x:v>89</x:v>
      </x:c>
      <x:c r="B91" s="40"/>
      <x:c r="C91" s="40"/>
      <x:c r="D91" s="40"/>
      <x:c r="E91" s="40"/>
      <x:c r="F91" s="40"/>
      <x:c r="G91" s="40"/>
      <x:c r="H91" s="40"/>
      <x:c r="I91" s="40"/>
      <x:c r="J91" s="40"/>
      <x:c r="K91" s="42" t="str">
        <x:f>IF(COUNTA(B91:J91)=0,"",ROUND(AVERAGE(G91,6-H91,I91),2))</x:f>
      </x:c>
    </x:row>
    <x:row r="92">
      <x:c r="A92" s="37" t="n">
        <x:v>90</x:v>
      </x:c>
      <x:c r="B92" s="40"/>
      <x:c r="C92" s="40"/>
      <x:c r="D92" s="40"/>
      <x:c r="E92" s="40"/>
      <x:c r="F92" s="40"/>
      <x:c r="G92" s="40"/>
      <x:c r="H92" s="40"/>
      <x:c r="I92" s="40"/>
      <x:c r="J92" s="40"/>
      <x:c r="K92" s="42" t="str">
        <x:f>IF(COUNTA(B92:J92)=0,"",ROUND(AVERAGE(G92,6-H92,I92),2))</x:f>
      </x:c>
    </x:row>
    <x:row r="93">
      <x:c r="A93" s="37" t="n">
        <x:v>91</x:v>
      </x:c>
      <x:c r="B93" s="40"/>
      <x:c r="C93" s="40"/>
      <x:c r="D93" s="40"/>
      <x:c r="E93" s="40"/>
      <x:c r="F93" s="40"/>
      <x:c r="G93" s="40"/>
      <x:c r="H93" s="40"/>
      <x:c r="I93" s="40"/>
      <x:c r="J93" s="40"/>
      <x:c r="K93" s="42" t="str">
        <x:f>IF(COUNTA(B93:J93)=0,"",ROUND(AVERAGE(G93,6-H93,I93),2))</x:f>
      </x:c>
    </x:row>
    <x:row r="94">
      <x:c r="A94" s="37" t="n">
        <x:v>92</x:v>
      </x:c>
      <x:c r="B94" s="40"/>
      <x:c r="C94" s="40"/>
      <x:c r="D94" s="40"/>
      <x:c r="E94" s="40"/>
      <x:c r="F94" s="40"/>
      <x:c r="G94" s="40"/>
      <x:c r="H94" s="40"/>
      <x:c r="I94" s="40"/>
      <x:c r="J94" s="40"/>
      <x:c r="K94" s="42" t="str">
        <x:f>IF(COUNTA(B94:J94)=0,"",ROUND(AVERAGE(G94,6-H94,I94),2))</x:f>
      </x:c>
    </x:row>
    <x:row r="95">
      <x:c r="A95" s="37" t="n">
        <x:v>93</x:v>
      </x:c>
      <x:c r="B95" s="40"/>
      <x:c r="C95" s="40"/>
      <x:c r="D95" s="40"/>
      <x:c r="E95" s="40"/>
      <x:c r="F95" s="40"/>
      <x:c r="G95" s="40"/>
      <x:c r="H95" s="40"/>
      <x:c r="I95" s="40"/>
      <x:c r="J95" s="40"/>
      <x:c r="K95" s="42" t="str">
        <x:f>IF(COUNTA(B95:J95)=0,"",ROUND(AVERAGE(G95,6-H95,I95),2))</x:f>
      </x:c>
    </x:row>
    <x:row r="96">
      <x:c r="A96" s="37" t="n">
        <x:v>94</x:v>
      </x:c>
      <x:c r="B96" s="40"/>
      <x:c r="C96" s="40"/>
      <x:c r="D96" s="40"/>
      <x:c r="E96" s="40"/>
      <x:c r="F96" s="40"/>
      <x:c r="G96" s="40"/>
      <x:c r="H96" s="40"/>
      <x:c r="I96" s="40"/>
      <x:c r="J96" s="40"/>
      <x:c r="K96" s="42" t="str">
        <x:f>IF(COUNTA(B96:J96)=0,"",ROUND(AVERAGE(G96,6-H96,I96),2))</x:f>
      </x:c>
    </x:row>
    <x:row r="97">
      <x:c r="A97" s="37" t="n">
        <x:v>95</x:v>
      </x:c>
      <x:c r="B97" s="40"/>
      <x:c r="C97" s="40"/>
      <x:c r="D97" s="40"/>
      <x:c r="E97" s="40"/>
      <x:c r="F97" s="40"/>
      <x:c r="G97" s="40"/>
      <x:c r="H97" s="40"/>
      <x:c r="I97" s="40"/>
      <x:c r="J97" s="40"/>
      <x:c r="K97" s="42" t="str">
        <x:f>IF(COUNTA(B97:J97)=0,"",ROUND(AVERAGE(G97,6-H97,I97),2))</x:f>
      </x:c>
    </x:row>
    <x:row r="98">
      <x:c r="A98" s="37" t="n">
        <x:v>96</x:v>
      </x:c>
      <x:c r="B98" s="40"/>
      <x:c r="C98" s="40"/>
      <x:c r="D98" s="40"/>
      <x:c r="E98" s="40"/>
      <x:c r="F98" s="40"/>
      <x:c r="G98" s="40"/>
      <x:c r="H98" s="40"/>
      <x:c r="I98" s="40"/>
      <x:c r="J98" s="40"/>
      <x:c r="K98" s="42" t="str">
        <x:f>IF(COUNTA(B98:J98)=0,"",ROUND(AVERAGE(G98,6-H98,I98),2))</x:f>
      </x:c>
    </x:row>
    <x:row r="99">
      <x:c r="A99" s="37" t="n">
        <x:v>97</x:v>
      </x:c>
      <x:c r="B99" s="40"/>
      <x:c r="C99" s="40"/>
      <x:c r="D99" s="40"/>
      <x:c r="E99" s="40"/>
      <x:c r="F99" s="40"/>
      <x:c r="G99" s="40"/>
      <x:c r="H99" s="40"/>
      <x:c r="I99" s="40"/>
      <x:c r="J99" s="40"/>
      <x:c r="K99" s="42" t="str">
        <x:f>IF(COUNTA(B99:J99)=0,"",ROUND(AVERAGE(G99,6-H99,I99),2))</x:f>
      </x:c>
    </x:row>
    <x:row r="100">
      <x:c r="A100" s="37" t="n">
        <x:v>98</x:v>
      </x:c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2" t="str">
        <x:f>IF(COUNTA(B100:J100)=0,"",ROUND(AVERAGE(G100,6-H100,I100),2))</x:f>
      </x:c>
    </x:row>
    <x:row r="101">
      <x:c r="A101" s="37" t="n">
        <x:v>99</x:v>
      </x:c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2" t="str">
        <x:f>IF(COUNTA(B101:J101)=0,"",ROUND(AVERAGE(G101,6-H101,I101),2))</x:f>
      </x:c>
    </x:row>
    <x:row r="102">
      <x:c r="A102" s="37" t="n">
        <x:v>100</x:v>
      </x:c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2" t="str">
        <x:f>IF(COUNTA(B102:J102)=0,"",ROUND(AVERAGE(G102,6-H102,I102),2))</x:f>
      </x:c>
    </x:row>
    <x:row r="103">
      <x:c r="A103" s="37" t="n">
        <x:v>101</x:v>
      </x:c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2" t="str">
        <x:f>IF(COUNTA(B103:J103)=0,"",ROUND(AVERAGE(G103,6-H103,I103),2))</x:f>
      </x:c>
    </x:row>
    <x:row r="104">
      <x:c r="A104" s="37" t="n">
        <x:v>102</x:v>
      </x:c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2" t="str">
        <x:f>IF(COUNTA(B104:J104)=0,"",ROUND(AVERAGE(G104,6-H104,I104),2))</x:f>
      </x:c>
    </x:row>
    <x:row r="105">
      <x:c r="A105" s="37" t="n">
        <x:v>103</x:v>
      </x:c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2" t="str">
        <x:f>IF(COUNTA(B105:J105)=0,"",ROUND(AVERAGE(G105,6-H105,I105),2))</x:f>
      </x:c>
    </x:row>
    <x:row r="106">
      <x:c r="A106" s="37" t="n">
        <x:v>104</x:v>
      </x:c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2" t="str">
        <x:f>IF(COUNTA(B106:J106)=0,"",ROUND(AVERAGE(G106,6-H106,I106),2))</x:f>
      </x:c>
    </x:row>
    <x:row r="107">
      <x:c r="A107" s="37" t="n">
        <x:v>105</x:v>
      </x:c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2" t="str">
        <x:f>IF(COUNTA(B107:J107)=0,"",ROUND(AVERAGE(G107,6-H107,I107),2))</x:f>
      </x:c>
    </x:row>
    <x:row r="108">
      <x:c r="A108" s="37" t="n">
        <x:v>106</x:v>
      </x:c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2" t="str">
        <x:f>IF(COUNTA(B108:J108)=0,"",ROUND(AVERAGE(G108,6-H108,I108),2))</x:f>
      </x:c>
    </x:row>
    <x:row r="109">
      <x:c r="A109" s="37" t="n">
        <x:v>107</x:v>
      </x:c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2" t="str">
        <x:f>IF(COUNTA(B109:J109)=0,"",ROUND(AVERAGE(G109,6-H109,I109),2))</x:f>
      </x:c>
    </x:row>
    <x:row r="110">
      <x:c r="A110" s="37" t="n">
        <x:v>108</x:v>
      </x:c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2" t="str">
        <x:f>IF(COUNTA(B110:J110)=0,"",ROUND(AVERAGE(G110,6-H110,I110),2))</x:f>
      </x:c>
    </x:row>
    <x:row r="111">
      <x:c r="A111" s="37" t="n">
        <x:v>109</x:v>
      </x:c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2" t="str">
        <x:f>IF(COUNTA(B111:J111)=0,"",ROUND(AVERAGE(G111,6-H111,I111),2))</x:f>
      </x:c>
    </x:row>
    <x:row r="112">
      <x:c r="A112" s="37" t="n">
        <x:v>110</x:v>
      </x:c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2" t="str">
        <x:f>IF(COUNTA(B112:J112)=0,"",ROUND(AVERAGE(G112,6-H112,I112),2))</x:f>
      </x:c>
    </x:row>
    <x:row r="113">
      <x:c r="A113" s="37" t="n">
        <x:v>111</x:v>
      </x:c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2" t="str">
        <x:f>IF(COUNTA(B113:J113)=0,"",ROUND(AVERAGE(G113,6-H113,I113),2))</x:f>
      </x:c>
    </x:row>
    <x:row r="114">
      <x:c r="A114" s="37" t="n">
        <x:v>112</x:v>
      </x:c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2" t="str">
        <x:f>IF(COUNTA(B114:J114)=0,"",ROUND(AVERAGE(G114,6-H114,I114),2))</x:f>
      </x:c>
    </x:row>
    <x:row r="115">
      <x:c r="A115" s="37" t="n">
        <x:v>113</x:v>
      </x:c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2" t="str">
        <x:f>IF(COUNTA(B115:J115)=0,"",ROUND(AVERAGE(G115,6-H115,I115),2))</x:f>
      </x:c>
    </x:row>
    <x:row r="116">
      <x:c r="A116" s="37" t="n">
        <x:v>114</x:v>
      </x:c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2" t="str">
        <x:f>IF(COUNTA(B116:J116)=0,"",ROUND(AVERAGE(G116,6-H116,I116),2))</x:f>
      </x:c>
    </x:row>
    <x:row r="117">
      <x:c r="A117" s="37" t="n">
        <x:v>115</x:v>
      </x:c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2" t="str">
        <x:f>IF(COUNTA(B117:J117)=0,"",ROUND(AVERAGE(G117,6-H117,I117),2))</x:f>
      </x:c>
    </x:row>
    <x:row r="118">
      <x:c r="A118" s="37" t="n">
        <x:v>116</x:v>
      </x:c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2" t="str">
        <x:f>IF(COUNTA(B118:J118)=0,"",ROUND(AVERAGE(G118,6-H118,I118),2))</x:f>
      </x:c>
    </x:row>
    <x:row r="119">
      <x:c r="A119" s="37" t="n">
        <x:v>117</x:v>
      </x:c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2" t="str">
        <x:f>IF(COUNTA(B119:J119)=0,"",ROUND(AVERAGE(G119,6-H119,I119),2))</x:f>
      </x:c>
    </x:row>
    <x:row r="120">
      <x:c r="A120" s="37" t="n">
        <x:v>118</x:v>
      </x:c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2" t="str">
        <x:f>IF(COUNTA(B120:J120)=0,"",ROUND(AVERAGE(G120,6-H120,I120),2))</x:f>
      </x:c>
    </x:row>
    <x:row r="121">
      <x:c r="A121" s="37" t="n">
        <x:v>119</x:v>
      </x:c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2" t="str">
        <x:f>IF(COUNTA(B121:J121)=0,"",ROUND(AVERAGE(G121,6-H121,I121),2))</x:f>
      </x:c>
    </x:row>
    <x:row r="122">
      <x:c r="A122" s="37" t="n">
        <x:v>120</x:v>
      </x:c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2" t="str">
        <x:f>IF(COUNTA(B122:J122)=0,"",ROUND(AVERAGE(G122,6-H122,I122),2))</x:f>
      </x:c>
    </x:row>
  </x:sheetData>
  <x:mergeCells>
    <x:mergeCell ref="A1:K1"/>
  </x:mergeCells>
  <x:conditionalFormatting sqref="K3:K122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dataValidations count="3">
    <x:dataValidation type="list" sqref="B3:B122">
      <x:formula1>"Ключевые ресурсы,Ключевые виды деятельности,Ключевые партнеры"</x:formula1>
    </x:dataValidation>
    <x:dataValidation type="list" sqref="G3:I122">
      <x:formula1>'12_Справочники'!$C$3:$C$7</x:formula1>
    </x:dataValidation>
    <x:dataValidation type="list" sqref="J3:J122">
      <x:formula1>'12_Справочники'!$J$3:$J$7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06fcd2f243457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</x:cols>
  <x:sheetData>
    <x:row r="1" ht="32" customHeight="1">
      <x:c r="A1" s="6" t="str">
        <x:v>Структура затрат и драйверы затрат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32" customHeight="1">
      <x:c r="A2" s="36" t="str">
        <x:v>ID</x:v>
      </x:c>
      <x:c r="B2" s="36" t="str">
        <x:v>Статья затрат</x:v>
      </x:c>
      <x:c r="C2" s="36" t="str">
        <x:v>Связанный ресурс / деятельность</x:v>
      </x:c>
      <x:c r="D2" s="36" t="str">
        <x:v>Тип затрат</x:v>
      </x:c>
      <x:c r="E2" s="36" t="str">
        <x:v>Драйвер затрат</x:v>
      </x:c>
      <x:c r="F2" s="36" t="str">
        <x:v>Этап развития</x:v>
      </x:c>
      <x:c r="G2" s="36" t="str">
        <x:v>Доказательство / основание</x:v>
      </x:c>
      <x:c r="H2" s="36" t="str">
        <x:v>Влияние на экономику 1-5</x:v>
      </x:c>
      <x:c r="I2" s="36" t="str">
        <x:v>Уверенность 1-5</x:v>
      </x:c>
      <x:c r="J2" s="36" t="str">
        <x:v>Управляемость 1-5</x:v>
      </x:c>
      <x:c r="K2" s="36" t="str">
        <x:v>Приоритет контроля</x:v>
      </x:c>
    </x:row>
    <x:row r="3">
      <x:c r="A3" s="37" t="n">
        <x:v>1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2" t="str">
        <x:f>IF(COUNTA(B3:J3)=0,"",ROUND(AVERAGE(H3,I3,6-J3),2))</x:f>
      </x:c>
    </x:row>
    <x:row r="4">
      <x:c r="A4" s="37" t="n">
        <x:v>2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2" t="str">
        <x:f>IF(COUNTA(B4:J4)=0,"",ROUND(AVERAGE(H4,I4,6-J4),2))</x:f>
      </x:c>
    </x:row>
    <x:row r="5">
      <x:c r="A5" s="37" t="n">
        <x:v>3</x:v>
      </x:c>
      <x:c r="B5" s="40"/>
      <x:c r="C5" s="40"/>
      <x:c r="D5" s="40"/>
      <x:c r="E5" s="40"/>
      <x:c r="F5" s="40"/>
      <x:c r="G5" s="40"/>
      <x:c r="H5" s="40"/>
      <x:c r="I5" s="40"/>
      <x:c r="J5" s="40"/>
      <x:c r="K5" s="42" t="str">
        <x:f>IF(COUNTA(B5:J5)=0,"",ROUND(AVERAGE(H5,I5,6-J5),2))</x:f>
      </x:c>
    </x:row>
    <x:row r="6">
      <x:c r="A6" s="37" t="n">
        <x:v>4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2" t="str">
        <x:f>IF(COUNTA(B6:J6)=0,"",ROUND(AVERAGE(H6,I6,6-J6),2))</x:f>
      </x:c>
    </x:row>
    <x:row r="7">
      <x:c r="A7" s="37" t="n">
        <x:v>5</x:v>
      </x:c>
      <x:c r="B7" s="40"/>
      <x:c r="C7" s="40"/>
      <x:c r="D7" s="40"/>
      <x:c r="E7" s="40"/>
      <x:c r="F7" s="40"/>
      <x:c r="G7" s="40"/>
      <x:c r="H7" s="40"/>
      <x:c r="I7" s="40"/>
      <x:c r="J7" s="40"/>
      <x:c r="K7" s="42" t="str">
        <x:f>IF(COUNTA(B7:J7)=0,"",ROUND(AVERAGE(H7,I7,6-J7),2))</x:f>
      </x:c>
    </x:row>
    <x:row r="8">
      <x:c r="A8" s="37" t="n">
        <x:v>6</x:v>
      </x:c>
      <x:c r="B8" s="40"/>
      <x:c r="C8" s="40"/>
      <x:c r="D8" s="40"/>
      <x:c r="E8" s="40"/>
      <x:c r="F8" s="40"/>
      <x:c r="G8" s="40"/>
      <x:c r="H8" s="40"/>
      <x:c r="I8" s="40"/>
      <x:c r="J8" s="40"/>
      <x:c r="K8" s="42" t="str">
        <x:f>IF(COUNTA(B8:J8)=0,"",ROUND(AVERAGE(H8,I8,6-J8),2))</x:f>
      </x:c>
    </x:row>
    <x:row r="9">
      <x:c r="A9" s="37" t="n">
        <x:v>7</x:v>
      </x:c>
      <x:c r="B9" s="40"/>
      <x:c r="C9" s="40"/>
      <x:c r="D9" s="40"/>
      <x:c r="E9" s="40"/>
      <x:c r="F9" s="40"/>
      <x:c r="G9" s="40"/>
      <x:c r="H9" s="40"/>
      <x:c r="I9" s="40"/>
      <x:c r="J9" s="40"/>
      <x:c r="K9" s="42" t="str">
        <x:f>IF(COUNTA(B9:J9)=0,"",ROUND(AVERAGE(H9,I9,6-J9),2))</x:f>
      </x:c>
    </x:row>
    <x:row r="10">
      <x:c r="A10" s="37" t="n">
        <x:v>8</x:v>
      </x:c>
      <x:c r="B10" s="40"/>
      <x:c r="C10" s="40"/>
      <x:c r="D10" s="40"/>
      <x:c r="E10" s="40"/>
      <x:c r="F10" s="40"/>
      <x:c r="G10" s="40"/>
      <x:c r="H10" s="40"/>
      <x:c r="I10" s="40"/>
      <x:c r="J10" s="40"/>
      <x:c r="K10" s="42" t="str">
        <x:f>IF(COUNTA(B10:J10)=0,"",ROUND(AVERAGE(H10,I10,6-J10),2))</x:f>
      </x:c>
    </x:row>
    <x:row r="11">
      <x:c r="A11" s="37" t="n">
        <x:v>9</x:v>
      </x:c>
      <x:c r="B11" s="40"/>
      <x:c r="C11" s="40"/>
      <x:c r="D11" s="40"/>
      <x:c r="E11" s="40"/>
      <x:c r="F11" s="40"/>
      <x:c r="G11" s="40"/>
      <x:c r="H11" s="40"/>
      <x:c r="I11" s="40"/>
      <x:c r="J11" s="40"/>
      <x:c r="K11" s="42" t="str">
        <x:f>IF(COUNTA(B11:J11)=0,"",ROUND(AVERAGE(H11,I11,6-J11),2))</x:f>
      </x:c>
    </x:row>
    <x:row r="12">
      <x:c r="A12" s="37" t="n">
        <x:v>10</x:v>
      </x:c>
      <x:c r="B12" s="40"/>
      <x:c r="C12" s="40"/>
      <x:c r="D12" s="40"/>
      <x:c r="E12" s="40"/>
      <x:c r="F12" s="40"/>
      <x:c r="G12" s="40"/>
      <x:c r="H12" s="40"/>
      <x:c r="I12" s="40"/>
      <x:c r="J12" s="40"/>
      <x:c r="K12" s="42" t="str">
        <x:f>IF(COUNTA(B12:J12)=0,"",ROUND(AVERAGE(H12,I12,6-J12),2))</x:f>
      </x:c>
    </x:row>
    <x:row r="13">
      <x:c r="A13" s="37" t="n">
        <x:v>11</x:v>
      </x:c>
      <x:c r="B13" s="40"/>
      <x:c r="C13" s="40"/>
      <x:c r="D13" s="40"/>
      <x:c r="E13" s="40"/>
      <x:c r="F13" s="40"/>
      <x:c r="G13" s="40"/>
      <x:c r="H13" s="40"/>
      <x:c r="I13" s="40"/>
      <x:c r="J13" s="40"/>
      <x:c r="K13" s="42" t="str">
        <x:f>IF(COUNTA(B13:J13)=0,"",ROUND(AVERAGE(H13,I13,6-J13),2))</x:f>
      </x:c>
    </x:row>
    <x:row r="14">
      <x:c r="A14" s="37" t="n">
        <x:v>12</x:v>
      </x:c>
      <x:c r="B14" s="40"/>
      <x:c r="C14" s="40"/>
      <x:c r="D14" s="40"/>
      <x:c r="E14" s="40"/>
      <x:c r="F14" s="40"/>
      <x:c r="G14" s="40"/>
      <x:c r="H14" s="40"/>
      <x:c r="I14" s="40"/>
      <x:c r="J14" s="40"/>
      <x:c r="K14" s="42" t="str">
        <x:f>IF(COUNTA(B14:J14)=0,"",ROUND(AVERAGE(H14,I14,6-J14),2))</x:f>
      </x:c>
    </x:row>
    <x:row r="15">
      <x:c r="A15" s="37" t="n">
        <x:v>13</x:v>
      </x:c>
      <x:c r="B15" s="40"/>
      <x:c r="C15" s="40"/>
      <x:c r="D15" s="40"/>
      <x:c r="E15" s="40"/>
      <x:c r="F15" s="40"/>
      <x:c r="G15" s="40"/>
      <x:c r="H15" s="40"/>
      <x:c r="I15" s="40"/>
      <x:c r="J15" s="40"/>
      <x:c r="K15" s="42" t="str">
        <x:f>IF(COUNTA(B15:J15)=0,"",ROUND(AVERAGE(H15,I15,6-J15),2))</x:f>
      </x:c>
    </x:row>
    <x:row r="16">
      <x:c r="A16" s="37" t="n">
        <x:v>14</x:v>
      </x:c>
      <x:c r="B16" s="40"/>
      <x:c r="C16" s="40"/>
      <x:c r="D16" s="40"/>
      <x:c r="E16" s="40"/>
      <x:c r="F16" s="40"/>
      <x:c r="G16" s="40"/>
      <x:c r="H16" s="40"/>
      <x:c r="I16" s="40"/>
      <x:c r="J16" s="40"/>
      <x:c r="K16" s="42" t="str">
        <x:f>IF(COUNTA(B16:J16)=0,"",ROUND(AVERAGE(H16,I16,6-J16),2))</x:f>
      </x:c>
    </x:row>
    <x:row r="17">
      <x:c r="A17" s="37" t="n">
        <x:v>15</x:v>
      </x:c>
      <x:c r="B17" s="40"/>
      <x:c r="C17" s="40"/>
      <x:c r="D17" s="40"/>
      <x:c r="E17" s="40"/>
      <x:c r="F17" s="40"/>
      <x:c r="G17" s="40"/>
      <x:c r="H17" s="40"/>
      <x:c r="I17" s="40"/>
      <x:c r="J17" s="40"/>
      <x:c r="K17" s="42" t="str">
        <x:f>IF(COUNTA(B17:J17)=0,"",ROUND(AVERAGE(H17,I17,6-J17),2))</x:f>
      </x:c>
    </x:row>
    <x:row r="18">
      <x:c r="A18" s="37" t="n">
        <x:v>16</x:v>
      </x:c>
      <x:c r="B18" s="40"/>
      <x:c r="C18" s="40"/>
      <x:c r="D18" s="40"/>
      <x:c r="E18" s="40"/>
      <x:c r="F18" s="40"/>
      <x:c r="G18" s="40"/>
      <x:c r="H18" s="40"/>
      <x:c r="I18" s="40"/>
      <x:c r="J18" s="40"/>
      <x:c r="K18" s="42" t="str">
        <x:f>IF(COUNTA(B18:J18)=0,"",ROUND(AVERAGE(H18,I18,6-J18),2))</x:f>
      </x:c>
    </x:row>
    <x:row r="19">
      <x:c r="A19" s="37" t="n">
        <x:v>17</x:v>
      </x:c>
      <x:c r="B19" s="40"/>
      <x:c r="C19" s="40"/>
      <x:c r="D19" s="40"/>
      <x:c r="E19" s="40"/>
      <x:c r="F19" s="40"/>
      <x:c r="G19" s="40"/>
      <x:c r="H19" s="40"/>
      <x:c r="I19" s="40"/>
      <x:c r="J19" s="40"/>
      <x:c r="K19" s="42" t="str">
        <x:f>IF(COUNTA(B19:J19)=0,"",ROUND(AVERAGE(H19,I19,6-J19),2))</x:f>
      </x:c>
    </x:row>
    <x:row r="20">
      <x:c r="A20" s="37" t="n">
        <x:v>18</x:v>
      </x:c>
      <x:c r="B20" s="40"/>
      <x:c r="C20" s="40"/>
      <x:c r="D20" s="40"/>
      <x:c r="E20" s="40"/>
      <x:c r="F20" s="40"/>
      <x:c r="G20" s="40"/>
      <x:c r="H20" s="40"/>
      <x:c r="I20" s="40"/>
      <x:c r="J20" s="40"/>
      <x:c r="K20" s="42" t="str">
        <x:f>IF(COUNTA(B20:J20)=0,"",ROUND(AVERAGE(H20,I20,6-J20),2))</x:f>
      </x:c>
    </x:row>
    <x:row r="21">
      <x:c r="A21" s="37" t="n">
        <x:v>19</x:v>
      </x:c>
      <x:c r="B21" s="40"/>
      <x:c r="C21" s="40"/>
      <x:c r="D21" s="40"/>
      <x:c r="E21" s="40"/>
      <x:c r="F21" s="40"/>
      <x:c r="G21" s="40"/>
      <x:c r="H21" s="40"/>
      <x:c r="I21" s="40"/>
      <x:c r="J21" s="40"/>
      <x:c r="K21" s="42" t="str">
        <x:f>IF(COUNTA(B21:J21)=0,"",ROUND(AVERAGE(H21,I21,6-J21),2))</x:f>
      </x:c>
    </x:row>
    <x:row r="22">
      <x:c r="A22" s="37" t="n">
        <x:v>20</x:v>
      </x:c>
      <x:c r="B22" s="40"/>
      <x:c r="C22" s="40"/>
      <x:c r="D22" s="40"/>
      <x:c r="E22" s="40"/>
      <x:c r="F22" s="40"/>
      <x:c r="G22" s="40"/>
      <x:c r="H22" s="40"/>
      <x:c r="I22" s="40"/>
      <x:c r="J22" s="40"/>
      <x:c r="K22" s="42" t="str">
        <x:f>IF(COUNTA(B22:J22)=0,"",ROUND(AVERAGE(H22,I22,6-J22),2))</x:f>
      </x:c>
    </x:row>
    <x:row r="23">
      <x:c r="A23" s="37" t="n">
        <x:v>21</x:v>
      </x:c>
      <x:c r="B23" s="40"/>
      <x:c r="C23" s="40"/>
      <x:c r="D23" s="40"/>
      <x:c r="E23" s="40"/>
      <x:c r="F23" s="40"/>
      <x:c r="G23" s="40"/>
      <x:c r="H23" s="40"/>
      <x:c r="I23" s="40"/>
      <x:c r="J23" s="40"/>
      <x:c r="K23" s="42" t="str">
        <x:f>IF(COUNTA(B23:J23)=0,"",ROUND(AVERAGE(H23,I23,6-J23),2))</x:f>
      </x:c>
    </x:row>
    <x:row r="24">
      <x:c r="A24" s="37" t="n">
        <x:v>22</x:v>
      </x:c>
      <x:c r="B24" s="40"/>
      <x:c r="C24" s="40"/>
      <x:c r="D24" s="40"/>
      <x:c r="E24" s="40"/>
      <x:c r="F24" s="40"/>
      <x:c r="G24" s="40"/>
      <x:c r="H24" s="40"/>
      <x:c r="I24" s="40"/>
      <x:c r="J24" s="40"/>
      <x:c r="K24" s="42" t="str">
        <x:f>IF(COUNTA(B24:J24)=0,"",ROUND(AVERAGE(H24,I24,6-J24),2))</x:f>
      </x:c>
    </x:row>
    <x:row r="25">
      <x:c r="A25" s="37" t="n">
        <x:v>23</x:v>
      </x:c>
      <x:c r="B25" s="40"/>
      <x:c r="C25" s="40"/>
      <x:c r="D25" s="40"/>
      <x:c r="E25" s="40"/>
      <x:c r="F25" s="40"/>
      <x:c r="G25" s="40"/>
      <x:c r="H25" s="40"/>
      <x:c r="I25" s="40"/>
      <x:c r="J25" s="40"/>
      <x:c r="K25" s="42" t="str">
        <x:f>IF(COUNTA(B25:J25)=0,"",ROUND(AVERAGE(H25,I25,6-J25),2))</x:f>
      </x:c>
    </x:row>
    <x:row r="26">
      <x:c r="A26" s="37" t="n">
        <x:v>24</x:v>
      </x:c>
      <x:c r="B26" s="40"/>
      <x:c r="C26" s="40"/>
      <x:c r="D26" s="40"/>
      <x:c r="E26" s="40"/>
      <x:c r="F26" s="40"/>
      <x:c r="G26" s="40"/>
      <x:c r="H26" s="40"/>
      <x:c r="I26" s="40"/>
      <x:c r="J26" s="40"/>
      <x:c r="K26" s="42" t="str">
        <x:f>IF(COUNTA(B26:J26)=0,"",ROUND(AVERAGE(H26,I26,6-J26),2))</x:f>
      </x:c>
    </x:row>
    <x:row r="27">
      <x:c r="A27" s="37" t="n">
        <x:v>25</x:v>
      </x:c>
      <x:c r="B27" s="40"/>
      <x:c r="C27" s="40"/>
      <x:c r="D27" s="40"/>
      <x:c r="E27" s="40"/>
      <x:c r="F27" s="40"/>
      <x:c r="G27" s="40"/>
      <x:c r="H27" s="40"/>
      <x:c r="I27" s="40"/>
      <x:c r="J27" s="40"/>
      <x:c r="K27" s="42" t="str">
        <x:f>IF(COUNTA(B27:J27)=0,"",ROUND(AVERAGE(H27,I27,6-J27),2))</x:f>
      </x:c>
    </x:row>
    <x:row r="28">
      <x:c r="A28" s="37" t="n">
        <x:v>26</x:v>
      </x:c>
      <x:c r="B28" s="40"/>
      <x:c r="C28" s="40"/>
      <x:c r="D28" s="40"/>
      <x:c r="E28" s="40"/>
      <x:c r="F28" s="40"/>
      <x:c r="G28" s="40"/>
      <x:c r="H28" s="40"/>
      <x:c r="I28" s="40"/>
      <x:c r="J28" s="40"/>
      <x:c r="K28" s="42" t="str">
        <x:f>IF(COUNTA(B28:J28)=0,"",ROUND(AVERAGE(H28,I28,6-J28),2))</x:f>
      </x:c>
    </x:row>
    <x:row r="29">
      <x:c r="A29" s="37" t="n">
        <x:v>27</x:v>
      </x:c>
      <x:c r="B29" s="40"/>
      <x:c r="C29" s="40"/>
      <x:c r="D29" s="40"/>
      <x:c r="E29" s="40"/>
      <x:c r="F29" s="40"/>
      <x:c r="G29" s="40"/>
      <x:c r="H29" s="40"/>
      <x:c r="I29" s="40"/>
      <x:c r="J29" s="40"/>
      <x:c r="K29" s="42" t="str">
        <x:f>IF(COUNTA(B29:J29)=0,"",ROUND(AVERAGE(H29,I29,6-J29),2))</x:f>
      </x:c>
    </x:row>
    <x:row r="30">
      <x:c r="A30" s="37" t="n">
        <x:v>28</x:v>
      </x:c>
      <x:c r="B30" s="40"/>
      <x:c r="C30" s="40"/>
      <x:c r="D30" s="40"/>
      <x:c r="E30" s="40"/>
      <x:c r="F30" s="40"/>
      <x:c r="G30" s="40"/>
      <x:c r="H30" s="40"/>
      <x:c r="I30" s="40"/>
      <x:c r="J30" s="40"/>
      <x:c r="K30" s="42" t="str">
        <x:f>IF(COUNTA(B30:J30)=0,"",ROUND(AVERAGE(H30,I30,6-J30),2))</x:f>
      </x:c>
    </x:row>
    <x:row r="31">
      <x:c r="A31" s="37" t="n">
        <x:v>29</x:v>
      </x:c>
      <x:c r="B31" s="40"/>
      <x:c r="C31" s="40"/>
      <x:c r="D31" s="40"/>
      <x:c r="E31" s="40"/>
      <x:c r="F31" s="40"/>
      <x:c r="G31" s="40"/>
      <x:c r="H31" s="40"/>
      <x:c r="I31" s="40"/>
      <x:c r="J31" s="40"/>
      <x:c r="K31" s="42" t="str">
        <x:f>IF(COUNTA(B31:J31)=0,"",ROUND(AVERAGE(H31,I31,6-J31),2))</x:f>
      </x:c>
    </x:row>
    <x:row r="32">
      <x:c r="A32" s="37" t="n">
        <x:v>30</x:v>
      </x:c>
      <x:c r="B32" s="40"/>
      <x:c r="C32" s="40"/>
      <x:c r="D32" s="40"/>
      <x:c r="E32" s="40"/>
      <x:c r="F32" s="40"/>
      <x:c r="G32" s="40"/>
      <x:c r="H32" s="40"/>
      <x:c r="I32" s="40"/>
      <x:c r="J32" s="40"/>
      <x:c r="K32" s="42" t="str">
        <x:f>IF(COUNTA(B32:J32)=0,"",ROUND(AVERAGE(H32,I32,6-J32),2))</x:f>
      </x:c>
    </x:row>
    <x:row r="33">
      <x:c r="A33" s="37" t="n">
        <x:v>31</x:v>
      </x:c>
      <x:c r="B33" s="40"/>
      <x:c r="C33" s="40"/>
      <x:c r="D33" s="40"/>
      <x:c r="E33" s="40"/>
      <x:c r="F33" s="40"/>
      <x:c r="G33" s="40"/>
      <x:c r="H33" s="40"/>
      <x:c r="I33" s="40"/>
      <x:c r="J33" s="40"/>
      <x:c r="K33" s="42" t="str">
        <x:f>IF(COUNTA(B33:J33)=0,"",ROUND(AVERAGE(H33,I33,6-J33),2))</x:f>
      </x:c>
    </x:row>
    <x:row r="34">
      <x:c r="A34" s="37" t="n">
        <x:v>32</x:v>
      </x:c>
      <x:c r="B34" s="40"/>
      <x:c r="C34" s="40"/>
      <x:c r="D34" s="40"/>
      <x:c r="E34" s="40"/>
      <x:c r="F34" s="40"/>
      <x:c r="G34" s="40"/>
      <x:c r="H34" s="40"/>
      <x:c r="I34" s="40"/>
      <x:c r="J34" s="40"/>
      <x:c r="K34" s="42" t="str">
        <x:f>IF(COUNTA(B34:J34)=0,"",ROUND(AVERAGE(H34,I34,6-J34),2))</x:f>
      </x:c>
    </x:row>
    <x:row r="35">
      <x:c r="A35" s="37" t="n">
        <x:v>33</x:v>
      </x:c>
      <x:c r="B35" s="40"/>
      <x:c r="C35" s="40"/>
      <x:c r="D35" s="40"/>
      <x:c r="E35" s="40"/>
      <x:c r="F35" s="40"/>
      <x:c r="G35" s="40"/>
      <x:c r="H35" s="40"/>
      <x:c r="I35" s="40"/>
      <x:c r="J35" s="40"/>
      <x:c r="K35" s="42" t="str">
        <x:f>IF(COUNTA(B35:J35)=0,"",ROUND(AVERAGE(H35,I35,6-J35),2))</x:f>
      </x:c>
    </x:row>
    <x:row r="36">
      <x:c r="A36" s="37" t="n">
        <x:v>34</x:v>
      </x:c>
      <x:c r="B36" s="40"/>
      <x:c r="C36" s="40"/>
      <x:c r="D36" s="40"/>
      <x:c r="E36" s="40"/>
      <x:c r="F36" s="40"/>
      <x:c r="G36" s="40"/>
      <x:c r="H36" s="40"/>
      <x:c r="I36" s="40"/>
      <x:c r="J36" s="40"/>
      <x:c r="K36" s="42" t="str">
        <x:f>IF(COUNTA(B36:J36)=0,"",ROUND(AVERAGE(H36,I36,6-J36),2))</x:f>
      </x:c>
    </x:row>
    <x:row r="37">
      <x:c r="A37" s="37" t="n">
        <x:v>35</x:v>
      </x:c>
      <x:c r="B37" s="40"/>
      <x:c r="C37" s="40"/>
      <x:c r="D37" s="40"/>
      <x:c r="E37" s="40"/>
      <x:c r="F37" s="40"/>
      <x:c r="G37" s="40"/>
      <x:c r="H37" s="40"/>
      <x:c r="I37" s="40"/>
      <x:c r="J37" s="40"/>
      <x:c r="K37" s="42" t="str">
        <x:f>IF(COUNTA(B37:J37)=0,"",ROUND(AVERAGE(H37,I37,6-J37),2))</x:f>
      </x:c>
    </x:row>
    <x:row r="38">
      <x:c r="A38" s="37" t="n">
        <x:v>36</x:v>
      </x:c>
      <x:c r="B38" s="40"/>
      <x:c r="C38" s="40"/>
      <x:c r="D38" s="40"/>
      <x:c r="E38" s="40"/>
      <x:c r="F38" s="40"/>
      <x:c r="G38" s="40"/>
      <x:c r="H38" s="40"/>
      <x:c r="I38" s="40"/>
      <x:c r="J38" s="40"/>
      <x:c r="K38" s="42" t="str">
        <x:f>IF(COUNTA(B38:J38)=0,"",ROUND(AVERAGE(H38,I38,6-J38),2))</x:f>
      </x:c>
    </x:row>
    <x:row r="39">
      <x:c r="A39" s="37" t="n">
        <x:v>37</x:v>
      </x:c>
      <x:c r="B39" s="40"/>
      <x:c r="C39" s="40"/>
      <x:c r="D39" s="40"/>
      <x:c r="E39" s="40"/>
      <x:c r="F39" s="40"/>
      <x:c r="G39" s="40"/>
      <x:c r="H39" s="40"/>
      <x:c r="I39" s="40"/>
      <x:c r="J39" s="40"/>
      <x:c r="K39" s="42" t="str">
        <x:f>IF(COUNTA(B39:J39)=0,"",ROUND(AVERAGE(H39,I39,6-J39),2))</x:f>
      </x:c>
    </x:row>
    <x:row r="40">
      <x:c r="A40" s="37" t="n">
        <x:v>38</x:v>
      </x:c>
      <x:c r="B40" s="40"/>
      <x:c r="C40" s="40"/>
      <x:c r="D40" s="40"/>
      <x:c r="E40" s="40"/>
      <x:c r="F40" s="40"/>
      <x:c r="G40" s="40"/>
      <x:c r="H40" s="40"/>
      <x:c r="I40" s="40"/>
      <x:c r="J40" s="40"/>
      <x:c r="K40" s="42" t="str">
        <x:f>IF(COUNTA(B40:J40)=0,"",ROUND(AVERAGE(H40,I40,6-J40),2))</x:f>
      </x:c>
    </x:row>
    <x:row r="41">
      <x:c r="A41" s="37" t="n">
        <x:v>39</x:v>
      </x:c>
      <x:c r="B41" s="40"/>
      <x:c r="C41" s="40"/>
      <x:c r="D41" s="40"/>
      <x:c r="E41" s="40"/>
      <x:c r="F41" s="40"/>
      <x:c r="G41" s="40"/>
      <x:c r="H41" s="40"/>
      <x:c r="I41" s="40"/>
      <x:c r="J41" s="40"/>
      <x:c r="K41" s="42" t="str">
        <x:f>IF(COUNTA(B41:J41)=0,"",ROUND(AVERAGE(H41,I41,6-J41),2))</x:f>
      </x:c>
    </x:row>
    <x:row r="42">
      <x:c r="A42" s="37" t="n">
        <x:v>40</x:v>
      </x:c>
      <x:c r="B42" s="40"/>
      <x:c r="C42" s="40"/>
      <x:c r="D42" s="40"/>
      <x:c r="E42" s="40"/>
      <x:c r="F42" s="40"/>
      <x:c r="G42" s="40"/>
      <x:c r="H42" s="40"/>
      <x:c r="I42" s="40"/>
      <x:c r="J42" s="40"/>
      <x:c r="K42" s="42" t="str">
        <x:f>IF(COUNTA(B42:J42)=0,"",ROUND(AVERAGE(H42,I42,6-J42),2))</x:f>
      </x:c>
    </x:row>
    <x:row r="43">
      <x:c r="A43" s="37" t="n">
        <x:v>41</x:v>
      </x:c>
      <x:c r="B43" s="40"/>
      <x:c r="C43" s="40"/>
      <x:c r="D43" s="40"/>
      <x:c r="E43" s="40"/>
      <x:c r="F43" s="40"/>
      <x:c r="G43" s="40"/>
      <x:c r="H43" s="40"/>
      <x:c r="I43" s="40"/>
      <x:c r="J43" s="40"/>
      <x:c r="K43" s="42" t="str">
        <x:f>IF(COUNTA(B43:J43)=0,"",ROUND(AVERAGE(H43,I43,6-J43),2))</x:f>
      </x:c>
    </x:row>
    <x:row r="44">
      <x:c r="A44" s="37" t="n">
        <x:v>42</x:v>
      </x:c>
      <x:c r="B44" s="40"/>
      <x:c r="C44" s="40"/>
      <x:c r="D44" s="40"/>
      <x:c r="E44" s="40"/>
      <x:c r="F44" s="40"/>
      <x:c r="G44" s="40"/>
      <x:c r="H44" s="40"/>
      <x:c r="I44" s="40"/>
      <x:c r="J44" s="40"/>
      <x:c r="K44" s="42" t="str">
        <x:f>IF(COUNTA(B44:J44)=0,"",ROUND(AVERAGE(H44,I44,6-J44),2))</x:f>
      </x:c>
    </x:row>
    <x:row r="45">
      <x:c r="A45" s="37" t="n">
        <x:v>43</x:v>
      </x:c>
      <x:c r="B45" s="40"/>
      <x:c r="C45" s="40"/>
      <x:c r="D45" s="40"/>
      <x:c r="E45" s="40"/>
      <x:c r="F45" s="40"/>
      <x:c r="G45" s="40"/>
      <x:c r="H45" s="40"/>
      <x:c r="I45" s="40"/>
      <x:c r="J45" s="40"/>
      <x:c r="K45" s="42" t="str">
        <x:f>IF(COUNTA(B45:J45)=0,"",ROUND(AVERAGE(H45,I45,6-J45),2))</x:f>
      </x:c>
    </x:row>
    <x:row r="46">
      <x:c r="A46" s="37" t="n">
        <x:v>44</x:v>
      </x:c>
      <x:c r="B46" s="40"/>
      <x:c r="C46" s="40"/>
      <x:c r="D46" s="40"/>
      <x:c r="E46" s="40"/>
      <x:c r="F46" s="40"/>
      <x:c r="G46" s="40"/>
      <x:c r="H46" s="40"/>
      <x:c r="I46" s="40"/>
      <x:c r="J46" s="40"/>
      <x:c r="K46" s="42" t="str">
        <x:f>IF(COUNTA(B46:J46)=0,"",ROUND(AVERAGE(H46,I46,6-J46),2))</x:f>
      </x:c>
    </x:row>
    <x:row r="47">
      <x:c r="A47" s="37" t="n">
        <x:v>45</x:v>
      </x:c>
      <x:c r="B47" s="40"/>
      <x:c r="C47" s="40"/>
      <x:c r="D47" s="40"/>
      <x:c r="E47" s="40"/>
      <x:c r="F47" s="40"/>
      <x:c r="G47" s="40"/>
      <x:c r="H47" s="40"/>
      <x:c r="I47" s="40"/>
      <x:c r="J47" s="40"/>
      <x:c r="K47" s="42" t="str">
        <x:f>IF(COUNTA(B47:J47)=0,"",ROUND(AVERAGE(H47,I47,6-J47),2))</x:f>
      </x:c>
    </x:row>
    <x:row r="48">
      <x:c r="A48" s="37" t="n">
        <x:v>46</x:v>
      </x:c>
      <x:c r="B48" s="40"/>
      <x:c r="C48" s="40"/>
      <x:c r="D48" s="40"/>
      <x:c r="E48" s="40"/>
      <x:c r="F48" s="40"/>
      <x:c r="G48" s="40"/>
      <x:c r="H48" s="40"/>
      <x:c r="I48" s="40"/>
      <x:c r="J48" s="40"/>
      <x:c r="K48" s="42" t="str">
        <x:f>IF(COUNTA(B48:J48)=0,"",ROUND(AVERAGE(H48,I48,6-J48),2))</x:f>
      </x:c>
    </x:row>
    <x:row r="49">
      <x:c r="A49" s="37" t="n">
        <x:v>47</x:v>
      </x:c>
      <x:c r="B49" s="40"/>
      <x:c r="C49" s="40"/>
      <x:c r="D49" s="40"/>
      <x:c r="E49" s="40"/>
      <x:c r="F49" s="40"/>
      <x:c r="G49" s="40"/>
      <x:c r="H49" s="40"/>
      <x:c r="I49" s="40"/>
      <x:c r="J49" s="40"/>
      <x:c r="K49" s="42" t="str">
        <x:f>IF(COUNTA(B49:J49)=0,"",ROUND(AVERAGE(H49,I49,6-J49),2))</x:f>
      </x:c>
    </x:row>
    <x:row r="50">
      <x:c r="A50" s="37" t="n">
        <x:v>48</x:v>
      </x:c>
      <x:c r="B50" s="40"/>
      <x:c r="C50" s="40"/>
      <x:c r="D50" s="40"/>
      <x:c r="E50" s="40"/>
      <x:c r="F50" s="40"/>
      <x:c r="G50" s="40"/>
      <x:c r="H50" s="40"/>
      <x:c r="I50" s="40"/>
      <x:c r="J50" s="40"/>
      <x:c r="K50" s="42" t="str">
        <x:f>IF(COUNTA(B50:J50)=0,"",ROUND(AVERAGE(H50,I50,6-J50),2))</x:f>
      </x:c>
    </x:row>
    <x:row r="51">
      <x:c r="A51" s="37" t="n">
        <x:v>49</x:v>
      </x:c>
      <x:c r="B51" s="40"/>
      <x:c r="C51" s="40"/>
      <x:c r="D51" s="40"/>
      <x:c r="E51" s="40"/>
      <x:c r="F51" s="40"/>
      <x:c r="G51" s="40"/>
      <x:c r="H51" s="40"/>
      <x:c r="I51" s="40"/>
      <x:c r="J51" s="40"/>
      <x:c r="K51" s="42" t="str">
        <x:f>IF(COUNTA(B51:J51)=0,"",ROUND(AVERAGE(H51,I51,6-J51),2))</x:f>
      </x:c>
    </x:row>
    <x:row r="52">
      <x:c r="A52" s="37" t="n">
        <x:v>50</x:v>
      </x:c>
      <x:c r="B52" s="40"/>
      <x:c r="C52" s="40"/>
      <x:c r="D52" s="40"/>
      <x:c r="E52" s="40"/>
      <x:c r="F52" s="40"/>
      <x:c r="G52" s="40"/>
      <x:c r="H52" s="40"/>
      <x:c r="I52" s="40"/>
      <x:c r="J52" s="40"/>
      <x:c r="K52" s="42" t="str">
        <x:f>IF(COUNTA(B52:J52)=0,"",ROUND(AVERAGE(H52,I52,6-J52),2))</x:f>
      </x:c>
    </x:row>
    <x:row r="53">
      <x:c r="A53" s="37" t="n">
        <x:v>51</x:v>
      </x:c>
      <x:c r="B53" s="40"/>
      <x:c r="C53" s="40"/>
      <x:c r="D53" s="40"/>
      <x:c r="E53" s="40"/>
      <x:c r="F53" s="40"/>
      <x:c r="G53" s="40"/>
      <x:c r="H53" s="40"/>
      <x:c r="I53" s="40"/>
      <x:c r="J53" s="40"/>
      <x:c r="K53" s="42" t="str">
        <x:f>IF(COUNTA(B53:J53)=0,"",ROUND(AVERAGE(H53,I53,6-J53),2))</x:f>
      </x:c>
    </x:row>
    <x:row r="54">
      <x:c r="A54" s="37" t="n">
        <x:v>52</x:v>
      </x:c>
      <x:c r="B54" s="40"/>
      <x:c r="C54" s="40"/>
      <x:c r="D54" s="40"/>
      <x:c r="E54" s="40"/>
      <x:c r="F54" s="40"/>
      <x:c r="G54" s="40"/>
      <x:c r="H54" s="40"/>
      <x:c r="I54" s="40"/>
      <x:c r="J54" s="40"/>
      <x:c r="K54" s="42" t="str">
        <x:f>IF(COUNTA(B54:J54)=0,"",ROUND(AVERAGE(H54,I54,6-J54),2))</x:f>
      </x:c>
    </x:row>
    <x:row r="55">
      <x:c r="A55" s="37" t="n">
        <x:v>53</x:v>
      </x:c>
      <x:c r="B55" s="40"/>
      <x:c r="C55" s="40"/>
      <x:c r="D55" s="40"/>
      <x:c r="E55" s="40"/>
      <x:c r="F55" s="40"/>
      <x:c r="G55" s="40"/>
      <x:c r="H55" s="40"/>
      <x:c r="I55" s="40"/>
      <x:c r="J55" s="40"/>
      <x:c r="K55" s="42" t="str">
        <x:f>IF(COUNTA(B55:J55)=0,"",ROUND(AVERAGE(H55,I55,6-J55),2))</x:f>
      </x:c>
    </x:row>
    <x:row r="56">
      <x:c r="A56" s="37" t="n">
        <x:v>54</x:v>
      </x:c>
      <x:c r="B56" s="40"/>
      <x:c r="C56" s="40"/>
      <x:c r="D56" s="40"/>
      <x:c r="E56" s="40"/>
      <x:c r="F56" s="40"/>
      <x:c r="G56" s="40"/>
      <x:c r="H56" s="40"/>
      <x:c r="I56" s="40"/>
      <x:c r="J56" s="40"/>
      <x:c r="K56" s="42" t="str">
        <x:f>IF(COUNTA(B56:J56)=0,"",ROUND(AVERAGE(H56,I56,6-J56),2))</x:f>
      </x:c>
    </x:row>
    <x:row r="57">
      <x:c r="A57" s="37" t="n">
        <x:v>55</x:v>
      </x:c>
      <x:c r="B57" s="40"/>
      <x:c r="C57" s="40"/>
      <x:c r="D57" s="40"/>
      <x:c r="E57" s="40"/>
      <x:c r="F57" s="40"/>
      <x:c r="G57" s="40"/>
      <x:c r="H57" s="40"/>
      <x:c r="I57" s="40"/>
      <x:c r="J57" s="40"/>
      <x:c r="K57" s="42" t="str">
        <x:f>IF(COUNTA(B57:J57)=0,"",ROUND(AVERAGE(H57,I57,6-J57),2))</x:f>
      </x:c>
    </x:row>
    <x:row r="58">
      <x:c r="A58" s="37" t="n">
        <x:v>56</x:v>
      </x:c>
      <x:c r="B58" s="40"/>
      <x:c r="C58" s="40"/>
      <x:c r="D58" s="40"/>
      <x:c r="E58" s="40"/>
      <x:c r="F58" s="40"/>
      <x:c r="G58" s="40"/>
      <x:c r="H58" s="40"/>
      <x:c r="I58" s="40"/>
      <x:c r="J58" s="40"/>
      <x:c r="K58" s="42" t="str">
        <x:f>IF(COUNTA(B58:J58)=0,"",ROUND(AVERAGE(H58,I58,6-J58),2))</x:f>
      </x:c>
    </x:row>
    <x:row r="59">
      <x:c r="A59" s="37" t="n">
        <x:v>57</x:v>
      </x:c>
      <x:c r="B59" s="40"/>
      <x:c r="C59" s="40"/>
      <x:c r="D59" s="40"/>
      <x:c r="E59" s="40"/>
      <x:c r="F59" s="40"/>
      <x:c r="G59" s="40"/>
      <x:c r="H59" s="40"/>
      <x:c r="I59" s="40"/>
      <x:c r="J59" s="40"/>
      <x:c r="K59" s="42" t="str">
        <x:f>IF(COUNTA(B59:J59)=0,"",ROUND(AVERAGE(H59,I59,6-J59),2))</x:f>
      </x:c>
    </x:row>
    <x:row r="60">
      <x:c r="A60" s="37" t="n">
        <x:v>58</x:v>
      </x:c>
      <x:c r="B60" s="40"/>
      <x:c r="C60" s="40"/>
      <x:c r="D60" s="40"/>
      <x:c r="E60" s="40"/>
      <x:c r="F60" s="40"/>
      <x:c r="G60" s="40"/>
      <x:c r="H60" s="40"/>
      <x:c r="I60" s="40"/>
      <x:c r="J60" s="40"/>
      <x:c r="K60" s="42" t="str">
        <x:f>IF(COUNTA(B60:J60)=0,"",ROUND(AVERAGE(H60,I60,6-J60),2))</x:f>
      </x:c>
    </x:row>
    <x:row r="61">
      <x:c r="A61" s="37" t="n">
        <x:v>59</x:v>
      </x:c>
      <x:c r="B61" s="40"/>
      <x:c r="C61" s="40"/>
      <x:c r="D61" s="40"/>
      <x:c r="E61" s="40"/>
      <x:c r="F61" s="40"/>
      <x:c r="G61" s="40"/>
      <x:c r="H61" s="40"/>
      <x:c r="I61" s="40"/>
      <x:c r="J61" s="40"/>
      <x:c r="K61" s="42" t="str">
        <x:f>IF(COUNTA(B61:J61)=0,"",ROUND(AVERAGE(H61,I61,6-J61),2))</x:f>
      </x:c>
    </x:row>
    <x:row r="62">
      <x:c r="A62" s="37" t="n">
        <x:v>60</x:v>
      </x:c>
      <x:c r="B62" s="40"/>
      <x:c r="C62" s="40"/>
      <x:c r="D62" s="40"/>
      <x:c r="E62" s="40"/>
      <x:c r="F62" s="40"/>
      <x:c r="G62" s="40"/>
      <x:c r="H62" s="40"/>
      <x:c r="I62" s="40"/>
      <x:c r="J62" s="40"/>
      <x:c r="K62" s="42" t="str">
        <x:f>IF(COUNTA(B62:J62)=0,"",ROUND(AVERAGE(H62,I62,6-J62),2))</x:f>
      </x:c>
    </x:row>
    <x:row r="63">
      <x:c r="A63" s="37" t="n">
        <x:v>61</x:v>
      </x:c>
      <x:c r="B63" s="40"/>
      <x:c r="C63" s="40"/>
      <x:c r="D63" s="40"/>
      <x:c r="E63" s="40"/>
      <x:c r="F63" s="40"/>
      <x:c r="G63" s="40"/>
      <x:c r="H63" s="40"/>
      <x:c r="I63" s="40"/>
      <x:c r="J63" s="40"/>
      <x:c r="K63" s="42" t="str">
        <x:f>IF(COUNTA(B63:J63)=0,"",ROUND(AVERAGE(H63,I63,6-J63),2))</x:f>
      </x:c>
    </x:row>
    <x:row r="64">
      <x:c r="A64" s="37" t="n">
        <x:v>62</x:v>
      </x:c>
      <x:c r="B64" s="40"/>
      <x:c r="C64" s="40"/>
      <x:c r="D64" s="40"/>
      <x:c r="E64" s="40"/>
      <x:c r="F64" s="40"/>
      <x:c r="G64" s="40"/>
      <x:c r="H64" s="40"/>
      <x:c r="I64" s="40"/>
      <x:c r="J64" s="40"/>
      <x:c r="K64" s="42" t="str">
        <x:f>IF(COUNTA(B64:J64)=0,"",ROUND(AVERAGE(H64,I64,6-J64),2))</x:f>
      </x:c>
    </x:row>
    <x:row r="65">
      <x:c r="A65" s="37" t="n">
        <x:v>63</x:v>
      </x:c>
      <x:c r="B65" s="40"/>
      <x:c r="C65" s="40"/>
      <x:c r="D65" s="40"/>
      <x:c r="E65" s="40"/>
      <x:c r="F65" s="40"/>
      <x:c r="G65" s="40"/>
      <x:c r="H65" s="40"/>
      <x:c r="I65" s="40"/>
      <x:c r="J65" s="40"/>
      <x:c r="K65" s="42" t="str">
        <x:f>IF(COUNTA(B65:J65)=0,"",ROUND(AVERAGE(H65,I65,6-J65),2))</x:f>
      </x:c>
    </x:row>
    <x:row r="66">
      <x:c r="A66" s="37" t="n">
        <x:v>64</x:v>
      </x:c>
      <x:c r="B66" s="40"/>
      <x:c r="C66" s="40"/>
      <x:c r="D66" s="40"/>
      <x:c r="E66" s="40"/>
      <x:c r="F66" s="40"/>
      <x:c r="G66" s="40"/>
      <x:c r="H66" s="40"/>
      <x:c r="I66" s="40"/>
      <x:c r="J66" s="40"/>
      <x:c r="K66" s="42" t="str">
        <x:f>IF(COUNTA(B66:J66)=0,"",ROUND(AVERAGE(H66,I66,6-J66),2))</x:f>
      </x:c>
    </x:row>
    <x:row r="67">
      <x:c r="A67" s="37" t="n">
        <x:v>65</x:v>
      </x:c>
      <x:c r="B67" s="40"/>
      <x:c r="C67" s="40"/>
      <x:c r="D67" s="40"/>
      <x:c r="E67" s="40"/>
      <x:c r="F67" s="40"/>
      <x:c r="G67" s="40"/>
      <x:c r="H67" s="40"/>
      <x:c r="I67" s="40"/>
      <x:c r="J67" s="40"/>
      <x:c r="K67" s="42" t="str">
        <x:f>IF(COUNTA(B67:J67)=0,"",ROUND(AVERAGE(H67,I67,6-J67),2))</x:f>
      </x:c>
    </x:row>
    <x:row r="68">
      <x:c r="A68" s="37" t="n">
        <x:v>66</x:v>
      </x:c>
      <x:c r="B68" s="40"/>
      <x:c r="C68" s="40"/>
      <x:c r="D68" s="40"/>
      <x:c r="E68" s="40"/>
      <x:c r="F68" s="40"/>
      <x:c r="G68" s="40"/>
      <x:c r="H68" s="40"/>
      <x:c r="I68" s="40"/>
      <x:c r="J68" s="40"/>
      <x:c r="K68" s="42" t="str">
        <x:f>IF(COUNTA(B68:J68)=0,"",ROUND(AVERAGE(H68,I68,6-J68),2))</x:f>
      </x:c>
    </x:row>
    <x:row r="69">
      <x:c r="A69" s="37" t="n">
        <x:v>67</x:v>
      </x:c>
      <x:c r="B69" s="40"/>
      <x:c r="C69" s="40"/>
      <x:c r="D69" s="40"/>
      <x:c r="E69" s="40"/>
      <x:c r="F69" s="40"/>
      <x:c r="G69" s="40"/>
      <x:c r="H69" s="40"/>
      <x:c r="I69" s="40"/>
      <x:c r="J69" s="40"/>
      <x:c r="K69" s="42" t="str">
        <x:f>IF(COUNTA(B69:J69)=0,"",ROUND(AVERAGE(H69,I69,6-J69),2))</x:f>
      </x:c>
    </x:row>
    <x:row r="70">
      <x:c r="A70" s="37" t="n">
        <x:v>68</x:v>
      </x:c>
      <x:c r="B70" s="40"/>
      <x:c r="C70" s="40"/>
      <x:c r="D70" s="40"/>
      <x:c r="E70" s="40"/>
      <x:c r="F70" s="40"/>
      <x:c r="G70" s="40"/>
      <x:c r="H70" s="40"/>
      <x:c r="I70" s="40"/>
      <x:c r="J70" s="40"/>
      <x:c r="K70" s="42" t="str">
        <x:f>IF(COUNTA(B70:J70)=0,"",ROUND(AVERAGE(H70,I70,6-J70),2))</x:f>
      </x:c>
    </x:row>
    <x:row r="71">
      <x:c r="A71" s="37" t="n">
        <x:v>69</x:v>
      </x:c>
      <x:c r="B71" s="40"/>
      <x:c r="C71" s="40"/>
      <x:c r="D71" s="40"/>
      <x:c r="E71" s="40"/>
      <x:c r="F71" s="40"/>
      <x:c r="G71" s="40"/>
      <x:c r="H71" s="40"/>
      <x:c r="I71" s="40"/>
      <x:c r="J71" s="40"/>
      <x:c r="K71" s="42" t="str">
        <x:f>IF(COUNTA(B71:J71)=0,"",ROUND(AVERAGE(H71,I71,6-J71),2))</x:f>
      </x:c>
    </x:row>
    <x:row r="72">
      <x:c r="A72" s="37" t="n">
        <x:v>70</x:v>
      </x:c>
      <x:c r="B72" s="40"/>
      <x:c r="C72" s="40"/>
      <x:c r="D72" s="40"/>
      <x:c r="E72" s="40"/>
      <x:c r="F72" s="40"/>
      <x:c r="G72" s="40"/>
      <x:c r="H72" s="40"/>
      <x:c r="I72" s="40"/>
      <x:c r="J72" s="40"/>
      <x:c r="K72" s="42" t="str">
        <x:f>IF(COUNTA(B72:J72)=0,"",ROUND(AVERAGE(H72,I72,6-J72),2))</x:f>
      </x:c>
    </x:row>
    <x:row r="73">
      <x:c r="A73" s="37" t="n">
        <x:v>71</x:v>
      </x:c>
      <x:c r="B73" s="40"/>
      <x:c r="C73" s="40"/>
      <x:c r="D73" s="40"/>
      <x:c r="E73" s="40"/>
      <x:c r="F73" s="40"/>
      <x:c r="G73" s="40"/>
      <x:c r="H73" s="40"/>
      <x:c r="I73" s="40"/>
      <x:c r="J73" s="40"/>
      <x:c r="K73" s="42" t="str">
        <x:f>IF(COUNTA(B73:J73)=0,"",ROUND(AVERAGE(H73,I73,6-J73),2))</x:f>
      </x:c>
    </x:row>
    <x:row r="74">
      <x:c r="A74" s="37" t="n">
        <x:v>72</x:v>
      </x:c>
      <x:c r="B74" s="40"/>
      <x:c r="C74" s="40"/>
      <x:c r="D74" s="40"/>
      <x:c r="E74" s="40"/>
      <x:c r="F74" s="40"/>
      <x:c r="G74" s="40"/>
      <x:c r="H74" s="40"/>
      <x:c r="I74" s="40"/>
      <x:c r="J74" s="40"/>
      <x:c r="K74" s="42" t="str">
        <x:f>IF(COUNTA(B74:J74)=0,"",ROUND(AVERAGE(H74,I74,6-J74),2))</x:f>
      </x:c>
    </x:row>
    <x:row r="75">
      <x:c r="A75" s="37" t="n">
        <x:v>73</x:v>
      </x:c>
      <x:c r="B75" s="40"/>
      <x:c r="C75" s="40"/>
      <x:c r="D75" s="40"/>
      <x:c r="E75" s="40"/>
      <x:c r="F75" s="40"/>
      <x:c r="G75" s="40"/>
      <x:c r="H75" s="40"/>
      <x:c r="I75" s="40"/>
      <x:c r="J75" s="40"/>
      <x:c r="K75" s="42" t="str">
        <x:f>IF(COUNTA(B75:J75)=0,"",ROUND(AVERAGE(H75,I75,6-J75),2))</x:f>
      </x:c>
    </x:row>
    <x:row r="76">
      <x:c r="A76" s="37" t="n">
        <x:v>74</x:v>
      </x:c>
      <x:c r="B76" s="40"/>
      <x:c r="C76" s="40"/>
      <x:c r="D76" s="40"/>
      <x:c r="E76" s="40"/>
      <x:c r="F76" s="40"/>
      <x:c r="G76" s="40"/>
      <x:c r="H76" s="40"/>
      <x:c r="I76" s="40"/>
      <x:c r="J76" s="40"/>
      <x:c r="K76" s="42" t="str">
        <x:f>IF(COUNTA(B76:J76)=0,"",ROUND(AVERAGE(H76,I76,6-J76),2))</x:f>
      </x:c>
    </x:row>
    <x:row r="77">
      <x:c r="A77" s="37" t="n">
        <x:v>75</x:v>
      </x:c>
      <x:c r="B77" s="40"/>
      <x:c r="C77" s="40"/>
      <x:c r="D77" s="40"/>
      <x:c r="E77" s="40"/>
      <x:c r="F77" s="40"/>
      <x:c r="G77" s="40"/>
      <x:c r="H77" s="40"/>
      <x:c r="I77" s="40"/>
      <x:c r="J77" s="40"/>
      <x:c r="K77" s="42" t="str">
        <x:f>IF(COUNTA(B77:J77)=0,"",ROUND(AVERAGE(H77,I77,6-J77),2))</x:f>
      </x:c>
    </x:row>
    <x:row r="78">
      <x:c r="A78" s="37" t="n">
        <x:v>76</x:v>
      </x:c>
      <x:c r="B78" s="40"/>
      <x:c r="C78" s="40"/>
      <x:c r="D78" s="40"/>
      <x:c r="E78" s="40"/>
      <x:c r="F78" s="40"/>
      <x:c r="G78" s="40"/>
      <x:c r="H78" s="40"/>
      <x:c r="I78" s="40"/>
      <x:c r="J78" s="40"/>
      <x:c r="K78" s="42" t="str">
        <x:f>IF(COUNTA(B78:J78)=0,"",ROUND(AVERAGE(H78,I78,6-J78),2))</x:f>
      </x:c>
    </x:row>
    <x:row r="79">
      <x:c r="A79" s="37" t="n">
        <x:v>77</x:v>
      </x:c>
      <x:c r="B79" s="40"/>
      <x:c r="C79" s="40"/>
      <x:c r="D79" s="40"/>
      <x:c r="E79" s="40"/>
      <x:c r="F79" s="40"/>
      <x:c r="G79" s="40"/>
      <x:c r="H79" s="40"/>
      <x:c r="I79" s="40"/>
      <x:c r="J79" s="40"/>
      <x:c r="K79" s="42" t="str">
        <x:f>IF(COUNTA(B79:J79)=0,"",ROUND(AVERAGE(H79,I79,6-J79),2))</x:f>
      </x:c>
    </x:row>
    <x:row r="80">
      <x:c r="A80" s="37" t="n">
        <x:v>78</x:v>
      </x:c>
      <x:c r="B80" s="40"/>
      <x:c r="C80" s="40"/>
      <x:c r="D80" s="40"/>
      <x:c r="E80" s="40"/>
      <x:c r="F80" s="40"/>
      <x:c r="G80" s="40"/>
      <x:c r="H80" s="40"/>
      <x:c r="I80" s="40"/>
      <x:c r="J80" s="40"/>
      <x:c r="K80" s="42" t="str">
        <x:f>IF(COUNTA(B80:J80)=0,"",ROUND(AVERAGE(H80,I80,6-J80),2))</x:f>
      </x:c>
    </x:row>
    <x:row r="81">
      <x:c r="A81" s="37" t="n">
        <x:v>79</x:v>
      </x:c>
      <x:c r="B81" s="40"/>
      <x:c r="C81" s="40"/>
      <x:c r="D81" s="40"/>
      <x:c r="E81" s="40"/>
      <x:c r="F81" s="40"/>
      <x:c r="G81" s="40"/>
      <x:c r="H81" s="40"/>
      <x:c r="I81" s="40"/>
      <x:c r="J81" s="40"/>
      <x:c r="K81" s="42" t="str">
        <x:f>IF(COUNTA(B81:J81)=0,"",ROUND(AVERAGE(H81,I81,6-J81),2))</x:f>
      </x:c>
    </x:row>
    <x:row r="82">
      <x:c r="A82" s="37" t="n">
        <x:v>80</x:v>
      </x:c>
      <x:c r="B82" s="40"/>
      <x:c r="C82" s="40"/>
      <x:c r="D82" s="40"/>
      <x:c r="E82" s="40"/>
      <x:c r="F82" s="40"/>
      <x:c r="G82" s="40"/>
      <x:c r="H82" s="40"/>
      <x:c r="I82" s="40"/>
      <x:c r="J82" s="40"/>
      <x:c r="K82" s="42" t="str">
        <x:f>IF(COUNTA(B82:J82)=0,"",ROUND(AVERAGE(H82,I82,6-J82),2))</x:f>
      </x:c>
    </x:row>
    <x:row r="83">
      <x:c r="A83" s="37" t="n">
        <x:v>81</x:v>
      </x:c>
      <x:c r="B83" s="40"/>
      <x:c r="C83" s="40"/>
      <x:c r="D83" s="40"/>
      <x:c r="E83" s="40"/>
      <x:c r="F83" s="40"/>
      <x:c r="G83" s="40"/>
      <x:c r="H83" s="40"/>
      <x:c r="I83" s="40"/>
      <x:c r="J83" s="40"/>
      <x:c r="K83" s="42" t="str">
        <x:f>IF(COUNTA(B83:J83)=0,"",ROUND(AVERAGE(H83,I83,6-J83),2))</x:f>
      </x:c>
    </x:row>
    <x:row r="84">
      <x:c r="A84" s="37" t="n">
        <x:v>82</x:v>
      </x:c>
      <x:c r="B84" s="40"/>
      <x:c r="C84" s="40"/>
      <x:c r="D84" s="40"/>
      <x:c r="E84" s="40"/>
      <x:c r="F84" s="40"/>
      <x:c r="G84" s="40"/>
      <x:c r="H84" s="40"/>
      <x:c r="I84" s="40"/>
      <x:c r="J84" s="40"/>
      <x:c r="K84" s="42" t="str">
        <x:f>IF(COUNTA(B84:J84)=0,"",ROUND(AVERAGE(H84,I84,6-J84),2))</x:f>
      </x:c>
    </x:row>
    <x:row r="85">
      <x:c r="A85" s="37" t="n">
        <x:v>83</x:v>
      </x:c>
      <x:c r="B85" s="40"/>
      <x:c r="C85" s="40"/>
      <x:c r="D85" s="40"/>
      <x:c r="E85" s="40"/>
      <x:c r="F85" s="40"/>
      <x:c r="G85" s="40"/>
      <x:c r="H85" s="40"/>
      <x:c r="I85" s="40"/>
      <x:c r="J85" s="40"/>
      <x:c r="K85" s="42" t="str">
        <x:f>IF(COUNTA(B85:J85)=0,"",ROUND(AVERAGE(H85,I85,6-J85),2))</x:f>
      </x:c>
    </x:row>
    <x:row r="86">
      <x:c r="A86" s="37" t="n">
        <x:v>84</x:v>
      </x:c>
      <x:c r="B86" s="40"/>
      <x:c r="C86" s="40"/>
      <x:c r="D86" s="40"/>
      <x:c r="E86" s="40"/>
      <x:c r="F86" s="40"/>
      <x:c r="G86" s="40"/>
      <x:c r="H86" s="40"/>
      <x:c r="I86" s="40"/>
      <x:c r="J86" s="40"/>
      <x:c r="K86" s="42" t="str">
        <x:f>IF(COUNTA(B86:J86)=0,"",ROUND(AVERAGE(H86,I86,6-J86),2))</x:f>
      </x:c>
    </x:row>
    <x:row r="87">
      <x:c r="A87" s="37" t="n">
        <x:v>85</x:v>
      </x:c>
      <x:c r="B87" s="40"/>
      <x:c r="C87" s="40"/>
      <x:c r="D87" s="40"/>
      <x:c r="E87" s="40"/>
      <x:c r="F87" s="40"/>
      <x:c r="G87" s="40"/>
      <x:c r="H87" s="40"/>
      <x:c r="I87" s="40"/>
      <x:c r="J87" s="40"/>
      <x:c r="K87" s="42" t="str">
        <x:f>IF(COUNTA(B87:J87)=0,"",ROUND(AVERAGE(H87,I87,6-J87),2))</x:f>
      </x:c>
    </x:row>
    <x:row r="88">
      <x:c r="A88" s="37" t="n">
        <x:v>86</x:v>
      </x:c>
      <x:c r="B88" s="40"/>
      <x:c r="C88" s="40"/>
      <x:c r="D88" s="40"/>
      <x:c r="E88" s="40"/>
      <x:c r="F88" s="40"/>
      <x:c r="G88" s="40"/>
      <x:c r="H88" s="40"/>
      <x:c r="I88" s="40"/>
      <x:c r="J88" s="40"/>
      <x:c r="K88" s="42" t="str">
        <x:f>IF(COUNTA(B88:J88)=0,"",ROUND(AVERAGE(H88,I88,6-J88),2))</x:f>
      </x:c>
    </x:row>
    <x:row r="89">
      <x:c r="A89" s="37" t="n">
        <x:v>87</x:v>
      </x:c>
      <x:c r="B89" s="40"/>
      <x:c r="C89" s="40"/>
      <x:c r="D89" s="40"/>
      <x:c r="E89" s="40"/>
      <x:c r="F89" s="40"/>
      <x:c r="G89" s="40"/>
      <x:c r="H89" s="40"/>
      <x:c r="I89" s="40"/>
      <x:c r="J89" s="40"/>
      <x:c r="K89" s="42" t="str">
        <x:f>IF(COUNTA(B89:J89)=0,"",ROUND(AVERAGE(H89,I89,6-J89),2))</x:f>
      </x:c>
    </x:row>
    <x:row r="90">
      <x:c r="A90" s="37" t="n">
        <x:v>88</x:v>
      </x:c>
      <x:c r="B90" s="40"/>
      <x:c r="C90" s="40"/>
      <x:c r="D90" s="40"/>
      <x:c r="E90" s="40"/>
      <x:c r="F90" s="40"/>
      <x:c r="G90" s="40"/>
      <x:c r="H90" s="40"/>
      <x:c r="I90" s="40"/>
      <x:c r="J90" s="40"/>
      <x:c r="K90" s="42" t="str">
        <x:f>IF(COUNTA(B90:J90)=0,"",ROUND(AVERAGE(H90,I90,6-J90),2))</x:f>
      </x:c>
    </x:row>
    <x:row r="91">
      <x:c r="A91" s="37" t="n">
        <x:v>89</x:v>
      </x:c>
      <x:c r="B91" s="40"/>
      <x:c r="C91" s="40"/>
      <x:c r="D91" s="40"/>
      <x:c r="E91" s="40"/>
      <x:c r="F91" s="40"/>
      <x:c r="G91" s="40"/>
      <x:c r="H91" s="40"/>
      <x:c r="I91" s="40"/>
      <x:c r="J91" s="40"/>
      <x:c r="K91" s="42" t="str">
        <x:f>IF(COUNTA(B91:J91)=0,"",ROUND(AVERAGE(H91,I91,6-J91),2))</x:f>
      </x:c>
    </x:row>
    <x:row r="92">
      <x:c r="A92" s="37" t="n">
        <x:v>90</x:v>
      </x:c>
      <x:c r="B92" s="40"/>
      <x:c r="C92" s="40"/>
      <x:c r="D92" s="40"/>
      <x:c r="E92" s="40"/>
      <x:c r="F92" s="40"/>
      <x:c r="G92" s="40"/>
      <x:c r="H92" s="40"/>
      <x:c r="I92" s="40"/>
      <x:c r="J92" s="40"/>
      <x:c r="K92" s="42" t="str">
        <x:f>IF(COUNTA(B92:J92)=0,"",ROUND(AVERAGE(H92,I92,6-J92),2))</x:f>
      </x:c>
    </x:row>
    <x:row r="93">
      <x:c r="A93" s="37" t="n">
        <x:v>91</x:v>
      </x:c>
      <x:c r="B93" s="40"/>
      <x:c r="C93" s="40"/>
      <x:c r="D93" s="40"/>
      <x:c r="E93" s="40"/>
      <x:c r="F93" s="40"/>
      <x:c r="G93" s="40"/>
      <x:c r="H93" s="40"/>
      <x:c r="I93" s="40"/>
      <x:c r="J93" s="40"/>
      <x:c r="K93" s="42" t="str">
        <x:f>IF(COUNTA(B93:J93)=0,"",ROUND(AVERAGE(H93,I93,6-J93),2))</x:f>
      </x:c>
    </x:row>
    <x:row r="94">
      <x:c r="A94" s="37" t="n">
        <x:v>92</x:v>
      </x:c>
      <x:c r="B94" s="40"/>
      <x:c r="C94" s="40"/>
      <x:c r="D94" s="40"/>
      <x:c r="E94" s="40"/>
      <x:c r="F94" s="40"/>
      <x:c r="G94" s="40"/>
      <x:c r="H94" s="40"/>
      <x:c r="I94" s="40"/>
      <x:c r="J94" s="40"/>
      <x:c r="K94" s="42" t="str">
        <x:f>IF(COUNTA(B94:J94)=0,"",ROUND(AVERAGE(H94,I94,6-J94),2))</x:f>
      </x:c>
    </x:row>
    <x:row r="95">
      <x:c r="A95" s="37" t="n">
        <x:v>93</x:v>
      </x:c>
      <x:c r="B95" s="40"/>
      <x:c r="C95" s="40"/>
      <x:c r="D95" s="40"/>
      <x:c r="E95" s="40"/>
      <x:c r="F95" s="40"/>
      <x:c r="G95" s="40"/>
      <x:c r="H95" s="40"/>
      <x:c r="I95" s="40"/>
      <x:c r="J95" s="40"/>
      <x:c r="K95" s="42" t="str">
        <x:f>IF(COUNTA(B95:J95)=0,"",ROUND(AVERAGE(H95,I95,6-J95),2))</x:f>
      </x:c>
    </x:row>
    <x:row r="96">
      <x:c r="A96" s="37" t="n">
        <x:v>94</x:v>
      </x:c>
      <x:c r="B96" s="40"/>
      <x:c r="C96" s="40"/>
      <x:c r="D96" s="40"/>
      <x:c r="E96" s="40"/>
      <x:c r="F96" s="40"/>
      <x:c r="G96" s="40"/>
      <x:c r="H96" s="40"/>
      <x:c r="I96" s="40"/>
      <x:c r="J96" s="40"/>
      <x:c r="K96" s="42" t="str">
        <x:f>IF(COUNTA(B96:J96)=0,"",ROUND(AVERAGE(H96,I96,6-J96),2))</x:f>
      </x:c>
    </x:row>
    <x:row r="97">
      <x:c r="A97" s="37" t="n">
        <x:v>95</x:v>
      </x:c>
      <x:c r="B97" s="40"/>
      <x:c r="C97" s="40"/>
      <x:c r="D97" s="40"/>
      <x:c r="E97" s="40"/>
      <x:c r="F97" s="40"/>
      <x:c r="G97" s="40"/>
      <x:c r="H97" s="40"/>
      <x:c r="I97" s="40"/>
      <x:c r="J97" s="40"/>
      <x:c r="K97" s="42" t="str">
        <x:f>IF(COUNTA(B97:J97)=0,"",ROUND(AVERAGE(H97,I97,6-J97),2))</x:f>
      </x:c>
    </x:row>
    <x:row r="98">
      <x:c r="A98" s="37" t="n">
        <x:v>96</x:v>
      </x:c>
      <x:c r="B98" s="40"/>
      <x:c r="C98" s="40"/>
      <x:c r="D98" s="40"/>
      <x:c r="E98" s="40"/>
      <x:c r="F98" s="40"/>
      <x:c r="G98" s="40"/>
      <x:c r="H98" s="40"/>
      <x:c r="I98" s="40"/>
      <x:c r="J98" s="40"/>
      <x:c r="K98" s="42" t="str">
        <x:f>IF(COUNTA(B98:J98)=0,"",ROUND(AVERAGE(H98,I98,6-J98),2))</x:f>
      </x:c>
    </x:row>
    <x:row r="99">
      <x:c r="A99" s="37" t="n">
        <x:v>97</x:v>
      </x:c>
      <x:c r="B99" s="40"/>
      <x:c r="C99" s="40"/>
      <x:c r="D99" s="40"/>
      <x:c r="E99" s="40"/>
      <x:c r="F99" s="40"/>
      <x:c r="G99" s="40"/>
      <x:c r="H99" s="40"/>
      <x:c r="I99" s="40"/>
      <x:c r="J99" s="40"/>
      <x:c r="K99" s="42" t="str">
        <x:f>IF(COUNTA(B99:J99)=0,"",ROUND(AVERAGE(H99,I99,6-J99),2))</x:f>
      </x:c>
    </x:row>
    <x:row r="100">
      <x:c r="A100" s="37" t="n">
        <x:v>98</x:v>
      </x:c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2" t="str">
        <x:f>IF(COUNTA(B100:J100)=0,"",ROUND(AVERAGE(H100,I100,6-J100),2))</x:f>
      </x:c>
    </x:row>
    <x:row r="101">
      <x:c r="A101" s="37" t="n">
        <x:v>99</x:v>
      </x:c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2" t="str">
        <x:f>IF(COUNTA(B101:J101)=0,"",ROUND(AVERAGE(H101,I101,6-J101),2))</x:f>
      </x:c>
    </x:row>
    <x:row r="102">
      <x:c r="A102" s="37" t="n">
        <x:v>100</x:v>
      </x:c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2" t="str">
        <x:f>IF(COUNTA(B102:J102)=0,"",ROUND(AVERAGE(H102,I102,6-J102),2))</x:f>
      </x:c>
    </x:row>
  </x:sheetData>
  <x:mergeCells>
    <x:mergeCell ref="A1:K1"/>
  </x:mergeCells>
  <x:conditionalFormatting sqref="K3:K102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dataValidations count="2">
    <x:dataValidation type="list" sqref="D3:D102">
      <x:formula1>'12_Справочники'!$H$3:$H$10</x:formula1>
    </x:dataValidation>
    <x:dataValidation type="list" sqref="H3:J102">
      <x:formula1>'12_Справочники'!$C$3:$C$7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eb42acf34f410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6" hidden="0" customWidth="1"/>
    <x:col min="3" max="3" width="34" hidden="0" customWidth="1"/>
    <x:col min="4" max="4" width="34" hidden="0" customWidth="1"/>
    <x:col min="5" max="5" width="14" hidden="0" customWidth="1"/>
    <x:col min="6" max="6" width="20" hidden="0" customWidth="1"/>
    <x:col min="7" max="7" width="36" hidden="0" customWidth="1"/>
  </x:cols>
  <x:sheetData>
    <x:row r="1" ht="32" customHeight="1">
      <x:c r="A1" s="6" t="str">
        <x:v>Проверка связности бизнес-модели</x:v>
      </x:c>
      <x:c r="B1" s="6"/>
      <x:c r="C1" s="6"/>
      <x:c r="D1" s="6"/>
      <x:c r="E1" s="6"/>
      <x:c r="F1" s="6"/>
      <x:c r="G1" s="6"/>
    </x:row>
    <x:row r="2" ht="32" customHeight="1">
      <x:c r="A2" s="36" t="str">
        <x:v>№</x:v>
      </x:c>
      <x:c r="B2" s="36" t="str">
        <x:v>Контрольный вопрос</x:v>
      </x:c>
      <x:c r="C2" s="36" t="str">
        <x:v>Где искать ответ</x:v>
      </x:c>
      <x:c r="D2" s="36" t="str">
        <x:v>Доказательство / ссылка на вывод</x:v>
      </x:c>
      <x:c r="E2" s="36" t="str">
        <x:v>Оценка 1-5</x:v>
      </x:c>
      <x:c r="F2" s="36" t="str">
        <x:v>Результат</x:v>
      </x:c>
      <x:c r="G2" s="36" t="str">
        <x:v>Что доработать</x:v>
      </x:c>
    </x:row>
    <x:row r="3">
      <x:c r="A3" s="37" t="n">
        <x:v>1</x:v>
      </x:c>
      <x:c r="B3" s="37" t="str">
        <x:v>Есть ли у выбранного сегмента подтвержденная проблема?</x:v>
      </x:c>
      <x:c r="C3" s="37" t="str">
        <x:v>03_Сегменты; 01_Данные_анализа</x:v>
      </x:c>
      <x:c r="D3" s="40" t="str"/>
      <x:c r="E3" s="40" t="str"/>
      <x:c r="F3" s="42" t="str">
        <x:f>IF(E3="","Не оценено",IF(E3&gt;=4,"Подтверждено",IF(E3&gt;=3,"Нужна проверка","Риск разрыва")))</x:f>
        <x:v>Не оценено</x:v>
      </x:c>
      <x:c r="G3" s="40" t="str"/>
    </x:row>
    <x:row r="4">
      <x:c r="A4" s="37" t="n">
        <x:v>2</x:v>
      </x:c>
      <x:c r="B4" s="37" t="str">
        <x:v>Связано ли ценностное предложение с наиболее приоритетной проблемой?</x:v>
      </x:c>
      <x:c r="C4" s="37" t="str">
        <x:v>04_Ценность_товар; 02_Канвас</x:v>
      </x:c>
      <x:c r="D4" s="40" t="str"/>
      <x:c r="E4" s="40" t="str"/>
      <x:c r="F4" s="42" t="str">
        <x:f>IF(E4="","Не оценено",IF(E4&gt;=4,"Подтверждено",IF(E4&gt;=3,"Нужна проверка","Риск разрыва")))</x:f>
        <x:v>Не оценено</x:v>
      </x:c>
      <x:c r="G4" s="40" t="str"/>
    </x:row>
    <x:row r="5">
      <x:c r="A5" s="37" t="n">
        <x:v>3</x:v>
      </x:c>
      <x:c r="B5" s="37" t="str">
        <x:v>Описан ли цифровой товар как конкретная единица ценности, а не как общая идея?</x:v>
      </x:c>
      <x:c r="C5" s="37" t="str">
        <x:v>04_Ценность_товар</x:v>
      </x:c>
      <x:c r="D5" s="40" t="str"/>
      <x:c r="E5" s="40" t="str"/>
      <x:c r="F5" s="42" t="str">
        <x:f>IF(E5="","Не оценено",IF(E5&gt;=4,"Подтверждено",IF(E5&gt;=3,"Нужна проверка","Риск разрыва")))</x:f>
        <x:v>Не оценено</x:v>
      </x:c>
      <x:c r="G5" s="40" t="str"/>
    </x:row>
    <x:row r="6">
      <x:c r="A6" s="37" t="n">
        <x:v>4</x:v>
      </x:c>
      <x:c r="B6" s="37" t="str">
        <x:v>Понятно ли, за какую единицу клиент платит?</x:v>
      </x:c>
      <x:c r="C6" s="37" t="str">
        <x:v>06_Монетизация</x:v>
      </x:c>
      <x:c r="D6" s="40" t="str"/>
      <x:c r="E6" s="40" t="str"/>
      <x:c r="F6" s="42" t="str">
        <x:f>IF(E6="","Не оценено",IF(E6&gt;=4,"Подтверждено",IF(E6&gt;=3,"Нужна проверка","Риск разрыва")))</x:f>
        <x:v>Не оценено</x:v>
      </x:c>
      <x:c r="G6" s="40" t="str"/>
    </x:row>
    <x:row r="7">
      <x:c r="A7" s="37" t="n">
        <x:v>5</x:v>
      </x:c>
      <x:c r="B7" s="37" t="str">
        <x:v>Каналы соответствуют сегменту и этапам принятия решения?</x:v>
      </x:c>
      <x:c r="C7" s="37" t="str">
        <x:v>05_Каналы_отношения</x:v>
      </x:c>
      <x:c r="D7" s="40" t="str"/>
      <x:c r="E7" s="40" t="str"/>
      <x:c r="F7" s="42" t="str">
        <x:f>IF(E7="","Не оценено",IF(E7&gt;=4,"Подтверждено",IF(E7&gt;=3,"Нужна проверка","Риск разрыва")))</x:f>
        <x:v>Не оценено</x:v>
      </x:c>
      <x:c r="G7" s="40" t="str"/>
    </x:row>
    <x:row r="8">
      <x:c r="A8" s="37" t="n">
        <x:v>6</x:v>
      </x:c>
      <x:c r="B8" s="37" t="str">
        <x:v>Механика отношений с клиентом поддерживает удержание и повторное использование?</x:v>
      </x:c>
      <x:c r="C8" s="37" t="str">
        <x:v>05_Каналы_отношения; 02_Канвас</x:v>
      </x:c>
      <x:c r="D8" s="40" t="str"/>
      <x:c r="E8" s="40" t="str"/>
      <x:c r="F8" s="42" t="str">
        <x:f>IF(E8="","Не оценено",IF(E8&gt;=4,"Подтверждено",IF(E8&gt;=3,"Нужна проверка","Риск разрыва")))</x:f>
        <x:v>Не оценено</x:v>
      </x:c>
      <x:c r="G8" s="40" t="str"/>
    </x:row>
    <x:row r="9">
      <x:c r="A9" s="37" t="n">
        <x:v>7</x:v>
      </x:c>
      <x:c r="B9" s="37" t="str">
        <x:v>Ключевые ресурсы достаточны для выполнения обещания ценности?</x:v>
      </x:c>
      <x:c r="C9" s="37" t="str">
        <x:v>07_Операционная_основа</x:v>
      </x:c>
      <x:c r="D9" s="40" t="str"/>
      <x:c r="E9" s="40" t="str"/>
      <x:c r="F9" s="42" t="str">
        <x:f>IF(E9="","Не оценено",IF(E9&gt;=4,"Подтверждено",IF(E9&gt;=3,"Нужна проверка","Риск разрыва")))</x:f>
        <x:v>Не оценено</x:v>
      </x:c>
      <x:c r="G9" s="40" t="str"/>
    </x:row>
    <x:row r="10">
      <x:c r="A10" s="37" t="n">
        <x:v>8</x:v>
      </x:c>
      <x:c r="B10" s="37" t="str">
        <x:v>Ключевые виды деятельности прямо связаны с созданием и доставкой цифрового товара?</x:v>
      </x:c>
      <x:c r="C10" s="37" t="str">
        <x:v>07_Операционная_основа</x:v>
      </x:c>
      <x:c r="D10" s="40" t="str"/>
      <x:c r="E10" s="40" t="str"/>
      <x:c r="F10" s="42" t="str">
        <x:f>IF(E10="","Не оценено",IF(E10&gt;=4,"Подтверждено",IF(E10&gt;=3,"Нужна проверка","Риск разрыва")))</x:f>
        <x:v>Не оценено</x:v>
      </x:c>
      <x:c r="G10" s="40" t="str"/>
    </x:row>
    <x:row r="11">
      <x:c r="A11" s="37" t="n">
        <x:v>9</x:v>
      </x:c>
      <x:c r="B11" s="37" t="str">
        <x:v>Партнеры закрывают реальные технологические, рыночные или операционные ограничения?</x:v>
      </x:c>
      <x:c r="C11" s="37" t="str">
        <x:v>07_Операционная_основа</x:v>
      </x:c>
      <x:c r="D11" s="40" t="str"/>
      <x:c r="E11" s="40" t="str"/>
      <x:c r="F11" s="42" t="str">
        <x:f>IF(E11="","Не оценено",IF(E11&gt;=4,"Подтверждено",IF(E11&gt;=3,"Нужна проверка","Риск разрыва")))</x:f>
        <x:v>Не оценено</x:v>
      </x:c>
      <x:c r="G11" s="40" t="str"/>
    </x:row>
    <x:row r="12">
      <x:c r="A12" s="37" t="n">
        <x:v>10</x:v>
      </x:c>
      <x:c r="B12" s="37" t="str">
        <x:v>Структура затрат соответствует выбранной модели монетизации?</x:v>
      </x:c>
      <x:c r="C12" s="37" t="str">
        <x:v>08_Затраты; 06_Монетизация</x:v>
      </x:c>
      <x:c r="D12" s="40" t="str"/>
      <x:c r="E12" s="40" t="str"/>
      <x:c r="F12" s="42" t="str">
        <x:f>IF(E12="","Не оценено",IF(E12&gt;=4,"Подтверждено",IF(E12&gt;=3,"Нужна проверка","Риск разрыва")))</x:f>
        <x:v>Не оценено</x:v>
      </x:c>
      <x:c r="G12" s="40" t="str"/>
    </x:row>
    <x:row r="13">
      <x:c r="A13" s="37" t="n">
        <x:v>11</x:v>
      </x:c>
      <x:c r="B13" s="37" t="str">
        <x:v>Есть ли отличие от прямых конкурентов, которое можно проверить через факты?</x:v>
      </x:c>
      <x:c r="C13" s="37" t="str">
        <x:v>01_Данные_анализа; 04_Ценность_товар</x:v>
      </x:c>
      <x:c r="D13" s="40" t="str"/>
      <x:c r="E13" s="40" t="str"/>
      <x:c r="F13" s="42" t="str">
        <x:f>IF(E13="","Не оценено",IF(E13&gt;=4,"Подтверждено",IF(E13&gt;=3,"Нужна проверка","Риск разрыва")))</x:f>
        <x:v>Не оценено</x:v>
      </x:c>
      <x:c r="G13" s="40" t="str"/>
    </x:row>
    <x:row r="14">
      <x:c r="A14" s="37" t="n">
        <x:v>12</x:v>
      </x:c>
      <x:c r="B14" s="37" t="str">
        <x:v>Не противоречат ли блоки Канвас друг другу?</x:v>
      </x:c>
      <x:c r="C14" s="37" t="str">
        <x:v>02_Канвас; 10_Паспорт</x:v>
      </x:c>
      <x:c r="D14" s="40" t="str"/>
      <x:c r="E14" s="40" t="str"/>
      <x:c r="F14" s="42" t="str">
        <x:f>IF(E14="","Не оценено",IF(E14&gt;=4,"Подтверждено",IF(E14&gt;=3,"Нужна проверка","Риск разрыва")))</x:f>
        <x:v>Не оценено</x:v>
      </x:c>
      <x:c r="G14" s="40" t="str"/>
    </x:row>
  </x:sheetData>
  <x:mergeCells>
    <x:mergeCell ref="A1:G1"/>
  </x:mergeCells>
  <x:conditionalFormatting sqref="E3:E14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dataValidations count="1">
    <x:dataValidation type="list" sqref="E3:E14">
      <x:formula1>'12_Справочники'!$C$3:$C$7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110f3dbdd5495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34" hidden="0" customWidth="1"/>
    <x:col min="4" max="4" width="34" hidden="0" customWidth="1"/>
    <x:col min="5" max="5" width="18" hidden="0" customWidth="1"/>
  </x:cols>
  <x:sheetData>
    <x:row r="1" ht="32" customHeight="1">
      <x:c r="A1" s="6" t="str">
        <x:v>Итоговый паспорт бизнес-модели</x:v>
      </x:c>
      <x:c r="B1" s="6"/>
      <x:c r="C1" s="6"/>
      <x:c r="D1" s="6"/>
      <x:c r="E1" s="6"/>
    </x:row>
    <x:row r="2" ht="32" customHeight="1">
      <x:c r="A2" s="36" t="str">
        <x:v>Раздел паспорта</x:v>
      </x:c>
      <x:c r="B2" s="36" t="str">
        <x:v>Итоговая формулировка</x:v>
      </x:c>
      <x:c r="C2" s="36" t="str">
        <x:v>Основной источник</x:v>
      </x:c>
      <x:c r="D2" s="36" t="str">
        <x:v>Контрольный вопрос</x:v>
      </x:c>
      <x:c r="E2" s="36" t="str">
        <x:v>Статус</x:v>
      </x:c>
    </x:row>
    <x:row r="3">
      <x:c r="A3" s="37" t="str">
        <x:v>Целевой клиентский сегмент</x:v>
      </x:c>
      <x:c r="B3" s="40" t="str">
        <x:f>IFERROR(INDEX('02_Канвас'!$D$3:$D$11,MATCH("Клиентские сегменты",'02_Канвас'!$A$3:$A$11,0)),"")</x:f>
      </x:c>
      <x:c r="C3" s="37" t="str">
        <x:v>02_Канвас / 03_Сегменты</x:v>
      </x:c>
      <x:c r="D3" s="37" t="str">
        <x:v>Кому именно создается ценность?</x:v>
      </x:c>
      <x:c r="E3" s="42" t="str">
        <x:f>IF(B3="","Не заполнено","Заполнено")</x:f>
        <x:v>Не заполнено</x:v>
      </x:c>
    </x:row>
    <x:row r="4">
      <x:c r="A4" s="37" t="str">
        <x:v>Проблема клиента</x:v>
      </x:c>
      <x:c r="B4" s="40" t="str"/>
      <x:c r="C4" s="37" t="str">
        <x:v>03_Сегменты / 04_Ценность_товар</x:v>
      </x:c>
      <x:c r="D4" s="37" t="str">
        <x:v>Какая проблема подтверждена отзывами, сайтами и конкурентным анализом?</x:v>
      </x:c>
      <x:c r="E4" s="42" t="str">
        <x:f>IF(B4="","Не заполнено","Заполнено")</x:f>
        <x:v>Не заполнено</x:v>
      </x:c>
    </x:row>
    <x:row r="5">
      <x:c r="A5" s="37" t="str">
        <x:v>Ценностное предложение</x:v>
      </x:c>
      <x:c r="B5" s="40" t="str">
        <x:f>IFERROR(INDEX('02_Канвас'!$D$3:$D$11,MATCH("Ценностное предложение",'02_Канвас'!$A$3:$A$11,0)),"")</x:f>
      </x:c>
      <x:c r="C5" s="37" t="str">
        <x:v>02_Канвас / 04_Ценность_товар</x:v>
      </x:c>
      <x:c r="D5" s="37" t="str">
        <x:v>Какой результат получает клиент и почему это важно?</x:v>
      </x:c>
      <x:c r="E5" s="42" t="str">
        <x:f>IF(B5="","Не заполнено","Заполнено")</x:f>
        <x:v>Не заполнено</x:v>
      </x:c>
    </x:row>
    <x:row r="6">
      <x:c r="A6" s="37" t="str">
        <x:v>Цифровой товар</x:v>
      </x:c>
      <x:c r="B6" s="40" t="str"/>
      <x:c r="C6" s="37" t="str">
        <x:v>04_Ценность_товар</x:v>
      </x:c>
      <x:c r="D6" s="37" t="str">
        <x:v>Что именно продается или предоставляется клиенту?</x:v>
      </x:c>
      <x:c r="E6" s="42" t="str">
        <x:f>IF(B6="","Не заполнено","Заполнено")</x:f>
        <x:v>Не заполнено</x:v>
      </x:c>
    </x:row>
    <x:row r="7">
      <x:c r="A7" s="37" t="str">
        <x:v>Единица монетизации</x:v>
      </x:c>
      <x:c r="B7" s="40" t="str"/>
      <x:c r="C7" s="37" t="str">
        <x:v>06_Монетизация</x:v>
      </x:c>
      <x:c r="D7" s="37" t="str">
        <x:v>За какую единицу ценности платит клиент?</x:v>
      </x:c>
      <x:c r="E7" s="42" t="str">
        <x:f>IF(B7="","Не заполнено","Заполнено")</x:f>
        <x:v>Не заполнено</x:v>
      </x:c>
    </x:row>
    <x:row r="8">
      <x:c r="A8" s="37" t="str">
        <x:v>Каналы</x:v>
      </x:c>
      <x:c r="B8" s="40" t="str">
        <x:f>IFERROR(INDEX('02_Канвас'!$D$3:$D$11,MATCH("Каналы",'02_Канвас'!$A$3:$A$11,0)),"")</x:f>
      </x:c>
      <x:c r="C8" s="37" t="str">
        <x:v>02_Канвас / 05_Каналы_отношения</x:v>
      </x:c>
      <x:c r="D8" s="37" t="str">
        <x:v>Как клиент узнает, оценивает, покупает и использует продукт?</x:v>
      </x:c>
      <x:c r="E8" s="42" t="str">
        <x:f>IF(B8="","Не заполнено","Заполнено")</x:f>
        <x:v>Не заполнено</x:v>
      </x:c>
    </x:row>
    <x:row r="9">
      <x:c r="A9" s="37" t="str">
        <x:v>Отношения с клиентами</x:v>
      </x:c>
      <x:c r="B9" s="40" t="str">
        <x:f>IFERROR(INDEX('02_Канвас'!$D$3:$D$11,MATCH("Отношения с клиентами",'02_Канвас'!$A$3:$A$11,0)),"")</x:f>
      </x:c>
      <x:c r="C9" s="37" t="str">
        <x:v>02_Канвас / 05_Каналы_отношения</x:v>
      </x:c>
      <x:c r="D9" s="37" t="str">
        <x:v>Как обеспечивается сопровождение, удержание и повторное использование?</x:v>
      </x:c>
      <x:c r="E9" s="42" t="str">
        <x:f>IF(B9="","Не заполнено","Заполнено")</x:f>
        <x:v>Не заполнено</x:v>
      </x:c>
    </x:row>
    <x:row r="10">
      <x:c r="A10" s="37" t="str">
        <x:v>Потоки доходов</x:v>
      </x:c>
      <x:c r="B10" s="40" t="str">
        <x:f>IFERROR(INDEX('02_Канвас'!$D$3:$D$11,MATCH("Потоки доходов",'02_Канвас'!$A$3:$A$11,0)),"")</x:f>
      </x:c>
      <x:c r="C10" s="37" t="str">
        <x:v>02_Канвас / 06_Монетизация</x:v>
      </x:c>
      <x:c r="D10" s="37" t="str">
        <x:v>Какие денежные потоки образует продукт?</x:v>
      </x:c>
      <x:c r="E10" s="42" t="str">
        <x:f>IF(B10="","Не заполнено","Заполнено")</x:f>
        <x:v>Не заполнено</x:v>
      </x:c>
    </x:row>
    <x:row r="11">
      <x:c r="A11" s="37" t="str">
        <x:v>Ключевые ресурсы</x:v>
      </x:c>
      <x:c r="B11" s="40" t="str">
        <x:f>IFERROR(INDEX('02_Канвас'!$D$3:$D$11,MATCH("Ключевые ресурсы",'02_Канвас'!$A$3:$A$11,0)),"")</x:f>
      </x:c>
      <x:c r="C11" s="37" t="str">
        <x:v>02_Канвас / 07_Операционная_основа</x:v>
      </x:c>
      <x:c r="D11" s="37" t="str">
        <x:v>Какие ресурсы критичны для выполнения обещания ценности?</x:v>
      </x:c>
      <x:c r="E11" s="42" t="str">
        <x:f>IF(B11="","Не заполнено","Заполнено")</x:f>
        <x:v>Не заполнено</x:v>
      </x:c>
    </x:row>
    <x:row r="12">
      <x:c r="A12" s="37" t="str">
        <x:v>Ключевые виды деятельности</x:v>
      </x:c>
      <x:c r="B12" s="40" t="str">
        <x:f>IFERROR(INDEX('02_Канвас'!$D$3:$D$11,MATCH("Ключевые виды деятельности",'02_Канвас'!$A$3:$A$11,0)),"")</x:f>
      </x:c>
      <x:c r="C12" s="37" t="str">
        <x:v>02_Канвас / 07_Операционная_основа</x:v>
      </x:c>
      <x:c r="D12" s="37" t="str">
        <x:v>Какие процессы создают и доставляют ценность?</x:v>
      </x:c>
      <x:c r="E12" s="42" t="str">
        <x:f>IF(B12="","Не заполнено","Заполнено")</x:f>
        <x:v>Не заполнено</x:v>
      </x:c>
    </x:row>
    <x:row r="13">
      <x:c r="A13" s="37" t="str">
        <x:v>Ключевые партнеры</x:v>
      </x:c>
      <x:c r="B13" s="40" t="str">
        <x:f>IFERROR(INDEX('02_Канвас'!$D$3:$D$11,MATCH("Ключевые партнеры",'02_Канвас'!$A$3:$A$11,0)),"")</x:f>
      </x:c>
      <x:c r="C13" s="37" t="str">
        <x:v>02_Канвас / 07_Операционная_основа</x:v>
      </x:c>
      <x:c r="D13" s="37" t="str">
        <x:v>Какие внешние участники нужны для модели?</x:v>
      </x:c>
      <x:c r="E13" s="42" t="str">
        <x:f>IF(B13="","Не заполнено","Заполнено")</x:f>
        <x:v>Не заполнено</x:v>
      </x:c>
    </x:row>
    <x:row r="14">
      <x:c r="A14" s="37" t="str">
        <x:v>Структура затрат</x:v>
      </x:c>
      <x:c r="B14" s="40" t="str">
        <x:f>IFERROR(INDEX('02_Канвас'!$D$3:$D$11,MATCH("Структура затрат",'02_Канвас'!$A$3:$A$11,0)),"")</x:f>
      </x:c>
      <x:c r="C14" s="37" t="str">
        <x:v>02_Канвас / 08_Затраты</x:v>
      </x:c>
      <x:c r="D14" s="37" t="str">
        <x:v>Какие затраты определяют экономику модели?</x:v>
      </x:c>
      <x:c r="E14" s="42" t="str">
        <x:f>IF(B14="","Не заполнено","Заполнено")</x:f>
        <x:v>Не заполнено</x:v>
      </x:c>
    </x:row>
    <x:row r="15">
      <x:c r="A15" s="37" t="str">
        <x:v>Главное конкурентное отличие</x:v>
      </x:c>
      <x:c r="B15" s="40" t="str"/>
      <x:c r="C15" s="37" t="str">
        <x:v>01_Данные_анализа / 04_Ценность_товар</x:v>
      </x:c>
      <x:c r="D15" s="37" t="str">
        <x:v>Чем модель отличается от прямых и близких конкурентов?</x:v>
      </x:c>
      <x:c r="E15" s="42" t="str">
        <x:f>IF(B15="","Не заполнено","Заполнено")</x:f>
        <x:v>Не заполнено</x:v>
      </x:c>
    </x:row>
    <x:row r="16">
      <x:c r="A16" s="37" t="str">
        <x:v>Ключевая гипотеза для проверки</x:v>
      </x:c>
      <x:c r="B16" s="40" t="str"/>
      <x:c r="C16" s="37" t="str">
        <x:v>09_Проверка_связности</x:v>
      </x:c>
      <x:c r="D16" s="37" t="str">
        <x:v>Какая гипотеза создает наибольший риск ошибки?</x:v>
      </x:c>
      <x:c r="E16" s="42" t="str">
        <x:f>IF(B16="","Не заполнено","Заполнено")</x:f>
        <x:v>Не заполнено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13ed62088354ee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</x:cols>
  <x:sheetData>
    <x:row r="1" ht="32" customHeight="1">
      <x:c r="A1" s="6" t="str">
        <x:v>Сводный дашборд готовности бизнес-модели</x:v>
      </x:c>
      <x:c r="B1" s="6"/>
      <x:c r="C1" s="6"/>
      <x:c r="D1" s="6"/>
      <x:c r="E1" s="6"/>
      <x:c r="F1" s="6"/>
      <x:c r="G1" s="6"/>
      <x:c r="H1" s="6"/>
    </x:row>
    <x:row r="3" ht="32" customHeight="1">
      <x:c r="A3" s="16" t="str">
        <x:v>Показатель</x:v>
      </x:c>
      <x:c r="B3" s="16" t="str">
        <x:v>Значение</x:v>
      </x:c>
    </x:row>
    <x:row r="4">
      <x:c r="A4" s="52" t="str">
        <x:v>Полнота заполнения Канвас</x:v>
      </x:c>
      <x:c r="B4" s="53" t="n">
        <x:f>IFERROR(AVERAGE('02_Канвас'!G3:G11)/5,0)</x:f>
        <x:v>0</x:v>
      </x:c>
      <x:c r="C4" s="22"/>
      <x:c r="D4" s="22"/>
      <x:c r="E4" s="22"/>
    </x:row>
    <x:row r="5">
      <x:c r="A5" s="52" t="str">
        <x:v>Средняя доказательность Канвас</x:v>
      </x:c>
      <x:c r="B5" s="53" t="n">
        <x:f>IFERROR(AVERAGE('02_Канвас'!F3:F11)/5,0)</x:f>
        <x:v>0</x:v>
      </x:c>
      <x:c r="C5" s="22"/>
      <x:c r="D5" s="22"/>
      <x:c r="E5" s="22"/>
    </x:row>
    <x:row r="6">
      <x:c r="A6" s="52" t="str">
        <x:v>Контроль риска Канвас</x:v>
      </x:c>
      <x:c r="B6" s="53" t="n">
        <x:f>IFERROR(1-AVERAGE('02_Канвас'!H3:H11)/5,0)</x:f>
        <x:v>0</x:v>
      </x:c>
      <x:c r="C6" s="22"/>
      <x:c r="D6" s="22"/>
      <x:c r="E6" s="22"/>
    </x:row>
    <x:row r="7">
      <x:c r="A7" s="52" t="str">
        <x:v>Доля готовых блоков Канвас</x:v>
      </x:c>
      <x:c r="B7" s="53" t="n">
        <x:f>IFERROR(COUNTIF('02_Канвас'!J3:J11,"Готово")/9,0)</x:f>
        <x:v>0</x:v>
      </x:c>
      <x:c r="C7" s="22"/>
      <x:c r="D7" s="22"/>
      <x:c r="E7" s="22"/>
    </x:row>
    <x:row r="8">
      <x:c r="A8" s="52" t="str">
        <x:v>Количество зафиксированных выводов анализа</x:v>
      </x:c>
      <x:c r="B8" s="22" t="n">
        <x:f>COUNTA('01_Данные_анализа'!F3:F202)</x:f>
        <x:v>0</x:v>
      </x:c>
      <x:c r="C8" s="22"/>
      <x:c r="D8" s="22"/>
      <x:c r="E8" s="22"/>
    </x:row>
    <x:row r="9">
      <x:c r="A9" s="52" t="str">
        <x:v>Доля подтвержденных проверок связности</x:v>
      </x:c>
      <x:c r="B9" s="53" t="n">
        <x:f>IFERROR(COUNTIF('09_Проверка_связности'!F3:F14,"Подтверждено")/COUNTA('09_Проверка_связности'!A3:A14),0)</x:f>
        <x:v>0</x:v>
      </x:c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 ht="32" customHeight="1">
      <x:c r="A11" s="16" t="str">
        <x:v>Блок Канвас</x:v>
      </x:c>
      <x:c r="B11" s="16" t="str">
        <x:v>Достоверность</x:v>
      </x:c>
      <x:c r="C11" s="16" t="str">
        <x:v>Полнота</x:v>
      </x:c>
      <x:c r="D11" s="16" t="str">
        <x:v>Риск</x:v>
      </x:c>
      <x:c r="E11" s="16" t="str">
        <x:v>Статус</x:v>
      </x:c>
    </x:row>
    <x:row r="12">
      <x:c r="A12" s="22" t="str">
        <x:f>'02_Канвас'!A3</x:f>
        <x:v>Клиентские сегменты</x:v>
      </x:c>
      <x:c r="B12" s="22" t="n">
        <x:f>'02_Канвас'!F3</x:f>
        <x:v>0</x:v>
      </x:c>
      <x:c r="C12" s="22" t="n">
        <x:f>'02_Канвас'!G3</x:f>
        <x:v>0</x:v>
      </x:c>
      <x:c r="D12" s="22" t="n">
        <x:f>'02_Канвас'!H3</x:f>
        <x:v>0</x:v>
      </x:c>
      <x:c r="E12" s="22" t="str">
        <x:f>'02_Канвас'!J3</x:f>
        <x:v>Требует доработки</x:v>
      </x:c>
    </x:row>
    <x:row r="13">
      <x:c r="A13" s="22" t="str">
        <x:f>'02_Канвас'!A4</x:f>
        <x:v>Ценностное предложение</x:v>
      </x:c>
      <x:c r="B13" s="22" t="n">
        <x:f>'02_Канвас'!F4</x:f>
        <x:v>0</x:v>
      </x:c>
      <x:c r="C13" s="22" t="n">
        <x:f>'02_Канвас'!G4</x:f>
        <x:v>0</x:v>
      </x:c>
      <x:c r="D13" s="22" t="n">
        <x:f>'02_Канвас'!H4</x:f>
        <x:v>0</x:v>
      </x:c>
      <x:c r="E13" s="22" t="str">
        <x:f>'02_Канвас'!J4</x:f>
        <x:v>Требует доработки</x:v>
      </x:c>
    </x:row>
    <x:row r="14">
      <x:c r="A14" s="22" t="str">
        <x:f>'02_Канвас'!A5</x:f>
        <x:v>Каналы</x:v>
      </x:c>
      <x:c r="B14" s="22" t="n">
        <x:f>'02_Канвас'!F5</x:f>
        <x:v>0</x:v>
      </x:c>
      <x:c r="C14" s="22" t="n">
        <x:f>'02_Канвас'!G5</x:f>
        <x:v>0</x:v>
      </x:c>
      <x:c r="D14" s="22" t="n">
        <x:f>'02_Канвас'!H5</x:f>
        <x:v>0</x:v>
      </x:c>
      <x:c r="E14" s="22" t="str">
        <x:f>'02_Канвас'!J5</x:f>
        <x:v>Требует доработки</x:v>
      </x:c>
    </x:row>
    <x:row r="15">
      <x:c r="A15" s="22" t="str">
        <x:f>'02_Канвас'!A6</x:f>
        <x:v>Отношения с клиентами</x:v>
      </x:c>
      <x:c r="B15" s="22" t="n">
        <x:f>'02_Канвас'!F6</x:f>
        <x:v>0</x:v>
      </x:c>
      <x:c r="C15" s="22" t="n">
        <x:f>'02_Канвас'!G6</x:f>
        <x:v>0</x:v>
      </x:c>
      <x:c r="D15" s="22" t="n">
        <x:f>'02_Канвас'!H6</x:f>
        <x:v>0</x:v>
      </x:c>
      <x:c r="E15" s="22" t="str">
        <x:f>'02_Канвас'!J6</x:f>
        <x:v>Требует доработки</x:v>
      </x:c>
    </x:row>
    <x:row r="16">
      <x:c r="A16" s="22" t="str">
        <x:f>'02_Канвас'!A7</x:f>
        <x:v>Потоки доходов</x:v>
      </x:c>
      <x:c r="B16" s="22" t="n">
        <x:f>'02_Канвас'!F7</x:f>
        <x:v>0</x:v>
      </x:c>
      <x:c r="C16" s="22" t="n">
        <x:f>'02_Канвас'!G7</x:f>
        <x:v>0</x:v>
      </x:c>
      <x:c r="D16" s="22" t="n">
        <x:f>'02_Канвас'!H7</x:f>
        <x:v>0</x:v>
      </x:c>
      <x:c r="E16" s="22" t="str">
        <x:f>'02_Канвас'!J7</x:f>
        <x:v>Требует доработки</x:v>
      </x:c>
    </x:row>
    <x:row r="17">
      <x:c r="A17" s="22" t="str">
        <x:f>'02_Канвас'!A8</x:f>
        <x:v>Ключевые ресурсы</x:v>
      </x:c>
      <x:c r="B17" s="22" t="n">
        <x:f>'02_Канвас'!F8</x:f>
        <x:v>0</x:v>
      </x:c>
      <x:c r="C17" s="22" t="n">
        <x:f>'02_Канвас'!G8</x:f>
        <x:v>0</x:v>
      </x:c>
      <x:c r="D17" s="22" t="n">
        <x:f>'02_Канвас'!H8</x:f>
        <x:v>0</x:v>
      </x:c>
      <x:c r="E17" s="22" t="str">
        <x:f>'02_Канвас'!J8</x:f>
        <x:v>Требует доработки</x:v>
      </x:c>
    </x:row>
    <x:row r="18">
      <x:c r="A18" s="22" t="str">
        <x:f>'02_Канвас'!A9</x:f>
        <x:v>Ключевые виды деятельности</x:v>
      </x:c>
      <x:c r="B18" s="22" t="n">
        <x:f>'02_Канвас'!F9</x:f>
        <x:v>0</x:v>
      </x:c>
      <x:c r="C18" s="22" t="n">
        <x:f>'02_Канвас'!G9</x:f>
        <x:v>0</x:v>
      </x:c>
      <x:c r="D18" s="22" t="n">
        <x:f>'02_Канвас'!H9</x:f>
        <x:v>0</x:v>
      </x:c>
      <x:c r="E18" s="22" t="str">
        <x:f>'02_Канвас'!J9</x:f>
        <x:v>Требует доработки</x:v>
      </x:c>
    </x:row>
    <x:row r="19">
      <x:c r="A19" s="22" t="str">
        <x:f>'02_Канвас'!A10</x:f>
        <x:v>Ключевые партнеры</x:v>
      </x:c>
      <x:c r="B19" s="22" t="n">
        <x:f>'02_Канвас'!F10</x:f>
        <x:v>0</x:v>
      </x:c>
      <x:c r="C19" s="22" t="n">
        <x:f>'02_Канвас'!G10</x:f>
        <x:v>0</x:v>
      </x:c>
      <x:c r="D19" s="22" t="n">
        <x:f>'02_Канвас'!H10</x:f>
        <x:v>0</x:v>
      </x:c>
      <x:c r="E19" s="22" t="str">
        <x:f>'02_Канвас'!J10</x:f>
        <x:v>Требует доработки</x:v>
      </x:c>
    </x:row>
    <x:row r="20">
      <x:c r="A20" s="22" t="str">
        <x:f>'02_Канвас'!A11</x:f>
        <x:v>Структура затрат</x:v>
      </x:c>
      <x:c r="B20" s="22" t="n">
        <x:f>'02_Канвас'!F11</x:f>
        <x:v>0</x:v>
      </x:c>
      <x:c r="C20" s="22" t="n">
        <x:f>'02_Канвас'!G11</x:f>
        <x:v>0</x:v>
      </x:c>
      <x:c r="D20" s="22" t="n">
        <x:f>'02_Канвас'!H11</x:f>
        <x:v>0</x:v>
      </x:c>
      <x:c r="E20" s="22" t="str">
        <x:f>'02_Канвас'!J11</x:f>
        <x:v>Требует доработки</x:v>
      </x:c>
    </x:row>
    <x:row r="21">
      <x:c r="A21" s="22"/>
      <x:c r="B21" s="22"/>
      <x:c r="C21" s="22"/>
      <x:c r="D21" s="22"/>
      <x:c r="E21" s="22"/>
    </x:row>
    <x:row r="22">
      <x:c r="A22" s="22"/>
      <x:c r="B22" s="22"/>
      <x:c r="C22" s="22"/>
      <x:c r="D22" s="22"/>
      <x:c r="E22" s="22"/>
    </x:row>
    <x:row r="23" ht="32" customHeight="1">
      <x:c r="A23" s="16" t="str">
        <x:v>Итоговая интерпретация</x:v>
      </x:c>
      <x:c r="B23" s="16" t="str">
        <x:v>Правило</x:v>
      </x:c>
      <x:c r="C23" s="16" t="str">
        <x:v>Результат</x:v>
      </x:c>
      <x:c r="D23" s="22"/>
      <x:c r="E23" s="22"/>
    </x:row>
    <x:row r="24">
      <x:c r="A24" s="22" t="str">
        <x:v>Высокая готовность</x:v>
      </x:c>
      <x:c r="B24" s="22" t="str">
        <x:v>Все KPI не ниже 80%</x:v>
      </x:c>
      <x:c r="C24" s="22" t="str">
        <x:f>IF(AND(B4&gt;=0.8,B5&gt;=0.8,B6&gt;=0.8,B7&gt;=0.8,B9&gt;=0.8),"Да","Нет")</x:f>
        <x:v>Нет</x:v>
      </x:c>
      <x:c r="D24" s="22"/>
      <x:c r="E24" s="22"/>
    </x:row>
    <x:row r="25">
      <x:c r="A25" s="22" t="str">
        <x:v>Средняя готовность</x:v>
      </x:c>
      <x:c r="B25" s="22" t="str">
        <x:v>Большинство KPI не ниже 60%</x:v>
      </x:c>
      <x:c r="C25" s="22" t="str">
        <x:f>IF(AND(B4&gt;=0.6,B5&gt;=0.6,B6&gt;=0.6,B7&gt;=0.6,B9&gt;=0.6),"Да","Нет")</x:f>
        <x:v>Нет</x:v>
      </x:c>
      <x:c r="D25" s="22"/>
      <x:c r="E25" s="22"/>
    </x:row>
    <x:row r="26">
      <x:c r="A26" s="22" t="str">
        <x:v>Низкая готовность</x:v>
      </x:c>
      <x:c r="B26" s="22" t="str">
        <x:v>Есть критичные пробелы в Канвас или связности</x:v>
      </x:c>
      <x:c r="C26" s="22" t="str">
        <x:f>IF(OR(B4&lt;0.6,B5&lt;0.6,B6&lt;0.6,B9&lt;0.6),"Да","Нет")</x:f>
        <x:v>Да</x:v>
      </x:c>
      <x:c r="D26" s="22"/>
      <x:c r="E26" s="22"/>
    </x:row>
    <x:row r="27">
      <x:c r="A27" s="22" t="str">
        <x:v>Рекомендуемое действие</x:v>
      </x:c>
      <x:c r="B27" s="22" t="str">
        <x:v>Сначала закрыть блоки со статусом «Требует доработки»</x:v>
      </x:c>
      <x:c r="C27" s="22" t="str">
        <x:f>IF(C24="Да","Можно оформлять итоговую бизнес-модель",IF(C25="Да","Нужна точечная проверка гипотез","Нужна доработка исходных данных и связности"))</x:f>
        <x:v>Нужна доработка исходных данных и связности</x:v>
      </x:c>
      <x:c r="D27" s="22"/>
      <x:c r="E27" s="22"/>
    </x:row>
  </x:sheetData>
  <x:mergeCells>
    <x:mergeCell ref="A1:H1"/>
  </x:mergeCells>
  <x:conditionalFormatting sqref="A11:E20">
    <x:cfRule type="expression" dxfId="0" priority="1">
      <x:formula>$E12="Готово"</x:formula>
    </x:cfRule>
    <x:cfRule type="expression" dxfId="1" priority="2">
      <x:formula>$E12="Требует доработки"</x:formula>
    </x:cfRule>
  </x:conditionalFormatting>
  <x:conditionalFormatting sqref="B12:D20">
    <x:cfRule type="dataBar" priority="3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{35B126B1-F5B6-0ECF-CCD2-B123A6D800D5}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1a3f7d2b98c4e4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35B126B1-F5B6-0ECF-CCD2-B123A6D800D5}">
            <x14:dataBar gradient="1">
              <x14:cfvo type="min"/>
              <x14:cfvo type="max"/>
              <x14:fillColor rgb="60A5FA"/>
            </x14:dataBar>
          </x14:cfRule>
          <xm:sqref>B12:D20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2" customHeight="1">
      <x:c r="A1" s="6" t="str">
        <x:v>Справочники для выпадающих списков и шкал оценки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32" customHeight="1">
      <x:c r="A2" s="16" t="str">
        <x:v>Тип источника анализа</x:v>
      </x:c>
      <x:c r="B2" s="16" t="str">
        <x:v>Блок Канвас</x:v>
      </x:c>
      <x:c r="C2" s="16" t="str">
        <x:v>Оценка 1-5</x:v>
      </x:c>
      <x:c r="D2" s="16" t="str">
        <x:v>Статус</x:v>
      </x:c>
      <x:c r="E2" s="16" t="str">
        <x:v>Тип цифрового товара</x:v>
      </x:c>
      <x:c r="F2" s="16" t="str">
        <x:v>Класс требования по Кано</x:v>
      </x:c>
      <x:c r="G2" s="16" t="str">
        <x:v>Тип потока доходов</x:v>
      </x:c>
      <x:c r="H2" s="16" t="str">
        <x:v>Тип затрат</x:v>
      </x:c>
      <x:c r="I2" s="16" t="str">
        <x:v>Этап канала</x:v>
      </x:c>
      <x:c r="J2" s="16" t="str">
        <x:v>Подход к обеспечению</x:v>
      </x:c>
      <x:c r="K2" s="16" t="str">
        <x:v>Уровень конкуренции</x:v>
      </x:c>
    </x:row>
    <x:row r="3">
      <x:c r="A3" s="22" t="str">
        <x:v>Анализ сайтов конкурентов</x:v>
      </x:c>
      <x:c r="B3" s="22" t="str">
        <x:v>Клиентские сегменты</x:v>
      </x:c>
      <x:c r="C3" s="22" t="n">
        <x:v>1</x:v>
      </x:c>
      <x:c r="D3" s="22" t="str">
        <x:v>Не заполнено</x:v>
      </x:c>
      <x:c r="E3" s="22" t="str">
        <x:v>Программный сервис</x:v>
      </x:c>
      <x:c r="F3" s="22" t="str">
        <x:v>Обязательное</x:v>
      </x:c>
      <x:c r="G3" s="22" t="str">
        <x:v>Подписка</x:v>
      </x:c>
      <x:c r="H3" s="22" t="str">
        <x:v>Постоянные</x:v>
      </x:c>
      <x:c r="I3" s="22" t="str">
        <x:v>Осведомленность</x:v>
      </x:c>
      <x:c r="J3" s="22" t="str">
        <x:v>Создать внутри</x:v>
      </x:c>
      <x:c r="K3" s="22" t="str">
        <x:v>Прямой конкурент</x:v>
      </x:c>
    </x:row>
    <x:row r="4">
      <x:c r="A4" s="22" t="str">
        <x:v>Анализ бизнес-моделей конкурентов</x:v>
      </x:c>
      <x:c r="B4" s="22" t="str">
        <x:v>Ценностное предложение</x:v>
      </x:c>
      <x:c r="C4" s="22" t="n">
        <x:v>2</x:v>
      </x:c>
      <x:c r="D4" s="22" t="str">
        <x:v>Проверить</x:v>
      </x:c>
      <x:c r="E4" s="22" t="str">
        <x:v>Мобильное приложение</x:v>
      </x:c>
      <x:c r="F4" s="22" t="str">
        <x:v>Линейное</x:v>
      </x:c>
      <x:c r="G4" s="22" t="str">
        <x:v>Разовая продажа доступа</x:v>
      </x:c>
      <x:c r="H4" s="22" t="str">
        <x:v>Переменные</x:v>
      </x:c>
      <x:c r="I4" s="22" t="str">
        <x:v>Оценка</x:v>
      </x:c>
      <x:c r="J4" s="22" t="str">
        <x:v>Купить готовое решение</x:v>
      </x:c>
      <x:c r="K4" s="22" t="str">
        <x:v>Близкий конкурент</x:v>
      </x:c>
    </x:row>
    <x:row r="5">
      <x:c r="A5" s="22" t="str">
        <x:v>Анализ цифрового товара по Левитту</x:v>
      </x:c>
      <x:c r="B5" s="22" t="str">
        <x:v>Каналы</x:v>
      </x:c>
      <x:c r="C5" s="22" t="n">
        <x:v>3</x:v>
      </x:c>
      <x:c r="D5" s="22" t="str">
        <x:v>Готово</x:v>
      </x:c>
      <x:c r="E5" s="22" t="str">
        <x:v>Веб-платформа</x:v>
      </x:c>
      <x:c r="F5" s="22" t="str">
        <x:v>Восхищающее</x:v>
      </x:c>
      <x:c r="G5" s="22" t="str">
        <x:v>Комиссия за транзакцию</x:v>
      </x:c>
      <x:c r="H5" s="22" t="str">
        <x:v>Полупеременные</x:v>
      </x:c>
      <x:c r="I5" s="22" t="str">
        <x:v>Покупка</x:v>
      </x:c>
      <x:c r="J5" s="22" t="str">
        <x:v>Арендовать сервис</x:v>
      </x:c>
      <x:c r="K5" s="22" t="str">
        <x:v>Косвенный конкурент</x:v>
      </x:c>
    </x:row>
    <x:row r="6">
      <x:c r="A6" s="22" t="str">
        <x:v>Классификация требований по Кано</x:v>
      </x:c>
      <x:c r="B6" s="22" t="str">
        <x:v>Отношения с клиентами</x:v>
      </x:c>
      <x:c r="C6" s="22" t="n">
        <x:v>4</x:v>
      </x:c>
      <x:c r="D6" s="22" t="str">
        <x:v>Требует доработки</x:v>
      </x:c>
      <x:c r="E6" s="22" t="str">
        <x:v>Цифровой контент</x:v>
      </x:c>
      <x:c r="F6" s="22" t="str">
        <x:v>Безразличное</x:v>
      </x:c>
      <x:c r="G6" s="22" t="str">
        <x:v>Плата за пользователя</x:v>
      </x:c>
      <x:c r="H6" s="22" t="str">
        <x:v>Инфраструктурные</x:v>
      </x:c>
      <x:c r="I6" s="22" t="str">
        <x:v>Подключение</x:v>
      </x:c>
      <x:c r="J6" s="22" t="str">
        <x:v>Получить через партнера</x:v>
      </x:c>
      <x:c r="K6" s="22" t="str">
        <x:v>Заменитель</x:v>
      </x:c>
    </x:row>
    <x:row r="7">
      <x:c r="A7" s="22" t="str">
        <x:v>Анализ отзывов</x:v>
      </x:c>
      <x:c r="B7" s="22" t="str">
        <x:v>Потоки доходов</x:v>
      </x:c>
      <x:c r="C7" s="22" t="n">
        <x:v>5</x:v>
      </x:c>
      <x:c r="D7" s="22" t="str">
        <x:v>Исключить</x:v>
      </x:c>
      <x:c r="E7" s="22" t="str">
        <x:v>Доступ к данным</x:v>
      </x:c>
      <x:c r="F7" s="22" t="str">
        <x:v>Обратное</x:v>
      </x:c>
      <x:c r="G7" s="22" t="str">
        <x:v>Плата за объем использования</x:v>
      </x:c>
      <x:c r="H7" s="22" t="str">
        <x:v>Маркетинговые</x:v>
      </x:c>
      <x:c r="I7" s="22" t="str">
        <x:v>Использование</x:v>
      </x:c>
      <x:c r="J7" s="22" t="str">
        <x:v>Передать на подряд</x:v>
      </x:c>
      <x:c r="K7" s="22" t="str">
        <x:v>Смежный игрок</x:v>
      </x:c>
    </x:row>
    <x:row r="8">
      <x:c r="A8" s="22" t="str">
        <x:v>Классификация уровней конкуренции</x:v>
      </x:c>
      <x:c r="B8" s="22" t="str">
        <x:v>Ключевые ресурсы</x:v>
      </x:c>
      <x:c r="C8" s="22"/>
      <x:c r="D8" s="22" t="str">
        <x:v>Гипотеза</x:v>
      </x:c>
      <x:c r="E8" s="22" t="str">
        <x:v>Автоматизированная услуга</x:v>
      </x:c>
      <x:c r="F8" s="22" t="str">
        <x:v>Сомнительное</x:v>
      </x:c>
      <x:c r="G8" s="22" t="str">
        <x:v>Фримиум</x:v>
      </x:c>
      <x:c r="H8" s="22" t="str">
        <x:v>Разработческие</x:v>
      </x:c>
      <x:c r="I8" s="22" t="str">
        <x:v>Удержание</x:v>
      </x:c>
      <x:c r="J8" s="22"/>
      <x:c r="K8" s="22" t="str">
        <x:v>Источник лучшей практики</x:v>
      </x:c>
    </x:row>
    <x:row r="9">
      <x:c r="A9" s="22" t="str">
        <x:v>Анализ ценностного предложения</x:v>
      </x:c>
      <x:c r="B9" s="22" t="str">
        <x:v>Ключевые виды деятельности</x:v>
      </x:c>
      <x:c r="C9" s="22"/>
      <x:c r="D9" s="22"/>
      <x:c r="E9" s="22" t="str">
        <x:v>Подписка на функциональность</x:v>
      </x:c>
      <x:c r="F9" s="22"/>
      <x:c r="G9" s="22" t="str">
        <x:v>Лицензия</x:v>
      </x:c>
      <x:c r="H9" s="22" t="str">
        <x:v>Операционные</x:v>
      </x:c>
      <x:c r="I9" s="22" t="str">
        <x:v>Поддержка</x:v>
      </x:c>
      <x:c r="J9" s="22"/>
      <x:c r="K9" s="22"/>
    </x:row>
    <x:row r="10">
      <x:c r="A10" s="22" t="str">
        <x:v>Анализ монетизации</x:v>
      </x:c>
      <x:c r="B10" s="22" t="str">
        <x:v>Ключевые партнеры</x:v>
      </x:c>
      <x:c r="C10" s="22"/>
      <x:c r="D10" s="22"/>
      <x:c r="E10" s="22" t="str">
        <x:v>Расширение или модуль</x:v>
      </x:c>
      <x:c r="F10" s="22"/>
      <x:c r="G10" s="22" t="str">
        <x:v>Платное сопровождение</x:v>
      </x:c>
      <x:c r="H10" s="22" t="str">
        <x:v>Партнерские</x:v>
      </x:c>
      <x:c r="I10" s="22" t="str">
        <x:v>Повторная покупка</x:v>
      </x:c>
      <x:c r="J10" s="22"/>
      <x:c r="K10" s="22"/>
    </x:row>
    <x:row r="11">
      <x:c r="A11" s="22" t="str">
        <x:v>Экспертная оценка</x:v>
      </x:c>
      <x:c r="B11" s="22" t="str">
        <x:v>Структура затрат</x:v>
      </x:c>
      <x:c r="C11" s="22"/>
      <x:c r="D11" s="22"/>
      <x:c r="E11" s="22"/>
      <x:c r="F11" s="22"/>
      <x:c r="G11" s="22" t="str">
        <x:v>Реклама</x:v>
      </x:c>
      <x:c r="H11" s="22"/>
      <x:c r="I11" s="22"/>
      <x:c r="J11" s="22"/>
      <x:c r="K11" s="22"/>
    </x:row>
    <x:row r="12">
      <x:c r="A12" s="22" t="str">
        <x:v>Финансовая гипотеза</x:v>
      </x:c>
      <x:c r="B12" s="22"/>
      <x:c r="C12" s="22"/>
      <x:c r="D12" s="22"/>
      <x:c r="E12" s="22"/>
      <x:c r="F12" s="22"/>
      <x:c r="G12" s="22" t="str">
        <x:v>Партнерская комиссия</x:v>
      </x:c>
      <x:c r="H12" s="22"/>
      <x:c r="I12" s="22"/>
      <x:c r="J12" s="22"/>
      <x:c r="K12" s="22"/>
    </x:row>
  </x:sheetData>
  <x:mergeCells>
    <x:mergeCell ref="A1:K1"/>
  </x:mergeCells>
  <x:pageMargins left="0.7" right="0.7" top="0.75" bottom="0.75" header="0.3" footer="0.3"/>
</x:worksheet>
</file>