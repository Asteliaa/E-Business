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6_ЦП_Канвас_сценарии_релизы\Excel\"/>
    </mc:Choice>
  </mc:AlternateContent>
  <xr:revisionPtr revIDLastSave="0" documentId="13_ncr:1_{B1B2B557-53A3-44EC-A22B-A6D949BE4B37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  <sheet name="Журнал_6_2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2" l="1"/>
  <c r="C20" i="12"/>
  <c r="B20" i="12"/>
  <c r="A20" i="12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B8" i="12"/>
  <c r="B6" i="12"/>
  <c r="B5" i="12"/>
  <c r="B4" i="12"/>
  <c r="E16" i="11"/>
  <c r="E15" i="1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E7" i="11"/>
  <c r="E6" i="11"/>
  <c r="B5" i="11"/>
  <c r="E5" i="11" s="1"/>
  <c r="E4" i="11"/>
  <c r="B3" i="11"/>
  <c r="E3" i="11" s="1"/>
  <c r="F14" i="10"/>
  <c r="F13" i="10"/>
  <c r="F12" i="10"/>
  <c r="F11" i="10"/>
  <c r="F10" i="10"/>
  <c r="F9" i="10"/>
  <c r="F8" i="10"/>
  <c r="F7" i="10"/>
  <c r="F6" i="10"/>
  <c r="B9" i="12" s="1"/>
  <c r="F5" i="10"/>
  <c r="F4" i="10"/>
  <c r="F3" i="10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M102" i="7"/>
  <c r="N102" i="7" s="1"/>
  <c r="M101" i="7"/>
  <c r="N101" i="7" s="1"/>
  <c r="M100" i="7"/>
  <c r="N100" i="7" s="1"/>
  <c r="M99" i="7"/>
  <c r="N99" i="7" s="1"/>
  <c r="M98" i="7"/>
  <c r="N98" i="7" s="1"/>
  <c r="M97" i="7"/>
  <c r="N97" i="7" s="1"/>
  <c r="M96" i="7"/>
  <c r="N96" i="7" s="1"/>
  <c r="M95" i="7"/>
  <c r="N95" i="7" s="1"/>
  <c r="M94" i="7"/>
  <c r="N94" i="7" s="1"/>
  <c r="M93" i="7"/>
  <c r="N93" i="7" s="1"/>
  <c r="M92" i="7"/>
  <c r="N92" i="7" s="1"/>
  <c r="M91" i="7"/>
  <c r="N91" i="7" s="1"/>
  <c r="M90" i="7"/>
  <c r="N90" i="7" s="1"/>
  <c r="M89" i="7"/>
  <c r="N89" i="7" s="1"/>
  <c r="M88" i="7"/>
  <c r="N88" i="7" s="1"/>
  <c r="M87" i="7"/>
  <c r="N87" i="7" s="1"/>
  <c r="M86" i="7"/>
  <c r="N86" i="7" s="1"/>
  <c r="N85" i="7"/>
  <c r="M85" i="7"/>
  <c r="M84" i="7"/>
  <c r="N84" i="7" s="1"/>
  <c r="M83" i="7"/>
  <c r="N83" i="7" s="1"/>
  <c r="M82" i="7"/>
  <c r="N82" i="7" s="1"/>
  <c r="M81" i="7"/>
  <c r="N81" i="7" s="1"/>
  <c r="M80" i="7"/>
  <c r="N80" i="7" s="1"/>
  <c r="M79" i="7"/>
  <c r="N79" i="7" s="1"/>
  <c r="M78" i="7"/>
  <c r="N78" i="7" s="1"/>
  <c r="N77" i="7"/>
  <c r="M77" i="7"/>
  <c r="M76" i="7"/>
  <c r="N76" i="7" s="1"/>
  <c r="M75" i="7"/>
  <c r="N75" i="7" s="1"/>
  <c r="N74" i="7"/>
  <c r="M74" i="7"/>
  <c r="M73" i="7"/>
  <c r="N73" i="7" s="1"/>
  <c r="M72" i="7"/>
  <c r="N72" i="7" s="1"/>
  <c r="M71" i="7"/>
  <c r="N71" i="7" s="1"/>
  <c r="M70" i="7"/>
  <c r="N70" i="7" s="1"/>
  <c r="M69" i="7"/>
  <c r="N69" i="7" s="1"/>
  <c r="N68" i="7"/>
  <c r="M68" i="7"/>
  <c r="M67" i="7"/>
  <c r="N67" i="7" s="1"/>
  <c r="N66" i="7"/>
  <c r="M66" i="7"/>
  <c r="M65" i="7"/>
  <c r="N65" i="7" s="1"/>
  <c r="M64" i="7"/>
  <c r="N64" i="7" s="1"/>
  <c r="M63" i="7"/>
  <c r="N63" i="7" s="1"/>
  <c r="M62" i="7"/>
  <c r="N62" i="7" s="1"/>
  <c r="N61" i="7"/>
  <c r="M61" i="7"/>
  <c r="M60" i="7"/>
  <c r="N60" i="7" s="1"/>
  <c r="M59" i="7"/>
  <c r="N59" i="7" s="1"/>
  <c r="M58" i="7"/>
  <c r="N58" i="7" s="1"/>
  <c r="M57" i="7"/>
  <c r="N57" i="7" s="1"/>
  <c r="M56" i="7"/>
  <c r="N56" i="7" s="1"/>
  <c r="M55" i="7"/>
  <c r="N55" i="7" s="1"/>
  <c r="M54" i="7"/>
  <c r="N54" i="7" s="1"/>
  <c r="M53" i="7"/>
  <c r="N53" i="7" s="1"/>
  <c r="N52" i="7"/>
  <c r="M52" i="7"/>
  <c r="M51" i="7"/>
  <c r="N51" i="7" s="1"/>
  <c r="N50" i="7"/>
  <c r="M50" i="7"/>
  <c r="M49" i="7"/>
  <c r="N49" i="7" s="1"/>
  <c r="M48" i="7"/>
  <c r="N48" i="7" s="1"/>
  <c r="M47" i="7"/>
  <c r="N47" i="7" s="1"/>
  <c r="M46" i="7"/>
  <c r="N46" i="7" s="1"/>
  <c r="M45" i="7"/>
  <c r="N45" i="7" s="1"/>
  <c r="N44" i="7"/>
  <c r="M44" i="7"/>
  <c r="M43" i="7"/>
  <c r="N43" i="7" s="1"/>
  <c r="M42" i="7"/>
  <c r="N42" i="7" s="1"/>
  <c r="M41" i="7"/>
  <c r="N41" i="7" s="1"/>
  <c r="M40" i="7"/>
  <c r="N40" i="7" s="1"/>
  <c r="M39" i="7"/>
  <c r="N39" i="7" s="1"/>
  <c r="M38" i="7"/>
  <c r="N38" i="7" s="1"/>
  <c r="M37" i="7"/>
  <c r="N37" i="7" s="1"/>
  <c r="M36" i="7"/>
  <c r="N36" i="7" s="1"/>
  <c r="M35" i="7"/>
  <c r="N35" i="7" s="1"/>
  <c r="M34" i="7"/>
  <c r="N34" i="7" s="1"/>
  <c r="M33" i="7"/>
  <c r="N33" i="7" s="1"/>
  <c r="M32" i="7"/>
  <c r="N32" i="7" s="1"/>
  <c r="M31" i="7"/>
  <c r="N31" i="7" s="1"/>
  <c r="M30" i="7"/>
  <c r="N30" i="7" s="1"/>
  <c r="M29" i="7"/>
  <c r="N29" i="7" s="1"/>
  <c r="M28" i="7"/>
  <c r="N28" i="7" s="1"/>
  <c r="M27" i="7"/>
  <c r="N27" i="7" s="1"/>
  <c r="M26" i="7"/>
  <c r="N26" i="7" s="1"/>
  <c r="M25" i="7"/>
  <c r="N25" i="7" s="1"/>
  <c r="M24" i="7"/>
  <c r="N24" i="7" s="1"/>
  <c r="M23" i="7"/>
  <c r="N23" i="7" s="1"/>
  <c r="M22" i="7"/>
  <c r="N22" i="7" s="1"/>
  <c r="N21" i="7"/>
  <c r="M21" i="7"/>
  <c r="M20" i="7"/>
  <c r="N20" i="7" s="1"/>
  <c r="M19" i="7"/>
  <c r="N19" i="7" s="1"/>
  <c r="M18" i="7"/>
  <c r="N18" i="7" s="1"/>
  <c r="M17" i="7"/>
  <c r="N17" i="7" s="1"/>
  <c r="M16" i="7"/>
  <c r="N16" i="7" s="1"/>
  <c r="M15" i="7"/>
  <c r="N15" i="7" s="1"/>
  <c r="M14" i="7"/>
  <c r="N14" i="7" s="1"/>
  <c r="M13" i="7"/>
  <c r="N13" i="7" s="1"/>
  <c r="N12" i="7"/>
  <c r="M12" i="7"/>
  <c r="M11" i="7"/>
  <c r="N11" i="7" s="1"/>
  <c r="N10" i="7"/>
  <c r="M10" i="7"/>
  <c r="M9" i="7"/>
  <c r="N9" i="7" s="1"/>
  <c r="M8" i="7"/>
  <c r="N8" i="7" s="1"/>
  <c r="M7" i="7"/>
  <c r="N7" i="7" s="1"/>
  <c r="M6" i="7"/>
  <c r="N6" i="7" s="1"/>
  <c r="M5" i="7"/>
  <c r="N5" i="7" s="1"/>
  <c r="M4" i="7"/>
  <c r="N4" i="7" s="1"/>
  <c r="M3" i="7"/>
  <c r="N3" i="7" s="1"/>
  <c r="J102" i="6"/>
  <c r="K102" i="6" s="1"/>
  <c r="J101" i="6"/>
  <c r="K101" i="6" s="1"/>
  <c r="J100" i="6"/>
  <c r="K100" i="6" s="1"/>
  <c r="J99" i="6"/>
  <c r="K99" i="6" s="1"/>
  <c r="J98" i="6"/>
  <c r="K98" i="6" s="1"/>
  <c r="K97" i="6"/>
  <c r="J97" i="6"/>
  <c r="J96" i="6"/>
  <c r="K96" i="6" s="1"/>
  <c r="J95" i="6"/>
  <c r="K95" i="6" s="1"/>
  <c r="J94" i="6"/>
  <c r="K94" i="6" s="1"/>
  <c r="J93" i="6"/>
  <c r="K93" i="6" s="1"/>
  <c r="J92" i="6"/>
  <c r="K92" i="6" s="1"/>
  <c r="J91" i="6"/>
  <c r="K91" i="6" s="1"/>
  <c r="J90" i="6"/>
  <c r="K90" i="6" s="1"/>
  <c r="J89" i="6"/>
  <c r="K89" i="6" s="1"/>
  <c r="K88" i="6"/>
  <c r="J88" i="6"/>
  <c r="J87" i="6"/>
  <c r="K87" i="6" s="1"/>
  <c r="K86" i="6"/>
  <c r="J86" i="6"/>
  <c r="J85" i="6"/>
  <c r="K85" i="6" s="1"/>
  <c r="J84" i="6"/>
  <c r="K84" i="6" s="1"/>
  <c r="J83" i="6"/>
  <c r="K83" i="6" s="1"/>
  <c r="J82" i="6"/>
  <c r="K82" i="6" s="1"/>
  <c r="K81" i="6"/>
  <c r="J81" i="6"/>
  <c r="J80" i="6"/>
  <c r="K80" i="6" s="1"/>
  <c r="J79" i="6"/>
  <c r="K79" i="6" s="1"/>
  <c r="J78" i="6"/>
  <c r="K78" i="6" s="1"/>
  <c r="J77" i="6"/>
  <c r="K77" i="6" s="1"/>
  <c r="J76" i="6"/>
  <c r="K76" i="6" s="1"/>
  <c r="J75" i="6"/>
  <c r="K75" i="6" s="1"/>
  <c r="J74" i="6"/>
  <c r="K74" i="6" s="1"/>
  <c r="K73" i="6"/>
  <c r="J73" i="6"/>
  <c r="K72" i="6"/>
  <c r="J72" i="6"/>
  <c r="J71" i="6"/>
  <c r="K71" i="6" s="1"/>
  <c r="K70" i="6"/>
  <c r="J70" i="6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K62" i="6"/>
  <c r="J62" i="6"/>
  <c r="J61" i="6"/>
  <c r="K61" i="6" s="1"/>
  <c r="J60" i="6"/>
  <c r="K60" i="6" s="1"/>
  <c r="J59" i="6"/>
  <c r="K59" i="6" s="1"/>
  <c r="J58" i="6"/>
  <c r="K58" i="6" s="1"/>
  <c r="J57" i="6"/>
  <c r="K57" i="6" s="1"/>
  <c r="K56" i="6"/>
  <c r="J56" i="6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K41" i="6"/>
  <c r="J41" i="6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K30" i="6"/>
  <c r="J30" i="6"/>
  <c r="J29" i="6"/>
  <c r="K29" i="6" s="1"/>
  <c r="J28" i="6"/>
  <c r="K28" i="6" s="1"/>
  <c r="J27" i="6"/>
  <c r="K27" i="6" s="1"/>
  <c r="J26" i="6"/>
  <c r="K26" i="6" s="1"/>
  <c r="K25" i="6"/>
  <c r="J25" i="6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K16" i="6"/>
  <c r="J16" i="6"/>
  <c r="J15" i="6"/>
  <c r="K15" i="6" s="1"/>
  <c r="K14" i="6"/>
  <c r="J14" i="6"/>
  <c r="J13" i="6"/>
  <c r="K13" i="6" s="1"/>
  <c r="J12" i="6"/>
  <c r="K12" i="6" s="1"/>
  <c r="J11" i="6"/>
  <c r="K11" i="6" s="1"/>
  <c r="J10" i="6"/>
  <c r="K10" i="6" s="1"/>
  <c r="K9" i="6"/>
  <c r="J9" i="6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P102" i="5"/>
  <c r="Q102" i="5" s="1"/>
  <c r="Q101" i="5"/>
  <c r="P101" i="5"/>
  <c r="P100" i="5"/>
  <c r="Q100" i="5" s="1"/>
  <c r="P99" i="5"/>
  <c r="Q99" i="5" s="1"/>
  <c r="P98" i="5"/>
  <c r="Q98" i="5" s="1"/>
  <c r="P97" i="5"/>
  <c r="Q97" i="5" s="1"/>
  <c r="P96" i="5"/>
  <c r="Q96" i="5" s="1"/>
  <c r="P95" i="5"/>
  <c r="Q95" i="5" s="1"/>
  <c r="P94" i="5"/>
  <c r="Q94" i="5" s="1"/>
  <c r="P93" i="5"/>
  <c r="Q93" i="5" s="1"/>
  <c r="Q92" i="5"/>
  <c r="P92" i="5"/>
  <c r="P91" i="5"/>
  <c r="Q91" i="5" s="1"/>
  <c r="Q90" i="5"/>
  <c r="P90" i="5"/>
  <c r="P89" i="5"/>
  <c r="Q89" i="5" s="1"/>
  <c r="P88" i="5"/>
  <c r="Q88" i="5" s="1"/>
  <c r="P87" i="5"/>
  <c r="Q87" i="5" s="1"/>
  <c r="P86" i="5"/>
  <c r="Q86" i="5" s="1"/>
  <c r="Q85" i="5"/>
  <c r="P85" i="5"/>
  <c r="P84" i="5"/>
  <c r="Q84" i="5" s="1"/>
  <c r="P83" i="5"/>
  <c r="Q83" i="5" s="1"/>
  <c r="P82" i="5"/>
  <c r="Q82" i="5" s="1"/>
  <c r="P81" i="5"/>
  <c r="Q81" i="5" s="1"/>
  <c r="P80" i="5"/>
  <c r="Q80" i="5" s="1"/>
  <c r="P79" i="5"/>
  <c r="Q79" i="5" s="1"/>
  <c r="P78" i="5"/>
  <c r="Q78" i="5" s="1"/>
  <c r="P77" i="5"/>
  <c r="Q77" i="5" s="1"/>
  <c r="Q76" i="5"/>
  <c r="P76" i="5"/>
  <c r="P75" i="5"/>
  <c r="Q75" i="5" s="1"/>
  <c r="Q74" i="5"/>
  <c r="P74" i="5"/>
  <c r="P73" i="5"/>
  <c r="Q73" i="5" s="1"/>
  <c r="P72" i="5"/>
  <c r="Q72" i="5" s="1"/>
  <c r="P71" i="5"/>
  <c r="Q71" i="5" s="1"/>
  <c r="P70" i="5"/>
  <c r="Q70" i="5" s="1"/>
  <c r="P69" i="5"/>
  <c r="Q69" i="5" s="1"/>
  <c r="Q68" i="5"/>
  <c r="P68" i="5"/>
  <c r="P67" i="5"/>
  <c r="Q67" i="5" s="1"/>
  <c r="P66" i="5"/>
  <c r="Q66" i="5" s="1"/>
  <c r="P65" i="5"/>
  <c r="Q65" i="5" s="1"/>
  <c r="P64" i="5"/>
  <c r="Q64" i="5" s="1"/>
  <c r="P63" i="5"/>
  <c r="Q63" i="5" s="1"/>
  <c r="P62" i="5"/>
  <c r="Q62" i="5" s="1"/>
  <c r="P61" i="5"/>
  <c r="Q61" i="5" s="1"/>
  <c r="P60" i="5"/>
  <c r="Q60" i="5" s="1"/>
  <c r="P59" i="5"/>
  <c r="Q59" i="5" s="1"/>
  <c r="P58" i="5"/>
  <c r="Q58" i="5" s="1"/>
  <c r="P57" i="5"/>
  <c r="Q57" i="5" s="1"/>
  <c r="P56" i="5"/>
  <c r="Q56" i="5" s="1"/>
  <c r="P55" i="5"/>
  <c r="Q55" i="5" s="1"/>
  <c r="P54" i="5"/>
  <c r="Q54" i="5" s="1"/>
  <c r="P53" i="5"/>
  <c r="Q53" i="5" s="1"/>
  <c r="P52" i="5"/>
  <c r="Q52" i="5" s="1"/>
  <c r="P51" i="5"/>
  <c r="Q51" i="5" s="1"/>
  <c r="P50" i="5"/>
  <c r="Q50" i="5" s="1"/>
  <c r="P49" i="5"/>
  <c r="Q49" i="5" s="1"/>
  <c r="P48" i="5"/>
  <c r="Q48" i="5" s="1"/>
  <c r="P47" i="5"/>
  <c r="Q47" i="5" s="1"/>
  <c r="P46" i="5"/>
  <c r="Q46" i="5" s="1"/>
  <c r="Q45" i="5"/>
  <c r="P45" i="5"/>
  <c r="P44" i="5"/>
  <c r="Q44" i="5" s="1"/>
  <c r="P43" i="5"/>
  <c r="Q43" i="5" s="1"/>
  <c r="P42" i="5"/>
  <c r="Q42" i="5" s="1"/>
  <c r="P41" i="5"/>
  <c r="Q41" i="5" s="1"/>
  <c r="P40" i="5"/>
  <c r="Q40" i="5" s="1"/>
  <c r="P39" i="5"/>
  <c r="Q39" i="5" s="1"/>
  <c r="P38" i="5"/>
  <c r="Q38" i="5" s="1"/>
  <c r="P37" i="5"/>
  <c r="Q37" i="5" s="1"/>
  <c r="Q36" i="5"/>
  <c r="P36" i="5"/>
  <c r="P35" i="5"/>
  <c r="Q35" i="5" s="1"/>
  <c r="Q34" i="5"/>
  <c r="P34" i="5"/>
  <c r="P33" i="5"/>
  <c r="Q33" i="5" s="1"/>
  <c r="P32" i="5"/>
  <c r="Q32" i="5" s="1"/>
  <c r="P31" i="5"/>
  <c r="Q31" i="5" s="1"/>
  <c r="P30" i="5"/>
  <c r="Q30" i="5" s="1"/>
  <c r="Q29" i="5"/>
  <c r="P29" i="5"/>
  <c r="P28" i="5"/>
  <c r="Q28" i="5" s="1"/>
  <c r="P27" i="5"/>
  <c r="Q27" i="5" s="1"/>
  <c r="P26" i="5"/>
  <c r="Q26" i="5" s="1"/>
  <c r="P25" i="5"/>
  <c r="Q25" i="5" s="1"/>
  <c r="P24" i="5"/>
  <c r="Q24" i="5" s="1"/>
  <c r="P23" i="5"/>
  <c r="Q23" i="5" s="1"/>
  <c r="P22" i="5"/>
  <c r="Q22" i="5" s="1"/>
  <c r="Q21" i="5"/>
  <c r="P21" i="5"/>
  <c r="Q20" i="5"/>
  <c r="P20" i="5"/>
  <c r="P19" i="5"/>
  <c r="Q19" i="5" s="1"/>
  <c r="Q18" i="5"/>
  <c r="P18" i="5"/>
  <c r="P17" i="5"/>
  <c r="Q17" i="5" s="1"/>
  <c r="P16" i="5"/>
  <c r="Q16" i="5" s="1"/>
  <c r="P15" i="5"/>
  <c r="Q15" i="5" s="1"/>
  <c r="P14" i="5"/>
  <c r="Q14" i="5" s="1"/>
  <c r="P13" i="5"/>
  <c r="Q13" i="5" s="1"/>
  <c r="P12" i="5"/>
  <c r="Q12" i="5" s="1"/>
  <c r="P11" i="5"/>
  <c r="Q11" i="5" s="1"/>
  <c r="Q10" i="5"/>
  <c r="P10" i="5"/>
  <c r="P9" i="5"/>
  <c r="Q9" i="5" s="1"/>
  <c r="P8" i="5"/>
  <c r="Q8" i="5" s="1"/>
  <c r="P7" i="5"/>
  <c r="Q7" i="5" s="1"/>
  <c r="P6" i="5"/>
  <c r="Q6" i="5" s="1"/>
  <c r="P5" i="5"/>
  <c r="Q5" i="5" s="1"/>
  <c r="Q4" i="5"/>
  <c r="P4" i="5"/>
  <c r="P3" i="5"/>
  <c r="Q3" i="5" s="1"/>
  <c r="J102" i="4"/>
  <c r="K102" i="4" s="1"/>
  <c r="J101" i="4"/>
  <c r="K101" i="4" s="1"/>
  <c r="J100" i="4"/>
  <c r="K100" i="4" s="1"/>
  <c r="J99" i="4"/>
  <c r="K99" i="4" s="1"/>
  <c r="J98" i="4"/>
  <c r="K98" i="4" s="1"/>
  <c r="J97" i="4"/>
  <c r="K97" i="4" s="1"/>
  <c r="K96" i="4"/>
  <c r="J96" i="4"/>
  <c r="J95" i="4"/>
  <c r="K95" i="4" s="1"/>
  <c r="J94" i="4"/>
  <c r="K94" i="4" s="1"/>
  <c r="J93" i="4"/>
  <c r="K93" i="4" s="1"/>
  <c r="J92" i="4"/>
  <c r="K92" i="4" s="1"/>
  <c r="J91" i="4"/>
  <c r="K91" i="4" s="1"/>
  <c r="J90" i="4"/>
  <c r="K90" i="4" s="1"/>
  <c r="K89" i="4"/>
  <c r="J89" i="4"/>
  <c r="J88" i="4"/>
  <c r="K88" i="4" s="1"/>
  <c r="J87" i="4"/>
  <c r="K87" i="4" s="1"/>
  <c r="J86" i="4"/>
  <c r="K86" i="4" s="1"/>
  <c r="J85" i="4"/>
  <c r="K85" i="4" s="1"/>
  <c r="J84" i="4"/>
  <c r="K84" i="4" s="1"/>
  <c r="J83" i="4"/>
  <c r="K83" i="4" s="1"/>
  <c r="J82" i="4"/>
  <c r="K82" i="4" s="1"/>
  <c r="J81" i="4"/>
  <c r="K81" i="4" s="1"/>
  <c r="J80" i="4"/>
  <c r="K80" i="4" s="1"/>
  <c r="J79" i="4"/>
  <c r="K79" i="4" s="1"/>
  <c r="K78" i="4"/>
  <c r="J78" i="4"/>
  <c r="J77" i="4"/>
  <c r="K77" i="4" s="1"/>
  <c r="J76" i="4"/>
  <c r="K76" i="4" s="1"/>
  <c r="J75" i="4"/>
  <c r="K75" i="4" s="1"/>
  <c r="J74" i="4"/>
  <c r="K74" i="4" s="1"/>
  <c r="K73" i="4"/>
  <c r="J73" i="4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66" i="4"/>
  <c r="K66" i="4" s="1"/>
  <c r="J65" i="4"/>
  <c r="K65" i="4" s="1"/>
  <c r="K64" i="4"/>
  <c r="J64" i="4"/>
  <c r="J63" i="4"/>
  <c r="K63" i="4" s="1"/>
  <c r="K62" i="4"/>
  <c r="J62" i="4"/>
  <c r="J61" i="4"/>
  <c r="K61" i="4" s="1"/>
  <c r="J60" i="4"/>
  <c r="K60" i="4" s="1"/>
  <c r="J59" i="4"/>
  <c r="K59" i="4" s="1"/>
  <c r="J58" i="4"/>
  <c r="K58" i="4" s="1"/>
  <c r="K57" i="4"/>
  <c r="J57" i="4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K49" i="4"/>
  <c r="J49" i="4"/>
  <c r="K48" i="4"/>
  <c r="J48" i="4"/>
  <c r="J47" i="4"/>
  <c r="K47" i="4" s="1"/>
  <c r="K46" i="4"/>
  <c r="J46" i="4"/>
  <c r="J45" i="4"/>
  <c r="K45" i="4" s="1"/>
  <c r="J44" i="4"/>
  <c r="K44" i="4" s="1"/>
  <c r="J43" i="4"/>
  <c r="K43" i="4" s="1"/>
  <c r="J42" i="4"/>
  <c r="K42" i="4" s="1"/>
  <c r="J41" i="4"/>
  <c r="K41" i="4" s="1"/>
  <c r="K40" i="4"/>
  <c r="J40" i="4"/>
  <c r="J39" i="4"/>
  <c r="K39" i="4" s="1"/>
  <c r="K38" i="4"/>
  <c r="J38" i="4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K17" i="4"/>
  <c r="J17" i="4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K8" i="4"/>
  <c r="J8" i="4"/>
  <c r="J7" i="4"/>
  <c r="K7" i="4" s="1"/>
  <c r="K6" i="4"/>
  <c r="J6" i="4"/>
  <c r="J5" i="4"/>
  <c r="K5" i="4" s="1"/>
  <c r="J4" i="4"/>
  <c r="K4" i="4" s="1"/>
  <c r="J3" i="4"/>
  <c r="K3" i="4" s="1"/>
  <c r="J11" i="3"/>
  <c r="E20" i="12" s="1"/>
  <c r="J10" i="3"/>
  <c r="E19" i="12" s="1"/>
  <c r="J9" i="3"/>
  <c r="E18" i="12" s="1"/>
  <c r="J8" i="3"/>
  <c r="E17" i="12" s="1"/>
  <c r="J7" i="3"/>
  <c r="E16" i="12" s="1"/>
  <c r="J6" i="3"/>
  <c r="E15" i="12" s="1"/>
  <c r="J5" i="3"/>
  <c r="E14" i="12" s="1"/>
  <c r="J4" i="3"/>
  <c r="E13" i="12" s="1"/>
  <c r="J3" i="3"/>
  <c r="E12" i="12" s="1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C26" i="12" l="1"/>
  <c r="B7" i="12"/>
  <c r="C24" i="12" s="1"/>
  <c r="C25" i="12" l="1"/>
  <c r="C27" i="12" s="1"/>
</calcChain>
</file>

<file path=xl/sharedStrings.xml><?xml version="1.0" encoding="utf-8"?>
<sst xmlns="http://schemas.openxmlformats.org/spreadsheetml/2006/main" count="838" uniqueCount="610">
  <si>
    <t>Методика сборки бизнес-модели по Канвас: рабочий Excel-шаблон</t>
  </si>
  <si>
    <t>Назначение файла</t>
  </si>
  <si>
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автоматически.</t>
  </si>
  <si>
    <t>Этап</t>
  </si>
  <si>
    <t>Что заполнить</t>
  </si>
  <si>
    <t>Где заполнять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</si>
  <si>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</si>
  <si>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</si>
  <si>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</si>
  <si>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</si>
  <si>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</si>
  <si>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</si>
  <si>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Заполнить 9 блоков Канвас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</si>
  <si>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</si>
  <si>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</si>
  <si>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</si>
  <si>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</si>
  <si>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</si>
  <si>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Связка «клиент — проблема — ценность — цифровой товар»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</si>
  <si>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</si>
  <si>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</si>
  <si>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</si>
  <si>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</si>
  <si>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</si>
  <si>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</si>
  <si>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</si>
  <si>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</si>
  <si>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</si>
  <si>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</si>
  <si>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</si>
  <si>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</si>
  <si>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</si>
  <si>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</si>
  <si>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</si>
  <si>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</si>
  <si>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</si>
  <si>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</si>
  <si>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</si>
  <si>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</si>
  <si>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</si>
  <si>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</si>
  <si>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</si>
  <si>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</si>
  <si>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</si>
  <si>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</si>
  <si>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</si>
  <si>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</si>
  <si>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</si>
  <si>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</si>
  <si>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</si>
  <si>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</si>
  <si>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Шаблон Канвас: вопросы, источники ответов и рабочие формулировки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</si>
  <si>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</si>
  <si>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</si>
  <si>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</si>
  <si>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</si>
  <si>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</si>
  <si>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</si>
  <si>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Что проверить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</si>
  <si>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</si>
  <si>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</si>
  <si>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</si>
  <si>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</si>
  <si>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</si>
  <si>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</si>
  <si>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</si>
  <si>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</si>
  <si>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</si>
  <si>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</si>
  <si>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</si>
  <si>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</si>
  <si>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</si>
  <si>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</si>
  <si>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</si>
  <si>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</si>
  <si>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</si>
  <si>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</si>
  <si>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</si>
  <si>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</si>
  <si>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</si>
  <si>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</si>
  <si>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</si>
  <si>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</si>
  <si>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</si>
  <si>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</si>
  <si>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</si>
  <si>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</si>
  <si>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</si>
  <si>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</si>
  <si>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</si>
  <si>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</si>
  <si>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</si>
  <si>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</si>
  <si>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</si>
  <si>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</si>
  <si>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</si>
  <si>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</si>
  <si>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</si>
  <si>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</si>
  <si>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</si>
  <si>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</si>
  <si>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</si>
  <si>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</si>
  <si>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</si>
  <si>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</si>
  <si>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</si>
  <si>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</si>
  <si>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</si>
  <si>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</si>
  <si>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</si>
  <si>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</si>
  <si>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</si>
  <si>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</si>
  <si>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</si>
  <si>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</si>
  <si>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</si>
  <si>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</si>
  <si>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</si>
  <si>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</si>
  <si>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</si>
  <si>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</si>
  <si>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</si>
  <si>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</si>
  <si>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</si>
  <si>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</si>
  <si>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</si>
  <si>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</si>
  <si>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</si>
  <si>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</si>
  <si>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</si>
  <si>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</si>
  <si>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</si>
  <si>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</si>
  <si>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</si>
  <si>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</si>
  <si>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</si>
  <si>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</si>
  <si>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</si>
  <si>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</si>
  <si>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</si>
  <si>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</si>
  <si>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</si>
  <si>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</si>
  <si>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</si>
  <si>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</si>
  <si>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</si>
  <si>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</si>
  <si>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</si>
  <si>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</si>
  <si>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</si>
  <si>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</si>
  <si>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</si>
  <si>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</si>
  <si>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</si>
  <si>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</si>
  <si>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</si>
  <si>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</si>
  <si>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</si>
  <si>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</si>
  <si>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</si>
  <si>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</si>
  <si>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</si>
  <si>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</si>
  <si>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</si>
  <si>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</si>
  <si>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</si>
  <si>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</si>
  <si>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</si>
  <si>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</si>
  <si>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</si>
  <si>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</si>
  <si>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</si>
  <si>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</si>
  <si>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</si>
  <si>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</si>
  <si>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</si>
  <si>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</si>
  <si>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</si>
  <si>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</si>
  <si>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</si>
  <si>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</si>
  <si>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</si>
  <si>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</si>
  <si>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</si>
  <si>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</si>
  <si>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</si>
  <si>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</si>
  <si>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</si>
  <si>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</si>
  <si>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</si>
  <si>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</si>
  <si>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</si>
  <si>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</si>
  <si>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</si>
  <si>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</si>
  <si>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</si>
  <si>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</si>
  <si>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</si>
  <si>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</si>
  <si>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</si>
  <si>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</si>
  <si>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</si>
  <si>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</si>
  <si>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</si>
  <si>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</si>
  <si>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</si>
  <si>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</si>
  <si>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</si>
  <si>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</si>
  <si>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</si>
  <si>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</si>
  <si>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</si>
  <si>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</si>
  <si>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</si>
  <si>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</si>
  <si>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</si>
  <si>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</si>
  <si>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</si>
  <si>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</si>
  <si>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</si>
  <si>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</si>
  <si>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</si>
  <si>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</si>
  <si>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</si>
  <si>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</si>
  <si>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</si>
  <si>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</si>
  <si>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</si>
  <si>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</si>
  <si>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</si>
  <si>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</si>
  <si>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</si>
  <si>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</si>
  <si>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</si>
  <si>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</si>
  <si>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</si>
  <si>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</si>
  <si>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</si>
  <si>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</si>
  <si>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</si>
  <si>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</si>
  <si>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</si>
  <si>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Не заполнено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</si>
  <si>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</si>
  <si>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</si>
  <si>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</si>
  <si>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</si>
  <si>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</si>
  <si>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</si>
  <si>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</si>
  <si>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</si>
  <si>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Проверить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</si>
  <si>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</si>
  <si>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</si>
  <si>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</si>
  <si>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</si>
  <si>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</si>
  <si>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</si>
  <si>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</si>
  <si>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</si>
  <si>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</si>
  <si>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</si>
  <si>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</si>
  <si>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</si>
  <si>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</si>
  <si>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</si>
  <si>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</si>
  <si>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</si>
  <si>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</si>
  <si>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Требует доработки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</si>
  <si>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</si>
  <si>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</si>
  <si>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</si>
  <si>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</si>
  <si>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</si>
  <si>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</si>
  <si>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</si>
  <si>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</si>
  <si>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</si>
  <si>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</si>
  <si>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</si>
  <si>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</si>
  <si>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</si>
  <si>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</si>
  <si>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</si>
  <si>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</si>
  <si>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</si>
  <si>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</si>
  <si>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</si>
  <si>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</si>
  <si>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</si>
  <si>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</si>
  <si>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</si>
  <si>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</si>
  <si>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</si>
  <si>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</si>
  <si>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</si>
  <si>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</si>
  <si>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</si>
  <si>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</si>
  <si>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</si>
  <si>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</si>
  <si>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</si>
  <si>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</si>
  <si>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</si>
  <si>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</si>
  <si>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</si>
  <si>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</si>
  <si>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Тарифы</t>
  </si>
  <si>
    <t>Mermaid Chart</t>
  </si>
  <si>
    <t>https://mermaid.ai/pricing/</t>
  </si>
  <si>
    <t>Basic Free (до 6 диаграмм, 15 ИИ-кредитов), Plus 10 USD, Premium 20 USD за пользователя в месяц, Enterprise</t>
  </si>
  <si>
    <t>Тариф за пользователя; Free ограничен лимитами</t>
  </si>
  <si>
    <t>Данные ЛР1-ЛР5, снимок 30.09-01.10.2026</t>
  </si>
  <si>
    <t>Lucidchart</t>
  </si>
  <si>
    <t>https://lucid.app/pricing/lucidchart</t>
  </si>
  <si>
    <t>Free: 3 документа, 75 фигур; Individual 9 USD, Team 10 USD; пробный период 7 дней</t>
  </si>
  <si>
    <t>Free ограничен числом документов; платная подписка от 9 USD в месяц</t>
  </si>
  <si>
    <t>Eraser</t>
  </si>
  <si>
    <t>https://www.eraser.io/pricing</t>
  </si>
  <si>
    <t>Free 0 USD (3 ИИ-диаграммы), Starter 15 USD, Business 45 USD; лимиты ИИ по тарифам</t>
  </si>
  <si>
    <t>Лимиты ИИ используются как тарифный ограничитель</t>
  </si>
  <si>
    <t>Whimsical</t>
  </si>
  <si>
    <t>https://whimsical.com/pricing</t>
  </si>
  <si>
    <t>Free: 50 объектов в месяц, водяной знак; Pro 10 USD, Business 20 USD за редактора</t>
  </si>
  <si>
    <t>Free ограничен объёмом и водяным знаком</t>
  </si>
  <si>
    <t>Storm</t>
  </si>
  <si>
    <t>https://stormbpmn.com/pricing</t>
  </si>
  <si>
    <t>Бесплатный Персональный тариф, Команда 1 200 руб., Бизнес 4 720 руб., on-prem от 990 тыс. руб. в год</t>
  </si>
  <si>
    <t>На русском языке с рублёвыми тарифами найден только Storm</t>
  </si>
  <si>
    <t>Главная страница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</si>
  <si>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</si>
  <si>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</si>
  <si>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</si>
  <si>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доступ - стандарт рынка</t>
  </si>
  <si>
    <t>ЛР5, лист 03_Левитт</t>
  </si>
  <si>
    <t>8 конкурентов</t>
  </si>
  <si>
    <t>ЛР5_Анализ_конкурентов/Excel/analiz_konkurentov_Levitt_Kano_NotaCode.xlsx</t>
  </si>
  <si>
    <t>Бесплатный доступ и экспорт - у 8 из 8; UML - у 4 из 8; ERD - у 6 из 8; документация - у 6 из 8</t>
  </si>
  <si>
    <t>Минимальная конфигурация товара: Free, экспорт, UML, ERD, документация</t>
  </si>
  <si>
    <t>ЛР5, лист 04_Кано</t>
  </si>
  <si>
    <t>IDEF0, DFD и сети Петри на сайтах 8 конкурентов не найдены; UML, BPMN и ERD вместе - только у Lucidchart</t>
  </si>
  <si>
    <t>Зона отличия: полный набор нотаций проекта</t>
  </si>
  <si>
    <t>ЛР5, лист 10_Стандарт</t>
  </si>
  <si>
    <t>ЛР5_Анализ_конкурентов/Excel/analiz_biznes_modeli_konkurentov_NotaCode.xlsx</t>
  </si>
  <si>
    <t>Условно-бесплатная модель у 5 из 8, бесплатный открытый код у 3 из 8</t>
  </si>
  <si>
    <t>Модель freemium соответствует рынку</t>
  </si>
  <si>
    <t>Независимые отзывы у 7 из 8, раздел безопасности и документация у 6 из 8</t>
  </si>
  <si>
    <t>Доверие строится отзывами, документацией и разделом безопасности</t>
  </si>
  <si>
    <t>Интеграции у 8 из 8, API у 5 из 8, открытый код у 3 из 8</t>
  </si>
  <si>
    <t>Партнёрские интеграции и API - часть товара</t>
  </si>
  <si>
    <t>Каналы Similarweb Pro</t>
  </si>
  <si>
    <t>PlantUML</t>
  </si>
  <si>
    <t>https://pro.similarweb.com</t>
  </si>
  <si>
    <t>Органический поиск 47,25 %, прямые заходы 38,11 % (июнь - август 2026)</t>
  </si>
  <si>
    <t>Основной канал привлечения текстовых инструментов - поиск</t>
  </si>
  <si>
    <t>Mermaid</t>
  </si>
  <si>
    <t>Органический поиск 58,56 %, прямые заходы 22,18 %</t>
  </si>
  <si>
    <t>Поиск и документация приводят основной трафик</t>
  </si>
  <si>
    <t>Trustpilot</t>
  </si>
  <si>
    <t>https://www.trustpilot.com</t>
  </si>
  <si>
    <t>Оценка 1,5 при 116 отзывах; G2 4,5 при 8 988 отзывах (ЛР4)</t>
  </si>
  <si>
    <t>Платные универсальные редакторы вызывают неудовлетворённость части клиентов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</si>
  <si>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</si>
  <si>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</si>
  <si>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</si>
  <si>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</t>
  </si>
  <si>
    <t>Совместная работа и экспорт - ожидаемый минимум</t>
  </si>
  <si>
    <t>18 из 27 готовы платить; средняя максимальная цена 728 руб. (период не указан)</t>
  </si>
  <si>
    <t>Часть студентов готова платить; данные сгенерированы</t>
  </si>
  <si>
    <t>ЛР5, лист части A</t>
  </si>
  <si>
    <t>22 компании</t>
  </si>
  <si>
    <t>ЛР5_Анализ_конкурентов/Excel/klassifikaciya_urovni_konkurencii_NotaCode.xlsx</t>
  </si>
  <si>
    <t>Один прямой конкурент (PlantUML), четыре близких, девять косвенных</t>
  </si>
  <si>
    <t>Основной контур - текстовые инструменты; универсальные редакторы - косвенные</t>
  </si>
  <si>
    <t>Методика 6.1</t>
  </si>
  <si>
    <t>NotaCode</t>
  </si>
  <si>
    <t>Excel/6_1_cennostnoe_predlozhenie_NotaCode.xlsx</t>
  </si>
  <si>
    <t>Опорная проблема P-002 с индексом 74 из 100; ИКЦП 3,83</t>
  </si>
  <si>
    <t>ЦП требует уточнения на реальных клиентах</t>
  </si>
  <si>
    <t>ЛР2-3, ЛР4</t>
  </si>
  <si>
    <t>ЛР4_Пять_сил_Портера/ОТЧЕТ.md</t>
  </si>
  <si>
    <t>SAM по клиентской базе 197 988 BYN (около 65 375 USD), около 1 634 платящих пользователей</t>
  </si>
  <si>
    <t>Расчётная годовая выручка Pro около 65 360 USD при цене 40 USD</t>
  </si>
  <si>
    <t>ЛР1</t>
  </si>
  <si>
    <t>Студенты</t>
  </si>
  <si>
    <t>ЛР1_Спрос_и_границы_рынка/ОТЧЕТ.md</t>
  </si>
  <si>
    <t>229,0 тыс. студентов учреждений высшего образования Беларуси (2025/26); индекс интереса Вордстата в Минске 194,99</t>
  </si>
  <si>
    <t>Сегмент студентов достаточен для Free и канала через вузы</t>
  </si>
  <si>
    <t>Ресурсы</t>
  </si>
  <si>
    <t>нет ссылки (экспертная оценка)</t>
  </si>
  <si>
    <t>Движок нотаций, ИИ-ассистент, PWA - собственные ресурсы проекта</t>
  </si>
  <si>
    <t>Ключевой ресурс - собственный движок нотаций</t>
  </si>
  <si>
    <t>Партнёры</t>
  </si>
  <si>
    <t>Вузы как канал, платёжный провайдер, ИИ-провайдер, облако</t>
  </si>
  <si>
    <t>Договоры не заключены</t>
  </si>
  <si>
    <t>Затраты</t>
  </si>
  <si>
    <t>У Eraser и Mermaid Chart лимиты ИИ по тарифам</t>
  </si>
  <si>
    <t>ИИ-вызовы - переменная статья затрат</t>
  </si>
  <si>
    <t>Деятельность</t>
  </si>
  <si>
    <t>Разработка и поддержка движка нотаций, документация, продвижение</t>
  </si>
  <si>
    <t>Деятельность определена по ресурсам и каналам</t>
  </si>
  <si>
    <t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экспорту.</t>
  </si>
  <si>
    <t>229,0 тыс. студентов (ЛР1); 8 из 8 конкурентов дают бесплатный доступ; опрос 27 студентов</t>
  </si>
  <si>
    <t>Интервью с аналитиками ПО; доля готовых платить</t>
  </si>
  <si>
    <t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пользователя.</t>
  </si>
  <si>
    <t>ЛР5: IDEF0, DFD, сети Петри не найдены у 8 конкурентов; полный набор UML, BPMN, ERD только у Lucidchart; индекс проблемы 74</t>
  </si>
  <si>
    <t>Проверка спроса на нотации IDEF0, DFD; тест понятности ЦП</t>
  </si>
  <si>
    <t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разработчиков.</t>
  </si>
  <si>
    <t>Органический поиск 47,25 % (PlantUML) и 58,56 % (Mermaid) трафика; открытая страница тарифов у 5 из 8</t>
  </si>
  <si>
    <t>Тест посадочной страницы; стоимость привлечения</t>
  </si>
  <si>
    <t>Самообслуживание: бесплатный уровень, документация, примеры; сообщество на этапах использования и удержания.</t>
  </si>
  <si>
    <t>Документация у 6 из 8 конкурентов, отзывы у 7 из 8</t>
  </si>
  <si>
    <t>Нагрузка на поддержку; потребность в обучающих материалах</t>
  </si>
  <si>
    <t>Основной поток: подписка Pro 40 USD в год (48 USD при цене 4 USD в месяц, 4 x 12) за пользователя; Free без оплаты; тарифный ограничитель - функции и лимиты.</t>
  </si>
  <si>
    <t>Условно-бесплатная модель у 5 из 8; тарифы 9-20 USD в месяц; SAM около 65 375 USD; опрос: 18 из 27 готовы платить; KPI проекта: конверсия Free в Pro 3 %, ARPPU 4 USD</t>
  </si>
  <si>
    <t>Проверка цены Pro и границы Free на реальных клиентах</t>
  </si>
  <si>
    <t>Ключевой ресурс: собственный движок нотаций и ИИ-ассистент в PWA, нужен для создания и поставки ценности; подтверждение - состав продукта (ЛР4, 6.1).</t>
  </si>
  <si>
    <t>Документация NotaCode: один разработчик с ИИ-ассистентом, около 610 ч; ресурсы конкурентов: сообщество и бренд</t>
  </si>
  <si>
    <t>Оценка трудозатрат движка по нотациям</t>
  </si>
  <si>
    <t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нотаций.</t>
  </si>
  <si>
    <t>Практика конкурентов: документация, обновления, интеграции</t>
  </si>
  <si>
    <t>План развития и объём поддержки</t>
  </si>
  <si>
    <t>Партнёры: вузы (доступ к студентам), платёжный провайдер, ИИ-провайдер, облачная инфраструктура; причины - доступ, скорость, интеграция.</t>
  </si>
  <si>
    <t>Интеграции у 8 из 8 конкурентов; API у 5 из 8</t>
  </si>
  <si>
    <t>Договорённости с вузами и провайдерами</t>
  </si>
  <si>
    <t>Ключевые затраты: разработка (постоянные), облачная инфраструктура (полупеременные), ИИ-вызовы (переменные), поддержка и продвижение.</t>
  </si>
  <si>
    <t>Лимиты ИИ в тарифах Eraser и Mermaid Chart; ЛР4 (поставщики); концепция NotaCode: бюджет инфраструктуры MVP 0, бесплатные тарифы хостинга</t>
  </si>
  <si>
    <t>Расчёт экономики на пользователя</t>
  </si>
  <si>
    <t>S-001</t>
  </si>
  <si>
    <t>Студенты технических специальностей</t>
  </si>
  <si>
    <t>Построить диаграмму к проекту или учебной работе</t>
  </si>
  <si>
    <t>Нет единого бесплатного инструмента для всех нотаций; сложность текстовых языков</t>
  </si>
  <si>
    <t>229,0 тыс. студентов (ЛР1); опрос 27 студентов; 8 из 8 конкурентов дают бесплатный доступ</t>
  </si>
  <si>
    <t>S-002</t>
  </si>
  <si>
    <t>Аналитики и разработчики ПО</t>
  </si>
  <si>
    <t>Описать и согласовать модель процессов и данных</t>
  </si>
  <si>
    <t>Платные редакторы тарифицируются за пользователя от 9 USD в месяц; IDEF0 и DFD не поддерживаются</t>
  </si>
  <si>
    <t>Тарифы Lucidchart, Mermaid Chart, Eraser; ЛР5</t>
  </si>
  <si>
    <t>V-001</t>
  </si>
  <si>
    <t>P-002 / S-001</t>
  </si>
  <si>
    <t>Нет единого инструмента для всех нотаций проекта</t>
  </si>
  <si>
    <t>Несколько инструментов: draw.io, PlantUML, Lucidchart; IDEF0 и DFD не поддерживаются</t>
  </si>
  <si>
    <t>Диаграмма в любой нотации проекта из текста в одном бесплатном инструменте</t>
  </si>
  <si>
    <t>Для студентов и аналитиков ПО NotaCode даёт диаграмму в любой нотации проекта из текста в одном инструменте без установки</t>
  </si>
  <si>
    <t>NotaCode - веб-IDE (PWA)</t>
  </si>
  <si>
    <t>Построение диаграмм из текстового описания</t>
  </si>
  <si>
    <t>Редактор для UML, BPMN 2.0, ERD, IDEF0, DFD, сетей Петри; Free и Pro</t>
  </si>
  <si>
    <t>ИИ-ассистент, экспорт, документация, потенциально API и интеграции</t>
  </si>
  <si>
    <t>Привлекательное</t>
  </si>
  <si>
    <t>V-002</t>
  </si>
  <si>
    <t>P-001 / S-001</t>
  </si>
  <si>
    <t>Освоение текстовых языков (PlantUML, Mermaid) отнимает время</t>
  </si>
  <si>
    <t>Документация и ИИ-генерация (Mermaid Chart, Eraser)</t>
  </si>
  <si>
    <t>Получить корректную диаграмму без изучения всего синтаксиса</t>
  </si>
  <si>
    <t>Для студентов NotaCode снижает порог входа в диаграммы как код за счёт редактора и ИИ-ассистента</t>
  </si>
  <si>
    <t>Текст и визуализация в одном окне</t>
  </si>
  <si>
    <t>Редактор с ИИ-ассистентом и примерами</t>
  </si>
  <si>
    <t>Шаблоны и подсказки (🔲 подтвердить составом MVP)</t>
  </si>
  <si>
    <t>CH-001</t>
  </si>
  <si>
    <t>Студенты и аналитики</t>
  </si>
  <si>
    <t>Поиск Google и Яндекс</t>
  </si>
  <si>
    <t>Привлечение</t>
  </si>
  <si>
    <t>Органический поиск 47-59 % трафика у текстовых инструментов</t>
  </si>
  <si>
    <t>CH-002</t>
  </si>
  <si>
    <t>Сайт с открытой ценой и документацией</t>
  </si>
  <si>
    <t>Страница тарифов у 5 из 8, документация у 6 из 8</t>
  </si>
  <si>
    <t>CH-003</t>
  </si>
  <si>
    <t>Регистрация в бесплатном уровне</t>
  </si>
  <si>
    <t>Активация</t>
  </si>
  <si>
    <t>Регистрация или Free-тариф у 8 из 8</t>
  </si>
  <si>
    <t>CH-004</t>
  </si>
  <si>
    <t>Документация и примеры в продукте</t>
  </si>
  <si>
    <t>Документация у 6 из 8</t>
  </si>
  <si>
    <t>CH-005</t>
  </si>
  <si>
    <t>Вузы и преподаватели</t>
  </si>
  <si>
    <t>Канал через вузы (ЛР1, ЛР4); договорённостей нет</t>
  </si>
  <si>
    <t>MO-001</t>
  </si>
  <si>
    <t>Пользователь Pro (подписка на год)</t>
  </si>
  <si>
    <t>Оплата годовой подписки</t>
  </si>
  <si>
    <t>Число активных платящих пользователей</t>
  </si>
  <si>
    <t>40 USD в год (48 USD при 4 x 12); ниже тарифов конкурентов от 9 USD в месяц</t>
  </si>
  <si>
    <t>Mermaid Chart, Lucidchart, Eraser, Whimsical: подписка за пользователя</t>
  </si>
  <si>
    <t>Расширенные возможности и снятие лимитов Free</t>
  </si>
  <si>
    <t>MO-002</t>
  </si>
  <si>
    <t>Бесплатный пользователь (Free)</t>
  </si>
  <si>
    <t>Регистрация</t>
  </si>
  <si>
    <t>Число зарегистрированных</t>
  </si>
  <si>
    <t>0 USD; ограничения по функциям</t>
  </si>
  <si>
    <t>Free или бесплатный открытый код у 8 из 8</t>
  </si>
  <si>
    <t>Вход в продукт и аудитория</t>
  </si>
  <si>
    <t>MO-003</t>
  </si>
  <si>
    <t>Лимит ИИ-вызовов</t>
  </si>
  <si>
    <t>Исчерпание лимита</t>
  </si>
  <si>
    <t>Число ИИ-диаграмм в месяц</t>
  </si>
  <si>
    <t>Лимиты по тарифам (гипотеза по Eraser и Mermaid Chart)</t>
  </si>
  <si>
    <t>Eraser: 3, 40, 250 ИИ-диаграмм; Mermaid Chart: 15, 300, 2000 кредитов</t>
  </si>
  <si>
    <t>Контроль переменных затрат ИИ</t>
  </si>
  <si>
    <t>MO-004</t>
  </si>
  <si>
    <t>Организация (корпоративный тариф)</t>
  </si>
  <si>
    <t>Договор</t>
  </si>
  <si>
    <t>Число мест</t>
  </si>
  <si>
    <t>По запросу (отложено)</t>
  </si>
  <si>
    <t>Enterprise у 4 из 8 конкурентов</t>
  </si>
  <si>
    <t>Командное использование</t>
  </si>
  <si>
    <t>OP-001</t>
  </si>
  <si>
    <t>Движок нотаций и ИИ-ассистент</t>
  </si>
  <si>
    <t>Разбор текста и построение диаграмм UML, BPMN, ERD, IDEF0, DFD, сетей Петри</t>
  </si>
  <si>
    <t>Создаёт и поставляет ценность</t>
  </si>
  <si>
    <t>Описание проекта (ЛР4)</t>
  </si>
  <si>
    <t>OP-002</t>
  </si>
  <si>
    <t>PWA, домен, репозиторий</t>
  </si>
  <si>
    <t>Доставка продукта в браузере</t>
  </si>
  <si>
    <t>Доступ без установки</t>
  </si>
  <si>
    <t>OP-003</t>
  </si>
  <si>
    <t>Разработка и поддержка нотаций</t>
  </si>
  <si>
    <t>Развитие поддержки нотаций, исправление ошибок</t>
  </si>
  <si>
    <t>Качество диаграмм</t>
  </si>
  <si>
    <t>Практика конкурентов</t>
  </si>
  <si>
    <t>OP-004</t>
  </si>
  <si>
    <t>Документация и примеры</t>
  </si>
  <si>
    <t>Обучение пользователей</t>
  </si>
  <si>
    <t>Снижает порог входа</t>
  </si>
  <si>
    <t>Документация у 6 из 8 конкурентов</t>
  </si>
  <si>
    <t>OP-005</t>
  </si>
  <si>
    <t>Продвижение</t>
  </si>
  <si>
    <t>Поиск, сайт, вузы</t>
  </si>
  <si>
    <t>Осведомлённость</t>
  </si>
  <si>
    <t>Similarweb: поиск 47-59 %</t>
  </si>
  <si>
    <t>OP-006</t>
  </si>
  <si>
    <t>Вузы</t>
  </si>
  <si>
    <t>Доступ к студентам</t>
  </si>
  <si>
    <t>Канал привлечения</t>
  </si>
  <si>
    <t>ЛР1, ЛР4</t>
  </si>
  <si>
    <t>OP-007</t>
  </si>
  <si>
    <t>Платёжный провайдер</t>
  </si>
  <si>
    <t>Приём платежей Pro</t>
  </si>
  <si>
    <t>Монетизация</t>
  </si>
  <si>
    <t>Практика подписок</t>
  </si>
  <si>
    <t>OP-008</t>
  </si>
  <si>
    <t>ИИ-провайдер и облако</t>
  </si>
  <si>
    <t>ИИ-ассистент и хостинг</t>
  </si>
  <si>
    <t>Скорость запуска</t>
  </si>
  <si>
    <t>Лимиты ИИ у Eraser, Mermaid Chart</t>
  </si>
  <si>
    <t>CO-001</t>
  </si>
  <si>
    <t>Движок нотаций</t>
  </si>
  <si>
    <t>Число нотаций и функций</t>
  </si>
  <si>
    <t>Разработка</t>
  </si>
  <si>
    <t>Практика проектов; оценка</t>
  </si>
  <si>
    <t>CO-002</t>
  </si>
  <si>
    <t>Облачная инфраструктура</t>
  </si>
  <si>
    <t>PWA, домен</t>
  </si>
  <si>
    <t>Число пользователей</t>
  </si>
  <si>
    <t>Запуск</t>
  </si>
  <si>
    <t>Практика SaaS</t>
  </si>
  <si>
    <t>CO-003</t>
  </si>
  <si>
    <t>ИИ-вызовы</t>
  </si>
  <si>
    <t>ИИ-ассистент</t>
  </si>
  <si>
    <t>Число ИИ-запросов</t>
  </si>
  <si>
    <t>Рост</t>
  </si>
  <si>
    <t>CO-004</t>
  </si>
  <si>
    <t>Поддержка и документация</t>
  </si>
  <si>
    <t>Документация</t>
  </si>
  <si>
    <t>CO-005</t>
  </si>
  <si>
    <t>Поиск, вузы</t>
  </si>
  <si>
    <t>Стоимость привлечения</t>
  </si>
  <si>
    <t>Similarweb (поиск)</t>
  </si>
  <si>
    <t>Сегмент студентов: 229,0 тыс.; сила боли подтверждена опросом и ЛР5</t>
  </si>
  <si>
    <t>Интервью с аналитиками</t>
  </si>
  <si>
    <t>ЦП связана с проблемой P-002 (индекс 74)</t>
  </si>
  <si>
    <t>Проверить формулировку на клиентах</t>
  </si>
  <si>
    <t>Товар описан (6.1, PR-001): состав, нотации, условия Free и Pro</t>
  </si>
  <si>
    <t>Уточнить формат экспорта</t>
  </si>
  <si>
    <t>Единица - пользователь, годовая подписка Pro</t>
  </si>
  <si>
    <t>Проверить цену</t>
  </si>
  <si>
    <t>Поиск и сайт соответствуют сегменту (Similarweb)</t>
  </si>
  <si>
    <t>Проверить вузовский канал</t>
  </si>
  <si>
    <t>Самообслуживание подходит для простого товара</t>
  </si>
  <si>
    <t>Оценить нагрузку поддержки</t>
  </si>
  <si>
    <t>Ресурсы описаны как гипотезы</t>
  </si>
  <si>
    <t>Подтвердить ресурс движка</t>
  </si>
  <si>
    <t>Процессы выведены из ресурсов и каналов</t>
  </si>
  <si>
    <t>Подтвердить план развития</t>
  </si>
  <si>
    <t>Партнёры не подтверждены договорами</t>
  </si>
  <si>
    <t>Заключить или найти партнёров</t>
  </si>
  <si>
    <t>Затраты описаны качественно</t>
  </si>
  <si>
    <t>Рассчитать экономику</t>
  </si>
  <si>
    <t>Отличие: IDEF0, DFD, сети Петри у конкурентов не найдены</t>
  </si>
  <si>
    <t>Проверить значимость для клиентов</t>
  </si>
  <si>
    <t>Противоречий между блоками не выявлено, блоки 8-11 - гипотезы</t>
  </si>
  <si>
    <t>Повторить проверку после интервью</t>
  </si>
  <si>
    <t>Студенты и аналитики ПО не имеют единого инструмента для всех нотаций проекта (UML, BPMN, ERD, IDEF0, DFD, сети Петри): IDEF0, DFD и сети Петри не найдены у 8 конкурентов, UML, BPMN и ERD вместе - только у Lucidchart (ЛР5); индекс проблемы 74.</t>
  </si>
  <si>
    <t>Веб-платформа: редактор диаграмм «как код» для UML, BPMN 2.0, ERD, IDEF0, DFD и сетей Петри с ИИ-ассистентом, экспортом и документацией; уровни Free и Pro.</t>
  </si>
  <si>
    <t>Клиент платит за пользователя Pro (подписка на год); Free без оплаты; лимиты ИИ - гипотеза ограничителя.</t>
  </si>
  <si>
    <t>Полный набор нотаций проекта, включая IDEF0, DFD и сети Петри, в одном бесплатном инструменте (у 8 конкурентов не найден).</t>
  </si>
  <si>
    <t>Цена Pro 40 USD в год приемлема для аналитиков, а Free достаточен для привлечения студентов; проверить опросом и интервью.</t>
  </si>
  <si>
    <t>Журнал рабочей копии: источники, правила, ограничения</t>
  </si>
  <si>
    <t>Раздел</t>
  </si>
  <si>
    <t>Код</t>
  </si>
  <si>
    <t>Содержание</t>
  </si>
  <si>
    <t>Источники</t>
  </si>
  <si>
    <t>И-1</t>
  </si>
  <si>
    <t>Банк выводов из 24 записей: ЛР1-ЛР5 и методика 6.1; страницы конкурентов просмотрены 01.10.2026.</t>
  </si>
  <si>
    <t>П-1</t>
  </si>
  <si>
    <t>Блоки 8-11 (ресурсы, деятельность, партнёры, затраты) основаны на экспертных гипотезах и косвенных признаках, доказательность 2; в статусе «Гипотеза».</t>
  </si>
  <si>
    <t>П-2</t>
  </si>
  <si>
    <t>Оценки 1-5 экспертные. Статусы и индексы - формулы шаблона.</t>
  </si>
  <si>
    <t>Ограничения</t>
  </si>
  <si>
    <t>О-1</t>
  </si>
  <si>
    <t>Спрос не проверен на реальных клиентах; продукт до MVP; опрос студентов сгенерирован. 🔲 ДОСНЯТЬ: интервью, тест посадочной страницы, расчёт экономики на пользователя, договорённости с вузами и провайдерами.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</si>
</sst>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2355B"/>
      <name val="Carlito"/>
    </font>
    <font>
      <i/>
      <sz val="11"/>
      <color rgb="FF4B5563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3" fillId="8" borderId="0" xfId="1" applyFont="1" applyFill="1" applyAlignment="1">
      <alignment horizontal="center" wrapText="1"/>
    </xf>
    <xf numFmtId="9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wrapText="1"/>
    </xf>
    <xf numFmtId="0" fontId="6" fillId="0" borderId="0" xfId="0" applyFont="1"/>
    <xf numFmtId="0" fontId="8" fillId="0" borderId="0" xfId="0" applyFont="1"/>
    <xf numFmtId="0" fontId="7" fillId="9" borderId="1" xfId="0" applyFont="1" applyFill="1" applyBorder="1"/>
    <xf numFmtId="0" fontId="6" fillId="0" borderId="1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'11_Дашборд'!$B$12:$B$20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5-43E7-A1A1-F463D343B60D}"/>
            </c:ext>
          </c:extLst>
        </c:ser>
        <c:ser>
          <c:idx val="1"/>
          <c:order val="1"/>
          <c:tx>
            <c:v>Полнота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'11_Дашборд'!$C$12:$C$20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5-43E7-A1A1-F463D343B60D}"/>
            </c:ext>
          </c:extLst>
        </c:ser>
        <c:ser>
          <c:idx val="2"/>
          <c:order val="2"/>
          <c:tx>
            <c:v>Риск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'11_Дашборд'!$D$12:$D$20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5-43E7-A1A1-F463D343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202">
  <tableColumns count="14">
    <tableColumn id="1" xr3:uid="{00000000-0010-0000-0000-000001000000}" name="ID"/>
    <tableColumn id="2" xr3:uid="{00000000-0010-0000-0000-000002000000}" name="Источник анализа"/>
    <tableColumn id="3" xr3:uid="{00000000-0010-0000-0000-000003000000}" name="Объект анализа"/>
    <tableColumn id="4" xr3:uid="{00000000-0010-0000-0000-000004000000}" name="Компания / товар"/>
    <tableColumn id="5" xr3:uid="{00000000-0010-0000-0000-000005000000}" name="Ссылка или место фиксации"/>
    <tableColumn id="6" xr3:uid="{00000000-0010-0000-0000-000006000000}" name="Факт / наблюдение"/>
    <tableColumn id="7" xr3:uid="{00000000-0010-0000-0000-000007000000}" name="Вывод для бизнес-модели"/>
    <tableColumn id="8" xr3:uid="{00000000-0010-0000-0000-000008000000}" name="Блок Канвас"/>
    <tableColumn id="9" xr3:uid="{00000000-0010-0000-0000-000009000000}" name="Достоверность 1-5"/>
    <tableColumn id="10" xr3:uid="{00000000-0010-0000-0000-00000A000000}" name="Актуальность 1-5"/>
    <tableColumn id="11" xr3:uid="{00000000-0010-0000-0000-00000B000000}" name="Приоритет 1-5"/>
    <tableColumn id="12" xr3:uid="{00000000-0010-0000-0000-00000C000000}" name="Индекс доказательности"/>
    <tableColumn id="13" xr3:uid="{00000000-0010-0000-0000-00000D000000}" name="Статус использования"/>
    <tableColumn id="14" xr3:uid="{00000000-0010-0000-0000-00000E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 dataDxfId="14">
  <tableColumns count="10">
    <tableColumn id="1" xr3:uid="{00000000-0010-0000-0100-000001000000}" name="Блок Канвас" dataDxfId="24"/>
    <tableColumn id="2" xr3:uid="{00000000-0010-0000-0100-000002000000}" name="Ключевые вопросы" dataDxfId="23"/>
    <tableColumn id="3" xr3:uid="{00000000-0010-0000-0100-000003000000}" name="Источники ответов из анализа" dataDxfId="22"/>
    <tableColumn id="4" xr3:uid="{00000000-0010-0000-0100-000004000000}" name="Рабочая формулировка" dataDxfId="21"/>
    <tableColumn id="5" xr3:uid="{00000000-0010-0000-0100-000005000000}" name="Доказательства" dataDxfId="20"/>
    <tableColumn id="6" xr3:uid="{00000000-0010-0000-0100-000006000000}" name="Достоверность 1-5" dataDxfId="19"/>
    <tableColumn id="7" xr3:uid="{00000000-0010-0000-0100-000007000000}" name="Полнота 1-5" dataDxfId="18"/>
    <tableColumn id="8" xr3:uid="{00000000-0010-0000-0100-000008000000}" name="Риск ошибки 1-5" dataDxfId="17"/>
    <tableColumn id="9" xr3:uid="{00000000-0010-0000-0100-000009000000}" name="Что проверить" dataDxfId="16"/>
    <tableColumn id="10" xr3:uid="{00000000-0010-0000-0100-00000A000000}" name="Итоговый статус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102">
  <tableColumns count="11">
    <tableColumn id="1" xr3:uid="{00000000-0010-0000-0200-000001000000}" name="ID сегмента"/>
    <tableColumn id="2" xr3:uid="{00000000-0010-0000-0200-000002000000}" name="Сегмент"/>
    <tableColumn id="3" xr3:uid="{00000000-0010-0000-0200-000003000000}" name="Задача клиента"/>
    <tableColumn id="4" xr3:uid="{00000000-0010-0000-0200-000004000000}" name="Ключевая проблема"/>
    <tableColumn id="5" xr3:uid="{00000000-0010-0000-0200-000005000000}" name="Доказательства"/>
    <tableColumn id="6" xr3:uid="{00000000-0010-0000-0200-000006000000}" name="Сила боли 1-5"/>
    <tableColumn id="7" xr3:uid="{00000000-0010-0000-0200-000007000000}" name="Рыночный сигнал 1-5"/>
    <tableColumn id="8" xr3:uid="{00000000-0010-0000-0200-000008000000}" name="Платежеспособность 1-5"/>
    <tableColumn id="9" xr3:uid="{00000000-0010-0000-0200-000009000000}" name="Доступность канала 1-5"/>
    <tableColumn id="10" xr3:uid="{00000000-0010-0000-0200-00000A000000}" name="Индекс приоритета"/>
    <tableColumn id="11" xr3:uid="{00000000-0010-0000-0200-00000B000000}" name="Стату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102">
  <tableColumns count="17">
    <tableColumn id="1" xr3:uid="{00000000-0010-0000-0300-000001000000}" name="ID"/>
    <tableColumn id="2" xr3:uid="{00000000-0010-0000-0300-000002000000}" name="ID проблемы / сегмента"/>
    <tableColumn id="3" xr3:uid="{00000000-0010-0000-0300-000003000000}" name="Формулировка проблемы"/>
    <tableColumn id="4" xr3:uid="{00000000-0010-0000-0300-000004000000}" name="Текущая альтернатива клиента"/>
    <tableColumn id="5" xr3:uid="{00000000-0010-0000-0300-000005000000}" name="Желаемый результат"/>
    <tableColumn id="6" xr3:uid="{00000000-0010-0000-0300-000006000000}" name="Формулировка ценностного предложения"/>
    <tableColumn id="7" xr3:uid="{00000000-0010-0000-0300-000007000000}" name="Цифровой товар"/>
    <tableColumn id="8" xr3:uid="{00000000-0010-0000-0300-000008000000}" name="Тип цифрового товара"/>
    <tableColumn id="9" xr3:uid="{00000000-0010-0000-0300-000009000000}" name="Ядро товара"/>
    <tableColumn id="10" xr3:uid="{00000000-0010-0000-0300-00000A000000}" name="Реальный товар"/>
    <tableColumn id="11" xr3:uid="{00000000-0010-0000-0300-00000B000000}" name="Расширенный товар"/>
    <tableColumn id="12" xr3:uid="{00000000-0010-0000-0300-00000C000000}" name="Класс требования по Кано"/>
    <tableColumn id="13" xr3:uid="{00000000-0010-0000-0300-00000D000000}" name="Дифференциация 1-5"/>
    <tableColumn id="14" xr3:uid="{00000000-0010-0000-0300-00000E000000}" name="Доказательность 1-5"/>
    <tableColumn id="15" xr3:uid="{00000000-0010-0000-0300-00000F000000}" name="Связь с монетизацией 1-5"/>
    <tableColumn id="16" xr3:uid="{00000000-0010-0000-0300-000010000000}" name="Индекс готовности"/>
    <tableColumn id="17" xr3:uid="{00000000-0010-0000-0300-000011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102">
  <tableColumns count="11">
    <tableColumn id="1" xr3:uid="{00000000-0010-0000-0400-000001000000}" name="ID"/>
    <tableColumn id="2" xr3:uid="{00000000-0010-0000-0400-000002000000}" name="Этап канала"/>
    <tableColumn id="3" xr3:uid="{00000000-0010-0000-0400-000003000000}" name="Сегмент"/>
    <tableColumn id="4" xr3:uid="{00000000-0010-0000-0400-000004000000}" name="Канал / точка контакта"/>
    <tableColumn id="5" xr3:uid="{00000000-0010-0000-0400-000005000000}" name="Роль в воронке"/>
    <tableColumn id="6" xr3:uid="{00000000-0010-0000-0400-000006000000}" name="Конкурентный стандарт"/>
    <tableColumn id="7" xr3:uid="{00000000-0010-0000-0400-000007000000}" name="Пригодность 1-5"/>
    <tableColumn id="8" xr3:uid="{00000000-0010-0000-0400-000008000000}" name="Затратность/риск 1-5"/>
    <tableColumn id="9" xr3:uid="{00000000-0010-0000-0400-000009000000}" name="Доказательность 1-5"/>
    <tableColumn id="10" xr3:uid="{00000000-0010-0000-0400-00000A000000}" name="Индекс приоритета"/>
    <tableColumn id="11" xr3:uid="{00000000-0010-0000-0400-00000B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102">
  <tableColumns count="14">
    <tableColumn id="1" xr3:uid="{00000000-0010-0000-0500-000001000000}" name="ID"/>
    <tableColumn id="2" xr3:uid="{00000000-0010-0000-0500-000002000000}" name="Единица монетизации"/>
    <tableColumn id="3" xr3:uid="{00000000-0010-0000-0500-000003000000}" name="Событие оплаты"/>
    <tableColumn id="4" xr3:uid="{00000000-0010-0000-0500-000004000000}" name="Метрика учета"/>
    <tableColumn id="5" xr3:uid="{00000000-0010-0000-0500-000005000000}" name="Логика цены"/>
    <tableColumn id="6" xr3:uid="{00000000-0010-0000-0500-000006000000}" name="Тип потока доходов"/>
    <tableColumn id="7" xr3:uid="{00000000-0010-0000-0500-000007000000}" name="Сигналы конкурентов"/>
    <tableColumn id="8" xr3:uid="{00000000-0010-0000-0500-000008000000}" name="Связь с ценностью"/>
    <tableColumn id="9" xr3:uid="{00000000-0010-0000-0500-000009000000}" name="Готовность платить 1-5"/>
    <tableColumn id="10" xr3:uid="{00000000-0010-0000-0500-00000A000000}" name="Измеримость 1-5"/>
    <tableColumn id="11" xr3:uid="{00000000-0010-0000-0500-00000B000000}" name="Повторяемость дохода 1-5"/>
    <tableColumn id="12" xr3:uid="{00000000-0010-0000-0500-00000C000000}" name="Доказательность 1-5"/>
    <tableColumn id="13" xr3:uid="{00000000-0010-0000-0500-00000D000000}" name="Индекс монетизации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22">
  <tableColumns count="11">
    <tableColumn id="1" xr3:uid="{00000000-0010-0000-0600-000001000000}" name="ID"/>
    <tableColumn id="2" xr3:uid="{00000000-0010-0000-0600-000002000000}" name="Блок"/>
    <tableColumn id="3" xr3:uid="{00000000-0010-0000-0600-000003000000}" name="Элемент"/>
    <tableColumn id="4" xr3:uid="{00000000-0010-0000-0600-000004000000}" name="Описание"/>
    <tableColumn id="5" xr3:uid="{00000000-0010-0000-0600-000005000000}" name="Как поддерживает ценность / товар"/>
    <tableColumn id="6" xr3:uid="{00000000-0010-0000-0600-000006000000}" name="Источник"/>
    <tableColumn id="7" xr3:uid="{00000000-0010-0000-0600-000007000000}" name="Критичность 1-5"/>
    <tableColumn id="8" xr3:uid="{00000000-0010-0000-0600-000008000000}" name="Доступность 1-5"/>
    <tableColumn id="9" xr3:uid="{00000000-0010-0000-0600-000009000000}" name="Затратное влияние 1-5"/>
    <tableColumn id="10" xr3:uid="{00000000-0010-0000-0600-00000A000000}" name="Подход к обеспечению"/>
    <tableColumn id="11" xr3:uid="{00000000-0010-0000-0600-00000B000000}" name="Операционный приоритет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102">
  <tableColumns count="11">
    <tableColumn id="1" xr3:uid="{00000000-0010-0000-0700-000001000000}" name="ID"/>
    <tableColumn id="2" xr3:uid="{00000000-0010-0000-0700-000002000000}" name="Статья затрат"/>
    <tableColumn id="3" xr3:uid="{00000000-0010-0000-0700-000003000000}" name="Связанный ресурс / деятельность"/>
    <tableColumn id="4" xr3:uid="{00000000-0010-0000-0700-000004000000}" name="Тип затрат"/>
    <tableColumn id="5" xr3:uid="{00000000-0010-0000-0700-000005000000}" name="Драйвер затрат"/>
    <tableColumn id="6" xr3:uid="{00000000-0010-0000-0700-000006000000}" name="Этап развития"/>
    <tableColumn id="7" xr3:uid="{00000000-0010-0000-0700-000007000000}" name="Доказательство / основание"/>
    <tableColumn id="8" xr3:uid="{00000000-0010-0000-0700-000008000000}" name="Влияние на экономику 1-5"/>
    <tableColumn id="9" xr3:uid="{00000000-0010-0000-0700-000009000000}" name="Уверенность 1-5"/>
    <tableColumn id="10" xr3:uid="{00000000-0010-0000-0700-00000A000000}" name="Управляемость 1-5"/>
    <tableColumn id="11" xr3:uid="{00000000-0010-0000-0700-00000B000000}" name="Приоритет контроля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 dataDxfId="6">
  <tableColumns count="7">
    <tableColumn id="1" xr3:uid="{00000000-0010-0000-0800-000001000000}" name="№" dataDxfId="13"/>
    <tableColumn id="2" xr3:uid="{00000000-0010-0000-0800-000002000000}" name="Контрольный вопрос" dataDxfId="12"/>
    <tableColumn id="3" xr3:uid="{00000000-0010-0000-0800-000003000000}" name="Где искать ответ" dataDxfId="11"/>
    <tableColumn id="4" xr3:uid="{00000000-0010-0000-0800-000004000000}" name="Доказательство / ссылка на вывод" dataDxfId="10"/>
    <tableColumn id="5" xr3:uid="{00000000-0010-0000-0800-000005000000}" name="Оценка 1-5" dataDxfId="9"/>
    <tableColumn id="6" xr3:uid="{00000000-0010-0000-0800-000006000000}" name="Результат" dataDxfId="8"/>
    <tableColumn id="7" xr3:uid="{00000000-0010-0000-0800-000007000000}" name="Что доработать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 dataDxfId="0">
  <tableColumns count="5">
    <tableColumn id="1" xr3:uid="{00000000-0010-0000-0900-000001000000}" name="Раздел паспорта" dataDxfId="5"/>
    <tableColumn id="2" xr3:uid="{00000000-0010-0000-0900-000002000000}" name="Итоговая формулировка" dataDxfId="4"/>
    <tableColumn id="3" xr3:uid="{00000000-0010-0000-0900-000003000000}" name="Основной источник" dataDxfId="3"/>
    <tableColumn id="4" xr3:uid="{00000000-0010-0000-0900-000004000000}" name="Контрольный вопрос" dataDxfId="2"/>
    <tableColumn id="5" xr3:uid="{00000000-0010-0000-0900-000005000000}" name="Стату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defaultRowHeight="13.5"/>
  <cols>
    <col min="1" max="1" width="10" customWidth="1"/>
    <col min="2" max="5" width="30" customWidth="1"/>
  </cols>
  <sheetData>
    <row r="1" spans="1:8" ht="16.05" customHeight="1">
      <c r="A1" s="9" t="s">
        <v>0</v>
      </c>
      <c r="B1" s="9"/>
      <c r="C1" s="9"/>
      <c r="D1" s="9"/>
      <c r="E1" s="9"/>
      <c r="F1" s="9"/>
      <c r="G1" s="9"/>
      <c r="H1" s="9"/>
    </row>
    <row r="3" spans="1:8" ht="13.9">
      <c r="A3" s="10" t="s">
        <v>1</v>
      </c>
      <c r="B3" s="10"/>
      <c r="C3" s="10"/>
      <c r="D3" s="10"/>
      <c r="E3" s="10"/>
      <c r="F3" s="10"/>
      <c r="G3" s="10"/>
      <c r="H3" s="10"/>
    </row>
    <row r="4" spans="1:8">
      <c r="A4" s="11" t="s">
        <v>2</v>
      </c>
      <c r="B4" s="11"/>
      <c r="C4" s="11"/>
      <c r="D4" s="11"/>
      <c r="E4" s="11"/>
      <c r="F4" s="11"/>
      <c r="G4" s="11"/>
      <c r="H4" s="11"/>
    </row>
    <row r="5" spans="1:8">
      <c r="A5" s="11"/>
      <c r="B5" s="11"/>
      <c r="C5" s="11"/>
      <c r="D5" s="11"/>
      <c r="E5" s="11"/>
      <c r="F5" s="11"/>
      <c r="G5" s="11"/>
      <c r="H5" s="11"/>
    </row>
    <row r="7" spans="1:8" ht="16.05" customHeight="1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8" ht="40.5">
      <c r="A8" s="2">
        <v>1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8" ht="40.5">
      <c r="A9" s="2">
        <v>2</v>
      </c>
      <c r="B9" s="2" t="s">
        <v>12</v>
      </c>
      <c r="C9" s="2" t="s">
        <v>13</v>
      </c>
      <c r="D9" s="2" t="s">
        <v>14</v>
      </c>
      <c r="E9" s="2" t="s">
        <v>15</v>
      </c>
    </row>
    <row r="10" spans="1:8" ht="27">
      <c r="A10" s="2">
        <v>3</v>
      </c>
      <c r="B10" s="2" t="s">
        <v>16</v>
      </c>
      <c r="C10" s="2" t="s">
        <v>17</v>
      </c>
      <c r="D10" s="2" t="s">
        <v>18</v>
      </c>
      <c r="E10" s="2" t="s">
        <v>19</v>
      </c>
    </row>
    <row r="11" spans="1:8" ht="40.5">
      <c r="A11" s="2">
        <v>4</v>
      </c>
      <c r="B11" s="2" t="s">
        <v>20</v>
      </c>
      <c r="C11" s="2" t="s">
        <v>21</v>
      </c>
      <c r="D11" s="2" t="s">
        <v>22</v>
      </c>
      <c r="E11" s="2" t="s">
        <v>23</v>
      </c>
    </row>
    <row r="12" spans="1:8" ht="40.5">
      <c r="A12" s="2">
        <v>5</v>
      </c>
      <c r="B12" s="2" t="s">
        <v>24</v>
      </c>
      <c r="C12" s="2" t="s">
        <v>25</v>
      </c>
      <c r="D12" s="2" t="s">
        <v>26</v>
      </c>
      <c r="E12" s="2" t="s">
        <v>27</v>
      </c>
    </row>
    <row r="13" spans="1:8" ht="27">
      <c r="A13" s="2">
        <v>6</v>
      </c>
      <c r="B13" s="2" t="s">
        <v>28</v>
      </c>
      <c r="C13" s="2" t="s">
        <v>29</v>
      </c>
      <c r="D13" s="2" t="s">
        <v>30</v>
      </c>
      <c r="E13" s="2" t="s">
        <v>31</v>
      </c>
    </row>
    <row r="14" spans="1:8" ht="40.5">
      <c r="A14" s="2">
        <v>7</v>
      </c>
      <c r="B14" s="2" t="s">
        <v>32</v>
      </c>
      <c r="C14" s="2" t="s">
        <v>33</v>
      </c>
      <c r="D14" s="2" t="s">
        <v>34</v>
      </c>
      <c r="E14" s="2" t="s">
        <v>35</v>
      </c>
    </row>
  </sheetData>
  <mergeCells count="3">
    <mergeCell ref="A1:H1"/>
    <mergeCell ref="A3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2"/>
  <sheetViews>
    <sheetView workbookViewId="0"/>
  </sheetViews>
  <sheetFormatPr defaultRowHeight="13.5"/>
  <cols>
    <col min="1" max="1" width="7" customWidth="1"/>
    <col min="2" max="2" width="26" customWidth="1"/>
    <col min="3" max="4" width="24" customWidth="1"/>
    <col min="5" max="5" width="32" customWidth="1"/>
    <col min="6" max="7" width="38" customWidth="1"/>
    <col min="8" max="8" width="24" customWidth="1"/>
    <col min="9" max="11" width="16" customWidth="1"/>
    <col min="12" max="12" width="18" customWidth="1"/>
    <col min="13" max="13" width="22" customWidth="1"/>
    <col min="14" max="14" width="28" customWidth="1"/>
  </cols>
  <sheetData>
    <row r="1" spans="1:14" ht="16.05" customHeight="1">
      <c r="A1" s="9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6.05" customHeight="1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</row>
    <row r="3" spans="1:14" ht="40.5">
      <c r="A3" s="4">
        <v>1</v>
      </c>
      <c r="B3" s="5" t="s">
        <v>241</v>
      </c>
      <c r="C3" s="5" t="s">
        <v>308</v>
      </c>
      <c r="D3" s="5" t="s">
        <v>309</v>
      </c>
      <c r="E3" s="5" t="s">
        <v>310</v>
      </c>
      <c r="F3" s="5" t="s">
        <v>311</v>
      </c>
      <c r="G3" s="5" t="s">
        <v>312</v>
      </c>
      <c r="H3" s="5" t="s">
        <v>72</v>
      </c>
      <c r="I3" s="5">
        <v>5</v>
      </c>
      <c r="J3" s="5">
        <v>5</v>
      </c>
      <c r="K3" s="5">
        <v>5</v>
      </c>
      <c r="L3" s="6">
        <f t="shared" ref="L3:L34" si="0">IF(COUNTA(B3:K3)=0,"",ROUND(AVERAGE(I3:K3),2))</f>
        <v>5</v>
      </c>
      <c r="M3" s="5" t="s">
        <v>260</v>
      </c>
      <c r="N3" s="5" t="s">
        <v>313</v>
      </c>
    </row>
    <row r="4" spans="1:14" ht="40.5">
      <c r="A4" s="4">
        <v>2</v>
      </c>
      <c r="B4" s="5" t="s">
        <v>241</v>
      </c>
      <c r="C4" s="5" t="s">
        <v>308</v>
      </c>
      <c r="D4" s="5" t="s">
        <v>314</v>
      </c>
      <c r="E4" s="5" t="s">
        <v>315</v>
      </c>
      <c r="F4" s="5" t="s">
        <v>316</v>
      </c>
      <c r="G4" s="5" t="s">
        <v>317</v>
      </c>
      <c r="H4" s="5" t="s">
        <v>72</v>
      </c>
      <c r="I4" s="5">
        <v>5</v>
      </c>
      <c r="J4" s="5">
        <v>5</v>
      </c>
      <c r="K4" s="5">
        <v>5</v>
      </c>
      <c r="L4" s="6">
        <f t="shared" si="0"/>
        <v>5</v>
      </c>
      <c r="M4" s="5" t="s">
        <v>260</v>
      </c>
      <c r="N4" s="5" t="s">
        <v>313</v>
      </c>
    </row>
    <row r="5" spans="1:14" ht="40.5">
      <c r="A5" s="4">
        <v>3</v>
      </c>
      <c r="B5" s="5" t="s">
        <v>241</v>
      </c>
      <c r="C5" s="5" t="s">
        <v>308</v>
      </c>
      <c r="D5" s="5" t="s">
        <v>318</v>
      </c>
      <c r="E5" s="5" t="s">
        <v>319</v>
      </c>
      <c r="F5" s="5" t="s">
        <v>320</v>
      </c>
      <c r="G5" s="5" t="s">
        <v>321</v>
      </c>
      <c r="H5" s="5" t="s">
        <v>72</v>
      </c>
      <c r="I5" s="5">
        <v>5</v>
      </c>
      <c r="J5" s="5">
        <v>5</v>
      </c>
      <c r="K5" s="5">
        <v>4</v>
      </c>
      <c r="L5" s="6">
        <f t="shared" si="0"/>
        <v>4.67</v>
      </c>
      <c r="M5" s="5" t="s">
        <v>260</v>
      </c>
      <c r="N5" s="5" t="s">
        <v>313</v>
      </c>
    </row>
    <row r="6" spans="1:14" ht="27">
      <c r="A6" s="4">
        <v>4</v>
      </c>
      <c r="B6" s="5" t="s">
        <v>241</v>
      </c>
      <c r="C6" s="5" t="s">
        <v>308</v>
      </c>
      <c r="D6" s="5" t="s">
        <v>322</v>
      </c>
      <c r="E6" s="5" t="s">
        <v>323</v>
      </c>
      <c r="F6" s="5" t="s">
        <v>324</v>
      </c>
      <c r="G6" s="5" t="s">
        <v>325</v>
      </c>
      <c r="H6" s="5" t="s">
        <v>72</v>
      </c>
      <c r="I6" s="5">
        <v>5</v>
      </c>
      <c r="J6" s="5">
        <v>5</v>
      </c>
      <c r="K6" s="5">
        <v>3</v>
      </c>
      <c r="L6" s="6">
        <f t="shared" si="0"/>
        <v>4.33</v>
      </c>
      <c r="M6" s="5" t="s">
        <v>260</v>
      </c>
      <c r="N6" s="5" t="s">
        <v>313</v>
      </c>
    </row>
    <row r="7" spans="1:14" ht="40.5">
      <c r="A7" s="4">
        <v>5</v>
      </c>
      <c r="B7" s="5" t="s">
        <v>241</v>
      </c>
      <c r="C7" s="5" t="s">
        <v>308</v>
      </c>
      <c r="D7" s="5" t="s">
        <v>326</v>
      </c>
      <c r="E7" s="5" t="s">
        <v>327</v>
      </c>
      <c r="F7" s="5" t="s">
        <v>328</v>
      </c>
      <c r="G7" s="5" t="s">
        <v>329</v>
      </c>
      <c r="H7" s="5" t="s">
        <v>60</v>
      </c>
      <c r="I7" s="5">
        <v>5</v>
      </c>
      <c r="J7" s="5">
        <v>5</v>
      </c>
      <c r="K7" s="5">
        <v>4</v>
      </c>
      <c r="L7" s="6">
        <f t="shared" si="0"/>
        <v>4.67</v>
      </c>
      <c r="M7" s="5" t="s">
        <v>260</v>
      </c>
      <c r="N7" s="5" t="s">
        <v>313</v>
      </c>
    </row>
    <row r="8" spans="1:14" ht="40.5">
      <c r="A8" s="4">
        <v>6</v>
      </c>
      <c r="B8" s="5" t="s">
        <v>241</v>
      </c>
      <c r="C8" s="5" t="s">
        <v>330</v>
      </c>
      <c r="D8" s="5" t="s">
        <v>331</v>
      </c>
      <c r="E8" s="5" t="s">
        <v>332</v>
      </c>
      <c r="F8" s="5" t="s">
        <v>333</v>
      </c>
      <c r="G8" s="5" t="s">
        <v>334</v>
      </c>
      <c r="H8" s="5" t="s">
        <v>63</v>
      </c>
      <c r="I8" s="5">
        <v>4</v>
      </c>
      <c r="J8" s="5">
        <v>5</v>
      </c>
      <c r="K8" s="5">
        <v>5</v>
      </c>
      <c r="L8" s="6">
        <f t="shared" si="0"/>
        <v>4.67</v>
      </c>
      <c r="M8" s="5" t="s">
        <v>260</v>
      </c>
      <c r="N8" s="5" t="s">
        <v>313</v>
      </c>
    </row>
    <row r="9" spans="1:14" ht="40.5">
      <c r="A9" s="4">
        <v>7</v>
      </c>
      <c r="B9" s="5" t="s">
        <v>259</v>
      </c>
      <c r="C9" s="5" t="s">
        <v>335</v>
      </c>
      <c r="D9" s="5" t="s">
        <v>336</v>
      </c>
      <c r="E9" s="5" t="s">
        <v>337</v>
      </c>
      <c r="F9" s="5" t="s">
        <v>338</v>
      </c>
      <c r="G9" s="5" t="s">
        <v>339</v>
      </c>
      <c r="H9" s="5" t="s">
        <v>63</v>
      </c>
      <c r="I9" s="5">
        <v>4</v>
      </c>
      <c r="J9" s="5">
        <v>5</v>
      </c>
      <c r="K9" s="5">
        <v>5</v>
      </c>
      <c r="L9" s="6">
        <f t="shared" si="0"/>
        <v>4.67</v>
      </c>
      <c r="M9" s="5" t="s">
        <v>260</v>
      </c>
      <c r="N9" s="5" t="s">
        <v>313</v>
      </c>
    </row>
    <row r="10" spans="1:14" ht="40.5">
      <c r="A10" s="4">
        <v>8</v>
      </c>
      <c r="B10" s="5" t="s">
        <v>268</v>
      </c>
      <c r="C10" s="5" t="s">
        <v>340</v>
      </c>
      <c r="D10" s="5" t="s">
        <v>336</v>
      </c>
      <c r="E10" s="5" t="s">
        <v>337</v>
      </c>
      <c r="F10" s="5" t="s">
        <v>341</v>
      </c>
      <c r="G10" s="5" t="s">
        <v>342</v>
      </c>
      <c r="H10" s="5" t="s">
        <v>63</v>
      </c>
      <c r="I10" s="5">
        <v>4</v>
      </c>
      <c r="J10" s="5">
        <v>5</v>
      </c>
      <c r="K10" s="5">
        <v>5</v>
      </c>
      <c r="L10" s="6">
        <f t="shared" si="0"/>
        <v>4.67</v>
      </c>
      <c r="M10" s="5" t="s">
        <v>260</v>
      </c>
      <c r="N10" s="5" t="s">
        <v>313</v>
      </c>
    </row>
    <row r="11" spans="1:14" ht="40.5">
      <c r="A11" s="4">
        <v>9</v>
      </c>
      <c r="B11" s="5" t="s">
        <v>250</v>
      </c>
      <c r="C11" s="5" t="s">
        <v>343</v>
      </c>
      <c r="D11" s="5" t="s">
        <v>336</v>
      </c>
      <c r="E11" s="5" t="s">
        <v>344</v>
      </c>
      <c r="F11" s="5" t="s">
        <v>345</v>
      </c>
      <c r="G11" s="5" t="s">
        <v>346</v>
      </c>
      <c r="H11" s="5" t="s">
        <v>72</v>
      </c>
      <c r="I11" s="5">
        <v>4</v>
      </c>
      <c r="J11" s="5">
        <v>5</v>
      </c>
      <c r="K11" s="5">
        <v>5</v>
      </c>
      <c r="L11" s="6">
        <f t="shared" si="0"/>
        <v>4.67</v>
      </c>
      <c r="M11" s="5" t="s">
        <v>260</v>
      </c>
      <c r="N11" s="5" t="s">
        <v>313</v>
      </c>
    </row>
    <row r="12" spans="1:14" ht="40.5">
      <c r="A12" s="4">
        <v>10</v>
      </c>
      <c r="B12" s="5" t="s">
        <v>250</v>
      </c>
      <c r="C12" s="5" t="s">
        <v>343</v>
      </c>
      <c r="D12" s="5" t="s">
        <v>336</v>
      </c>
      <c r="E12" s="5" t="s">
        <v>344</v>
      </c>
      <c r="F12" s="5" t="s">
        <v>347</v>
      </c>
      <c r="G12" s="5" t="s">
        <v>348</v>
      </c>
      <c r="H12" s="5" t="s">
        <v>69</v>
      </c>
      <c r="I12" s="5">
        <v>4</v>
      </c>
      <c r="J12" s="5">
        <v>5</v>
      </c>
      <c r="K12" s="5">
        <v>4</v>
      </c>
      <c r="L12" s="6">
        <f t="shared" si="0"/>
        <v>4.33</v>
      </c>
      <c r="M12" s="5" t="s">
        <v>260</v>
      </c>
      <c r="N12" s="5" t="s">
        <v>313</v>
      </c>
    </row>
    <row r="13" spans="1:14" ht="40.5">
      <c r="A13" s="4">
        <v>11</v>
      </c>
      <c r="B13" s="5" t="s">
        <v>250</v>
      </c>
      <c r="C13" s="5" t="s">
        <v>343</v>
      </c>
      <c r="D13" s="5" t="s">
        <v>336</v>
      </c>
      <c r="E13" s="5" t="s">
        <v>344</v>
      </c>
      <c r="F13" s="5" t="s">
        <v>349</v>
      </c>
      <c r="G13" s="5" t="s">
        <v>350</v>
      </c>
      <c r="H13" s="5" t="s">
        <v>81</v>
      </c>
      <c r="I13" s="5">
        <v>4</v>
      </c>
      <c r="J13" s="5">
        <v>5</v>
      </c>
      <c r="K13" s="5">
        <v>3</v>
      </c>
      <c r="L13" s="6">
        <f t="shared" si="0"/>
        <v>4</v>
      </c>
      <c r="M13" s="5" t="s">
        <v>260</v>
      </c>
      <c r="N13" s="5" t="s">
        <v>313</v>
      </c>
    </row>
    <row r="14" spans="1:14" ht="27">
      <c r="A14" s="4">
        <v>12</v>
      </c>
      <c r="B14" s="5" t="s">
        <v>250</v>
      </c>
      <c r="C14" s="5" t="s">
        <v>351</v>
      </c>
      <c r="D14" s="5" t="s">
        <v>352</v>
      </c>
      <c r="E14" s="5" t="s">
        <v>353</v>
      </c>
      <c r="F14" s="5" t="s">
        <v>354</v>
      </c>
      <c r="G14" s="5" t="s">
        <v>355</v>
      </c>
      <c r="H14" s="5" t="s">
        <v>66</v>
      </c>
      <c r="I14" s="5">
        <v>4</v>
      </c>
      <c r="J14" s="5">
        <v>4</v>
      </c>
      <c r="K14" s="5">
        <v>5</v>
      </c>
      <c r="L14" s="6">
        <f t="shared" si="0"/>
        <v>4.33</v>
      </c>
      <c r="M14" s="5" t="s">
        <v>260</v>
      </c>
      <c r="N14" s="5" t="s">
        <v>313</v>
      </c>
    </row>
    <row r="15" spans="1:14" ht="27">
      <c r="A15" s="4">
        <v>13</v>
      </c>
      <c r="B15" s="5" t="s">
        <v>250</v>
      </c>
      <c r="C15" s="5" t="s">
        <v>351</v>
      </c>
      <c r="D15" s="5" t="s">
        <v>356</v>
      </c>
      <c r="E15" s="5" t="s">
        <v>353</v>
      </c>
      <c r="F15" s="5" t="s">
        <v>357</v>
      </c>
      <c r="G15" s="5" t="s">
        <v>358</v>
      </c>
      <c r="H15" s="5" t="s">
        <v>66</v>
      </c>
      <c r="I15" s="5">
        <v>4</v>
      </c>
      <c r="J15" s="5">
        <v>4</v>
      </c>
      <c r="K15" s="5">
        <v>4</v>
      </c>
      <c r="L15" s="6">
        <f t="shared" si="0"/>
        <v>4</v>
      </c>
      <c r="M15" s="5" t="s">
        <v>260</v>
      </c>
      <c r="N15" s="5" t="s">
        <v>313</v>
      </c>
    </row>
    <row r="16" spans="1:14" ht="40.5">
      <c r="A16" s="4">
        <v>14</v>
      </c>
      <c r="B16" s="5" t="s">
        <v>277</v>
      </c>
      <c r="C16" s="5" t="s">
        <v>359</v>
      </c>
      <c r="D16" s="5" t="s">
        <v>314</v>
      </c>
      <c r="E16" s="5" t="s">
        <v>360</v>
      </c>
      <c r="F16" s="5" t="s">
        <v>361</v>
      </c>
      <c r="G16" s="5" t="s">
        <v>362</v>
      </c>
      <c r="H16" s="5" t="s">
        <v>63</v>
      </c>
      <c r="I16" s="5">
        <v>3</v>
      </c>
      <c r="J16" s="5">
        <v>4</v>
      </c>
      <c r="K16" s="5">
        <v>3</v>
      </c>
      <c r="L16" s="6">
        <f t="shared" si="0"/>
        <v>3.33</v>
      </c>
      <c r="M16" s="5" t="s">
        <v>260</v>
      </c>
      <c r="N16" s="5" t="s">
        <v>313</v>
      </c>
    </row>
    <row r="17" spans="1:14" ht="27">
      <c r="A17" s="4">
        <v>15</v>
      </c>
      <c r="B17" s="5" t="s">
        <v>277</v>
      </c>
      <c r="C17" s="5" t="s">
        <v>363</v>
      </c>
      <c r="D17" s="5" t="s">
        <v>364</v>
      </c>
      <c r="E17" s="5" t="s">
        <v>365</v>
      </c>
      <c r="F17" s="5" t="s">
        <v>366</v>
      </c>
      <c r="G17" s="5" t="s">
        <v>367</v>
      </c>
      <c r="H17" s="5" t="s">
        <v>63</v>
      </c>
      <c r="I17" s="5">
        <v>3</v>
      </c>
      <c r="J17" s="5">
        <v>4</v>
      </c>
      <c r="K17" s="5">
        <v>4</v>
      </c>
      <c r="L17" s="6">
        <f t="shared" si="0"/>
        <v>3.67</v>
      </c>
      <c r="M17" s="5" t="s">
        <v>260</v>
      </c>
      <c r="N17" s="5" t="s">
        <v>313</v>
      </c>
    </row>
    <row r="18" spans="1:14" ht="40.5">
      <c r="A18" s="4">
        <v>16</v>
      </c>
      <c r="B18" s="5" t="s">
        <v>299</v>
      </c>
      <c r="C18" s="5" t="s">
        <v>363</v>
      </c>
      <c r="D18" s="5" t="s">
        <v>364</v>
      </c>
      <c r="E18" s="5" t="s">
        <v>365</v>
      </c>
      <c r="F18" s="5" t="s">
        <v>368</v>
      </c>
      <c r="G18" s="5" t="s">
        <v>369</v>
      </c>
      <c r="H18" s="5" t="s">
        <v>72</v>
      </c>
      <c r="I18" s="5">
        <v>3</v>
      </c>
      <c r="J18" s="5">
        <v>3</v>
      </c>
      <c r="K18" s="5">
        <v>4</v>
      </c>
      <c r="L18" s="6">
        <f t="shared" si="0"/>
        <v>3.33</v>
      </c>
      <c r="M18" s="5" t="s">
        <v>260</v>
      </c>
      <c r="N18" s="5" t="s">
        <v>313</v>
      </c>
    </row>
    <row r="19" spans="1:14" ht="40.5">
      <c r="A19" s="4">
        <v>17</v>
      </c>
      <c r="B19" s="5" t="s">
        <v>286</v>
      </c>
      <c r="C19" s="5" t="s">
        <v>370</v>
      </c>
      <c r="D19" s="5" t="s">
        <v>371</v>
      </c>
      <c r="E19" s="5" t="s">
        <v>372</v>
      </c>
      <c r="F19" s="5" t="s">
        <v>373</v>
      </c>
      <c r="G19" s="5" t="s">
        <v>374</v>
      </c>
      <c r="H19" s="5" t="s">
        <v>60</v>
      </c>
      <c r="I19" s="5">
        <v>4</v>
      </c>
      <c r="J19" s="5">
        <v>5</v>
      </c>
      <c r="K19" s="5">
        <v>4</v>
      </c>
      <c r="L19" s="6">
        <f t="shared" si="0"/>
        <v>4.33</v>
      </c>
      <c r="M19" s="5" t="s">
        <v>260</v>
      </c>
      <c r="N19" s="5" t="s">
        <v>313</v>
      </c>
    </row>
    <row r="20" spans="1:14" ht="27">
      <c r="A20" s="4">
        <v>18</v>
      </c>
      <c r="B20" s="5" t="s">
        <v>294</v>
      </c>
      <c r="C20" s="5" t="s">
        <v>375</v>
      </c>
      <c r="D20" s="5" t="s">
        <v>376</v>
      </c>
      <c r="E20" s="5" t="s">
        <v>377</v>
      </c>
      <c r="F20" s="5" t="s">
        <v>378</v>
      </c>
      <c r="G20" s="5" t="s">
        <v>379</v>
      </c>
      <c r="H20" s="5" t="s">
        <v>63</v>
      </c>
      <c r="I20" s="5">
        <v>3</v>
      </c>
      <c r="J20" s="5">
        <v>5</v>
      </c>
      <c r="K20" s="5">
        <v>5</v>
      </c>
      <c r="L20" s="6">
        <f t="shared" si="0"/>
        <v>4.33</v>
      </c>
      <c r="M20" s="5" t="s">
        <v>251</v>
      </c>
      <c r="N20" s="5" t="s">
        <v>313</v>
      </c>
    </row>
    <row r="21" spans="1:14" ht="40.5">
      <c r="A21" s="4">
        <v>19</v>
      </c>
      <c r="B21" s="5" t="s">
        <v>306</v>
      </c>
      <c r="C21" s="5" t="s">
        <v>380</v>
      </c>
      <c r="D21" s="5" t="s">
        <v>376</v>
      </c>
      <c r="E21" s="5" t="s">
        <v>381</v>
      </c>
      <c r="F21" s="5" t="s">
        <v>382</v>
      </c>
      <c r="G21" s="5" t="s">
        <v>383</v>
      </c>
      <c r="H21" s="5" t="s">
        <v>72</v>
      </c>
      <c r="I21" s="5">
        <v>3</v>
      </c>
      <c r="J21" s="5">
        <v>4</v>
      </c>
      <c r="K21" s="5">
        <v>5</v>
      </c>
      <c r="L21" s="6">
        <f t="shared" si="0"/>
        <v>4</v>
      </c>
      <c r="M21" s="5" t="s">
        <v>251</v>
      </c>
      <c r="N21" s="5" t="s">
        <v>313</v>
      </c>
    </row>
    <row r="22" spans="1:14" ht="40.5">
      <c r="A22" s="4">
        <v>20</v>
      </c>
      <c r="B22" s="5" t="s">
        <v>241</v>
      </c>
      <c r="C22" s="5" t="s">
        <v>384</v>
      </c>
      <c r="D22" s="5" t="s">
        <v>385</v>
      </c>
      <c r="E22" s="5" t="s">
        <v>386</v>
      </c>
      <c r="F22" s="5" t="s">
        <v>387</v>
      </c>
      <c r="G22" s="5" t="s">
        <v>388</v>
      </c>
      <c r="H22" s="5" t="s">
        <v>60</v>
      </c>
      <c r="I22" s="5">
        <v>4</v>
      </c>
      <c r="J22" s="5">
        <v>4</v>
      </c>
      <c r="K22" s="5">
        <v>5</v>
      </c>
      <c r="L22" s="6">
        <f t="shared" si="0"/>
        <v>4.33</v>
      </c>
      <c r="M22" s="5" t="s">
        <v>260</v>
      </c>
      <c r="N22" s="5" t="s">
        <v>313</v>
      </c>
    </row>
    <row r="23" spans="1:14" ht="27">
      <c r="A23" s="4">
        <v>21</v>
      </c>
      <c r="B23" s="5" t="s">
        <v>304</v>
      </c>
      <c r="C23" s="5" t="s">
        <v>389</v>
      </c>
      <c r="D23" s="5" t="s">
        <v>376</v>
      </c>
      <c r="E23" s="5" t="s">
        <v>390</v>
      </c>
      <c r="F23" s="5" t="s">
        <v>391</v>
      </c>
      <c r="G23" s="5" t="s">
        <v>392</v>
      </c>
      <c r="H23" s="5" t="s">
        <v>75</v>
      </c>
      <c r="I23" s="5">
        <v>2</v>
      </c>
      <c r="J23" s="5">
        <v>4</v>
      </c>
      <c r="K23" s="5">
        <v>5</v>
      </c>
      <c r="L23" s="6">
        <f t="shared" si="0"/>
        <v>3.67</v>
      </c>
      <c r="M23" s="5" t="s">
        <v>287</v>
      </c>
      <c r="N23" s="5" t="s">
        <v>313</v>
      </c>
    </row>
    <row r="24" spans="1:14" ht="27">
      <c r="A24" s="4">
        <v>22</v>
      </c>
      <c r="B24" s="5" t="s">
        <v>304</v>
      </c>
      <c r="C24" s="5" t="s">
        <v>393</v>
      </c>
      <c r="D24" s="5" t="s">
        <v>376</v>
      </c>
      <c r="E24" s="5" t="s">
        <v>390</v>
      </c>
      <c r="F24" s="5" t="s">
        <v>394</v>
      </c>
      <c r="G24" s="5" t="s">
        <v>395</v>
      </c>
      <c r="H24" s="5" t="s">
        <v>81</v>
      </c>
      <c r="I24" s="5">
        <v>2</v>
      </c>
      <c r="J24" s="5">
        <v>4</v>
      </c>
      <c r="K24" s="5">
        <v>3</v>
      </c>
      <c r="L24" s="6">
        <f t="shared" si="0"/>
        <v>3</v>
      </c>
      <c r="M24" s="5" t="s">
        <v>287</v>
      </c>
      <c r="N24" s="5" t="s">
        <v>313</v>
      </c>
    </row>
    <row r="25" spans="1:14" ht="27">
      <c r="A25" s="4">
        <v>23</v>
      </c>
      <c r="B25" s="5" t="s">
        <v>306</v>
      </c>
      <c r="C25" s="5" t="s">
        <v>396</v>
      </c>
      <c r="D25" s="5" t="s">
        <v>376</v>
      </c>
      <c r="E25" s="5" t="s">
        <v>319</v>
      </c>
      <c r="F25" s="5" t="s">
        <v>397</v>
      </c>
      <c r="G25" s="5" t="s">
        <v>398</v>
      </c>
      <c r="H25" s="5" t="s">
        <v>84</v>
      </c>
      <c r="I25" s="5">
        <v>3</v>
      </c>
      <c r="J25" s="5">
        <v>4</v>
      </c>
      <c r="K25" s="5">
        <v>4</v>
      </c>
      <c r="L25" s="6">
        <f t="shared" si="0"/>
        <v>3.67</v>
      </c>
      <c r="M25" s="5" t="s">
        <v>287</v>
      </c>
      <c r="N25" s="5" t="s">
        <v>313</v>
      </c>
    </row>
    <row r="26" spans="1:14" ht="27">
      <c r="A26" s="4">
        <v>24</v>
      </c>
      <c r="B26" s="5" t="s">
        <v>304</v>
      </c>
      <c r="C26" s="5" t="s">
        <v>399</v>
      </c>
      <c r="D26" s="5" t="s">
        <v>376</v>
      </c>
      <c r="E26" s="5" t="s">
        <v>390</v>
      </c>
      <c r="F26" s="5" t="s">
        <v>400</v>
      </c>
      <c r="G26" s="5" t="s">
        <v>401</v>
      </c>
      <c r="H26" s="5" t="s">
        <v>78</v>
      </c>
      <c r="I26" s="5">
        <v>2</v>
      </c>
      <c r="J26" s="5">
        <v>4</v>
      </c>
      <c r="K26" s="5">
        <v>4</v>
      </c>
      <c r="L26" s="6">
        <f t="shared" si="0"/>
        <v>3.33</v>
      </c>
      <c r="M26" s="5" t="s">
        <v>287</v>
      </c>
      <c r="N26" s="5" t="s">
        <v>313</v>
      </c>
    </row>
    <row r="27" spans="1:14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6" t="str">
        <f t="shared" si="0"/>
        <v/>
      </c>
      <c r="M27" s="5"/>
      <c r="N27" s="5"/>
    </row>
    <row r="28" spans="1:14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6" t="str">
        <f t="shared" si="0"/>
        <v/>
      </c>
      <c r="M28" s="5"/>
      <c r="N28" s="5"/>
    </row>
    <row r="29" spans="1:14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6" t="str">
        <f t="shared" si="0"/>
        <v/>
      </c>
      <c r="M29" s="5"/>
      <c r="N29" s="5"/>
    </row>
    <row r="30" spans="1:14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6" t="str">
        <f t="shared" si="0"/>
        <v/>
      </c>
      <c r="M30" s="5"/>
      <c r="N30" s="5"/>
    </row>
    <row r="31" spans="1:14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6" t="str">
        <f t="shared" si="0"/>
        <v/>
      </c>
      <c r="M31" s="5"/>
      <c r="N31" s="5"/>
    </row>
    <row r="32" spans="1:14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6" t="str">
        <f t="shared" si="0"/>
        <v/>
      </c>
      <c r="M32" s="5"/>
      <c r="N32" s="5"/>
    </row>
    <row r="33" spans="1:14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6" t="str">
        <f t="shared" si="0"/>
        <v/>
      </c>
      <c r="M33" s="5"/>
      <c r="N33" s="5"/>
    </row>
    <row r="34" spans="1:14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6" t="str">
        <f t="shared" si="0"/>
        <v/>
      </c>
      <c r="M34" s="5"/>
      <c r="N34" s="5"/>
    </row>
    <row r="35" spans="1:14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6" t="str">
        <f t="shared" ref="L35:L66" si="1">IF(COUNTA(B35:K35)=0,"",ROUND(AVERAGE(I35:K35),2))</f>
        <v/>
      </c>
      <c r="M35" s="5"/>
      <c r="N35" s="5"/>
    </row>
    <row r="36" spans="1:14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6" t="str">
        <f t="shared" si="1"/>
        <v/>
      </c>
      <c r="M36" s="5"/>
      <c r="N36" s="5"/>
    </row>
    <row r="37" spans="1:14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6" t="str">
        <f t="shared" si="1"/>
        <v/>
      </c>
      <c r="M37" s="5"/>
      <c r="N37" s="5"/>
    </row>
    <row r="38" spans="1:14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6" t="str">
        <f t="shared" si="1"/>
        <v/>
      </c>
      <c r="M38" s="5"/>
      <c r="N38" s="5"/>
    </row>
    <row r="39" spans="1:14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6" t="str">
        <f t="shared" si="1"/>
        <v/>
      </c>
      <c r="M39" s="5"/>
      <c r="N39" s="5"/>
    </row>
    <row r="40" spans="1:14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6" t="str">
        <f t="shared" si="1"/>
        <v/>
      </c>
      <c r="M40" s="5"/>
      <c r="N40" s="5"/>
    </row>
    <row r="41" spans="1:14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 t="str">
        <f t="shared" si="1"/>
        <v/>
      </c>
      <c r="M41" s="5"/>
      <c r="N41" s="5"/>
    </row>
    <row r="42" spans="1:14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6" t="str">
        <f t="shared" si="1"/>
        <v/>
      </c>
      <c r="M42" s="5"/>
      <c r="N42" s="5"/>
    </row>
    <row r="43" spans="1:14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6" t="str">
        <f t="shared" si="1"/>
        <v/>
      </c>
      <c r="M43" s="5"/>
      <c r="N43" s="5"/>
    </row>
    <row r="44" spans="1:14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 t="str">
        <f t="shared" si="1"/>
        <v/>
      </c>
      <c r="M44" s="5"/>
      <c r="N44" s="5"/>
    </row>
    <row r="45" spans="1:14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6" t="str">
        <f t="shared" si="1"/>
        <v/>
      </c>
      <c r="M45" s="5"/>
      <c r="N45" s="5"/>
    </row>
    <row r="46" spans="1:14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6" t="str">
        <f t="shared" si="1"/>
        <v/>
      </c>
      <c r="M46" s="5"/>
      <c r="N46" s="5"/>
    </row>
    <row r="47" spans="1:14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6" t="str">
        <f t="shared" si="1"/>
        <v/>
      </c>
      <c r="M47" s="5"/>
      <c r="N47" s="5"/>
    </row>
    <row r="48" spans="1:14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6" t="str">
        <f t="shared" si="1"/>
        <v/>
      </c>
      <c r="M48" s="5"/>
      <c r="N48" s="5"/>
    </row>
    <row r="49" spans="1:14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6" t="str">
        <f t="shared" si="1"/>
        <v/>
      </c>
      <c r="M49" s="5"/>
      <c r="N49" s="5"/>
    </row>
    <row r="50" spans="1:14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6" t="str">
        <f t="shared" si="1"/>
        <v/>
      </c>
      <c r="M50" s="5"/>
      <c r="N50" s="5"/>
    </row>
    <row r="51" spans="1:14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6" t="str">
        <f t="shared" si="1"/>
        <v/>
      </c>
      <c r="M51" s="5"/>
      <c r="N51" s="5"/>
    </row>
    <row r="52" spans="1:14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6" t="str">
        <f t="shared" si="1"/>
        <v/>
      </c>
      <c r="M52" s="5"/>
      <c r="N52" s="5"/>
    </row>
    <row r="53" spans="1:14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6" t="str">
        <f t="shared" si="1"/>
        <v/>
      </c>
      <c r="M53" s="5"/>
      <c r="N53" s="5"/>
    </row>
    <row r="54" spans="1:14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6" t="str">
        <f t="shared" si="1"/>
        <v/>
      </c>
      <c r="M54" s="5"/>
      <c r="N54" s="5"/>
    </row>
    <row r="55" spans="1:14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6" t="str">
        <f t="shared" si="1"/>
        <v/>
      </c>
      <c r="M55" s="5"/>
      <c r="N55" s="5"/>
    </row>
    <row r="56" spans="1:14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6" t="str">
        <f t="shared" si="1"/>
        <v/>
      </c>
      <c r="M56" s="5"/>
      <c r="N56" s="5"/>
    </row>
    <row r="57" spans="1:14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6" t="str">
        <f t="shared" si="1"/>
        <v/>
      </c>
      <c r="M57" s="5"/>
      <c r="N57" s="5"/>
    </row>
    <row r="58" spans="1:14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6" t="str">
        <f t="shared" si="1"/>
        <v/>
      </c>
      <c r="M58" s="5"/>
      <c r="N58" s="5"/>
    </row>
    <row r="59" spans="1:14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6" t="str">
        <f t="shared" si="1"/>
        <v/>
      </c>
      <c r="M59" s="5"/>
      <c r="N59" s="5"/>
    </row>
    <row r="60" spans="1:14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6" t="str">
        <f t="shared" si="1"/>
        <v/>
      </c>
      <c r="M60" s="5"/>
      <c r="N60" s="5"/>
    </row>
    <row r="61" spans="1:14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6" t="str">
        <f t="shared" si="1"/>
        <v/>
      </c>
      <c r="M61" s="5"/>
      <c r="N61" s="5"/>
    </row>
    <row r="62" spans="1:14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6" t="str">
        <f t="shared" si="1"/>
        <v/>
      </c>
      <c r="M62" s="5"/>
      <c r="N62" s="5"/>
    </row>
    <row r="63" spans="1:14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6" t="str">
        <f t="shared" si="1"/>
        <v/>
      </c>
      <c r="M63" s="5"/>
      <c r="N63" s="5"/>
    </row>
    <row r="64" spans="1:14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6" t="str">
        <f t="shared" si="1"/>
        <v/>
      </c>
      <c r="M64" s="5"/>
      <c r="N64" s="5"/>
    </row>
    <row r="65" spans="1:14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6" t="str">
        <f t="shared" si="1"/>
        <v/>
      </c>
      <c r="M65" s="5"/>
      <c r="N65" s="5"/>
    </row>
    <row r="66" spans="1:14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6" t="str">
        <f t="shared" si="1"/>
        <v/>
      </c>
      <c r="M66" s="5"/>
      <c r="N66" s="5"/>
    </row>
    <row r="67" spans="1:14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6" t="str">
        <f t="shared" ref="L67:L98" si="2">IF(COUNTA(B67:K67)=0,"",ROUND(AVERAGE(I67:K67),2))</f>
        <v/>
      </c>
      <c r="M67" s="5"/>
      <c r="N67" s="5"/>
    </row>
    <row r="68" spans="1:14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6" t="str">
        <f t="shared" si="2"/>
        <v/>
      </c>
      <c r="M68" s="5"/>
      <c r="N68" s="5"/>
    </row>
    <row r="69" spans="1:14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6" t="str">
        <f t="shared" si="2"/>
        <v/>
      </c>
      <c r="M69" s="5"/>
      <c r="N69" s="5"/>
    </row>
    <row r="70" spans="1:14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6" t="str">
        <f t="shared" si="2"/>
        <v/>
      </c>
      <c r="M70" s="5"/>
      <c r="N70" s="5"/>
    </row>
    <row r="71" spans="1:14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6" t="str">
        <f t="shared" si="2"/>
        <v/>
      </c>
      <c r="M71" s="5"/>
      <c r="N71" s="5"/>
    </row>
    <row r="72" spans="1:14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6" t="str">
        <f t="shared" si="2"/>
        <v/>
      </c>
      <c r="M72" s="5"/>
      <c r="N72" s="5"/>
    </row>
    <row r="73" spans="1:14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6" t="str">
        <f t="shared" si="2"/>
        <v/>
      </c>
      <c r="M73" s="5"/>
      <c r="N73" s="5"/>
    </row>
    <row r="74" spans="1:14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6" t="str">
        <f t="shared" si="2"/>
        <v/>
      </c>
      <c r="M74" s="5"/>
      <c r="N74" s="5"/>
    </row>
    <row r="75" spans="1:14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6" t="str">
        <f t="shared" si="2"/>
        <v/>
      </c>
      <c r="M75" s="5"/>
      <c r="N75" s="5"/>
    </row>
    <row r="76" spans="1:14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6" t="str">
        <f t="shared" si="2"/>
        <v/>
      </c>
      <c r="M76" s="5"/>
      <c r="N76" s="5"/>
    </row>
    <row r="77" spans="1:14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6" t="str">
        <f t="shared" si="2"/>
        <v/>
      </c>
      <c r="M77" s="5"/>
      <c r="N77" s="5"/>
    </row>
    <row r="78" spans="1:14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6" t="str">
        <f t="shared" si="2"/>
        <v/>
      </c>
      <c r="M78" s="5"/>
      <c r="N78" s="5"/>
    </row>
    <row r="79" spans="1:14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6" t="str">
        <f t="shared" si="2"/>
        <v/>
      </c>
      <c r="M79" s="5"/>
      <c r="N79" s="5"/>
    </row>
    <row r="80" spans="1:14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6" t="str">
        <f t="shared" si="2"/>
        <v/>
      </c>
      <c r="M80" s="5"/>
      <c r="N80" s="5"/>
    </row>
    <row r="81" spans="1:14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6" t="str">
        <f t="shared" si="2"/>
        <v/>
      </c>
      <c r="M81" s="5"/>
      <c r="N81" s="5"/>
    </row>
    <row r="82" spans="1:14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6" t="str">
        <f t="shared" si="2"/>
        <v/>
      </c>
      <c r="M82" s="5"/>
      <c r="N82" s="5"/>
    </row>
    <row r="83" spans="1:14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6" t="str">
        <f t="shared" si="2"/>
        <v/>
      </c>
      <c r="M83" s="5"/>
      <c r="N83" s="5"/>
    </row>
    <row r="84" spans="1:14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6" t="str">
        <f t="shared" si="2"/>
        <v/>
      </c>
      <c r="M84" s="5"/>
      <c r="N84" s="5"/>
    </row>
    <row r="85" spans="1:14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6" t="str">
        <f t="shared" si="2"/>
        <v/>
      </c>
      <c r="M85" s="5"/>
      <c r="N85" s="5"/>
    </row>
    <row r="86" spans="1:14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6" t="str">
        <f t="shared" si="2"/>
        <v/>
      </c>
      <c r="M86" s="5"/>
      <c r="N86" s="5"/>
    </row>
    <row r="87" spans="1:14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6" t="str">
        <f t="shared" si="2"/>
        <v/>
      </c>
      <c r="M87" s="5"/>
      <c r="N87" s="5"/>
    </row>
    <row r="88" spans="1:14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6" t="str">
        <f t="shared" si="2"/>
        <v/>
      </c>
      <c r="M88" s="5"/>
      <c r="N88" s="5"/>
    </row>
    <row r="89" spans="1:14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6" t="str">
        <f t="shared" si="2"/>
        <v/>
      </c>
      <c r="M89" s="5"/>
      <c r="N89" s="5"/>
    </row>
    <row r="90" spans="1:14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6" t="str">
        <f t="shared" si="2"/>
        <v/>
      </c>
      <c r="M90" s="5"/>
      <c r="N90" s="5"/>
    </row>
    <row r="91" spans="1:14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6" t="str">
        <f t="shared" si="2"/>
        <v/>
      </c>
      <c r="M91" s="5"/>
      <c r="N91" s="5"/>
    </row>
    <row r="92" spans="1:14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6" t="str">
        <f t="shared" si="2"/>
        <v/>
      </c>
      <c r="M92" s="5"/>
      <c r="N92" s="5"/>
    </row>
    <row r="93" spans="1:14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6" t="str">
        <f t="shared" si="2"/>
        <v/>
      </c>
      <c r="M93" s="5"/>
      <c r="N93" s="5"/>
    </row>
    <row r="94" spans="1:14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6" t="str">
        <f t="shared" si="2"/>
        <v/>
      </c>
      <c r="M94" s="5"/>
      <c r="N94" s="5"/>
    </row>
    <row r="95" spans="1:14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6" t="str">
        <f t="shared" si="2"/>
        <v/>
      </c>
      <c r="M95" s="5"/>
      <c r="N95" s="5"/>
    </row>
    <row r="96" spans="1:14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6" t="str">
        <f t="shared" si="2"/>
        <v/>
      </c>
      <c r="M96" s="5"/>
      <c r="N96" s="5"/>
    </row>
    <row r="97" spans="1:14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6" t="str">
        <f t="shared" si="2"/>
        <v/>
      </c>
      <c r="M97" s="5"/>
      <c r="N97" s="5"/>
    </row>
    <row r="98" spans="1:14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6" t="str">
        <f t="shared" si="2"/>
        <v/>
      </c>
      <c r="M98" s="5"/>
      <c r="N98" s="5"/>
    </row>
    <row r="99" spans="1:14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6" t="str">
        <f t="shared" ref="L99:L130" si="3">IF(COUNTA(B99:K99)=0,"",ROUND(AVERAGE(I99:K99),2))</f>
        <v/>
      </c>
      <c r="M99" s="5"/>
      <c r="N99" s="5"/>
    </row>
    <row r="100" spans="1:14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 t="str">
        <f t="shared" si="3"/>
        <v/>
      </c>
      <c r="M100" s="5"/>
      <c r="N100" s="5"/>
    </row>
    <row r="101" spans="1:14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 t="str">
        <f t="shared" si="3"/>
        <v/>
      </c>
      <c r="M101" s="5"/>
      <c r="N101" s="5"/>
    </row>
    <row r="102" spans="1:14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 t="str">
        <f t="shared" si="3"/>
        <v/>
      </c>
      <c r="M102" s="5"/>
      <c r="N102" s="5"/>
    </row>
    <row r="103" spans="1:14">
      <c r="A103" s="4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 t="str">
        <f t="shared" si="3"/>
        <v/>
      </c>
      <c r="M103" s="5"/>
      <c r="N103" s="5"/>
    </row>
    <row r="104" spans="1:14">
      <c r="A104" s="4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 t="str">
        <f t="shared" si="3"/>
        <v/>
      </c>
      <c r="M104" s="5"/>
      <c r="N104" s="5"/>
    </row>
    <row r="105" spans="1:14">
      <c r="A105" s="4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 t="str">
        <f t="shared" si="3"/>
        <v/>
      </c>
      <c r="M105" s="5"/>
      <c r="N105" s="5"/>
    </row>
    <row r="106" spans="1:14">
      <c r="A106" s="4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 t="str">
        <f t="shared" si="3"/>
        <v/>
      </c>
      <c r="M106" s="5"/>
      <c r="N106" s="5"/>
    </row>
    <row r="107" spans="1:14">
      <c r="A107" s="4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 t="str">
        <f t="shared" si="3"/>
        <v/>
      </c>
      <c r="M107" s="5"/>
      <c r="N107" s="5"/>
    </row>
    <row r="108" spans="1:14">
      <c r="A108" s="4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 t="str">
        <f t="shared" si="3"/>
        <v/>
      </c>
      <c r="M108" s="5"/>
      <c r="N108" s="5"/>
    </row>
    <row r="109" spans="1:14">
      <c r="A109" s="4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 t="str">
        <f t="shared" si="3"/>
        <v/>
      </c>
      <c r="M109" s="5"/>
      <c r="N109" s="5"/>
    </row>
    <row r="110" spans="1:14">
      <c r="A110" s="4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 t="str">
        <f t="shared" si="3"/>
        <v/>
      </c>
      <c r="M110" s="5"/>
      <c r="N110" s="5"/>
    </row>
    <row r="111" spans="1:14">
      <c r="A111" s="4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 t="str">
        <f t="shared" si="3"/>
        <v/>
      </c>
      <c r="M111" s="5"/>
      <c r="N111" s="5"/>
    </row>
    <row r="112" spans="1:14">
      <c r="A112" s="4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 t="str">
        <f t="shared" si="3"/>
        <v/>
      </c>
      <c r="M112" s="5"/>
      <c r="N112" s="5"/>
    </row>
    <row r="113" spans="1:14">
      <c r="A113" s="4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 t="str">
        <f t="shared" si="3"/>
        <v/>
      </c>
      <c r="M113" s="5"/>
      <c r="N113" s="5"/>
    </row>
    <row r="114" spans="1:14">
      <c r="A114" s="4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 t="str">
        <f t="shared" si="3"/>
        <v/>
      </c>
      <c r="M114" s="5"/>
      <c r="N114" s="5"/>
    </row>
    <row r="115" spans="1:14">
      <c r="A115" s="4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 t="str">
        <f t="shared" si="3"/>
        <v/>
      </c>
      <c r="M115" s="5"/>
      <c r="N115" s="5"/>
    </row>
    <row r="116" spans="1:14">
      <c r="A116" s="4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 t="str">
        <f t="shared" si="3"/>
        <v/>
      </c>
      <c r="M116" s="5"/>
      <c r="N116" s="5"/>
    </row>
    <row r="117" spans="1:14">
      <c r="A117" s="4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 t="str">
        <f t="shared" si="3"/>
        <v/>
      </c>
      <c r="M117" s="5"/>
      <c r="N117" s="5"/>
    </row>
    <row r="118" spans="1:14">
      <c r="A118" s="4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 t="str">
        <f t="shared" si="3"/>
        <v/>
      </c>
      <c r="M118" s="5"/>
      <c r="N118" s="5"/>
    </row>
    <row r="119" spans="1:14">
      <c r="A119" s="4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 t="str">
        <f t="shared" si="3"/>
        <v/>
      </c>
      <c r="M119" s="5"/>
      <c r="N119" s="5"/>
    </row>
    <row r="120" spans="1:14">
      <c r="A120" s="4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 t="str">
        <f t="shared" si="3"/>
        <v/>
      </c>
      <c r="M120" s="5"/>
      <c r="N120" s="5"/>
    </row>
    <row r="121" spans="1:14">
      <c r="A121" s="4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 t="str">
        <f t="shared" si="3"/>
        <v/>
      </c>
      <c r="M121" s="5"/>
      <c r="N121" s="5"/>
    </row>
    <row r="122" spans="1:14">
      <c r="A122" s="4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 t="str">
        <f t="shared" si="3"/>
        <v/>
      </c>
      <c r="M122" s="5"/>
      <c r="N122" s="5"/>
    </row>
    <row r="123" spans="1:14">
      <c r="A123" s="4">
        <v>121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 t="str">
        <f t="shared" si="3"/>
        <v/>
      </c>
      <c r="M123" s="5"/>
      <c r="N123" s="5"/>
    </row>
    <row r="124" spans="1:14">
      <c r="A124" s="4">
        <v>122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 t="str">
        <f t="shared" si="3"/>
        <v/>
      </c>
      <c r="M124" s="5"/>
      <c r="N124" s="5"/>
    </row>
    <row r="125" spans="1:14">
      <c r="A125" s="4">
        <v>123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 t="str">
        <f t="shared" si="3"/>
        <v/>
      </c>
      <c r="M125" s="5"/>
      <c r="N125" s="5"/>
    </row>
    <row r="126" spans="1:14">
      <c r="A126" s="4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 t="str">
        <f t="shared" si="3"/>
        <v/>
      </c>
      <c r="M126" s="5"/>
      <c r="N126" s="5"/>
    </row>
    <row r="127" spans="1:14">
      <c r="A127" s="4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 t="str">
        <f t="shared" si="3"/>
        <v/>
      </c>
      <c r="M127" s="5"/>
      <c r="N127" s="5"/>
    </row>
    <row r="128" spans="1:14">
      <c r="A128" s="4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 t="str">
        <f t="shared" si="3"/>
        <v/>
      </c>
      <c r="M128" s="5"/>
      <c r="N128" s="5"/>
    </row>
    <row r="129" spans="1:14">
      <c r="A129" s="4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 t="str">
        <f t="shared" si="3"/>
        <v/>
      </c>
      <c r="M129" s="5"/>
      <c r="N129" s="5"/>
    </row>
    <row r="130" spans="1:14">
      <c r="A130" s="4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 t="str">
        <f t="shared" si="3"/>
        <v/>
      </c>
      <c r="M130" s="5"/>
      <c r="N130" s="5"/>
    </row>
    <row r="131" spans="1:14">
      <c r="A131" s="4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 t="str">
        <f t="shared" ref="L131:L162" si="4">IF(COUNTA(B131:K131)=0,"",ROUND(AVERAGE(I131:K131),2))</f>
        <v/>
      </c>
      <c r="M131" s="5"/>
      <c r="N131" s="5"/>
    </row>
    <row r="132" spans="1:14">
      <c r="A132" s="4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 t="str">
        <f t="shared" si="4"/>
        <v/>
      </c>
      <c r="M132" s="5"/>
      <c r="N132" s="5"/>
    </row>
    <row r="133" spans="1:14">
      <c r="A133" s="4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 t="str">
        <f t="shared" si="4"/>
        <v/>
      </c>
      <c r="M133" s="5"/>
      <c r="N133" s="5"/>
    </row>
    <row r="134" spans="1:14">
      <c r="A134" s="4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 t="str">
        <f t="shared" si="4"/>
        <v/>
      </c>
      <c r="M134" s="5"/>
      <c r="N134" s="5"/>
    </row>
    <row r="135" spans="1:14">
      <c r="A135" s="4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 t="str">
        <f t="shared" si="4"/>
        <v/>
      </c>
      <c r="M135" s="5"/>
      <c r="N135" s="5"/>
    </row>
    <row r="136" spans="1:14">
      <c r="A136" s="4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 t="str">
        <f t="shared" si="4"/>
        <v/>
      </c>
      <c r="M136" s="5"/>
      <c r="N136" s="5"/>
    </row>
    <row r="137" spans="1:14">
      <c r="A137" s="4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 t="str">
        <f t="shared" si="4"/>
        <v/>
      </c>
      <c r="M137" s="5"/>
      <c r="N137" s="5"/>
    </row>
    <row r="138" spans="1:14">
      <c r="A138" s="4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 t="str">
        <f t="shared" si="4"/>
        <v/>
      </c>
      <c r="M138" s="5"/>
      <c r="N138" s="5"/>
    </row>
    <row r="139" spans="1:14">
      <c r="A139" s="4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 t="str">
        <f t="shared" si="4"/>
        <v/>
      </c>
      <c r="M139" s="5"/>
      <c r="N139" s="5"/>
    </row>
    <row r="140" spans="1:14">
      <c r="A140" s="4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 t="str">
        <f t="shared" si="4"/>
        <v/>
      </c>
      <c r="M140" s="5"/>
      <c r="N140" s="5"/>
    </row>
    <row r="141" spans="1:14">
      <c r="A141" s="4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 t="str">
        <f t="shared" si="4"/>
        <v/>
      </c>
      <c r="M141" s="5"/>
      <c r="N141" s="5"/>
    </row>
    <row r="142" spans="1:14">
      <c r="A142" s="4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 t="str">
        <f t="shared" si="4"/>
        <v/>
      </c>
      <c r="M142" s="5"/>
      <c r="N142" s="5"/>
    </row>
    <row r="143" spans="1:14">
      <c r="A143" s="4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 t="str">
        <f t="shared" si="4"/>
        <v/>
      </c>
      <c r="M143" s="5"/>
      <c r="N143" s="5"/>
    </row>
    <row r="144" spans="1:14">
      <c r="A144" s="4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 t="str">
        <f t="shared" si="4"/>
        <v/>
      </c>
      <c r="M144" s="5"/>
      <c r="N144" s="5"/>
    </row>
    <row r="145" spans="1:14">
      <c r="A145" s="4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 t="str">
        <f t="shared" si="4"/>
        <v/>
      </c>
      <c r="M145" s="5"/>
      <c r="N145" s="5"/>
    </row>
    <row r="146" spans="1:14">
      <c r="A146" s="4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 t="str">
        <f t="shared" si="4"/>
        <v/>
      </c>
      <c r="M146" s="5"/>
      <c r="N146" s="5"/>
    </row>
    <row r="147" spans="1:14">
      <c r="A147" s="4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 t="str">
        <f t="shared" si="4"/>
        <v/>
      </c>
      <c r="M147" s="5"/>
      <c r="N147" s="5"/>
    </row>
    <row r="148" spans="1:14">
      <c r="A148" s="4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 t="str">
        <f t="shared" si="4"/>
        <v/>
      </c>
      <c r="M148" s="5"/>
      <c r="N148" s="5"/>
    </row>
    <row r="149" spans="1:14">
      <c r="A149" s="4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 t="str">
        <f t="shared" si="4"/>
        <v/>
      </c>
      <c r="M149" s="5"/>
      <c r="N149" s="5"/>
    </row>
    <row r="150" spans="1:14">
      <c r="A150" s="4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 t="str">
        <f t="shared" si="4"/>
        <v/>
      </c>
      <c r="M150" s="5"/>
      <c r="N150" s="5"/>
    </row>
    <row r="151" spans="1:14">
      <c r="A151" s="4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 t="str">
        <f t="shared" si="4"/>
        <v/>
      </c>
      <c r="M151" s="5"/>
      <c r="N151" s="5"/>
    </row>
    <row r="152" spans="1:14">
      <c r="A152" s="4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 t="str">
        <f t="shared" si="4"/>
        <v/>
      </c>
      <c r="M152" s="5"/>
      <c r="N152" s="5"/>
    </row>
    <row r="153" spans="1:14">
      <c r="A153" s="4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 t="str">
        <f t="shared" si="4"/>
        <v/>
      </c>
      <c r="M153" s="5"/>
      <c r="N153" s="5"/>
    </row>
    <row r="154" spans="1:14">
      <c r="A154" s="4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 t="str">
        <f t="shared" si="4"/>
        <v/>
      </c>
      <c r="M154" s="5"/>
      <c r="N154" s="5"/>
    </row>
    <row r="155" spans="1:14">
      <c r="A155" s="4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 t="str">
        <f t="shared" si="4"/>
        <v/>
      </c>
      <c r="M155" s="5"/>
      <c r="N155" s="5"/>
    </row>
    <row r="156" spans="1:14">
      <c r="A156" s="4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 t="str">
        <f t="shared" si="4"/>
        <v/>
      </c>
      <c r="M156" s="5"/>
      <c r="N156" s="5"/>
    </row>
    <row r="157" spans="1:14">
      <c r="A157" s="4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 t="str">
        <f t="shared" si="4"/>
        <v/>
      </c>
      <c r="M157" s="5"/>
      <c r="N157" s="5"/>
    </row>
    <row r="158" spans="1:14">
      <c r="A158" s="4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 t="str">
        <f t="shared" si="4"/>
        <v/>
      </c>
      <c r="M158" s="5"/>
      <c r="N158" s="5"/>
    </row>
    <row r="159" spans="1:14">
      <c r="A159" s="4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 t="str">
        <f t="shared" si="4"/>
        <v/>
      </c>
      <c r="M159" s="5"/>
      <c r="N159" s="5"/>
    </row>
    <row r="160" spans="1:14">
      <c r="A160" s="4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 t="str">
        <f t="shared" si="4"/>
        <v/>
      </c>
      <c r="M160" s="5"/>
      <c r="N160" s="5"/>
    </row>
    <row r="161" spans="1:14">
      <c r="A161" s="4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 t="str">
        <f t="shared" si="4"/>
        <v/>
      </c>
      <c r="M161" s="5"/>
      <c r="N161" s="5"/>
    </row>
    <row r="162" spans="1:14">
      <c r="A162" s="4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 t="str">
        <f t="shared" si="4"/>
        <v/>
      </c>
      <c r="M162" s="5"/>
      <c r="N162" s="5"/>
    </row>
    <row r="163" spans="1:14">
      <c r="A163" s="4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 t="str">
        <f t="shared" ref="L163:L194" si="5">IF(COUNTA(B163:K163)=0,"",ROUND(AVERAGE(I163:K163),2))</f>
        <v/>
      </c>
      <c r="M163" s="5"/>
      <c r="N163" s="5"/>
    </row>
    <row r="164" spans="1:14">
      <c r="A164" s="4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 t="str">
        <f t="shared" si="5"/>
        <v/>
      </c>
      <c r="M164" s="5"/>
      <c r="N164" s="5"/>
    </row>
    <row r="165" spans="1:14">
      <c r="A165" s="4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 t="str">
        <f t="shared" si="5"/>
        <v/>
      </c>
      <c r="M165" s="5"/>
      <c r="N165" s="5"/>
    </row>
    <row r="166" spans="1:14">
      <c r="A166" s="4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 t="str">
        <f t="shared" si="5"/>
        <v/>
      </c>
      <c r="M166" s="5"/>
      <c r="N166" s="5"/>
    </row>
    <row r="167" spans="1:14">
      <c r="A167" s="4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 t="str">
        <f t="shared" si="5"/>
        <v/>
      </c>
      <c r="M167" s="5"/>
      <c r="N167" s="5"/>
    </row>
    <row r="168" spans="1:14">
      <c r="A168" s="4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 t="str">
        <f t="shared" si="5"/>
        <v/>
      </c>
      <c r="M168" s="5"/>
      <c r="N168" s="5"/>
    </row>
    <row r="169" spans="1:14">
      <c r="A169" s="4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 t="str">
        <f t="shared" si="5"/>
        <v/>
      </c>
      <c r="M169" s="5"/>
      <c r="N169" s="5"/>
    </row>
    <row r="170" spans="1:14">
      <c r="A170" s="4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 t="str">
        <f t="shared" si="5"/>
        <v/>
      </c>
      <c r="M170" s="5"/>
      <c r="N170" s="5"/>
    </row>
    <row r="171" spans="1:14">
      <c r="A171" s="4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 t="str">
        <f t="shared" si="5"/>
        <v/>
      </c>
      <c r="M171" s="5"/>
      <c r="N171" s="5"/>
    </row>
    <row r="172" spans="1:14">
      <c r="A172" s="4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 t="str">
        <f t="shared" si="5"/>
        <v/>
      </c>
      <c r="M172" s="5"/>
      <c r="N172" s="5"/>
    </row>
    <row r="173" spans="1:14">
      <c r="A173" s="4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 t="str">
        <f t="shared" si="5"/>
        <v/>
      </c>
      <c r="M173" s="5"/>
      <c r="N173" s="5"/>
    </row>
    <row r="174" spans="1:14">
      <c r="A174" s="4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 t="str">
        <f t="shared" si="5"/>
        <v/>
      </c>
      <c r="M174" s="5"/>
      <c r="N174" s="5"/>
    </row>
    <row r="175" spans="1:14">
      <c r="A175" s="4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 t="str">
        <f t="shared" si="5"/>
        <v/>
      </c>
      <c r="M175" s="5"/>
      <c r="N175" s="5"/>
    </row>
    <row r="176" spans="1:14">
      <c r="A176" s="4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 t="str">
        <f t="shared" si="5"/>
        <v/>
      </c>
      <c r="M176" s="5"/>
      <c r="N176" s="5"/>
    </row>
    <row r="177" spans="1:14">
      <c r="A177" s="4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 t="str">
        <f t="shared" si="5"/>
        <v/>
      </c>
      <c r="M177" s="5"/>
      <c r="N177" s="5"/>
    </row>
    <row r="178" spans="1:14">
      <c r="A178" s="4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 t="str">
        <f t="shared" si="5"/>
        <v/>
      </c>
      <c r="M178" s="5"/>
      <c r="N178" s="5"/>
    </row>
    <row r="179" spans="1:14">
      <c r="A179" s="4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 t="str">
        <f t="shared" si="5"/>
        <v/>
      </c>
      <c r="M179" s="5"/>
      <c r="N179" s="5"/>
    </row>
    <row r="180" spans="1:14">
      <c r="A180" s="4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 t="str">
        <f t="shared" si="5"/>
        <v/>
      </c>
      <c r="M180" s="5"/>
      <c r="N180" s="5"/>
    </row>
    <row r="181" spans="1:14">
      <c r="A181" s="4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 t="str">
        <f t="shared" si="5"/>
        <v/>
      </c>
      <c r="M181" s="5"/>
      <c r="N181" s="5"/>
    </row>
    <row r="182" spans="1:14">
      <c r="A182" s="4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 t="str">
        <f t="shared" si="5"/>
        <v/>
      </c>
      <c r="M182" s="5"/>
      <c r="N182" s="5"/>
    </row>
    <row r="183" spans="1:14">
      <c r="A183" s="4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 t="str">
        <f t="shared" si="5"/>
        <v/>
      </c>
      <c r="M183" s="5"/>
      <c r="N183" s="5"/>
    </row>
    <row r="184" spans="1:14">
      <c r="A184" s="4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 t="str">
        <f t="shared" si="5"/>
        <v/>
      </c>
      <c r="M184" s="5"/>
      <c r="N184" s="5"/>
    </row>
    <row r="185" spans="1:14">
      <c r="A185" s="4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 t="str">
        <f t="shared" si="5"/>
        <v/>
      </c>
      <c r="M185" s="5"/>
      <c r="N185" s="5"/>
    </row>
    <row r="186" spans="1:14">
      <c r="A186" s="4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 t="str">
        <f t="shared" si="5"/>
        <v/>
      </c>
      <c r="M186" s="5"/>
      <c r="N186" s="5"/>
    </row>
    <row r="187" spans="1:14">
      <c r="A187" s="4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 t="str">
        <f t="shared" si="5"/>
        <v/>
      </c>
      <c r="M187" s="5"/>
      <c r="N187" s="5"/>
    </row>
    <row r="188" spans="1:14">
      <c r="A188" s="4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 t="str">
        <f t="shared" si="5"/>
        <v/>
      </c>
      <c r="M188" s="5"/>
      <c r="N188" s="5"/>
    </row>
    <row r="189" spans="1:14">
      <c r="A189" s="4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 t="str">
        <f t="shared" si="5"/>
        <v/>
      </c>
      <c r="M189" s="5"/>
      <c r="N189" s="5"/>
    </row>
    <row r="190" spans="1:14">
      <c r="A190" s="4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 t="str">
        <f t="shared" si="5"/>
        <v/>
      </c>
      <c r="M190" s="5"/>
      <c r="N190" s="5"/>
    </row>
    <row r="191" spans="1:14">
      <c r="A191" s="4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 t="str">
        <f t="shared" si="5"/>
        <v/>
      </c>
      <c r="M191" s="5"/>
      <c r="N191" s="5"/>
    </row>
    <row r="192" spans="1:14">
      <c r="A192" s="4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 t="str">
        <f t="shared" si="5"/>
        <v/>
      </c>
      <c r="M192" s="5"/>
      <c r="N192" s="5"/>
    </row>
    <row r="193" spans="1:14">
      <c r="A193" s="4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 t="str">
        <f t="shared" si="5"/>
        <v/>
      </c>
      <c r="M193" s="5"/>
      <c r="N193" s="5"/>
    </row>
    <row r="194" spans="1:14">
      <c r="A194" s="4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 t="str">
        <f t="shared" si="5"/>
        <v/>
      </c>
      <c r="M194" s="5"/>
      <c r="N194" s="5"/>
    </row>
    <row r="195" spans="1:14">
      <c r="A195" s="4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 t="str">
        <f t="shared" ref="L195:L226" si="6">IF(COUNTA(B195:K195)=0,"",ROUND(AVERAGE(I195:K195),2))</f>
        <v/>
      </c>
      <c r="M195" s="5"/>
      <c r="N195" s="5"/>
    </row>
    <row r="196" spans="1:14">
      <c r="A196" s="4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 t="str">
        <f t="shared" si="6"/>
        <v/>
      </c>
      <c r="M196" s="5"/>
      <c r="N196" s="5"/>
    </row>
    <row r="197" spans="1:14">
      <c r="A197" s="4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 t="str">
        <f t="shared" si="6"/>
        <v/>
      </c>
      <c r="M197" s="5"/>
      <c r="N197" s="5"/>
    </row>
    <row r="198" spans="1:14">
      <c r="A198" s="4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 t="str">
        <f t="shared" si="6"/>
        <v/>
      </c>
      <c r="M198" s="5"/>
      <c r="N198" s="5"/>
    </row>
    <row r="199" spans="1:14">
      <c r="A199" s="4">
        <v>197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 t="str">
        <f t="shared" si="6"/>
        <v/>
      </c>
      <c r="M199" s="5"/>
      <c r="N199" s="5"/>
    </row>
    <row r="200" spans="1:14">
      <c r="A200" s="4">
        <v>198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 t="str">
        <f t="shared" si="6"/>
        <v/>
      </c>
      <c r="M200" s="5"/>
      <c r="N200" s="5"/>
    </row>
    <row r="201" spans="1:14">
      <c r="A201" s="4">
        <v>199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 t="str">
        <f t="shared" si="6"/>
        <v/>
      </c>
      <c r="M201" s="5"/>
      <c r="N201" s="5"/>
    </row>
    <row r="202" spans="1:14">
      <c r="A202" s="4">
        <v>200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 t="str">
        <f t="shared" si="6"/>
        <v/>
      </c>
      <c r="M202" s="5"/>
      <c r="N202" s="5"/>
    </row>
  </sheetData>
  <mergeCells count="1">
    <mergeCell ref="A1:N1"/>
  </mergeCells>
  <conditionalFormatting sqref="L3:L2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B3:B202</xm:sqref>
        </x14:dataValidation>
        <x14:dataValidation type="list" xr:uid="{00000000-0002-0000-0100-000001000000}">
          <x14:formula1>
            <xm:f>'12_Справочники'!$B$3:$B$11</xm:f>
          </x14:formula1>
          <xm:sqref>H3:H202</xm:sqref>
        </x14:dataValidation>
        <x14:dataValidation type="list" xr:uid="{00000000-0002-0000-0100-000002000000}">
          <x14:formula1>
            <xm:f>'12_Справочники'!$C$3:$C$7</xm:f>
          </x14:formula1>
          <xm:sqref>I3:K202</xm:sqref>
        </x14:dataValidation>
        <x14:dataValidation type="list" xr:uid="{00000000-0002-0000-0100-000003000000}">
          <x14:formula1>
            <xm:f>'12_Справочники'!$D$3:$D$8</xm:f>
          </x14:formula1>
          <xm:sqref>M3:M202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3.5"/>
  <cols>
    <col min="1" max="1" width="25" customWidth="1"/>
    <col min="2" max="3" width="42" customWidth="1"/>
    <col min="4" max="5" width="38" customWidth="1"/>
    <col min="6" max="8" width="14" customWidth="1"/>
    <col min="9" max="9" width="30" customWidth="1"/>
    <col min="10" max="10" width="20" customWidth="1"/>
  </cols>
  <sheetData>
    <row r="1" spans="1:10" ht="16.05" customHeight="1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</row>
    <row r="2" spans="1:10" ht="16.05" customHeight="1">
      <c r="A2" s="3" t="s">
        <v>44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45</v>
      </c>
      <c r="G2" s="3" t="s">
        <v>56</v>
      </c>
      <c r="H2" s="3" t="s">
        <v>57</v>
      </c>
      <c r="I2" s="3" t="s">
        <v>58</v>
      </c>
      <c r="J2" s="3" t="s">
        <v>59</v>
      </c>
    </row>
    <row r="3" spans="1:10" ht="108">
      <c r="A3" s="4" t="s">
        <v>60</v>
      </c>
      <c r="B3" s="4" t="s">
        <v>61</v>
      </c>
      <c r="C3" s="4" t="s">
        <v>62</v>
      </c>
      <c r="D3" s="5" t="s">
        <v>402</v>
      </c>
      <c r="E3" s="5" t="s">
        <v>403</v>
      </c>
      <c r="F3" s="5">
        <v>4</v>
      </c>
      <c r="G3" s="5">
        <v>4</v>
      </c>
      <c r="H3" s="5">
        <v>2</v>
      </c>
      <c r="I3" s="5" t="s">
        <v>404</v>
      </c>
      <c r="J3" s="6" t="str">
        <f t="shared" ref="J3:J11" si="0">IF(COUNTA(D3:E3)=0,"Не заполнено",IF(AND(F3&gt;=4,G3&gt;=4,H3&lt;=2),"Готово",IF(OR(F3&lt;3,G3&lt;3,H3&gt;=4),"Требует доработки","Проверить")))</f>
        <v>Готово</v>
      </c>
    </row>
    <row r="4" spans="1:10" ht="121.5">
      <c r="A4" s="4" t="s">
        <v>63</v>
      </c>
      <c r="B4" s="4" t="s">
        <v>64</v>
      </c>
      <c r="C4" s="4" t="s">
        <v>65</v>
      </c>
      <c r="D4" s="5" t="s">
        <v>405</v>
      </c>
      <c r="E4" s="5" t="s">
        <v>406</v>
      </c>
      <c r="F4" s="5">
        <v>4</v>
      </c>
      <c r="G4" s="5">
        <v>4</v>
      </c>
      <c r="H4" s="5">
        <v>3</v>
      </c>
      <c r="I4" s="5" t="s">
        <v>407</v>
      </c>
      <c r="J4" s="6" t="str">
        <f t="shared" si="0"/>
        <v>Проверить</v>
      </c>
    </row>
    <row r="5" spans="1:10" ht="67.5">
      <c r="A5" s="4" t="s">
        <v>66</v>
      </c>
      <c r="B5" s="4" t="s">
        <v>67</v>
      </c>
      <c r="C5" s="4" t="s">
        <v>68</v>
      </c>
      <c r="D5" s="5" t="s">
        <v>408</v>
      </c>
      <c r="E5" s="5" t="s">
        <v>409</v>
      </c>
      <c r="F5" s="5">
        <v>4</v>
      </c>
      <c r="G5" s="5">
        <v>4</v>
      </c>
      <c r="H5" s="5">
        <v>3</v>
      </c>
      <c r="I5" s="5" t="s">
        <v>410</v>
      </c>
      <c r="J5" s="6" t="str">
        <f t="shared" si="0"/>
        <v>Проверить</v>
      </c>
    </row>
    <row r="6" spans="1:10" ht="40.5">
      <c r="A6" s="4" t="s">
        <v>69</v>
      </c>
      <c r="B6" s="4" t="s">
        <v>70</v>
      </c>
      <c r="C6" s="4" t="s">
        <v>71</v>
      </c>
      <c r="D6" s="5" t="s">
        <v>411</v>
      </c>
      <c r="E6" s="5" t="s">
        <v>412</v>
      </c>
      <c r="F6" s="5">
        <v>3</v>
      </c>
      <c r="G6" s="5">
        <v>4</v>
      </c>
      <c r="H6" s="5">
        <v>3</v>
      </c>
      <c r="I6" s="5" t="s">
        <v>413</v>
      </c>
      <c r="J6" s="6" t="str">
        <f t="shared" si="0"/>
        <v>Проверить</v>
      </c>
    </row>
    <row r="7" spans="1:10" ht="67.5">
      <c r="A7" s="4" t="s">
        <v>72</v>
      </c>
      <c r="B7" s="4" t="s">
        <v>73</v>
      </c>
      <c r="C7" s="4" t="s">
        <v>74</v>
      </c>
      <c r="D7" s="5" t="s">
        <v>414</v>
      </c>
      <c r="E7" s="5" t="s">
        <v>415</v>
      </c>
      <c r="F7" s="5">
        <v>3</v>
      </c>
      <c r="G7" s="5">
        <v>4</v>
      </c>
      <c r="H7" s="5">
        <v>3</v>
      </c>
      <c r="I7" s="5" t="s">
        <v>416</v>
      </c>
      <c r="J7" s="6" t="str">
        <f t="shared" si="0"/>
        <v>Проверить</v>
      </c>
    </row>
    <row r="8" spans="1:10" ht="67.5">
      <c r="A8" s="4" t="s">
        <v>75</v>
      </c>
      <c r="B8" s="4" t="s">
        <v>76</v>
      </c>
      <c r="C8" s="4" t="s">
        <v>77</v>
      </c>
      <c r="D8" s="5" t="s">
        <v>417</v>
      </c>
      <c r="E8" s="5" t="s">
        <v>418</v>
      </c>
      <c r="F8" s="5">
        <v>2</v>
      </c>
      <c r="G8" s="5">
        <v>3</v>
      </c>
      <c r="H8" s="5">
        <v>3</v>
      </c>
      <c r="I8" s="5" t="s">
        <v>419</v>
      </c>
      <c r="J8" s="6" t="str">
        <f t="shared" si="0"/>
        <v>Требует доработки</v>
      </c>
    </row>
    <row r="9" spans="1:10" ht="67.5">
      <c r="A9" s="4" t="s">
        <v>78</v>
      </c>
      <c r="B9" s="4" t="s">
        <v>79</v>
      </c>
      <c r="C9" s="4" t="s">
        <v>80</v>
      </c>
      <c r="D9" s="5" t="s">
        <v>420</v>
      </c>
      <c r="E9" s="5" t="s">
        <v>421</v>
      </c>
      <c r="F9" s="5">
        <v>2</v>
      </c>
      <c r="G9" s="5">
        <v>3</v>
      </c>
      <c r="H9" s="5">
        <v>3</v>
      </c>
      <c r="I9" s="5" t="s">
        <v>422</v>
      </c>
      <c r="J9" s="6" t="str">
        <f t="shared" si="0"/>
        <v>Требует доработки</v>
      </c>
    </row>
    <row r="10" spans="1:10" ht="54">
      <c r="A10" s="4" t="s">
        <v>81</v>
      </c>
      <c r="B10" s="4" t="s">
        <v>82</v>
      </c>
      <c r="C10" s="4" t="s">
        <v>83</v>
      </c>
      <c r="D10" s="5" t="s">
        <v>423</v>
      </c>
      <c r="E10" s="5" t="s">
        <v>424</v>
      </c>
      <c r="F10" s="5">
        <v>2</v>
      </c>
      <c r="G10" s="5">
        <v>3</v>
      </c>
      <c r="H10" s="5">
        <v>3</v>
      </c>
      <c r="I10" s="5" t="s">
        <v>425</v>
      </c>
      <c r="J10" s="6" t="str">
        <f t="shared" si="0"/>
        <v>Требует доработки</v>
      </c>
    </row>
    <row r="11" spans="1:10" ht="54">
      <c r="A11" s="4" t="s">
        <v>84</v>
      </c>
      <c r="B11" s="4" t="s">
        <v>85</v>
      </c>
      <c r="C11" s="4" t="s">
        <v>86</v>
      </c>
      <c r="D11" s="5" t="s">
        <v>426</v>
      </c>
      <c r="E11" s="5" t="s">
        <v>427</v>
      </c>
      <c r="F11" s="5">
        <v>2</v>
      </c>
      <c r="G11" s="5">
        <v>3</v>
      </c>
      <c r="H11" s="5">
        <v>4</v>
      </c>
      <c r="I11" s="5" t="s">
        <v>428</v>
      </c>
      <c r="J11" s="6" t="str">
        <f t="shared" si="0"/>
        <v>Требует доработки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F3:G11"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2"/>
  <sheetViews>
    <sheetView workbookViewId="0"/>
  </sheetViews>
  <sheetFormatPr defaultRowHeight="13.5"/>
  <cols>
    <col min="1" max="1" width="12" customWidth="1"/>
    <col min="2" max="5" width="32" customWidth="1"/>
    <col min="6" max="9" width="16" customWidth="1"/>
    <col min="10" max="11" width="18" customWidth="1"/>
  </cols>
  <sheetData>
    <row r="1" spans="1:11" ht="16.05" customHeight="1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05" customHeight="1">
      <c r="A2" s="3" t="s">
        <v>88</v>
      </c>
      <c r="B2" s="3" t="s">
        <v>89</v>
      </c>
      <c r="C2" s="3" t="s">
        <v>90</v>
      </c>
      <c r="D2" s="3" t="s">
        <v>91</v>
      </c>
      <c r="E2" s="3" t="s">
        <v>55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</row>
    <row r="3" spans="1:11" ht="40.5">
      <c r="A3" s="4" t="s">
        <v>429</v>
      </c>
      <c r="B3" s="5" t="s">
        <v>430</v>
      </c>
      <c r="C3" s="5" t="s">
        <v>431</v>
      </c>
      <c r="D3" s="5" t="s">
        <v>432</v>
      </c>
      <c r="E3" s="5" t="s">
        <v>433</v>
      </c>
      <c r="F3" s="5">
        <v>4</v>
      </c>
      <c r="G3" s="5">
        <v>4</v>
      </c>
      <c r="H3" s="5">
        <v>2</v>
      </c>
      <c r="I3" s="5">
        <v>4</v>
      </c>
      <c r="J3" s="6">
        <f t="shared" ref="J3:J34" si="0">IF(COUNTA(B3:I3)=0,"",ROUND(AVERAGE(F3:I3),2))</f>
        <v>3.5</v>
      </c>
      <c r="K3" s="6" t="str">
        <f t="shared" ref="K3:K34" si="1">IF(J3="","",IF(J3&gt;=4,"Приоритетный",IF(J3&gt;=3,"Перспективный","Низкий приоритет")))</f>
        <v>Перспективный</v>
      </c>
    </row>
    <row r="4" spans="1:11" ht="54">
      <c r="A4" s="4" t="s">
        <v>434</v>
      </c>
      <c r="B4" s="5" t="s">
        <v>435</v>
      </c>
      <c r="C4" s="5" t="s">
        <v>436</v>
      </c>
      <c r="D4" s="5" t="s">
        <v>437</v>
      </c>
      <c r="E4" s="5" t="s">
        <v>438</v>
      </c>
      <c r="F4" s="5">
        <v>3</v>
      </c>
      <c r="G4" s="5">
        <v>4</v>
      </c>
      <c r="H4" s="5">
        <v>4</v>
      </c>
      <c r="I4" s="5">
        <v>3</v>
      </c>
      <c r="J4" s="6">
        <f t="shared" si="0"/>
        <v>3.5</v>
      </c>
      <c r="K4" s="6" t="str">
        <f t="shared" si="1"/>
        <v>Перспективный</v>
      </c>
    </row>
    <row r="5" spans="1:11">
      <c r="A5" s="4">
        <v>3</v>
      </c>
      <c r="B5" s="5"/>
      <c r="C5" s="5"/>
      <c r="D5" s="5"/>
      <c r="E5" s="5"/>
      <c r="F5" s="5"/>
      <c r="G5" s="5"/>
      <c r="H5" s="5"/>
      <c r="I5" s="5"/>
      <c r="J5" s="6" t="str">
        <f t="shared" si="0"/>
        <v/>
      </c>
      <c r="K5" s="6" t="str">
        <f t="shared" si="1"/>
        <v/>
      </c>
    </row>
    <row r="6" spans="1:11">
      <c r="A6" s="4">
        <v>4</v>
      </c>
      <c r="B6" s="5"/>
      <c r="C6" s="5"/>
      <c r="D6" s="5"/>
      <c r="E6" s="5"/>
      <c r="F6" s="5"/>
      <c r="G6" s="5"/>
      <c r="H6" s="5"/>
      <c r="I6" s="5"/>
      <c r="J6" s="6" t="str">
        <f t="shared" si="0"/>
        <v/>
      </c>
      <c r="K6" s="6" t="str">
        <f t="shared" si="1"/>
        <v/>
      </c>
    </row>
    <row r="7" spans="1:11">
      <c r="A7" s="4">
        <v>5</v>
      </c>
      <c r="B7" s="5"/>
      <c r="C7" s="5"/>
      <c r="D7" s="5"/>
      <c r="E7" s="5"/>
      <c r="F7" s="5"/>
      <c r="G7" s="5"/>
      <c r="H7" s="5"/>
      <c r="I7" s="5"/>
      <c r="J7" s="6" t="str">
        <f t="shared" si="0"/>
        <v/>
      </c>
      <c r="K7" s="6" t="str">
        <f t="shared" si="1"/>
        <v/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6" t="str">
        <f t="shared" si="0"/>
        <v/>
      </c>
      <c r="K8" s="6" t="str">
        <f t="shared" si="1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6" t="str">
        <f t="shared" si="0"/>
        <v/>
      </c>
      <c r="K9" s="6" t="str">
        <f t="shared" si="1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6" t="str">
        <f t="shared" si="0"/>
        <v/>
      </c>
      <c r="K10" s="6" t="str">
        <f t="shared" si="1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6" t="str">
        <f t="shared" si="0"/>
        <v/>
      </c>
      <c r="K11" s="6" t="str">
        <f t="shared" si="1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6" t="str">
        <f t="shared" si="0"/>
        <v/>
      </c>
      <c r="K12" s="6" t="str">
        <f t="shared" si="1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6" t="str">
        <f t="shared" si="0"/>
        <v/>
      </c>
      <c r="K13" s="6" t="str">
        <f t="shared" si="1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6" t="str">
        <f t="shared" si="0"/>
        <v/>
      </c>
      <c r="K14" s="6" t="str">
        <f t="shared" si="1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6" t="str">
        <f t="shared" si="0"/>
        <v/>
      </c>
      <c r="K15" s="6" t="str">
        <f t="shared" si="1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6" t="str">
        <f t="shared" si="0"/>
        <v/>
      </c>
      <c r="K16" s="6" t="str">
        <f t="shared" si="1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6" t="str">
        <f t="shared" si="0"/>
        <v/>
      </c>
      <c r="K17" s="6" t="str">
        <f t="shared" si="1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6" t="str">
        <f t="shared" si="0"/>
        <v/>
      </c>
      <c r="K18" s="6" t="str">
        <f t="shared" si="1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6" t="str">
        <f t="shared" si="0"/>
        <v/>
      </c>
      <c r="K19" s="6" t="str">
        <f t="shared" si="1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6" t="str">
        <f t="shared" si="0"/>
        <v/>
      </c>
      <c r="K20" s="6" t="str">
        <f t="shared" si="1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6" t="str">
        <f t="shared" si="0"/>
        <v/>
      </c>
      <c r="K21" s="6" t="str">
        <f t="shared" si="1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6" t="str">
        <f t="shared" si="0"/>
        <v/>
      </c>
      <c r="K22" s="6" t="str">
        <f t="shared" si="1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6" t="str">
        <f t="shared" si="0"/>
        <v/>
      </c>
      <c r="K23" s="6" t="str">
        <f t="shared" si="1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6" t="str">
        <f t="shared" si="0"/>
        <v/>
      </c>
      <c r="K24" s="6" t="str">
        <f t="shared" si="1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6" t="str">
        <f t="shared" si="0"/>
        <v/>
      </c>
      <c r="K25" s="6" t="str">
        <f t="shared" si="1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6" t="str">
        <f t="shared" si="0"/>
        <v/>
      </c>
      <c r="K26" s="6" t="str">
        <f t="shared" si="1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6" t="str">
        <f t="shared" si="0"/>
        <v/>
      </c>
      <c r="K27" s="6" t="str">
        <f t="shared" si="1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6" t="str">
        <f t="shared" si="0"/>
        <v/>
      </c>
      <c r="K28" s="6" t="str">
        <f t="shared" si="1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6" t="str">
        <f t="shared" si="0"/>
        <v/>
      </c>
      <c r="K29" s="6" t="str">
        <f t="shared" si="1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6" t="str">
        <f t="shared" si="0"/>
        <v/>
      </c>
      <c r="K30" s="6" t="str">
        <f t="shared" si="1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6" t="str">
        <f t="shared" si="0"/>
        <v/>
      </c>
      <c r="K31" s="6" t="str">
        <f t="shared" si="1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6" t="str">
        <f t="shared" si="0"/>
        <v/>
      </c>
      <c r="K32" s="6" t="str">
        <f t="shared" si="1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6" t="str">
        <f t="shared" si="0"/>
        <v/>
      </c>
      <c r="K33" s="6" t="str">
        <f t="shared" si="1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6" t="str">
        <f t="shared" si="0"/>
        <v/>
      </c>
      <c r="K34" s="6" t="str">
        <f t="shared" si="1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6" t="str">
        <f t="shared" ref="J35:J66" si="2">IF(COUNTA(B35:I35)=0,"",ROUND(AVERAGE(F35:I35),2))</f>
        <v/>
      </c>
      <c r="K35" s="6" t="str">
        <f t="shared" ref="K35:K66" si="3">IF(J35="","",IF(J35&gt;=4,"Приоритетный",IF(J35&gt;=3,"Перспективный","Низкий приоритет")))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6" t="str">
        <f t="shared" si="2"/>
        <v/>
      </c>
      <c r="K36" s="6" t="str">
        <f t="shared" si="3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6" t="str">
        <f t="shared" si="2"/>
        <v/>
      </c>
      <c r="K37" s="6" t="str">
        <f t="shared" si="3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6" t="str">
        <f t="shared" si="2"/>
        <v/>
      </c>
      <c r="K38" s="6" t="str">
        <f t="shared" si="3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6" t="str">
        <f t="shared" si="2"/>
        <v/>
      </c>
      <c r="K39" s="6" t="str">
        <f t="shared" si="3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6" t="str">
        <f t="shared" si="2"/>
        <v/>
      </c>
      <c r="K40" s="6" t="str">
        <f t="shared" si="3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6" t="str">
        <f t="shared" si="2"/>
        <v/>
      </c>
      <c r="K41" s="6" t="str">
        <f t="shared" si="3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6" t="str">
        <f t="shared" si="2"/>
        <v/>
      </c>
      <c r="K42" s="6" t="str">
        <f t="shared" si="3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6" t="str">
        <f t="shared" si="2"/>
        <v/>
      </c>
      <c r="K43" s="6" t="str">
        <f t="shared" si="3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6" t="str">
        <f t="shared" si="2"/>
        <v/>
      </c>
      <c r="K44" s="6" t="str">
        <f t="shared" si="3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6" t="str">
        <f t="shared" si="2"/>
        <v/>
      </c>
      <c r="K45" s="6" t="str">
        <f t="shared" si="3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6" t="str">
        <f t="shared" si="2"/>
        <v/>
      </c>
      <c r="K46" s="6" t="str">
        <f t="shared" si="3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6" t="str">
        <f t="shared" si="2"/>
        <v/>
      </c>
      <c r="K47" s="6" t="str">
        <f t="shared" si="3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6" t="str">
        <f t="shared" si="2"/>
        <v/>
      </c>
      <c r="K48" s="6" t="str">
        <f t="shared" si="3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6" t="str">
        <f t="shared" si="2"/>
        <v/>
      </c>
      <c r="K49" s="6" t="str">
        <f t="shared" si="3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6" t="str">
        <f t="shared" si="2"/>
        <v/>
      </c>
      <c r="K50" s="6" t="str">
        <f t="shared" si="3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6" t="str">
        <f t="shared" si="2"/>
        <v/>
      </c>
      <c r="K51" s="6" t="str">
        <f t="shared" si="3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6" t="str">
        <f t="shared" si="2"/>
        <v/>
      </c>
      <c r="K52" s="6" t="str">
        <f t="shared" si="3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6" t="str">
        <f t="shared" si="2"/>
        <v/>
      </c>
      <c r="K53" s="6" t="str">
        <f t="shared" si="3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6" t="str">
        <f t="shared" si="2"/>
        <v/>
      </c>
      <c r="K54" s="6" t="str">
        <f t="shared" si="3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6" t="str">
        <f t="shared" si="2"/>
        <v/>
      </c>
      <c r="K55" s="6" t="str">
        <f t="shared" si="3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6" t="str">
        <f t="shared" si="2"/>
        <v/>
      </c>
      <c r="K56" s="6" t="str">
        <f t="shared" si="3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6" t="str">
        <f t="shared" si="2"/>
        <v/>
      </c>
      <c r="K57" s="6" t="str">
        <f t="shared" si="3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6" t="str">
        <f t="shared" si="2"/>
        <v/>
      </c>
      <c r="K58" s="6" t="str">
        <f t="shared" si="3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6" t="str">
        <f t="shared" si="2"/>
        <v/>
      </c>
      <c r="K59" s="6" t="str">
        <f t="shared" si="3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6" t="str">
        <f t="shared" si="2"/>
        <v/>
      </c>
      <c r="K60" s="6" t="str">
        <f t="shared" si="3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6" t="str">
        <f t="shared" si="2"/>
        <v/>
      </c>
      <c r="K61" s="6" t="str">
        <f t="shared" si="3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6" t="str">
        <f t="shared" si="2"/>
        <v/>
      </c>
      <c r="K62" s="6" t="str">
        <f t="shared" si="3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6" t="str">
        <f t="shared" si="2"/>
        <v/>
      </c>
      <c r="K63" s="6" t="str">
        <f t="shared" si="3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6" t="str">
        <f t="shared" si="2"/>
        <v/>
      </c>
      <c r="K64" s="6" t="str">
        <f t="shared" si="3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6" t="str">
        <f t="shared" si="2"/>
        <v/>
      </c>
      <c r="K65" s="6" t="str">
        <f t="shared" si="3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6" t="str">
        <f t="shared" si="2"/>
        <v/>
      </c>
      <c r="K66" s="6" t="str">
        <f t="shared" si="3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6" t="str">
        <f t="shared" ref="J67:J98" si="4">IF(COUNTA(B67:I67)=0,"",ROUND(AVERAGE(F67:I67),2))</f>
        <v/>
      </c>
      <c r="K67" s="6" t="str">
        <f t="shared" ref="K67:K98" si="5">IF(J67="","",IF(J67&gt;=4,"Приоритетный",IF(J67&gt;=3,"Перспективный","Низкий приоритет")))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6" t="str">
        <f t="shared" si="4"/>
        <v/>
      </c>
      <c r="K68" s="6" t="str">
        <f t="shared" si="5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6" t="str">
        <f t="shared" si="4"/>
        <v/>
      </c>
      <c r="K69" s="6" t="str">
        <f t="shared" si="5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6" t="str">
        <f t="shared" si="4"/>
        <v/>
      </c>
      <c r="K70" s="6" t="str">
        <f t="shared" si="5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6" t="str">
        <f t="shared" si="4"/>
        <v/>
      </c>
      <c r="K71" s="6" t="str">
        <f t="shared" si="5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6" t="str">
        <f t="shared" si="4"/>
        <v/>
      </c>
      <c r="K72" s="6" t="str">
        <f t="shared" si="5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6" t="str">
        <f t="shared" si="4"/>
        <v/>
      </c>
      <c r="K73" s="6" t="str">
        <f t="shared" si="5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6" t="str">
        <f t="shared" si="4"/>
        <v/>
      </c>
      <c r="K74" s="6" t="str">
        <f t="shared" si="5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6" t="str">
        <f t="shared" si="4"/>
        <v/>
      </c>
      <c r="K75" s="6" t="str">
        <f t="shared" si="5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6" t="str">
        <f t="shared" si="4"/>
        <v/>
      </c>
      <c r="K76" s="6" t="str">
        <f t="shared" si="5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6" t="str">
        <f t="shared" si="4"/>
        <v/>
      </c>
      <c r="K77" s="6" t="str">
        <f t="shared" si="5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6" t="str">
        <f t="shared" si="4"/>
        <v/>
      </c>
      <c r="K78" s="6" t="str">
        <f t="shared" si="5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6" t="str">
        <f t="shared" si="4"/>
        <v/>
      </c>
      <c r="K79" s="6" t="str">
        <f t="shared" si="5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6" t="str">
        <f t="shared" si="4"/>
        <v/>
      </c>
      <c r="K80" s="6" t="str">
        <f t="shared" si="5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6" t="str">
        <f t="shared" si="4"/>
        <v/>
      </c>
      <c r="K81" s="6" t="str">
        <f t="shared" si="5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6" t="str">
        <f t="shared" si="4"/>
        <v/>
      </c>
      <c r="K82" s="6" t="str">
        <f t="shared" si="5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6" t="str">
        <f t="shared" si="4"/>
        <v/>
      </c>
      <c r="K83" s="6" t="str">
        <f t="shared" si="5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6" t="str">
        <f t="shared" si="4"/>
        <v/>
      </c>
      <c r="K84" s="6" t="str">
        <f t="shared" si="5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6" t="str">
        <f t="shared" si="4"/>
        <v/>
      </c>
      <c r="K85" s="6" t="str">
        <f t="shared" si="5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6" t="str">
        <f t="shared" si="4"/>
        <v/>
      </c>
      <c r="K86" s="6" t="str">
        <f t="shared" si="5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6" t="str">
        <f t="shared" si="4"/>
        <v/>
      </c>
      <c r="K87" s="6" t="str">
        <f t="shared" si="5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6" t="str">
        <f t="shared" si="4"/>
        <v/>
      </c>
      <c r="K88" s="6" t="str">
        <f t="shared" si="5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6" t="str">
        <f t="shared" si="4"/>
        <v/>
      </c>
      <c r="K89" s="6" t="str">
        <f t="shared" si="5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6" t="str">
        <f t="shared" si="4"/>
        <v/>
      </c>
      <c r="K90" s="6" t="str">
        <f t="shared" si="5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6" t="str">
        <f t="shared" si="4"/>
        <v/>
      </c>
      <c r="K91" s="6" t="str">
        <f t="shared" si="5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6" t="str">
        <f t="shared" si="4"/>
        <v/>
      </c>
      <c r="K92" s="6" t="str">
        <f t="shared" si="5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6" t="str">
        <f t="shared" si="4"/>
        <v/>
      </c>
      <c r="K93" s="6" t="str">
        <f t="shared" si="5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6" t="str">
        <f t="shared" si="4"/>
        <v/>
      </c>
      <c r="K94" s="6" t="str">
        <f t="shared" si="5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6" t="str">
        <f t="shared" si="4"/>
        <v/>
      </c>
      <c r="K95" s="6" t="str">
        <f t="shared" si="5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6" t="str">
        <f t="shared" si="4"/>
        <v/>
      </c>
      <c r="K96" s="6" t="str">
        <f t="shared" si="5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6" t="str">
        <f t="shared" si="4"/>
        <v/>
      </c>
      <c r="K97" s="6" t="str">
        <f t="shared" si="5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6" t="str">
        <f t="shared" si="4"/>
        <v/>
      </c>
      <c r="K98" s="6" t="str">
        <f t="shared" si="5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6" t="str">
        <f t="shared" ref="J99:J130" si="6">IF(COUNTA(B99:I99)=0,"",ROUND(AVERAGE(F99:I99),2))</f>
        <v/>
      </c>
      <c r="K99" s="6" t="str">
        <f t="shared" ref="K99:K130" si="7">IF(J99="","",IF(J99&gt;=4,"Приоритетный",IF(J99&gt;=3,"Перспективный","Низкий приоритет")))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6" t="str">
        <f t="shared" si="6"/>
        <v/>
      </c>
      <c r="K100" s="6" t="str">
        <f t="shared" si="7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6" t="str">
        <f t="shared" si="6"/>
        <v/>
      </c>
      <c r="K101" s="6" t="str">
        <f t="shared" si="7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6" t="str">
        <f t="shared" si="6"/>
        <v/>
      </c>
      <c r="K102" s="6" t="str">
        <f t="shared" si="7"/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F3:I102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2"/>
  <sheetViews>
    <sheetView workbookViewId="0"/>
  </sheetViews>
  <sheetFormatPr defaultRowHeight="13.5"/>
  <cols>
    <col min="1" max="1" width="7" customWidth="1"/>
    <col min="2" max="2" width="18" customWidth="1"/>
    <col min="3" max="7" width="32" customWidth="1"/>
    <col min="8" max="8" width="24" customWidth="1"/>
    <col min="9" max="11" width="28" customWidth="1"/>
    <col min="12" max="12" width="22" customWidth="1"/>
    <col min="13" max="15" width="16" customWidth="1"/>
    <col min="16" max="17" width="18" customWidth="1"/>
  </cols>
  <sheetData>
    <row r="1" spans="1:17" ht="16.05" customHeight="1">
      <c r="A1" s="9" t="s">
        <v>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6.05" customHeight="1">
      <c r="A2" s="3" t="s">
        <v>37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112</v>
      </c>
      <c r="P2" s="3" t="s">
        <v>113</v>
      </c>
      <c r="Q2" s="3" t="s">
        <v>97</v>
      </c>
    </row>
    <row r="3" spans="1:17" ht="54">
      <c r="A3" s="4" t="s">
        <v>439</v>
      </c>
      <c r="B3" s="5" t="s">
        <v>440</v>
      </c>
      <c r="C3" s="5" t="s">
        <v>441</v>
      </c>
      <c r="D3" s="5" t="s">
        <v>442</v>
      </c>
      <c r="E3" s="5" t="s">
        <v>443</v>
      </c>
      <c r="F3" s="5" t="s">
        <v>444</v>
      </c>
      <c r="G3" s="5" t="s">
        <v>445</v>
      </c>
      <c r="H3" s="5" t="s">
        <v>261</v>
      </c>
      <c r="I3" s="5" t="s">
        <v>446</v>
      </c>
      <c r="J3" s="5" t="s">
        <v>447</v>
      </c>
      <c r="K3" s="5" t="s">
        <v>448</v>
      </c>
      <c r="L3" s="5" t="s">
        <v>449</v>
      </c>
      <c r="M3" s="5">
        <v>4</v>
      </c>
      <c r="N3" s="5">
        <v>3</v>
      </c>
      <c r="O3" s="5">
        <v>4</v>
      </c>
      <c r="P3" s="6">
        <f t="shared" ref="P3:P34" si="0">IF(COUNTA(B3:O3)=0,"",ROUND(AVERAGE(M3:O3),2))</f>
        <v>3.67</v>
      </c>
      <c r="Q3" s="6" t="str">
        <f t="shared" ref="Q3:Q34" si="1">IF(P3="","",IF(P3&gt;=4,"Готово",IF(P3&gt;=3,"Проверить","Доработать")))</f>
        <v>Проверить</v>
      </c>
    </row>
    <row r="4" spans="1:17" ht="40.5">
      <c r="A4" s="4" t="s">
        <v>450</v>
      </c>
      <c r="B4" s="5" t="s">
        <v>451</v>
      </c>
      <c r="C4" s="5" t="s">
        <v>452</v>
      </c>
      <c r="D4" s="5" t="s">
        <v>453</v>
      </c>
      <c r="E4" s="5" t="s">
        <v>454</v>
      </c>
      <c r="F4" s="5" t="s">
        <v>455</v>
      </c>
      <c r="G4" s="5" t="s">
        <v>445</v>
      </c>
      <c r="H4" s="5" t="s">
        <v>261</v>
      </c>
      <c r="I4" s="5" t="s">
        <v>456</v>
      </c>
      <c r="J4" s="5" t="s">
        <v>457</v>
      </c>
      <c r="K4" s="5" t="s">
        <v>458</v>
      </c>
      <c r="L4" s="5" t="s">
        <v>253</v>
      </c>
      <c r="M4" s="5">
        <v>3</v>
      </c>
      <c r="N4" s="5">
        <v>3</v>
      </c>
      <c r="O4" s="5">
        <v>3</v>
      </c>
      <c r="P4" s="6">
        <f t="shared" si="0"/>
        <v>3</v>
      </c>
      <c r="Q4" s="6" t="str">
        <f t="shared" si="1"/>
        <v>Проверить</v>
      </c>
    </row>
    <row r="5" spans="1:17">
      <c r="A5" s="4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str">
        <f t="shared" si="0"/>
        <v/>
      </c>
      <c r="Q5" s="6" t="str">
        <f t="shared" si="1"/>
        <v/>
      </c>
    </row>
    <row r="6" spans="1:17">
      <c r="A6" s="4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str">
        <f t="shared" si="0"/>
        <v/>
      </c>
      <c r="Q6" s="6" t="str">
        <f t="shared" si="1"/>
        <v/>
      </c>
    </row>
    <row r="7" spans="1:17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tr">
        <f t="shared" si="0"/>
        <v/>
      </c>
      <c r="Q7" s="6" t="str">
        <f t="shared" si="1"/>
        <v/>
      </c>
    </row>
    <row r="8" spans="1:17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tr">
        <f t="shared" si="0"/>
        <v/>
      </c>
      <c r="Q8" s="6" t="str">
        <f t="shared" si="1"/>
        <v/>
      </c>
    </row>
    <row r="9" spans="1:17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tr">
        <f t="shared" si="0"/>
        <v/>
      </c>
      <c r="Q9" s="6" t="str">
        <f t="shared" si="1"/>
        <v/>
      </c>
    </row>
    <row r="10" spans="1:17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tr">
        <f t="shared" si="0"/>
        <v/>
      </c>
      <c r="Q10" s="6" t="str">
        <f t="shared" si="1"/>
        <v/>
      </c>
    </row>
    <row r="11" spans="1:17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tr">
        <f t="shared" si="0"/>
        <v/>
      </c>
      <c r="Q11" s="6" t="str">
        <f t="shared" si="1"/>
        <v/>
      </c>
    </row>
    <row r="12" spans="1:17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tr">
        <f t="shared" si="0"/>
        <v/>
      </c>
      <c r="Q12" s="6" t="str">
        <f t="shared" si="1"/>
        <v/>
      </c>
    </row>
    <row r="13" spans="1:17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tr">
        <f t="shared" si="0"/>
        <v/>
      </c>
      <c r="Q13" s="6" t="str">
        <f t="shared" si="1"/>
        <v/>
      </c>
    </row>
    <row r="14" spans="1:17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tr">
        <f t="shared" si="0"/>
        <v/>
      </c>
      <c r="Q14" s="6" t="str">
        <f t="shared" si="1"/>
        <v/>
      </c>
    </row>
    <row r="15" spans="1:17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tr">
        <f t="shared" si="0"/>
        <v/>
      </c>
      <c r="Q15" s="6" t="str">
        <f t="shared" si="1"/>
        <v/>
      </c>
    </row>
    <row r="16" spans="1:17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tr">
        <f t="shared" si="0"/>
        <v/>
      </c>
      <c r="Q16" s="6" t="str">
        <f t="shared" si="1"/>
        <v/>
      </c>
    </row>
    <row r="17" spans="1:17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 t="str">
        <f t="shared" si="0"/>
        <v/>
      </c>
      <c r="Q17" s="6" t="str">
        <f t="shared" si="1"/>
        <v/>
      </c>
    </row>
    <row r="18" spans="1:17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 t="str">
        <f t="shared" si="0"/>
        <v/>
      </c>
      <c r="Q18" s="6" t="str">
        <f t="shared" si="1"/>
        <v/>
      </c>
    </row>
    <row r="19" spans="1:17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 t="str">
        <f t="shared" si="0"/>
        <v/>
      </c>
      <c r="Q19" s="6" t="str">
        <f t="shared" si="1"/>
        <v/>
      </c>
    </row>
    <row r="20" spans="1:17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 t="str">
        <f t="shared" si="0"/>
        <v/>
      </c>
      <c r="Q20" s="6" t="str">
        <f t="shared" si="1"/>
        <v/>
      </c>
    </row>
    <row r="21" spans="1:17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 t="str">
        <f t="shared" si="0"/>
        <v/>
      </c>
      <c r="Q21" s="6" t="str">
        <f t="shared" si="1"/>
        <v/>
      </c>
    </row>
    <row r="22" spans="1:17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 t="str">
        <f t="shared" si="0"/>
        <v/>
      </c>
      <c r="Q22" s="6" t="str">
        <f t="shared" si="1"/>
        <v/>
      </c>
    </row>
    <row r="23" spans="1:17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 t="str">
        <f t="shared" si="0"/>
        <v/>
      </c>
      <c r="Q23" s="6" t="str">
        <f t="shared" si="1"/>
        <v/>
      </c>
    </row>
    <row r="24" spans="1:17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 t="str">
        <f t="shared" si="0"/>
        <v/>
      </c>
      <c r="Q24" s="6" t="str">
        <f t="shared" si="1"/>
        <v/>
      </c>
    </row>
    <row r="25" spans="1:17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 t="str">
        <f t="shared" si="0"/>
        <v/>
      </c>
      <c r="Q25" s="6" t="str">
        <f t="shared" si="1"/>
        <v/>
      </c>
    </row>
    <row r="26" spans="1:17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 t="str">
        <f t="shared" si="0"/>
        <v/>
      </c>
      <c r="Q26" s="6" t="str">
        <f t="shared" si="1"/>
        <v/>
      </c>
    </row>
    <row r="27" spans="1:17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 t="str">
        <f t="shared" si="0"/>
        <v/>
      </c>
      <c r="Q27" s="6" t="str">
        <f t="shared" si="1"/>
        <v/>
      </c>
    </row>
    <row r="28" spans="1:17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 t="str">
        <f t="shared" si="0"/>
        <v/>
      </c>
      <c r="Q28" s="6" t="str">
        <f t="shared" si="1"/>
        <v/>
      </c>
    </row>
    <row r="29" spans="1:17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 t="str">
        <f t="shared" si="0"/>
        <v/>
      </c>
      <c r="Q29" s="6" t="str">
        <f t="shared" si="1"/>
        <v/>
      </c>
    </row>
    <row r="30" spans="1:17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 t="str">
        <f t="shared" si="0"/>
        <v/>
      </c>
      <c r="Q30" s="6" t="str">
        <f t="shared" si="1"/>
        <v/>
      </c>
    </row>
    <row r="31" spans="1:17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 t="str">
        <f t="shared" si="0"/>
        <v/>
      </c>
      <c r="Q31" s="6" t="str">
        <f t="shared" si="1"/>
        <v/>
      </c>
    </row>
    <row r="32" spans="1:17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 t="str">
        <f t="shared" si="0"/>
        <v/>
      </c>
      <c r="Q32" s="6" t="str">
        <f t="shared" si="1"/>
        <v/>
      </c>
    </row>
    <row r="33" spans="1:17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 t="str">
        <f t="shared" si="0"/>
        <v/>
      </c>
      <c r="Q33" s="6" t="str">
        <f t="shared" si="1"/>
        <v/>
      </c>
    </row>
    <row r="34" spans="1:17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 t="str">
        <f t="shared" si="0"/>
        <v/>
      </c>
      <c r="Q34" s="6" t="str">
        <f t="shared" si="1"/>
        <v/>
      </c>
    </row>
    <row r="35" spans="1:17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 t="str">
        <f t="shared" ref="P35:P66" si="2">IF(COUNTA(B35:O35)=0,"",ROUND(AVERAGE(M35:O35),2))</f>
        <v/>
      </c>
      <c r="Q35" s="6" t="str">
        <f t="shared" ref="Q35:Q66" si="3">IF(P35="","",IF(P35&gt;=4,"Готово",IF(P35&gt;=3,"Проверить","Доработать")))</f>
        <v/>
      </c>
    </row>
    <row r="36" spans="1:17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 t="str">
        <f t="shared" si="2"/>
        <v/>
      </c>
      <c r="Q36" s="6" t="str">
        <f t="shared" si="3"/>
        <v/>
      </c>
    </row>
    <row r="37" spans="1:17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 t="str">
        <f t="shared" si="2"/>
        <v/>
      </c>
      <c r="Q37" s="6" t="str">
        <f t="shared" si="3"/>
        <v/>
      </c>
    </row>
    <row r="38" spans="1:17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 t="str">
        <f t="shared" si="2"/>
        <v/>
      </c>
      <c r="Q38" s="6" t="str">
        <f t="shared" si="3"/>
        <v/>
      </c>
    </row>
    <row r="39" spans="1:17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 t="str">
        <f t="shared" si="2"/>
        <v/>
      </c>
      <c r="Q39" s="6" t="str">
        <f t="shared" si="3"/>
        <v/>
      </c>
    </row>
    <row r="40" spans="1:17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 t="str">
        <f t="shared" si="2"/>
        <v/>
      </c>
      <c r="Q40" s="6" t="str">
        <f t="shared" si="3"/>
        <v/>
      </c>
    </row>
    <row r="41" spans="1:17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 t="str">
        <f t="shared" si="2"/>
        <v/>
      </c>
      <c r="Q41" s="6" t="str">
        <f t="shared" si="3"/>
        <v/>
      </c>
    </row>
    <row r="42" spans="1:17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 t="str">
        <f t="shared" si="2"/>
        <v/>
      </c>
      <c r="Q42" s="6" t="str">
        <f t="shared" si="3"/>
        <v/>
      </c>
    </row>
    <row r="43" spans="1:17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 t="str">
        <f t="shared" si="2"/>
        <v/>
      </c>
      <c r="Q43" s="6" t="str">
        <f t="shared" si="3"/>
        <v/>
      </c>
    </row>
    <row r="44" spans="1:17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 t="str">
        <f t="shared" si="2"/>
        <v/>
      </c>
      <c r="Q44" s="6" t="str">
        <f t="shared" si="3"/>
        <v/>
      </c>
    </row>
    <row r="45" spans="1:17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 t="str">
        <f t="shared" si="2"/>
        <v/>
      </c>
      <c r="Q45" s="6" t="str">
        <f t="shared" si="3"/>
        <v/>
      </c>
    </row>
    <row r="46" spans="1:17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 t="str">
        <f t="shared" si="2"/>
        <v/>
      </c>
      <c r="Q46" s="6" t="str">
        <f t="shared" si="3"/>
        <v/>
      </c>
    </row>
    <row r="47" spans="1:17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 t="str">
        <f t="shared" si="2"/>
        <v/>
      </c>
      <c r="Q47" s="6" t="str">
        <f t="shared" si="3"/>
        <v/>
      </c>
    </row>
    <row r="48" spans="1:17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 t="str">
        <f t="shared" si="2"/>
        <v/>
      </c>
      <c r="Q48" s="6" t="str">
        <f t="shared" si="3"/>
        <v/>
      </c>
    </row>
    <row r="49" spans="1:17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 t="str">
        <f t="shared" si="2"/>
        <v/>
      </c>
      <c r="Q49" s="6" t="str">
        <f t="shared" si="3"/>
        <v/>
      </c>
    </row>
    <row r="50" spans="1:17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 t="str">
        <f t="shared" si="2"/>
        <v/>
      </c>
      <c r="Q50" s="6" t="str">
        <f t="shared" si="3"/>
        <v/>
      </c>
    </row>
    <row r="51" spans="1:17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 t="str">
        <f t="shared" si="2"/>
        <v/>
      </c>
      <c r="Q51" s="6" t="str">
        <f t="shared" si="3"/>
        <v/>
      </c>
    </row>
    <row r="52" spans="1:17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 t="str">
        <f t="shared" si="2"/>
        <v/>
      </c>
      <c r="Q52" s="6" t="str">
        <f t="shared" si="3"/>
        <v/>
      </c>
    </row>
    <row r="53" spans="1:17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 t="str">
        <f t="shared" si="2"/>
        <v/>
      </c>
      <c r="Q53" s="6" t="str">
        <f t="shared" si="3"/>
        <v/>
      </c>
    </row>
    <row r="54" spans="1:17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 t="str">
        <f t="shared" si="2"/>
        <v/>
      </c>
      <c r="Q54" s="6" t="str">
        <f t="shared" si="3"/>
        <v/>
      </c>
    </row>
    <row r="55" spans="1:17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 t="str">
        <f t="shared" si="2"/>
        <v/>
      </c>
      <c r="Q55" s="6" t="str">
        <f t="shared" si="3"/>
        <v/>
      </c>
    </row>
    <row r="56" spans="1:17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 t="str">
        <f t="shared" si="2"/>
        <v/>
      </c>
      <c r="Q56" s="6" t="str">
        <f t="shared" si="3"/>
        <v/>
      </c>
    </row>
    <row r="57" spans="1:17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 t="str">
        <f t="shared" si="2"/>
        <v/>
      </c>
      <c r="Q57" s="6" t="str">
        <f t="shared" si="3"/>
        <v/>
      </c>
    </row>
    <row r="58" spans="1:17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 t="str">
        <f t="shared" si="2"/>
        <v/>
      </c>
      <c r="Q58" s="6" t="str">
        <f t="shared" si="3"/>
        <v/>
      </c>
    </row>
    <row r="59" spans="1:17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 t="str">
        <f t="shared" si="2"/>
        <v/>
      </c>
      <c r="Q59" s="6" t="str">
        <f t="shared" si="3"/>
        <v/>
      </c>
    </row>
    <row r="60" spans="1:17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 t="str">
        <f t="shared" si="2"/>
        <v/>
      </c>
      <c r="Q60" s="6" t="str">
        <f t="shared" si="3"/>
        <v/>
      </c>
    </row>
    <row r="61" spans="1:17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 t="str">
        <f t="shared" si="2"/>
        <v/>
      </c>
      <c r="Q61" s="6" t="str">
        <f t="shared" si="3"/>
        <v/>
      </c>
    </row>
    <row r="62" spans="1:17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 t="str">
        <f t="shared" si="2"/>
        <v/>
      </c>
      <c r="Q62" s="6" t="str">
        <f t="shared" si="3"/>
        <v/>
      </c>
    </row>
    <row r="63" spans="1:17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 t="str">
        <f t="shared" si="2"/>
        <v/>
      </c>
      <c r="Q63" s="6" t="str">
        <f t="shared" si="3"/>
        <v/>
      </c>
    </row>
    <row r="64" spans="1:17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 t="str">
        <f t="shared" si="2"/>
        <v/>
      </c>
      <c r="Q64" s="6" t="str">
        <f t="shared" si="3"/>
        <v/>
      </c>
    </row>
    <row r="65" spans="1:17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 t="str">
        <f t="shared" si="2"/>
        <v/>
      </c>
      <c r="Q65" s="6" t="str">
        <f t="shared" si="3"/>
        <v/>
      </c>
    </row>
    <row r="66" spans="1:17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 t="str">
        <f t="shared" si="2"/>
        <v/>
      </c>
      <c r="Q66" s="6" t="str">
        <f t="shared" si="3"/>
        <v/>
      </c>
    </row>
    <row r="67" spans="1:17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 t="str">
        <f t="shared" ref="P67:P98" si="4">IF(COUNTA(B67:O67)=0,"",ROUND(AVERAGE(M67:O67),2))</f>
        <v/>
      </c>
      <c r="Q67" s="6" t="str">
        <f t="shared" ref="Q67:Q98" si="5">IF(P67="","",IF(P67&gt;=4,"Готово",IF(P67&gt;=3,"Проверить","Доработать")))</f>
        <v/>
      </c>
    </row>
    <row r="68" spans="1:17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 t="str">
        <f t="shared" si="4"/>
        <v/>
      </c>
      <c r="Q68" s="6" t="str">
        <f t="shared" si="5"/>
        <v/>
      </c>
    </row>
    <row r="69" spans="1:17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 t="str">
        <f t="shared" si="4"/>
        <v/>
      </c>
      <c r="Q69" s="6" t="str">
        <f t="shared" si="5"/>
        <v/>
      </c>
    </row>
    <row r="70" spans="1:17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 t="str">
        <f t="shared" si="4"/>
        <v/>
      </c>
      <c r="Q70" s="6" t="str">
        <f t="shared" si="5"/>
        <v/>
      </c>
    </row>
    <row r="71" spans="1:17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 t="str">
        <f t="shared" si="4"/>
        <v/>
      </c>
      <c r="Q71" s="6" t="str">
        <f t="shared" si="5"/>
        <v/>
      </c>
    </row>
    <row r="72" spans="1:17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 t="str">
        <f t="shared" si="4"/>
        <v/>
      </c>
      <c r="Q72" s="6" t="str">
        <f t="shared" si="5"/>
        <v/>
      </c>
    </row>
    <row r="73" spans="1:17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 t="str">
        <f t="shared" si="4"/>
        <v/>
      </c>
      <c r="Q73" s="6" t="str">
        <f t="shared" si="5"/>
        <v/>
      </c>
    </row>
    <row r="74" spans="1:17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 t="str">
        <f t="shared" si="4"/>
        <v/>
      </c>
      <c r="Q74" s="6" t="str">
        <f t="shared" si="5"/>
        <v/>
      </c>
    </row>
    <row r="75" spans="1:17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 t="str">
        <f t="shared" si="4"/>
        <v/>
      </c>
      <c r="Q75" s="6" t="str">
        <f t="shared" si="5"/>
        <v/>
      </c>
    </row>
    <row r="76" spans="1:17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 t="str">
        <f t="shared" si="4"/>
        <v/>
      </c>
      <c r="Q76" s="6" t="str">
        <f t="shared" si="5"/>
        <v/>
      </c>
    </row>
    <row r="77" spans="1:17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 t="str">
        <f t="shared" si="4"/>
        <v/>
      </c>
      <c r="Q77" s="6" t="str">
        <f t="shared" si="5"/>
        <v/>
      </c>
    </row>
    <row r="78" spans="1:17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 t="str">
        <f t="shared" si="4"/>
        <v/>
      </c>
      <c r="Q78" s="6" t="str">
        <f t="shared" si="5"/>
        <v/>
      </c>
    </row>
    <row r="79" spans="1:17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 t="str">
        <f t="shared" si="4"/>
        <v/>
      </c>
      <c r="Q79" s="6" t="str">
        <f t="shared" si="5"/>
        <v/>
      </c>
    </row>
    <row r="80" spans="1:17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 t="str">
        <f t="shared" si="4"/>
        <v/>
      </c>
      <c r="Q80" s="6" t="str">
        <f t="shared" si="5"/>
        <v/>
      </c>
    </row>
    <row r="81" spans="1:17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 t="str">
        <f t="shared" si="4"/>
        <v/>
      </c>
      <c r="Q81" s="6" t="str">
        <f t="shared" si="5"/>
        <v/>
      </c>
    </row>
    <row r="82" spans="1:17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 t="str">
        <f t="shared" si="4"/>
        <v/>
      </c>
      <c r="Q82" s="6" t="str">
        <f t="shared" si="5"/>
        <v/>
      </c>
    </row>
    <row r="83" spans="1:17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 t="str">
        <f t="shared" si="4"/>
        <v/>
      </c>
      <c r="Q83" s="6" t="str">
        <f t="shared" si="5"/>
        <v/>
      </c>
    </row>
    <row r="84" spans="1:17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 t="str">
        <f t="shared" si="4"/>
        <v/>
      </c>
      <c r="Q84" s="6" t="str">
        <f t="shared" si="5"/>
        <v/>
      </c>
    </row>
    <row r="85" spans="1:17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 t="str">
        <f t="shared" si="4"/>
        <v/>
      </c>
      <c r="Q85" s="6" t="str">
        <f t="shared" si="5"/>
        <v/>
      </c>
    </row>
    <row r="86" spans="1:17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 t="str">
        <f t="shared" si="4"/>
        <v/>
      </c>
      <c r="Q86" s="6" t="str">
        <f t="shared" si="5"/>
        <v/>
      </c>
    </row>
    <row r="87" spans="1:17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 t="str">
        <f t="shared" si="4"/>
        <v/>
      </c>
      <c r="Q87" s="6" t="str">
        <f t="shared" si="5"/>
        <v/>
      </c>
    </row>
    <row r="88" spans="1:17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 t="str">
        <f t="shared" si="4"/>
        <v/>
      </c>
      <c r="Q88" s="6" t="str">
        <f t="shared" si="5"/>
        <v/>
      </c>
    </row>
    <row r="89" spans="1:17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 t="str">
        <f t="shared" si="4"/>
        <v/>
      </c>
      <c r="Q89" s="6" t="str">
        <f t="shared" si="5"/>
        <v/>
      </c>
    </row>
    <row r="90" spans="1:17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 t="str">
        <f t="shared" si="4"/>
        <v/>
      </c>
      <c r="Q90" s="6" t="str">
        <f t="shared" si="5"/>
        <v/>
      </c>
    </row>
    <row r="91" spans="1:17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 t="str">
        <f t="shared" si="4"/>
        <v/>
      </c>
      <c r="Q91" s="6" t="str">
        <f t="shared" si="5"/>
        <v/>
      </c>
    </row>
    <row r="92" spans="1:17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 t="str">
        <f t="shared" si="4"/>
        <v/>
      </c>
      <c r="Q92" s="6" t="str">
        <f t="shared" si="5"/>
        <v/>
      </c>
    </row>
    <row r="93" spans="1:17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 t="str">
        <f t="shared" si="4"/>
        <v/>
      </c>
      <c r="Q93" s="6" t="str">
        <f t="shared" si="5"/>
        <v/>
      </c>
    </row>
    <row r="94" spans="1:17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 t="str">
        <f t="shared" si="4"/>
        <v/>
      </c>
      <c r="Q94" s="6" t="str">
        <f t="shared" si="5"/>
        <v/>
      </c>
    </row>
    <row r="95" spans="1:17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 t="str">
        <f t="shared" si="4"/>
        <v/>
      </c>
      <c r="Q95" s="6" t="str">
        <f t="shared" si="5"/>
        <v/>
      </c>
    </row>
    <row r="96" spans="1:17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 t="str">
        <f t="shared" si="4"/>
        <v/>
      </c>
      <c r="Q96" s="6" t="str">
        <f t="shared" si="5"/>
        <v/>
      </c>
    </row>
    <row r="97" spans="1:17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6" t="str">
        <f t="shared" si="4"/>
        <v/>
      </c>
      <c r="Q97" s="6" t="str">
        <f t="shared" si="5"/>
        <v/>
      </c>
    </row>
    <row r="98" spans="1:17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 t="str">
        <f t="shared" si="4"/>
        <v/>
      </c>
      <c r="Q98" s="6" t="str">
        <f t="shared" si="5"/>
        <v/>
      </c>
    </row>
    <row r="99" spans="1:17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 t="str">
        <f t="shared" ref="P99:P130" si="6">IF(COUNTA(B99:O99)=0,"",ROUND(AVERAGE(M99:O99),2))</f>
        <v/>
      </c>
      <c r="Q99" s="6" t="str">
        <f t="shared" ref="Q99:Q130" si="7">IF(P99="","",IF(P99&gt;=4,"Готово",IF(P99&gt;=3,"Проверить","Доработать")))</f>
        <v/>
      </c>
    </row>
    <row r="100" spans="1:17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 t="str">
        <f t="shared" si="6"/>
        <v/>
      </c>
      <c r="Q100" s="6" t="str">
        <f t="shared" si="7"/>
        <v/>
      </c>
    </row>
    <row r="101" spans="1:17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 t="str">
        <f t="shared" si="6"/>
        <v/>
      </c>
      <c r="Q101" s="6" t="str">
        <f t="shared" si="7"/>
        <v/>
      </c>
    </row>
    <row r="102" spans="1:17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 t="str">
        <f t="shared" si="6"/>
        <v/>
      </c>
      <c r="Q102" s="6" t="str">
        <f t="shared" si="7"/>
        <v/>
      </c>
    </row>
  </sheetData>
  <mergeCells count="1">
    <mergeCell ref="A1:Q1"/>
  </mergeCells>
  <conditionalFormatting sqref="P3:P102">
    <cfRule type="dataBar" priority="1">
      <dataBar>
        <cfvo type="min"/>
        <cfvo type="max"/>
        <color rgb="FF22C55E"/>
      </dataBar>
    </cfRule>
  </conditionalFormatting>
  <conditionalFormatting sqref="P3:P102"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H3:H102</xm:sqref>
        </x14:dataValidation>
        <x14:dataValidation type="list" xr:uid="{00000000-0002-0000-0400-000001000000}">
          <x14:formula1>
            <xm:f>'12_Справочники'!$F$3:$F$8</xm:f>
          </x14:formula1>
          <xm:sqref>L3:L102</xm:sqref>
        </x14:dataValidation>
        <x14:dataValidation type="list" xr:uid="{00000000-0002-0000-0400-000002000000}">
          <x14:formula1>
            <xm:f>'12_Справочники'!$C$3:$C$7</xm:f>
          </x14:formula1>
          <xm:sqref>M3:O102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2"/>
  <sheetViews>
    <sheetView workbookViewId="0"/>
  </sheetViews>
  <sheetFormatPr defaultRowHeight="13.5"/>
  <cols>
    <col min="1" max="1" width="7" customWidth="1"/>
    <col min="2" max="2" width="20" customWidth="1"/>
    <col min="3" max="3" width="24" customWidth="1"/>
    <col min="4" max="6" width="32" customWidth="1"/>
    <col min="7" max="9" width="16" customWidth="1"/>
    <col min="10" max="11" width="18" customWidth="1"/>
  </cols>
  <sheetData>
    <row r="1" spans="1:11" ht="16.05" customHeight="1">
      <c r="A1" s="9" t="s">
        <v>114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05" customHeight="1">
      <c r="A2" s="3" t="s">
        <v>37</v>
      </c>
      <c r="B2" s="3" t="s">
        <v>115</v>
      </c>
      <c r="C2" s="3" t="s">
        <v>89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111</v>
      </c>
      <c r="J2" s="3" t="s">
        <v>96</v>
      </c>
      <c r="K2" s="3" t="s">
        <v>121</v>
      </c>
    </row>
    <row r="3" spans="1:11" ht="27">
      <c r="A3" s="4" t="s">
        <v>459</v>
      </c>
      <c r="B3" s="5" t="s">
        <v>247</v>
      </c>
      <c r="C3" s="5" t="s">
        <v>460</v>
      </c>
      <c r="D3" s="5" t="s">
        <v>461</v>
      </c>
      <c r="E3" s="5" t="s">
        <v>462</v>
      </c>
      <c r="F3" s="5" t="s">
        <v>463</v>
      </c>
      <c r="G3" s="5">
        <v>5</v>
      </c>
      <c r="H3" s="5">
        <v>2</v>
      </c>
      <c r="I3" s="5">
        <v>4</v>
      </c>
      <c r="J3" s="6">
        <f t="shared" ref="J3:J34" si="0">IF(COUNTA(B3:I3)=0,"",ROUND(AVERAGE(G3,6-H3,I3),2))</f>
        <v>4.33</v>
      </c>
      <c r="K3" s="6" t="str">
        <f t="shared" ref="K3:K34" si="1">IF(J3="","",IF(J3&gt;=4,"Включить",IF(J3&gt;=3,"Проверить","Не основной")))</f>
        <v>Включить</v>
      </c>
    </row>
    <row r="4" spans="1:11" ht="27">
      <c r="A4" s="4" t="s">
        <v>464</v>
      </c>
      <c r="B4" s="5" t="s">
        <v>256</v>
      </c>
      <c r="C4" s="5" t="s">
        <v>460</v>
      </c>
      <c r="D4" s="5" t="s">
        <v>465</v>
      </c>
      <c r="E4" s="5" t="s">
        <v>256</v>
      </c>
      <c r="F4" s="5" t="s">
        <v>466</v>
      </c>
      <c r="G4" s="5">
        <v>5</v>
      </c>
      <c r="H4" s="5">
        <v>2</v>
      </c>
      <c r="I4" s="5">
        <v>4</v>
      </c>
      <c r="J4" s="6">
        <f t="shared" si="0"/>
        <v>4.33</v>
      </c>
      <c r="K4" s="6" t="str">
        <f t="shared" si="1"/>
        <v>Включить</v>
      </c>
    </row>
    <row r="5" spans="1:11" ht="27">
      <c r="A5" s="4" t="s">
        <v>467</v>
      </c>
      <c r="B5" s="5" t="s">
        <v>274</v>
      </c>
      <c r="C5" s="5" t="s">
        <v>385</v>
      </c>
      <c r="D5" s="5" t="s">
        <v>468</v>
      </c>
      <c r="E5" s="5" t="s">
        <v>469</v>
      </c>
      <c r="F5" s="5" t="s">
        <v>470</v>
      </c>
      <c r="G5" s="5">
        <v>5</v>
      </c>
      <c r="H5" s="5">
        <v>1</v>
      </c>
      <c r="I5" s="5">
        <v>4</v>
      </c>
      <c r="J5" s="6">
        <f t="shared" si="0"/>
        <v>4.67</v>
      </c>
      <c r="K5" s="6" t="str">
        <f t="shared" si="1"/>
        <v>Включить</v>
      </c>
    </row>
    <row r="6" spans="1:11">
      <c r="A6" s="4" t="s">
        <v>471</v>
      </c>
      <c r="B6" s="5" t="s">
        <v>283</v>
      </c>
      <c r="C6" s="5" t="s">
        <v>460</v>
      </c>
      <c r="D6" s="5" t="s">
        <v>472</v>
      </c>
      <c r="E6" s="5" t="s">
        <v>292</v>
      </c>
      <c r="F6" s="5" t="s">
        <v>473</v>
      </c>
      <c r="G6" s="5">
        <v>4</v>
      </c>
      <c r="H6" s="5">
        <v>2</v>
      </c>
      <c r="I6" s="5">
        <v>4</v>
      </c>
      <c r="J6" s="6">
        <f t="shared" si="0"/>
        <v>4</v>
      </c>
      <c r="K6" s="6" t="str">
        <f t="shared" si="1"/>
        <v>Включить</v>
      </c>
    </row>
    <row r="7" spans="1:11" ht="27">
      <c r="A7" s="4" t="s">
        <v>474</v>
      </c>
      <c r="B7" s="5" t="s">
        <v>247</v>
      </c>
      <c r="C7" s="5" t="s">
        <v>385</v>
      </c>
      <c r="D7" s="5" t="s">
        <v>475</v>
      </c>
      <c r="E7" s="5" t="s">
        <v>462</v>
      </c>
      <c r="F7" s="5" t="s">
        <v>476</v>
      </c>
      <c r="G7" s="5">
        <v>4</v>
      </c>
      <c r="H7" s="5">
        <v>3</v>
      </c>
      <c r="I7" s="5">
        <v>2</v>
      </c>
      <c r="J7" s="6">
        <f t="shared" si="0"/>
        <v>3</v>
      </c>
      <c r="K7" s="6" t="str">
        <f t="shared" si="1"/>
        <v>Проверить</v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6" t="str">
        <f t="shared" si="0"/>
        <v/>
      </c>
      <c r="K8" s="6" t="str">
        <f t="shared" si="1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6" t="str">
        <f t="shared" si="0"/>
        <v/>
      </c>
      <c r="K9" s="6" t="str">
        <f t="shared" si="1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6" t="str">
        <f t="shared" si="0"/>
        <v/>
      </c>
      <c r="K10" s="6" t="str">
        <f t="shared" si="1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6" t="str">
        <f t="shared" si="0"/>
        <v/>
      </c>
      <c r="K11" s="6" t="str">
        <f t="shared" si="1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6" t="str">
        <f t="shared" si="0"/>
        <v/>
      </c>
      <c r="K12" s="6" t="str">
        <f t="shared" si="1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6" t="str">
        <f t="shared" si="0"/>
        <v/>
      </c>
      <c r="K13" s="6" t="str">
        <f t="shared" si="1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6" t="str">
        <f t="shared" si="0"/>
        <v/>
      </c>
      <c r="K14" s="6" t="str">
        <f t="shared" si="1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6" t="str">
        <f t="shared" si="0"/>
        <v/>
      </c>
      <c r="K15" s="6" t="str">
        <f t="shared" si="1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6" t="str">
        <f t="shared" si="0"/>
        <v/>
      </c>
      <c r="K16" s="6" t="str">
        <f t="shared" si="1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6" t="str">
        <f t="shared" si="0"/>
        <v/>
      </c>
      <c r="K17" s="6" t="str">
        <f t="shared" si="1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6" t="str">
        <f t="shared" si="0"/>
        <v/>
      </c>
      <c r="K18" s="6" t="str">
        <f t="shared" si="1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6" t="str">
        <f t="shared" si="0"/>
        <v/>
      </c>
      <c r="K19" s="6" t="str">
        <f t="shared" si="1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6" t="str">
        <f t="shared" si="0"/>
        <v/>
      </c>
      <c r="K20" s="6" t="str">
        <f t="shared" si="1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6" t="str">
        <f t="shared" si="0"/>
        <v/>
      </c>
      <c r="K21" s="6" t="str">
        <f t="shared" si="1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6" t="str">
        <f t="shared" si="0"/>
        <v/>
      </c>
      <c r="K22" s="6" t="str">
        <f t="shared" si="1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6" t="str">
        <f t="shared" si="0"/>
        <v/>
      </c>
      <c r="K23" s="6" t="str">
        <f t="shared" si="1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6" t="str">
        <f t="shared" si="0"/>
        <v/>
      </c>
      <c r="K24" s="6" t="str">
        <f t="shared" si="1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6" t="str">
        <f t="shared" si="0"/>
        <v/>
      </c>
      <c r="K25" s="6" t="str">
        <f t="shared" si="1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6" t="str">
        <f t="shared" si="0"/>
        <v/>
      </c>
      <c r="K26" s="6" t="str">
        <f t="shared" si="1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6" t="str">
        <f t="shared" si="0"/>
        <v/>
      </c>
      <c r="K27" s="6" t="str">
        <f t="shared" si="1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6" t="str">
        <f t="shared" si="0"/>
        <v/>
      </c>
      <c r="K28" s="6" t="str">
        <f t="shared" si="1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6" t="str">
        <f t="shared" si="0"/>
        <v/>
      </c>
      <c r="K29" s="6" t="str">
        <f t="shared" si="1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6" t="str">
        <f t="shared" si="0"/>
        <v/>
      </c>
      <c r="K30" s="6" t="str">
        <f t="shared" si="1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6" t="str">
        <f t="shared" si="0"/>
        <v/>
      </c>
      <c r="K31" s="6" t="str">
        <f t="shared" si="1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6" t="str">
        <f t="shared" si="0"/>
        <v/>
      </c>
      <c r="K32" s="6" t="str">
        <f t="shared" si="1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6" t="str">
        <f t="shared" si="0"/>
        <v/>
      </c>
      <c r="K33" s="6" t="str">
        <f t="shared" si="1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6" t="str">
        <f t="shared" si="0"/>
        <v/>
      </c>
      <c r="K34" s="6" t="str">
        <f t="shared" si="1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6" t="str">
        <f t="shared" ref="J35:J66" si="2">IF(COUNTA(B35:I35)=0,"",ROUND(AVERAGE(G35,6-H35,I35),2))</f>
        <v/>
      </c>
      <c r="K35" s="6" t="str">
        <f t="shared" ref="K35:K66" si="3">IF(J35="","",IF(J35&gt;=4,"Включить",IF(J35&gt;=3,"Проверить","Не основной")))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6" t="str">
        <f t="shared" si="2"/>
        <v/>
      </c>
      <c r="K36" s="6" t="str">
        <f t="shared" si="3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6" t="str">
        <f t="shared" si="2"/>
        <v/>
      </c>
      <c r="K37" s="6" t="str">
        <f t="shared" si="3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6" t="str">
        <f t="shared" si="2"/>
        <v/>
      </c>
      <c r="K38" s="6" t="str">
        <f t="shared" si="3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6" t="str">
        <f t="shared" si="2"/>
        <v/>
      </c>
      <c r="K39" s="6" t="str">
        <f t="shared" si="3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6" t="str">
        <f t="shared" si="2"/>
        <v/>
      </c>
      <c r="K40" s="6" t="str">
        <f t="shared" si="3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6" t="str">
        <f t="shared" si="2"/>
        <v/>
      </c>
      <c r="K41" s="6" t="str">
        <f t="shared" si="3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6" t="str">
        <f t="shared" si="2"/>
        <v/>
      </c>
      <c r="K42" s="6" t="str">
        <f t="shared" si="3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6" t="str">
        <f t="shared" si="2"/>
        <v/>
      </c>
      <c r="K43" s="6" t="str">
        <f t="shared" si="3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6" t="str">
        <f t="shared" si="2"/>
        <v/>
      </c>
      <c r="K44" s="6" t="str">
        <f t="shared" si="3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6" t="str">
        <f t="shared" si="2"/>
        <v/>
      </c>
      <c r="K45" s="6" t="str">
        <f t="shared" si="3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6" t="str">
        <f t="shared" si="2"/>
        <v/>
      </c>
      <c r="K46" s="6" t="str">
        <f t="shared" si="3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6" t="str">
        <f t="shared" si="2"/>
        <v/>
      </c>
      <c r="K47" s="6" t="str">
        <f t="shared" si="3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6" t="str">
        <f t="shared" si="2"/>
        <v/>
      </c>
      <c r="K48" s="6" t="str">
        <f t="shared" si="3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6" t="str">
        <f t="shared" si="2"/>
        <v/>
      </c>
      <c r="K49" s="6" t="str">
        <f t="shared" si="3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6" t="str">
        <f t="shared" si="2"/>
        <v/>
      </c>
      <c r="K50" s="6" t="str">
        <f t="shared" si="3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6" t="str">
        <f t="shared" si="2"/>
        <v/>
      </c>
      <c r="K51" s="6" t="str">
        <f t="shared" si="3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6" t="str">
        <f t="shared" si="2"/>
        <v/>
      </c>
      <c r="K52" s="6" t="str">
        <f t="shared" si="3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6" t="str">
        <f t="shared" si="2"/>
        <v/>
      </c>
      <c r="K53" s="6" t="str">
        <f t="shared" si="3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6" t="str">
        <f t="shared" si="2"/>
        <v/>
      </c>
      <c r="K54" s="6" t="str">
        <f t="shared" si="3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6" t="str">
        <f t="shared" si="2"/>
        <v/>
      </c>
      <c r="K55" s="6" t="str">
        <f t="shared" si="3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6" t="str">
        <f t="shared" si="2"/>
        <v/>
      </c>
      <c r="K56" s="6" t="str">
        <f t="shared" si="3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6" t="str">
        <f t="shared" si="2"/>
        <v/>
      </c>
      <c r="K57" s="6" t="str">
        <f t="shared" si="3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6" t="str">
        <f t="shared" si="2"/>
        <v/>
      </c>
      <c r="K58" s="6" t="str">
        <f t="shared" si="3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6" t="str">
        <f t="shared" si="2"/>
        <v/>
      </c>
      <c r="K59" s="6" t="str">
        <f t="shared" si="3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6" t="str">
        <f t="shared" si="2"/>
        <v/>
      </c>
      <c r="K60" s="6" t="str">
        <f t="shared" si="3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6" t="str">
        <f t="shared" si="2"/>
        <v/>
      </c>
      <c r="K61" s="6" t="str">
        <f t="shared" si="3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6" t="str">
        <f t="shared" si="2"/>
        <v/>
      </c>
      <c r="K62" s="6" t="str">
        <f t="shared" si="3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6" t="str">
        <f t="shared" si="2"/>
        <v/>
      </c>
      <c r="K63" s="6" t="str">
        <f t="shared" si="3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6" t="str">
        <f t="shared" si="2"/>
        <v/>
      </c>
      <c r="K64" s="6" t="str">
        <f t="shared" si="3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6" t="str">
        <f t="shared" si="2"/>
        <v/>
      </c>
      <c r="K65" s="6" t="str">
        <f t="shared" si="3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6" t="str">
        <f t="shared" si="2"/>
        <v/>
      </c>
      <c r="K66" s="6" t="str">
        <f t="shared" si="3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6" t="str">
        <f t="shared" ref="J67:J98" si="4">IF(COUNTA(B67:I67)=0,"",ROUND(AVERAGE(G67,6-H67,I67),2))</f>
        <v/>
      </c>
      <c r="K67" s="6" t="str">
        <f t="shared" ref="K67:K98" si="5">IF(J67="","",IF(J67&gt;=4,"Включить",IF(J67&gt;=3,"Проверить","Не основной")))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6" t="str">
        <f t="shared" si="4"/>
        <v/>
      </c>
      <c r="K68" s="6" t="str">
        <f t="shared" si="5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6" t="str">
        <f t="shared" si="4"/>
        <v/>
      </c>
      <c r="K69" s="6" t="str">
        <f t="shared" si="5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6" t="str">
        <f t="shared" si="4"/>
        <v/>
      </c>
      <c r="K70" s="6" t="str">
        <f t="shared" si="5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6" t="str">
        <f t="shared" si="4"/>
        <v/>
      </c>
      <c r="K71" s="6" t="str">
        <f t="shared" si="5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6" t="str">
        <f t="shared" si="4"/>
        <v/>
      </c>
      <c r="K72" s="6" t="str">
        <f t="shared" si="5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6" t="str">
        <f t="shared" si="4"/>
        <v/>
      </c>
      <c r="K73" s="6" t="str">
        <f t="shared" si="5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6" t="str">
        <f t="shared" si="4"/>
        <v/>
      </c>
      <c r="K74" s="6" t="str">
        <f t="shared" si="5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6" t="str">
        <f t="shared" si="4"/>
        <v/>
      </c>
      <c r="K75" s="6" t="str">
        <f t="shared" si="5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6" t="str">
        <f t="shared" si="4"/>
        <v/>
      </c>
      <c r="K76" s="6" t="str">
        <f t="shared" si="5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6" t="str">
        <f t="shared" si="4"/>
        <v/>
      </c>
      <c r="K77" s="6" t="str">
        <f t="shared" si="5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6" t="str">
        <f t="shared" si="4"/>
        <v/>
      </c>
      <c r="K78" s="6" t="str">
        <f t="shared" si="5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6" t="str">
        <f t="shared" si="4"/>
        <v/>
      </c>
      <c r="K79" s="6" t="str">
        <f t="shared" si="5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6" t="str">
        <f t="shared" si="4"/>
        <v/>
      </c>
      <c r="K80" s="6" t="str">
        <f t="shared" si="5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6" t="str">
        <f t="shared" si="4"/>
        <v/>
      </c>
      <c r="K81" s="6" t="str">
        <f t="shared" si="5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6" t="str">
        <f t="shared" si="4"/>
        <v/>
      </c>
      <c r="K82" s="6" t="str">
        <f t="shared" si="5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6" t="str">
        <f t="shared" si="4"/>
        <v/>
      </c>
      <c r="K83" s="6" t="str">
        <f t="shared" si="5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6" t="str">
        <f t="shared" si="4"/>
        <v/>
      </c>
      <c r="K84" s="6" t="str">
        <f t="shared" si="5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6" t="str">
        <f t="shared" si="4"/>
        <v/>
      </c>
      <c r="K85" s="6" t="str">
        <f t="shared" si="5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6" t="str">
        <f t="shared" si="4"/>
        <v/>
      </c>
      <c r="K86" s="6" t="str">
        <f t="shared" si="5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6" t="str">
        <f t="shared" si="4"/>
        <v/>
      </c>
      <c r="K87" s="6" t="str">
        <f t="shared" si="5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6" t="str">
        <f t="shared" si="4"/>
        <v/>
      </c>
      <c r="K88" s="6" t="str">
        <f t="shared" si="5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6" t="str">
        <f t="shared" si="4"/>
        <v/>
      </c>
      <c r="K89" s="6" t="str">
        <f t="shared" si="5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6" t="str">
        <f t="shared" si="4"/>
        <v/>
      </c>
      <c r="K90" s="6" t="str">
        <f t="shared" si="5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6" t="str">
        <f t="shared" si="4"/>
        <v/>
      </c>
      <c r="K91" s="6" t="str">
        <f t="shared" si="5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6" t="str">
        <f t="shared" si="4"/>
        <v/>
      </c>
      <c r="K92" s="6" t="str">
        <f t="shared" si="5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6" t="str">
        <f t="shared" si="4"/>
        <v/>
      </c>
      <c r="K93" s="6" t="str">
        <f t="shared" si="5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6" t="str">
        <f t="shared" si="4"/>
        <v/>
      </c>
      <c r="K94" s="6" t="str">
        <f t="shared" si="5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6" t="str">
        <f t="shared" si="4"/>
        <v/>
      </c>
      <c r="K95" s="6" t="str">
        <f t="shared" si="5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6" t="str">
        <f t="shared" si="4"/>
        <v/>
      </c>
      <c r="K96" s="6" t="str">
        <f t="shared" si="5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6" t="str">
        <f t="shared" si="4"/>
        <v/>
      </c>
      <c r="K97" s="6" t="str">
        <f t="shared" si="5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6" t="str">
        <f t="shared" si="4"/>
        <v/>
      </c>
      <c r="K98" s="6" t="str">
        <f t="shared" si="5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6" t="str">
        <f t="shared" ref="J99:J130" si="6">IF(COUNTA(B99:I99)=0,"",ROUND(AVERAGE(G99,6-H99,I99),2))</f>
        <v/>
      </c>
      <c r="K99" s="6" t="str">
        <f t="shared" ref="K99:K130" si="7">IF(J99="","",IF(J99&gt;=4,"Включить",IF(J99&gt;=3,"Проверить","Не основной")))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6" t="str">
        <f t="shared" si="6"/>
        <v/>
      </c>
      <c r="K100" s="6" t="str">
        <f t="shared" si="7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6" t="str">
        <f t="shared" si="6"/>
        <v/>
      </c>
      <c r="K101" s="6" t="str">
        <f t="shared" si="7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6" t="str">
        <f t="shared" si="6"/>
        <v/>
      </c>
      <c r="K102" s="6" t="str">
        <f t="shared" si="7"/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B3:B102</xm:sqref>
        </x14:dataValidation>
        <x14:dataValidation type="list" xr:uid="{00000000-0002-0000-0500-000001000000}">
          <x14:formula1>
            <xm:f>'12_Справочники'!$C$3:$C$7</xm:f>
          </x14:formula1>
          <xm:sqref>G3:I102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2"/>
  <sheetViews>
    <sheetView workbookViewId="0"/>
  </sheetViews>
  <sheetFormatPr defaultRowHeight="13.5"/>
  <cols>
    <col min="1" max="1" width="7" customWidth="1"/>
    <col min="2" max="8" width="28" customWidth="1"/>
    <col min="9" max="12" width="16" customWidth="1"/>
    <col min="13" max="14" width="20" customWidth="1"/>
  </cols>
  <sheetData>
    <row r="1" spans="1:14" ht="16.05" customHeight="1">
      <c r="A1" s="9" t="s">
        <v>122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6.05" customHeight="1">
      <c r="A2" s="3" t="s">
        <v>37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127</v>
      </c>
      <c r="G2" s="3" t="s">
        <v>128</v>
      </c>
      <c r="H2" s="3" t="s">
        <v>129</v>
      </c>
      <c r="I2" s="3" t="s">
        <v>130</v>
      </c>
      <c r="J2" s="3" t="s">
        <v>131</v>
      </c>
      <c r="K2" s="3" t="s">
        <v>132</v>
      </c>
      <c r="L2" s="3" t="s">
        <v>111</v>
      </c>
      <c r="M2" s="3" t="s">
        <v>133</v>
      </c>
      <c r="N2" s="3" t="s">
        <v>97</v>
      </c>
    </row>
    <row r="3" spans="1:14" ht="40.5">
      <c r="A3" s="4" t="s">
        <v>477</v>
      </c>
      <c r="B3" s="5" t="s">
        <v>478</v>
      </c>
      <c r="C3" s="5" t="s">
        <v>479</v>
      </c>
      <c r="D3" s="5" t="s">
        <v>480</v>
      </c>
      <c r="E3" s="5" t="s">
        <v>481</v>
      </c>
      <c r="F3" s="5" t="s">
        <v>245</v>
      </c>
      <c r="G3" s="5" t="s">
        <v>482</v>
      </c>
      <c r="H3" s="5" t="s">
        <v>483</v>
      </c>
      <c r="I3" s="5">
        <v>3</v>
      </c>
      <c r="J3" s="5">
        <v>4</v>
      </c>
      <c r="K3" s="5">
        <v>4</v>
      </c>
      <c r="L3" s="5">
        <v>4</v>
      </c>
      <c r="M3" s="6">
        <f t="shared" ref="M3:M34" si="0">IF(COUNTA(B3:L3)=0,"",ROUND(AVERAGE(I3:L3),2))</f>
        <v>3.75</v>
      </c>
      <c r="N3" s="6" t="str">
        <f t="shared" ref="N3:N34" si="1">IF(M3="","",IF(M3&gt;=4,"Основная гипотеза",IF(M3&gt;=3,"Требует проверки","Слабая гипотеза")))</f>
        <v>Требует проверки</v>
      </c>
    </row>
    <row r="4" spans="1:14" ht="27">
      <c r="A4" s="4" t="s">
        <v>484</v>
      </c>
      <c r="B4" s="5" t="s">
        <v>485</v>
      </c>
      <c r="C4" s="5" t="s">
        <v>486</v>
      </c>
      <c r="D4" s="5" t="s">
        <v>487</v>
      </c>
      <c r="E4" s="5" t="s">
        <v>488</v>
      </c>
      <c r="F4" s="5" t="s">
        <v>290</v>
      </c>
      <c r="G4" s="5" t="s">
        <v>489</v>
      </c>
      <c r="H4" s="5" t="s">
        <v>490</v>
      </c>
      <c r="I4" s="5">
        <v>4</v>
      </c>
      <c r="J4" s="5">
        <v>5</v>
      </c>
      <c r="K4" s="5">
        <v>2</v>
      </c>
      <c r="L4" s="5">
        <v>4</v>
      </c>
      <c r="M4" s="6">
        <f t="shared" si="0"/>
        <v>3.75</v>
      </c>
      <c r="N4" s="6" t="str">
        <f t="shared" si="1"/>
        <v>Требует проверки</v>
      </c>
    </row>
    <row r="5" spans="1:14" ht="40.5">
      <c r="A5" s="4" t="s">
        <v>491</v>
      </c>
      <c r="B5" s="5" t="s">
        <v>492</v>
      </c>
      <c r="C5" s="5" t="s">
        <v>493</v>
      </c>
      <c r="D5" s="5" t="s">
        <v>494</v>
      </c>
      <c r="E5" s="5" t="s">
        <v>495</v>
      </c>
      <c r="F5" s="5" t="s">
        <v>281</v>
      </c>
      <c r="G5" s="5" t="s">
        <v>496</v>
      </c>
      <c r="H5" s="5" t="s">
        <v>497</v>
      </c>
      <c r="I5" s="5">
        <v>3</v>
      </c>
      <c r="J5" s="5">
        <v>4</v>
      </c>
      <c r="K5" s="5">
        <v>3</v>
      </c>
      <c r="L5" s="5">
        <v>4</v>
      </c>
      <c r="M5" s="6">
        <f t="shared" si="0"/>
        <v>3.5</v>
      </c>
      <c r="N5" s="6" t="str">
        <f t="shared" si="1"/>
        <v>Требует проверки</v>
      </c>
    </row>
    <row r="6" spans="1:14" ht="27">
      <c r="A6" s="4" t="s">
        <v>498</v>
      </c>
      <c r="B6" s="5" t="s">
        <v>499</v>
      </c>
      <c r="C6" s="5" t="s">
        <v>500</v>
      </c>
      <c r="D6" s="5" t="s">
        <v>501</v>
      </c>
      <c r="E6" s="5" t="s">
        <v>502</v>
      </c>
      <c r="F6" s="5" t="s">
        <v>272</v>
      </c>
      <c r="G6" s="5" t="s">
        <v>503</v>
      </c>
      <c r="H6" s="5" t="s">
        <v>504</v>
      </c>
      <c r="I6" s="5">
        <v>2</v>
      </c>
      <c r="J6" s="5">
        <v>3</v>
      </c>
      <c r="K6" s="5">
        <v>4</v>
      </c>
      <c r="L6" s="5">
        <v>3</v>
      </c>
      <c r="M6" s="6">
        <f t="shared" si="0"/>
        <v>3</v>
      </c>
      <c r="N6" s="6" t="str">
        <f t="shared" si="1"/>
        <v>Требует проверки</v>
      </c>
    </row>
    <row r="7" spans="1:14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 t="str">
        <f t="shared" si="0"/>
        <v/>
      </c>
      <c r="N7" s="6" t="str">
        <f t="shared" si="1"/>
        <v/>
      </c>
    </row>
    <row r="8" spans="1:14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 t="str">
        <f t="shared" si="0"/>
        <v/>
      </c>
      <c r="N8" s="6" t="str">
        <f t="shared" si="1"/>
        <v/>
      </c>
    </row>
    <row r="9" spans="1:14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 t="str">
        <f t="shared" si="0"/>
        <v/>
      </c>
      <c r="N9" s="6" t="str">
        <f t="shared" si="1"/>
        <v/>
      </c>
    </row>
    <row r="10" spans="1:14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 t="str">
        <f t="shared" si="0"/>
        <v/>
      </c>
      <c r="N10" s="6" t="str">
        <f t="shared" si="1"/>
        <v/>
      </c>
    </row>
    <row r="11" spans="1:14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 t="str">
        <f t="shared" si="0"/>
        <v/>
      </c>
      <c r="N11" s="6" t="str">
        <f t="shared" si="1"/>
        <v/>
      </c>
    </row>
    <row r="12" spans="1:14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 t="str">
        <f t="shared" si="0"/>
        <v/>
      </c>
      <c r="N12" s="6" t="str">
        <f t="shared" si="1"/>
        <v/>
      </c>
    </row>
    <row r="13" spans="1:14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 t="str">
        <f t="shared" si="0"/>
        <v/>
      </c>
      <c r="N13" s="6" t="str">
        <f t="shared" si="1"/>
        <v/>
      </c>
    </row>
    <row r="14" spans="1:14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 t="str">
        <f t="shared" si="0"/>
        <v/>
      </c>
      <c r="N14" s="6" t="str">
        <f t="shared" si="1"/>
        <v/>
      </c>
    </row>
    <row r="15" spans="1:14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 t="str">
        <f t="shared" si="0"/>
        <v/>
      </c>
      <c r="N15" s="6" t="str">
        <f t="shared" si="1"/>
        <v/>
      </c>
    </row>
    <row r="16" spans="1:14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 t="str">
        <f t="shared" si="0"/>
        <v/>
      </c>
      <c r="N16" s="6" t="str">
        <f t="shared" si="1"/>
        <v/>
      </c>
    </row>
    <row r="17" spans="1:14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 t="str">
        <f t="shared" si="0"/>
        <v/>
      </c>
      <c r="N17" s="6" t="str">
        <f t="shared" si="1"/>
        <v/>
      </c>
    </row>
    <row r="18" spans="1:14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 t="str">
        <f t="shared" si="0"/>
        <v/>
      </c>
      <c r="N18" s="6" t="str">
        <f t="shared" si="1"/>
        <v/>
      </c>
    </row>
    <row r="19" spans="1:14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 t="str">
        <f t="shared" si="0"/>
        <v/>
      </c>
      <c r="N19" s="6" t="str">
        <f t="shared" si="1"/>
        <v/>
      </c>
    </row>
    <row r="20" spans="1:14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 t="str">
        <f t="shared" si="0"/>
        <v/>
      </c>
      <c r="N20" s="6" t="str">
        <f t="shared" si="1"/>
        <v/>
      </c>
    </row>
    <row r="21" spans="1:14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 t="str">
        <f t="shared" si="0"/>
        <v/>
      </c>
      <c r="N21" s="6" t="str">
        <f t="shared" si="1"/>
        <v/>
      </c>
    </row>
    <row r="22" spans="1:14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 t="str">
        <f t="shared" si="0"/>
        <v/>
      </c>
      <c r="N22" s="6" t="str">
        <f t="shared" si="1"/>
        <v/>
      </c>
    </row>
    <row r="23" spans="1:14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 t="str">
        <f t="shared" si="0"/>
        <v/>
      </c>
      <c r="N23" s="6" t="str">
        <f t="shared" si="1"/>
        <v/>
      </c>
    </row>
    <row r="24" spans="1:14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 t="str">
        <f t="shared" si="0"/>
        <v/>
      </c>
      <c r="N24" s="6" t="str">
        <f t="shared" si="1"/>
        <v/>
      </c>
    </row>
    <row r="25" spans="1:14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 t="str">
        <f t="shared" si="0"/>
        <v/>
      </c>
      <c r="N25" s="6" t="str">
        <f t="shared" si="1"/>
        <v/>
      </c>
    </row>
    <row r="26" spans="1:14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 t="str">
        <f t="shared" si="0"/>
        <v/>
      </c>
      <c r="N26" s="6" t="str">
        <f t="shared" si="1"/>
        <v/>
      </c>
    </row>
    <row r="27" spans="1:14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 t="str">
        <f t="shared" si="0"/>
        <v/>
      </c>
      <c r="N27" s="6" t="str">
        <f t="shared" si="1"/>
        <v/>
      </c>
    </row>
    <row r="28" spans="1:14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 t="str">
        <f t="shared" si="0"/>
        <v/>
      </c>
      <c r="N28" s="6" t="str">
        <f t="shared" si="1"/>
        <v/>
      </c>
    </row>
    <row r="29" spans="1:14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 t="str">
        <f t="shared" si="0"/>
        <v/>
      </c>
      <c r="N29" s="6" t="str">
        <f t="shared" si="1"/>
        <v/>
      </c>
    </row>
    <row r="30" spans="1:14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 t="str">
        <f t="shared" si="0"/>
        <v/>
      </c>
      <c r="N30" s="6" t="str">
        <f t="shared" si="1"/>
        <v/>
      </c>
    </row>
    <row r="31" spans="1:14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 t="str">
        <f t="shared" si="0"/>
        <v/>
      </c>
      <c r="N31" s="6" t="str">
        <f t="shared" si="1"/>
        <v/>
      </c>
    </row>
    <row r="32" spans="1:14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 t="str">
        <f t="shared" si="0"/>
        <v/>
      </c>
      <c r="N32" s="6" t="str">
        <f t="shared" si="1"/>
        <v/>
      </c>
    </row>
    <row r="33" spans="1:14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 t="str">
        <f t="shared" si="0"/>
        <v/>
      </c>
      <c r="N33" s="6" t="str">
        <f t="shared" si="1"/>
        <v/>
      </c>
    </row>
    <row r="34" spans="1:14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 t="str">
        <f t="shared" si="0"/>
        <v/>
      </c>
      <c r="N34" s="6" t="str">
        <f t="shared" si="1"/>
        <v/>
      </c>
    </row>
    <row r="35" spans="1:14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 t="str">
        <f t="shared" ref="M35:M66" si="2">IF(COUNTA(B35:L35)=0,"",ROUND(AVERAGE(I35:L35),2))</f>
        <v/>
      </c>
      <c r="N35" s="6" t="str">
        <f t="shared" ref="N35:N66" si="3">IF(M35="","",IF(M35&gt;=4,"Основная гипотеза",IF(M35&gt;=3,"Требует проверки","Слабая гипотеза")))</f>
        <v/>
      </c>
    </row>
    <row r="36" spans="1:14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 t="str">
        <f t="shared" si="2"/>
        <v/>
      </c>
      <c r="N36" s="6" t="str">
        <f t="shared" si="3"/>
        <v/>
      </c>
    </row>
    <row r="37" spans="1:14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 t="str">
        <f t="shared" si="2"/>
        <v/>
      </c>
      <c r="N37" s="6" t="str">
        <f t="shared" si="3"/>
        <v/>
      </c>
    </row>
    <row r="38" spans="1:14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 t="str">
        <f t="shared" si="2"/>
        <v/>
      </c>
      <c r="N38" s="6" t="str">
        <f t="shared" si="3"/>
        <v/>
      </c>
    </row>
    <row r="39" spans="1:14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 t="str">
        <f t="shared" si="2"/>
        <v/>
      </c>
      <c r="N39" s="6" t="str">
        <f t="shared" si="3"/>
        <v/>
      </c>
    </row>
    <row r="40" spans="1:14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 t="str">
        <f t="shared" si="2"/>
        <v/>
      </c>
      <c r="N40" s="6" t="str">
        <f t="shared" si="3"/>
        <v/>
      </c>
    </row>
    <row r="41" spans="1:14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 t="str">
        <f t="shared" si="2"/>
        <v/>
      </c>
      <c r="N41" s="6" t="str">
        <f t="shared" si="3"/>
        <v/>
      </c>
    </row>
    <row r="42" spans="1:14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 t="str">
        <f t="shared" si="2"/>
        <v/>
      </c>
      <c r="N42" s="6" t="str">
        <f t="shared" si="3"/>
        <v/>
      </c>
    </row>
    <row r="43" spans="1:14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 t="str">
        <f t="shared" si="2"/>
        <v/>
      </c>
      <c r="N43" s="6" t="str">
        <f t="shared" si="3"/>
        <v/>
      </c>
    </row>
    <row r="44" spans="1:14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 t="str">
        <f t="shared" si="2"/>
        <v/>
      </c>
      <c r="N44" s="6" t="str">
        <f t="shared" si="3"/>
        <v/>
      </c>
    </row>
    <row r="45" spans="1:14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 t="str">
        <f t="shared" si="2"/>
        <v/>
      </c>
      <c r="N45" s="6" t="str">
        <f t="shared" si="3"/>
        <v/>
      </c>
    </row>
    <row r="46" spans="1:14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 t="str">
        <f t="shared" si="2"/>
        <v/>
      </c>
      <c r="N46" s="6" t="str">
        <f t="shared" si="3"/>
        <v/>
      </c>
    </row>
    <row r="47" spans="1:14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 t="str">
        <f t="shared" si="2"/>
        <v/>
      </c>
      <c r="N47" s="6" t="str">
        <f t="shared" si="3"/>
        <v/>
      </c>
    </row>
    <row r="48" spans="1:14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 t="str">
        <f t="shared" si="2"/>
        <v/>
      </c>
      <c r="N48" s="6" t="str">
        <f t="shared" si="3"/>
        <v/>
      </c>
    </row>
    <row r="49" spans="1:14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 t="str">
        <f t="shared" si="2"/>
        <v/>
      </c>
      <c r="N49" s="6" t="str">
        <f t="shared" si="3"/>
        <v/>
      </c>
    </row>
    <row r="50" spans="1:14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 t="str">
        <f t="shared" si="2"/>
        <v/>
      </c>
      <c r="N50" s="6" t="str">
        <f t="shared" si="3"/>
        <v/>
      </c>
    </row>
    <row r="51" spans="1:14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 t="str">
        <f t="shared" si="2"/>
        <v/>
      </c>
      <c r="N51" s="6" t="str">
        <f t="shared" si="3"/>
        <v/>
      </c>
    </row>
    <row r="52" spans="1:14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 t="str">
        <f t="shared" si="2"/>
        <v/>
      </c>
      <c r="N52" s="6" t="str">
        <f t="shared" si="3"/>
        <v/>
      </c>
    </row>
    <row r="53" spans="1:14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 t="str">
        <f t="shared" si="2"/>
        <v/>
      </c>
      <c r="N53" s="6" t="str">
        <f t="shared" si="3"/>
        <v/>
      </c>
    </row>
    <row r="54" spans="1:14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 t="str">
        <f t="shared" si="2"/>
        <v/>
      </c>
      <c r="N54" s="6" t="str">
        <f t="shared" si="3"/>
        <v/>
      </c>
    </row>
    <row r="55" spans="1:14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 t="str">
        <f t="shared" si="2"/>
        <v/>
      </c>
      <c r="N55" s="6" t="str">
        <f t="shared" si="3"/>
        <v/>
      </c>
    </row>
    <row r="56" spans="1:14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 t="str">
        <f t="shared" si="2"/>
        <v/>
      </c>
      <c r="N56" s="6" t="str">
        <f t="shared" si="3"/>
        <v/>
      </c>
    </row>
    <row r="57" spans="1:14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 t="str">
        <f t="shared" si="2"/>
        <v/>
      </c>
      <c r="N57" s="6" t="str">
        <f t="shared" si="3"/>
        <v/>
      </c>
    </row>
    <row r="58" spans="1:14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 t="str">
        <f t="shared" si="2"/>
        <v/>
      </c>
      <c r="N58" s="6" t="str">
        <f t="shared" si="3"/>
        <v/>
      </c>
    </row>
    <row r="59" spans="1:14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 t="str">
        <f t="shared" si="2"/>
        <v/>
      </c>
      <c r="N59" s="6" t="str">
        <f t="shared" si="3"/>
        <v/>
      </c>
    </row>
    <row r="60" spans="1:14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 t="str">
        <f t="shared" si="2"/>
        <v/>
      </c>
      <c r="N60" s="6" t="str">
        <f t="shared" si="3"/>
        <v/>
      </c>
    </row>
    <row r="61" spans="1:14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 t="str">
        <f t="shared" si="2"/>
        <v/>
      </c>
      <c r="N61" s="6" t="str">
        <f t="shared" si="3"/>
        <v/>
      </c>
    </row>
    <row r="62" spans="1:14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 t="str">
        <f t="shared" si="2"/>
        <v/>
      </c>
      <c r="N62" s="6" t="str">
        <f t="shared" si="3"/>
        <v/>
      </c>
    </row>
    <row r="63" spans="1:14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 t="str">
        <f t="shared" si="2"/>
        <v/>
      </c>
      <c r="N63" s="6" t="str">
        <f t="shared" si="3"/>
        <v/>
      </c>
    </row>
    <row r="64" spans="1:14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 t="str">
        <f t="shared" si="2"/>
        <v/>
      </c>
      <c r="N64" s="6" t="str">
        <f t="shared" si="3"/>
        <v/>
      </c>
    </row>
    <row r="65" spans="1:14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 t="str">
        <f t="shared" si="2"/>
        <v/>
      </c>
      <c r="N65" s="6" t="str">
        <f t="shared" si="3"/>
        <v/>
      </c>
    </row>
    <row r="66" spans="1:14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 t="str">
        <f t="shared" si="2"/>
        <v/>
      </c>
      <c r="N66" s="6" t="str">
        <f t="shared" si="3"/>
        <v/>
      </c>
    </row>
    <row r="67" spans="1:14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 t="str">
        <f t="shared" ref="M67:M98" si="4">IF(COUNTA(B67:L67)=0,"",ROUND(AVERAGE(I67:L67),2))</f>
        <v/>
      </c>
      <c r="N67" s="6" t="str">
        <f t="shared" ref="N67:N98" si="5">IF(M67="","",IF(M67&gt;=4,"Основная гипотеза",IF(M67&gt;=3,"Требует проверки","Слабая гипотеза")))</f>
        <v/>
      </c>
    </row>
    <row r="68" spans="1:14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 t="str">
        <f t="shared" si="4"/>
        <v/>
      </c>
      <c r="N68" s="6" t="str">
        <f t="shared" si="5"/>
        <v/>
      </c>
    </row>
    <row r="69" spans="1:14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 t="str">
        <f t="shared" si="4"/>
        <v/>
      </c>
      <c r="N69" s="6" t="str">
        <f t="shared" si="5"/>
        <v/>
      </c>
    </row>
    <row r="70" spans="1:14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 t="str">
        <f t="shared" si="4"/>
        <v/>
      </c>
      <c r="N70" s="6" t="str">
        <f t="shared" si="5"/>
        <v/>
      </c>
    </row>
    <row r="71" spans="1:14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 t="str">
        <f t="shared" si="4"/>
        <v/>
      </c>
      <c r="N71" s="6" t="str">
        <f t="shared" si="5"/>
        <v/>
      </c>
    </row>
    <row r="72" spans="1:14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 t="str">
        <f t="shared" si="4"/>
        <v/>
      </c>
      <c r="N72" s="6" t="str">
        <f t="shared" si="5"/>
        <v/>
      </c>
    </row>
    <row r="73" spans="1:14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 t="str">
        <f t="shared" si="4"/>
        <v/>
      </c>
      <c r="N73" s="6" t="str">
        <f t="shared" si="5"/>
        <v/>
      </c>
    </row>
    <row r="74" spans="1:14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 t="str">
        <f t="shared" si="4"/>
        <v/>
      </c>
      <c r="N74" s="6" t="str">
        <f t="shared" si="5"/>
        <v/>
      </c>
    </row>
    <row r="75" spans="1:14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 t="str">
        <f t="shared" si="4"/>
        <v/>
      </c>
      <c r="N75" s="6" t="str">
        <f t="shared" si="5"/>
        <v/>
      </c>
    </row>
    <row r="76" spans="1:14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 t="str">
        <f t="shared" si="4"/>
        <v/>
      </c>
      <c r="N76" s="6" t="str">
        <f t="shared" si="5"/>
        <v/>
      </c>
    </row>
    <row r="77" spans="1:14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 t="str">
        <f t="shared" si="4"/>
        <v/>
      </c>
      <c r="N77" s="6" t="str">
        <f t="shared" si="5"/>
        <v/>
      </c>
    </row>
    <row r="78" spans="1:14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 t="str">
        <f t="shared" si="4"/>
        <v/>
      </c>
      <c r="N78" s="6" t="str">
        <f t="shared" si="5"/>
        <v/>
      </c>
    </row>
    <row r="79" spans="1:14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 t="str">
        <f t="shared" si="4"/>
        <v/>
      </c>
      <c r="N79" s="6" t="str">
        <f t="shared" si="5"/>
        <v/>
      </c>
    </row>
    <row r="80" spans="1:14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 t="str">
        <f t="shared" si="4"/>
        <v/>
      </c>
      <c r="N80" s="6" t="str">
        <f t="shared" si="5"/>
        <v/>
      </c>
    </row>
    <row r="81" spans="1:14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 t="str">
        <f t="shared" si="4"/>
        <v/>
      </c>
      <c r="N81" s="6" t="str">
        <f t="shared" si="5"/>
        <v/>
      </c>
    </row>
    <row r="82" spans="1:14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 t="str">
        <f t="shared" si="4"/>
        <v/>
      </c>
      <c r="N82" s="6" t="str">
        <f t="shared" si="5"/>
        <v/>
      </c>
    </row>
    <row r="83" spans="1:14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 t="str">
        <f t="shared" si="4"/>
        <v/>
      </c>
      <c r="N83" s="6" t="str">
        <f t="shared" si="5"/>
        <v/>
      </c>
    </row>
    <row r="84" spans="1:14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 t="str">
        <f t="shared" si="4"/>
        <v/>
      </c>
      <c r="N84" s="6" t="str">
        <f t="shared" si="5"/>
        <v/>
      </c>
    </row>
    <row r="85" spans="1:14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 t="str">
        <f t="shared" si="4"/>
        <v/>
      </c>
      <c r="N85" s="6" t="str">
        <f t="shared" si="5"/>
        <v/>
      </c>
    </row>
    <row r="86" spans="1:14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 t="str">
        <f t="shared" si="4"/>
        <v/>
      </c>
      <c r="N86" s="6" t="str">
        <f t="shared" si="5"/>
        <v/>
      </c>
    </row>
    <row r="87" spans="1:14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 t="str">
        <f t="shared" si="4"/>
        <v/>
      </c>
      <c r="N87" s="6" t="str">
        <f t="shared" si="5"/>
        <v/>
      </c>
    </row>
    <row r="88" spans="1:14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 t="str">
        <f t="shared" si="4"/>
        <v/>
      </c>
      <c r="N88" s="6" t="str">
        <f t="shared" si="5"/>
        <v/>
      </c>
    </row>
    <row r="89" spans="1:14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 t="str">
        <f t="shared" si="4"/>
        <v/>
      </c>
      <c r="N89" s="6" t="str">
        <f t="shared" si="5"/>
        <v/>
      </c>
    </row>
    <row r="90" spans="1:14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 t="str">
        <f t="shared" si="4"/>
        <v/>
      </c>
      <c r="N90" s="6" t="str">
        <f t="shared" si="5"/>
        <v/>
      </c>
    </row>
    <row r="91" spans="1:14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 t="str">
        <f t="shared" si="4"/>
        <v/>
      </c>
      <c r="N91" s="6" t="str">
        <f t="shared" si="5"/>
        <v/>
      </c>
    </row>
    <row r="92" spans="1:14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 t="str">
        <f t="shared" si="4"/>
        <v/>
      </c>
      <c r="N92" s="6" t="str">
        <f t="shared" si="5"/>
        <v/>
      </c>
    </row>
    <row r="93" spans="1:14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 t="str">
        <f t="shared" si="4"/>
        <v/>
      </c>
      <c r="N93" s="6" t="str">
        <f t="shared" si="5"/>
        <v/>
      </c>
    </row>
    <row r="94" spans="1:14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 t="str">
        <f t="shared" si="4"/>
        <v/>
      </c>
      <c r="N94" s="6" t="str">
        <f t="shared" si="5"/>
        <v/>
      </c>
    </row>
    <row r="95" spans="1:14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 t="str">
        <f t="shared" si="4"/>
        <v/>
      </c>
      <c r="N95" s="6" t="str">
        <f t="shared" si="5"/>
        <v/>
      </c>
    </row>
    <row r="96" spans="1:14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 t="str">
        <f t="shared" si="4"/>
        <v/>
      </c>
      <c r="N96" s="6" t="str">
        <f t="shared" si="5"/>
        <v/>
      </c>
    </row>
    <row r="97" spans="1:14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 t="str">
        <f t="shared" si="4"/>
        <v/>
      </c>
      <c r="N97" s="6" t="str">
        <f t="shared" si="5"/>
        <v/>
      </c>
    </row>
    <row r="98" spans="1:14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 t="str">
        <f t="shared" si="4"/>
        <v/>
      </c>
      <c r="N98" s="6" t="str">
        <f t="shared" si="5"/>
        <v/>
      </c>
    </row>
    <row r="99" spans="1:14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 t="str">
        <f t="shared" ref="M99:M130" si="6">IF(COUNTA(B99:L99)=0,"",ROUND(AVERAGE(I99:L99),2))</f>
        <v/>
      </c>
      <c r="N99" s="6" t="str">
        <f t="shared" ref="N99:N130" si="7">IF(M99="","",IF(M99&gt;=4,"Основная гипотеза",IF(M99&gt;=3,"Требует проверки","Слабая гипотеза")))</f>
        <v/>
      </c>
    </row>
    <row r="100" spans="1:14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 t="str">
        <f t="shared" si="6"/>
        <v/>
      </c>
      <c r="N100" s="6" t="str">
        <f t="shared" si="7"/>
        <v/>
      </c>
    </row>
    <row r="101" spans="1:14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 t="str">
        <f t="shared" si="6"/>
        <v/>
      </c>
      <c r="N101" s="6" t="str">
        <f t="shared" si="7"/>
        <v/>
      </c>
    </row>
    <row r="102" spans="1:14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 t="str">
        <f t="shared" si="6"/>
        <v/>
      </c>
      <c r="N102" s="6" t="str">
        <f t="shared" si="7"/>
        <v/>
      </c>
    </row>
  </sheetData>
  <mergeCells count="1">
    <mergeCell ref="A1:N1"/>
  </mergeCells>
  <conditionalFormatting sqref="M3:M102">
    <cfRule type="dataBar" priority="1">
      <dataBar>
        <cfvo type="min"/>
        <cfvo type="max"/>
        <color rgb="FF0EA5E9"/>
      </dataBar>
    </cfRule>
  </conditionalFormatting>
  <conditionalFormatting sqref="M3:M102">
    <cfRule type="dataBar" priority="2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F3:F102</xm:sqref>
        </x14:dataValidation>
        <x14:dataValidation type="list" xr:uid="{00000000-0002-0000-0600-000001000000}">
          <x14:formula1>
            <xm:f>'12_Справочники'!$C$3:$C$7</xm:f>
          </x14:formula1>
          <xm:sqref>I3:L102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2"/>
  <sheetViews>
    <sheetView workbookViewId="0"/>
  </sheetViews>
  <sheetFormatPr defaultRowHeight="13.5"/>
  <cols>
    <col min="1" max="1" width="7" customWidth="1"/>
    <col min="2" max="2" width="25" customWidth="1"/>
    <col min="3" max="6" width="30" customWidth="1"/>
    <col min="7" max="9" width="16" customWidth="1"/>
    <col min="10" max="10" width="24" customWidth="1"/>
    <col min="11" max="11" width="20" customWidth="1"/>
  </cols>
  <sheetData>
    <row r="1" spans="1:11" ht="16.05" customHeight="1">
      <c r="A1" s="9" t="s">
        <v>134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05" customHeight="1">
      <c r="A2" s="3" t="s">
        <v>37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144</v>
      </c>
    </row>
    <row r="3" spans="1:11" ht="40.5">
      <c r="A3" s="4" t="s">
        <v>505</v>
      </c>
      <c r="B3" s="5" t="s">
        <v>75</v>
      </c>
      <c r="C3" s="5" t="s">
        <v>506</v>
      </c>
      <c r="D3" s="5" t="s">
        <v>507</v>
      </c>
      <c r="E3" s="5" t="s">
        <v>508</v>
      </c>
      <c r="F3" s="5" t="s">
        <v>509</v>
      </c>
      <c r="G3" s="5">
        <v>5</v>
      </c>
      <c r="H3" s="5">
        <v>3</v>
      </c>
      <c r="I3" s="5">
        <v>4</v>
      </c>
      <c r="J3" s="5" t="s">
        <v>248</v>
      </c>
      <c r="K3" s="6">
        <f t="shared" ref="K3:K34" si="0">IF(COUNTA(B3:J3)=0,"",ROUND(AVERAGE(G3,6-H3,I3),2))</f>
        <v>4</v>
      </c>
    </row>
    <row r="4" spans="1:11">
      <c r="A4" s="4" t="s">
        <v>510</v>
      </c>
      <c r="B4" s="5" t="s">
        <v>75</v>
      </c>
      <c r="C4" s="5" t="s">
        <v>511</v>
      </c>
      <c r="D4" s="5" t="s">
        <v>512</v>
      </c>
      <c r="E4" s="5" t="s">
        <v>513</v>
      </c>
      <c r="F4" s="5" t="s">
        <v>509</v>
      </c>
      <c r="G4" s="5">
        <v>4</v>
      </c>
      <c r="H4" s="5">
        <v>4</v>
      </c>
      <c r="I4" s="5">
        <v>3</v>
      </c>
      <c r="J4" s="5" t="s">
        <v>248</v>
      </c>
      <c r="K4" s="6">
        <f t="shared" si="0"/>
        <v>3</v>
      </c>
    </row>
    <row r="5" spans="1:11" ht="27">
      <c r="A5" s="4" t="s">
        <v>514</v>
      </c>
      <c r="B5" s="5" t="s">
        <v>78</v>
      </c>
      <c r="C5" s="5" t="s">
        <v>515</v>
      </c>
      <c r="D5" s="5" t="s">
        <v>516</v>
      </c>
      <c r="E5" s="5" t="s">
        <v>517</v>
      </c>
      <c r="F5" s="5" t="s">
        <v>518</v>
      </c>
      <c r="G5" s="5">
        <v>5</v>
      </c>
      <c r="H5" s="5">
        <v>3</v>
      </c>
      <c r="I5" s="5">
        <v>4</v>
      </c>
      <c r="J5" s="5" t="s">
        <v>248</v>
      </c>
      <c r="K5" s="6">
        <f t="shared" si="0"/>
        <v>4</v>
      </c>
    </row>
    <row r="6" spans="1:11" ht="27">
      <c r="A6" s="4" t="s">
        <v>519</v>
      </c>
      <c r="B6" s="5" t="s">
        <v>78</v>
      </c>
      <c r="C6" s="5" t="s">
        <v>520</v>
      </c>
      <c r="D6" s="5" t="s">
        <v>521</v>
      </c>
      <c r="E6" s="5" t="s">
        <v>522</v>
      </c>
      <c r="F6" s="5" t="s">
        <v>523</v>
      </c>
      <c r="G6" s="5">
        <v>4</v>
      </c>
      <c r="H6" s="5">
        <v>4</v>
      </c>
      <c r="I6" s="5">
        <v>2</v>
      </c>
      <c r="J6" s="5" t="s">
        <v>248</v>
      </c>
      <c r="K6" s="6">
        <f t="shared" si="0"/>
        <v>2.67</v>
      </c>
    </row>
    <row r="7" spans="1:11" ht="27">
      <c r="A7" s="4" t="s">
        <v>524</v>
      </c>
      <c r="B7" s="5" t="s">
        <v>78</v>
      </c>
      <c r="C7" s="5" t="s">
        <v>525</v>
      </c>
      <c r="D7" s="5" t="s">
        <v>526</v>
      </c>
      <c r="E7" s="5" t="s">
        <v>527</v>
      </c>
      <c r="F7" s="5" t="s">
        <v>528</v>
      </c>
      <c r="G7" s="5">
        <v>4</v>
      </c>
      <c r="H7" s="5">
        <v>4</v>
      </c>
      <c r="I7" s="5">
        <v>3</v>
      </c>
      <c r="J7" s="5" t="s">
        <v>248</v>
      </c>
      <c r="K7" s="6">
        <f t="shared" si="0"/>
        <v>3</v>
      </c>
    </row>
    <row r="8" spans="1:11">
      <c r="A8" s="4" t="s">
        <v>529</v>
      </c>
      <c r="B8" s="5" t="s">
        <v>81</v>
      </c>
      <c r="C8" s="5" t="s">
        <v>530</v>
      </c>
      <c r="D8" s="5" t="s">
        <v>531</v>
      </c>
      <c r="E8" s="5" t="s">
        <v>532</v>
      </c>
      <c r="F8" s="5" t="s">
        <v>533</v>
      </c>
      <c r="G8" s="5">
        <v>3</v>
      </c>
      <c r="H8" s="5">
        <v>3</v>
      </c>
      <c r="I8" s="5">
        <v>2</v>
      </c>
      <c r="J8" s="5" t="s">
        <v>275</v>
      </c>
      <c r="K8" s="6">
        <f t="shared" si="0"/>
        <v>2.67</v>
      </c>
    </row>
    <row r="9" spans="1:11">
      <c r="A9" s="4" t="s">
        <v>534</v>
      </c>
      <c r="B9" s="5" t="s">
        <v>81</v>
      </c>
      <c r="C9" s="5" t="s">
        <v>535</v>
      </c>
      <c r="D9" s="5" t="s">
        <v>536</v>
      </c>
      <c r="E9" s="5" t="s">
        <v>537</v>
      </c>
      <c r="F9" s="5" t="s">
        <v>538</v>
      </c>
      <c r="G9" s="5">
        <v>4</v>
      </c>
      <c r="H9" s="5">
        <v>4</v>
      </c>
      <c r="I9" s="5">
        <v>2</v>
      </c>
      <c r="J9" s="5" t="s">
        <v>257</v>
      </c>
      <c r="K9" s="6">
        <f t="shared" si="0"/>
        <v>2.67</v>
      </c>
    </row>
    <row r="10" spans="1:11" ht="27">
      <c r="A10" s="4" t="s">
        <v>539</v>
      </c>
      <c r="B10" s="5" t="s">
        <v>81</v>
      </c>
      <c r="C10" s="5" t="s">
        <v>540</v>
      </c>
      <c r="D10" s="5" t="s">
        <v>541</v>
      </c>
      <c r="E10" s="5" t="s">
        <v>542</v>
      </c>
      <c r="F10" s="5" t="s">
        <v>543</v>
      </c>
      <c r="G10" s="5">
        <v>4</v>
      </c>
      <c r="H10" s="5">
        <v>4</v>
      </c>
      <c r="I10" s="5">
        <v>4</v>
      </c>
      <c r="J10" s="5" t="s">
        <v>266</v>
      </c>
      <c r="K10" s="6">
        <f t="shared" si="0"/>
        <v>3.33</v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 t="str">
        <f t="shared" si="0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 t="str">
        <f t="shared" si="0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6" t="str">
        <f t="shared" si="0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6" t="str">
        <f t="shared" si="0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6" t="str">
        <f t="shared" si="0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6" t="str">
        <f t="shared" si="0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6" t="str">
        <f t="shared" si="0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6" t="str">
        <f t="shared" si="0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6" t="str">
        <f t="shared" si="0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6" t="str">
        <f t="shared" si="0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6" t="str">
        <f t="shared" si="0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6" t="str">
        <f t="shared" si="0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6" t="str">
        <f t="shared" si="0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6" t="str">
        <f t="shared" si="0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6" t="str">
        <f t="shared" si="0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6" t="str">
        <f t="shared" si="0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6" t="str">
        <f t="shared" si="0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6" t="str">
        <f t="shared" si="0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6" t="str">
        <f t="shared" si="0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6" t="str">
        <f t="shared" si="0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6" t="str">
        <f t="shared" si="0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6" t="str">
        <f t="shared" si="0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6" t="str">
        <f t="shared" si="0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6" t="str">
        <f t="shared" si="0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6" t="str">
        <f t="shared" ref="K35:K66" si="1">IF(COUNTA(B35:J35)=0,"",ROUND(AVERAGE(G35,6-H35,I35),2))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6" t="str">
        <f t="shared" si="1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6" t="str">
        <f t="shared" si="1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6" t="str">
        <f t="shared" si="1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6" t="str">
        <f t="shared" si="1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6" t="str">
        <f t="shared" si="1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6" t="str">
        <f t="shared" si="1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6" t="str">
        <f t="shared" si="1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6" t="str">
        <f t="shared" si="1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6" t="str">
        <f t="shared" si="1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6" t="str">
        <f t="shared" si="1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6" t="str">
        <f t="shared" si="1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6" t="str">
        <f t="shared" si="1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6" t="str">
        <f t="shared" si="1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6" t="str">
        <f t="shared" si="1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6" t="str">
        <f t="shared" si="1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6" t="str">
        <f t="shared" si="1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6" t="str">
        <f t="shared" si="1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6" t="str">
        <f t="shared" si="1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6" t="str">
        <f t="shared" si="1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6" t="str">
        <f t="shared" si="1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6" t="str">
        <f t="shared" si="1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6" t="str">
        <f t="shared" si="1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6" t="str">
        <f t="shared" si="1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6" t="str">
        <f t="shared" si="1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6" t="str">
        <f t="shared" si="1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6" t="str">
        <f t="shared" si="1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6" t="str">
        <f t="shared" si="1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6" t="str">
        <f t="shared" si="1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6" t="str">
        <f t="shared" si="1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6" t="str">
        <f t="shared" si="1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6" t="str">
        <f t="shared" si="1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6" t="str">
        <f t="shared" ref="K67:K98" si="2">IF(COUNTA(B67:J67)=0,"",ROUND(AVERAGE(G67,6-H67,I67),2))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6" t="str">
        <f t="shared" si="2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6" t="str">
        <f t="shared" si="2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6" t="str">
        <f t="shared" si="2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6" t="str">
        <f t="shared" si="2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6" t="str">
        <f t="shared" si="2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6" t="str">
        <f t="shared" si="2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6" t="str">
        <f t="shared" si="2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6" t="str">
        <f t="shared" si="2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6" t="str">
        <f t="shared" si="2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6" t="str">
        <f t="shared" si="2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6" t="str">
        <f t="shared" si="2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6" t="str">
        <f t="shared" si="2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6" t="str">
        <f t="shared" si="2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6" t="str">
        <f t="shared" si="2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6" t="str">
        <f t="shared" si="2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6" t="str">
        <f t="shared" si="2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6" t="str">
        <f t="shared" si="2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6" t="str">
        <f t="shared" si="2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6" t="str">
        <f t="shared" si="2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6" t="str">
        <f t="shared" si="2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6" t="str">
        <f t="shared" si="2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6" t="str">
        <f t="shared" si="2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6" t="str">
        <f t="shared" si="2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6" t="str">
        <f t="shared" si="2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6" t="str">
        <f t="shared" si="2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6" t="str">
        <f t="shared" si="2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6" t="str">
        <f t="shared" si="2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6" t="str">
        <f t="shared" si="2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6" t="str">
        <f t="shared" si="2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6" t="str">
        <f t="shared" si="2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6" t="str">
        <f t="shared" si="2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6" t="str">
        <f t="shared" ref="K99:K130" si="3">IF(COUNTA(B99:J99)=0,"",ROUND(AVERAGE(G99,6-H99,I99),2))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6" t="str">
        <f t="shared" si="3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6" t="str">
        <f t="shared" si="3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6" t="str">
        <f t="shared" si="3"/>
        <v/>
      </c>
    </row>
    <row r="103" spans="1:11">
      <c r="A103" s="4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6" t="str">
        <f t="shared" si="3"/>
        <v/>
      </c>
    </row>
    <row r="104" spans="1:11">
      <c r="A104" s="4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6" t="str">
        <f t="shared" si="3"/>
        <v/>
      </c>
    </row>
    <row r="105" spans="1:11">
      <c r="A105" s="4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6" t="str">
        <f t="shared" si="3"/>
        <v/>
      </c>
    </row>
    <row r="106" spans="1:11">
      <c r="A106" s="4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6" t="str">
        <f t="shared" si="3"/>
        <v/>
      </c>
    </row>
    <row r="107" spans="1:11">
      <c r="A107" s="4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6" t="str">
        <f t="shared" si="3"/>
        <v/>
      </c>
    </row>
    <row r="108" spans="1:11">
      <c r="A108" s="4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6" t="str">
        <f t="shared" si="3"/>
        <v/>
      </c>
    </row>
    <row r="109" spans="1:11">
      <c r="A109" s="4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6" t="str">
        <f t="shared" si="3"/>
        <v/>
      </c>
    </row>
    <row r="110" spans="1:11">
      <c r="A110" s="4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6" t="str">
        <f t="shared" si="3"/>
        <v/>
      </c>
    </row>
    <row r="111" spans="1:11">
      <c r="A111" s="4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6" t="str">
        <f t="shared" si="3"/>
        <v/>
      </c>
    </row>
    <row r="112" spans="1:11">
      <c r="A112" s="4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6" t="str">
        <f t="shared" si="3"/>
        <v/>
      </c>
    </row>
    <row r="113" spans="1:11">
      <c r="A113" s="4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6" t="str">
        <f t="shared" si="3"/>
        <v/>
      </c>
    </row>
    <row r="114" spans="1:11">
      <c r="A114" s="4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6" t="str">
        <f t="shared" si="3"/>
        <v/>
      </c>
    </row>
    <row r="115" spans="1:11">
      <c r="A115" s="4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6" t="str">
        <f t="shared" si="3"/>
        <v/>
      </c>
    </row>
    <row r="116" spans="1:11">
      <c r="A116" s="4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6" t="str">
        <f t="shared" si="3"/>
        <v/>
      </c>
    </row>
    <row r="117" spans="1:11">
      <c r="A117" s="4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6" t="str">
        <f t="shared" si="3"/>
        <v/>
      </c>
    </row>
    <row r="118" spans="1:11">
      <c r="A118" s="4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6" t="str">
        <f t="shared" si="3"/>
        <v/>
      </c>
    </row>
    <row r="119" spans="1:11">
      <c r="A119" s="4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6" t="str">
        <f t="shared" si="3"/>
        <v/>
      </c>
    </row>
    <row r="120" spans="1:11">
      <c r="A120" s="4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6" t="str">
        <f t="shared" si="3"/>
        <v/>
      </c>
    </row>
    <row r="121" spans="1:11">
      <c r="A121" s="4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6" t="str">
        <f t="shared" si="3"/>
        <v/>
      </c>
    </row>
    <row r="122" spans="1:11">
      <c r="A122" s="4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6" t="str">
        <f t="shared" si="3"/>
        <v/>
      </c>
    </row>
  </sheetData>
  <mergeCells count="1">
    <mergeCell ref="A1:K1"/>
  </mergeCells>
  <conditionalFormatting sqref="K3:K1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B3:B122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G3:I122</xm:sqref>
        </x14:dataValidation>
        <x14:dataValidation type="list" xr:uid="{00000000-0002-0000-0700-000002000000}">
          <x14:formula1>
            <xm:f>'12_Справочники'!$J$3:$J$7</xm:f>
          </x14:formula1>
          <xm:sqref>J3:J122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2"/>
  <sheetViews>
    <sheetView workbookViewId="0"/>
  </sheetViews>
  <sheetFormatPr defaultRowHeight="13.5"/>
  <cols>
    <col min="1" max="1" width="7" customWidth="1"/>
    <col min="2" max="7" width="30" customWidth="1"/>
    <col min="8" max="10" width="16" customWidth="1"/>
    <col min="11" max="11" width="18" customWidth="1"/>
  </cols>
  <sheetData>
    <row r="1" spans="1:11" ht="16.05" customHeight="1">
      <c r="A1" s="9" t="s">
        <v>145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05" customHeight="1">
      <c r="A2" s="3" t="s">
        <v>37</v>
      </c>
      <c r="B2" s="3" t="s">
        <v>146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  <c r="H2" s="3" t="s">
        <v>152</v>
      </c>
      <c r="I2" s="3" t="s">
        <v>153</v>
      </c>
      <c r="J2" s="3" t="s">
        <v>154</v>
      </c>
      <c r="K2" s="3" t="s">
        <v>155</v>
      </c>
    </row>
    <row r="3" spans="1:11" ht="27">
      <c r="A3" s="4" t="s">
        <v>544</v>
      </c>
      <c r="B3" s="5" t="s">
        <v>515</v>
      </c>
      <c r="C3" s="5" t="s">
        <v>545</v>
      </c>
      <c r="D3" s="5" t="s">
        <v>246</v>
      </c>
      <c r="E3" s="5" t="s">
        <v>546</v>
      </c>
      <c r="F3" s="5" t="s">
        <v>547</v>
      </c>
      <c r="G3" s="5" t="s">
        <v>548</v>
      </c>
      <c r="H3" s="5">
        <v>5</v>
      </c>
      <c r="I3" s="5">
        <v>3</v>
      </c>
      <c r="J3" s="5">
        <v>3</v>
      </c>
      <c r="K3" s="6">
        <f t="shared" ref="K3:K34" si="0">IF(COUNTA(B3:J3)=0,"",ROUND(AVERAGE(H3,I3,6-J3),2))</f>
        <v>3.67</v>
      </c>
    </row>
    <row r="4" spans="1:11" ht="27">
      <c r="A4" s="4" t="s">
        <v>549</v>
      </c>
      <c r="B4" s="5" t="s">
        <v>550</v>
      </c>
      <c r="C4" s="5" t="s">
        <v>551</v>
      </c>
      <c r="D4" s="5" t="s">
        <v>273</v>
      </c>
      <c r="E4" s="5" t="s">
        <v>552</v>
      </c>
      <c r="F4" s="5" t="s">
        <v>553</v>
      </c>
      <c r="G4" s="5" t="s">
        <v>554</v>
      </c>
      <c r="H4" s="5">
        <v>3</v>
      </c>
      <c r="I4" s="5">
        <v>3</v>
      </c>
      <c r="J4" s="5">
        <v>4</v>
      </c>
      <c r="K4" s="6">
        <f t="shared" si="0"/>
        <v>2.67</v>
      </c>
    </row>
    <row r="5" spans="1:11" ht="27">
      <c r="A5" s="4" t="s">
        <v>555</v>
      </c>
      <c r="B5" s="5" t="s">
        <v>556</v>
      </c>
      <c r="C5" s="5" t="s">
        <v>557</v>
      </c>
      <c r="D5" s="5" t="s">
        <v>255</v>
      </c>
      <c r="E5" s="5" t="s">
        <v>558</v>
      </c>
      <c r="F5" s="5" t="s">
        <v>559</v>
      </c>
      <c r="G5" s="5" t="s">
        <v>543</v>
      </c>
      <c r="H5" s="5">
        <v>4</v>
      </c>
      <c r="I5" s="5">
        <v>3</v>
      </c>
      <c r="J5" s="5">
        <v>3</v>
      </c>
      <c r="K5" s="6">
        <f t="shared" si="0"/>
        <v>3.33</v>
      </c>
    </row>
    <row r="6" spans="1:11" ht="27">
      <c r="A6" s="4" t="s">
        <v>560</v>
      </c>
      <c r="B6" s="5" t="s">
        <v>561</v>
      </c>
      <c r="C6" s="5" t="s">
        <v>562</v>
      </c>
      <c r="D6" s="5" t="s">
        <v>297</v>
      </c>
      <c r="E6" s="5" t="s">
        <v>552</v>
      </c>
      <c r="F6" s="5" t="s">
        <v>559</v>
      </c>
      <c r="G6" s="5" t="s">
        <v>473</v>
      </c>
      <c r="H6" s="5">
        <v>3</v>
      </c>
      <c r="I6" s="5">
        <v>3</v>
      </c>
      <c r="J6" s="5">
        <v>4</v>
      </c>
      <c r="K6" s="6">
        <f t="shared" si="0"/>
        <v>2.67</v>
      </c>
    </row>
    <row r="7" spans="1:11" ht="27">
      <c r="A7" s="4" t="s">
        <v>563</v>
      </c>
      <c r="B7" s="5" t="s">
        <v>525</v>
      </c>
      <c r="C7" s="5" t="s">
        <v>564</v>
      </c>
      <c r="D7" s="5" t="s">
        <v>282</v>
      </c>
      <c r="E7" s="5" t="s">
        <v>565</v>
      </c>
      <c r="F7" s="5" t="s">
        <v>553</v>
      </c>
      <c r="G7" s="5" t="s">
        <v>566</v>
      </c>
      <c r="H7" s="5">
        <v>4</v>
      </c>
      <c r="I7" s="5">
        <v>2</v>
      </c>
      <c r="J7" s="5">
        <v>3</v>
      </c>
      <c r="K7" s="6">
        <f t="shared" si="0"/>
        <v>3</v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6" t="str">
        <f t="shared" si="0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6" t="str">
        <f t="shared" si="0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6" t="str">
        <f t="shared" si="0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 t="str">
        <f t="shared" si="0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 t="str">
        <f t="shared" si="0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6" t="str">
        <f t="shared" si="0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6" t="str">
        <f t="shared" si="0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6" t="str">
        <f t="shared" si="0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6" t="str">
        <f t="shared" si="0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6" t="str">
        <f t="shared" si="0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6" t="str">
        <f t="shared" si="0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6" t="str">
        <f t="shared" si="0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6" t="str">
        <f t="shared" si="0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6" t="str">
        <f t="shared" si="0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6" t="str">
        <f t="shared" si="0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6" t="str">
        <f t="shared" si="0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6" t="str">
        <f t="shared" si="0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6" t="str">
        <f t="shared" si="0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6" t="str">
        <f t="shared" si="0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6" t="str">
        <f t="shared" si="0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6" t="str">
        <f t="shared" si="0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6" t="str">
        <f t="shared" si="0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6" t="str">
        <f t="shared" si="0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6" t="str">
        <f t="shared" si="0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6" t="str">
        <f t="shared" si="0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6" t="str">
        <f t="shared" si="0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6" t="str">
        <f t="shared" si="0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6" t="str">
        <f t="shared" ref="K35:K66" si="1">IF(COUNTA(B35:J35)=0,"",ROUND(AVERAGE(H35,I35,6-J35),2))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6" t="str">
        <f t="shared" si="1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6" t="str">
        <f t="shared" si="1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6" t="str">
        <f t="shared" si="1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6" t="str">
        <f t="shared" si="1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6" t="str">
        <f t="shared" si="1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6" t="str">
        <f t="shared" si="1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6" t="str">
        <f t="shared" si="1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6" t="str">
        <f t="shared" si="1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6" t="str">
        <f t="shared" si="1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6" t="str">
        <f t="shared" si="1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6" t="str">
        <f t="shared" si="1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6" t="str">
        <f t="shared" si="1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6" t="str">
        <f t="shared" si="1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6" t="str">
        <f t="shared" si="1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6" t="str">
        <f t="shared" si="1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6" t="str">
        <f t="shared" si="1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6" t="str">
        <f t="shared" si="1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6" t="str">
        <f t="shared" si="1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6" t="str">
        <f t="shared" si="1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6" t="str">
        <f t="shared" si="1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6" t="str">
        <f t="shared" si="1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6" t="str">
        <f t="shared" si="1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6" t="str">
        <f t="shared" si="1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6" t="str">
        <f t="shared" si="1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6" t="str">
        <f t="shared" si="1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6" t="str">
        <f t="shared" si="1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6" t="str">
        <f t="shared" si="1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6" t="str">
        <f t="shared" si="1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6" t="str">
        <f t="shared" si="1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6" t="str">
        <f t="shared" si="1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6" t="str">
        <f t="shared" si="1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6" t="str">
        <f t="shared" ref="K67:K98" si="2">IF(COUNTA(B67:J67)=0,"",ROUND(AVERAGE(H67,I67,6-J67),2))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6" t="str">
        <f t="shared" si="2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6" t="str">
        <f t="shared" si="2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6" t="str">
        <f t="shared" si="2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6" t="str">
        <f t="shared" si="2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6" t="str">
        <f t="shared" si="2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6" t="str">
        <f t="shared" si="2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6" t="str">
        <f t="shared" si="2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6" t="str">
        <f t="shared" si="2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6" t="str">
        <f t="shared" si="2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6" t="str">
        <f t="shared" si="2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6" t="str">
        <f t="shared" si="2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6" t="str">
        <f t="shared" si="2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6" t="str">
        <f t="shared" si="2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6" t="str">
        <f t="shared" si="2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6" t="str">
        <f t="shared" si="2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6" t="str">
        <f t="shared" si="2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6" t="str">
        <f t="shared" si="2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6" t="str">
        <f t="shared" si="2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6" t="str">
        <f t="shared" si="2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6" t="str">
        <f t="shared" si="2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6" t="str">
        <f t="shared" si="2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6" t="str">
        <f t="shared" si="2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6" t="str">
        <f t="shared" si="2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6" t="str">
        <f t="shared" si="2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6" t="str">
        <f t="shared" si="2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6" t="str">
        <f t="shared" si="2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6" t="str">
        <f t="shared" si="2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6" t="str">
        <f t="shared" si="2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6" t="str">
        <f t="shared" si="2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6" t="str">
        <f t="shared" si="2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6" t="str">
        <f t="shared" si="2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6" t="str">
        <f t="shared" ref="K99:K130" si="3">IF(COUNTA(B99:J99)=0,"",ROUND(AVERAGE(H99,I99,6-J99),2))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6" t="str">
        <f t="shared" si="3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6" t="str">
        <f t="shared" si="3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6" t="str">
        <f t="shared" si="3"/>
        <v/>
      </c>
    </row>
  </sheetData>
  <mergeCells count="1">
    <mergeCell ref="A1:K1"/>
  </mergeCells>
  <conditionalFormatting sqref="K3:K10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D3:D102</xm:sqref>
        </x14:dataValidation>
        <x14:dataValidation type="list" xr:uid="{00000000-0002-0000-0800-000001000000}">
          <x14:formula1>
            <xm:f>'12_Справочники'!$C$3:$C$7</xm:f>
          </x14:formula1>
          <xm:sqref>H3:J102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/>
  </sheetViews>
  <sheetFormatPr defaultRowHeight="13.5"/>
  <cols>
    <col min="1" max="1" width="7" customWidth="1"/>
    <col min="2" max="2" width="46" customWidth="1"/>
    <col min="3" max="4" width="34" customWidth="1"/>
    <col min="5" max="5" width="14" customWidth="1"/>
    <col min="6" max="6" width="20" customWidth="1"/>
    <col min="7" max="7" width="36" customWidth="1"/>
  </cols>
  <sheetData>
    <row r="1" spans="1:7" ht="16.05" customHeight="1">
      <c r="A1" s="9" t="s">
        <v>156</v>
      </c>
      <c r="B1" s="9"/>
      <c r="C1" s="9"/>
      <c r="D1" s="9"/>
      <c r="E1" s="9"/>
      <c r="F1" s="9"/>
      <c r="G1" s="9"/>
    </row>
    <row r="2" spans="1:7" ht="16.05" customHeight="1">
      <c r="A2" s="3" t="s">
        <v>157</v>
      </c>
      <c r="B2" s="3" t="s">
        <v>158</v>
      </c>
      <c r="C2" s="3" t="s">
        <v>159</v>
      </c>
      <c r="D2" s="3" t="s">
        <v>160</v>
      </c>
      <c r="E2" s="3" t="s">
        <v>161</v>
      </c>
      <c r="F2" s="3" t="s">
        <v>162</v>
      </c>
      <c r="G2" s="3" t="s">
        <v>163</v>
      </c>
    </row>
    <row r="3" spans="1:7" ht="27">
      <c r="A3" s="4">
        <v>1</v>
      </c>
      <c r="B3" s="4" t="s">
        <v>164</v>
      </c>
      <c r="C3" s="4" t="s">
        <v>165</v>
      </c>
      <c r="D3" s="5" t="s">
        <v>567</v>
      </c>
      <c r="E3" s="5">
        <v>4</v>
      </c>
      <c r="F3" s="6" t="str">
        <f t="shared" ref="F3:F14" si="0">IF(E3="","Не оценено",IF(E3&gt;=4,"Подтверждено",IF(E3&gt;=3,"Нужна проверка","Риск разрыва")))</f>
        <v>Подтверждено</v>
      </c>
      <c r="G3" s="5" t="s">
        <v>568</v>
      </c>
    </row>
    <row r="4" spans="1:7" ht="27">
      <c r="A4" s="4">
        <v>2</v>
      </c>
      <c r="B4" s="4" t="s">
        <v>166</v>
      </c>
      <c r="C4" s="4" t="s">
        <v>167</v>
      </c>
      <c r="D4" s="5" t="s">
        <v>569</v>
      </c>
      <c r="E4" s="5">
        <v>4</v>
      </c>
      <c r="F4" s="6" t="str">
        <f t="shared" si="0"/>
        <v>Подтверждено</v>
      </c>
      <c r="G4" s="5" t="s">
        <v>570</v>
      </c>
    </row>
    <row r="5" spans="1:7" ht="27">
      <c r="A5" s="4">
        <v>3</v>
      </c>
      <c r="B5" s="4" t="s">
        <v>168</v>
      </c>
      <c r="C5" s="4" t="s">
        <v>169</v>
      </c>
      <c r="D5" s="5" t="s">
        <v>571</v>
      </c>
      <c r="E5" s="5">
        <v>4</v>
      </c>
      <c r="F5" s="6" t="str">
        <f t="shared" si="0"/>
        <v>Подтверждено</v>
      </c>
      <c r="G5" s="5" t="s">
        <v>572</v>
      </c>
    </row>
    <row r="6" spans="1:7" ht="27">
      <c r="A6" s="4">
        <v>4</v>
      </c>
      <c r="B6" s="4" t="s">
        <v>170</v>
      </c>
      <c r="C6" s="4" t="s">
        <v>171</v>
      </c>
      <c r="D6" s="5" t="s">
        <v>573</v>
      </c>
      <c r="E6" s="5">
        <v>4</v>
      </c>
      <c r="F6" s="6" t="str">
        <f t="shared" si="0"/>
        <v>Подтверждено</v>
      </c>
      <c r="G6" s="5" t="s">
        <v>574</v>
      </c>
    </row>
    <row r="7" spans="1:7" ht="27">
      <c r="A7" s="4">
        <v>5</v>
      </c>
      <c r="B7" s="4" t="s">
        <v>172</v>
      </c>
      <c r="C7" s="4" t="s">
        <v>173</v>
      </c>
      <c r="D7" s="5" t="s">
        <v>575</v>
      </c>
      <c r="E7" s="5">
        <v>4</v>
      </c>
      <c r="F7" s="6" t="str">
        <f t="shared" si="0"/>
        <v>Подтверждено</v>
      </c>
      <c r="G7" s="5" t="s">
        <v>576</v>
      </c>
    </row>
    <row r="8" spans="1:7" ht="27">
      <c r="A8" s="4">
        <v>6</v>
      </c>
      <c r="B8" s="4" t="s">
        <v>174</v>
      </c>
      <c r="C8" s="4" t="s">
        <v>175</v>
      </c>
      <c r="D8" s="5" t="s">
        <v>577</v>
      </c>
      <c r="E8" s="5">
        <v>3</v>
      </c>
      <c r="F8" s="6" t="str">
        <f t="shared" si="0"/>
        <v>Нужна проверка</v>
      </c>
      <c r="G8" s="5" t="s">
        <v>578</v>
      </c>
    </row>
    <row r="9" spans="1:7" ht="27">
      <c r="A9" s="4">
        <v>7</v>
      </c>
      <c r="B9" s="4" t="s">
        <v>176</v>
      </c>
      <c r="C9" s="4" t="s">
        <v>177</v>
      </c>
      <c r="D9" s="5" t="s">
        <v>579</v>
      </c>
      <c r="E9" s="5">
        <v>3</v>
      </c>
      <c r="F9" s="6" t="str">
        <f t="shared" si="0"/>
        <v>Нужна проверка</v>
      </c>
      <c r="G9" s="5" t="s">
        <v>580</v>
      </c>
    </row>
    <row r="10" spans="1:7" ht="27">
      <c r="A10" s="4">
        <v>8</v>
      </c>
      <c r="B10" s="4" t="s">
        <v>178</v>
      </c>
      <c r="C10" s="4" t="s">
        <v>177</v>
      </c>
      <c r="D10" s="5" t="s">
        <v>581</v>
      </c>
      <c r="E10" s="5">
        <v>3</v>
      </c>
      <c r="F10" s="6" t="str">
        <f t="shared" si="0"/>
        <v>Нужна проверка</v>
      </c>
      <c r="G10" s="5" t="s">
        <v>582</v>
      </c>
    </row>
    <row r="11" spans="1:7" ht="27">
      <c r="A11" s="4">
        <v>9</v>
      </c>
      <c r="B11" s="4" t="s">
        <v>179</v>
      </c>
      <c r="C11" s="4" t="s">
        <v>177</v>
      </c>
      <c r="D11" s="5" t="s">
        <v>583</v>
      </c>
      <c r="E11" s="5">
        <v>2</v>
      </c>
      <c r="F11" s="6" t="str">
        <f t="shared" si="0"/>
        <v>Риск разрыва</v>
      </c>
      <c r="G11" s="5" t="s">
        <v>584</v>
      </c>
    </row>
    <row r="12" spans="1:7" ht="27">
      <c r="A12" s="4">
        <v>10</v>
      </c>
      <c r="B12" s="4" t="s">
        <v>180</v>
      </c>
      <c r="C12" s="4" t="s">
        <v>181</v>
      </c>
      <c r="D12" s="5" t="s">
        <v>585</v>
      </c>
      <c r="E12" s="5">
        <v>3</v>
      </c>
      <c r="F12" s="6" t="str">
        <f t="shared" si="0"/>
        <v>Нужна проверка</v>
      </c>
      <c r="G12" s="5" t="s">
        <v>586</v>
      </c>
    </row>
    <row r="13" spans="1:7" ht="27">
      <c r="A13" s="4">
        <v>11</v>
      </c>
      <c r="B13" s="4" t="s">
        <v>182</v>
      </c>
      <c r="C13" s="4" t="s">
        <v>183</v>
      </c>
      <c r="D13" s="5" t="s">
        <v>587</v>
      </c>
      <c r="E13" s="5">
        <v>4</v>
      </c>
      <c r="F13" s="6" t="str">
        <f t="shared" si="0"/>
        <v>Подтверждено</v>
      </c>
      <c r="G13" s="5" t="s">
        <v>588</v>
      </c>
    </row>
    <row r="14" spans="1:7" ht="27">
      <c r="A14" s="4">
        <v>12</v>
      </c>
      <c r="B14" s="4" t="s">
        <v>184</v>
      </c>
      <c r="C14" s="4" t="s">
        <v>185</v>
      </c>
      <c r="D14" s="5" t="s">
        <v>589</v>
      </c>
      <c r="E14" s="5">
        <v>3</v>
      </c>
      <c r="F14" s="6" t="str">
        <f t="shared" si="0"/>
        <v>Нужна проверка</v>
      </c>
      <c r="G14" s="5" t="s">
        <v>590</v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3.5"/>
  <cols>
    <col min="1" max="1" width="28" customWidth="1"/>
    <col min="2" max="2" width="48" customWidth="1"/>
    <col min="3" max="4" width="34" customWidth="1"/>
    <col min="5" max="5" width="18" customWidth="1"/>
  </cols>
  <sheetData>
    <row r="1" spans="1:5" ht="16.05" customHeight="1">
      <c r="A1" s="9" t="s">
        <v>186</v>
      </c>
      <c r="B1" s="9"/>
      <c r="C1" s="9"/>
      <c r="D1" s="9"/>
      <c r="E1" s="9"/>
    </row>
    <row r="2" spans="1:5" ht="16.05" customHeight="1">
      <c r="A2" s="3" t="s">
        <v>187</v>
      </c>
      <c r="B2" s="3" t="s">
        <v>188</v>
      </c>
      <c r="C2" s="3" t="s">
        <v>189</v>
      </c>
      <c r="D2" s="3" t="s">
        <v>158</v>
      </c>
      <c r="E2" s="3" t="s">
        <v>97</v>
      </c>
    </row>
    <row r="3" spans="1:5">
      <c r="A3" s="4" t="s">
        <v>190</v>
      </c>
      <c r="B3" s="5" t="str">
        <f>IFERROR(INDEX('02_Канвас'!$D$3:$D$11,MATCH("Клиентские сегменты",'02_Канвас'!$A$3:$A$11,0)),"")</f>
        <v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экспорту.</v>
      </c>
      <c r="C3" s="4" t="s">
        <v>191</v>
      </c>
      <c r="D3" s="4" t="s">
        <v>192</v>
      </c>
      <c r="E3" s="6" t="str">
        <f t="shared" ref="E3:E16" si="0">IF(B3="","Не заполнено","Заполнено")</f>
        <v>Заполнено</v>
      </c>
    </row>
    <row r="4" spans="1:5" ht="81">
      <c r="A4" s="4" t="s">
        <v>193</v>
      </c>
      <c r="B4" s="5" t="s">
        <v>591</v>
      </c>
      <c r="C4" s="4" t="s">
        <v>194</v>
      </c>
      <c r="D4" s="4" t="s">
        <v>195</v>
      </c>
      <c r="E4" s="6" t="str">
        <f t="shared" si="0"/>
        <v>Заполнено</v>
      </c>
    </row>
    <row r="5" spans="1:5" ht="27">
      <c r="A5" s="4" t="s">
        <v>63</v>
      </c>
      <c r="B5" s="5" t="str">
        <f>IFERROR(INDEX('02_Канвас'!$D$3:$D$11,MATCH("Ценностное предложение",'02_Канвас'!$A$3:$A$11,0)),"")</f>
        <v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пользователя.</v>
      </c>
      <c r="C5" s="4" t="s">
        <v>196</v>
      </c>
      <c r="D5" s="4" t="s">
        <v>197</v>
      </c>
      <c r="E5" s="6" t="str">
        <f t="shared" si="0"/>
        <v>Заполнено</v>
      </c>
    </row>
    <row r="6" spans="1:5" ht="54">
      <c r="A6" s="4" t="s">
        <v>104</v>
      </c>
      <c r="B6" s="5" t="s">
        <v>592</v>
      </c>
      <c r="C6" s="4" t="s">
        <v>169</v>
      </c>
      <c r="D6" s="4" t="s">
        <v>198</v>
      </c>
      <c r="E6" s="6" t="str">
        <f t="shared" si="0"/>
        <v>Заполнено</v>
      </c>
    </row>
    <row r="7" spans="1:5" ht="27">
      <c r="A7" s="4" t="s">
        <v>123</v>
      </c>
      <c r="B7" s="5" t="s">
        <v>593</v>
      </c>
      <c r="C7" s="4" t="s">
        <v>171</v>
      </c>
      <c r="D7" s="4" t="s">
        <v>199</v>
      </c>
      <c r="E7" s="6" t="str">
        <f t="shared" si="0"/>
        <v>Заполнено</v>
      </c>
    </row>
    <row r="8" spans="1:5" ht="27">
      <c r="A8" s="4" t="s">
        <v>66</v>
      </c>
      <c r="B8" s="5" t="str">
        <f>IFERROR(INDEX('02_Канвас'!$D$3:$D$11,MATCH("Каналы",'02_Канвас'!$A$3:$A$11,0)),"")</f>
        <v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разработчиков.</v>
      </c>
      <c r="C8" s="4" t="s">
        <v>200</v>
      </c>
      <c r="D8" s="4" t="s">
        <v>201</v>
      </c>
      <c r="E8" s="6" t="str">
        <f t="shared" si="0"/>
        <v>Заполнено</v>
      </c>
    </row>
    <row r="9" spans="1:5" ht="40.5">
      <c r="A9" s="4" t="s">
        <v>69</v>
      </c>
      <c r="B9" s="5" t="str">
        <f>IFERROR(INDEX('02_Канвас'!$D$3:$D$11,MATCH("Отношения с клиентами",'02_Канвас'!$A$3:$A$11,0)),"")</f>
        <v>Самообслуживание: бесплатный уровень, документация, примеры; сообщество на этапах использования и удержания.</v>
      </c>
      <c r="C9" s="4" t="s">
        <v>200</v>
      </c>
      <c r="D9" s="4" t="s">
        <v>202</v>
      </c>
      <c r="E9" s="6" t="str">
        <f t="shared" si="0"/>
        <v>Заполнено</v>
      </c>
    </row>
    <row r="10" spans="1:5" ht="27">
      <c r="A10" s="4" t="s">
        <v>72</v>
      </c>
      <c r="B10" s="5" t="str">
        <f>IFERROR(INDEX('02_Канвас'!$D$3:$D$11,MATCH("Потоки доходов",'02_Канвас'!$A$3:$A$11,0)),"")</f>
        <v>Основной поток: подписка Pro 40 USD в год (48 USD при цене 4 USD в месяц, 4 x 12) за пользователя; Free без оплаты; тарифный ограничитель - функции и лимиты.</v>
      </c>
      <c r="C10" s="4" t="s">
        <v>203</v>
      </c>
      <c r="D10" s="4" t="s">
        <v>204</v>
      </c>
      <c r="E10" s="6" t="str">
        <f t="shared" si="0"/>
        <v>Заполнено</v>
      </c>
    </row>
    <row r="11" spans="1:5" ht="27">
      <c r="A11" s="4" t="s">
        <v>75</v>
      </c>
      <c r="B11" s="5" t="str">
        <f>IFERROR(INDEX('02_Канвас'!$D$3:$D$11,MATCH("Ключевые ресурсы",'02_Канвас'!$A$3:$A$11,0)),"")</f>
        <v>Ключевой ресурс: собственный движок нотаций и ИИ-ассистент в PWA, нужен для создания и поставки ценности; подтверждение - состав продукта (ЛР4, 6.1).</v>
      </c>
      <c r="C11" s="4" t="s">
        <v>205</v>
      </c>
      <c r="D11" s="4" t="s">
        <v>206</v>
      </c>
      <c r="E11" s="6" t="str">
        <f t="shared" si="0"/>
        <v>Заполнено</v>
      </c>
    </row>
    <row r="12" spans="1:5" ht="27">
      <c r="A12" s="4" t="s">
        <v>78</v>
      </c>
      <c r="B12" s="5" t="str">
        <f>IFERROR(INDEX('02_Канвас'!$D$3:$D$11,MATCH("Ключевые виды деятельности",'02_Канвас'!$A$3:$A$11,0)),"")</f>
        <v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нотаций.</v>
      </c>
      <c r="C12" s="4" t="s">
        <v>205</v>
      </c>
      <c r="D12" s="4" t="s">
        <v>207</v>
      </c>
      <c r="E12" s="6" t="str">
        <f t="shared" si="0"/>
        <v>Заполнено</v>
      </c>
    </row>
    <row r="13" spans="1:5" ht="27">
      <c r="A13" s="4" t="s">
        <v>81</v>
      </c>
      <c r="B13" s="5" t="str">
        <f>IFERROR(INDEX('02_Канвас'!$D$3:$D$11,MATCH("Ключевые партнеры",'02_Канвас'!$A$3:$A$11,0)),"")</f>
        <v>Партнёры: вузы (доступ к студентам), платёжный провайдер, ИИ-провайдер, облачная инфраструктура; причины - доступ, скорость, интеграция.</v>
      </c>
      <c r="C13" s="4" t="s">
        <v>205</v>
      </c>
      <c r="D13" s="4" t="s">
        <v>208</v>
      </c>
      <c r="E13" s="6" t="str">
        <f t="shared" si="0"/>
        <v>Заполнено</v>
      </c>
    </row>
    <row r="14" spans="1:5" ht="27">
      <c r="A14" s="4" t="s">
        <v>84</v>
      </c>
      <c r="B14" s="5" t="str">
        <f>IFERROR(INDEX('02_Канвас'!$D$3:$D$11,MATCH("Структура затрат",'02_Канвас'!$A$3:$A$11,0)),"")</f>
        <v>Ключевые затраты: разработка (постоянные), облачная инфраструктура (полупеременные), ИИ-вызовы (переменные), поддержка и продвижение.</v>
      </c>
      <c r="C14" s="4" t="s">
        <v>209</v>
      </c>
      <c r="D14" s="4" t="s">
        <v>210</v>
      </c>
      <c r="E14" s="6" t="str">
        <f t="shared" si="0"/>
        <v>Заполнено</v>
      </c>
    </row>
    <row r="15" spans="1:5" ht="40.5">
      <c r="A15" s="4" t="s">
        <v>211</v>
      </c>
      <c r="B15" s="5" t="s">
        <v>594</v>
      </c>
      <c r="C15" s="4" t="s">
        <v>212</v>
      </c>
      <c r="D15" s="4" t="s">
        <v>213</v>
      </c>
      <c r="E15" s="6" t="str">
        <f t="shared" si="0"/>
        <v>Заполнено</v>
      </c>
    </row>
    <row r="16" spans="1:5" ht="40.5">
      <c r="A16" s="4" t="s">
        <v>214</v>
      </c>
      <c r="B16" s="5" t="s">
        <v>595</v>
      </c>
      <c r="C16" s="4" t="s">
        <v>29</v>
      </c>
      <c r="D16" s="4" t="s">
        <v>215</v>
      </c>
      <c r="E16" s="6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/>
  </sheetViews>
  <sheetFormatPr defaultRowHeight="13.5"/>
  <cols>
    <col min="1" max="1" width="32" customWidth="1"/>
    <col min="2" max="4" width="18" customWidth="1"/>
    <col min="5" max="5" width="22" customWidth="1"/>
  </cols>
  <sheetData>
    <row r="1" spans="1:8" ht="16.05" customHeight="1">
      <c r="A1" s="9" t="s">
        <v>216</v>
      </c>
      <c r="B1" s="9"/>
      <c r="C1" s="9"/>
      <c r="D1" s="9"/>
      <c r="E1" s="9"/>
      <c r="F1" s="9"/>
      <c r="G1" s="9"/>
      <c r="H1" s="9"/>
    </row>
    <row r="3" spans="1:8" ht="16.05" customHeight="1">
      <c r="A3" s="1" t="s">
        <v>217</v>
      </c>
      <c r="B3" s="1" t="s">
        <v>218</v>
      </c>
    </row>
    <row r="4" spans="1:8" ht="13.9">
      <c r="A4" s="7" t="s">
        <v>219</v>
      </c>
      <c r="B4" s="8">
        <f>IFERROR(AVERAGE('02_Канвас'!G3:G11)/5,0)</f>
        <v>0.71111111111111103</v>
      </c>
      <c r="C4" s="2"/>
      <c r="D4" s="2"/>
      <c r="E4" s="2"/>
    </row>
    <row r="5" spans="1:8" ht="13.9">
      <c r="A5" s="7" t="s">
        <v>220</v>
      </c>
      <c r="B5" s="8">
        <f>IFERROR(AVERAGE('02_Канвас'!F3:F11)/5,0)</f>
        <v>0.57777777777777772</v>
      </c>
      <c r="C5" s="2"/>
      <c r="D5" s="2"/>
      <c r="E5" s="2"/>
    </row>
    <row r="6" spans="1:8" ht="13.9">
      <c r="A6" s="7" t="s">
        <v>221</v>
      </c>
      <c r="B6" s="8">
        <f>IFERROR(1-AVERAGE('02_Канвас'!H3:H11)/5,0)</f>
        <v>0.4</v>
      </c>
      <c r="C6" s="2"/>
      <c r="D6" s="2"/>
      <c r="E6" s="2"/>
    </row>
    <row r="7" spans="1:8" ht="13.9">
      <c r="A7" s="7" t="s">
        <v>222</v>
      </c>
      <c r="B7" s="8">
        <f>IFERROR(COUNTIF('02_Канвас'!J3:J11,"Готово")/9,0)</f>
        <v>0.1111111111111111</v>
      </c>
      <c r="C7" s="2"/>
      <c r="D7" s="2"/>
      <c r="E7" s="2"/>
    </row>
    <row r="8" spans="1:8" ht="27.75">
      <c r="A8" s="7" t="s">
        <v>223</v>
      </c>
      <c r="B8" s="2">
        <f>COUNTA('01_Данные_анализа'!F3:F202)</f>
        <v>24</v>
      </c>
      <c r="C8" s="2"/>
      <c r="D8" s="2"/>
      <c r="E8" s="2"/>
    </row>
    <row r="9" spans="1:8" ht="27.75">
      <c r="A9" s="7" t="s">
        <v>224</v>
      </c>
      <c r="B9" s="8">
        <f>IFERROR(COUNTIF('09_Проверка_связности'!F3:F14,"Подтверждено")/COUNTA('09_Проверка_связности'!A3:A14),0)</f>
        <v>0.5</v>
      </c>
      <c r="C9" s="2"/>
      <c r="D9" s="2"/>
      <c r="E9" s="2"/>
    </row>
    <row r="10" spans="1:8">
      <c r="A10" s="2"/>
      <c r="B10" s="2"/>
      <c r="C10" s="2"/>
      <c r="D10" s="2"/>
      <c r="E10" s="2"/>
    </row>
    <row r="11" spans="1:8" ht="16.05" customHeight="1">
      <c r="A11" s="1" t="s">
        <v>44</v>
      </c>
      <c r="B11" s="1" t="s">
        <v>225</v>
      </c>
      <c r="C11" s="1" t="s">
        <v>226</v>
      </c>
      <c r="D11" s="1" t="s">
        <v>227</v>
      </c>
      <c r="E11" s="1" t="s">
        <v>97</v>
      </c>
    </row>
    <row r="12" spans="1:8">
      <c r="A12" s="2" t="str">
        <f>'02_Канвас'!A3</f>
        <v>Клиентские сегменты</v>
      </c>
      <c r="B12" s="2">
        <f>'02_Канвас'!F3</f>
        <v>4</v>
      </c>
      <c r="C12" s="2">
        <f>'02_Канвас'!G3</f>
        <v>4</v>
      </c>
      <c r="D12" s="2">
        <f>'02_Канвас'!H3</f>
        <v>2</v>
      </c>
      <c r="E12" s="2" t="str">
        <f>'02_Канвас'!J3</f>
        <v>Готово</v>
      </c>
    </row>
    <row r="13" spans="1:8">
      <c r="A13" s="2" t="str">
        <f>'02_Канвас'!A4</f>
        <v>Ценностное предложение</v>
      </c>
      <c r="B13" s="2">
        <f>'02_Канвас'!F4</f>
        <v>4</v>
      </c>
      <c r="C13" s="2">
        <f>'02_Канвас'!G4</f>
        <v>4</v>
      </c>
      <c r="D13" s="2">
        <f>'02_Канвас'!H4</f>
        <v>3</v>
      </c>
      <c r="E13" s="2" t="str">
        <f>'02_Канвас'!J4</f>
        <v>Проверить</v>
      </c>
    </row>
    <row r="14" spans="1:8">
      <c r="A14" s="2" t="str">
        <f>'02_Канвас'!A5</f>
        <v>Каналы</v>
      </c>
      <c r="B14" s="2">
        <f>'02_Канвас'!F5</f>
        <v>4</v>
      </c>
      <c r="C14" s="2">
        <f>'02_Канвас'!G5</f>
        <v>4</v>
      </c>
      <c r="D14" s="2">
        <f>'02_Канвас'!H5</f>
        <v>3</v>
      </c>
      <c r="E14" s="2" t="str">
        <f>'02_Канвас'!J5</f>
        <v>Проверить</v>
      </c>
    </row>
    <row r="15" spans="1:8">
      <c r="A15" s="2" t="str">
        <f>'02_Канвас'!A6</f>
        <v>Отношения с клиентами</v>
      </c>
      <c r="B15" s="2">
        <f>'02_Канвас'!F6</f>
        <v>3</v>
      </c>
      <c r="C15" s="2">
        <f>'02_Канвас'!G6</f>
        <v>4</v>
      </c>
      <c r="D15" s="2">
        <f>'02_Канвас'!H6</f>
        <v>3</v>
      </c>
      <c r="E15" s="2" t="str">
        <f>'02_Канвас'!J6</f>
        <v>Проверить</v>
      </c>
    </row>
    <row r="16" spans="1:8">
      <c r="A16" s="2" t="str">
        <f>'02_Канвас'!A7</f>
        <v>Потоки доходов</v>
      </c>
      <c r="B16" s="2">
        <f>'02_Канвас'!F7</f>
        <v>3</v>
      </c>
      <c r="C16" s="2">
        <f>'02_Канвас'!G7</f>
        <v>4</v>
      </c>
      <c r="D16" s="2">
        <f>'02_Канвас'!H7</f>
        <v>3</v>
      </c>
      <c r="E16" s="2" t="str">
        <f>'02_Канвас'!J7</f>
        <v>Проверить</v>
      </c>
    </row>
    <row r="17" spans="1:5">
      <c r="A17" s="2" t="str">
        <f>'02_Канвас'!A8</f>
        <v>Ключевые ресурсы</v>
      </c>
      <c r="B17" s="2">
        <f>'02_Канвас'!F8</f>
        <v>2</v>
      </c>
      <c r="C17" s="2">
        <f>'02_Канвас'!G8</f>
        <v>3</v>
      </c>
      <c r="D17" s="2">
        <f>'02_Канвас'!H8</f>
        <v>3</v>
      </c>
      <c r="E17" s="2" t="str">
        <f>'02_Канвас'!J8</f>
        <v>Требует доработки</v>
      </c>
    </row>
    <row r="18" spans="1:5">
      <c r="A18" s="2" t="str">
        <f>'02_Канвас'!A9</f>
        <v>Ключевые виды деятельности</v>
      </c>
      <c r="B18" s="2">
        <f>'02_Канвас'!F9</f>
        <v>2</v>
      </c>
      <c r="C18" s="2">
        <f>'02_Канвас'!G9</f>
        <v>3</v>
      </c>
      <c r="D18" s="2">
        <f>'02_Канвас'!H9</f>
        <v>3</v>
      </c>
      <c r="E18" s="2" t="str">
        <f>'02_Канвас'!J9</f>
        <v>Требует доработки</v>
      </c>
    </row>
    <row r="19" spans="1:5">
      <c r="A19" s="2" t="str">
        <f>'02_Канвас'!A10</f>
        <v>Ключевые партнеры</v>
      </c>
      <c r="B19" s="2">
        <f>'02_Канвас'!F10</f>
        <v>2</v>
      </c>
      <c r="C19" s="2">
        <f>'02_Канвас'!G10</f>
        <v>3</v>
      </c>
      <c r="D19" s="2">
        <f>'02_Канвас'!H10</f>
        <v>3</v>
      </c>
      <c r="E19" s="2" t="str">
        <f>'02_Канвас'!J10</f>
        <v>Требует доработки</v>
      </c>
    </row>
    <row r="20" spans="1:5">
      <c r="A20" s="2" t="str">
        <f>'02_Канвас'!A11</f>
        <v>Структура затрат</v>
      </c>
      <c r="B20" s="2">
        <f>'02_Канвас'!F11</f>
        <v>2</v>
      </c>
      <c r="C20" s="2">
        <f>'02_Канвас'!G11</f>
        <v>3</v>
      </c>
      <c r="D20" s="2">
        <f>'02_Канвас'!H11</f>
        <v>4</v>
      </c>
      <c r="E20" s="2" t="str">
        <f>'02_Канвас'!J11</f>
        <v>Требует доработки</v>
      </c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 ht="16.05" customHeight="1">
      <c r="A23" s="1" t="s">
        <v>228</v>
      </c>
      <c r="B23" s="1" t="s">
        <v>229</v>
      </c>
      <c r="C23" s="1" t="s">
        <v>162</v>
      </c>
      <c r="D23" s="2"/>
      <c r="E23" s="2"/>
    </row>
    <row r="24" spans="1:5" ht="27">
      <c r="A24" s="2" t="s">
        <v>230</v>
      </c>
      <c r="B24" s="2" t="s">
        <v>231</v>
      </c>
      <c r="C24" s="2" t="str">
        <f>IF(AND(B4&gt;=0.8,B5&gt;=0.8,B6&gt;=0.8,B7&gt;=0.8,B9&gt;=0.8),"Да","Нет")</f>
        <v>Нет</v>
      </c>
      <c r="D24" s="2"/>
      <c r="E24" s="2"/>
    </row>
    <row r="25" spans="1:5" ht="27">
      <c r="A25" s="2" t="s">
        <v>232</v>
      </c>
      <c r="B25" s="2" t="s">
        <v>233</v>
      </c>
      <c r="C25" s="2" t="str">
        <f>IF(AND(B4&gt;=0.6,B5&gt;=0.6,B6&gt;=0.6,B7&gt;=0.6,B9&gt;=0.6),"Да","Нет")</f>
        <v>Нет</v>
      </c>
      <c r="D25" s="2"/>
      <c r="E25" s="2"/>
    </row>
    <row r="26" spans="1:5" ht="40.5">
      <c r="A26" s="2" t="s">
        <v>234</v>
      </c>
      <c r="B26" s="2" t="s">
        <v>235</v>
      </c>
      <c r="C26" s="2" t="str">
        <f>IF(OR(B4&lt;0.6,B5&lt;0.6,B6&lt;0.6,B9&lt;0.6),"Да","Нет")</f>
        <v>Да</v>
      </c>
      <c r="D26" s="2"/>
      <c r="E26" s="2"/>
    </row>
    <row r="27" spans="1:5" ht="54">
      <c r="A27" s="2" t="s">
        <v>236</v>
      </c>
      <c r="B27" s="2" t="s">
        <v>237</v>
      </c>
      <c r="C27" s="2" t="str">
        <f>IF(C24="Да","Можно оформлять итоговую бизнес-модель",IF(C25="Да","Нужна точечная проверка гипотез","Нужна доработка исходных данных и связности"))</f>
        <v>Нужна доработка исходных данных и связности</v>
      </c>
      <c r="D27" s="2"/>
      <c r="E27" s="2"/>
    </row>
  </sheetData>
  <mergeCells count="1">
    <mergeCell ref="A1:H1"/>
  </mergeCells>
  <conditionalFormatting sqref="A11:E20">
    <cfRule type="expression" dxfId="26" priority="1">
      <formula>$E12="Готово"</formula>
    </cfRule>
    <cfRule type="expression" dxfId="25" priority="2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</conditionalFormatting>
  <conditionalFormatting sqref="B12:D20"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B12:D20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>
      <selection sqref="A1:K1"/>
    </sheetView>
  </sheetViews>
  <sheetFormatPr defaultRowHeight="13.5"/>
  <cols>
    <col min="1" max="11" width="24" customWidth="1"/>
  </cols>
  <sheetData>
    <row r="1" spans="1:11" ht="16.05" customHeight="1">
      <c r="A1" s="9" t="s">
        <v>238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05" customHeight="1">
      <c r="A2" s="1" t="s">
        <v>239</v>
      </c>
      <c r="B2" s="1" t="s">
        <v>44</v>
      </c>
      <c r="C2" s="1" t="s">
        <v>161</v>
      </c>
      <c r="D2" s="1" t="s">
        <v>97</v>
      </c>
      <c r="E2" s="1" t="s">
        <v>105</v>
      </c>
      <c r="F2" s="1" t="s">
        <v>109</v>
      </c>
      <c r="G2" s="1" t="s">
        <v>127</v>
      </c>
      <c r="H2" s="1" t="s">
        <v>148</v>
      </c>
      <c r="I2" s="1" t="s">
        <v>115</v>
      </c>
      <c r="J2" s="1" t="s">
        <v>143</v>
      </c>
      <c r="K2" s="1" t="s">
        <v>240</v>
      </c>
    </row>
    <row r="3" spans="1:11">
      <c r="A3" s="2" t="s">
        <v>241</v>
      </c>
      <c r="B3" s="2" t="s">
        <v>60</v>
      </c>
      <c r="C3" s="2">
        <v>1</v>
      </c>
      <c r="D3" s="2" t="s">
        <v>242</v>
      </c>
      <c r="E3" s="2" t="s">
        <v>243</v>
      </c>
      <c r="F3" s="2" t="s">
        <v>244</v>
      </c>
      <c r="G3" s="2" t="s">
        <v>245</v>
      </c>
      <c r="H3" s="2" t="s">
        <v>246</v>
      </c>
      <c r="I3" s="2" t="s">
        <v>247</v>
      </c>
      <c r="J3" s="2" t="s">
        <v>248</v>
      </c>
      <c r="K3" s="2" t="s">
        <v>249</v>
      </c>
    </row>
    <row r="4" spans="1:11" ht="27">
      <c r="A4" s="2" t="s">
        <v>250</v>
      </c>
      <c r="B4" s="2" t="s">
        <v>63</v>
      </c>
      <c r="C4" s="2">
        <v>2</v>
      </c>
      <c r="D4" s="2" t="s">
        <v>251</v>
      </c>
      <c r="E4" s="2" t="s">
        <v>252</v>
      </c>
      <c r="F4" s="2" t="s">
        <v>253</v>
      </c>
      <c r="G4" s="2" t="s">
        <v>254</v>
      </c>
      <c r="H4" s="2" t="s">
        <v>255</v>
      </c>
      <c r="I4" s="2" t="s">
        <v>256</v>
      </c>
      <c r="J4" s="2" t="s">
        <v>257</v>
      </c>
      <c r="K4" s="2" t="s">
        <v>258</v>
      </c>
    </row>
    <row r="5" spans="1:11" ht="27">
      <c r="A5" s="2" t="s">
        <v>259</v>
      </c>
      <c r="B5" s="2" t="s">
        <v>66</v>
      </c>
      <c r="C5" s="2">
        <v>3</v>
      </c>
      <c r="D5" s="2" t="s">
        <v>260</v>
      </c>
      <c r="E5" s="2" t="s">
        <v>261</v>
      </c>
      <c r="F5" s="2" t="s">
        <v>262</v>
      </c>
      <c r="G5" s="2" t="s">
        <v>263</v>
      </c>
      <c r="H5" s="2" t="s">
        <v>264</v>
      </c>
      <c r="I5" s="2" t="s">
        <v>265</v>
      </c>
      <c r="J5" s="2" t="s">
        <v>266</v>
      </c>
      <c r="K5" s="2" t="s">
        <v>267</v>
      </c>
    </row>
    <row r="6" spans="1:11" ht="27">
      <c r="A6" s="2" t="s">
        <v>268</v>
      </c>
      <c r="B6" s="2" t="s">
        <v>69</v>
      </c>
      <c r="C6" s="2">
        <v>4</v>
      </c>
      <c r="D6" s="2" t="s">
        <v>269</v>
      </c>
      <c r="E6" s="2" t="s">
        <v>270</v>
      </c>
      <c r="F6" s="2" t="s">
        <v>271</v>
      </c>
      <c r="G6" s="2" t="s">
        <v>272</v>
      </c>
      <c r="H6" s="2" t="s">
        <v>273</v>
      </c>
      <c r="I6" s="2" t="s">
        <v>274</v>
      </c>
      <c r="J6" s="2" t="s">
        <v>275</v>
      </c>
      <c r="K6" s="2" t="s">
        <v>276</v>
      </c>
    </row>
    <row r="7" spans="1:11" ht="27">
      <c r="A7" s="2" t="s">
        <v>277</v>
      </c>
      <c r="B7" s="2" t="s">
        <v>72</v>
      </c>
      <c r="C7" s="2">
        <v>5</v>
      </c>
      <c r="D7" s="2" t="s">
        <v>278</v>
      </c>
      <c r="E7" s="2" t="s">
        <v>279</v>
      </c>
      <c r="F7" s="2" t="s">
        <v>280</v>
      </c>
      <c r="G7" s="2" t="s">
        <v>281</v>
      </c>
      <c r="H7" s="2" t="s">
        <v>282</v>
      </c>
      <c r="I7" s="2" t="s">
        <v>283</v>
      </c>
      <c r="J7" s="2" t="s">
        <v>284</v>
      </c>
      <c r="K7" s="2" t="s">
        <v>285</v>
      </c>
    </row>
    <row r="8" spans="1:11" ht="27">
      <c r="A8" s="2" t="s">
        <v>286</v>
      </c>
      <c r="B8" s="2" t="s">
        <v>75</v>
      </c>
      <c r="C8" s="2"/>
      <c r="D8" s="2" t="s">
        <v>287</v>
      </c>
      <c r="E8" s="2" t="s">
        <v>288</v>
      </c>
      <c r="F8" s="2" t="s">
        <v>289</v>
      </c>
      <c r="G8" s="2" t="s">
        <v>290</v>
      </c>
      <c r="H8" s="2" t="s">
        <v>291</v>
      </c>
      <c r="I8" s="2" t="s">
        <v>292</v>
      </c>
      <c r="J8" s="2"/>
      <c r="K8" s="2" t="s">
        <v>293</v>
      </c>
    </row>
    <row r="9" spans="1:11" ht="27">
      <c r="A9" s="2" t="s">
        <v>294</v>
      </c>
      <c r="B9" s="2" t="s">
        <v>78</v>
      </c>
      <c r="C9" s="2"/>
      <c r="D9" s="2"/>
      <c r="E9" s="2" t="s">
        <v>295</v>
      </c>
      <c r="F9" s="2"/>
      <c r="G9" s="2" t="s">
        <v>296</v>
      </c>
      <c r="H9" s="2" t="s">
        <v>297</v>
      </c>
      <c r="I9" s="2" t="s">
        <v>298</v>
      </c>
      <c r="J9" s="2"/>
      <c r="K9" s="2"/>
    </row>
    <row r="10" spans="1:11">
      <c r="A10" s="2" t="s">
        <v>299</v>
      </c>
      <c r="B10" s="2" t="s">
        <v>81</v>
      </c>
      <c r="C10" s="2"/>
      <c r="D10" s="2"/>
      <c r="E10" s="2" t="s">
        <v>300</v>
      </c>
      <c r="F10" s="2"/>
      <c r="G10" s="2" t="s">
        <v>301</v>
      </c>
      <c r="H10" s="2" t="s">
        <v>302</v>
      </c>
      <c r="I10" s="2" t="s">
        <v>303</v>
      </c>
      <c r="J10" s="2"/>
      <c r="K10" s="2"/>
    </row>
    <row r="11" spans="1:11">
      <c r="A11" s="2" t="s">
        <v>304</v>
      </c>
      <c r="B11" s="2" t="s">
        <v>84</v>
      </c>
      <c r="C11" s="2"/>
      <c r="D11" s="2"/>
      <c r="E11" s="2"/>
      <c r="F11" s="2"/>
      <c r="G11" s="2" t="s">
        <v>305</v>
      </c>
      <c r="H11" s="2"/>
      <c r="I11" s="2"/>
      <c r="J11" s="2"/>
      <c r="K11" s="2"/>
    </row>
    <row r="12" spans="1:11">
      <c r="A12" s="2" t="s">
        <v>306</v>
      </c>
      <c r="B12" s="2"/>
      <c r="C12" s="2"/>
      <c r="D12" s="2"/>
      <c r="E12" s="2"/>
      <c r="F12" s="2"/>
      <c r="G12" s="2" t="s">
        <v>307</v>
      </c>
      <c r="H12" s="2"/>
      <c r="I12" s="2"/>
      <c r="J12" s="2"/>
      <c r="K12" s="2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FD8E-ACB1-435B-9B77-8AF3D9A88392}">
  <dimension ref="A1:C7"/>
  <sheetViews>
    <sheetView workbookViewId="0"/>
  </sheetViews>
  <sheetFormatPr defaultRowHeight="12.75"/>
  <cols>
    <col min="1" max="1" width="22.5625" style="12" customWidth="1"/>
    <col min="2" max="2" width="8.5625" style="12" customWidth="1"/>
    <col min="3" max="3" width="150.5625" style="12" customWidth="1"/>
    <col min="4" max="16384" width="9" style="12"/>
  </cols>
  <sheetData>
    <row r="1" spans="1:3" ht="15">
      <c r="A1" s="13" t="s">
        <v>596</v>
      </c>
    </row>
    <row r="3" spans="1:3" ht="13.15">
      <c r="A3" s="14" t="s">
        <v>597</v>
      </c>
      <c r="B3" s="14" t="s">
        <v>598</v>
      </c>
      <c r="C3" s="14" t="s">
        <v>599</v>
      </c>
    </row>
    <row r="4" spans="1:3">
      <c r="A4" s="15" t="s">
        <v>600</v>
      </c>
      <c r="B4" s="15" t="s">
        <v>601</v>
      </c>
      <c r="C4" s="15" t="s">
        <v>602</v>
      </c>
    </row>
    <row r="5" spans="1:3">
      <c r="A5" s="15" t="s">
        <v>229</v>
      </c>
      <c r="B5" s="15" t="s">
        <v>603</v>
      </c>
      <c r="C5" s="15" t="s">
        <v>604</v>
      </c>
    </row>
    <row r="6" spans="1:3">
      <c r="A6" s="15" t="s">
        <v>229</v>
      </c>
      <c r="B6" s="15" t="s">
        <v>605</v>
      </c>
      <c r="C6" s="15" t="s">
        <v>606</v>
      </c>
    </row>
    <row r="7" spans="1:3" ht="25.5">
      <c r="A7" s="15" t="s">
        <v>607</v>
      </c>
      <c r="B7" s="15" t="s">
        <v>608</v>
      </c>
      <c r="C7" s="15" t="s">
        <v>609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  <vt:lpstr>Журнал_6_2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Бизнес-модель NotaCode по Канвас</dc:title>
  <dc:creator>К. А. Хаджинова</dc:creator>
  <dc:description/>
  <cp:lastModifiedBy>К. А. Хаджинова</cp:lastModifiedBy>
  <dcterms:modified xsi:type="dcterms:W3CDTF">2026-10-01T22:00:38Z</dcterms:modified>
</cp:coreProperties>
</file>